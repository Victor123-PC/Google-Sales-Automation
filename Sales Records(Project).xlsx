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Sales_Person" sheetId="2" r:id="rId6"/>
    <sheet state="visible" name="Admin" sheetId="3" r:id="rId7"/>
    <sheet state="visible" name="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<sst xmlns="http://schemas.openxmlformats.org/spreadsheetml/2006/main" count="96019" uniqueCount="104">
  <si>
    <t>Products</t>
  </si>
  <si>
    <t>Price/stock</t>
  </si>
  <si>
    <t>Total stock</t>
  </si>
  <si>
    <t>Customer Code</t>
  </si>
  <si>
    <t>Customer Name</t>
  </si>
  <si>
    <t>Opening Stock</t>
  </si>
  <si>
    <t>13/12/2025</t>
  </si>
  <si>
    <t>14/01/2026</t>
  </si>
  <si>
    <t>16/0102026</t>
  </si>
  <si>
    <t>Gala</t>
  </si>
  <si>
    <t>001</t>
  </si>
  <si>
    <t>Mama Ada</t>
  </si>
  <si>
    <t xml:space="preserve">Mini Chin Chin Packs  </t>
  </si>
  <si>
    <t>002</t>
  </si>
  <si>
    <t>Funmi Airport</t>
  </si>
  <si>
    <t xml:space="preserve">Peanut Snacks </t>
  </si>
  <si>
    <t>003</t>
  </si>
  <si>
    <t>JC Global</t>
  </si>
  <si>
    <t>Cheese Balls</t>
  </si>
  <si>
    <t>004</t>
  </si>
  <si>
    <t>KC</t>
  </si>
  <si>
    <t>Short_Bread</t>
  </si>
  <si>
    <t>005</t>
  </si>
  <si>
    <t>Chidi Market</t>
  </si>
  <si>
    <t>Nice_Biscuits</t>
  </si>
  <si>
    <t>006</t>
  </si>
  <si>
    <t>Angela N</t>
  </si>
  <si>
    <t>Beloxxi Cream Crackers</t>
  </si>
  <si>
    <t>007</t>
  </si>
  <si>
    <t>Theo Wire road</t>
  </si>
  <si>
    <t>Digestives</t>
  </si>
  <si>
    <t>008</t>
  </si>
  <si>
    <t>Pat Y</t>
  </si>
  <si>
    <t>Ginger_Biscuits</t>
  </si>
  <si>
    <t>009</t>
  </si>
  <si>
    <t>Iyaro Bar</t>
  </si>
  <si>
    <t>Chocolate Biscuits</t>
  </si>
  <si>
    <t>10</t>
  </si>
  <si>
    <t>Lucky Cookroad</t>
  </si>
  <si>
    <t>Cabin Biscuit</t>
  </si>
  <si>
    <t>11</t>
  </si>
  <si>
    <t>Mama Emma</t>
  </si>
  <si>
    <t>McVities Digestive:</t>
  </si>
  <si>
    <t>12</t>
  </si>
  <si>
    <t xml:space="preserve">Jesse </t>
  </si>
  <si>
    <t>Gala Biscuit:</t>
  </si>
  <si>
    <t>13</t>
  </si>
  <si>
    <t>Goodness 70</t>
  </si>
  <si>
    <t>Royal Cream Crackers:</t>
  </si>
  <si>
    <t>14</t>
  </si>
  <si>
    <t>Aje Move</t>
  </si>
  <si>
    <t>Choco-Chip Biscuit:</t>
  </si>
  <si>
    <t>15</t>
  </si>
  <si>
    <t>Lizzy Enterprize</t>
  </si>
  <si>
    <t>Golden Morn Biscuit:</t>
  </si>
  <si>
    <t>16</t>
  </si>
  <si>
    <t>Supperman 001</t>
  </si>
  <si>
    <t>Rich Tea Biscuit:</t>
  </si>
  <si>
    <t>17</t>
  </si>
  <si>
    <t>Emenike Yellow</t>
  </si>
  <si>
    <t>18</t>
  </si>
  <si>
    <t xml:space="preserve">Moses Hiltop </t>
  </si>
  <si>
    <t>Posting Date</t>
  </si>
  <si>
    <t>Particulars</t>
  </si>
  <si>
    <t>Reference</t>
  </si>
  <si>
    <t>Quantity</t>
  </si>
  <si>
    <t>Qty Purchase</t>
  </si>
  <si>
    <t>Price/Product</t>
  </si>
  <si>
    <t>Total Price</t>
  </si>
  <si>
    <t>Payment Received</t>
  </si>
  <si>
    <t>Debit</t>
  </si>
  <si>
    <t>Remark/Teller_Date/Number</t>
  </si>
  <si>
    <t>Stock Balance</t>
  </si>
  <si>
    <t>Credit</t>
  </si>
  <si>
    <t>Transfer</t>
  </si>
  <si>
    <t>Cash</t>
  </si>
  <si>
    <t xml:space="preserve"> </t>
  </si>
  <si>
    <t/>
  </si>
  <si>
    <t>Price/Qty</t>
  </si>
  <si>
    <t>Remark/Teller Date/Number</t>
  </si>
  <si>
    <t>Balance Stock Value</t>
  </si>
  <si>
    <t>Customer Details</t>
  </si>
  <si>
    <t>Total Amount</t>
  </si>
  <si>
    <t>Paid</t>
  </si>
  <si>
    <t>Balance</t>
  </si>
  <si>
    <t>Product Name</t>
  </si>
  <si>
    <t>Details</t>
  </si>
  <si>
    <t>Total Stock</t>
  </si>
  <si>
    <t>Stock Sold</t>
  </si>
  <si>
    <t>Balance Stock</t>
  </si>
  <si>
    <t>SUM of Qty Purchase</t>
  </si>
  <si>
    <t>SUM of Total Price</t>
  </si>
  <si>
    <t>SUM of Payment Received</t>
  </si>
  <si>
    <t>SUM of Debit</t>
  </si>
  <si>
    <t xml:space="preserve"> Total</t>
  </si>
  <si>
    <t>Angela N Total</t>
  </si>
  <si>
    <t>Chidi Market Total</t>
  </si>
  <si>
    <t>Funmi Airport Total</t>
  </si>
  <si>
    <t>JC Global Total</t>
  </si>
  <si>
    <t>KC Total</t>
  </si>
  <si>
    <t>Mama Ada Total</t>
  </si>
  <si>
    <t>Mama Emma Total</t>
  </si>
  <si>
    <t>Moses Hiltop 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</si>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</sst>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₦]#,##0.00"/>
    <numFmt numFmtId="166" formatCode="M/d/yyyy"/>
  </numFmts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222222"/>
      <name val="System-ui"/>
    </font>
    <font>
      <sz val="11.0"/>
      <color rgb="FF222222"/>
      <name val="System-ui"/>
    </font>
    <font>
      <sz val="10.0"/>
      <color rgb="FF222222"/>
      <name val="System-ui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b/>
      <sz val="11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49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3" fontId="5" numFmtId="0" xfId="0" applyAlignment="1" applyFill="1" applyFont="1">
      <alignment readingOrder="0" shrinkToFit="0" vertical="bottom" wrapText="1"/>
    </xf>
    <xf borderId="0" fillId="3" fontId="6" numFmtId="0" xfId="0" applyAlignment="1" applyFont="1">
      <alignment readingOrder="0" shrinkToFit="0" vertical="bottom" wrapText="1"/>
    </xf>
    <xf borderId="0" fillId="3" fontId="7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/>
    </xf>
    <xf borderId="0" fillId="0" fontId="3" numFmtId="165" xfId="0" applyFont="1" applyNumberFormat="1"/>
    <xf borderId="0" fillId="0" fontId="4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4" fontId="3" numFmtId="165" xfId="0" applyAlignment="1" applyFont="1" applyNumberFormat="1">
      <alignment readingOrder="0"/>
    </xf>
    <xf borderId="0" fillId="4" fontId="3" numFmtId="3" xfId="0" applyFont="1" applyNumberFormat="1"/>
    <xf borderId="0" fillId="4" fontId="3" numFmtId="165" xfId="0" applyAlignment="1" applyFont="1" applyNumberFormat="1">
      <alignment readingOrder="0"/>
    </xf>
    <xf borderId="0" fillId="4" fontId="3" numFmtId="165" xfId="0" applyFont="1" applyNumberFormat="1"/>
    <xf borderId="0" fillId="5" fontId="3" numFmtId="165" xfId="0" applyFill="1" applyFont="1" applyNumberFormat="1"/>
    <xf borderId="0" fillId="4" fontId="3" numFmtId="0" xfId="0" applyFont="1"/>
    <xf borderId="0" fillId="5" fontId="8" numFmtId="0" xfId="0" applyAlignment="1" applyFont="1">
      <alignment readingOrder="0"/>
    </xf>
    <xf borderId="0" fillId="5" fontId="3" numFmtId="0" xfId="0" applyFont="1"/>
    <xf borderId="0" fillId="0" fontId="8" numFmtId="165" xfId="0" applyFont="1" applyNumberFormat="1"/>
    <xf borderId="0" fillId="5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5" fontId="3" numFmtId="3" xfId="0" applyAlignment="1" applyFont="1" applyNumberFormat="1">
      <alignment readingOrder="0"/>
    </xf>
    <xf borderId="0" fillId="4" fontId="9" numFmtId="166" xfId="0" applyAlignment="1" applyFont="1" applyNumberFormat="1">
      <alignment readingOrder="0" vertical="bottom"/>
    </xf>
    <xf borderId="0" fillId="4" fontId="9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0" fillId="6" fontId="9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3" numFmtId="166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10" numFmtId="165" xfId="0" applyAlignment="1" applyFont="1" applyNumberFormat="1">
      <alignment readingOrder="0"/>
    </xf>
    <xf borderId="0" fillId="5" fontId="8" numFmtId="165" xfId="0" applyFont="1" applyNumberFormat="1"/>
    <xf borderId="0" fillId="5" fontId="8" numFmtId="165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0" fillId="5" fontId="1" numFmtId="165" xfId="0" applyFont="1" applyNumberFormat="1"/>
    <xf borderId="0" fillId="4" fontId="3" numFmtId="166" xfId="0" applyFont="1" applyNumberFormat="1"/>
    <xf borderId="0" fillId="7" fontId="1" numFmtId="0" xfId="0" applyAlignment="1" applyFill="1" applyFont="1">
      <alignment readingOrder="0"/>
    </xf>
    <xf borderId="0" fillId="7" fontId="11" numFmtId="0" xfId="0" applyFont="1"/>
    <xf borderId="0" fillId="7" fontId="11" numFmtId="166" xfId="0" applyFont="1" applyNumberFormat="1"/>
    <xf borderId="0" fillId="0" fontId="3" numFmtId="166" xfId="0" applyFont="1" applyNumberFormat="1"/>
  </cellXfs>
  <cellStyles count="1">
    <cellStyle xfId="0" name="Normal" builtinId="0"/>
  </cellStyles>
  <dxfs count="6">
    <dxf>
      <font>
        <color rgb="FFFF0000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rgb="FF980000"/>
      </font>
      <fill>
        <patternFill patternType="none"/>
      </fill>
      <border/>
    </dxf>
    <dxf>
      <font>
        <color rgb="FFFF000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998" sheet="Admin"/>
  </cacheSource>
  <cacheFields>
    <cacheField name="Posting Date">
      <sharedItems containsDate="1" containsMixedTypes="1">
        <d v="2026-01-10T00:00:00Z"/>
        <d v="2026-01-12T00:00:00Z"/>
        <d v="2026-01-15T00:00:00Z"/>
        <d v="2026-01-20T00:00:00Z"/>
        <d v="2026-01-22T00:00:00Z"/>
        <d v="2026-01-24T00:00:00Z"/>
        <d v="2026-01-25T00:00:00Z"/>
        <d v="2026-01-26T00:00:00Z"/>
        <d v="2026-01-27T00:00:00Z"/>
        <s v=""/>
      </sharedItems>
    </cacheField>
    <cacheField name="Customer Code" numFmtId="0">
      <sharedItems>
        <s v="001"/>
        <s v="002"/>
        <s v="004"/>
        <s v="005"/>
        <s v="006"/>
        <s v="003"/>
        <s v="18"/>
        <s v="11"/>
        <s v=""/>
      </sharedItems>
    </cacheField>
    <cacheField name="Customer Name" numFmtId="0">
      <sharedItems>
        <s v="Mama Ada"/>
        <s v="Funmi Airport"/>
        <s v="KC"/>
        <s v="Chidi Market"/>
        <s v="Angela N"/>
        <s v="JC Global"/>
        <s v="Moses Hiltop "/>
        <s v="Mama Emma"/>
        <s v=""/>
      </sharedItems>
    </cacheField>
    <cacheField name="Particulars" numFmtId="0">
      <sharedItems>
        <s v="Credit"/>
        <s v="Debit"/>
        <s v=""/>
      </sharedItems>
    </cacheField>
    <cacheField name="Reference" numFmtId="0">
      <sharedItems>
        <s v="Transfer"/>
        <s v=""/>
        <s v="Cash"/>
      </sharedItems>
    </cacheField>
    <cacheField name="Products" numFmtId="0">
      <sharedItems>
        <s v="Gala"/>
        <s v="Mini Chin Chin Packs  "/>
        <s v="Peanut Snacks "/>
        <s v="Cheese Balls"/>
        <s v="Short_Bread"/>
        <s v="Chocolate Biscuits"/>
        <s v="Nice_Biscuits"/>
        <s v="Rich Tea Biscuit:"/>
        <s v="Cabin Biscuit"/>
        <s v="Digestives"/>
        <s v=""/>
      </sharedItems>
    </cacheField>
    <cacheField name="Quantity">
      <sharedItems containsMixedTypes="1" containsNumber="1" containsInteger="1">
        <n v="130.0"/>
        <n v="78.0"/>
        <n v="114.0"/>
        <n v="160.0"/>
        <n v="95.0"/>
        <n v="110.0"/>
        <n v="128.0"/>
        <n v="117.0"/>
        <n v="96.0"/>
        <n v="70.0"/>
        <n v="214.0"/>
        <s v=""/>
      </sharedItems>
    </cacheField>
    <cacheField name="Qty Purchase" numFmtId="0">
      <sharedItems containsString="0" containsBlank="1" containsNumber="1" containsInteger="1">
        <n v="20.0"/>
        <n v="40.0"/>
        <n v="50.0"/>
        <n v="35.0"/>
        <n v="10.0"/>
        <n v="32.0"/>
        <n v="12.0"/>
        <n v="5.0"/>
        <m/>
      </sharedItems>
    </cacheField>
    <cacheField name="Price/Qty">
      <sharedItems containsMixedTypes="1" containsNumber="1" containsInteger="1">
        <n v="10500.0"/>
        <n v="20000.0"/>
        <n v="12300.0"/>
        <n v="14680.0"/>
        <n v="16530.0"/>
        <n v="11950.0"/>
        <n v="8200.0"/>
        <n v="6200.0"/>
        <n v="4200.0"/>
        <n v="6800.0"/>
        <s v=""/>
      </sharedItems>
    </cacheField>
    <cacheField name="Total Price">
      <sharedItems containsMixedTypes="1" containsNumber="1" containsInteger="1">
        <n v="210000.0"/>
        <n v="800000.0"/>
        <n v="615000.0"/>
        <n v="293600.0"/>
        <n v="578550.0"/>
        <n v="105000.0"/>
        <n v="478000.0"/>
        <n v="262400.0"/>
        <n v="74400.0"/>
        <n v="21000.0"/>
        <n v="81600.0"/>
        <s v=""/>
      </sharedItems>
    </cacheField>
    <cacheField name="Payment Received" numFmtId="165">
      <sharedItems containsString="0" containsBlank="1" containsNumber="1" containsInteger="1">
        <n v="150000.0"/>
        <n v="800000.0"/>
        <n v="1000000.0"/>
        <m/>
        <n v="500000.0"/>
        <n v="478000.0"/>
        <n v="300000.0"/>
        <n v="21000.0"/>
        <n v="81600.0"/>
      </sharedItems>
    </cacheField>
    <cacheField name="Debit">
      <sharedItems containsMixedTypes="1" containsNumber="1" containsInteger="1">
        <n v="-60000.0"/>
        <n v="0.0"/>
        <n v="385000.0"/>
        <n v="-293600.0"/>
        <n v="-78550.0"/>
        <n v="-105000.0"/>
        <n v="37600.0"/>
        <n v="-74400.0"/>
        <s v=""/>
      </sharedItems>
    </cacheField>
    <cacheField name="Remark/Teller Date/Number" numFmtId="0">
      <sharedItems>
        <s v=""/>
      </sharedItems>
    </cacheField>
    <cacheField name="Stock Balance">
      <sharedItems containsMixedTypes="1" containsNumber="1" containsInteger="1">
        <n v="110.0"/>
        <n v="38.0"/>
        <n v="64.0"/>
        <n v="140.0"/>
        <n v="60.0"/>
        <n v="100.0"/>
        <n v="88.0"/>
        <n v="85.0"/>
        <n v="84.0"/>
        <n v="65.0"/>
        <n v="202.0"/>
        <s v=""/>
      </sharedItems>
    </cacheField>
    <cacheField name="Balance Stock Value">
      <sharedItems containsMixedTypes="1" containsNumber="1" containsInteger="1">
        <n v="1155000.0"/>
        <n v="760000.0"/>
        <n v="787200.0"/>
        <n v="2055200.0"/>
        <n v="991800.0"/>
        <n v="1050000.0"/>
        <n v="1051600.0"/>
        <n v="697000.0"/>
        <n v="520800.0"/>
        <n v="273000.0"/>
        <n v="1373600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:G22" firstHeaderRow="0" firstDataRow="4" firstDataCol="0"/>
  <pivotFields>
    <pivotField name="Posting Dat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</items>
    </pivotField>
    <pivotField name="Custom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ustomer Name" axis="axisRow" compact="0" outline="0" multipleItemSelectionAllowed="1" showAll="0" sortType="ascending">
      <items>
        <item sd="0" x="8"/>
        <item x="4"/>
        <item x="3"/>
        <item x="1"/>
        <item x="5"/>
        <item x="2"/>
        <item x="0"/>
        <item x="7"/>
        <item x="6"/>
        <item t="default"/>
      </items>
    </pivotField>
    <pivotField name="Particulars" compact="0" outline="0" multipleItemSelectionAllowed="1" showAll="0">
      <items>
        <item x="0"/>
        <item x="1"/>
        <item x="2"/>
        <item t="default"/>
      </items>
    </pivotField>
    <pivotField name="Reference" compact="0" outline="0" multipleItemSelectionAllowed="1" showAll="0">
      <items>
        <item x="0"/>
        <item x="1"/>
        <item x="2"/>
        <item t="default"/>
      </items>
    </pivotField>
    <pivotField name="Products" axis="axisRow" compact="0" outline="0" multipleItemSelectionAllowed="1" showAll="0" sortType="ascending">
      <items>
        <item x="10"/>
        <item x="8"/>
        <item x="3"/>
        <item x="5"/>
        <item x="9"/>
        <item x="0"/>
        <item x="1"/>
        <item x="6"/>
        <item x="2"/>
        <item x="7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ty Purcha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ce/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 Receive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b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mark/Teller Date/Number" compact="0" outline="0" multipleItemSelectionAllowed="1" showAll="0">
      <items>
        <item x="0"/>
        <item t="default"/>
      </items>
    </pivotField>
    <pivotField name="Stock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Balance Stock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  <field x="0"/>
    <field x="5"/>
  </rowFields>
  <colFields>
    <field x="-2"/>
  </colFields>
  <dataFields>
    <dataField name="SUM of Qty Purchase" fld="7" baseField="0"/>
    <dataField name="SUM of Total Price" fld="9" baseField="0"/>
    <dataField name="SUM of Payment Received" fld="10" baseField="0"/>
    <dataField name="SUM of Debit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63"/>
    <col customWidth="1" min="3" max="3" width="16.25"/>
    <col customWidth="1" min="4" max="4" width="15.25"/>
    <col customWidth="1" min="5" max="5" width="16.88"/>
    <col customWidth="1" min="6" max="6" width="16.25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46003.0</v>
      </c>
      <c r="H1" s="1" t="s">
        <v>6</v>
      </c>
      <c r="I1" s="1" t="s">
        <v>7</v>
      </c>
      <c r="J1" s="1" t="s">
        <v>8</v>
      </c>
      <c r="K1" s="3"/>
      <c r="L1" s="3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4" t="s">
        <v>9</v>
      </c>
      <c r="B2" s="5">
        <v>10500.0</v>
      </c>
      <c r="C2" s="6">
        <f t="shared" ref="C2:C3004" si="1">SUM(F2:BZ2)</f>
        <v>130</v>
      </c>
      <c r="D2" s="7" t="s">
        <v>10</v>
      </c>
      <c r="E2" s="8" t="s">
        <v>11</v>
      </c>
      <c r="F2" s="9">
        <v>100.0</v>
      </c>
      <c r="G2" s="9">
        <v>20.0</v>
      </c>
      <c r="I2" s="9">
        <v>10.0</v>
      </c>
    </row>
    <row r="3">
      <c r="A3" s="9" t="s">
        <v>12</v>
      </c>
      <c r="B3" s="10">
        <v>20000.0</v>
      </c>
      <c r="C3" s="6">
        <f t="shared" si="1"/>
        <v>78</v>
      </c>
      <c r="D3" s="7" t="s">
        <v>13</v>
      </c>
      <c r="E3" s="11" t="s">
        <v>14</v>
      </c>
      <c r="F3" s="9">
        <v>50.0</v>
      </c>
      <c r="H3" s="9">
        <v>13.0</v>
      </c>
      <c r="J3" s="9">
        <v>15.0</v>
      </c>
    </row>
    <row r="4">
      <c r="A4" s="9" t="s">
        <v>15</v>
      </c>
      <c r="B4" s="10">
        <v>12300.0</v>
      </c>
      <c r="C4" s="6">
        <f t="shared" si="1"/>
        <v>114</v>
      </c>
      <c r="D4" s="7" t="s">
        <v>16</v>
      </c>
      <c r="E4" s="11" t="s">
        <v>17</v>
      </c>
      <c r="F4" s="9">
        <v>45.0</v>
      </c>
      <c r="G4" s="9">
        <v>60.0</v>
      </c>
      <c r="I4" s="9">
        <v>9.0</v>
      </c>
    </row>
    <row r="5">
      <c r="A5" s="9" t="s">
        <v>18</v>
      </c>
      <c r="B5" s="10">
        <v>14680.0</v>
      </c>
      <c r="C5" s="6">
        <f t="shared" si="1"/>
        <v>160</v>
      </c>
      <c r="D5" s="7" t="s">
        <v>19</v>
      </c>
      <c r="E5" s="11" t="s">
        <v>20</v>
      </c>
      <c r="F5" s="9">
        <v>150.0</v>
      </c>
      <c r="J5" s="9">
        <v>10.0</v>
      </c>
    </row>
    <row r="6">
      <c r="A6" s="12" t="s">
        <v>21</v>
      </c>
      <c r="B6" s="10">
        <v>16530.0</v>
      </c>
      <c r="C6" s="6">
        <f t="shared" si="1"/>
        <v>95</v>
      </c>
      <c r="D6" s="7" t="s">
        <v>22</v>
      </c>
      <c r="E6" s="11" t="s">
        <v>23</v>
      </c>
      <c r="F6" s="9">
        <v>83.0</v>
      </c>
      <c r="I6" s="9">
        <v>12.0</v>
      </c>
    </row>
    <row r="7">
      <c r="A7" s="12" t="s">
        <v>24</v>
      </c>
      <c r="B7" s="10">
        <v>8200.0</v>
      </c>
      <c r="C7" s="6">
        <f t="shared" si="1"/>
        <v>117</v>
      </c>
      <c r="D7" s="7" t="s">
        <v>25</v>
      </c>
      <c r="E7" s="11" t="s">
        <v>26</v>
      </c>
      <c r="F7" s="9">
        <v>57.0</v>
      </c>
      <c r="H7" s="9">
        <v>40.0</v>
      </c>
      <c r="J7" s="9">
        <v>20.0</v>
      </c>
    </row>
    <row r="8">
      <c r="A8" s="12" t="s">
        <v>27</v>
      </c>
      <c r="B8" s="10">
        <v>16110.0</v>
      </c>
      <c r="C8" s="6">
        <f t="shared" si="1"/>
        <v>74</v>
      </c>
      <c r="D8" s="7" t="s">
        <v>28</v>
      </c>
      <c r="E8" s="11" t="s">
        <v>29</v>
      </c>
      <c r="F8" s="9">
        <v>30.0</v>
      </c>
      <c r="G8" s="9">
        <v>28.0</v>
      </c>
      <c r="I8" s="9">
        <v>16.0</v>
      </c>
    </row>
    <row r="9">
      <c r="A9" s="12" t="s">
        <v>30</v>
      </c>
      <c r="B9" s="10">
        <v>6800.0</v>
      </c>
      <c r="C9" s="6">
        <f t="shared" si="1"/>
        <v>214</v>
      </c>
      <c r="D9" s="7" t="s">
        <v>31</v>
      </c>
      <c r="E9" s="11" t="s">
        <v>32</v>
      </c>
      <c r="F9" s="9">
        <v>200.0</v>
      </c>
      <c r="J9" s="9">
        <v>14.0</v>
      </c>
    </row>
    <row r="10">
      <c r="A10" s="12" t="s">
        <v>33</v>
      </c>
      <c r="B10" s="10">
        <v>5210.0</v>
      </c>
      <c r="C10" s="6">
        <f t="shared" si="1"/>
        <v>25</v>
      </c>
      <c r="D10" s="7" t="s">
        <v>34</v>
      </c>
      <c r="E10" s="12" t="s">
        <v>35</v>
      </c>
      <c r="F10" s="9">
        <v>25.0</v>
      </c>
    </row>
    <row r="11">
      <c r="A11" s="12" t="s">
        <v>36</v>
      </c>
      <c r="B11" s="10">
        <v>11950.0</v>
      </c>
      <c r="C11" s="6">
        <f t="shared" si="1"/>
        <v>128</v>
      </c>
      <c r="D11" s="7" t="s">
        <v>37</v>
      </c>
      <c r="E11" s="12" t="s">
        <v>38</v>
      </c>
      <c r="F11" s="9">
        <v>80.0</v>
      </c>
      <c r="H11" s="9">
        <v>18.0</v>
      </c>
      <c r="J11" s="9">
        <v>30.0</v>
      </c>
    </row>
    <row r="12">
      <c r="A12" s="12" t="s">
        <v>39</v>
      </c>
      <c r="B12" s="10">
        <v>4200.0</v>
      </c>
      <c r="C12" s="6">
        <f t="shared" si="1"/>
        <v>70</v>
      </c>
      <c r="D12" s="7" t="s">
        <v>40</v>
      </c>
      <c r="E12" s="12" t="s">
        <v>41</v>
      </c>
      <c r="F12" s="9">
        <v>60.0</v>
      </c>
      <c r="G12" s="9">
        <v>10.0</v>
      </c>
    </row>
    <row r="13">
      <c r="A13" s="13" t="s">
        <v>42</v>
      </c>
      <c r="B13" s="10">
        <v>5900.0</v>
      </c>
      <c r="C13" s="6">
        <f t="shared" si="1"/>
        <v>106</v>
      </c>
      <c r="D13" s="7" t="s">
        <v>43</v>
      </c>
      <c r="E13" s="12" t="s">
        <v>44</v>
      </c>
      <c r="F13" s="9">
        <v>94.0</v>
      </c>
      <c r="J13" s="9">
        <v>12.0</v>
      </c>
    </row>
    <row r="14">
      <c r="A14" s="13" t="s">
        <v>45</v>
      </c>
      <c r="B14" s="10">
        <v>7270.0</v>
      </c>
      <c r="C14" s="6">
        <f t="shared" si="1"/>
        <v>75</v>
      </c>
      <c r="D14" s="7" t="s">
        <v>46</v>
      </c>
      <c r="E14" s="12" t="s">
        <v>47</v>
      </c>
      <c r="F14" s="9">
        <v>61.0</v>
      </c>
      <c r="I14" s="9">
        <v>14.0</v>
      </c>
    </row>
    <row r="15">
      <c r="A15" s="13" t="s">
        <v>48</v>
      </c>
      <c r="B15" s="10">
        <v>15100.0</v>
      </c>
      <c r="C15" s="6">
        <f t="shared" si="1"/>
        <v>78</v>
      </c>
      <c r="D15" s="7" t="s">
        <v>49</v>
      </c>
      <c r="E15" s="12" t="s">
        <v>50</v>
      </c>
      <c r="F15" s="9">
        <v>8.0</v>
      </c>
      <c r="G15" s="9">
        <v>20.0</v>
      </c>
      <c r="J15" s="9">
        <v>50.0</v>
      </c>
    </row>
    <row r="16">
      <c r="A16" s="13" t="s">
        <v>51</v>
      </c>
      <c r="B16" s="10">
        <v>10800.0</v>
      </c>
      <c r="C16" s="6">
        <f t="shared" si="1"/>
        <v>36</v>
      </c>
      <c r="D16" s="7" t="s">
        <v>52</v>
      </c>
      <c r="E16" s="12" t="s">
        <v>53</v>
      </c>
      <c r="F16" s="9">
        <v>10.0</v>
      </c>
      <c r="J16" s="9">
        <v>26.0</v>
      </c>
    </row>
    <row r="17">
      <c r="A17" s="13" t="s">
        <v>54</v>
      </c>
      <c r="B17" s="10">
        <v>13090.0</v>
      </c>
      <c r="C17" s="6">
        <f t="shared" si="1"/>
        <v>29</v>
      </c>
      <c r="D17" s="7" t="s">
        <v>55</v>
      </c>
      <c r="E17" s="12" t="s">
        <v>56</v>
      </c>
      <c r="F17" s="9">
        <v>18.0</v>
      </c>
      <c r="H17" s="9">
        <v>11.0</v>
      </c>
    </row>
    <row r="18">
      <c r="A18" s="14" t="s">
        <v>57</v>
      </c>
      <c r="B18" s="10">
        <v>6200.0</v>
      </c>
      <c r="C18" s="6">
        <f t="shared" si="1"/>
        <v>96</v>
      </c>
      <c r="D18" s="7" t="s">
        <v>58</v>
      </c>
      <c r="E18" s="12" t="s">
        <v>59</v>
      </c>
      <c r="F18" s="9">
        <v>28.0</v>
      </c>
      <c r="I18" s="9">
        <v>30.0</v>
      </c>
      <c r="J18" s="9">
        <v>38.0</v>
      </c>
    </row>
    <row r="19">
      <c r="A19" s="15" t="s">
        <v>54</v>
      </c>
      <c r="B19" s="10">
        <v>5600.0</v>
      </c>
      <c r="C19" s="6">
        <f t="shared" si="1"/>
        <v>50</v>
      </c>
      <c r="D19" s="7" t="s">
        <v>60</v>
      </c>
      <c r="E19" s="12" t="s">
        <v>61</v>
      </c>
      <c r="F19" s="9">
        <v>33.0</v>
      </c>
      <c r="G19" s="9">
        <v>17.0</v>
      </c>
    </row>
    <row r="20">
      <c r="A20" s="16" t="s">
        <v>57</v>
      </c>
      <c r="B20" s="10">
        <v>4580.0</v>
      </c>
      <c r="C20" s="6">
        <f t="shared" si="1"/>
        <v>50</v>
      </c>
      <c r="D20" s="17"/>
      <c r="E20" s="12"/>
      <c r="F20" s="9">
        <v>40.0</v>
      </c>
      <c r="I20" s="9">
        <v>10.0</v>
      </c>
    </row>
    <row r="21">
      <c r="B21" s="18"/>
      <c r="C21" s="6">
        <f t="shared" si="1"/>
        <v>0</v>
      </c>
      <c r="D21" s="17"/>
      <c r="E21" s="12"/>
    </row>
    <row r="22">
      <c r="B22" s="18"/>
      <c r="C22" s="6">
        <f t="shared" si="1"/>
        <v>0</v>
      </c>
      <c r="D22" s="17"/>
      <c r="E22" s="12"/>
    </row>
    <row r="23">
      <c r="B23" s="18"/>
      <c r="C23" s="6">
        <f t="shared" si="1"/>
        <v>0</v>
      </c>
      <c r="D23" s="9"/>
      <c r="E23" s="12"/>
    </row>
    <row r="24">
      <c r="B24" s="18"/>
      <c r="C24" s="6">
        <f t="shared" si="1"/>
        <v>0</v>
      </c>
      <c r="D24" s="9"/>
      <c r="E24" s="12"/>
    </row>
    <row r="25">
      <c r="C25" s="6">
        <f t="shared" si="1"/>
        <v>0</v>
      </c>
      <c r="D25" s="9"/>
      <c r="E25" s="12"/>
    </row>
    <row r="26">
      <c r="C26" s="6">
        <f t="shared" si="1"/>
        <v>0</v>
      </c>
      <c r="D26" s="9"/>
      <c r="E26" s="12"/>
    </row>
    <row r="27">
      <c r="C27" s="6">
        <f t="shared" si="1"/>
        <v>0</v>
      </c>
      <c r="D27" s="10"/>
      <c r="E27" s="19"/>
    </row>
    <row r="28">
      <c r="C28" s="6">
        <f t="shared" si="1"/>
        <v>0</v>
      </c>
      <c r="D28" s="5"/>
      <c r="E28" s="12"/>
    </row>
    <row r="29">
      <c r="C29" s="6">
        <f t="shared" si="1"/>
        <v>0</v>
      </c>
      <c r="D29" s="5"/>
      <c r="E29" s="12"/>
    </row>
    <row r="30">
      <c r="C30" s="6">
        <f t="shared" si="1"/>
        <v>0</v>
      </c>
      <c r="D30" s="10"/>
      <c r="E30" s="12"/>
    </row>
    <row r="31">
      <c r="C31" s="6">
        <f t="shared" si="1"/>
        <v>0</v>
      </c>
      <c r="D31" s="5"/>
      <c r="E31" s="12"/>
    </row>
    <row r="32">
      <c r="C32" s="6">
        <f t="shared" si="1"/>
        <v>0</v>
      </c>
      <c r="D32" s="10"/>
      <c r="E32" s="12"/>
    </row>
    <row r="33">
      <c r="C33" s="6">
        <f t="shared" si="1"/>
        <v>0</v>
      </c>
      <c r="D33" s="5"/>
      <c r="E33" s="12"/>
    </row>
    <row r="34">
      <c r="C34" s="6">
        <f t="shared" si="1"/>
        <v>0</v>
      </c>
      <c r="D34" s="10"/>
      <c r="E34" s="12"/>
    </row>
    <row r="35">
      <c r="C35" s="6">
        <f t="shared" si="1"/>
        <v>0</v>
      </c>
      <c r="D35" s="5"/>
      <c r="E35" s="12"/>
    </row>
    <row r="36">
      <c r="C36" s="6">
        <f t="shared" si="1"/>
        <v>0</v>
      </c>
      <c r="D36" s="10"/>
      <c r="E36" s="12"/>
    </row>
    <row r="37">
      <c r="C37" s="6">
        <f t="shared" si="1"/>
        <v>0</v>
      </c>
      <c r="D37" s="5"/>
      <c r="E37" s="19"/>
    </row>
    <row r="38">
      <c r="C38" s="6">
        <f t="shared" si="1"/>
        <v>0</v>
      </c>
      <c r="D38" s="5"/>
      <c r="E38" s="12"/>
    </row>
    <row r="39">
      <c r="C39" s="6">
        <f t="shared" si="1"/>
        <v>0</v>
      </c>
      <c r="D39" s="10"/>
      <c r="E39" s="12"/>
    </row>
    <row r="40">
      <c r="C40" s="6">
        <f t="shared" si="1"/>
        <v>0</v>
      </c>
      <c r="D40" s="5"/>
      <c r="E40" s="12"/>
    </row>
    <row r="41">
      <c r="C41" s="6">
        <f t="shared" si="1"/>
        <v>0</v>
      </c>
      <c r="D41" s="10"/>
      <c r="E41" s="12"/>
    </row>
    <row r="42">
      <c r="C42" s="6">
        <f t="shared" si="1"/>
        <v>0</v>
      </c>
      <c r="D42" s="5"/>
      <c r="E42" s="12"/>
    </row>
    <row r="43">
      <c r="C43" s="6">
        <f t="shared" si="1"/>
        <v>0</v>
      </c>
      <c r="D43" s="10"/>
      <c r="E43" s="12"/>
    </row>
    <row r="44">
      <c r="C44" s="6">
        <f t="shared" si="1"/>
        <v>0</v>
      </c>
      <c r="D44" s="5"/>
      <c r="E44" s="12"/>
    </row>
    <row r="45">
      <c r="C45" s="6">
        <f t="shared" si="1"/>
        <v>0</v>
      </c>
      <c r="D45" s="10"/>
      <c r="E45" s="12"/>
    </row>
    <row r="46">
      <c r="C46" s="6">
        <f t="shared" si="1"/>
        <v>0</v>
      </c>
      <c r="D46" s="5"/>
      <c r="E46" s="12"/>
    </row>
    <row r="47">
      <c r="C47" s="6">
        <f t="shared" si="1"/>
        <v>0</v>
      </c>
      <c r="D47" s="5"/>
      <c r="E47" s="12"/>
    </row>
    <row r="48">
      <c r="C48" s="6">
        <f t="shared" si="1"/>
        <v>0</v>
      </c>
      <c r="D48" s="10"/>
      <c r="E48" s="12"/>
    </row>
    <row r="49">
      <c r="C49" s="6">
        <f t="shared" si="1"/>
        <v>0</v>
      </c>
      <c r="D49" s="5"/>
      <c r="E49" s="12"/>
    </row>
    <row r="50">
      <c r="C50" s="6">
        <f t="shared" si="1"/>
        <v>0</v>
      </c>
    </row>
    <row r="51">
      <c r="C51" s="6">
        <f t="shared" si="1"/>
        <v>0</v>
      </c>
    </row>
    <row r="52">
      <c r="C52" s="6">
        <f t="shared" si="1"/>
        <v>0</v>
      </c>
    </row>
    <row r="53">
      <c r="C53" s="6">
        <f t="shared" si="1"/>
        <v>0</v>
      </c>
    </row>
    <row r="54">
      <c r="C54" s="6">
        <f t="shared" si="1"/>
        <v>0</v>
      </c>
    </row>
    <row r="55">
      <c r="C55" s="6">
        <f t="shared" si="1"/>
        <v>0</v>
      </c>
    </row>
    <row r="56">
      <c r="C56" s="6">
        <f t="shared" si="1"/>
        <v>0</v>
      </c>
    </row>
    <row r="57">
      <c r="C57" s="6">
        <f t="shared" si="1"/>
        <v>0</v>
      </c>
    </row>
    <row r="58">
      <c r="C58" s="6">
        <f t="shared" si="1"/>
        <v>0</v>
      </c>
    </row>
    <row r="59">
      <c r="C59" s="6">
        <f t="shared" si="1"/>
        <v>0</v>
      </c>
    </row>
    <row r="60">
      <c r="C60" s="6">
        <f t="shared" si="1"/>
        <v>0</v>
      </c>
    </row>
    <row r="61">
      <c r="C61" s="6">
        <f t="shared" si="1"/>
        <v>0</v>
      </c>
    </row>
    <row r="62">
      <c r="C62" s="6">
        <f t="shared" si="1"/>
        <v>0</v>
      </c>
    </row>
    <row r="63">
      <c r="C63" s="6">
        <f t="shared" si="1"/>
        <v>0</v>
      </c>
    </row>
    <row r="64">
      <c r="C64" s="6">
        <f t="shared" si="1"/>
        <v>0</v>
      </c>
    </row>
    <row r="65">
      <c r="C65" s="6">
        <f t="shared" si="1"/>
        <v>0</v>
      </c>
    </row>
    <row r="66">
      <c r="C66" s="6">
        <f t="shared" si="1"/>
        <v>0</v>
      </c>
    </row>
    <row r="67">
      <c r="C67" s="6">
        <f t="shared" si="1"/>
        <v>0</v>
      </c>
    </row>
    <row r="68">
      <c r="C68" s="6">
        <f t="shared" si="1"/>
        <v>0</v>
      </c>
    </row>
    <row r="69">
      <c r="C69" s="6">
        <f t="shared" si="1"/>
        <v>0</v>
      </c>
    </row>
    <row r="70">
      <c r="C70" s="6">
        <f t="shared" si="1"/>
        <v>0</v>
      </c>
    </row>
    <row r="71">
      <c r="C71" s="6">
        <f t="shared" si="1"/>
        <v>0</v>
      </c>
    </row>
    <row r="72">
      <c r="C72" s="6">
        <f t="shared" si="1"/>
        <v>0</v>
      </c>
    </row>
    <row r="73">
      <c r="C73" s="6">
        <f t="shared" si="1"/>
        <v>0</v>
      </c>
    </row>
    <row r="74">
      <c r="C74" s="6">
        <f t="shared" si="1"/>
        <v>0</v>
      </c>
    </row>
    <row r="75">
      <c r="C75" s="6">
        <f t="shared" si="1"/>
        <v>0</v>
      </c>
    </row>
    <row r="76">
      <c r="C76" s="6">
        <f t="shared" si="1"/>
        <v>0</v>
      </c>
    </row>
    <row r="77">
      <c r="C77" s="6">
        <f t="shared" si="1"/>
        <v>0</v>
      </c>
    </row>
    <row r="78">
      <c r="C78" s="6">
        <f t="shared" si="1"/>
        <v>0</v>
      </c>
    </row>
    <row r="79">
      <c r="C79" s="6">
        <f t="shared" si="1"/>
        <v>0</v>
      </c>
    </row>
    <row r="80">
      <c r="C80" s="6">
        <f t="shared" si="1"/>
        <v>0</v>
      </c>
    </row>
    <row r="81">
      <c r="C81" s="6">
        <f t="shared" si="1"/>
        <v>0</v>
      </c>
    </row>
    <row r="82">
      <c r="C82" s="6">
        <f t="shared" si="1"/>
        <v>0</v>
      </c>
    </row>
    <row r="83">
      <c r="C83" s="6">
        <f t="shared" si="1"/>
        <v>0</v>
      </c>
    </row>
    <row r="84">
      <c r="C84" s="6">
        <f t="shared" si="1"/>
        <v>0</v>
      </c>
    </row>
    <row r="85">
      <c r="C85" s="6">
        <f t="shared" si="1"/>
        <v>0</v>
      </c>
    </row>
    <row r="86">
      <c r="C86" s="6">
        <f t="shared" si="1"/>
        <v>0</v>
      </c>
    </row>
    <row r="87">
      <c r="C87" s="6">
        <f t="shared" si="1"/>
        <v>0</v>
      </c>
    </row>
    <row r="88">
      <c r="C88" s="6">
        <f t="shared" si="1"/>
        <v>0</v>
      </c>
    </row>
    <row r="89">
      <c r="C89" s="6">
        <f t="shared" si="1"/>
        <v>0</v>
      </c>
    </row>
    <row r="90">
      <c r="C90" s="6">
        <f t="shared" si="1"/>
        <v>0</v>
      </c>
    </row>
    <row r="91">
      <c r="C91" s="6">
        <f t="shared" si="1"/>
        <v>0</v>
      </c>
    </row>
    <row r="92">
      <c r="C92" s="6">
        <f t="shared" si="1"/>
        <v>0</v>
      </c>
    </row>
    <row r="93">
      <c r="C93" s="6">
        <f t="shared" si="1"/>
        <v>0</v>
      </c>
    </row>
    <row r="94">
      <c r="C94" s="6">
        <f t="shared" si="1"/>
        <v>0</v>
      </c>
    </row>
    <row r="95">
      <c r="C95" s="6">
        <f t="shared" si="1"/>
        <v>0</v>
      </c>
    </row>
    <row r="96">
      <c r="C96" s="6">
        <f t="shared" si="1"/>
        <v>0</v>
      </c>
    </row>
    <row r="97">
      <c r="C97" s="6">
        <f t="shared" si="1"/>
        <v>0</v>
      </c>
    </row>
    <row r="98">
      <c r="C98" s="6">
        <f t="shared" si="1"/>
        <v>0</v>
      </c>
    </row>
    <row r="99">
      <c r="C99" s="6">
        <f t="shared" si="1"/>
        <v>0</v>
      </c>
    </row>
    <row r="100">
      <c r="C100" s="6">
        <f t="shared" si="1"/>
        <v>0</v>
      </c>
    </row>
    <row r="101">
      <c r="C101" s="6">
        <f t="shared" si="1"/>
        <v>0</v>
      </c>
    </row>
    <row r="102">
      <c r="C102" s="6">
        <f t="shared" si="1"/>
        <v>0</v>
      </c>
    </row>
    <row r="103">
      <c r="C103" s="6">
        <f t="shared" si="1"/>
        <v>0</v>
      </c>
    </row>
    <row r="104">
      <c r="C104" s="6">
        <f t="shared" si="1"/>
        <v>0</v>
      </c>
    </row>
    <row r="105">
      <c r="C105" s="6">
        <f t="shared" si="1"/>
        <v>0</v>
      </c>
    </row>
    <row r="106">
      <c r="C106" s="6">
        <f t="shared" si="1"/>
        <v>0</v>
      </c>
    </row>
    <row r="107">
      <c r="C107" s="6">
        <f t="shared" si="1"/>
        <v>0</v>
      </c>
    </row>
    <row r="108">
      <c r="C108" s="6">
        <f t="shared" si="1"/>
        <v>0</v>
      </c>
    </row>
    <row r="109">
      <c r="C109" s="6">
        <f t="shared" si="1"/>
        <v>0</v>
      </c>
    </row>
    <row r="110">
      <c r="C110" s="6">
        <f t="shared" si="1"/>
        <v>0</v>
      </c>
    </row>
    <row r="111">
      <c r="C111" s="6">
        <f t="shared" si="1"/>
        <v>0</v>
      </c>
    </row>
    <row r="112">
      <c r="C112" s="6">
        <f t="shared" si="1"/>
        <v>0</v>
      </c>
    </row>
    <row r="113">
      <c r="C113" s="6">
        <f t="shared" si="1"/>
        <v>0</v>
      </c>
    </row>
    <row r="114">
      <c r="C114" s="6">
        <f t="shared" si="1"/>
        <v>0</v>
      </c>
    </row>
    <row r="115">
      <c r="C115" s="6">
        <f t="shared" si="1"/>
        <v>0</v>
      </c>
    </row>
    <row r="116">
      <c r="C116" s="6">
        <f t="shared" si="1"/>
        <v>0</v>
      </c>
    </row>
    <row r="117">
      <c r="C117" s="6">
        <f t="shared" si="1"/>
        <v>0</v>
      </c>
    </row>
    <row r="118">
      <c r="C118" s="6">
        <f t="shared" si="1"/>
        <v>0</v>
      </c>
    </row>
    <row r="119">
      <c r="C119" s="6">
        <f t="shared" si="1"/>
        <v>0</v>
      </c>
    </row>
    <row r="120">
      <c r="C120" s="6">
        <f t="shared" si="1"/>
        <v>0</v>
      </c>
    </row>
    <row r="121">
      <c r="C121" s="6">
        <f t="shared" si="1"/>
        <v>0</v>
      </c>
    </row>
    <row r="122">
      <c r="C122" s="6">
        <f t="shared" si="1"/>
        <v>0</v>
      </c>
    </row>
    <row r="123">
      <c r="C123" s="6">
        <f t="shared" si="1"/>
        <v>0</v>
      </c>
    </row>
    <row r="124">
      <c r="C124" s="6">
        <f t="shared" si="1"/>
        <v>0</v>
      </c>
    </row>
    <row r="125">
      <c r="C125" s="6">
        <f t="shared" si="1"/>
        <v>0</v>
      </c>
    </row>
    <row r="126">
      <c r="C126" s="6">
        <f t="shared" si="1"/>
        <v>0</v>
      </c>
    </row>
    <row r="127">
      <c r="C127" s="6">
        <f t="shared" si="1"/>
        <v>0</v>
      </c>
    </row>
    <row r="128">
      <c r="C128" s="6">
        <f t="shared" si="1"/>
        <v>0</v>
      </c>
    </row>
    <row r="129">
      <c r="C129" s="6">
        <f t="shared" si="1"/>
        <v>0</v>
      </c>
    </row>
    <row r="130">
      <c r="C130" s="6">
        <f t="shared" si="1"/>
        <v>0</v>
      </c>
    </row>
    <row r="131">
      <c r="C131" s="6">
        <f t="shared" si="1"/>
        <v>0</v>
      </c>
    </row>
    <row r="132">
      <c r="C132" s="6">
        <f t="shared" si="1"/>
        <v>0</v>
      </c>
    </row>
    <row r="133">
      <c r="C133" s="6">
        <f t="shared" si="1"/>
        <v>0</v>
      </c>
    </row>
    <row r="134">
      <c r="C134" s="6">
        <f t="shared" si="1"/>
        <v>0</v>
      </c>
    </row>
    <row r="135">
      <c r="C135" s="6">
        <f t="shared" si="1"/>
        <v>0</v>
      </c>
    </row>
    <row r="136">
      <c r="C136" s="6">
        <f t="shared" si="1"/>
        <v>0</v>
      </c>
    </row>
    <row r="137">
      <c r="C137" s="6">
        <f t="shared" si="1"/>
        <v>0</v>
      </c>
    </row>
    <row r="138">
      <c r="C138" s="6">
        <f t="shared" si="1"/>
        <v>0</v>
      </c>
    </row>
    <row r="139">
      <c r="C139" s="6">
        <f t="shared" si="1"/>
        <v>0</v>
      </c>
    </row>
    <row r="140">
      <c r="C140" s="6">
        <f t="shared" si="1"/>
        <v>0</v>
      </c>
    </row>
    <row r="141">
      <c r="C141" s="6">
        <f t="shared" si="1"/>
        <v>0</v>
      </c>
    </row>
    <row r="142">
      <c r="C142" s="6">
        <f t="shared" si="1"/>
        <v>0</v>
      </c>
    </row>
    <row r="143">
      <c r="C143" s="6">
        <f t="shared" si="1"/>
        <v>0</v>
      </c>
    </row>
    <row r="144">
      <c r="C144" s="6">
        <f t="shared" si="1"/>
        <v>0</v>
      </c>
    </row>
    <row r="145">
      <c r="C145" s="6">
        <f t="shared" si="1"/>
        <v>0</v>
      </c>
    </row>
    <row r="146">
      <c r="C146" s="6">
        <f t="shared" si="1"/>
        <v>0</v>
      </c>
    </row>
    <row r="147">
      <c r="C147" s="6">
        <f t="shared" si="1"/>
        <v>0</v>
      </c>
    </row>
    <row r="148">
      <c r="C148" s="6">
        <f t="shared" si="1"/>
        <v>0</v>
      </c>
    </row>
    <row r="149">
      <c r="C149" s="6">
        <f t="shared" si="1"/>
        <v>0</v>
      </c>
    </row>
    <row r="150">
      <c r="C150" s="6">
        <f t="shared" si="1"/>
        <v>0</v>
      </c>
    </row>
    <row r="151">
      <c r="C151" s="6">
        <f t="shared" si="1"/>
        <v>0</v>
      </c>
    </row>
    <row r="152">
      <c r="C152" s="6">
        <f t="shared" si="1"/>
        <v>0</v>
      </c>
    </row>
    <row r="153">
      <c r="C153" s="6">
        <f t="shared" si="1"/>
        <v>0</v>
      </c>
    </row>
    <row r="154">
      <c r="C154" s="6">
        <f t="shared" si="1"/>
        <v>0</v>
      </c>
    </row>
    <row r="155">
      <c r="C155" s="6">
        <f t="shared" si="1"/>
        <v>0</v>
      </c>
    </row>
    <row r="156">
      <c r="C156" s="6">
        <f t="shared" si="1"/>
        <v>0</v>
      </c>
    </row>
    <row r="157">
      <c r="C157" s="6">
        <f t="shared" si="1"/>
        <v>0</v>
      </c>
    </row>
    <row r="158">
      <c r="C158" s="6">
        <f t="shared" si="1"/>
        <v>0</v>
      </c>
    </row>
    <row r="159">
      <c r="C159" s="6">
        <f t="shared" si="1"/>
        <v>0</v>
      </c>
    </row>
    <row r="160">
      <c r="C160" s="6">
        <f t="shared" si="1"/>
        <v>0</v>
      </c>
    </row>
    <row r="161">
      <c r="C161" s="6">
        <f t="shared" si="1"/>
        <v>0</v>
      </c>
    </row>
    <row r="162">
      <c r="C162" s="6">
        <f t="shared" si="1"/>
        <v>0</v>
      </c>
    </row>
    <row r="163">
      <c r="C163" s="6">
        <f t="shared" si="1"/>
        <v>0</v>
      </c>
    </row>
    <row r="164">
      <c r="C164" s="6">
        <f t="shared" si="1"/>
        <v>0</v>
      </c>
    </row>
    <row r="165">
      <c r="C165" s="6">
        <f t="shared" si="1"/>
        <v>0</v>
      </c>
    </row>
    <row r="166">
      <c r="C166" s="6">
        <f t="shared" si="1"/>
        <v>0</v>
      </c>
    </row>
    <row r="167">
      <c r="C167" s="6">
        <f t="shared" si="1"/>
        <v>0</v>
      </c>
    </row>
    <row r="168">
      <c r="C168" s="6">
        <f t="shared" si="1"/>
        <v>0</v>
      </c>
    </row>
    <row r="169">
      <c r="C169" s="6">
        <f t="shared" si="1"/>
        <v>0</v>
      </c>
    </row>
    <row r="170">
      <c r="C170" s="6">
        <f t="shared" si="1"/>
        <v>0</v>
      </c>
    </row>
    <row r="171">
      <c r="C171" s="6">
        <f t="shared" si="1"/>
        <v>0</v>
      </c>
    </row>
    <row r="172">
      <c r="C172" s="6">
        <f t="shared" si="1"/>
        <v>0</v>
      </c>
    </row>
    <row r="173">
      <c r="C173" s="6">
        <f t="shared" si="1"/>
        <v>0</v>
      </c>
    </row>
    <row r="174">
      <c r="C174" s="6">
        <f t="shared" si="1"/>
        <v>0</v>
      </c>
    </row>
    <row r="175">
      <c r="C175" s="6">
        <f t="shared" si="1"/>
        <v>0</v>
      </c>
    </row>
    <row r="176">
      <c r="C176" s="6">
        <f t="shared" si="1"/>
        <v>0</v>
      </c>
    </row>
    <row r="177">
      <c r="C177" s="6">
        <f t="shared" si="1"/>
        <v>0</v>
      </c>
    </row>
    <row r="178">
      <c r="C178" s="6">
        <f t="shared" si="1"/>
        <v>0</v>
      </c>
    </row>
    <row r="179">
      <c r="C179" s="6">
        <f t="shared" si="1"/>
        <v>0</v>
      </c>
    </row>
    <row r="180">
      <c r="C180" s="6">
        <f t="shared" si="1"/>
        <v>0</v>
      </c>
    </row>
    <row r="181">
      <c r="C181" s="6">
        <f t="shared" si="1"/>
        <v>0</v>
      </c>
    </row>
    <row r="182">
      <c r="C182" s="6">
        <f t="shared" si="1"/>
        <v>0</v>
      </c>
    </row>
    <row r="183">
      <c r="C183" s="6">
        <f t="shared" si="1"/>
        <v>0</v>
      </c>
    </row>
    <row r="184">
      <c r="C184" s="6">
        <f t="shared" si="1"/>
        <v>0</v>
      </c>
    </row>
    <row r="185">
      <c r="C185" s="6">
        <f t="shared" si="1"/>
        <v>0</v>
      </c>
    </row>
    <row r="186">
      <c r="C186" s="6">
        <f t="shared" si="1"/>
        <v>0</v>
      </c>
    </row>
    <row r="187">
      <c r="C187" s="6">
        <f t="shared" si="1"/>
        <v>0</v>
      </c>
    </row>
    <row r="188">
      <c r="C188" s="6">
        <f t="shared" si="1"/>
        <v>0</v>
      </c>
    </row>
    <row r="189">
      <c r="C189" s="6">
        <f t="shared" si="1"/>
        <v>0</v>
      </c>
    </row>
    <row r="190">
      <c r="C190" s="6">
        <f t="shared" si="1"/>
        <v>0</v>
      </c>
    </row>
    <row r="191">
      <c r="C191" s="6">
        <f t="shared" si="1"/>
        <v>0</v>
      </c>
    </row>
    <row r="192">
      <c r="C192" s="6">
        <f t="shared" si="1"/>
        <v>0</v>
      </c>
    </row>
    <row r="193">
      <c r="C193" s="6">
        <f t="shared" si="1"/>
        <v>0</v>
      </c>
    </row>
    <row r="194">
      <c r="C194" s="6">
        <f t="shared" si="1"/>
        <v>0</v>
      </c>
    </row>
    <row r="195">
      <c r="C195" s="6">
        <f t="shared" si="1"/>
        <v>0</v>
      </c>
    </row>
    <row r="196">
      <c r="C196" s="6">
        <f t="shared" si="1"/>
        <v>0</v>
      </c>
    </row>
    <row r="197">
      <c r="C197" s="6">
        <f t="shared" si="1"/>
        <v>0</v>
      </c>
    </row>
    <row r="198">
      <c r="C198" s="6">
        <f t="shared" si="1"/>
        <v>0</v>
      </c>
    </row>
    <row r="199">
      <c r="C199" s="6">
        <f t="shared" si="1"/>
        <v>0</v>
      </c>
    </row>
    <row r="200">
      <c r="C200" s="6">
        <f t="shared" si="1"/>
        <v>0</v>
      </c>
    </row>
    <row r="201">
      <c r="C201" s="6">
        <f t="shared" si="1"/>
        <v>0</v>
      </c>
    </row>
    <row r="202">
      <c r="C202" s="6">
        <f t="shared" si="1"/>
        <v>0</v>
      </c>
    </row>
    <row r="203">
      <c r="C203" s="6">
        <f t="shared" si="1"/>
        <v>0</v>
      </c>
    </row>
    <row r="204">
      <c r="C204" s="6">
        <f t="shared" si="1"/>
        <v>0</v>
      </c>
    </row>
    <row r="205">
      <c r="C205" s="6">
        <f t="shared" si="1"/>
        <v>0</v>
      </c>
    </row>
    <row r="206">
      <c r="C206" s="6">
        <f t="shared" si="1"/>
        <v>0</v>
      </c>
    </row>
    <row r="207">
      <c r="C207" s="6">
        <f t="shared" si="1"/>
        <v>0</v>
      </c>
    </row>
    <row r="208">
      <c r="C208" s="6">
        <f t="shared" si="1"/>
        <v>0</v>
      </c>
    </row>
    <row r="209">
      <c r="C209" s="6">
        <f t="shared" si="1"/>
        <v>0</v>
      </c>
    </row>
    <row r="210">
      <c r="C210" s="6">
        <f t="shared" si="1"/>
        <v>0</v>
      </c>
    </row>
    <row r="211">
      <c r="C211" s="6">
        <f t="shared" si="1"/>
        <v>0</v>
      </c>
    </row>
    <row r="212">
      <c r="C212" s="6">
        <f t="shared" si="1"/>
        <v>0</v>
      </c>
    </row>
    <row r="213">
      <c r="C213" s="6">
        <f t="shared" si="1"/>
        <v>0</v>
      </c>
    </row>
    <row r="214">
      <c r="C214" s="6">
        <f t="shared" si="1"/>
        <v>0</v>
      </c>
    </row>
    <row r="215">
      <c r="C215" s="6">
        <f t="shared" si="1"/>
        <v>0</v>
      </c>
    </row>
    <row r="216">
      <c r="C216" s="6">
        <f t="shared" si="1"/>
        <v>0</v>
      </c>
    </row>
    <row r="217">
      <c r="C217" s="6">
        <f t="shared" si="1"/>
        <v>0</v>
      </c>
    </row>
    <row r="218">
      <c r="C218" s="6">
        <f t="shared" si="1"/>
        <v>0</v>
      </c>
    </row>
    <row r="219">
      <c r="C219" s="6">
        <f t="shared" si="1"/>
        <v>0</v>
      </c>
    </row>
    <row r="220">
      <c r="C220" s="6">
        <f t="shared" si="1"/>
        <v>0</v>
      </c>
    </row>
    <row r="221">
      <c r="C221" s="6">
        <f t="shared" si="1"/>
        <v>0</v>
      </c>
    </row>
    <row r="222">
      <c r="C222" s="6">
        <f t="shared" si="1"/>
        <v>0</v>
      </c>
    </row>
    <row r="223">
      <c r="C223" s="6">
        <f t="shared" si="1"/>
        <v>0</v>
      </c>
    </row>
    <row r="224">
      <c r="C224" s="6">
        <f t="shared" si="1"/>
        <v>0</v>
      </c>
    </row>
    <row r="225">
      <c r="C225" s="6">
        <f t="shared" si="1"/>
        <v>0</v>
      </c>
    </row>
    <row r="226">
      <c r="C226" s="6">
        <f t="shared" si="1"/>
        <v>0</v>
      </c>
    </row>
    <row r="227">
      <c r="C227" s="6">
        <f t="shared" si="1"/>
        <v>0</v>
      </c>
    </row>
    <row r="228">
      <c r="C228" s="6">
        <f t="shared" si="1"/>
        <v>0</v>
      </c>
    </row>
    <row r="229">
      <c r="C229" s="6">
        <f t="shared" si="1"/>
        <v>0</v>
      </c>
    </row>
    <row r="230">
      <c r="C230" s="6">
        <f t="shared" si="1"/>
        <v>0</v>
      </c>
    </row>
    <row r="231">
      <c r="C231" s="6">
        <f t="shared" si="1"/>
        <v>0</v>
      </c>
    </row>
    <row r="232">
      <c r="C232" s="6">
        <f t="shared" si="1"/>
        <v>0</v>
      </c>
    </row>
    <row r="233">
      <c r="C233" s="6">
        <f t="shared" si="1"/>
        <v>0</v>
      </c>
    </row>
    <row r="234">
      <c r="C234" s="6">
        <f t="shared" si="1"/>
        <v>0</v>
      </c>
    </row>
    <row r="235">
      <c r="C235" s="6">
        <f t="shared" si="1"/>
        <v>0</v>
      </c>
    </row>
    <row r="236">
      <c r="C236" s="6">
        <f t="shared" si="1"/>
        <v>0</v>
      </c>
    </row>
    <row r="237">
      <c r="C237" s="6">
        <f t="shared" si="1"/>
        <v>0</v>
      </c>
    </row>
    <row r="238">
      <c r="C238" s="6">
        <f t="shared" si="1"/>
        <v>0</v>
      </c>
    </row>
    <row r="239">
      <c r="C239" s="6">
        <f t="shared" si="1"/>
        <v>0</v>
      </c>
    </row>
    <row r="240">
      <c r="C240" s="6">
        <f t="shared" si="1"/>
        <v>0</v>
      </c>
    </row>
    <row r="241">
      <c r="C241" s="6">
        <f t="shared" si="1"/>
        <v>0</v>
      </c>
    </row>
    <row r="242">
      <c r="C242" s="6">
        <f t="shared" si="1"/>
        <v>0</v>
      </c>
    </row>
    <row r="243">
      <c r="C243" s="6">
        <f t="shared" si="1"/>
        <v>0</v>
      </c>
    </row>
    <row r="244">
      <c r="C244" s="6">
        <f t="shared" si="1"/>
        <v>0</v>
      </c>
    </row>
    <row r="245">
      <c r="C245" s="6">
        <f t="shared" si="1"/>
        <v>0</v>
      </c>
    </row>
    <row r="246">
      <c r="C246" s="6">
        <f t="shared" si="1"/>
        <v>0</v>
      </c>
    </row>
    <row r="247">
      <c r="C247" s="6">
        <f t="shared" si="1"/>
        <v>0</v>
      </c>
    </row>
    <row r="248">
      <c r="C248" s="6">
        <f t="shared" si="1"/>
        <v>0</v>
      </c>
    </row>
    <row r="249">
      <c r="C249" s="6">
        <f t="shared" si="1"/>
        <v>0</v>
      </c>
    </row>
    <row r="250">
      <c r="C250" s="6">
        <f t="shared" si="1"/>
        <v>0</v>
      </c>
    </row>
    <row r="251">
      <c r="C251" s="6">
        <f t="shared" si="1"/>
        <v>0</v>
      </c>
    </row>
    <row r="252">
      <c r="C252" s="6">
        <f t="shared" si="1"/>
        <v>0</v>
      </c>
    </row>
    <row r="253">
      <c r="C253" s="6">
        <f t="shared" si="1"/>
        <v>0</v>
      </c>
    </row>
    <row r="254">
      <c r="C254" s="6">
        <f t="shared" si="1"/>
        <v>0</v>
      </c>
    </row>
    <row r="255">
      <c r="C255" s="6">
        <f t="shared" si="1"/>
        <v>0</v>
      </c>
    </row>
    <row r="256">
      <c r="C256" s="6">
        <f t="shared" si="1"/>
        <v>0</v>
      </c>
    </row>
    <row r="257">
      <c r="C257" s="6">
        <f t="shared" si="1"/>
        <v>0</v>
      </c>
    </row>
    <row r="258">
      <c r="C258" s="6">
        <f t="shared" si="1"/>
        <v>0</v>
      </c>
    </row>
    <row r="259">
      <c r="C259" s="6">
        <f t="shared" si="1"/>
        <v>0</v>
      </c>
    </row>
    <row r="260">
      <c r="C260" s="6">
        <f t="shared" si="1"/>
        <v>0</v>
      </c>
    </row>
    <row r="261">
      <c r="C261" s="6">
        <f t="shared" si="1"/>
        <v>0</v>
      </c>
    </row>
    <row r="262">
      <c r="C262" s="6">
        <f t="shared" si="1"/>
        <v>0</v>
      </c>
    </row>
    <row r="263">
      <c r="C263" s="6">
        <f t="shared" si="1"/>
        <v>0</v>
      </c>
    </row>
    <row r="264">
      <c r="C264" s="6">
        <f t="shared" si="1"/>
        <v>0</v>
      </c>
    </row>
    <row r="265">
      <c r="C265" s="6">
        <f t="shared" si="1"/>
        <v>0</v>
      </c>
    </row>
    <row r="266">
      <c r="C266" s="6">
        <f t="shared" si="1"/>
        <v>0</v>
      </c>
    </row>
    <row r="267">
      <c r="C267" s="6">
        <f t="shared" si="1"/>
        <v>0</v>
      </c>
    </row>
    <row r="268">
      <c r="C268" s="6">
        <f t="shared" si="1"/>
        <v>0</v>
      </c>
    </row>
    <row r="269">
      <c r="C269" s="6">
        <f t="shared" si="1"/>
        <v>0</v>
      </c>
    </row>
    <row r="270">
      <c r="C270" s="6">
        <f t="shared" si="1"/>
        <v>0</v>
      </c>
    </row>
    <row r="271">
      <c r="C271" s="6">
        <f t="shared" si="1"/>
        <v>0</v>
      </c>
    </row>
    <row r="272">
      <c r="C272" s="6">
        <f t="shared" si="1"/>
        <v>0</v>
      </c>
    </row>
    <row r="273">
      <c r="C273" s="6">
        <f t="shared" si="1"/>
        <v>0</v>
      </c>
    </row>
    <row r="274">
      <c r="C274" s="6">
        <f t="shared" si="1"/>
        <v>0</v>
      </c>
    </row>
    <row r="275">
      <c r="C275" s="6">
        <f t="shared" si="1"/>
        <v>0</v>
      </c>
    </row>
    <row r="276">
      <c r="C276" s="6">
        <f t="shared" si="1"/>
        <v>0</v>
      </c>
    </row>
    <row r="277">
      <c r="C277" s="6">
        <f t="shared" si="1"/>
        <v>0</v>
      </c>
    </row>
    <row r="278">
      <c r="C278" s="6">
        <f t="shared" si="1"/>
        <v>0</v>
      </c>
    </row>
    <row r="279">
      <c r="C279" s="6">
        <f t="shared" si="1"/>
        <v>0</v>
      </c>
    </row>
    <row r="280">
      <c r="C280" s="6">
        <f t="shared" si="1"/>
        <v>0</v>
      </c>
    </row>
    <row r="281">
      <c r="C281" s="6">
        <f t="shared" si="1"/>
        <v>0</v>
      </c>
    </row>
    <row r="282">
      <c r="C282" s="6">
        <f t="shared" si="1"/>
        <v>0</v>
      </c>
    </row>
    <row r="283">
      <c r="C283" s="6">
        <f t="shared" si="1"/>
        <v>0</v>
      </c>
    </row>
    <row r="284">
      <c r="C284" s="6">
        <f t="shared" si="1"/>
        <v>0</v>
      </c>
    </row>
    <row r="285">
      <c r="C285" s="6">
        <f t="shared" si="1"/>
        <v>0</v>
      </c>
    </row>
    <row r="286">
      <c r="C286" s="6">
        <f t="shared" si="1"/>
        <v>0</v>
      </c>
    </row>
    <row r="287">
      <c r="C287" s="6">
        <f t="shared" si="1"/>
        <v>0</v>
      </c>
    </row>
    <row r="288">
      <c r="C288" s="6">
        <f t="shared" si="1"/>
        <v>0</v>
      </c>
    </row>
    <row r="289">
      <c r="C289" s="6">
        <f t="shared" si="1"/>
        <v>0</v>
      </c>
    </row>
    <row r="290">
      <c r="C290" s="6">
        <f t="shared" si="1"/>
        <v>0</v>
      </c>
    </row>
    <row r="291">
      <c r="C291" s="6">
        <f t="shared" si="1"/>
        <v>0</v>
      </c>
    </row>
    <row r="292">
      <c r="C292" s="6">
        <f t="shared" si="1"/>
        <v>0</v>
      </c>
    </row>
    <row r="293">
      <c r="C293" s="6">
        <f t="shared" si="1"/>
        <v>0</v>
      </c>
    </row>
    <row r="294">
      <c r="C294" s="6">
        <f t="shared" si="1"/>
        <v>0</v>
      </c>
    </row>
    <row r="295">
      <c r="C295" s="6">
        <f t="shared" si="1"/>
        <v>0</v>
      </c>
    </row>
    <row r="296">
      <c r="C296" s="6">
        <f t="shared" si="1"/>
        <v>0</v>
      </c>
    </row>
    <row r="297">
      <c r="C297" s="6">
        <f t="shared" si="1"/>
        <v>0</v>
      </c>
    </row>
    <row r="298">
      <c r="C298" s="6">
        <f t="shared" si="1"/>
        <v>0</v>
      </c>
    </row>
    <row r="299">
      <c r="C299" s="6">
        <f t="shared" si="1"/>
        <v>0</v>
      </c>
    </row>
    <row r="300">
      <c r="C300" s="6">
        <f t="shared" si="1"/>
        <v>0</v>
      </c>
    </row>
    <row r="301">
      <c r="C301" s="6">
        <f t="shared" si="1"/>
        <v>0</v>
      </c>
    </row>
    <row r="302">
      <c r="C302" s="6">
        <f t="shared" si="1"/>
        <v>0</v>
      </c>
    </row>
    <row r="303">
      <c r="C303" s="6">
        <f t="shared" si="1"/>
        <v>0</v>
      </c>
    </row>
    <row r="304">
      <c r="C304" s="6">
        <f t="shared" si="1"/>
        <v>0</v>
      </c>
    </row>
    <row r="305">
      <c r="C305" s="6">
        <f t="shared" si="1"/>
        <v>0</v>
      </c>
    </row>
    <row r="306">
      <c r="C306" s="6">
        <f t="shared" si="1"/>
        <v>0</v>
      </c>
    </row>
    <row r="307">
      <c r="C307" s="6">
        <f t="shared" si="1"/>
        <v>0</v>
      </c>
    </row>
    <row r="308">
      <c r="C308" s="6">
        <f t="shared" si="1"/>
        <v>0</v>
      </c>
    </row>
    <row r="309">
      <c r="C309" s="6">
        <f t="shared" si="1"/>
        <v>0</v>
      </c>
    </row>
    <row r="310">
      <c r="C310" s="6">
        <f t="shared" si="1"/>
        <v>0</v>
      </c>
    </row>
    <row r="311">
      <c r="C311" s="6">
        <f t="shared" si="1"/>
        <v>0</v>
      </c>
    </row>
    <row r="312">
      <c r="C312" s="6">
        <f t="shared" si="1"/>
        <v>0</v>
      </c>
    </row>
    <row r="313">
      <c r="C313" s="6">
        <f t="shared" si="1"/>
        <v>0</v>
      </c>
    </row>
    <row r="314">
      <c r="C314" s="6">
        <f t="shared" si="1"/>
        <v>0</v>
      </c>
    </row>
    <row r="315">
      <c r="C315" s="6">
        <f t="shared" si="1"/>
        <v>0</v>
      </c>
    </row>
    <row r="316">
      <c r="C316" s="6">
        <f t="shared" si="1"/>
        <v>0</v>
      </c>
    </row>
    <row r="317">
      <c r="C317" s="6">
        <f t="shared" si="1"/>
        <v>0</v>
      </c>
    </row>
    <row r="318">
      <c r="C318" s="6">
        <f t="shared" si="1"/>
        <v>0</v>
      </c>
    </row>
    <row r="319">
      <c r="C319" s="6">
        <f t="shared" si="1"/>
        <v>0</v>
      </c>
    </row>
    <row r="320">
      <c r="C320" s="6">
        <f t="shared" si="1"/>
        <v>0</v>
      </c>
    </row>
    <row r="321">
      <c r="C321" s="6">
        <f t="shared" si="1"/>
        <v>0</v>
      </c>
    </row>
    <row r="322">
      <c r="C322" s="6">
        <f t="shared" si="1"/>
        <v>0</v>
      </c>
    </row>
    <row r="323">
      <c r="C323" s="6">
        <f t="shared" si="1"/>
        <v>0</v>
      </c>
    </row>
    <row r="324">
      <c r="C324" s="6">
        <f t="shared" si="1"/>
        <v>0</v>
      </c>
    </row>
    <row r="325">
      <c r="C325" s="6">
        <f t="shared" si="1"/>
        <v>0</v>
      </c>
    </row>
    <row r="326">
      <c r="C326" s="6">
        <f t="shared" si="1"/>
        <v>0</v>
      </c>
    </row>
    <row r="327">
      <c r="C327" s="6">
        <f t="shared" si="1"/>
        <v>0</v>
      </c>
    </row>
    <row r="328">
      <c r="C328" s="6">
        <f t="shared" si="1"/>
        <v>0</v>
      </c>
    </row>
    <row r="329">
      <c r="C329" s="6">
        <f t="shared" si="1"/>
        <v>0</v>
      </c>
    </row>
    <row r="330">
      <c r="C330" s="6">
        <f t="shared" si="1"/>
        <v>0</v>
      </c>
    </row>
    <row r="331">
      <c r="C331" s="6">
        <f t="shared" si="1"/>
        <v>0</v>
      </c>
    </row>
    <row r="332">
      <c r="C332" s="6">
        <f t="shared" si="1"/>
        <v>0</v>
      </c>
    </row>
    <row r="333">
      <c r="C333" s="6">
        <f t="shared" si="1"/>
        <v>0</v>
      </c>
    </row>
    <row r="334">
      <c r="C334" s="6">
        <f t="shared" si="1"/>
        <v>0</v>
      </c>
    </row>
    <row r="335">
      <c r="C335" s="6">
        <f t="shared" si="1"/>
        <v>0</v>
      </c>
    </row>
    <row r="336">
      <c r="C336" s="6">
        <f t="shared" si="1"/>
        <v>0</v>
      </c>
    </row>
    <row r="337">
      <c r="C337" s="6">
        <f t="shared" si="1"/>
        <v>0</v>
      </c>
    </row>
    <row r="338">
      <c r="C338" s="6">
        <f t="shared" si="1"/>
        <v>0</v>
      </c>
    </row>
    <row r="339">
      <c r="C339" s="6">
        <f t="shared" si="1"/>
        <v>0</v>
      </c>
    </row>
    <row r="340">
      <c r="C340" s="6">
        <f t="shared" si="1"/>
        <v>0</v>
      </c>
    </row>
    <row r="341">
      <c r="C341" s="6">
        <f t="shared" si="1"/>
        <v>0</v>
      </c>
    </row>
    <row r="342">
      <c r="C342" s="6">
        <f t="shared" si="1"/>
        <v>0</v>
      </c>
    </row>
    <row r="343">
      <c r="C343" s="6">
        <f t="shared" si="1"/>
        <v>0</v>
      </c>
    </row>
    <row r="344">
      <c r="C344" s="6">
        <f t="shared" si="1"/>
        <v>0</v>
      </c>
    </row>
    <row r="345">
      <c r="C345" s="6">
        <f t="shared" si="1"/>
        <v>0</v>
      </c>
    </row>
    <row r="346">
      <c r="C346" s="6">
        <f t="shared" si="1"/>
        <v>0</v>
      </c>
    </row>
    <row r="347">
      <c r="C347" s="6">
        <f t="shared" si="1"/>
        <v>0</v>
      </c>
    </row>
    <row r="348">
      <c r="C348" s="6">
        <f t="shared" si="1"/>
        <v>0</v>
      </c>
    </row>
    <row r="349">
      <c r="C349" s="6">
        <f t="shared" si="1"/>
        <v>0</v>
      </c>
    </row>
    <row r="350">
      <c r="C350" s="6">
        <f t="shared" si="1"/>
        <v>0</v>
      </c>
    </row>
    <row r="351">
      <c r="C351" s="6">
        <f t="shared" si="1"/>
        <v>0</v>
      </c>
    </row>
    <row r="352">
      <c r="C352" s="6">
        <f t="shared" si="1"/>
        <v>0</v>
      </c>
    </row>
    <row r="353">
      <c r="C353" s="6">
        <f t="shared" si="1"/>
        <v>0</v>
      </c>
    </row>
    <row r="354">
      <c r="C354" s="6">
        <f t="shared" si="1"/>
        <v>0</v>
      </c>
    </row>
    <row r="355">
      <c r="C355" s="6">
        <f t="shared" si="1"/>
        <v>0</v>
      </c>
    </row>
    <row r="356">
      <c r="C356" s="6">
        <f t="shared" si="1"/>
        <v>0</v>
      </c>
    </row>
    <row r="357">
      <c r="C357" s="6">
        <f t="shared" si="1"/>
        <v>0</v>
      </c>
    </row>
    <row r="358">
      <c r="C358" s="6">
        <f t="shared" si="1"/>
        <v>0</v>
      </c>
    </row>
    <row r="359">
      <c r="C359" s="6">
        <f t="shared" si="1"/>
        <v>0</v>
      </c>
    </row>
    <row r="360">
      <c r="C360" s="6">
        <f t="shared" si="1"/>
        <v>0</v>
      </c>
    </row>
    <row r="361">
      <c r="C361" s="6">
        <f t="shared" si="1"/>
        <v>0</v>
      </c>
    </row>
    <row r="362">
      <c r="C362" s="6">
        <f t="shared" si="1"/>
        <v>0</v>
      </c>
    </row>
    <row r="363">
      <c r="C363" s="6">
        <f t="shared" si="1"/>
        <v>0</v>
      </c>
    </row>
    <row r="364">
      <c r="C364" s="6">
        <f t="shared" si="1"/>
        <v>0</v>
      </c>
    </row>
    <row r="365">
      <c r="C365" s="6">
        <f t="shared" si="1"/>
        <v>0</v>
      </c>
    </row>
    <row r="366">
      <c r="C366" s="6">
        <f t="shared" si="1"/>
        <v>0</v>
      </c>
    </row>
    <row r="367">
      <c r="C367" s="6">
        <f t="shared" si="1"/>
        <v>0</v>
      </c>
    </row>
    <row r="368">
      <c r="C368" s="6">
        <f t="shared" si="1"/>
        <v>0</v>
      </c>
    </row>
    <row r="369">
      <c r="C369" s="6">
        <f t="shared" si="1"/>
        <v>0</v>
      </c>
    </row>
    <row r="370">
      <c r="C370" s="6">
        <f t="shared" si="1"/>
        <v>0</v>
      </c>
    </row>
    <row r="371">
      <c r="C371" s="6">
        <f t="shared" si="1"/>
        <v>0</v>
      </c>
    </row>
    <row r="372">
      <c r="C372" s="6">
        <f t="shared" si="1"/>
        <v>0</v>
      </c>
    </row>
    <row r="373">
      <c r="C373" s="6">
        <f t="shared" si="1"/>
        <v>0</v>
      </c>
    </row>
    <row r="374">
      <c r="C374" s="6">
        <f t="shared" si="1"/>
        <v>0</v>
      </c>
    </row>
    <row r="375">
      <c r="C375" s="6">
        <f t="shared" si="1"/>
        <v>0</v>
      </c>
    </row>
    <row r="376">
      <c r="C376" s="6">
        <f t="shared" si="1"/>
        <v>0</v>
      </c>
    </row>
    <row r="377">
      <c r="C377" s="6">
        <f t="shared" si="1"/>
        <v>0</v>
      </c>
    </row>
    <row r="378">
      <c r="C378" s="6">
        <f t="shared" si="1"/>
        <v>0</v>
      </c>
    </row>
    <row r="379">
      <c r="C379" s="6">
        <f t="shared" si="1"/>
        <v>0</v>
      </c>
    </row>
    <row r="380">
      <c r="C380" s="6">
        <f t="shared" si="1"/>
        <v>0</v>
      </c>
    </row>
    <row r="381">
      <c r="C381" s="6">
        <f t="shared" si="1"/>
        <v>0</v>
      </c>
    </row>
    <row r="382">
      <c r="C382" s="6">
        <f t="shared" si="1"/>
        <v>0</v>
      </c>
    </row>
    <row r="383">
      <c r="C383" s="6">
        <f t="shared" si="1"/>
        <v>0</v>
      </c>
    </row>
    <row r="384">
      <c r="C384" s="6">
        <f t="shared" si="1"/>
        <v>0</v>
      </c>
    </row>
    <row r="385">
      <c r="C385" s="6">
        <f t="shared" si="1"/>
        <v>0</v>
      </c>
    </row>
    <row r="386">
      <c r="C386" s="6">
        <f t="shared" si="1"/>
        <v>0</v>
      </c>
    </row>
    <row r="387">
      <c r="C387" s="6">
        <f t="shared" si="1"/>
        <v>0</v>
      </c>
    </row>
    <row r="388">
      <c r="C388" s="6">
        <f t="shared" si="1"/>
        <v>0</v>
      </c>
    </row>
    <row r="389">
      <c r="C389" s="6">
        <f t="shared" si="1"/>
        <v>0</v>
      </c>
    </row>
    <row r="390">
      <c r="C390" s="6">
        <f t="shared" si="1"/>
        <v>0</v>
      </c>
    </row>
    <row r="391">
      <c r="C391" s="6">
        <f t="shared" si="1"/>
        <v>0</v>
      </c>
    </row>
    <row r="392">
      <c r="C392" s="6">
        <f t="shared" si="1"/>
        <v>0</v>
      </c>
    </row>
    <row r="393">
      <c r="C393" s="6">
        <f t="shared" si="1"/>
        <v>0</v>
      </c>
    </row>
    <row r="394">
      <c r="C394" s="6">
        <f t="shared" si="1"/>
        <v>0</v>
      </c>
    </row>
    <row r="395">
      <c r="C395" s="6">
        <f t="shared" si="1"/>
        <v>0</v>
      </c>
    </row>
    <row r="396">
      <c r="C396" s="6">
        <f t="shared" si="1"/>
        <v>0</v>
      </c>
    </row>
    <row r="397">
      <c r="C397" s="6">
        <f t="shared" si="1"/>
        <v>0</v>
      </c>
    </row>
    <row r="398">
      <c r="C398" s="6">
        <f t="shared" si="1"/>
        <v>0</v>
      </c>
    </row>
    <row r="399">
      <c r="C399" s="6">
        <f t="shared" si="1"/>
        <v>0</v>
      </c>
    </row>
    <row r="400">
      <c r="C400" s="6">
        <f t="shared" si="1"/>
        <v>0</v>
      </c>
    </row>
    <row r="401">
      <c r="C401" s="6">
        <f t="shared" si="1"/>
        <v>0</v>
      </c>
    </row>
    <row r="402">
      <c r="C402" s="6">
        <f t="shared" si="1"/>
        <v>0</v>
      </c>
    </row>
    <row r="403">
      <c r="C403" s="6">
        <f t="shared" si="1"/>
        <v>0</v>
      </c>
    </row>
    <row r="404">
      <c r="C404" s="6">
        <f t="shared" si="1"/>
        <v>0</v>
      </c>
    </row>
    <row r="405">
      <c r="C405" s="6">
        <f t="shared" si="1"/>
        <v>0</v>
      </c>
    </row>
    <row r="406">
      <c r="C406" s="6">
        <f t="shared" si="1"/>
        <v>0</v>
      </c>
    </row>
    <row r="407">
      <c r="C407" s="6">
        <f t="shared" si="1"/>
        <v>0</v>
      </c>
    </row>
    <row r="408">
      <c r="C408" s="6">
        <f t="shared" si="1"/>
        <v>0</v>
      </c>
    </row>
    <row r="409">
      <c r="C409" s="6">
        <f t="shared" si="1"/>
        <v>0</v>
      </c>
    </row>
    <row r="410">
      <c r="C410" s="6">
        <f t="shared" si="1"/>
        <v>0</v>
      </c>
    </row>
    <row r="411">
      <c r="C411" s="6">
        <f t="shared" si="1"/>
        <v>0</v>
      </c>
    </row>
    <row r="412">
      <c r="C412" s="6">
        <f t="shared" si="1"/>
        <v>0</v>
      </c>
    </row>
    <row r="413">
      <c r="C413" s="6">
        <f t="shared" si="1"/>
        <v>0</v>
      </c>
    </row>
    <row r="414">
      <c r="C414" s="6">
        <f t="shared" si="1"/>
        <v>0</v>
      </c>
    </row>
    <row r="415">
      <c r="C415" s="6">
        <f t="shared" si="1"/>
        <v>0</v>
      </c>
    </row>
    <row r="416">
      <c r="C416" s="6">
        <f t="shared" si="1"/>
        <v>0</v>
      </c>
    </row>
    <row r="417">
      <c r="C417" s="6">
        <f t="shared" si="1"/>
        <v>0</v>
      </c>
    </row>
    <row r="418">
      <c r="C418" s="6">
        <f t="shared" si="1"/>
        <v>0</v>
      </c>
    </row>
    <row r="419">
      <c r="C419" s="6">
        <f t="shared" si="1"/>
        <v>0</v>
      </c>
    </row>
    <row r="420">
      <c r="C420" s="6">
        <f t="shared" si="1"/>
        <v>0</v>
      </c>
    </row>
    <row r="421">
      <c r="C421" s="6">
        <f t="shared" si="1"/>
        <v>0</v>
      </c>
    </row>
    <row r="422">
      <c r="C422" s="6">
        <f t="shared" si="1"/>
        <v>0</v>
      </c>
    </row>
    <row r="423">
      <c r="C423" s="6">
        <f t="shared" si="1"/>
        <v>0</v>
      </c>
    </row>
    <row r="424">
      <c r="C424" s="6">
        <f t="shared" si="1"/>
        <v>0</v>
      </c>
    </row>
    <row r="425">
      <c r="C425" s="6">
        <f t="shared" si="1"/>
        <v>0</v>
      </c>
    </row>
    <row r="426">
      <c r="C426" s="6">
        <f t="shared" si="1"/>
        <v>0</v>
      </c>
    </row>
    <row r="427">
      <c r="C427" s="6">
        <f t="shared" si="1"/>
        <v>0</v>
      </c>
    </row>
    <row r="428">
      <c r="C428" s="6">
        <f t="shared" si="1"/>
        <v>0</v>
      </c>
    </row>
    <row r="429">
      <c r="C429" s="6">
        <f t="shared" si="1"/>
        <v>0</v>
      </c>
    </row>
    <row r="430">
      <c r="C430" s="6">
        <f t="shared" si="1"/>
        <v>0</v>
      </c>
    </row>
    <row r="431">
      <c r="C431" s="6">
        <f t="shared" si="1"/>
        <v>0</v>
      </c>
    </row>
    <row r="432">
      <c r="C432" s="6">
        <f t="shared" si="1"/>
        <v>0</v>
      </c>
    </row>
    <row r="433">
      <c r="C433" s="6">
        <f t="shared" si="1"/>
        <v>0</v>
      </c>
    </row>
    <row r="434">
      <c r="C434" s="6">
        <f t="shared" si="1"/>
        <v>0</v>
      </c>
    </row>
    <row r="435">
      <c r="C435" s="6">
        <f t="shared" si="1"/>
        <v>0</v>
      </c>
    </row>
    <row r="436">
      <c r="C436" s="6">
        <f t="shared" si="1"/>
        <v>0</v>
      </c>
    </row>
    <row r="437">
      <c r="C437" s="6">
        <f t="shared" si="1"/>
        <v>0</v>
      </c>
    </row>
    <row r="438">
      <c r="C438" s="6">
        <f t="shared" si="1"/>
        <v>0</v>
      </c>
    </row>
    <row r="439">
      <c r="C439" s="6">
        <f t="shared" si="1"/>
        <v>0</v>
      </c>
    </row>
    <row r="440">
      <c r="C440" s="6">
        <f t="shared" si="1"/>
        <v>0</v>
      </c>
    </row>
    <row r="441">
      <c r="C441" s="6">
        <f t="shared" si="1"/>
        <v>0</v>
      </c>
    </row>
    <row r="442">
      <c r="C442" s="6">
        <f t="shared" si="1"/>
        <v>0</v>
      </c>
    </row>
    <row r="443">
      <c r="C443" s="6">
        <f t="shared" si="1"/>
        <v>0</v>
      </c>
    </row>
    <row r="444">
      <c r="C444" s="6">
        <f t="shared" si="1"/>
        <v>0</v>
      </c>
    </row>
    <row r="445">
      <c r="C445" s="6">
        <f t="shared" si="1"/>
        <v>0</v>
      </c>
    </row>
    <row r="446">
      <c r="C446" s="6">
        <f t="shared" si="1"/>
        <v>0</v>
      </c>
    </row>
    <row r="447">
      <c r="C447" s="6">
        <f t="shared" si="1"/>
        <v>0</v>
      </c>
    </row>
    <row r="448">
      <c r="C448" s="6">
        <f t="shared" si="1"/>
        <v>0</v>
      </c>
    </row>
    <row r="449">
      <c r="C449" s="6">
        <f t="shared" si="1"/>
        <v>0</v>
      </c>
    </row>
    <row r="450">
      <c r="C450" s="6">
        <f t="shared" si="1"/>
        <v>0</v>
      </c>
    </row>
    <row r="451">
      <c r="C451" s="6">
        <f t="shared" si="1"/>
        <v>0</v>
      </c>
    </row>
    <row r="452">
      <c r="C452" s="6">
        <f t="shared" si="1"/>
        <v>0</v>
      </c>
    </row>
    <row r="453">
      <c r="C453" s="6">
        <f t="shared" si="1"/>
        <v>0</v>
      </c>
    </row>
    <row r="454">
      <c r="C454" s="6">
        <f t="shared" si="1"/>
        <v>0</v>
      </c>
    </row>
    <row r="455">
      <c r="C455" s="6">
        <f t="shared" si="1"/>
        <v>0</v>
      </c>
    </row>
    <row r="456">
      <c r="C456" s="6">
        <f t="shared" si="1"/>
        <v>0</v>
      </c>
    </row>
    <row r="457">
      <c r="C457" s="6">
        <f t="shared" si="1"/>
        <v>0</v>
      </c>
    </row>
    <row r="458">
      <c r="C458" s="6">
        <f t="shared" si="1"/>
        <v>0</v>
      </c>
    </row>
    <row r="459">
      <c r="C459" s="6">
        <f t="shared" si="1"/>
        <v>0</v>
      </c>
    </row>
    <row r="460">
      <c r="C460" s="6">
        <f t="shared" si="1"/>
        <v>0</v>
      </c>
    </row>
    <row r="461">
      <c r="C461" s="6">
        <f t="shared" si="1"/>
        <v>0</v>
      </c>
    </row>
    <row r="462">
      <c r="C462" s="6">
        <f t="shared" si="1"/>
        <v>0</v>
      </c>
    </row>
    <row r="463">
      <c r="C463" s="6">
        <f t="shared" si="1"/>
        <v>0</v>
      </c>
    </row>
    <row r="464">
      <c r="C464" s="6">
        <f t="shared" si="1"/>
        <v>0</v>
      </c>
    </row>
    <row r="465">
      <c r="C465" s="6">
        <f t="shared" si="1"/>
        <v>0</v>
      </c>
    </row>
    <row r="466">
      <c r="C466" s="6">
        <f t="shared" si="1"/>
        <v>0</v>
      </c>
    </row>
    <row r="467">
      <c r="C467" s="6">
        <f t="shared" si="1"/>
        <v>0</v>
      </c>
    </row>
    <row r="468">
      <c r="C468" s="6">
        <f t="shared" si="1"/>
        <v>0</v>
      </c>
    </row>
    <row r="469">
      <c r="C469" s="6">
        <f t="shared" si="1"/>
        <v>0</v>
      </c>
    </row>
    <row r="470">
      <c r="C470" s="6">
        <f t="shared" si="1"/>
        <v>0</v>
      </c>
    </row>
    <row r="471">
      <c r="C471" s="6">
        <f t="shared" si="1"/>
        <v>0</v>
      </c>
    </row>
    <row r="472">
      <c r="C472" s="6">
        <f t="shared" si="1"/>
        <v>0</v>
      </c>
    </row>
    <row r="473">
      <c r="C473" s="6">
        <f t="shared" si="1"/>
        <v>0</v>
      </c>
    </row>
    <row r="474">
      <c r="C474" s="6">
        <f t="shared" si="1"/>
        <v>0</v>
      </c>
    </row>
    <row r="475">
      <c r="C475" s="6">
        <f t="shared" si="1"/>
        <v>0</v>
      </c>
    </row>
    <row r="476">
      <c r="C476" s="6">
        <f t="shared" si="1"/>
        <v>0</v>
      </c>
    </row>
    <row r="477">
      <c r="C477" s="6">
        <f t="shared" si="1"/>
        <v>0</v>
      </c>
    </row>
    <row r="478">
      <c r="C478" s="6">
        <f t="shared" si="1"/>
        <v>0</v>
      </c>
    </row>
    <row r="479">
      <c r="C479" s="6">
        <f t="shared" si="1"/>
        <v>0</v>
      </c>
    </row>
    <row r="480">
      <c r="C480" s="6">
        <f t="shared" si="1"/>
        <v>0</v>
      </c>
    </row>
    <row r="481">
      <c r="C481" s="6">
        <f t="shared" si="1"/>
        <v>0</v>
      </c>
    </row>
    <row r="482">
      <c r="C482" s="6">
        <f t="shared" si="1"/>
        <v>0</v>
      </c>
    </row>
    <row r="483">
      <c r="C483" s="6">
        <f t="shared" si="1"/>
        <v>0</v>
      </c>
    </row>
    <row r="484">
      <c r="C484" s="6">
        <f t="shared" si="1"/>
        <v>0</v>
      </c>
    </row>
    <row r="485">
      <c r="C485" s="6">
        <f t="shared" si="1"/>
        <v>0</v>
      </c>
    </row>
    <row r="486">
      <c r="C486" s="6">
        <f t="shared" si="1"/>
        <v>0</v>
      </c>
    </row>
    <row r="487">
      <c r="C487" s="6">
        <f t="shared" si="1"/>
        <v>0</v>
      </c>
    </row>
    <row r="488">
      <c r="C488" s="6">
        <f t="shared" si="1"/>
        <v>0</v>
      </c>
    </row>
    <row r="489">
      <c r="C489" s="6">
        <f t="shared" si="1"/>
        <v>0</v>
      </c>
    </row>
    <row r="490">
      <c r="C490" s="6">
        <f t="shared" si="1"/>
        <v>0</v>
      </c>
    </row>
    <row r="491">
      <c r="C491" s="6">
        <f t="shared" si="1"/>
        <v>0</v>
      </c>
    </row>
    <row r="492">
      <c r="C492" s="6">
        <f t="shared" si="1"/>
        <v>0</v>
      </c>
    </row>
    <row r="493">
      <c r="C493" s="6">
        <f t="shared" si="1"/>
        <v>0</v>
      </c>
    </row>
    <row r="494">
      <c r="C494" s="6">
        <f t="shared" si="1"/>
        <v>0</v>
      </c>
    </row>
    <row r="495">
      <c r="C495" s="6">
        <f t="shared" si="1"/>
        <v>0</v>
      </c>
    </row>
    <row r="496">
      <c r="C496" s="6">
        <f t="shared" si="1"/>
        <v>0</v>
      </c>
    </row>
    <row r="497">
      <c r="C497" s="6">
        <f t="shared" si="1"/>
        <v>0</v>
      </c>
    </row>
    <row r="498">
      <c r="C498" s="6">
        <f t="shared" si="1"/>
        <v>0</v>
      </c>
    </row>
    <row r="499">
      <c r="C499" s="6">
        <f t="shared" si="1"/>
        <v>0</v>
      </c>
    </row>
    <row r="500">
      <c r="C500" s="6">
        <f t="shared" si="1"/>
        <v>0</v>
      </c>
    </row>
    <row r="501">
      <c r="C501" s="6">
        <f t="shared" si="1"/>
        <v>0</v>
      </c>
    </row>
    <row r="502">
      <c r="C502" s="6">
        <f t="shared" si="1"/>
        <v>0</v>
      </c>
    </row>
    <row r="503">
      <c r="C503" s="6">
        <f t="shared" si="1"/>
        <v>0</v>
      </c>
    </row>
    <row r="504">
      <c r="C504" s="6">
        <f t="shared" si="1"/>
        <v>0</v>
      </c>
    </row>
    <row r="505">
      <c r="C505" s="6">
        <f t="shared" si="1"/>
        <v>0</v>
      </c>
    </row>
    <row r="506">
      <c r="C506" s="6">
        <f t="shared" si="1"/>
        <v>0</v>
      </c>
    </row>
    <row r="507">
      <c r="C507" s="6">
        <f t="shared" si="1"/>
        <v>0</v>
      </c>
    </row>
    <row r="508">
      <c r="C508" s="6">
        <f t="shared" si="1"/>
        <v>0</v>
      </c>
    </row>
    <row r="509">
      <c r="C509" s="6">
        <f t="shared" si="1"/>
        <v>0</v>
      </c>
    </row>
    <row r="510">
      <c r="C510" s="6">
        <f t="shared" si="1"/>
        <v>0</v>
      </c>
    </row>
    <row r="511">
      <c r="C511" s="6">
        <f t="shared" si="1"/>
        <v>0</v>
      </c>
    </row>
    <row r="512">
      <c r="C512" s="6">
        <f t="shared" si="1"/>
        <v>0</v>
      </c>
    </row>
    <row r="513">
      <c r="C513" s="6">
        <f t="shared" si="1"/>
        <v>0</v>
      </c>
    </row>
    <row r="514">
      <c r="C514" s="6">
        <f t="shared" si="1"/>
        <v>0</v>
      </c>
    </row>
    <row r="515">
      <c r="C515" s="6">
        <f t="shared" si="1"/>
        <v>0</v>
      </c>
    </row>
    <row r="516">
      <c r="C516" s="6">
        <f t="shared" si="1"/>
        <v>0</v>
      </c>
    </row>
    <row r="517">
      <c r="C517" s="6">
        <f t="shared" si="1"/>
        <v>0</v>
      </c>
    </row>
    <row r="518">
      <c r="C518" s="6">
        <f t="shared" si="1"/>
        <v>0</v>
      </c>
    </row>
    <row r="519">
      <c r="C519" s="6">
        <f t="shared" si="1"/>
        <v>0</v>
      </c>
    </row>
    <row r="520">
      <c r="C520" s="6">
        <f t="shared" si="1"/>
        <v>0</v>
      </c>
    </row>
    <row r="521">
      <c r="C521" s="6">
        <f t="shared" si="1"/>
        <v>0</v>
      </c>
    </row>
    <row r="522">
      <c r="C522" s="6">
        <f t="shared" si="1"/>
        <v>0</v>
      </c>
    </row>
    <row r="523">
      <c r="C523" s="6">
        <f t="shared" si="1"/>
        <v>0</v>
      </c>
    </row>
    <row r="524">
      <c r="C524" s="6">
        <f t="shared" si="1"/>
        <v>0</v>
      </c>
    </row>
    <row r="525">
      <c r="C525" s="6">
        <f t="shared" si="1"/>
        <v>0</v>
      </c>
    </row>
    <row r="526">
      <c r="C526" s="6">
        <f t="shared" si="1"/>
        <v>0</v>
      </c>
    </row>
    <row r="527">
      <c r="C527" s="6">
        <f t="shared" si="1"/>
        <v>0</v>
      </c>
    </row>
    <row r="528">
      <c r="C528" s="6">
        <f t="shared" si="1"/>
        <v>0</v>
      </c>
    </row>
    <row r="529">
      <c r="C529" s="6">
        <f t="shared" si="1"/>
        <v>0</v>
      </c>
    </row>
    <row r="530">
      <c r="C530" s="6">
        <f t="shared" si="1"/>
        <v>0</v>
      </c>
    </row>
    <row r="531">
      <c r="C531" s="6">
        <f t="shared" si="1"/>
        <v>0</v>
      </c>
    </row>
    <row r="532">
      <c r="C532" s="6">
        <f t="shared" si="1"/>
        <v>0</v>
      </c>
    </row>
    <row r="533">
      <c r="C533" s="6">
        <f t="shared" si="1"/>
        <v>0</v>
      </c>
    </row>
    <row r="534">
      <c r="C534" s="6">
        <f t="shared" si="1"/>
        <v>0</v>
      </c>
    </row>
    <row r="535">
      <c r="C535" s="6">
        <f t="shared" si="1"/>
        <v>0</v>
      </c>
    </row>
    <row r="536">
      <c r="C536" s="6">
        <f t="shared" si="1"/>
        <v>0</v>
      </c>
    </row>
    <row r="537">
      <c r="C537" s="6">
        <f t="shared" si="1"/>
        <v>0</v>
      </c>
    </row>
    <row r="538">
      <c r="C538" s="6">
        <f t="shared" si="1"/>
        <v>0</v>
      </c>
    </row>
    <row r="539">
      <c r="C539" s="6">
        <f t="shared" si="1"/>
        <v>0</v>
      </c>
    </row>
    <row r="540">
      <c r="C540" s="6">
        <f t="shared" si="1"/>
        <v>0</v>
      </c>
    </row>
    <row r="541">
      <c r="C541" s="6">
        <f t="shared" si="1"/>
        <v>0</v>
      </c>
    </row>
    <row r="542">
      <c r="C542" s="6">
        <f t="shared" si="1"/>
        <v>0</v>
      </c>
    </row>
    <row r="543">
      <c r="C543" s="6">
        <f t="shared" si="1"/>
        <v>0</v>
      </c>
    </row>
    <row r="544">
      <c r="C544" s="6">
        <f t="shared" si="1"/>
        <v>0</v>
      </c>
    </row>
    <row r="545">
      <c r="C545" s="6">
        <f t="shared" si="1"/>
        <v>0</v>
      </c>
    </row>
    <row r="546">
      <c r="C546" s="6">
        <f t="shared" si="1"/>
        <v>0</v>
      </c>
    </row>
    <row r="547">
      <c r="C547" s="6">
        <f t="shared" si="1"/>
        <v>0</v>
      </c>
    </row>
    <row r="548">
      <c r="C548" s="6">
        <f t="shared" si="1"/>
        <v>0</v>
      </c>
    </row>
    <row r="549">
      <c r="C549" s="6">
        <f t="shared" si="1"/>
        <v>0</v>
      </c>
    </row>
    <row r="550">
      <c r="C550" s="6">
        <f t="shared" si="1"/>
        <v>0</v>
      </c>
    </row>
    <row r="551">
      <c r="C551" s="6">
        <f t="shared" si="1"/>
        <v>0</v>
      </c>
    </row>
    <row r="552">
      <c r="C552" s="6">
        <f t="shared" si="1"/>
        <v>0</v>
      </c>
    </row>
    <row r="553">
      <c r="C553" s="6">
        <f t="shared" si="1"/>
        <v>0</v>
      </c>
    </row>
    <row r="554">
      <c r="C554" s="6">
        <f t="shared" si="1"/>
        <v>0</v>
      </c>
    </row>
    <row r="555">
      <c r="C555" s="6">
        <f t="shared" si="1"/>
        <v>0</v>
      </c>
    </row>
    <row r="556">
      <c r="C556" s="6">
        <f t="shared" si="1"/>
        <v>0</v>
      </c>
    </row>
    <row r="557">
      <c r="C557" s="6">
        <f t="shared" si="1"/>
        <v>0</v>
      </c>
    </row>
    <row r="558">
      <c r="C558" s="6">
        <f t="shared" si="1"/>
        <v>0</v>
      </c>
    </row>
    <row r="559">
      <c r="C559" s="6">
        <f t="shared" si="1"/>
        <v>0</v>
      </c>
    </row>
    <row r="560">
      <c r="C560" s="6">
        <f t="shared" si="1"/>
        <v>0</v>
      </c>
    </row>
    <row r="561">
      <c r="C561" s="6">
        <f t="shared" si="1"/>
        <v>0</v>
      </c>
    </row>
    <row r="562">
      <c r="C562" s="6">
        <f t="shared" si="1"/>
        <v>0</v>
      </c>
    </row>
    <row r="563">
      <c r="C563" s="6">
        <f t="shared" si="1"/>
        <v>0</v>
      </c>
    </row>
    <row r="564">
      <c r="C564" s="6">
        <f t="shared" si="1"/>
        <v>0</v>
      </c>
    </row>
    <row r="565">
      <c r="C565" s="6">
        <f t="shared" si="1"/>
        <v>0</v>
      </c>
    </row>
    <row r="566">
      <c r="C566" s="6">
        <f t="shared" si="1"/>
        <v>0</v>
      </c>
    </row>
    <row r="567">
      <c r="C567" s="6">
        <f t="shared" si="1"/>
        <v>0</v>
      </c>
    </row>
    <row r="568">
      <c r="C568" s="6">
        <f t="shared" si="1"/>
        <v>0</v>
      </c>
    </row>
    <row r="569">
      <c r="C569" s="6">
        <f t="shared" si="1"/>
        <v>0</v>
      </c>
    </row>
    <row r="570">
      <c r="C570" s="6">
        <f t="shared" si="1"/>
        <v>0</v>
      </c>
    </row>
    <row r="571">
      <c r="C571" s="6">
        <f t="shared" si="1"/>
        <v>0</v>
      </c>
    </row>
    <row r="572">
      <c r="C572" s="6">
        <f t="shared" si="1"/>
        <v>0</v>
      </c>
    </row>
    <row r="573">
      <c r="C573" s="6">
        <f t="shared" si="1"/>
        <v>0</v>
      </c>
    </row>
    <row r="574">
      <c r="C574" s="6">
        <f t="shared" si="1"/>
        <v>0</v>
      </c>
    </row>
    <row r="575">
      <c r="C575" s="6">
        <f t="shared" si="1"/>
        <v>0</v>
      </c>
    </row>
    <row r="576">
      <c r="C576" s="6">
        <f t="shared" si="1"/>
        <v>0</v>
      </c>
    </row>
    <row r="577">
      <c r="C577" s="6">
        <f t="shared" si="1"/>
        <v>0</v>
      </c>
    </row>
    <row r="578">
      <c r="C578" s="6">
        <f t="shared" si="1"/>
        <v>0</v>
      </c>
    </row>
    <row r="579">
      <c r="C579" s="6">
        <f t="shared" si="1"/>
        <v>0</v>
      </c>
    </row>
    <row r="580">
      <c r="C580" s="6">
        <f t="shared" si="1"/>
        <v>0</v>
      </c>
    </row>
    <row r="581">
      <c r="C581" s="6">
        <f t="shared" si="1"/>
        <v>0</v>
      </c>
    </row>
    <row r="582">
      <c r="C582" s="6">
        <f t="shared" si="1"/>
        <v>0</v>
      </c>
    </row>
    <row r="583">
      <c r="C583" s="6">
        <f t="shared" si="1"/>
        <v>0</v>
      </c>
    </row>
    <row r="584">
      <c r="C584" s="6">
        <f t="shared" si="1"/>
        <v>0</v>
      </c>
    </row>
    <row r="585">
      <c r="C585" s="6">
        <f t="shared" si="1"/>
        <v>0</v>
      </c>
    </row>
    <row r="586">
      <c r="C586" s="6">
        <f t="shared" si="1"/>
        <v>0</v>
      </c>
    </row>
    <row r="587">
      <c r="C587" s="6">
        <f t="shared" si="1"/>
        <v>0</v>
      </c>
    </row>
    <row r="588">
      <c r="C588" s="6">
        <f t="shared" si="1"/>
        <v>0</v>
      </c>
    </row>
    <row r="589">
      <c r="C589" s="6">
        <f t="shared" si="1"/>
        <v>0</v>
      </c>
    </row>
    <row r="590">
      <c r="C590" s="6">
        <f t="shared" si="1"/>
        <v>0</v>
      </c>
    </row>
    <row r="591">
      <c r="C591" s="6">
        <f t="shared" si="1"/>
        <v>0</v>
      </c>
    </row>
    <row r="592">
      <c r="C592" s="6">
        <f t="shared" si="1"/>
        <v>0</v>
      </c>
    </row>
    <row r="593">
      <c r="C593" s="6">
        <f t="shared" si="1"/>
        <v>0</v>
      </c>
    </row>
    <row r="594">
      <c r="C594" s="6">
        <f t="shared" si="1"/>
        <v>0</v>
      </c>
    </row>
    <row r="595">
      <c r="C595" s="6">
        <f t="shared" si="1"/>
        <v>0</v>
      </c>
    </row>
    <row r="596">
      <c r="C596" s="6">
        <f t="shared" si="1"/>
        <v>0</v>
      </c>
    </row>
    <row r="597">
      <c r="C597" s="6">
        <f t="shared" si="1"/>
        <v>0</v>
      </c>
    </row>
    <row r="598">
      <c r="C598" s="6">
        <f t="shared" si="1"/>
        <v>0</v>
      </c>
    </row>
    <row r="599">
      <c r="C599" s="6">
        <f t="shared" si="1"/>
        <v>0</v>
      </c>
    </row>
    <row r="600">
      <c r="C600" s="6">
        <f t="shared" si="1"/>
        <v>0</v>
      </c>
    </row>
    <row r="601">
      <c r="C601" s="6">
        <f t="shared" si="1"/>
        <v>0</v>
      </c>
    </row>
    <row r="602">
      <c r="C602" s="6">
        <f t="shared" si="1"/>
        <v>0</v>
      </c>
    </row>
    <row r="603">
      <c r="C603" s="6">
        <f t="shared" si="1"/>
        <v>0</v>
      </c>
    </row>
    <row r="604">
      <c r="C604" s="6">
        <f t="shared" si="1"/>
        <v>0</v>
      </c>
    </row>
    <row r="605">
      <c r="C605" s="6">
        <f t="shared" si="1"/>
        <v>0</v>
      </c>
    </row>
    <row r="606">
      <c r="C606" s="6">
        <f t="shared" si="1"/>
        <v>0</v>
      </c>
    </row>
    <row r="607">
      <c r="C607" s="6">
        <f t="shared" si="1"/>
        <v>0</v>
      </c>
    </row>
    <row r="608">
      <c r="C608" s="6">
        <f t="shared" si="1"/>
        <v>0</v>
      </c>
    </row>
    <row r="609">
      <c r="C609" s="6">
        <f t="shared" si="1"/>
        <v>0</v>
      </c>
    </row>
    <row r="610">
      <c r="C610" s="6">
        <f t="shared" si="1"/>
        <v>0</v>
      </c>
    </row>
    <row r="611">
      <c r="C611" s="6">
        <f t="shared" si="1"/>
        <v>0</v>
      </c>
    </row>
    <row r="612">
      <c r="C612" s="6">
        <f t="shared" si="1"/>
        <v>0</v>
      </c>
    </row>
    <row r="613">
      <c r="C613" s="6">
        <f t="shared" si="1"/>
        <v>0</v>
      </c>
    </row>
    <row r="614">
      <c r="C614" s="6">
        <f t="shared" si="1"/>
        <v>0</v>
      </c>
    </row>
    <row r="615">
      <c r="C615" s="6">
        <f t="shared" si="1"/>
        <v>0</v>
      </c>
    </row>
    <row r="616">
      <c r="C616" s="6">
        <f t="shared" si="1"/>
        <v>0</v>
      </c>
    </row>
    <row r="617">
      <c r="C617" s="6">
        <f t="shared" si="1"/>
        <v>0</v>
      </c>
    </row>
    <row r="618">
      <c r="C618" s="6">
        <f t="shared" si="1"/>
        <v>0</v>
      </c>
    </row>
    <row r="619">
      <c r="C619" s="6">
        <f t="shared" si="1"/>
        <v>0</v>
      </c>
    </row>
    <row r="620">
      <c r="C620" s="6">
        <f t="shared" si="1"/>
        <v>0</v>
      </c>
    </row>
    <row r="621">
      <c r="C621" s="6">
        <f t="shared" si="1"/>
        <v>0</v>
      </c>
    </row>
    <row r="622">
      <c r="C622" s="6">
        <f t="shared" si="1"/>
        <v>0</v>
      </c>
    </row>
    <row r="623">
      <c r="C623" s="6">
        <f t="shared" si="1"/>
        <v>0</v>
      </c>
    </row>
    <row r="624">
      <c r="C624" s="6">
        <f t="shared" si="1"/>
        <v>0</v>
      </c>
    </row>
    <row r="625">
      <c r="C625" s="6">
        <f t="shared" si="1"/>
        <v>0</v>
      </c>
    </row>
    <row r="626">
      <c r="C626" s="6">
        <f t="shared" si="1"/>
        <v>0</v>
      </c>
    </row>
    <row r="627">
      <c r="C627" s="6">
        <f t="shared" si="1"/>
        <v>0</v>
      </c>
    </row>
    <row r="628">
      <c r="C628" s="6">
        <f t="shared" si="1"/>
        <v>0</v>
      </c>
    </row>
    <row r="629">
      <c r="C629" s="6">
        <f t="shared" si="1"/>
        <v>0</v>
      </c>
    </row>
    <row r="630">
      <c r="C630" s="6">
        <f t="shared" si="1"/>
        <v>0</v>
      </c>
    </row>
    <row r="631">
      <c r="C631" s="6">
        <f t="shared" si="1"/>
        <v>0</v>
      </c>
    </row>
    <row r="632">
      <c r="C632" s="6">
        <f t="shared" si="1"/>
        <v>0</v>
      </c>
    </row>
    <row r="633">
      <c r="C633" s="6">
        <f t="shared" si="1"/>
        <v>0</v>
      </c>
    </row>
    <row r="634">
      <c r="C634" s="6">
        <f t="shared" si="1"/>
        <v>0</v>
      </c>
    </row>
    <row r="635">
      <c r="C635" s="6">
        <f t="shared" si="1"/>
        <v>0</v>
      </c>
    </row>
    <row r="636">
      <c r="C636" s="6">
        <f t="shared" si="1"/>
        <v>0</v>
      </c>
    </row>
    <row r="637">
      <c r="C637" s="6">
        <f t="shared" si="1"/>
        <v>0</v>
      </c>
    </row>
    <row r="638">
      <c r="C638" s="6">
        <f t="shared" si="1"/>
        <v>0</v>
      </c>
    </row>
    <row r="639">
      <c r="C639" s="6">
        <f t="shared" si="1"/>
        <v>0</v>
      </c>
    </row>
    <row r="640">
      <c r="C640" s="6">
        <f t="shared" si="1"/>
        <v>0</v>
      </c>
    </row>
    <row r="641">
      <c r="C641" s="6">
        <f t="shared" si="1"/>
        <v>0</v>
      </c>
    </row>
    <row r="642">
      <c r="C642" s="6">
        <f t="shared" si="1"/>
        <v>0</v>
      </c>
    </row>
    <row r="643">
      <c r="C643" s="6">
        <f t="shared" si="1"/>
        <v>0</v>
      </c>
    </row>
    <row r="644">
      <c r="C644" s="6">
        <f t="shared" si="1"/>
        <v>0</v>
      </c>
    </row>
    <row r="645">
      <c r="C645" s="6">
        <f t="shared" si="1"/>
        <v>0</v>
      </c>
    </row>
    <row r="646">
      <c r="C646" s="6">
        <f t="shared" si="1"/>
        <v>0</v>
      </c>
    </row>
    <row r="647">
      <c r="C647" s="6">
        <f t="shared" si="1"/>
        <v>0</v>
      </c>
    </row>
    <row r="648">
      <c r="C648" s="6">
        <f t="shared" si="1"/>
        <v>0</v>
      </c>
    </row>
    <row r="649">
      <c r="C649" s="6">
        <f t="shared" si="1"/>
        <v>0</v>
      </c>
    </row>
    <row r="650">
      <c r="C650" s="6">
        <f t="shared" si="1"/>
        <v>0</v>
      </c>
    </row>
    <row r="651">
      <c r="C651" s="6">
        <f t="shared" si="1"/>
        <v>0</v>
      </c>
    </row>
    <row r="652">
      <c r="C652" s="6">
        <f t="shared" si="1"/>
        <v>0</v>
      </c>
    </row>
    <row r="653">
      <c r="C653" s="6">
        <f t="shared" si="1"/>
        <v>0</v>
      </c>
    </row>
    <row r="654">
      <c r="C654" s="6">
        <f t="shared" si="1"/>
        <v>0</v>
      </c>
    </row>
    <row r="655">
      <c r="C655" s="6">
        <f t="shared" si="1"/>
        <v>0</v>
      </c>
    </row>
    <row r="656">
      <c r="C656" s="6">
        <f t="shared" si="1"/>
        <v>0</v>
      </c>
    </row>
    <row r="657">
      <c r="C657" s="6">
        <f t="shared" si="1"/>
        <v>0</v>
      </c>
    </row>
    <row r="658">
      <c r="C658" s="6">
        <f t="shared" si="1"/>
        <v>0</v>
      </c>
    </row>
    <row r="659">
      <c r="C659" s="6">
        <f t="shared" si="1"/>
        <v>0</v>
      </c>
    </row>
    <row r="660">
      <c r="C660" s="6">
        <f t="shared" si="1"/>
        <v>0</v>
      </c>
    </row>
    <row r="661">
      <c r="C661" s="6">
        <f t="shared" si="1"/>
        <v>0</v>
      </c>
    </row>
    <row r="662">
      <c r="C662" s="6">
        <f t="shared" si="1"/>
        <v>0</v>
      </c>
    </row>
    <row r="663">
      <c r="C663" s="6">
        <f t="shared" si="1"/>
        <v>0</v>
      </c>
    </row>
    <row r="664">
      <c r="C664" s="6">
        <f t="shared" si="1"/>
        <v>0</v>
      </c>
    </row>
    <row r="665">
      <c r="C665" s="6">
        <f t="shared" si="1"/>
        <v>0</v>
      </c>
    </row>
    <row r="666">
      <c r="C666" s="6">
        <f t="shared" si="1"/>
        <v>0</v>
      </c>
    </row>
    <row r="667">
      <c r="C667" s="6">
        <f t="shared" si="1"/>
        <v>0</v>
      </c>
    </row>
    <row r="668">
      <c r="C668" s="6">
        <f t="shared" si="1"/>
        <v>0</v>
      </c>
    </row>
    <row r="669">
      <c r="C669" s="6">
        <f t="shared" si="1"/>
        <v>0</v>
      </c>
    </row>
    <row r="670">
      <c r="C670" s="6">
        <f t="shared" si="1"/>
        <v>0</v>
      </c>
    </row>
    <row r="671">
      <c r="C671" s="6">
        <f t="shared" si="1"/>
        <v>0</v>
      </c>
    </row>
    <row r="672">
      <c r="C672" s="6">
        <f t="shared" si="1"/>
        <v>0</v>
      </c>
    </row>
    <row r="673">
      <c r="C673" s="6">
        <f t="shared" si="1"/>
        <v>0</v>
      </c>
    </row>
    <row r="674">
      <c r="C674" s="6">
        <f t="shared" si="1"/>
        <v>0</v>
      </c>
    </row>
    <row r="675">
      <c r="C675" s="6">
        <f t="shared" si="1"/>
        <v>0</v>
      </c>
    </row>
    <row r="676">
      <c r="C676" s="6">
        <f t="shared" si="1"/>
        <v>0</v>
      </c>
    </row>
    <row r="677">
      <c r="C677" s="6">
        <f t="shared" si="1"/>
        <v>0</v>
      </c>
    </row>
    <row r="678">
      <c r="C678" s="6">
        <f t="shared" si="1"/>
        <v>0</v>
      </c>
    </row>
    <row r="679">
      <c r="C679" s="6">
        <f t="shared" si="1"/>
        <v>0</v>
      </c>
    </row>
    <row r="680">
      <c r="C680" s="6">
        <f t="shared" si="1"/>
        <v>0</v>
      </c>
    </row>
    <row r="681">
      <c r="C681" s="6">
        <f t="shared" si="1"/>
        <v>0</v>
      </c>
    </row>
    <row r="682">
      <c r="C682" s="6">
        <f t="shared" si="1"/>
        <v>0</v>
      </c>
    </row>
    <row r="683">
      <c r="C683" s="6">
        <f t="shared" si="1"/>
        <v>0</v>
      </c>
    </row>
    <row r="684">
      <c r="C684" s="6">
        <f t="shared" si="1"/>
        <v>0</v>
      </c>
    </row>
    <row r="685">
      <c r="C685" s="6">
        <f t="shared" si="1"/>
        <v>0</v>
      </c>
    </row>
    <row r="686">
      <c r="C686" s="6">
        <f t="shared" si="1"/>
        <v>0</v>
      </c>
    </row>
    <row r="687">
      <c r="C687" s="6">
        <f t="shared" si="1"/>
        <v>0</v>
      </c>
    </row>
    <row r="688">
      <c r="C688" s="6">
        <f t="shared" si="1"/>
        <v>0</v>
      </c>
    </row>
    <row r="689">
      <c r="C689" s="6">
        <f t="shared" si="1"/>
        <v>0</v>
      </c>
    </row>
    <row r="690">
      <c r="C690" s="6">
        <f t="shared" si="1"/>
        <v>0</v>
      </c>
    </row>
    <row r="691">
      <c r="C691" s="6">
        <f t="shared" si="1"/>
        <v>0</v>
      </c>
    </row>
    <row r="692">
      <c r="C692" s="6">
        <f t="shared" si="1"/>
        <v>0</v>
      </c>
    </row>
    <row r="693">
      <c r="C693" s="6">
        <f t="shared" si="1"/>
        <v>0</v>
      </c>
    </row>
    <row r="694">
      <c r="C694" s="6">
        <f t="shared" si="1"/>
        <v>0</v>
      </c>
    </row>
    <row r="695">
      <c r="C695" s="6">
        <f t="shared" si="1"/>
        <v>0</v>
      </c>
    </row>
    <row r="696">
      <c r="C696" s="6">
        <f t="shared" si="1"/>
        <v>0</v>
      </c>
    </row>
    <row r="697">
      <c r="C697" s="6">
        <f t="shared" si="1"/>
        <v>0</v>
      </c>
    </row>
    <row r="698">
      <c r="C698" s="6">
        <f t="shared" si="1"/>
        <v>0</v>
      </c>
    </row>
    <row r="699">
      <c r="C699" s="6">
        <f t="shared" si="1"/>
        <v>0</v>
      </c>
    </row>
    <row r="700">
      <c r="C700" s="6">
        <f t="shared" si="1"/>
        <v>0</v>
      </c>
    </row>
    <row r="701">
      <c r="C701" s="6">
        <f t="shared" si="1"/>
        <v>0</v>
      </c>
    </row>
    <row r="702">
      <c r="C702" s="6">
        <f t="shared" si="1"/>
        <v>0</v>
      </c>
    </row>
    <row r="703">
      <c r="C703" s="6">
        <f t="shared" si="1"/>
        <v>0</v>
      </c>
    </row>
    <row r="704">
      <c r="C704" s="6">
        <f t="shared" si="1"/>
        <v>0</v>
      </c>
    </row>
    <row r="705">
      <c r="C705" s="6">
        <f t="shared" si="1"/>
        <v>0</v>
      </c>
    </row>
    <row r="706">
      <c r="C706" s="6">
        <f t="shared" si="1"/>
        <v>0</v>
      </c>
    </row>
    <row r="707">
      <c r="C707" s="6">
        <f t="shared" si="1"/>
        <v>0</v>
      </c>
    </row>
    <row r="708">
      <c r="C708" s="6">
        <f t="shared" si="1"/>
        <v>0</v>
      </c>
    </row>
    <row r="709">
      <c r="C709" s="6">
        <f t="shared" si="1"/>
        <v>0</v>
      </c>
    </row>
    <row r="710">
      <c r="C710" s="6">
        <f t="shared" si="1"/>
        <v>0</v>
      </c>
    </row>
    <row r="711">
      <c r="C711" s="6">
        <f t="shared" si="1"/>
        <v>0</v>
      </c>
    </row>
    <row r="712">
      <c r="C712" s="6">
        <f t="shared" si="1"/>
        <v>0</v>
      </c>
    </row>
    <row r="713">
      <c r="C713" s="6">
        <f t="shared" si="1"/>
        <v>0</v>
      </c>
    </row>
    <row r="714">
      <c r="C714" s="6">
        <f t="shared" si="1"/>
        <v>0</v>
      </c>
    </row>
    <row r="715">
      <c r="C715" s="6">
        <f t="shared" si="1"/>
        <v>0</v>
      </c>
    </row>
    <row r="716">
      <c r="C716" s="6">
        <f t="shared" si="1"/>
        <v>0</v>
      </c>
    </row>
    <row r="717">
      <c r="C717" s="6">
        <f t="shared" si="1"/>
        <v>0</v>
      </c>
    </row>
    <row r="718">
      <c r="C718" s="6">
        <f t="shared" si="1"/>
        <v>0</v>
      </c>
    </row>
    <row r="719">
      <c r="C719" s="6">
        <f t="shared" si="1"/>
        <v>0</v>
      </c>
    </row>
    <row r="720">
      <c r="C720" s="6">
        <f t="shared" si="1"/>
        <v>0</v>
      </c>
    </row>
    <row r="721">
      <c r="C721" s="6">
        <f t="shared" si="1"/>
        <v>0</v>
      </c>
    </row>
    <row r="722">
      <c r="C722" s="6">
        <f t="shared" si="1"/>
        <v>0</v>
      </c>
    </row>
    <row r="723">
      <c r="C723" s="6">
        <f t="shared" si="1"/>
        <v>0</v>
      </c>
    </row>
    <row r="724">
      <c r="C724" s="6">
        <f t="shared" si="1"/>
        <v>0</v>
      </c>
    </row>
    <row r="725">
      <c r="C725" s="6">
        <f t="shared" si="1"/>
        <v>0</v>
      </c>
    </row>
    <row r="726">
      <c r="C726" s="6">
        <f t="shared" si="1"/>
        <v>0</v>
      </c>
    </row>
    <row r="727">
      <c r="C727" s="6">
        <f t="shared" si="1"/>
        <v>0</v>
      </c>
    </row>
    <row r="728">
      <c r="C728" s="6">
        <f t="shared" si="1"/>
        <v>0</v>
      </c>
    </row>
    <row r="729">
      <c r="C729" s="6">
        <f t="shared" si="1"/>
        <v>0</v>
      </c>
    </row>
    <row r="730">
      <c r="C730" s="6">
        <f t="shared" si="1"/>
        <v>0</v>
      </c>
    </row>
    <row r="731">
      <c r="C731" s="6">
        <f t="shared" si="1"/>
        <v>0</v>
      </c>
    </row>
    <row r="732">
      <c r="C732" s="6">
        <f t="shared" si="1"/>
        <v>0</v>
      </c>
    </row>
    <row r="733">
      <c r="C733" s="6">
        <f t="shared" si="1"/>
        <v>0</v>
      </c>
    </row>
    <row r="734">
      <c r="C734" s="6">
        <f t="shared" si="1"/>
        <v>0</v>
      </c>
    </row>
    <row r="735">
      <c r="C735" s="6">
        <f t="shared" si="1"/>
        <v>0</v>
      </c>
    </row>
    <row r="736">
      <c r="C736" s="6">
        <f t="shared" si="1"/>
        <v>0</v>
      </c>
    </row>
    <row r="737">
      <c r="C737" s="6">
        <f t="shared" si="1"/>
        <v>0</v>
      </c>
    </row>
    <row r="738">
      <c r="C738" s="6">
        <f t="shared" si="1"/>
        <v>0</v>
      </c>
    </row>
    <row r="739">
      <c r="C739" s="6">
        <f t="shared" si="1"/>
        <v>0</v>
      </c>
    </row>
    <row r="740">
      <c r="C740" s="6">
        <f t="shared" si="1"/>
        <v>0</v>
      </c>
    </row>
    <row r="741">
      <c r="C741" s="6">
        <f t="shared" si="1"/>
        <v>0</v>
      </c>
    </row>
    <row r="742">
      <c r="C742" s="6">
        <f t="shared" si="1"/>
        <v>0</v>
      </c>
    </row>
    <row r="743">
      <c r="C743" s="6">
        <f t="shared" si="1"/>
        <v>0</v>
      </c>
    </row>
    <row r="744">
      <c r="C744" s="6">
        <f t="shared" si="1"/>
        <v>0</v>
      </c>
    </row>
    <row r="745">
      <c r="C745" s="6">
        <f t="shared" si="1"/>
        <v>0</v>
      </c>
    </row>
    <row r="746">
      <c r="C746" s="6">
        <f t="shared" si="1"/>
        <v>0</v>
      </c>
    </row>
    <row r="747">
      <c r="C747" s="6">
        <f t="shared" si="1"/>
        <v>0</v>
      </c>
    </row>
    <row r="748">
      <c r="C748" s="6">
        <f t="shared" si="1"/>
        <v>0</v>
      </c>
    </row>
    <row r="749">
      <c r="C749" s="6">
        <f t="shared" si="1"/>
        <v>0</v>
      </c>
    </row>
    <row r="750">
      <c r="C750" s="6">
        <f t="shared" si="1"/>
        <v>0</v>
      </c>
    </row>
    <row r="751">
      <c r="C751" s="6">
        <f t="shared" si="1"/>
        <v>0</v>
      </c>
    </row>
    <row r="752">
      <c r="C752" s="6">
        <f t="shared" si="1"/>
        <v>0</v>
      </c>
    </row>
    <row r="753">
      <c r="C753" s="6">
        <f t="shared" si="1"/>
        <v>0</v>
      </c>
    </row>
    <row r="754">
      <c r="C754" s="6">
        <f t="shared" si="1"/>
        <v>0</v>
      </c>
    </row>
    <row r="755">
      <c r="C755" s="6">
        <f t="shared" si="1"/>
        <v>0</v>
      </c>
    </row>
    <row r="756">
      <c r="C756" s="6">
        <f t="shared" si="1"/>
        <v>0</v>
      </c>
    </row>
    <row r="757">
      <c r="C757" s="6">
        <f t="shared" si="1"/>
        <v>0</v>
      </c>
    </row>
    <row r="758">
      <c r="C758" s="6">
        <f t="shared" si="1"/>
        <v>0</v>
      </c>
    </row>
    <row r="759">
      <c r="C759" s="6">
        <f t="shared" si="1"/>
        <v>0</v>
      </c>
    </row>
    <row r="760">
      <c r="C760" s="6">
        <f t="shared" si="1"/>
        <v>0</v>
      </c>
    </row>
    <row r="761">
      <c r="C761" s="6">
        <f t="shared" si="1"/>
        <v>0</v>
      </c>
    </row>
    <row r="762">
      <c r="C762" s="6">
        <f t="shared" si="1"/>
        <v>0</v>
      </c>
    </row>
    <row r="763">
      <c r="C763" s="6">
        <f t="shared" si="1"/>
        <v>0</v>
      </c>
    </row>
    <row r="764">
      <c r="C764" s="6">
        <f t="shared" si="1"/>
        <v>0</v>
      </c>
    </row>
    <row r="765">
      <c r="C765" s="6">
        <f t="shared" si="1"/>
        <v>0</v>
      </c>
    </row>
    <row r="766">
      <c r="C766" s="6">
        <f t="shared" si="1"/>
        <v>0</v>
      </c>
    </row>
    <row r="767">
      <c r="C767" s="6">
        <f t="shared" si="1"/>
        <v>0</v>
      </c>
    </row>
    <row r="768">
      <c r="C768" s="6">
        <f t="shared" si="1"/>
        <v>0</v>
      </c>
    </row>
    <row r="769">
      <c r="C769" s="6">
        <f t="shared" si="1"/>
        <v>0</v>
      </c>
    </row>
    <row r="770">
      <c r="C770" s="6">
        <f t="shared" si="1"/>
        <v>0</v>
      </c>
    </row>
    <row r="771">
      <c r="C771" s="6">
        <f t="shared" si="1"/>
        <v>0</v>
      </c>
    </row>
    <row r="772">
      <c r="C772" s="6">
        <f t="shared" si="1"/>
        <v>0</v>
      </c>
    </row>
    <row r="773">
      <c r="C773" s="6">
        <f t="shared" si="1"/>
        <v>0</v>
      </c>
    </row>
    <row r="774">
      <c r="C774" s="6">
        <f t="shared" si="1"/>
        <v>0</v>
      </c>
    </row>
    <row r="775">
      <c r="C775" s="6">
        <f t="shared" si="1"/>
        <v>0</v>
      </c>
    </row>
    <row r="776">
      <c r="C776" s="6">
        <f t="shared" si="1"/>
        <v>0</v>
      </c>
    </row>
    <row r="777">
      <c r="C777" s="6">
        <f t="shared" si="1"/>
        <v>0</v>
      </c>
    </row>
    <row r="778">
      <c r="C778" s="6">
        <f t="shared" si="1"/>
        <v>0</v>
      </c>
    </row>
    <row r="779">
      <c r="C779" s="6">
        <f t="shared" si="1"/>
        <v>0</v>
      </c>
    </row>
    <row r="780">
      <c r="C780" s="6">
        <f t="shared" si="1"/>
        <v>0</v>
      </c>
    </row>
    <row r="781">
      <c r="C781" s="6">
        <f t="shared" si="1"/>
        <v>0</v>
      </c>
    </row>
    <row r="782">
      <c r="C782" s="6">
        <f t="shared" si="1"/>
        <v>0</v>
      </c>
    </row>
    <row r="783">
      <c r="C783" s="6">
        <f t="shared" si="1"/>
        <v>0</v>
      </c>
    </row>
    <row r="784">
      <c r="C784" s="6">
        <f t="shared" si="1"/>
        <v>0</v>
      </c>
    </row>
    <row r="785">
      <c r="C785" s="6">
        <f t="shared" si="1"/>
        <v>0</v>
      </c>
    </row>
    <row r="786">
      <c r="C786" s="6">
        <f t="shared" si="1"/>
        <v>0</v>
      </c>
    </row>
    <row r="787">
      <c r="C787" s="6">
        <f t="shared" si="1"/>
        <v>0</v>
      </c>
    </row>
    <row r="788">
      <c r="C788" s="6">
        <f t="shared" si="1"/>
        <v>0</v>
      </c>
    </row>
    <row r="789">
      <c r="C789" s="6">
        <f t="shared" si="1"/>
        <v>0</v>
      </c>
    </row>
    <row r="790">
      <c r="C790" s="6">
        <f t="shared" si="1"/>
        <v>0</v>
      </c>
    </row>
    <row r="791">
      <c r="C791" s="6">
        <f t="shared" si="1"/>
        <v>0</v>
      </c>
    </row>
    <row r="792">
      <c r="C792" s="6">
        <f t="shared" si="1"/>
        <v>0</v>
      </c>
    </row>
    <row r="793">
      <c r="C793" s="6">
        <f t="shared" si="1"/>
        <v>0</v>
      </c>
    </row>
    <row r="794">
      <c r="C794" s="6">
        <f t="shared" si="1"/>
        <v>0</v>
      </c>
    </row>
    <row r="795">
      <c r="C795" s="6">
        <f t="shared" si="1"/>
        <v>0</v>
      </c>
    </row>
    <row r="796">
      <c r="C796" s="6">
        <f t="shared" si="1"/>
        <v>0</v>
      </c>
    </row>
    <row r="797">
      <c r="C797" s="6">
        <f t="shared" si="1"/>
        <v>0</v>
      </c>
    </row>
    <row r="798">
      <c r="C798" s="6">
        <f t="shared" si="1"/>
        <v>0</v>
      </c>
    </row>
    <row r="799">
      <c r="C799" s="6">
        <f t="shared" si="1"/>
        <v>0</v>
      </c>
    </row>
    <row r="800">
      <c r="C800" s="6">
        <f t="shared" si="1"/>
        <v>0</v>
      </c>
    </row>
    <row r="801">
      <c r="C801" s="6">
        <f t="shared" si="1"/>
        <v>0</v>
      </c>
    </row>
    <row r="802">
      <c r="C802" s="6">
        <f t="shared" si="1"/>
        <v>0</v>
      </c>
    </row>
    <row r="803">
      <c r="C803" s="6">
        <f t="shared" si="1"/>
        <v>0</v>
      </c>
    </row>
    <row r="804">
      <c r="C804" s="6">
        <f t="shared" si="1"/>
        <v>0</v>
      </c>
    </row>
    <row r="805">
      <c r="C805" s="6">
        <f t="shared" si="1"/>
        <v>0</v>
      </c>
    </row>
    <row r="806">
      <c r="C806" s="6">
        <f t="shared" si="1"/>
        <v>0</v>
      </c>
    </row>
    <row r="807">
      <c r="C807" s="6">
        <f t="shared" si="1"/>
        <v>0</v>
      </c>
    </row>
    <row r="808">
      <c r="C808" s="6">
        <f t="shared" si="1"/>
        <v>0</v>
      </c>
    </row>
    <row r="809">
      <c r="C809" s="6">
        <f t="shared" si="1"/>
        <v>0</v>
      </c>
    </row>
    <row r="810">
      <c r="C810" s="6">
        <f t="shared" si="1"/>
        <v>0</v>
      </c>
    </row>
    <row r="811">
      <c r="C811" s="6">
        <f t="shared" si="1"/>
        <v>0</v>
      </c>
    </row>
    <row r="812">
      <c r="C812" s="6">
        <f t="shared" si="1"/>
        <v>0</v>
      </c>
    </row>
    <row r="813">
      <c r="C813" s="6">
        <f t="shared" si="1"/>
        <v>0</v>
      </c>
    </row>
    <row r="814">
      <c r="C814" s="6">
        <f t="shared" si="1"/>
        <v>0</v>
      </c>
    </row>
    <row r="815">
      <c r="C815" s="6">
        <f t="shared" si="1"/>
        <v>0</v>
      </c>
    </row>
    <row r="816">
      <c r="C816" s="6">
        <f t="shared" si="1"/>
        <v>0</v>
      </c>
    </row>
    <row r="817">
      <c r="C817" s="6">
        <f t="shared" si="1"/>
        <v>0</v>
      </c>
    </row>
    <row r="818">
      <c r="C818" s="6">
        <f t="shared" si="1"/>
        <v>0</v>
      </c>
    </row>
    <row r="819">
      <c r="C819" s="6">
        <f t="shared" si="1"/>
        <v>0</v>
      </c>
    </row>
    <row r="820">
      <c r="C820" s="6">
        <f t="shared" si="1"/>
        <v>0</v>
      </c>
    </row>
    <row r="821">
      <c r="C821" s="6">
        <f t="shared" si="1"/>
        <v>0</v>
      </c>
    </row>
    <row r="822">
      <c r="C822" s="6">
        <f t="shared" si="1"/>
        <v>0</v>
      </c>
    </row>
    <row r="823">
      <c r="C823" s="6">
        <f t="shared" si="1"/>
        <v>0</v>
      </c>
    </row>
    <row r="824">
      <c r="C824" s="6">
        <f t="shared" si="1"/>
        <v>0</v>
      </c>
    </row>
    <row r="825">
      <c r="C825" s="6">
        <f t="shared" si="1"/>
        <v>0</v>
      </c>
    </row>
    <row r="826">
      <c r="C826" s="6">
        <f t="shared" si="1"/>
        <v>0</v>
      </c>
    </row>
    <row r="827">
      <c r="C827" s="6">
        <f t="shared" si="1"/>
        <v>0</v>
      </c>
    </row>
    <row r="828">
      <c r="C828" s="6">
        <f t="shared" si="1"/>
        <v>0</v>
      </c>
    </row>
    <row r="829">
      <c r="C829" s="6">
        <f t="shared" si="1"/>
        <v>0</v>
      </c>
    </row>
    <row r="830">
      <c r="C830" s="6">
        <f t="shared" si="1"/>
        <v>0</v>
      </c>
    </row>
    <row r="831">
      <c r="C831" s="6">
        <f t="shared" si="1"/>
        <v>0</v>
      </c>
    </row>
    <row r="832">
      <c r="C832" s="6">
        <f t="shared" si="1"/>
        <v>0</v>
      </c>
    </row>
    <row r="833">
      <c r="C833" s="6">
        <f t="shared" si="1"/>
        <v>0</v>
      </c>
    </row>
    <row r="834">
      <c r="C834" s="6">
        <f t="shared" si="1"/>
        <v>0</v>
      </c>
    </row>
    <row r="835">
      <c r="C835" s="6">
        <f t="shared" si="1"/>
        <v>0</v>
      </c>
    </row>
    <row r="836">
      <c r="C836" s="6">
        <f t="shared" si="1"/>
        <v>0</v>
      </c>
    </row>
    <row r="837">
      <c r="C837" s="6">
        <f t="shared" si="1"/>
        <v>0</v>
      </c>
    </row>
    <row r="838">
      <c r="C838" s="6">
        <f t="shared" si="1"/>
        <v>0</v>
      </c>
    </row>
    <row r="839">
      <c r="C839" s="6">
        <f t="shared" si="1"/>
        <v>0</v>
      </c>
    </row>
    <row r="840">
      <c r="C840" s="6">
        <f t="shared" si="1"/>
        <v>0</v>
      </c>
    </row>
    <row r="841">
      <c r="C841" s="6">
        <f t="shared" si="1"/>
        <v>0</v>
      </c>
    </row>
    <row r="842">
      <c r="C842" s="6">
        <f t="shared" si="1"/>
        <v>0</v>
      </c>
    </row>
    <row r="843">
      <c r="C843" s="6">
        <f t="shared" si="1"/>
        <v>0</v>
      </c>
    </row>
    <row r="844">
      <c r="C844" s="6">
        <f t="shared" si="1"/>
        <v>0</v>
      </c>
    </row>
    <row r="845">
      <c r="C845" s="6">
        <f t="shared" si="1"/>
        <v>0</v>
      </c>
    </row>
    <row r="846">
      <c r="C846" s="6">
        <f t="shared" si="1"/>
        <v>0</v>
      </c>
    </row>
    <row r="847">
      <c r="C847" s="6">
        <f t="shared" si="1"/>
        <v>0</v>
      </c>
    </row>
    <row r="848">
      <c r="C848" s="6">
        <f t="shared" si="1"/>
        <v>0</v>
      </c>
    </row>
    <row r="849">
      <c r="C849" s="6">
        <f t="shared" si="1"/>
        <v>0</v>
      </c>
    </row>
    <row r="850">
      <c r="C850" s="6">
        <f t="shared" si="1"/>
        <v>0</v>
      </c>
    </row>
    <row r="851">
      <c r="C851" s="6">
        <f t="shared" si="1"/>
        <v>0</v>
      </c>
    </row>
    <row r="852">
      <c r="C852" s="6">
        <f t="shared" si="1"/>
        <v>0</v>
      </c>
    </row>
    <row r="853">
      <c r="C853" s="6">
        <f t="shared" si="1"/>
        <v>0</v>
      </c>
    </row>
    <row r="854">
      <c r="C854" s="6">
        <f t="shared" si="1"/>
        <v>0</v>
      </c>
    </row>
    <row r="855">
      <c r="C855" s="6">
        <f t="shared" si="1"/>
        <v>0</v>
      </c>
    </row>
    <row r="856">
      <c r="C856" s="6">
        <f t="shared" si="1"/>
        <v>0</v>
      </c>
    </row>
    <row r="857">
      <c r="C857" s="6">
        <f t="shared" si="1"/>
        <v>0</v>
      </c>
    </row>
    <row r="858">
      <c r="C858" s="6">
        <f t="shared" si="1"/>
        <v>0</v>
      </c>
    </row>
    <row r="859">
      <c r="C859" s="6">
        <f t="shared" si="1"/>
        <v>0</v>
      </c>
    </row>
    <row r="860">
      <c r="C860" s="6">
        <f t="shared" si="1"/>
        <v>0</v>
      </c>
    </row>
    <row r="861">
      <c r="C861" s="6">
        <f t="shared" si="1"/>
        <v>0</v>
      </c>
    </row>
    <row r="862">
      <c r="C862" s="6">
        <f t="shared" si="1"/>
        <v>0</v>
      </c>
    </row>
    <row r="863">
      <c r="C863" s="6">
        <f t="shared" si="1"/>
        <v>0</v>
      </c>
    </row>
    <row r="864">
      <c r="C864" s="6">
        <f t="shared" si="1"/>
        <v>0</v>
      </c>
    </row>
    <row r="865">
      <c r="C865" s="6">
        <f t="shared" si="1"/>
        <v>0</v>
      </c>
    </row>
    <row r="866">
      <c r="C866" s="6">
        <f t="shared" si="1"/>
        <v>0</v>
      </c>
    </row>
    <row r="867">
      <c r="C867" s="6">
        <f t="shared" si="1"/>
        <v>0</v>
      </c>
    </row>
    <row r="868">
      <c r="C868" s="6">
        <f t="shared" si="1"/>
        <v>0</v>
      </c>
    </row>
    <row r="869">
      <c r="C869" s="6">
        <f t="shared" si="1"/>
        <v>0</v>
      </c>
    </row>
    <row r="870">
      <c r="C870" s="6">
        <f t="shared" si="1"/>
        <v>0</v>
      </c>
    </row>
    <row r="871">
      <c r="C871" s="6">
        <f t="shared" si="1"/>
        <v>0</v>
      </c>
    </row>
    <row r="872">
      <c r="C872" s="6">
        <f t="shared" si="1"/>
        <v>0</v>
      </c>
    </row>
    <row r="873">
      <c r="C873" s="6">
        <f t="shared" si="1"/>
        <v>0</v>
      </c>
    </row>
    <row r="874">
      <c r="C874" s="6">
        <f t="shared" si="1"/>
        <v>0</v>
      </c>
    </row>
    <row r="875">
      <c r="C875" s="6">
        <f t="shared" si="1"/>
        <v>0</v>
      </c>
    </row>
    <row r="876">
      <c r="C876" s="6">
        <f t="shared" si="1"/>
        <v>0</v>
      </c>
    </row>
    <row r="877">
      <c r="C877" s="6">
        <f t="shared" si="1"/>
        <v>0</v>
      </c>
    </row>
    <row r="878">
      <c r="C878" s="6">
        <f t="shared" si="1"/>
        <v>0</v>
      </c>
    </row>
    <row r="879">
      <c r="C879" s="6">
        <f t="shared" si="1"/>
        <v>0</v>
      </c>
    </row>
    <row r="880">
      <c r="C880" s="6">
        <f t="shared" si="1"/>
        <v>0</v>
      </c>
    </row>
    <row r="881">
      <c r="C881" s="6">
        <f t="shared" si="1"/>
        <v>0</v>
      </c>
    </row>
    <row r="882">
      <c r="C882" s="6">
        <f t="shared" si="1"/>
        <v>0</v>
      </c>
    </row>
    <row r="883">
      <c r="C883" s="6">
        <f t="shared" si="1"/>
        <v>0</v>
      </c>
    </row>
    <row r="884">
      <c r="C884" s="6">
        <f t="shared" si="1"/>
        <v>0</v>
      </c>
    </row>
    <row r="885">
      <c r="C885" s="6">
        <f t="shared" si="1"/>
        <v>0</v>
      </c>
    </row>
    <row r="886">
      <c r="C886" s="6">
        <f t="shared" si="1"/>
        <v>0</v>
      </c>
    </row>
    <row r="887">
      <c r="C887" s="6">
        <f t="shared" si="1"/>
        <v>0</v>
      </c>
    </row>
    <row r="888">
      <c r="C888" s="6">
        <f t="shared" si="1"/>
        <v>0</v>
      </c>
    </row>
    <row r="889">
      <c r="C889" s="6">
        <f t="shared" si="1"/>
        <v>0</v>
      </c>
    </row>
    <row r="890">
      <c r="C890" s="6">
        <f t="shared" si="1"/>
        <v>0</v>
      </c>
    </row>
    <row r="891">
      <c r="C891" s="6">
        <f t="shared" si="1"/>
        <v>0</v>
      </c>
    </row>
    <row r="892">
      <c r="C892" s="6">
        <f t="shared" si="1"/>
        <v>0</v>
      </c>
    </row>
    <row r="893">
      <c r="C893" s="6">
        <f t="shared" si="1"/>
        <v>0</v>
      </c>
    </row>
    <row r="894">
      <c r="C894" s="6">
        <f t="shared" si="1"/>
        <v>0</v>
      </c>
    </row>
    <row r="895">
      <c r="C895" s="6">
        <f t="shared" si="1"/>
        <v>0</v>
      </c>
    </row>
    <row r="896">
      <c r="C896" s="6">
        <f t="shared" si="1"/>
        <v>0</v>
      </c>
    </row>
    <row r="897">
      <c r="C897" s="6">
        <f t="shared" si="1"/>
        <v>0</v>
      </c>
    </row>
    <row r="898">
      <c r="C898" s="6">
        <f t="shared" si="1"/>
        <v>0</v>
      </c>
    </row>
    <row r="899">
      <c r="C899" s="6">
        <f t="shared" si="1"/>
        <v>0</v>
      </c>
    </row>
    <row r="900">
      <c r="C900" s="6">
        <f t="shared" si="1"/>
        <v>0</v>
      </c>
    </row>
    <row r="901">
      <c r="C901" s="6">
        <f t="shared" si="1"/>
        <v>0</v>
      </c>
    </row>
    <row r="902">
      <c r="C902" s="6">
        <f t="shared" si="1"/>
        <v>0</v>
      </c>
    </row>
    <row r="903">
      <c r="C903" s="6">
        <f t="shared" si="1"/>
        <v>0</v>
      </c>
    </row>
    <row r="904">
      <c r="C904" s="6">
        <f t="shared" si="1"/>
        <v>0</v>
      </c>
    </row>
    <row r="905">
      <c r="C905" s="6">
        <f t="shared" si="1"/>
        <v>0</v>
      </c>
    </row>
    <row r="906">
      <c r="C906" s="6">
        <f t="shared" si="1"/>
        <v>0</v>
      </c>
    </row>
    <row r="907">
      <c r="C907" s="6">
        <f t="shared" si="1"/>
        <v>0</v>
      </c>
    </row>
    <row r="908">
      <c r="C908" s="6">
        <f t="shared" si="1"/>
        <v>0</v>
      </c>
    </row>
    <row r="909">
      <c r="C909" s="6">
        <f t="shared" si="1"/>
        <v>0</v>
      </c>
    </row>
    <row r="910">
      <c r="C910" s="6">
        <f t="shared" si="1"/>
        <v>0</v>
      </c>
    </row>
    <row r="911">
      <c r="C911" s="6">
        <f t="shared" si="1"/>
        <v>0</v>
      </c>
    </row>
    <row r="912">
      <c r="C912" s="6">
        <f t="shared" si="1"/>
        <v>0</v>
      </c>
    </row>
    <row r="913">
      <c r="C913" s="6">
        <f t="shared" si="1"/>
        <v>0</v>
      </c>
    </row>
    <row r="914">
      <c r="C914" s="6">
        <f t="shared" si="1"/>
        <v>0</v>
      </c>
    </row>
    <row r="915">
      <c r="C915" s="6">
        <f t="shared" si="1"/>
        <v>0</v>
      </c>
    </row>
    <row r="916">
      <c r="C916" s="6">
        <f t="shared" si="1"/>
        <v>0</v>
      </c>
    </row>
    <row r="917">
      <c r="C917" s="6">
        <f t="shared" si="1"/>
        <v>0</v>
      </c>
    </row>
    <row r="918">
      <c r="C918" s="6">
        <f t="shared" si="1"/>
        <v>0</v>
      </c>
    </row>
    <row r="919">
      <c r="C919" s="6">
        <f t="shared" si="1"/>
        <v>0</v>
      </c>
    </row>
    <row r="920">
      <c r="C920" s="6">
        <f t="shared" si="1"/>
        <v>0</v>
      </c>
    </row>
    <row r="921">
      <c r="C921" s="6">
        <f t="shared" si="1"/>
        <v>0</v>
      </c>
    </row>
    <row r="922">
      <c r="C922" s="6">
        <f t="shared" si="1"/>
        <v>0</v>
      </c>
    </row>
    <row r="923">
      <c r="C923" s="6">
        <f t="shared" si="1"/>
        <v>0</v>
      </c>
    </row>
    <row r="924">
      <c r="C924" s="6">
        <f t="shared" si="1"/>
        <v>0</v>
      </c>
    </row>
    <row r="925">
      <c r="C925" s="6">
        <f t="shared" si="1"/>
        <v>0</v>
      </c>
    </row>
    <row r="926">
      <c r="C926" s="6">
        <f t="shared" si="1"/>
        <v>0</v>
      </c>
    </row>
    <row r="927">
      <c r="C927" s="6">
        <f t="shared" si="1"/>
        <v>0</v>
      </c>
    </row>
    <row r="928">
      <c r="C928" s="6">
        <f t="shared" si="1"/>
        <v>0</v>
      </c>
    </row>
    <row r="929">
      <c r="C929" s="6">
        <f t="shared" si="1"/>
        <v>0</v>
      </c>
    </row>
    <row r="930">
      <c r="C930" s="6">
        <f t="shared" si="1"/>
        <v>0</v>
      </c>
    </row>
    <row r="931">
      <c r="C931" s="6">
        <f t="shared" si="1"/>
        <v>0</v>
      </c>
    </row>
    <row r="932">
      <c r="C932" s="6">
        <f t="shared" si="1"/>
        <v>0</v>
      </c>
    </row>
    <row r="933">
      <c r="C933" s="6">
        <f t="shared" si="1"/>
        <v>0</v>
      </c>
    </row>
    <row r="934">
      <c r="C934" s="6">
        <f t="shared" si="1"/>
        <v>0</v>
      </c>
    </row>
    <row r="935">
      <c r="C935" s="6">
        <f t="shared" si="1"/>
        <v>0</v>
      </c>
    </row>
    <row r="936">
      <c r="C936" s="6">
        <f t="shared" si="1"/>
        <v>0</v>
      </c>
    </row>
    <row r="937">
      <c r="C937" s="6">
        <f t="shared" si="1"/>
        <v>0</v>
      </c>
    </row>
    <row r="938">
      <c r="C938" s="6">
        <f t="shared" si="1"/>
        <v>0</v>
      </c>
    </row>
    <row r="939">
      <c r="C939" s="6">
        <f t="shared" si="1"/>
        <v>0</v>
      </c>
    </row>
    <row r="940">
      <c r="C940" s="6">
        <f t="shared" si="1"/>
        <v>0</v>
      </c>
    </row>
    <row r="941">
      <c r="C941" s="6">
        <f t="shared" si="1"/>
        <v>0</v>
      </c>
    </row>
    <row r="942">
      <c r="C942" s="6">
        <f t="shared" si="1"/>
        <v>0</v>
      </c>
    </row>
    <row r="943">
      <c r="C943" s="6">
        <f t="shared" si="1"/>
        <v>0</v>
      </c>
    </row>
    <row r="944">
      <c r="C944" s="6">
        <f t="shared" si="1"/>
        <v>0</v>
      </c>
    </row>
    <row r="945">
      <c r="C945" s="6">
        <f t="shared" si="1"/>
        <v>0</v>
      </c>
    </row>
    <row r="946">
      <c r="C946" s="6">
        <f t="shared" si="1"/>
        <v>0</v>
      </c>
    </row>
    <row r="947">
      <c r="C947" s="6">
        <f t="shared" si="1"/>
        <v>0</v>
      </c>
    </row>
    <row r="948">
      <c r="C948" s="6">
        <f t="shared" si="1"/>
        <v>0</v>
      </c>
    </row>
    <row r="949">
      <c r="C949" s="6">
        <f t="shared" si="1"/>
        <v>0</v>
      </c>
    </row>
    <row r="950">
      <c r="C950" s="6">
        <f t="shared" si="1"/>
        <v>0</v>
      </c>
    </row>
    <row r="951">
      <c r="C951" s="6">
        <f t="shared" si="1"/>
        <v>0</v>
      </c>
    </row>
    <row r="952">
      <c r="C952" s="6">
        <f t="shared" si="1"/>
        <v>0</v>
      </c>
    </row>
    <row r="953">
      <c r="C953" s="6">
        <f t="shared" si="1"/>
        <v>0</v>
      </c>
    </row>
    <row r="954">
      <c r="C954" s="6">
        <f t="shared" si="1"/>
        <v>0</v>
      </c>
    </row>
    <row r="955">
      <c r="C955" s="6">
        <f t="shared" si="1"/>
        <v>0</v>
      </c>
    </row>
    <row r="956">
      <c r="C956" s="6">
        <f t="shared" si="1"/>
        <v>0</v>
      </c>
    </row>
    <row r="957">
      <c r="C957" s="6">
        <f t="shared" si="1"/>
        <v>0</v>
      </c>
    </row>
    <row r="958">
      <c r="C958" s="6">
        <f t="shared" si="1"/>
        <v>0</v>
      </c>
    </row>
    <row r="959">
      <c r="C959" s="6">
        <f t="shared" si="1"/>
        <v>0</v>
      </c>
    </row>
    <row r="960">
      <c r="C960" s="6">
        <f t="shared" si="1"/>
        <v>0</v>
      </c>
    </row>
    <row r="961">
      <c r="C961" s="6">
        <f t="shared" si="1"/>
        <v>0</v>
      </c>
    </row>
    <row r="962">
      <c r="C962" s="6">
        <f t="shared" si="1"/>
        <v>0</v>
      </c>
    </row>
    <row r="963">
      <c r="C963" s="6">
        <f t="shared" si="1"/>
        <v>0</v>
      </c>
    </row>
    <row r="964">
      <c r="C964" s="6">
        <f t="shared" si="1"/>
        <v>0</v>
      </c>
    </row>
    <row r="965">
      <c r="C965" s="6">
        <f t="shared" si="1"/>
        <v>0</v>
      </c>
    </row>
    <row r="966">
      <c r="C966" s="6">
        <f t="shared" si="1"/>
        <v>0</v>
      </c>
    </row>
    <row r="967">
      <c r="C967" s="6">
        <f t="shared" si="1"/>
        <v>0</v>
      </c>
    </row>
    <row r="968">
      <c r="C968" s="6">
        <f t="shared" si="1"/>
        <v>0</v>
      </c>
    </row>
    <row r="969">
      <c r="C969" s="6">
        <f t="shared" si="1"/>
        <v>0</v>
      </c>
    </row>
    <row r="970">
      <c r="C970" s="6">
        <f t="shared" si="1"/>
        <v>0</v>
      </c>
    </row>
    <row r="971">
      <c r="C971" s="6">
        <f t="shared" si="1"/>
        <v>0</v>
      </c>
    </row>
    <row r="972">
      <c r="C972" s="6">
        <f t="shared" si="1"/>
        <v>0</v>
      </c>
    </row>
    <row r="973">
      <c r="C973" s="6">
        <f t="shared" si="1"/>
        <v>0</v>
      </c>
    </row>
    <row r="974">
      <c r="C974" s="6">
        <f t="shared" si="1"/>
        <v>0</v>
      </c>
    </row>
    <row r="975">
      <c r="C975" s="6">
        <f t="shared" si="1"/>
        <v>0</v>
      </c>
    </row>
    <row r="976">
      <c r="C976" s="6">
        <f t="shared" si="1"/>
        <v>0</v>
      </c>
    </row>
    <row r="977">
      <c r="C977" s="6">
        <f t="shared" si="1"/>
        <v>0</v>
      </c>
    </row>
    <row r="978">
      <c r="C978" s="6">
        <f t="shared" si="1"/>
        <v>0</v>
      </c>
    </row>
    <row r="979">
      <c r="C979" s="6">
        <f t="shared" si="1"/>
        <v>0</v>
      </c>
    </row>
    <row r="980">
      <c r="C980" s="6">
        <f t="shared" si="1"/>
        <v>0</v>
      </c>
    </row>
    <row r="981">
      <c r="C981" s="6">
        <f t="shared" si="1"/>
        <v>0</v>
      </c>
    </row>
    <row r="982">
      <c r="C982" s="6">
        <f t="shared" si="1"/>
        <v>0</v>
      </c>
    </row>
    <row r="983">
      <c r="C983" s="6">
        <f t="shared" si="1"/>
        <v>0</v>
      </c>
    </row>
    <row r="984">
      <c r="C984" s="6">
        <f t="shared" si="1"/>
        <v>0</v>
      </c>
    </row>
    <row r="985">
      <c r="C985" s="6">
        <f t="shared" si="1"/>
        <v>0</v>
      </c>
    </row>
    <row r="986">
      <c r="C986" s="6">
        <f t="shared" si="1"/>
        <v>0</v>
      </c>
    </row>
    <row r="987">
      <c r="C987" s="6">
        <f t="shared" si="1"/>
        <v>0</v>
      </c>
    </row>
    <row r="988">
      <c r="C988" s="6">
        <f t="shared" si="1"/>
        <v>0</v>
      </c>
    </row>
    <row r="989">
      <c r="C989" s="6">
        <f t="shared" si="1"/>
        <v>0</v>
      </c>
    </row>
    <row r="990">
      <c r="C990" s="6">
        <f t="shared" si="1"/>
        <v>0</v>
      </c>
    </row>
    <row r="991">
      <c r="C991" s="6">
        <f t="shared" si="1"/>
        <v>0</v>
      </c>
    </row>
    <row r="992">
      <c r="C992" s="6">
        <f t="shared" si="1"/>
        <v>0</v>
      </c>
    </row>
    <row r="993">
      <c r="C993" s="6">
        <f t="shared" si="1"/>
        <v>0</v>
      </c>
    </row>
    <row r="994">
      <c r="C994" s="6">
        <f t="shared" si="1"/>
        <v>0</v>
      </c>
    </row>
    <row r="995">
      <c r="C995" s="6">
        <f t="shared" si="1"/>
        <v>0</v>
      </c>
    </row>
    <row r="996">
      <c r="C996" s="6">
        <f t="shared" si="1"/>
        <v>0</v>
      </c>
    </row>
    <row r="997">
      <c r="C997" s="6">
        <f t="shared" si="1"/>
        <v>0</v>
      </c>
    </row>
    <row r="998">
      <c r="C998" s="6">
        <f t="shared" si="1"/>
        <v>0</v>
      </c>
    </row>
    <row r="999">
      <c r="C999" s="6">
        <f t="shared" si="1"/>
        <v>0</v>
      </c>
    </row>
    <row r="1000">
      <c r="C1000" s="6">
        <f t="shared" si="1"/>
        <v>0</v>
      </c>
    </row>
    <row r="1001">
      <c r="C1001" s="6">
        <f t="shared" si="1"/>
        <v>0</v>
      </c>
    </row>
    <row r="1002">
      <c r="C1002" s="6">
        <f t="shared" si="1"/>
        <v>0</v>
      </c>
    </row>
    <row r="1003">
      <c r="C1003" s="6">
        <f t="shared" si="1"/>
        <v>0</v>
      </c>
    </row>
    <row r="1004">
      <c r="C1004" s="6">
        <f t="shared" si="1"/>
        <v>0</v>
      </c>
    </row>
    <row r="1005">
      <c r="C1005" s="6">
        <f t="shared" si="1"/>
        <v>0</v>
      </c>
    </row>
    <row r="1006">
      <c r="C1006" s="6">
        <f t="shared" si="1"/>
        <v>0</v>
      </c>
    </row>
    <row r="1007">
      <c r="C1007" s="6">
        <f t="shared" si="1"/>
        <v>0</v>
      </c>
    </row>
    <row r="1008">
      <c r="C1008" s="6">
        <f t="shared" si="1"/>
        <v>0</v>
      </c>
    </row>
    <row r="1009">
      <c r="C1009" s="6">
        <f t="shared" si="1"/>
        <v>0</v>
      </c>
    </row>
    <row r="1010">
      <c r="C1010" s="6">
        <f t="shared" si="1"/>
        <v>0</v>
      </c>
    </row>
    <row r="1011">
      <c r="C1011" s="6">
        <f t="shared" si="1"/>
        <v>0</v>
      </c>
    </row>
    <row r="1012">
      <c r="C1012" s="6">
        <f t="shared" si="1"/>
        <v>0</v>
      </c>
    </row>
    <row r="1013">
      <c r="C1013" s="6">
        <f t="shared" si="1"/>
        <v>0</v>
      </c>
    </row>
    <row r="1014">
      <c r="C1014" s="6">
        <f t="shared" si="1"/>
        <v>0</v>
      </c>
    </row>
    <row r="1015">
      <c r="C1015" s="6">
        <f t="shared" si="1"/>
        <v>0</v>
      </c>
    </row>
    <row r="1016">
      <c r="C1016" s="6">
        <f t="shared" si="1"/>
        <v>0</v>
      </c>
    </row>
    <row r="1017">
      <c r="C1017" s="6">
        <f t="shared" si="1"/>
        <v>0</v>
      </c>
    </row>
    <row r="1018">
      <c r="C1018" s="6">
        <f t="shared" si="1"/>
        <v>0</v>
      </c>
    </row>
    <row r="1019">
      <c r="C1019" s="6">
        <f t="shared" si="1"/>
        <v>0</v>
      </c>
    </row>
    <row r="1020">
      <c r="C1020" s="6">
        <f t="shared" si="1"/>
        <v>0</v>
      </c>
    </row>
    <row r="1021">
      <c r="C1021" s="6">
        <f t="shared" si="1"/>
        <v>0</v>
      </c>
    </row>
    <row r="1022">
      <c r="C1022" s="6">
        <f t="shared" si="1"/>
        <v>0</v>
      </c>
    </row>
    <row r="1023">
      <c r="C1023" s="6">
        <f t="shared" si="1"/>
        <v>0</v>
      </c>
    </row>
    <row r="1024">
      <c r="C1024" s="6">
        <f t="shared" si="1"/>
        <v>0</v>
      </c>
    </row>
    <row r="1025">
      <c r="C1025" s="6">
        <f t="shared" si="1"/>
        <v>0</v>
      </c>
    </row>
    <row r="1026">
      <c r="C1026" s="6">
        <f t="shared" si="1"/>
        <v>0</v>
      </c>
    </row>
    <row r="1027">
      <c r="C1027" s="6">
        <f t="shared" si="1"/>
        <v>0</v>
      </c>
    </row>
    <row r="1028">
      <c r="C1028" s="6">
        <f t="shared" si="1"/>
        <v>0</v>
      </c>
    </row>
    <row r="1029">
      <c r="C1029" s="6">
        <f t="shared" si="1"/>
        <v>0</v>
      </c>
    </row>
    <row r="1030">
      <c r="C1030" s="6">
        <f t="shared" si="1"/>
        <v>0</v>
      </c>
    </row>
    <row r="1031">
      <c r="C1031" s="6">
        <f t="shared" si="1"/>
        <v>0</v>
      </c>
    </row>
    <row r="1032">
      <c r="C1032" s="6">
        <f t="shared" si="1"/>
        <v>0</v>
      </c>
    </row>
    <row r="1033">
      <c r="C1033" s="6">
        <f t="shared" si="1"/>
        <v>0</v>
      </c>
    </row>
    <row r="1034">
      <c r="C1034" s="6">
        <f t="shared" si="1"/>
        <v>0</v>
      </c>
    </row>
    <row r="1035">
      <c r="C1035" s="6">
        <f t="shared" si="1"/>
        <v>0</v>
      </c>
    </row>
    <row r="1036">
      <c r="C1036" s="6">
        <f t="shared" si="1"/>
        <v>0</v>
      </c>
    </row>
    <row r="1037">
      <c r="C1037" s="6">
        <f t="shared" si="1"/>
        <v>0</v>
      </c>
    </row>
    <row r="1038">
      <c r="C1038" s="6">
        <f t="shared" si="1"/>
        <v>0</v>
      </c>
    </row>
    <row r="1039">
      <c r="C1039" s="6">
        <f t="shared" si="1"/>
        <v>0</v>
      </c>
    </row>
    <row r="1040">
      <c r="C1040" s="6">
        <f t="shared" si="1"/>
        <v>0</v>
      </c>
    </row>
    <row r="1041">
      <c r="C1041" s="6">
        <f t="shared" si="1"/>
        <v>0</v>
      </c>
    </row>
    <row r="1042">
      <c r="C1042" s="6">
        <f t="shared" si="1"/>
        <v>0</v>
      </c>
    </row>
    <row r="1043">
      <c r="C1043" s="6">
        <f t="shared" si="1"/>
        <v>0</v>
      </c>
    </row>
    <row r="1044">
      <c r="C1044" s="6">
        <f t="shared" si="1"/>
        <v>0</v>
      </c>
    </row>
    <row r="1045">
      <c r="C1045" s="6">
        <f t="shared" si="1"/>
        <v>0</v>
      </c>
    </row>
    <row r="1046">
      <c r="C1046" s="6">
        <f t="shared" si="1"/>
        <v>0</v>
      </c>
    </row>
    <row r="1047">
      <c r="C1047" s="6">
        <f t="shared" si="1"/>
        <v>0</v>
      </c>
    </row>
    <row r="1048">
      <c r="C1048" s="6">
        <f t="shared" si="1"/>
        <v>0</v>
      </c>
    </row>
    <row r="1049">
      <c r="C1049" s="6">
        <f t="shared" si="1"/>
        <v>0</v>
      </c>
    </row>
    <row r="1050">
      <c r="C1050" s="6">
        <f t="shared" si="1"/>
        <v>0</v>
      </c>
    </row>
    <row r="1051">
      <c r="C1051" s="6">
        <f t="shared" si="1"/>
        <v>0</v>
      </c>
    </row>
    <row r="1052">
      <c r="C1052" s="6">
        <f t="shared" si="1"/>
        <v>0</v>
      </c>
    </row>
    <row r="1053">
      <c r="C1053" s="6">
        <f t="shared" si="1"/>
        <v>0</v>
      </c>
    </row>
    <row r="1054">
      <c r="C1054" s="6">
        <f t="shared" si="1"/>
        <v>0</v>
      </c>
    </row>
    <row r="1055">
      <c r="C1055" s="6">
        <f t="shared" si="1"/>
        <v>0</v>
      </c>
    </row>
    <row r="1056">
      <c r="C1056" s="6">
        <f t="shared" si="1"/>
        <v>0</v>
      </c>
    </row>
    <row r="1057">
      <c r="C1057" s="6">
        <f t="shared" si="1"/>
        <v>0</v>
      </c>
    </row>
    <row r="1058">
      <c r="C1058" s="6">
        <f t="shared" si="1"/>
        <v>0</v>
      </c>
    </row>
    <row r="1059">
      <c r="C1059" s="6">
        <f t="shared" si="1"/>
        <v>0</v>
      </c>
    </row>
    <row r="1060">
      <c r="C1060" s="6">
        <f t="shared" si="1"/>
        <v>0</v>
      </c>
    </row>
    <row r="1061">
      <c r="C1061" s="6">
        <f t="shared" si="1"/>
        <v>0</v>
      </c>
    </row>
    <row r="1062">
      <c r="C1062" s="6">
        <f t="shared" si="1"/>
        <v>0</v>
      </c>
    </row>
    <row r="1063">
      <c r="C1063" s="6">
        <f t="shared" si="1"/>
        <v>0</v>
      </c>
    </row>
    <row r="1064">
      <c r="C1064" s="6">
        <f t="shared" si="1"/>
        <v>0</v>
      </c>
    </row>
    <row r="1065">
      <c r="C1065" s="6">
        <f t="shared" si="1"/>
        <v>0</v>
      </c>
    </row>
    <row r="1066">
      <c r="C1066" s="6">
        <f t="shared" si="1"/>
        <v>0</v>
      </c>
    </row>
    <row r="1067">
      <c r="C1067" s="6">
        <f t="shared" si="1"/>
        <v>0</v>
      </c>
    </row>
    <row r="1068">
      <c r="C1068" s="6">
        <f t="shared" si="1"/>
        <v>0</v>
      </c>
    </row>
    <row r="1069">
      <c r="C1069" s="6">
        <f t="shared" si="1"/>
        <v>0</v>
      </c>
    </row>
    <row r="1070">
      <c r="C1070" s="6">
        <f t="shared" si="1"/>
        <v>0</v>
      </c>
    </row>
    <row r="1071">
      <c r="C1071" s="6">
        <f t="shared" si="1"/>
        <v>0</v>
      </c>
    </row>
    <row r="1072">
      <c r="C1072" s="6">
        <f t="shared" si="1"/>
        <v>0</v>
      </c>
    </row>
    <row r="1073">
      <c r="C1073" s="6">
        <f t="shared" si="1"/>
        <v>0</v>
      </c>
    </row>
    <row r="1074">
      <c r="C1074" s="6">
        <f t="shared" si="1"/>
        <v>0</v>
      </c>
    </row>
    <row r="1075">
      <c r="C1075" s="6">
        <f t="shared" si="1"/>
        <v>0</v>
      </c>
    </row>
    <row r="1076">
      <c r="C1076" s="6">
        <f t="shared" si="1"/>
        <v>0</v>
      </c>
    </row>
    <row r="1077">
      <c r="C1077" s="6">
        <f t="shared" si="1"/>
        <v>0</v>
      </c>
    </row>
    <row r="1078">
      <c r="C1078" s="6">
        <f t="shared" si="1"/>
        <v>0</v>
      </c>
    </row>
    <row r="1079">
      <c r="C1079" s="6">
        <f t="shared" si="1"/>
        <v>0</v>
      </c>
    </row>
    <row r="1080">
      <c r="C1080" s="6">
        <f t="shared" si="1"/>
        <v>0</v>
      </c>
    </row>
    <row r="1081">
      <c r="C1081" s="6">
        <f t="shared" si="1"/>
        <v>0</v>
      </c>
    </row>
    <row r="1082">
      <c r="C1082" s="6">
        <f t="shared" si="1"/>
        <v>0</v>
      </c>
    </row>
    <row r="1083">
      <c r="C1083" s="6">
        <f t="shared" si="1"/>
        <v>0</v>
      </c>
    </row>
    <row r="1084">
      <c r="C1084" s="6">
        <f t="shared" si="1"/>
        <v>0</v>
      </c>
    </row>
    <row r="1085">
      <c r="C1085" s="6">
        <f t="shared" si="1"/>
        <v>0</v>
      </c>
    </row>
    <row r="1086">
      <c r="C1086" s="6">
        <f t="shared" si="1"/>
        <v>0</v>
      </c>
    </row>
    <row r="1087">
      <c r="C1087" s="6">
        <f t="shared" si="1"/>
        <v>0</v>
      </c>
    </row>
    <row r="1088">
      <c r="C1088" s="6">
        <f t="shared" si="1"/>
        <v>0</v>
      </c>
    </row>
    <row r="1089">
      <c r="C1089" s="6">
        <f t="shared" si="1"/>
        <v>0</v>
      </c>
    </row>
    <row r="1090">
      <c r="C1090" s="6">
        <f t="shared" si="1"/>
        <v>0</v>
      </c>
    </row>
    <row r="1091">
      <c r="C1091" s="6">
        <f t="shared" si="1"/>
        <v>0</v>
      </c>
    </row>
    <row r="1092">
      <c r="C1092" s="6">
        <f t="shared" si="1"/>
        <v>0</v>
      </c>
    </row>
    <row r="1093">
      <c r="C1093" s="6">
        <f t="shared" si="1"/>
        <v>0</v>
      </c>
    </row>
    <row r="1094">
      <c r="C1094" s="6">
        <f t="shared" si="1"/>
        <v>0</v>
      </c>
    </row>
    <row r="1095">
      <c r="C1095" s="6">
        <f t="shared" si="1"/>
        <v>0</v>
      </c>
    </row>
    <row r="1096">
      <c r="C1096" s="6">
        <f t="shared" si="1"/>
        <v>0</v>
      </c>
    </row>
    <row r="1097">
      <c r="C1097" s="6">
        <f t="shared" si="1"/>
        <v>0</v>
      </c>
    </row>
    <row r="1098">
      <c r="C1098" s="6">
        <f t="shared" si="1"/>
        <v>0</v>
      </c>
    </row>
    <row r="1099">
      <c r="C1099" s="6">
        <f t="shared" si="1"/>
        <v>0</v>
      </c>
    </row>
    <row r="1100">
      <c r="C1100" s="6">
        <f t="shared" si="1"/>
        <v>0</v>
      </c>
    </row>
    <row r="1101">
      <c r="C1101" s="6">
        <f t="shared" si="1"/>
        <v>0</v>
      </c>
    </row>
    <row r="1102">
      <c r="C1102" s="6">
        <f t="shared" si="1"/>
        <v>0</v>
      </c>
    </row>
    <row r="1103">
      <c r="C1103" s="6">
        <f t="shared" si="1"/>
        <v>0</v>
      </c>
    </row>
    <row r="1104">
      <c r="C1104" s="6">
        <f t="shared" si="1"/>
        <v>0</v>
      </c>
    </row>
    <row r="1105">
      <c r="C1105" s="6">
        <f t="shared" si="1"/>
        <v>0</v>
      </c>
    </row>
    <row r="1106">
      <c r="C1106" s="6">
        <f t="shared" si="1"/>
        <v>0</v>
      </c>
    </row>
    <row r="1107">
      <c r="C1107" s="6">
        <f t="shared" si="1"/>
        <v>0</v>
      </c>
    </row>
    <row r="1108">
      <c r="C1108" s="6">
        <f t="shared" si="1"/>
        <v>0</v>
      </c>
    </row>
    <row r="1109">
      <c r="C1109" s="6">
        <f t="shared" si="1"/>
        <v>0</v>
      </c>
    </row>
    <row r="1110">
      <c r="C1110" s="6">
        <f t="shared" si="1"/>
        <v>0</v>
      </c>
    </row>
    <row r="1111">
      <c r="C1111" s="6">
        <f t="shared" si="1"/>
        <v>0</v>
      </c>
    </row>
    <row r="1112">
      <c r="C1112" s="6">
        <f t="shared" si="1"/>
        <v>0</v>
      </c>
    </row>
    <row r="1113">
      <c r="C1113" s="6">
        <f t="shared" si="1"/>
        <v>0</v>
      </c>
    </row>
    <row r="1114">
      <c r="C1114" s="6">
        <f t="shared" si="1"/>
        <v>0</v>
      </c>
    </row>
    <row r="1115">
      <c r="C1115" s="6">
        <f t="shared" si="1"/>
        <v>0</v>
      </c>
    </row>
    <row r="1116">
      <c r="C1116" s="6">
        <f t="shared" si="1"/>
        <v>0</v>
      </c>
    </row>
    <row r="1117">
      <c r="C1117" s="6">
        <f t="shared" si="1"/>
        <v>0</v>
      </c>
    </row>
    <row r="1118">
      <c r="C1118" s="6">
        <f t="shared" si="1"/>
        <v>0</v>
      </c>
    </row>
    <row r="1119">
      <c r="C1119" s="6">
        <f t="shared" si="1"/>
        <v>0</v>
      </c>
    </row>
    <row r="1120">
      <c r="C1120" s="6">
        <f t="shared" si="1"/>
        <v>0</v>
      </c>
    </row>
    <row r="1121">
      <c r="C1121" s="6">
        <f t="shared" si="1"/>
        <v>0</v>
      </c>
    </row>
    <row r="1122">
      <c r="C1122" s="6">
        <f t="shared" si="1"/>
        <v>0</v>
      </c>
    </row>
    <row r="1123">
      <c r="C1123" s="6">
        <f t="shared" si="1"/>
        <v>0</v>
      </c>
    </row>
    <row r="1124">
      <c r="C1124" s="6">
        <f t="shared" si="1"/>
        <v>0</v>
      </c>
    </row>
    <row r="1125">
      <c r="C1125" s="6">
        <f t="shared" si="1"/>
        <v>0</v>
      </c>
    </row>
    <row r="1126">
      <c r="C1126" s="6">
        <f t="shared" si="1"/>
        <v>0</v>
      </c>
    </row>
    <row r="1127">
      <c r="C1127" s="6">
        <f t="shared" si="1"/>
        <v>0</v>
      </c>
    </row>
    <row r="1128">
      <c r="C1128" s="6">
        <f t="shared" si="1"/>
        <v>0</v>
      </c>
    </row>
    <row r="1129">
      <c r="C1129" s="6">
        <f t="shared" si="1"/>
        <v>0</v>
      </c>
    </row>
    <row r="1130">
      <c r="C1130" s="6">
        <f t="shared" si="1"/>
        <v>0</v>
      </c>
    </row>
    <row r="1131">
      <c r="C1131" s="6">
        <f t="shared" si="1"/>
        <v>0</v>
      </c>
    </row>
    <row r="1132">
      <c r="C1132" s="6">
        <f t="shared" si="1"/>
        <v>0</v>
      </c>
    </row>
    <row r="1133">
      <c r="C1133" s="6">
        <f t="shared" si="1"/>
        <v>0</v>
      </c>
    </row>
    <row r="1134">
      <c r="C1134" s="6">
        <f t="shared" si="1"/>
        <v>0</v>
      </c>
    </row>
    <row r="1135">
      <c r="C1135" s="6">
        <f t="shared" si="1"/>
        <v>0</v>
      </c>
    </row>
    <row r="1136">
      <c r="C1136" s="6">
        <f t="shared" si="1"/>
        <v>0</v>
      </c>
    </row>
    <row r="1137">
      <c r="C1137" s="6">
        <f t="shared" si="1"/>
        <v>0</v>
      </c>
    </row>
    <row r="1138">
      <c r="C1138" s="6">
        <f t="shared" si="1"/>
        <v>0</v>
      </c>
    </row>
    <row r="1139">
      <c r="C1139" s="6">
        <f t="shared" si="1"/>
        <v>0</v>
      </c>
    </row>
    <row r="1140">
      <c r="C1140" s="6">
        <f t="shared" si="1"/>
        <v>0</v>
      </c>
    </row>
    <row r="1141">
      <c r="C1141" s="6">
        <f t="shared" si="1"/>
        <v>0</v>
      </c>
    </row>
    <row r="1142">
      <c r="C1142" s="6">
        <f t="shared" si="1"/>
        <v>0</v>
      </c>
    </row>
    <row r="1143">
      <c r="C1143" s="6">
        <f t="shared" si="1"/>
        <v>0</v>
      </c>
    </row>
    <row r="1144">
      <c r="C1144" s="6">
        <f t="shared" si="1"/>
        <v>0</v>
      </c>
    </row>
    <row r="1145">
      <c r="C1145" s="6">
        <f t="shared" si="1"/>
        <v>0</v>
      </c>
    </row>
    <row r="1146">
      <c r="C1146" s="6">
        <f t="shared" si="1"/>
        <v>0</v>
      </c>
    </row>
    <row r="1147">
      <c r="C1147" s="6">
        <f t="shared" si="1"/>
        <v>0</v>
      </c>
    </row>
    <row r="1148">
      <c r="C1148" s="6">
        <f t="shared" si="1"/>
        <v>0</v>
      </c>
    </row>
    <row r="1149">
      <c r="C1149" s="6">
        <f t="shared" si="1"/>
        <v>0</v>
      </c>
    </row>
    <row r="1150">
      <c r="C1150" s="6">
        <f t="shared" si="1"/>
        <v>0</v>
      </c>
    </row>
    <row r="1151">
      <c r="C1151" s="6">
        <f t="shared" si="1"/>
        <v>0</v>
      </c>
    </row>
    <row r="1152">
      <c r="C1152" s="6">
        <f t="shared" si="1"/>
        <v>0</v>
      </c>
    </row>
    <row r="1153">
      <c r="C1153" s="6">
        <f t="shared" si="1"/>
        <v>0</v>
      </c>
    </row>
    <row r="1154">
      <c r="C1154" s="6">
        <f t="shared" si="1"/>
        <v>0</v>
      </c>
    </row>
    <row r="1155">
      <c r="C1155" s="6">
        <f t="shared" si="1"/>
        <v>0</v>
      </c>
    </row>
    <row r="1156">
      <c r="C1156" s="6">
        <f t="shared" si="1"/>
        <v>0</v>
      </c>
    </row>
    <row r="1157">
      <c r="C1157" s="6">
        <f t="shared" si="1"/>
        <v>0</v>
      </c>
    </row>
    <row r="1158">
      <c r="C1158" s="6">
        <f t="shared" si="1"/>
        <v>0</v>
      </c>
    </row>
    <row r="1159">
      <c r="C1159" s="6">
        <f t="shared" si="1"/>
        <v>0</v>
      </c>
    </row>
    <row r="1160">
      <c r="C1160" s="6">
        <f t="shared" si="1"/>
        <v>0</v>
      </c>
    </row>
    <row r="1161">
      <c r="C1161" s="6">
        <f t="shared" si="1"/>
        <v>0</v>
      </c>
    </row>
    <row r="1162">
      <c r="C1162" s="6">
        <f t="shared" si="1"/>
        <v>0</v>
      </c>
    </row>
    <row r="1163">
      <c r="C1163" s="6">
        <f t="shared" si="1"/>
        <v>0</v>
      </c>
    </row>
    <row r="1164">
      <c r="C1164" s="6">
        <f t="shared" si="1"/>
        <v>0</v>
      </c>
    </row>
    <row r="1165">
      <c r="C1165" s="6">
        <f t="shared" si="1"/>
        <v>0</v>
      </c>
    </row>
    <row r="1166">
      <c r="C1166" s="6">
        <f t="shared" si="1"/>
        <v>0</v>
      </c>
    </row>
    <row r="1167">
      <c r="C1167" s="6">
        <f t="shared" si="1"/>
        <v>0</v>
      </c>
    </row>
    <row r="1168">
      <c r="C1168" s="6">
        <f t="shared" si="1"/>
        <v>0</v>
      </c>
    </row>
    <row r="1169">
      <c r="C1169" s="6">
        <f t="shared" si="1"/>
        <v>0</v>
      </c>
    </row>
    <row r="1170">
      <c r="C1170" s="6">
        <f t="shared" si="1"/>
        <v>0</v>
      </c>
    </row>
    <row r="1171">
      <c r="C1171" s="6">
        <f t="shared" si="1"/>
        <v>0</v>
      </c>
    </row>
    <row r="1172">
      <c r="C1172" s="6">
        <f t="shared" si="1"/>
        <v>0</v>
      </c>
    </row>
    <row r="1173">
      <c r="C1173" s="6">
        <f t="shared" si="1"/>
        <v>0</v>
      </c>
    </row>
    <row r="1174">
      <c r="C1174" s="6">
        <f t="shared" si="1"/>
        <v>0</v>
      </c>
    </row>
    <row r="1175">
      <c r="C1175" s="6">
        <f t="shared" si="1"/>
        <v>0</v>
      </c>
    </row>
    <row r="1176">
      <c r="C1176" s="6">
        <f t="shared" si="1"/>
        <v>0</v>
      </c>
    </row>
    <row r="1177">
      <c r="C1177" s="6">
        <f t="shared" si="1"/>
        <v>0</v>
      </c>
    </row>
    <row r="1178">
      <c r="C1178" s="6">
        <f t="shared" si="1"/>
        <v>0</v>
      </c>
    </row>
    <row r="1179">
      <c r="C1179" s="6">
        <f t="shared" si="1"/>
        <v>0</v>
      </c>
    </row>
    <row r="1180">
      <c r="C1180" s="6">
        <f t="shared" si="1"/>
        <v>0</v>
      </c>
    </row>
    <row r="1181">
      <c r="C1181" s="6">
        <f t="shared" si="1"/>
        <v>0</v>
      </c>
    </row>
    <row r="1182">
      <c r="C1182" s="6">
        <f t="shared" si="1"/>
        <v>0</v>
      </c>
    </row>
    <row r="1183">
      <c r="C1183" s="6">
        <f t="shared" si="1"/>
        <v>0</v>
      </c>
    </row>
    <row r="1184">
      <c r="C1184" s="6">
        <f t="shared" si="1"/>
        <v>0</v>
      </c>
    </row>
    <row r="1185">
      <c r="C1185" s="6">
        <f t="shared" si="1"/>
        <v>0</v>
      </c>
    </row>
    <row r="1186">
      <c r="C1186" s="6">
        <f t="shared" si="1"/>
        <v>0</v>
      </c>
    </row>
    <row r="1187">
      <c r="C1187" s="6">
        <f t="shared" si="1"/>
        <v>0</v>
      </c>
    </row>
    <row r="1188">
      <c r="C1188" s="6">
        <f t="shared" si="1"/>
        <v>0</v>
      </c>
    </row>
    <row r="1189">
      <c r="C1189" s="6">
        <f t="shared" si="1"/>
        <v>0</v>
      </c>
    </row>
    <row r="1190">
      <c r="C1190" s="6">
        <f t="shared" si="1"/>
        <v>0</v>
      </c>
    </row>
    <row r="1191">
      <c r="C1191" s="6">
        <f t="shared" si="1"/>
        <v>0</v>
      </c>
    </row>
    <row r="1192">
      <c r="C1192" s="6">
        <f t="shared" si="1"/>
        <v>0</v>
      </c>
    </row>
    <row r="1193">
      <c r="C1193" s="6">
        <f t="shared" si="1"/>
        <v>0</v>
      </c>
    </row>
    <row r="1194">
      <c r="C1194" s="6">
        <f t="shared" si="1"/>
        <v>0</v>
      </c>
    </row>
    <row r="1195">
      <c r="C1195" s="6">
        <f t="shared" si="1"/>
        <v>0</v>
      </c>
    </row>
    <row r="1196">
      <c r="C1196" s="6">
        <f t="shared" si="1"/>
        <v>0</v>
      </c>
    </row>
    <row r="1197">
      <c r="C1197" s="6">
        <f t="shared" si="1"/>
        <v>0</v>
      </c>
    </row>
    <row r="1198">
      <c r="C1198" s="6">
        <f t="shared" si="1"/>
        <v>0</v>
      </c>
    </row>
    <row r="1199">
      <c r="C1199" s="6">
        <f t="shared" si="1"/>
        <v>0</v>
      </c>
    </row>
    <row r="1200">
      <c r="C1200" s="6">
        <f t="shared" si="1"/>
        <v>0</v>
      </c>
    </row>
    <row r="1201">
      <c r="C1201" s="6">
        <f t="shared" si="1"/>
        <v>0</v>
      </c>
    </row>
    <row r="1202">
      <c r="C1202" s="6">
        <f t="shared" si="1"/>
        <v>0</v>
      </c>
    </row>
    <row r="1203">
      <c r="C1203" s="6">
        <f t="shared" si="1"/>
        <v>0</v>
      </c>
    </row>
    <row r="1204">
      <c r="C1204" s="6">
        <f t="shared" si="1"/>
        <v>0</v>
      </c>
    </row>
    <row r="1205">
      <c r="C1205" s="6">
        <f t="shared" si="1"/>
        <v>0</v>
      </c>
    </row>
    <row r="1206">
      <c r="C1206" s="6">
        <f t="shared" si="1"/>
        <v>0</v>
      </c>
    </row>
    <row r="1207">
      <c r="C1207" s="6">
        <f t="shared" si="1"/>
        <v>0</v>
      </c>
    </row>
    <row r="1208">
      <c r="C1208" s="6">
        <f t="shared" si="1"/>
        <v>0</v>
      </c>
    </row>
    <row r="1209">
      <c r="C1209" s="6">
        <f t="shared" si="1"/>
        <v>0</v>
      </c>
    </row>
    <row r="1210">
      <c r="C1210" s="6">
        <f t="shared" si="1"/>
        <v>0</v>
      </c>
    </row>
    <row r="1211">
      <c r="C1211" s="6">
        <f t="shared" si="1"/>
        <v>0</v>
      </c>
    </row>
    <row r="1212">
      <c r="C1212" s="6">
        <f t="shared" si="1"/>
        <v>0</v>
      </c>
    </row>
    <row r="1213">
      <c r="C1213" s="6">
        <f t="shared" si="1"/>
        <v>0</v>
      </c>
    </row>
    <row r="1214">
      <c r="C1214" s="6">
        <f t="shared" si="1"/>
        <v>0</v>
      </c>
    </row>
    <row r="1215">
      <c r="C1215" s="6">
        <f t="shared" si="1"/>
        <v>0</v>
      </c>
    </row>
    <row r="1216">
      <c r="C1216" s="6">
        <f t="shared" si="1"/>
        <v>0</v>
      </c>
    </row>
    <row r="1217">
      <c r="C1217" s="6">
        <f t="shared" si="1"/>
        <v>0</v>
      </c>
    </row>
    <row r="1218">
      <c r="C1218" s="6">
        <f t="shared" si="1"/>
        <v>0</v>
      </c>
    </row>
    <row r="1219">
      <c r="C1219" s="6">
        <f t="shared" si="1"/>
        <v>0</v>
      </c>
    </row>
    <row r="1220">
      <c r="C1220" s="6">
        <f t="shared" si="1"/>
        <v>0</v>
      </c>
    </row>
    <row r="1221">
      <c r="C1221" s="6">
        <f t="shared" si="1"/>
        <v>0</v>
      </c>
    </row>
    <row r="1222">
      <c r="C1222" s="6">
        <f t="shared" si="1"/>
        <v>0</v>
      </c>
    </row>
    <row r="1223">
      <c r="C1223" s="6">
        <f t="shared" si="1"/>
        <v>0</v>
      </c>
    </row>
    <row r="1224">
      <c r="C1224" s="6">
        <f t="shared" si="1"/>
        <v>0</v>
      </c>
    </row>
    <row r="1225">
      <c r="C1225" s="6">
        <f t="shared" si="1"/>
        <v>0</v>
      </c>
    </row>
    <row r="1226">
      <c r="C1226" s="6">
        <f t="shared" si="1"/>
        <v>0</v>
      </c>
    </row>
    <row r="1227">
      <c r="C1227" s="6">
        <f t="shared" si="1"/>
        <v>0</v>
      </c>
    </row>
    <row r="1228">
      <c r="C1228" s="6">
        <f t="shared" si="1"/>
        <v>0</v>
      </c>
    </row>
    <row r="1229">
      <c r="C1229" s="6">
        <f t="shared" si="1"/>
        <v>0</v>
      </c>
    </row>
    <row r="1230">
      <c r="C1230" s="6">
        <f t="shared" si="1"/>
        <v>0</v>
      </c>
    </row>
    <row r="1231">
      <c r="C1231" s="6">
        <f t="shared" si="1"/>
        <v>0</v>
      </c>
    </row>
    <row r="1232">
      <c r="C1232" s="6">
        <f t="shared" si="1"/>
        <v>0</v>
      </c>
    </row>
    <row r="1233">
      <c r="C1233" s="6">
        <f t="shared" si="1"/>
        <v>0</v>
      </c>
    </row>
    <row r="1234">
      <c r="C1234" s="6">
        <f t="shared" si="1"/>
        <v>0</v>
      </c>
    </row>
    <row r="1235">
      <c r="C1235" s="6">
        <f t="shared" si="1"/>
        <v>0</v>
      </c>
    </row>
    <row r="1236">
      <c r="C1236" s="6">
        <f t="shared" si="1"/>
        <v>0</v>
      </c>
    </row>
    <row r="1237">
      <c r="C1237" s="6">
        <f t="shared" si="1"/>
        <v>0</v>
      </c>
    </row>
    <row r="1238">
      <c r="C1238" s="6">
        <f t="shared" si="1"/>
        <v>0</v>
      </c>
    </row>
    <row r="1239">
      <c r="C1239" s="6">
        <f t="shared" si="1"/>
        <v>0</v>
      </c>
    </row>
    <row r="1240">
      <c r="C1240" s="6">
        <f t="shared" si="1"/>
        <v>0</v>
      </c>
    </row>
    <row r="1241">
      <c r="C1241" s="6">
        <f t="shared" si="1"/>
        <v>0</v>
      </c>
    </row>
    <row r="1242">
      <c r="C1242" s="6">
        <f t="shared" si="1"/>
        <v>0</v>
      </c>
    </row>
    <row r="1243">
      <c r="C1243" s="6">
        <f t="shared" si="1"/>
        <v>0</v>
      </c>
    </row>
    <row r="1244">
      <c r="C1244" s="6">
        <f t="shared" si="1"/>
        <v>0</v>
      </c>
    </row>
    <row r="1245">
      <c r="C1245" s="6">
        <f t="shared" si="1"/>
        <v>0</v>
      </c>
    </row>
    <row r="1246">
      <c r="C1246" s="6">
        <f t="shared" si="1"/>
        <v>0</v>
      </c>
    </row>
    <row r="1247">
      <c r="C1247" s="6">
        <f t="shared" si="1"/>
        <v>0</v>
      </c>
    </row>
    <row r="1248">
      <c r="C1248" s="6">
        <f t="shared" si="1"/>
        <v>0</v>
      </c>
    </row>
    <row r="1249">
      <c r="C1249" s="6">
        <f t="shared" si="1"/>
        <v>0</v>
      </c>
    </row>
    <row r="1250">
      <c r="C1250" s="6">
        <f t="shared" si="1"/>
        <v>0</v>
      </c>
    </row>
    <row r="1251">
      <c r="C1251" s="6">
        <f t="shared" si="1"/>
        <v>0</v>
      </c>
    </row>
    <row r="1252">
      <c r="C1252" s="6">
        <f t="shared" si="1"/>
        <v>0</v>
      </c>
    </row>
    <row r="1253">
      <c r="C1253" s="6">
        <f t="shared" si="1"/>
        <v>0</v>
      </c>
    </row>
    <row r="1254">
      <c r="C1254" s="6">
        <f t="shared" si="1"/>
        <v>0</v>
      </c>
    </row>
    <row r="1255">
      <c r="C1255" s="6">
        <f t="shared" si="1"/>
        <v>0</v>
      </c>
    </row>
    <row r="1256">
      <c r="C1256" s="6">
        <f t="shared" si="1"/>
        <v>0</v>
      </c>
    </row>
    <row r="1257">
      <c r="C1257" s="6">
        <f t="shared" si="1"/>
        <v>0</v>
      </c>
    </row>
    <row r="1258">
      <c r="C1258" s="6">
        <f t="shared" si="1"/>
        <v>0</v>
      </c>
    </row>
    <row r="1259">
      <c r="C1259" s="6">
        <f t="shared" si="1"/>
        <v>0</v>
      </c>
    </row>
    <row r="1260">
      <c r="C1260" s="6">
        <f t="shared" si="1"/>
        <v>0</v>
      </c>
    </row>
    <row r="1261">
      <c r="C1261" s="6">
        <f t="shared" si="1"/>
        <v>0</v>
      </c>
    </row>
    <row r="1262">
      <c r="C1262" s="6">
        <f t="shared" si="1"/>
        <v>0</v>
      </c>
    </row>
    <row r="1263">
      <c r="C1263" s="6">
        <f t="shared" si="1"/>
        <v>0</v>
      </c>
    </row>
    <row r="1264">
      <c r="C1264" s="6">
        <f t="shared" si="1"/>
        <v>0</v>
      </c>
    </row>
    <row r="1265">
      <c r="C1265" s="6">
        <f t="shared" si="1"/>
        <v>0</v>
      </c>
    </row>
    <row r="1266">
      <c r="C1266" s="6">
        <f t="shared" si="1"/>
        <v>0</v>
      </c>
    </row>
    <row r="1267">
      <c r="C1267" s="6">
        <f t="shared" si="1"/>
        <v>0</v>
      </c>
    </row>
    <row r="1268">
      <c r="C1268" s="6">
        <f t="shared" si="1"/>
        <v>0</v>
      </c>
    </row>
    <row r="1269">
      <c r="C1269" s="6">
        <f t="shared" si="1"/>
        <v>0</v>
      </c>
    </row>
    <row r="1270">
      <c r="C1270" s="6">
        <f t="shared" si="1"/>
        <v>0</v>
      </c>
    </row>
    <row r="1271">
      <c r="C1271" s="6">
        <f t="shared" si="1"/>
        <v>0</v>
      </c>
    </row>
    <row r="1272">
      <c r="C1272" s="6">
        <f t="shared" si="1"/>
        <v>0</v>
      </c>
    </row>
    <row r="1273">
      <c r="C1273" s="6">
        <f t="shared" si="1"/>
        <v>0</v>
      </c>
    </row>
    <row r="1274">
      <c r="C1274" s="6">
        <f t="shared" si="1"/>
        <v>0</v>
      </c>
    </row>
    <row r="1275">
      <c r="C1275" s="6">
        <f t="shared" si="1"/>
        <v>0</v>
      </c>
    </row>
    <row r="1276">
      <c r="C1276" s="6">
        <f t="shared" si="1"/>
        <v>0</v>
      </c>
    </row>
    <row r="1277">
      <c r="C1277" s="6">
        <f t="shared" si="1"/>
        <v>0</v>
      </c>
    </row>
    <row r="1278">
      <c r="C1278" s="6">
        <f t="shared" si="1"/>
        <v>0</v>
      </c>
    </row>
    <row r="1279">
      <c r="C1279" s="6">
        <f t="shared" si="1"/>
        <v>0</v>
      </c>
    </row>
    <row r="1280">
      <c r="C1280" s="6">
        <f t="shared" si="1"/>
        <v>0</v>
      </c>
    </row>
    <row r="1281">
      <c r="C1281" s="6">
        <f t="shared" si="1"/>
        <v>0</v>
      </c>
    </row>
    <row r="1282">
      <c r="C1282" s="6">
        <f t="shared" si="1"/>
        <v>0</v>
      </c>
    </row>
    <row r="1283">
      <c r="C1283" s="6">
        <f t="shared" si="1"/>
        <v>0</v>
      </c>
    </row>
    <row r="1284">
      <c r="C1284" s="6">
        <f t="shared" si="1"/>
        <v>0</v>
      </c>
    </row>
    <row r="1285">
      <c r="C1285" s="6">
        <f t="shared" si="1"/>
        <v>0</v>
      </c>
    </row>
    <row r="1286">
      <c r="C1286" s="6">
        <f t="shared" si="1"/>
        <v>0</v>
      </c>
    </row>
    <row r="1287">
      <c r="C1287" s="6">
        <f t="shared" si="1"/>
        <v>0</v>
      </c>
    </row>
    <row r="1288">
      <c r="C1288" s="6">
        <f t="shared" si="1"/>
        <v>0</v>
      </c>
    </row>
    <row r="1289">
      <c r="C1289" s="6">
        <f t="shared" si="1"/>
        <v>0</v>
      </c>
    </row>
    <row r="1290">
      <c r="C1290" s="6">
        <f t="shared" si="1"/>
        <v>0</v>
      </c>
    </row>
    <row r="1291">
      <c r="C1291" s="6">
        <f t="shared" si="1"/>
        <v>0</v>
      </c>
    </row>
    <row r="1292">
      <c r="C1292" s="6">
        <f t="shared" si="1"/>
        <v>0</v>
      </c>
    </row>
    <row r="1293">
      <c r="C1293" s="6">
        <f t="shared" si="1"/>
        <v>0</v>
      </c>
    </row>
    <row r="1294">
      <c r="C1294" s="6">
        <f t="shared" si="1"/>
        <v>0</v>
      </c>
    </row>
    <row r="1295">
      <c r="C1295" s="6">
        <f t="shared" si="1"/>
        <v>0</v>
      </c>
    </row>
    <row r="1296">
      <c r="C1296" s="6">
        <f t="shared" si="1"/>
        <v>0</v>
      </c>
    </row>
    <row r="1297">
      <c r="C1297" s="6">
        <f t="shared" si="1"/>
        <v>0</v>
      </c>
    </row>
    <row r="1298">
      <c r="C1298" s="6">
        <f t="shared" si="1"/>
        <v>0</v>
      </c>
    </row>
    <row r="1299">
      <c r="C1299" s="6">
        <f t="shared" si="1"/>
        <v>0</v>
      </c>
    </row>
    <row r="1300">
      <c r="C1300" s="6">
        <f t="shared" si="1"/>
        <v>0</v>
      </c>
    </row>
    <row r="1301">
      <c r="C1301" s="6">
        <f t="shared" si="1"/>
        <v>0</v>
      </c>
    </row>
    <row r="1302">
      <c r="C1302" s="6">
        <f t="shared" si="1"/>
        <v>0</v>
      </c>
    </row>
    <row r="1303">
      <c r="C1303" s="6">
        <f t="shared" si="1"/>
        <v>0</v>
      </c>
    </row>
    <row r="1304">
      <c r="C1304" s="6">
        <f t="shared" si="1"/>
        <v>0</v>
      </c>
    </row>
    <row r="1305">
      <c r="C1305" s="6">
        <f t="shared" si="1"/>
        <v>0</v>
      </c>
    </row>
    <row r="1306">
      <c r="C1306" s="6">
        <f t="shared" si="1"/>
        <v>0</v>
      </c>
    </row>
    <row r="1307">
      <c r="C1307" s="6">
        <f t="shared" si="1"/>
        <v>0</v>
      </c>
    </row>
    <row r="1308">
      <c r="C1308" s="6">
        <f t="shared" si="1"/>
        <v>0</v>
      </c>
    </row>
    <row r="1309">
      <c r="C1309" s="6">
        <f t="shared" si="1"/>
        <v>0</v>
      </c>
    </row>
    <row r="1310">
      <c r="C1310" s="6">
        <f t="shared" si="1"/>
        <v>0</v>
      </c>
    </row>
    <row r="1311">
      <c r="C1311" s="6">
        <f t="shared" si="1"/>
        <v>0</v>
      </c>
    </row>
    <row r="1312">
      <c r="C1312" s="6">
        <f t="shared" si="1"/>
        <v>0</v>
      </c>
    </row>
    <row r="1313">
      <c r="C1313" s="6">
        <f t="shared" si="1"/>
        <v>0</v>
      </c>
    </row>
    <row r="1314">
      <c r="C1314" s="6">
        <f t="shared" si="1"/>
        <v>0</v>
      </c>
    </row>
    <row r="1315">
      <c r="C1315" s="6">
        <f t="shared" si="1"/>
        <v>0</v>
      </c>
    </row>
    <row r="1316">
      <c r="C1316" s="6">
        <f t="shared" si="1"/>
        <v>0</v>
      </c>
    </row>
    <row r="1317">
      <c r="C1317" s="6">
        <f t="shared" si="1"/>
        <v>0</v>
      </c>
    </row>
    <row r="1318">
      <c r="C1318" s="6">
        <f t="shared" si="1"/>
        <v>0</v>
      </c>
    </row>
    <row r="1319">
      <c r="C1319" s="6">
        <f t="shared" si="1"/>
        <v>0</v>
      </c>
    </row>
    <row r="1320">
      <c r="C1320" s="6">
        <f t="shared" si="1"/>
        <v>0</v>
      </c>
    </row>
    <row r="1321">
      <c r="C1321" s="6">
        <f t="shared" si="1"/>
        <v>0</v>
      </c>
    </row>
    <row r="1322">
      <c r="C1322" s="6">
        <f t="shared" si="1"/>
        <v>0</v>
      </c>
    </row>
    <row r="1323">
      <c r="C1323" s="6">
        <f t="shared" si="1"/>
        <v>0</v>
      </c>
    </row>
    <row r="1324">
      <c r="C1324" s="6">
        <f t="shared" si="1"/>
        <v>0</v>
      </c>
    </row>
    <row r="1325">
      <c r="C1325" s="6">
        <f t="shared" si="1"/>
        <v>0</v>
      </c>
    </row>
    <row r="1326">
      <c r="C1326" s="6">
        <f t="shared" si="1"/>
        <v>0</v>
      </c>
    </row>
    <row r="1327">
      <c r="C1327" s="6">
        <f t="shared" si="1"/>
        <v>0</v>
      </c>
    </row>
    <row r="1328">
      <c r="C1328" s="6">
        <f t="shared" si="1"/>
        <v>0</v>
      </c>
    </row>
    <row r="1329">
      <c r="C1329" s="6">
        <f t="shared" si="1"/>
        <v>0</v>
      </c>
    </row>
    <row r="1330">
      <c r="C1330" s="6">
        <f t="shared" si="1"/>
        <v>0</v>
      </c>
    </row>
    <row r="1331">
      <c r="C1331" s="6">
        <f t="shared" si="1"/>
        <v>0</v>
      </c>
    </row>
    <row r="1332">
      <c r="C1332" s="6">
        <f t="shared" si="1"/>
        <v>0</v>
      </c>
    </row>
    <row r="1333">
      <c r="C1333" s="6">
        <f t="shared" si="1"/>
        <v>0</v>
      </c>
    </row>
    <row r="1334">
      <c r="C1334" s="6">
        <f t="shared" si="1"/>
        <v>0</v>
      </c>
    </row>
    <row r="1335">
      <c r="C1335" s="6">
        <f t="shared" si="1"/>
        <v>0</v>
      </c>
    </row>
    <row r="1336">
      <c r="C1336" s="6">
        <f t="shared" si="1"/>
        <v>0</v>
      </c>
    </row>
    <row r="1337">
      <c r="C1337" s="6">
        <f t="shared" si="1"/>
        <v>0</v>
      </c>
    </row>
    <row r="1338">
      <c r="C1338" s="6">
        <f t="shared" si="1"/>
        <v>0</v>
      </c>
    </row>
    <row r="1339">
      <c r="C1339" s="6">
        <f t="shared" si="1"/>
        <v>0</v>
      </c>
    </row>
    <row r="1340">
      <c r="C1340" s="6">
        <f t="shared" si="1"/>
        <v>0</v>
      </c>
    </row>
    <row r="1341">
      <c r="C1341" s="6">
        <f t="shared" si="1"/>
        <v>0</v>
      </c>
    </row>
    <row r="1342">
      <c r="C1342" s="6">
        <f t="shared" si="1"/>
        <v>0</v>
      </c>
    </row>
    <row r="1343">
      <c r="C1343" s="6">
        <f t="shared" si="1"/>
        <v>0</v>
      </c>
    </row>
    <row r="1344">
      <c r="C1344" s="6">
        <f t="shared" si="1"/>
        <v>0</v>
      </c>
    </row>
    <row r="1345">
      <c r="C1345" s="6">
        <f t="shared" si="1"/>
        <v>0</v>
      </c>
    </row>
    <row r="1346">
      <c r="C1346" s="6">
        <f t="shared" si="1"/>
        <v>0</v>
      </c>
    </row>
    <row r="1347">
      <c r="C1347" s="6">
        <f t="shared" si="1"/>
        <v>0</v>
      </c>
    </row>
    <row r="1348">
      <c r="C1348" s="6">
        <f t="shared" si="1"/>
        <v>0</v>
      </c>
    </row>
    <row r="1349">
      <c r="C1349" s="6">
        <f t="shared" si="1"/>
        <v>0</v>
      </c>
    </row>
    <row r="1350">
      <c r="C1350" s="6">
        <f t="shared" si="1"/>
        <v>0</v>
      </c>
    </row>
    <row r="1351">
      <c r="C1351" s="6">
        <f t="shared" si="1"/>
        <v>0</v>
      </c>
    </row>
    <row r="1352">
      <c r="C1352" s="6">
        <f t="shared" si="1"/>
        <v>0</v>
      </c>
    </row>
    <row r="1353">
      <c r="C1353" s="6">
        <f t="shared" si="1"/>
        <v>0</v>
      </c>
    </row>
    <row r="1354">
      <c r="C1354" s="6">
        <f t="shared" si="1"/>
        <v>0</v>
      </c>
    </row>
    <row r="1355">
      <c r="C1355" s="6">
        <f t="shared" si="1"/>
        <v>0</v>
      </c>
    </row>
    <row r="1356">
      <c r="C1356" s="6">
        <f t="shared" si="1"/>
        <v>0</v>
      </c>
    </row>
    <row r="1357">
      <c r="C1357" s="6">
        <f t="shared" si="1"/>
        <v>0</v>
      </c>
    </row>
    <row r="1358">
      <c r="C1358" s="6">
        <f t="shared" si="1"/>
        <v>0</v>
      </c>
    </row>
    <row r="1359">
      <c r="C1359" s="6">
        <f t="shared" si="1"/>
        <v>0</v>
      </c>
    </row>
    <row r="1360">
      <c r="C1360" s="6">
        <f t="shared" si="1"/>
        <v>0</v>
      </c>
    </row>
    <row r="1361">
      <c r="C1361" s="6">
        <f t="shared" si="1"/>
        <v>0</v>
      </c>
    </row>
    <row r="1362">
      <c r="C1362" s="6">
        <f t="shared" si="1"/>
        <v>0</v>
      </c>
    </row>
    <row r="1363">
      <c r="C1363" s="6">
        <f t="shared" si="1"/>
        <v>0</v>
      </c>
    </row>
    <row r="1364">
      <c r="C1364" s="6">
        <f t="shared" si="1"/>
        <v>0</v>
      </c>
    </row>
    <row r="1365">
      <c r="C1365" s="6">
        <f t="shared" si="1"/>
        <v>0</v>
      </c>
    </row>
    <row r="1366">
      <c r="C1366" s="6">
        <f t="shared" si="1"/>
        <v>0</v>
      </c>
    </row>
    <row r="1367">
      <c r="C1367" s="6">
        <f t="shared" si="1"/>
        <v>0</v>
      </c>
    </row>
    <row r="1368">
      <c r="C1368" s="6">
        <f t="shared" si="1"/>
        <v>0</v>
      </c>
    </row>
    <row r="1369">
      <c r="C1369" s="6">
        <f t="shared" si="1"/>
        <v>0</v>
      </c>
    </row>
    <row r="1370">
      <c r="C1370" s="6">
        <f t="shared" si="1"/>
        <v>0</v>
      </c>
    </row>
    <row r="1371">
      <c r="C1371" s="6">
        <f t="shared" si="1"/>
        <v>0</v>
      </c>
    </row>
    <row r="1372">
      <c r="C1372" s="6">
        <f t="shared" si="1"/>
        <v>0</v>
      </c>
    </row>
    <row r="1373">
      <c r="C1373" s="6">
        <f t="shared" si="1"/>
        <v>0</v>
      </c>
    </row>
    <row r="1374">
      <c r="C1374" s="6">
        <f t="shared" si="1"/>
        <v>0</v>
      </c>
    </row>
    <row r="1375">
      <c r="C1375" s="6">
        <f t="shared" si="1"/>
        <v>0</v>
      </c>
    </row>
    <row r="1376">
      <c r="C1376" s="6">
        <f t="shared" si="1"/>
        <v>0</v>
      </c>
    </row>
    <row r="1377">
      <c r="C1377" s="6">
        <f t="shared" si="1"/>
        <v>0</v>
      </c>
    </row>
    <row r="1378">
      <c r="C1378" s="6">
        <f t="shared" si="1"/>
        <v>0</v>
      </c>
    </row>
    <row r="1379">
      <c r="C1379" s="6">
        <f t="shared" si="1"/>
        <v>0</v>
      </c>
    </row>
    <row r="1380">
      <c r="C1380" s="6">
        <f t="shared" si="1"/>
        <v>0</v>
      </c>
    </row>
    <row r="1381">
      <c r="C1381" s="6">
        <f t="shared" si="1"/>
        <v>0</v>
      </c>
    </row>
    <row r="1382">
      <c r="C1382" s="6">
        <f t="shared" si="1"/>
        <v>0</v>
      </c>
    </row>
    <row r="1383">
      <c r="C1383" s="6">
        <f t="shared" si="1"/>
        <v>0</v>
      </c>
    </row>
    <row r="1384">
      <c r="C1384" s="6">
        <f t="shared" si="1"/>
        <v>0</v>
      </c>
    </row>
    <row r="1385">
      <c r="C1385" s="6">
        <f t="shared" si="1"/>
        <v>0</v>
      </c>
    </row>
    <row r="1386">
      <c r="C1386" s="6">
        <f t="shared" si="1"/>
        <v>0</v>
      </c>
    </row>
    <row r="1387">
      <c r="C1387" s="6">
        <f t="shared" si="1"/>
        <v>0</v>
      </c>
    </row>
    <row r="1388">
      <c r="C1388" s="6">
        <f t="shared" si="1"/>
        <v>0</v>
      </c>
    </row>
    <row r="1389">
      <c r="C1389" s="6">
        <f t="shared" si="1"/>
        <v>0</v>
      </c>
    </row>
    <row r="1390">
      <c r="C1390" s="6">
        <f t="shared" si="1"/>
        <v>0</v>
      </c>
    </row>
    <row r="1391">
      <c r="C1391" s="6">
        <f t="shared" si="1"/>
        <v>0</v>
      </c>
    </row>
    <row r="1392">
      <c r="C1392" s="6">
        <f t="shared" si="1"/>
        <v>0</v>
      </c>
    </row>
    <row r="1393">
      <c r="C1393" s="6">
        <f t="shared" si="1"/>
        <v>0</v>
      </c>
    </row>
    <row r="1394">
      <c r="C1394" s="6">
        <f t="shared" si="1"/>
        <v>0</v>
      </c>
    </row>
    <row r="1395">
      <c r="C1395" s="6">
        <f t="shared" si="1"/>
        <v>0</v>
      </c>
    </row>
    <row r="1396">
      <c r="C1396" s="6">
        <f t="shared" si="1"/>
        <v>0</v>
      </c>
    </row>
    <row r="1397">
      <c r="C1397" s="6">
        <f t="shared" si="1"/>
        <v>0</v>
      </c>
    </row>
    <row r="1398">
      <c r="C1398" s="6">
        <f t="shared" si="1"/>
        <v>0</v>
      </c>
    </row>
    <row r="1399">
      <c r="C1399" s="6">
        <f t="shared" si="1"/>
        <v>0</v>
      </c>
    </row>
    <row r="1400">
      <c r="C1400" s="6">
        <f t="shared" si="1"/>
        <v>0</v>
      </c>
    </row>
    <row r="1401">
      <c r="C1401" s="6">
        <f t="shared" si="1"/>
        <v>0</v>
      </c>
    </row>
    <row r="1402">
      <c r="C1402" s="6">
        <f t="shared" si="1"/>
        <v>0</v>
      </c>
    </row>
    <row r="1403">
      <c r="C1403" s="6">
        <f t="shared" si="1"/>
        <v>0</v>
      </c>
    </row>
    <row r="1404">
      <c r="C1404" s="6">
        <f t="shared" si="1"/>
        <v>0</v>
      </c>
    </row>
    <row r="1405">
      <c r="C1405" s="6">
        <f t="shared" si="1"/>
        <v>0</v>
      </c>
    </row>
    <row r="1406">
      <c r="C1406" s="6">
        <f t="shared" si="1"/>
        <v>0</v>
      </c>
    </row>
    <row r="1407">
      <c r="C1407" s="6">
        <f t="shared" si="1"/>
        <v>0</v>
      </c>
    </row>
    <row r="1408">
      <c r="C1408" s="6">
        <f t="shared" si="1"/>
        <v>0</v>
      </c>
    </row>
    <row r="1409">
      <c r="C1409" s="6">
        <f t="shared" si="1"/>
        <v>0</v>
      </c>
    </row>
    <row r="1410">
      <c r="C1410" s="6">
        <f t="shared" si="1"/>
        <v>0</v>
      </c>
    </row>
    <row r="1411">
      <c r="C1411" s="6">
        <f t="shared" si="1"/>
        <v>0</v>
      </c>
    </row>
    <row r="1412">
      <c r="C1412" s="6">
        <f t="shared" si="1"/>
        <v>0</v>
      </c>
    </row>
    <row r="1413">
      <c r="C1413" s="6">
        <f t="shared" si="1"/>
        <v>0</v>
      </c>
    </row>
    <row r="1414">
      <c r="C1414" s="6">
        <f t="shared" si="1"/>
        <v>0</v>
      </c>
    </row>
    <row r="1415">
      <c r="C1415" s="6">
        <f t="shared" si="1"/>
        <v>0</v>
      </c>
    </row>
    <row r="1416">
      <c r="C1416" s="6">
        <f t="shared" si="1"/>
        <v>0</v>
      </c>
    </row>
    <row r="1417">
      <c r="C1417" s="6">
        <f t="shared" si="1"/>
        <v>0</v>
      </c>
    </row>
    <row r="1418">
      <c r="C1418" s="6">
        <f t="shared" si="1"/>
        <v>0</v>
      </c>
    </row>
    <row r="1419">
      <c r="C1419" s="6">
        <f t="shared" si="1"/>
        <v>0</v>
      </c>
    </row>
    <row r="1420">
      <c r="C1420" s="6">
        <f t="shared" si="1"/>
        <v>0</v>
      </c>
    </row>
    <row r="1421">
      <c r="C1421" s="6">
        <f t="shared" si="1"/>
        <v>0</v>
      </c>
    </row>
    <row r="1422">
      <c r="C1422" s="6">
        <f t="shared" si="1"/>
        <v>0</v>
      </c>
    </row>
    <row r="1423">
      <c r="C1423" s="6">
        <f t="shared" si="1"/>
        <v>0</v>
      </c>
    </row>
    <row r="1424">
      <c r="C1424" s="6">
        <f t="shared" si="1"/>
        <v>0</v>
      </c>
    </row>
    <row r="1425">
      <c r="C1425" s="6">
        <f t="shared" si="1"/>
        <v>0</v>
      </c>
    </row>
    <row r="1426">
      <c r="C1426" s="6">
        <f t="shared" si="1"/>
        <v>0</v>
      </c>
    </row>
    <row r="1427">
      <c r="C1427" s="6">
        <f t="shared" si="1"/>
        <v>0</v>
      </c>
    </row>
    <row r="1428">
      <c r="C1428" s="6">
        <f t="shared" si="1"/>
        <v>0</v>
      </c>
    </row>
    <row r="1429">
      <c r="C1429" s="6">
        <f t="shared" si="1"/>
        <v>0</v>
      </c>
    </row>
    <row r="1430">
      <c r="C1430" s="6">
        <f t="shared" si="1"/>
        <v>0</v>
      </c>
    </row>
    <row r="1431">
      <c r="C1431" s="6">
        <f t="shared" si="1"/>
        <v>0</v>
      </c>
    </row>
    <row r="1432">
      <c r="C1432" s="6">
        <f t="shared" si="1"/>
        <v>0</v>
      </c>
    </row>
    <row r="1433">
      <c r="C1433" s="6">
        <f t="shared" si="1"/>
        <v>0</v>
      </c>
    </row>
    <row r="1434">
      <c r="C1434" s="6">
        <f t="shared" si="1"/>
        <v>0</v>
      </c>
    </row>
    <row r="1435">
      <c r="C1435" s="6">
        <f t="shared" si="1"/>
        <v>0</v>
      </c>
    </row>
    <row r="1436">
      <c r="C1436" s="6">
        <f t="shared" si="1"/>
        <v>0</v>
      </c>
    </row>
    <row r="1437">
      <c r="C1437" s="6">
        <f t="shared" si="1"/>
        <v>0</v>
      </c>
    </row>
    <row r="1438">
      <c r="C1438" s="6">
        <f t="shared" si="1"/>
        <v>0</v>
      </c>
    </row>
    <row r="1439">
      <c r="C1439" s="6">
        <f t="shared" si="1"/>
        <v>0</v>
      </c>
    </row>
    <row r="1440">
      <c r="C1440" s="6">
        <f t="shared" si="1"/>
        <v>0</v>
      </c>
    </row>
    <row r="1441">
      <c r="C1441" s="6">
        <f t="shared" si="1"/>
        <v>0</v>
      </c>
    </row>
    <row r="1442">
      <c r="C1442" s="6">
        <f t="shared" si="1"/>
        <v>0</v>
      </c>
    </row>
    <row r="1443">
      <c r="C1443" s="6">
        <f t="shared" si="1"/>
        <v>0</v>
      </c>
    </row>
    <row r="1444">
      <c r="C1444" s="6">
        <f t="shared" si="1"/>
        <v>0</v>
      </c>
    </row>
    <row r="1445">
      <c r="C1445" s="6">
        <f t="shared" si="1"/>
        <v>0</v>
      </c>
    </row>
    <row r="1446">
      <c r="C1446" s="6">
        <f t="shared" si="1"/>
        <v>0</v>
      </c>
    </row>
    <row r="1447">
      <c r="C1447" s="6">
        <f t="shared" si="1"/>
        <v>0</v>
      </c>
    </row>
    <row r="1448">
      <c r="C1448" s="6">
        <f t="shared" si="1"/>
        <v>0</v>
      </c>
    </row>
    <row r="1449">
      <c r="C1449" s="6">
        <f t="shared" si="1"/>
        <v>0</v>
      </c>
    </row>
    <row r="1450">
      <c r="C1450" s="6">
        <f t="shared" si="1"/>
        <v>0</v>
      </c>
    </row>
    <row r="1451">
      <c r="C1451" s="6">
        <f t="shared" si="1"/>
        <v>0</v>
      </c>
    </row>
    <row r="1452">
      <c r="C1452" s="6">
        <f t="shared" si="1"/>
        <v>0</v>
      </c>
    </row>
    <row r="1453">
      <c r="C1453" s="6">
        <f t="shared" si="1"/>
        <v>0</v>
      </c>
    </row>
    <row r="1454">
      <c r="C1454" s="6">
        <f t="shared" si="1"/>
        <v>0</v>
      </c>
    </row>
    <row r="1455">
      <c r="C1455" s="6">
        <f t="shared" si="1"/>
        <v>0</v>
      </c>
    </row>
    <row r="1456">
      <c r="C1456" s="6">
        <f t="shared" si="1"/>
        <v>0</v>
      </c>
    </row>
    <row r="1457">
      <c r="C1457" s="6">
        <f t="shared" si="1"/>
        <v>0</v>
      </c>
    </row>
    <row r="1458">
      <c r="C1458" s="6">
        <f t="shared" si="1"/>
        <v>0</v>
      </c>
    </row>
    <row r="1459">
      <c r="C1459" s="6">
        <f t="shared" si="1"/>
        <v>0</v>
      </c>
    </row>
    <row r="1460">
      <c r="C1460" s="6">
        <f t="shared" si="1"/>
        <v>0</v>
      </c>
    </row>
    <row r="1461">
      <c r="C1461" s="6">
        <f t="shared" si="1"/>
        <v>0</v>
      </c>
    </row>
    <row r="1462">
      <c r="C1462" s="6">
        <f t="shared" si="1"/>
        <v>0</v>
      </c>
    </row>
    <row r="1463">
      <c r="C1463" s="6">
        <f t="shared" si="1"/>
        <v>0</v>
      </c>
    </row>
    <row r="1464">
      <c r="C1464" s="6">
        <f t="shared" si="1"/>
        <v>0</v>
      </c>
    </row>
    <row r="1465">
      <c r="C1465" s="6">
        <f t="shared" si="1"/>
        <v>0</v>
      </c>
    </row>
    <row r="1466">
      <c r="C1466" s="6">
        <f t="shared" si="1"/>
        <v>0</v>
      </c>
    </row>
    <row r="1467">
      <c r="C1467" s="6">
        <f t="shared" si="1"/>
        <v>0</v>
      </c>
    </row>
    <row r="1468">
      <c r="C1468" s="6">
        <f t="shared" si="1"/>
        <v>0</v>
      </c>
    </row>
    <row r="1469">
      <c r="C1469" s="6">
        <f t="shared" si="1"/>
        <v>0</v>
      </c>
    </row>
    <row r="1470">
      <c r="C1470" s="6">
        <f t="shared" si="1"/>
        <v>0</v>
      </c>
    </row>
    <row r="1471">
      <c r="C1471" s="6">
        <f t="shared" si="1"/>
        <v>0</v>
      </c>
    </row>
    <row r="1472">
      <c r="C1472" s="6">
        <f t="shared" si="1"/>
        <v>0</v>
      </c>
    </row>
    <row r="1473">
      <c r="C1473" s="6">
        <f t="shared" si="1"/>
        <v>0</v>
      </c>
    </row>
    <row r="1474">
      <c r="C1474" s="6">
        <f t="shared" si="1"/>
        <v>0</v>
      </c>
    </row>
    <row r="1475">
      <c r="C1475" s="6">
        <f t="shared" si="1"/>
        <v>0</v>
      </c>
    </row>
    <row r="1476">
      <c r="C1476" s="6">
        <f t="shared" si="1"/>
        <v>0</v>
      </c>
    </row>
    <row r="1477">
      <c r="C1477" s="6">
        <f t="shared" si="1"/>
        <v>0</v>
      </c>
    </row>
    <row r="1478">
      <c r="C1478" s="6">
        <f t="shared" si="1"/>
        <v>0</v>
      </c>
    </row>
    <row r="1479">
      <c r="C1479" s="6">
        <f t="shared" si="1"/>
        <v>0</v>
      </c>
    </row>
    <row r="1480">
      <c r="C1480" s="6">
        <f t="shared" si="1"/>
        <v>0</v>
      </c>
    </row>
    <row r="1481">
      <c r="C1481" s="6">
        <f t="shared" si="1"/>
        <v>0</v>
      </c>
    </row>
    <row r="1482">
      <c r="C1482" s="6">
        <f t="shared" si="1"/>
        <v>0</v>
      </c>
    </row>
    <row r="1483">
      <c r="C1483" s="6">
        <f t="shared" si="1"/>
        <v>0</v>
      </c>
    </row>
    <row r="1484">
      <c r="C1484" s="6">
        <f t="shared" si="1"/>
        <v>0</v>
      </c>
    </row>
    <row r="1485">
      <c r="C1485" s="6">
        <f t="shared" si="1"/>
        <v>0</v>
      </c>
    </row>
    <row r="1486">
      <c r="C1486" s="6">
        <f t="shared" si="1"/>
        <v>0</v>
      </c>
    </row>
    <row r="1487">
      <c r="C1487" s="6">
        <f t="shared" si="1"/>
        <v>0</v>
      </c>
    </row>
    <row r="1488">
      <c r="C1488" s="6">
        <f t="shared" si="1"/>
        <v>0</v>
      </c>
    </row>
    <row r="1489">
      <c r="C1489" s="6">
        <f t="shared" si="1"/>
        <v>0</v>
      </c>
    </row>
    <row r="1490">
      <c r="C1490" s="6">
        <f t="shared" si="1"/>
        <v>0</v>
      </c>
    </row>
    <row r="1491">
      <c r="C1491" s="6">
        <f t="shared" si="1"/>
        <v>0</v>
      </c>
    </row>
    <row r="1492">
      <c r="C1492" s="6">
        <f t="shared" si="1"/>
        <v>0</v>
      </c>
    </row>
    <row r="1493">
      <c r="C1493" s="6">
        <f t="shared" si="1"/>
        <v>0</v>
      </c>
    </row>
    <row r="1494">
      <c r="C1494" s="6">
        <f t="shared" si="1"/>
        <v>0</v>
      </c>
    </row>
    <row r="1495">
      <c r="C1495" s="6">
        <f t="shared" si="1"/>
        <v>0</v>
      </c>
    </row>
    <row r="1496">
      <c r="C1496" s="6">
        <f t="shared" si="1"/>
        <v>0</v>
      </c>
    </row>
    <row r="1497">
      <c r="C1497" s="6">
        <f t="shared" si="1"/>
        <v>0</v>
      </c>
    </row>
    <row r="1498">
      <c r="C1498" s="6">
        <f t="shared" si="1"/>
        <v>0</v>
      </c>
    </row>
    <row r="1499">
      <c r="C1499" s="6">
        <f t="shared" si="1"/>
        <v>0</v>
      </c>
    </row>
    <row r="1500">
      <c r="C1500" s="6">
        <f t="shared" si="1"/>
        <v>0</v>
      </c>
    </row>
    <row r="1501">
      <c r="C1501" s="6">
        <f t="shared" si="1"/>
        <v>0</v>
      </c>
    </row>
    <row r="1502">
      <c r="C1502" s="6">
        <f t="shared" si="1"/>
        <v>0</v>
      </c>
    </row>
    <row r="1503">
      <c r="C1503" s="6">
        <f t="shared" si="1"/>
        <v>0</v>
      </c>
    </row>
    <row r="1504">
      <c r="C1504" s="6">
        <f t="shared" si="1"/>
        <v>0</v>
      </c>
    </row>
    <row r="1505">
      <c r="C1505" s="6">
        <f t="shared" si="1"/>
        <v>0</v>
      </c>
    </row>
    <row r="1506">
      <c r="C1506" s="6">
        <f t="shared" si="1"/>
        <v>0</v>
      </c>
    </row>
    <row r="1507">
      <c r="C1507" s="6">
        <f t="shared" si="1"/>
        <v>0</v>
      </c>
    </row>
    <row r="1508">
      <c r="C1508" s="6">
        <f t="shared" si="1"/>
        <v>0</v>
      </c>
    </row>
    <row r="1509">
      <c r="C1509" s="6">
        <f t="shared" si="1"/>
        <v>0</v>
      </c>
    </row>
    <row r="1510">
      <c r="C1510" s="6">
        <f t="shared" si="1"/>
        <v>0</v>
      </c>
    </row>
    <row r="1511">
      <c r="C1511" s="6">
        <f t="shared" si="1"/>
        <v>0</v>
      </c>
    </row>
    <row r="1512">
      <c r="C1512" s="6">
        <f t="shared" si="1"/>
        <v>0</v>
      </c>
    </row>
    <row r="1513">
      <c r="C1513" s="6">
        <f t="shared" si="1"/>
        <v>0</v>
      </c>
    </row>
    <row r="1514">
      <c r="C1514" s="6">
        <f t="shared" si="1"/>
        <v>0</v>
      </c>
    </row>
    <row r="1515">
      <c r="C1515" s="6">
        <f t="shared" si="1"/>
        <v>0</v>
      </c>
    </row>
    <row r="1516">
      <c r="C1516" s="6">
        <f t="shared" si="1"/>
        <v>0</v>
      </c>
    </row>
    <row r="1517">
      <c r="C1517" s="6">
        <f t="shared" si="1"/>
        <v>0</v>
      </c>
    </row>
    <row r="1518">
      <c r="C1518" s="6">
        <f t="shared" si="1"/>
        <v>0</v>
      </c>
    </row>
    <row r="1519">
      <c r="C1519" s="6">
        <f t="shared" si="1"/>
        <v>0</v>
      </c>
    </row>
    <row r="1520">
      <c r="C1520" s="6">
        <f t="shared" si="1"/>
        <v>0</v>
      </c>
    </row>
    <row r="1521">
      <c r="C1521" s="6">
        <f t="shared" si="1"/>
        <v>0</v>
      </c>
    </row>
    <row r="1522">
      <c r="C1522" s="6">
        <f t="shared" si="1"/>
        <v>0</v>
      </c>
    </row>
    <row r="1523">
      <c r="C1523" s="6">
        <f t="shared" si="1"/>
        <v>0</v>
      </c>
    </row>
    <row r="1524">
      <c r="C1524" s="6">
        <f t="shared" si="1"/>
        <v>0</v>
      </c>
    </row>
    <row r="1525">
      <c r="C1525" s="6">
        <f t="shared" si="1"/>
        <v>0</v>
      </c>
    </row>
    <row r="1526">
      <c r="C1526" s="6">
        <f t="shared" si="1"/>
        <v>0</v>
      </c>
    </row>
    <row r="1527">
      <c r="C1527" s="6">
        <f t="shared" si="1"/>
        <v>0</v>
      </c>
    </row>
    <row r="1528">
      <c r="C1528" s="6">
        <f t="shared" si="1"/>
        <v>0</v>
      </c>
    </row>
    <row r="1529">
      <c r="C1529" s="6">
        <f t="shared" si="1"/>
        <v>0</v>
      </c>
    </row>
    <row r="1530">
      <c r="C1530" s="6">
        <f t="shared" si="1"/>
        <v>0</v>
      </c>
    </row>
    <row r="1531">
      <c r="C1531" s="6">
        <f t="shared" si="1"/>
        <v>0</v>
      </c>
    </row>
    <row r="1532">
      <c r="C1532" s="6">
        <f t="shared" si="1"/>
        <v>0</v>
      </c>
    </row>
    <row r="1533">
      <c r="C1533" s="6">
        <f t="shared" si="1"/>
        <v>0</v>
      </c>
    </row>
    <row r="1534">
      <c r="C1534" s="6">
        <f t="shared" si="1"/>
        <v>0</v>
      </c>
    </row>
    <row r="1535">
      <c r="C1535" s="6">
        <f t="shared" si="1"/>
        <v>0</v>
      </c>
    </row>
    <row r="1536">
      <c r="C1536" s="6">
        <f t="shared" si="1"/>
        <v>0</v>
      </c>
    </row>
    <row r="1537">
      <c r="C1537" s="6">
        <f t="shared" si="1"/>
        <v>0</v>
      </c>
    </row>
    <row r="1538">
      <c r="C1538" s="6">
        <f t="shared" si="1"/>
        <v>0</v>
      </c>
    </row>
    <row r="1539">
      <c r="C1539" s="6">
        <f t="shared" si="1"/>
        <v>0</v>
      </c>
    </row>
    <row r="1540">
      <c r="C1540" s="6">
        <f t="shared" si="1"/>
        <v>0</v>
      </c>
    </row>
    <row r="1541">
      <c r="C1541" s="6">
        <f t="shared" si="1"/>
        <v>0</v>
      </c>
    </row>
    <row r="1542">
      <c r="C1542" s="6">
        <f t="shared" si="1"/>
        <v>0</v>
      </c>
    </row>
    <row r="1543">
      <c r="C1543" s="6">
        <f t="shared" si="1"/>
        <v>0</v>
      </c>
    </row>
    <row r="1544">
      <c r="C1544" s="6">
        <f t="shared" si="1"/>
        <v>0</v>
      </c>
    </row>
    <row r="1545">
      <c r="C1545" s="6">
        <f t="shared" si="1"/>
        <v>0</v>
      </c>
    </row>
    <row r="1546">
      <c r="C1546" s="6">
        <f t="shared" si="1"/>
        <v>0</v>
      </c>
    </row>
    <row r="1547">
      <c r="C1547" s="6">
        <f t="shared" si="1"/>
        <v>0</v>
      </c>
    </row>
    <row r="1548">
      <c r="C1548" s="6">
        <f t="shared" si="1"/>
        <v>0</v>
      </c>
    </row>
    <row r="1549">
      <c r="C1549" s="6">
        <f t="shared" si="1"/>
        <v>0</v>
      </c>
    </row>
    <row r="1550">
      <c r="C1550" s="6">
        <f t="shared" si="1"/>
        <v>0</v>
      </c>
    </row>
    <row r="1551">
      <c r="C1551" s="6">
        <f t="shared" si="1"/>
        <v>0</v>
      </c>
    </row>
    <row r="1552">
      <c r="C1552" s="6">
        <f t="shared" si="1"/>
        <v>0</v>
      </c>
    </row>
    <row r="1553">
      <c r="C1553" s="6">
        <f t="shared" si="1"/>
        <v>0</v>
      </c>
    </row>
    <row r="1554">
      <c r="C1554" s="6">
        <f t="shared" si="1"/>
        <v>0</v>
      </c>
    </row>
    <row r="1555">
      <c r="C1555" s="6">
        <f t="shared" si="1"/>
        <v>0</v>
      </c>
    </row>
    <row r="1556">
      <c r="C1556" s="6">
        <f t="shared" si="1"/>
        <v>0</v>
      </c>
    </row>
    <row r="1557">
      <c r="C1557" s="6">
        <f t="shared" si="1"/>
        <v>0</v>
      </c>
    </row>
    <row r="1558">
      <c r="C1558" s="6">
        <f t="shared" si="1"/>
        <v>0</v>
      </c>
    </row>
    <row r="1559">
      <c r="C1559" s="6">
        <f t="shared" si="1"/>
        <v>0</v>
      </c>
    </row>
    <row r="1560">
      <c r="C1560" s="6">
        <f t="shared" si="1"/>
        <v>0</v>
      </c>
    </row>
    <row r="1561">
      <c r="C1561" s="6">
        <f t="shared" si="1"/>
        <v>0</v>
      </c>
    </row>
    <row r="1562">
      <c r="C1562" s="6">
        <f t="shared" si="1"/>
        <v>0</v>
      </c>
    </row>
    <row r="1563">
      <c r="C1563" s="6">
        <f t="shared" si="1"/>
        <v>0</v>
      </c>
    </row>
    <row r="1564">
      <c r="C1564" s="6">
        <f t="shared" si="1"/>
        <v>0</v>
      </c>
    </row>
    <row r="1565">
      <c r="C1565" s="6">
        <f t="shared" si="1"/>
        <v>0</v>
      </c>
    </row>
    <row r="1566">
      <c r="C1566" s="6">
        <f t="shared" si="1"/>
        <v>0</v>
      </c>
    </row>
    <row r="1567">
      <c r="C1567" s="6">
        <f t="shared" si="1"/>
        <v>0</v>
      </c>
    </row>
    <row r="1568">
      <c r="C1568" s="6">
        <f t="shared" si="1"/>
        <v>0</v>
      </c>
    </row>
    <row r="1569">
      <c r="C1569" s="6">
        <f t="shared" si="1"/>
        <v>0</v>
      </c>
    </row>
    <row r="1570">
      <c r="C1570" s="6">
        <f t="shared" si="1"/>
        <v>0</v>
      </c>
    </row>
    <row r="1571">
      <c r="C1571" s="6">
        <f t="shared" si="1"/>
        <v>0</v>
      </c>
    </row>
    <row r="1572">
      <c r="C1572" s="6">
        <f t="shared" si="1"/>
        <v>0</v>
      </c>
    </row>
    <row r="1573">
      <c r="C1573" s="6">
        <f t="shared" si="1"/>
        <v>0</v>
      </c>
    </row>
    <row r="1574">
      <c r="C1574" s="6">
        <f t="shared" si="1"/>
        <v>0</v>
      </c>
    </row>
    <row r="1575">
      <c r="C1575" s="6">
        <f t="shared" si="1"/>
        <v>0</v>
      </c>
    </row>
    <row r="1576">
      <c r="C1576" s="6">
        <f t="shared" si="1"/>
        <v>0</v>
      </c>
    </row>
    <row r="1577">
      <c r="C1577" s="6">
        <f t="shared" si="1"/>
        <v>0</v>
      </c>
    </row>
    <row r="1578">
      <c r="C1578" s="6">
        <f t="shared" si="1"/>
        <v>0</v>
      </c>
    </row>
    <row r="1579">
      <c r="C1579" s="6">
        <f t="shared" si="1"/>
        <v>0</v>
      </c>
    </row>
    <row r="1580">
      <c r="C1580" s="6">
        <f t="shared" si="1"/>
        <v>0</v>
      </c>
    </row>
    <row r="1581">
      <c r="C1581" s="6">
        <f t="shared" si="1"/>
        <v>0</v>
      </c>
    </row>
    <row r="1582">
      <c r="C1582" s="6">
        <f t="shared" si="1"/>
        <v>0</v>
      </c>
    </row>
    <row r="1583">
      <c r="C1583" s="6">
        <f t="shared" si="1"/>
        <v>0</v>
      </c>
    </row>
    <row r="1584">
      <c r="C1584" s="6">
        <f t="shared" si="1"/>
        <v>0</v>
      </c>
    </row>
    <row r="1585">
      <c r="C1585" s="6">
        <f t="shared" si="1"/>
        <v>0</v>
      </c>
    </row>
    <row r="1586">
      <c r="C1586" s="6">
        <f t="shared" si="1"/>
        <v>0</v>
      </c>
    </row>
    <row r="1587">
      <c r="C1587" s="6">
        <f t="shared" si="1"/>
        <v>0</v>
      </c>
    </row>
    <row r="1588">
      <c r="C1588" s="6">
        <f t="shared" si="1"/>
        <v>0</v>
      </c>
    </row>
    <row r="1589">
      <c r="C1589" s="6">
        <f t="shared" si="1"/>
        <v>0</v>
      </c>
    </row>
    <row r="1590">
      <c r="C1590" s="6">
        <f t="shared" si="1"/>
        <v>0</v>
      </c>
    </row>
    <row r="1591">
      <c r="C1591" s="6">
        <f t="shared" si="1"/>
        <v>0</v>
      </c>
    </row>
    <row r="1592">
      <c r="C1592" s="6">
        <f t="shared" si="1"/>
        <v>0</v>
      </c>
    </row>
    <row r="1593">
      <c r="C1593" s="6">
        <f t="shared" si="1"/>
        <v>0</v>
      </c>
    </row>
    <row r="1594">
      <c r="C1594" s="6">
        <f t="shared" si="1"/>
        <v>0</v>
      </c>
    </row>
    <row r="1595">
      <c r="C1595" s="6">
        <f t="shared" si="1"/>
        <v>0</v>
      </c>
    </row>
    <row r="1596">
      <c r="C1596" s="6">
        <f t="shared" si="1"/>
        <v>0</v>
      </c>
    </row>
    <row r="1597">
      <c r="C1597" s="6">
        <f t="shared" si="1"/>
        <v>0</v>
      </c>
    </row>
    <row r="1598">
      <c r="C1598" s="6">
        <f t="shared" si="1"/>
        <v>0</v>
      </c>
    </row>
    <row r="1599">
      <c r="C1599" s="6">
        <f t="shared" si="1"/>
        <v>0</v>
      </c>
    </row>
    <row r="1600">
      <c r="C1600" s="6">
        <f t="shared" si="1"/>
        <v>0</v>
      </c>
    </row>
    <row r="1601">
      <c r="C1601" s="6">
        <f t="shared" si="1"/>
        <v>0</v>
      </c>
    </row>
    <row r="1602">
      <c r="C1602" s="6">
        <f t="shared" si="1"/>
        <v>0</v>
      </c>
    </row>
    <row r="1603">
      <c r="C1603" s="6">
        <f t="shared" si="1"/>
        <v>0</v>
      </c>
    </row>
    <row r="1604">
      <c r="C1604" s="6">
        <f t="shared" si="1"/>
        <v>0</v>
      </c>
    </row>
    <row r="1605">
      <c r="C1605" s="6">
        <f t="shared" si="1"/>
        <v>0</v>
      </c>
    </row>
    <row r="1606">
      <c r="C1606" s="6">
        <f t="shared" si="1"/>
        <v>0</v>
      </c>
    </row>
    <row r="1607">
      <c r="C1607" s="6">
        <f t="shared" si="1"/>
        <v>0</v>
      </c>
    </row>
    <row r="1608">
      <c r="C1608" s="6">
        <f t="shared" si="1"/>
        <v>0</v>
      </c>
    </row>
    <row r="1609">
      <c r="C1609" s="6">
        <f t="shared" si="1"/>
        <v>0</v>
      </c>
    </row>
    <row r="1610">
      <c r="C1610" s="6">
        <f t="shared" si="1"/>
        <v>0</v>
      </c>
    </row>
    <row r="1611">
      <c r="C1611" s="6">
        <f t="shared" si="1"/>
        <v>0</v>
      </c>
    </row>
    <row r="1612">
      <c r="C1612" s="6">
        <f t="shared" si="1"/>
        <v>0</v>
      </c>
    </row>
    <row r="1613">
      <c r="C1613" s="6">
        <f t="shared" si="1"/>
        <v>0</v>
      </c>
    </row>
    <row r="1614">
      <c r="C1614" s="6">
        <f t="shared" si="1"/>
        <v>0</v>
      </c>
    </row>
    <row r="1615">
      <c r="C1615" s="6">
        <f t="shared" si="1"/>
        <v>0</v>
      </c>
    </row>
    <row r="1616">
      <c r="C1616" s="6">
        <f t="shared" si="1"/>
        <v>0</v>
      </c>
    </row>
    <row r="1617">
      <c r="C1617" s="6">
        <f t="shared" si="1"/>
        <v>0</v>
      </c>
    </row>
    <row r="1618">
      <c r="C1618" s="6">
        <f t="shared" si="1"/>
        <v>0</v>
      </c>
    </row>
    <row r="1619">
      <c r="C1619" s="6">
        <f t="shared" si="1"/>
        <v>0</v>
      </c>
    </row>
    <row r="1620">
      <c r="C1620" s="6">
        <f t="shared" si="1"/>
        <v>0</v>
      </c>
    </row>
    <row r="1621">
      <c r="C1621" s="6">
        <f t="shared" si="1"/>
        <v>0</v>
      </c>
    </row>
    <row r="1622">
      <c r="C1622" s="6">
        <f t="shared" si="1"/>
        <v>0</v>
      </c>
    </row>
    <row r="1623">
      <c r="C1623" s="6">
        <f t="shared" si="1"/>
        <v>0</v>
      </c>
    </row>
    <row r="1624">
      <c r="C1624" s="6">
        <f t="shared" si="1"/>
        <v>0</v>
      </c>
    </row>
    <row r="1625">
      <c r="C1625" s="6">
        <f t="shared" si="1"/>
        <v>0</v>
      </c>
    </row>
    <row r="1626">
      <c r="C1626" s="6">
        <f t="shared" si="1"/>
        <v>0</v>
      </c>
    </row>
    <row r="1627">
      <c r="C1627" s="6">
        <f t="shared" si="1"/>
        <v>0</v>
      </c>
    </row>
    <row r="1628">
      <c r="C1628" s="6">
        <f t="shared" si="1"/>
        <v>0</v>
      </c>
    </row>
    <row r="1629">
      <c r="C1629" s="6">
        <f t="shared" si="1"/>
        <v>0</v>
      </c>
    </row>
    <row r="1630">
      <c r="C1630" s="6">
        <f t="shared" si="1"/>
        <v>0</v>
      </c>
    </row>
    <row r="1631">
      <c r="C1631" s="6">
        <f t="shared" si="1"/>
        <v>0</v>
      </c>
    </row>
    <row r="1632">
      <c r="C1632" s="6">
        <f t="shared" si="1"/>
        <v>0</v>
      </c>
    </row>
    <row r="1633">
      <c r="C1633" s="6">
        <f t="shared" si="1"/>
        <v>0</v>
      </c>
    </row>
    <row r="1634">
      <c r="C1634" s="6">
        <f t="shared" si="1"/>
        <v>0</v>
      </c>
    </row>
    <row r="1635">
      <c r="C1635" s="6">
        <f t="shared" si="1"/>
        <v>0</v>
      </c>
    </row>
    <row r="1636">
      <c r="C1636" s="6">
        <f t="shared" si="1"/>
        <v>0</v>
      </c>
    </row>
    <row r="1637">
      <c r="C1637" s="6">
        <f t="shared" si="1"/>
        <v>0</v>
      </c>
    </row>
    <row r="1638">
      <c r="C1638" s="6">
        <f t="shared" si="1"/>
        <v>0</v>
      </c>
    </row>
    <row r="1639">
      <c r="C1639" s="6">
        <f t="shared" si="1"/>
        <v>0</v>
      </c>
    </row>
    <row r="1640">
      <c r="C1640" s="6">
        <f t="shared" si="1"/>
        <v>0</v>
      </c>
    </row>
    <row r="1641">
      <c r="C1641" s="6">
        <f t="shared" si="1"/>
        <v>0</v>
      </c>
    </row>
    <row r="1642">
      <c r="C1642" s="6">
        <f t="shared" si="1"/>
        <v>0</v>
      </c>
    </row>
    <row r="1643">
      <c r="C1643" s="6">
        <f t="shared" si="1"/>
        <v>0</v>
      </c>
    </row>
    <row r="1644">
      <c r="C1644" s="6">
        <f t="shared" si="1"/>
        <v>0</v>
      </c>
    </row>
    <row r="1645">
      <c r="C1645" s="6">
        <f t="shared" si="1"/>
        <v>0</v>
      </c>
    </row>
    <row r="1646">
      <c r="C1646" s="6">
        <f t="shared" si="1"/>
        <v>0</v>
      </c>
    </row>
    <row r="1647">
      <c r="C1647" s="6">
        <f t="shared" si="1"/>
        <v>0</v>
      </c>
    </row>
    <row r="1648">
      <c r="C1648" s="6">
        <f t="shared" si="1"/>
        <v>0</v>
      </c>
    </row>
    <row r="1649">
      <c r="C1649" s="6">
        <f t="shared" si="1"/>
        <v>0</v>
      </c>
    </row>
    <row r="1650">
      <c r="C1650" s="6">
        <f t="shared" si="1"/>
        <v>0</v>
      </c>
    </row>
    <row r="1651">
      <c r="C1651" s="6">
        <f t="shared" si="1"/>
        <v>0</v>
      </c>
    </row>
    <row r="1652">
      <c r="C1652" s="6">
        <f t="shared" si="1"/>
        <v>0</v>
      </c>
    </row>
    <row r="1653">
      <c r="C1653" s="6">
        <f t="shared" si="1"/>
        <v>0</v>
      </c>
    </row>
    <row r="1654">
      <c r="C1654" s="6">
        <f t="shared" si="1"/>
        <v>0</v>
      </c>
    </row>
    <row r="1655">
      <c r="C1655" s="6">
        <f t="shared" si="1"/>
        <v>0</v>
      </c>
    </row>
    <row r="1656">
      <c r="C1656" s="6">
        <f t="shared" si="1"/>
        <v>0</v>
      </c>
    </row>
    <row r="1657">
      <c r="C1657" s="6">
        <f t="shared" si="1"/>
        <v>0</v>
      </c>
    </row>
    <row r="1658">
      <c r="C1658" s="6">
        <f t="shared" si="1"/>
        <v>0</v>
      </c>
    </row>
    <row r="1659">
      <c r="C1659" s="6">
        <f t="shared" si="1"/>
        <v>0</v>
      </c>
    </row>
    <row r="1660">
      <c r="C1660" s="6">
        <f t="shared" si="1"/>
        <v>0</v>
      </c>
    </row>
    <row r="1661">
      <c r="C1661" s="6">
        <f t="shared" si="1"/>
        <v>0</v>
      </c>
    </row>
    <row r="1662">
      <c r="C1662" s="6">
        <f t="shared" si="1"/>
        <v>0</v>
      </c>
    </row>
    <row r="1663">
      <c r="C1663" s="6">
        <f t="shared" si="1"/>
        <v>0</v>
      </c>
    </row>
    <row r="1664">
      <c r="C1664" s="6">
        <f t="shared" si="1"/>
        <v>0</v>
      </c>
    </row>
    <row r="1665">
      <c r="C1665" s="6">
        <f t="shared" si="1"/>
        <v>0</v>
      </c>
    </row>
    <row r="1666">
      <c r="C1666" s="6">
        <f t="shared" si="1"/>
        <v>0</v>
      </c>
    </row>
    <row r="1667">
      <c r="C1667" s="6">
        <f t="shared" si="1"/>
        <v>0</v>
      </c>
    </row>
    <row r="1668">
      <c r="C1668" s="6">
        <f t="shared" si="1"/>
        <v>0</v>
      </c>
    </row>
    <row r="1669">
      <c r="C1669" s="6">
        <f t="shared" si="1"/>
        <v>0</v>
      </c>
    </row>
    <row r="1670">
      <c r="C1670" s="6">
        <f t="shared" si="1"/>
        <v>0</v>
      </c>
    </row>
    <row r="1671">
      <c r="C1671" s="6">
        <f t="shared" si="1"/>
        <v>0</v>
      </c>
    </row>
    <row r="1672">
      <c r="C1672" s="6">
        <f t="shared" si="1"/>
        <v>0</v>
      </c>
    </row>
    <row r="1673">
      <c r="C1673" s="6">
        <f t="shared" si="1"/>
        <v>0</v>
      </c>
    </row>
    <row r="1674">
      <c r="C1674" s="6">
        <f t="shared" si="1"/>
        <v>0</v>
      </c>
    </row>
    <row r="1675">
      <c r="C1675" s="6">
        <f t="shared" si="1"/>
        <v>0</v>
      </c>
    </row>
    <row r="1676">
      <c r="C1676" s="6">
        <f t="shared" si="1"/>
        <v>0</v>
      </c>
    </row>
    <row r="1677">
      <c r="C1677" s="6">
        <f t="shared" si="1"/>
        <v>0</v>
      </c>
    </row>
    <row r="1678">
      <c r="C1678" s="6">
        <f t="shared" si="1"/>
        <v>0</v>
      </c>
    </row>
    <row r="1679">
      <c r="C1679" s="6">
        <f t="shared" si="1"/>
        <v>0</v>
      </c>
    </row>
    <row r="1680">
      <c r="C1680" s="6">
        <f t="shared" si="1"/>
        <v>0</v>
      </c>
    </row>
    <row r="1681">
      <c r="C1681" s="6">
        <f t="shared" si="1"/>
        <v>0</v>
      </c>
    </row>
    <row r="1682">
      <c r="C1682" s="6">
        <f t="shared" si="1"/>
        <v>0</v>
      </c>
    </row>
    <row r="1683">
      <c r="C1683" s="6">
        <f t="shared" si="1"/>
        <v>0</v>
      </c>
    </row>
    <row r="1684">
      <c r="C1684" s="6">
        <f t="shared" si="1"/>
        <v>0</v>
      </c>
    </row>
    <row r="1685">
      <c r="C1685" s="6">
        <f t="shared" si="1"/>
        <v>0</v>
      </c>
    </row>
    <row r="1686">
      <c r="C1686" s="6">
        <f t="shared" si="1"/>
        <v>0</v>
      </c>
    </row>
    <row r="1687">
      <c r="C1687" s="6">
        <f t="shared" si="1"/>
        <v>0</v>
      </c>
    </row>
    <row r="1688">
      <c r="C1688" s="6">
        <f t="shared" si="1"/>
        <v>0</v>
      </c>
    </row>
    <row r="1689">
      <c r="C1689" s="6">
        <f t="shared" si="1"/>
        <v>0</v>
      </c>
    </row>
    <row r="1690">
      <c r="C1690" s="6">
        <f t="shared" si="1"/>
        <v>0</v>
      </c>
    </row>
    <row r="1691">
      <c r="C1691" s="6">
        <f t="shared" si="1"/>
        <v>0</v>
      </c>
    </row>
    <row r="1692">
      <c r="C1692" s="6">
        <f t="shared" si="1"/>
        <v>0</v>
      </c>
    </row>
    <row r="1693">
      <c r="C1693" s="6">
        <f t="shared" si="1"/>
        <v>0</v>
      </c>
    </row>
    <row r="1694">
      <c r="C1694" s="6">
        <f t="shared" si="1"/>
        <v>0</v>
      </c>
    </row>
    <row r="1695">
      <c r="C1695" s="6">
        <f t="shared" si="1"/>
        <v>0</v>
      </c>
    </row>
    <row r="1696">
      <c r="C1696" s="6">
        <f t="shared" si="1"/>
        <v>0</v>
      </c>
    </row>
    <row r="1697">
      <c r="C1697" s="6">
        <f t="shared" si="1"/>
        <v>0</v>
      </c>
    </row>
    <row r="1698">
      <c r="C1698" s="6">
        <f t="shared" si="1"/>
        <v>0</v>
      </c>
    </row>
    <row r="1699">
      <c r="C1699" s="6">
        <f t="shared" si="1"/>
        <v>0</v>
      </c>
    </row>
    <row r="1700">
      <c r="C1700" s="6">
        <f t="shared" si="1"/>
        <v>0</v>
      </c>
    </row>
    <row r="1701">
      <c r="C1701" s="6">
        <f t="shared" si="1"/>
        <v>0</v>
      </c>
    </row>
    <row r="1702">
      <c r="C1702" s="6">
        <f t="shared" si="1"/>
        <v>0</v>
      </c>
    </row>
    <row r="1703">
      <c r="C1703" s="6">
        <f t="shared" si="1"/>
        <v>0</v>
      </c>
    </row>
    <row r="1704">
      <c r="C1704" s="6">
        <f t="shared" si="1"/>
        <v>0</v>
      </c>
    </row>
    <row r="1705">
      <c r="C1705" s="6">
        <f t="shared" si="1"/>
        <v>0</v>
      </c>
    </row>
    <row r="1706">
      <c r="C1706" s="6">
        <f t="shared" si="1"/>
        <v>0</v>
      </c>
    </row>
    <row r="1707">
      <c r="C1707" s="6">
        <f t="shared" si="1"/>
        <v>0</v>
      </c>
    </row>
    <row r="1708">
      <c r="C1708" s="6">
        <f t="shared" si="1"/>
        <v>0</v>
      </c>
    </row>
    <row r="1709">
      <c r="C1709" s="6">
        <f t="shared" si="1"/>
        <v>0</v>
      </c>
    </row>
    <row r="1710">
      <c r="C1710" s="6">
        <f t="shared" si="1"/>
        <v>0</v>
      </c>
    </row>
    <row r="1711">
      <c r="C1711" s="6">
        <f t="shared" si="1"/>
        <v>0</v>
      </c>
    </row>
    <row r="1712">
      <c r="C1712" s="6">
        <f t="shared" si="1"/>
        <v>0</v>
      </c>
    </row>
    <row r="1713">
      <c r="C1713" s="6">
        <f t="shared" si="1"/>
        <v>0</v>
      </c>
    </row>
    <row r="1714">
      <c r="C1714" s="6">
        <f t="shared" si="1"/>
        <v>0</v>
      </c>
    </row>
    <row r="1715">
      <c r="C1715" s="6">
        <f t="shared" si="1"/>
        <v>0</v>
      </c>
    </row>
    <row r="1716">
      <c r="C1716" s="6">
        <f t="shared" si="1"/>
        <v>0</v>
      </c>
    </row>
    <row r="1717">
      <c r="C1717" s="6">
        <f t="shared" si="1"/>
        <v>0</v>
      </c>
    </row>
    <row r="1718">
      <c r="C1718" s="6">
        <f t="shared" si="1"/>
        <v>0</v>
      </c>
    </row>
    <row r="1719">
      <c r="C1719" s="6">
        <f t="shared" si="1"/>
        <v>0</v>
      </c>
    </row>
    <row r="1720">
      <c r="C1720" s="6">
        <f t="shared" si="1"/>
        <v>0</v>
      </c>
    </row>
    <row r="1721">
      <c r="C1721" s="6">
        <f t="shared" si="1"/>
        <v>0</v>
      </c>
    </row>
    <row r="1722">
      <c r="C1722" s="6">
        <f t="shared" si="1"/>
        <v>0</v>
      </c>
    </row>
    <row r="1723">
      <c r="C1723" s="6">
        <f t="shared" si="1"/>
        <v>0</v>
      </c>
    </row>
    <row r="1724">
      <c r="C1724" s="6">
        <f t="shared" si="1"/>
        <v>0</v>
      </c>
    </row>
    <row r="1725">
      <c r="C1725" s="6">
        <f t="shared" si="1"/>
        <v>0</v>
      </c>
    </row>
    <row r="1726">
      <c r="C1726" s="6">
        <f t="shared" si="1"/>
        <v>0</v>
      </c>
    </row>
    <row r="1727">
      <c r="C1727" s="6">
        <f t="shared" si="1"/>
        <v>0</v>
      </c>
    </row>
    <row r="1728">
      <c r="C1728" s="6">
        <f t="shared" si="1"/>
        <v>0</v>
      </c>
    </row>
    <row r="1729">
      <c r="C1729" s="6">
        <f t="shared" si="1"/>
        <v>0</v>
      </c>
    </row>
    <row r="1730">
      <c r="C1730" s="6">
        <f t="shared" si="1"/>
        <v>0</v>
      </c>
    </row>
    <row r="1731">
      <c r="C1731" s="6">
        <f t="shared" si="1"/>
        <v>0</v>
      </c>
    </row>
    <row r="1732">
      <c r="C1732" s="6">
        <f t="shared" si="1"/>
        <v>0</v>
      </c>
    </row>
    <row r="1733">
      <c r="C1733" s="6">
        <f t="shared" si="1"/>
        <v>0</v>
      </c>
    </row>
    <row r="1734">
      <c r="C1734" s="6">
        <f t="shared" si="1"/>
        <v>0</v>
      </c>
    </row>
    <row r="1735">
      <c r="C1735" s="6">
        <f t="shared" si="1"/>
        <v>0</v>
      </c>
    </row>
    <row r="1736">
      <c r="C1736" s="6">
        <f t="shared" si="1"/>
        <v>0</v>
      </c>
    </row>
    <row r="1737">
      <c r="C1737" s="6">
        <f t="shared" si="1"/>
        <v>0</v>
      </c>
    </row>
    <row r="1738">
      <c r="C1738" s="6">
        <f t="shared" si="1"/>
        <v>0</v>
      </c>
    </row>
    <row r="1739">
      <c r="C1739" s="6">
        <f t="shared" si="1"/>
        <v>0</v>
      </c>
    </row>
    <row r="1740">
      <c r="C1740" s="6">
        <f t="shared" si="1"/>
        <v>0</v>
      </c>
    </row>
    <row r="1741">
      <c r="C1741" s="6">
        <f t="shared" si="1"/>
        <v>0</v>
      </c>
    </row>
    <row r="1742">
      <c r="C1742" s="6">
        <f t="shared" si="1"/>
        <v>0</v>
      </c>
    </row>
    <row r="1743">
      <c r="C1743" s="6">
        <f t="shared" si="1"/>
        <v>0</v>
      </c>
    </row>
    <row r="1744">
      <c r="C1744" s="6">
        <f t="shared" si="1"/>
        <v>0</v>
      </c>
    </row>
    <row r="1745">
      <c r="C1745" s="6">
        <f t="shared" si="1"/>
        <v>0</v>
      </c>
    </row>
    <row r="1746">
      <c r="C1746" s="6">
        <f t="shared" si="1"/>
        <v>0</v>
      </c>
    </row>
    <row r="1747">
      <c r="C1747" s="6">
        <f t="shared" si="1"/>
        <v>0</v>
      </c>
    </row>
    <row r="1748">
      <c r="C1748" s="6">
        <f t="shared" si="1"/>
        <v>0</v>
      </c>
    </row>
    <row r="1749">
      <c r="C1749" s="6">
        <f t="shared" si="1"/>
        <v>0</v>
      </c>
    </row>
    <row r="1750">
      <c r="C1750" s="6">
        <f t="shared" si="1"/>
        <v>0</v>
      </c>
    </row>
    <row r="1751">
      <c r="C1751" s="6">
        <f t="shared" si="1"/>
        <v>0</v>
      </c>
    </row>
    <row r="1752">
      <c r="C1752" s="6">
        <f t="shared" si="1"/>
        <v>0</v>
      </c>
    </row>
    <row r="1753">
      <c r="C1753" s="6">
        <f t="shared" si="1"/>
        <v>0</v>
      </c>
    </row>
    <row r="1754">
      <c r="C1754" s="6">
        <f t="shared" si="1"/>
        <v>0</v>
      </c>
    </row>
    <row r="1755">
      <c r="C1755" s="6">
        <f t="shared" si="1"/>
        <v>0</v>
      </c>
    </row>
    <row r="1756">
      <c r="C1756" s="6">
        <f t="shared" si="1"/>
        <v>0</v>
      </c>
    </row>
    <row r="1757">
      <c r="C1757" s="6">
        <f t="shared" si="1"/>
        <v>0</v>
      </c>
    </row>
    <row r="1758">
      <c r="C1758" s="6">
        <f t="shared" si="1"/>
        <v>0</v>
      </c>
    </row>
    <row r="1759">
      <c r="C1759" s="6">
        <f t="shared" si="1"/>
        <v>0</v>
      </c>
    </row>
    <row r="1760">
      <c r="C1760" s="6">
        <f t="shared" si="1"/>
        <v>0</v>
      </c>
    </row>
    <row r="1761">
      <c r="C1761" s="6">
        <f t="shared" si="1"/>
        <v>0</v>
      </c>
    </row>
    <row r="1762">
      <c r="C1762" s="6">
        <f t="shared" si="1"/>
        <v>0</v>
      </c>
    </row>
    <row r="1763">
      <c r="C1763" s="6">
        <f t="shared" si="1"/>
        <v>0</v>
      </c>
    </row>
    <row r="1764">
      <c r="C1764" s="6">
        <f t="shared" si="1"/>
        <v>0</v>
      </c>
    </row>
    <row r="1765">
      <c r="C1765" s="6">
        <f t="shared" si="1"/>
        <v>0</v>
      </c>
    </row>
    <row r="1766">
      <c r="C1766" s="6">
        <f t="shared" si="1"/>
        <v>0</v>
      </c>
    </row>
    <row r="1767">
      <c r="C1767" s="6">
        <f t="shared" si="1"/>
        <v>0</v>
      </c>
    </row>
    <row r="1768">
      <c r="C1768" s="6">
        <f t="shared" si="1"/>
        <v>0</v>
      </c>
    </row>
    <row r="1769">
      <c r="C1769" s="6">
        <f t="shared" si="1"/>
        <v>0</v>
      </c>
    </row>
    <row r="1770">
      <c r="C1770" s="6">
        <f t="shared" si="1"/>
        <v>0</v>
      </c>
    </row>
    <row r="1771">
      <c r="C1771" s="6">
        <f t="shared" si="1"/>
        <v>0</v>
      </c>
    </row>
    <row r="1772">
      <c r="C1772" s="6">
        <f t="shared" si="1"/>
        <v>0</v>
      </c>
    </row>
    <row r="1773">
      <c r="C1773" s="6">
        <f t="shared" si="1"/>
        <v>0</v>
      </c>
    </row>
    <row r="1774">
      <c r="C1774" s="6">
        <f t="shared" si="1"/>
        <v>0</v>
      </c>
    </row>
    <row r="1775">
      <c r="C1775" s="6">
        <f t="shared" si="1"/>
        <v>0</v>
      </c>
    </row>
    <row r="1776">
      <c r="C1776" s="6">
        <f t="shared" si="1"/>
        <v>0</v>
      </c>
    </row>
    <row r="1777">
      <c r="C1777" s="6">
        <f t="shared" si="1"/>
        <v>0</v>
      </c>
    </row>
    <row r="1778">
      <c r="C1778" s="6">
        <f t="shared" si="1"/>
        <v>0</v>
      </c>
    </row>
    <row r="1779">
      <c r="C1779" s="6">
        <f t="shared" si="1"/>
        <v>0</v>
      </c>
    </row>
    <row r="1780">
      <c r="C1780" s="6">
        <f t="shared" si="1"/>
        <v>0</v>
      </c>
    </row>
    <row r="1781">
      <c r="C1781" s="6">
        <f t="shared" si="1"/>
        <v>0</v>
      </c>
    </row>
    <row r="1782">
      <c r="C1782" s="6">
        <f t="shared" si="1"/>
        <v>0</v>
      </c>
    </row>
    <row r="1783">
      <c r="C1783" s="6">
        <f t="shared" si="1"/>
        <v>0</v>
      </c>
    </row>
    <row r="1784">
      <c r="C1784" s="6">
        <f t="shared" si="1"/>
        <v>0</v>
      </c>
    </row>
    <row r="1785">
      <c r="C1785" s="6">
        <f t="shared" si="1"/>
        <v>0</v>
      </c>
    </row>
    <row r="1786">
      <c r="C1786" s="6">
        <f t="shared" si="1"/>
        <v>0</v>
      </c>
    </row>
    <row r="1787">
      <c r="C1787" s="6">
        <f t="shared" si="1"/>
        <v>0</v>
      </c>
    </row>
    <row r="1788">
      <c r="C1788" s="6">
        <f t="shared" si="1"/>
        <v>0</v>
      </c>
    </row>
    <row r="1789">
      <c r="C1789" s="6">
        <f t="shared" si="1"/>
        <v>0</v>
      </c>
    </row>
    <row r="1790">
      <c r="C1790" s="6">
        <f t="shared" si="1"/>
        <v>0</v>
      </c>
    </row>
    <row r="1791">
      <c r="C1791" s="6">
        <f t="shared" si="1"/>
        <v>0</v>
      </c>
    </row>
    <row r="1792">
      <c r="C1792" s="6">
        <f t="shared" si="1"/>
        <v>0</v>
      </c>
    </row>
    <row r="1793">
      <c r="C1793" s="6">
        <f t="shared" si="1"/>
        <v>0</v>
      </c>
    </row>
    <row r="1794">
      <c r="C1794" s="6">
        <f t="shared" si="1"/>
        <v>0</v>
      </c>
    </row>
    <row r="1795">
      <c r="C1795" s="6">
        <f t="shared" si="1"/>
        <v>0</v>
      </c>
    </row>
    <row r="1796">
      <c r="C1796" s="6">
        <f t="shared" si="1"/>
        <v>0</v>
      </c>
    </row>
    <row r="1797">
      <c r="C1797" s="6">
        <f t="shared" si="1"/>
        <v>0</v>
      </c>
    </row>
    <row r="1798">
      <c r="C1798" s="6">
        <f t="shared" si="1"/>
        <v>0</v>
      </c>
    </row>
    <row r="1799">
      <c r="C1799" s="6">
        <f t="shared" si="1"/>
        <v>0</v>
      </c>
    </row>
    <row r="1800">
      <c r="C1800" s="6">
        <f t="shared" si="1"/>
        <v>0</v>
      </c>
    </row>
    <row r="1801">
      <c r="C1801" s="6">
        <f t="shared" si="1"/>
        <v>0</v>
      </c>
    </row>
    <row r="1802">
      <c r="C1802" s="6">
        <f t="shared" si="1"/>
        <v>0</v>
      </c>
    </row>
    <row r="1803">
      <c r="C1803" s="6">
        <f t="shared" si="1"/>
        <v>0</v>
      </c>
    </row>
    <row r="1804">
      <c r="C1804" s="6">
        <f t="shared" si="1"/>
        <v>0</v>
      </c>
    </row>
    <row r="1805">
      <c r="C1805" s="6">
        <f t="shared" si="1"/>
        <v>0</v>
      </c>
    </row>
    <row r="1806">
      <c r="C1806" s="6">
        <f t="shared" si="1"/>
        <v>0</v>
      </c>
    </row>
    <row r="1807">
      <c r="C1807" s="6">
        <f t="shared" si="1"/>
        <v>0</v>
      </c>
    </row>
    <row r="1808">
      <c r="C1808" s="6">
        <f t="shared" si="1"/>
        <v>0</v>
      </c>
    </row>
    <row r="1809">
      <c r="C1809" s="6">
        <f t="shared" si="1"/>
        <v>0</v>
      </c>
    </row>
    <row r="1810">
      <c r="C1810" s="6">
        <f t="shared" si="1"/>
        <v>0</v>
      </c>
    </row>
    <row r="1811">
      <c r="C1811" s="6">
        <f t="shared" si="1"/>
        <v>0</v>
      </c>
    </row>
    <row r="1812">
      <c r="C1812" s="6">
        <f t="shared" si="1"/>
        <v>0</v>
      </c>
    </row>
    <row r="1813">
      <c r="C1813" s="6">
        <f t="shared" si="1"/>
        <v>0</v>
      </c>
    </row>
    <row r="1814">
      <c r="C1814" s="6">
        <f t="shared" si="1"/>
        <v>0</v>
      </c>
    </row>
    <row r="1815">
      <c r="C1815" s="6">
        <f t="shared" si="1"/>
        <v>0</v>
      </c>
    </row>
    <row r="1816">
      <c r="C1816" s="6">
        <f t="shared" si="1"/>
        <v>0</v>
      </c>
    </row>
    <row r="1817">
      <c r="C1817" s="6">
        <f t="shared" si="1"/>
        <v>0</v>
      </c>
    </row>
    <row r="1818">
      <c r="C1818" s="6">
        <f t="shared" si="1"/>
        <v>0</v>
      </c>
    </row>
    <row r="1819">
      <c r="C1819" s="6">
        <f t="shared" si="1"/>
        <v>0</v>
      </c>
    </row>
    <row r="1820">
      <c r="C1820" s="6">
        <f t="shared" si="1"/>
        <v>0</v>
      </c>
    </row>
    <row r="1821">
      <c r="C1821" s="6">
        <f t="shared" si="1"/>
        <v>0</v>
      </c>
    </row>
    <row r="1822">
      <c r="C1822" s="6">
        <f t="shared" si="1"/>
        <v>0</v>
      </c>
    </row>
    <row r="1823">
      <c r="C1823" s="6">
        <f t="shared" si="1"/>
        <v>0</v>
      </c>
    </row>
    <row r="1824">
      <c r="C1824" s="6">
        <f t="shared" si="1"/>
        <v>0</v>
      </c>
    </row>
    <row r="1825">
      <c r="C1825" s="6">
        <f t="shared" si="1"/>
        <v>0</v>
      </c>
    </row>
    <row r="1826">
      <c r="C1826" s="6">
        <f t="shared" si="1"/>
        <v>0</v>
      </c>
    </row>
    <row r="1827">
      <c r="C1827" s="6">
        <f t="shared" si="1"/>
        <v>0</v>
      </c>
    </row>
    <row r="1828">
      <c r="C1828" s="6">
        <f t="shared" si="1"/>
        <v>0</v>
      </c>
    </row>
    <row r="1829">
      <c r="C1829" s="6">
        <f t="shared" si="1"/>
        <v>0</v>
      </c>
    </row>
    <row r="1830">
      <c r="C1830" s="6">
        <f t="shared" si="1"/>
        <v>0</v>
      </c>
    </row>
    <row r="1831">
      <c r="C1831" s="6">
        <f t="shared" si="1"/>
        <v>0</v>
      </c>
    </row>
    <row r="1832">
      <c r="C1832" s="6">
        <f t="shared" si="1"/>
        <v>0</v>
      </c>
    </row>
    <row r="1833">
      <c r="C1833" s="6">
        <f t="shared" si="1"/>
        <v>0</v>
      </c>
    </row>
    <row r="1834">
      <c r="C1834" s="6">
        <f t="shared" si="1"/>
        <v>0</v>
      </c>
    </row>
    <row r="1835">
      <c r="C1835" s="6">
        <f t="shared" si="1"/>
        <v>0</v>
      </c>
    </row>
    <row r="1836">
      <c r="C1836" s="6">
        <f t="shared" si="1"/>
        <v>0</v>
      </c>
    </row>
    <row r="1837">
      <c r="C1837" s="6">
        <f t="shared" si="1"/>
        <v>0</v>
      </c>
    </row>
    <row r="1838">
      <c r="C1838" s="6">
        <f t="shared" si="1"/>
        <v>0</v>
      </c>
    </row>
    <row r="1839">
      <c r="C1839" s="6">
        <f t="shared" si="1"/>
        <v>0</v>
      </c>
    </row>
    <row r="1840">
      <c r="C1840" s="6">
        <f t="shared" si="1"/>
        <v>0</v>
      </c>
    </row>
    <row r="1841">
      <c r="C1841" s="6">
        <f t="shared" si="1"/>
        <v>0</v>
      </c>
    </row>
    <row r="1842">
      <c r="C1842" s="6">
        <f t="shared" si="1"/>
        <v>0</v>
      </c>
    </row>
    <row r="1843">
      <c r="C1843" s="6">
        <f t="shared" si="1"/>
        <v>0</v>
      </c>
    </row>
    <row r="1844">
      <c r="C1844" s="6">
        <f t="shared" si="1"/>
        <v>0</v>
      </c>
    </row>
    <row r="1845">
      <c r="C1845" s="6">
        <f t="shared" si="1"/>
        <v>0</v>
      </c>
    </row>
    <row r="1846">
      <c r="C1846" s="6">
        <f t="shared" si="1"/>
        <v>0</v>
      </c>
    </row>
    <row r="1847">
      <c r="C1847" s="6">
        <f t="shared" si="1"/>
        <v>0</v>
      </c>
    </row>
    <row r="1848">
      <c r="C1848" s="6">
        <f t="shared" si="1"/>
        <v>0</v>
      </c>
    </row>
    <row r="1849">
      <c r="C1849" s="6">
        <f t="shared" si="1"/>
        <v>0</v>
      </c>
    </row>
    <row r="1850">
      <c r="C1850" s="6">
        <f t="shared" si="1"/>
        <v>0</v>
      </c>
    </row>
    <row r="1851">
      <c r="C1851" s="6">
        <f t="shared" si="1"/>
        <v>0</v>
      </c>
    </row>
    <row r="1852">
      <c r="C1852" s="6">
        <f t="shared" si="1"/>
        <v>0</v>
      </c>
    </row>
    <row r="1853">
      <c r="C1853" s="6">
        <f t="shared" si="1"/>
        <v>0</v>
      </c>
    </row>
    <row r="1854">
      <c r="C1854" s="6">
        <f t="shared" si="1"/>
        <v>0</v>
      </c>
    </row>
    <row r="1855">
      <c r="C1855" s="6">
        <f t="shared" si="1"/>
        <v>0</v>
      </c>
    </row>
    <row r="1856">
      <c r="C1856" s="6">
        <f t="shared" si="1"/>
        <v>0</v>
      </c>
    </row>
    <row r="1857">
      <c r="C1857" s="6">
        <f t="shared" si="1"/>
        <v>0</v>
      </c>
    </row>
    <row r="1858">
      <c r="C1858" s="6">
        <f t="shared" si="1"/>
        <v>0</v>
      </c>
    </row>
    <row r="1859">
      <c r="C1859" s="6">
        <f t="shared" si="1"/>
        <v>0</v>
      </c>
    </row>
    <row r="1860">
      <c r="C1860" s="6">
        <f t="shared" si="1"/>
        <v>0</v>
      </c>
    </row>
    <row r="1861">
      <c r="C1861" s="6">
        <f t="shared" si="1"/>
        <v>0</v>
      </c>
    </row>
    <row r="1862">
      <c r="C1862" s="6">
        <f t="shared" si="1"/>
        <v>0</v>
      </c>
    </row>
    <row r="1863">
      <c r="C1863" s="6">
        <f t="shared" si="1"/>
        <v>0</v>
      </c>
    </row>
    <row r="1864">
      <c r="C1864" s="6">
        <f t="shared" si="1"/>
        <v>0</v>
      </c>
    </row>
    <row r="1865">
      <c r="C1865" s="6">
        <f t="shared" si="1"/>
        <v>0</v>
      </c>
    </row>
    <row r="1866">
      <c r="C1866" s="6">
        <f t="shared" si="1"/>
        <v>0</v>
      </c>
    </row>
    <row r="1867">
      <c r="C1867" s="6">
        <f t="shared" si="1"/>
        <v>0</v>
      </c>
    </row>
    <row r="1868">
      <c r="C1868" s="6">
        <f t="shared" si="1"/>
        <v>0</v>
      </c>
    </row>
    <row r="1869">
      <c r="C1869" s="6">
        <f t="shared" si="1"/>
        <v>0</v>
      </c>
    </row>
    <row r="1870">
      <c r="C1870" s="6">
        <f t="shared" si="1"/>
        <v>0</v>
      </c>
    </row>
    <row r="1871">
      <c r="C1871" s="6">
        <f t="shared" si="1"/>
        <v>0</v>
      </c>
    </row>
    <row r="1872">
      <c r="C1872" s="6">
        <f t="shared" si="1"/>
        <v>0</v>
      </c>
    </row>
    <row r="1873">
      <c r="C1873" s="6">
        <f t="shared" si="1"/>
        <v>0</v>
      </c>
    </row>
    <row r="1874">
      <c r="C1874" s="6">
        <f t="shared" si="1"/>
        <v>0</v>
      </c>
    </row>
    <row r="1875">
      <c r="C1875" s="6">
        <f t="shared" si="1"/>
        <v>0</v>
      </c>
    </row>
    <row r="1876">
      <c r="C1876" s="6">
        <f t="shared" si="1"/>
        <v>0</v>
      </c>
    </row>
    <row r="1877">
      <c r="C1877" s="6">
        <f t="shared" si="1"/>
        <v>0</v>
      </c>
    </row>
    <row r="1878">
      <c r="C1878" s="6">
        <f t="shared" si="1"/>
        <v>0</v>
      </c>
    </row>
    <row r="1879">
      <c r="C1879" s="6">
        <f t="shared" si="1"/>
        <v>0</v>
      </c>
    </row>
    <row r="1880">
      <c r="C1880" s="6">
        <f t="shared" si="1"/>
        <v>0</v>
      </c>
    </row>
    <row r="1881">
      <c r="C1881" s="6">
        <f t="shared" si="1"/>
        <v>0</v>
      </c>
    </row>
    <row r="1882">
      <c r="C1882" s="6">
        <f t="shared" si="1"/>
        <v>0</v>
      </c>
    </row>
    <row r="1883">
      <c r="C1883" s="6">
        <f t="shared" si="1"/>
        <v>0</v>
      </c>
    </row>
    <row r="1884">
      <c r="C1884" s="6">
        <f t="shared" si="1"/>
        <v>0</v>
      </c>
    </row>
    <row r="1885">
      <c r="C1885" s="6">
        <f t="shared" si="1"/>
        <v>0</v>
      </c>
    </row>
    <row r="1886">
      <c r="C1886" s="6">
        <f t="shared" si="1"/>
        <v>0</v>
      </c>
    </row>
    <row r="1887">
      <c r="C1887" s="6">
        <f t="shared" si="1"/>
        <v>0</v>
      </c>
    </row>
    <row r="1888">
      <c r="C1888" s="6">
        <f t="shared" si="1"/>
        <v>0</v>
      </c>
    </row>
    <row r="1889">
      <c r="C1889" s="6">
        <f t="shared" si="1"/>
        <v>0</v>
      </c>
    </row>
    <row r="1890">
      <c r="C1890" s="6">
        <f t="shared" si="1"/>
        <v>0</v>
      </c>
    </row>
    <row r="1891">
      <c r="C1891" s="6">
        <f t="shared" si="1"/>
        <v>0</v>
      </c>
    </row>
    <row r="1892">
      <c r="C1892" s="6">
        <f t="shared" si="1"/>
        <v>0</v>
      </c>
    </row>
    <row r="1893">
      <c r="C1893" s="6">
        <f t="shared" si="1"/>
        <v>0</v>
      </c>
    </row>
    <row r="1894">
      <c r="C1894" s="6">
        <f t="shared" si="1"/>
        <v>0</v>
      </c>
    </row>
    <row r="1895">
      <c r="C1895" s="6">
        <f t="shared" si="1"/>
        <v>0</v>
      </c>
    </row>
    <row r="1896">
      <c r="C1896" s="6">
        <f t="shared" si="1"/>
        <v>0</v>
      </c>
    </row>
    <row r="1897">
      <c r="C1897" s="6">
        <f t="shared" si="1"/>
        <v>0</v>
      </c>
    </row>
    <row r="1898">
      <c r="C1898" s="6">
        <f t="shared" si="1"/>
        <v>0</v>
      </c>
    </row>
    <row r="1899">
      <c r="C1899" s="6">
        <f t="shared" si="1"/>
        <v>0</v>
      </c>
    </row>
    <row r="1900">
      <c r="C1900" s="6">
        <f t="shared" si="1"/>
        <v>0</v>
      </c>
    </row>
    <row r="1901">
      <c r="C1901" s="6">
        <f t="shared" si="1"/>
        <v>0</v>
      </c>
    </row>
    <row r="1902">
      <c r="C1902" s="6">
        <f t="shared" si="1"/>
        <v>0</v>
      </c>
    </row>
    <row r="1903">
      <c r="C1903" s="6">
        <f t="shared" si="1"/>
        <v>0</v>
      </c>
    </row>
    <row r="1904">
      <c r="C1904" s="6">
        <f t="shared" si="1"/>
        <v>0</v>
      </c>
    </row>
    <row r="1905">
      <c r="C1905" s="6">
        <f t="shared" si="1"/>
        <v>0</v>
      </c>
    </row>
    <row r="1906">
      <c r="C1906" s="6">
        <f t="shared" si="1"/>
        <v>0</v>
      </c>
    </row>
    <row r="1907">
      <c r="C1907" s="6">
        <f t="shared" si="1"/>
        <v>0</v>
      </c>
    </row>
    <row r="1908">
      <c r="C1908" s="6">
        <f t="shared" si="1"/>
        <v>0</v>
      </c>
    </row>
    <row r="1909">
      <c r="C1909" s="6">
        <f t="shared" si="1"/>
        <v>0</v>
      </c>
    </row>
    <row r="1910">
      <c r="C1910" s="6">
        <f t="shared" si="1"/>
        <v>0</v>
      </c>
    </row>
    <row r="1911">
      <c r="C1911" s="6">
        <f t="shared" si="1"/>
        <v>0</v>
      </c>
    </row>
    <row r="1912">
      <c r="C1912" s="6">
        <f t="shared" si="1"/>
        <v>0</v>
      </c>
    </row>
    <row r="1913">
      <c r="C1913" s="6">
        <f t="shared" si="1"/>
        <v>0</v>
      </c>
    </row>
    <row r="1914">
      <c r="C1914" s="6">
        <f t="shared" si="1"/>
        <v>0</v>
      </c>
    </row>
    <row r="1915">
      <c r="C1915" s="6">
        <f t="shared" si="1"/>
        <v>0</v>
      </c>
    </row>
    <row r="1916">
      <c r="C1916" s="6">
        <f t="shared" si="1"/>
        <v>0</v>
      </c>
    </row>
    <row r="1917">
      <c r="C1917" s="6">
        <f t="shared" si="1"/>
        <v>0</v>
      </c>
    </row>
    <row r="1918">
      <c r="C1918" s="6">
        <f t="shared" si="1"/>
        <v>0</v>
      </c>
    </row>
    <row r="1919">
      <c r="C1919" s="6">
        <f t="shared" si="1"/>
        <v>0</v>
      </c>
    </row>
    <row r="1920">
      <c r="C1920" s="6">
        <f t="shared" si="1"/>
        <v>0</v>
      </c>
    </row>
    <row r="1921">
      <c r="C1921" s="6">
        <f t="shared" si="1"/>
        <v>0</v>
      </c>
    </row>
    <row r="1922">
      <c r="C1922" s="6">
        <f t="shared" si="1"/>
        <v>0</v>
      </c>
    </row>
    <row r="1923">
      <c r="C1923" s="6">
        <f t="shared" si="1"/>
        <v>0</v>
      </c>
    </row>
    <row r="1924">
      <c r="C1924" s="6">
        <f t="shared" si="1"/>
        <v>0</v>
      </c>
    </row>
    <row r="1925">
      <c r="C1925" s="6">
        <f t="shared" si="1"/>
        <v>0</v>
      </c>
    </row>
    <row r="1926">
      <c r="C1926" s="6">
        <f t="shared" si="1"/>
        <v>0</v>
      </c>
    </row>
    <row r="1927">
      <c r="C1927" s="6">
        <f t="shared" si="1"/>
        <v>0</v>
      </c>
    </row>
    <row r="1928">
      <c r="C1928" s="6">
        <f t="shared" si="1"/>
        <v>0</v>
      </c>
    </row>
    <row r="1929">
      <c r="C1929" s="6">
        <f t="shared" si="1"/>
        <v>0</v>
      </c>
    </row>
    <row r="1930">
      <c r="C1930" s="6">
        <f t="shared" si="1"/>
        <v>0</v>
      </c>
    </row>
    <row r="1931">
      <c r="C1931" s="6">
        <f t="shared" si="1"/>
        <v>0</v>
      </c>
    </row>
    <row r="1932">
      <c r="C1932" s="6">
        <f t="shared" si="1"/>
        <v>0</v>
      </c>
    </row>
    <row r="1933">
      <c r="C1933" s="6">
        <f t="shared" si="1"/>
        <v>0</v>
      </c>
    </row>
    <row r="1934">
      <c r="C1934" s="6">
        <f t="shared" si="1"/>
        <v>0</v>
      </c>
    </row>
    <row r="1935">
      <c r="C1935" s="6">
        <f t="shared" si="1"/>
        <v>0</v>
      </c>
    </row>
    <row r="1936">
      <c r="C1936" s="6">
        <f t="shared" si="1"/>
        <v>0</v>
      </c>
    </row>
    <row r="1937">
      <c r="C1937" s="6">
        <f t="shared" si="1"/>
        <v>0</v>
      </c>
    </row>
    <row r="1938">
      <c r="C1938" s="6">
        <f t="shared" si="1"/>
        <v>0</v>
      </c>
    </row>
    <row r="1939">
      <c r="C1939" s="6">
        <f t="shared" si="1"/>
        <v>0</v>
      </c>
    </row>
    <row r="1940">
      <c r="C1940" s="6">
        <f t="shared" si="1"/>
        <v>0</v>
      </c>
    </row>
    <row r="1941">
      <c r="C1941" s="6">
        <f t="shared" si="1"/>
        <v>0</v>
      </c>
    </row>
    <row r="1942">
      <c r="C1942" s="6">
        <f t="shared" si="1"/>
        <v>0</v>
      </c>
    </row>
    <row r="1943">
      <c r="C1943" s="6">
        <f t="shared" si="1"/>
        <v>0</v>
      </c>
    </row>
    <row r="1944">
      <c r="C1944" s="6">
        <f t="shared" si="1"/>
        <v>0</v>
      </c>
    </row>
    <row r="1945">
      <c r="C1945" s="6">
        <f t="shared" si="1"/>
        <v>0</v>
      </c>
    </row>
    <row r="1946">
      <c r="C1946" s="6">
        <f t="shared" si="1"/>
        <v>0</v>
      </c>
    </row>
    <row r="1947">
      <c r="C1947" s="6">
        <f t="shared" si="1"/>
        <v>0</v>
      </c>
    </row>
    <row r="1948">
      <c r="C1948" s="6">
        <f t="shared" si="1"/>
        <v>0</v>
      </c>
    </row>
    <row r="1949">
      <c r="C1949" s="6">
        <f t="shared" si="1"/>
        <v>0</v>
      </c>
    </row>
    <row r="1950">
      <c r="C1950" s="6">
        <f t="shared" si="1"/>
        <v>0</v>
      </c>
    </row>
    <row r="1951">
      <c r="C1951" s="6">
        <f t="shared" si="1"/>
        <v>0</v>
      </c>
    </row>
    <row r="1952">
      <c r="C1952" s="6">
        <f t="shared" si="1"/>
        <v>0</v>
      </c>
    </row>
    <row r="1953">
      <c r="C1953" s="6">
        <f t="shared" si="1"/>
        <v>0</v>
      </c>
    </row>
    <row r="1954">
      <c r="C1954" s="6">
        <f t="shared" si="1"/>
        <v>0</v>
      </c>
    </row>
    <row r="1955">
      <c r="C1955" s="6">
        <f t="shared" si="1"/>
        <v>0</v>
      </c>
    </row>
    <row r="1956">
      <c r="C1956" s="6">
        <f t="shared" si="1"/>
        <v>0</v>
      </c>
    </row>
    <row r="1957">
      <c r="C1957" s="6">
        <f t="shared" si="1"/>
        <v>0</v>
      </c>
    </row>
    <row r="1958">
      <c r="C1958" s="6">
        <f t="shared" si="1"/>
        <v>0</v>
      </c>
    </row>
    <row r="1959">
      <c r="C1959" s="6">
        <f t="shared" si="1"/>
        <v>0</v>
      </c>
    </row>
    <row r="1960">
      <c r="C1960" s="6">
        <f t="shared" si="1"/>
        <v>0</v>
      </c>
    </row>
    <row r="1961">
      <c r="C1961" s="6">
        <f t="shared" si="1"/>
        <v>0</v>
      </c>
    </row>
    <row r="1962">
      <c r="C1962" s="6">
        <f t="shared" si="1"/>
        <v>0</v>
      </c>
    </row>
    <row r="1963">
      <c r="C1963" s="6">
        <f t="shared" si="1"/>
        <v>0</v>
      </c>
    </row>
    <row r="1964">
      <c r="C1964" s="6">
        <f t="shared" si="1"/>
        <v>0</v>
      </c>
    </row>
    <row r="1965">
      <c r="C1965" s="6">
        <f t="shared" si="1"/>
        <v>0</v>
      </c>
    </row>
    <row r="1966">
      <c r="C1966" s="6">
        <f t="shared" si="1"/>
        <v>0</v>
      </c>
    </row>
    <row r="1967">
      <c r="C1967" s="6">
        <f t="shared" si="1"/>
        <v>0</v>
      </c>
    </row>
    <row r="1968">
      <c r="C1968" s="6">
        <f t="shared" si="1"/>
        <v>0</v>
      </c>
    </row>
    <row r="1969">
      <c r="C1969" s="6">
        <f t="shared" si="1"/>
        <v>0</v>
      </c>
    </row>
    <row r="1970">
      <c r="C1970" s="6">
        <f t="shared" si="1"/>
        <v>0</v>
      </c>
    </row>
    <row r="1971">
      <c r="C1971" s="6">
        <f t="shared" si="1"/>
        <v>0</v>
      </c>
    </row>
    <row r="1972">
      <c r="C1972" s="6">
        <f t="shared" si="1"/>
        <v>0</v>
      </c>
    </row>
    <row r="1973">
      <c r="C1973" s="6">
        <f t="shared" si="1"/>
        <v>0</v>
      </c>
    </row>
    <row r="1974">
      <c r="C1974" s="6">
        <f t="shared" si="1"/>
        <v>0</v>
      </c>
    </row>
    <row r="1975">
      <c r="C1975" s="6">
        <f t="shared" si="1"/>
        <v>0</v>
      </c>
    </row>
    <row r="1976">
      <c r="C1976" s="6">
        <f t="shared" si="1"/>
        <v>0</v>
      </c>
    </row>
    <row r="1977">
      <c r="C1977" s="6">
        <f t="shared" si="1"/>
        <v>0</v>
      </c>
    </row>
    <row r="1978">
      <c r="C1978" s="6">
        <f t="shared" si="1"/>
        <v>0</v>
      </c>
    </row>
    <row r="1979">
      <c r="C1979" s="6">
        <f t="shared" si="1"/>
        <v>0</v>
      </c>
    </row>
    <row r="1980">
      <c r="C1980" s="6">
        <f t="shared" si="1"/>
        <v>0</v>
      </c>
    </row>
    <row r="1981">
      <c r="C1981" s="6">
        <f t="shared" si="1"/>
        <v>0</v>
      </c>
    </row>
    <row r="1982">
      <c r="C1982" s="6">
        <f t="shared" si="1"/>
        <v>0</v>
      </c>
    </row>
    <row r="1983">
      <c r="C1983" s="6">
        <f t="shared" si="1"/>
        <v>0</v>
      </c>
    </row>
    <row r="1984">
      <c r="C1984" s="6">
        <f t="shared" si="1"/>
        <v>0</v>
      </c>
    </row>
    <row r="1985">
      <c r="C1985" s="6">
        <f t="shared" si="1"/>
        <v>0</v>
      </c>
    </row>
    <row r="1986">
      <c r="C1986" s="6">
        <f t="shared" si="1"/>
        <v>0</v>
      </c>
    </row>
    <row r="1987">
      <c r="C1987" s="6">
        <f t="shared" si="1"/>
        <v>0</v>
      </c>
    </row>
    <row r="1988">
      <c r="C1988" s="6">
        <f t="shared" si="1"/>
        <v>0</v>
      </c>
    </row>
    <row r="1989">
      <c r="C1989" s="6">
        <f t="shared" si="1"/>
        <v>0</v>
      </c>
    </row>
    <row r="1990">
      <c r="C1990" s="6">
        <f t="shared" si="1"/>
        <v>0</v>
      </c>
    </row>
    <row r="1991">
      <c r="C1991" s="6">
        <f t="shared" si="1"/>
        <v>0</v>
      </c>
    </row>
    <row r="1992">
      <c r="C1992" s="6">
        <f t="shared" si="1"/>
        <v>0</v>
      </c>
    </row>
    <row r="1993">
      <c r="C1993" s="6">
        <f t="shared" si="1"/>
        <v>0</v>
      </c>
    </row>
    <row r="1994">
      <c r="C1994" s="6">
        <f t="shared" si="1"/>
        <v>0</v>
      </c>
    </row>
    <row r="1995">
      <c r="C1995" s="6">
        <f t="shared" si="1"/>
        <v>0</v>
      </c>
    </row>
    <row r="1996">
      <c r="C1996" s="6">
        <f t="shared" si="1"/>
        <v>0</v>
      </c>
    </row>
    <row r="1997">
      <c r="C1997" s="6">
        <f t="shared" si="1"/>
        <v>0</v>
      </c>
    </row>
    <row r="1998">
      <c r="C1998" s="6">
        <f t="shared" si="1"/>
        <v>0</v>
      </c>
    </row>
    <row r="1999">
      <c r="C1999" s="6">
        <f t="shared" si="1"/>
        <v>0</v>
      </c>
    </row>
    <row r="2000">
      <c r="C2000" s="6">
        <f t="shared" si="1"/>
        <v>0</v>
      </c>
    </row>
    <row r="2001">
      <c r="C2001" s="6">
        <f t="shared" si="1"/>
        <v>0</v>
      </c>
    </row>
    <row r="2002">
      <c r="C2002" s="6">
        <f t="shared" si="1"/>
        <v>0</v>
      </c>
    </row>
    <row r="2003">
      <c r="C2003" s="6">
        <f t="shared" si="1"/>
        <v>0</v>
      </c>
    </row>
    <row r="2004">
      <c r="C2004" s="6">
        <f t="shared" si="1"/>
        <v>0</v>
      </c>
    </row>
    <row r="2005">
      <c r="C2005" s="6">
        <f t="shared" si="1"/>
        <v>0</v>
      </c>
    </row>
    <row r="2006">
      <c r="C2006" s="6">
        <f t="shared" si="1"/>
        <v>0</v>
      </c>
    </row>
    <row r="2007">
      <c r="C2007" s="6">
        <f t="shared" si="1"/>
        <v>0</v>
      </c>
    </row>
    <row r="2008">
      <c r="C2008" s="6">
        <f t="shared" si="1"/>
        <v>0</v>
      </c>
    </row>
    <row r="2009">
      <c r="C2009" s="6">
        <f t="shared" si="1"/>
        <v>0</v>
      </c>
    </row>
    <row r="2010">
      <c r="C2010" s="6">
        <f t="shared" si="1"/>
        <v>0</v>
      </c>
    </row>
    <row r="2011">
      <c r="C2011" s="6">
        <f t="shared" si="1"/>
        <v>0</v>
      </c>
    </row>
    <row r="2012">
      <c r="C2012" s="6">
        <f t="shared" si="1"/>
        <v>0</v>
      </c>
    </row>
    <row r="2013">
      <c r="C2013" s="6">
        <f t="shared" si="1"/>
        <v>0</v>
      </c>
    </row>
    <row r="2014">
      <c r="C2014" s="6">
        <f t="shared" si="1"/>
        <v>0</v>
      </c>
    </row>
    <row r="2015">
      <c r="C2015" s="6">
        <f t="shared" si="1"/>
        <v>0</v>
      </c>
    </row>
    <row r="2016">
      <c r="C2016" s="6">
        <f t="shared" si="1"/>
        <v>0</v>
      </c>
    </row>
    <row r="2017">
      <c r="C2017" s="6">
        <f t="shared" si="1"/>
        <v>0</v>
      </c>
    </row>
    <row r="2018">
      <c r="C2018" s="6">
        <f t="shared" si="1"/>
        <v>0</v>
      </c>
    </row>
    <row r="2019">
      <c r="C2019" s="6">
        <f t="shared" si="1"/>
        <v>0</v>
      </c>
    </row>
    <row r="2020">
      <c r="C2020" s="6">
        <f t="shared" si="1"/>
        <v>0</v>
      </c>
    </row>
    <row r="2021">
      <c r="C2021" s="6">
        <f t="shared" si="1"/>
        <v>0</v>
      </c>
    </row>
    <row r="2022">
      <c r="C2022" s="6">
        <f t="shared" si="1"/>
        <v>0</v>
      </c>
    </row>
    <row r="2023">
      <c r="C2023" s="6">
        <f t="shared" si="1"/>
        <v>0</v>
      </c>
    </row>
    <row r="2024">
      <c r="C2024" s="6">
        <f t="shared" si="1"/>
        <v>0</v>
      </c>
    </row>
    <row r="2025">
      <c r="C2025" s="6">
        <f t="shared" si="1"/>
        <v>0</v>
      </c>
    </row>
    <row r="2026">
      <c r="C2026" s="6">
        <f t="shared" si="1"/>
        <v>0</v>
      </c>
    </row>
    <row r="2027">
      <c r="C2027" s="6">
        <f t="shared" si="1"/>
        <v>0</v>
      </c>
    </row>
    <row r="2028">
      <c r="C2028" s="6">
        <f t="shared" si="1"/>
        <v>0</v>
      </c>
    </row>
    <row r="2029">
      <c r="C2029" s="6">
        <f t="shared" si="1"/>
        <v>0</v>
      </c>
    </row>
    <row r="2030">
      <c r="C2030" s="6">
        <f t="shared" si="1"/>
        <v>0</v>
      </c>
    </row>
    <row r="2031">
      <c r="C2031" s="6">
        <f t="shared" si="1"/>
        <v>0</v>
      </c>
    </row>
    <row r="2032">
      <c r="C2032" s="6">
        <f t="shared" si="1"/>
        <v>0</v>
      </c>
    </row>
    <row r="2033">
      <c r="C2033" s="6">
        <f t="shared" si="1"/>
        <v>0</v>
      </c>
    </row>
    <row r="2034">
      <c r="C2034" s="6">
        <f t="shared" si="1"/>
        <v>0</v>
      </c>
    </row>
    <row r="2035">
      <c r="C2035" s="6">
        <f t="shared" si="1"/>
        <v>0</v>
      </c>
    </row>
    <row r="2036">
      <c r="C2036" s="6">
        <f t="shared" si="1"/>
        <v>0</v>
      </c>
    </row>
    <row r="2037">
      <c r="C2037" s="6">
        <f t="shared" si="1"/>
        <v>0</v>
      </c>
    </row>
    <row r="2038">
      <c r="C2038" s="6">
        <f t="shared" si="1"/>
        <v>0</v>
      </c>
    </row>
    <row r="2039">
      <c r="C2039" s="6">
        <f t="shared" si="1"/>
        <v>0</v>
      </c>
    </row>
    <row r="2040">
      <c r="C2040" s="6">
        <f t="shared" si="1"/>
        <v>0</v>
      </c>
    </row>
    <row r="2041">
      <c r="C2041" s="6">
        <f t="shared" si="1"/>
        <v>0</v>
      </c>
    </row>
    <row r="2042">
      <c r="C2042" s="6">
        <f t="shared" si="1"/>
        <v>0</v>
      </c>
    </row>
    <row r="2043">
      <c r="C2043" s="6">
        <f t="shared" si="1"/>
        <v>0</v>
      </c>
    </row>
    <row r="2044">
      <c r="C2044" s="6">
        <f t="shared" si="1"/>
        <v>0</v>
      </c>
    </row>
    <row r="2045">
      <c r="C2045" s="6">
        <f t="shared" si="1"/>
        <v>0</v>
      </c>
    </row>
    <row r="2046">
      <c r="C2046" s="6">
        <f t="shared" si="1"/>
        <v>0</v>
      </c>
    </row>
    <row r="2047">
      <c r="C2047" s="6">
        <f t="shared" si="1"/>
        <v>0</v>
      </c>
    </row>
    <row r="2048">
      <c r="C2048" s="6">
        <f t="shared" si="1"/>
        <v>0</v>
      </c>
    </row>
    <row r="2049">
      <c r="C2049" s="6">
        <f t="shared" si="1"/>
        <v>0</v>
      </c>
    </row>
    <row r="2050">
      <c r="C2050" s="6">
        <f t="shared" si="1"/>
        <v>0</v>
      </c>
    </row>
    <row r="2051">
      <c r="C2051" s="6">
        <f t="shared" si="1"/>
        <v>0</v>
      </c>
    </row>
    <row r="2052">
      <c r="C2052" s="6">
        <f t="shared" si="1"/>
        <v>0</v>
      </c>
    </row>
    <row r="2053">
      <c r="C2053" s="6">
        <f t="shared" si="1"/>
        <v>0</v>
      </c>
    </row>
    <row r="2054">
      <c r="C2054" s="6">
        <f t="shared" si="1"/>
        <v>0</v>
      </c>
    </row>
    <row r="2055">
      <c r="C2055" s="6">
        <f t="shared" si="1"/>
        <v>0</v>
      </c>
    </row>
    <row r="2056">
      <c r="C2056" s="6">
        <f t="shared" si="1"/>
        <v>0</v>
      </c>
    </row>
    <row r="2057">
      <c r="C2057" s="6">
        <f t="shared" si="1"/>
        <v>0</v>
      </c>
    </row>
    <row r="2058">
      <c r="C2058" s="6">
        <f t="shared" si="1"/>
        <v>0</v>
      </c>
    </row>
    <row r="2059">
      <c r="C2059" s="6">
        <f t="shared" si="1"/>
        <v>0</v>
      </c>
    </row>
    <row r="2060">
      <c r="C2060" s="6">
        <f t="shared" si="1"/>
        <v>0</v>
      </c>
    </row>
    <row r="2061">
      <c r="C2061" s="6">
        <f t="shared" si="1"/>
        <v>0</v>
      </c>
    </row>
    <row r="2062">
      <c r="C2062" s="6">
        <f t="shared" si="1"/>
        <v>0</v>
      </c>
    </row>
    <row r="2063">
      <c r="C2063" s="6">
        <f t="shared" si="1"/>
        <v>0</v>
      </c>
    </row>
    <row r="2064">
      <c r="C2064" s="6">
        <f t="shared" si="1"/>
        <v>0</v>
      </c>
    </row>
    <row r="2065">
      <c r="C2065" s="6">
        <f t="shared" si="1"/>
        <v>0</v>
      </c>
    </row>
    <row r="2066">
      <c r="C2066" s="6">
        <f t="shared" si="1"/>
        <v>0</v>
      </c>
    </row>
    <row r="2067">
      <c r="C2067" s="6">
        <f t="shared" si="1"/>
        <v>0</v>
      </c>
    </row>
    <row r="2068">
      <c r="C2068" s="6">
        <f t="shared" si="1"/>
        <v>0</v>
      </c>
    </row>
    <row r="2069">
      <c r="C2069" s="6">
        <f t="shared" si="1"/>
        <v>0</v>
      </c>
    </row>
    <row r="2070">
      <c r="C2070" s="6">
        <f t="shared" si="1"/>
        <v>0</v>
      </c>
    </row>
    <row r="2071">
      <c r="C2071" s="6">
        <f t="shared" si="1"/>
        <v>0</v>
      </c>
    </row>
    <row r="2072">
      <c r="C2072" s="6">
        <f t="shared" si="1"/>
        <v>0</v>
      </c>
    </row>
    <row r="2073">
      <c r="C2073" s="6">
        <f t="shared" si="1"/>
        <v>0</v>
      </c>
    </row>
    <row r="2074">
      <c r="C2074" s="6">
        <f t="shared" si="1"/>
        <v>0</v>
      </c>
    </row>
    <row r="2075">
      <c r="C2075" s="6">
        <f t="shared" si="1"/>
        <v>0</v>
      </c>
    </row>
    <row r="2076">
      <c r="C2076" s="6">
        <f t="shared" si="1"/>
        <v>0</v>
      </c>
    </row>
    <row r="2077">
      <c r="C2077" s="6">
        <f t="shared" si="1"/>
        <v>0</v>
      </c>
    </row>
    <row r="2078">
      <c r="C2078" s="6">
        <f t="shared" si="1"/>
        <v>0</v>
      </c>
    </row>
    <row r="2079">
      <c r="C2079" s="6">
        <f t="shared" si="1"/>
        <v>0</v>
      </c>
    </row>
    <row r="2080">
      <c r="C2080" s="6">
        <f t="shared" si="1"/>
        <v>0</v>
      </c>
    </row>
    <row r="2081">
      <c r="C2081" s="6">
        <f t="shared" si="1"/>
        <v>0</v>
      </c>
    </row>
    <row r="2082">
      <c r="C2082" s="6">
        <f t="shared" si="1"/>
        <v>0</v>
      </c>
    </row>
    <row r="2083">
      <c r="C2083" s="6">
        <f t="shared" si="1"/>
        <v>0</v>
      </c>
    </row>
    <row r="2084">
      <c r="C2084" s="6">
        <f t="shared" si="1"/>
        <v>0</v>
      </c>
    </row>
    <row r="2085">
      <c r="C2085" s="6">
        <f t="shared" si="1"/>
        <v>0</v>
      </c>
    </row>
    <row r="2086">
      <c r="C2086" s="6">
        <f t="shared" si="1"/>
        <v>0</v>
      </c>
    </row>
    <row r="2087">
      <c r="C2087" s="6">
        <f t="shared" si="1"/>
        <v>0</v>
      </c>
    </row>
    <row r="2088">
      <c r="C2088" s="6">
        <f t="shared" si="1"/>
        <v>0</v>
      </c>
    </row>
    <row r="2089">
      <c r="C2089" s="6">
        <f t="shared" si="1"/>
        <v>0</v>
      </c>
    </row>
    <row r="2090">
      <c r="C2090" s="6">
        <f t="shared" si="1"/>
        <v>0</v>
      </c>
    </row>
    <row r="2091">
      <c r="C2091" s="6">
        <f t="shared" si="1"/>
        <v>0</v>
      </c>
    </row>
    <row r="2092">
      <c r="C2092" s="6">
        <f t="shared" si="1"/>
        <v>0</v>
      </c>
    </row>
    <row r="2093">
      <c r="C2093" s="6">
        <f t="shared" si="1"/>
        <v>0</v>
      </c>
    </row>
    <row r="2094">
      <c r="C2094" s="6">
        <f t="shared" si="1"/>
        <v>0</v>
      </c>
    </row>
    <row r="2095">
      <c r="C2095" s="6">
        <f t="shared" si="1"/>
        <v>0</v>
      </c>
    </row>
    <row r="2096">
      <c r="C2096" s="6">
        <f t="shared" si="1"/>
        <v>0</v>
      </c>
    </row>
    <row r="2097">
      <c r="C2097" s="6">
        <f t="shared" si="1"/>
        <v>0</v>
      </c>
    </row>
    <row r="2098">
      <c r="C2098" s="6">
        <f t="shared" si="1"/>
        <v>0</v>
      </c>
    </row>
    <row r="2099">
      <c r="C2099" s="6">
        <f t="shared" si="1"/>
        <v>0</v>
      </c>
    </row>
    <row r="2100">
      <c r="C2100" s="6">
        <f t="shared" si="1"/>
        <v>0</v>
      </c>
    </row>
    <row r="2101">
      <c r="C2101" s="6">
        <f t="shared" si="1"/>
        <v>0</v>
      </c>
    </row>
    <row r="2102">
      <c r="C2102" s="6">
        <f t="shared" si="1"/>
        <v>0</v>
      </c>
    </row>
    <row r="2103">
      <c r="C2103" s="6">
        <f t="shared" si="1"/>
        <v>0</v>
      </c>
    </row>
    <row r="2104">
      <c r="C2104" s="6">
        <f t="shared" si="1"/>
        <v>0</v>
      </c>
    </row>
    <row r="2105">
      <c r="C2105" s="6">
        <f t="shared" si="1"/>
        <v>0</v>
      </c>
    </row>
    <row r="2106">
      <c r="C2106" s="6">
        <f t="shared" si="1"/>
        <v>0</v>
      </c>
    </row>
    <row r="2107">
      <c r="C2107" s="6">
        <f t="shared" si="1"/>
        <v>0</v>
      </c>
    </row>
    <row r="2108">
      <c r="C2108" s="6">
        <f t="shared" si="1"/>
        <v>0</v>
      </c>
    </row>
    <row r="2109">
      <c r="C2109" s="6">
        <f t="shared" si="1"/>
        <v>0</v>
      </c>
    </row>
    <row r="2110">
      <c r="C2110" s="6">
        <f t="shared" si="1"/>
        <v>0</v>
      </c>
    </row>
    <row r="2111">
      <c r="C2111" s="6">
        <f t="shared" si="1"/>
        <v>0</v>
      </c>
    </row>
    <row r="2112">
      <c r="C2112" s="6">
        <f t="shared" si="1"/>
        <v>0</v>
      </c>
    </row>
    <row r="2113">
      <c r="C2113" s="6">
        <f t="shared" si="1"/>
        <v>0</v>
      </c>
    </row>
    <row r="2114">
      <c r="C2114" s="6">
        <f t="shared" si="1"/>
        <v>0</v>
      </c>
    </row>
    <row r="2115">
      <c r="C2115" s="6">
        <f t="shared" si="1"/>
        <v>0</v>
      </c>
    </row>
    <row r="2116">
      <c r="C2116" s="6">
        <f t="shared" si="1"/>
        <v>0</v>
      </c>
    </row>
    <row r="2117">
      <c r="C2117" s="6">
        <f t="shared" si="1"/>
        <v>0</v>
      </c>
    </row>
    <row r="2118">
      <c r="C2118" s="6">
        <f t="shared" si="1"/>
        <v>0</v>
      </c>
    </row>
    <row r="2119">
      <c r="C2119" s="6">
        <f t="shared" si="1"/>
        <v>0</v>
      </c>
    </row>
    <row r="2120">
      <c r="C2120" s="6">
        <f t="shared" si="1"/>
        <v>0</v>
      </c>
    </row>
    <row r="2121">
      <c r="C2121" s="6">
        <f t="shared" si="1"/>
        <v>0</v>
      </c>
    </row>
    <row r="2122">
      <c r="C2122" s="6">
        <f t="shared" si="1"/>
        <v>0</v>
      </c>
    </row>
    <row r="2123">
      <c r="C2123" s="6">
        <f t="shared" si="1"/>
        <v>0</v>
      </c>
    </row>
    <row r="2124">
      <c r="C2124" s="6">
        <f t="shared" si="1"/>
        <v>0</v>
      </c>
    </row>
    <row r="2125">
      <c r="C2125" s="6">
        <f t="shared" si="1"/>
        <v>0</v>
      </c>
    </row>
    <row r="2126">
      <c r="C2126" s="6">
        <f t="shared" si="1"/>
        <v>0</v>
      </c>
    </row>
    <row r="2127">
      <c r="C2127" s="6">
        <f t="shared" si="1"/>
        <v>0</v>
      </c>
    </row>
    <row r="2128">
      <c r="C2128" s="6">
        <f t="shared" si="1"/>
        <v>0</v>
      </c>
    </row>
    <row r="2129">
      <c r="C2129" s="6">
        <f t="shared" si="1"/>
        <v>0</v>
      </c>
    </row>
    <row r="2130">
      <c r="C2130" s="6">
        <f t="shared" si="1"/>
        <v>0</v>
      </c>
    </row>
    <row r="2131">
      <c r="C2131" s="6">
        <f t="shared" si="1"/>
        <v>0</v>
      </c>
    </row>
    <row r="2132">
      <c r="C2132" s="6">
        <f t="shared" si="1"/>
        <v>0</v>
      </c>
    </row>
    <row r="2133">
      <c r="C2133" s="6">
        <f t="shared" si="1"/>
        <v>0</v>
      </c>
    </row>
    <row r="2134">
      <c r="C2134" s="6">
        <f t="shared" si="1"/>
        <v>0</v>
      </c>
    </row>
    <row r="2135">
      <c r="C2135" s="6">
        <f t="shared" si="1"/>
        <v>0</v>
      </c>
    </row>
    <row r="2136">
      <c r="C2136" s="6">
        <f t="shared" si="1"/>
        <v>0</v>
      </c>
    </row>
    <row r="2137">
      <c r="C2137" s="6">
        <f t="shared" si="1"/>
        <v>0</v>
      </c>
    </row>
    <row r="2138">
      <c r="C2138" s="6">
        <f t="shared" si="1"/>
        <v>0</v>
      </c>
    </row>
    <row r="2139">
      <c r="C2139" s="6">
        <f t="shared" si="1"/>
        <v>0</v>
      </c>
    </row>
    <row r="2140">
      <c r="C2140" s="6">
        <f t="shared" si="1"/>
        <v>0</v>
      </c>
    </row>
    <row r="2141">
      <c r="C2141" s="6">
        <f t="shared" si="1"/>
        <v>0</v>
      </c>
    </row>
    <row r="2142">
      <c r="C2142" s="6">
        <f t="shared" si="1"/>
        <v>0</v>
      </c>
    </row>
    <row r="2143">
      <c r="C2143" s="6">
        <f t="shared" si="1"/>
        <v>0</v>
      </c>
    </row>
    <row r="2144">
      <c r="C2144" s="6">
        <f t="shared" si="1"/>
        <v>0</v>
      </c>
    </row>
    <row r="2145">
      <c r="C2145" s="6">
        <f t="shared" si="1"/>
        <v>0</v>
      </c>
    </row>
    <row r="2146">
      <c r="C2146" s="6">
        <f t="shared" si="1"/>
        <v>0</v>
      </c>
    </row>
    <row r="2147">
      <c r="C2147" s="6">
        <f t="shared" si="1"/>
        <v>0</v>
      </c>
    </row>
    <row r="2148">
      <c r="C2148" s="6">
        <f t="shared" si="1"/>
        <v>0</v>
      </c>
    </row>
    <row r="2149">
      <c r="C2149" s="6">
        <f t="shared" si="1"/>
        <v>0</v>
      </c>
    </row>
    <row r="2150">
      <c r="C2150" s="6">
        <f t="shared" si="1"/>
        <v>0</v>
      </c>
    </row>
    <row r="2151">
      <c r="C2151" s="6">
        <f t="shared" si="1"/>
        <v>0</v>
      </c>
    </row>
    <row r="2152">
      <c r="C2152" s="6">
        <f t="shared" si="1"/>
        <v>0</v>
      </c>
    </row>
    <row r="2153">
      <c r="C2153" s="6">
        <f t="shared" si="1"/>
        <v>0</v>
      </c>
    </row>
    <row r="2154">
      <c r="C2154" s="6">
        <f t="shared" si="1"/>
        <v>0</v>
      </c>
    </row>
    <row r="2155">
      <c r="C2155" s="6">
        <f t="shared" si="1"/>
        <v>0</v>
      </c>
    </row>
    <row r="2156">
      <c r="C2156" s="6">
        <f t="shared" si="1"/>
        <v>0</v>
      </c>
    </row>
    <row r="2157">
      <c r="C2157" s="6">
        <f t="shared" si="1"/>
        <v>0</v>
      </c>
    </row>
    <row r="2158">
      <c r="C2158" s="6">
        <f t="shared" si="1"/>
        <v>0</v>
      </c>
    </row>
    <row r="2159">
      <c r="C2159" s="6">
        <f t="shared" si="1"/>
        <v>0</v>
      </c>
    </row>
    <row r="2160">
      <c r="C2160" s="6">
        <f t="shared" si="1"/>
        <v>0</v>
      </c>
    </row>
    <row r="2161">
      <c r="C2161" s="6">
        <f t="shared" si="1"/>
        <v>0</v>
      </c>
    </row>
    <row r="2162">
      <c r="C2162" s="6">
        <f t="shared" si="1"/>
        <v>0</v>
      </c>
    </row>
    <row r="2163">
      <c r="C2163" s="6">
        <f t="shared" si="1"/>
        <v>0</v>
      </c>
    </row>
    <row r="2164">
      <c r="C2164" s="6">
        <f t="shared" si="1"/>
        <v>0</v>
      </c>
    </row>
    <row r="2165">
      <c r="C2165" s="6">
        <f t="shared" si="1"/>
        <v>0</v>
      </c>
    </row>
    <row r="2166">
      <c r="C2166" s="6">
        <f t="shared" si="1"/>
        <v>0</v>
      </c>
    </row>
    <row r="2167">
      <c r="C2167" s="6">
        <f t="shared" si="1"/>
        <v>0</v>
      </c>
    </row>
    <row r="2168">
      <c r="C2168" s="6">
        <f t="shared" si="1"/>
        <v>0</v>
      </c>
    </row>
    <row r="2169">
      <c r="C2169" s="6">
        <f t="shared" si="1"/>
        <v>0</v>
      </c>
    </row>
    <row r="2170">
      <c r="C2170" s="6">
        <f t="shared" si="1"/>
        <v>0</v>
      </c>
    </row>
    <row r="2171">
      <c r="C2171" s="6">
        <f t="shared" si="1"/>
        <v>0</v>
      </c>
    </row>
    <row r="2172">
      <c r="C2172" s="6">
        <f t="shared" si="1"/>
        <v>0</v>
      </c>
    </row>
    <row r="2173">
      <c r="C2173" s="6">
        <f t="shared" si="1"/>
        <v>0</v>
      </c>
    </row>
    <row r="2174">
      <c r="C2174" s="6">
        <f t="shared" si="1"/>
        <v>0</v>
      </c>
    </row>
    <row r="2175">
      <c r="C2175" s="6">
        <f t="shared" si="1"/>
        <v>0</v>
      </c>
    </row>
    <row r="2176">
      <c r="C2176" s="6">
        <f t="shared" si="1"/>
        <v>0</v>
      </c>
    </row>
    <row r="2177">
      <c r="C2177" s="6">
        <f t="shared" si="1"/>
        <v>0</v>
      </c>
    </row>
    <row r="2178">
      <c r="C2178" s="6">
        <f t="shared" si="1"/>
        <v>0</v>
      </c>
    </row>
    <row r="2179">
      <c r="C2179" s="6">
        <f t="shared" si="1"/>
        <v>0</v>
      </c>
    </row>
    <row r="2180">
      <c r="C2180" s="6">
        <f t="shared" si="1"/>
        <v>0</v>
      </c>
    </row>
    <row r="2181">
      <c r="C2181" s="6">
        <f t="shared" si="1"/>
        <v>0</v>
      </c>
    </row>
    <row r="2182">
      <c r="C2182" s="6">
        <f t="shared" si="1"/>
        <v>0</v>
      </c>
    </row>
    <row r="2183">
      <c r="C2183" s="6">
        <f t="shared" si="1"/>
        <v>0</v>
      </c>
    </row>
    <row r="2184">
      <c r="C2184" s="6">
        <f t="shared" si="1"/>
        <v>0</v>
      </c>
    </row>
    <row r="2185">
      <c r="C2185" s="6">
        <f t="shared" si="1"/>
        <v>0</v>
      </c>
    </row>
    <row r="2186">
      <c r="C2186" s="6">
        <f t="shared" si="1"/>
        <v>0</v>
      </c>
    </row>
    <row r="2187">
      <c r="C2187" s="6">
        <f t="shared" si="1"/>
        <v>0</v>
      </c>
    </row>
    <row r="2188">
      <c r="C2188" s="6">
        <f t="shared" si="1"/>
        <v>0</v>
      </c>
    </row>
    <row r="2189">
      <c r="C2189" s="6">
        <f t="shared" si="1"/>
        <v>0</v>
      </c>
    </row>
    <row r="2190">
      <c r="C2190" s="6">
        <f t="shared" si="1"/>
        <v>0</v>
      </c>
    </row>
    <row r="2191">
      <c r="C2191" s="6">
        <f t="shared" si="1"/>
        <v>0</v>
      </c>
    </row>
    <row r="2192">
      <c r="C2192" s="6">
        <f t="shared" si="1"/>
        <v>0</v>
      </c>
    </row>
    <row r="2193">
      <c r="C2193" s="6">
        <f t="shared" si="1"/>
        <v>0</v>
      </c>
    </row>
    <row r="2194">
      <c r="C2194" s="6">
        <f t="shared" si="1"/>
        <v>0</v>
      </c>
    </row>
    <row r="2195">
      <c r="C2195" s="6">
        <f t="shared" si="1"/>
        <v>0</v>
      </c>
    </row>
    <row r="2196">
      <c r="C2196" s="6">
        <f t="shared" si="1"/>
        <v>0</v>
      </c>
    </row>
    <row r="2197">
      <c r="C2197" s="6">
        <f t="shared" si="1"/>
        <v>0</v>
      </c>
    </row>
    <row r="2198">
      <c r="C2198" s="6">
        <f t="shared" si="1"/>
        <v>0</v>
      </c>
    </row>
    <row r="2199">
      <c r="C2199" s="6">
        <f t="shared" si="1"/>
        <v>0</v>
      </c>
    </row>
    <row r="2200">
      <c r="C2200" s="6">
        <f t="shared" si="1"/>
        <v>0</v>
      </c>
    </row>
    <row r="2201">
      <c r="C2201" s="6">
        <f t="shared" si="1"/>
        <v>0</v>
      </c>
    </row>
    <row r="2202">
      <c r="C2202" s="6">
        <f t="shared" si="1"/>
        <v>0</v>
      </c>
    </row>
    <row r="2203">
      <c r="C2203" s="6">
        <f t="shared" si="1"/>
        <v>0</v>
      </c>
    </row>
    <row r="2204">
      <c r="C2204" s="6">
        <f t="shared" si="1"/>
        <v>0</v>
      </c>
    </row>
    <row r="2205">
      <c r="C2205" s="6">
        <f t="shared" si="1"/>
        <v>0</v>
      </c>
    </row>
    <row r="2206">
      <c r="C2206" s="6">
        <f t="shared" si="1"/>
        <v>0</v>
      </c>
    </row>
    <row r="2207">
      <c r="C2207" s="6">
        <f t="shared" si="1"/>
        <v>0</v>
      </c>
    </row>
    <row r="2208">
      <c r="C2208" s="6">
        <f t="shared" si="1"/>
        <v>0</v>
      </c>
    </row>
    <row r="2209">
      <c r="C2209" s="6">
        <f t="shared" si="1"/>
        <v>0</v>
      </c>
    </row>
    <row r="2210">
      <c r="C2210" s="6">
        <f t="shared" si="1"/>
        <v>0</v>
      </c>
    </row>
    <row r="2211">
      <c r="C2211" s="6">
        <f t="shared" si="1"/>
        <v>0</v>
      </c>
    </row>
    <row r="2212">
      <c r="C2212" s="6">
        <f t="shared" si="1"/>
        <v>0</v>
      </c>
    </row>
    <row r="2213">
      <c r="C2213" s="6">
        <f t="shared" si="1"/>
        <v>0</v>
      </c>
    </row>
    <row r="2214">
      <c r="C2214" s="6">
        <f t="shared" si="1"/>
        <v>0</v>
      </c>
    </row>
    <row r="2215">
      <c r="C2215" s="6">
        <f t="shared" si="1"/>
        <v>0</v>
      </c>
    </row>
    <row r="2216">
      <c r="C2216" s="6">
        <f t="shared" si="1"/>
        <v>0</v>
      </c>
    </row>
    <row r="2217">
      <c r="C2217" s="6">
        <f t="shared" si="1"/>
        <v>0</v>
      </c>
    </row>
    <row r="2218">
      <c r="C2218" s="6">
        <f t="shared" si="1"/>
        <v>0</v>
      </c>
    </row>
    <row r="2219">
      <c r="C2219" s="6">
        <f t="shared" si="1"/>
        <v>0</v>
      </c>
    </row>
    <row r="2220">
      <c r="C2220" s="6">
        <f t="shared" si="1"/>
        <v>0</v>
      </c>
    </row>
    <row r="2221">
      <c r="C2221" s="6">
        <f t="shared" si="1"/>
        <v>0</v>
      </c>
    </row>
    <row r="2222">
      <c r="C2222" s="6">
        <f t="shared" si="1"/>
        <v>0</v>
      </c>
    </row>
    <row r="2223">
      <c r="C2223" s="6">
        <f t="shared" si="1"/>
        <v>0</v>
      </c>
    </row>
    <row r="2224">
      <c r="C2224" s="6">
        <f t="shared" si="1"/>
        <v>0</v>
      </c>
    </row>
    <row r="2225">
      <c r="C2225" s="6">
        <f t="shared" si="1"/>
        <v>0</v>
      </c>
    </row>
    <row r="2226">
      <c r="C2226" s="6">
        <f t="shared" si="1"/>
        <v>0</v>
      </c>
    </row>
    <row r="2227">
      <c r="C2227" s="6">
        <f t="shared" si="1"/>
        <v>0</v>
      </c>
    </row>
    <row r="2228">
      <c r="C2228" s="6">
        <f t="shared" si="1"/>
        <v>0</v>
      </c>
    </row>
    <row r="2229">
      <c r="C2229" s="6">
        <f t="shared" si="1"/>
        <v>0</v>
      </c>
    </row>
    <row r="2230">
      <c r="C2230" s="6">
        <f t="shared" si="1"/>
        <v>0</v>
      </c>
    </row>
    <row r="2231">
      <c r="C2231" s="6">
        <f t="shared" si="1"/>
        <v>0</v>
      </c>
    </row>
    <row r="2232">
      <c r="C2232" s="6">
        <f t="shared" si="1"/>
        <v>0</v>
      </c>
    </row>
    <row r="2233">
      <c r="C2233" s="6">
        <f t="shared" si="1"/>
        <v>0</v>
      </c>
    </row>
    <row r="2234">
      <c r="C2234" s="6">
        <f t="shared" si="1"/>
        <v>0</v>
      </c>
    </row>
    <row r="2235">
      <c r="C2235" s="6">
        <f t="shared" si="1"/>
        <v>0</v>
      </c>
    </row>
    <row r="2236">
      <c r="C2236" s="6">
        <f t="shared" si="1"/>
        <v>0</v>
      </c>
    </row>
    <row r="2237">
      <c r="C2237" s="6">
        <f t="shared" si="1"/>
        <v>0</v>
      </c>
    </row>
    <row r="2238">
      <c r="C2238" s="6">
        <f t="shared" si="1"/>
        <v>0</v>
      </c>
    </row>
    <row r="2239">
      <c r="C2239" s="6">
        <f t="shared" si="1"/>
        <v>0</v>
      </c>
    </row>
    <row r="2240">
      <c r="C2240" s="6">
        <f t="shared" si="1"/>
        <v>0</v>
      </c>
    </row>
    <row r="2241">
      <c r="C2241" s="6">
        <f t="shared" si="1"/>
        <v>0</v>
      </c>
    </row>
    <row r="2242">
      <c r="C2242" s="6">
        <f t="shared" si="1"/>
        <v>0</v>
      </c>
    </row>
    <row r="2243">
      <c r="C2243" s="6">
        <f t="shared" si="1"/>
        <v>0</v>
      </c>
    </row>
    <row r="2244">
      <c r="C2244" s="6">
        <f t="shared" si="1"/>
        <v>0</v>
      </c>
    </row>
    <row r="2245">
      <c r="C2245" s="6">
        <f t="shared" si="1"/>
        <v>0</v>
      </c>
    </row>
    <row r="2246">
      <c r="C2246" s="6">
        <f t="shared" si="1"/>
        <v>0</v>
      </c>
    </row>
    <row r="2247">
      <c r="C2247" s="6">
        <f t="shared" si="1"/>
        <v>0</v>
      </c>
    </row>
    <row r="2248">
      <c r="C2248" s="6">
        <f t="shared" si="1"/>
        <v>0</v>
      </c>
    </row>
    <row r="2249">
      <c r="C2249" s="6">
        <f t="shared" si="1"/>
        <v>0</v>
      </c>
    </row>
    <row r="2250">
      <c r="C2250" s="6">
        <f t="shared" si="1"/>
        <v>0</v>
      </c>
    </row>
    <row r="2251">
      <c r="C2251" s="6">
        <f t="shared" si="1"/>
        <v>0</v>
      </c>
    </row>
    <row r="2252">
      <c r="C2252" s="6">
        <f t="shared" si="1"/>
        <v>0</v>
      </c>
    </row>
    <row r="2253">
      <c r="C2253" s="6">
        <f t="shared" si="1"/>
        <v>0</v>
      </c>
    </row>
    <row r="2254">
      <c r="C2254" s="6">
        <f t="shared" si="1"/>
        <v>0</v>
      </c>
    </row>
    <row r="2255">
      <c r="C2255" s="6">
        <f t="shared" si="1"/>
        <v>0</v>
      </c>
    </row>
    <row r="2256">
      <c r="C2256" s="6">
        <f t="shared" si="1"/>
        <v>0</v>
      </c>
    </row>
    <row r="2257">
      <c r="C2257" s="6">
        <f t="shared" si="1"/>
        <v>0</v>
      </c>
    </row>
    <row r="2258">
      <c r="C2258" s="6">
        <f t="shared" si="1"/>
        <v>0</v>
      </c>
    </row>
    <row r="2259">
      <c r="C2259" s="6">
        <f t="shared" si="1"/>
        <v>0</v>
      </c>
    </row>
    <row r="2260">
      <c r="C2260" s="6">
        <f t="shared" si="1"/>
        <v>0</v>
      </c>
    </row>
    <row r="2261">
      <c r="C2261" s="6">
        <f t="shared" si="1"/>
        <v>0</v>
      </c>
    </row>
    <row r="2262">
      <c r="C2262" s="6">
        <f t="shared" si="1"/>
        <v>0</v>
      </c>
    </row>
    <row r="2263">
      <c r="C2263" s="6">
        <f t="shared" si="1"/>
        <v>0</v>
      </c>
    </row>
    <row r="2264">
      <c r="C2264" s="6">
        <f t="shared" si="1"/>
        <v>0</v>
      </c>
    </row>
    <row r="2265">
      <c r="C2265" s="6">
        <f t="shared" si="1"/>
        <v>0</v>
      </c>
    </row>
    <row r="2266">
      <c r="C2266" s="6">
        <f t="shared" si="1"/>
        <v>0</v>
      </c>
    </row>
    <row r="2267">
      <c r="C2267" s="6">
        <f t="shared" si="1"/>
        <v>0</v>
      </c>
    </row>
    <row r="2268">
      <c r="C2268" s="6">
        <f t="shared" si="1"/>
        <v>0</v>
      </c>
    </row>
    <row r="2269">
      <c r="C2269" s="6">
        <f t="shared" si="1"/>
        <v>0</v>
      </c>
    </row>
    <row r="2270">
      <c r="C2270" s="6">
        <f t="shared" si="1"/>
        <v>0</v>
      </c>
    </row>
    <row r="2271">
      <c r="C2271" s="6">
        <f t="shared" si="1"/>
        <v>0</v>
      </c>
    </row>
    <row r="2272">
      <c r="C2272" s="6">
        <f t="shared" si="1"/>
        <v>0</v>
      </c>
    </row>
    <row r="2273">
      <c r="C2273" s="6">
        <f t="shared" si="1"/>
        <v>0</v>
      </c>
    </row>
    <row r="2274">
      <c r="C2274" s="6">
        <f t="shared" si="1"/>
        <v>0</v>
      </c>
    </row>
    <row r="2275">
      <c r="C2275" s="6">
        <f t="shared" si="1"/>
        <v>0</v>
      </c>
    </row>
    <row r="2276">
      <c r="C2276" s="6">
        <f t="shared" si="1"/>
        <v>0</v>
      </c>
    </row>
    <row r="2277">
      <c r="C2277" s="6">
        <f t="shared" si="1"/>
        <v>0</v>
      </c>
    </row>
    <row r="2278">
      <c r="C2278" s="6">
        <f t="shared" si="1"/>
        <v>0</v>
      </c>
    </row>
    <row r="2279">
      <c r="C2279" s="6">
        <f t="shared" si="1"/>
        <v>0</v>
      </c>
    </row>
    <row r="2280">
      <c r="C2280" s="6">
        <f t="shared" si="1"/>
        <v>0</v>
      </c>
    </row>
    <row r="2281">
      <c r="C2281" s="6">
        <f t="shared" si="1"/>
        <v>0</v>
      </c>
    </row>
    <row r="2282">
      <c r="C2282" s="6">
        <f t="shared" si="1"/>
        <v>0</v>
      </c>
    </row>
    <row r="2283">
      <c r="C2283" s="6">
        <f t="shared" si="1"/>
        <v>0</v>
      </c>
    </row>
    <row r="2284">
      <c r="C2284" s="6">
        <f t="shared" si="1"/>
        <v>0</v>
      </c>
    </row>
    <row r="2285">
      <c r="C2285" s="6">
        <f t="shared" si="1"/>
        <v>0</v>
      </c>
    </row>
    <row r="2286">
      <c r="C2286" s="6">
        <f t="shared" si="1"/>
        <v>0</v>
      </c>
    </row>
    <row r="2287">
      <c r="C2287" s="6">
        <f t="shared" si="1"/>
        <v>0</v>
      </c>
    </row>
    <row r="2288">
      <c r="C2288" s="6">
        <f t="shared" si="1"/>
        <v>0</v>
      </c>
    </row>
    <row r="2289">
      <c r="C2289" s="6">
        <f t="shared" si="1"/>
        <v>0</v>
      </c>
    </row>
    <row r="2290">
      <c r="C2290" s="6">
        <f t="shared" si="1"/>
        <v>0</v>
      </c>
    </row>
    <row r="2291">
      <c r="C2291" s="6">
        <f t="shared" si="1"/>
        <v>0</v>
      </c>
    </row>
    <row r="2292">
      <c r="C2292" s="6">
        <f t="shared" si="1"/>
        <v>0</v>
      </c>
    </row>
    <row r="2293">
      <c r="C2293" s="6">
        <f t="shared" si="1"/>
        <v>0</v>
      </c>
    </row>
    <row r="2294">
      <c r="C2294" s="6">
        <f t="shared" si="1"/>
        <v>0</v>
      </c>
    </row>
    <row r="2295">
      <c r="C2295" s="6">
        <f t="shared" si="1"/>
        <v>0</v>
      </c>
    </row>
    <row r="2296">
      <c r="C2296" s="6">
        <f t="shared" si="1"/>
        <v>0</v>
      </c>
    </row>
    <row r="2297">
      <c r="C2297" s="6">
        <f t="shared" si="1"/>
        <v>0</v>
      </c>
    </row>
    <row r="2298">
      <c r="C2298" s="6">
        <f t="shared" si="1"/>
        <v>0</v>
      </c>
    </row>
    <row r="2299">
      <c r="C2299" s="6">
        <f t="shared" si="1"/>
        <v>0</v>
      </c>
    </row>
    <row r="2300">
      <c r="C2300" s="6">
        <f t="shared" si="1"/>
        <v>0</v>
      </c>
    </row>
    <row r="2301">
      <c r="C2301" s="6">
        <f t="shared" si="1"/>
        <v>0</v>
      </c>
    </row>
    <row r="2302">
      <c r="C2302" s="6">
        <f t="shared" si="1"/>
        <v>0</v>
      </c>
    </row>
    <row r="2303">
      <c r="C2303" s="6">
        <f t="shared" si="1"/>
        <v>0</v>
      </c>
    </row>
    <row r="2304">
      <c r="C2304" s="6">
        <f t="shared" si="1"/>
        <v>0</v>
      </c>
    </row>
    <row r="2305">
      <c r="C2305" s="6">
        <f t="shared" si="1"/>
        <v>0</v>
      </c>
    </row>
    <row r="2306">
      <c r="C2306" s="6">
        <f t="shared" si="1"/>
        <v>0</v>
      </c>
    </row>
    <row r="2307">
      <c r="C2307" s="6">
        <f t="shared" si="1"/>
        <v>0</v>
      </c>
    </row>
    <row r="2308">
      <c r="C2308" s="6">
        <f t="shared" si="1"/>
        <v>0</v>
      </c>
    </row>
    <row r="2309">
      <c r="C2309" s="6">
        <f t="shared" si="1"/>
        <v>0</v>
      </c>
    </row>
    <row r="2310">
      <c r="C2310" s="6">
        <f t="shared" si="1"/>
        <v>0</v>
      </c>
    </row>
    <row r="2311">
      <c r="C2311" s="6">
        <f t="shared" si="1"/>
        <v>0</v>
      </c>
    </row>
    <row r="2312">
      <c r="C2312" s="6">
        <f t="shared" si="1"/>
        <v>0</v>
      </c>
    </row>
    <row r="2313">
      <c r="C2313" s="6">
        <f t="shared" si="1"/>
        <v>0</v>
      </c>
    </row>
    <row r="2314">
      <c r="C2314" s="6">
        <f t="shared" si="1"/>
        <v>0</v>
      </c>
    </row>
    <row r="2315">
      <c r="C2315" s="6">
        <f t="shared" si="1"/>
        <v>0</v>
      </c>
    </row>
    <row r="2316">
      <c r="C2316" s="6">
        <f t="shared" si="1"/>
        <v>0</v>
      </c>
    </row>
    <row r="2317">
      <c r="C2317" s="6">
        <f t="shared" si="1"/>
        <v>0</v>
      </c>
    </row>
    <row r="2318">
      <c r="C2318" s="6">
        <f t="shared" si="1"/>
        <v>0</v>
      </c>
    </row>
    <row r="2319">
      <c r="C2319" s="6">
        <f t="shared" si="1"/>
        <v>0</v>
      </c>
    </row>
    <row r="2320">
      <c r="C2320" s="6">
        <f t="shared" si="1"/>
        <v>0</v>
      </c>
    </row>
    <row r="2321">
      <c r="C2321" s="6">
        <f t="shared" si="1"/>
        <v>0</v>
      </c>
    </row>
    <row r="2322">
      <c r="C2322" s="6">
        <f t="shared" si="1"/>
        <v>0</v>
      </c>
    </row>
    <row r="2323">
      <c r="C2323" s="6">
        <f t="shared" si="1"/>
        <v>0</v>
      </c>
    </row>
    <row r="2324">
      <c r="C2324" s="6">
        <f t="shared" si="1"/>
        <v>0</v>
      </c>
    </row>
    <row r="2325">
      <c r="C2325" s="6">
        <f t="shared" si="1"/>
        <v>0</v>
      </c>
    </row>
    <row r="2326">
      <c r="C2326" s="6">
        <f t="shared" si="1"/>
        <v>0</v>
      </c>
    </row>
    <row r="2327">
      <c r="C2327" s="6">
        <f t="shared" si="1"/>
        <v>0</v>
      </c>
    </row>
    <row r="2328">
      <c r="C2328" s="6">
        <f t="shared" si="1"/>
        <v>0</v>
      </c>
    </row>
    <row r="2329">
      <c r="C2329" s="6">
        <f t="shared" si="1"/>
        <v>0</v>
      </c>
    </row>
    <row r="2330">
      <c r="C2330" s="6">
        <f t="shared" si="1"/>
        <v>0</v>
      </c>
    </row>
    <row r="2331">
      <c r="C2331" s="6">
        <f t="shared" si="1"/>
        <v>0</v>
      </c>
    </row>
    <row r="2332">
      <c r="C2332" s="6">
        <f t="shared" si="1"/>
        <v>0</v>
      </c>
    </row>
    <row r="2333">
      <c r="C2333" s="6">
        <f t="shared" si="1"/>
        <v>0</v>
      </c>
    </row>
    <row r="2334">
      <c r="C2334" s="6">
        <f t="shared" si="1"/>
        <v>0</v>
      </c>
    </row>
    <row r="2335">
      <c r="C2335" s="6">
        <f t="shared" si="1"/>
        <v>0</v>
      </c>
    </row>
    <row r="2336">
      <c r="C2336" s="6">
        <f t="shared" si="1"/>
        <v>0</v>
      </c>
    </row>
    <row r="2337">
      <c r="C2337" s="6">
        <f t="shared" si="1"/>
        <v>0</v>
      </c>
    </row>
    <row r="2338">
      <c r="C2338" s="6">
        <f t="shared" si="1"/>
        <v>0</v>
      </c>
    </row>
    <row r="2339">
      <c r="C2339" s="6">
        <f t="shared" si="1"/>
        <v>0</v>
      </c>
    </row>
    <row r="2340">
      <c r="C2340" s="6">
        <f t="shared" si="1"/>
        <v>0</v>
      </c>
    </row>
    <row r="2341">
      <c r="C2341" s="6">
        <f t="shared" si="1"/>
        <v>0</v>
      </c>
    </row>
    <row r="2342">
      <c r="C2342" s="6">
        <f t="shared" si="1"/>
        <v>0</v>
      </c>
    </row>
    <row r="2343">
      <c r="C2343" s="6">
        <f t="shared" si="1"/>
        <v>0</v>
      </c>
    </row>
    <row r="2344">
      <c r="C2344" s="6">
        <f t="shared" si="1"/>
        <v>0</v>
      </c>
    </row>
    <row r="2345">
      <c r="C2345" s="6">
        <f t="shared" si="1"/>
        <v>0</v>
      </c>
    </row>
    <row r="2346">
      <c r="C2346" s="6">
        <f t="shared" si="1"/>
        <v>0</v>
      </c>
    </row>
    <row r="2347">
      <c r="C2347" s="6">
        <f t="shared" si="1"/>
        <v>0</v>
      </c>
    </row>
    <row r="2348">
      <c r="C2348" s="6">
        <f t="shared" si="1"/>
        <v>0</v>
      </c>
    </row>
    <row r="2349">
      <c r="C2349" s="6">
        <f t="shared" si="1"/>
        <v>0</v>
      </c>
    </row>
    <row r="2350">
      <c r="C2350" s="6">
        <f t="shared" si="1"/>
        <v>0</v>
      </c>
    </row>
    <row r="2351">
      <c r="C2351" s="6">
        <f t="shared" si="1"/>
        <v>0</v>
      </c>
    </row>
    <row r="2352">
      <c r="C2352" s="6">
        <f t="shared" si="1"/>
        <v>0</v>
      </c>
    </row>
    <row r="2353">
      <c r="C2353" s="6">
        <f t="shared" si="1"/>
        <v>0</v>
      </c>
    </row>
    <row r="2354">
      <c r="C2354" s="6">
        <f t="shared" si="1"/>
        <v>0</v>
      </c>
    </row>
    <row r="2355">
      <c r="C2355" s="6">
        <f t="shared" si="1"/>
        <v>0</v>
      </c>
    </row>
    <row r="2356">
      <c r="C2356" s="6">
        <f t="shared" si="1"/>
        <v>0</v>
      </c>
    </row>
    <row r="2357">
      <c r="C2357" s="6">
        <f t="shared" si="1"/>
        <v>0</v>
      </c>
    </row>
    <row r="2358">
      <c r="C2358" s="6">
        <f t="shared" si="1"/>
        <v>0</v>
      </c>
    </row>
    <row r="2359">
      <c r="C2359" s="6">
        <f t="shared" si="1"/>
        <v>0</v>
      </c>
    </row>
    <row r="2360">
      <c r="C2360" s="6">
        <f t="shared" si="1"/>
        <v>0</v>
      </c>
    </row>
    <row r="2361">
      <c r="C2361" s="6">
        <f t="shared" si="1"/>
        <v>0</v>
      </c>
    </row>
    <row r="2362">
      <c r="C2362" s="6">
        <f t="shared" si="1"/>
        <v>0</v>
      </c>
    </row>
    <row r="2363">
      <c r="C2363" s="6">
        <f t="shared" si="1"/>
        <v>0</v>
      </c>
    </row>
    <row r="2364">
      <c r="C2364" s="6">
        <f t="shared" si="1"/>
        <v>0</v>
      </c>
    </row>
    <row r="2365">
      <c r="C2365" s="6">
        <f t="shared" si="1"/>
        <v>0</v>
      </c>
    </row>
    <row r="2366">
      <c r="C2366" s="6">
        <f t="shared" si="1"/>
        <v>0</v>
      </c>
    </row>
    <row r="2367">
      <c r="C2367" s="6">
        <f t="shared" si="1"/>
        <v>0</v>
      </c>
    </row>
    <row r="2368">
      <c r="C2368" s="6">
        <f t="shared" si="1"/>
        <v>0</v>
      </c>
    </row>
    <row r="2369">
      <c r="C2369" s="6">
        <f t="shared" si="1"/>
        <v>0</v>
      </c>
    </row>
    <row r="2370">
      <c r="C2370" s="6">
        <f t="shared" si="1"/>
        <v>0</v>
      </c>
    </row>
    <row r="2371">
      <c r="C2371" s="6">
        <f t="shared" si="1"/>
        <v>0</v>
      </c>
    </row>
    <row r="2372">
      <c r="C2372" s="6">
        <f t="shared" si="1"/>
        <v>0</v>
      </c>
    </row>
    <row r="2373">
      <c r="C2373" s="6">
        <f t="shared" si="1"/>
        <v>0</v>
      </c>
    </row>
    <row r="2374">
      <c r="C2374" s="6">
        <f t="shared" si="1"/>
        <v>0</v>
      </c>
    </row>
    <row r="2375">
      <c r="C2375" s="6">
        <f t="shared" si="1"/>
        <v>0</v>
      </c>
    </row>
    <row r="2376">
      <c r="C2376" s="6">
        <f t="shared" si="1"/>
        <v>0</v>
      </c>
    </row>
    <row r="2377">
      <c r="C2377" s="6">
        <f t="shared" si="1"/>
        <v>0</v>
      </c>
    </row>
    <row r="2378">
      <c r="C2378" s="6">
        <f t="shared" si="1"/>
        <v>0</v>
      </c>
    </row>
    <row r="2379">
      <c r="C2379" s="6">
        <f t="shared" si="1"/>
        <v>0</v>
      </c>
    </row>
    <row r="2380">
      <c r="C2380" s="6">
        <f t="shared" si="1"/>
        <v>0</v>
      </c>
    </row>
    <row r="2381">
      <c r="C2381" s="6">
        <f t="shared" si="1"/>
        <v>0</v>
      </c>
    </row>
    <row r="2382">
      <c r="C2382" s="6">
        <f t="shared" si="1"/>
        <v>0</v>
      </c>
    </row>
    <row r="2383">
      <c r="C2383" s="6">
        <f t="shared" si="1"/>
        <v>0</v>
      </c>
    </row>
    <row r="2384">
      <c r="C2384" s="6">
        <f t="shared" si="1"/>
        <v>0</v>
      </c>
    </row>
    <row r="2385">
      <c r="C2385" s="6">
        <f t="shared" si="1"/>
        <v>0</v>
      </c>
    </row>
    <row r="2386">
      <c r="C2386" s="6">
        <f t="shared" si="1"/>
        <v>0</v>
      </c>
    </row>
    <row r="2387">
      <c r="C2387" s="6">
        <f t="shared" si="1"/>
        <v>0</v>
      </c>
    </row>
    <row r="2388">
      <c r="C2388" s="6">
        <f t="shared" si="1"/>
        <v>0</v>
      </c>
    </row>
    <row r="2389">
      <c r="C2389" s="6">
        <f t="shared" si="1"/>
        <v>0</v>
      </c>
    </row>
    <row r="2390">
      <c r="C2390" s="6">
        <f t="shared" si="1"/>
        <v>0</v>
      </c>
    </row>
    <row r="2391">
      <c r="C2391" s="6">
        <f t="shared" si="1"/>
        <v>0</v>
      </c>
    </row>
    <row r="2392">
      <c r="C2392" s="6">
        <f t="shared" si="1"/>
        <v>0</v>
      </c>
    </row>
    <row r="2393">
      <c r="C2393" s="6">
        <f t="shared" si="1"/>
        <v>0</v>
      </c>
    </row>
    <row r="2394">
      <c r="C2394" s="6">
        <f t="shared" si="1"/>
        <v>0</v>
      </c>
    </row>
    <row r="2395">
      <c r="C2395" s="6">
        <f t="shared" si="1"/>
        <v>0</v>
      </c>
    </row>
    <row r="2396">
      <c r="C2396" s="6">
        <f t="shared" si="1"/>
        <v>0</v>
      </c>
    </row>
    <row r="2397">
      <c r="C2397" s="6">
        <f t="shared" si="1"/>
        <v>0</v>
      </c>
    </row>
    <row r="2398">
      <c r="C2398" s="6">
        <f t="shared" si="1"/>
        <v>0</v>
      </c>
    </row>
    <row r="2399">
      <c r="C2399" s="6">
        <f t="shared" si="1"/>
        <v>0</v>
      </c>
    </row>
    <row r="2400">
      <c r="C2400" s="6">
        <f t="shared" si="1"/>
        <v>0</v>
      </c>
    </row>
    <row r="2401">
      <c r="C2401" s="6">
        <f t="shared" si="1"/>
        <v>0</v>
      </c>
    </row>
    <row r="2402">
      <c r="C2402" s="6">
        <f t="shared" si="1"/>
        <v>0</v>
      </c>
    </row>
    <row r="2403">
      <c r="C2403" s="6">
        <f t="shared" si="1"/>
        <v>0</v>
      </c>
    </row>
    <row r="2404">
      <c r="C2404" s="6">
        <f t="shared" si="1"/>
        <v>0</v>
      </c>
    </row>
    <row r="2405">
      <c r="C2405" s="6">
        <f t="shared" si="1"/>
        <v>0</v>
      </c>
    </row>
    <row r="2406">
      <c r="C2406" s="6">
        <f t="shared" si="1"/>
        <v>0</v>
      </c>
    </row>
    <row r="2407">
      <c r="C2407" s="6">
        <f t="shared" si="1"/>
        <v>0</v>
      </c>
    </row>
    <row r="2408">
      <c r="C2408" s="6">
        <f t="shared" si="1"/>
        <v>0</v>
      </c>
    </row>
    <row r="2409">
      <c r="C2409" s="6">
        <f t="shared" si="1"/>
        <v>0</v>
      </c>
    </row>
    <row r="2410">
      <c r="C2410" s="6">
        <f t="shared" si="1"/>
        <v>0</v>
      </c>
    </row>
    <row r="2411">
      <c r="C2411" s="6">
        <f t="shared" si="1"/>
        <v>0</v>
      </c>
    </row>
    <row r="2412">
      <c r="C2412" s="6">
        <f t="shared" si="1"/>
        <v>0</v>
      </c>
    </row>
    <row r="2413">
      <c r="C2413" s="6">
        <f t="shared" si="1"/>
        <v>0</v>
      </c>
    </row>
    <row r="2414">
      <c r="C2414" s="6">
        <f t="shared" si="1"/>
        <v>0</v>
      </c>
    </row>
    <row r="2415">
      <c r="C2415" s="6">
        <f t="shared" si="1"/>
        <v>0</v>
      </c>
    </row>
    <row r="2416">
      <c r="C2416" s="6">
        <f t="shared" si="1"/>
        <v>0</v>
      </c>
    </row>
    <row r="2417">
      <c r="C2417" s="6">
        <f t="shared" si="1"/>
        <v>0</v>
      </c>
    </row>
    <row r="2418">
      <c r="C2418" s="6">
        <f t="shared" si="1"/>
        <v>0</v>
      </c>
    </row>
    <row r="2419">
      <c r="C2419" s="6">
        <f t="shared" si="1"/>
        <v>0</v>
      </c>
    </row>
    <row r="2420">
      <c r="C2420" s="6">
        <f t="shared" si="1"/>
        <v>0</v>
      </c>
    </row>
    <row r="2421">
      <c r="C2421" s="6">
        <f t="shared" si="1"/>
        <v>0</v>
      </c>
    </row>
    <row r="2422">
      <c r="C2422" s="6">
        <f t="shared" si="1"/>
        <v>0</v>
      </c>
    </row>
    <row r="2423">
      <c r="C2423" s="6">
        <f t="shared" si="1"/>
        <v>0</v>
      </c>
    </row>
    <row r="2424">
      <c r="C2424" s="6">
        <f t="shared" si="1"/>
        <v>0</v>
      </c>
    </row>
    <row r="2425">
      <c r="C2425" s="6">
        <f t="shared" si="1"/>
        <v>0</v>
      </c>
    </row>
    <row r="2426">
      <c r="C2426" s="6">
        <f t="shared" si="1"/>
        <v>0</v>
      </c>
    </row>
    <row r="2427">
      <c r="C2427" s="6">
        <f t="shared" si="1"/>
        <v>0</v>
      </c>
    </row>
    <row r="2428">
      <c r="C2428" s="6">
        <f t="shared" si="1"/>
        <v>0</v>
      </c>
    </row>
    <row r="2429">
      <c r="C2429" s="6">
        <f t="shared" si="1"/>
        <v>0</v>
      </c>
    </row>
    <row r="2430">
      <c r="C2430" s="6">
        <f t="shared" si="1"/>
        <v>0</v>
      </c>
    </row>
    <row r="2431">
      <c r="C2431" s="6">
        <f t="shared" si="1"/>
        <v>0</v>
      </c>
    </row>
    <row r="2432">
      <c r="C2432" s="6">
        <f t="shared" si="1"/>
        <v>0</v>
      </c>
    </row>
    <row r="2433">
      <c r="C2433" s="6">
        <f t="shared" si="1"/>
        <v>0</v>
      </c>
    </row>
    <row r="2434">
      <c r="C2434" s="6">
        <f t="shared" si="1"/>
        <v>0</v>
      </c>
    </row>
    <row r="2435">
      <c r="C2435" s="6">
        <f t="shared" si="1"/>
        <v>0</v>
      </c>
    </row>
    <row r="2436">
      <c r="C2436" s="6">
        <f t="shared" si="1"/>
        <v>0</v>
      </c>
    </row>
    <row r="2437">
      <c r="C2437" s="6">
        <f t="shared" si="1"/>
        <v>0</v>
      </c>
    </row>
    <row r="2438">
      <c r="C2438" s="6">
        <f t="shared" si="1"/>
        <v>0</v>
      </c>
    </row>
    <row r="2439">
      <c r="C2439" s="6">
        <f t="shared" si="1"/>
        <v>0</v>
      </c>
    </row>
    <row r="2440">
      <c r="C2440" s="6">
        <f t="shared" si="1"/>
        <v>0</v>
      </c>
    </row>
    <row r="2441">
      <c r="C2441" s="6">
        <f t="shared" si="1"/>
        <v>0</v>
      </c>
    </row>
    <row r="2442">
      <c r="C2442" s="6">
        <f t="shared" si="1"/>
        <v>0</v>
      </c>
    </row>
    <row r="2443">
      <c r="C2443" s="6">
        <f t="shared" si="1"/>
        <v>0</v>
      </c>
    </row>
    <row r="2444">
      <c r="C2444" s="6">
        <f t="shared" si="1"/>
        <v>0</v>
      </c>
    </row>
    <row r="2445">
      <c r="C2445" s="6">
        <f t="shared" si="1"/>
        <v>0</v>
      </c>
    </row>
    <row r="2446">
      <c r="C2446" s="6">
        <f t="shared" si="1"/>
        <v>0</v>
      </c>
    </row>
    <row r="2447">
      <c r="C2447" s="6">
        <f t="shared" si="1"/>
        <v>0</v>
      </c>
    </row>
    <row r="2448">
      <c r="C2448" s="6">
        <f t="shared" si="1"/>
        <v>0</v>
      </c>
    </row>
    <row r="2449">
      <c r="C2449" s="6">
        <f t="shared" si="1"/>
        <v>0</v>
      </c>
    </row>
    <row r="2450">
      <c r="C2450" s="6">
        <f t="shared" si="1"/>
        <v>0</v>
      </c>
    </row>
    <row r="2451">
      <c r="C2451" s="6">
        <f t="shared" si="1"/>
        <v>0</v>
      </c>
    </row>
    <row r="2452">
      <c r="C2452" s="6">
        <f t="shared" si="1"/>
        <v>0</v>
      </c>
    </row>
    <row r="2453">
      <c r="C2453" s="6">
        <f t="shared" si="1"/>
        <v>0</v>
      </c>
    </row>
    <row r="2454">
      <c r="C2454" s="6">
        <f t="shared" si="1"/>
        <v>0</v>
      </c>
    </row>
    <row r="2455">
      <c r="C2455" s="6">
        <f t="shared" si="1"/>
        <v>0</v>
      </c>
    </row>
    <row r="2456">
      <c r="C2456" s="6">
        <f t="shared" si="1"/>
        <v>0</v>
      </c>
    </row>
    <row r="2457">
      <c r="C2457" s="6">
        <f t="shared" si="1"/>
        <v>0</v>
      </c>
    </row>
    <row r="2458">
      <c r="C2458" s="6">
        <f t="shared" si="1"/>
        <v>0</v>
      </c>
    </row>
    <row r="2459">
      <c r="C2459" s="6">
        <f t="shared" si="1"/>
        <v>0</v>
      </c>
    </row>
    <row r="2460">
      <c r="C2460" s="6">
        <f t="shared" si="1"/>
        <v>0</v>
      </c>
    </row>
    <row r="2461">
      <c r="C2461" s="6">
        <f t="shared" si="1"/>
        <v>0</v>
      </c>
    </row>
    <row r="2462">
      <c r="C2462" s="6">
        <f t="shared" si="1"/>
        <v>0</v>
      </c>
    </row>
    <row r="2463">
      <c r="C2463" s="6">
        <f t="shared" si="1"/>
        <v>0</v>
      </c>
    </row>
    <row r="2464">
      <c r="C2464" s="6">
        <f t="shared" si="1"/>
        <v>0</v>
      </c>
    </row>
    <row r="2465">
      <c r="C2465" s="6">
        <f t="shared" si="1"/>
        <v>0</v>
      </c>
    </row>
    <row r="2466">
      <c r="C2466" s="6">
        <f t="shared" si="1"/>
        <v>0</v>
      </c>
    </row>
    <row r="2467">
      <c r="C2467" s="6">
        <f t="shared" si="1"/>
        <v>0</v>
      </c>
    </row>
    <row r="2468">
      <c r="C2468" s="6">
        <f t="shared" si="1"/>
        <v>0</v>
      </c>
    </row>
    <row r="2469">
      <c r="C2469" s="6">
        <f t="shared" si="1"/>
        <v>0</v>
      </c>
    </row>
    <row r="2470">
      <c r="C2470" s="6">
        <f t="shared" si="1"/>
        <v>0</v>
      </c>
    </row>
    <row r="2471">
      <c r="C2471" s="6">
        <f t="shared" si="1"/>
        <v>0</v>
      </c>
    </row>
    <row r="2472">
      <c r="C2472" s="6">
        <f t="shared" si="1"/>
        <v>0</v>
      </c>
    </row>
    <row r="2473">
      <c r="C2473" s="6">
        <f t="shared" si="1"/>
        <v>0</v>
      </c>
    </row>
    <row r="2474">
      <c r="C2474" s="6">
        <f t="shared" si="1"/>
        <v>0</v>
      </c>
    </row>
    <row r="2475">
      <c r="C2475" s="6">
        <f t="shared" si="1"/>
        <v>0</v>
      </c>
    </row>
    <row r="2476">
      <c r="C2476" s="6">
        <f t="shared" si="1"/>
        <v>0</v>
      </c>
    </row>
    <row r="2477">
      <c r="C2477" s="6">
        <f t="shared" si="1"/>
        <v>0</v>
      </c>
    </row>
    <row r="2478">
      <c r="C2478" s="6">
        <f t="shared" si="1"/>
        <v>0</v>
      </c>
    </row>
    <row r="2479">
      <c r="C2479" s="6">
        <f t="shared" si="1"/>
        <v>0</v>
      </c>
    </row>
    <row r="2480">
      <c r="C2480" s="6">
        <f t="shared" si="1"/>
        <v>0</v>
      </c>
    </row>
    <row r="2481">
      <c r="C2481" s="6">
        <f t="shared" si="1"/>
        <v>0</v>
      </c>
    </row>
    <row r="2482">
      <c r="C2482" s="6">
        <f t="shared" si="1"/>
        <v>0</v>
      </c>
    </row>
    <row r="2483">
      <c r="C2483" s="6">
        <f t="shared" si="1"/>
        <v>0</v>
      </c>
    </row>
    <row r="2484">
      <c r="C2484" s="6">
        <f t="shared" si="1"/>
        <v>0</v>
      </c>
    </row>
    <row r="2485">
      <c r="C2485" s="6">
        <f t="shared" si="1"/>
        <v>0</v>
      </c>
    </row>
    <row r="2486">
      <c r="C2486" s="6">
        <f t="shared" si="1"/>
        <v>0</v>
      </c>
    </row>
    <row r="2487">
      <c r="C2487" s="6">
        <f t="shared" si="1"/>
        <v>0</v>
      </c>
    </row>
    <row r="2488">
      <c r="C2488" s="6">
        <f t="shared" si="1"/>
        <v>0</v>
      </c>
    </row>
    <row r="2489">
      <c r="C2489" s="6">
        <f t="shared" si="1"/>
        <v>0</v>
      </c>
    </row>
    <row r="2490">
      <c r="C2490" s="6">
        <f t="shared" si="1"/>
        <v>0</v>
      </c>
    </row>
    <row r="2491">
      <c r="C2491" s="6">
        <f t="shared" si="1"/>
        <v>0</v>
      </c>
    </row>
    <row r="2492">
      <c r="C2492" s="6">
        <f t="shared" si="1"/>
        <v>0</v>
      </c>
    </row>
    <row r="2493">
      <c r="C2493" s="6">
        <f t="shared" si="1"/>
        <v>0</v>
      </c>
    </row>
    <row r="2494">
      <c r="C2494" s="6">
        <f t="shared" si="1"/>
        <v>0</v>
      </c>
    </row>
    <row r="2495">
      <c r="C2495" s="6">
        <f t="shared" si="1"/>
        <v>0</v>
      </c>
    </row>
    <row r="2496">
      <c r="C2496" s="6">
        <f t="shared" si="1"/>
        <v>0</v>
      </c>
    </row>
    <row r="2497">
      <c r="C2497" s="6">
        <f t="shared" si="1"/>
        <v>0</v>
      </c>
    </row>
    <row r="2498">
      <c r="C2498" s="6">
        <f t="shared" si="1"/>
        <v>0</v>
      </c>
    </row>
    <row r="2499">
      <c r="C2499" s="6">
        <f t="shared" si="1"/>
        <v>0</v>
      </c>
    </row>
    <row r="2500">
      <c r="C2500" s="6">
        <f t="shared" si="1"/>
        <v>0</v>
      </c>
    </row>
    <row r="2501">
      <c r="C2501" s="6">
        <f t="shared" si="1"/>
        <v>0</v>
      </c>
    </row>
    <row r="2502">
      <c r="C2502" s="6">
        <f t="shared" si="1"/>
        <v>0</v>
      </c>
    </row>
    <row r="2503">
      <c r="C2503" s="6">
        <f t="shared" si="1"/>
        <v>0</v>
      </c>
    </row>
    <row r="2504">
      <c r="C2504" s="6">
        <f t="shared" si="1"/>
        <v>0</v>
      </c>
    </row>
    <row r="2505">
      <c r="C2505" s="6">
        <f t="shared" si="1"/>
        <v>0</v>
      </c>
    </row>
    <row r="2506">
      <c r="C2506" s="6">
        <f t="shared" si="1"/>
        <v>0</v>
      </c>
    </row>
    <row r="2507">
      <c r="C2507" s="6">
        <f t="shared" si="1"/>
        <v>0</v>
      </c>
    </row>
    <row r="2508">
      <c r="C2508" s="6">
        <f t="shared" si="1"/>
        <v>0</v>
      </c>
    </row>
    <row r="2509">
      <c r="C2509" s="6">
        <f t="shared" si="1"/>
        <v>0</v>
      </c>
    </row>
    <row r="2510">
      <c r="C2510" s="6">
        <f t="shared" si="1"/>
        <v>0</v>
      </c>
    </row>
    <row r="2511">
      <c r="C2511" s="6">
        <f t="shared" si="1"/>
        <v>0</v>
      </c>
    </row>
    <row r="2512">
      <c r="C2512" s="6">
        <f t="shared" si="1"/>
        <v>0</v>
      </c>
    </row>
    <row r="2513">
      <c r="C2513" s="6">
        <f t="shared" si="1"/>
        <v>0</v>
      </c>
    </row>
    <row r="2514">
      <c r="C2514" s="6">
        <f t="shared" si="1"/>
        <v>0</v>
      </c>
    </row>
    <row r="2515">
      <c r="C2515" s="6">
        <f t="shared" si="1"/>
        <v>0</v>
      </c>
    </row>
    <row r="2516">
      <c r="C2516" s="6">
        <f t="shared" si="1"/>
        <v>0</v>
      </c>
    </row>
    <row r="2517">
      <c r="C2517" s="6">
        <f t="shared" si="1"/>
        <v>0</v>
      </c>
    </row>
    <row r="2518">
      <c r="C2518" s="6">
        <f t="shared" si="1"/>
        <v>0</v>
      </c>
    </row>
    <row r="2519">
      <c r="C2519" s="6">
        <f t="shared" si="1"/>
        <v>0</v>
      </c>
    </row>
    <row r="2520">
      <c r="C2520" s="6">
        <f t="shared" si="1"/>
        <v>0</v>
      </c>
    </row>
    <row r="2521">
      <c r="C2521" s="6">
        <f t="shared" si="1"/>
        <v>0</v>
      </c>
    </row>
    <row r="2522">
      <c r="C2522" s="6">
        <f t="shared" si="1"/>
        <v>0</v>
      </c>
    </row>
    <row r="2523">
      <c r="C2523" s="6">
        <f t="shared" si="1"/>
        <v>0</v>
      </c>
    </row>
    <row r="2524">
      <c r="C2524" s="6">
        <f t="shared" si="1"/>
        <v>0</v>
      </c>
    </row>
    <row r="2525">
      <c r="C2525" s="6">
        <f t="shared" si="1"/>
        <v>0</v>
      </c>
    </row>
    <row r="2526">
      <c r="C2526" s="6">
        <f t="shared" si="1"/>
        <v>0</v>
      </c>
    </row>
    <row r="2527">
      <c r="C2527" s="6">
        <f t="shared" si="1"/>
        <v>0</v>
      </c>
    </row>
    <row r="2528">
      <c r="C2528" s="6">
        <f t="shared" si="1"/>
        <v>0</v>
      </c>
    </row>
    <row r="2529">
      <c r="C2529" s="6">
        <f t="shared" si="1"/>
        <v>0</v>
      </c>
    </row>
    <row r="2530">
      <c r="C2530" s="6">
        <f t="shared" si="1"/>
        <v>0</v>
      </c>
    </row>
    <row r="2531">
      <c r="C2531" s="6">
        <f t="shared" si="1"/>
        <v>0</v>
      </c>
    </row>
    <row r="2532">
      <c r="C2532" s="6">
        <f t="shared" si="1"/>
        <v>0</v>
      </c>
    </row>
    <row r="2533">
      <c r="C2533" s="6">
        <f t="shared" si="1"/>
        <v>0</v>
      </c>
    </row>
    <row r="2534">
      <c r="C2534" s="6">
        <f t="shared" si="1"/>
        <v>0</v>
      </c>
    </row>
    <row r="2535">
      <c r="C2535" s="6">
        <f t="shared" si="1"/>
        <v>0</v>
      </c>
    </row>
    <row r="2536">
      <c r="C2536" s="6">
        <f t="shared" si="1"/>
        <v>0</v>
      </c>
    </row>
    <row r="2537">
      <c r="C2537" s="6">
        <f t="shared" si="1"/>
        <v>0</v>
      </c>
    </row>
    <row r="2538">
      <c r="C2538" s="6">
        <f t="shared" si="1"/>
        <v>0</v>
      </c>
    </row>
    <row r="2539">
      <c r="C2539" s="6">
        <f t="shared" si="1"/>
        <v>0</v>
      </c>
    </row>
    <row r="2540">
      <c r="C2540" s="6">
        <f t="shared" si="1"/>
        <v>0</v>
      </c>
    </row>
    <row r="2541">
      <c r="C2541" s="6">
        <f t="shared" si="1"/>
        <v>0</v>
      </c>
    </row>
    <row r="2542">
      <c r="C2542" s="6">
        <f t="shared" si="1"/>
        <v>0</v>
      </c>
    </row>
    <row r="2543">
      <c r="C2543" s="6">
        <f t="shared" si="1"/>
        <v>0</v>
      </c>
    </row>
    <row r="2544">
      <c r="C2544" s="6">
        <f t="shared" si="1"/>
        <v>0</v>
      </c>
    </row>
    <row r="2545">
      <c r="C2545" s="6">
        <f t="shared" si="1"/>
        <v>0</v>
      </c>
    </row>
    <row r="2546">
      <c r="C2546" s="6">
        <f t="shared" si="1"/>
        <v>0</v>
      </c>
    </row>
    <row r="2547">
      <c r="C2547" s="6">
        <f t="shared" si="1"/>
        <v>0</v>
      </c>
    </row>
    <row r="2548">
      <c r="C2548" s="6">
        <f t="shared" si="1"/>
        <v>0</v>
      </c>
    </row>
    <row r="2549">
      <c r="C2549" s="6">
        <f t="shared" si="1"/>
        <v>0</v>
      </c>
    </row>
    <row r="2550">
      <c r="C2550" s="6">
        <f t="shared" si="1"/>
        <v>0</v>
      </c>
    </row>
    <row r="2551">
      <c r="C2551" s="6">
        <f t="shared" si="1"/>
        <v>0</v>
      </c>
    </row>
    <row r="2552">
      <c r="C2552" s="6">
        <f t="shared" si="1"/>
        <v>0</v>
      </c>
    </row>
    <row r="2553">
      <c r="C2553" s="6">
        <f t="shared" si="1"/>
        <v>0</v>
      </c>
    </row>
    <row r="2554">
      <c r="C2554" s="6">
        <f t="shared" si="1"/>
        <v>0</v>
      </c>
    </row>
    <row r="2555">
      <c r="C2555" s="6">
        <f t="shared" si="1"/>
        <v>0</v>
      </c>
    </row>
    <row r="2556">
      <c r="C2556" s="6">
        <f t="shared" si="1"/>
        <v>0</v>
      </c>
    </row>
    <row r="2557">
      <c r="C2557" s="6">
        <f t="shared" si="1"/>
        <v>0</v>
      </c>
    </row>
    <row r="2558">
      <c r="C2558" s="6">
        <f t="shared" si="1"/>
        <v>0</v>
      </c>
    </row>
    <row r="2559">
      <c r="C2559" s="6">
        <f t="shared" si="1"/>
        <v>0</v>
      </c>
    </row>
    <row r="2560">
      <c r="C2560" s="6">
        <f t="shared" si="1"/>
        <v>0</v>
      </c>
    </row>
    <row r="2561">
      <c r="C2561" s="6">
        <f t="shared" si="1"/>
        <v>0</v>
      </c>
    </row>
    <row r="2562">
      <c r="C2562" s="6">
        <f t="shared" si="1"/>
        <v>0</v>
      </c>
    </row>
    <row r="2563">
      <c r="C2563" s="6">
        <f t="shared" si="1"/>
        <v>0</v>
      </c>
    </row>
    <row r="2564">
      <c r="C2564" s="6">
        <f t="shared" si="1"/>
        <v>0</v>
      </c>
    </row>
    <row r="2565">
      <c r="C2565" s="6">
        <f t="shared" si="1"/>
        <v>0</v>
      </c>
    </row>
    <row r="2566">
      <c r="C2566" s="6">
        <f t="shared" si="1"/>
        <v>0</v>
      </c>
    </row>
    <row r="2567">
      <c r="C2567" s="6">
        <f t="shared" si="1"/>
        <v>0</v>
      </c>
    </row>
    <row r="2568">
      <c r="C2568" s="6">
        <f t="shared" si="1"/>
        <v>0</v>
      </c>
    </row>
    <row r="2569">
      <c r="C2569" s="6">
        <f t="shared" si="1"/>
        <v>0</v>
      </c>
    </row>
    <row r="2570">
      <c r="C2570" s="6">
        <f t="shared" si="1"/>
        <v>0</v>
      </c>
    </row>
    <row r="2571">
      <c r="C2571" s="6">
        <f t="shared" si="1"/>
        <v>0</v>
      </c>
    </row>
    <row r="2572">
      <c r="C2572" s="6">
        <f t="shared" si="1"/>
        <v>0</v>
      </c>
    </row>
    <row r="2573">
      <c r="C2573" s="6">
        <f t="shared" si="1"/>
        <v>0</v>
      </c>
    </row>
    <row r="2574">
      <c r="C2574" s="6">
        <f t="shared" si="1"/>
        <v>0</v>
      </c>
    </row>
    <row r="2575">
      <c r="C2575" s="6">
        <f t="shared" si="1"/>
        <v>0</v>
      </c>
    </row>
    <row r="2576">
      <c r="C2576" s="6">
        <f t="shared" si="1"/>
        <v>0</v>
      </c>
    </row>
    <row r="2577">
      <c r="C2577" s="6">
        <f t="shared" si="1"/>
        <v>0</v>
      </c>
    </row>
    <row r="2578">
      <c r="C2578" s="6">
        <f t="shared" si="1"/>
        <v>0</v>
      </c>
    </row>
    <row r="2579">
      <c r="C2579" s="6">
        <f t="shared" si="1"/>
        <v>0</v>
      </c>
    </row>
    <row r="2580">
      <c r="C2580" s="6">
        <f t="shared" si="1"/>
        <v>0</v>
      </c>
    </row>
    <row r="2581">
      <c r="C2581" s="6">
        <f t="shared" si="1"/>
        <v>0</v>
      </c>
    </row>
    <row r="2582">
      <c r="C2582" s="6">
        <f t="shared" si="1"/>
        <v>0</v>
      </c>
    </row>
    <row r="2583">
      <c r="C2583" s="6">
        <f t="shared" si="1"/>
        <v>0</v>
      </c>
    </row>
    <row r="2584">
      <c r="C2584" s="6">
        <f t="shared" si="1"/>
        <v>0</v>
      </c>
    </row>
    <row r="2585">
      <c r="C2585" s="6">
        <f t="shared" si="1"/>
        <v>0</v>
      </c>
    </row>
    <row r="2586">
      <c r="C2586" s="6">
        <f t="shared" si="1"/>
        <v>0</v>
      </c>
    </row>
    <row r="2587">
      <c r="C2587" s="6">
        <f t="shared" si="1"/>
        <v>0</v>
      </c>
    </row>
    <row r="2588">
      <c r="C2588" s="6">
        <f t="shared" si="1"/>
        <v>0</v>
      </c>
    </row>
    <row r="2589">
      <c r="C2589" s="6">
        <f t="shared" si="1"/>
        <v>0</v>
      </c>
    </row>
    <row r="2590">
      <c r="C2590" s="6">
        <f t="shared" si="1"/>
        <v>0</v>
      </c>
    </row>
    <row r="2591">
      <c r="C2591" s="6">
        <f t="shared" si="1"/>
        <v>0</v>
      </c>
    </row>
    <row r="2592">
      <c r="C2592" s="6">
        <f t="shared" si="1"/>
        <v>0</v>
      </c>
    </row>
    <row r="2593">
      <c r="C2593" s="6">
        <f t="shared" si="1"/>
        <v>0</v>
      </c>
    </row>
    <row r="2594">
      <c r="C2594" s="6">
        <f t="shared" si="1"/>
        <v>0</v>
      </c>
    </row>
    <row r="2595">
      <c r="C2595" s="6">
        <f t="shared" si="1"/>
        <v>0</v>
      </c>
    </row>
    <row r="2596">
      <c r="C2596" s="6">
        <f t="shared" si="1"/>
        <v>0</v>
      </c>
    </row>
    <row r="2597">
      <c r="C2597" s="6">
        <f t="shared" si="1"/>
        <v>0</v>
      </c>
    </row>
    <row r="2598">
      <c r="C2598" s="6">
        <f t="shared" si="1"/>
        <v>0</v>
      </c>
    </row>
    <row r="2599">
      <c r="C2599" s="6">
        <f t="shared" si="1"/>
        <v>0</v>
      </c>
    </row>
    <row r="2600">
      <c r="C2600" s="6">
        <f t="shared" si="1"/>
        <v>0</v>
      </c>
    </row>
    <row r="2601">
      <c r="C2601" s="6">
        <f t="shared" si="1"/>
        <v>0</v>
      </c>
    </row>
    <row r="2602">
      <c r="C2602" s="6">
        <f t="shared" si="1"/>
        <v>0</v>
      </c>
    </row>
    <row r="2603">
      <c r="C2603" s="6">
        <f t="shared" si="1"/>
        <v>0</v>
      </c>
    </row>
    <row r="2604">
      <c r="C2604" s="6">
        <f t="shared" si="1"/>
        <v>0</v>
      </c>
    </row>
    <row r="2605">
      <c r="C2605" s="6">
        <f t="shared" si="1"/>
        <v>0</v>
      </c>
    </row>
    <row r="2606">
      <c r="C2606" s="6">
        <f t="shared" si="1"/>
        <v>0</v>
      </c>
    </row>
    <row r="2607">
      <c r="C2607" s="6">
        <f t="shared" si="1"/>
        <v>0</v>
      </c>
    </row>
    <row r="2608">
      <c r="C2608" s="6">
        <f t="shared" si="1"/>
        <v>0</v>
      </c>
    </row>
    <row r="2609">
      <c r="C2609" s="6">
        <f t="shared" si="1"/>
        <v>0</v>
      </c>
    </row>
    <row r="2610">
      <c r="C2610" s="6">
        <f t="shared" si="1"/>
        <v>0</v>
      </c>
    </row>
    <row r="2611">
      <c r="C2611" s="6">
        <f t="shared" si="1"/>
        <v>0</v>
      </c>
    </row>
    <row r="2612">
      <c r="C2612" s="6">
        <f t="shared" si="1"/>
        <v>0</v>
      </c>
    </row>
    <row r="2613">
      <c r="C2613" s="6">
        <f t="shared" si="1"/>
        <v>0</v>
      </c>
    </row>
    <row r="2614">
      <c r="C2614" s="6">
        <f t="shared" si="1"/>
        <v>0</v>
      </c>
    </row>
    <row r="2615">
      <c r="C2615" s="6">
        <f t="shared" si="1"/>
        <v>0</v>
      </c>
    </row>
    <row r="2616">
      <c r="C2616" s="6">
        <f t="shared" si="1"/>
        <v>0</v>
      </c>
    </row>
    <row r="2617">
      <c r="C2617" s="6">
        <f t="shared" si="1"/>
        <v>0</v>
      </c>
    </row>
    <row r="2618">
      <c r="C2618" s="6">
        <f t="shared" si="1"/>
        <v>0</v>
      </c>
    </row>
    <row r="2619">
      <c r="C2619" s="6">
        <f t="shared" si="1"/>
        <v>0</v>
      </c>
    </row>
    <row r="2620">
      <c r="C2620" s="6">
        <f t="shared" si="1"/>
        <v>0</v>
      </c>
    </row>
    <row r="2621">
      <c r="C2621" s="6">
        <f t="shared" si="1"/>
        <v>0</v>
      </c>
    </row>
    <row r="2622">
      <c r="C2622" s="6">
        <f t="shared" si="1"/>
        <v>0</v>
      </c>
    </row>
    <row r="2623">
      <c r="C2623" s="6">
        <f t="shared" si="1"/>
        <v>0</v>
      </c>
    </row>
    <row r="2624">
      <c r="C2624" s="6">
        <f t="shared" si="1"/>
        <v>0</v>
      </c>
    </row>
    <row r="2625">
      <c r="C2625" s="6">
        <f t="shared" si="1"/>
        <v>0</v>
      </c>
    </row>
    <row r="2626">
      <c r="C2626" s="6">
        <f t="shared" si="1"/>
        <v>0</v>
      </c>
    </row>
    <row r="2627">
      <c r="C2627" s="6">
        <f t="shared" si="1"/>
        <v>0</v>
      </c>
    </row>
    <row r="2628">
      <c r="C2628" s="6">
        <f t="shared" si="1"/>
        <v>0</v>
      </c>
    </row>
    <row r="2629">
      <c r="C2629" s="6">
        <f t="shared" si="1"/>
        <v>0</v>
      </c>
    </row>
    <row r="2630">
      <c r="C2630" s="6">
        <f t="shared" si="1"/>
        <v>0</v>
      </c>
    </row>
    <row r="2631">
      <c r="C2631" s="6">
        <f t="shared" si="1"/>
        <v>0</v>
      </c>
    </row>
    <row r="2632">
      <c r="C2632" s="6">
        <f t="shared" si="1"/>
        <v>0</v>
      </c>
    </row>
    <row r="2633">
      <c r="C2633" s="6">
        <f t="shared" si="1"/>
        <v>0</v>
      </c>
    </row>
    <row r="2634">
      <c r="C2634" s="6">
        <f t="shared" si="1"/>
        <v>0</v>
      </c>
    </row>
    <row r="2635">
      <c r="C2635" s="6">
        <f t="shared" si="1"/>
        <v>0</v>
      </c>
    </row>
    <row r="2636">
      <c r="C2636" s="6">
        <f t="shared" si="1"/>
        <v>0</v>
      </c>
    </row>
    <row r="2637">
      <c r="C2637" s="6">
        <f t="shared" si="1"/>
        <v>0</v>
      </c>
    </row>
    <row r="2638">
      <c r="C2638" s="6">
        <f t="shared" si="1"/>
        <v>0</v>
      </c>
    </row>
    <row r="2639">
      <c r="C2639" s="6">
        <f t="shared" si="1"/>
        <v>0</v>
      </c>
    </row>
    <row r="2640">
      <c r="C2640" s="6">
        <f t="shared" si="1"/>
        <v>0</v>
      </c>
    </row>
    <row r="2641">
      <c r="C2641" s="6">
        <f t="shared" si="1"/>
        <v>0</v>
      </c>
    </row>
    <row r="2642">
      <c r="C2642" s="6">
        <f t="shared" si="1"/>
        <v>0</v>
      </c>
    </row>
    <row r="2643">
      <c r="C2643" s="6">
        <f t="shared" si="1"/>
        <v>0</v>
      </c>
    </row>
    <row r="2644">
      <c r="C2644" s="6">
        <f t="shared" si="1"/>
        <v>0</v>
      </c>
    </row>
    <row r="2645">
      <c r="C2645" s="6">
        <f t="shared" si="1"/>
        <v>0</v>
      </c>
    </row>
    <row r="2646">
      <c r="C2646" s="6">
        <f t="shared" si="1"/>
        <v>0</v>
      </c>
    </row>
    <row r="2647">
      <c r="C2647" s="6">
        <f t="shared" si="1"/>
        <v>0</v>
      </c>
    </row>
    <row r="2648">
      <c r="C2648" s="6">
        <f t="shared" si="1"/>
        <v>0</v>
      </c>
    </row>
    <row r="2649">
      <c r="C2649" s="6">
        <f t="shared" si="1"/>
        <v>0</v>
      </c>
    </row>
    <row r="2650">
      <c r="C2650" s="6">
        <f t="shared" si="1"/>
        <v>0</v>
      </c>
    </row>
    <row r="2651">
      <c r="C2651" s="6">
        <f t="shared" si="1"/>
        <v>0</v>
      </c>
    </row>
    <row r="2652">
      <c r="C2652" s="6">
        <f t="shared" si="1"/>
        <v>0</v>
      </c>
    </row>
    <row r="2653">
      <c r="C2653" s="6">
        <f t="shared" si="1"/>
        <v>0</v>
      </c>
    </row>
    <row r="2654">
      <c r="C2654" s="6">
        <f t="shared" si="1"/>
        <v>0</v>
      </c>
    </row>
    <row r="2655">
      <c r="C2655" s="6">
        <f t="shared" si="1"/>
        <v>0</v>
      </c>
    </row>
    <row r="2656">
      <c r="C2656" s="6">
        <f t="shared" si="1"/>
        <v>0</v>
      </c>
    </row>
    <row r="2657">
      <c r="C2657" s="6">
        <f t="shared" si="1"/>
        <v>0</v>
      </c>
    </row>
    <row r="2658">
      <c r="C2658" s="6">
        <f t="shared" si="1"/>
        <v>0</v>
      </c>
    </row>
    <row r="2659">
      <c r="C2659" s="6">
        <f t="shared" si="1"/>
        <v>0</v>
      </c>
    </row>
    <row r="2660">
      <c r="C2660" s="6">
        <f t="shared" si="1"/>
        <v>0</v>
      </c>
    </row>
    <row r="2661">
      <c r="C2661" s="6">
        <f t="shared" si="1"/>
        <v>0</v>
      </c>
    </row>
    <row r="2662">
      <c r="C2662" s="6">
        <f t="shared" si="1"/>
        <v>0</v>
      </c>
    </row>
    <row r="2663">
      <c r="C2663" s="6">
        <f t="shared" si="1"/>
        <v>0</v>
      </c>
    </row>
    <row r="2664">
      <c r="C2664" s="6">
        <f t="shared" si="1"/>
        <v>0</v>
      </c>
    </row>
    <row r="2665">
      <c r="C2665" s="6">
        <f t="shared" si="1"/>
        <v>0</v>
      </c>
    </row>
    <row r="2666">
      <c r="C2666" s="6">
        <f t="shared" si="1"/>
        <v>0</v>
      </c>
    </row>
    <row r="2667">
      <c r="C2667" s="6">
        <f t="shared" si="1"/>
        <v>0</v>
      </c>
    </row>
    <row r="2668">
      <c r="C2668" s="6">
        <f t="shared" si="1"/>
        <v>0</v>
      </c>
    </row>
    <row r="2669">
      <c r="C2669" s="6">
        <f t="shared" si="1"/>
        <v>0</v>
      </c>
    </row>
    <row r="2670">
      <c r="C2670" s="6">
        <f t="shared" si="1"/>
        <v>0</v>
      </c>
    </row>
    <row r="2671">
      <c r="C2671" s="6">
        <f t="shared" si="1"/>
        <v>0</v>
      </c>
    </row>
    <row r="2672">
      <c r="C2672" s="6">
        <f t="shared" si="1"/>
        <v>0</v>
      </c>
    </row>
    <row r="2673">
      <c r="C2673" s="6">
        <f t="shared" si="1"/>
        <v>0</v>
      </c>
    </row>
    <row r="2674">
      <c r="C2674" s="6">
        <f t="shared" si="1"/>
        <v>0</v>
      </c>
    </row>
    <row r="2675">
      <c r="C2675" s="6">
        <f t="shared" si="1"/>
        <v>0</v>
      </c>
    </row>
    <row r="2676">
      <c r="C2676" s="6">
        <f t="shared" si="1"/>
        <v>0</v>
      </c>
    </row>
    <row r="2677">
      <c r="C2677" s="6">
        <f t="shared" si="1"/>
        <v>0</v>
      </c>
    </row>
    <row r="2678">
      <c r="C2678" s="6">
        <f t="shared" si="1"/>
        <v>0</v>
      </c>
    </row>
    <row r="2679">
      <c r="C2679" s="6">
        <f t="shared" si="1"/>
        <v>0</v>
      </c>
    </row>
    <row r="2680">
      <c r="C2680" s="6">
        <f t="shared" si="1"/>
        <v>0</v>
      </c>
    </row>
    <row r="2681">
      <c r="C2681" s="6">
        <f t="shared" si="1"/>
        <v>0</v>
      </c>
    </row>
    <row r="2682">
      <c r="C2682" s="6">
        <f t="shared" si="1"/>
        <v>0</v>
      </c>
    </row>
    <row r="2683">
      <c r="C2683" s="6">
        <f t="shared" si="1"/>
        <v>0</v>
      </c>
    </row>
    <row r="2684">
      <c r="C2684" s="6">
        <f t="shared" si="1"/>
        <v>0</v>
      </c>
    </row>
    <row r="2685">
      <c r="C2685" s="6">
        <f t="shared" si="1"/>
        <v>0</v>
      </c>
    </row>
    <row r="2686">
      <c r="C2686" s="6">
        <f t="shared" si="1"/>
        <v>0</v>
      </c>
    </row>
    <row r="2687">
      <c r="C2687" s="6">
        <f t="shared" si="1"/>
        <v>0</v>
      </c>
    </row>
    <row r="2688">
      <c r="C2688" s="6">
        <f t="shared" si="1"/>
        <v>0</v>
      </c>
    </row>
    <row r="2689">
      <c r="C2689" s="6">
        <f t="shared" si="1"/>
        <v>0</v>
      </c>
    </row>
    <row r="2690">
      <c r="C2690" s="6">
        <f t="shared" si="1"/>
        <v>0</v>
      </c>
    </row>
    <row r="2691">
      <c r="C2691" s="6">
        <f t="shared" si="1"/>
        <v>0</v>
      </c>
    </row>
    <row r="2692">
      <c r="C2692" s="6">
        <f t="shared" si="1"/>
        <v>0</v>
      </c>
    </row>
    <row r="2693">
      <c r="C2693" s="6">
        <f t="shared" si="1"/>
        <v>0</v>
      </c>
    </row>
    <row r="2694">
      <c r="C2694" s="6">
        <f t="shared" si="1"/>
        <v>0</v>
      </c>
    </row>
    <row r="2695">
      <c r="C2695" s="6">
        <f t="shared" si="1"/>
        <v>0</v>
      </c>
    </row>
    <row r="2696">
      <c r="C2696" s="6">
        <f t="shared" si="1"/>
        <v>0</v>
      </c>
    </row>
    <row r="2697">
      <c r="C2697" s="6">
        <f t="shared" si="1"/>
        <v>0</v>
      </c>
    </row>
    <row r="2698">
      <c r="C2698" s="6">
        <f t="shared" si="1"/>
        <v>0</v>
      </c>
    </row>
    <row r="2699">
      <c r="C2699" s="6">
        <f t="shared" si="1"/>
        <v>0</v>
      </c>
    </row>
    <row r="2700">
      <c r="C2700" s="6">
        <f t="shared" si="1"/>
        <v>0</v>
      </c>
    </row>
    <row r="2701">
      <c r="C2701" s="6">
        <f t="shared" si="1"/>
        <v>0</v>
      </c>
    </row>
    <row r="2702">
      <c r="C2702" s="6">
        <f t="shared" si="1"/>
        <v>0</v>
      </c>
    </row>
    <row r="2703">
      <c r="C2703" s="6">
        <f t="shared" si="1"/>
        <v>0</v>
      </c>
    </row>
    <row r="2704">
      <c r="C2704" s="6">
        <f t="shared" si="1"/>
        <v>0</v>
      </c>
    </row>
    <row r="2705">
      <c r="C2705" s="6">
        <f t="shared" si="1"/>
        <v>0</v>
      </c>
    </row>
    <row r="2706">
      <c r="C2706" s="6">
        <f t="shared" si="1"/>
        <v>0</v>
      </c>
    </row>
    <row r="2707">
      <c r="C2707" s="6">
        <f t="shared" si="1"/>
        <v>0</v>
      </c>
    </row>
    <row r="2708">
      <c r="C2708" s="6">
        <f t="shared" si="1"/>
        <v>0</v>
      </c>
    </row>
    <row r="2709">
      <c r="C2709" s="6">
        <f t="shared" si="1"/>
        <v>0</v>
      </c>
    </row>
    <row r="2710">
      <c r="C2710" s="6">
        <f t="shared" si="1"/>
        <v>0</v>
      </c>
    </row>
    <row r="2711">
      <c r="C2711" s="6">
        <f t="shared" si="1"/>
        <v>0</v>
      </c>
    </row>
    <row r="2712">
      <c r="C2712" s="6">
        <f t="shared" si="1"/>
        <v>0</v>
      </c>
    </row>
    <row r="2713">
      <c r="C2713" s="6">
        <f t="shared" si="1"/>
        <v>0</v>
      </c>
    </row>
    <row r="2714">
      <c r="C2714" s="6">
        <f t="shared" si="1"/>
        <v>0</v>
      </c>
    </row>
    <row r="2715">
      <c r="C2715" s="6">
        <f t="shared" si="1"/>
        <v>0</v>
      </c>
    </row>
    <row r="2716">
      <c r="C2716" s="6">
        <f t="shared" si="1"/>
        <v>0</v>
      </c>
    </row>
    <row r="2717">
      <c r="C2717" s="6">
        <f t="shared" si="1"/>
        <v>0</v>
      </c>
    </row>
    <row r="2718">
      <c r="C2718" s="6">
        <f t="shared" si="1"/>
        <v>0</v>
      </c>
    </row>
    <row r="2719">
      <c r="C2719" s="6">
        <f t="shared" si="1"/>
        <v>0</v>
      </c>
    </row>
    <row r="2720">
      <c r="C2720" s="6">
        <f t="shared" si="1"/>
        <v>0</v>
      </c>
    </row>
    <row r="2721">
      <c r="C2721" s="6">
        <f t="shared" si="1"/>
        <v>0</v>
      </c>
    </row>
    <row r="2722">
      <c r="C2722" s="6">
        <f t="shared" si="1"/>
        <v>0</v>
      </c>
    </row>
    <row r="2723">
      <c r="C2723" s="6">
        <f t="shared" si="1"/>
        <v>0</v>
      </c>
    </row>
    <row r="2724">
      <c r="C2724" s="6">
        <f t="shared" si="1"/>
        <v>0</v>
      </c>
    </row>
    <row r="2725">
      <c r="C2725" s="6">
        <f t="shared" si="1"/>
        <v>0</v>
      </c>
    </row>
    <row r="2726">
      <c r="C2726" s="6">
        <f t="shared" si="1"/>
        <v>0</v>
      </c>
    </row>
    <row r="2727">
      <c r="C2727" s="6">
        <f t="shared" si="1"/>
        <v>0</v>
      </c>
    </row>
    <row r="2728">
      <c r="C2728" s="6">
        <f t="shared" si="1"/>
        <v>0</v>
      </c>
    </row>
    <row r="2729">
      <c r="C2729" s="6">
        <f t="shared" si="1"/>
        <v>0</v>
      </c>
    </row>
    <row r="2730">
      <c r="C2730" s="6">
        <f t="shared" si="1"/>
        <v>0</v>
      </c>
    </row>
    <row r="2731">
      <c r="C2731" s="6">
        <f t="shared" si="1"/>
        <v>0</v>
      </c>
    </row>
    <row r="2732">
      <c r="C2732" s="6">
        <f t="shared" si="1"/>
        <v>0</v>
      </c>
    </row>
    <row r="2733">
      <c r="C2733" s="6">
        <f t="shared" si="1"/>
        <v>0</v>
      </c>
    </row>
    <row r="2734">
      <c r="C2734" s="6">
        <f t="shared" si="1"/>
        <v>0</v>
      </c>
    </row>
    <row r="2735">
      <c r="C2735" s="6">
        <f t="shared" si="1"/>
        <v>0</v>
      </c>
    </row>
    <row r="2736">
      <c r="C2736" s="6">
        <f t="shared" si="1"/>
        <v>0</v>
      </c>
    </row>
    <row r="2737">
      <c r="C2737" s="6">
        <f t="shared" si="1"/>
        <v>0</v>
      </c>
    </row>
    <row r="2738">
      <c r="C2738" s="6">
        <f t="shared" si="1"/>
        <v>0</v>
      </c>
    </row>
    <row r="2739">
      <c r="C2739" s="6">
        <f t="shared" si="1"/>
        <v>0</v>
      </c>
    </row>
    <row r="2740">
      <c r="C2740" s="6">
        <f t="shared" si="1"/>
        <v>0</v>
      </c>
    </row>
    <row r="2741">
      <c r="C2741" s="6">
        <f t="shared" si="1"/>
        <v>0</v>
      </c>
    </row>
    <row r="2742">
      <c r="C2742" s="6">
        <f t="shared" si="1"/>
        <v>0</v>
      </c>
    </row>
    <row r="2743">
      <c r="C2743" s="6">
        <f t="shared" si="1"/>
        <v>0</v>
      </c>
    </row>
    <row r="2744">
      <c r="C2744" s="6">
        <f t="shared" si="1"/>
        <v>0</v>
      </c>
    </row>
    <row r="2745">
      <c r="C2745" s="6">
        <f t="shared" si="1"/>
        <v>0</v>
      </c>
    </row>
    <row r="2746">
      <c r="C2746" s="6">
        <f t="shared" si="1"/>
        <v>0</v>
      </c>
    </row>
    <row r="2747">
      <c r="C2747" s="6">
        <f t="shared" si="1"/>
        <v>0</v>
      </c>
    </row>
    <row r="2748">
      <c r="C2748" s="6">
        <f t="shared" si="1"/>
        <v>0</v>
      </c>
    </row>
    <row r="2749">
      <c r="C2749" s="6">
        <f t="shared" si="1"/>
        <v>0</v>
      </c>
    </row>
    <row r="2750">
      <c r="C2750" s="6">
        <f t="shared" si="1"/>
        <v>0</v>
      </c>
    </row>
    <row r="2751">
      <c r="C2751" s="6">
        <f t="shared" si="1"/>
        <v>0</v>
      </c>
    </row>
    <row r="2752">
      <c r="C2752" s="6">
        <f t="shared" si="1"/>
        <v>0</v>
      </c>
    </row>
    <row r="2753">
      <c r="C2753" s="6">
        <f t="shared" si="1"/>
        <v>0</v>
      </c>
    </row>
    <row r="2754">
      <c r="C2754" s="6">
        <f t="shared" si="1"/>
        <v>0</v>
      </c>
    </row>
    <row r="2755">
      <c r="C2755" s="6">
        <f t="shared" si="1"/>
        <v>0</v>
      </c>
    </row>
    <row r="2756">
      <c r="C2756" s="6">
        <f t="shared" si="1"/>
        <v>0</v>
      </c>
    </row>
    <row r="2757">
      <c r="C2757" s="6">
        <f t="shared" si="1"/>
        <v>0</v>
      </c>
    </row>
    <row r="2758">
      <c r="C2758" s="6">
        <f t="shared" si="1"/>
        <v>0</v>
      </c>
    </row>
    <row r="2759">
      <c r="C2759" s="6">
        <f t="shared" si="1"/>
        <v>0</v>
      </c>
    </row>
    <row r="2760">
      <c r="C2760" s="6">
        <f t="shared" si="1"/>
        <v>0</v>
      </c>
    </row>
    <row r="2761">
      <c r="C2761" s="6">
        <f t="shared" si="1"/>
        <v>0</v>
      </c>
    </row>
    <row r="2762">
      <c r="C2762" s="6">
        <f t="shared" si="1"/>
        <v>0</v>
      </c>
    </row>
    <row r="2763">
      <c r="C2763" s="6">
        <f t="shared" si="1"/>
        <v>0</v>
      </c>
    </row>
    <row r="2764">
      <c r="C2764" s="6">
        <f t="shared" si="1"/>
        <v>0</v>
      </c>
    </row>
    <row r="2765">
      <c r="C2765" s="6">
        <f t="shared" si="1"/>
        <v>0</v>
      </c>
    </row>
    <row r="2766">
      <c r="C2766" s="6">
        <f t="shared" si="1"/>
        <v>0</v>
      </c>
    </row>
    <row r="2767">
      <c r="C2767" s="6">
        <f t="shared" si="1"/>
        <v>0</v>
      </c>
    </row>
    <row r="2768">
      <c r="C2768" s="6">
        <f t="shared" si="1"/>
        <v>0</v>
      </c>
    </row>
    <row r="2769">
      <c r="C2769" s="6">
        <f t="shared" si="1"/>
        <v>0</v>
      </c>
    </row>
    <row r="2770">
      <c r="C2770" s="6">
        <f t="shared" si="1"/>
        <v>0</v>
      </c>
    </row>
    <row r="2771">
      <c r="C2771" s="6">
        <f t="shared" si="1"/>
        <v>0</v>
      </c>
    </row>
    <row r="2772">
      <c r="C2772" s="6">
        <f t="shared" si="1"/>
        <v>0</v>
      </c>
    </row>
    <row r="2773">
      <c r="C2773" s="6">
        <f t="shared" si="1"/>
        <v>0</v>
      </c>
    </row>
    <row r="2774">
      <c r="C2774" s="6">
        <f t="shared" si="1"/>
        <v>0</v>
      </c>
    </row>
    <row r="2775">
      <c r="C2775" s="6">
        <f t="shared" si="1"/>
        <v>0</v>
      </c>
    </row>
    <row r="2776">
      <c r="C2776" s="6">
        <f t="shared" si="1"/>
        <v>0</v>
      </c>
    </row>
    <row r="2777">
      <c r="C2777" s="6">
        <f t="shared" si="1"/>
        <v>0</v>
      </c>
    </row>
    <row r="2778">
      <c r="C2778" s="6">
        <f t="shared" si="1"/>
        <v>0</v>
      </c>
    </row>
    <row r="2779">
      <c r="C2779" s="6">
        <f t="shared" si="1"/>
        <v>0</v>
      </c>
    </row>
    <row r="2780">
      <c r="C2780" s="6">
        <f t="shared" si="1"/>
        <v>0</v>
      </c>
    </row>
    <row r="2781">
      <c r="C2781" s="6">
        <f t="shared" si="1"/>
        <v>0</v>
      </c>
    </row>
    <row r="2782">
      <c r="C2782" s="6">
        <f t="shared" si="1"/>
        <v>0</v>
      </c>
    </row>
    <row r="2783">
      <c r="C2783" s="6">
        <f t="shared" si="1"/>
        <v>0</v>
      </c>
    </row>
    <row r="2784">
      <c r="C2784" s="6">
        <f t="shared" si="1"/>
        <v>0</v>
      </c>
    </row>
    <row r="2785">
      <c r="C2785" s="6">
        <f t="shared" si="1"/>
        <v>0</v>
      </c>
    </row>
    <row r="2786">
      <c r="C2786" s="6">
        <f t="shared" si="1"/>
        <v>0</v>
      </c>
    </row>
    <row r="2787">
      <c r="C2787" s="6">
        <f t="shared" si="1"/>
        <v>0</v>
      </c>
    </row>
    <row r="2788">
      <c r="C2788" s="6">
        <f t="shared" si="1"/>
        <v>0</v>
      </c>
    </row>
    <row r="2789">
      <c r="C2789" s="6">
        <f t="shared" si="1"/>
        <v>0</v>
      </c>
    </row>
    <row r="2790">
      <c r="C2790" s="6">
        <f t="shared" si="1"/>
        <v>0</v>
      </c>
    </row>
    <row r="2791">
      <c r="C2791" s="6">
        <f t="shared" si="1"/>
        <v>0</v>
      </c>
    </row>
    <row r="2792">
      <c r="C2792" s="6">
        <f t="shared" si="1"/>
        <v>0</v>
      </c>
    </row>
    <row r="2793">
      <c r="C2793" s="6">
        <f t="shared" si="1"/>
        <v>0</v>
      </c>
    </row>
    <row r="2794">
      <c r="C2794" s="6">
        <f t="shared" si="1"/>
        <v>0</v>
      </c>
    </row>
    <row r="2795">
      <c r="C2795" s="6">
        <f t="shared" si="1"/>
        <v>0</v>
      </c>
    </row>
    <row r="2796">
      <c r="C2796" s="6">
        <f t="shared" si="1"/>
        <v>0</v>
      </c>
    </row>
    <row r="2797">
      <c r="C2797" s="6">
        <f t="shared" si="1"/>
        <v>0</v>
      </c>
    </row>
    <row r="2798">
      <c r="C2798" s="6">
        <f t="shared" si="1"/>
        <v>0</v>
      </c>
    </row>
    <row r="2799">
      <c r="C2799" s="6">
        <f t="shared" si="1"/>
        <v>0</v>
      </c>
    </row>
    <row r="2800">
      <c r="C2800" s="6">
        <f t="shared" si="1"/>
        <v>0</v>
      </c>
    </row>
    <row r="2801">
      <c r="C2801" s="6">
        <f t="shared" si="1"/>
        <v>0</v>
      </c>
    </row>
    <row r="2802">
      <c r="C2802" s="6">
        <f t="shared" si="1"/>
        <v>0</v>
      </c>
    </row>
    <row r="2803">
      <c r="C2803" s="6">
        <f t="shared" si="1"/>
        <v>0</v>
      </c>
    </row>
    <row r="2804">
      <c r="C2804" s="6">
        <f t="shared" si="1"/>
        <v>0</v>
      </c>
    </row>
    <row r="2805">
      <c r="C2805" s="6">
        <f t="shared" si="1"/>
        <v>0</v>
      </c>
    </row>
    <row r="2806">
      <c r="C2806" s="6">
        <f t="shared" si="1"/>
        <v>0</v>
      </c>
    </row>
    <row r="2807">
      <c r="C2807" s="6">
        <f t="shared" si="1"/>
        <v>0</v>
      </c>
    </row>
    <row r="2808">
      <c r="C2808" s="6">
        <f t="shared" si="1"/>
        <v>0</v>
      </c>
    </row>
    <row r="2809">
      <c r="C2809" s="6">
        <f t="shared" si="1"/>
        <v>0</v>
      </c>
    </row>
    <row r="2810">
      <c r="C2810" s="6">
        <f t="shared" si="1"/>
        <v>0</v>
      </c>
    </row>
    <row r="2811">
      <c r="C2811" s="6">
        <f t="shared" si="1"/>
        <v>0</v>
      </c>
    </row>
    <row r="2812">
      <c r="C2812" s="6">
        <f t="shared" si="1"/>
        <v>0</v>
      </c>
    </row>
    <row r="2813">
      <c r="C2813" s="6">
        <f t="shared" si="1"/>
        <v>0</v>
      </c>
    </row>
    <row r="2814">
      <c r="C2814" s="6">
        <f t="shared" si="1"/>
        <v>0</v>
      </c>
    </row>
    <row r="2815">
      <c r="C2815" s="6">
        <f t="shared" si="1"/>
        <v>0</v>
      </c>
    </row>
    <row r="2816">
      <c r="C2816" s="6">
        <f t="shared" si="1"/>
        <v>0</v>
      </c>
    </row>
    <row r="2817">
      <c r="C2817" s="6">
        <f t="shared" si="1"/>
        <v>0</v>
      </c>
    </row>
    <row r="2818">
      <c r="C2818" s="6">
        <f t="shared" si="1"/>
        <v>0</v>
      </c>
    </row>
    <row r="2819">
      <c r="C2819" s="6">
        <f t="shared" si="1"/>
        <v>0</v>
      </c>
    </row>
    <row r="2820">
      <c r="C2820" s="6">
        <f t="shared" si="1"/>
        <v>0</v>
      </c>
    </row>
    <row r="2821">
      <c r="C2821" s="6">
        <f t="shared" si="1"/>
        <v>0</v>
      </c>
    </row>
    <row r="2822">
      <c r="C2822" s="6">
        <f t="shared" si="1"/>
        <v>0</v>
      </c>
    </row>
    <row r="2823">
      <c r="C2823" s="6">
        <f t="shared" si="1"/>
        <v>0</v>
      </c>
    </row>
    <row r="2824">
      <c r="C2824" s="6">
        <f t="shared" si="1"/>
        <v>0</v>
      </c>
    </row>
    <row r="2825">
      <c r="C2825" s="6">
        <f t="shared" si="1"/>
        <v>0</v>
      </c>
    </row>
    <row r="2826">
      <c r="C2826" s="6">
        <f t="shared" si="1"/>
        <v>0</v>
      </c>
    </row>
    <row r="2827">
      <c r="C2827" s="6">
        <f t="shared" si="1"/>
        <v>0</v>
      </c>
    </row>
    <row r="2828">
      <c r="C2828" s="6">
        <f t="shared" si="1"/>
        <v>0</v>
      </c>
    </row>
    <row r="2829">
      <c r="C2829" s="6">
        <f t="shared" si="1"/>
        <v>0</v>
      </c>
    </row>
    <row r="2830">
      <c r="C2830" s="6">
        <f t="shared" si="1"/>
        <v>0</v>
      </c>
    </row>
    <row r="2831">
      <c r="C2831" s="6">
        <f t="shared" si="1"/>
        <v>0</v>
      </c>
    </row>
    <row r="2832">
      <c r="C2832" s="6">
        <f t="shared" si="1"/>
        <v>0</v>
      </c>
    </row>
    <row r="2833">
      <c r="C2833" s="6">
        <f t="shared" si="1"/>
        <v>0</v>
      </c>
    </row>
    <row r="2834">
      <c r="C2834" s="6">
        <f t="shared" si="1"/>
        <v>0</v>
      </c>
    </row>
    <row r="2835">
      <c r="C2835" s="6">
        <f t="shared" si="1"/>
        <v>0</v>
      </c>
    </row>
    <row r="2836">
      <c r="C2836" s="6">
        <f t="shared" si="1"/>
        <v>0</v>
      </c>
    </row>
    <row r="2837">
      <c r="C2837" s="6">
        <f t="shared" si="1"/>
        <v>0</v>
      </c>
    </row>
    <row r="2838">
      <c r="C2838" s="6">
        <f t="shared" si="1"/>
        <v>0</v>
      </c>
    </row>
    <row r="2839">
      <c r="C2839" s="6">
        <f t="shared" si="1"/>
        <v>0</v>
      </c>
    </row>
    <row r="2840">
      <c r="C2840" s="6">
        <f t="shared" si="1"/>
        <v>0</v>
      </c>
    </row>
    <row r="2841">
      <c r="C2841" s="6">
        <f t="shared" si="1"/>
        <v>0</v>
      </c>
    </row>
    <row r="2842">
      <c r="C2842" s="6">
        <f t="shared" si="1"/>
        <v>0</v>
      </c>
    </row>
    <row r="2843">
      <c r="C2843" s="6">
        <f t="shared" si="1"/>
        <v>0</v>
      </c>
    </row>
    <row r="2844">
      <c r="C2844" s="6">
        <f t="shared" si="1"/>
        <v>0</v>
      </c>
    </row>
    <row r="2845">
      <c r="C2845" s="6">
        <f t="shared" si="1"/>
        <v>0</v>
      </c>
    </row>
    <row r="2846">
      <c r="C2846" s="6">
        <f t="shared" si="1"/>
        <v>0</v>
      </c>
    </row>
    <row r="2847">
      <c r="C2847" s="6">
        <f t="shared" si="1"/>
        <v>0</v>
      </c>
    </row>
    <row r="2848">
      <c r="C2848" s="6">
        <f t="shared" si="1"/>
        <v>0</v>
      </c>
    </row>
    <row r="2849">
      <c r="C2849" s="6">
        <f t="shared" si="1"/>
        <v>0</v>
      </c>
    </row>
    <row r="2850">
      <c r="C2850" s="6">
        <f t="shared" si="1"/>
        <v>0</v>
      </c>
    </row>
    <row r="2851">
      <c r="C2851" s="6">
        <f t="shared" si="1"/>
        <v>0</v>
      </c>
    </row>
    <row r="2852">
      <c r="C2852" s="6">
        <f t="shared" si="1"/>
        <v>0</v>
      </c>
    </row>
    <row r="2853">
      <c r="C2853" s="6">
        <f t="shared" si="1"/>
        <v>0</v>
      </c>
    </row>
    <row r="2854">
      <c r="C2854" s="6">
        <f t="shared" si="1"/>
        <v>0</v>
      </c>
    </row>
    <row r="2855">
      <c r="C2855" s="6">
        <f t="shared" si="1"/>
        <v>0</v>
      </c>
    </row>
    <row r="2856">
      <c r="C2856" s="6">
        <f t="shared" si="1"/>
        <v>0</v>
      </c>
    </row>
    <row r="2857">
      <c r="C2857" s="6">
        <f t="shared" si="1"/>
        <v>0</v>
      </c>
    </row>
    <row r="2858">
      <c r="C2858" s="6">
        <f t="shared" si="1"/>
        <v>0</v>
      </c>
    </row>
    <row r="2859">
      <c r="C2859" s="6">
        <f t="shared" si="1"/>
        <v>0</v>
      </c>
    </row>
    <row r="2860">
      <c r="C2860" s="6">
        <f t="shared" si="1"/>
        <v>0</v>
      </c>
    </row>
    <row r="2861">
      <c r="C2861" s="6">
        <f t="shared" si="1"/>
        <v>0</v>
      </c>
    </row>
    <row r="2862">
      <c r="C2862" s="6">
        <f t="shared" si="1"/>
        <v>0</v>
      </c>
    </row>
    <row r="2863">
      <c r="C2863" s="6">
        <f t="shared" si="1"/>
        <v>0</v>
      </c>
    </row>
    <row r="2864">
      <c r="C2864" s="6">
        <f t="shared" si="1"/>
        <v>0</v>
      </c>
    </row>
    <row r="2865">
      <c r="C2865" s="6">
        <f t="shared" si="1"/>
        <v>0</v>
      </c>
    </row>
    <row r="2866">
      <c r="C2866" s="6">
        <f t="shared" si="1"/>
        <v>0</v>
      </c>
    </row>
    <row r="2867">
      <c r="C2867" s="6">
        <f t="shared" si="1"/>
        <v>0</v>
      </c>
    </row>
    <row r="2868">
      <c r="C2868" s="6">
        <f t="shared" si="1"/>
        <v>0</v>
      </c>
    </row>
    <row r="2869">
      <c r="C2869" s="6">
        <f t="shared" si="1"/>
        <v>0</v>
      </c>
    </row>
    <row r="2870">
      <c r="C2870" s="6">
        <f t="shared" si="1"/>
        <v>0</v>
      </c>
    </row>
    <row r="2871">
      <c r="C2871" s="6">
        <f t="shared" si="1"/>
        <v>0</v>
      </c>
    </row>
    <row r="2872">
      <c r="C2872" s="6">
        <f t="shared" si="1"/>
        <v>0</v>
      </c>
    </row>
    <row r="2873">
      <c r="C2873" s="6">
        <f t="shared" si="1"/>
        <v>0</v>
      </c>
    </row>
    <row r="2874">
      <c r="C2874" s="6">
        <f t="shared" si="1"/>
        <v>0</v>
      </c>
    </row>
    <row r="2875">
      <c r="C2875" s="6">
        <f t="shared" si="1"/>
        <v>0</v>
      </c>
    </row>
    <row r="2876">
      <c r="C2876" s="6">
        <f t="shared" si="1"/>
        <v>0</v>
      </c>
    </row>
    <row r="2877">
      <c r="C2877" s="6">
        <f t="shared" si="1"/>
        <v>0</v>
      </c>
    </row>
    <row r="2878">
      <c r="C2878" s="6">
        <f t="shared" si="1"/>
        <v>0</v>
      </c>
    </row>
    <row r="2879">
      <c r="C2879" s="6">
        <f t="shared" si="1"/>
        <v>0</v>
      </c>
    </row>
    <row r="2880">
      <c r="C2880" s="6">
        <f t="shared" si="1"/>
        <v>0</v>
      </c>
    </row>
    <row r="2881">
      <c r="C2881" s="6">
        <f t="shared" si="1"/>
        <v>0</v>
      </c>
    </row>
    <row r="2882">
      <c r="C2882" s="6">
        <f t="shared" si="1"/>
        <v>0</v>
      </c>
    </row>
    <row r="2883">
      <c r="C2883" s="6">
        <f t="shared" si="1"/>
        <v>0</v>
      </c>
    </row>
    <row r="2884">
      <c r="C2884" s="6">
        <f t="shared" si="1"/>
        <v>0</v>
      </c>
    </row>
    <row r="2885">
      <c r="C2885" s="6">
        <f t="shared" si="1"/>
        <v>0</v>
      </c>
    </row>
    <row r="2886">
      <c r="C2886" s="6">
        <f t="shared" si="1"/>
        <v>0</v>
      </c>
    </row>
    <row r="2887">
      <c r="C2887" s="6">
        <f t="shared" si="1"/>
        <v>0</v>
      </c>
    </row>
    <row r="2888">
      <c r="C2888" s="6">
        <f t="shared" si="1"/>
        <v>0</v>
      </c>
    </row>
    <row r="2889">
      <c r="C2889" s="6">
        <f t="shared" si="1"/>
        <v>0</v>
      </c>
    </row>
    <row r="2890">
      <c r="C2890" s="6">
        <f t="shared" si="1"/>
        <v>0</v>
      </c>
    </row>
    <row r="2891">
      <c r="C2891" s="6">
        <f t="shared" si="1"/>
        <v>0</v>
      </c>
    </row>
    <row r="2892">
      <c r="C2892" s="6">
        <f t="shared" si="1"/>
        <v>0</v>
      </c>
    </row>
    <row r="2893">
      <c r="C2893" s="6">
        <f t="shared" si="1"/>
        <v>0</v>
      </c>
    </row>
    <row r="2894">
      <c r="C2894" s="6">
        <f t="shared" si="1"/>
        <v>0</v>
      </c>
    </row>
    <row r="2895">
      <c r="C2895" s="6">
        <f t="shared" si="1"/>
        <v>0</v>
      </c>
    </row>
    <row r="2896">
      <c r="C2896" s="6">
        <f t="shared" si="1"/>
        <v>0</v>
      </c>
    </row>
    <row r="2897">
      <c r="C2897" s="6">
        <f t="shared" si="1"/>
        <v>0</v>
      </c>
    </row>
    <row r="2898">
      <c r="C2898" s="6">
        <f t="shared" si="1"/>
        <v>0</v>
      </c>
    </row>
    <row r="2899">
      <c r="C2899" s="6">
        <f t="shared" si="1"/>
        <v>0</v>
      </c>
    </row>
    <row r="2900">
      <c r="C2900" s="6">
        <f t="shared" si="1"/>
        <v>0</v>
      </c>
    </row>
    <row r="2901">
      <c r="C2901" s="6">
        <f t="shared" si="1"/>
        <v>0</v>
      </c>
    </row>
    <row r="2902">
      <c r="C2902" s="6">
        <f t="shared" si="1"/>
        <v>0</v>
      </c>
    </row>
    <row r="2903">
      <c r="C2903" s="6">
        <f t="shared" si="1"/>
        <v>0</v>
      </c>
    </row>
    <row r="2904">
      <c r="C2904" s="6">
        <f t="shared" si="1"/>
        <v>0</v>
      </c>
    </row>
    <row r="2905">
      <c r="C2905" s="6">
        <f t="shared" si="1"/>
        <v>0</v>
      </c>
    </row>
    <row r="2906">
      <c r="C2906" s="6">
        <f t="shared" si="1"/>
        <v>0</v>
      </c>
    </row>
    <row r="2907">
      <c r="C2907" s="6">
        <f t="shared" si="1"/>
        <v>0</v>
      </c>
    </row>
    <row r="2908">
      <c r="C2908" s="6">
        <f t="shared" si="1"/>
        <v>0</v>
      </c>
    </row>
    <row r="2909">
      <c r="C2909" s="6">
        <f t="shared" si="1"/>
        <v>0</v>
      </c>
    </row>
    <row r="2910">
      <c r="C2910" s="6">
        <f t="shared" si="1"/>
        <v>0</v>
      </c>
    </row>
    <row r="2911">
      <c r="C2911" s="6">
        <f t="shared" si="1"/>
        <v>0</v>
      </c>
    </row>
    <row r="2912">
      <c r="C2912" s="6">
        <f t="shared" si="1"/>
        <v>0</v>
      </c>
    </row>
    <row r="2913">
      <c r="C2913" s="6">
        <f t="shared" si="1"/>
        <v>0</v>
      </c>
    </row>
    <row r="2914">
      <c r="C2914" s="6">
        <f t="shared" si="1"/>
        <v>0</v>
      </c>
    </row>
    <row r="2915">
      <c r="C2915" s="6">
        <f t="shared" si="1"/>
        <v>0</v>
      </c>
    </row>
    <row r="2916">
      <c r="C2916" s="6">
        <f t="shared" si="1"/>
        <v>0</v>
      </c>
    </row>
    <row r="2917">
      <c r="C2917" s="6">
        <f t="shared" si="1"/>
        <v>0</v>
      </c>
    </row>
    <row r="2918">
      <c r="C2918" s="6">
        <f t="shared" si="1"/>
        <v>0</v>
      </c>
    </row>
    <row r="2919">
      <c r="C2919" s="6">
        <f t="shared" si="1"/>
        <v>0</v>
      </c>
    </row>
    <row r="2920">
      <c r="C2920" s="6">
        <f t="shared" si="1"/>
        <v>0</v>
      </c>
    </row>
    <row r="2921">
      <c r="C2921" s="6">
        <f t="shared" si="1"/>
        <v>0</v>
      </c>
    </row>
    <row r="2922">
      <c r="C2922" s="6">
        <f t="shared" si="1"/>
        <v>0</v>
      </c>
    </row>
    <row r="2923">
      <c r="C2923" s="6">
        <f t="shared" si="1"/>
        <v>0</v>
      </c>
    </row>
    <row r="2924">
      <c r="C2924" s="6">
        <f t="shared" si="1"/>
        <v>0</v>
      </c>
    </row>
    <row r="2925">
      <c r="C2925" s="6">
        <f t="shared" si="1"/>
        <v>0</v>
      </c>
    </row>
    <row r="2926">
      <c r="C2926" s="6">
        <f t="shared" si="1"/>
        <v>0</v>
      </c>
    </row>
    <row r="2927">
      <c r="C2927" s="6">
        <f t="shared" si="1"/>
        <v>0</v>
      </c>
    </row>
    <row r="2928">
      <c r="C2928" s="6">
        <f t="shared" si="1"/>
        <v>0</v>
      </c>
    </row>
    <row r="2929">
      <c r="C2929" s="6">
        <f t="shared" si="1"/>
        <v>0</v>
      </c>
    </row>
    <row r="2930">
      <c r="C2930" s="6">
        <f t="shared" si="1"/>
        <v>0</v>
      </c>
    </row>
    <row r="2931">
      <c r="C2931" s="6">
        <f t="shared" si="1"/>
        <v>0</v>
      </c>
    </row>
    <row r="2932">
      <c r="C2932" s="6">
        <f t="shared" si="1"/>
        <v>0</v>
      </c>
    </row>
    <row r="2933">
      <c r="C2933" s="6">
        <f t="shared" si="1"/>
        <v>0</v>
      </c>
    </row>
    <row r="2934">
      <c r="C2934" s="6">
        <f t="shared" si="1"/>
        <v>0</v>
      </c>
    </row>
    <row r="2935">
      <c r="C2935" s="6">
        <f t="shared" si="1"/>
        <v>0</v>
      </c>
    </row>
    <row r="2936">
      <c r="C2936" s="6">
        <f t="shared" si="1"/>
        <v>0</v>
      </c>
    </row>
    <row r="2937">
      <c r="C2937" s="6">
        <f t="shared" si="1"/>
        <v>0</v>
      </c>
    </row>
    <row r="2938">
      <c r="C2938" s="6">
        <f t="shared" si="1"/>
        <v>0</v>
      </c>
    </row>
    <row r="2939">
      <c r="C2939" s="6">
        <f t="shared" si="1"/>
        <v>0</v>
      </c>
    </row>
    <row r="2940">
      <c r="C2940" s="6">
        <f t="shared" si="1"/>
        <v>0</v>
      </c>
    </row>
    <row r="2941">
      <c r="C2941" s="6">
        <f t="shared" si="1"/>
        <v>0</v>
      </c>
    </row>
    <row r="2942">
      <c r="C2942" s="6">
        <f t="shared" si="1"/>
        <v>0</v>
      </c>
    </row>
    <row r="2943">
      <c r="C2943" s="6">
        <f t="shared" si="1"/>
        <v>0</v>
      </c>
    </row>
    <row r="2944">
      <c r="C2944" s="6">
        <f t="shared" si="1"/>
        <v>0</v>
      </c>
    </row>
    <row r="2945">
      <c r="C2945" s="6">
        <f t="shared" si="1"/>
        <v>0</v>
      </c>
    </row>
    <row r="2946">
      <c r="C2946" s="6">
        <f t="shared" si="1"/>
        <v>0</v>
      </c>
    </row>
    <row r="2947">
      <c r="C2947" s="6">
        <f t="shared" si="1"/>
        <v>0</v>
      </c>
    </row>
    <row r="2948">
      <c r="C2948" s="6">
        <f t="shared" si="1"/>
        <v>0</v>
      </c>
    </row>
    <row r="2949">
      <c r="C2949" s="6">
        <f t="shared" si="1"/>
        <v>0</v>
      </c>
    </row>
    <row r="2950">
      <c r="C2950" s="6">
        <f t="shared" si="1"/>
        <v>0</v>
      </c>
    </row>
    <row r="2951">
      <c r="C2951" s="6">
        <f t="shared" si="1"/>
        <v>0</v>
      </c>
    </row>
    <row r="2952">
      <c r="C2952" s="6">
        <f t="shared" si="1"/>
        <v>0</v>
      </c>
    </row>
    <row r="2953">
      <c r="C2953" s="6">
        <f t="shared" si="1"/>
        <v>0</v>
      </c>
    </row>
    <row r="2954">
      <c r="C2954" s="6">
        <f t="shared" si="1"/>
        <v>0</v>
      </c>
    </row>
    <row r="2955">
      <c r="C2955" s="6">
        <f t="shared" si="1"/>
        <v>0</v>
      </c>
    </row>
    <row r="2956">
      <c r="C2956" s="6">
        <f t="shared" si="1"/>
        <v>0</v>
      </c>
    </row>
    <row r="2957">
      <c r="C2957" s="6">
        <f t="shared" si="1"/>
        <v>0</v>
      </c>
    </row>
    <row r="2958">
      <c r="C2958" s="6">
        <f t="shared" si="1"/>
        <v>0</v>
      </c>
    </row>
    <row r="2959">
      <c r="C2959" s="6">
        <f t="shared" si="1"/>
        <v>0</v>
      </c>
    </row>
    <row r="2960">
      <c r="C2960" s="6">
        <f t="shared" si="1"/>
        <v>0</v>
      </c>
    </row>
    <row r="2961">
      <c r="C2961" s="6">
        <f t="shared" si="1"/>
        <v>0</v>
      </c>
    </row>
    <row r="2962">
      <c r="C2962" s="6">
        <f t="shared" si="1"/>
        <v>0</v>
      </c>
    </row>
    <row r="2963">
      <c r="C2963" s="6">
        <f t="shared" si="1"/>
        <v>0</v>
      </c>
    </row>
    <row r="2964">
      <c r="C2964" s="6">
        <f t="shared" si="1"/>
        <v>0</v>
      </c>
    </row>
    <row r="2965">
      <c r="C2965" s="6">
        <f t="shared" si="1"/>
        <v>0</v>
      </c>
    </row>
    <row r="2966">
      <c r="C2966" s="6">
        <f t="shared" si="1"/>
        <v>0</v>
      </c>
    </row>
    <row r="2967">
      <c r="C2967" s="6">
        <f t="shared" si="1"/>
        <v>0</v>
      </c>
    </row>
    <row r="2968">
      <c r="C2968" s="6">
        <f t="shared" si="1"/>
        <v>0</v>
      </c>
    </row>
    <row r="2969">
      <c r="C2969" s="6">
        <f t="shared" si="1"/>
        <v>0</v>
      </c>
    </row>
    <row r="2970">
      <c r="C2970" s="6">
        <f t="shared" si="1"/>
        <v>0</v>
      </c>
    </row>
    <row r="2971">
      <c r="C2971" s="6">
        <f t="shared" si="1"/>
        <v>0</v>
      </c>
    </row>
    <row r="2972">
      <c r="C2972" s="6">
        <f t="shared" si="1"/>
        <v>0</v>
      </c>
    </row>
    <row r="2973">
      <c r="C2973" s="6">
        <f t="shared" si="1"/>
        <v>0</v>
      </c>
    </row>
    <row r="2974">
      <c r="C2974" s="6">
        <f t="shared" si="1"/>
        <v>0</v>
      </c>
    </row>
    <row r="2975">
      <c r="C2975" s="6">
        <f t="shared" si="1"/>
        <v>0</v>
      </c>
    </row>
    <row r="2976">
      <c r="C2976" s="6">
        <f t="shared" si="1"/>
        <v>0</v>
      </c>
    </row>
    <row r="2977">
      <c r="C2977" s="6">
        <f t="shared" si="1"/>
        <v>0</v>
      </c>
    </row>
    <row r="2978">
      <c r="C2978" s="6">
        <f t="shared" si="1"/>
        <v>0</v>
      </c>
    </row>
    <row r="2979">
      <c r="C2979" s="6">
        <f t="shared" si="1"/>
        <v>0</v>
      </c>
    </row>
    <row r="2980">
      <c r="C2980" s="6">
        <f t="shared" si="1"/>
        <v>0</v>
      </c>
    </row>
    <row r="2981">
      <c r="C2981" s="6">
        <f t="shared" si="1"/>
        <v>0</v>
      </c>
    </row>
    <row r="2982">
      <c r="C2982" s="6">
        <f t="shared" si="1"/>
        <v>0</v>
      </c>
    </row>
    <row r="2983">
      <c r="C2983" s="6">
        <f t="shared" si="1"/>
        <v>0</v>
      </c>
    </row>
    <row r="2984">
      <c r="C2984" s="6">
        <f t="shared" si="1"/>
        <v>0</v>
      </c>
    </row>
    <row r="2985">
      <c r="C2985" s="6">
        <f t="shared" si="1"/>
        <v>0</v>
      </c>
    </row>
    <row r="2986">
      <c r="C2986" s="6">
        <f t="shared" si="1"/>
        <v>0</v>
      </c>
    </row>
    <row r="2987">
      <c r="C2987" s="6">
        <f t="shared" si="1"/>
        <v>0</v>
      </c>
    </row>
    <row r="2988">
      <c r="C2988" s="6">
        <f t="shared" si="1"/>
        <v>0</v>
      </c>
    </row>
    <row r="2989">
      <c r="C2989" s="6">
        <f t="shared" si="1"/>
        <v>0</v>
      </c>
    </row>
    <row r="2990">
      <c r="C2990" s="6">
        <f t="shared" si="1"/>
        <v>0</v>
      </c>
    </row>
    <row r="2991">
      <c r="C2991" s="6">
        <f t="shared" si="1"/>
        <v>0</v>
      </c>
    </row>
    <row r="2992">
      <c r="C2992" s="6">
        <f t="shared" si="1"/>
        <v>0</v>
      </c>
    </row>
    <row r="2993">
      <c r="C2993" s="6">
        <f t="shared" si="1"/>
        <v>0</v>
      </c>
    </row>
    <row r="2994">
      <c r="C2994" s="6">
        <f t="shared" si="1"/>
        <v>0</v>
      </c>
    </row>
    <row r="2995">
      <c r="C2995" s="6">
        <f t="shared" si="1"/>
        <v>0</v>
      </c>
    </row>
    <row r="2996">
      <c r="C2996" s="6">
        <f t="shared" si="1"/>
        <v>0</v>
      </c>
    </row>
    <row r="2997">
      <c r="C2997" s="6">
        <f t="shared" si="1"/>
        <v>0</v>
      </c>
    </row>
    <row r="2998">
      <c r="C2998" s="6">
        <f t="shared" si="1"/>
        <v>0</v>
      </c>
    </row>
    <row r="2999">
      <c r="C2999" s="6">
        <f t="shared" si="1"/>
        <v>0</v>
      </c>
    </row>
    <row r="3000">
      <c r="C3000" s="6">
        <f t="shared" si="1"/>
        <v>0</v>
      </c>
    </row>
    <row r="3001">
      <c r="C3001" s="6">
        <f t="shared" si="1"/>
        <v>0</v>
      </c>
    </row>
    <row r="3002">
      <c r="C3002" s="6">
        <f t="shared" si="1"/>
        <v>0</v>
      </c>
    </row>
    <row r="3003">
      <c r="C3003" s="6">
        <f t="shared" si="1"/>
        <v>0</v>
      </c>
    </row>
    <row r="3004">
      <c r="C3004" s="6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5.5"/>
    <col customWidth="1" min="3" max="3" width="16.13"/>
    <col customWidth="1" min="6" max="6" width="16.75"/>
    <col customWidth="1" min="8" max="8" width="14.63"/>
    <col customWidth="1" min="9" max="9" width="17.88"/>
    <col customWidth="1" min="11" max="11" width="22.5"/>
    <col customWidth="1" min="13" max="13" width="44.0"/>
    <col customWidth="1" min="14" max="14" width="15.13"/>
    <col customWidth="1" min="15" max="15" width="19.13"/>
    <col customWidth="1" min="16" max="16" width="17.75"/>
    <col customWidth="1" min="17" max="17" width="20.38"/>
    <col customWidth="1" min="18" max="18" width="17.0"/>
    <col customWidth="1" min="19" max="19" width="14.5"/>
    <col customWidth="1" min="20" max="20" width="16.88"/>
  </cols>
  <sheetData>
    <row r="1">
      <c r="A1" s="1" t="s">
        <v>62</v>
      </c>
      <c r="B1" s="1" t="s">
        <v>3</v>
      </c>
      <c r="C1" s="20" t="s">
        <v>4</v>
      </c>
      <c r="D1" s="1" t="s">
        <v>63</v>
      </c>
      <c r="E1" s="1" t="s">
        <v>64</v>
      </c>
      <c r="F1" s="1" t="s">
        <v>0</v>
      </c>
      <c r="G1" s="20" t="s">
        <v>65</v>
      </c>
      <c r="H1" s="1" t="s">
        <v>66</v>
      </c>
      <c r="I1" s="20" t="s">
        <v>67</v>
      </c>
      <c r="J1" s="20" t="s">
        <v>68</v>
      </c>
      <c r="K1" s="1" t="s">
        <v>69</v>
      </c>
      <c r="L1" s="1" t="s">
        <v>70</v>
      </c>
      <c r="M1" s="1" t="s">
        <v>71</v>
      </c>
      <c r="N1" s="20" t="s">
        <v>72</v>
      </c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21">
        <v>46032.0</v>
      </c>
      <c r="B2" s="22" t="s">
        <v>10</v>
      </c>
      <c r="C2" s="23" t="str">
        <f t="array" ref="C2">IF(B2="", "", XLOOKUP(B2, Inventory!D:D,Inventory!E:E,"No Name Found"))</f>
        <v>Mama Ada</v>
      </c>
      <c r="D2" s="22" t="s">
        <v>73</v>
      </c>
      <c r="E2" s="22" t="s">
        <v>74</v>
      </c>
      <c r="F2" s="9" t="s">
        <v>9</v>
      </c>
      <c r="G2" s="24">
        <f>IF(F2="", "", VLOOKUP(F2, Inventory!A:BZ, 3, FALSE) - SUMIF($F$1:$F1, F2, $H$1:$H1))
</f>
        <v>130</v>
      </c>
      <c r="H2" s="9">
        <v>20.0</v>
      </c>
      <c r="I2" s="25">
        <v>10500.0</v>
      </c>
      <c r="J2" s="26">
        <f t="array" ref="J2:J5998">IF(H2:H5998="", "", H2:H5998 * I2:I5998)</f>
        <v>210000</v>
      </c>
      <c r="K2" s="10">
        <v>150000.0</v>
      </c>
      <c r="L2" s="27">
        <f t="array" ref="L2:L5998">IF(J2:J5998="", "", K2:K5998 - J2:J5998)</f>
        <v>-60000</v>
      </c>
      <c r="N2" s="28">
        <f t="array" ref="N2:N5998">IF(G2:G5998="", "", G2:G5998 - H2:H5998)</f>
        <v>110</v>
      </c>
      <c r="P2" s="29"/>
      <c r="Q2" s="30"/>
      <c r="R2" s="31"/>
      <c r="S2" s="31"/>
      <c r="T2" s="31"/>
    </row>
    <row r="3">
      <c r="A3" s="21">
        <v>46034.0</v>
      </c>
      <c r="B3" s="22" t="s">
        <v>13</v>
      </c>
      <c r="C3" s="25" t="str">
        <f t="array" ref="C3">IF(B3="", "", XLOOKUP(B3, Inventory!D:D,Inventory!E:E,"No Name Found"))</f>
        <v>Funmi Airport</v>
      </c>
      <c r="D3" s="22" t="s">
        <v>73</v>
      </c>
      <c r="E3" s="22" t="s">
        <v>74</v>
      </c>
      <c r="F3" s="9" t="s">
        <v>12</v>
      </c>
      <c r="G3" s="24">
        <f>IF(F3="", "", VLOOKUP(F3, Inventory!A:BZ, 3, FALSE) - SUMIF($F$1:$F2, F3, $H$1:$H2))
</f>
        <v>78</v>
      </c>
      <c r="H3" s="9">
        <v>40.0</v>
      </c>
      <c r="I3" s="25">
        <v>20000.0</v>
      </c>
      <c r="J3" s="26">
        <v>800000.0</v>
      </c>
      <c r="K3" s="10">
        <v>800000.0</v>
      </c>
      <c r="L3" s="27">
        <v>0.0</v>
      </c>
      <c r="N3" s="28">
        <v>38.0</v>
      </c>
      <c r="P3" s="32"/>
      <c r="Q3" s="30"/>
    </row>
    <row r="4">
      <c r="A4" s="21">
        <v>46037.0</v>
      </c>
      <c r="B4" s="22" t="s">
        <v>10</v>
      </c>
      <c r="C4" s="23" t="str">
        <f t="array" ref="C4">IF(B4="", "", XLOOKUP(B4, Inventory!D:D,Inventory!E:E,"No Name Found"))</f>
        <v>Mama Ada</v>
      </c>
      <c r="D4" s="22" t="s">
        <v>73</v>
      </c>
      <c r="E4" s="22" t="s">
        <v>74</v>
      </c>
      <c r="F4" s="9" t="s">
        <v>15</v>
      </c>
      <c r="G4" s="24">
        <f>IF(F4="", "", VLOOKUP(F4, Inventory!A:BZ, 3, FALSE) - SUMIF($F$1:$F3, F4, $H$1:$H3))
</f>
        <v>114</v>
      </c>
      <c r="H4" s="9">
        <v>50.0</v>
      </c>
      <c r="I4" s="25">
        <v>12300.0</v>
      </c>
      <c r="J4" s="26">
        <v>615000.0</v>
      </c>
      <c r="K4" s="10">
        <v>1000000.0</v>
      </c>
      <c r="L4" s="27">
        <v>385000.0</v>
      </c>
      <c r="M4" s="9"/>
      <c r="N4" s="28">
        <v>64.0</v>
      </c>
      <c r="Q4" s="30"/>
    </row>
    <row r="5">
      <c r="A5" s="21">
        <v>46042.0</v>
      </c>
      <c r="B5" s="22" t="s">
        <v>19</v>
      </c>
      <c r="C5" s="25" t="str">
        <f t="array" ref="C5">IF(B5="", "", XLOOKUP(B5, Inventory!D:D,Inventory!E:E,"No Name Found"))</f>
        <v>KC</v>
      </c>
      <c r="D5" s="22" t="s">
        <v>70</v>
      </c>
      <c r="E5" s="22"/>
      <c r="F5" s="9" t="s">
        <v>18</v>
      </c>
      <c r="G5" s="24">
        <f>IF(F5="", "", VLOOKUP(F5, Inventory!A:BZ, 3, FALSE) - SUMIF($F$1:$F4, F5, $H$1:$H4))
</f>
        <v>160</v>
      </c>
      <c r="H5" s="9">
        <v>20.0</v>
      </c>
      <c r="I5" s="25">
        <v>14680.0</v>
      </c>
      <c r="J5" s="26">
        <v>293600.0</v>
      </c>
      <c r="K5" s="10"/>
      <c r="L5" s="27">
        <v>-293600.0</v>
      </c>
      <c r="N5" s="28">
        <v>140.0</v>
      </c>
      <c r="Q5" s="30"/>
    </row>
    <row r="6">
      <c r="A6" s="21">
        <v>46044.0</v>
      </c>
      <c r="B6" s="22" t="s">
        <v>22</v>
      </c>
      <c r="C6" s="25" t="str">
        <f t="array" ref="C6">IF(B6="", "", XLOOKUP(B6, Inventory!D:D,Inventory!E:E,"No Name Found"))</f>
        <v>Chidi Market</v>
      </c>
      <c r="D6" s="22" t="s">
        <v>73</v>
      </c>
      <c r="E6" s="22" t="s">
        <v>75</v>
      </c>
      <c r="F6" s="9" t="s">
        <v>21</v>
      </c>
      <c r="G6" s="24">
        <f>IF(F6="", "", VLOOKUP(F6, Inventory!A:BZ, 3, FALSE) - SUMIF($F$1:$F5, F6, $H$1:$H5))
</f>
        <v>95</v>
      </c>
      <c r="H6" s="9">
        <v>35.0</v>
      </c>
      <c r="I6" s="25">
        <v>16530.0</v>
      </c>
      <c r="J6" s="26">
        <v>578550.0</v>
      </c>
      <c r="K6" s="10">
        <v>500000.0</v>
      </c>
      <c r="L6" s="27">
        <v>-78550.0</v>
      </c>
      <c r="N6" s="28">
        <v>60.0</v>
      </c>
      <c r="Q6" s="30"/>
    </row>
    <row r="7">
      <c r="A7" s="21">
        <v>46044.0</v>
      </c>
      <c r="B7" s="22" t="s">
        <v>25</v>
      </c>
      <c r="C7" s="25" t="str">
        <f t="array" ref="C7">IF(B7="", "", XLOOKUP(B7, Inventory!D:D,Inventory!E:E,"No Name Found"))</f>
        <v>Angela N</v>
      </c>
      <c r="D7" s="22" t="s">
        <v>70</v>
      </c>
      <c r="E7" s="22"/>
      <c r="F7" s="9" t="s">
        <v>9</v>
      </c>
      <c r="G7" s="24">
        <f>IF(F7="", "", VLOOKUP(F7, Inventory!A:BZ, 3, FALSE) - SUMIF($F$1:$F6, F7, $H$1:$H6))
</f>
        <v>110</v>
      </c>
      <c r="H7" s="9">
        <v>10.0</v>
      </c>
      <c r="I7" s="25">
        <v>10500.0</v>
      </c>
      <c r="J7" s="26">
        <v>105000.0</v>
      </c>
      <c r="K7" s="10"/>
      <c r="L7" s="27">
        <v>-105000.0</v>
      </c>
      <c r="N7" s="28">
        <v>100.0</v>
      </c>
      <c r="P7" s="9" t="s">
        <v>76</v>
      </c>
      <c r="Q7" s="30"/>
    </row>
    <row r="8">
      <c r="A8" s="21">
        <v>46044.0</v>
      </c>
      <c r="B8" s="22" t="s">
        <v>16</v>
      </c>
      <c r="C8" s="25" t="str">
        <f t="array" ref="C8">IF(B8="", "", XLOOKUP(B8, Inventory!D:D,Inventory!E:E,"No Name Found"))</f>
        <v>JC Global</v>
      </c>
      <c r="D8" s="22" t="s">
        <v>73</v>
      </c>
      <c r="E8" s="22" t="s">
        <v>74</v>
      </c>
      <c r="F8" s="9" t="s">
        <v>36</v>
      </c>
      <c r="G8" s="24">
        <f>IF(F8="", "", VLOOKUP(F8, Inventory!A:BZ, 3, FALSE) - SUMIF($F$1:$F7, F8, $H$1:$H7))
</f>
        <v>128</v>
      </c>
      <c r="H8" s="9">
        <v>40.0</v>
      </c>
      <c r="I8" s="25">
        <v>11950.0</v>
      </c>
      <c r="J8" s="26">
        <v>478000.0</v>
      </c>
      <c r="K8" s="10">
        <v>478000.0</v>
      </c>
      <c r="L8" s="27">
        <v>0.0</v>
      </c>
      <c r="N8" s="28">
        <v>88.0</v>
      </c>
      <c r="Q8" s="30"/>
    </row>
    <row r="9">
      <c r="A9" s="21">
        <v>46046.0</v>
      </c>
      <c r="B9" s="9" t="s">
        <v>10</v>
      </c>
      <c r="C9" s="23" t="str">
        <f t="array" ref="C9">IF(B9="", "", XLOOKUP(B9, Inventory!D:D,Inventory!E:E,"No Name Found"))</f>
        <v>Mama Ada</v>
      </c>
      <c r="D9" s="22" t="s">
        <v>73</v>
      </c>
      <c r="E9" s="22" t="s">
        <v>74</v>
      </c>
      <c r="F9" s="9" t="s">
        <v>24</v>
      </c>
      <c r="G9" s="24">
        <f>IF(F9="", "", VLOOKUP(F9, Inventory!A:BZ, 3, FALSE) - SUMIF($F$1:$F8, F9, $H$1:$H8))
</f>
        <v>117</v>
      </c>
      <c r="H9" s="9">
        <v>32.0</v>
      </c>
      <c r="I9" s="25">
        <v>8200.0</v>
      </c>
      <c r="J9" s="26">
        <v>262400.0</v>
      </c>
      <c r="K9" s="10">
        <v>300000.0</v>
      </c>
      <c r="L9" s="27">
        <v>37600.0</v>
      </c>
      <c r="N9" s="28">
        <v>85.0</v>
      </c>
      <c r="Q9" s="30"/>
    </row>
    <row r="10">
      <c r="A10" s="21">
        <v>46047.0</v>
      </c>
      <c r="B10" s="22" t="s">
        <v>60</v>
      </c>
      <c r="C10" s="33" t="str">
        <f t="array" ref="C10">IF(B10="", "", XLOOKUP(B10, Inventory!D:D,Inventory!E:E,"No Name Found"))</f>
        <v>Moses Hiltop </v>
      </c>
      <c r="D10" s="22" t="s">
        <v>70</v>
      </c>
      <c r="E10" s="6"/>
      <c r="F10" s="9" t="s">
        <v>57</v>
      </c>
      <c r="G10" s="24">
        <f>IF(F10="", "", VLOOKUP(F10, Inventory!A:BZ, 3, FALSE) - SUMIF($F$1:$F9, F10, $H$1:$H9))
</f>
        <v>96</v>
      </c>
      <c r="H10" s="9">
        <v>12.0</v>
      </c>
      <c r="I10" s="25">
        <v>6200.0</v>
      </c>
      <c r="J10" s="26">
        <v>74400.0</v>
      </c>
      <c r="L10" s="27">
        <v>-74400.0</v>
      </c>
      <c r="N10" s="28">
        <v>84.0</v>
      </c>
      <c r="P10" s="34"/>
      <c r="Q10" s="35"/>
    </row>
    <row r="11">
      <c r="A11" s="21">
        <v>46048.0</v>
      </c>
      <c r="B11" s="22" t="s">
        <v>40</v>
      </c>
      <c r="C11" s="33" t="str">
        <f t="array" ref="C11">IF(B11="", "", XLOOKUP(B11, Inventory!D:D,Inventory!E:E,"No Name Found"))</f>
        <v>Mama Emma</v>
      </c>
      <c r="D11" s="22" t="s">
        <v>73</v>
      </c>
      <c r="E11" s="22" t="s">
        <v>75</v>
      </c>
      <c r="F11" s="9" t="s">
        <v>39</v>
      </c>
      <c r="G11" s="24">
        <f>IF(F11="", "", VLOOKUP(F11, Inventory!A:BZ, 3, FALSE) - SUMIF($F$1:$F10, F11, $H$1:$H10))
</f>
        <v>70</v>
      </c>
      <c r="H11" s="9">
        <v>5.0</v>
      </c>
      <c r="I11" s="25">
        <v>4200.0</v>
      </c>
      <c r="J11" s="26">
        <v>21000.0</v>
      </c>
      <c r="K11" s="9">
        <v>21000.0</v>
      </c>
      <c r="L11" s="27">
        <v>0.0</v>
      </c>
      <c r="N11" s="28">
        <v>65.0</v>
      </c>
      <c r="Q11" s="30"/>
    </row>
    <row r="12">
      <c r="A12" s="21">
        <v>46049.0</v>
      </c>
      <c r="B12" s="22" t="s">
        <v>40</v>
      </c>
      <c r="C12" s="33" t="str">
        <f t="array" ref="C12">IF(B12="", "", XLOOKUP(B12, Inventory!D:D,Inventory!E:E,"No Name Found"))</f>
        <v>Mama Emma</v>
      </c>
      <c r="D12" s="22" t="s">
        <v>73</v>
      </c>
      <c r="E12" s="22" t="s">
        <v>74</v>
      </c>
      <c r="F12" s="9" t="s">
        <v>30</v>
      </c>
      <c r="G12" s="24">
        <f>IF(F12="", "", VLOOKUP(F12, Inventory!A:BZ, 3, FALSE) - SUMIF($F$1:$F11, F12, $H$1:$H11))
</f>
        <v>214</v>
      </c>
      <c r="H12" s="9">
        <v>12.0</v>
      </c>
      <c r="I12" s="25">
        <v>6800.0</v>
      </c>
      <c r="J12" s="26">
        <v>81600.0</v>
      </c>
      <c r="K12" s="9">
        <v>81600.0</v>
      </c>
      <c r="L12" s="27">
        <v>0.0</v>
      </c>
      <c r="N12" s="28">
        <v>202.0</v>
      </c>
      <c r="Q12" s="30"/>
    </row>
    <row r="13">
      <c r="B13" s="6"/>
      <c r="C13" s="33" t="str">
        <f t="array" ref="C13">IF(B13="", "", XLOOKUP(B13, Inventory!D:D,Inventory!E:E,"No Name Found"))</f>
        <v/>
      </c>
      <c r="D13" s="6"/>
      <c r="E13" s="6"/>
      <c r="F13" s="6"/>
      <c r="G13" s="24" t="str">
        <f>IF(F13="", "", VLOOKUP(F13, Inventory!A:BZ, 3, FALSE) - SUMIF($F$1:$F12, F13, $H$1:$H12))
</f>
        <v/>
      </c>
      <c r="I13" s="26"/>
      <c r="J13" s="26" t="s">
        <v>77</v>
      </c>
      <c r="L13" s="27" t="s">
        <v>77</v>
      </c>
      <c r="N13" s="28" t="s">
        <v>77</v>
      </c>
      <c r="Q13" s="30"/>
    </row>
    <row r="14">
      <c r="B14" s="6"/>
      <c r="C14" s="33" t="str">
        <f t="array" ref="C14">IF(B14="", "", XLOOKUP(B14, Inventory!D:D,Inventory!E:E,"No Name Found"))</f>
        <v/>
      </c>
      <c r="D14" s="6"/>
      <c r="E14" s="6"/>
      <c r="F14" s="6"/>
      <c r="G14" s="24" t="str">
        <f>IF(F14="", "", VLOOKUP(F14, Inventory!A:BZ, 3, FALSE) - SUMIF($F$1:$F13, F14, $H$1:$H13))
</f>
        <v/>
      </c>
      <c r="I14" s="26"/>
      <c r="J14" s="26" t="s">
        <v>77</v>
      </c>
      <c r="L14" s="27" t="s">
        <v>77</v>
      </c>
      <c r="N14" s="28" t="s">
        <v>77</v>
      </c>
      <c r="Q14" s="30"/>
    </row>
    <row r="15">
      <c r="B15" s="6"/>
      <c r="C15" s="33" t="str">
        <f t="array" ref="C15">IF(B15="", "", XLOOKUP(B15, Inventory!D:D,Inventory!E:E,"No Name Found"))</f>
        <v/>
      </c>
      <c r="D15" s="6"/>
      <c r="E15" s="6"/>
      <c r="F15" s="6"/>
      <c r="G15" s="24" t="str">
        <f>IF(F15="", "", VLOOKUP(F15, Inventory!A:BZ, 3, FALSE) - SUMIF($F$1:$F14, F15, $H$1:$H14))
</f>
        <v/>
      </c>
      <c r="I15" s="26"/>
      <c r="J15" s="26" t="s">
        <v>77</v>
      </c>
      <c r="L15" s="27" t="s">
        <v>77</v>
      </c>
      <c r="N15" s="28" t="s">
        <v>77</v>
      </c>
      <c r="Q15" s="30"/>
    </row>
    <row r="16">
      <c r="B16" s="6"/>
      <c r="C16" s="33" t="str">
        <f t="array" ref="C16">IF(B16="", "", XLOOKUP(B16, Inventory!D:D,Inventory!E:E,"No Name Found"))</f>
        <v/>
      </c>
      <c r="D16" s="6"/>
      <c r="E16" s="6"/>
      <c r="F16" s="6"/>
      <c r="G16" s="24" t="str">
        <f>IF(F16="", "", VLOOKUP(F16, Inventory!A:BZ, 3, FALSE) - SUMIF($F$1:$F15, F16, $H$1:$H15))
</f>
        <v/>
      </c>
      <c r="I16" s="26"/>
      <c r="J16" s="26" t="s">
        <v>77</v>
      </c>
      <c r="L16" s="27" t="s">
        <v>77</v>
      </c>
      <c r="N16" s="28" t="s">
        <v>77</v>
      </c>
      <c r="Q16" s="30"/>
    </row>
    <row r="17">
      <c r="B17" s="6"/>
      <c r="C17" s="33" t="str">
        <f t="array" ref="C17">IF(B17="", "", XLOOKUP(B17, Inventory!D:D,Inventory!E:E,"No Name Found"))</f>
        <v/>
      </c>
      <c r="D17" s="6"/>
      <c r="E17" s="6"/>
      <c r="F17" s="6"/>
      <c r="G17" s="24" t="str">
        <f>IF(F17="", "", VLOOKUP(F17, Inventory!A:BZ, 3, FALSE) - SUMIF($F$1:$F16, F17, $H$1:$H16))
</f>
        <v/>
      </c>
      <c r="I17" s="26"/>
      <c r="J17" s="26" t="s">
        <v>77</v>
      </c>
      <c r="L17" s="27" t="s">
        <v>77</v>
      </c>
      <c r="N17" s="28" t="s">
        <v>77</v>
      </c>
      <c r="Q17" s="30"/>
    </row>
    <row r="18">
      <c r="B18" s="6"/>
      <c r="C18" s="33" t="str">
        <f t="array" ref="C18">IF(B18="", "", XLOOKUP(B18, Inventory!D:D,Inventory!E:E,"No Name Found"))</f>
        <v/>
      </c>
      <c r="D18" s="6"/>
      <c r="E18" s="6"/>
      <c r="F18" s="6"/>
      <c r="G18" s="24" t="str">
        <f>IF(F18="", "", VLOOKUP(F18, Inventory!A:BZ, 3, FALSE) - SUMIF($F$1:$F17, F18, $H$1:$H17))
</f>
        <v/>
      </c>
      <c r="I18" s="26"/>
      <c r="J18" s="26" t="s">
        <v>77</v>
      </c>
      <c r="L18" s="27" t="s">
        <v>77</v>
      </c>
      <c r="N18" s="28" t="s">
        <v>77</v>
      </c>
      <c r="Q18" s="30"/>
    </row>
    <row r="19">
      <c r="B19" s="6"/>
      <c r="C19" s="33" t="str">
        <f t="array" ref="C19">IF(B19="", "", XLOOKUP(B19, Inventory!D:D,Inventory!E:E,"No Name Found"))</f>
        <v/>
      </c>
      <c r="D19" s="6"/>
      <c r="E19" s="6"/>
      <c r="F19" s="6"/>
      <c r="G19" s="24" t="str">
        <f>IF(F19="", "", VLOOKUP(F19, Inventory!A:BZ, 3, FALSE) - SUMIF($F$1:$F18, F19, $H$1:$H18))
</f>
        <v/>
      </c>
      <c r="I19" s="26"/>
      <c r="J19" s="26" t="s">
        <v>77</v>
      </c>
      <c r="L19" s="27" t="s">
        <v>77</v>
      </c>
      <c r="N19" s="28" t="s">
        <v>77</v>
      </c>
      <c r="Q19" s="30"/>
    </row>
    <row r="20">
      <c r="B20" s="6"/>
      <c r="C20" s="33" t="str">
        <f t="array" ref="C20">IF(B20="", "", XLOOKUP(B20, Inventory!D:D,Inventory!E:E,"No Name Found"))</f>
        <v/>
      </c>
      <c r="D20" s="6"/>
      <c r="E20" s="6"/>
      <c r="F20" s="6"/>
      <c r="G20" s="24" t="str">
        <f>IF(F20="", "", VLOOKUP(F20, Inventory!A:BZ, 3, FALSE) - SUMIF($F$1:$F19, F20, $H$1:$H19))
</f>
        <v/>
      </c>
      <c r="I20" s="26"/>
      <c r="J20" s="26" t="s">
        <v>77</v>
      </c>
      <c r="L20" s="27" t="s">
        <v>77</v>
      </c>
      <c r="N20" s="28" t="s">
        <v>77</v>
      </c>
      <c r="Q20" s="30"/>
    </row>
    <row r="21">
      <c r="B21" s="6"/>
      <c r="C21" s="33" t="str">
        <f t="array" ref="C21">IF(B21="", "", XLOOKUP(B21, Inventory!D:D,Inventory!E:E,"No Name Found"))</f>
        <v/>
      </c>
      <c r="D21" s="6"/>
      <c r="E21" s="6"/>
      <c r="F21" s="6"/>
      <c r="G21" s="24" t="str">
        <f>IF(F21="", "", VLOOKUP(F21, Inventory!A:BZ, 3, FALSE) - SUMIF($F$1:$F20, F21, $H$1:$H20))
</f>
        <v/>
      </c>
      <c r="I21" s="26"/>
      <c r="J21" s="26" t="s">
        <v>77</v>
      </c>
      <c r="L21" s="27" t="s">
        <v>77</v>
      </c>
      <c r="N21" s="28" t="s">
        <v>77</v>
      </c>
      <c r="Q21" s="30"/>
    </row>
    <row r="22">
      <c r="B22" s="6"/>
      <c r="C22" s="33" t="str">
        <f t="array" ref="C22">IF(B22="", "", XLOOKUP(B22, Inventory!D:D,Inventory!E:E,"No Name Found"))</f>
        <v/>
      </c>
      <c r="D22" s="6"/>
      <c r="E22" s="6"/>
      <c r="F22" s="6"/>
      <c r="G22" s="24" t="str">
        <f>IF(F22="", "", VLOOKUP(F22, Inventory!A:BZ, 3, FALSE) - SUMIF($F$1:$F21, F22, $H$1:$H21))
</f>
        <v/>
      </c>
      <c r="I22" s="26"/>
      <c r="J22" s="26" t="s">
        <v>77</v>
      </c>
      <c r="L22" s="27" t="s">
        <v>77</v>
      </c>
      <c r="N22" s="28" t="s">
        <v>77</v>
      </c>
      <c r="Q22" s="30"/>
    </row>
    <row r="23">
      <c r="B23" s="6"/>
      <c r="C23" s="33" t="str">
        <f t="array" ref="C23">IF(B23="", "", XLOOKUP(B23, Inventory!D:D,Inventory!E:E,"No Name Found"))</f>
        <v/>
      </c>
      <c r="D23" s="6"/>
      <c r="E23" s="6"/>
      <c r="F23" s="6"/>
      <c r="G23" s="24" t="str">
        <f>IF(F23="", "", VLOOKUP(F23, Inventory!A:BZ, 3, FALSE) - SUMIF($F$1:$F22, F23, $H$1:$H22))
</f>
        <v/>
      </c>
      <c r="I23" s="26"/>
      <c r="J23" s="26" t="s">
        <v>77</v>
      </c>
      <c r="L23" s="27" t="s">
        <v>77</v>
      </c>
      <c r="N23" s="28" t="s">
        <v>77</v>
      </c>
      <c r="Q23" s="30"/>
    </row>
    <row r="24">
      <c r="B24" s="6"/>
      <c r="C24" s="33" t="str">
        <f t="array" ref="C24">IF(B24="", "", XLOOKUP(B24, Inventory!D:D,Inventory!E:E,"No Name Found"))</f>
        <v/>
      </c>
      <c r="D24" s="6"/>
      <c r="E24" s="6"/>
      <c r="F24" s="6"/>
      <c r="G24" s="24" t="str">
        <f>IF(F24="", "", VLOOKUP(F24, Inventory!A:BZ, 3, FALSE) - SUMIF($F$1:$F23, F24, $H$1:$H23))
</f>
        <v/>
      </c>
      <c r="I24" s="26"/>
      <c r="J24" s="26" t="s">
        <v>77</v>
      </c>
      <c r="L24" s="27" t="s">
        <v>77</v>
      </c>
      <c r="N24" s="28" t="s">
        <v>77</v>
      </c>
      <c r="Q24" s="30"/>
    </row>
    <row r="25">
      <c r="B25" s="6"/>
      <c r="C25" s="33" t="str">
        <f t="array" ref="C25">IF(B25="", "", XLOOKUP(B25, Inventory!D:D,Inventory!E:E,"No Name Found"))</f>
        <v/>
      </c>
      <c r="D25" s="6"/>
      <c r="E25" s="6"/>
      <c r="F25" s="6"/>
      <c r="G25" s="24" t="str">
        <f>IF(F25="", "", VLOOKUP(F25, Inventory!A:BZ, 3, FALSE) - SUMIF($F$1:$F24, F25, $H$1:$H24))
</f>
        <v/>
      </c>
      <c r="I25" s="26"/>
      <c r="J25" s="26" t="s">
        <v>77</v>
      </c>
      <c r="L25" s="27" t="s">
        <v>77</v>
      </c>
      <c r="N25" s="28" t="s">
        <v>77</v>
      </c>
      <c r="Q25" s="30"/>
    </row>
    <row r="26">
      <c r="B26" s="6"/>
      <c r="C26" s="33" t="str">
        <f t="array" ref="C26">IF(B26="", "", XLOOKUP(B26, Inventory!D:D,Inventory!E:E,"No Name Found"))</f>
        <v/>
      </c>
      <c r="D26" s="6"/>
      <c r="E26" s="6"/>
      <c r="F26" s="6"/>
      <c r="G26" s="24" t="str">
        <f>IF(F26="", "", VLOOKUP(F26, Inventory!A:BZ, 3, FALSE) - SUMIF($F$1:$F25, F26, $H$1:$H25))
</f>
        <v/>
      </c>
      <c r="I26" s="26"/>
      <c r="J26" s="26" t="s">
        <v>77</v>
      </c>
      <c r="L26" s="27" t="s">
        <v>77</v>
      </c>
      <c r="N26" s="28" t="s">
        <v>77</v>
      </c>
      <c r="Q26" s="30"/>
    </row>
    <row r="27">
      <c r="B27" s="6"/>
      <c r="C27" s="33" t="str">
        <f t="array" ref="C27">IF(B27="", "", XLOOKUP(B27, Inventory!D:D,Inventory!E:E,"No Name Found"))</f>
        <v/>
      </c>
      <c r="D27" s="6"/>
      <c r="E27" s="6"/>
      <c r="F27" s="6"/>
      <c r="G27" s="24" t="str">
        <f>IF(F27="", "", VLOOKUP(F27, Inventory!A:BZ, 3, FALSE) - SUMIF($F$1:$F26, F27, $H$1:$H26))
</f>
        <v/>
      </c>
      <c r="I27" s="26"/>
      <c r="J27" s="26" t="s">
        <v>77</v>
      </c>
      <c r="L27" s="27" t="s">
        <v>77</v>
      </c>
      <c r="N27" s="28" t="s">
        <v>77</v>
      </c>
      <c r="Q27" s="30"/>
    </row>
    <row r="28">
      <c r="B28" s="6"/>
      <c r="C28" s="33" t="str">
        <f t="array" ref="C28">IF(B28="", "", XLOOKUP(B28, Inventory!D:D,Inventory!E:E,"No Name Found"))</f>
        <v/>
      </c>
      <c r="D28" s="6"/>
      <c r="E28" s="6"/>
      <c r="F28" s="6"/>
      <c r="G28" s="24" t="str">
        <f>IF(F28="", "", VLOOKUP(F28, Inventory!A:BZ, 3, FALSE) - SUMIF($F$1:$F27, F28, $H$1:$H27))
</f>
        <v/>
      </c>
      <c r="I28" s="26"/>
      <c r="J28" s="26" t="s">
        <v>77</v>
      </c>
      <c r="L28" s="27" t="s">
        <v>77</v>
      </c>
      <c r="N28" s="28" t="s">
        <v>77</v>
      </c>
      <c r="Q28" s="30"/>
    </row>
    <row r="29">
      <c r="B29" s="6"/>
      <c r="C29" s="33" t="str">
        <f t="array" ref="C29">IF(B29="", "", XLOOKUP(B29, Inventory!D:D,Inventory!E:E,"No Name Found"))</f>
        <v/>
      </c>
      <c r="D29" s="6"/>
      <c r="E29" s="6"/>
      <c r="F29" s="6"/>
      <c r="G29" s="24" t="str">
        <f>IF(F29="", "", VLOOKUP(F29, Inventory!A:BZ, 3, FALSE) - SUMIF($F$1:$F28, F29, $H$1:$H28))
</f>
        <v/>
      </c>
      <c r="I29" s="26"/>
      <c r="J29" s="26" t="s">
        <v>77</v>
      </c>
      <c r="L29" s="27" t="s">
        <v>77</v>
      </c>
      <c r="N29" s="28" t="s">
        <v>77</v>
      </c>
      <c r="Q29" s="30"/>
    </row>
    <row r="30">
      <c r="B30" s="6"/>
      <c r="C30" s="33" t="str">
        <f t="array" ref="C30">IF(B30="", "", XLOOKUP(B30, Inventory!D:D,Inventory!E:E,"No Name Found"))</f>
        <v/>
      </c>
      <c r="D30" s="6"/>
      <c r="E30" s="6"/>
      <c r="F30" s="6"/>
      <c r="G30" s="24" t="str">
        <f>IF(F30="", "", VLOOKUP(F30, Inventory!A:BZ, 3, FALSE) - SUMIF($F$1:$F29, F30, $H$1:$H29))
</f>
        <v/>
      </c>
      <c r="I30" s="26"/>
      <c r="J30" s="26" t="s">
        <v>77</v>
      </c>
      <c r="L30" s="27" t="s">
        <v>77</v>
      </c>
      <c r="N30" s="28" t="s">
        <v>77</v>
      </c>
      <c r="Q30" s="30"/>
    </row>
    <row r="31">
      <c r="B31" s="6"/>
      <c r="C31" s="33" t="str">
        <f t="array" ref="C31">IF(B31="", "", XLOOKUP(B31, Inventory!D:D,Inventory!E:E,"No Name Found"))</f>
        <v/>
      </c>
      <c r="D31" s="6"/>
      <c r="E31" s="6"/>
      <c r="F31" s="6"/>
      <c r="G31" s="24" t="str">
        <f>IF(F31="", "", VLOOKUP(F31, Inventory!A:BZ, 3, FALSE) - SUMIF($F$1:$F30, F31, $H$1:$H30))
</f>
        <v/>
      </c>
      <c r="I31" s="26"/>
      <c r="J31" s="26" t="s">
        <v>77</v>
      </c>
      <c r="L31" s="27" t="s">
        <v>77</v>
      </c>
      <c r="N31" s="28" t="s">
        <v>77</v>
      </c>
      <c r="Q31" s="30"/>
    </row>
    <row r="32">
      <c r="B32" s="6"/>
      <c r="C32" s="33" t="str">
        <f t="array" ref="C32">IF(B32="", "", XLOOKUP(B32, Inventory!D:D,Inventory!E:E,"No Name Found"))</f>
        <v/>
      </c>
      <c r="D32" s="6"/>
      <c r="E32" s="6"/>
      <c r="F32" s="6"/>
      <c r="G32" s="24" t="str">
        <f>IF(F32="", "", VLOOKUP(F32, Inventory!A:BZ, 3, FALSE) - SUMIF($F$1:$F31, F32, $H$1:$H31))
</f>
        <v/>
      </c>
      <c r="I32" s="26"/>
      <c r="J32" s="26" t="s">
        <v>77</v>
      </c>
      <c r="L32" s="27" t="s">
        <v>77</v>
      </c>
      <c r="N32" s="28" t="s">
        <v>77</v>
      </c>
      <c r="Q32" s="30"/>
    </row>
    <row r="33">
      <c r="B33" s="6"/>
      <c r="C33" s="33" t="str">
        <f t="array" ref="C33">IF(B33="", "", XLOOKUP(B33, Inventory!D:D,Inventory!E:E,"No Name Found"))</f>
        <v/>
      </c>
      <c r="D33" s="6"/>
      <c r="E33" s="6"/>
      <c r="F33" s="6"/>
      <c r="G33" s="24" t="str">
        <f>IF(F33="", "", VLOOKUP(F33, Inventory!A:BZ, 3, FALSE) - SUMIF($F$1:$F32, F33, $H$1:$H32))
</f>
        <v/>
      </c>
      <c r="I33" s="26"/>
      <c r="J33" s="26" t="s">
        <v>77</v>
      </c>
      <c r="L33" s="27" t="s">
        <v>77</v>
      </c>
      <c r="N33" s="28" t="s">
        <v>77</v>
      </c>
      <c r="Q33" s="30"/>
    </row>
    <row r="34">
      <c r="B34" s="6"/>
      <c r="C34" s="33" t="str">
        <f t="array" ref="C34">IF(B34="", "", XLOOKUP(B34, Inventory!D:D,Inventory!E:E,"No Name Found"))</f>
        <v/>
      </c>
      <c r="D34" s="6"/>
      <c r="E34" s="6"/>
      <c r="F34" s="6"/>
      <c r="G34" s="24" t="str">
        <f>IF(F34="", "", VLOOKUP(F34, Inventory!A:BZ, 3, FALSE) - SUMIF($F$1:$F33, F34, $H$1:$H33))
</f>
        <v/>
      </c>
      <c r="I34" s="26"/>
      <c r="J34" s="26" t="s">
        <v>77</v>
      </c>
      <c r="L34" s="27" t="s">
        <v>77</v>
      </c>
      <c r="N34" s="28" t="s">
        <v>77</v>
      </c>
      <c r="Q34" s="30"/>
    </row>
    <row r="35">
      <c r="B35" s="6"/>
      <c r="C35" s="33" t="str">
        <f t="array" ref="C35">IF(B35="", "", XLOOKUP(B35, Inventory!D:D,Inventory!E:E,"No Name Found"))</f>
        <v/>
      </c>
      <c r="D35" s="6"/>
      <c r="E35" s="6"/>
      <c r="F35" s="6"/>
      <c r="G35" s="24" t="str">
        <f>IF(F35="", "", VLOOKUP(F35, Inventory!A:BZ, 3, FALSE) - SUMIF($F$1:$F34, F35, $H$1:$H34))
</f>
        <v/>
      </c>
      <c r="I35" s="26"/>
      <c r="J35" s="26" t="s">
        <v>77</v>
      </c>
      <c r="L35" s="27" t="s">
        <v>77</v>
      </c>
      <c r="N35" s="28" t="s">
        <v>77</v>
      </c>
      <c r="Q35" s="30"/>
    </row>
    <row r="36">
      <c r="B36" s="6"/>
      <c r="C36" s="33" t="str">
        <f t="array" ref="C36">IF(B36="", "", XLOOKUP(B36, Inventory!D:D,Inventory!E:E,"No Name Found"))</f>
        <v/>
      </c>
      <c r="D36" s="6"/>
      <c r="E36" s="6"/>
      <c r="F36" s="6"/>
      <c r="G36" s="24" t="str">
        <f>IF(F36="", "", VLOOKUP(F36, Inventory!A:BZ, 3, FALSE) - SUMIF($F$1:$F35, F36, $H$1:$H35))
</f>
        <v/>
      </c>
      <c r="I36" s="26"/>
      <c r="J36" s="26" t="s">
        <v>77</v>
      </c>
      <c r="L36" s="27" t="s">
        <v>77</v>
      </c>
      <c r="N36" s="28" t="s">
        <v>77</v>
      </c>
      <c r="Q36" s="30"/>
    </row>
    <row r="37">
      <c r="B37" s="6"/>
      <c r="C37" s="33" t="str">
        <f t="array" ref="C37">IF(B37="", "", XLOOKUP(B37, Inventory!D:D,Inventory!E:E,"No Name Found"))</f>
        <v/>
      </c>
      <c r="D37" s="6"/>
      <c r="E37" s="6"/>
      <c r="F37" s="6"/>
      <c r="G37" s="24" t="str">
        <f>IF(F37="", "", VLOOKUP(F37, Inventory!A:BZ, 3, FALSE) - SUMIF($F$1:$F36, F37, $H$1:$H36))
</f>
        <v/>
      </c>
      <c r="I37" s="26"/>
      <c r="J37" s="26" t="s">
        <v>77</v>
      </c>
      <c r="L37" s="27" t="s">
        <v>77</v>
      </c>
      <c r="N37" s="28" t="s">
        <v>77</v>
      </c>
      <c r="Q37" s="30"/>
    </row>
    <row r="38">
      <c r="B38" s="6"/>
      <c r="C38" s="33" t="str">
        <f t="array" ref="C38">IF(B38="", "", XLOOKUP(B38, Inventory!D:D,Inventory!E:E,"No Name Found"))</f>
        <v/>
      </c>
      <c r="D38" s="6"/>
      <c r="E38" s="6"/>
      <c r="F38" s="6"/>
      <c r="G38" s="24" t="str">
        <f>IF(F38="", "", VLOOKUP(F38, Inventory!A:BZ, 3, FALSE) - SUMIF($F$1:$F37, F38, $H$1:$H37))
</f>
        <v/>
      </c>
      <c r="I38" s="26"/>
      <c r="J38" s="26" t="s">
        <v>77</v>
      </c>
      <c r="L38" s="27" t="s">
        <v>77</v>
      </c>
      <c r="N38" s="28" t="s">
        <v>77</v>
      </c>
      <c r="Q38" s="30"/>
    </row>
    <row r="39">
      <c r="B39" s="6"/>
      <c r="C39" s="33" t="str">
        <f t="array" ref="C39">IF(B39="", "", XLOOKUP(B39, Inventory!D:D,Inventory!E:E,"No Name Found"))</f>
        <v/>
      </c>
      <c r="D39" s="6"/>
      <c r="E39" s="6"/>
      <c r="F39" s="6"/>
      <c r="G39" s="24" t="str">
        <f>IF(F39="", "", VLOOKUP(F39, Inventory!A:BZ, 3, FALSE) - SUMIF($F$1:$F38, F39, $H$1:$H38))
</f>
        <v/>
      </c>
      <c r="I39" s="26"/>
      <c r="J39" s="26" t="s">
        <v>77</v>
      </c>
      <c r="L39" s="27" t="s">
        <v>77</v>
      </c>
      <c r="N39" s="28" t="s">
        <v>77</v>
      </c>
      <c r="Q39" s="30"/>
    </row>
    <row r="40">
      <c r="B40" s="6"/>
      <c r="C40" s="33" t="str">
        <f t="array" ref="C40">IF(B40="", "", XLOOKUP(B40, Inventory!D:D,Inventory!E:E,"No Name Found"))</f>
        <v/>
      </c>
      <c r="D40" s="6"/>
      <c r="E40" s="6"/>
      <c r="F40" s="6"/>
      <c r="G40" s="24" t="str">
        <f>IF(F40="", "", VLOOKUP(F40, Inventory!A:BZ, 3, FALSE) - SUMIF($F$1:$F39, F40, $H$1:$H39))
</f>
        <v/>
      </c>
      <c r="I40" s="26"/>
      <c r="J40" s="26" t="s">
        <v>77</v>
      </c>
      <c r="L40" s="27" t="s">
        <v>77</v>
      </c>
      <c r="N40" s="28" t="s">
        <v>77</v>
      </c>
      <c r="Q40" s="30"/>
    </row>
    <row r="41">
      <c r="B41" s="6"/>
      <c r="C41" s="33" t="str">
        <f t="array" ref="C41">IF(B41="", "", XLOOKUP(B41, Inventory!D:D,Inventory!E:E,"No Name Found"))</f>
        <v/>
      </c>
      <c r="D41" s="6"/>
      <c r="E41" s="6"/>
      <c r="F41" s="6"/>
      <c r="G41" s="24" t="str">
        <f>IF(F41="", "", VLOOKUP(F41, Inventory!A:BZ, 3, FALSE) - SUMIF($F$1:$F40, F41, $H$1:$H40))
</f>
        <v/>
      </c>
      <c r="I41" s="26"/>
      <c r="J41" s="26" t="s">
        <v>77</v>
      </c>
      <c r="L41" s="27" t="s">
        <v>77</v>
      </c>
      <c r="N41" s="28" t="s">
        <v>77</v>
      </c>
      <c r="Q41" s="30"/>
    </row>
    <row r="42">
      <c r="B42" s="6"/>
      <c r="C42" s="33" t="str">
        <f t="array" ref="C42">IF(B42="", "", XLOOKUP(B42, Inventory!D:D,Inventory!E:E,"No Name Found"))</f>
        <v/>
      </c>
      <c r="D42" s="6"/>
      <c r="E42" s="6"/>
      <c r="F42" s="6"/>
      <c r="G42" s="24" t="str">
        <f>IF(F42="", "", VLOOKUP(F42, Inventory!A:BZ, 3, FALSE) - SUMIF($F$1:$F41, F42, $H$1:$H41))
</f>
        <v/>
      </c>
      <c r="I42" s="26"/>
      <c r="J42" s="26" t="s">
        <v>77</v>
      </c>
      <c r="L42" s="27" t="s">
        <v>77</v>
      </c>
      <c r="N42" s="28" t="s">
        <v>77</v>
      </c>
      <c r="Q42" s="30"/>
    </row>
    <row r="43">
      <c r="B43" s="6"/>
      <c r="C43" s="33" t="str">
        <f t="array" ref="C43">IF(B43="", "", XLOOKUP(B43, Inventory!D:D,Inventory!E:E,"No Name Found"))</f>
        <v/>
      </c>
      <c r="D43" s="6"/>
      <c r="E43" s="6"/>
      <c r="F43" s="6"/>
      <c r="G43" s="24" t="str">
        <f>IF(F43="", "", VLOOKUP(F43, Inventory!A:BZ, 3, FALSE) - SUMIF($F$1:$F42, F43, $H$1:$H42))
</f>
        <v/>
      </c>
      <c r="I43" s="26"/>
      <c r="J43" s="26" t="s">
        <v>77</v>
      </c>
      <c r="L43" s="27" t="s">
        <v>77</v>
      </c>
      <c r="N43" s="28" t="s">
        <v>77</v>
      </c>
      <c r="Q43" s="30"/>
    </row>
    <row r="44">
      <c r="B44" s="6"/>
      <c r="C44" s="33" t="str">
        <f t="array" ref="C44">IF(B44="", "", XLOOKUP(B44, Inventory!D:D,Inventory!E:E,"No Name Found"))</f>
        <v/>
      </c>
      <c r="D44" s="6"/>
      <c r="E44" s="6"/>
      <c r="F44" s="6"/>
      <c r="G44" s="24" t="str">
        <f>IF(F44="", "", VLOOKUP(F44, Inventory!A:BZ, 3, FALSE) - SUMIF($F$1:$F43, F44, $H$1:$H43))
</f>
        <v/>
      </c>
      <c r="I44" s="26"/>
      <c r="J44" s="26" t="s">
        <v>77</v>
      </c>
      <c r="L44" s="27" t="s">
        <v>77</v>
      </c>
      <c r="N44" s="28" t="s">
        <v>77</v>
      </c>
      <c r="Q44" s="30"/>
    </row>
    <row r="45">
      <c r="B45" s="6"/>
      <c r="C45" s="33" t="str">
        <f t="array" ref="C45">IF(B45="", "", XLOOKUP(B45, Inventory!D:D,Inventory!E:E,"No Name Found"))</f>
        <v/>
      </c>
      <c r="D45" s="6"/>
      <c r="E45" s="6"/>
      <c r="F45" s="6"/>
      <c r="G45" s="24" t="str">
        <f>IF(F45="", "", VLOOKUP(F45, Inventory!A:BZ, 3, FALSE) - SUMIF($F$1:$F44, F45, $H$1:$H44))
</f>
        <v/>
      </c>
      <c r="I45" s="26"/>
      <c r="J45" s="26" t="s">
        <v>77</v>
      </c>
      <c r="L45" s="27" t="s">
        <v>77</v>
      </c>
      <c r="N45" s="28" t="s">
        <v>77</v>
      </c>
      <c r="Q45" s="30"/>
    </row>
    <row r="46">
      <c r="B46" s="6"/>
      <c r="C46" s="33" t="str">
        <f t="array" ref="C46">IF(B46="", "", XLOOKUP(B46, Inventory!D:D,Inventory!E:E,"No Name Found"))</f>
        <v/>
      </c>
      <c r="D46" s="6"/>
      <c r="E46" s="6"/>
      <c r="F46" s="6"/>
      <c r="G46" s="24" t="str">
        <f>IF(F46="", "", VLOOKUP(F46, Inventory!A:BZ, 3, FALSE) - SUMIF($F$1:$F45, F46, $H$1:$H45))
</f>
        <v/>
      </c>
      <c r="I46" s="26"/>
      <c r="J46" s="26" t="s">
        <v>77</v>
      </c>
      <c r="L46" s="27" t="s">
        <v>77</v>
      </c>
      <c r="N46" s="28" t="s">
        <v>77</v>
      </c>
      <c r="Q46" s="30"/>
    </row>
    <row r="47">
      <c r="B47" s="6"/>
      <c r="C47" s="33" t="str">
        <f t="array" ref="C47">IF(B47="", "", XLOOKUP(B47, Inventory!D:D,Inventory!E:E,"No Name Found"))</f>
        <v/>
      </c>
      <c r="D47" s="6"/>
      <c r="E47" s="6"/>
      <c r="F47" s="6"/>
      <c r="G47" s="24" t="str">
        <f>IF(F47="", "", VLOOKUP(F47, Inventory!A:BZ, 3, FALSE) - SUMIF($F$1:$F46, F47, $H$1:$H46))
</f>
        <v/>
      </c>
      <c r="I47" s="26"/>
      <c r="J47" s="26" t="s">
        <v>77</v>
      </c>
      <c r="L47" s="27" t="s">
        <v>77</v>
      </c>
      <c r="N47" s="28" t="s">
        <v>77</v>
      </c>
      <c r="Q47" s="30"/>
    </row>
    <row r="48">
      <c r="B48" s="6"/>
      <c r="C48" s="33" t="str">
        <f t="array" ref="C48">IF(B48="", "", XLOOKUP(B48, Inventory!D:D,Inventory!E:E,"No Name Found"))</f>
        <v/>
      </c>
      <c r="D48" s="6"/>
      <c r="E48" s="6"/>
      <c r="F48" s="6"/>
      <c r="G48" s="24" t="str">
        <f>IF(F48="", "", VLOOKUP(F48, Inventory!A:BZ, 3, FALSE) - SUMIF($F$1:$F47, F48, $H$1:$H47))
</f>
        <v/>
      </c>
      <c r="I48" s="26"/>
      <c r="J48" s="26" t="s">
        <v>77</v>
      </c>
      <c r="L48" s="27" t="s">
        <v>77</v>
      </c>
      <c r="N48" s="28" t="s">
        <v>77</v>
      </c>
      <c r="Q48" s="30"/>
    </row>
    <row r="49">
      <c r="B49" s="6"/>
      <c r="C49" s="33" t="str">
        <f t="array" ref="C49">IF(B49="", "", XLOOKUP(B49, Inventory!D:D,Inventory!E:E,"No Name Found"))</f>
        <v/>
      </c>
      <c r="D49" s="6"/>
      <c r="E49" s="6"/>
      <c r="F49" s="6"/>
      <c r="G49" s="24" t="str">
        <f>IF(F49="", "", VLOOKUP(F49, Inventory!A:BZ, 3, FALSE) - SUMIF($F$1:$F48, F49, $H$1:$H48))
</f>
        <v/>
      </c>
      <c r="I49" s="26"/>
      <c r="J49" s="26" t="s">
        <v>77</v>
      </c>
      <c r="L49" s="27" t="s">
        <v>77</v>
      </c>
      <c r="N49" s="28" t="s">
        <v>77</v>
      </c>
      <c r="Q49" s="30"/>
    </row>
    <row r="50">
      <c r="B50" s="6"/>
      <c r="C50" s="33" t="str">
        <f t="array" ref="C50">IF(B50="", "", XLOOKUP(B50, Inventory!D:D,Inventory!E:E,"No Name Found"))</f>
        <v/>
      </c>
      <c r="D50" s="6"/>
      <c r="E50" s="6"/>
      <c r="F50" s="6"/>
      <c r="G50" s="24" t="str">
        <f>IF(F50="", "", VLOOKUP(F50, Inventory!A:BZ, 3, FALSE) - SUMIF($F$1:$F49, F50, $H$1:$H49))
</f>
        <v/>
      </c>
      <c r="I50" s="26"/>
      <c r="J50" s="26" t="s">
        <v>77</v>
      </c>
      <c r="L50" s="27" t="s">
        <v>77</v>
      </c>
      <c r="N50" s="28" t="s">
        <v>77</v>
      </c>
      <c r="Q50" s="30"/>
    </row>
    <row r="51">
      <c r="B51" s="6"/>
      <c r="C51" s="33" t="str">
        <f t="array" ref="C51">IF(B51="", "", XLOOKUP(B51, Inventory!D:D,Inventory!E:E,"No Name Found"))</f>
        <v/>
      </c>
      <c r="D51" s="6"/>
      <c r="E51" s="6"/>
      <c r="F51" s="6"/>
      <c r="G51" s="24" t="str">
        <f>IF(F51="", "", VLOOKUP(F51, Inventory!A:BZ, 3, FALSE) - SUMIF($F$1:$F50, F51, $H$1:$H50))
</f>
        <v/>
      </c>
      <c r="I51" s="26"/>
      <c r="J51" s="26" t="s">
        <v>77</v>
      </c>
      <c r="L51" s="27" t="s">
        <v>77</v>
      </c>
      <c r="N51" s="28" t="s">
        <v>77</v>
      </c>
      <c r="Q51" s="30"/>
    </row>
    <row r="52">
      <c r="B52" s="6"/>
      <c r="C52" s="33" t="str">
        <f t="array" ref="C52">IF(B52="", "", XLOOKUP(B52, Inventory!D:D,Inventory!E:E,"No Name Found"))</f>
        <v/>
      </c>
      <c r="D52" s="6"/>
      <c r="E52" s="6"/>
      <c r="F52" s="6"/>
      <c r="G52" s="24" t="str">
        <f>IF(F52="", "", VLOOKUP(F52, Inventory!A:BZ, 3, FALSE) - SUMIF($F$1:$F51, F52, $H$1:$H51))
</f>
        <v/>
      </c>
      <c r="I52" s="26"/>
      <c r="J52" s="26" t="s">
        <v>77</v>
      </c>
      <c r="L52" s="27" t="s">
        <v>77</v>
      </c>
      <c r="N52" s="28" t="s">
        <v>77</v>
      </c>
      <c r="Q52" s="30"/>
    </row>
    <row r="53">
      <c r="B53" s="6"/>
      <c r="C53" s="33" t="str">
        <f t="array" ref="C53">IF(B53="", "", XLOOKUP(B53, Inventory!D:D,Inventory!E:E,"No Name Found"))</f>
        <v/>
      </c>
      <c r="D53" s="6"/>
      <c r="E53" s="6"/>
      <c r="F53" s="6"/>
      <c r="G53" s="24" t="str">
        <f>IF(F53="", "", VLOOKUP(F53, Inventory!A:BZ, 3, FALSE) - SUMIF($F$1:$F52, F53, $H$1:$H52))
</f>
        <v/>
      </c>
      <c r="I53" s="26"/>
      <c r="J53" s="26" t="s">
        <v>77</v>
      </c>
      <c r="L53" s="27" t="s">
        <v>77</v>
      </c>
      <c r="N53" s="28" t="s">
        <v>77</v>
      </c>
      <c r="Q53" s="30"/>
    </row>
    <row r="54">
      <c r="B54" s="6"/>
      <c r="C54" s="33" t="str">
        <f t="array" ref="C54">IF(B54="", "", XLOOKUP(B54, Inventory!D:D,Inventory!E:E,"No Name Found"))</f>
        <v/>
      </c>
      <c r="D54" s="6"/>
      <c r="E54" s="6"/>
      <c r="F54" s="6"/>
      <c r="G54" s="24" t="str">
        <f>IF(F54="", "", VLOOKUP(F54, Inventory!A:BZ, 3, FALSE) - SUMIF($F$1:$F53, F54, $H$1:$H53))
</f>
        <v/>
      </c>
      <c r="I54" s="26"/>
      <c r="J54" s="26" t="s">
        <v>77</v>
      </c>
      <c r="L54" s="27" t="s">
        <v>77</v>
      </c>
      <c r="N54" s="28" t="s">
        <v>77</v>
      </c>
      <c r="Q54" s="30"/>
    </row>
    <row r="55">
      <c r="B55" s="6"/>
      <c r="C55" s="33" t="str">
        <f t="array" ref="C55">IF(B55="", "", XLOOKUP(B55, Inventory!D:D,Inventory!E:E,"No Name Found"))</f>
        <v/>
      </c>
      <c r="D55" s="6"/>
      <c r="E55" s="6"/>
      <c r="F55" s="6"/>
      <c r="G55" s="24" t="str">
        <f>IF(F55="", "", VLOOKUP(F55, Inventory!A:BZ, 3, FALSE) - SUMIF($F$1:$F54, F55, $H$1:$H54))
</f>
        <v/>
      </c>
      <c r="I55" s="26"/>
      <c r="J55" s="26" t="s">
        <v>77</v>
      </c>
      <c r="L55" s="27" t="s">
        <v>77</v>
      </c>
      <c r="N55" s="28" t="s">
        <v>77</v>
      </c>
      <c r="Q55" s="30"/>
    </row>
    <row r="56">
      <c r="B56" s="6"/>
      <c r="C56" s="33" t="str">
        <f t="array" ref="C56">IF(B56="", "", XLOOKUP(B56, Inventory!D:D,Inventory!E:E,"No Name Found"))</f>
        <v/>
      </c>
      <c r="D56" s="6"/>
      <c r="E56" s="6"/>
      <c r="F56" s="6"/>
      <c r="G56" s="24" t="str">
        <f>IF(F56="", "", VLOOKUP(F56, Inventory!A:BZ, 3, FALSE) - SUMIF($F$1:$F55, F56, $H$1:$H55))
</f>
        <v/>
      </c>
      <c r="I56" s="26"/>
      <c r="J56" s="26" t="s">
        <v>77</v>
      </c>
      <c r="L56" s="27" t="s">
        <v>77</v>
      </c>
      <c r="N56" s="28" t="s">
        <v>77</v>
      </c>
      <c r="Q56" s="30"/>
    </row>
    <row r="57">
      <c r="B57" s="6"/>
      <c r="C57" s="33" t="str">
        <f t="array" ref="C57">IF(B57="", "", XLOOKUP(B57, Inventory!D:D,Inventory!E:E,"No Name Found"))</f>
        <v/>
      </c>
      <c r="D57" s="6"/>
      <c r="E57" s="6"/>
      <c r="F57" s="6"/>
      <c r="G57" s="24" t="str">
        <f>IF(F57="", "", VLOOKUP(F57, Inventory!A:BZ, 3, FALSE) - SUMIF($F$1:$F56, F57, $H$1:$H56))
</f>
        <v/>
      </c>
      <c r="I57" s="26"/>
      <c r="J57" s="26" t="s">
        <v>77</v>
      </c>
      <c r="L57" s="27" t="s">
        <v>77</v>
      </c>
      <c r="N57" s="28" t="s">
        <v>77</v>
      </c>
      <c r="Q57" s="30"/>
    </row>
    <row r="58">
      <c r="B58" s="6"/>
      <c r="C58" s="33" t="str">
        <f t="array" ref="C58">IF(B58="", "", XLOOKUP(B58, Inventory!D:D,Inventory!E:E,"No Name Found"))</f>
        <v/>
      </c>
      <c r="D58" s="6"/>
      <c r="E58" s="6"/>
      <c r="F58" s="6"/>
      <c r="G58" s="24" t="str">
        <f>IF(F58="", "", VLOOKUP(F58, Inventory!A:BZ, 3, FALSE) - SUMIF($F$1:$F57, F58, $H$1:$H57))
</f>
        <v/>
      </c>
      <c r="I58" s="26"/>
      <c r="J58" s="26" t="s">
        <v>77</v>
      </c>
      <c r="L58" s="27" t="s">
        <v>77</v>
      </c>
      <c r="N58" s="28" t="s">
        <v>77</v>
      </c>
      <c r="Q58" s="30"/>
    </row>
    <row r="59">
      <c r="B59" s="6"/>
      <c r="C59" s="33" t="str">
        <f t="array" ref="C59">IF(B59="", "", XLOOKUP(B59, Inventory!D:D,Inventory!E:E,"No Name Found"))</f>
        <v/>
      </c>
      <c r="D59" s="6"/>
      <c r="E59" s="6"/>
      <c r="F59" s="6"/>
      <c r="G59" s="24" t="str">
        <f>IF(F59="", "", VLOOKUP(F59, Inventory!A:BZ, 3, FALSE) - SUMIF($F$1:$F58, F59, $H$1:$H58))
</f>
        <v/>
      </c>
      <c r="I59" s="26"/>
      <c r="J59" s="26" t="s">
        <v>77</v>
      </c>
      <c r="L59" s="27" t="s">
        <v>77</v>
      </c>
      <c r="N59" s="28" t="s">
        <v>77</v>
      </c>
      <c r="Q59" s="30"/>
    </row>
    <row r="60">
      <c r="B60" s="6"/>
      <c r="C60" s="33" t="str">
        <f t="array" ref="C60">IF(B60="", "", XLOOKUP(B60, Inventory!D:D,Inventory!E:E,"No Name Found"))</f>
        <v/>
      </c>
      <c r="D60" s="6"/>
      <c r="E60" s="6"/>
      <c r="F60" s="6"/>
      <c r="G60" s="24" t="str">
        <f>IF(F60="", "", VLOOKUP(F60, Inventory!A:BZ, 3, FALSE) - SUMIF($F$1:$F59, F60, $H$1:$H59))
</f>
        <v/>
      </c>
      <c r="I60" s="26"/>
      <c r="J60" s="26" t="s">
        <v>77</v>
      </c>
      <c r="L60" s="27" t="s">
        <v>77</v>
      </c>
      <c r="N60" s="28" t="s">
        <v>77</v>
      </c>
      <c r="Q60" s="30"/>
    </row>
    <row r="61">
      <c r="B61" s="6"/>
      <c r="C61" s="33" t="str">
        <f t="array" ref="C61">IF(B61="", "", XLOOKUP(B61, Inventory!D:D,Inventory!E:E,"No Name Found"))</f>
        <v/>
      </c>
      <c r="D61" s="6"/>
      <c r="E61" s="6"/>
      <c r="F61" s="6"/>
      <c r="G61" s="24" t="str">
        <f>IF(F61="", "", VLOOKUP(F61, Inventory!A:BZ, 3, FALSE) - SUMIF($F$1:$F60, F61, $H$1:$H60))
</f>
        <v/>
      </c>
      <c r="I61" s="26"/>
      <c r="J61" s="26" t="s">
        <v>77</v>
      </c>
      <c r="L61" s="27" t="s">
        <v>77</v>
      </c>
      <c r="N61" s="28" t="s">
        <v>77</v>
      </c>
      <c r="Q61" s="30"/>
    </row>
    <row r="62">
      <c r="B62" s="6"/>
      <c r="C62" s="33" t="str">
        <f t="array" ref="C62">IF(B62="", "", XLOOKUP(B62, Inventory!D:D,Inventory!E:E,"No Name Found"))</f>
        <v/>
      </c>
      <c r="D62" s="6"/>
      <c r="E62" s="6"/>
      <c r="F62" s="6"/>
      <c r="G62" s="24" t="str">
        <f>IF(F62="", "", VLOOKUP(F62, Inventory!A:BZ, 3, FALSE) - SUMIF($F$1:$F61, F62, $H$1:$H61))
</f>
        <v/>
      </c>
      <c r="I62" s="26"/>
      <c r="J62" s="26" t="s">
        <v>77</v>
      </c>
      <c r="L62" s="27" t="s">
        <v>77</v>
      </c>
      <c r="N62" s="28" t="s">
        <v>77</v>
      </c>
      <c r="Q62" s="30"/>
    </row>
    <row r="63">
      <c r="B63" s="6"/>
      <c r="C63" s="33" t="str">
        <f t="array" ref="C63">IF(B63="", "", XLOOKUP(B63, Inventory!D:D,Inventory!E:E,"No Name Found"))</f>
        <v/>
      </c>
      <c r="D63" s="6"/>
      <c r="E63" s="6"/>
      <c r="F63" s="6"/>
      <c r="G63" s="24" t="str">
        <f>IF(F63="", "", VLOOKUP(F63, Inventory!A:BZ, 3, FALSE) - SUMIF($F$1:$F62, F63, $H$1:$H62))
</f>
        <v/>
      </c>
      <c r="I63" s="26"/>
      <c r="J63" s="26" t="s">
        <v>77</v>
      </c>
      <c r="L63" s="27" t="s">
        <v>77</v>
      </c>
      <c r="N63" s="28" t="s">
        <v>77</v>
      </c>
      <c r="Q63" s="30"/>
    </row>
    <row r="64">
      <c r="B64" s="6"/>
      <c r="C64" s="33" t="str">
        <f t="array" ref="C64">IF(B64="", "", XLOOKUP(B64, Inventory!D:D,Inventory!E:E,"No Name Found"))</f>
        <v/>
      </c>
      <c r="D64" s="6"/>
      <c r="E64" s="6"/>
      <c r="F64" s="6"/>
      <c r="G64" s="24" t="str">
        <f>IF(F64="", "", VLOOKUP(F64, Inventory!A:BZ, 3, FALSE) - SUMIF($F$1:$F63, F64, $H$1:$H63))
</f>
        <v/>
      </c>
      <c r="I64" s="26"/>
      <c r="J64" s="26" t="s">
        <v>77</v>
      </c>
      <c r="L64" s="27" t="s">
        <v>77</v>
      </c>
      <c r="N64" s="28" t="s">
        <v>77</v>
      </c>
      <c r="Q64" s="30"/>
    </row>
    <row r="65">
      <c r="B65" s="6"/>
      <c r="C65" s="33" t="str">
        <f t="array" ref="C65">IF(B65="", "", XLOOKUP(B65, Inventory!D:D,Inventory!E:E,"No Name Found"))</f>
        <v/>
      </c>
      <c r="D65" s="6"/>
      <c r="E65" s="6"/>
      <c r="F65" s="6"/>
      <c r="G65" s="24" t="str">
        <f>IF(F65="", "", VLOOKUP(F65, Inventory!A:BZ, 3, FALSE) - SUMIF($F$1:$F64, F65, $H$1:$H64))
</f>
        <v/>
      </c>
      <c r="I65" s="26"/>
      <c r="J65" s="26" t="s">
        <v>77</v>
      </c>
      <c r="L65" s="27" t="s">
        <v>77</v>
      </c>
      <c r="N65" s="28" t="s">
        <v>77</v>
      </c>
      <c r="Q65" s="30"/>
    </row>
    <row r="66">
      <c r="B66" s="6"/>
      <c r="C66" s="33" t="str">
        <f t="array" ref="C66">IF(B66="", "", XLOOKUP(B66, Inventory!D:D,Inventory!E:E,"No Name Found"))</f>
        <v/>
      </c>
      <c r="D66" s="6"/>
      <c r="E66" s="6"/>
      <c r="F66" s="6"/>
      <c r="G66" s="24" t="str">
        <f>IF(F66="", "", VLOOKUP(F66, Inventory!A:BZ, 3, FALSE) - SUMIF($F$1:$F65, F66, $H$1:$H65))
</f>
        <v/>
      </c>
      <c r="I66" s="26"/>
      <c r="J66" s="26" t="s">
        <v>77</v>
      </c>
      <c r="L66" s="27" t="s">
        <v>77</v>
      </c>
      <c r="N66" s="28" t="s">
        <v>77</v>
      </c>
      <c r="Q66" s="30"/>
    </row>
    <row r="67">
      <c r="B67" s="6"/>
      <c r="C67" s="33" t="str">
        <f t="array" ref="C67">IF(B67="", "", XLOOKUP(B67, Inventory!D:D,Inventory!E:E,"No Name Found"))</f>
        <v/>
      </c>
      <c r="D67" s="6"/>
      <c r="E67" s="6"/>
      <c r="F67" s="6"/>
      <c r="G67" s="24" t="str">
        <f>IF(F67="", "", VLOOKUP(F67, Inventory!A:BZ, 3, FALSE) - SUMIF($F$1:$F66, F67, $H$1:$H66))
</f>
        <v/>
      </c>
      <c r="I67" s="26"/>
      <c r="J67" s="26" t="s">
        <v>77</v>
      </c>
      <c r="L67" s="27" t="s">
        <v>77</v>
      </c>
      <c r="N67" s="28" t="s">
        <v>77</v>
      </c>
      <c r="Q67" s="30"/>
    </row>
    <row r="68">
      <c r="B68" s="6"/>
      <c r="C68" s="33" t="str">
        <f t="array" ref="C68">IF(B68="", "", XLOOKUP(B68, Inventory!D:D,Inventory!E:E,"No Name Found"))</f>
        <v/>
      </c>
      <c r="D68" s="6"/>
      <c r="E68" s="6"/>
      <c r="F68" s="6"/>
      <c r="G68" s="24" t="str">
        <f>IF(F68="", "", VLOOKUP(F68, Inventory!A:BZ, 3, FALSE) - SUMIF($F$1:$F67, F68, $H$1:$H67))
</f>
        <v/>
      </c>
      <c r="I68" s="26"/>
      <c r="J68" s="26" t="s">
        <v>77</v>
      </c>
      <c r="L68" s="27" t="s">
        <v>77</v>
      </c>
      <c r="N68" s="28" t="s">
        <v>77</v>
      </c>
      <c r="Q68" s="30"/>
    </row>
    <row r="69">
      <c r="B69" s="6"/>
      <c r="C69" s="33" t="str">
        <f t="array" ref="C69">IF(B69="", "", XLOOKUP(B69, Inventory!D:D,Inventory!E:E,"No Name Found"))</f>
        <v/>
      </c>
      <c r="D69" s="6"/>
      <c r="E69" s="6"/>
      <c r="F69" s="6"/>
      <c r="G69" s="24" t="str">
        <f>IF(F69="", "", VLOOKUP(F69, Inventory!A:BZ, 3, FALSE) - SUMIF($F$1:$F68, F69, $H$1:$H68))
</f>
        <v/>
      </c>
      <c r="I69" s="26"/>
      <c r="J69" s="26" t="s">
        <v>77</v>
      </c>
      <c r="L69" s="27" t="s">
        <v>77</v>
      </c>
      <c r="N69" s="28" t="s">
        <v>77</v>
      </c>
      <c r="Q69" s="30"/>
    </row>
    <row r="70">
      <c r="B70" s="6"/>
      <c r="C70" s="33" t="str">
        <f t="array" ref="C70">IF(B70="", "", XLOOKUP(B70, Inventory!D:D,Inventory!E:E,"No Name Found"))</f>
        <v/>
      </c>
      <c r="D70" s="6"/>
      <c r="E70" s="6"/>
      <c r="F70" s="6"/>
      <c r="G70" s="24" t="str">
        <f>IF(F70="", "", VLOOKUP(F70, Inventory!A:BZ, 3, FALSE) - SUMIF($F$1:$F69, F70, $H$1:$H69))
</f>
        <v/>
      </c>
      <c r="I70" s="26"/>
      <c r="J70" s="26" t="s">
        <v>77</v>
      </c>
      <c r="L70" s="27" t="s">
        <v>77</v>
      </c>
      <c r="N70" s="28" t="s">
        <v>77</v>
      </c>
      <c r="Q70" s="30"/>
    </row>
    <row r="71">
      <c r="B71" s="6"/>
      <c r="C71" s="33" t="str">
        <f t="array" ref="C71">IF(B71="", "", XLOOKUP(B71, Inventory!D:D,Inventory!E:E,"No Name Found"))</f>
        <v/>
      </c>
      <c r="D71" s="6"/>
      <c r="E71" s="6"/>
      <c r="F71" s="6"/>
      <c r="G71" s="24" t="str">
        <f>IF(F71="", "", VLOOKUP(F71, Inventory!A:BZ, 3, FALSE) - SUMIF($F$1:$F70, F71, $H$1:$H70))
</f>
        <v/>
      </c>
      <c r="I71" s="26"/>
      <c r="J71" s="26" t="s">
        <v>77</v>
      </c>
      <c r="L71" s="27" t="s">
        <v>77</v>
      </c>
      <c r="N71" s="28" t="s">
        <v>77</v>
      </c>
      <c r="Q71" s="30"/>
    </row>
    <row r="72">
      <c r="B72" s="6"/>
      <c r="C72" s="33" t="str">
        <f t="array" ref="C72">IF(B72="", "", XLOOKUP(B72, Inventory!D:D,Inventory!E:E,"No Name Found"))</f>
        <v/>
      </c>
      <c r="D72" s="6"/>
      <c r="E72" s="6"/>
      <c r="F72" s="6"/>
      <c r="G72" s="24" t="str">
        <f>IF(F72="", "", VLOOKUP(F72, Inventory!A:BZ, 3, FALSE) - SUMIF($F$1:$F71, F72, $H$1:$H71))
</f>
        <v/>
      </c>
      <c r="I72" s="26"/>
      <c r="J72" s="26" t="s">
        <v>77</v>
      </c>
      <c r="L72" s="27" t="s">
        <v>77</v>
      </c>
      <c r="N72" s="28" t="s">
        <v>77</v>
      </c>
      <c r="Q72" s="30"/>
    </row>
    <row r="73">
      <c r="B73" s="6"/>
      <c r="C73" s="33" t="str">
        <f t="array" ref="C73">IF(B73="", "", XLOOKUP(B73, Inventory!D:D,Inventory!E:E,"No Name Found"))</f>
        <v/>
      </c>
      <c r="D73" s="6"/>
      <c r="E73" s="6"/>
      <c r="F73" s="6"/>
      <c r="G73" s="24" t="str">
        <f>IF(F73="", "", VLOOKUP(F73, Inventory!A:BZ, 3, FALSE) - SUMIF($F$1:$F72, F73, $H$1:$H72))
</f>
        <v/>
      </c>
      <c r="I73" s="26"/>
      <c r="J73" s="26" t="s">
        <v>77</v>
      </c>
      <c r="L73" s="27" t="s">
        <v>77</v>
      </c>
      <c r="N73" s="28" t="s">
        <v>77</v>
      </c>
      <c r="Q73" s="30"/>
    </row>
    <row r="74">
      <c r="B74" s="6"/>
      <c r="C74" s="33" t="str">
        <f t="array" ref="C74">IF(B74="", "", XLOOKUP(B74, Inventory!D:D,Inventory!E:E,"No Name Found"))</f>
        <v/>
      </c>
      <c r="D74" s="6"/>
      <c r="E74" s="6"/>
      <c r="F74" s="6"/>
      <c r="G74" s="24" t="str">
        <f>IF(F74="", "", VLOOKUP(F74, Inventory!A:BZ, 3, FALSE) - SUMIF($F$1:$F73, F74, $H$1:$H73))
</f>
        <v/>
      </c>
      <c r="I74" s="26"/>
      <c r="J74" s="26" t="s">
        <v>77</v>
      </c>
      <c r="L74" s="27" t="s">
        <v>77</v>
      </c>
      <c r="N74" s="28" t="s">
        <v>77</v>
      </c>
      <c r="Q74" s="30"/>
    </row>
    <row r="75">
      <c r="B75" s="6"/>
      <c r="C75" s="33" t="str">
        <f t="array" ref="C75">IF(B75="", "", XLOOKUP(B75, Inventory!D:D,Inventory!E:E,"No Name Found"))</f>
        <v/>
      </c>
      <c r="D75" s="6"/>
      <c r="E75" s="6"/>
      <c r="F75" s="6"/>
      <c r="G75" s="24" t="str">
        <f>IF(F75="", "", VLOOKUP(F75, Inventory!A:BZ, 3, FALSE) - SUMIF($F$1:$F74, F75, $H$1:$H74))
</f>
        <v/>
      </c>
      <c r="I75" s="26"/>
      <c r="J75" s="26" t="s">
        <v>77</v>
      </c>
      <c r="L75" s="27" t="s">
        <v>77</v>
      </c>
      <c r="N75" s="28" t="s">
        <v>77</v>
      </c>
      <c r="Q75" s="30"/>
    </row>
    <row r="76">
      <c r="B76" s="6"/>
      <c r="C76" s="33" t="str">
        <f t="array" ref="C76">IF(B76="", "", XLOOKUP(B76, Inventory!D:D,Inventory!E:E,"No Name Found"))</f>
        <v/>
      </c>
      <c r="D76" s="6"/>
      <c r="E76" s="6"/>
      <c r="F76" s="6"/>
      <c r="G76" s="24" t="str">
        <f>IF(F76="", "", VLOOKUP(F76, Inventory!A:BZ, 3, FALSE) - SUMIF($F$1:$F75, F76, $H$1:$H75))
</f>
        <v/>
      </c>
      <c r="I76" s="26"/>
      <c r="J76" s="26" t="s">
        <v>77</v>
      </c>
      <c r="L76" s="27" t="s">
        <v>77</v>
      </c>
      <c r="N76" s="28" t="s">
        <v>77</v>
      </c>
      <c r="Q76" s="30"/>
    </row>
    <row r="77">
      <c r="B77" s="6"/>
      <c r="C77" s="33" t="str">
        <f t="array" ref="C77">IF(B77="", "", XLOOKUP(B77, Inventory!D:D,Inventory!E:E,"No Name Found"))</f>
        <v/>
      </c>
      <c r="D77" s="6"/>
      <c r="E77" s="6"/>
      <c r="F77" s="6"/>
      <c r="G77" s="24" t="str">
        <f>IF(F77="", "", VLOOKUP(F77, Inventory!A:BZ, 3, FALSE) - SUMIF($F$1:$F76, F77, $H$1:$H76))
</f>
        <v/>
      </c>
      <c r="I77" s="26"/>
      <c r="J77" s="26" t="s">
        <v>77</v>
      </c>
      <c r="L77" s="27" t="s">
        <v>77</v>
      </c>
      <c r="N77" s="28" t="s">
        <v>77</v>
      </c>
      <c r="Q77" s="30"/>
    </row>
    <row r="78">
      <c r="B78" s="6"/>
      <c r="C78" s="33" t="str">
        <f t="array" ref="C78">IF(B78="", "", XLOOKUP(B78, Inventory!D:D,Inventory!E:E,"No Name Found"))</f>
        <v/>
      </c>
      <c r="D78" s="6"/>
      <c r="E78" s="6"/>
      <c r="F78" s="6"/>
      <c r="G78" s="24" t="str">
        <f>IF(F78="", "", VLOOKUP(F78, Inventory!A:BZ, 3, FALSE) - SUMIF($F$1:$F77, F78, $H$1:$H77))
</f>
        <v/>
      </c>
      <c r="I78" s="26"/>
      <c r="J78" s="26" t="s">
        <v>77</v>
      </c>
      <c r="L78" s="27" t="s">
        <v>77</v>
      </c>
      <c r="N78" s="28" t="s">
        <v>77</v>
      </c>
      <c r="Q78" s="30"/>
    </row>
    <row r="79">
      <c r="B79" s="6"/>
      <c r="C79" s="33" t="str">
        <f t="array" ref="C79">IF(B79="", "", XLOOKUP(B79, Inventory!D:D,Inventory!E:E,"No Name Found"))</f>
        <v/>
      </c>
      <c r="D79" s="6"/>
      <c r="E79" s="6"/>
      <c r="F79" s="6"/>
      <c r="G79" s="24" t="str">
        <f>IF(F79="", "", VLOOKUP(F79, Inventory!A:BZ, 3, FALSE) - SUMIF($F$1:$F78, F79, $H$1:$H78))
</f>
        <v/>
      </c>
      <c r="I79" s="26"/>
      <c r="J79" s="26" t="s">
        <v>77</v>
      </c>
      <c r="L79" s="27" t="s">
        <v>77</v>
      </c>
      <c r="N79" s="28" t="s">
        <v>77</v>
      </c>
      <c r="Q79" s="30"/>
    </row>
    <row r="80">
      <c r="B80" s="6"/>
      <c r="C80" s="33" t="str">
        <f t="array" ref="C80">IF(B80="", "", XLOOKUP(B80, Inventory!D:D,Inventory!E:E,"No Name Found"))</f>
        <v/>
      </c>
      <c r="D80" s="6"/>
      <c r="E80" s="6"/>
      <c r="F80" s="6"/>
      <c r="G80" s="24" t="str">
        <f>IF(F80="", "", VLOOKUP(F80, Inventory!A:BZ, 3, FALSE) - SUMIF($F$1:$F79, F80, $H$1:$H79))
</f>
        <v/>
      </c>
      <c r="I80" s="26"/>
      <c r="J80" s="26" t="s">
        <v>77</v>
      </c>
      <c r="L80" s="27" t="s">
        <v>77</v>
      </c>
      <c r="N80" s="28" t="s">
        <v>77</v>
      </c>
      <c r="Q80" s="30"/>
    </row>
    <row r="81">
      <c r="B81" s="6"/>
      <c r="C81" s="33" t="str">
        <f t="array" ref="C81">IF(B81="", "", XLOOKUP(B81, Inventory!D:D,Inventory!E:E,"No Name Found"))</f>
        <v/>
      </c>
      <c r="D81" s="6"/>
      <c r="E81" s="6"/>
      <c r="F81" s="6"/>
      <c r="G81" s="24" t="str">
        <f>IF(F81="", "", VLOOKUP(F81, Inventory!A:BZ, 3, FALSE) - SUMIF($F$1:$F80, F81, $H$1:$H80))
</f>
        <v/>
      </c>
      <c r="I81" s="26"/>
      <c r="J81" s="26" t="s">
        <v>77</v>
      </c>
      <c r="L81" s="27" t="s">
        <v>77</v>
      </c>
      <c r="N81" s="28" t="s">
        <v>77</v>
      </c>
      <c r="Q81" s="30"/>
    </row>
    <row r="82">
      <c r="B82" s="6"/>
      <c r="C82" s="33" t="str">
        <f t="array" ref="C82">IF(B82="", "", XLOOKUP(B82, Inventory!D:D,Inventory!E:E,"No Name Found"))</f>
        <v/>
      </c>
      <c r="D82" s="6"/>
      <c r="E82" s="6"/>
      <c r="F82" s="6"/>
      <c r="G82" s="24" t="str">
        <f>IF(F82="", "", VLOOKUP(F82, Inventory!A:BZ, 3, FALSE) - SUMIF($F$1:$F81, F82, $H$1:$H81))
</f>
        <v/>
      </c>
      <c r="I82" s="26"/>
      <c r="J82" s="26" t="s">
        <v>77</v>
      </c>
      <c r="L82" s="27" t="s">
        <v>77</v>
      </c>
      <c r="N82" s="28" t="s">
        <v>77</v>
      </c>
      <c r="Q82" s="30"/>
    </row>
    <row r="83">
      <c r="B83" s="6"/>
      <c r="C83" s="33" t="str">
        <f t="array" ref="C83">IF(B83="", "", XLOOKUP(B83, Inventory!D:D,Inventory!E:E,"No Name Found"))</f>
        <v/>
      </c>
      <c r="D83" s="6"/>
      <c r="E83" s="6"/>
      <c r="F83" s="6"/>
      <c r="G83" s="24" t="str">
        <f>IF(F83="", "", VLOOKUP(F83, Inventory!A:BZ, 3, FALSE) - SUMIF($F$1:$F82, F83, $H$1:$H82))
</f>
        <v/>
      </c>
      <c r="I83" s="26"/>
      <c r="J83" s="26" t="s">
        <v>77</v>
      </c>
      <c r="L83" s="27" t="s">
        <v>77</v>
      </c>
      <c r="N83" s="28" t="s">
        <v>77</v>
      </c>
      <c r="Q83" s="30"/>
    </row>
    <row r="84">
      <c r="B84" s="6"/>
      <c r="C84" s="33" t="str">
        <f t="array" ref="C84">IF(B84="", "", XLOOKUP(B84, Inventory!D:D,Inventory!E:E,"No Name Found"))</f>
        <v/>
      </c>
      <c r="D84" s="6"/>
      <c r="E84" s="6"/>
      <c r="F84" s="6"/>
      <c r="G84" s="24" t="str">
        <f>IF(F84="", "", VLOOKUP(F84, Inventory!A:BZ, 3, FALSE) - SUMIF($F$1:$F83, F84, $H$1:$H83))
</f>
        <v/>
      </c>
      <c r="I84" s="26"/>
      <c r="J84" s="26" t="s">
        <v>77</v>
      </c>
      <c r="L84" s="27" t="s">
        <v>77</v>
      </c>
      <c r="N84" s="28" t="s">
        <v>77</v>
      </c>
      <c r="Q84" s="30"/>
    </row>
    <row r="85">
      <c r="B85" s="6"/>
      <c r="C85" s="33" t="str">
        <f t="array" ref="C85">IF(B85="", "", XLOOKUP(B85, Inventory!D:D,Inventory!E:E,"No Name Found"))</f>
        <v/>
      </c>
      <c r="D85" s="6"/>
      <c r="E85" s="6"/>
      <c r="F85" s="6"/>
      <c r="G85" s="24" t="str">
        <f>IF(F85="", "", VLOOKUP(F85, Inventory!A:BZ, 3, FALSE) - SUMIF($F$1:$F84, F85, $H$1:$H84))
</f>
        <v/>
      </c>
      <c r="I85" s="26"/>
      <c r="J85" s="26" t="s">
        <v>77</v>
      </c>
      <c r="L85" s="27" t="s">
        <v>77</v>
      </c>
      <c r="N85" s="28" t="s">
        <v>77</v>
      </c>
      <c r="Q85" s="30"/>
    </row>
    <row r="86">
      <c r="B86" s="6"/>
      <c r="C86" s="33" t="str">
        <f t="array" ref="C86">IF(B86="", "", XLOOKUP(B86, Inventory!D:D,Inventory!E:E,"No Name Found"))</f>
        <v/>
      </c>
      <c r="D86" s="6"/>
      <c r="E86" s="6"/>
      <c r="F86" s="6"/>
      <c r="G86" s="24" t="str">
        <f>IF(F86="", "", VLOOKUP(F86, Inventory!A:BZ, 3, FALSE) - SUMIF($F$1:$F85, F86, $H$1:$H85))
</f>
        <v/>
      </c>
      <c r="I86" s="26"/>
      <c r="J86" s="26" t="s">
        <v>77</v>
      </c>
      <c r="L86" s="27" t="s">
        <v>77</v>
      </c>
      <c r="N86" s="28" t="s">
        <v>77</v>
      </c>
      <c r="Q86" s="30"/>
    </row>
    <row r="87">
      <c r="B87" s="6"/>
      <c r="C87" s="33" t="str">
        <f t="array" ref="C87">IF(B87="", "", XLOOKUP(B87, Inventory!D:D,Inventory!E:E,"No Name Found"))</f>
        <v/>
      </c>
      <c r="D87" s="6"/>
      <c r="E87" s="6"/>
      <c r="F87" s="6"/>
      <c r="G87" s="24" t="str">
        <f>IF(F87="", "", VLOOKUP(F87, Inventory!A:BZ, 3, FALSE) - SUMIF($F$1:$F86, F87, $H$1:$H86))
</f>
        <v/>
      </c>
      <c r="I87" s="26"/>
      <c r="J87" s="26" t="s">
        <v>77</v>
      </c>
      <c r="L87" s="27" t="s">
        <v>77</v>
      </c>
      <c r="N87" s="28" t="s">
        <v>77</v>
      </c>
      <c r="Q87" s="30"/>
    </row>
    <row r="88">
      <c r="B88" s="6"/>
      <c r="C88" s="33" t="str">
        <f t="array" ref="C88">IF(B88="", "", XLOOKUP(B88, Inventory!D:D,Inventory!E:E,"No Name Found"))</f>
        <v/>
      </c>
      <c r="D88" s="6"/>
      <c r="E88" s="6"/>
      <c r="F88" s="6"/>
      <c r="G88" s="24" t="str">
        <f>IF(F88="", "", VLOOKUP(F88, Inventory!A:BZ, 3, FALSE) - SUMIF($F$1:$F87, F88, $H$1:$H87))
</f>
        <v/>
      </c>
      <c r="I88" s="26"/>
      <c r="J88" s="26" t="s">
        <v>77</v>
      </c>
      <c r="L88" s="27" t="s">
        <v>77</v>
      </c>
      <c r="N88" s="28" t="s">
        <v>77</v>
      </c>
      <c r="Q88" s="30"/>
    </row>
    <row r="89">
      <c r="B89" s="6"/>
      <c r="C89" s="33" t="str">
        <f t="array" ref="C89">IF(B89="", "", XLOOKUP(B89, Inventory!D:D,Inventory!E:E,"No Name Found"))</f>
        <v/>
      </c>
      <c r="D89" s="6"/>
      <c r="E89" s="6"/>
      <c r="F89" s="6"/>
      <c r="G89" s="24" t="str">
        <f>IF(F89="", "", VLOOKUP(F89, Inventory!A:BZ, 3, FALSE) - SUMIF($F$1:$F88, F89, $H$1:$H88))
</f>
        <v/>
      </c>
      <c r="I89" s="26"/>
      <c r="J89" s="26" t="s">
        <v>77</v>
      </c>
      <c r="L89" s="27" t="s">
        <v>77</v>
      </c>
      <c r="N89" s="28" t="s">
        <v>77</v>
      </c>
      <c r="Q89" s="30"/>
    </row>
    <row r="90">
      <c r="B90" s="6"/>
      <c r="C90" s="33" t="str">
        <f t="array" ref="C90">IF(B90="", "", XLOOKUP(B90, Inventory!D:D,Inventory!E:E,"No Name Found"))</f>
        <v/>
      </c>
      <c r="D90" s="6"/>
      <c r="E90" s="6"/>
      <c r="F90" s="6"/>
      <c r="G90" s="24" t="str">
        <f>IF(F90="", "", VLOOKUP(F90, Inventory!A:BZ, 3, FALSE) - SUMIF($F$1:$F89, F90, $H$1:$H89))
</f>
        <v/>
      </c>
      <c r="I90" s="26"/>
      <c r="J90" s="26" t="s">
        <v>77</v>
      </c>
      <c r="L90" s="27" t="s">
        <v>77</v>
      </c>
      <c r="N90" s="28" t="s">
        <v>77</v>
      </c>
      <c r="Q90" s="30"/>
    </row>
    <row r="91">
      <c r="B91" s="6"/>
      <c r="C91" s="33" t="str">
        <f t="array" ref="C91">IF(B91="", "", XLOOKUP(B91, Inventory!D:D,Inventory!E:E,"No Name Found"))</f>
        <v/>
      </c>
      <c r="D91" s="6"/>
      <c r="E91" s="6"/>
      <c r="F91" s="6"/>
      <c r="G91" s="24" t="str">
        <f>IF(F91="", "", VLOOKUP(F91, Inventory!A:BZ, 3, FALSE) - SUMIF($F$1:$F90, F91, $H$1:$H90))
</f>
        <v/>
      </c>
      <c r="I91" s="26"/>
      <c r="J91" s="26" t="s">
        <v>77</v>
      </c>
      <c r="L91" s="27" t="s">
        <v>77</v>
      </c>
      <c r="N91" s="28" t="s">
        <v>77</v>
      </c>
      <c r="Q91" s="30"/>
    </row>
    <row r="92">
      <c r="B92" s="6"/>
      <c r="C92" s="33" t="str">
        <f t="array" ref="C92">IF(B92="", "", XLOOKUP(B92, Inventory!D:D,Inventory!E:E,"No Name Found"))</f>
        <v/>
      </c>
      <c r="D92" s="6"/>
      <c r="E92" s="6"/>
      <c r="F92" s="6"/>
      <c r="G92" s="24" t="str">
        <f>IF(F92="", "", VLOOKUP(F92, Inventory!A:BZ, 3, FALSE) - SUMIF($F$1:$F91, F92, $H$1:$H91))
</f>
        <v/>
      </c>
      <c r="I92" s="26"/>
      <c r="J92" s="26" t="s">
        <v>77</v>
      </c>
      <c r="L92" s="27" t="s">
        <v>77</v>
      </c>
      <c r="N92" s="28" t="s">
        <v>77</v>
      </c>
      <c r="Q92" s="30"/>
    </row>
    <row r="93">
      <c r="B93" s="6"/>
      <c r="C93" s="33" t="str">
        <f t="array" ref="C93">IF(B93="", "", XLOOKUP(B93, Inventory!D:D,Inventory!E:E,"No Name Found"))</f>
        <v/>
      </c>
      <c r="D93" s="6"/>
      <c r="E93" s="6"/>
      <c r="F93" s="6"/>
      <c r="G93" s="24" t="str">
        <f>IF(F93="", "", VLOOKUP(F93, Inventory!A:BZ, 3, FALSE) - SUMIF($F$1:$F92, F93, $H$1:$H92))
</f>
        <v/>
      </c>
      <c r="I93" s="26"/>
      <c r="J93" s="26" t="s">
        <v>77</v>
      </c>
      <c r="L93" s="27" t="s">
        <v>77</v>
      </c>
      <c r="N93" s="28" t="s">
        <v>77</v>
      </c>
      <c r="Q93" s="30"/>
    </row>
    <row r="94">
      <c r="B94" s="6"/>
      <c r="C94" s="33" t="str">
        <f t="array" ref="C94">IF(B94="", "", XLOOKUP(B94, Inventory!D:D,Inventory!E:E,"No Name Found"))</f>
        <v/>
      </c>
      <c r="D94" s="6"/>
      <c r="E94" s="6"/>
      <c r="F94" s="6"/>
      <c r="G94" s="24" t="str">
        <f>IF(F94="", "", VLOOKUP(F94, Inventory!A:BZ, 3, FALSE) - SUMIF($F$1:$F93, F94, $H$1:$H93))
</f>
        <v/>
      </c>
      <c r="I94" s="26"/>
      <c r="J94" s="26" t="s">
        <v>77</v>
      </c>
      <c r="L94" s="27" t="s">
        <v>77</v>
      </c>
      <c r="N94" s="28" t="s">
        <v>77</v>
      </c>
      <c r="Q94" s="30"/>
    </row>
    <row r="95">
      <c r="B95" s="6"/>
      <c r="C95" s="33" t="str">
        <f t="array" ref="C95">IF(B95="", "", XLOOKUP(B95, Inventory!D:D,Inventory!E:E,"No Name Found"))</f>
        <v/>
      </c>
      <c r="D95" s="6"/>
      <c r="E95" s="6"/>
      <c r="F95" s="6"/>
      <c r="G95" s="24" t="str">
        <f>IF(F95="", "", VLOOKUP(F95, Inventory!A:BZ, 3, FALSE) - SUMIF($F$1:$F94, F95, $H$1:$H94))
</f>
        <v/>
      </c>
      <c r="I95" s="26"/>
      <c r="J95" s="26" t="s">
        <v>77</v>
      </c>
      <c r="L95" s="27" t="s">
        <v>77</v>
      </c>
      <c r="N95" s="28" t="s">
        <v>77</v>
      </c>
      <c r="Q95" s="30"/>
    </row>
    <row r="96">
      <c r="B96" s="6"/>
      <c r="C96" s="33" t="str">
        <f t="array" ref="C96">IF(B96="", "", XLOOKUP(B96, Inventory!D:D,Inventory!E:E,"No Name Found"))</f>
        <v/>
      </c>
      <c r="D96" s="6"/>
      <c r="E96" s="6"/>
      <c r="F96" s="6"/>
      <c r="G96" s="24" t="str">
        <f>IF(F96="", "", VLOOKUP(F96, Inventory!A:BZ, 3, FALSE) - SUMIF($F$1:$F95, F96, $H$1:$H95))
</f>
        <v/>
      </c>
      <c r="I96" s="26"/>
      <c r="J96" s="26" t="s">
        <v>77</v>
      </c>
      <c r="L96" s="27" t="s">
        <v>77</v>
      </c>
      <c r="N96" s="28" t="s">
        <v>77</v>
      </c>
      <c r="Q96" s="30"/>
    </row>
    <row r="97">
      <c r="B97" s="6"/>
      <c r="C97" s="33" t="str">
        <f t="array" ref="C97">IF(B97="", "", XLOOKUP(B97, Inventory!D:D,Inventory!E:E,"No Name Found"))</f>
        <v/>
      </c>
      <c r="D97" s="6"/>
      <c r="E97" s="6"/>
      <c r="F97" s="6"/>
      <c r="G97" s="24" t="str">
        <f>IF(F97="", "", VLOOKUP(F97, Inventory!A:BZ, 3, FALSE) - SUMIF($F$1:$F96, F97, $H$1:$H96))
</f>
        <v/>
      </c>
      <c r="I97" s="26"/>
      <c r="J97" s="26" t="s">
        <v>77</v>
      </c>
      <c r="L97" s="27" t="s">
        <v>77</v>
      </c>
      <c r="N97" s="28" t="s">
        <v>77</v>
      </c>
      <c r="Q97" s="30"/>
    </row>
    <row r="98">
      <c r="B98" s="6"/>
      <c r="C98" s="33" t="str">
        <f t="array" ref="C98">IF(B98="", "", XLOOKUP(B98, Inventory!D:D,Inventory!E:E,"No Name Found"))</f>
        <v/>
      </c>
      <c r="D98" s="6"/>
      <c r="E98" s="6"/>
      <c r="F98" s="6"/>
      <c r="G98" s="24" t="str">
        <f>IF(F98="", "", VLOOKUP(F98, Inventory!A:BZ, 3, FALSE) - SUMIF($F$1:$F97, F98, $H$1:$H97))
</f>
        <v/>
      </c>
      <c r="I98" s="26"/>
      <c r="J98" s="26" t="s">
        <v>77</v>
      </c>
      <c r="L98" s="27" t="s">
        <v>77</v>
      </c>
      <c r="N98" s="28" t="s">
        <v>77</v>
      </c>
      <c r="Q98" s="30"/>
    </row>
    <row r="99">
      <c r="B99" s="6"/>
      <c r="C99" s="33" t="str">
        <f t="array" ref="C99">IF(B99="", "", XLOOKUP(B99, Inventory!D:D,Inventory!E:E,"No Name Found"))</f>
        <v/>
      </c>
      <c r="D99" s="6"/>
      <c r="E99" s="6"/>
      <c r="F99" s="6"/>
      <c r="G99" s="24" t="str">
        <f>IF(F99="", "", VLOOKUP(F99, Inventory!A:BZ, 3, FALSE) - SUMIF($F$1:$F98, F99, $H$1:$H98))
</f>
        <v/>
      </c>
      <c r="I99" s="26"/>
      <c r="J99" s="26" t="s">
        <v>77</v>
      </c>
      <c r="L99" s="27" t="s">
        <v>77</v>
      </c>
      <c r="N99" s="28" t="s">
        <v>77</v>
      </c>
      <c r="Q99" s="30"/>
    </row>
    <row r="100">
      <c r="B100" s="6"/>
      <c r="C100" s="33" t="str">
        <f t="array" ref="C100">IF(B100="", "", XLOOKUP(B100, Inventory!D:D,Inventory!E:E,"No Name Found"))</f>
        <v/>
      </c>
      <c r="D100" s="6"/>
      <c r="E100" s="6"/>
      <c r="F100" s="6"/>
      <c r="G100" s="24" t="str">
        <f>IF(F100="", "", VLOOKUP(F100, Inventory!A:BZ, 3, FALSE) - SUMIF($F$1:$F99, F100, $H$1:$H99))
</f>
        <v/>
      </c>
      <c r="I100" s="26"/>
      <c r="J100" s="26" t="s">
        <v>77</v>
      </c>
      <c r="L100" s="27" t="s">
        <v>77</v>
      </c>
      <c r="N100" s="28" t="s">
        <v>77</v>
      </c>
      <c r="Q100" s="30"/>
    </row>
    <row r="101">
      <c r="B101" s="6"/>
      <c r="C101" s="33" t="str">
        <f t="array" ref="C101">IF(B101="", "", XLOOKUP(B101, Inventory!D:D,Inventory!E:E,"No Name Found"))</f>
        <v/>
      </c>
      <c r="D101" s="6"/>
      <c r="E101" s="6"/>
      <c r="F101" s="6"/>
      <c r="G101" s="24" t="str">
        <f>IF(F101="", "", VLOOKUP(F101, Inventory!A:BZ, 3, FALSE) - SUMIF($F$1:$F100, F101, $H$1:$H100))
</f>
        <v/>
      </c>
      <c r="I101" s="26"/>
      <c r="J101" s="26" t="s">
        <v>77</v>
      </c>
      <c r="L101" s="27" t="s">
        <v>77</v>
      </c>
      <c r="N101" s="28" t="s">
        <v>77</v>
      </c>
      <c r="Q101" s="30"/>
    </row>
    <row r="102">
      <c r="B102" s="6"/>
      <c r="C102" s="33" t="str">
        <f t="array" ref="C102">IF(B102="", "", XLOOKUP(B102, Inventory!D:D,Inventory!E:E,"No Name Found"))</f>
        <v/>
      </c>
      <c r="D102" s="6"/>
      <c r="E102" s="6"/>
      <c r="F102" s="6"/>
      <c r="G102" s="24" t="str">
        <f>IF(F102="", "", VLOOKUP(F102, Inventory!A:BZ, 3, FALSE) - SUMIF($F$1:$F101, F102, $H$1:$H101))
</f>
        <v/>
      </c>
      <c r="I102" s="26"/>
      <c r="J102" s="26" t="s">
        <v>77</v>
      </c>
      <c r="L102" s="27" t="s">
        <v>77</v>
      </c>
      <c r="N102" s="28" t="s">
        <v>77</v>
      </c>
      <c r="Q102" s="30"/>
    </row>
    <row r="103">
      <c r="B103" s="6"/>
      <c r="C103" s="33" t="str">
        <f t="array" ref="C103">IF(B103="", "", XLOOKUP(B103, Inventory!D:D,Inventory!E:E,"No Name Found"))</f>
        <v/>
      </c>
      <c r="D103" s="6"/>
      <c r="E103" s="6"/>
      <c r="F103" s="6"/>
      <c r="G103" s="24" t="str">
        <f>IF(F103="", "", VLOOKUP(F103, Inventory!A:BZ, 3, FALSE) - SUMIF($F$1:$F102, F103, $H$1:$H102))
</f>
        <v/>
      </c>
      <c r="I103" s="26"/>
      <c r="J103" s="26" t="s">
        <v>77</v>
      </c>
      <c r="L103" s="27" t="s">
        <v>77</v>
      </c>
      <c r="N103" s="28" t="s">
        <v>77</v>
      </c>
      <c r="Q103" s="30"/>
    </row>
    <row r="104">
      <c r="B104" s="6"/>
      <c r="C104" s="33" t="str">
        <f t="array" ref="C104">IF(B104="", "", XLOOKUP(B104, Inventory!D:D,Inventory!E:E,"No Name Found"))</f>
        <v/>
      </c>
      <c r="D104" s="6"/>
      <c r="E104" s="6"/>
      <c r="F104" s="6"/>
      <c r="G104" s="24" t="str">
        <f>IF(F104="", "", VLOOKUP(F104, Inventory!A:BZ, 3, FALSE) - SUMIF($F$1:$F103, F104, $H$1:$H103))
</f>
        <v/>
      </c>
      <c r="I104" s="26"/>
      <c r="J104" s="26" t="s">
        <v>77</v>
      </c>
      <c r="L104" s="27" t="s">
        <v>77</v>
      </c>
      <c r="N104" s="28" t="s">
        <v>77</v>
      </c>
      <c r="Q104" s="30"/>
    </row>
    <row r="105">
      <c r="B105" s="6"/>
      <c r="C105" s="33" t="str">
        <f t="array" ref="C105">IF(B105="", "", XLOOKUP(B105, Inventory!D:D,Inventory!E:E,"No Name Found"))</f>
        <v/>
      </c>
      <c r="D105" s="6"/>
      <c r="E105" s="6"/>
      <c r="F105" s="6"/>
      <c r="G105" s="24" t="str">
        <f>IF(F105="", "", VLOOKUP(F105, Inventory!A:BZ, 3, FALSE) - SUMIF($F$1:$F104, F105, $H$1:$H104))
</f>
        <v/>
      </c>
      <c r="I105" s="26"/>
      <c r="J105" s="26" t="s">
        <v>77</v>
      </c>
      <c r="L105" s="27" t="s">
        <v>77</v>
      </c>
      <c r="N105" s="28" t="s">
        <v>77</v>
      </c>
      <c r="Q105" s="30"/>
    </row>
    <row r="106">
      <c r="B106" s="6"/>
      <c r="C106" s="33" t="str">
        <f t="array" ref="C106">IF(B106="", "", XLOOKUP(B106, Inventory!D:D,Inventory!E:E,"No Name Found"))</f>
        <v/>
      </c>
      <c r="D106" s="6"/>
      <c r="E106" s="6"/>
      <c r="F106" s="6"/>
      <c r="G106" s="24" t="str">
        <f>IF(F106="", "", VLOOKUP(F106, Inventory!A:BZ, 3, FALSE) - SUMIF($F$1:$F105, F106, $H$1:$H105))
</f>
        <v/>
      </c>
      <c r="I106" s="26"/>
      <c r="J106" s="26" t="s">
        <v>77</v>
      </c>
      <c r="L106" s="27" t="s">
        <v>77</v>
      </c>
      <c r="N106" s="28" t="s">
        <v>77</v>
      </c>
      <c r="Q106" s="30"/>
    </row>
    <row r="107">
      <c r="B107" s="6"/>
      <c r="C107" s="33" t="str">
        <f t="array" ref="C107">IF(B107="", "", XLOOKUP(B107, Inventory!D:D,Inventory!E:E,"No Name Found"))</f>
        <v/>
      </c>
      <c r="D107" s="6"/>
      <c r="E107" s="6"/>
      <c r="F107" s="6"/>
      <c r="G107" s="24" t="str">
        <f>IF(F107="", "", VLOOKUP(F107, Inventory!A:BZ, 3, FALSE) - SUMIF($F$1:$F106, F107, $H$1:$H106))
</f>
        <v/>
      </c>
      <c r="I107" s="26"/>
      <c r="J107" s="26" t="s">
        <v>77</v>
      </c>
      <c r="L107" s="27" t="s">
        <v>77</v>
      </c>
      <c r="N107" s="28" t="s">
        <v>77</v>
      </c>
      <c r="Q107" s="30"/>
    </row>
    <row r="108">
      <c r="B108" s="6"/>
      <c r="C108" s="33" t="str">
        <f t="array" ref="C108">IF(B108="", "", XLOOKUP(B108, Inventory!D:D,Inventory!E:E,"No Name Found"))</f>
        <v/>
      </c>
      <c r="D108" s="6"/>
      <c r="E108" s="6"/>
      <c r="F108" s="6"/>
      <c r="G108" s="24" t="str">
        <f>IF(F108="", "", VLOOKUP(F108, Inventory!A:BZ, 3, FALSE) - SUMIF($F$1:$F107, F108, $H$1:$H107))
</f>
        <v/>
      </c>
      <c r="I108" s="26"/>
      <c r="J108" s="26" t="s">
        <v>77</v>
      </c>
      <c r="L108" s="27" t="s">
        <v>77</v>
      </c>
      <c r="N108" s="28" t="s">
        <v>77</v>
      </c>
      <c r="Q108" s="30"/>
    </row>
    <row r="109">
      <c r="B109" s="6"/>
      <c r="C109" s="33" t="str">
        <f t="array" ref="C109">IF(B109="", "", XLOOKUP(B109, Inventory!D:D,Inventory!E:E,"No Name Found"))</f>
        <v/>
      </c>
      <c r="D109" s="6"/>
      <c r="E109" s="6"/>
      <c r="F109" s="6"/>
      <c r="G109" s="24" t="str">
        <f>IF(F109="", "", VLOOKUP(F109, Inventory!A:BZ, 3, FALSE) - SUMIF($F$1:$F108, F109, $H$1:$H108))
</f>
        <v/>
      </c>
      <c r="I109" s="26"/>
      <c r="J109" s="26" t="s">
        <v>77</v>
      </c>
      <c r="L109" s="27" t="s">
        <v>77</v>
      </c>
      <c r="N109" s="28" t="s">
        <v>77</v>
      </c>
      <c r="Q109" s="30"/>
    </row>
    <row r="110">
      <c r="B110" s="6"/>
      <c r="C110" s="33" t="str">
        <f t="array" ref="C110">IF(B110="", "", XLOOKUP(B110, Inventory!D:D,Inventory!E:E,"No Name Found"))</f>
        <v/>
      </c>
      <c r="D110" s="6"/>
      <c r="E110" s="6"/>
      <c r="F110" s="6"/>
      <c r="G110" s="24" t="str">
        <f>IF(F110="", "", VLOOKUP(F110, Inventory!A:BZ, 3, FALSE) - SUMIF($F$1:$F109, F110, $H$1:$H109))
</f>
        <v/>
      </c>
      <c r="I110" s="26"/>
      <c r="J110" s="26" t="s">
        <v>77</v>
      </c>
      <c r="L110" s="27" t="s">
        <v>77</v>
      </c>
      <c r="N110" s="28" t="s">
        <v>77</v>
      </c>
      <c r="Q110" s="30"/>
    </row>
    <row r="111">
      <c r="B111" s="6"/>
      <c r="C111" s="33" t="str">
        <f t="array" ref="C111">IF(B111="", "", XLOOKUP(B111, Inventory!D:D,Inventory!E:E,"No Name Found"))</f>
        <v/>
      </c>
      <c r="D111" s="6"/>
      <c r="E111" s="6"/>
      <c r="F111" s="6"/>
      <c r="G111" s="24" t="str">
        <f>IF(F111="", "", VLOOKUP(F111, Inventory!A:BZ, 3, FALSE) - SUMIF($F$1:$F110, F111, $H$1:$H110))
</f>
        <v/>
      </c>
      <c r="I111" s="26"/>
      <c r="J111" s="26" t="s">
        <v>77</v>
      </c>
      <c r="L111" s="27" t="s">
        <v>77</v>
      </c>
      <c r="N111" s="28" t="s">
        <v>77</v>
      </c>
      <c r="Q111" s="30"/>
    </row>
    <row r="112">
      <c r="B112" s="6"/>
      <c r="C112" s="33" t="str">
        <f t="array" ref="C112">IF(B112="", "", XLOOKUP(B112, Inventory!D:D,Inventory!E:E,"No Name Found"))</f>
        <v/>
      </c>
      <c r="D112" s="6"/>
      <c r="E112" s="6"/>
      <c r="F112" s="6"/>
      <c r="G112" s="24" t="str">
        <f>IF(F112="", "", VLOOKUP(F112, Inventory!A:BZ, 3, FALSE) - SUMIF($F$1:$F111, F112, $H$1:$H111))
</f>
        <v/>
      </c>
      <c r="I112" s="26"/>
      <c r="J112" s="26" t="s">
        <v>77</v>
      </c>
      <c r="L112" s="27" t="s">
        <v>77</v>
      </c>
      <c r="N112" s="28" t="s">
        <v>77</v>
      </c>
      <c r="Q112" s="30"/>
    </row>
    <row r="113">
      <c r="B113" s="6"/>
      <c r="C113" s="33" t="str">
        <f t="array" ref="C113">IF(B113="", "", XLOOKUP(B113, Inventory!D:D,Inventory!E:E,"No Name Found"))</f>
        <v/>
      </c>
      <c r="D113" s="6"/>
      <c r="E113" s="6"/>
      <c r="F113" s="6"/>
      <c r="G113" s="24" t="str">
        <f>IF(F113="", "", VLOOKUP(F113, Inventory!A:BZ, 3, FALSE) - SUMIF($F$1:$F112, F113, $H$1:$H112))
</f>
        <v/>
      </c>
      <c r="I113" s="26"/>
      <c r="J113" s="26" t="s">
        <v>77</v>
      </c>
      <c r="L113" s="27" t="s">
        <v>77</v>
      </c>
      <c r="N113" s="28" t="s">
        <v>77</v>
      </c>
      <c r="Q113" s="30"/>
    </row>
    <row r="114">
      <c r="B114" s="6"/>
      <c r="C114" s="33" t="str">
        <f t="array" ref="C114">IF(B114="", "", XLOOKUP(B114, Inventory!D:D,Inventory!E:E,"No Name Found"))</f>
        <v/>
      </c>
      <c r="D114" s="6"/>
      <c r="E114" s="6"/>
      <c r="F114" s="6"/>
      <c r="G114" s="24" t="str">
        <f>IF(F114="", "", VLOOKUP(F114, Inventory!A:BZ, 3, FALSE) - SUMIF($F$1:$F113, F114, $H$1:$H113))
</f>
        <v/>
      </c>
      <c r="I114" s="26"/>
      <c r="J114" s="26" t="s">
        <v>77</v>
      </c>
      <c r="L114" s="27" t="s">
        <v>77</v>
      </c>
      <c r="N114" s="28" t="s">
        <v>77</v>
      </c>
      <c r="Q114" s="30"/>
    </row>
    <row r="115">
      <c r="B115" s="6"/>
      <c r="C115" s="33" t="str">
        <f t="array" ref="C115">IF(B115="", "", XLOOKUP(B115, Inventory!D:D,Inventory!E:E,"No Name Found"))</f>
        <v/>
      </c>
      <c r="D115" s="6"/>
      <c r="E115" s="6"/>
      <c r="F115" s="6"/>
      <c r="G115" s="24" t="str">
        <f>IF(F115="", "", VLOOKUP(F115, Inventory!A:BZ, 3, FALSE) - SUMIF($F$1:$F114, F115, $H$1:$H114))
</f>
        <v/>
      </c>
      <c r="I115" s="26"/>
      <c r="J115" s="26" t="s">
        <v>77</v>
      </c>
      <c r="L115" s="27" t="s">
        <v>77</v>
      </c>
      <c r="N115" s="28" t="s">
        <v>77</v>
      </c>
      <c r="Q115" s="30"/>
    </row>
    <row r="116">
      <c r="B116" s="6"/>
      <c r="C116" s="33" t="str">
        <f t="array" ref="C116">IF(B116="", "", XLOOKUP(B116, Inventory!D:D,Inventory!E:E,"No Name Found"))</f>
        <v/>
      </c>
      <c r="D116" s="6"/>
      <c r="E116" s="6"/>
      <c r="F116" s="6"/>
      <c r="G116" s="24" t="str">
        <f>IF(F116="", "", VLOOKUP(F116, Inventory!A:BZ, 3, FALSE) - SUMIF($F$1:$F115, F116, $H$1:$H115))
</f>
        <v/>
      </c>
      <c r="I116" s="26"/>
      <c r="J116" s="26" t="s">
        <v>77</v>
      </c>
      <c r="L116" s="27" t="s">
        <v>77</v>
      </c>
      <c r="N116" s="28" t="s">
        <v>77</v>
      </c>
      <c r="Q116" s="30"/>
    </row>
    <row r="117">
      <c r="B117" s="6"/>
      <c r="C117" s="33" t="str">
        <f t="array" ref="C117">IF(B117="", "", XLOOKUP(B117, Inventory!D:D,Inventory!E:E,"No Name Found"))</f>
        <v/>
      </c>
      <c r="D117" s="6"/>
      <c r="E117" s="6"/>
      <c r="F117" s="6"/>
      <c r="G117" s="24" t="str">
        <f>IF(F117="", "", VLOOKUP(F117, Inventory!A:BZ, 3, FALSE) - SUMIF($F$1:$F116, F117, $H$1:$H116))
</f>
        <v/>
      </c>
      <c r="I117" s="26"/>
      <c r="J117" s="26" t="s">
        <v>77</v>
      </c>
      <c r="L117" s="27" t="s">
        <v>77</v>
      </c>
      <c r="N117" s="28" t="s">
        <v>77</v>
      </c>
      <c r="Q117" s="30"/>
    </row>
    <row r="118">
      <c r="B118" s="6"/>
      <c r="C118" s="33" t="str">
        <f t="array" ref="C118">IF(B118="", "", XLOOKUP(B118, Inventory!D:D,Inventory!E:E,"No Name Found"))</f>
        <v/>
      </c>
      <c r="D118" s="6"/>
      <c r="E118" s="6"/>
      <c r="F118" s="6"/>
      <c r="G118" s="24" t="str">
        <f>IF(F118="", "", VLOOKUP(F118, Inventory!A:BZ, 3, FALSE) - SUMIF($F$1:$F117, F118, $H$1:$H117))
</f>
        <v/>
      </c>
      <c r="I118" s="26"/>
      <c r="J118" s="26" t="s">
        <v>77</v>
      </c>
      <c r="L118" s="27" t="s">
        <v>77</v>
      </c>
      <c r="N118" s="28" t="s">
        <v>77</v>
      </c>
      <c r="Q118" s="30"/>
    </row>
    <row r="119">
      <c r="B119" s="6"/>
      <c r="C119" s="33" t="str">
        <f t="array" ref="C119">IF(B119="", "", XLOOKUP(B119, Inventory!D:D,Inventory!E:E,"No Name Found"))</f>
        <v/>
      </c>
      <c r="D119" s="6"/>
      <c r="E119" s="6"/>
      <c r="F119" s="6"/>
      <c r="G119" s="24" t="str">
        <f>IF(F119="", "", VLOOKUP(F119, Inventory!A:BZ, 3, FALSE) - SUMIF($F$1:$F118, F119, $H$1:$H118))
</f>
        <v/>
      </c>
      <c r="I119" s="26"/>
      <c r="J119" s="26" t="s">
        <v>77</v>
      </c>
      <c r="L119" s="27" t="s">
        <v>77</v>
      </c>
      <c r="N119" s="28" t="s">
        <v>77</v>
      </c>
      <c r="Q119" s="30"/>
    </row>
    <row r="120">
      <c r="B120" s="6"/>
      <c r="C120" s="33" t="str">
        <f t="array" ref="C120">IF(B120="", "", XLOOKUP(B120, Inventory!D:D,Inventory!E:E,"No Name Found"))</f>
        <v/>
      </c>
      <c r="D120" s="6"/>
      <c r="E120" s="6"/>
      <c r="F120" s="6"/>
      <c r="G120" s="24" t="str">
        <f>IF(F120="", "", VLOOKUP(F120, Inventory!A:BZ, 3, FALSE) - SUMIF($F$1:$F119, F120, $H$1:$H119))
</f>
        <v/>
      </c>
      <c r="I120" s="26"/>
      <c r="J120" s="26" t="s">
        <v>77</v>
      </c>
      <c r="L120" s="27" t="s">
        <v>77</v>
      </c>
      <c r="N120" s="28" t="s">
        <v>77</v>
      </c>
      <c r="Q120" s="30"/>
    </row>
    <row r="121">
      <c r="B121" s="6"/>
      <c r="C121" s="33" t="str">
        <f t="array" ref="C121">IF(B121="", "", XLOOKUP(B121, Inventory!D:D,Inventory!E:E,"No Name Found"))</f>
        <v/>
      </c>
      <c r="D121" s="6"/>
      <c r="E121" s="6"/>
      <c r="F121" s="6"/>
      <c r="G121" s="24" t="str">
        <f>IF(F121="", "", VLOOKUP(F121, Inventory!A:BZ, 3, FALSE) - SUMIF($F$1:$F120, F121, $H$1:$H120))
</f>
        <v/>
      </c>
      <c r="I121" s="26"/>
      <c r="J121" s="26" t="s">
        <v>77</v>
      </c>
      <c r="L121" s="27" t="s">
        <v>77</v>
      </c>
      <c r="N121" s="28" t="s">
        <v>77</v>
      </c>
      <c r="Q121" s="30"/>
    </row>
    <row r="122">
      <c r="B122" s="6"/>
      <c r="C122" s="33" t="str">
        <f t="array" ref="C122">IF(B122="", "", XLOOKUP(B122, Inventory!D:D,Inventory!E:E,"No Name Found"))</f>
        <v/>
      </c>
      <c r="D122" s="6"/>
      <c r="E122" s="6"/>
      <c r="F122" s="6"/>
      <c r="G122" s="24" t="str">
        <f>IF(F122="", "", VLOOKUP(F122, Inventory!A:BZ, 3, FALSE) - SUMIF($F$1:$F121, F122, $H$1:$H121))
</f>
        <v/>
      </c>
      <c r="I122" s="26"/>
      <c r="J122" s="26" t="s">
        <v>77</v>
      </c>
      <c r="L122" s="27" t="s">
        <v>77</v>
      </c>
      <c r="N122" s="28" t="s">
        <v>77</v>
      </c>
      <c r="Q122" s="30"/>
    </row>
    <row r="123">
      <c r="B123" s="6"/>
      <c r="C123" s="33" t="str">
        <f t="array" ref="C123">IF(B123="", "", XLOOKUP(B123, Inventory!D:D,Inventory!E:E,"No Name Found"))</f>
        <v/>
      </c>
      <c r="D123" s="6"/>
      <c r="E123" s="6"/>
      <c r="F123" s="6"/>
      <c r="G123" s="24" t="str">
        <f>IF(F123="", "", VLOOKUP(F123, Inventory!A:BZ, 3, FALSE) - SUMIF($F$1:$F122, F123, $H$1:$H122))
</f>
        <v/>
      </c>
      <c r="I123" s="26"/>
      <c r="J123" s="26" t="s">
        <v>77</v>
      </c>
      <c r="L123" s="27" t="s">
        <v>77</v>
      </c>
      <c r="N123" s="28" t="s">
        <v>77</v>
      </c>
      <c r="Q123" s="30"/>
    </row>
    <row r="124">
      <c r="B124" s="6"/>
      <c r="C124" s="33" t="str">
        <f t="array" ref="C124">IF(B124="", "", XLOOKUP(B124, Inventory!D:D,Inventory!E:E,"No Name Found"))</f>
        <v/>
      </c>
      <c r="D124" s="6"/>
      <c r="E124" s="6"/>
      <c r="F124" s="6"/>
      <c r="G124" s="24" t="str">
        <f>IF(F124="", "", VLOOKUP(F124, Inventory!A:BZ, 3, FALSE) - SUMIF($F$1:$F123, F124, $H$1:$H123))
</f>
        <v/>
      </c>
      <c r="I124" s="26"/>
      <c r="J124" s="26" t="s">
        <v>77</v>
      </c>
      <c r="L124" s="27" t="s">
        <v>77</v>
      </c>
      <c r="N124" s="28" t="s">
        <v>77</v>
      </c>
      <c r="Q124" s="30"/>
    </row>
    <row r="125">
      <c r="B125" s="6"/>
      <c r="C125" s="33" t="str">
        <f t="array" ref="C125">IF(B125="", "", XLOOKUP(B125, Inventory!D:D,Inventory!E:E,"No Name Found"))</f>
        <v/>
      </c>
      <c r="D125" s="6"/>
      <c r="E125" s="6"/>
      <c r="F125" s="6"/>
      <c r="G125" s="24" t="str">
        <f>IF(F125="", "", VLOOKUP(F125, Inventory!A:BZ, 3, FALSE) - SUMIF($F$1:$F124, F125, $H$1:$H124))
</f>
        <v/>
      </c>
      <c r="I125" s="26"/>
      <c r="J125" s="26" t="s">
        <v>77</v>
      </c>
      <c r="L125" s="27" t="s">
        <v>77</v>
      </c>
      <c r="N125" s="28" t="s">
        <v>77</v>
      </c>
      <c r="Q125" s="30"/>
    </row>
    <row r="126">
      <c r="B126" s="6"/>
      <c r="C126" s="33" t="str">
        <f t="array" ref="C126">IF(B126="", "", XLOOKUP(B126, Inventory!D:D,Inventory!E:E,"No Name Found"))</f>
        <v/>
      </c>
      <c r="D126" s="6"/>
      <c r="E126" s="6"/>
      <c r="F126" s="6"/>
      <c r="G126" s="24" t="str">
        <f>IF(F126="", "", VLOOKUP(F126, Inventory!A:BZ, 3, FALSE) - SUMIF($F$1:$F125, F126, $H$1:$H125))
</f>
        <v/>
      </c>
      <c r="I126" s="26"/>
      <c r="J126" s="26" t="s">
        <v>77</v>
      </c>
      <c r="L126" s="27" t="s">
        <v>77</v>
      </c>
      <c r="N126" s="28" t="s">
        <v>77</v>
      </c>
      <c r="Q126" s="30"/>
    </row>
    <row r="127">
      <c r="B127" s="6"/>
      <c r="C127" s="33" t="str">
        <f t="array" ref="C127">IF(B127="", "", XLOOKUP(B127, Inventory!D:D,Inventory!E:E,"No Name Found"))</f>
        <v/>
      </c>
      <c r="D127" s="6"/>
      <c r="E127" s="6"/>
      <c r="F127" s="6"/>
      <c r="G127" s="24" t="str">
        <f>IF(F127="", "", VLOOKUP(F127, Inventory!A:BZ, 3, FALSE) - SUMIF($F$1:$F126, F127, $H$1:$H126))
</f>
        <v/>
      </c>
      <c r="I127" s="26"/>
      <c r="J127" s="26" t="s">
        <v>77</v>
      </c>
      <c r="L127" s="27" t="s">
        <v>77</v>
      </c>
      <c r="N127" s="28" t="s">
        <v>77</v>
      </c>
      <c r="Q127" s="30"/>
    </row>
    <row r="128">
      <c r="B128" s="6"/>
      <c r="C128" s="33" t="str">
        <f t="array" ref="C128">IF(B128="", "", XLOOKUP(B128, Inventory!D:D,Inventory!E:E,"No Name Found"))</f>
        <v/>
      </c>
      <c r="D128" s="6"/>
      <c r="E128" s="6"/>
      <c r="F128" s="6"/>
      <c r="G128" s="24" t="str">
        <f>IF(F128="", "", VLOOKUP(F128, Inventory!A:BZ, 3, FALSE) - SUMIF($F$1:$F127, F128, $H$1:$H127))
</f>
        <v/>
      </c>
      <c r="I128" s="26"/>
      <c r="J128" s="26" t="s">
        <v>77</v>
      </c>
      <c r="L128" s="27" t="s">
        <v>77</v>
      </c>
      <c r="N128" s="28" t="s">
        <v>77</v>
      </c>
      <c r="Q128" s="30"/>
    </row>
    <row r="129">
      <c r="B129" s="6"/>
      <c r="C129" s="33" t="str">
        <f t="array" ref="C129">IF(B129="", "", XLOOKUP(B129, Inventory!D:D,Inventory!E:E,"No Name Found"))</f>
        <v/>
      </c>
      <c r="D129" s="6"/>
      <c r="E129" s="6"/>
      <c r="F129" s="6"/>
      <c r="G129" s="24" t="str">
        <f>IF(F129="", "", VLOOKUP(F129, Inventory!A:BZ, 3, FALSE) - SUMIF($F$1:$F128, F129, $H$1:$H128))
</f>
        <v/>
      </c>
      <c r="I129" s="26"/>
      <c r="J129" s="26" t="s">
        <v>77</v>
      </c>
      <c r="L129" s="27" t="s">
        <v>77</v>
      </c>
      <c r="N129" s="28" t="s">
        <v>77</v>
      </c>
      <c r="Q129" s="30"/>
    </row>
    <row r="130">
      <c r="B130" s="6"/>
      <c r="C130" s="33" t="str">
        <f t="array" ref="C130">IF(B130="", "", XLOOKUP(B130, Inventory!D:D,Inventory!E:E,"No Name Found"))</f>
        <v/>
      </c>
      <c r="D130" s="6"/>
      <c r="E130" s="6"/>
      <c r="F130" s="6"/>
      <c r="G130" s="24" t="str">
        <f>IF(F130="", "", VLOOKUP(F130, Inventory!A:BZ, 3, FALSE) - SUMIF($F$1:$F129, F130, $H$1:$H129))
</f>
        <v/>
      </c>
      <c r="I130" s="26"/>
      <c r="J130" s="26" t="s">
        <v>77</v>
      </c>
      <c r="L130" s="27" t="s">
        <v>77</v>
      </c>
      <c r="N130" s="28" t="s">
        <v>77</v>
      </c>
      <c r="Q130" s="30"/>
    </row>
    <row r="131">
      <c r="B131" s="6"/>
      <c r="C131" s="33" t="str">
        <f t="array" ref="C131">IF(B131="", "", XLOOKUP(B131, Inventory!D:D,Inventory!E:E,"No Name Found"))</f>
        <v/>
      </c>
      <c r="D131" s="6"/>
      <c r="E131" s="6"/>
      <c r="F131" s="6"/>
      <c r="G131" s="24" t="str">
        <f>IF(F131="", "", VLOOKUP(F131, Inventory!A:BZ, 3, FALSE) - SUMIF($F$1:$F130, F131, $H$1:$H130))
</f>
        <v/>
      </c>
      <c r="I131" s="26"/>
      <c r="J131" s="26" t="s">
        <v>77</v>
      </c>
      <c r="L131" s="27" t="s">
        <v>77</v>
      </c>
      <c r="N131" s="28" t="s">
        <v>77</v>
      </c>
      <c r="Q131" s="30"/>
    </row>
    <row r="132">
      <c r="B132" s="6"/>
      <c r="C132" s="33" t="str">
        <f t="array" ref="C132">IF(B132="", "", XLOOKUP(B132, Inventory!D:D,Inventory!E:E,"No Name Found"))</f>
        <v/>
      </c>
      <c r="D132" s="6"/>
      <c r="E132" s="6"/>
      <c r="F132" s="6"/>
      <c r="G132" s="24" t="str">
        <f>IF(F132="", "", VLOOKUP(F132, Inventory!A:BZ, 3, FALSE) - SUMIF($F$1:$F131, F132, $H$1:$H131))
</f>
        <v/>
      </c>
      <c r="I132" s="26"/>
      <c r="J132" s="26" t="s">
        <v>77</v>
      </c>
      <c r="L132" s="27" t="s">
        <v>77</v>
      </c>
      <c r="N132" s="28" t="s">
        <v>77</v>
      </c>
      <c r="Q132" s="30"/>
    </row>
    <row r="133">
      <c r="B133" s="6"/>
      <c r="C133" s="33" t="str">
        <f t="array" ref="C133">IF(B133="", "", XLOOKUP(B133, Inventory!D:D,Inventory!E:E,"No Name Found"))</f>
        <v/>
      </c>
      <c r="D133" s="6"/>
      <c r="E133" s="6"/>
      <c r="F133" s="6"/>
      <c r="G133" s="24" t="str">
        <f>IF(F133="", "", VLOOKUP(F133, Inventory!A:BZ, 3, FALSE) - SUMIF($F$1:$F132, F133, $H$1:$H132))
</f>
        <v/>
      </c>
      <c r="I133" s="26"/>
      <c r="J133" s="26" t="s">
        <v>77</v>
      </c>
      <c r="L133" s="27" t="s">
        <v>77</v>
      </c>
      <c r="N133" s="28" t="s">
        <v>77</v>
      </c>
      <c r="Q133" s="30"/>
    </row>
    <row r="134">
      <c r="B134" s="6"/>
      <c r="C134" s="33" t="str">
        <f t="array" ref="C134">IF(B134="", "", XLOOKUP(B134, Inventory!D:D,Inventory!E:E,"No Name Found"))</f>
        <v/>
      </c>
      <c r="D134" s="6"/>
      <c r="E134" s="6"/>
      <c r="F134" s="6"/>
      <c r="G134" s="24" t="str">
        <f>IF(F134="", "", VLOOKUP(F134, Inventory!A:BZ, 3, FALSE) - SUMIF($F$1:$F133, F134, $H$1:$H133))
</f>
        <v/>
      </c>
      <c r="I134" s="26"/>
      <c r="J134" s="26" t="s">
        <v>77</v>
      </c>
      <c r="L134" s="27" t="s">
        <v>77</v>
      </c>
      <c r="N134" s="28" t="s">
        <v>77</v>
      </c>
      <c r="Q134" s="30"/>
    </row>
    <row r="135">
      <c r="B135" s="6"/>
      <c r="C135" s="33" t="str">
        <f t="array" ref="C135">IF(B135="", "", XLOOKUP(B135, Inventory!D:D,Inventory!E:E,"No Name Found"))</f>
        <v/>
      </c>
      <c r="D135" s="6"/>
      <c r="E135" s="6"/>
      <c r="F135" s="6"/>
      <c r="G135" s="24" t="str">
        <f>IF(F135="", "", VLOOKUP(F135, Inventory!A:BZ, 3, FALSE) - SUMIF($F$1:$F134, F135, $H$1:$H134))
</f>
        <v/>
      </c>
      <c r="I135" s="26"/>
      <c r="J135" s="26" t="s">
        <v>77</v>
      </c>
      <c r="L135" s="27" t="s">
        <v>77</v>
      </c>
      <c r="N135" s="28" t="s">
        <v>77</v>
      </c>
      <c r="Q135" s="30"/>
    </row>
    <row r="136">
      <c r="B136" s="6"/>
      <c r="C136" s="33" t="str">
        <f t="array" ref="C136">IF(B136="", "", XLOOKUP(B136, Inventory!D:D,Inventory!E:E,"No Name Found"))</f>
        <v/>
      </c>
      <c r="D136" s="6"/>
      <c r="E136" s="6"/>
      <c r="F136" s="6"/>
      <c r="G136" s="24" t="str">
        <f>IF(F136="", "", VLOOKUP(F136, Inventory!A:BZ, 3, FALSE) - SUMIF($F$1:$F135, F136, $H$1:$H135))
</f>
        <v/>
      </c>
      <c r="I136" s="26"/>
      <c r="J136" s="26" t="s">
        <v>77</v>
      </c>
      <c r="L136" s="27" t="s">
        <v>77</v>
      </c>
      <c r="N136" s="28" t="s">
        <v>77</v>
      </c>
      <c r="Q136" s="30"/>
    </row>
    <row r="137">
      <c r="B137" s="6"/>
      <c r="C137" s="33" t="str">
        <f t="array" ref="C137">IF(B137="", "", XLOOKUP(B137, Inventory!D:D,Inventory!E:E,"No Name Found"))</f>
        <v/>
      </c>
      <c r="D137" s="6"/>
      <c r="E137" s="6"/>
      <c r="F137" s="6"/>
      <c r="G137" s="24" t="str">
        <f>IF(F137="", "", VLOOKUP(F137, Inventory!A:BZ, 3, FALSE) - SUMIF($F$1:$F136, F137, $H$1:$H136))
</f>
        <v/>
      </c>
      <c r="I137" s="26"/>
      <c r="J137" s="26" t="s">
        <v>77</v>
      </c>
      <c r="L137" s="27" t="s">
        <v>77</v>
      </c>
      <c r="N137" s="28" t="s">
        <v>77</v>
      </c>
      <c r="Q137" s="30"/>
    </row>
    <row r="138">
      <c r="B138" s="6"/>
      <c r="C138" s="33" t="str">
        <f t="array" ref="C138">IF(B138="", "", XLOOKUP(B138, Inventory!D:D,Inventory!E:E,"No Name Found"))</f>
        <v/>
      </c>
      <c r="D138" s="6"/>
      <c r="E138" s="6"/>
      <c r="F138" s="6"/>
      <c r="G138" s="24" t="str">
        <f>IF(F138="", "", VLOOKUP(F138, Inventory!A:BZ, 3, FALSE) - SUMIF($F$1:$F137, F138, $H$1:$H137))
</f>
        <v/>
      </c>
      <c r="I138" s="26"/>
      <c r="J138" s="26" t="s">
        <v>77</v>
      </c>
      <c r="L138" s="27" t="s">
        <v>77</v>
      </c>
      <c r="N138" s="28" t="s">
        <v>77</v>
      </c>
      <c r="Q138" s="30"/>
    </row>
    <row r="139">
      <c r="B139" s="6"/>
      <c r="C139" s="33" t="str">
        <f t="array" ref="C139">IF(B139="", "", XLOOKUP(B139, Inventory!D:D,Inventory!E:E,"No Name Found"))</f>
        <v/>
      </c>
      <c r="D139" s="6"/>
      <c r="E139" s="6"/>
      <c r="F139" s="6"/>
      <c r="G139" s="24" t="str">
        <f>IF(F139="", "", VLOOKUP(F139, Inventory!A:BZ, 3, FALSE) - SUMIF($F$1:$F138, F139, $H$1:$H138))
</f>
        <v/>
      </c>
      <c r="I139" s="26"/>
      <c r="J139" s="26" t="s">
        <v>77</v>
      </c>
      <c r="L139" s="27" t="s">
        <v>77</v>
      </c>
      <c r="N139" s="28" t="s">
        <v>77</v>
      </c>
      <c r="Q139" s="30"/>
    </row>
    <row r="140">
      <c r="B140" s="6"/>
      <c r="C140" s="33" t="str">
        <f t="array" ref="C140">IF(B140="", "", XLOOKUP(B140, Inventory!D:D,Inventory!E:E,"No Name Found"))</f>
        <v/>
      </c>
      <c r="D140" s="6"/>
      <c r="E140" s="6"/>
      <c r="F140" s="6"/>
      <c r="G140" s="24" t="str">
        <f>IF(F140="", "", VLOOKUP(F140, Inventory!A:BZ, 3, FALSE) - SUMIF($F$1:$F139, F140, $H$1:$H139))
</f>
        <v/>
      </c>
      <c r="I140" s="26"/>
      <c r="J140" s="26" t="s">
        <v>77</v>
      </c>
      <c r="L140" s="27" t="s">
        <v>77</v>
      </c>
      <c r="N140" s="28" t="s">
        <v>77</v>
      </c>
      <c r="Q140" s="30"/>
    </row>
    <row r="141">
      <c r="B141" s="6"/>
      <c r="C141" s="33" t="str">
        <f t="array" ref="C141">IF(B141="", "", XLOOKUP(B141, Inventory!D:D,Inventory!E:E,"No Name Found"))</f>
        <v/>
      </c>
      <c r="D141" s="6"/>
      <c r="E141" s="6"/>
      <c r="F141" s="6"/>
      <c r="G141" s="24" t="str">
        <f>IF(F141="", "", VLOOKUP(F141, Inventory!A:BZ, 3, FALSE) - SUMIF($F$1:$F140, F141, $H$1:$H140))
</f>
        <v/>
      </c>
      <c r="I141" s="26"/>
      <c r="J141" s="26" t="s">
        <v>77</v>
      </c>
      <c r="L141" s="27" t="s">
        <v>77</v>
      </c>
      <c r="N141" s="28" t="s">
        <v>77</v>
      </c>
      <c r="Q141" s="30"/>
    </row>
    <row r="142">
      <c r="B142" s="6"/>
      <c r="C142" s="33" t="str">
        <f t="array" ref="C142">IF(B142="", "", XLOOKUP(B142, Inventory!D:D,Inventory!E:E,"No Name Found"))</f>
        <v/>
      </c>
      <c r="D142" s="6"/>
      <c r="E142" s="6"/>
      <c r="F142" s="6"/>
      <c r="G142" s="24" t="str">
        <f>IF(F142="", "", VLOOKUP(F142, Inventory!A:BZ, 3, FALSE) - SUMIF($F$1:$F141, F142, $H$1:$H141))
</f>
        <v/>
      </c>
      <c r="I142" s="26"/>
      <c r="J142" s="26" t="s">
        <v>77</v>
      </c>
      <c r="L142" s="27" t="s">
        <v>77</v>
      </c>
      <c r="N142" s="28" t="s">
        <v>77</v>
      </c>
      <c r="Q142" s="30"/>
    </row>
    <row r="143">
      <c r="B143" s="6"/>
      <c r="C143" s="33" t="str">
        <f t="array" ref="C143">IF(B143="", "", XLOOKUP(B143, Inventory!D:D,Inventory!E:E,"No Name Found"))</f>
        <v/>
      </c>
      <c r="D143" s="6"/>
      <c r="E143" s="6"/>
      <c r="F143" s="6"/>
      <c r="G143" s="24" t="str">
        <f>IF(F143="", "", VLOOKUP(F143, Inventory!A:BZ, 3, FALSE) - SUMIF($F$1:$F142, F143, $H$1:$H142))
</f>
        <v/>
      </c>
      <c r="I143" s="26"/>
      <c r="J143" s="26" t="s">
        <v>77</v>
      </c>
      <c r="L143" s="27" t="s">
        <v>77</v>
      </c>
      <c r="N143" s="28" t="s">
        <v>77</v>
      </c>
      <c r="Q143" s="30"/>
    </row>
    <row r="144">
      <c r="B144" s="6"/>
      <c r="C144" s="33" t="str">
        <f t="array" ref="C144">IF(B144="", "", XLOOKUP(B144, Inventory!D:D,Inventory!E:E,"No Name Found"))</f>
        <v/>
      </c>
      <c r="D144" s="6"/>
      <c r="E144" s="6"/>
      <c r="F144" s="6"/>
      <c r="G144" s="24" t="str">
        <f>IF(F144="", "", VLOOKUP(F144, Inventory!A:BZ, 3, FALSE) - SUMIF($F$1:$F143, F144, $H$1:$H143))
</f>
        <v/>
      </c>
      <c r="I144" s="26"/>
      <c r="J144" s="26" t="s">
        <v>77</v>
      </c>
      <c r="L144" s="27" t="s">
        <v>77</v>
      </c>
      <c r="N144" s="28" t="s">
        <v>77</v>
      </c>
      <c r="Q144" s="30"/>
    </row>
    <row r="145">
      <c r="B145" s="6"/>
      <c r="C145" s="33" t="str">
        <f t="array" ref="C145">IF(B145="", "", XLOOKUP(B145, Inventory!D:D,Inventory!E:E,"No Name Found"))</f>
        <v/>
      </c>
      <c r="D145" s="6"/>
      <c r="E145" s="6"/>
      <c r="F145" s="6"/>
      <c r="G145" s="24" t="str">
        <f>IF(F145="", "", VLOOKUP(F145, Inventory!A:BZ, 3, FALSE) - SUMIF($F$1:$F144, F145, $H$1:$H144))
</f>
        <v/>
      </c>
      <c r="I145" s="26"/>
      <c r="J145" s="26" t="s">
        <v>77</v>
      </c>
      <c r="L145" s="27" t="s">
        <v>77</v>
      </c>
      <c r="N145" s="28" t="s">
        <v>77</v>
      </c>
      <c r="Q145" s="30"/>
    </row>
    <row r="146">
      <c r="B146" s="6"/>
      <c r="C146" s="33" t="str">
        <f t="array" ref="C146">IF(B146="", "", XLOOKUP(B146, Inventory!D:D,Inventory!E:E,"No Name Found"))</f>
        <v/>
      </c>
      <c r="D146" s="6"/>
      <c r="E146" s="6"/>
      <c r="F146" s="6"/>
      <c r="G146" s="24" t="str">
        <f>IF(F146="", "", VLOOKUP(F146, Inventory!A:BZ, 3, FALSE) - SUMIF($F$1:$F145, F146, $H$1:$H145))
</f>
        <v/>
      </c>
      <c r="I146" s="26"/>
      <c r="J146" s="26" t="s">
        <v>77</v>
      </c>
      <c r="L146" s="27" t="s">
        <v>77</v>
      </c>
      <c r="N146" s="28" t="s">
        <v>77</v>
      </c>
      <c r="Q146" s="30"/>
    </row>
    <row r="147">
      <c r="B147" s="6"/>
      <c r="C147" s="33" t="str">
        <f t="array" ref="C147">IF(B147="", "", XLOOKUP(B147, Inventory!D:D,Inventory!E:E,"No Name Found"))</f>
        <v/>
      </c>
      <c r="D147" s="6"/>
      <c r="E147" s="6"/>
      <c r="F147" s="6"/>
      <c r="G147" s="24" t="str">
        <f>IF(F147="", "", VLOOKUP(F147, Inventory!A:BZ, 3, FALSE) - SUMIF($F$1:$F146, F147, $H$1:$H146))
</f>
        <v/>
      </c>
      <c r="I147" s="26"/>
      <c r="J147" s="26" t="s">
        <v>77</v>
      </c>
      <c r="L147" s="27" t="s">
        <v>77</v>
      </c>
      <c r="N147" s="28" t="s">
        <v>77</v>
      </c>
      <c r="Q147" s="30"/>
    </row>
    <row r="148">
      <c r="B148" s="6"/>
      <c r="C148" s="33" t="str">
        <f t="array" ref="C148">IF(B148="", "", XLOOKUP(B148, Inventory!D:D,Inventory!E:E,"No Name Found"))</f>
        <v/>
      </c>
      <c r="D148" s="6"/>
      <c r="E148" s="6"/>
      <c r="F148" s="6"/>
      <c r="G148" s="24" t="str">
        <f>IF(F148="", "", VLOOKUP(F148, Inventory!A:BZ, 3, FALSE) - SUMIF($F$1:$F147, F148, $H$1:$H147))
</f>
        <v/>
      </c>
      <c r="I148" s="26"/>
      <c r="J148" s="26" t="s">
        <v>77</v>
      </c>
      <c r="L148" s="27" t="s">
        <v>77</v>
      </c>
      <c r="N148" s="28" t="s">
        <v>77</v>
      </c>
      <c r="Q148" s="30"/>
    </row>
    <row r="149">
      <c r="B149" s="6"/>
      <c r="C149" s="33" t="str">
        <f t="array" ref="C149">IF(B149="", "", XLOOKUP(B149, Inventory!D:D,Inventory!E:E,"No Name Found"))</f>
        <v/>
      </c>
      <c r="D149" s="6"/>
      <c r="E149" s="6"/>
      <c r="F149" s="6"/>
      <c r="G149" s="24" t="str">
        <f>IF(F149="", "", VLOOKUP(F149, Inventory!A:BZ, 3, FALSE) - SUMIF($F$1:$F148, F149, $H$1:$H148))
</f>
        <v/>
      </c>
      <c r="I149" s="26"/>
      <c r="J149" s="26" t="s">
        <v>77</v>
      </c>
      <c r="L149" s="27" t="s">
        <v>77</v>
      </c>
      <c r="N149" s="28" t="s">
        <v>77</v>
      </c>
      <c r="Q149" s="30"/>
    </row>
    <row r="150">
      <c r="B150" s="6"/>
      <c r="C150" s="33" t="str">
        <f t="array" ref="C150">IF(B150="", "", XLOOKUP(B150, Inventory!D:D,Inventory!E:E,"No Name Found"))</f>
        <v/>
      </c>
      <c r="D150" s="6"/>
      <c r="E150" s="6"/>
      <c r="F150" s="6"/>
      <c r="G150" s="24" t="str">
        <f>IF(F150="", "", VLOOKUP(F150, Inventory!A:BZ, 3, FALSE) - SUMIF($F$1:$F149, F150, $H$1:$H149))
</f>
        <v/>
      </c>
      <c r="I150" s="26"/>
      <c r="J150" s="26" t="s">
        <v>77</v>
      </c>
      <c r="L150" s="27" t="s">
        <v>77</v>
      </c>
      <c r="N150" s="28" t="s">
        <v>77</v>
      </c>
      <c r="Q150" s="30"/>
    </row>
    <row r="151">
      <c r="B151" s="6"/>
      <c r="C151" s="33" t="str">
        <f t="array" ref="C151">IF(B151="", "", XLOOKUP(B151, Inventory!D:D,Inventory!E:E,"No Name Found"))</f>
        <v/>
      </c>
      <c r="D151" s="6"/>
      <c r="E151" s="6"/>
      <c r="F151" s="6"/>
      <c r="G151" s="24" t="str">
        <f>IF(F151="", "", VLOOKUP(F151, Inventory!A:BZ, 3, FALSE) - SUMIF($F$1:$F150, F151, $H$1:$H150))
</f>
        <v/>
      </c>
      <c r="I151" s="26"/>
      <c r="J151" s="26" t="s">
        <v>77</v>
      </c>
      <c r="L151" s="27" t="s">
        <v>77</v>
      </c>
      <c r="N151" s="28" t="s">
        <v>77</v>
      </c>
      <c r="Q151" s="30"/>
    </row>
    <row r="152">
      <c r="B152" s="6"/>
      <c r="C152" s="33" t="str">
        <f t="array" ref="C152">IF(B152="", "", XLOOKUP(B152, Inventory!D:D,Inventory!E:E,"No Name Found"))</f>
        <v/>
      </c>
      <c r="D152" s="6"/>
      <c r="E152" s="6"/>
      <c r="F152" s="6"/>
      <c r="G152" s="24" t="str">
        <f>IF(F152="", "", VLOOKUP(F152, Inventory!A:BZ, 3, FALSE) - SUMIF($F$1:$F151, F152, $H$1:$H151))
</f>
        <v/>
      </c>
      <c r="I152" s="26"/>
      <c r="J152" s="26" t="s">
        <v>77</v>
      </c>
      <c r="L152" s="27" t="s">
        <v>77</v>
      </c>
      <c r="N152" s="28" t="s">
        <v>77</v>
      </c>
      <c r="Q152" s="30"/>
    </row>
    <row r="153">
      <c r="B153" s="6"/>
      <c r="C153" s="33" t="str">
        <f t="array" ref="C153">IF(B153="", "", XLOOKUP(B153, Inventory!D:D,Inventory!E:E,"No Name Found"))</f>
        <v/>
      </c>
      <c r="D153" s="6"/>
      <c r="E153" s="6"/>
      <c r="F153" s="6"/>
      <c r="G153" s="24" t="str">
        <f>IF(F153="", "", VLOOKUP(F153, Inventory!A:BZ, 3, FALSE) - SUMIF($F$1:$F152, F153, $H$1:$H152))
</f>
        <v/>
      </c>
      <c r="I153" s="26"/>
      <c r="J153" s="26" t="s">
        <v>77</v>
      </c>
      <c r="L153" s="27" t="s">
        <v>77</v>
      </c>
      <c r="N153" s="28" t="s">
        <v>77</v>
      </c>
      <c r="Q153" s="30"/>
    </row>
    <row r="154">
      <c r="B154" s="6"/>
      <c r="C154" s="33" t="str">
        <f t="array" ref="C154">IF(B154="", "", XLOOKUP(B154, Inventory!D:D,Inventory!E:E,"No Name Found"))</f>
        <v/>
      </c>
      <c r="D154" s="6"/>
      <c r="E154" s="6"/>
      <c r="F154" s="6"/>
      <c r="G154" s="24" t="str">
        <f>IF(F154="", "", VLOOKUP(F154, Inventory!A:BZ, 3, FALSE) - SUMIF($F$1:$F153, F154, $H$1:$H153))
</f>
        <v/>
      </c>
      <c r="I154" s="26"/>
      <c r="J154" s="26" t="s">
        <v>77</v>
      </c>
      <c r="L154" s="27" t="s">
        <v>77</v>
      </c>
      <c r="N154" s="28" t="s">
        <v>77</v>
      </c>
      <c r="Q154" s="30"/>
    </row>
    <row r="155">
      <c r="B155" s="6"/>
      <c r="C155" s="33" t="str">
        <f t="array" ref="C155">IF(B155="", "", XLOOKUP(B155, Inventory!D:D,Inventory!E:E,"No Name Found"))</f>
        <v/>
      </c>
      <c r="D155" s="6"/>
      <c r="E155" s="6"/>
      <c r="F155" s="6"/>
      <c r="G155" s="24" t="str">
        <f>IF(F155="", "", VLOOKUP(F155, Inventory!A:BZ, 3, FALSE) - SUMIF($F$1:$F154, F155, $H$1:$H154))
</f>
        <v/>
      </c>
      <c r="I155" s="26"/>
      <c r="J155" s="26" t="s">
        <v>77</v>
      </c>
      <c r="L155" s="27" t="s">
        <v>77</v>
      </c>
      <c r="N155" s="28" t="s">
        <v>77</v>
      </c>
      <c r="Q155" s="30"/>
    </row>
    <row r="156">
      <c r="B156" s="6"/>
      <c r="C156" s="33" t="str">
        <f t="array" ref="C156">IF(B156="", "", XLOOKUP(B156, Inventory!D:D,Inventory!E:E,"No Name Found"))</f>
        <v/>
      </c>
      <c r="D156" s="6"/>
      <c r="E156" s="6"/>
      <c r="F156" s="6"/>
      <c r="G156" s="24" t="str">
        <f>IF(F156="", "", VLOOKUP(F156, Inventory!A:BZ, 3, FALSE) - SUMIF($F$1:$F155, F156, $H$1:$H155))
</f>
        <v/>
      </c>
      <c r="I156" s="26"/>
      <c r="J156" s="26" t="s">
        <v>77</v>
      </c>
      <c r="L156" s="27" t="s">
        <v>77</v>
      </c>
      <c r="N156" s="28" t="s">
        <v>77</v>
      </c>
      <c r="Q156" s="30"/>
    </row>
    <row r="157">
      <c r="B157" s="6"/>
      <c r="C157" s="33" t="str">
        <f t="array" ref="C157">IF(B157="", "", XLOOKUP(B157, Inventory!D:D,Inventory!E:E,"No Name Found"))</f>
        <v/>
      </c>
      <c r="D157" s="6"/>
      <c r="E157" s="6"/>
      <c r="F157" s="6"/>
      <c r="G157" s="24" t="str">
        <f>IF(F157="", "", VLOOKUP(F157, Inventory!A:BZ, 3, FALSE) - SUMIF($F$1:$F156, F157, $H$1:$H156))
</f>
        <v/>
      </c>
      <c r="I157" s="26"/>
      <c r="J157" s="26" t="s">
        <v>77</v>
      </c>
      <c r="L157" s="27" t="s">
        <v>77</v>
      </c>
      <c r="N157" s="28" t="s">
        <v>77</v>
      </c>
      <c r="Q157" s="30"/>
    </row>
    <row r="158">
      <c r="B158" s="6"/>
      <c r="C158" s="33" t="str">
        <f t="array" ref="C158">IF(B158="", "", XLOOKUP(B158, Inventory!D:D,Inventory!E:E,"No Name Found"))</f>
        <v/>
      </c>
      <c r="D158" s="6"/>
      <c r="E158" s="6"/>
      <c r="F158" s="6"/>
      <c r="G158" s="24" t="str">
        <f>IF(F158="", "", VLOOKUP(F158, Inventory!A:BZ, 3, FALSE) - SUMIF($F$1:$F157, F158, $H$1:$H157))
</f>
        <v/>
      </c>
      <c r="I158" s="26"/>
      <c r="J158" s="26" t="s">
        <v>77</v>
      </c>
      <c r="L158" s="27" t="s">
        <v>77</v>
      </c>
      <c r="N158" s="28" t="s">
        <v>77</v>
      </c>
      <c r="Q158" s="30"/>
    </row>
    <row r="159">
      <c r="B159" s="6"/>
      <c r="C159" s="33" t="str">
        <f t="array" ref="C159">IF(B159="", "", XLOOKUP(B159, Inventory!D:D,Inventory!E:E,"No Name Found"))</f>
        <v/>
      </c>
      <c r="D159" s="6"/>
      <c r="E159" s="6"/>
      <c r="F159" s="6"/>
      <c r="G159" s="24" t="str">
        <f>IF(F159="", "", VLOOKUP(F159, Inventory!A:BZ, 3, FALSE) - SUMIF($F$1:$F158, F159, $H$1:$H158))
</f>
        <v/>
      </c>
      <c r="I159" s="26"/>
      <c r="J159" s="26" t="s">
        <v>77</v>
      </c>
      <c r="L159" s="27" t="s">
        <v>77</v>
      </c>
      <c r="N159" s="28" t="s">
        <v>77</v>
      </c>
      <c r="Q159" s="30"/>
    </row>
    <row r="160">
      <c r="B160" s="6"/>
      <c r="C160" s="33" t="str">
        <f t="array" ref="C160">IF(B160="", "", XLOOKUP(B160, Inventory!D:D,Inventory!E:E,"No Name Found"))</f>
        <v/>
      </c>
      <c r="D160" s="6"/>
      <c r="E160" s="6"/>
      <c r="F160" s="6"/>
      <c r="G160" s="24" t="str">
        <f>IF(F160="", "", VLOOKUP(F160, Inventory!A:BZ, 3, FALSE) - SUMIF($F$1:$F159, F160, $H$1:$H159))
</f>
        <v/>
      </c>
      <c r="I160" s="26"/>
      <c r="J160" s="26" t="s">
        <v>77</v>
      </c>
      <c r="L160" s="27" t="s">
        <v>77</v>
      </c>
      <c r="N160" s="28" t="s">
        <v>77</v>
      </c>
      <c r="Q160" s="30"/>
    </row>
    <row r="161">
      <c r="B161" s="6"/>
      <c r="C161" s="33" t="str">
        <f t="array" ref="C161">IF(B161="", "", XLOOKUP(B161, Inventory!D:D,Inventory!E:E,"No Name Found"))</f>
        <v/>
      </c>
      <c r="D161" s="6"/>
      <c r="E161" s="6"/>
      <c r="F161" s="6"/>
      <c r="G161" s="24" t="str">
        <f>IF(F161="", "", VLOOKUP(F161, Inventory!A:BZ, 3, FALSE) - SUMIF($F$1:$F160, F161, $H$1:$H160))
</f>
        <v/>
      </c>
      <c r="I161" s="26"/>
      <c r="J161" s="26" t="s">
        <v>77</v>
      </c>
      <c r="L161" s="27" t="s">
        <v>77</v>
      </c>
      <c r="N161" s="28" t="s">
        <v>77</v>
      </c>
      <c r="Q161" s="30"/>
    </row>
    <row r="162">
      <c r="B162" s="6"/>
      <c r="C162" s="33" t="str">
        <f t="array" ref="C162">IF(B162="", "", XLOOKUP(B162, Inventory!D:D,Inventory!E:E,"No Name Found"))</f>
        <v/>
      </c>
      <c r="D162" s="6"/>
      <c r="E162" s="6"/>
      <c r="F162" s="6"/>
      <c r="G162" s="24" t="str">
        <f>IF(F162="", "", VLOOKUP(F162, Inventory!A:BZ, 3, FALSE) - SUMIF($F$1:$F161, F162, $H$1:$H161))
</f>
        <v/>
      </c>
      <c r="I162" s="26"/>
      <c r="J162" s="26" t="s">
        <v>77</v>
      </c>
      <c r="L162" s="27" t="s">
        <v>77</v>
      </c>
      <c r="N162" s="28" t="s">
        <v>77</v>
      </c>
      <c r="Q162" s="30"/>
    </row>
    <row r="163">
      <c r="B163" s="6"/>
      <c r="C163" s="33" t="str">
        <f t="array" ref="C163">IF(B163="", "", XLOOKUP(B163, Inventory!D:D,Inventory!E:E,"No Name Found"))</f>
        <v/>
      </c>
      <c r="D163" s="6"/>
      <c r="E163" s="6"/>
      <c r="F163" s="6"/>
      <c r="G163" s="24" t="str">
        <f>IF(F163="", "", VLOOKUP(F163, Inventory!A:BZ, 3, FALSE) - SUMIF($F$1:$F162, F163, $H$1:$H162))
</f>
        <v/>
      </c>
      <c r="I163" s="26"/>
      <c r="J163" s="26" t="s">
        <v>77</v>
      </c>
      <c r="L163" s="27" t="s">
        <v>77</v>
      </c>
      <c r="N163" s="28" t="s">
        <v>77</v>
      </c>
      <c r="Q163" s="30"/>
    </row>
    <row r="164">
      <c r="B164" s="6"/>
      <c r="C164" s="33" t="str">
        <f t="array" ref="C164">IF(B164="", "", XLOOKUP(B164, Inventory!D:D,Inventory!E:E,"No Name Found"))</f>
        <v/>
      </c>
      <c r="D164" s="6"/>
      <c r="E164" s="6"/>
      <c r="F164" s="6"/>
      <c r="G164" s="24" t="str">
        <f>IF(F164="", "", VLOOKUP(F164, Inventory!A:BZ, 3, FALSE) - SUMIF($F$1:$F163, F164, $H$1:$H163))
</f>
        <v/>
      </c>
      <c r="I164" s="26"/>
      <c r="J164" s="26" t="s">
        <v>77</v>
      </c>
      <c r="L164" s="27" t="s">
        <v>77</v>
      </c>
      <c r="N164" s="28" t="s">
        <v>77</v>
      </c>
      <c r="Q164" s="30"/>
    </row>
    <row r="165">
      <c r="B165" s="6"/>
      <c r="C165" s="33" t="str">
        <f t="array" ref="C165">IF(B165="", "", XLOOKUP(B165, Inventory!D:D,Inventory!E:E,"No Name Found"))</f>
        <v/>
      </c>
      <c r="D165" s="6"/>
      <c r="E165" s="6"/>
      <c r="F165" s="6"/>
      <c r="G165" s="24" t="str">
        <f>IF(F165="", "", VLOOKUP(F165, Inventory!A:BZ, 3, FALSE) - SUMIF($F$1:$F164, F165, $H$1:$H164))
</f>
        <v/>
      </c>
      <c r="I165" s="26"/>
      <c r="J165" s="26" t="s">
        <v>77</v>
      </c>
      <c r="L165" s="27" t="s">
        <v>77</v>
      </c>
      <c r="N165" s="28" t="s">
        <v>77</v>
      </c>
      <c r="Q165" s="30"/>
    </row>
    <row r="166">
      <c r="B166" s="6"/>
      <c r="C166" s="33" t="str">
        <f t="array" ref="C166">IF(B166="", "", XLOOKUP(B166, Inventory!D:D,Inventory!E:E,"No Name Found"))</f>
        <v/>
      </c>
      <c r="D166" s="6"/>
      <c r="E166" s="6"/>
      <c r="F166" s="6"/>
      <c r="G166" s="24" t="str">
        <f>IF(F166="", "", VLOOKUP(F166, Inventory!A:BZ, 3, FALSE) - SUMIF($F$1:$F165, F166, $H$1:$H165))
</f>
        <v/>
      </c>
      <c r="I166" s="26"/>
      <c r="J166" s="26" t="s">
        <v>77</v>
      </c>
      <c r="L166" s="27" t="s">
        <v>77</v>
      </c>
      <c r="N166" s="28" t="s">
        <v>77</v>
      </c>
      <c r="Q166" s="30"/>
    </row>
    <row r="167">
      <c r="B167" s="6"/>
      <c r="C167" s="33" t="str">
        <f t="array" ref="C167">IF(B167="", "", XLOOKUP(B167, Inventory!D:D,Inventory!E:E,"No Name Found"))</f>
        <v/>
      </c>
      <c r="D167" s="6"/>
      <c r="E167" s="6"/>
      <c r="F167" s="6"/>
      <c r="G167" s="24" t="str">
        <f>IF(F167="", "", VLOOKUP(F167, Inventory!A:BZ, 3, FALSE) - SUMIF($F$1:$F166, F167, $H$1:$H166))
</f>
        <v/>
      </c>
      <c r="I167" s="26"/>
      <c r="J167" s="26" t="s">
        <v>77</v>
      </c>
      <c r="L167" s="27" t="s">
        <v>77</v>
      </c>
      <c r="N167" s="28" t="s">
        <v>77</v>
      </c>
      <c r="Q167" s="30"/>
    </row>
    <row r="168">
      <c r="B168" s="6"/>
      <c r="C168" s="33" t="str">
        <f t="array" ref="C168">IF(B168="", "", XLOOKUP(B168, Inventory!D:D,Inventory!E:E,"No Name Found"))</f>
        <v/>
      </c>
      <c r="D168" s="6"/>
      <c r="E168" s="6"/>
      <c r="F168" s="6"/>
      <c r="G168" s="24" t="str">
        <f>IF(F168="", "", VLOOKUP(F168, Inventory!A:BZ, 3, FALSE) - SUMIF($F$1:$F167, F168, $H$1:$H167))
</f>
        <v/>
      </c>
      <c r="I168" s="26"/>
      <c r="J168" s="26" t="s">
        <v>77</v>
      </c>
      <c r="L168" s="27" t="s">
        <v>77</v>
      </c>
      <c r="N168" s="28" t="s">
        <v>77</v>
      </c>
      <c r="Q168" s="30"/>
    </row>
    <row r="169">
      <c r="B169" s="6"/>
      <c r="C169" s="33" t="str">
        <f t="array" ref="C169">IF(B169="", "", XLOOKUP(B169, Inventory!D:D,Inventory!E:E,"No Name Found"))</f>
        <v/>
      </c>
      <c r="D169" s="6"/>
      <c r="E169" s="6"/>
      <c r="F169" s="6"/>
      <c r="G169" s="24" t="str">
        <f>IF(F169="", "", VLOOKUP(F169, Inventory!A:BZ, 3, FALSE) - SUMIF($F$1:$F168, F169, $H$1:$H168))
</f>
        <v/>
      </c>
      <c r="I169" s="26"/>
      <c r="J169" s="26" t="s">
        <v>77</v>
      </c>
      <c r="L169" s="27" t="s">
        <v>77</v>
      </c>
      <c r="N169" s="28" t="s">
        <v>77</v>
      </c>
      <c r="Q169" s="30"/>
    </row>
    <row r="170">
      <c r="B170" s="6"/>
      <c r="C170" s="33" t="str">
        <f t="array" ref="C170">IF(B170="", "", XLOOKUP(B170, Inventory!D:D,Inventory!E:E,"No Name Found"))</f>
        <v/>
      </c>
      <c r="D170" s="6"/>
      <c r="E170" s="6"/>
      <c r="F170" s="6"/>
      <c r="G170" s="24" t="str">
        <f>IF(F170="", "", VLOOKUP(F170, Inventory!A:BZ, 3, FALSE) - SUMIF($F$1:$F169, F170, $H$1:$H169))
</f>
        <v/>
      </c>
      <c r="I170" s="26"/>
      <c r="J170" s="26" t="s">
        <v>77</v>
      </c>
      <c r="L170" s="27" t="s">
        <v>77</v>
      </c>
      <c r="N170" s="28" t="s">
        <v>77</v>
      </c>
      <c r="Q170" s="30"/>
    </row>
    <row r="171">
      <c r="B171" s="6"/>
      <c r="C171" s="33" t="str">
        <f t="array" ref="C171">IF(B171="", "", XLOOKUP(B171, Inventory!D:D,Inventory!E:E,"No Name Found"))</f>
        <v/>
      </c>
      <c r="D171" s="6"/>
      <c r="E171" s="6"/>
      <c r="F171" s="6"/>
      <c r="G171" s="24" t="str">
        <f>IF(F171="", "", VLOOKUP(F171, Inventory!A:BZ, 3, FALSE) - SUMIF($F$1:$F170, F171, $H$1:$H170))
</f>
        <v/>
      </c>
      <c r="I171" s="26"/>
      <c r="J171" s="26" t="s">
        <v>77</v>
      </c>
      <c r="L171" s="27" t="s">
        <v>77</v>
      </c>
      <c r="N171" s="28" t="s">
        <v>77</v>
      </c>
      <c r="Q171" s="30"/>
    </row>
    <row r="172">
      <c r="B172" s="6"/>
      <c r="C172" s="33" t="str">
        <f t="array" ref="C172">IF(B172="", "", XLOOKUP(B172, Inventory!D:D,Inventory!E:E,"No Name Found"))</f>
        <v/>
      </c>
      <c r="D172" s="6"/>
      <c r="E172" s="6"/>
      <c r="F172" s="6"/>
      <c r="G172" s="24" t="str">
        <f>IF(F172="", "", VLOOKUP(F172, Inventory!A:BZ, 3, FALSE) - SUMIF($F$1:$F171, F172, $H$1:$H171))
</f>
        <v/>
      </c>
      <c r="I172" s="26"/>
      <c r="J172" s="26" t="s">
        <v>77</v>
      </c>
      <c r="L172" s="27" t="s">
        <v>77</v>
      </c>
      <c r="N172" s="28" t="s">
        <v>77</v>
      </c>
      <c r="Q172" s="30"/>
    </row>
    <row r="173">
      <c r="B173" s="6"/>
      <c r="C173" s="33" t="str">
        <f t="array" ref="C173">IF(B173="", "", XLOOKUP(B173, Inventory!D:D,Inventory!E:E,"No Name Found"))</f>
        <v/>
      </c>
      <c r="D173" s="6"/>
      <c r="E173" s="6"/>
      <c r="F173" s="6"/>
      <c r="G173" s="24" t="str">
        <f>IF(F173="", "", VLOOKUP(F173, Inventory!A:BZ, 3, FALSE) - SUMIF($F$1:$F172, F173, $H$1:$H172))
</f>
        <v/>
      </c>
      <c r="I173" s="26"/>
      <c r="J173" s="26" t="s">
        <v>77</v>
      </c>
      <c r="L173" s="27" t="s">
        <v>77</v>
      </c>
      <c r="N173" s="28" t="s">
        <v>77</v>
      </c>
      <c r="Q173" s="30"/>
    </row>
    <row r="174">
      <c r="B174" s="6"/>
      <c r="C174" s="33" t="str">
        <f t="array" ref="C174">IF(B174="", "", XLOOKUP(B174, Inventory!D:D,Inventory!E:E,"No Name Found"))</f>
        <v/>
      </c>
      <c r="D174" s="6"/>
      <c r="E174" s="6"/>
      <c r="F174" s="6"/>
      <c r="G174" s="24" t="str">
        <f>IF(F174="", "", VLOOKUP(F174, Inventory!A:BZ, 3, FALSE) - SUMIF($F$1:$F173, F174, $H$1:$H173))
</f>
        <v/>
      </c>
      <c r="I174" s="26"/>
      <c r="J174" s="26" t="s">
        <v>77</v>
      </c>
      <c r="L174" s="27" t="s">
        <v>77</v>
      </c>
      <c r="N174" s="28" t="s">
        <v>77</v>
      </c>
      <c r="Q174" s="30"/>
    </row>
    <row r="175">
      <c r="B175" s="6"/>
      <c r="C175" s="33" t="str">
        <f t="array" ref="C175">IF(B175="", "", XLOOKUP(B175, Inventory!D:D,Inventory!E:E,"No Name Found"))</f>
        <v/>
      </c>
      <c r="D175" s="6"/>
      <c r="E175" s="6"/>
      <c r="F175" s="6"/>
      <c r="G175" s="24" t="str">
        <f>IF(F175="", "", VLOOKUP(F175, Inventory!A:BZ, 3, FALSE) - SUMIF($F$1:$F174, F175, $H$1:$H174))
</f>
        <v/>
      </c>
      <c r="I175" s="26"/>
      <c r="J175" s="26" t="s">
        <v>77</v>
      </c>
      <c r="L175" s="27" t="s">
        <v>77</v>
      </c>
      <c r="N175" s="28" t="s">
        <v>77</v>
      </c>
      <c r="Q175" s="30"/>
    </row>
    <row r="176">
      <c r="B176" s="6"/>
      <c r="C176" s="33" t="str">
        <f t="array" ref="C176">IF(B176="", "", XLOOKUP(B176, Inventory!D:D,Inventory!E:E,"No Name Found"))</f>
        <v/>
      </c>
      <c r="D176" s="6"/>
      <c r="E176" s="6"/>
      <c r="F176" s="6"/>
      <c r="G176" s="24" t="str">
        <f>IF(F176="", "", VLOOKUP(F176, Inventory!A:BZ, 3, FALSE) - SUMIF($F$1:$F175, F176, $H$1:$H175))
</f>
        <v/>
      </c>
      <c r="I176" s="26"/>
      <c r="J176" s="26" t="s">
        <v>77</v>
      </c>
      <c r="L176" s="27" t="s">
        <v>77</v>
      </c>
      <c r="N176" s="28" t="s">
        <v>77</v>
      </c>
      <c r="Q176" s="30"/>
    </row>
    <row r="177">
      <c r="B177" s="6"/>
      <c r="C177" s="33" t="str">
        <f t="array" ref="C177">IF(B177="", "", XLOOKUP(B177, Inventory!D:D,Inventory!E:E,"No Name Found"))</f>
        <v/>
      </c>
      <c r="D177" s="6"/>
      <c r="E177" s="6"/>
      <c r="F177" s="6"/>
      <c r="G177" s="24" t="str">
        <f>IF(F177="", "", VLOOKUP(F177, Inventory!A:BZ, 3, FALSE) - SUMIF($F$1:$F176, F177, $H$1:$H176))
</f>
        <v/>
      </c>
      <c r="I177" s="26"/>
      <c r="J177" s="26" t="s">
        <v>77</v>
      </c>
      <c r="L177" s="27" t="s">
        <v>77</v>
      </c>
      <c r="N177" s="28" t="s">
        <v>77</v>
      </c>
      <c r="Q177" s="30"/>
    </row>
    <row r="178">
      <c r="B178" s="6"/>
      <c r="C178" s="33" t="str">
        <f t="array" ref="C178">IF(B178="", "", XLOOKUP(B178, Inventory!D:D,Inventory!E:E,"No Name Found"))</f>
        <v/>
      </c>
      <c r="D178" s="6"/>
      <c r="E178" s="6"/>
      <c r="F178" s="6"/>
      <c r="G178" s="24" t="str">
        <f>IF(F178="", "", VLOOKUP(F178, Inventory!A:BZ, 3, FALSE) - SUMIF($F$1:$F177, F178, $H$1:$H177))
</f>
        <v/>
      </c>
      <c r="I178" s="26"/>
      <c r="J178" s="26" t="s">
        <v>77</v>
      </c>
      <c r="L178" s="27" t="s">
        <v>77</v>
      </c>
      <c r="N178" s="28" t="s">
        <v>77</v>
      </c>
      <c r="Q178" s="30"/>
    </row>
    <row r="179">
      <c r="B179" s="6"/>
      <c r="C179" s="33" t="str">
        <f t="array" ref="C179">IF(B179="", "", XLOOKUP(B179, Inventory!D:D,Inventory!E:E,"No Name Found"))</f>
        <v/>
      </c>
      <c r="D179" s="6"/>
      <c r="E179" s="6"/>
      <c r="F179" s="6"/>
      <c r="G179" s="24" t="str">
        <f>IF(F179="", "", VLOOKUP(F179, Inventory!A:BZ, 3, FALSE) - SUMIF($F$1:$F178, F179, $H$1:$H178))
</f>
        <v/>
      </c>
      <c r="I179" s="26"/>
      <c r="J179" s="26" t="s">
        <v>77</v>
      </c>
      <c r="L179" s="27" t="s">
        <v>77</v>
      </c>
      <c r="N179" s="28" t="s">
        <v>77</v>
      </c>
      <c r="Q179" s="30"/>
    </row>
    <row r="180">
      <c r="B180" s="6"/>
      <c r="C180" s="33" t="str">
        <f t="array" ref="C180">IF(B180="", "", XLOOKUP(B180, Inventory!D:D,Inventory!E:E,"No Name Found"))</f>
        <v/>
      </c>
      <c r="D180" s="6"/>
      <c r="E180" s="6"/>
      <c r="F180" s="6"/>
      <c r="G180" s="24" t="str">
        <f>IF(F180="", "", VLOOKUP(F180, Inventory!A:BZ, 3, FALSE) - SUMIF($F$1:$F179, F180, $H$1:$H179))
</f>
        <v/>
      </c>
      <c r="I180" s="26"/>
      <c r="J180" s="26" t="s">
        <v>77</v>
      </c>
      <c r="L180" s="27" t="s">
        <v>77</v>
      </c>
      <c r="N180" s="28" t="s">
        <v>77</v>
      </c>
      <c r="Q180" s="30"/>
    </row>
    <row r="181">
      <c r="B181" s="6"/>
      <c r="C181" s="33" t="str">
        <f t="array" ref="C181">IF(B181="", "", XLOOKUP(B181, Inventory!D:D,Inventory!E:E,"No Name Found"))</f>
        <v/>
      </c>
      <c r="D181" s="6"/>
      <c r="E181" s="6"/>
      <c r="F181" s="6"/>
      <c r="G181" s="24" t="str">
        <f>IF(F181="", "", VLOOKUP(F181, Inventory!A:BZ, 3, FALSE) - SUMIF($F$1:$F180, F181, $H$1:$H180))
</f>
        <v/>
      </c>
      <c r="I181" s="26"/>
      <c r="J181" s="26" t="s">
        <v>77</v>
      </c>
      <c r="L181" s="27" t="s">
        <v>77</v>
      </c>
      <c r="N181" s="28" t="s">
        <v>77</v>
      </c>
      <c r="Q181" s="30"/>
    </row>
    <row r="182">
      <c r="B182" s="6"/>
      <c r="C182" s="33" t="str">
        <f t="array" ref="C182">IF(B182="", "", XLOOKUP(B182, Inventory!D:D,Inventory!E:E,"No Name Found"))</f>
        <v/>
      </c>
      <c r="D182" s="6"/>
      <c r="E182" s="6"/>
      <c r="F182" s="6"/>
      <c r="G182" s="24" t="str">
        <f>IF(F182="", "", VLOOKUP(F182, Inventory!A:BZ, 3, FALSE) - SUMIF($F$1:$F181, F182, $H$1:$H181))
</f>
        <v/>
      </c>
      <c r="I182" s="26"/>
      <c r="J182" s="26" t="s">
        <v>77</v>
      </c>
      <c r="L182" s="27" t="s">
        <v>77</v>
      </c>
      <c r="N182" s="28" t="s">
        <v>77</v>
      </c>
      <c r="Q182" s="30"/>
    </row>
    <row r="183">
      <c r="B183" s="6"/>
      <c r="C183" s="33" t="str">
        <f t="array" ref="C183">IF(B183="", "", XLOOKUP(B183, Inventory!D:D,Inventory!E:E,"No Name Found"))</f>
        <v/>
      </c>
      <c r="D183" s="6"/>
      <c r="E183" s="6"/>
      <c r="F183" s="6"/>
      <c r="G183" s="24" t="str">
        <f>IF(F183="", "", VLOOKUP(F183, Inventory!A:BZ, 3, FALSE) - SUMIF($F$1:$F182, F183, $H$1:$H182))
</f>
        <v/>
      </c>
      <c r="I183" s="26"/>
      <c r="J183" s="26" t="s">
        <v>77</v>
      </c>
      <c r="L183" s="27" t="s">
        <v>77</v>
      </c>
      <c r="N183" s="28" t="s">
        <v>77</v>
      </c>
      <c r="Q183" s="30"/>
    </row>
    <row r="184">
      <c r="B184" s="6"/>
      <c r="C184" s="33" t="str">
        <f t="array" ref="C184">IF(B184="", "", XLOOKUP(B184, Inventory!D:D,Inventory!E:E,"No Name Found"))</f>
        <v/>
      </c>
      <c r="D184" s="6"/>
      <c r="E184" s="6"/>
      <c r="F184" s="6"/>
      <c r="G184" s="24" t="str">
        <f>IF(F184="", "", VLOOKUP(F184, Inventory!A:BZ, 3, FALSE) - SUMIF($F$1:$F183, F184, $H$1:$H183))
</f>
        <v/>
      </c>
      <c r="I184" s="26"/>
      <c r="J184" s="26" t="s">
        <v>77</v>
      </c>
      <c r="L184" s="27" t="s">
        <v>77</v>
      </c>
      <c r="N184" s="28" t="s">
        <v>77</v>
      </c>
      <c r="Q184" s="30"/>
    </row>
    <row r="185">
      <c r="B185" s="6"/>
      <c r="C185" s="33" t="str">
        <f t="array" ref="C185">IF(B185="", "", XLOOKUP(B185, Inventory!D:D,Inventory!E:E,"No Name Found"))</f>
        <v/>
      </c>
      <c r="D185" s="6"/>
      <c r="E185" s="6"/>
      <c r="F185" s="6"/>
      <c r="G185" s="24" t="str">
        <f>IF(F185="", "", VLOOKUP(F185, Inventory!A:BZ, 3, FALSE) - SUMIF($F$1:$F184, F185, $H$1:$H184))
</f>
        <v/>
      </c>
      <c r="I185" s="26"/>
      <c r="J185" s="26" t="s">
        <v>77</v>
      </c>
      <c r="L185" s="27" t="s">
        <v>77</v>
      </c>
      <c r="N185" s="28" t="s">
        <v>77</v>
      </c>
      <c r="Q185" s="30"/>
    </row>
    <row r="186">
      <c r="B186" s="6"/>
      <c r="C186" s="33" t="str">
        <f t="array" ref="C186">IF(B186="", "", XLOOKUP(B186, Inventory!D:D,Inventory!E:E,"No Name Found"))</f>
        <v/>
      </c>
      <c r="D186" s="6"/>
      <c r="E186" s="6"/>
      <c r="F186" s="6"/>
      <c r="G186" s="24" t="str">
        <f>IF(F186="", "", VLOOKUP(F186, Inventory!A:BZ, 3, FALSE) - SUMIF($F$1:$F185, F186, $H$1:$H185))
</f>
        <v/>
      </c>
      <c r="I186" s="26"/>
      <c r="J186" s="26" t="s">
        <v>77</v>
      </c>
      <c r="L186" s="27" t="s">
        <v>77</v>
      </c>
      <c r="N186" s="28" t="s">
        <v>77</v>
      </c>
      <c r="Q186" s="30"/>
    </row>
    <row r="187">
      <c r="B187" s="6"/>
      <c r="C187" s="33" t="str">
        <f t="array" ref="C187">IF(B187="", "", XLOOKUP(B187, Inventory!D:D,Inventory!E:E,"No Name Found"))</f>
        <v/>
      </c>
      <c r="D187" s="6"/>
      <c r="E187" s="6"/>
      <c r="F187" s="6"/>
      <c r="G187" s="24" t="str">
        <f>IF(F187="", "", VLOOKUP(F187, Inventory!A:BZ, 3, FALSE) - SUMIF($F$1:$F186, F187, $H$1:$H186))
</f>
        <v/>
      </c>
      <c r="I187" s="26"/>
      <c r="J187" s="26" t="s">
        <v>77</v>
      </c>
      <c r="L187" s="27" t="s">
        <v>77</v>
      </c>
      <c r="N187" s="28" t="s">
        <v>77</v>
      </c>
      <c r="Q187" s="30"/>
    </row>
    <row r="188">
      <c r="B188" s="6"/>
      <c r="C188" s="33" t="str">
        <f t="array" ref="C188">IF(B188="", "", XLOOKUP(B188, Inventory!D:D,Inventory!E:E,"No Name Found"))</f>
        <v/>
      </c>
      <c r="D188" s="6"/>
      <c r="E188" s="6"/>
      <c r="F188" s="6"/>
      <c r="G188" s="24" t="str">
        <f>IF(F188="", "", VLOOKUP(F188, Inventory!A:BZ, 3, FALSE) - SUMIF($F$1:$F187, F188, $H$1:$H187))
</f>
        <v/>
      </c>
      <c r="I188" s="26"/>
      <c r="J188" s="26" t="s">
        <v>77</v>
      </c>
      <c r="L188" s="27" t="s">
        <v>77</v>
      </c>
      <c r="N188" s="28" t="s">
        <v>77</v>
      </c>
      <c r="Q188" s="30"/>
    </row>
    <row r="189">
      <c r="B189" s="6"/>
      <c r="C189" s="33" t="str">
        <f t="array" ref="C189">IF(B189="", "", XLOOKUP(B189, Inventory!D:D,Inventory!E:E,"No Name Found"))</f>
        <v/>
      </c>
      <c r="D189" s="6"/>
      <c r="E189" s="6"/>
      <c r="F189" s="6"/>
      <c r="G189" s="24" t="str">
        <f>IF(F189="", "", VLOOKUP(F189, Inventory!A:BZ, 3, FALSE) - SUMIF($F$1:$F188, F189, $H$1:$H188))
</f>
        <v/>
      </c>
      <c r="I189" s="26"/>
      <c r="J189" s="26" t="s">
        <v>77</v>
      </c>
      <c r="L189" s="27" t="s">
        <v>77</v>
      </c>
      <c r="N189" s="28" t="s">
        <v>77</v>
      </c>
      <c r="Q189" s="30"/>
    </row>
    <row r="190">
      <c r="B190" s="6"/>
      <c r="C190" s="33" t="str">
        <f t="array" ref="C190">IF(B190="", "", XLOOKUP(B190, Inventory!D:D,Inventory!E:E,"No Name Found"))</f>
        <v/>
      </c>
      <c r="D190" s="6"/>
      <c r="E190" s="6"/>
      <c r="F190" s="6"/>
      <c r="G190" s="24" t="str">
        <f>IF(F190="", "", VLOOKUP(F190, Inventory!A:BZ, 3, FALSE) - SUMIF($F$1:$F189, F190, $H$1:$H189))
</f>
        <v/>
      </c>
      <c r="I190" s="26"/>
      <c r="J190" s="26" t="s">
        <v>77</v>
      </c>
      <c r="L190" s="27" t="s">
        <v>77</v>
      </c>
      <c r="N190" s="28" t="s">
        <v>77</v>
      </c>
      <c r="Q190" s="30"/>
    </row>
    <row r="191">
      <c r="B191" s="6"/>
      <c r="C191" s="33" t="str">
        <f t="array" ref="C191">IF(B191="", "", XLOOKUP(B191, Inventory!D:D,Inventory!E:E,"No Name Found"))</f>
        <v/>
      </c>
      <c r="D191" s="6"/>
      <c r="E191" s="6"/>
      <c r="F191" s="6"/>
      <c r="G191" s="24" t="str">
        <f>IF(F191="", "", VLOOKUP(F191, Inventory!A:BZ, 3, FALSE) - SUMIF($F$1:$F190, F191, $H$1:$H190))
</f>
        <v/>
      </c>
      <c r="I191" s="26"/>
      <c r="J191" s="26" t="s">
        <v>77</v>
      </c>
      <c r="L191" s="27" t="s">
        <v>77</v>
      </c>
      <c r="N191" s="28" t="s">
        <v>77</v>
      </c>
      <c r="Q191" s="30"/>
    </row>
    <row r="192">
      <c r="B192" s="6"/>
      <c r="C192" s="33" t="str">
        <f t="array" ref="C192">IF(B192="", "", XLOOKUP(B192, Inventory!D:D,Inventory!E:E,"No Name Found"))</f>
        <v/>
      </c>
      <c r="D192" s="6"/>
      <c r="E192" s="6"/>
      <c r="F192" s="6"/>
      <c r="G192" s="24" t="str">
        <f>IF(F192="", "", VLOOKUP(F192, Inventory!A:BZ, 3, FALSE) - SUMIF($F$1:$F191, F192, $H$1:$H191))
</f>
        <v/>
      </c>
      <c r="I192" s="26"/>
      <c r="J192" s="26" t="s">
        <v>77</v>
      </c>
      <c r="L192" s="27" t="s">
        <v>77</v>
      </c>
      <c r="N192" s="28" t="s">
        <v>77</v>
      </c>
      <c r="Q192" s="30"/>
    </row>
    <row r="193">
      <c r="B193" s="6"/>
      <c r="C193" s="33" t="str">
        <f t="array" ref="C193">IF(B193="", "", XLOOKUP(B193, Inventory!D:D,Inventory!E:E,"No Name Found"))</f>
        <v/>
      </c>
      <c r="D193" s="6"/>
      <c r="E193" s="6"/>
      <c r="F193" s="6"/>
      <c r="G193" s="24" t="str">
        <f>IF(F193="", "", VLOOKUP(F193, Inventory!A:BZ, 3, FALSE) - SUMIF($F$1:$F192, F193, $H$1:$H192))
</f>
        <v/>
      </c>
      <c r="I193" s="26"/>
      <c r="J193" s="26" t="s">
        <v>77</v>
      </c>
      <c r="L193" s="27" t="s">
        <v>77</v>
      </c>
      <c r="N193" s="28" t="s">
        <v>77</v>
      </c>
      <c r="Q193" s="30"/>
    </row>
    <row r="194">
      <c r="B194" s="6"/>
      <c r="C194" s="33" t="str">
        <f t="array" ref="C194">IF(B194="", "", XLOOKUP(B194, Inventory!D:D,Inventory!E:E,"No Name Found"))</f>
        <v/>
      </c>
      <c r="D194" s="6"/>
      <c r="E194" s="6"/>
      <c r="F194" s="6"/>
      <c r="G194" s="24" t="str">
        <f>IF(F194="", "", VLOOKUP(F194, Inventory!A:BZ, 3, FALSE) - SUMIF($F$1:$F193, F194, $H$1:$H193))
</f>
        <v/>
      </c>
      <c r="I194" s="26"/>
      <c r="J194" s="26" t="s">
        <v>77</v>
      </c>
      <c r="L194" s="27" t="s">
        <v>77</v>
      </c>
      <c r="N194" s="28" t="s">
        <v>77</v>
      </c>
      <c r="Q194" s="30"/>
    </row>
    <row r="195">
      <c r="B195" s="6"/>
      <c r="C195" s="33" t="str">
        <f t="array" ref="C195">IF(B195="", "", XLOOKUP(B195, Inventory!D:D,Inventory!E:E,"No Name Found"))</f>
        <v/>
      </c>
      <c r="D195" s="6"/>
      <c r="E195" s="6"/>
      <c r="F195" s="6"/>
      <c r="G195" s="24" t="str">
        <f>IF(F195="", "", VLOOKUP(F195, Inventory!A:BZ, 3, FALSE) - SUMIF($F$1:$F194, F195, $H$1:$H194))
</f>
        <v/>
      </c>
      <c r="I195" s="26"/>
      <c r="J195" s="26" t="s">
        <v>77</v>
      </c>
      <c r="L195" s="27" t="s">
        <v>77</v>
      </c>
      <c r="N195" s="28" t="s">
        <v>77</v>
      </c>
      <c r="Q195" s="30"/>
    </row>
    <row r="196">
      <c r="B196" s="6"/>
      <c r="C196" s="33" t="str">
        <f t="array" ref="C196">IF(B196="", "", XLOOKUP(B196, Inventory!D:D,Inventory!E:E,"No Name Found"))</f>
        <v/>
      </c>
      <c r="D196" s="6"/>
      <c r="E196" s="6"/>
      <c r="F196" s="6"/>
      <c r="G196" s="24" t="str">
        <f>IF(F196="", "", VLOOKUP(F196, Inventory!A:BZ, 3, FALSE) - SUMIF($F$1:$F195, F196, $H$1:$H195))
</f>
        <v/>
      </c>
      <c r="I196" s="26"/>
      <c r="J196" s="26" t="s">
        <v>77</v>
      </c>
      <c r="L196" s="27" t="s">
        <v>77</v>
      </c>
      <c r="N196" s="28" t="s">
        <v>77</v>
      </c>
      <c r="Q196" s="30"/>
    </row>
    <row r="197">
      <c r="B197" s="6"/>
      <c r="C197" s="33" t="str">
        <f t="array" ref="C197">IF(B197="", "", XLOOKUP(B197, Inventory!D:D,Inventory!E:E,"No Name Found"))</f>
        <v/>
      </c>
      <c r="D197" s="6"/>
      <c r="E197" s="6"/>
      <c r="F197" s="6"/>
      <c r="G197" s="24" t="str">
        <f>IF(F197="", "", VLOOKUP(F197, Inventory!A:BZ, 3, FALSE) - SUMIF($F$1:$F196, F197, $H$1:$H196))
</f>
        <v/>
      </c>
      <c r="I197" s="26"/>
      <c r="J197" s="26" t="s">
        <v>77</v>
      </c>
      <c r="L197" s="27" t="s">
        <v>77</v>
      </c>
      <c r="N197" s="28" t="s">
        <v>77</v>
      </c>
      <c r="Q197" s="30"/>
    </row>
    <row r="198">
      <c r="B198" s="6"/>
      <c r="C198" s="33" t="str">
        <f t="array" ref="C198">IF(B198="", "", XLOOKUP(B198, Inventory!D:D,Inventory!E:E,"No Name Found"))</f>
        <v/>
      </c>
      <c r="D198" s="6"/>
      <c r="E198" s="6"/>
      <c r="F198" s="6"/>
      <c r="G198" s="24" t="str">
        <f>IF(F198="", "", VLOOKUP(F198, Inventory!A:BZ, 3, FALSE) - SUMIF($F$1:$F197, F198, $H$1:$H197))
</f>
        <v/>
      </c>
      <c r="I198" s="26"/>
      <c r="J198" s="26" t="s">
        <v>77</v>
      </c>
      <c r="L198" s="27" t="s">
        <v>77</v>
      </c>
      <c r="N198" s="28" t="s">
        <v>77</v>
      </c>
      <c r="Q198" s="30"/>
    </row>
    <row r="199">
      <c r="B199" s="6"/>
      <c r="C199" s="33" t="str">
        <f t="array" ref="C199">IF(B199="", "", XLOOKUP(B199, Inventory!D:D,Inventory!E:E,"No Name Found"))</f>
        <v/>
      </c>
      <c r="D199" s="6"/>
      <c r="E199" s="6"/>
      <c r="F199" s="6"/>
      <c r="G199" s="24" t="str">
        <f>IF(F199="", "", VLOOKUP(F199, Inventory!A:BZ, 3, FALSE) - SUMIF($F$1:$F198, F199, $H$1:$H198))
</f>
        <v/>
      </c>
      <c r="I199" s="26"/>
      <c r="J199" s="26" t="s">
        <v>77</v>
      </c>
      <c r="L199" s="27" t="s">
        <v>77</v>
      </c>
      <c r="N199" s="28" t="s">
        <v>77</v>
      </c>
      <c r="Q199" s="30"/>
    </row>
    <row r="200">
      <c r="B200" s="6"/>
      <c r="C200" s="33" t="str">
        <f t="array" ref="C200">IF(B200="", "", XLOOKUP(B200, Inventory!D:D,Inventory!E:E,"No Name Found"))</f>
        <v/>
      </c>
      <c r="D200" s="6"/>
      <c r="E200" s="6"/>
      <c r="F200" s="6"/>
      <c r="G200" s="24" t="str">
        <f>IF(F200="", "", VLOOKUP(F200, Inventory!A:BZ, 3, FALSE) - SUMIF($F$1:$F199, F200, $H$1:$H199))
</f>
        <v/>
      </c>
      <c r="I200" s="26"/>
      <c r="J200" s="26" t="s">
        <v>77</v>
      </c>
      <c r="L200" s="27" t="s">
        <v>77</v>
      </c>
      <c r="N200" s="28" t="s">
        <v>77</v>
      </c>
      <c r="Q200" s="30"/>
    </row>
    <row r="201">
      <c r="B201" s="6"/>
      <c r="C201" s="33" t="str">
        <f t="array" ref="C201">IF(B201="", "", XLOOKUP(B201, Inventory!D:D,Inventory!E:E,"No Name Found"))</f>
        <v/>
      </c>
      <c r="D201" s="6"/>
      <c r="E201" s="6"/>
      <c r="F201" s="6"/>
      <c r="G201" s="24" t="str">
        <f>IF(F201="", "", VLOOKUP(F201, Inventory!A:BZ, 3, FALSE) - SUMIF($F$1:$F200, F201, $H$1:$H200))
</f>
        <v/>
      </c>
      <c r="I201" s="26"/>
      <c r="J201" s="26" t="s">
        <v>77</v>
      </c>
      <c r="L201" s="27" t="s">
        <v>77</v>
      </c>
      <c r="N201" s="28" t="s">
        <v>77</v>
      </c>
      <c r="Q201" s="30"/>
    </row>
    <row r="202">
      <c r="B202" s="6"/>
      <c r="C202" s="33" t="str">
        <f t="array" ref="C202">IF(B202="", "", XLOOKUP(B202, Inventory!D:D,Inventory!E:E,"No Name Found"))</f>
        <v/>
      </c>
      <c r="D202" s="6"/>
      <c r="E202" s="6"/>
      <c r="F202" s="6"/>
      <c r="G202" s="24" t="str">
        <f>IF(F202="", "", VLOOKUP(F202, Inventory!A:BZ, 3, FALSE) - SUMIF($F$1:$F201, F202, $H$1:$H201))
</f>
        <v/>
      </c>
      <c r="I202" s="26"/>
      <c r="J202" s="26" t="s">
        <v>77</v>
      </c>
      <c r="L202" s="27" t="s">
        <v>77</v>
      </c>
      <c r="N202" s="28" t="s">
        <v>77</v>
      </c>
      <c r="Q202" s="30"/>
    </row>
    <row r="203">
      <c r="B203" s="6"/>
      <c r="C203" s="33" t="str">
        <f t="array" ref="C203">IF(B203="", "", XLOOKUP(B203, Inventory!D:D,Inventory!E:E,"No Name Found"))</f>
        <v/>
      </c>
      <c r="D203" s="6"/>
      <c r="E203" s="6"/>
      <c r="F203" s="6"/>
      <c r="G203" s="24" t="str">
        <f>IF(F203="", "", VLOOKUP(F203, Inventory!A:BZ, 3, FALSE) - SUMIF($F$1:$F202, F203, $H$1:$H202))
</f>
        <v/>
      </c>
      <c r="I203" s="26"/>
      <c r="J203" s="26" t="s">
        <v>77</v>
      </c>
      <c r="L203" s="27" t="s">
        <v>77</v>
      </c>
      <c r="N203" s="28" t="s">
        <v>77</v>
      </c>
      <c r="Q203" s="30"/>
    </row>
    <row r="204">
      <c r="B204" s="6"/>
      <c r="C204" s="33" t="str">
        <f t="array" ref="C204">IF(B204="", "", XLOOKUP(B204, Inventory!D:D,Inventory!E:E,"No Name Found"))</f>
        <v/>
      </c>
      <c r="D204" s="6"/>
      <c r="E204" s="6"/>
      <c r="F204" s="6"/>
      <c r="G204" s="24" t="str">
        <f>IF(F204="", "", VLOOKUP(F204, Inventory!A:BZ, 3, FALSE) - SUMIF($F$1:$F203, F204, $H$1:$H203))
</f>
        <v/>
      </c>
      <c r="I204" s="26"/>
      <c r="J204" s="26" t="s">
        <v>77</v>
      </c>
      <c r="L204" s="27" t="s">
        <v>77</v>
      </c>
      <c r="N204" s="28" t="s">
        <v>77</v>
      </c>
      <c r="Q204" s="30"/>
    </row>
    <row r="205">
      <c r="B205" s="6"/>
      <c r="C205" s="33" t="str">
        <f t="array" ref="C205">IF(B205="", "", XLOOKUP(B205, Inventory!D:D,Inventory!E:E,"No Name Found"))</f>
        <v/>
      </c>
      <c r="D205" s="6"/>
      <c r="E205" s="6"/>
      <c r="F205" s="6"/>
      <c r="G205" s="24" t="str">
        <f>IF(F205="", "", VLOOKUP(F205, Inventory!A:BZ, 3, FALSE) - SUMIF($F$1:$F204, F205, $H$1:$H204))
</f>
        <v/>
      </c>
      <c r="I205" s="26"/>
      <c r="J205" s="26" t="s">
        <v>77</v>
      </c>
      <c r="L205" s="27" t="s">
        <v>77</v>
      </c>
      <c r="N205" s="28" t="s">
        <v>77</v>
      </c>
      <c r="Q205" s="30"/>
    </row>
    <row r="206">
      <c r="B206" s="6"/>
      <c r="C206" s="33" t="str">
        <f t="array" ref="C206">IF(B206="", "", XLOOKUP(B206, Inventory!D:D,Inventory!E:E,"No Name Found"))</f>
        <v/>
      </c>
      <c r="D206" s="6"/>
      <c r="E206" s="6"/>
      <c r="F206" s="6"/>
      <c r="G206" s="24" t="str">
        <f>IF(F206="", "", VLOOKUP(F206, Inventory!A:BZ, 3, FALSE) - SUMIF($F$1:$F205, F206, $H$1:$H205))
</f>
        <v/>
      </c>
      <c r="I206" s="26"/>
      <c r="J206" s="26" t="s">
        <v>77</v>
      </c>
      <c r="L206" s="27" t="s">
        <v>77</v>
      </c>
      <c r="N206" s="28" t="s">
        <v>77</v>
      </c>
      <c r="Q206" s="30"/>
    </row>
    <row r="207">
      <c r="B207" s="6"/>
      <c r="C207" s="33" t="str">
        <f t="array" ref="C207">IF(B207="", "", XLOOKUP(B207, Inventory!D:D,Inventory!E:E,"No Name Found"))</f>
        <v/>
      </c>
      <c r="D207" s="6"/>
      <c r="E207" s="6"/>
      <c r="F207" s="6"/>
      <c r="G207" s="24" t="str">
        <f>IF(F207="", "", VLOOKUP(F207, Inventory!A:BZ, 3, FALSE) - SUMIF($F$1:$F206, F207, $H$1:$H206))
</f>
        <v/>
      </c>
      <c r="I207" s="26"/>
      <c r="J207" s="26" t="s">
        <v>77</v>
      </c>
      <c r="L207" s="27" t="s">
        <v>77</v>
      </c>
      <c r="N207" s="28" t="s">
        <v>77</v>
      </c>
      <c r="Q207" s="30"/>
    </row>
    <row r="208">
      <c r="B208" s="6"/>
      <c r="C208" s="33" t="str">
        <f t="array" ref="C208">IF(B208="", "", XLOOKUP(B208, Inventory!D:D,Inventory!E:E,"No Name Found"))</f>
        <v/>
      </c>
      <c r="D208" s="6"/>
      <c r="E208" s="6"/>
      <c r="F208" s="6"/>
      <c r="G208" s="24" t="str">
        <f>IF(F208="", "", VLOOKUP(F208, Inventory!A:BZ, 3, FALSE) - SUMIF($F$1:$F207, F208, $H$1:$H207))
</f>
        <v/>
      </c>
      <c r="I208" s="26"/>
      <c r="J208" s="26" t="s">
        <v>77</v>
      </c>
      <c r="L208" s="27" t="s">
        <v>77</v>
      </c>
      <c r="N208" s="28" t="s">
        <v>77</v>
      </c>
      <c r="Q208" s="30"/>
    </row>
    <row r="209">
      <c r="B209" s="6"/>
      <c r="C209" s="33" t="str">
        <f t="array" ref="C209">IF(B209="", "", XLOOKUP(B209, Inventory!D:D,Inventory!E:E,"No Name Found"))</f>
        <v/>
      </c>
      <c r="D209" s="6"/>
      <c r="E209" s="6"/>
      <c r="F209" s="6"/>
      <c r="G209" s="24" t="str">
        <f>IF(F209="", "", VLOOKUP(F209, Inventory!A:BZ, 3, FALSE) - SUMIF($F$1:$F208, F209, $H$1:$H208))
</f>
        <v/>
      </c>
      <c r="I209" s="26"/>
      <c r="J209" s="26" t="s">
        <v>77</v>
      </c>
      <c r="L209" s="27" t="s">
        <v>77</v>
      </c>
      <c r="N209" s="28" t="s">
        <v>77</v>
      </c>
      <c r="Q209" s="30"/>
    </row>
    <row r="210">
      <c r="B210" s="6"/>
      <c r="C210" s="33" t="str">
        <f t="array" ref="C210">IF(B210="", "", XLOOKUP(B210, Inventory!D:D,Inventory!E:E,"No Name Found"))</f>
        <v/>
      </c>
      <c r="D210" s="6"/>
      <c r="E210" s="6"/>
      <c r="F210" s="6"/>
      <c r="G210" s="24" t="str">
        <f>IF(F210="", "", VLOOKUP(F210, Inventory!A:BZ, 3, FALSE) - SUMIF($F$1:$F209, F210, $H$1:$H209))
</f>
        <v/>
      </c>
      <c r="I210" s="26"/>
      <c r="J210" s="26" t="s">
        <v>77</v>
      </c>
      <c r="L210" s="27" t="s">
        <v>77</v>
      </c>
      <c r="N210" s="28" t="s">
        <v>77</v>
      </c>
      <c r="Q210" s="30"/>
    </row>
    <row r="211">
      <c r="B211" s="6"/>
      <c r="C211" s="33" t="str">
        <f t="array" ref="C211">IF(B211="", "", XLOOKUP(B211, Inventory!D:D,Inventory!E:E,"No Name Found"))</f>
        <v/>
      </c>
      <c r="D211" s="6"/>
      <c r="E211" s="6"/>
      <c r="F211" s="6"/>
      <c r="G211" s="24" t="str">
        <f>IF(F211="", "", VLOOKUP(F211, Inventory!A:BZ, 3, FALSE) - SUMIF($F$1:$F210, F211, $H$1:$H210))
</f>
        <v/>
      </c>
      <c r="I211" s="26"/>
      <c r="J211" s="26" t="s">
        <v>77</v>
      </c>
      <c r="L211" s="27" t="s">
        <v>77</v>
      </c>
      <c r="N211" s="28" t="s">
        <v>77</v>
      </c>
      <c r="Q211" s="30"/>
    </row>
    <row r="212">
      <c r="B212" s="6"/>
      <c r="C212" s="33" t="str">
        <f t="array" ref="C212">IF(B212="", "", XLOOKUP(B212, Inventory!D:D,Inventory!E:E,"No Name Found"))</f>
        <v/>
      </c>
      <c r="D212" s="6"/>
      <c r="E212" s="6"/>
      <c r="F212" s="6"/>
      <c r="G212" s="24" t="str">
        <f>IF(F212="", "", VLOOKUP(F212, Inventory!A:BZ, 3, FALSE) - SUMIF($F$1:$F211, F212, $H$1:$H211))
</f>
        <v/>
      </c>
      <c r="I212" s="26"/>
      <c r="J212" s="26" t="s">
        <v>77</v>
      </c>
      <c r="L212" s="27" t="s">
        <v>77</v>
      </c>
      <c r="N212" s="28" t="s">
        <v>77</v>
      </c>
      <c r="Q212" s="30"/>
    </row>
    <row r="213">
      <c r="B213" s="6"/>
      <c r="C213" s="33" t="str">
        <f t="array" ref="C213">IF(B213="", "", XLOOKUP(B213, Inventory!D:D,Inventory!E:E,"No Name Found"))</f>
        <v/>
      </c>
      <c r="D213" s="6"/>
      <c r="E213" s="6"/>
      <c r="F213" s="6"/>
      <c r="G213" s="24" t="str">
        <f>IF(F213="", "", VLOOKUP(F213, Inventory!A:BZ, 3, FALSE) - SUMIF($F$1:$F212, F213, $H$1:$H212))
</f>
        <v/>
      </c>
      <c r="I213" s="26"/>
      <c r="J213" s="26" t="s">
        <v>77</v>
      </c>
      <c r="L213" s="27" t="s">
        <v>77</v>
      </c>
      <c r="N213" s="28" t="s">
        <v>77</v>
      </c>
      <c r="Q213" s="30"/>
    </row>
    <row r="214">
      <c r="B214" s="6"/>
      <c r="C214" s="33" t="str">
        <f t="array" ref="C214">IF(B214="", "", XLOOKUP(B214, Inventory!D:D,Inventory!E:E,"No Name Found"))</f>
        <v/>
      </c>
      <c r="D214" s="6"/>
      <c r="E214" s="6"/>
      <c r="F214" s="6"/>
      <c r="G214" s="24" t="str">
        <f>IF(F214="", "", VLOOKUP(F214, Inventory!A:BZ, 3, FALSE) - SUMIF($F$1:$F213, F214, $H$1:$H213))
</f>
        <v/>
      </c>
      <c r="I214" s="26"/>
      <c r="J214" s="26" t="s">
        <v>77</v>
      </c>
      <c r="L214" s="27" t="s">
        <v>77</v>
      </c>
      <c r="N214" s="28" t="s">
        <v>77</v>
      </c>
      <c r="Q214" s="30"/>
    </row>
    <row r="215">
      <c r="B215" s="6"/>
      <c r="C215" s="33" t="str">
        <f t="array" ref="C215">IF(B215="", "", XLOOKUP(B215, Inventory!D:D,Inventory!E:E,"No Name Found"))</f>
        <v/>
      </c>
      <c r="D215" s="6"/>
      <c r="E215" s="6"/>
      <c r="F215" s="6"/>
      <c r="G215" s="24" t="str">
        <f>IF(F215="", "", VLOOKUP(F215, Inventory!A:BZ, 3, FALSE) - SUMIF($F$1:$F214, F215, $H$1:$H214))
</f>
        <v/>
      </c>
      <c r="I215" s="26"/>
      <c r="J215" s="26" t="s">
        <v>77</v>
      </c>
      <c r="L215" s="27" t="s">
        <v>77</v>
      </c>
      <c r="N215" s="28" t="s">
        <v>77</v>
      </c>
      <c r="Q215" s="30"/>
    </row>
    <row r="216">
      <c r="B216" s="6"/>
      <c r="C216" s="33" t="str">
        <f t="array" ref="C216">IF(B216="", "", XLOOKUP(B216, Inventory!D:D,Inventory!E:E,"No Name Found"))</f>
        <v/>
      </c>
      <c r="D216" s="6"/>
      <c r="E216" s="6"/>
      <c r="F216" s="6"/>
      <c r="G216" s="24" t="str">
        <f>IF(F216="", "", VLOOKUP(F216, Inventory!A:BZ, 3, FALSE) - SUMIF($F$1:$F215, F216, $H$1:$H215))
</f>
        <v/>
      </c>
      <c r="I216" s="26"/>
      <c r="J216" s="26" t="s">
        <v>77</v>
      </c>
      <c r="L216" s="27" t="s">
        <v>77</v>
      </c>
      <c r="N216" s="28" t="s">
        <v>77</v>
      </c>
      <c r="Q216" s="30"/>
    </row>
    <row r="217">
      <c r="B217" s="6"/>
      <c r="C217" s="33" t="str">
        <f t="array" ref="C217">IF(B217="", "", XLOOKUP(B217, Inventory!D:D,Inventory!E:E,"No Name Found"))</f>
        <v/>
      </c>
      <c r="D217" s="6"/>
      <c r="E217" s="6"/>
      <c r="F217" s="6"/>
      <c r="G217" s="24" t="str">
        <f>IF(F217="", "", VLOOKUP(F217, Inventory!A:BZ, 3, FALSE) - SUMIF($F$1:$F216, F217, $H$1:$H216))
</f>
        <v/>
      </c>
      <c r="I217" s="26"/>
      <c r="J217" s="26" t="s">
        <v>77</v>
      </c>
      <c r="L217" s="27" t="s">
        <v>77</v>
      </c>
      <c r="N217" s="28" t="s">
        <v>77</v>
      </c>
      <c r="Q217" s="30"/>
    </row>
    <row r="218">
      <c r="B218" s="6"/>
      <c r="C218" s="33" t="str">
        <f t="array" ref="C218">IF(B218="", "", XLOOKUP(B218, Inventory!D:D,Inventory!E:E,"No Name Found"))</f>
        <v/>
      </c>
      <c r="D218" s="6"/>
      <c r="E218" s="6"/>
      <c r="F218" s="6"/>
      <c r="G218" s="24" t="str">
        <f>IF(F218="", "", VLOOKUP(F218, Inventory!A:BZ, 3, FALSE) - SUMIF($F$1:$F217, F218, $H$1:$H217))
</f>
        <v/>
      </c>
      <c r="I218" s="26"/>
      <c r="J218" s="26" t="s">
        <v>77</v>
      </c>
      <c r="L218" s="27" t="s">
        <v>77</v>
      </c>
      <c r="N218" s="28" t="s">
        <v>77</v>
      </c>
      <c r="Q218" s="30"/>
    </row>
    <row r="219">
      <c r="B219" s="6"/>
      <c r="C219" s="33" t="str">
        <f t="array" ref="C219">IF(B219="", "", XLOOKUP(B219, Inventory!D:D,Inventory!E:E,"No Name Found"))</f>
        <v/>
      </c>
      <c r="D219" s="6"/>
      <c r="E219" s="6"/>
      <c r="F219" s="6"/>
      <c r="G219" s="24" t="str">
        <f>IF(F219="", "", VLOOKUP(F219, Inventory!A:BZ, 3, FALSE) - SUMIF($F$1:$F218, F219, $H$1:$H218))
</f>
        <v/>
      </c>
      <c r="I219" s="26"/>
      <c r="J219" s="26" t="s">
        <v>77</v>
      </c>
      <c r="L219" s="27" t="s">
        <v>77</v>
      </c>
      <c r="N219" s="28" t="s">
        <v>77</v>
      </c>
      <c r="Q219" s="30"/>
    </row>
    <row r="220">
      <c r="B220" s="6"/>
      <c r="C220" s="33" t="str">
        <f t="array" ref="C220">IF(B220="", "", XLOOKUP(B220, Inventory!D:D,Inventory!E:E,"No Name Found"))</f>
        <v/>
      </c>
      <c r="D220" s="6"/>
      <c r="E220" s="6"/>
      <c r="F220" s="6"/>
      <c r="G220" s="24" t="str">
        <f>IF(F220="", "", VLOOKUP(F220, Inventory!A:BZ, 3, FALSE) - SUMIF($F$1:$F219, F220, $H$1:$H219))
</f>
        <v/>
      </c>
      <c r="I220" s="26"/>
      <c r="J220" s="26" t="s">
        <v>77</v>
      </c>
      <c r="L220" s="27" t="s">
        <v>77</v>
      </c>
      <c r="N220" s="28" t="s">
        <v>77</v>
      </c>
      <c r="Q220" s="30"/>
    </row>
    <row r="221">
      <c r="B221" s="6"/>
      <c r="C221" s="33" t="str">
        <f t="array" ref="C221">IF(B221="", "", XLOOKUP(B221, Inventory!D:D,Inventory!E:E,"No Name Found"))</f>
        <v/>
      </c>
      <c r="D221" s="6"/>
      <c r="E221" s="6"/>
      <c r="F221" s="6"/>
      <c r="G221" s="24" t="str">
        <f>IF(F221="", "", VLOOKUP(F221, Inventory!A:BZ, 3, FALSE) - SUMIF($F$1:$F220, F221, $H$1:$H220))
</f>
        <v/>
      </c>
      <c r="I221" s="26"/>
      <c r="J221" s="26" t="s">
        <v>77</v>
      </c>
      <c r="L221" s="27" t="s">
        <v>77</v>
      </c>
      <c r="N221" s="28" t="s">
        <v>77</v>
      </c>
      <c r="Q221" s="30"/>
    </row>
    <row r="222">
      <c r="B222" s="6"/>
      <c r="C222" s="33" t="str">
        <f t="array" ref="C222">IF(B222="", "", XLOOKUP(B222, Inventory!D:D,Inventory!E:E,"No Name Found"))</f>
        <v/>
      </c>
      <c r="D222" s="6"/>
      <c r="E222" s="6"/>
      <c r="F222" s="6"/>
      <c r="G222" s="24" t="str">
        <f>IF(F222="", "", VLOOKUP(F222, Inventory!A:BZ, 3, FALSE) - SUMIF($F$1:$F221, F222, $H$1:$H221))
</f>
        <v/>
      </c>
      <c r="I222" s="26"/>
      <c r="J222" s="26" t="s">
        <v>77</v>
      </c>
      <c r="L222" s="27" t="s">
        <v>77</v>
      </c>
      <c r="N222" s="28" t="s">
        <v>77</v>
      </c>
      <c r="Q222" s="30"/>
    </row>
    <row r="223">
      <c r="B223" s="6"/>
      <c r="C223" s="33" t="str">
        <f t="array" ref="C223">IF(B223="", "", XLOOKUP(B223, Inventory!D:D,Inventory!E:E,"No Name Found"))</f>
        <v/>
      </c>
      <c r="D223" s="6"/>
      <c r="E223" s="6"/>
      <c r="F223" s="6"/>
      <c r="G223" s="24" t="str">
        <f>IF(F223="", "", VLOOKUP(F223, Inventory!A:BZ, 3, FALSE) - SUMIF($F$1:$F222, F223, $H$1:$H222))
</f>
        <v/>
      </c>
      <c r="I223" s="26"/>
      <c r="J223" s="26" t="s">
        <v>77</v>
      </c>
      <c r="L223" s="27" t="s">
        <v>77</v>
      </c>
      <c r="N223" s="28" t="s">
        <v>77</v>
      </c>
      <c r="Q223" s="30"/>
    </row>
    <row r="224">
      <c r="B224" s="6"/>
      <c r="C224" s="33" t="str">
        <f t="array" ref="C224">IF(B224="", "", XLOOKUP(B224, Inventory!D:D,Inventory!E:E,"No Name Found"))</f>
        <v/>
      </c>
      <c r="D224" s="6"/>
      <c r="E224" s="6"/>
      <c r="F224" s="6"/>
      <c r="G224" s="24" t="str">
        <f>IF(F224="", "", VLOOKUP(F224, Inventory!A:BZ, 3, FALSE) - SUMIF($F$1:$F223, F224, $H$1:$H223))
</f>
        <v/>
      </c>
      <c r="I224" s="26"/>
      <c r="J224" s="26" t="s">
        <v>77</v>
      </c>
      <c r="L224" s="27" t="s">
        <v>77</v>
      </c>
      <c r="N224" s="28" t="s">
        <v>77</v>
      </c>
      <c r="Q224" s="30"/>
    </row>
    <row r="225">
      <c r="B225" s="6"/>
      <c r="C225" s="33" t="str">
        <f t="array" ref="C225">IF(B225="", "", XLOOKUP(B225, Inventory!D:D,Inventory!E:E,"No Name Found"))</f>
        <v/>
      </c>
      <c r="D225" s="6"/>
      <c r="E225" s="6"/>
      <c r="F225" s="6"/>
      <c r="G225" s="24" t="str">
        <f>IF(F225="", "", VLOOKUP(F225, Inventory!A:BZ, 3, FALSE) - SUMIF($F$1:$F224, F225, $H$1:$H224))
</f>
        <v/>
      </c>
      <c r="I225" s="26"/>
      <c r="J225" s="26" t="s">
        <v>77</v>
      </c>
      <c r="L225" s="27" t="s">
        <v>77</v>
      </c>
      <c r="N225" s="28" t="s">
        <v>77</v>
      </c>
      <c r="Q225" s="30"/>
    </row>
    <row r="226">
      <c r="B226" s="6"/>
      <c r="C226" s="33" t="str">
        <f t="array" ref="C226">IF(B226="", "", XLOOKUP(B226, Inventory!D:D,Inventory!E:E,"No Name Found"))</f>
        <v/>
      </c>
      <c r="D226" s="6"/>
      <c r="E226" s="6"/>
      <c r="F226" s="6"/>
      <c r="G226" s="24" t="str">
        <f>IF(F226="", "", VLOOKUP(F226, Inventory!A:BZ, 3, FALSE) - SUMIF($F$1:$F225, F226, $H$1:$H225))
</f>
        <v/>
      </c>
      <c r="I226" s="26"/>
      <c r="J226" s="26" t="s">
        <v>77</v>
      </c>
      <c r="L226" s="27" t="s">
        <v>77</v>
      </c>
      <c r="N226" s="28" t="s">
        <v>77</v>
      </c>
      <c r="Q226" s="30"/>
    </row>
    <row r="227">
      <c r="B227" s="6"/>
      <c r="C227" s="33" t="str">
        <f t="array" ref="C227">IF(B227="", "", XLOOKUP(B227, Inventory!D:D,Inventory!E:E,"No Name Found"))</f>
        <v/>
      </c>
      <c r="D227" s="6"/>
      <c r="E227" s="6"/>
      <c r="F227" s="6"/>
      <c r="G227" s="24" t="str">
        <f>IF(F227="", "", VLOOKUP(F227, Inventory!A:BZ, 3, FALSE) - SUMIF($F$1:$F226, F227, $H$1:$H226))
</f>
        <v/>
      </c>
      <c r="I227" s="26"/>
      <c r="J227" s="26" t="s">
        <v>77</v>
      </c>
      <c r="L227" s="27" t="s">
        <v>77</v>
      </c>
      <c r="N227" s="28" t="s">
        <v>77</v>
      </c>
      <c r="Q227" s="30"/>
    </row>
    <row r="228">
      <c r="B228" s="6"/>
      <c r="C228" s="33" t="str">
        <f t="array" ref="C228">IF(B228="", "", XLOOKUP(B228, Inventory!D:D,Inventory!E:E,"No Name Found"))</f>
        <v/>
      </c>
      <c r="D228" s="6"/>
      <c r="E228" s="6"/>
      <c r="F228" s="6"/>
      <c r="G228" s="24" t="str">
        <f>IF(F228="", "", VLOOKUP(F228, Inventory!A:BZ, 3, FALSE) - SUMIF($F$1:$F227, F228, $H$1:$H227))
</f>
        <v/>
      </c>
      <c r="I228" s="26"/>
      <c r="J228" s="26" t="s">
        <v>77</v>
      </c>
      <c r="L228" s="27" t="s">
        <v>77</v>
      </c>
      <c r="N228" s="28" t="s">
        <v>77</v>
      </c>
      <c r="Q228" s="30"/>
    </row>
    <row r="229">
      <c r="B229" s="6"/>
      <c r="C229" s="33" t="str">
        <f t="array" ref="C229">IF(B229="", "", XLOOKUP(B229, Inventory!D:D,Inventory!E:E,"No Name Found"))</f>
        <v/>
      </c>
      <c r="D229" s="6"/>
      <c r="E229" s="6"/>
      <c r="F229" s="6"/>
      <c r="G229" s="24" t="str">
        <f>IF(F229="", "", VLOOKUP(F229, Inventory!A:BZ, 3, FALSE) - SUMIF($F$1:$F228, F229, $H$1:$H228))
</f>
        <v/>
      </c>
      <c r="I229" s="26"/>
      <c r="J229" s="26" t="s">
        <v>77</v>
      </c>
      <c r="L229" s="27" t="s">
        <v>77</v>
      </c>
      <c r="N229" s="28" t="s">
        <v>77</v>
      </c>
      <c r="Q229" s="30"/>
    </row>
    <row r="230">
      <c r="B230" s="6"/>
      <c r="C230" s="33" t="str">
        <f t="array" ref="C230">IF(B230="", "", XLOOKUP(B230, Inventory!D:D,Inventory!E:E,"No Name Found"))</f>
        <v/>
      </c>
      <c r="D230" s="6"/>
      <c r="E230" s="6"/>
      <c r="F230" s="6"/>
      <c r="G230" s="24" t="str">
        <f>IF(F230="", "", VLOOKUP(F230, Inventory!A:BZ, 3, FALSE) - SUMIF($F$1:$F229, F230, $H$1:$H229))
</f>
        <v/>
      </c>
      <c r="I230" s="26"/>
      <c r="J230" s="26" t="s">
        <v>77</v>
      </c>
      <c r="L230" s="27" t="s">
        <v>77</v>
      </c>
      <c r="N230" s="28" t="s">
        <v>77</v>
      </c>
      <c r="Q230" s="30"/>
    </row>
    <row r="231">
      <c r="B231" s="6"/>
      <c r="C231" s="33" t="str">
        <f t="array" ref="C231">IF(B231="", "", XLOOKUP(B231, Inventory!D:D,Inventory!E:E,"No Name Found"))</f>
        <v/>
      </c>
      <c r="D231" s="6"/>
      <c r="E231" s="6"/>
      <c r="F231" s="6"/>
      <c r="G231" s="24" t="str">
        <f>IF(F231="", "", VLOOKUP(F231, Inventory!A:BZ, 3, FALSE) - SUMIF($F$1:$F230, F231, $H$1:$H230))
</f>
        <v/>
      </c>
      <c r="I231" s="26"/>
      <c r="J231" s="26" t="s">
        <v>77</v>
      </c>
      <c r="L231" s="27" t="s">
        <v>77</v>
      </c>
      <c r="N231" s="28" t="s">
        <v>77</v>
      </c>
      <c r="Q231" s="30"/>
    </row>
    <row r="232">
      <c r="B232" s="6"/>
      <c r="C232" s="33" t="str">
        <f t="array" ref="C232">IF(B232="", "", XLOOKUP(B232, Inventory!D:D,Inventory!E:E,"No Name Found"))</f>
        <v/>
      </c>
      <c r="D232" s="6"/>
      <c r="E232" s="6"/>
      <c r="F232" s="6"/>
      <c r="G232" s="24" t="str">
        <f>IF(F232="", "", VLOOKUP(F232, Inventory!A:BZ, 3, FALSE) - SUMIF($F$1:$F231, F232, $H$1:$H231))
</f>
        <v/>
      </c>
      <c r="I232" s="26"/>
      <c r="J232" s="26" t="s">
        <v>77</v>
      </c>
      <c r="L232" s="27" t="s">
        <v>77</v>
      </c>
      <c r="N232" s="28" t="s">
        <v>77</v>
      </c>
      <c r="Q232" s="30"/>
    </row>
    <row r="233">
      <c r="B233" s="6"/>
      <c r="C233" s="33" t="str">
        <f t="array" ref="C233">IF(B233="", "", XLOOKUP(B233, Inventory!D:D,Inventory!E:E,"No Name Found"))</f>
        <v/>
      </c>
      <c r="D233" s="6"/>
      <c r="E233" s="6"/>
      <c r="F233" s="6"/>
      <c r="G233" s="24" t="str">
        <f>IF(F233="", "", VLOOKUP(F233, Inventory!A:BZ, 3, FALSE) - SUMIF($F$1:$F232, F233, $H$1:$H232))
</f>
        <v/>
      </c>
      <c r="I233" s="26"/>
      <c r="J233" s="26" t="s">
        <v>77</v>
      </c>
      <c r="L233" s="27" t="s">
        <v>77</v>
      </c>
      <c r="N233" s="28" t="s">
        <v>77</v>
      </c>
      <c r="Q233" s="30"/>
    </row>
    <row r="234">
      <c r="B234" s="6"/>
      <c r="C234" s="33" t="str">
        <f t="array" ref="C234">IF(B234="", "", XLOOKUP(B234, Inventory!D:D,Inventory!E:E,"No Name Found"))</f>
        <v/>
      </c>
      <c r="D234" s="6"/>
      <c r="E234" s="6"/>
      <c r="F234" s="6"/>
      <c r="G234" s="24" t="str">
        <f>IF(F234="", "", VLOOKUP(F234, Inventory!A:BZ, 3, FALSE) - SUMIF($F$1:$F233, F234, $H$1:$H233))
</f>
        <v/>
      </c>
      <c r="I234" s="26"/>
      <c r="J234" s="26" t="s">
        <v>77</v>
      </c>
      <c r="L234" s="27" t="s">
        <v>77</v>
      </c>
      <c r="N234" s="28" t="s">
        <v>77</v>
      </c>
      <c r="Q234" s="30"/>
    </row>
    <row r="235">
      <c r="B235" s="6"/>
      <c r="C235" s="33" t="str">
        <f t="array" ref="C235">IF(B235="", "", XLOOKUP(B235, Inventory!D:D,Inventory!E:E,"No Name Found"))</f>
        <v/>
      </c>
      <c r="D235" s="6"/>
      <c r="E235" s="6"/>
      <c r="F235" s="6"/>
      <c r="G235" s="24" t="str">
        <f>IF(F235="", "", VLOOKUP(F235, Inventory!A:BZ, 3, FALSE) - SUMIF($F$1:$F234, F235, $H$1:$H234))
</f>
        <v/>
      </c>
      <c r="I235" s="26"/>
      <c r="J235" s="26" t="s">
        <v>77</v>
      </c>
      <c r="L235" s="27" t="s">
        <v>77</v>
      </c>
      <c r="N235" s="28" t="s">
        <v>77</v>
      </c>
      <c r="Q235" s="30"/>
    </row>
    <row r="236">
      <c r="B236" s="6"/>
      <c r="C236" s="33" t="str">
        <f t="array" ref="C236">IF(B236="", "", XLOOKUP(B236, Inventory!D:D,Inventory!E:E,"No Name Found"))</f>
        <v/>
      </c>
      <c r="D236" s="6"/>
      <c r="E236" s="6"/>
      <c r="F236" s="6"/>
      <c r="G236" s="24" t="str">
        <f>IF(F236="", "", VLOOKUP(F236, Inventory!A:BZ, 3, FALSE) - SUMIF($F$1:$F235, F236, $H$1:$H235))
</f>
        <v/>
      </c>
      <c r="I236" s="26"/>
      <c r="J236" s="26" t="s">
        <v>77</v>
      </c>
      <c r="L236" s="27" t="s">
        <v>77</v>
      </c>
      <c r="N236" s="28" t="s">
        <v>77</v>
      </c>
      <c r="Q236" s="30"/>
    </row>
    <row r="237">
      <c r="B237" s="6"/>
      <c r="C237" s="33" t="str">
        <f t="array" ref="C237">IF(B237="", "", XLOOKUP(B237, Inventory!D:D,Inventory!E:E,"No Name Found"))</f>
        <v/>
      </c>
      <c r="D237" s="6"/>
      <c r="E237" s="6"/>
      <c r="F237" s="6"/>
      <c r="G237" s="24" t="str">
        <f>IF(F237="", "", VLOOKUP(F237, Inventory!A:BZ, 3, FALSE) - SUMIF($F$1:$F236, F237, $H$1:$H236))
</f>
        <v/>
      </c>
      <c r="I237" s="26"/>
      <c r="J237" s="26" t="s">
        <v>77</v>
      </c>
      <c r="L237" s="27" t="s">
        <v>77</v>
      </c>
      <c r="N237" s="28" t="s">
        <v>77</v>
      </c>
      <c r="Q237" s="30"/>
    </row>
    <row r="238">
      <c r="B238" s="6"/>
      <c r="C238" s="33" t="str">
        <f t="array" ref="C238">IF(B238="", "", XLOOKUP(B238, Inventory!D:D,Inventory!E:E,"No Name Found"))</f>
        <v/>
      </c>
      <c r="D238" s="6"/>
      <c r="E238" s="6"/>
      <c r="F238" s="6"/>
      <c r="G238" s="24" t="str">
        <f>IF(F238="", "", VLOOKUP(F238, Inventory!A:BZ, 3, FALSE) - SUMIF($F$1:$F237, F238, $H$1:$H237))
</f>
        <v/>
      </c>
      <c r="I238" s="26"/>
      <c r="J238" s="26" t="s">
        <v>77</v>
      </c>
      <c r="L238" s="27" t="s">
        <v>77</v>
      </c>
      <c r="N238" s="28" t="s">
        <v>77</v>
      </c>
      <c r="Q238" s="30"/>
    </row>
    <row r="239">
      <c r="B239" s="6"/>
      <c r="C239" s="33" t="str">
        <f t="array" ref="C239">IF(B239="", "", XLOOKUP(B239, Inventory!D:D,Inventory!E:E,"No Name Found"))</f>
        <v/>
      </c>
      <c r="D239" s="6"/>
      <c r="E239" s="6"/>
      <c r="F239" s="6"/>
      <c r="G239" s="24" t="str">
        <f>IF(F239="", "", VLOOKUP(F239, Inventory!A:BZ, 3, FALSE) - SUMIF($F$1:$F238, F239, $H$1:$H238))
</f>
        <v/>
      </c>
      <c r="I239" s="26"/>
      <c r="J239" s="26" t="s">
        <v>77</v>
      </c>
      <c r="L239" s="27" t="s">
        <v>77</v>
      </c>
      <c r="N239" s="28" t="s">
        <v>77</v>
      </c>
      <c r="Q239" s="30"/>
    </row>
    <row r="240">
      <c r="B240" s="6"/>
      <c r="C240" s="33" t="str">
        <f t="array" ref="C240">IF(B240="", "", XLOOKUP(B240, Inventory!D:D,Inventory!E:E,"No Name Found"))</f>
        <v/>
      </c>
      <c r="D240" s="6"/>
      <c r="E240" s="6"/>
      <c r="F240" s="6"/>
      <c r="G240" s="24" t="str">
        <f>IF(F240="", "", VLOOKUP(F240, Inventory!A:BZ, 3, FALSE) - SUMIF($F$1:$F239, F240, $H$1:$H239))
</f>
        <v/>
      </c>
      <c r="I240" s="26"/>
      <c r="J240" s="26" t="s">
        <v>77</v>
      </c>
      <c r="L240" s="27" t="s">
        <v>77</v>
      </c>
      <c r="N240" s="28" t="s">
        <v>77</v>
      </c>
      <c r="Q240" s="30"/>
    </row>
    <row r="241">
      <c r="B241" s="6"/>
      <c r="C241" s="33" t="str">
        <f t="array" ref="C241">IF(B241="", "", XLOOKUP(B241, Inventory!D:D,Inventory!E:E,"No Name Found"))</f>
        <v/>
      </c>
      <c r="D241" s="6"/>
      <c r="E241" s="6"/>
      <c r="F241" s="6"/>
      <c r="G241" s="24" t="str">
        <f>IF(F241="", "", VLOOKUP(F241, Inventory!A:BZ, 3, FALSE) - SUMIF($F$1:$F240, F241, $H$1:$H240))
</f>
        <v/>
      </c>
      <c r="I241" s="26"/>
      <c r="J241" s="26" t="s">
        <v>77</v>
      </c>
      <c r="L241" s="27" t="s">
        <v>77</v>
      </c>
      <c r="N241" s="28" t="s">
        <v>77</v>
      </c>
      <c r="Q241" s="30"/>
    </row>
    <row r="242">
      <c r="B242" s="6"/>
      <c r="C242" s="33" t="str">
        <f t="array" ref="C242">IF(B242="", "", XLOOKUP(B242, Inventory!D:D,Inventory!E:E,"No Name Found"))</f>
        <v/>
      </c>
      <c r="D242" s="6"/>
      <c r="E242" s="6"/>
      <c r="F242" s="6"/>
      <c r="G242" s="24" t="str">
        <f>IF(F242="", "", VLOOKUP(F242, Inventory!A:BZ, 3, FALSE) - SUMIF($F$1:$F241, F242, $H$1:$H241))
</f>
        <v/>
      </c>
      <c r="I242" s="26"/>
      <c r="J242" s="26" t="s">
        <v>77</v>
      </c>
      <c r="L242" s="27" t="s">
        <v>77</v>
      </c>
      <c r="N242" s="28" t="s">
        <v>77</v>
      </c>
      <c r="Q242" s="30"/>
    </row>
    <row r="243">
      <c r="B243" s="6"/>
      <c r="C243" s="33" t="str">
        <f t="array" ref="C243">IF(B243="", "", XLOOKUP(B243, Inventory!D:D,Inventory!E:E,"No Name Found"))</f>
        <v/>
      </c>
      <c r="D243" s="6"/>
      <c r="E243" s="6"/>
      <c r="F243" s="6"/>
      <c r="G243" s="24" t="str">
        <f>IF(F243="", "", VLOOKUP(F243, Inventory!A:BZ, 3, FALSE) - SUMIF($F$1:$F242, F243, $H$1:$H242))
</f>
        <v/>
      </c>
      <c r="I243" s="26"/>
      <c r="J243" s="26" t="s">
        <v>77</v>
      </c>
      <c r="L243" s="27" t="s">
        <v>77</v>
      </c>
      <c r="N243" s="28" t="s">
        <v>77</v>
      </c>
      <c r="Q243" s="30"/>
    </row>
    <row r="244">
      <c r="B244" s="6"/>
      <c r="C244" s="33" t="str">
        <f t="array" ref="C244">IF(B244="", "", XLOOKUP(B244, Inventory!D:D,Inventory!E:E,"No Name Found"))</f>
        <v/>
      </c>
      <c r="D244" s="6"/>
      <c r="E244" s="6"/>
      <c r="F244" s="6"/>
      <c r="G244" s="24" t="str">
        <f>IF(F244="", "", VLOOKUP(F244, Inventory!A:BZ, 3, FALSE) - SUMIF($F$1:$F243, F244, $H$1:$H243))
</f>
        <v/>
      </c>
      <c r="I244" s="26"/>
      <c r="J244" s="26" t="s">
        <v>77</v>
      </c>
      <c r="L244" s="27" t="s">
        <v>77</v>
      </c>
      <c r="N244" s="28" t="s">
        <v>77</v>
      </c>
      <c r="Q244" s="30"/>
    </row>
    <row r="245">
      <c r="B245" s="6"/>
      <c r="C245" s="33" t="str">
        <f t="array" ref="C245">IF(B245="", "", XLOOKUP(B245, Inventory!D:D,Inventory!E:E,"No Name Found"))</f>
        <v/>
      </c>
      <c r="D245" s="6"/>
      <c r="E245" s="6"/>
      <c r="F245" s="6"/>
      <c r="G245" s="24" t="str">
        <f>IF(F245="", "", VLOOKUP(F245, Inventory!A:BZ, 3, FALSE) - SUMIF($F$1:$F244, F245, $H$1:$H244))
</f>
        <v/>
      </c>
      <c r="I245" s="26"/>
      <c r="J245" s="26" t="s">
        <v>77</v>
      </c>
      <c r="L245" s="27" t="s">
        <v>77</v>
      </c>
      <c r="N245" s="28" t="s">
        <v>77</v>
      </c>
      <c r="Q245" s="30"/>
    </row>
    <row r="246">
      <c r="B246" s="6"/>
      <c r="C246" s="33" t="str">
        <f t="array" ref="C246">IF(B246="", "", XLOOKUP(B246, Inventory!D:D,Inventory!E:E,"No Name Found"))</f>
        <v/>
      </c>
      <c r="D246" s="6"/>
      <c r="E246" s="6"/>
      <c r="F246" s="6"/>
      <c r="G246" s="24" t="str">
        <f>IF(F246="", "", VLOOKUP(F246, Inventory!A:BZ, 3, FALSE) - SUMIF($F$1:$F245, F246, $H$1:$H245))
</f>
        <v/>
      </c>
      <c r="I246" s="26"/>
      <c r="J246" s="26" t="s">
        <v>77</v>
      </c>
      <c r="L246" s="27" t="s">
        <v>77</v>
      </c>
      <c r="N246" s="28" t="s">
        <v>77</v>
      </c>
      <c r="Q246" s="30"/>
    </row>
    <row r="247">
      <c r="B247" s="6"/>
      <c r="C247" s="33" t="str">
        <f t="array" ref="C247">IF(B247="", "", XLOOKUP(B247, Inventory!D:D,Inventory!E:E,"No Name Found"))</f>
        <v/>
      </c>
      <c r="D247" s="6"/>
      <c r="E247" s="6"/>
      <c r="F247" s="6"/>
      <c r="G247" s="24" t="str">
        <f>IF(F247="", "", VLOOKUP(F247, Inventory!A:BZ, 3, FALSE) - SUMIF($F$1:$F246, F247, $H$1:$H246))
</f>
        <v/>
      </c>
      <c r="I247" s="26"/>
      <c r="J247" s="26" t="s">
        <v>77</v>
      </c>
      <c r="L247" s="27" t="s">
        <v>77</v>
      </c>
      <c r="N247" s="28" t="s">
        <v>77</v>
      </c>
      <c r="Q247" s="30"/>
    </row>
    <row r="248">
      <c r="B248" s="6"/>
      <c r="C248" s="33" t="str">
        <f t="array" ref="C248">IF(B248="", "", XLOOKUP(B248, Inventory!D:D,Inventory!E:E,"No Name Found"))</f>
        <v/>
      </c>
      <c r="D248" s="6"/>
      <c r="E248" s="6"/>
      <c r="F248" s="6"/>
      <c r="G248" s="24" t="str">
        <f>IF(F248="", "", VLOOKUP(F248, Inventory!A:BZ, 3, FALSE) - SUMIF($F$1:$F247, F248, $H$1:$H247))
</f>
        <v/>
      </c>
      <c r="I248" s="26"/>
      <c r="J248" s="26" t="s">
        <v>77</v>
      </c>
      <c r="L248" s="27" t="s">
        <v>77</v>
      </c>
      <c r="N248" s="28" t="s">
        <v>77</v>
      </c>
      <c r="Q248" s="30"/>
    </row>
    <row r="249">
      <c r="B249" s="6"/>
      <c r="C249" s="33" t="str">
        <f t="array" ref="C249">IF(B249="", "", XLOOKUP(B249, Inventory!D:D,Inventory!E:E,"No Name Found"))</f>
        <v/>
      </c>
      <c r="D249" s="6"/>
      <c r="E249" s="6"/>
      <c r="F249" s="6"/>
      <c r="G249" s="24" t="str">
        <f>IF(F249="", "", VLOOKUP(F249, Inventory!A:BZ, 3, FALSE) - SUMIF($F$1:$F248, F249, $H$1:$H248))
</f>
        <v/>
      </c>
      <c r="I249" s="26"/>
      <c r="J249" s="26" t="s">
        <v>77</v>
      </c>
      <c r="L249" s="27" t="s">
        <v>77</v>
      </c>
      <c r="N249" s="28" t="s">
        <v>77</v>
      </c>
      <c r="Q249" s="30"/>
    </row>
    <row r="250">
      <c r="B250" s="6"/>
      <c r="C250" s="33" t="str">
        <f t="array" ref="C250">IF(B250="", "", XLOOKUP(B250, Inventory!D:D,Inventory!E:E,"No Name Found"))</f>
        <v/>
      </c>
      <c r="D250" s="6"/>
      <c r="E250" s="6"/>
      <c r="F250" s="6"/>
      <c r="G250" s="24" t="str">
        <f>IF(F250="", "", VLOOKUP(F250, Inventory!A:BZ, 3, FALSE) - SUMIF($F$1:$F249, F250, $H$1:$H249))
</f>
        <v/>
      </c>
      <c r="I250" s="26"/>
      <c r="J250" s="26" t="s">
        <v>77</v>
      </c>
      <c r="L250" s="27" t="s">
        <v>77</v>
      </c>
      <c r="N250" s="28" t="s">
        <v>77</v>
      </c>
      <c r="Q250" s="30"/>
    </row>
    <row r="251">
      <c r="B251" s="6"/>
      <c r="C251" s="33" t="str">
        <f t="array" ref="C251">IF(B251="", "", XLOOKUP(B251, Inventory!D:D,Inventory!E:E,"No Name Found"))</f>
        <v/>
      </c>
      <c r="D251" s="6"/>
      <c r="E251" s="6"/>
      <c r="F251" s="6"/>
      <c r="G251" s="24" t="str">
        <f>IF(F251="", "", VLOOKUP(F251, Inventory!A:BZ, 3, FALSE) - SUMIF($F$1:$F250, F251, $H$1:$H250))
</f>
        <v/>
      </c>
      <c r="I251" s="26"/>
      <c r="J251" s="26" t="s">
        <v>77</v>
      </c>
      <c r="L251" s="27" t="s">
        <v>77</v>
      </c>
      <c r="N251" s="28" t="s">
        <v>77</v>
      </c>
      <c r="Q251" s="30"/>
    </row>
    <row r="252">
      <c r="B252" s="6"/>
      <c r="C252" s="33" t="str">
        <f t="array" ref="C252">IF(B252="", "", XLOOKUP(B252, Inventory!D:D,Inventory!E:E,"No Name Found"))</f>
        <v/>
      </c>
      <c r="D252" s="6"/>
      <c r="E252" s="6"/>
      <c r="F252" s="6"/>
      <c r="G252" s="24" t="str">
        <f>IF(F252="", "", VLOOKUP(F252, Inventory!A:BZ, 3, FALSE) - SUMIF($F$1:$F251, F252, $H$1:$H251))
</f>
        <v/>
      </c>
      <c r="I252" s="26"/>
      <c r="J252" s="26" t="s">
        <v>77</v>
      </c>
      <c r="L252" s="27" t="s">
        <v>77</v>
      </c>
      <c r="N252" s="28" t="s">
        <v>77</v>
      </c>
      <c r="Q252" s="30"/>
    </row>
    <row r="253">
      <c r="B253" s="6"/>
      <c r="C253" s="33" t="str">
        <f t="array" ref="C253">IF(B253="", "", XLOOKUP(B253, Inventory!D:D,Inventory!E:E,"No Name Found"))</f>
        <v/>
      </c>
      <c r="D253" s="6"/>
      <c r="E253" s="6"/>
      <c r="F253" s="6"/>
      <c r="G253" s="24" t="str">
        <f>IF(F253="", "", VLOOKUP(F253, Inventory!A:BZ, 3, FALSE) - SUMIF($F$1:$F252, F253, $H$1:$H252))
</f>
        <v/>
      </c>
      <c r="I253" s="26"/>
      <c r="J253" s="26" t="s">
        <v>77</v>
      </c>
      <c r="L253" s="27" t="s">
        <v>77</v>
      </c>
      <c r="N253" s="28" t="s">
        <v>77</v>
      </c>
      <c r="Q253" s="30"/>
    </row>
    <row r="254">
      <c r="B254" s="6"/>
      <c r="C254" s="33" t="str">
        <f t="array" ref="C254">IF(B254="", "", XLOOKUP(B254, Inventory!D:D,Inventory!E:E,"No Name Found"))</f>
        <v/>
      </c>
      <c r="D254" s="6"/>
      <c r="E254" s="6"/>
      <c r="F254" s="6"/>
      <c r="G254" s="24" t="str">
        <f>IF(F254="", "", VLOOKUP(F254, Inventory!A:BZ, 3, FALSE) - SUMIF($F$1:$F253, F254, $H$1:$H253))
</f>
        <v/>
      </c>
      <c r="I254" s="26"/>
      <c r="J254" s="26" t="s">
        <v>77</v>
      </c>
      <c r="L254" s="27" t="s">
        <v>77</v>
      </c>
      <c r="N254" s="28" t="s">
        <v>77</v>
      </c>
      <c r="Q254" s="30"/>
    </row>
    <row r="255">
      <c r="B255" s="6"/>
      <c r="C255" s="33" t="str">
        <f t="array" ref="C255">IF(B255="", "", XLOOKUP(B255, Inventory!D:D,Inventory!E:E,"No Name Found"))</f>
        <v/>
      </c>
      <c r="D255" s="6"/>
      <c r="E255" s="6"/>
      <c r="F255" s="6"/>
      <c r="G255" s="24" t="str">
        <f>IF(F255="", "", VLOOKUP(F255, Inventory!A:BZ, 3, FALSE) - SUMIF($F$1:$F254, F255, $H$1:$H254))
</f>
        <v/>
      </c>
      <c r="I255" s="26"/>
      <c r="J255" s="26" t="s">
        <v>77</v>
      </c>
      <c r="L255" s="27" t="s">
        <v>77</v>
      </c>
      <c r="N255" s="28" t="s">
        <v>77</v>
      </c>
      <c r="Q255" s="30"/>
    </row>
    <row r="256">
      <c r="B256" s="6"/>
      <c r="C256" s="33" t="str">
        <f t="array" ref="C256">IF(B256="", "", XLOOKUP(B256, Inventory!D:D,Inventory!E:E,"No Name Found"))</f>
        <v/>
      </c>
      <c r="D256" s="6"/>
      <c r="E256" s="6"/>
      <c r="F256" s="6"/>
      <c r="G256" s="24" t="str">
        <f>IF(F256="", "", VLOOKUP(F256, Inventory!A:BZ, 3, FALSE) - SUMIF($F$1:$F255, F256, $H$1:$H255))
</f>
        <v/>
      </c>
      <c r="I256" s="26"/>
      <c r="J256" s="26" t="s">
        <v>77</v>
      </c>
      <c r="L256" s="27" t="s">
        <v>77</v>
      </c>
      <c r="N256" s="28" t="s">
        <v>77</v>
      </c>
      <c r="Q256" s="30"/>
    </row>
    <row r="257">
      <c r="B257" s="6"/>
      <c r="C257" s="33" t="str">
        <f t="array" ref="C257">IF(B257="", "", XLOOKUP(B257, Inventory!D:D,Inventory!E:E,"No Name Found"))</f>
        <v/>
      </c>
      <c r="D257" s="6"/>
      <c r="E257" s="6"/>
      <c r="F257" s="6"/>
      <c r="G257" s="24" t="str">
        <f>IF(F257="", "", VLOOKUP(F257, Inventory!A:BZ, 3, FALSE) - SUMIF($F$1:$F256, F257, $H$1:$H256))
</f>
        <v/>
      </c>
      <c r="I257" s="26"/>
      <c r="J257" s="26" t="s">
        <v>77</v>
      </c>
      <c r="L257" s="27" t="s">
        <v>77</v>
      </c>
      <c r="N257" s="28" t="s">
        <v>77</v>
      </c>
      <c r="Q257" s="30"/>
    </row>
    <row r="258">
      <c r="B258" s="6"/>
      <c r="C258" s="33" t="str">
        <f t="array" ref="C258">IF(B258="", "", XLOOKUP(B258, Inventory!D:D,Inventory!E:E,"No Name Found"))</f>
        <v/>
      </c>
      <c r="D258" s="6"/>
      <c r="E258" s="6"/>
      <c r="F258" s="6"/>
      <c r="G258" s="24" t="str">
        <f>IF(F258="", "", VLOOKUP(F258, Inventory!A:BZ, 3, FALSE) - SUMIF($F$1:$F257, F258, $H$1:$H257))
</f>
        <v/>
      </c>
      <c r="I258" s="26"/>
      <c r="J258" s="26" t="s">
        <v>77</v>
      </c>
      <c r="L258" s="27" t="s">
        <v>77</v>
      </c>
      <c r="N258" s="28" t="s">
        <v>77</v>
      </c>
      <c r="Q258" s="30"/>
    </row>
    <row r="259">
      <c r="B259" s="6"/>
      <c r="C259" s="33" t="str">
        <f t="array" ref="C259">IF(B259="", "", XLOOKUP(B259, Inventory!D:D,Inventory!E:E,"No Name Found"))</f>
        <v/>
      </c>
      <c r="D259" s="6"/>
      <c r="E259" s="6"/>
      <c r="F259" s="6"/>
      <c r="G259" s="24" t="str">
        <f>IF(F259="", "", VLOOKUP(F259, Inventory!A:BZ, 3, FALSE) - SUMIF($F$1:$F258, F259, $H$1:$H258))
</f>
        <v/>
      </c>
      <c r="I259" s="26"/>
      <c r="J259" s="26" t="s">
        <v>77</v>
      </c>
      <c r="L259" s="27" t="s">
        <v>77</v>
      </c>
      <c r="N259" s="28" t="s">
        <v>77</v>
      </c>
      <c r="Q259" s="30"/>
    </row>
    <row r="260">
      <c r="B260" s="6"/>
      <c r="C260" s="33" t="str">
        <f t="array" ref="C260">IF(B260="", "", XLOOKUP(B260, Inventory!D:D,Inventory!E:E,"No Name Found"))</f>
        <v/>
      </c>
      <c r="D260" s="6"/>
      <c r="E260" s="6"/>
      <c r="F260" s="6"/>
      <c r="G260" s="24" t="str">
        <f>IF(F260="", "", VLOOKUP(F260, Inventory!A:BZ, 3, FALSE) - SUMIF($F$1:$F259, F260, $H$1:$H259))
</f>
        <v/>
      </c>
      <c r="I260" s="26"/>
      <c r="J260" s="26" t="s">
        <v>77</v>
      </c>
      <c r="L260" s="27" t="s">
        <v>77</v>
      </c>
      <c r="N260" s="28" t="s">
        <v>77</v>
      </c>
      <c r="Q260" s="30"/>
    </row>
    <row r="261">
      <c r="B261" s="6"/>
      <c r="C261" s="33" t="str">
        <f t="array" ref="C261">IF(B261="", "", XLOOKUP(B261, Inventory!D:D,Inventory!E:E,"No Name Found"))</f>
        <v/>
      </c>
      <c r="D261" s="6"/>
      <c r="E261" s="6"/>
      <c r="F261" s="6"/>
      <c r="G261" s="24" t="str">
        <f>IF(F261="", "", VLOOKUP(F261, Inventory!A:BZ, 3, FALSE) - SUMIF($F$1:$F260, F261, $H$1:$H260))
</f>
        <v/>
      </c>
      <c r="I261" s="26"/>
      <c r="J261" s="26" t="s">
        <v>77</v>
      </c>
      <c r="L261" s="27" t="s">
        <v>77</v>
      </c>
      <c r="N261" s="28" t="s">
        <v>77</v>
      </c>
      <c r="Q261" s="30"/>
    </row>
    <row r="262">
      <c r="B262" s="6"/>
      <c r="C262" s="33" t="str">
        <f t="array" ref="C262">IF(B262="", "", XLOOKUP(B262, Inventory!D:D,Inventory!E:E,"No Name Found"))</f>
        <v/>
      </c>
      <c r="D262" s="6"/>
      <c r="E262" s="6"/>
      <c r="F262" s="6"/>
      <c r="G262" s="24" t="str">
        <f>IF(F262="", "", VLOOKUP(F262, Inventory!A:BZ, 3, FALSE) - SUMIF($F$1:$F261, F262, $H$1:$H261))
</f>
        <v/>
      </c>
      <c r="I262" s="26"/>
      <c r="J262" s="26" t="s">
        <v>77</v>
      </c>
      <c r="L262" s="27" t="s">
        <v>77</v>
      </c>
      <c r="N262" s="28" t="s">
        <v>77</v>
      </c>
      <c r="Q262" s="30"/>
    </row>
    <row r="263">
      <c r="B263" s="6"/>
      <c r="C263" s="33" t="str">
        <f t="array" ref="C263">IF(B263="", "", XLOOKUP(B263, Inventory!D:D,Inventory!E:E,"No Name Found"))</f>
        <v/>
      </c>
      <c r="D263" s="6"/>
      <c r="E263" s="6"/>
      <c r="F263" s="6"/>
      <c r="G263" s="24" t="str">
        <f>IF(F263="", "", VLOOKUP(F263, Inventory!A:BZ, 3, FALSE) - SUMIF($F$1:$F262, F263, $H$1:$H262))
</f>
        <v/>
      </c>
      <c r="I263" s="26"/>
      <c r="J263" s="26" t="s">
        <v>77</v>
      </c>
      <c r="L263" s="27" t="s">
        <v>77</v>
      </c>
      <c r="N263" s="28" t="s">
        <v>77</v>
      </c>
      <c r="Q263" s="30"/>
    </row>
    <row r="264">
      <c r="B264" s="6"/>
      <c r="C264" s="33" t="str">
        <f t="array" ref="C264">IF(B264="", "", XLOOKUP(B264, Inventory!D:D,Inventory!E:E,"No Name Found"))</f>
        <v/>
      </c>
      <c r="D264" s="6"/>
      <c r="E264" s="6"/>
      <c r="F264" s="6"/>
      <c r="G264" s="24" t="str">
        <f>IF(F264="", "", VLOOKUP(F264, Inventory!A:BZ, 3, FALSE) - SUMIF($F$1:$F263, F264, $H$1:$H263))
</f>
        <v/>
      </c>
      <c r="I264" s="26"/>
      <c r="J264" s="26" t="s">
        <v>77</v>
      </c>
      <c r="L264" s="27" t="s">
        <v>77</v>
      </c>
      <c r="N264" s="28" t="s">
        <v>77</v>
      </c>
      <c r="Q264" s="30"/>
    </row>
    <row r="265">
      <c r="B265" s="6"/>
      <c r="C265" s="33" t="str">
        <f t="array" ref="C265">IF(B265="", "", XLOOKUP(B265, Inventory!D:D,Inventory!E:E,"No Name Found"))</f>
        <v/>
      </c>
      <c r="D265" s="6"/>
      <c r="E265" s="6"/>
      <c r="F265" s="6"/>
      <c r="G265" s="24" t="str">
        <f>IF(F265="", "", VLOOKUP(F265, Inventory!A:BZ, 3, FALSE) - SUMIF($F$1:$F264, F265, $H$1:$H264))
</f>
        <v/>
      </c>
      <c r="I265" s="26"/>
      <c r="J265" s="26" t="s">
        <v>77</v>
      </c>
      <c r="L265" s="27" t="s">
        <v>77</v>
      </c>
      <c r="N265" s="28" t="s">
        <v>77</v>
      </c>
      <c r="Q265" s="30"/>
    </row>
    <row r="266">
      <c r="B266" s="6"/>
      <c r="C266" s="33" t="str">
        <f t="array" ref="C266">IF(B266="", "", XLOOKUP(B266, Inventory!D:D,Inventory!E:E,"No Name Found"))</f>
        <v/>
      </c>
      <c r="D266" s="6"/>
      <c r="E266" s="6"/>
      <c r="F266" s="6"/>
      <c r="G266" s="24" t="str">
        <f>IF(F266="", "", VLOOKUP(F266, Inventory!A:BZ, 3, FALSE) - SUMIF($F$1:$F265, F266, $H$1:$H265))
</f>
        <v/>
      </c>
      <c r="I266" s="26"/>
      <c r="J266" s="26" t="s">
        <v>77</v>
      </c>
      <c r="L266" s="27" t="s">
        <v>77</v>
      </c>
      <c r="N266" s="28" t="s">
        <v>77</v>
      </c>
      <c r="Q266" s="30"/>
    </row>
    <row r="267">
      <c r="B267" s="6"/>
      <c r="C267" s="33" t="str">
        <f t="array" ref="C267">IF(B267="", "", XLOOKUP(B267, Inventory!D:D,Inventory!E:E,"No Name Found"))</f>
        <v/>
      </c>
      <c r="D267" s="6"/>
      <c r="E267" s="6"/>
      <c r="F267" s="6"/>
      <c r="G267" s="24" t="str">
        <f>IF(F267="", "", VLOOKUP(F267, Inventory!A:BZ, 3, FALSE) - SUMIF($F$1:$F266, F267, $H$1:$H266))
</f>
        <v/>
      </c>
      <c r="I267" s="26"/>
      <c r="J267" s="26" t="s">
        <v>77</v>
      </c>
      <c r="L267" s="27" t="s">
        <v>77</v>
      </c>
      <c r="N267" s="28" t="s">
        <v>77</v>
      </c>
      <c r="Q267" s="30"/>
    </row>
    <row r="268">
      <c r="B268" s="6"/>
      <c r="C268" s="33" t="str">
        <f t="array" ref="C268">IF(B268="", "", XLOOKUP(B268, Inventory!D:D,Inventory!E:E,"No Name Found"))</f>
        <v/>
      </c>
      <c r="D268" s="6"/>
      <c r="E268" s="6"/>
      <c r="F268" s="6"/>
      <c r="G268" s="24" t="str">
        <f>IF(F268="", "", VLOOKUP(F268, Inventory!A:BZ, 3, FALSE) - SUMIF($F$1:$F267, F268, $H$1:$H267))
</f>
        <v/>
      </c>
      <c r="I268" s="26"/>
      <c r="J268" s="26" t="s">
        <v>77</v>
      </c>
      <c r="L268" s="27" t="s">
        <v>77</v>
      </c>
      <c r="N268" s="28" t="s">
        <v>77</v>
      </c>
      <c r="Q268" s="30"/>
    </row>
    <row r="269">
      <c r="B269" s="6"/>
      <c r="C269" s="33" t="str">
        <f t="array" ref="C269">IF(B269="", "", XLOOKUP(B269, Inventory!D:D,Inventory!E:E,"No Name Found"))</f>
        <v/>
      </c>
      <c r="D269" s="6"/>
      <c r="E269" s="6"/>
      <c r="F269" s="6"/>
      <c r="G269" s="24" t="str">
        <f>IF(F269="", "", VLOOKUP(F269, Inventory!A:BZ, 3, FALSE) - SUMIF($F$1:$F268, F269, $H$1:$H268))
</f>
        <v/>
      </c>
      <c r="I269" s="26"/>
      <c r="J269" s="26" t="s">
        <v>77</v>
      </c>
      <c r="L269" s="27" t="s">
        <v>77</v>
      </c>
      <c r="N269" s="28" t="s">
        <v>77</v>
      </c>
      <c r="Q269" s="30"/>
    </row>
    <row r="270">
      <c r="B270" s="6"/>
      <c r="C270" s="33" t="str">
        <f t="array" ref="C270">IF(B270="", "", XLOOKUP(B270, Inventory!D:D,Inventory!E:E,"No Name Found"))</f>
        <v/>
      </c>
      <c r="D270" s="6"/>
      <c r="E270" s="6"/>
      <c r="F270" s="6"/>
      <c r="G270" s="24" t="str">
        <f>IF(F270="", "", VLOOKUP(F270, Inventory!A:BZ, 3, FALSE) - SUMIF($F$1:$F269, F270, $H$1:$H269))
</f>
        <v/>
      </c>
      <c r="I270" s="26"/>
      <c r="J270" s="26" t="s">
        <v>77</v>
      </c>
      <c r="L270" s="27" t="s">
        <v>77</v>
      </c>
      <c r="N270" s="28" t="s">
        <v>77</v>
      </c>
      <c r="Q270" s="30"/>
    </row>
    <row r="271">
      <c r="B271" s="6"/>
      <c r="C271" s="33" t="str">
        <f t="array" ref="C271">IF(B271="", "", XLOOKUP(B271, Inventory!D:D,Inventory!E:E,"No Name Found"))</f>
        <v/>
      </c>
      <c r="D271" s="6"/>
      <c r="E271" s="6"/>
      <c r="F271" s="6"/>
      <c r="G271" s="24" t="str">
        <f>IF(F271="", "", VLOOKUP(F271, Inventory!A:BZ, 3, FALSE) - SUMIF($F$1:$F270, F271, $H$1:$H270))
</f>
        <v/>
      </c>
      <c r="I271" s="26"/>
      <c r="J271" s="26" t="s">
        <v>77</v>
      </c>
      <c r="L271" s="27" t="s">
        <v>77</v>
      </c>
      <c r="N271" s="28" t="s">
        <v>77</v>
      </c>
      <c r="Q271" s="30"/>
    </row>
    <row r="272">
      <c r="B272" s="6"/>
      <c r="C272" s="33" t="str">
        <f t="array" ref="C272">IF(B272="", "", XLOOKUP(B272, Inventory!D:D,Inventory!E:E,"No Name Found"))</f>
        <v/>
      </c>
      <c r="D272" s="6"/>
      <c r="E272" s="6"/>
      <c r="F272" s="6"/>
      <c r="G272" s="24" t="str">
        <f>IF(F272="", "", VLOOKUP(F272, Inventory!A:BZ, 3, FALSE) - SUMIF($F$1:$F271, F272, $H$1:$H271))
</f>
        <v/>
      </c>
      <c r="I272" s="26"/>
      <c r="J272" s="26" t="s">
        <v>77</v>
      </c>
      <c r="L272" s="27" t="s">
        <v>77</v>
      </c>
      <c r="N272" s="28" t="s">
        <v>77</v>
      </c>
      <c r="Q272" s="30"/>
    </row>
    <row r="273">
      <c r="B273" s="6"/>
      <c r="C273" s="33" t="str">
        <f t="array" ref="C273">IF(B273="", "", XLOOKUP(B273, Inventory!D:D,Inventory!E:E,"No Name Found"))</f>
        <v/>
      </c>
      <c r="D273" s="6"/>
      <c r="E273" s="6"/>
      <c r="F273" s="6"/>
      <c r="G273" s="24" t="str">
        <f>IF(F273="", "", VLOOKUP(F273, Inventory!A:BZ, 3, FALSE) - SUMIF($F$1:$F272, F273, $H$1:$H272))
</f>
        <v/>
      </c>
      <c r="I273" s="26"/>
      <c r="J273" s="26" t="s">
        <v>77</v>
      </c>
      <c r="L273" s="27" t="s">
        <v>77</v>
      </c>
      <c r="N273" s="28" t="s">
        <v>77</v>
      </c>
      <c r="Q273" s="30"/>
    </row>
    <row r="274">
      <c r="B274" s="6"/>
      <c r="C274" s="33" t="str">
        <f t="array" ref="C274">IF(B274="", "", XLOOKUP(B274, Inventory!D:D,Inventory!E:E,"No Name Found"))</f>
        <v/>
      </c>
      <c r="D274" s="6"/>
      <c r="E274" s="6"/>
      <c r="F274" s="6"/>
      <c r="G274" s="24" t="str">
        <f>IF(F274="", "", VLOOKUP(F274, Inventory!A:BZ, 3, FALSE) - SUMIF($F$1:$F273, F274, $H$1:$H273))
</f>
        <v/>
      </c>
      <c r="I274" s="26"/>
      <c r="J274" s="26" t="s">
        <v>77</v>
      </c>
      <c r="L274" s="27" t="s">
        <v>77</v>
      </c>
      <c r="N274" s="28" t="s">
        <v>77</v>
      </c>
      <c r="Q274" s="30"/>
    </row>
    <row r="275">
      <c r="B275" s="6"/>
      <c r="C275" s="33" t="str">
        <f t="array" ref="C275">IF(B275="", "", XLOOKUP(B275, Inventory!D:D,Inventory!E:E,"No Name Found"))</f>
        <v/>
      </c>
      <c r="D275" s="6"/>
      <c r="E275" s="6"/>
      <c r="F275" s="6"/>
      <c r="G275" s="24" t="str">
        <f>IF(F275="", "", VLOOKUP(F275, Inventory!A:BZ, 3, FALSE) - SUMIF($F$1:$F274, F275, $H$1:$H274))
</f>
        <v/>
      </c>
      <c r="I275" s="26"/>
      <c r="J275" s="26" t="s">
        <v>77</v>
      </c>
      <c r="L275" s="27" t="s">
        <v>77</v>
      </c>
      <c r="N275" s="28" t="s">
        <v>77</v>
      </c>
      <c r="Q275" s="30"/>
    </row>
    <row r="276">
      <c r="B276" s="6"/>
      <c r="C276" s="33" t="str">
        <f t="array" ref="C276">IF(B276="", "", XLOOKUP(B276, Inventory!D:D,Inventory!E:E,"No Name Found"))</f>
        <v/>
      </c>
      <c r="D276" s="6"/>
      <c r="E276" s="6"/>
      <c r="F276" s="6"/>
      <c r="G276" s="24" t="str">
        <f>IF(F276="", "", VLOOKUP(F276, Inventory!A:BZ, 3, FALSE) - SUMIF($F$1:$F275, F276, $H$1:$H275))
</f>
        <v/>
      </c>
      <c r="I276" s="26"/>
      <c r="J276" s="26" t="s">
        <v>77</v>
      </c>
      <c r="L276" s="27" t="s">
        <v>77</v>
      </c>
      <c r="N276" s="28" t="s">
        <v>77</v>
      </c>
      <c r="Q276" s="30"/>
    </row>
    <row r="277">
      <c r="B277" s="6"/>
      <c r="C277" s="33" t="str">
        <f t="array" ref="C277">IF(B277="", "", XLOOKUP(B277, Inventory!D:D,Inventory!E:E,"No Name Found"))</f>
        <v/>
      </c>
      <c r="D277" s="6"/>
      <c r="E277" s="6"/>
      <c r="F277" s="6"/>
      <c r="G277" s="24" t="str">
        <f>IF(F277="", "", VLOOKUP(F277, Inventory!A:BZ, 3, FALSE) - SUMIF($F$1:$F276, F277, $H$1:$H276))
</f>
        <v/>
      </c>
      <c r="I277" s="26"/>
      <c r="J277" s="26" t="s">
        <v>77</v>
      </c>
      <c r="L277" s="27" t="s">
        <v>77</v>
      </c>
      <c r="N277" s="28" t="s">
        <v>77</v>
      </c>
      <c r="Q277" s="30"/>
    </row>
    <row r="278">
      <c r="B278" s="6"/>
      <c r="C278" s="33" t="str">
        <f t="array" ref="C278">IF(B278="", "", XLOOKUP(B278, Inventory!D:D,Inventory!E:E,"No Name Found"))</f>
        <v/>
      </c>
      <c r="D278" s="6"/>
      <c r="E278" s="6"/>
      <c r="F278" s="6"/>
      <c r="G278" s="24" t="str">
        <f>IF(F278="", "", VLOOKUP(F278, Inventory!A:BZ, 3, FALSE) - SUMIF($F$1:$F277, F278, $H$1:$H277))
</f>
        <v/>
      </c>
      <c r="I278" s="26"/>
      <c r="J278" s="26" t="s">
        <v>77</v>
      </c>
      <c r="L278" s="27" t="s">
        <v>77</v>
      </c>
      <c r="N278" s="28" t="s">
        <v>77</v>
      </c>
      <c r="Q278" s="30"/>
    </row>
    <row r="279">
      <c r="B279" s="6"/>
      <c r="C279" s="33" t="str">
        <f t="array" ref="C279">IF(B279="", "", XLOOKUP(B279, Inventory!D:D,Inventory!E:E,"No Name Found"))</f>
        <v/>
      </c>
      <c r="D279" s="6"/>
      <c r="E279" s="6"/>
      <c r="F279" s="6"/>
      <c r="G279" s="24" t="str">
        <f>IF(F279="", "", VLOOKUP(F279, Inventory!A:BZ, 3, FALSE) - SUMIF($F$1:$F278, F279, $H$1:$H278))
</f>
        <v/>
      </c>
      <c r="I279" s="26"/>
      <c r="J279" s="26" t="s">
        <v>77</v>
      </c>
      <c r="L279" s="27" t="s">
        <v>77</v>
      </c>
      <c r="N279" s="28" t="s">
        <v>77</v>
      </c>
      <c r="Q279" s="30"/>
    </row>
    <row r="280">
      <c r="B280" s="6"/>
      <c r="C280" s="33" t="str">
        <f t="array" ref="C280">IF(B280="", "", XLOOKUP(B280, Inventory!D:D,Inventory!E:E,"No Name Found"))</f>
        <v/>
      </c>
      <c r="D280" s="6"/>
      <c r="E280" s="6"/>
      <c r="F280" s="6"/>
      <c r="G280" s="24" t="str">
        <f>IF(F280="", "", VLOOKUP(F280, Inventory!A:BZ, 3, FALSE) - SUMIF($F$1:$F279, F280, $H$1:$H279))
</f>
        <v/>
      </c>
      <c r="I280" s="26"/>
      <c r="J280" s="26" t="s">
        <v>77</v>
      </c>
      <c r="L280" s="27" t="s">
        <v>77</v>
      </c>
      <c r="N280" s="28" t="s">
        <v>77</v>
      </c>
      <c r="Q280" s="30"/>
    </row>
    <row r="281">
      <c r="B281" s="6"/>
      <c r="C281" s="33" t="str">
        <f t="array" ref="C281">IF(B281="", "", XLOOKUP(B281, Inventory!D:D,Inventory!E:E,"No Name Found"))</f>
        <v/>
      </c>
      <c r="D281" s="6"/>
      <c r="E281" s="6"/>
      <c r="F281" s="6"/>
      <c r="G281" s="24" t="str">
        <f>IF(F281="", "", VLOOKUP(F281, Inventory!A:BZ, 3, FALSE) - SUMIF($F$1:$F280, F281, $H$1:$H280))
</f>
        <v/>
      </c>
      <c r="I281" s="26"/>
      <c r="J281" s="26" t="s">
        <v>77</v>
      </c>
      <c r="L281" s="27" t="s">
        <v>77</v>
      </c>
      <c r="N281" s="28" t="s">
        <v>77</v>
      </c>
      <c r="Q281" s="30"/>
    </row>
    <row r="282">
      <c r="B282" s="6"/>
      <c r="C282" s="33" t="str">
        <f t="array" ref="C282">IF(B282="", "", XLOOKUP(B282, Inventory!D:D,Inventory!E:E,"No Name Found"))</f>
        <v/>
      </c>
      <c r="D282" s="6"/>
      <c r="E282" s="6"/>
      <c r="F282" s="6"/>
      <c r="G282" s="24" t="str">
        <f>IF(F282="", "", VLOOKUP(F282, Inventory!A:BZ, 3, FALSE) - SUMIF($F$1:$F281, F282, $H$1:$H281))
</f>
        <v/>
      </c>
      <c r="I282" s="26"/>
      <c r="J282" s="26" t="s">
        <v>77</v>
      </c>
      <c r="L282" s="27" t="s">
        <v>77</v>
      </c>
      <c r="N282" s="28" t="s">
        <v>77</v>
      </c>
      <c r="Q282" s="30"/>
    </row>
    <row r="283">
      <c r="B283" s="6"/>
      <c r="C283" s="33" t="str">
        <f t="array" ref="C283">IF(B283="", "", XLOOKUP(B283, Inventory!D:D,Inventory!E:E,"No Name Found"))</f>
        <v/>
      </c>
      <c r="D283" s="6"/>
      <c r="E283" s="6"/>
      <c r="F283" s="6"/>
      <c r="G283" s="24" t="str">
        <f>IF(F283="", "", VLOOKUP(F283, Inventory!A:BZ, 3, FALSE) - SUMIF($F$1:$F282, F283, $H$1:$H282))
</f>
        <v/>
      </c>
      <c r="I283" s="26"/>
      <c r="J283" s="26" t="s">
        <v>77</v>
      </c>
      <c r="L283" s="27" t="s">
        <v>77</v>
      </c>
      <c r="N283" s="28" t="s">
        <v>77</v>
      </c>
      <c r="Q283" s="30"/>
    </row>
    <row r="284">
      <c r="B284" s="6"/>
      <c r="C284" s="33" t="str">
        <f t="array" ref="C284">IF(B284="", "", XLOOKUP(B284, Inventory!D:D,Inventory!E:E,"No Name Found"))</f>
        <v/>
      </c>
      <c r="D284" s="6"/>
      <c r="E284" s="6"/>
      <c r="F284" s="6"/>
      <c r="G284" s="24" t="str">
        <f>IF(F284="", "", VLOOKUP(F284, Inventory!A:BZ, 3, FALSE) - SUMIF($F$1:$F283, F284, $H$1:$H283))
</f>
        <v/>
      </c>
      <c r="I284" s="26"/>
      <c r="J284" s="26" t="s">
        <v>77</v>
      </c>
      <c r="L284" s="27" t="s">
        <v>77</v>
      </c>
      <c r="N284" s="28" t="s">
        <v>77</v>
      </c>
      <c r="Q284" s="30"/>
    </row>
    <row r="285">
      <c r="B285" s="6"/>
      <c r="C285" s="33" t="str">
        <f t="array" ref="C285">IF(B285="", "", XLOOKUP(B285, Inventory!D:D,Inventory!E:E,"No Name Found"))</f>
        <v/>
      </c>
      <c r="D285" s="6"/>
      <c r="E285" s="6"/>
      <c r="F285" s="6"/>
      <c r="G285" s="24" t="str">
        <f>IF(F285="", "", VLOOKUP(F285, Inventory!A:BZ, 3, FALSE) - SUMIF($F$1:$F284, F285, $H$1:$H284))
</f>
        <v/>
      </c>
      <c r="I285" s="26"/>
      <c r="J285" s="26" t="s">
        <v>77</v>
      </c>
      <c r="L285" s="27" t="s">
        <v>77</v>
      </c>
      <c r="N285" s="28" t="s">
        <v>77</v>
      </c>
      <c r="Q285" s="30"/>
    </row>
    <row r="286">
      <c r="B286" s="6"/>
      <c r="C286" s="33" t="str">
        <f t="array" ref="C286">IF(B286="", "", XLOOKUP(B286, Inventory!D:D,Inventory!E:E,"No Name Found"))</f>
        <v/>
      </c>
      <c r="D286" s="6"/>
      <c r="E286" s="6"/>
      <c r="F286" s="6"/>
      <c r="G286" s="24" t="str">
        <f>IF(F286="", "", VLOOKUP(F286, Inventory!A:BZ, 3, FALSE) - SUMIF($F$1:$F285, F286, $H$1:$H285))
</f>
        <v/>
      </c>
      <c r="I286" s="26"/>
      <c r="J286" s="26" t="s">
        <v>77</v>
      </c>
      <c r="L286" s="27" t="s">
        <v>77</v>
      </c>
      <c r="N286" s="28" t="s">
        <v>77</v>
      </c>
      <c r="Q286" s="30"/>
    </row>
    <row r="287">
      <c r="B287" s="6"/>
      <c r="C287" s="33" t="str">
        <f t="array" ref="C287">IF(B287="", "", XLOOKUP(B287, Inventory!D:D,Inventory!E:E,"No Name Found"))</f>
        <v/>
      </c>
      <c r="D287" s="6"/>
      <c r="E287" s="6"/>
      <c r="F287" s="6"/>
      <c r="G287" s="24" t="str">
        <f>IF(F287="", "", VLOOKUP(F287, Inventory!A:BZ, 3, FALSE) - SUMIF($F$1:$F286, F287, $H$1:$H286))
</f>
        <v/>
      </c>
      <c r="I287" s="26"/>
      <c r="J287" s="26" t="s">
        <v>77</v>
      </c>
      <c r="L287" s="27" t="s">
        <v>77</v>
      </c>
      <c r="N287" s="28" t="s">
        <v>77</v>
      </c>
      <c r="Q287" s="30"/>
    </row>
    <row r="288">
      <c r="B288" s="6"/>
      <c r="C288" s="33" t="str">
        <f t="array" ref="C288">IF(B288="", "", XLOOKUP(B288, Inventory!D:D,Inventory!E:E,"No Name Found"))</f>
        <v/>
      </c>
      <c r="D288" s="6"/>
      <c r="E288" s="6"/>
      <c r="F288" s="6"/>
      <c r="G288" s="24" t="str">
        <f>IF(F288="", "", VLOOKUP(F288, Inventory!A:BZ, 3, FALSE) - SUMIF($F$1:$F287, F288, $H$1:$H287))
</f>
        <v/>
      </c>
      <c r="I288" s="26"/>
      <c r="J288" s="26" t="s">
        <v>77</v>
      </c>
      <c r="L288" s="27" t="s">
        <v>77</v>
      </c>
      <c r="N288" s="28" t="s">
        <v>77</v>
      </c>
      <c r="Q288" s="30"/>
    </row>
    <row r="289">
      <c r="B289" s="6"/>
      <c r="C289" s="33" t="str">
        <f t="array" ref="C289">IF(B289="", "", XLOOKUP(B289, Inventory!D:D,Inventory!E:E,"No Name Found"))</f>
        <v/>
      </c>
      <c r="D289" s="6"/>
      <c r="E289" s="6"/>
      <c r="F289" s="6"/>
      <c r="G289" s="24" t="str">
        <f>IF(F289="", "", VLOOKUP(F289, Inventory!A:BZ, 3, FALSE) - SUMIF($F$1:$F288, F289, $H$1:$H288))
</f>
        <v/>
      </c>
      <c r="I289" s="26"/>
      <c r="J289" s="26" t="s">
        <v>77</v>
      </c>
      <c r="L289" s="27" t="s">
        <v>77</v>
      </c>
      <c r="N289" s="28" t="s">
        <v>77</v>
      </c>
      <c r="Q289" s="30"/>
    </row>
    <row r="290">
      <c r="B290" s="6"/>
      <c r="C290" s="33" t="str">
        <f t="array" ref="C290">IF(B290="", "", XLOOKUP(B290, Inventory!D:D,Inventory!E:E,"No Name Found"))</f>
        <v/>
      </c>
      <c r="D290" s="6"/>
      <c r="E290" s="6"/>
      <c r="F290" s="6"/>
      <c r="G290" s="24" t="str">
        <f>IF(F290="", "", VLOOKUP(F290, Inventory!A:BZ, 3, FALSE) - SUMIF($F$1:$F289, F290, $H$1:$H289))
</f>
        <v/>
      </c>
      <c r="I290" s="26"/>
      <c r="J290" s="26" t="s">
        <v>77</v>
      </c>
      <c r="L290" s="27" t="s">
        <v>77</v>
      </c>
      <c r="N290" s="28" t="s">
        <v>77</v>
      </c>
      <c r="Q290" s="30"/>
    </row>
    <row r="291">
      <c r="B291" s="6"/>
      <c r="C291" s="33" t="str">
        <f t="array" ref="C291">IF(B291="", "", XLOOKUP(B291, Inventory!D:D,Inventory!E:E,"No Name Found"))</f>
        <v/>
      </c>
      <c r="D291" s="6"/>
      <c r="E291" s="6"/>
      <c r="F291" s="6"/>
      <c r="G291" s="24" t="str">
        <f>IF(F291="", "", VLOOKUP(F291, Inventory!A:BZ, 3, FALSE) - SUMIF($F$1:$F290, F291, $H$1:$H290))
</f>
        <v/>
      </c>
      <c r="I291" s="26"/>
      <c r="J291" s="26" t="s">
        <v>77</v>
      </c>
      <c r="L291" s="27" t="s">
        <v>77</v>
      </c>
      <c r="N291" s="28" t="s">
        <v>77</v>
      </c>
      <c r="Q291" s="30"/>
    </row>
    <row r="292">
      <c r="B292" s="6"/>
      <c r="C292" s="33" t="str">
        <f t="array" ref="C292">IF(B292="", "", XLOOKUP(B292, Inventory!D:D,Inventory!E:E,"No Name Found"))</f>
        <v/>
      </c>
      <c r="D292" s="6"/>
      <c r="E292" s="6"/>
      <c r="F292" s="6"/>
      <c r="G292" s="24" t="str">
        <f>IF(F292="", "", VLOOKUP(F292, Inventory!A:BZ, 3, FALSE) - SUMIF($F$1:$F291, F292, $H$1:$H291))
</f>
        <v/>
      </c>
      <c r="I292" s="26"/>
      <c r="J292" s="26" t="s">
        <v>77</v>
      </c>
      <c r="L292" s="27" t="s">
        <v>77</v>
      </c>
      <c r="N292" s="28" t="s">
        <v>77</v>
      </c>
      <c r="Q292" s="30"/>
    </row>
    <row r="293">
      <c r="B293" s="6"/>
      <c r="C293" s="33" t="str">
        <f t="array" ref="C293">IF(B293="", "", XLOOKUP(B293, Inventory!D:D,Inventory!E:E,"No Name Found"))</f>
        <v/>
      </c>
      <c r="D293" s="6"/>
      <c r="E293" s="6"/>
      <c r="F293" s="6"/>
      <c r="G293" s="24" t="str">
        <f>IF(F293="", "", VLOOKUP(F293, Inventory!A:BZ, 3, FALSE) - SUMIF($F$1:$F292, F293, $H$1:$H292))
</f>
        <v/>
      </c>
      <c r="I293" s="26"/>
      <c r="J293" s="26" t="s">
        <v>77</v>
      </c>
      <c r="L293" s="27" t="s">
        <v>77</v>
      </c>
      <c r="N293" s="28" t="s">
        <v>77</v>
      </c>
      <c r="Q293" s="30"/>
    </row>
    <row r="294">
      <c r="B294" s="6"/>
      <c r="C294" s="33" t="str">
        <f t="array" ref="C294">IF(B294="", "", XLOOKUP(B294, Inventory!D:D,Inventory!E:E,"No Name Found"))</f>
        <v/>
      </c>
      <c r="D294" s="6"/>
      <c r="E294" s="6"/>
      <c r="F294" s="6"/>
      <c r="G294" s="24" t="str">
        <f>IF(F294="", "", VLOOKUP(F294, Inventory!A:BZ, 3, FALSE) - SUMIF($F$1:$F293, F294, $H$1:$H293))
</f>
        <v/>
      </c>
      <c r="I294" s="26"/>
      <c r="J294" s="26" t="s">
        <v>77</v>
      </c>
      <c r="L294" s="27" t="s">
        <v>77</v>
      </c>
      <c r="N294" s="28" t="s">
        <v>77</v>
      </c>
      <c r="Q294" s="30"/>
    </row>
    <row r="295">
      <c r="B295" s="6"/>
      <c r="C295" s="33" t="str">
        <f t="array" ref="C295">IF(B295="", "", XLOOKUP(B295, Inventory!D:D,Inventory!E:E,"No Name Found"))</f>
        <v/>
      </c>
      <c r="D295" s="6"/>
      <c r="E295" s="6"/>
      <c r="F295" s="6"/>
      <c r="G295" s="24" t="str">
        <f>IF(F295="", "", VLOOKUP(F295, Inventory!A:BZ, 3, FALSE) - SUMIF($F$1:$F294, F295, $H$1:$H294))
</f>
        <v/>
      </c>
      <c r="I295" s="26"/>
      <c r="J295" s="26" t="s">
        <v>77</v>
      </c>
      <c r="L295" s="27" t="s">
        <v>77</v>
      </c>
      <c r="N295" s="28" t="s">
        <v>77</v>
      </c>
      <c r="Q295" s="30"/>
    </row>
    <row r="296">
      <c r="B296" s="6"/>
      <c r="C296" s="33" t="str">
        <f t="array" ref="C296">IF(B296="", "", XLOOKUP(B296, Inventory!D:D,Inventory!E:E,"No Name Found"))</f>
        <v/>
      </c>
      <c r="D296" s="6"/>
      <c r="E296" s="6"/>
      <c r="F296" s="6"/>
      <c r="G296" s="24" t="str">
        <f>IF(F296="", "", VLOOKUP(F296, Inventory!A:BZ, 3, FALSE) - SUMIF($F$1:$F295, F296, $H$1:$H295))
</f>
        <v/>
      </c>
      <c r="I296" s="26"/>
      <c r="J296" s="26" t="s">
        <v>77</v>
      </c>
      <c r="L296" s="27" t="s">
        <v>77</v>
      </c>
      <c r="N296" s="28" t="s">
        <v>77</v>
      </c>
      <c r="Q296" s="30"/>
    </row>
    <row r="297">
      <c r="B297" s="6"/>
      <c r="C297" s="33" t="str">
        <f t="array" ref="C297">IF(B297="", "", XLOOKUP(B297, Inventory!D:D,Inventory!E:E,"No Name Found"))</f>
        <v/>
      </c>
      <c r="D297" s="6"/>
      <c r="E297" s="6"/>
      <c r="F297" s="6"/>
      <c r="G297" s="24" t="str">
        <f>IF(F297="", "", VLOOKUP(F297, Inventory!A:BZ, 3, FALSE) - SUMIF($F$1:$F296, F297, $H$1:$H296))
</f>
        <v/>
      </c>
      <c r="I297" s="26"/>
      <c r="J297" s="26" t="s">
        <v>77</v>
      </c>
      <c r="L297" s="27" t="s">
        <v>77</v>
      </c>
      <c r="N297" s="28" t="s">
        <v>77</v>
      </c>
      <c r="Q297" s="30"/>
    </row>
    <row r="298">
      <c r="B298" s="6"/>
      <c r="C298" s="33" t="str">
        <f t="array" ref="C298">IF(B298="", "", XLOOKUP(B298, Inventory!D:D,Inventory!E:E,"No Name Found"))</f>
        <v/>
      </c>
      <c r="D298" s="6"/>
      <c r="E298" s="6"/>
      <c r="F298" s="6"/>
      <c r="G298" s="24" t="str">
        <f>IF(F298="", "", VLOOKUP(F298, Inventory!A:BZ, 3, FALSE) - SUMIF($F$1:$F297, F298, $H$1:$H297))
</f>
        <v/>
      </c>
      <c r="I298" s="26"/>
      <c r="J298" s="26" t="s">
        <v>77</v>
      </c>
      <c r="L298" s="27" t="s">
        <v>77</v>
      </c>
      <c r="N298" s="28" t="s">
        <v>77</v>
      </c>
      <c r="Q298" s="30"/>
    </row>
    <row r="299">
      <c r="B299" s="6"/>
      <c r="C299" s="33" t="str">
        <f t="array" ref="C299">IF(B299="", "", XLOOKUP(B299, Inventory!D:D,Inventory!E:E,"No Name Found"))</f>
        <v/>
      </c>
      <c r="D299" s="6"/>
      <c r="E299" s="6"/>
      <c r="F299" s="6"/>
      <c r="G299" s="24" t="str">
        <f>IF(F299="", "", VLOOKUP(F299, Inventory!A:BZ, 3, FALSE) - SUMIF($F$1:$F298, F299, $H$1:$H298))
</f>
        <v/>
      </c>
      <c r="I299" s="26"/>
      <c r="J299" s="26" t="s">
        <v>77</v>
      </c>
      <c r="L299" s="27" t="s">
        <v>77</v>
      </c>
      <c r="N299" s="28" t="s">
        <v>77</v>
      </c>
      <c r="Q299" s="30"/>
    </row>
    <row r="300">
      <c r="B300" s="6"/>
      <c r="C300" s="33" t="str">
        <f t="array" ref="C300">IF(B300="", "", XLOOKUP(B300, Inventory!D:D,Inventory!E:E,"No Name Found"))</f>
        <v/>
      </c>
      <c r="D300" s="6"/>
      <c r="E300" s="6"/>
      <c r="F300" s="6"/>
      <c r="G300" s="24" t="str">
        <f>IF(F300="", "", VLOOKUP(F300, Inventory!A:BZ, 3, FALSE) - SUMIF($F$1:$F299, F300, $H$1:$H299))
</f>
        <v/>
      </c>
      <c r="I300" s="26"/>
      <c r="J300" s="26" t="s">
        <v>77</v>
      </c>
      <c r="L300" s="27" t="s">
        <v>77</v>
      </c>
      <c r="N300" s="28" t="s">
        <v>77</v>
      </c>
      <c r="Q300" s="30"/>
    </row>
    <row r="301">
      <c r="B301" s="6"/>
      <c r="C301" s="33" t="str">
        <f t="array" ref="C301">IF(B301="", "", XLOOKUP(B301, Inventory!D:D,Inventory!E:E,"No Name Found"))</f>
        <v/>
      </c>
      <c r="D301" s="6"/>
      <c r="E301" s="6"/>
      <c r="F301" s="6"/>
      <c r="G301" s="24" t="str">
        <f>IF(F301="", "", VLOOKUP(F301, Inventory!A:BZ, 3, FALSE) - SUMIF($F$1:$F300, F301, $H$1:$H300))
</f>
        <v/>
      </c>
      <c r="I301" s="26"/>
      <c r="J301" s="26" t="s">
        <v>77</v>
      </c>
      <c r="L301" s="27" t="s">
        <v>77</v>
      </c>
      <c r="N301" s="28" t="s">
        <v>77</v>
      </c>
      <c r="Q301" s="30"/>
    </row>
    <row r="302">
      <c r="B302" s="6"/>
      <c r="C302" s="33" t="str">
        <f t="array" ref="C302">IF(B302="", "", XLOOKUP(B302, Inventory!D:D,Inventory!E:E,"No Name Found"))</f>
        <v/>
      </c>
      <c r="D302" s="6"/>
      <c r="E302" s="6"/>
      <c r="F302" s="6"/>
      <c r="G302" s="24" t="str">
        <f>IF(F302="", "", VLOOKUP(F302, Inventory!A:BZ, 3, FALSE) - SUMIF($F$1:$F301, F302, $H$1:$H301))
</f>
        <v/>
      </c>
      <c r="I302" s="26"/>
      <c r="J302" s="26" t="s">
        <v>77</v>
      </c>
      <c r="L302" s="27" t="s">
        <v>77</v>
      </c>
      <c r="N302" s="28" t="s">
        <v>77</v>
      </c>
      <c r="Q302" s="30"/>
    </row>
    <row r="303">
      <c r="B303" s="6"/>
      <c r="C303" s="33" t="str">
        <f t="array" ref="C303">IF(B303="", "", XLOOKUP(B303, Inventory!D:D,Inventory!E:E,"No Name Found"))</f>
        <v/>
      </c>
      <c r="D303" s="6"/>
      <c r="E303" s="6"/>
      <c r="F303" s="6"/>
      <c r="G303" s="24" t="str">
        <f>IF(F303="", "", VLOOKUP(F303, Inventory!A:BZ, 3, FALSE) - SUMIF($F$1:$F302, F303, $H$1:$H302))
</f>
        <v/>
      </c>
      <c r="I303" s="26"/>
      <c r="J303" s="26" t="s">
        <v>77</v>
      </c>
      <c r="L303" s="27" t="s">
        <v>77</v>
      </c>
      <c r="N303" s="28" t="s">
        <v>77</v>
      </c>
      <c r="Q303" s="30"/>
    </row>
    <row r="304">
      <c r="B304" s="6"/>
      <c r="C304" s="33" t="str">
        <f t="array" ref="C304">IF(B304="", "", XLOOKUP(B304, Inventory!D:D,Inventory!E:E,"No Name Found"))</f>
        <v/>
      </c>
      <c r="D304" s="6"/>
      <c r="E304" s="6"/>
      <c r="F304" s="6"/>
      <c r="G304" s="24" t="str">
        <f>IF(F304="", "", VLOOKUP(F304, Inventory!A:BZ, 3, FALSE) - SUMIF($F$1:$F303, F304, $H$1:$H303))
</f>
        <v/>
      </c>
      <c r="I304" s="26"/>
      <c r="J304" s="26" t="s">
        <v>77</v>
      </c>
      <c r="L304" s="27" t="s">
        <v>77</v>
      </c>
      <c r="N304" s="28" t="s">
        <v>77</v>
      </c>
      <c r="Q304" s="30"/>
    </row>
    <row r="305">
      <c r="B305" s="6"/>
      <c r="C305" s="33" t="str">
        <f t="array" ref="C305">IF(B305="", "", XLOOKUP(B305, Inventory!D:D,Inventory!E:E,"No Name Found"))</f>
        <v/>
      </c>
      <c r="D305" s="6"/>
      <c r="E305" s="6"/>
      <c r="F305" s="6"/>
      <c r="G305" s="24" t="str">
        <f>IF(F305="", "", VLOOKUP(F305, Inventory!A:BZ, 3, FALSE) - SUMIF($F$1:$F304, F305, $H$1:$H304))
</f>
        <v/>
      </c>
      <c r="I305" s="26"/>
      <c r="J305" s="26" t="s">
        <v>77</v>
      </c>
      <c r="L305" s="27" t="s">
        <v>77</v>
      </c>
      <c r="N305" s="28" t="s">
        <v>77</v>
      </c>
      <c r="Q305" s="30"/>
    </row>
    <row r="306">
      <c r="B306" s="6"/>
      <c r="C306" s="33" t="str">
        <f t="array" ref="C306">IF(B306="", "", XLOOKUP(B306, Inventory!D:D,Inventory!E:E,"No Name Found"))</f>
        <v/>
      </c>
      <c r="D306" s="6"/>
      <c r="E306" s="6"/>
      <c r="F306" s="6"/>
      <c r="G306" s="24" t="str">
        <f>IF(F306="", "", VLOOKUP(F306, Inventory!A:BZ, 3, FALSE) - SUMIF($F$1:$F305, F306, $H$1:$H305))
</f>
        <v/>
      </c>
      <c r="I306" s="26"/>
      <c r="J306" s="26" t="s">
        <v>77</v>
      </c>
      <c r="L306" s="27" t="s">
        <v>77</v>
      </c>
      <c r="N306" s="28" t="s">
        <v>77</v>
      </c>
      <c r="Q306" s="30"/>
    </row>
    <row r="307">
      <c r="B307" s="6"/>
      <c r="C307" s="33" t="str">
        <f t="array" ref="C307">IF(B307="", "", XLOOKUP(B307, Inventory!D:D,Inventory!E:E,"No Name Found"))</f>
        <v/>
      </c>
      <c r="D307" s="6"/>
      <c r="E307" s="6"/>
      <c r="F307" s="6"/>
      <c r="G307" s="24" t="str">
        <f>IF(F307="", "", VLOOKUP(F307, Inventory!A:BZ, 3, FALSE) - SUMIF($F$1:$F306, F307, $H$1:$H306))
</f>
        <v/>
      </c>
      <c r="I307" s="26"/>
      <c r="J307" s="26" t="s">
        <v>77</v>
      </c>
      <c r="L307" s="27" t="s">
        <v>77</v>
      </c>
      <c r="N307" s="28" t="s">
        <v>77</v>
      </c>
      <c r="Q307" s="30"/>
    </row>
    <row r="308">
      <c r="B308" s="6"/>
      <c r="C308" s="33" t="str">
        <f t="array" ref="C308">IF(B308="", "", XLOOKUP(B308, Inventory!D:D,Inventory!E:E,"No Name Found"))</f>
        <v/>
      </c>
      <c r="D308" s="6"/>
      <c r="E308" s="6"/>
      <c r="F308" s="6"/>
      <c r="G308" s="24" t="str">
        <f>IF(F308="", "", VLOOKUP(F308, Inventory!A:BZ, 3, FALSE) - SUMIF($F$1:$F307, F308, $H$1:$H307))
</f>
        <v/>
      </c>
      <c r="I308" s="26"/>
      <c r="J308" s="26" t="s">
        <v>77</v>
      </c>
      <c r="L308" s="27" t="s">
        <v>77</v>
      </c>
      <c r="N308" s="28" t="s">
        <v>77</v>
      </c>
      <c r="Q308" s="30"/>
    </row>
    <row r="309">
      <c r="B309" s="6"/>
      <c r="C309" s="33" t="str">
        <f t="array" ref="C309">IF(B309="", "", XLOOKUP(B309, Inventory!D:D,Inventory!E:E,"No Name Found"))</f>
        <v/>
      </c>
      <c r="D309" s="6"/>
      <c r="E309" s="6"/>
      <c r="F309" s="6"/>
      <c r="G309" s="24" t="str">
        <f>IF(F309="", "", VLOOKUP(F309, Inventory!A:BZ, 3, FALSE) - SUMIF($F$1:$F308, F309, $H$1:$H308))
</f>
        <v/>
      </c>
      <c r="I309" s="26"/>
      <c r="J309" s="26" t="s">
        <v>77</v>
      </c>
      <c r="L309" s="27" t="s">
        <v>77</v>
      </c>
      <c r="N309" s="28" t="s">
        <v>77</v>
      </c>
      <c r="Q309" s="30"/>
    </row>
    <row r="310">
      <c r="B310" s="6"/>
      <c r="C310" s="33" t="str">
        <f t="array" ref="C310">IF(B310="", "", XLOOKUP(B310, Inventory!D:D,Inventory!E:E,"No Name Found"))</f>
        <v/>
      </c>
      <c r="D310" s="6"/>
      <c r="E310" s="6"/>
      <c r="F310" s="6"/>
      <c r="G310" s="24" t="str">
        <f>IF(F310="", "", VLOOKUP(F310, Inventory!A:BZ, 3, FALSE) - SUMIF($F$1:$F309, F310, $H$1:$H309))
</f>
        <v/>
      </c>
      <c r="I310" s="26"/>
      <c r="J310" s="26" t="s">
        <v>77</v>
      </c>
      <c r="L310" s="27" t="s">
        <v>77</v>
      </c>
      <c r="N310" s="28" t="s">
        <v>77</v>
      </c>
      <c r="Q310" s="30"/>
    </row>
    <row r="311">
      <c r="B311" s="6"/>
      <c r="C311" s="33" t="str">
        <f t="array" ref="C311">IF(B311="", "", XLOOKUP(B311, Inventory!D:D,Inventory!E:E,"No Name Found"))</f>
        <v/>
      </c>
      <c r="D311" s="6"/>
      <c r="E311" s="6"/>
      <c r="F311" s="6"/>
      <c r="G311" s="24" t="str">
        <f>IF(F311="", "", VLOOKUP(F311, Inventory!A:BZ, 3, FALSE) - SUMIF($F$1:$F310, F311, $H$1:$H310))
</f>
        <v/>
      </c>
      <c r="I311" s="26"/>
      <c r="J311" s="26" t="s">
        <v>77</v>
      </c>
      <c r="L311" s="27" t="s">
        <v>77</v>
      </c>
      <c r="N311" s="28" t="s">
        <v>77</v>
      </c>
      <c r="Q311" s="30"/>
    </row>
    <row r="312">
      <c r="B312" s="6"/>
      <c r="C312" s="33" t="str">
        <f t="array" ref="C312">IF(B312="", "", XLOOKUP(B312, Inventory!D:D,Inventory!E:E,"No Name Found"))</f>
        <v/>
      </c>
      <c r="D312" s="6"/>
      <c r="E312" s="6"/>
      <c r="F312" s="6"/>
      <c r="G312" s="24" t="str">
        <f>IF(F312="", "", VLOOKUP(F312, Inventory!A:BZ, 3, FALSE) - SUMIF($F$1:$F311, F312, $H$1:$H311))
</f>
        <v/>
      </c>
      <c r="I312" s="26"/>
      <c r="J312" s="26" t="s">
        <v>77</v>
      </c>
      <c r="L312" s="27" t="s">
        <v>77</v>
      </c>
      <c r="N312" s="28" t="s">
        <v>77</v>
      </c>
      <c r="Q312" s="30"/>
    </row>
    <row r="313">
      <c r="B313" s="6"/>
      <c r="C313" s="33" t="str">
        <f t="array" ref="C313">IF(B313="", "", XLOOKUP(B313, Inventory!D:D,Inventory!E:E,"No Name Found"))</f>
        <v/>
      </c>
      <c r="D313" s="6"/>
      <c r="E313" s="6"/>
      <c r="F313" s="6"/>
      <c r="G313" s="24" t="str">
        <f>IF(F313="", "", VLOOKUP(F313, Inventory!A:BZ, 3, FALSE) - SUMIF($F$1:$F312, F313, $H$1:$H312))
</f>
        <v/>
      </c>
      <c r="I313" s="26"/>
      <c r="J313" s="26" t="s">
        <v>77</v>
      </c>
      <c r="L313" s="27" t="s">
        <v>77</v>
      </c>
      <c r="N313" s="28" t="s">
        <v>77</v>
      </c>
      <c r="Q313" s="30"/>
    </row>
    <row r="314">
      <c r="B314" s="6"/>
      <c r="C314" s="33" t="str">
        <f t="array" ref="C314">IF(B314="", "", XLOOKUP(B314, Inventory!D:D,Inventory!E:E,"No Name Found"))</f>
        <v/>
      </c>
      <c r="D314" s="6"/>
      <c r="E314" s="6"/>
      <c r="F314" s="6"/>
      <c r="G314" s="24" t="str">
        <f>IF(F314="", "", VLOOKUP(F314, Inventory!A:BZ, 3, FALSE) - SUMIF($F$1:$F313, F314, $H$1:$H313))
</f>
        <v/>
      </c>
      <c r="I314" s="26"/>
      <c r="J314" s="26" t="s">
        <v>77</v>
      </c>
      <c r="L314" s="27" t="s">
        <v>77</v>
      </c>
      <c r="N314" s="28" t="s">
        <v>77</v>
      </c>
      <c r="Q314" s="30"/>
    </row>
    <row r="315">
      <c r="B315" s="6"/>
      <c r="C315" s="33" t="str">
        <f t="array" ref="C315">IF(B315="", "", XLOOKUP(B315, Inventory!D:D,Inventory!E:E,"No Name Found"))</f>
        <v/>
      </c>
      <c r="D315" s="6"/>
      <c r="E315" s="6"/>
      <c r="F315" s="6"/>
      <c r="G315" s="24" t="str">
        <f>IF(F315="", "", VLOOKUP(F315, Inventory!A:BZ, 3, FALSE) - SUMIF($F$1:$F314, F315, $H$1:$H314))
</f>
        <v/>
      </c>
      <c r="I315" s="26"/>
      <c r="J315" s="26" t="s">
        <v>77</v>
      </c>
      <c r="L315" s="27" t="s">
        <v>77</v>
      </c>
      <c r="N315" s="28" t="s">
        <v>77</v>
      </c>
      <c r="Q315" s="30"/>
    </row>
    <row r="316">
      <c r="B316" s="6"/>
      <c r="C316" s="33" t="str">
        <f t="array" ref="C316">IF(B316="", "", XLOOKUP(B316, Inventory!D:D,Inventory!E:E,"No Name Found"))</f>
        <v/>
      </c>
      <c r="D316" s="6"/>
      <c r="E316" s="6"/>
      <c r="F316" s="6"/>
      <c r="G316" s="24" t="str">
        <f>IF(F316="", "", VLOOKUP(F316, Inventory!A:BZ, 3, FALSE) - SUMIF($F$1:$F315, F316, $H$1:$H315))
</f>
        <v/>
      </c>
      <c r="I316" s="26"/>
      <c r="J316" s="26" t="s">
        <v>77</v>
      </c>
      <c r="L316" s="27" t="s">
        <v>77</v>
      </c>
      <c r="N316" s="28" t="s">
        <v>77</v>
      </c>
      <c r="Q316" s="30"/>
    </row>
    <row r="317">
      <c r="B317" s="6"/>
      <c r="C317" s="33" t="str">
        <f t="array" ref="C317">IF(B317="", "", XLOOKUP(B317, Inventory!D:D,Inventory!E:E,"No Name Found"))</f>
        <v/>
      </c>
      <c r="D317" s="6"/>
      <c r="E317" s="6"/>
      <c r="F317" s="6"/>
      <c r="G317" s="24" t="str">
        <f>IF(F317="", "", VLOOKUP(F317, Inventory!A:BZ, 3, FALSE) - SUMIF($F$1:$F316, F317, $H$1:$H316))
</f>
        <v/>
      </c>
      <c r="I317" s="26"/>
      <c r="J317" s="26" t="s">
        <v>77</v>
      </c>
      <c r="L317" s="27" t="s">
        <v>77</v>
      </c>
      <c r="N317" s="28" t="s">
        <v>77</v>
      </c>
      <c r="Q317" s="30"/>
    </row>
    <row r="318">
      <c r="B318" s="6"/>
      <c r="C318" s="33" t="str">
        <f t="array" ref="C318">IF(B318="", "", XLOOKUP(B318, Inventory!D:D,Inventory!E:E,"No Name Found"))</f>
        <v/>
      </c>
      <c r="D318" s="6"/>
      <c r="E318" s="6"/>
      <c r="F318" s="6"/>
      <c r="G318" s="24" t="str">
        <f>IF(F318="", "", VLOOKUP(F318, Inventory!A:BZ, 3, FALSE) - SUMIF($F$1:$F317, F318, $H$1:$H317))
</f>
        <v/>
      </c>
      <c r="I318" s="26"/>
      <c r="J318" s="26" t="s">
        <v>77</v>
      </c>
      <c r="L318" s="27" t="s">
        <v>77</v>
      </c>
      <c r="N318" s="28" t="s">
        <v>77</v>
      </c>
      <c r="Q318" s="30"/>
    </row>
    <row r="319">
      <c r="B319" s="6"/>
      <c r="C319" s="33" t="str">
        <f t="array" ref="C319">IF(B319="", "", XLOOKUP(B319, Inventory!D:D,Inventory!E:E,"No Name Found"))</f>
        <v/>
      </c>
      <c r="D319" s="6"/>
      <c r="E319" s="6"/>
      <c r="F319" s="6"/>
      <c r="G319" s="24" t="str">
        <f>IF(F319="", "", VLOOKUP(F319, Inventory!A:BZ, 3, FALSE) - SUMIF($F$1:$F318, F319, $H$1:$H318))
</f>
        <v/>
      </c>
      <c r="I319" s="26"/>
      <c r="J319" s="26" t="s">
        <v>77</v>
      </c>
      <c r="L319" s="27" t="s">
        <v>77</v>
      </c>
      <c r="N319" s="28" t="s">
        <v>77</v>
      </c>
      <c r="Q319" s="30"/>
    </row>
    <row r="320">
      <c r="B320" s="6"/>
      <c r="C320" s="33" t="str">
        <f t="array" ref="C320">IF(B320="", "", XLOOKUP(B320, Inventory!D:D,Inventory!E:E,"No Name Found"))</f>
        <v/>
      </c>
      <c r="D320" s="6"/>
      <c r="E320" s="6"/>
      <c r="F320" s="6"/>
      <c r="G320" s="24" t="str">
        <f>IF(F320="", "", VLOOKUP(F320, Inventory!A:BZ, 3, FALSE) - SUMIF($F$1:$F319, F320, $H$1:$H319))
</f>
        <v/>
      </c>
      <c r="I320" s="26"/>
      <c r="J320" s="26" t="s">
        <v>77</v>
      </c>
      <c r="L320" s="27" t="s">
        <v>77</v>
      </c>
      <c r="N320" s="28" t="s">
        <v>77</v>
      </c>
      <c r="Q320" s="30"/>
    </row>
    <row r="321">
      <c r="B321" s="6"/>
      <c r="C321" s="33" t="str">
        <f t="array" ref="C321">IF(B321="", "", XLOOKUP(B321, Inventory!D:D,Inventory!E:E,"No Name Found"))</f>
        <v/>
      </c>
      <c r="D321" s="6"/>
      <c r="E321" s="6"/>
      <c r="F321" s="6"/>
      <c r="G321" s="24" t="str">
        <f>IF(F321="", "", VLOOKUP(F321, Inventory!A:BZ, 3, FALSE) - SUMIF($F$1:$F320, F321, $H$1:$H320))
</f>
        <v/>
      </c>
      <c r="I321" s="26"/>
      <c r="J321" s="26" t="s">
        <v>77</v>
      </c>
      <c r="L321" s="27" t="s">
        <v>77</v>
      </c>
      <c r="N321" s="28" t="s">
        <v>77</v>
      </c>
      <c r="Q321" s="30"/>
    </row>
    <row r="322">
      <c r="B322" s="6"/>
      <c r="C322" s="33" t="str">
        <f t="array" ref="C322">IF(B322="", "", XLOOKUP(B322, Inventory!D:D,Inventory!E:E,"No Name Found"))</f>
        <v/>
      </c>
      <c r="D322" s="6"/>
      <c r="E322" s="6"/>
      <c r="F322" s="6"/>
      <c r="G322" s="24" t="str">
        <f>IF(F322="", "", VLOOKUP(F322, Inventory!A:BZ, 3, FALSE) - SUMIF($F$1:$F321, F322, $H$1:$H321))
</f>
        <v/>
      </c>
      <c r="I322" s="26"/>
      <c r="J322" s="26" t="s">
        <v>77</v>
      </c>
      <c r="L322" s="27" t="s">
        <v>77</v>
      </c>
      <c r="N322" s="28" t="s">
        <v>77</v>
      </c>
      <c r="Q322" s="30"/>
    </row>
    <row r="323">
      <c r="B323" s="6"/>
      <c r="C323" s="33" t="str">
        <f t="array" ref="C323">IF(B323="", "", XLOOKUP(B323, Inventory!D:D,Inventory!E:E,"No Name Found"))</f>
        <v/>
      </c>
      <c r="D323" s="6"/>
      <c r="E323" s="6"/>
      <c r="F323" s="6"/>
      <c r="G323" s="24" t="str">
        <f>IF(F323="", "", VLOOKUP(F323, Inventory!A:BZ, 3, FALSE) - SUMIF($F$1:$F322, F323, $H$1:$H322))
</f>
        <v/>
      </c>
      <c r="I323" s="26"/>
      <c r="J323" s="26" t="s">
        <v>77</v>
      </c>
      <c r="L323" s="27" t="s">
        <v>77</v>
      </c>
      <c r="N323" s="28" t="s">
        <v>77</v>
      </c>
      <c r="Q323" s="30"/>
    </row>
    <row r="324">
      <c r="B324" s="6"/>
      <c r="C324" s="33" t="str">
        <f t="array" ref="C324">IF(B324="", "", XLOOKUP(B324, Inventory!D:D,Inventory!E:E,"No Name Found"))</f>
        <v/>
      </c>
      <c r="D324" s="6"/>
      <c r="E324" s="6"/>
      <c r="F324" s="6"/>
      <c r="G324" s="24" t="str">
        <f>IF(F324="", "", VLOOKUP(F324, Inventory!A:BZ, 3, FALSE) - SUMIF($F$1:$F323, F324, $H$1:$H323))
</f>
        <v/>
      </c>
      <c r="I324" s="26"/>
      <c r="J324" s="26" t="s">
        <v>77</v>
      </c>
      <c r="L324" s="27" t="s">
        <v>77</v>
      </c>
      <c r="N324" s="28" t="s">
        <v>77</v>
      </c>
      <c r="Q324" s="30"/>
    </row>
    <row r="325">
      <c r="B325" s="6"/>
      <c r="C325" s="33" t="str">
        <f t="array" ref="C325">IF(B325="", "", XLOOKUP(B325, Inventory!D:D,Inventory!E:E,"No Name Found"))</f>
        <v/>
      </c>
      <c r="D325" s="6"/>
      <c r="E325" s="6"/>
      <c r="F325" s="6"/>
      <c r="G325" s="24" t="str">
        <f>IF(F325="", "", VLOOKUP(F325, Inventory!A:BZ, 3, FALSE) - SUMIF($F$1:$F324, F325, $H$1:$H324))
</f>
        <v/>
      </c>
      <c r="I325" s="26"/>
      <c r="J325" s="26" t="s">
        <v>77</v>
      </c>
      <c r="L325" s="27" t="s">
        <v>77</v>
      </c>
      <c r="N325" s="28" t="s">
        <v>77</v>
      </c>
      <c r="Q325" s="30"/>
    </row>
    <row r="326">
      <c r="B326" s="6"/>
      <c r="C326" s="33" t="str">
        <f t="array" ref="C326">IF(B326="", "", XLOOKUP(B326, Inventory!D:D,Inventory!E:E,"No Name Found"))</f>
        <v/>
      </c>
      <c r="D326" s="6"/>
      <c r="E326" s="6"/>
      <c r="F326" s="6"/>
      <c r="G326" s="24" t="str">
        <f>IF(F326="", "", VLOOKUP(F326, Inventory!A:BZ, 3, FALSE) - SUMIF($F$1:$F325, F326, $H$1:$H325))
</f>
        <v/>
      </c>
      <c r="I326" s="26"/>
      <c r="J326" s="26" t="s">
        <v>77</v>
      </c>
      <c r="L326" s="27" t="s">
        <v>77</v>
      </c>
      <c r="N326" s="28" t="s">
        <v>77</v>
      </c>
      <c r="Q326" s="30"/>
    </row>
    <row r="327">
      <c r="B327" s="6"/>
      <c r="C327" s="33" t="str">
        <f t="array" ref="C327">IF(B327="", "", XLOOKUP(B327, Inventory!D:D,Inventory!E:E,"No Name Found"))</f>
        <v/>
      </c>
      <c r="D327" s="6"/>
      <c r="E327" s="6"/>
      <c r="F327" s="6"/>
      <c r="G327" s="24" t="str">
        <f>IF(F327="", "", VLOOKUP(F327, Inventory!A:BZ, 3, FALSE) - SUMIF($F$1:$F326, F327, $H$1:$H326))
</f>
        <v/>
      </c>
      <c r="I327" s="26"/>
      <c r="J327" s="26" t="s">
        <v>77</v>
      </c>
      <c r="L327" s="27" t="s">
        <v>77</v>
      </c>
      <c r="N327" s="28" t="s">
        <v>77</v>
      </c>
      <c r="Q327" s="30"/>
    </row>
    <row r="328">
      <c r="B328" s="6"/>
      <c r="C328" s="33" t="str">
        <f t="array" ref="C328">IF(B328="", "", XLOOKUP(B328, Inventory!D:D,Inventory!E:E,"No Name Found"))</f>
        <v/>
      </c>
      <c r="D328" s="6"/>
      <c r="E328" s="6"/>
      <c r="F328" s="6"/>
      <c r="G328" s="24" t="str">
        <f>IF(F328="", "", VLOOKUP(F328, Inventory!A:BZ, 3, FALSE) - SUMIF($F$1:$F327, F328, $H$1:$H327))
</f>
        <v/>
      </c>
      <c r="I328" s="26"/>
      <c r="J328" s="26" t="s">
        <v>77</v>
      </c>
      <c r="L328" s="27" t="s">
        <v>77</v>
      </c>
      <c r="N328" s="28" t="s">
        <v>77</v>
      </c>
      <c r="Q328" s="30"/>
    </row>
    <row r="329">
      <c r="B329" s="6"/>
      <c r="C329" s="33" t="str">
        <f t="array" ref="C329">IF(B329="", "", XLOOKUP(B329, Inventory!D:D,Inventory!E:E,"No Name Found"))</f>
        <v/>
      </c>
      <c r="D329" s="6"/>
      <c r="E329" s="6"/>
      <c r="F329" s="6"/>
      <c r="G329" s="24" t="str">
        <f>IF(F329="", "", VLOOKUP(F329, Inventory!A:BZ, 3, FALSE) - SUMIF($F$1:$F328, F329, $H$1:$H328))
</f>
        <v/>
      </c>
      <c r="I329" s="26"/>
      <c r="J329" s="26" t="s">
        <v>77</v>
      </c>
      <c r="L329" s="27" t="s">
        <v>77</v>
      </c>
      <c r="N329" s="28" t="s">
        <v>77</v>
      </c>
      <c r="Q329" s="30"/>
    </row>
    <row r="330">
      <c r="B330" s="6"/>
      <c r="C330" s="33" t="str">
        <f t="array" ref="C330">IF(B330="", "", XLOOKUP(B330, Inventory!D:D,Inventory!E:E,"No Name Found"))</f>
        <v/>
      </c>
      <c r="D330" s="6"/>
      <c r="E330" s="6"/>
      <c r="F330" s="6"/>
      <c r="G330" s="24" t="str">
        <f>IF(F330="", "", VLOOKUP(F330, Inventory!A:BZ, 3, FALSE) - SUMIF($F$1:$F329, F330, $H$1:$H329))
</f>
        <v/>
      </c>
      <c r="I330" s="26"/>
      <c r="J330" s="26" t="s">
        <v>77</v>
      </c>
      <c r="L330" s="27" t="s">
        <v>77</v>
      </c>
      <c r="N330" s="28" t="s">
        <v>77</v>
      </c>
      <c r="Q330" s="30"/>
    </row>
    <row r="331">
      <c r="B331" s="6"/>
      <c r="C331" s="33" t="str">
        <f t="array" ref="C331">IF(B331="", "", XLOOKUP(B331, Inventory!D:D,Inventory!E:E,"No Name Found"))</f>
        <v/>
      </c>
      <c r="D331" s="6"/>
      <c r="E331" s="6"/>
      <c r="F331" s="6"/>
      <c r="G331" s="24" t="str">
        <f>IF(F331="", "", VLOOKUP(F331, Inventory!A:BZ, 3, FALSE) - SUMIF($F$1:$F330, F331, $H$1:$H330))
</f>
        <v/>
      </c>
      <c r="I331" s="26"/>
      <c r="J331" s="26" t="s">
        <v>77</v>
      </c>
      <c r="L331" s="27" t="s">
        <v>77</v>
      </c>
      <c r="N331" s="28" t="s">
        <v>77</v>
      </c>
      <c r="Q331" s="30"/>
    </row>
    <row r="332">
      <c r="B332" s="6"/>
      <c r="C332" s="33" t="str">
        <f t="array" ref="C332">IF(B332="", "", XLOOKUP(B332, Inventory!D:D,Inventory!E:E,"No Name Found"))</f>
        <v/>
      </c>
      <c r="D332" s="6"/>
      <c r="E332" s="6"/>
      <c r="F332" s="6"/>
      <c r="G332" s="24" t="str">
        <f>IF(F332="", "", VLOOKUP(F332, Inventory!A:BZ, 3, FALSE) - SUMIF($F$1:$F331, F332, $H$1:$H331))
</f>
        <v/>
      </c>
      <c r="I332" s="26"/>
      <c r="J332" s="26" t="s">
        <v>77</v>
      </c>
      <c r="L332" s="27" t="s">
        <v>77</v>
      </c>
      <c r="N332" s="28" t="s">
        <v>77</v>
      </c>
      <c r="Q332" s="30"/>
    </row>
    <row r="333">
      <c r="B333" s="6"/>
      <c r="C333" s="33" t="str">
        <f t="array" ref="C333">IF(B333="", "", XLOOKUP(B333, Inventory!D:D,Inventory!E:E,"No Name Found"))</f>
        <v/>
      </c>
      <c r="D333" s="6"/>
      <c r="E333" s="6"/>
      <c r="F333" s="6"/>
      <c r="G333" s="24" t="str">
        <f>IF(F333="", "", VLOOKUP(F333, Inventory!A:BZ, 3, FALSE) - SUMIF($F$1:$F332, F333, $H$1:$H332))
</f>
        <v/>
      </c>
      <c r="I333" s="26"/>
      <c r="J333" s="26" t="s">
        <v>77</v>
      </c>
      <c r="L333" s="27" t="s">
        <v>77</v>
      </c>
      <c r="N333" s="28" t="s">
        <v>77</v>
      </c>
      <c r="Q333" s="30"/>
    </row>
    <row r="334">
      <c r="B334" s="6"/>
      <c r="C334" s="33" t="str">
        <f t="array" ref="C334">IF(B334="", "", XLOOKUP(B334, Inventory!D:D,Inventory!E:E,"No Name Found"))</f>
        <v/>
      </c>
      <c r="D334" s="6"/>
      <c r="E334" s="6"/>
      <c r="F334" s="6"/>
      <c r="G334" s="24" t="str">
        <f>IF(F334="", "", VLOOKUP(F334, Inventory!A:BZ, 3, FALSE) - SUMIF($F$1:$F333, F334, $H$1:$H333))
</f>
        <v/>
      </c>
      <c r="I334" s="26"/>
      <c r="J334" s="26" t="s">
        <v>77</v>
      </c>
      <c r="L334" s="27" t="s">
        <v>77</v>
      </c>
      <c r="N334" s="28" t="s">
        <v>77</v>
      </c>
      <c r="Q334" s="30"/>
    </row>
    <row r="335">
      <c r="B335" s="6"/>
      <c r="C335" s="33" t="str">
        <f t="array" ref="C335">IF(B335="", "", XLOOKUP(B335, Inventory!D:D,Inventory!E:E,"No Name Found"))</f>
        <v/>
      </c>
      <c r="D335" s="6"/>
      <c r="E335" s="6"/>
      <c r="F335" s="6"/>
      <c r="G335" s="24" t="str">
        <f>IF(F335="", "", VLOOKUP(F335, Inventory!A:BZ, 3, FALSE) - SUMIF($F$1:$F334, F335, $H$1:$H334))
</f>
        <v/>
      </c>
      <c r="I335" s="26"/>
      <c r="J335" s="26" t="s">
        <v>77</v>
      </c>
      <c r="L335" s="27" t="s">
        <v>77</v>
      </c>
      <c r="N335" s="28" t="s">
        <v>77</v>
      </c>
      <c r="Q335" s="30"/>
    </row>
    <row r="336">
      <c r="B336" s="6"/>
      <c r="C336" s="33" t="str">
        <f t="array" ref="C336">IF(B336="", "", XLOOKUP(B336, Inventory!D:D,Inventory!E:E,"No Name Found"))</f>
        <v/>
      </c>
      <c r="D336" s="6"/>
      <c r="E336" s="6"/>
      <c r="F336" s="6"/>
      <c r="G336" s="24" t="str">
        <f>IF(F336="", "", VLOOKUP(F336, Inventory!A:BZ, 3, FALSE) - SUMIF($F$1:$F335, F336, $H$1:$H335))
</f>
        <v/>
      </c>
      <c r="I336" s="26"/>
      <c r="J336" s="26" t="s">
        <v>77</v>
      </c>
      <c r="L336" s="27" t="s">
        <v>77</v>
      </c>
      <c r="N336" s="28" t="s">
        <v>77</v>
      </c>
      <c r="Q336" s="30"/>
    </row>
    <row r="337">
      <c r="B337" s="6"/>
      <c r="C337" s="33" t="str">
        <f t="array" ref="C337">IF(B337="", "", XLOOKUP(B337, Inventory!D:D,Inventory!E:E,"No Name Found"))</f>
        <v/>
      </c>
      <c r="D337" s="6"/>
      <c r="E337" s="6"/>
      <c r="F337" s="6"/>
      <c r="G337" s="24" t="str">
        <f>IF(F337="", "", VLOOKUP(F337, Inventory!A:BZ, 3, FALSE) - SUMIF($F$1:$F336, F337, $H$1:$H336))
</f>
        <v/>
      </c>
      <c r="I337" s="26"/>
      <c r="J337" s="26" t="s">
        <v>77</v>
      </c>
      <c r="L337" s="27" t="s">
        <v>77</v>
      </c>
      <c r="N337" s="28" t="s">
        <v>77</v>
      </c>
      <c r="Q337" s="30"/>
    </row>
    <row r="338">
      <c r="B338" s="6"/>
      <c r="C338" s="33" t="str">
        <f t="array" ref="C338">IF(B338="", "", XLOOKUP(B338, Inventory!D:D,Inventory!E:E,"No Name Found"))</f>
        <v/>
      </c>
      <c r="D338" s="6"/>
      <c r="E338" s="6"/>
      <c r="F338" s="6"/>
      <c r="G338" s="24" t="str">
        <f>IF(F338="", "", VLOOKUP(F338, Inventory!A:BZ, 3, FALSE) - SUMIF($F$1:$F337, F338, $H$1:$H337))
</f>
        <v/>
      </c>
      <c r="I338" s="26"/>
      <c r="J338" s="26" t="s">
        <v>77</v>
      </c>
      <c r="L338" s="27" t="s">
        <v>77</v>
      </c>
      <c r="N338" s="28" t="s">
        <v>77</v>
      </c>
      <c r="Q338" s="30"/>
    </row>
    <row r="339">
      <c r="B339" s="6"/>
      <c r="C339" s="33" t="str">
        <f t="array" ref="C339">IF(B339="", "", XLOOKUP(B339, Inventory!D:D,Inventory!E:E,"No Name Found"))</f>
        <v/>
      </c>
      <c r="D339" s="6"/>
      <c r="E339" s="6"/>
      <c r="F339" s="6"/>
      <c r="G339" s="24" t="str">
        <f>IF(F339="", "", VLOOKUP(F339, Inventory!A:BZ, 3, FALSE) - SUMIF($F$1:$F338, F339, $H$1:$H338))
</f>
        <v/>
      </c>
      <c r="I339" s="26"/>
      <c r="J339" s="26" t="s">
        <v>77</v>
      </c>
      <c r="L339" s="27" t="s">
        <v>77</v>
      </c>
      <c r="N339" s="28" t="s">
        <v>77</v>
      </c>
      <c r="Q339" s="30"/>
    </row>
    <row r="340">
      <c r="B340" s="6"/>
      <c r="C340" s="33" t="str">
        <f t="array" ref="C340">IF(B340="", "", XLOOKUP(B340, Inventory!D:D,Inventory!E:E,"No Name Found"))</f>
        <v/>
      </c>
      <c r="D340" s="6"/>
      <c r="E340" s="6"/>
      <c r="F340" s="6"/>
      <c r="G340" s="24" t="str">
        <f>IF(F340="", "", VLOOKUP(F340, Inventory!A:BZ, 3, FALSE) - SUMIF($F$1:$F339, F340, $H$1:$H339))
</f>
        <v/>
      </c>
      <c r="I340" s="26"/>
      <c r="J340" s="26" t="s">
        <v>77</v>
      </c>
      <c r="L340" s="27" t="s">
        <v>77</v>
      </c>
      <c r="N340" s="28" t="s">
        <v>77</v>
      </c>
      <c r="Q340" s="30"/>
    </row>
    <row r="341">
      <c r="B341" s="6"/>
      <c r="C341" s="33" t="str">
        <f t="array" ref="C341">IF(B341="", "", XLOOKUP(B341, Inventory!D:D,Inventory!E:E,"No Name Found"))</f>
        <v/>
      </c>
      <c r="D341" s="6"/>
      <c r="E341" s="6"/>
      <c r="F341" s="6"/>
      <c r="G341" s="24" t="str">
        <f>IF(F341="", "", VLOOKUP(F341, Inventory!A:BZ, 3, FALSE) - SUMIF($F$1:$F340, F341, $H$1:$H340))
</f>
        <v/>
      </c>
      <c r="I341" s="26"/>
      <c r="J341" s="26" t="s">
        <v>77</v>
      </c>
      <c r="L341" s="27" t="s">
        <v>77</v>
      </c>
      <c r="N341" s="28" t="s">
        <v>77</v>
      </c>
      <c r="Q341" s="30"/>
    </row>
    <row r="342">
      <c r="B342" s="6"/>
      <c r="C342" s="33" t="str">
        <f t="array" ref="C342">IF(B342="", "", XLOOKUP(B342, Inventory!D:D,Inventory!E:E,"No Name Found"))</f>
        <v/>
      </c>
      <c r="D342" s="6"/>
      <c r="E342" s="6"/>
      <c r="F342" s="6"/>
      <c r="G342" s="24" t="str">
        <f>IF(F342="", "", VLOOKUP(F342, Inventory!A:BZ, 3, FALSE) - SUMIF($F$1:$F341, F342, $H$1:$H341))
</f>
        <v/>
      </c>
      <c r="I342" s="26"/>
      <c r="J342" s="26" t="s">
        <v>77</v>
      </c>
      <c r="L342" s="27" t="s">
        <v>77</v>
      </c>
      <c r="N342" s="28" t="s">
        <v>77</v>
      </c>
      <c r="Q342" s="30"/>
    </row>
    <row r="343">
      <c r="B343" s="6"/>
      <c r="C343" s="33" t="str">
        <f t="array" ref="C343">IF(B343="", "", XLOOKUP(B343, Inventory!D:D,Inventory!E:E,"No Name Found"))</f>
        <v/>
      </c>
      <c r="D343" s="6"/>
      <c r="E343" s="6"/>
      <c r="F343" s="6"/>
      <c r="G343" s="24" t="str">
        <f>IF(F343="", "", VLOOKUP(F343, Inventory!A:BZ, 3, FALSE) - SUMIF($F$1:$F342, F343, $H$1:$H342))
</f>
        <v/>
      </c>
      <c r="I343" s="26"/>
      <c r="J343" s="26" t="s">
        <v>77</v>
      </c>
      <c r="L343" s="27" t="s">
        <v>77</v>
      </c>
      <c r="N343" s="28" t="s">
        <v>77</v>
      </c>
      <c r="Q343" s="30"/>
    </row>
    <row r="344">
      <c r="B344" s="6"/>
      <c r="C344" s="33" t="str">
        <f t="array" ref="C344">IF(B344="", "", XLOOKUP(B344, Inventory!D:D,Inventory!E:E,"No Name Found"))</f>
        <v/>
      </c>
      <c r="D344" s="6"/>
      <c r="E344" s="6"/>
      <c r="F344" s="6"/>
      <c r="G344" s="24" t="str">
        <f>IF(F344="", "", VLOOKUP(F344, Inventory!A:BZ, 3, FALSE) - SUMIF($F$1:$F343, F344, $H$1:$H343))
</f>
        <v/>
      </c>
      <c r="I344" s="26"/>
      <c r="J344" s="26" t="s">
        <v>77</v>
      </c>
      <c r="L344" s="27" t="s">
        <v>77</v>
      </c>
      <c r="N344" s="28" t="s">
        <v>77</v>
      </c>
      <c r="Q344" s="30"/>
    </row>
    <row r="345">
      <c r="B345" s="6"/>
      <c r="C345" s="33" t="str">
        <f t="array" ref="C345">IF(B345="", "", XLOOKUP(B345, Inventory!D:D,Inventory!E:E,"No Name Found"))</f>
        <v/>
      </c>
      <c r="D345" s="6"/>
      <c r="E345" s="6"/>
      <c r="F345" s="6"/>
      <c r="G345" s="24" t="str">
        <f>IF(F345="", "", VLOOKUP(F345, Inventory!A:BZ, 3, FALSE) - SUMIF($F$1:$F344, F345, $H$1:$H344))
</f>
        <v/>
      </c>
      <c r="I345" s="26"/>
      <c r="J345" s="26" t="s">
        <v>77</v>
      </c>
      <c r="L345" s="27" t="s">
        <v>77</v>
      </c>
      <c r="N345" s="28" t="s">
        <v>77</v>
      </c>
      <c r="Q345" s="30"/>
    </row>
    <row r="346">
      <c r="B346" s="6"/>
      <c r="C346" s="33" t="str">
        <f t="array" ref="C346">IF(B346="", "", XLOOKUP(B346, Inventory!D:D,Inventory!E:E,"No Name Found"))</f>
        <v/>
      </c>
      <c r="D346" s="6"/>
      <c r="E346" s="6"/>
      <c r="F346" s="6"/>
      <c r="G346" s="24" t="str">
        <f>IF(F346="", "", VLOOKUP(F346, Inventory!A:BZ, 3, FALSE) - SUMIF($F$1:$F345, F346, $H$1:$H345))
</f>
        <v/>
      </c>
      <c r="I346" s="26"/>
      <c r="J346" s="26" t="s">
        <v>77</v>
      </c>
      <c r="L346" s="27" t="s">
        <v>77</v>
      </c>
      <c r="N346" s="28" t="s">
        <v>77</v>
      </c>
      <c r="Q346" s="30"/>
    </row>
    <row r="347">
      <c r="B347" s="6"/>
      <c r="C347" s="33" t="str">
        <f t="array" ref="C347">IF(B347="", "", XLOOKUP(B347, Inventory!D:D,Inventory!E:E,"No Name Found"))</f>
        <v/>
      </c>
      <c r="D347" s="6"/>
      <c r="E347" s="6"/>
      <c r="F347" s="6"/>
      <c r="G347" s="24" t="str">
        <f>IF(F347="", "", VLOOKUP(F347, Inventory!A:BZ, 3, FALSE) - SUMIF($F$1:$F346, F347, $H$1:$H346))
</f>
        <v/>
      </c>
      <c r="I347" s="26"/>
      <c r="J347" s="26" t="s">
        <v>77</v>
      </c>
      <c r="L347" s="27" t="s">
        <v>77</v>
      </c>
      <c r="N347" s="28" t="s">
        <v>77</v>
      </c>
      <c r="Q347" s="30"/>
    </row>
    <row r="348">
      <c r="B348" s="6"/>
      <c r="C348" s="33" t="str">
        <f t="array" ref="C348">IF(B348="", "", XLOOKUP(B348, Inventory!D:D,Inventory!E:E,"No Name Found"))</f>
        <v/>
      </c>
      <c r="D348" s="6"/>
      <c r="E348" s="6"/>
      <c r="F348" s="6"/>
      <c r="G348" s="24" t="str">
        <f>IF(F348="", "", VLOOKUP(F348, Inventory!A:BZ, 3, FALSE) - SUMIF($F$1:$F347, F348, $H$1:$H347))
</f>
        <v/>
      </c>
      <c r="I348" s="26"/>
      <c r="J348" s="26" t="s">
        <v>77</v>
      </c>
      <c r="L348" s="27" t="s">
        <v>77</v>
      </c>
      <c r="N348" s="28" t="s">
        <v>77</v>
      </c>
      <c r="Q348" s="30"/>
    </row>
    <row r="349">
      <c r="B349" s="6"/>
      <c r="C349" s="33" t="str">
        <f t="array" ref="C349">IF(B349="", "", XLOOKUP(B349, Inventory!D:D,Inventory!E:E,"No Name Found"))</f>
        <v/>
      </c>
      <c r="D349" s="6"/>
      <c r="E349" s="6"/>
      <c r="F349" s="6"/>
      <c r="G349" s="24" t="str">
        <f>IF(F349="", "", VLOOKUP(F349, Inventory!A:BZ, 3, FALSE) - SUMIF($F$1:$F348, F349, $H$1:$H348))
</f>
        <v/>
      </c>
      <c r="I349" s="26"/>
      <c r="J349" s="26" t="s">
        <v>77</v>
      </c>
      <c r="L349" s="27" t="s">
        <v>77</v>
      </c>
      <c r="N349" s="28" t="s">
        <v>77</v>
      </c>
      <c r="Q349" s="30"/>
    </row>
    <row r="350">
      <c r="B350" s="6"/>
      <c r="C350" s="33" t="str">
        <f t="array" ref="C350">IF(B350="", "", XLOOKUP(B350, Inventory!D:D,Inventory!E:E,"No Name Found"))</f>
        <v/>
      </c>
      <c r="D350" s="6"/>
      <c r="E350" s="6"/>
      <c r="F350" s="6"/>
      <c r="G350" s="24" t="str">
        <f>IF(F350="", "", VLOOKUP(F350, Inventory!A:BZ, 3, FALSE) - SUMIF($F$1:$F349, F350, $H$1:$H349))
</f>
        <v/>
      </c>
      <c r="I350" s="26"/>
      <c r="J350" s="26" t="s">
        <v>77</v>
      </c>
      <c r="L350" s="27" t="s">
        <v>77</v>
      </c>
      <c r="N350" s="28" t="s">
        <v>77</v>
      </c>
      <c r="Q350" s="30"/>
    </row>
    <row r="351">
      <c r="B351" s="6"/>
      <c r="C351" s="33" t="str">
        <f t="array" ref="C351">IF(B351="", "", XLOOKUP(B351, Inventory!D:D,Inventory!E:E,"No Name Found"))</f>
        <v/>
      </c>
      <c r="D351" s="6"/>
      <c r="E351" s="6"/>
      <c r="F351" s="6"/>
      <c r="G351" s="24" t="str">
        <f>IF(F351="", "", VLOOKUP(F351, Inventory!A:BZ, 3, FALSE) - SUMIF($F$1:$F350, F351, $H$1:$H350))
</f>
        <v/>
      </c>
      <c r="I351" s="26"/>
      <c r="J351" s="26" t="s">
        <v>77</v>
      </c>
      <c r="L351" s="27" t="s">
        <v>77</v>
      </c>
      <c r="N351" s="28" t="s">
        <v>77</v>
      </c>
      <c r="Q351" s="30"/>
    </row>
    <row r="352">
      <c r="B352" s="6"/>
      <c r="C352" s="33" t="str">
        <f t="array" ref="C352">IF(B352="", "", XLOOKUP(B352, Inventory!D:D,Inventory!E:E,"No Name Found"))</f>
        <v/>
      </c>
      <c r="D352" s="6"/>
      <c r="E352" s="6"/>
      <c r="F352" s="6"/>
      <c r="G352" s="24" t="str">
        <f>IF(F352="", "", VLOOKUP(F352, Inventory!A:BZ, 3, FALSE) - SUMIF($F$1:$F351, F352, $H$1:$H351))
</f>
        <v/>
      </c>
      <c r="I352" s="26"/>
      <c r="J352" s="26" t="s">
        <v>77</v>
      </c>
      <c r="L352" s="27" t="s">
        <v>77</v>
      </c>
      <c r="N352" s="28" t="s">
        <v>77</v>
      </c>
      <c r="Q352" s="30"/>
    </row>
    <row r="353">
      <c r="B353" s="6"/>
      <c r="C353" s="33" t="str">
        <f t="array" ref="C353">IF(B353="", "", XLOOKUP(B353, Inventory!D:D,Inventory!E:E,"No Name Found"))</f>
        <v/>
      </c>
      <c r="D353" s="6"/>
      <c r="E353" s="6"/>
      <c r="F353" s="6"/>
      <c r="G353" s="24" t="str">
        <f>IF(F353="", "", VLOOKUP(F353, Inventory!A:BZ, 3, FALSE) - SUMIF($F$1:$F352, F353, $H$1:$H352))
</f>
        <v/>
      </c>
      <c r="I353" s="26"/>
      <c r="J353" s="26" t="s">
        <v>77</v>
      </c>
      <c r="L353" s="27" t="s">
        <v>77</v>
      </c>
      <c r="N353" s="28" t="s">
        <v>77</v>
      </c>
      <c r="Q353" s="30"/>
    </row>
    <row r="354">
      <c r="B354" s="6"/>
      <c r="C354" s="33" t="str">
        <f t="array" ref="C354">IF(B354="", "", XLOOKUP(B354, Inventory!D:D,Inventory!E:E,"No Name Found"))</f>
        <v/>
      </c>
      <c r="D354" s="6"/>
      <c r="E354" s="6"/>
      <c r="F354" s="6"/>
      <c r="G354" s="24" t="str">
        <f>IF(F354="", "", VLOOKUP(F354, Inventory!A:BZ, 3, FALSE) - SUMIF($F$1:$F353, F354, $H$1:$H353))
</f>
        <v/>
      </c>
      <c r="I354" s="26"/>
      <c r="J354" s="26" t="s">
        <v>77</v>
      </c>
      <c r="L354" s="27" t="s">
        <v>77</v>
      </c>
      <c r="N354" s="28" t="s">
        <v>77</v>
      </c>
      <c r="Q354" s="30"/>
    </row>
    <row r="355">
      <c r="B355" s="6"/>
      <c r="C355" s="33" t="str">
        <f t="array" ref="C355">IF(B355="", "", XLOOKUP(B355, Inventory!D:D,Inventory!E:E,"No Name Found"))</f>
        <v/>
      </c>
      <c r="D355" s="6"/>
      <c r="E355" s="6"/>
      <c r="F355" s="6"/>
      <c r="G355" s="24" t="str">
        <f>IF(F355="", "", VLOOKUP(F355, Inventory!A:BZ, 3, FALSE) - SUMIF($F$1:$F354, F355, $H$1:$H354))
</f>
        <v/>
      </c>
      <c r="I355" s="26"/>
      <c r="J355" s="26" t="s">
        <v>77</v>
      </c>
      <c r="L355" s="27" t="s">
        <v>77</v>
      </c>
      <c r="N355" s="28" t="s">
        <v>77</v>
      </c>
      <c r="Q355" s="30"/>
    </row>
    <row r="356">
      <c r="B356" s="6"/>
      <c r="C356" s="33" t="str">
        <f t="array" ref="C356">IF(B356="", "", XLOOKUP(B356, Inventory!D:D,Inventory!E:E,"No Name Found"))</f>
        <v/>
      </c>
      <c r="D356" s="6"/>
      <c r="E356" s="6"/>
      <c r="F356" s="6"/>
      <c r="G356" s="24" t="str">
        <f>IF(F356="", "", VLOOKUP(F356, Inventory!A:BZ, 3, FALSE) - SUMIF($F$1:$F355, F356, $H$1:$H355))
</f>
        <v/>
      </c>
      <c r="I356" s="26"/>
      <c r="J356" s="26" t="s">
        <v>77</v>
      </c>
      <c r="L356" s="27" t="s">
        <v>77</v>
      </c>
      <c r="N356" s="28" t="s">
        <v>77</v>
      </c>
      <c r="Q356" s="30"/>
    </row>
    <row r="357">
      <c r="B357" s="6"/>
      <c r="C357" s="33" t="str">
        <f t="array" ref="C357">IF(B357="", "", XLOOKUP(B357, Inventory!D:D,Inventory!E:E,"No Name Found"))</f>
        <v/>
      </c>
      <c r="D357" s="6"/>
      <c r="E357" s="6"/>
      <c r="F357" s="6"/>
      <c r="G357" s="24" t="str">
        <f>IF(F357="", "", VLOOKUP(F357, Inventory!A:BZ, 3, FALSE) - SUMIF($F$1:$F356, F357, $H$1:$H356))
</f>
        <v/>
      </c>
      <c r="I357" s="26"/>
      <c r="J357" s="26" t="s">
        <v>77</v>
      </c>
      <c r="L357" s="27" t="s">
        <v>77</v>
      </c>
      <c r="N357" s="28" t="s">
        <v>77</v>
      </c>
      <c r="Q357" s="30"/>
    </row>
    <row r="358">
      <c r="B358" s="6"/>
      <c r="C358" s="33" t="str">
        <f t="array" ref="C358">IF(B358="", "", XLOOKUP(B358, Inventory!D:D,Inventory!E:E,"No Name Found"))</f>
        <v/>
      </c>
      <c r="D358" s="6"/>
      <c r="E358" s="6"/>
      <c r="F358" s="6"/>
      <c r="G358" s="24" t="str">
        <f>IF(F358="", "", VLOOKUP(F358, Inventory!A:BZ, 3, FALSE) - SUMIF($F$1:$F357, F358, $H$1:$H357))
</f>
        <v/>
      </c>
      <c r="I358" s="26"/>
      <c r="J358" s="26" t="s">
        <v>77</v>
      </c>
      <c r="L358" s="27" t="s">
        <v>77</v>
      </c>
      <c r="N358" s="28" t="s">
        <v>77</v>
      </c>
      <c r="Q358" s="30"/>
    </row>
    <row r="359">
      <c r="B359" s="6"/>
      <c r="C359" s="33" t="str">
        <f t="array" ref="C359">IF(B359="", "", XLOOKUP(B359, Inventory!D:D,Inventory!E:E,"No Name Found"))</f>
        <v/>
      </c>
      <c r="D359" s="6"/>
      <c r="E359" s="6"/>
      <c r="F359" s="6"/>
      <c r="G359" s="24" t="str">
        <f>IF(F359="", "", VLOOKUP(F359, Inventory!A:BZ, 3, FALSE) - SUMIF($F$1:$F358, F359, $H$1:$H358))
</f>
        <v/>
      </c>
      <c r="I359" s="26"/>
      <c r="J359" s="26" t="s">
        <v>77</v>
      </c>
      <c r="L359" s="27" t="s">
        <v>77</v>
      </c>
      <c r="N359" s="28" t="s">
        <v>77</v>
      </c>
      <c r="Q359" s="30"/>
    </row>
    <row r="360">
      <c r="B360" s="6"/>
      <c r="C360" s="33" t="str">
        <f t="array" ref="C360">IF(B360="", "", XLOOKUP(B360, Inventory!D:D,Inventory!E:E,"No Name Found"))</f>
        <v/>
      </c>
      <c r="D360" s="6"/>
      <c r="E360" s="6"/>
      <c r="F360" s="6"/>
      <c r="G360" s="24" t="str">
        <f>IF(F360="", "", VLOOKUP(F360, Inventory!A:BZ, 3, FALSE) - SUMIF($F$1:$F359, F360, $H$1:$H359))
</f>
        <v/>
      </c>
      <c r="I360" s="26"/>
      <c r="J360" s="26" t="s">
        <v>77</v>
      </c>
      <c r="L360" s="27" t="s">
        <v>77</v>
      </c>
      <c r="N360" s="28" t="s">
        <v>77</v>
      </c>
      <c r="Q360" s="30"/>
    </row>
    <row r="361">
      <c r="B361" s="6"/>
      <c r="C361" s="33" t="str">
        <f t="array" ref="C361">IF(B361="", "", XLOOKUP(B361, Inventory!D:D,Inventory!E:E,"No Name Found"))</f>
        <v/>
      </c>
      <c r="D361" s="6"/>
      <c r="E361" s="6"/>
      <c r="F361" s="6"/>
      <c r="G361" s="24" t="str">
        <f>IF(F361="", "", VLOOKUP(F361, Inventory!A:BZ, 3, FALSE) - SUMIF($F$1:$F360, F361, $H$1:$H360))
</f>
        <v/>
      </c>
      <c r="I361" s="26"/>
      <c r="J361" s="26" t="s">
        <v>77</v>
      </c>
      <c r="L361" s="27" t="s">
        <v>77</v>
      </c>
      <c r="N361" s="28" t="s">
        <v>77</v>
      </c>
      <c r="Q361" s="30"/>
    </row>
    <row r="362">
      <c r="B362" s="6"/>
      <c r="C362" s="33" t="str">
        <f t="array" ref="C362">IF(B362="", "", XLOOKUP(B362, Inventory!D:D,Inventory!E:E,"No Name Found"))</f>
        <v/>
      </c>
      <c r="D362" s="6"/>
      <c r="E362" s="6"/>
      <c r="F362" s="6"/>
      <c r="G362" s="24" t="str">
        <f>IF(F362="", "", VLOOKUP(F362, Inventory!A:BZ, 3, FALSE) - SUMIF($F$1:$F361, F362, $H$1:$H361))
</f>
        <v/>
      </c>
      <c r="I362" s="26"/>
      <c r="J362" s="26" t="s">
        <v>77</v>
      </c>
      <c r="L362" s="27" t="s">
        <v>77</v>
      </c>
      <c r="N362" s="28" t="s">
        <v>77</v>
      </c>
      <c r="Q362" s="30"/>
    </row>
    <row r="363">
      <c r="B363" s="6"/>
      <c r="C363" s="33" t="str">
        <f t="array" ref="C363">IF(B363="", "", XLOOKUP(B363, Inventory!D:D,Inventory!E:E,"No Name Found"))</f>
        <v/>
      </c>
      <c r="D363" s="6"/>
      <c r="E363" s="6"/>
      <c r="F363" s="6"/>
      <c r="G363" s="24" t="str">
        <f>IF(F363="", "", VLOOKUP(F363, Inventory!A:BZ, 3, FALSE) - SUMIF($F$1:$F362, F363, $H$1:$H362))
</f>
        <v/>
      </c>
      <c r="I363" s="26"/>
      <c r="J363" s="26" t="s">
        <v>77</v>
      </c>
      <c r="L363" s="27" t="s">
        <v>77</v>
      </c>
      <c r="N363" s="28" t="s">
        <v>77</v>
      </c>
      <c r="Q363" s="30"/>
    </row>
    <row r="364">
      <c r="B364" s="6"/>
      <c r="C364" s="33" t="str">
        <f t="array" ref="C364">IF(B364="", "", XLOOKUP(B364, Inventory!D:D,Inventory!E:E,"No Name Found"))</f>
        <v/>
      </c>
      <c r="D364" s="6"/>
      <c r="E364" s="6"/>
      <c r="F364" s="6"/>
      <c r="G364" s="24" t="str">
        <f>IF(F364="", "", VLOOKUP(F364, Inventory!A:BZ, 3, FALSE) - SUMIF($F$1:$F363, F364, $H$1:$H363))
</f>
        <v/>
      </c>
      <c r="I364" s="26"/>
      <c r="J364" s="26" t="s">
        <v>77</v>
      </c>
      <c r="L364" s="27" t="s">
        <v>77</v>
      </c>
      <c r="N364" s="28" t="s">
        <v>77</v>
      </c>
      <c r="Q364" s="30"/>
    </row>
    <row r="365">
      <c r="B365" s="6"/>
      <c r="C365" s="33" t="str">
        <f t="array" ref="C365">IF(B365="", "", XLOOKUP(B365, Inventory!D:D,Inventory!E:E,"No Name Found"))</f>
        <v/>
      </c>
      <c r="D365" s="6"/>
      <c r="E365" s="6"/>
      <c r="F365" s="6"/>
      <c r="G365" s="24" t="str">
        <f>IF(F365="", "", VLOOKUP(F365, Inventory!A:BZ, 3, FALSE) - SUMIF($F$1:$F364, F365, $H$1:$H364))
</f>
        <v/>
      </c>
      <c r="I365" s="26"/>
      <c r="J365" s="26" t="s">
        <v>77</v>
      </c>
      <c r="L365" s="27" t="s">
        <v>77</v>
      </c>
      <c r="N365" s="28" t="s">
        <v>77</v>
      </c>
      <c r="Q365" s="30"/>
    </row>
    <row r="366">
      <c r="B366" s="6"/>
      <c r="C366" s="33" t="str">
        <f t="array" ref="C366">IF(B366="", "", XLOOKUP(B366, Inventory!D:D,Inventory!E:E,"No Name Found"))</f>
        <v/>
      </c>
      <c r="D366" s="6"/>
      <c r="E366" s="6"/>
      <c r="F366" s="6"/>
      <c r="G366" s="24" t="str">
        <f>IF(F366="", "", VLOOKUP(F366, Inventory!A:BZ, 3, FALSE) - SUMIF($F$1:$F365, F366, $H$1:$H365))
</f>
        <v/>
      </c>
      <c r="I366" s="26"/>
      <c r="J366" s="26" t="s">
        <v>77</v>
      </c>
      <c r="L366" s="27" t="s">
        <v>77</v>
      </c>
      <c r="N366" s="28" t="s">
        <v>77</v>
      </c>
      <c r="Q366" s="30"/>
    </row>
    <row r="367">
      <c r="B367" s="6"/>
      <c r="C367" s="33" t="str">
        <f t="array" ref="C367">IF(B367="", "", XLOOKUP(B367, Inventory!D:D,Inventory!E:E,"No Name Found"))</f>
        <v/>
      </c>
      <c r="D367" s="6"/>
      <c r="E367" s="6"/>
      <c r="F367" s="6"/>
      <c r="G367" s="24" t="str">
        <f>IF(F367="", "", VLOOKUP(F367, Inventory!A:BZ, 3, FALSE) - SUMIF($F$1:$F366, F367, $H$1:$H366))
</f>
        <v/>
      </c>
      <c r="I367" s="26"/>
      <c r="J367" s="26" t="s">
        <v>77</v>
      </c>
      <c r="L367" s="27" t="s">
        <v>77</v>
      </c>
      <c r="N367" s="28" t="s">
        <v>77</v>
      </c>
      <c r="Q367" s="30"/>
    </row>
    <row r="368">
      <c r="B368" s="6"/>
      <c r="C368" s="33" t="str">
        <f t="array" ref="C368">IF(B368="", "", XLOOKUP(B368, Inventory!D:D,Inventory!E:E,"No Name Found"))</f>
        <v/>
      </c>
      <c r="D368" s="6"/>
      <c r="E368" s="6"/>
      <c r="F368" s="6"/>
      <c r="G368" s="24" t="str">
        <f>IF(F368="", "", VLOOKUP(F368, Inventory!A:BZ, 3, FALSE) - SUMIF($F$1:$F367, F368, $H$1:$H367))
</f>
        <v/>
      </c>
      <c r="I368" s="26"/>
      <c r="J368" s="26" t="s">
        <v>77</v>
      </c>
      <c r="L368" s="27" t="s">
        <v>77</v>
      </c>
      <c r="N368" s="28" t="s">
        <v>77</v>
      </c>
      <c r="Q368" s="30"/>
    </row>
    <row r="369">
      <c r="B369" s="6"/>
      <c r="C369" s="33" t="str">
        <f t="array" ref="C369">IF(B369="", "", XLOOKUP(B369, Inventory!D:D,Inventory!E:E,"No Name Found"))</f>
        <v/>
      </c>
      <c r="D369" s="6"/>
      <c r="E369" s="6"/>
      <c r="F369" s="6"/>
      <c r="G369" s="24" t="str">
        <f>IF(F369="", "", VLOOKUP(F369, Inventory!A:BZ, 3, FALSE) - SUMIF($F$1:$F368, F369, $H$1:$H368))
</f>
        <v/>
      </c>
      <c r="I369" s="26"/>
      <c r="J369" s="26" t="s">
        <v>77</v>
      </c>
      <c r="L369" s="27" t="s">
        <v>77</v>
      </c>
      <c r="N369" s="28" t="s">
        <v>77</v>
      </c>
      <c r="Q369" s="30"/>
    </row>
    <row r="370">
      <c r="B370" s="6"/>
      <c r="C370" s="33" t="str">
        <f t="array" ref="C370">IF(B370="", "", XLOOKUP(B370, Inventory!D:D,Inventory!E:E,"No Name Found"))</f>
        <v/>
      </c>
      <c r="D370" s="6"/>
      <c r="E370" s="6"/>
      <c r="F370" s="6"/>
      <c r="G370" s="24" t="str">
        <f>IF(F370="", "", VLOOKUP(F370, Inventory!A:BZ, 3, FALSE) - SUMIF($F$1:$F369, F370, $H$1:$H369))
</f>
        <v/>
      </c>
      <c r="I370" s="26"/>
      <c r="J370" s="26" t="s">
        <v>77</v>
      </c>
      <c r="L370" s="27" t="s">
        <v>77</v>
      </c>
      <c r="N370" s="28" t="s">
        <v>77</v>
      </c>
      <c r="Q370" s="30"/>
    </row>
    <row r="371">
      <c r="B371" s="6"/>
      <c r="C371" s="33" t="str">
        <f t="array" ref="C371">IF(B371="", "", XLOOKUP(B371, Inventory!D:D,Inventory!E:E,"No Name Found"))</f>
        <v/>
      </c>
      <c r="D371" s="6"/>
      <c r="E371" s="6"/>
      <c r="F371" s="6"/>
      <c r="G371" s="24" t="str">
        <f>IF(F371="", "", VLOOKUP(F371, Inventory!A:BZ, 3, FALSE) - SUMIF($F$1:$F370, F371, $H$1:$H370))
</f>
        <v/>
      </c>
      <c r="I371" s="26"/>
      <c r="J371" s="26" t="s">
        <v>77</v>
      </c>
      <c r="L371" s="27" t="s">
        <v>77</v>
      </c>
      <c r="N371" s="28" t="s">
        <v>77</v>
      </c>
      <c r="Q371" s="30"/>
    </row>
    <row r="372">
      <c r="B372" s="6"/>
      <c r="C372" s="33" t="str">
        <f t="array" ref="C372">IF(B372="", "", XLOOKUP(B372, Inventory!D:D,Inventory!E:E,"No Name Found"))</f>
        <v/>
      </c>
      <c r="D372" s="6"/>
      <c r="E372" s="6"/>
      <c r="F372" s="6"/>
      <c r="G372" s="24" t="str">
        <f>IF(F372="", "", VLOOKUP(F372, Inventory!A:BZ, 3, FALSE) - SUMIF($F$1:$F371, F372, $H$1:$H371))
</f>
        <v/>
      </c>
      <c r="I372" s="26"/>
      <c r="J372" s="26" t="s">
        <v>77</v>
      </c>
      <c r="L372" s="27" t="s">
        <v>77</v>
      </c>
      <c r="N372" s="28" t="s">
        <v>77</v>
      </c>
      <c r="Q372" s="30"/>
    </row>
    <row r="373">
      <c r="B373" s="6"/>
      <c r="C373" s="33" t="str">
        <f t="array" ref="C373">IF(B373="", "", XLOOKUP(B373, Inventory!D:D,Inventory!E:E,"No Name Found"))</f>
        <v/>
      </c>
      <c r="D373" s="6"/>
      <c r="E373" s="6"/>
      <c r="F373" s="6"/>
      <c r="G373" s="24" t="str">
        <f>IF(F373="", "", VLOOKUP(F373, Inventory!A:BZ, 3, FALSE) - SUMIF($F$1:$F372, F373, $H$1:$H372))
</f>
        <v/>
      </c>
      <c r="I373" s="26"/>
      <c r="J373" s="26" t="s">
        <v>77</v>
      </c>
      <c r="L373" s="27" t="s">
        <v>77</v>
      </c>
      <c r="N373" s="28" t="s">
        <v>77</v>
      </c>
      <c r="Q373" s="30"/>
    </row>
    <row r="374">
      <c r="B374" s="6"/>
      <c r="C374" s="33" t="str">
        <f t="array" ref="C374">IF(B374="", "", XLOOKUP(B374, Inventory!D:D,Inventory!E:E,"No Name Found"))</f>
        <v/>
      </c>
      <c r="D374" s="6"/>
      <c r="E374" s="6"/>
      <c r="F374" s="6"/>
      <c r="G374" s="24" t="str">
        <f>IF(F374="", "", VLOOKUP(F374, Inventory!A:BZ, 3, FALSE) - SUMIF($F$1:$F373, F374, $H$1:$H373))
</f>
        <v/>
      </c>
      <c r="I374" s="26"/>
      <c r="J374" s="26" t="s">
        <v>77</v>
      </c>
      <c r="L374" s="27" t="s">
        <v>77</v>
      </c>
      <c r="N374" s="28" t="s">
        <v>77</v>
      </c>
      <c r="Q374" s="30"/>
    </row>
    <row r="375">
      <c r="B375" s="6"/>
      <c r="C375" s="33" t="str">
        <f t="array" ref="C375">IF(B375="", "", XLOOKUP(B375, Inventory!D:D,Inventory!E:E,"No Name Found"))</f>
        <v/>
      </c>
      <c r="D375" s="6"/>
      <c r="E375" s="6"/>
      <c r="F375" s="6"/>
      <c r="G375" s="24" t="str">
        <f>IF(F375="", "", VLOOKUP(F375, Inventory!A:BZ, 3, FALSE) - SUMIF($F$1:$F374, F375, $H$1:$H374))
</f>
        <v/>
      </c>
      <c r="I375" s="26"/>
      <c r="J375" s="26" t="s">
        <v>77</v>
      </c>
      <c r="L375" s="27" t="s">
        <v>77</v>
      </c>
      <c r="N375" s="28" t="s">
        <v>77</v>
      </c>
      <c r="Q375" s="30"/>
    </row>
    <row r="376">
      <c r="B376" s="6"/>
      <c r="C376" s="33" t="str">
        <f t="array" ref="C376">IF(B376="", "", XLOOKUP(B376, Inventory!D:D,Inventory!E:E,"No Name Found"))</f>
        <v/>
      </c>
      <c r="D376" s="6"/>
      <c r="E376" s="6"/>
      <c r="F376" s="6"/>
      <c r="G376" s="24" t="str">
        <f>IF(F376="", "", VLOOKUP(F376, Inventory!A:BZ, 3, FALSE) - SUMIF($F$1:$F375, F376, $H$1:$H375))
</f>
        <v/>
      </c>
      <c r="I376" s="26"/>
      <c r="J376" s="26" t="s">
        <v>77</v>
      </c>
      <c r="L376" s="27" t="s">
        <v>77</v>
      </c>
      <c r="N376" s="28" t="s">
        <v>77</v>
      </c>
      <c r="Q376" s="30"/>
    </row>
    <row r="377">
      <c r="B377" s="6"/>
      <c r="C377" s="33" t="str">
        <f t="array" ref="C377">IF(B377="", "", XLOOKUP(B377, Inventory!D:D,Inventory!E:E,"No Name Found"))</f>
        <v/>
      </c>
      <c r="D377" s="6"/>
      <c r="E377" s="6"/>
      <c r="F377" s="6"/>
      <c r="G377" s="24" t="str">
        <f>IF(F377="", "", VLOOKUP(F377, Inventory!A:BZ, 3, FALSE) - SUMIF($F$1:$F376, F377, $H$1:$H376))
</f>
        <v/>
      </c>
      <c r="I377" s="26"/>
      <c r="J377" s="26" t="s">
        <v>77</v>
      </c>
      <c r="L377" s="27" t="s">
        <v>77</v>
      </c>
      <c r="N377" s="28" t="s">
        <v>77</v>
      </c>
      <c r="Q377" s="30"/>
    </row>
    <row r="378">
      <c r="B378" s="6"/>
      <c r="C378" s="33" t="str">
        <f t="array" ref="C378">IF(B378="", "", XLOOKUP(B378, Inventory!D:D,Inventory!E:E,"No Name Found"))</f>
        <v/>
      </c>
      <c r="D378" s="6"/>
      <c r="E378" s="6"/>
      <c r="F378" s="6"/>
      <c r="G378" s="24" t="str">
        <f>IF(F378="", "", VLOOKUP(F378, Inventory!A:BZ, 3, FALSE) - SUMIF($F$1:$F377, F378, $H$1:$H377))
</f>
        <v/>
      </c>
      <c r="I378" s="26"/>
      <c r="J378" s="26" t="s">
        <v>77</v>
      </c>
      <c r="L378" s="27" t="s">
        <v>77</v>
      </c>
      <c r="N378" s="28" t="s">
        <v>77</v>
      </c>
      <c r="Q378" s="30"/>
    </row>
    <row r="379">
      <c r="B379" s="6"/>
      <c r="C379" s="33" t="str">
        <f t="array" ref="C379">IF(B379="", "", XLOOKUP(B379, Inventory!D:D,Inventory!E:E,"No Name Found"))</f>
        <v/>
      </c>
      <c r="D379" s="6"/>
      <c r="E379" s="6"/>
      <c r="F379" s="6"/>
      <c r="G379" s="24" t="str">
        <f>IF(F379="", "", VLOOKUP(F379, Inventory!A:BZ, 3, FALSE) - SUMIF($F$1:$F378, F379, $H$1:$H378))
</f>
        <v/>
      </c>
      <c r="I379" s="26"/>
      <c r="J379" s="26" t="s">
        <v>77</v>
      </c>
      <c r="L379" s="27" t="s">
        <v>77</v>
      </c>
      <c r="N379" s="28" t="s">
        <v>77</v>
      </c>
      <c r="Q379" s="30"/>
    </row>
    <row r="380">
      <c r="B380" s="6"/>
      <c r="C380" s="33" t="str">
        <f t="array" ref="C380">IF(B380="", "", XLOOKUP(B380, Inventory!D:D,Inventory!E:E,"No Name Found"))</f>
        <v/>
      </c>
      <c r="D380" s="6"/>
      <c r="E380" s="6"/>
      <c r="F380" s="6"/>
      <c r="G380" s="24" t="str">
        <f>IF(F380="", "", VLOOKUP(F380, Inventory!A:BZ, 3, FALSE) - SUMIF($F$1:$F379, F380, $H$1:$H379))
</f>
        <v/>
      </c>
      <c r="I380" s="26"/>
      <c r="J380" s="26" t="s">
        <v>77</v>
      </c>
      <c r="L380" s="27" t="s">
        <v>77</v>
      </c>
      <c r="N380" s="28" t="s">
        <v>77</v>
      </c>
      <c r="Q380" s="30"/>
    </row>
    <row r="381">
      <c r="B381" s="6"/>
      <c r="C381" s="33" t="str">
        <f t="array" ref="C381">IF(B381="", "", XLOOKUP(B381, Inventory!D:D,Inventory!E:E,"No Name Found"))</f>
        <v/>
      </c>
      <c r="D381" s="6"/>
      <c r="E381" s="6"/>
      <c r="F381" s="6"/>
      <c r="G381" s="24" t="str">
        <f>IF(F381="", "", VLOOKUP(F381, Inventory!A:BZ, 3, FALSE) - SUMIF($F$1:$F380, F381, $H$1:$H380))
</f>
        <v/>
      </c>
      <c r="I381" s="26"/>
      <c r="J381" s="26" t="s">
        <v>77</v>
      </c>
      <c r="L381" s="27" t="s">
        <v>77</v>
      </c>
      <c r="N381" s="28" t="s">
        <v>77</v>
      </c>
      <c r="Q381" s="30"/>
    </row>
    <row r="382">
      <c r="B382" s="6"/>
      <c r="C382" s="33" t="str">
        <f t="array" ref="C382">IF(B382="", "", XLOOKUP(B382, Inventory!D:D,Inventory!E:E,"No Name Found"))</f>
        <v/>
      </c>
      <c r="D382" s="6"/>
      <c r="E382" s="6"/>
      <c r="F382" s="6"/>
      <c r="G382" s="24" t="str">
        <f>IF(F382="", "", VLOOKUP(F382, Inventory!A:BZ, 3, FALSE) - SUMIF($F$1:$F381, F382, $H$1:$H381))
</f>
        <v/>
      </c>
      <c r="I382" s="26"/>
      <c r="J382" s="26" t="s">
        <v>77</v>
      </c>
      <c r="L382" s="27" t="s">
        <v>77</v>
      </c>
      <c r="N382" s="28" t="s">
        <v>77</v>
      </c>
      <c r="Q382" s="30"/>
    </row>
    <row r="383">
      <c r="B383" s="6"/>
      <c r="C383" s="33" t="str">
        <f t="array" ref="C383">IF(B383="", "", XLOOKUP(B383, Inventory!D:D,Inventory!E:E,"No Name Found"))</f>
        <v/>
      </c>
      <c r="D383" s="6"/>
      <c r="E383" s="6"/>
      <c r="F383" s="6"/>
      <c r="G383" s="24" t="str">
        <f>IF(F383="", "", VLOOKUP(F383, Inventory!A:BZ, 3, FALSE) - SUMIF($F$1:$F382, F383, $H$1:$H382))
</f>
        <v/>
      </c>
      <c r="I383" s="26"/>
      <c r="J383" s="26" t="s">
        <v>77</v>
      </c>
      <c r="L383" s="27" t="s">
        <v>77</v>
      </c>
      <c r="N383" s="28" t="s">
        <v>77</v>
      </c>
      <c r="Q383" s="30"/>
    </row>
    <row r="384">
      <c r="B384" s="6"/>
      <c r="C384" s="33" t="str">
        <f t="array" ref="C384">IF(B384="", "", XLOOKUP(B384, Inventory!D:D,Inventory!E:E,"No Name Found"))</f>
        <v/>
      </c>
      <c r="D384" s="6"/>
      <c r="E384" s="6"/>
      <c r="F384" s="6"/>
      <c r="G384" s="24" t="str">
        <f>IF(F384="", "", VLOOKUP(F384, Inventory!A:BZ, 3, FALSE) - SUMIF($F$1:$F383, F384, $H$1:$H383))
</f>
        <v/>
      </c>
      <c r="I384" s="26"/>
      <c r="J384" s="26" t="s">
        <v>77</v>
      </c>
      <c r="L384" s="27" t="s">
        <v>77</v>
      </c>
      <c r="N384" s="28" t="s">
        <v>77</v>
      </c>
      <c r="Q384" s="30"/>
    </row>
    <row r="385">
      <c r="B385" s="6"/>
      <c r="C385" s="33" t="str">
        <f t="array" ref="C385">IF(B385="", "", XLOOKUP(B385, Inventory!D:D,Inventory!E:E,"No Name Found"))</f>
        <v/>
      </c>
      <c r="D385" s="6"/>
      <c r="E385" s="6"/>
      <c r="F385" s="6"/>
      <c r="G385" s="24" t="str">
        <f>IF(F385="", "", VLOOKUP(F385, Inventory!A:BZ, 3, FALSE) - SUMIF($F$1:$F384, F385, $H$1:$H384))
</f>
        <v/>
      </c>
      <c r="I385" s="26"/>
      <c r="J385" s="26" t="s">
        <v>77</v>
      </c>
      <c r="L385" s="27" t="s">
        <v>77</v>
      </c>
      <c r="N385" s="28" t="s">
        <v>77</v>
      </c>
      <c r="Q385" s="30"/>
    </row>
    <row r="386">
      <c r="B386" s="6"/>
      <c r="C386" s="33" t="str">
        <f t="array" ref="C386">IF(B386="", "", XLOOKUP(B386, Inventory!D:D,Inventory!E:E,"No Name Found"))</f>
        <v/>
      </c>
      <c r="D386" s="6"/>
      <c r="E386" s="6"/>
      <c r="F386" s="6"/>
      <c r="G386" s="24" t="str">
        <f>IF(F386="", "", VLOOKUP(F386, Inventory!A:BZ, 3, FALSE) - SUMIF($F$1:$F385, F386, $H$1:$H385))
</f>
        <v/>
      </c>
      <c r="I386" s="26"/>
      <c r="J386" s="26" t="s">
        <v>77</v>
      </c>
      <c r="L386" s="27" t="s">
        <v>77</v>
      </c>
      <c r="N386" s="28" t="s">
        <v>77</v>
      </c>
      <c r="Q386" s="30"/>
    </row>
    <row r="387">
      <c r="B387" s="6"/>
      <c r="C387" s="33" t="str">
        <f t="array" ref="C387">IF(B387="", "", XLOOKUP(B387, Inventory!D:D,Inventory!E:E,"No Name Found"))</f>
        <v/>
      </c>
      <c r="D387" s="6"/>
      <c r="E387" s="6"/>
      <c r="F387" s="6"/>
      <c r="G387" s="24" t="str">
        <f>IF(F387="", "", VLOOKUP(F387, Inventory!A:BZ, 3, FALSE) - SUMIF($F$1:$F386, F387, $H$1:$H386))
</f>
        <v/>
      </c>
      <c r="I387" s="26"/>
      <c r="J387" s="26" t="s">
        <v>77</v>
      </c>
      <c r="L387" s="27" t="s">
        <v>77</v>
      </c>
      <c r="N387" s="28" t="s">
        <v>77</v>
      </c>
      <c r="Q387" s="30"/>
    </row>
    <row r="388">
      <c r="B388" s="6"/>
      <c r="C388" s="33" t="str">
        <f t="array" ref="C388">IF(B388="", "", XLOOKUP(B388, Inventory!D:D,Inventory!E:E,"No Name Found"))</f>
        <v/>
      </c>
      <c r="D388" s="6"/>
      <c r="E388" s="6"/>
      <c r="F388" s="6"/>
      <c r="G388" s="24" t="str">
        <f>IF(F388="", "", VLOOKUP(F388, Inventory!A:BZ, 3, FALSE) - SUMIF($F$1:$F387, F388, $H$1:$H387))
</f>
        <v/>
      </c>
      <c r="I388" s="26"/>
      <c r="J388" s="26" t="s">
        <v>77</v>
      </c>
      <c r="L388" s="27" t="s">
        <v>77</v>
      </c>
      <c r="N388" s="28" t="s">
        <v>77</v>
      </c>
      <c r="Q388" s="30"/>
    </row>
    <row r="389">
      <c r="B389" s="6"/>
      <c r="C389" s="33" t="str">
        <f t="array" ref="C389">IF(B389="", "", XLOOKUP(B389, Inventory!D:D,Inventory!E:E,"No Name Found"))</f>
        <v/>
      </c>
      <c r="D389" s="6"/>
      <c r="E389" s="6"/>
      <c r="F389" s="6"/>
      <c r="G389" s="24" t="str">
        <f>IF(F389="", "", VLOOKUP(F389, Inventory!A:BZ, 3, FALSE) - SUMIF($F$1:$F388, F389, $H$1:$H388))
</f>
        <v/>
      </c>
      <c r="I389" s="26"/>
      <c r="J389" s="26" t="s">
        <v>77</v>
      </c>
      <c r="L389" s="27" t="s">
        <v>77</v>
      </c>
      <c r="N389" s="28" t="s">
        <v>77</v>
      </c>
      <c r="Q389" s="30"/>
    </row>
    <row r="390">
      <c r="B390" s="6"/>
      <c r="C390" s="33" t="str">
        <f t="array" ref="C390">IF(B390="", "", XLOOKUP(B390, Inventory!D:D,Inventory!E:E,"No Name Found"))</f>
        <v/>
      </c>
      <c r="D390" s="6"/>
      <c r="E390" s="6"/>
      <c r="F390" s="6"/>
      <c r="G390" s="24" t="str">
        <f>IF(F390="", "", VLOOKUP(F390, Inventory!A:BZ, 3, FALSE) - SUMIF($F$1:$F389, F390, $H$1:$H389))
</f>
        <v/>
      </c>
      <c r="I390" s="26"/>
      <c r="J390" s="26" t="s">
        <v>77</v>
      </c>
      <c r="L390" s="27" t="s">
        <v>77</v>
      </c>
      <c r="N390" s="28" t="s">
        <v>77</v>
      </c>
      <c r="Q390" s="30"/>
    </row>
    <row r="391">
      <c r="B391" s="6"/>
      <c r="C391" s="33" t="str">
        <f t="array" ref="C391">IF(B391="", "", XLOOKUP(B391, Inventory!D:D,Inventory!E:E,"No Name Found"))</f>
        <v/>
      </c>
      <c r="D391" s="6"/>
      <c r="E391" s="6"/>
      <c r="F391" s="6"/>
      <c r="G391" s="24" t="str">
        <f>IF(F391="", "", VLOOKUP(F391, Inventory!A:BZ, 3, FALSE) - SUMIF($F$1:$F390, F391, $H$1:$H390))
</f>
        <v/>
      </c>
      <c r="I391" s="26"/>
      <c r="J391" s="26" t="s">
        <v>77</v>
      </c>
      <c r="L391" s="27" t="s">
        <v>77</v>
      </c>
      <c r="N391" s="28" t="s">
        <v>77</v>
      </c>
      <c r="Q391" s="30"/>
    </row>
    <row r="392">
      <c r="B392" s="6"/>
      <c r="C392" s="33" t="str">
        <f t="array" ref="C392">IF(B392="", "", XLOOKUP(B392, Inventory!D:D,Inventory!E:E,"No Name Found"))</f>
        <v/>
      </c>
      <c r="D392" s="6"/>
      <c r="E392" s="6"/>
      <c r="F392" s="6"/>
      <c r="G392" s="24" t="str">
        <f>IF(F392="", "", VLOOKUP(F392, Inventory!A:BZ, 3, FALSE) - SUMIF($F$1:$F391, F392, $H$1:$H391))
</f>
        <v/>
      </c>
      <c r="I392" s="26"/>
      <c r="J392" s="26" t="s">
        <v>77</v>
      </c>
      <c r="L392" s="27" t="s">
        <v>77</v>
      </c>
      <c r="N392" s="28" t="s">
        <v>77</v>
      </c>
      <c r="Q392" s="30"/>
    </row>
    <row r="393">
      <c r="B393" s="6"/>
      <c r="C393" s="33" t="str">
        <f t="array" ref="C393">IF(B393="", "", XLOOKUP(B393, Inventory!D:D,Inventory!E:E,"No Name Found"))</f>
        <v/>
      </c>
      <c r="D393" s="6"/>
      <c r="E393" s="6"/>
      <c r="F393" s="6"/>
      <c r="G393" s="24" t="str">
        <f>IF(F393="", "", VLOOKUP(F393, Inventory!A:BZ, 3, FALSE) - SUMIF($F$1:$F392, F393, $H$1:$H392))
</f>
        <v/>
      </c>
      <c r="I393" s="26"/>
      <c r="J393" s="26" t="s">
        <v>77</v>
      </c>
      <c r="L393" s="27" t="s">
        <v>77</v>
      </c>
      <c r="N393" s="28" t="s">
        <v>77</v>
      </c>
      <c r="Q393" s="30"/>
    </row>
    <row r="394">
      <c r="B394" s="6"/>
      <c r="C394" s="33" t="str">
        <f t="array" ref="C394">IF(B394="", "", XLOOKUP(B394, Inventory!D:D,Inventory!E:E,"No Name Found"))</f>
        <v/>
      </c>
      <c r="D394" s="6"/>
      <c r="E394" s="6"/>
      <c r="F394" s="6"/>
      <c r="G394" s="24" t="str">
        <f>IF(F394="", "", VLOOKUP(F394, Inventory!A:BZ, 3, FALSE) - SUMIF($F$1:$F393, F394, $H$1:$H393))
</f>
        <v/>
      </c>
      <c r="I394" s="26"/>
      <c r="J394" s="26" t="s">
        <v>77</v>
      </c>
      <c r="L394" s="27" t="s">
        <v>77</v>
      </c>
      <c r="N394" s="28" t="s">
        <v>77</v>
      </c>
      <c r="Q394" s="30"/>
    </row>
    <row r="395">
      <c r="B395" s="6"/>
      <c r="C395" s="33" t="str">
        <f t="array" ref="C395">IF(B395="", "", XLOOKUP(B395, Inventory!D:D,Inventory!E:E,"No Name Found"))</f>
        <v/>
      </c>
      <c r="D395" s="6"/>
      <c r="E395" s="6"/>
      <c r="F395" s="6"/>
      <c r="G395" s="24" t="str">
        <f>IF(F395="", "", VLOOKUP(F395, Inventory!A:BZ, 3, FALSE) - SUMIF($F$1:$F394, F395, $H$1:$H394))
</f>
        <v/>
      </c>
      <c r="I395" s="26"/>
      <c r="J395" s="26" t="s">
        <v>77</v>
      </c>
      <c r="L395" s="27" t="s">
        <v>77</v>
      </c>
      <c r="N395" s="28" t="s">
        <v>77</v>
      </c>
      <c r="Q395" s="30"/>
    </row>
    <row r="396">
      <c r="B396" s="6"/>
      <c r="C396" s="33" t="str">
        <f t="array" ref="C396">IF(B396="", "", XLOOKUP(B396, Inventory!D:D,Inventory!E:E,"No Name Found"))</f>
        <v/>
      </c>
      <c r="D396" s="6"/>
      <c r="E396" s="6"/>
      <c r="F396" s="6"/>
      <c r="G396" s="24" t="str">
        <f>IF(F396="", "", VLOOKUP(F396, Inventory!A:BZ, 3, FALSE) - SUMIF($F$1:$F395, F396, $H$1:$H395))
</f>
        <v/>
      </c>
      <c r="I396" s="26"/>
      <c r="J396" s="26" t="s">
        <v>77</v>
      </c>
      <c r="L396" s="27" t="s">
        <v>77</v>
      </c>
      <c r="N396" s="28" t="s">
        <v>77</v>
      </c>
      <c r="Q396" s="30"/>
    </row>
    <row r="397">
      <c r="B397" s="6"/>
      <c r="C397" s="33" t="str">
        <f t="array" ref="C397">IF(B397="", "", XLOOKUP(B397, Inventory!D:D,Inventory!E:E,"No Name Found"))</f>
        <v/>
      </c>
      <c r="D397" s="6"/>
      <c r="E397" s="6"/>
      <c r="F397" s="6"/>
      <c r="G397" s="24" t="str">
        <f>IF(F397="", "", VLOOKUP(F397, Inventory!A:BZ, 3, FALSE) - SUMIF($F$1:$F396, F397, $H$1:$H396))
</f>
        <v/>
      </c>
      <c r="I397" s="26"/>
      <c r="J397" s="26" t="s">
        <v>77</v>
      </c>
      <c r="L397" s="27" t="s">
        <v>77</v>
      </c>
      <c r="N397" s="28" t="s">
        <v>77</v>
      </c>
      <c r="Q397" s="30"/>
    </row>
    <row r="398">
      <c r="B398" s="6"/>
      <c r="C398" s="33" t="str">
        <f t="array" ref="C398">IF(B398="", "", XLOOKUP(B398, Inventory!D:D,Inventory!E:E,"No Name Found"))</f>
        <v/>
      </c>
      <c r="D398" s="6"/>
      <c r="E398" s="6"/>
      <c r="F398" s="6"/>
      <c r="G398" s="24" t="str">
        <f>IF(F398="", "", VLOOKUP(F398, Inventory!A:BZ, 3, FALSE) - SUMIF($F$1:$F397, F398, $H$1:$H397))
</f>
        <v/>
      </c>
      <c r="I398" s="26"/>
      <c r="J398" s="26" t="s">
        <v>77</v>
      </c>
      <c r="L398" s="27" t="s">
        <v>77</v>
      </c>
      <c r="N398" s="28" t="s">
        <v>77</v>
      </c>
      <c r="Q398" s="30"/>
    </row>
    <row r="399">
      <c r="B399" s="6"/>
      <c r="C399" s="33" t="str">
        <f t="array" ref="C399">IF(B399="", "", XLOOKUP(B399, Inventory!D:D,Inventory!E:E,"No Name Found"))</f>
        <v/>
      </c>
      <c r="D399" s="6"/>
      <c r="E399" s="6"/>
      <c r="F399" s="6"/>
      <c r="G399" s="24" t="str">
        <f>IF(F399="", "", VLOOKUP(F399, Inventory!A:BZ, 3, FALSE) - SUMIF($F$1:$F398, F399, $H$1:$H398))
</f>
        <v/>
      </c>
      <c r="I399" s="26"/>
      <c r="J399" s="26" t="s">
        <v>77</v>
      </c>
      <c r="L399" s="27" t="s">
        <v>77</v>
      </c>
      <c r="N399" s="28" t="s">
        <v>77</v>
      </c>
      <c r="Q399" s="30"/>
    </row>
    <row r="400">
      <c r="B400" s="6"/>
      <c r="C400" s="33" t="str">
        <f t="array" ref="C400">IF(B400="", "", XLOOKUP(B400, Inventory!D:D,Inventory!E:E,"No Name Found"))</f>
        <v/>
      </c>
      <c r="D400" s="6"/>
      <c r="E400" s="6"/>
      <c r="F400" s="6"/>
      <c r="G400" s="24" t="str">
        <f>IF(F400="", "", VLOOKUP(F400, Inventory!A:BZ, 3, FALSE) - SUMIF($F$1:$F399, F400, $H$1:$H399))
</f>
        <v/>
      </c>
      <c r="I400" s="26"/>
      <c r="J400" s="26" t="s">
        <v>77</v>
      </c>
      <c r="L400" s="27" t="s">
        <v>77</v>
      </c>
      <c r="N400" s="28" t="s">
        <v>77</v>
      </c>
      <c r="Q400" s="30"/>
    </row>
    <row r="401">
      <c r="B401" s="6"/>
      <c r="C401" s="33" t="str">
        <f t="array" ref="C401">IF(B401="", "", XLOOKUP(B401, Inventory!D:D,Inventory!E:E,"No Name Found"))</f>
        <v/>
      </c>
      <c r="D401" s="6"/>
      <c r="E401" s="6"/>
      <c r="F401" s="6"/>
      <c r="G401" s="24" t="str">
        <f>IF(F401="", "", VLOOKUP(F401, Inventory!A:BZ, 3, FALSE) - SUMIF($F$1:$F400, F401, $H$1:$H400))
</f>
        <v/>
      </c>
      <c r="I401" s="26"/>
      <c r="J401" s="26" t="s">
        <v>77</v>
      </c>
      <c r="L401" s="27" t="s">
        <v>77</v>
      </c>
      <c r="N401" s="28" t="s">
        <v>77</v>
      </c>
      <c r="Q401" s="30"/>
    </row>
    <row r="402">
      <c r="B402" s="6"/>
      <c r="C402" s="33" t="str">
        <f t="array" ref="C402">IF(B402="", "", XLOOKUP(B402, Inventory!D:D,Inventory!E:E,"No Name Found"))</f>
        <v/>
      </c>
      <c r="D402" s="6"/>
      <c r="E402" s="6"/>
      <c r="F402" s="6"/>
      <c r="G402" s="24" t="str">
        <f>IF(F402="", "", VLOOKUP(F402, Inventory!A:BZ, 3, FALSE) - SUMIF($F$1:$F401, F402, $H$1:$H401))
</f>
        <v/>
      </c>
      <c r="I402" s="26"/>
      <c r="J402" s="26" t="s">
        <v>77</v>
      </c>
      <c r="L402" s="27" t="s">
        <v>77</v>
      </c>
      <c r="N402" s="28" t="s">
        <v>77</v>
      </c>
      <c r="Q402" s="30"/>
    </row>
    <row r="403">
      <c r="B403" s="6"/>
      <c r="C403" s="33" t="str">
        <f t="array" ref="C403">IF(B403="", "", XLOOKUP(B403, Inventory!D:D,Inventory!E:E,"No Name Found"))</f>
        <v/>
      </c>
      <c r="D403" s="6"/>
      <c r="E403" s="6"/>
      <c r="F403" s="6"/>
      <c r="G403" s="24" t="str">
        <f>IF(F403="", "", VLOOKUP(F403, Inventory!A:BZ, 3, FALSE) - SUMIF($F$1:$F402, F403, $H$1:$H402))
</f>
        <v/>
      </c>
      <c r="I403" s="26"/>
      <c r="J403" s="26" t="s">
        <v>77</v>
      </c>
      <c r="L403" s="27" t="s">
        <v>77</v>
      </c>
      <c r="N403" s="28" t="s">
        <v>77</v>
      </c>
      <c r="Q403" s="30"/>
    </row>
    <row r="404">
      <c r="B404" s="6"/>
      <c r="C404" s="33" t="str">
        <f t="array" ref="C404">IF(B404="", "", XLOOKUP(B404, Inventory!D:D,Inventory!E:E,"No Name Found"))</f>
        <v/>
      </c>
      <c r="D404" s="6"/>
      <c r="E404" s="6"/>
      <c r="F404" s="6"/>
      <c r="G404" s="24" t="str">
        <f>IF(F404="", "", VLOOKUP(F404, Inventory!A:BZ, 3, FALSE) - SUMIF($F$1:$F403, F404, $H$1:$H403))
</f>
        <v/>
      </c>
      <c r="I404" s="26"/>
      <c r="J404" s="26" t="s">
        <v>77</v>
      </c>
      <c r="L404" s="27" t="s">
        <v>77</v>
      </c>
      <c r="N404" s="28" t="s">
        <v>77</v>
      </c>
      <c r="Q404" s="30"/>
    </row>
    <row r="405">
      <c r="B405" s="6"/>
      <c r="C405" s="33" t="str">
        <f t="array" ref="C405">IF(B405="", "", XLOOKUP(B405, Inventory!D:D,Inventory!E:E,"No Name Found"))</f>
        <v/>
      </c>
      <c r="D405" s="6"/>
      <c r="E405" s="6"/>
      <c r="F405" s="6"/>
      <c r="G405" s="24" t="str">
        <f>IF(F405="", "", VLOOKUP(F405, Inventory!A:BZ, 3, FALSE) - SUMIF($F$1:$F404, F405, $H$1:$H404))
</f>
        <v/>
      </c>
      <c r="I405" s="26"/>
      <c r="J405" s="26" t="s">
        <v>77</v>
      </c>
      <c r="L405" s="27" t="s">
        <v>77</v>
      </c>
      <c r="N405" s="28" t="s">
        <v>77</v>
      </c>
      <c r="Q405" s="30"/>
    </row>
    <row r="406">
      <c r="B406" s="6"/>
      <c r="C406" s="33" t="str">
        <f t="array" ref="C406">IF(B406="", "", XLOOKUP(B406, Inventory!D:D,Inventory!E:E,"No Name Found"))</f>
        <v/>
      </c>
      <c r="D406" s="6"/>
      <c r="E406" s="6"/>
      <c r="F406" s="6"/>
      <c r="G406" s="24" t="str">
        <f>IF(F406="", "", VLOOKUP(F406, Inventory!A:BZ, 3, FALSE) - SUMIF($F$1:$F405, F406, $H$1:$H405))
</f>
        <v/>
      </c>
      <c r="I406" s="26"/>
      <c r="J406" s="26" t="s">
        <v>77</v>
      </c>
      <c r="L406" s="27" t="s">
        <v>77</v>
      </c>
      <c r="N406" s="28" t="s">
        <v>77</v>
      </c>
      <c r="Q406" s="30"/>
    </row>
    <row r="407">
      <c r="B407" s="6"/>
      <c r="C407" s="33" t="str">
        <f t="array" ref="C407">IF(B407="", "", XLOOKUP(B407, Inventory!D:D,Inventory!E:E,"No Name Found"))</f>
        <v/>
      </c>
      <c r="D407" s="6"/>
      <c r="E407" s="6"/>
      <c r="F407" s="6"/>
      <c r="G407" s="24" t="str">
        <f>IF(F407="", "", VLOOKUP(F407, Inventory!A:BZ, 3, FALSE) - SUMIF($F$1:$F406, F407, $H$1:$H406))
</f>
        <v/>
      </c>
      <c r="I407" s="26"/>
      <c r="J407" s="26" t="s">
        <v>77</v>
      </c>
      <c r="L407" s="27" t="s">
        <v>77</v>
      </c>
      <c r="N407" s="28" t="s">
        <v>77</v>
      </c>
      <c r="Q407" s="30"/>
    </row>
    <row r="408">
      <c r="B408" s="6"/>
      <c r="C408" s="33" t="str">
        <f t="array" ref="C408">IF(B408="", "", XLOOKUP(B408, Inventory!D:D,Inventory!E:E,"No Name Found"))</f>
        <v/>
      </c>
      <c r="D408" s="6"/>
      <c r="E408" s="6"/>
      <c r="F408" s="6"/>
      <c r="G408" s="24" t="str">
        <f>IF(F408="", "", VLOOKUP(F408, Inventory!A:BZ, 3, FALSE) - SUMIF($F$1:$F407, F408, $H$1:$H407))
</f>
        <v/>
      </c>
      <c r="I408" s="26"/>
      <c r="J408" s="26" t="s">
        <v>77</v>
      </c>
      <c r="L408" s="27" t="s">
        <v>77</v>
      </c>
      <c r="N408" s="28" t="s">
        <v>77</v>
      </c>
      <c r="Q408" s="30"/>
    </row>
    <row r="409">
      <c r="B409" s="6"/>
      <c r="C409" s="33" t="str">
        <f t="array" ref="C409">IF(B409="", "", XLOOKUP(B409, Inventory!D:D,Inventory!E:E,"No Name Found"))</f>
        <v/>
      </c>
      <c r="D409" s="6"/>
      <c r="E409" s="6"/>
      <c r="F409" s="6"/>
      <c r="G409" s="24" t="str">
        <f>IF(F409="", "", VLOOKUP(F409, Inventory!A:BZ, 3, FALSE) - SUMIF($F$1:$F408, F409, $H$1:$H408))
</f>
        <v/>
      </c>
      <c r="I409" s="26"/>
      <c r="J409" s="26" t="s">
        <v>77</v>
      </c>
      <c r="L409" s="27" t="s">
        <v>77</v>
      </c>
      <c r="N409" s="28" t="s">
        <v>77</v>
      </c>
      <c r="Q409" s="30"/>
    </row>
    <row r="410">
      <c r="B410" s="6"/>
      <c r="C410" s="33" t="str">
        <f t="array" ref="C410">IF(B410="", "", XLOOKUP(B410, Inventory!D:D,Inventory!E:E,"No Name Found"))</f>
        <v/>
      </c>
      <c r="D410" s="6"/>
      <c r="E410" s="6"/>
      <c r="F410" s="6"/>
      <c r="G410" s="24" t="str">
        <f>IF(F410="", "", VLOOKUP(F410, Inventory!A:BZ, 3, FALSE) - SUMIF($F$1:$F409, F410, $H$1:$H409))
</f>
        <v/>
      </c>
      <c r="I410" s="26"/>
      <c r="J410" s="26" t="s">
        <v>77</v>
      </c>
      <c r="L410" s="27" t="s">
        <v>77</v>
      </c>
      <c r="N410" s="28" t="s">
        <v>77</v>
      </c>
      <c r="Q410" s="30"/>
    </row>
    <row r="411">
      <c r="B411" s="6"/>
      <c r="C411" s="33" t="str">
        <f t="array" ref="C411">IF(B411="", "", XLOOKUP(B411, Inventory!D:D,Inventory!E:E,"No Name Found"))</f>
        <v/>
      </c>
      <c r="D411" s="6"/>
      <c r="E411" s="6"/>
      <c r="F411" s="6"/>
      <c r="G411" s="24" t="str">
        <f>IF(F411="", "", VLOOKUP(F411, Inventory!A:BZ, 3, FALSE) - SUMIF($F$1:$F410, F411, $H$1:$H410))
</f>
        <v/>
      </c>
      <c r="I411" s="26"/>
      <c r="J411" s="26" t="s">
        <v>77</v>
      </c>
      <c r="L411" s="27" t="s">
        <v>77</v>
      </c>
      <c r="N411" s="28" t="s">
        <v>77</v>
      </c>
      <c r="Q411" s="30"/>
    </row>
    <row r="412">
      <c r="B412" s="6"/>
      <c r="C412" s="33" t="str">
        <f t="array" ref="C412">IF(B412="", "", XLOOKUP(B412, Inventory!D:D,Inventory!E:E,"No Name Found"))</f>
        <v/>
      </c>
      <c r="D412" s="6"/>
      <c r="E412" s="6"/>
      <c r="F412" s="6"/>
      <c r="G412" s="24" t="str">
        <f>IF(F412="", "", VLOOKUP(F412, Inventory!A:BZ, 3, FALSE) - SUMIF($F$1:$F411, F412, $H$1:$H411))
</f>
        <v/>
      </c>
      <c r="I412" s="26"/>
      <c r="J412" s="26" t="s">
        <v>77</v>
      </c>
      <c r="L412" s="27" t="s">
        <v>77</v>
      </c>
      <c r="N412" s="28" t="s">
        <v>77</v>
      </c>
      <c r="Q412" s="30"/>
    </row>
    <row r="413">
      <c r="B413" s="6"/>
      <c r="C413" s="33" t="str">
        <f t="array" ref="C413">IF(B413="", "", XLOOKUP(B413, Inventory!D:D,Inventory!E:E,"No Name Found"))</f>
        <v/>
      </c>
      <c r="D413" s="6"/>
      <c r="E413" s="6"/>
      <c r="F413" s="6"/>
      <c r="G413" s="24" t="str">
        <f>IF(F413="", "", VLOOKUP(F413, Inventory!A:BZ, 3, FALSE) - SUMIF($F$1:$F412, F413, $H$1:$H412))
</f>
        <v/>
      </c>
      <c r="I413" s="26"/>
      <c r="J413" s="26" t="s">
        <v>77</v>
      </c>
      <c r="L413" s="27" t="s">
        <v>77</v>
      </c>
      <c r="N413" s="28" t="s">
        <v>77</v>
      </c>
      <c r="Q413" s="30"/>
    </row>
    <row r="414">
      <c r="B414" s="6"/>
      <c r="C414" s="33" t="str">
        <f t="array" ref="C414">IF(B414="", "", XLOOKUP(B414, Inventory!D:D,Inventory!E:E,"No Name Found"))</f>
        <v/>
      </c>
      <c r="D414" s="6"/>
      <c r="E414" s="6"/>
      <c r="F414" s="6"/>
      <c r="G414" s="24" t="str">
        <f>IF(F414="", "", VLOOKUP(F414, Inventory!A:BZ, 3, FALSE) - SUMIF($F$1:$F413, F414, $H$1:$H413))
</f>
        <v/>
      </c>
      <c r="I414" s="26"/>
      <c r="J414" s="26" t="s">
        <v>77</v>
      </c>
      <c r="L414" s="27" t="s">
        <v>77</v>
      </c>
      <c r="N414" s="28" t="s">
        <v>77</v>
      </c>
      <c r="Q414" s="30"/>
    </row>
    <row r="415">
      <c r="B415" s="6"/>
      <c r="C415" s="33" t="str">
        <f t="array" ref="C415">IF(B415="", "", XLOOKUP(B415, Inventory!D:D,Inventory!E:E,"No Name Found"))</f>
        <v/>
      </c>
      <c r="D415" s="6"/>
      <c r="E415" s="6"/>
      <c r="F415" s="6"/>
      <c r="G415" s="24" t="str">
        <f>IF(F415="", "", VLOOKUP(F415, Inventory!A:BZ, 3, FALSE) - SUMIF($F$1:$F414, F415, $H$1:$H414))
</f>
        <v/>
      </c>
      <c r="I415" s="26"/>
      <c r="J415" s="26" t="s">
        <v>77</v>
      </c>
      <c r="L415" s="27" t="s">
        <v>77</v>
      </c>
      <c r="N415" s="28" t="s">
        <v>77</v>
      </c>
      <c r="Q415" s="30"/>
    </row>
    <row r="416">
      <c r="B416" s="6"/>
      <c r="C416" s="33" t="str">
        <f t="array" ref="C416">IF(B416="", "", XLOOKUP(B416, Inventory!D:D,Inventory!E:E,"No Name Found"))</f>
        <v/>
      </c>
      <c r="D416" s="6"/>
      <c r="E416" s="6"/>
      <c r="F416" s="6"/>
      <c r="G416" s="24" t="str">
        <f>IF(F416="", "", VLOOKUP(F416, Inventory!A:BZ, 3, FALSE) - SUMIF($F$1:$F415, F416, $H$1:$H415))
</f>
        <v/>
      </c>
      <c r="I416" s="26"/>
      <c r="J416" s="26" t="s">
        <v>77</v>
      </c>
      <c r="L416" s="27" t="s">
        <v>77</v>
      </c>
      <c r="N416" s="28" t="s">
        <v>77</v>
      </c>
      <c r="Q416" s="30"/>
    </row>
    <row r="417">
      <c r="B417" s="6"/>
      <c r="C417" s="33" t="str">
        <f t="array" ref="C417">IF(B417="", "", XLOOKUP(B417, Inventory!D:D,Inventory!E:E,"No Name Found"))</f>
        <v/>
      </c>
      <c r="D417" s="6"/>
      <c r="E417" s="6"/>
      <c r="F417" s="6"/>
      <c r="G417" s="24" t="str">
        <f>IF(F417="", "", VLOOKUP(F417, Inventory!A:BZ, 3, FALSE) - SUMIF($F$1:$F416, F417, $H$1:$H416))
</f>
        <v/>
      </c>
      <c r="I417" s="26"/>
      <c r="J417" s="26" t="s">
        <v>77</v>
      </c>
      <c r="L417" s="27" t="s">
        <v>77</v>
      </c>
      <c r="N417" s="28" t="s">
        <v>77</v>
      </c>
      <c r="Q417" s="30"/>
    </row>
    <row r="418">
      <c r="B418" s="6"/>
      <c r="C418" s="33" t="str">
        <f t="array" ref="C418">IF(B418="", "", XLOOKUP(B418, Inventory!D:D,Inventory!E:E,"No Name Found"))</f>
        <v/>
      </c>
      <c r="D418" s="6"/>
      <c r="E418" s="6"/>
      <c r="F418" s="6"/>
      <c r="G418" s="24" t="str">
        <f>IF(F418="", "", VLOOKUP(F418, Inventory!A:BZ, 3, FALSE) - SUMIF($F$1:$F417, F418, $H$1:$H417))
</f>
        <v/>
      </c>
      <c r="I418" s="26"/>
      <c r="J418" s="26" t="s">
        <v>77</v>
      </c>
      <c r="L418" s="27" t="s">
        <v>77</v>
      </c>
      <c r="N418" s="28" t="s">
        <v>77</v>
      </c>
      <c r="Q418" s="30"/>
    </row>
    <row r="419">
      <c r="B419" s="6"/>
      <c r="C419" s="33" t="str">
        <f t="array" ref="C419">IF(B419="", "", XLOOKUP(B419, Inventory!D:D,Inventory!E:E,"No Name Found"))</f>
        <v/>
      </c>
      <c r="D419" s="6"/>
      <c r="E419" s="6"/>
      <c r="F419" s="6"/>
      <c r="G419" s="24" t="str">
        <f>IF(F419="", "", VLOOKUP(F419, Inventory!A:BZ, 3, FALSE) - SUMIF($F$1:$F418, F419, $H$1:$H418))
</f>
        <v/>
      </c>
      <c r="I419" s="26"/>
      <c r="J419" s="26" t="s">
        <v>77</v>
      </c>
      <c r="L419" s="27" t="s">
        <v>77</v>
      </c>
      <c r="N419" s="28" t="s">
        <v>77</v>
      </c>
      <c r="Q419" s="30"/>
    </row>
    <row r="420">
      <c r="B420" s="6"/>
      <c r="C420" s="33" t="str">
        <f t="array" ref="C420">IF(B420="", "", XLOOKUP(B420, Inventory!D:D,Inventory!E:E,"No Name Found"))</f>
        <v/>
      </c>
      <c r="D420" s="6"/>
      <c r="E420" s="6"/>
      <c r="F420" s="6"/>
      <c r="G420" s="24" t="str">
        <f>IF(F420="", "", VLOOKUP(F420, Inventory!A:BZ, 3, FALSE) - SUMIF($F$1:$F419, F420, $H$1:$H419))
</f>
        <v/>
      </c>
      <c r="I420" s="26"/>
      <c r="J420" s="26" t="s">
        <v>77</v>
      </c>
      <c r="L420" s="27" t="s">
        <v>77</v>
      </c>
      <c r="N420" s="28" t="s">
        <v>77</v>
      </c>
      <c r="Q420" s="30"/>
    </row>
    <row r="421">
      <c r="B421" s="6"/>
      <c r="C421" s="33" t="str">
        <f t="array" ref="C421">IF(B421="", "", XLOOKUP(B421, Inventory!D:D,Inventory!E:E,"No Name Found"))</f>
        <v/>
      </c>
      <c r="D421" s="6"/>
      <c r="E421" s="6"/>
      <c r="F421" s="6"/>
      <c r="G421" s="24" t="str">
        <f>IF(F421="", "", VLOOKUP(F421, Inventory!A:BZ, 3, FALSE) - SUMIF($F$1:$F420, F421, $H$1:$H420))
</f>
        <v/>
      </c>
      <c r="I421" s="26"/>
      <c r="J421" s="26" t="s">
        <v>77</v>
      </c>
      <c r="L421" s="27" t="s">
        <v>77</v>
      </c>
      <c r="N421" s="28" t="s">
        <v>77</v>
      </c>
      <c r="Q421" s="30"/>
    </row>
    <row r="422">
      <c r="B422" s="6"/>
      <c r="C422" s="33" t="str">
        <f t="array" ref="C422">IF(B422="", "", XLOOKUP(B422, Inventory!D:D,Inventory!E:E,"No Name Found"))</f>
        <v/>
      </c>
      <c r="D422" s="6"/>
      <c r="E422" s="6"/>
      <c r="F422" s="6"/>
      <c r="G422" s="24" t="str">
        <f>IF(F422="", "", VLOOKUP(F422, Inventory!A:BZ, 3, FALSE) - SUMIF($F$1:$F421, F422, $H$1:$H421))
</f>
        <v/>
      </c>
      <c r="I422" s="26"/>
      <c r="J422" s="26" t="s">
        <v>77</v>
      </c>
      <c r="L422" s="27" t="s">
        <v>77</v>
      </c>
      <c r="N422" s="28" t="s">
        <v>77</v>
      </c>
      <c r="Q422" s="30"/>
    </row>
    <row r="423">
      <c r="B423" s="6"/>
      <c r="C423" s="33" t="str">
        <f t="array" ref="C423">IF(B423="", "", XLOOKUP(B423, Inventory!D:D,Inventory!E:E,"No Name Found"))</f>
        <v/>
      </c>
      <c r="D423" s="6"/>
      <c r="E423" s="6"/>
      <c r="F423" s="6"/>
      <c r="G423" s="24" t="str">
        <f>IF(F423="", "", VLOOKUP(F423, Inventory!A:BZ, 3, FALSE) - SUMIF($F$1:$F422, F423, $H$1:$H422))
</f>
        <v/>
      </c>
      <c r="I423" s="26"/>
      <c r="J423" s="26" t="s">
        <v>77</v>
      </c>
      <c r="L423" s="27" t="s">
        <v>77</v>
      </c>
      <c r="N423" s="28" t="s">
        <v>77</v>
      </c>
      <c r="Q423" s="30"/>
    </row>
    <row r="424">
      <c r="B424" s="6"/>
      <c r="C424" s="33" t="str">
        <f t="array" ref="C424">IF(B424="", "", XLOOKUP(B424, Inventory!D:D,Inventory!E:E,"No Name Found"))</f>
        <v/>
      </c>
      <c r="D424" s="6"/>
      <c r="E424" s="6"/>
      <c r="F424" s="6"/>
      <c r="G424" s="24" t="str">
        <f>IF(F424="", "", VLOOKUP(F424, Inventory!A:BZ, 3, FALSE) - SUMIF($F$1:$F423, F424, $H$1:$H423))
</f>
        <v/>
      </c>
      <c r="I424" s="26"/>
      <c r="J424" s="26" t="s">
        <v>77</v>
      </c>
      <c r="L424" s="27" t="s">
        <v>77</v>
      </c>
      <c r="N424" s="28" t="s">
        <v>77</v>
      </c>
      <c r="Q424" s="30"/>
    </row>
    <row r="425">
      <c r="B425" s="6"/>
      <c r="C425" s="33" t="str">
        <f t="array" ref="C425">IF(B425="", "", XLOOKUP(B425, Inventory!D:D,Inventory!E:E,"No Name Found"))</f>
        <v/>
      </c>
      <c r="D425" s="6"/>
      <c r="E425" s="6"/>
      <c r="F425" s="6"/>
      <c r="G425" s="24" t="str">
        <f>IF(F425="", "", VLOOKUP(F425, Inventory!A:BZ, 3, FALSE) - SUMIF($F$1:$F424, F425, $H$1:$H424))
</f>
        <v/>
      </c>
      <c r="I425" s="26"/>
      <c r="J425" s="26" t="s">
        <v>77</v>
      </c>
      <c r="L425" s="27" t="s">
        <v>77</v>
      </c>
      <c r="N425" s="28" t="s">
        <v>77</v>
      </c>
      <c r="Q425" s="30"/>
    </row>
    <row r="426">
      <c r="B426" s="6"/>
      <c r="C426" s="33" t="str">
        <f t="array" ref="C426">IF(B426="", "", XLOOKUP(B426, Inventory!D:D,Inventory!E:E,"No Name Found"))</f>
        <v/>
      </c>
      <c r="D426" s="6"/>
      <c r="E426" s="6"/>
      <c r="F426" s="6"/>
      <c r="G426" s="24" t="str">
        <f>IF(F426="", "", VLOOKUP(F426, Inventory!A:BZ, 3, FALSE) - SUMIF($F$1:$F425, F426, $H$1:$H425))
</f>
        <v/>
      </c>
      <c r="I426" s="26"/>
      <c r="J426" s="26" t="s">
        <v>77</v>
      </c>
      <c r="L426" s="27" t="s">
        <v>77</v>
      </c>
      <c r="N426" s="28" t="s">
        <v>77</v>
      </c>
      <c r="Q426" s="30"/>
    </row>
    <row r="427">
      <c r="B427" s="6"/>
      <c r="C427" s="33" t="str">
        <f t="array" ref="C427">IF(B427="", "", XLOOKUP(B427, Inventory!D:D,Inventory!E:E,"No Name Found"))</f>
        <v/>
      </c>
      <c r="D427" s="6"/>
      <c r="E427" s="6"/>
      <c r="F427" s="6"/>
      <c r="G427" s="24" t="str">
        <f>IF(F427="", "", VLOOKUP(F427, Inventory!A:BZ, 3, FALSE) - SUMIF($F$1:$F426, F427, $H$1:$H426))
</f>
        <v/>
      </c>
      <c r="I427" s="26"/>
      <c r="J427" s="26" t="s">
        <v>77</v>
      </c>
      <c r="L427" s="27" t="s">
        <v>77</v>
      </c>
      <c r="N427" s="28" t="s">
        <v>77</v>
      </c>
      <c r="Q427" s="30"/>
    </row>
    <row r="428">
      <c r="B428" s="6"/>
      <c r="C428" s="33" t="str">
        <f t="array" ref="C428">IF(B428="", "", XLOOKUP(B428, Inventory!D:D,Inventory!E:E,"No Name Found"))</f>
        <v/>
      </c>
      <c r="D428" s="6"/>
      <c r="E428" s="6"/>
      <c r="F428" s="6"/>
      <c r="G428" s="24" t="str">
        <f>IF(F428="", "", VLOOKUP(F428, Inventory!A:BZ, 3, FALSE) - SUMIF($F$1:$F427, F428, $H$1:$H427))
</f>
        <v/>
      </c>
      <c r="I428" s="26"/>
      <c r="J428" s="26" t="s">
        <v>77</v>
      </c>
      <c r="L428" s="27" t="s">
        <v>77</v>
      </c>
      <c r="N428" s="28" t="s">
        <v>77</v>
      </c>
      <c r="Q428" s="30"/>
    </row>
    <row r="429">
      <c r="B429" s="6"/>
      <c r="C429" s="33" t="str">
        <f t="array" ref="C429">IF(B429="", "", XLOOKUP(B429, Inventory!D:D,Inventory!E:E,"No Name Found"))</f>
        <v/>
      </c>
      <c r="D429" s="6"/>
      <c r="E429" s="6"/>
      <c r="F429" s="6"/>
      <c r="G429" s="24" t="str">
        <f>IF(F429="", "", VLOOKUP(F429, Inventory!A:BZ, 3, FALSE) - SUMIF($F$1:$F428, F429, $H$1:$H428))
</f>
        <v/>
      </c>
      <c r="I429" s="26"/>
      <c r="J429" s="26" t="s">
        <v>77</v>
      </c>
      <c r="L429" s="27" t="s">
        <v>77</v>
      </c>
      <c r="N429" s="28" t="s">
        <v>77</v>
      </c>
      <c r="Q429" s="30"/>
    </row>
    <row r="430">
      <c r="B430" s="6"/>
      <c r="C430" s="33" t="str">
        <f t="array" ref="C430">IF(B430="", "", XLOOKUP(B430, Inventory!D:D,Inventory!E:E,"No Name Found"))</f>
        <v/>
      </c>
      <c r="D430" s="6"/>
      <c r="E430" s="6"/>
      <c r="F430" s="6"/>
      <c r="G430" s="24" t="str">
        <f>IF(F430="", "", VLOOKUP(F430, Inventory!A:BZ, 3, FALSE) - SUMIF($F$1:$F429, F430, $H$1:$H429))
</f>
        <v/>
      </c>
      <c r="I430" s="26"/>
      <c r="J430" s="26" t="s">
        <v>77</v>
      </c>
      <c r="L430" s="27" t="s">
        <v>77</v>
      </c>
      <c r="N430" s="28" t="s">
        <v>77</v>
      </c>
      <c r="Q430" s="30"/>
    </row>
    <row r="431">
      <c r="B431" s="6"/>
      <c r="C431" s="33" t="str">
        <f t="array" ref="C431">IF(B431="", "", XLOOKUP(B431, Inventory!D:D,Inventory!E:E,"No Name Found"))</f>
        <v/>
      </c>
      <c r="D431" s="6"/>
      <c r="E431" s="6"/>
      <c r="F431" s="6"/>
      <c r="G431" s="24" t="str">
        <f>IF(F431="", "", VLOOKUP(F431, Inventory!A:BZ, 3, FALSE) - SUMIF($F$1:$F430, F431, $H$1:$H430))
</f>
        <v/>
      </c>
      <c r="I431" s="26"/>
      <c r="J431" s="26" t="s">
        <v>77</v>
      </c>
      <c r="L431" s="27" t="s">
        <v>77</v>
      </c>
      <c r="N431" s="28" t="s">
        <v>77</v>
      </c>
      <c r="Q431" s="30"/>
    </row>
    <row r="432">
      <c r="B432" s="6"/>
      <c r="C432" s="33" t="str">
        <f t="array" ref="C432">IF(B432="", "", XLOOKUP(B432, Inventory!D:D,Inventory!E:E,"No Name Found"))</f>
        <v/>
      </c>
      <c r="D432" s="6"/>
      <c r="E432" s="6"/>
      <c r="F432" s="6"/>
      <c r="G432" s="24" t="str">
        <f>IF(F432="", "", VLOOKUP(F432, Inventory!A:BZ, 3, FALSE) - SUMIF($F$1:$F431, F432, $H$1:$H431))
</f>
        <v/>
      </c>
      <c r="I432" s="26"/>
      <c r="J432" s="26" t="s">
        <v>77</v>
      </c>
      <c r="L432" s="27" t="s">
        <v>77</v>
      </c>
      <c r="N432" s="28" t="s">
        <v>77</v>
      </c>
      <c r="Q432" s="30"/>
    </row>
    <row r="433">
      <c r="B433" s="6"/>
      <c r="C433" s="33" t="str">
        <f t="array" ref="C433">IF(B433="", "", XLOOKUP(B433, Inventory!D:D,Inventory!E:E,"No Name Found"))</f>
        <v/>
      </c>
      <c r="D433" s="6"/>
      <c r="E433" s="6"/>
      <c r="F433" s="6"/>
      <c r="G433" s="24" t="str">
        <f>IF(F433="", "", VLOOKUP(F433, Inventory!A:BZ, 3, FALSE) - SUMIF($F$1:$F432, F433, $H$1:$H432))
</f>
        <v/>
      </c>
      <c r="I433" s="26"/>
      <c r="J433" s="26" t="s">
        <v>77</v>
      </c>
      <c r="L433" s="27" t="s">
        <v>77</v>
      </c>
      <c r="N433" s="28" t="s">
        <v>77</v>
      </c>
      <c r="Q433" s="30"/>
    </row>
    <row r="434">
      <c r="B434" s="6"/>
      <c r="C434" s="33" t="str">
        <f t="array" ref="C434">IF(B434="", "", XLOOKUP(B434, Inventory!D:D,Inventory!E:E,"No Name Found"))</f>
        <v/>
      </c>
      <c r="D434" s="6"/>
      <c r="E434" s="6"/>
      <c r="F434" s="6"/>
      <c r="G434" s="24" t="str">
        <f>IF(F434="", "", VLOOKUP(F434, Inventory!A:BZ, 3, FALSE) - SUMIF($F$1:$F433, F434, $H$1:$H433))
</f>
        <v/>
      </c>
      <c r="I434" s="26"/>
      <c r="J434" s="26" t="s">
        <v>77</v>
      </c>
      <c r="L434" s="27" t="s">
        <v>77</v>
      </c>
      <c r="N434" s="28" t="s">
        <v>77</v>
      </c>
      <c r="Q434" s="30"/>
    </row>
    <row r="435">
      <c r="B435" s="6"/>
      <c r="C435" s="33" t="str">
        <f t="array" ref="C435">IF(B435="", "", XLOOKUP(B435, Inventory!D:D,Inventory!E:E,"No Name Found"))</f>
        <v/>
      </c>
      <c r="D435" s="6"/>
      <c r="E435" s="6"/>
      <c r="F435" s="6"/>
      <c r="G435" s="24" t="str">
        <f>IF(F435="", "", VLOOKUP(F435, Inventory!A:BZ, 3, FALSE) - SUMIF($F$1:$F434, F435, $H$1:$H434))
</f>
        <v/>
      </c>
      <c r="I435" s="26"/>
      <c r="J435" s="26" t="s">
        <v>77</v>
      </c>
      <c r="L435" s="27" t="s">
        <v>77</v>
      </c>
      <c r="N435" s="28" t="s">
        <v>77</v>
      </c>
      <c r="Q435" s="30"/>
    </row>
    <row r="436">
      <c r="B436" s="6"/>
      <c r="C436" s="33" t="str">
        <f t="array" ref="C436">IF(B436="", "", XLOOKUP(B436, Inventory!D:D,Inventory!E:E,"No Name Found"))</f>
        <v/>
      </c>
      <c r="D436" s="6"/>
      <c r="E436" s="6"/>
      <c r="F436" s="6"/>
      <c r="G436" s="24" t="str">
        <f>IF(F436="", "", VLOOKUP(F436, Inventory!A:BZ, 3, FALSE) - SUMIF($F$1:$F435, F436, $H$1:$H435))
</f>
        <v/>
      </c>
      <c r="I436" s="26"/>
      <c r="J436" s="26" t="s">
        <v>77</v>
      </c>
      <c r="L436" s="27" t="s">
        <v>77</v>
      </c>
      <c r="N436" s="28" t="s">
        <v>77</v>
      </c>
      <c r="Q436" s="30"/>
    </row>
    <row r="437">
      <c r="B437" s="6"/>
      <c r="C437" s="33" t="str">
        <f t="array" ref="C437">IF(B437="", "", XLOOKUP(B437, Inventory!D:D,Inventory!E:E,"No Name Found"))</f>
        <v/>
      </c>
      <c r="D437" s="6"/>
      <c r="E437" s="6"/>
      <c r="F437" s="6"/>
      <c r="G437" s="24" t="str">
        <f>IF(F437="", "", VLOOKUP(F437, Inventory!A:BZ, 3, FALSE) - SUMIF($F$1:$F436, F437, $H$1:$H436))
</f>
        <v/>
      </c>
      <c r="I437" s="26"/>
      <c r="J437" s="26" t="s">
        <v>77</v>
      </c>
      <c r="L437" s="27" t="s">
        <v>77</v>
      </c>
      <c r="N437" s="28" t="s">
        <v>77</v>
      </c>
      <c r="Q437" s="30"/>
    </row>
    <row r="438">
      <c r="B438" s="6"/>
      <c r="C438" s="33" t="str">
        <f t="array" ref="C438">IF(B438="", "", XLOOKUP(B438, Inventory!D:D,Inventory!E:E,"No Name Found"))</f>
        <v/>
      </c>
      <c r="D438" s="6"/>
      <c r="E438" s="6"/>
      <c r="F438" s="6"/>
      <c r="G438" s="24" t="str">
        <f>IF(F438="", "", VLOOKUP(F438, Inventory!A:BZ, 3, FALSE) - SUMIF($F$1:$F437, F438, $H$1:$H437))
</f>
        <v/>
      </c>
      <c r="I438" s="26"/>
      <c r="J438" s="26" t="s">
        <v>77</v>
      </c>
      <c r="L438" s="27" t="s">
        <v>77</v>
      </c>
      <c r="N438" s="28" t="s">
        <v>77</v>
      </c>
      <c r="Q438" s="30"/>
    </row>
    <row r="439">
      <c r="B439" s="6"/>
      <c r="C439" s="33" t="str">
        <f t="array" ref="C439">IF(B439="", "", XLOOKUP(B439, Inventory!D:D,Inventory!E:E,"No Name Found"))</f>
        <v/>
      </c>
      <c r="D439" s="6"/>
      <c r="E439" s="6"/>
      <c r="F439" s="6"/>
      <c r="G439" s="24" t="str">
        <f>IF(F439="", "", VLOOKUP(F439, Inventory!A:BZ, 3, FALSE) - SUMIF($F$1:$F438, F439, $H$1:$H438))
</f>
        <v/>
      </c>
      <c r="I439" s="26"/>
      <c r="J439" s="26" t="s">
        <v>77</v>
      </c>
      <c r="L439" s="27" t="s">
        <v>77</v>
      </c>
      <c r="N439" s="28" t="s">
        <v>77</v>
      </c>
      <c r="Q439" s="30"/>
    </row>
    <row r="440">
      <c r="B440" s="6"/>
      <c r="C440" s="33" t="str">
        <f t="array" ref="C440">IF(B440="", "", XLOOKUP(B440, Inventory!D:D,Inventory!E:E,"No Name Found"))</f>
        <v/>
      </c>
      <c r="D440" s="6"/>
      <c r="E440" s="6"/>
      <c r="F440" s="6"/>
      <c r="G440" s="24" t="str">
        <f>IF(F440="", "", VLOOKUP(F440, Inventory!A:BZ, 3, FALSE) - SUMIF($F$1:$F439, F440, $H$1:$H439))
</f>
        <v/>
      </c>
      <c r="I440" s="26"/>
      <c r="J440" s="26" t="s">
        <v>77</v>
      </c>
      <c r="L440" s="27" t="s">
        <v>77</v>
      </c>
      <c r="N440" s="28" t="s">
        <v>77</v>
      </c>
      <c r="Q440" s="30"/>
    </row>
    <row r="441">
      <c r="B441" s="6"/>
      <c r="C441" s="33" t="str">
        <f t="array" ref="C441">IF(B441="", "", XLOOKUP(B441, Inventory!D:D,Inventory!E:E,"No Name Found"))</f>
        <v/>
      </c>
      <c r="D441" s="6"/>
      <c r="E441" s="6"/>
      <c r="F441" s="6"/>
      <c r="G441" s="24" t="str">
        <f>IF(F441="", "", VLOOKUP(F441, Inventory!A:BZ, 3, FALSE) - SUMIF($F$1:$F440, F441, $H$1:$H440))
</f>
        <v/>
      </c>
      <c r="I441" s="26"/>
      <c r="J441" s="26" t="s">
        <v>77</v>
      </c>
      <c r="L441" s="27" t="s">
        <v>77</v>
      </c>
      <c r="N441" s="28" t="s">
        <v>77</v>
      </c>
      <c r="Q441" s="30"/>
    </row>
    <row r="442">
      <c r="B442" s="6"/>
      <c r="C442" s="33" t="str">
        <f t="array" ref="C442">IF(B442="", "", XLOOKUP(B442, Inventory!D:D,Inventory!E:E,"No Name Found"))</f>
        <v/>
      </c>
      <c r="D442" s="6"/>
      <c r="E442" s="6"/>
      <c r="F442" s="6"/>
      <c r="G442" s="24" t="str">
        <f>IF(F442="", "", VLOOKUP(F442, Inventory!A:BZ, 3, FALSE) - SUMIF($F$1:$F441, F442, $H$1:$H441))
</f>
        <v/>
      </c>
      <c r="I442" s="26"/>
      <c r="J442" s="26" t="s">
        <v>77</v>
      </c>
      <c r="L442" s="27" t="s">
        <v>77</v>
      </c>
      <c r="N442" s="28" t="s">
        <v>77</v>
      </c>
      <c r="Q442" s="30"/>
    </row>
    <row r="443">
      <c r="B443" s="6"/>
      <c r="C443" s="33" t="str">
        <f t="array" ref="C443">IF(B443="", "", XLOOKUP(B443, Inventory!D:D,Inventory!E:E,"No Name Found"))</f>
        <v/>
      </c>
      <c r="D443" s="6"/>
      <c r="E443" s="6"/>
      <c r="F443" s="6"/>
      <c r="G443" s="24" t="str">
        <f>IF(F443="", "", VLOOKUP(F443, Inventory!A:BZ, 3, FALSE) - SUMIF($F$1:$F442, F443, $H$1:$H442))
</f>
        <v/>
      </c>
      <c r="I443" s="26"/>
      <c r="J443" s="26" t="s">
        <v>77</v>
      </c>
      <c r="L443" s="27" t="s">
        <v>77</v>
      </c>
      <c r="N443" s="28" t="s">
        <v>77</v>
      </c>
      <c r="Q443" s="30"/>
    </row>
    <row r="444">
      <c r="B444" s="6"/>
      <c r="C444" s="33" t="str">
        <f t="array" ref="C444">IF(B444="", "", XLOOKUP(B444, Inventory!D:D,Inventory!E:E,"No Name Found"))</f>
        <v/>
      </c>
      <c r="D444" s="6"/>
      <c r="E444" s="6"/>
      <c r="F444" s="6"/>
      <c r="G444" s="24" t="str">
        <f>IF(F444="", "", VLOOKUP(F444, Inventory!A:BZ, 3, FALSE) - SUMIF($F$1:$F443, F444, $H$1:$H443))
</f>
        <v/>
      </c>
      <c r="I444" s="26"/>
      <c r="J444" s="26" t="s">
        <v>77</v>
      </c>
      <c r="L444" s="27" t="s">
        <v>77</v>
      </c>
      <c r="N444" s="28" t="s">
        <v>77</v>
      </c>
      <c r="Q444" s="30"/>
    </row>
    <row r="445">
      <c r="B445" s="6"/>
      <c r="C445" s="33" t="str">
        <f t="array" ref="C445">IF(B445="", "", XLOOKUP(B445, Inventory!D:D,Inventory!E:E,"No Name Found"))</f>
        <v/>
      </c>
      <c r="D445" s="6"/>
      <c r="E445" s="6"/>
      <c r="F445" s="6"/>
      <c r="G445" s="24" t="str">
        <f>IF(F445="", "", VLOOKUP(F445, Inventory!A:BZ, 3, FALSE) - SUMIF($F$1:$F444, F445, $H$1:$H444))
</f>
        <v/>
      </c>
      <c r="I445" s="26"/>
      <c r="J445" s="26" t="s">
        <v>77</v>
      </c>
      <c r="L445" s="27" t="s">
        <v>77</v>
      </c>
      <c r="N445" s="28" t="s">
        <v>77</v>
      </c>
      <c r="Q445" s="30"/>
    </row>
    <row r="446">
      <c r="B446" s="6"/>
      <c r="C446" s="33" t="str">
        <f t="array" ref="C446">IF(B446="", "", XLOOKUP(B446, Inventory!D:D,Inventory!E:E,"No Name Found"))</f>
        <v/>
      </c>
      <c r="D446" s="6"/>
      <c r="E446" s="6"/>
      <c r="F446" s="6"/>
      <c r="G446" s="24" t="str">
        <f>IF(F446="", "", VLOOKUP(F446, Inventory!A:BZ, 3, FALSE) - SUMIF($F$1:$F445, F446, $H$1:$H445))
</f>
        <v/>
      </c>
      <c r="I446" s="26"/>
      <c r="J446" s="26" t="s">
        <v>77</v>
      </c>
      <c r="L446" s="27" t="s">
        <v>77</v>
      </c>
      <c r="N446" s="28" t="s">
        <v>77</v>
      </c>
      <c r="Q446" s="30"/>
    </row>
    <row r="447">
      <c r="B447" s="6"/>
      <c r="C447" s="33" t="str">
        <f t="array" ref="C447">IF(B447="", "", XLOOKUP(B447, Inventory!D:D,Inventory!E:E,"No Name Found"))</f>
        <v/>
      </c>
      <c r="D447" s="6"/>
      <c r="E447" s="6"/>
      <c r="F447" s="6"/>
      <c r="G447" s="24" t="str">
        <f>IF(F447="", "", VLOOKUP(F447, Inventory!A:BZ, 3, FALSE) - SUMIF($F$1:$F446, F447, $H$1:$H446))
</f>
        <v/>
      </c>
      <c r="I447" s="26"/>
      <c r="J447" s="26" t="s">
        <v>77</v>
      </c>
      <c r="L447" s="27" t="s">
        <v>77</v>
      </c>
      <c r="N447" s="28" t="s">
        <v>77</v>
      </c>
      <c r="Q447" s="30"/>
    </row>
    <row r="448">
      <c r="B448" s="6"/>
      <c r="C448" s="33" t="str">
        <f t="array" ref="C448">IF(B448="", "", XLOOKUP(B448, Inventory!D:D,Inventory!E:E,"No Name Found"))</f>
        <v/>
      </c>
      <c r="D448" s="6"/>
      <c r="E448" s="6"/>
      <c r="F448" s="6"/>
      <c r="G448" s="24" t="str">
        <f>IF(F448="", "", VLOOKUP(F448, Inventory!A:BZ, 3, FALSE) - SUMIF($F$1:$F447, F448, $H$1:$H447))
</f>
        <v/>
      </c>
      <c r="I448" s="26"/>
      <c r="J448" s="26" t="s">
        <v>77</v>
      </c>
      <c r="L448" s="27" t="s">
        <v>77</v>
      </c>
      <c r="N448" s="28" t="s">
        <v>77</v>
      </c>
      <c r="Q448" s="30"/>
    </row>
    <row r="449">
      <c r="B449" s="6"/>
      <c r="C449" s="33" t="str">
        <f t="array" ref="C449">IF(B449="", "", XLOOKUP(B449, Inventory!D:D,Inventory!E:E,"No Name Found"))</f>
        <v/>
      </c>
      <c r="D449" s="6"/>
      <c r="E449" s="6"/>
      <c r="F449" s="6"/>
      <c r="G449" s="24" t="str">
        <f>IF(F449="", "", VLOOKUP(F449, Inventory!A:BZ, 3, FALSE) - SUMIF($F$1:$F448, F449, $H$1:$H448))
</f>
        <v/>
      </c>
      <c r="I449" s="26"/>
      <c r="J449" s="26" t="s">
        <v>77</v>
      </c>
      <c r="L449" s="27" t="s">
        <v>77</v>
      </c>
      <c r="N449" s="28" t="s">
        <v>77</v>
      </c>
      <c r="Q449" s="30"/>
    </row>
    <row r="450">
      <c r="B450" s="6"/>
      <c r="C450" s="33" t="str">
        <f t="array" ref="C450">IF(B450="", "", XLOOKUP(B450, Inventory!D:D,Inventory!E:E,"No Name Found"))</f>
        <v/>
      </c>
      <c r="D450" s="6"/>
      <c r="E450" s="6"/>
      <c r="F450" s="6"/>
      <c r="G450" s="24" t="str">
        <f>IF(F450="", "", VLOOKUP(F450, Inventory!A:BZ, 3, FALSE) - SUMIF($F$1:$F449, F450, $H$1:$H449))
</f>
        <v/>
      </c>
      <c r="I450" s="26"/>
      <c r="J450" s="26" t="s">
        <v>77</v>
      </c>
      <c r="L450" s="27" t="s">
        <v>77</v>
      </c>
      <c r="N450" s="28" t="s">
        <v>77</v>
      </c>
      <c r="Q450" s="30"/>
    </row>
    <row r="451">
      <c r="B451" s="6"/>
      <c r="C451" s="33" t="str">
        <f t="array" ref="C451">IF(B451="", "", XLOOKUP(B451, Inventory!D:D,Inventory!E:E,"No Name Found"))</f>
        <v/>
      </c>
      <c r="D451" s="6"/>
      <c r="E451" s="6"/>
      <c r="F451" s="6"/>
      <c r="G451" s="24" t="str">
        <f>IF(F451="", "", VLOOKUP(F451, Inventory!A:BZ, 3, FALSE) - SUMIF($F$1:$F450, F451, $H$1:$H450))
</f>
        <v/>
      </c>
      <c r="I451" s="26"/>
      <c r="J451" s="26" t="s">
        <v>77</v>
      </c>
      <c r="L451" s="27" t="s">
        <v>77</v>
      </c>
      <c r="N451" s="28" t="s">
        <v>77</v>
      </c>
      <c r="Q451" s="30"/>
    </row>
    <row r="452">
      <c r="B452" s="6"/>
      <c r="C452" s="33" t="str">
        <f t="array" ref="C452">IF(B452="", "", XLOOKUP(B452, Inventory!D:D,Inventory!E:E,"No Name Found"))</f>
        <v/>
      </c>
      <c r="D452" s="6"/>
      <c r="E452" s="6"/>
      <c r="F452" s="6"/>
      <c r="G452" s="24" t="str">
        <f>IF(F452="", "", VLOOKUP(F452, Inventory!A:BZ, 3, FALSE) - SUMIF($F$1:$F451, F452, $H$1:$H451))
</f>
        <v/>
      </c>
      <c r="I452" s="26"/>
      <c r="J452" s="26" t="s">
        <v>77</v>
      </c>
      <c r="L452" s="27" t="s">
        <v>77</v>
      </c>
      <c r="N452" s="28" t="s">
        <v>77</v>
      </c>
      <c r="Q452" s="30"/>
    </row>
    <row r="453">
      <c r="B453" s="6"/>
      <c r="C453" s="33" t="str">
        <f t="array" ref="C453">IF(B453="", "", XLOOKUP(B453, Inventory!D:D,Inventory!E:E,"No Name Found"))</f>
        <v/>
      </c>
      <c r="D453" s="6"/>
      <c r="E453" s="6"/>
      <c r="F453" s="6"/>
      <c r="G453" s="24" t="str">
        <f>IF(F453="", "", VLOOKUP(F453, Inventory!A:BZ, 3, FALSE) - SUMIF($F$1:$F452, F453, $H$1:$H452))
</f>
        <v/>
      </c>
      <c r="I453" s="26"/>
      <c r="J453" s="26" t="s">
        <v>77</v>
      </c>
      <c r="L453" s="27" t="s">
        <v>77</v>
      </c>
      <c r="N453" s="28" t="s">
        <v>77</v>
      </c>
      <c r="Q453" s="30"/>
    </row>
    <row r="454">
      <c r="B454" s="6"/>
      <c r="C454" s="33" t="str">
        <f t="array" ref="C454">IF(B454="", "", XLOOKUP(B454, Inventory!D:D,Inventory!E:E,"No Name Found"))</f>
        <v/>
      </c>
      <c r="D454" s="6"/>
      <c r="E454" s="6"/>
      <c r="F454" s="6"/>
      <c r="G454" s="24" t="str">
        <f>IF(F454="", "", VLOOKUP(F454, Inventory!A:BZ, 3, FALSE) - SUMIF($F$1:$F453, F454, $H$1:$H453))
</f>
        <v/>
      </c>
      <c r="I454" s="26"/>
      <c r="J454" s="26" t="s">
        <v>77</v>
      </c>
      <c r="L454" s="27" t="s">
        <v>77</v>
      </c>
      <c r="N454" s="28" t="s">
        <v>77</v>
      </c>
      <c r="Q454" s="30"/>
    </row>
    <row r="455">
      <c r="B455" s="6"/>
      <c r="C455" s="33" t="str">
        <f t="array" ref="C455">IF(B455="", "", XLOOKUP(B455, Inventory!D:D,Inventory!E:E,"No Name Found"))</f>
        <v/>
      </c>
      <c r="D455" s="6"/>
      <c r="E455" s="6"/>
      <c r="F455" s="6"/>
      <c r="G455" s="24" t="str">
        <f>IF(F455="", "", VLOOKUP(F455, Inventory!A:BZ, 3, FALSE) - SUMIF($F$1:$F454, F455, $H$1:$H454))
</f>
        <v/>
      </c>
      <c r="I455" s="26"/>
      <c r="J455" s="26" t="s">
        <v>77</v>
      </c>
      <c r="L455" s="27" t="s">
        <v>77</v>
      </c>
      <c r="N455" s="28" t="s">
        <v>77</v>
      </c>
      <c r="Q455" s="30"/>
    </row>
    <row r="456">
      <c r="B456" s="6"/>
      <c r="C456" s="33" t="str">
        <f t="array" ref="C456">IF(B456="", "", XLOOKUP(B456, Inventory!D:D,Inventory!E:E,"No Name Found"))</f>
        <v/>
      </c>
      <c r="D456" s="6"/>
      <c r="E456" s="6"/>
      <c r="F456" s="6"/>
      <c r="G456" s="24" t="str">
        <f>IF(F456="", "", VLOOKUP(F456, Inventory!A:BZ, 3, FALSE) - SUMIF($F$1:$F455, F456, $H$1:$H455))
</f>
        <v/>
      </c>
      <c r="I456" s="26"/>
      <c r="J456" s="26" t="s">
        <v>77</v>
      </c>
      <c r="L456" s="27" t="s">
        <v>77</v>
      </c>
      <c r="N456" s="28" t="s">
        <v>77</v>
      </c>
      <c r="Q456" s="30"/>
    </row>
    <row r="457">
      <c r="B457" s="6"/>
      <c r="C457" s="33" t="str">
        <f t="array" ref="C457">IF(B457="", "", XLOOKUP(B457, Inventory!D:D,Inventory!E:E,"No Name Found"))</f>
        <v/>
      </c>
      <c r="D457" s="6"/>
      <c r="E457" s="6"/>
      <c r="F457" s="6"/>
      <c r="G457" s="24" t="str">
        <f>IF(F457="", "", VLOOKUP(F457, Inventory!A:BZ, 3, FALSE) - SUMIF($F$1:$F456, F457, $H$1:$H456))
</f>
        <v/>
      </c>
      <c r="I457" s="26"/>
      <c r="J457" s="26" t="s">
        <v>77</v>
      </c>
      <c r="L457" s="27" t="s">
        <v>77</v>
      </c>
      <c r="N457" s="28" t="s">
        <v>77</v>
      </c>
      <c r="Q457" s="30"/>
    </row>
    <row r="458">
      <c r="B458" s="6"/>
      <c r="C458" s="33" t="str">
        <f t="array" ref="C458">IF(B458="", "", XLOOKUP(B458, Inventory!D:D,Inventory!E:E,"No Name Found"))</f>
        <v/>
      </c>
      <c r="D458" s="6"/>
      <c r="E458" s="6"/>
      <c r="F458" s="6"/>
      <c r="G458" s="24" t="str">
        <f>IF(F458="", "", VLOOKUP(F458, Inventory!A:BZ, 3, FALSE) - SUMIF($F$1:$F457, F458, $H$1:$H457))
</f>
        <v/>
      </c>
      <c r="I458" s="26"/>
      <c r="J458" s="26" t="s">
        <v>77</v>
      </c>
      <c r="L458" s="27" t="s">
        <v>77</v>
      </c>
      <c r="N458" s="28" t="s">
        <v>77</v>
      </c>
      <c r="Q458" s="30"/>
    </row>
    <row r="459">
      <c r="B459" s="6"/>
      <c r="C459" s="33" t="str">
        <f t="array" ref="C459">IF(B459="", "", XLOOKUP(B459, Inventory!D:D,Inventory!E:E,"No Name Found"))</f>
        <v/>
      </c>
      <c r="D459" s="6"/>
      <c r="E459" s="6"/>
      <c r="F459" s="6"/>
      <c r="G459" s="24" t="str">
        <f>IF(F459="", "", VLOOKUP(F459, Inventory!A:BZ, 3, FALSE) - SUMIF($F$1:$F458, F459, $H$1:$H458))
</f>
        <v/>
      </c>
      <c r="I459" s="26"/>
      <c r="J459" s="26" t="s">
        <v>77</v>
      </c>
      <c r="L459" s="27" t="s">
        <v>77</v>
      </c>
      <c r="N459" s="28" t="s">
        <v>77</v>
      </c>
      <c r="Q459" s="30"/>
    </row>
    <row r="460">
      <c r="B460" s="6"/>
      <c r="C460" s="33" t="str">
        <f t="array" ref="C460">IF(B460="", "", XLOOKUP(B460, Inventory!D:D,Inventory!E:E,"No Name Found"))</f>
        <v/>
      </c>
      <c r="D460" s="6"/>
      <c r="E460" s="6"/>
      <c r="F460" s="6"/>
      <c r="G460" s="24" t="str">
        <f>IF(F460="", "", VLOOKUP(F460, Inventory!A:BZ, 3, FALSE) - SUMIF($F$1:$F459, F460, $H$1:$H459))
</f>
        <v/>
      </c>
      <c r="I460" s="26"/>
      <c r="J460" s="26" t="s">
        <v>77</v>
      </c>
      <c r="L460" s="27" t="s">
        <v>77</v>
      </c>
      <c r="N460" s="28" t="s">
        <v>77</v>
      </c>
      <c r="Q460" s="30"/>
    </row>
    <row r="461">
      <c r="B461" s="6"/>
      <c r="C461" s="33" t="str">
        <f t="array" ref="C461">IF(B461="", "", XLOOKUP(B461, Inventory!D:D,Inventory!E:E,"No Name Found"))</f>
        <v/>
      </c>
      <c r="D461" s="6"/>
      <c r="E461" s="6"/>
      <c r="F461" s="6"/>
      <c r="G461" s="24" t="str">
        <f>IF(F461="", "", VLOOKUP(F461, Inventory!A:BZ, 3, FALSE) - SUMIF($F$1:$F460, F461, $H$1:$H460))
</f>
        <v/>
      </c>
      <c r="I461" s="26"/>
      <c r="J461" s="26" t="s">
        <v>77</v>
      </c>
      <c r="L461" s="27" t="s">
        <v>77</v>
      </c>
      <c r="N461" s="28" t="s">
        <v>77</v>
      </c>
      <c r="Q461" s="30"/>
    </row>
    <row r="462">
      <c r="B462" s="6"/>
      <c r="C462" s="33" t="str">
        <f t="array" ref="C462">IF(B462="", "", XLOOKUP(B462, Inventory!D:D,Inventory!E:E,"No Name Found"))</f>
        <v/>
      </c>
      <c r="D462" s="6"/>
      <c r="E462" s="6"/>
      <c r="F462" s="6"/>
      <c r="G462" s="24" t="str">
        <f>IF(F462="", "", VLOOKUP(F462, Inventory!A:BZ, 3, FALSE) - SUMIF($F$1:$F461, F462, $H$1:$H461))
</f>
        <v/>
      </c>
      <c r="I462" s="26"/>
      <c r="J462" s="26" t="s">
        <v>77</v>
      </c>
      <c r="L462" s="27" t="s">
        <v>77</v>
      </c>
      <c r="N462" s="28" t="s">
        <v>77</v>
      </c>
      <c r="Q462" s="30"/>
    </row>
    <row r="463">
      <c r="B463" s="6"/>
      <c r="C463" s="33" t="str">
        <f t="array" ref="C463">IF(B463="", "", XLOOKUP(B463, Inventory!D:D,Inventory!E:E,"No Name Found"))</f>
        <v/>
      </c>
      <c r="D463" s="6"/>
      <c r="E463" s="6"/>
      <c r="F463" s="6"/>
      <c r="G463" s="24" t="str">
        <f>IF(F463="", "", VLOOKUP(F463, Inventory!A:BZ, 3, FALSE) - SUMIF($F$1:$F462, F463, $H$1:$H462))
</f>
        <v/>
      </c>
      <c r="I463" s="26"/>
      <c r="J463" s="26" t="s">
        <v>77</v>
      </c>
      <c r="L463" s="27" t="s">
        <v>77</v>
      </c>
      <c r="N463" s="28" t="s">
        <v>77</v>
      </c>
      <c r="Q463" s="30"/>
    </row>
    <row r="464">
      <c r="B464" s="6"/>
      <c r="C464" s="33" t="str">
        <f t="array" ref="C464">IF(B464="", "", XLOOKUP(B464, Inventory!D:D,Inventory!E:E,"No Name Found"))</f>
        <v/>
      </c>
      <c r="D464" s="6"/>
      <c r="E464" s="6"/>
      <c r="F464" s="6"/>
      <c r="G464" s="24" t="str">
        <f>IF(F464="", "", VLOOKUP(F464, Inventory!A:BZ, 3, FALSE) - SUMIF($F$1:$F463, F464, $H$1:$H463))
</f>
        <v/>
      </c>
      <c r="I464" s="26"/>
      <c r="J464" s="26" t="s">
        <v>77</v>
      </c>
      <c r="L464" s="27" t="s">
        <v>77</v>
      </c>
      <c r="N464" s="28" t="s">
        <v>77</v>
      </c>
      <c r="Q464" s="30"/>
    </row>
    <row r="465">
      <c r="B465" s="6"/>
      <c r="C465" s="33" t="str">
        <f t="array" ref="C465">IF(B465="", "", XLOOKUP(B465, Inventory!D:D,Inventory!E:E,"No Name Found"))</f>
        <v/>
      </c>
      <c r="D465" s="6"/>
      <c r="E465" s="6"/>
      <c r="F465" s="6"/>
      <c r="G465" s="24" t="str">
        <f>IF(F465="", "", VLOOKUP(F465, Inventory!A:BZ, 3, FALSE) - SUMIF($F$1:$F464, F465, $H$1:$H464))
</f>
        <v/>
      </c>
      <c r="I465" s="26"/>
      <c r="J465" s="26" t="s">
        <v>77</v>
      </c>
      <c r="L465" s="27" t="s">
        <v>77</v>
      </c>
      <c r="N465" s="28" t="s">
        <v>77</v>
      </c>
      <c r="Q465" s="30"/>
    </row>
    <row r="466">
      <c r="B466" s="6"/>
      <c r="C466" s="33" t="str">
        <f t="array" ref="C466">IF(B466="", "", XLOOKUP(B466, Inventory!D:D,Inventory!E:E,"No Name Found"))</f>
        <v/>
      </c>
      <c r="D466" s="6"/>
      <c r="E466" s="6"/>
      <c r="F466" s="6"/>
      <c r="G466" s="24" t="str">
        <f>IF(F466="", "", VLOOKUP(F466, Inventory!A:BZ, 3, FALSE) - SUMIF($F$1:$F465, F466, $H$1:$H465))
</f>
        <v/>
      </c>
      <c r="I466" s="26"/>
      <c r="J466" s="26" t="s">
        <v>77</v>
      </c>
      <c r="L466" s="27" t="s">
        <v>77</v>
      </c>
      <c r="N466" s="28" t="s">
        <v>77</v>
      </c>
      <c r="Q466" s="30"/>
    </row>
    <row r="467">
      <c r="B467" s="6"/>
      <c r="C467" s="33" t="str">
        <f t="array" ref="C467">IF(B467="", "", XLOOKUP(B467, Inventory!D:D,Inventory!E:E,"No Name Found"))</f>
        <v/>
      </c>
      <c r="D467" s="6"/>
      <c r="E467" s="6"/>
      <c r="F467" s="6"/>
      <c r="G467" s="24" t="str">
        <f>IF(F467="", "", VLOOKUP(F467, Inventory!A:BZ, 3, FALSE) - SUMIF($F$1:$F466, F467, $H$1:$H466))
</f>
        <v/>
      </c>
      <c r="I467" s="26"/>
      <c r="J467" s="26" t="s">
        <v>77</v>
      </c>
      <c r="L467" s="27" t="s">
        <v>77</v>
      </c>
      <c r="N467" s="28" t="s">
        <v>77</v>
      </c>
      <c r="Q467" s="30"/>
    </row>
    <row r="468">
      <c r="B468" s="6"/>
      <c r="C468" s="33" t="str">
        <f t="array" ref="C468">IF(B468="", "", XLOOKUP(B468, Inventory!D:D,Inventory!E:E,"No Name Found"))</f>
        <v/>
      </c>
      <c r="D468" s="6"/>
      <c r="E468" s="6"/>
      <c r="F468" s="6"/>
      <c r="G468" s="24" t="str">
        <f>IF(F468="", "", VLOOKUP(F468, Inventory!A:BZ, 3, FALSE) - SUMIF($F$1:$F467, F468, $H$1:$H467))
</f>
        <v/>
      </c>
      <c r="I468" s="26"/>
      <c r="J468" s="26" t="s">
        <v>77</v>
      </c>
      <c r="L468" s="27" t="s">
        <v>77</v>
      </c>
      <c r="N468" s="28" t="s">
        <v>77</v>
      </c>
      <c r="Q468" s="30"/>
    </row>
    <row r="469">
      <c r="B469" s="6"/>
      <c r="C469" s="33" t="str">
        <f t="array" ref="C469">IF(B469="", "", XLOOKUP(B469, Inventory!D:D,Inventory!E:E,"No Name Found"))</f>
        <v/>
      </c>
      <c r="D469" s="6"/>
      <c r="E469" s="6"/>
      <c r="F469" s="6"/>
      <c r="G469" s="24" t="str">
        <f>IF(F469="", "", VLOOKUP(F469, Inventory!A:BZ, 3, FALSE) - SUMIF($F$1:$F468, F469, $H$1:$H468))
</f>
        <v/>
      </c>
      <c r="I469" s="26"/>
      <c r="J469" s="26" t="s">
        <v>77</v>
      </c>
      <c r="L469" s="27" t="s">
        <v>77</v>
      </c>
      <c r="N469" s="28" t="s">
        <v>77</v>
      </c>
      <c r="Q469" s="30"/>
    </row>
    <row r="470">
      <c r="B470" s="6"/>
      <c r="C470" s="33" t="str">
        <f t="array" ref="C470">IF(B470="", "", XLOOKUP(B470, Inventory!D:D,Inventory!E:E,"No Name Found"))</f>
        <v/>
      </c>
      <c r="D470" s="6"/>
      <c r="E470" s="6"/>
      <c r="F470" s="6"/>
      <c r="G470" s="24" t="str">
        <f>IF(F470="", "", VLOOKUP(F470, Inventory!A:BZ, 3, FALSE) - SUMIF($F$1:$F469, F470, $H$1:$H469))
</f>
        <v/>
      </c>
      <c r="I470" s="26"/>
      <c r="J470" s="26" t="s">
        <v>77</v>
      </c>
      <c r="L470" s="27" t="s">
        <v>77</v>
      </c>
      <c r="N470" s="28" t="s">
        <v>77</v>
      </c>
      <c r="Q470" s="30"/>
    </row>
    <row r="471">
      <c r="B471" s="6"/>
      <c r="C471" s="33" t="str">
        <f t="array" ref="C471">IF(B471="", "", XLOOKUP(B471, Inventory!D:D,Inventory!E:E,"No Name Found"))</f>
        <v/>
      </c>
      <c r="D471" s="6"/>
      <c r="E471" s="6"/>
      <c r="F471" s="6"/>
      <c r="G471" s="24" t="str">
        <f>IF(F471="", "", VLOOKUP(F471, Inventory!A:BZ, 3, FALSE) - SUMIF($F$1:$F470, F471, $H$1:$H470))
</f>
        <v/>
      </c>
      <c r="I471" s="26"/>
      <c r="J471" s="26" t="s">
        <v>77</v>
      </c>
      <c r="L471" s="27" t="s">
        <v>77</v>
      </c>
      <c r="N471" s="28" t="s">
        <v>77</v>
      </c>
      <c r="Q471" s="30"/>
    </row>
    <row r="472">
      <c r="B472" s="6"/>
      <c r="C472" s="33" t="str">
        <f t="array" ref="C472">IF(B472="", "", XLOOKUP(B472, Inventory!D:D,Inventory!E:E,"No Name Found"))</f>
        <v/>
      </c>
      <c r="D472" s="6"/>
      <c r="E472" s="6"/>
      <c r="F472" s="6"/>
      <c r="G472" s="24" t="str">
        <f>IF(F472="", "", VLOOKUP(F472, Inventory!A:BZ, 3, FALSE) - SUMIF($F$1:$F471, F472, $H$1:$H471))
</f>
        <v/>
      </c>
      <c r="I472" s="26"/>
      <c r="J472" s="26" t="s">
        <v>77</v>
      </c>
      <c r="L472" s="27" t="s">
        <v>77</v>
      </c>
      <c r="N472" s="28" t="s">
        <v>77</v>
      </c>
      <c r="Q472" s="30"/>
    </row>
    <row r="473">
      <c r="B473" s="6"/>
      <c r="C473" s="33" t="str">
        <f t="array" ref="C473">IF(B473="", "", XLOOKUP(B473, Inventory!D:D,Inventory!E:E,"No Name Found"))</f>
        <v/>
      </c>
      <c r="D473" s="6"/>
      <c r="E473" s="6"/>
      <c r="F473" s="6"/>
      <c r="G473" s="24" t="str">
        <f>IF(F473="", "", VLOOKUP(F473, Inventory!A:BZ, 3, FALSE) - SUMIF($F$1:$F472, F473, $H$1:$H472))
</f>
        <v/>
      </c>
      <c r="I473" s="26"/>
      <c r="J473" s="26" t="s">
        <v>77</v>
      </c>
      <c r="L473" s="27" t="s">
        <v>77</v>
      </c>
      <c r="N473" s="28" t="s">
        <v>77</v>
      </c>
      <c r="Q473" s="30"/>
    </row>
    <row r="474">
      <c r="B474" s="6"/>
      <c r="C474" s="33" t="str">
        <f t="array" ref="C474">IF(B474="", "", XLOOKUP(B474, Inventory!D:D,Inventory!E:E,"No Name Found"))</f>
        <v/>
      </c>
      <c r="D474" s="6"/>
      <c r="E474" s="6"/>
      <c r="F474" s="6"/>
      <c r="G474" s="24" t="str">
        <f>IF(F474="", "", VLOOKUP(F474, Inventory!A:BZ, 3, FALSE) - SUMIF($F$1:$F473, F474, $H$1:$H473))
</f>
        <v/>
      </c>
      <c r="I474" s="26"/>
      <c r="J474" s="26" t="s">
        <v>77</v>
      </c>
      <c r="L474" s="27" t="s">
        <v>77</v>
      </c>
      <c r="N474" s="28" t="s">
        <v>77</v>
      </c>
      <c r="Q474" s="30"/>
    </row>
    <row r="475">
      <c r="B475" s="6"/>
      <c r="C475" s="33" t="str">
        <f t="array" ref="C475">IF(B475="", "", XLOOKUP(B475, Inventory!D:D,Inventory!E:E,"No Name Found"))</f>
        <v/>
      </c>
      <c r="D475" s="6"/>
      <c r="E475" s="6"/>
      <c r="F475" s="6"/>
      <c r="G475" s="24" t="str">
        <f>IF(F475="", "", VLOOKUP(F475, Inventory!A:BZ, 3, FALSE) - SUMIF($F$1:$F474, F475, $H$1:$H474))
</f>
        <v/>
      </c>
      <c r="I475" s="26"/>
      <c r="J475" s="26" t="s">
        <v>77</v>
      </c>
      <c r="L475" s="27" t="s">
        <v>77</v>
      </c>
      <c r="N475" s="28" t="s">
        <v>77</v>
      </c>
      <c r="Q475" s="30"/>
    </row>
    <row r="476">
      <c r="B476" s="6"/>
      <c r="C476" s="33" t="str">
        <f t="array" ref="C476">IF(B476="", "", XLOOKUP(B476, Inventory!D:D,Inventory!E:E,"No Name Found"))</f>
        <v/>
      </c>
      <c r="D476" s="6"/>
      <c r="E476" s="6"/>
      <c r="F476" s="6"/>
      <c r="G476" s="24" t="str">
        <f>IF(F476="", "", VLOOKUP(F476, Inventory!A:BZ, 3, FALSE) - SUMIF($F$1:$F475, F476, $H$1:$H475))
</f>
        <v/>
      </c>
      <c r="I476" s="26"/>
      <c r="J476" s="26" t="s">
        <v>77</v>
      </c>
      <c r="L476" s="27" t="s">
        <v>77</v>
      </c>
      <c r="N476" s="28" t="s">
        <v>77</v>
      </c>
      <c r="Q476" s="30"/>
    </row>
    <row r="477">
      <c r="B477" s="6"/>
      <c r="C477" s="33" t="str">
        <f t="array" ref="C477">IF(B477="", "", XLOOKUP(B477, Inventory!D:D,Inventory!E:E,"No Name Found"))</f>
        <v/>
      </c>
      <c r="D477" s="6"/>
      <c r="E477" s="6"/>
      <c r="F477" s="6"/>
      <c r="G477" s="24" t="str">
        <f>IF(F477="", "", VLOOKUP(F477, Inventory!A:BZ, 3, FALSE) - SUMIF($F$1:$F476, F477, $H$1:$H476))
</f>
        <v/>
      </c>
      <c r="I477" s="26"/>
      <c r="J477" s="26" t="s">
        <v>77</v>
      </c>
      <c r="L477" s="27" t="s">
        <v>77</v>
      </c>
      <c r="N477" s="28" t="s">
        <v>77</v>
      </c>
      <c r="Q477" s="30"/>
    </row>
    <row r="478">
      <c r="B478" s="6"/>
      <c r="C478" s="33" t="str">
        <f t="array" ref="C478">IF(B478="", "", XLOOKUP(B478, Inventory!D:D,Inventory!E:E,"No Name Found"))</f>
        <v/>
      </c>
      <c r="D478" s="6"/>
      <c r="E478" s="6"/>
      <c r="F478" s="6"/>
      <c r="G478" s="24" t="str">
        <f>IF(F478="", "", VLOOKUP(F478, Inventory!A:BZ, 3, FALSE) - SUMIF($F$1:$F477, F478, $H$1:$H477))
</f>
        <v/>
      </c>
      <c r="I478" s="26"/>
      <c r="J478" s="26" t="s">
        <v>77</v>
      </c>
      <c r="L478" s="27" t="s">
        <v>77</v>
      </c>
      <c r="N478" s="28" t="s">
        <v>77</v>
      </c>
      <c r="Q478" s="30"/>
    </row>
    <row r="479">
      <c r="B479" s="6"/>
      <c r="C479" s="33" t="str">
        <f t="array" ref="C479">IF(B479="", "", XLOOKUP(B479, Inventory!D:D,Inventory!E:E,"No Name Found"))</f>
        <v/>
      </c>
      <c r="D479" s="6"/>
      <c r="E479" s="6"/>
      <c r="F479" s="6"/>
      <c r="G479" s="24" t="str">
        <f>IF(F479="", "", VLOOKUP(F479, Inventory!A:BZ, 3, FALSE) - SUMIF($F$1:$F478, F479, $H$1:$H478))
</f>
        <v/>
      </c>
      <c r="I479" s="26"/>
      <c r="J479" s="26" t="s">
        <v>77</v>
      </c>
      <c r="L479" s="27" t="s">
        <v>77</v>
      </c>
      <c r="N479" s="28" t="s">
        <v>77</v>
      </c>
      <c r="Q479" s="30"/>
    </row>
    <row r="480">
      <c r="B480" s="6"/>
      <c r="C480" s="33" t="str">
        <f t="array" ref="C480">IF(B480="", "", XLOOKUP(B480, Inventory!D:D,Inventory!E:E,"No Name Found"))</f>
        <v/>
      </c>
      <c r="D480" s="6"/>
      <c r="E480" s="6"/>
      <c r="F480" s="6"/>
      <c r="G480" s="24" t="str">
        <f>IF(F480="", "", VLOOKUP(F480, Inventory!A:BZ, 3, FALSE) - SUMIF($F$1:$F479, F480, $H$1:$H479))
</f>
        <v/>
      </c>
      <c r="I480" s="26"/>
      <c r="J480" s="26" t="s">
        <v>77</v>
      </c>
      <c r="L480" s="27" t="s">
        <v>77</v>
      </c>
      <c r="N480" s="28" t="s">
        <v>77</v>
      </c>
      <c r="Q480" s="30"/>
    </row>
    <row r="481">
      <c r="B481" s="6"/>
      <c r="C481" s="33" t="str">
        <f t="array" ref="C481">IF(B481="", "", XLOOKUP(B481, Inventory!D:D,Inventory!E:E,"No Name Found"))</f>
        <v/>
      </c>
      <c r="D481" s="6"/>
      <c r="E481" s="6"/>
      <c r="F481" s="6"/>
      <c r="G481" s="24" t="str">
        <f>IF(F481="", "", VLOOKUP(F481, Inventory!A:BZ, 3, FALSE) - SUMIF($F$1:$F480, F481, $H$1:$H480))
</f>
        <v/>
      </c>
      <c r="I481" s="26"/>
      <c r="J481" s="26" t="s">
        <v>77</v>
      </c>
      <c r="L481" s="27" t="s">
        <v>77</v>
      </c>
      <c r="N481" s="28" t="s">
        <v>77</v>
      </c>
      <c r="Q481" s="30"/>
    </row>
    <row r="482">
      <c r="B482" s="6"/>
      <c r="C482" s="33" t="str">
        <f t="array" ref="C482">IF(B482="", "", XLOOKUP(B482, Inventory!D:D,Inventory!E:E,"No Name Found"))</f>
        <v/>
      </c>
      <c r="D482" s="6"/>
      <c r="E482" s="6"/>
      <c r="F482" s="6"/>
      <c r="G482" s="24" t="str">
        <f>IF(F482="", "", VLOOKUP(F482, Inventory!A:BZ, 3, FALSE) - SUMIF($F$1:$F481, F482, $H$1:$H481))
</f>
        <v/>
      </c>
      <c r="I482" s="26"/>
      <c r="J482" s="26" t="s">
        <v>77</v>
      </c>
      <c r="L482" s="27" t="s">
        <v>77</v>
      </c>
      <c r="N482" s="28" t="s">
        <v>77</v>
      </c>
      <c r="Q482" s="30"/>
    </row>
    <row r="483">
      <c r="B483" s="6"/>
      <c r="C483" s="33" t="str">
        <f t="array" ref="C483">IF(B483="", "", XLOOKUP(B483, Inventory!D:D,Inventory!E:E,"No Name Found"))</f>
        <v/>
      </c>
      <c r="D483" s="6"/>
      <c r="E483" s="6"/>
      <c r="F483" s="6"/>
      <c r="G483" s="24" t="str">
        <f>IF(F483="", "", VLOOKUP(F483, Inventory!A:BZ, 3, FALSE) - SUMIF($F$1:$F482, F483, $H$1:$H482))
</f>
        <v/>
      </c>
      <c r="I483" s="26"/>
      <c r="J483" s="26" t="s">
        <v>77</v>
      </c>
      <c r="L483" s="27" t="s">
        <v>77</v>
      </c>
      <c r="N483" s="28" t="s">
        <v>77</v>
      </c>
      <c r="Q483" s="30"/>
    </row>
    <row r="484">
      <c r="B484" s="6"/>
      <c r="C484" s="33" t="str">
        <f t="array" ref="C484">IF(B484="", "", XLOOKUP(B484, Inventory!D:D,Inventory!E:E,"No Name Found"))</f>
        <v/>
      </c>
      <c r="D484" s="6"/>
      <c r="E484" s="6"/>
      <c r="F484" s="6"/>
      <c r="G484" s="24" t="str">
        <f>IF(F484="", "", VLOOKUP(F484, Inventory!A:BZ, 3, FALSE) - SUMIF($F$1:$F483, F484, $H$1:$H483))
</f>
        <v/>
      </c>
      <c r="I484" s="26"/>
      <c r="J484" s="26" t="s">
        <v>77</v>
      </c>
      <c r="L484" s="27" t="s">
        <v>77</v>
      </c>
      <c r="N484" s="28" t="s">
        <v>77</v>
      </c>
      <c r="Q484" s="30"/>
    </row>
    <row r="485">
      <c r="B485" s="6"/>
      <c r="C485" s="33" t="str">
        <f t="array" ref="C485">IF(B485="", "", XLOOKUP(B485, Inventory!D:D,Inventory!E:E,"No Name Found"))</f>
        <v/>
      </c>
      <c r="D485" s="6"/>
      <c r="E485" s="6"/>
      <c r="F485" s="6"/>
      <c r="G485" s="24" t="str">
        <f>IF(F485="", "", VLOOKUP(F485, Inventory!A:BZ, 3, FALSE) - SUMIF($F$1:$F484, F485, $H$1:$H484))
</f>
        <v/>
      </c>
      <c r="I485" s="26"/>
      <c r="J485" s="26" t="s">
        <v>77</v>
      </c>
      <c r="L485" s="27" t="s">
        <v>77</v>
      </c>
      <c r="N485" s="28" t="s">
        <v>77</v>
      </c>
      <c r="Q485" s="30"/>
    </row>
    <row r="486">
      <c r="B486" s="6"/>
      <c r="C486" s="33" t="str">
        <f t="array" ref="C486">IF(B486="", "", XLOOKUP(B486, Inventory!D:D,Inventory!E:E,"No Name Found"))</f>
        <v/>
      </c>
      <c r="D486" s="6"/>
      <c r="E486" s="6"/>
      <c r="F486" s="6"/>
      <c r="G486" s="24" t="str">
        <f>IF(F486="", "", VLOOKUP(F486, Inventory!A:BZ, 3, FALSE) - SUMIF($F$1:$F485, F486, $H$1:$H485))
</f>
        <v/>
      </c>
      <c r="I486" s="26"/>
      <c r="J486" s="26" t="s">
        <v>77</v>
      </c>
      <c r="L486" s="27" t="s">
        <v>77</v>
      </c>
      <c r="N486" s="28" t="s">
        <v>77</v>
      </c>
      <c r="Q486" s="30"/>
    </row>
    <row r="487">
      <c r="B487" s="6"/>
      <c r="C487" s="33" t="str">
        <f t="array" ref="C487">IF(B487="", "", XLOOKUP(B487, Inventory!D:D,Inventory!E:E,"No Name Found"))</f>
        <v/>
      </c>
      <c r="D487" s="6"/>
      <c r="E487" s="6"/>
      <c r="F487" s="6"/>
      <c r="G487" s="24" t="str">
        <f>IF(F487="", "", VLOOKUP(F487, Inventory!A:BZ, 3, FALSE) - SUMIF($F$1:$F486, F487, $H$1:$H486))
</f>
        <v/>
      </c>
      <c r="I487" s="26"/>
      <c r="J487" s="26" t="s">
        <v>77</v>
      </c>
      <c r="L487" s="27" t="s">
        <v>77</v>
      </c>
      <c r="N487" s="28" t="s">
        <v>77</v>
      </c>
      <c r="Q487" s="30"/>
    </row>
    <row r="488">
      <c r="B488" s="6"/>
      <c r="C488" s="33" t="str">
        <f t="array" ref="C488">IF(B488="", "", XLOOKUP(B488, Inventory!D:D,Inventory!E:E,"No Name Found"))</f>
        <v/>
      </c>
      <c r="D488" s="6"/>
      <c r="E488" s="6"/>
      <c r="F488" s="6"/>
      <c r="G488" s="24" t="str">
        <f>IF(F488="", "", VLOOKUP(F488, Inventory!A:BZ, 3, FALSE) - SUMIF($F$1:$F487, F488, $H$1:$H487))
</f>
        <v/>
      </c>
      <c r="I488" s="26"/>
      <c r="J488" s="26" t="s">
        <v>77</v>
      </c>
      <c r="L488" s="27" t="s">
        <v>77</v>
      </c>
      <c r="N488" s="28" t="s">
        <v>77</v>
      </c>
      <c r="Q488" s="30"/>
    </row>
    <row r="489">
      <c r="B489" s="6"/>
      <c r="C489" s="33" t="str">
        <f t="array" ref="C489">IF(B489="", "", XLOOKUP(B489, Inventory!D:D,Inventory!E:E,"No Name Found"))</f>
        <v/>
      </c>
      <c r="D489" s="6"/>
      <c r="E489" s="6"/>
      <c r="F489" s="6"/>
      <c r="G489" s="24" t="str">
        <f>IF(F489="", "", VLOOKUP(F489, Inventory!A:BZ, 3, FALSE) - SUMIF($F$1:$F488, F489, $H$1:$H488))
</f>
        <v/>
      </c>
      <c r="I489" s="26"/>
      <c r="J489" s="26" t="s">
        <v>77</v>
      </c>
      <c r="L489" s="27" t="s">
        <v>77</v>
      </c>
      <c r="N489" s="28" t="s">
        <v>77</v>
      </c>
      <c r="Q489" s="30"/>
    </row>
    <row r="490">
      <c r="B490" s="6"/>
      <c r="C490" s="33" t="str">
        <f t="array" ref="C490">IF(B490="", "", XLOOKUP(B490, Inventory!D:D,Inventory!E:E,"No Name Found"))</f>
        <v/>
      </c>
      <c r="D490" s="6"/>
      <c r="E490" s="6"/>
      <c r="F490" s="6"/>
      <c r="G490" s="24" t="str">
        <f>IF(F490="", "", VLOOKUP(F490, Inventory!A:BZ, 3, FALSE) - SUMIF($F$1:$F489, F490, $H$1:$H489))
</f>
        <v/>
      </c>
      <c r="I490" s="26"/>
      <c r="J490" s="26" t="s">
        <v>77</v>
      </c>
      <c r="L490" s="27" t="s">
        <v>77</v>
      </c>
      <c r="N490" s="28" t="s">
        <v>77</v>
      </c>
      <c r="Q490" s="30"/>
    </row>
    <row r="491">
      <c r="B491" s="6"/>
      <c r="C491" s="33" t="str">
        <f t="array" ref="C491">IF(B491="", "", XLOOKUP(B491, Inventory!D:D,Inventory!E:E,"No Name Found"))</f>
        <v/>
      </c>
      <c r="D491" s="6"/>
      <c r="E491" s="6"/>
      <c r="F491" s="6"/>
      <c r="G491" s="24" t="str">
        <f>IF(F491="", "", VLOOKUP(F491, Inventory!A:BZ, 3, FALSE) - SUMIF($F$1:$F490, F491, $H$1:$H490))
</f>
        <v/>
      </c>
      <c r="I491" s="26"/>
      <c r="J491" s="26" t="s">
        <v>77</v>
      </c>
      <c r="L491" s="27" t="s">
        <v>77</v>
      </c>
      <c r="N491" s="28" t="s">
        <v>77</v>
      </c>
      <c r="Q491" s="30"/>
    </row>
    <row r="492">
      <c r="B492" s="6"/>
      <c r="C492" s="33" t="str">
        <f t="array" ref="C492">IF(B492="", "", XLOOKUP(B492, Inventory!D:D,Inventory!E:E,"No Name Found"))</f>
        <v/>
      </c>
      <c r="D492" s="6"/>
      <c r="E492" s="6"/>
      <c r="F492" s="6"/>
      <c r="G492" s="24" t="str">
        <f>IF(F492="", "", VLOOKUP(F492, Inventory!A:BZ, 3, FALSE) - SUMIF($F$1:$F491, F492, $H$1:$H491))
</f>
        <v/>
      </c>
      <c r="I492" s="26"/>
      <c r="J492" s="26" t="s">
        <v>77</v>
      </c>
      <c r="L492" s="27" t="s">
        <v>77</v>
      </c>
      <c r="N492" s="28" t="s">
        <v>77</v>
      </c>
      <c r="Q492" s="30"/>
    </row>
    <row r="493">
      <c r="B493" s="6"/>
      <c r="C493" s="33" t="str">
        <f t="array" ref="C493">IF(B493="", "", XLOOKUP(B493, Inventory!D:D,Inventory!E:E,"No Name Found"))</f>
        <v/>
      </c>
      <c r="D493" s="6"/>
      <c r="E493" s="6"/>
      <c r="F493" s="6"/>
      <c r="G493" s="24" t="str">
        <f>IF(F493="", "", VLOOKUP(F493, Inventory!A:BZ, 3, FALSE) - SUMIF($F$1:$F492, F493, $H$1:$H492))
</f>
        <v/>
      </c>
      <c r="I493" s="26"/>
      <c r="J493" s="26" t="s">
        <v>77</v>
      </c>
      <c r="L493" s="27" t="s">
        <v>77</v>
      </c>
      <c r="N493" s="28" t="s">
        <v>77</v>
      </c>
      <c r="Q493" s="30"/>
    </row>
    <row r="494">
      <c r="B494" s="6"/>
      <c r="C494" s="33" t="str">
        <f t="array" ref="C494">IF(B494="", "", XLOOKUP(B494, Inventory!D:D,Inventory!E:E,"No Name Found"))</f>
        <v/>
      </c>
      <c r="D494" s="6"/>
      <c r="E494" s="6"/>
      <c r="F494" s="6"/>
      <c r="G494" s="24" t="str">
        <f>IF(F494="", "", VLOOKUP(F494, Inventory!A:BZ, 3, FALSE) - SUMIF($F$1:$F493, F494, $H$1:$H493))
</f>
        <v/>
      </c>
      <c r="I494" s="26"/>
      <c r="J494" s="26" t="s">
        <v>77</v>
      </c>
      <c r="L494" s="27" t="s">
        <v>77</v>
      </c>
      <c r="N494" s="28" t="s">
        <v>77</v>
      </c>
      <c r="Q494" s="30"/>
    </row>
    <row r="495">
      <c r="B495" s="6"/>
      <c r="C495" s="33" t="str">
        <f t="array" ref="C495">IF(B495="", "", XLOOKUP(B495, Inventory!D:D,Inventory!E:E,"No Name Found"))</f>
        <v/>
      </c>
      <c r="D495" s="6"/>
      <c r="E495" s="6"/>
      <c r="F495" s="6"/>
      <c r="G495" s="24" t="str">
        <f>IF(F495="", "", VLOOKUP(F495, Inventory!A:BZ, 3, FALSE) - SUMIF($F$1:$F494, F495, $H$1:$H494))
</f>
        <v/>
      </c>
      <c r="I495" s="26"/>
      <c r="J495" s="26" t="s">
        <v>77</v>
      </c>
      <c r="L495" s="27" t="s">
        <v>77</v>
      </c>
      <c r="N495" s="28" t="s">
        <v>77</v>
      </c>
      <c r="Q495" s="30"/>
    </row>
    <row r="496">
      <c r="B496" s="6"/>
      <c r="C496" s="33" t="str">
        <f t="array" ref="C496">IF(B496="", "", XLOOKUP(B496, Inventory!D:D,Inventory!E:E,"No Name Found"))</f>
        <v/>
      </c>
      <c r="D496" s="6"/>
      <c r="E496" s="6"/>
      <c r="F496" s="6"/>
      <c r="G496" s="24" t="str">
        <f>IF(F496="", "", VLOOKUP(F496, Inventory!A:BZ, 3, FALSE) - SUMIF($F$1:$F495, F496, $H$1:$H495))
</f>
        <v/>
      </c>
      <c r="I496" s="26"/>
      <c r="J496" s="26" t="s">
        <v>77</v>
      </c>
      <c r="L496" s="27" t="s">
        <v>77</v>
      </c>
      <c r="N496" s="28" t="s">
        <v>77</v>
      </c>
      <c r="Q496" s="30"/>
    </row>
    <row r="497">
      <c r="B497" s="6"/>
      <c r="C497" s="33" t="str">
        <f t="array" ref="C497">IF(B497="", "", XLOOKUP(B497, Inventory!D:D,Inventory!E:E,"No Name Found"))</f>
        <v/>
      </c>
      <c r="D497" s="6"/>
      <c r="E497" s="6"/>
      <c r="F497" s="6"/>
      <c r="G497" s="24" t="str">
        <f>IF(F497="", "", VLOOKUP(F497, Inventory!A:BZ, 3, FALSE) - SUMIF($F$1:$F496, F497, $H$1:$H496))
</f>
        <v/>
      </c>
      <c r="I497" s="26"/>
      <c r="J497" s="26" t="s">
        <v>77</v>
      </c>
      <c r="L497" s="27" t="s">
        <v>77</v>
      </c>
      <c r="N497" s="28" t="s">
        <v>77</v>
      </c>
      <c r="Q497" s="30"/>
    </row>
    <row r="498">
      <c r="B498" s="6"/>
      <c r="C498" s="33" t="str">
        <f t="array" ref="C498">IF(B498="", "", XLOOKUP(B498, Inventory!D:D,Inventory!E:E,"No Name Found"))</f>
        <v/>
      </c>
      <c r="D498" s="6"/>
      <c r="E498" s="6"/>
      <c r="F498" s="6"/>
      <c r="G498" s="24" t="str">
        <f>IF(F498="", "", VLOOKUP(F498, Inventory!A:BZ, 3, FALSE) - SUMIF($F$1:$F497, F498, $H$1:$H497))
</f>
        <v/>
      </c>
      <c r="I498" s="26"/>
      <c r="J498" s="26" t="s">
        <v>77</v>
      </c>
      <c r="L498" s="27" t="s">
        <v>77</v>
      </c>
      <c r="N498" s="28" t="s">
        <v>77</v>
      </c>
      <c r="Q498" s="30"/>
    </row>
    <row r="499">
      <c r="B499" s="6"/>
      <c r="C499" s="33" t="str">
        <f t="array" ref="C499">IF(B499="", "", XLOOKUP(B499, Inventory!D:D,Inventory!E:E,"No Name Found"))</f>
        <v/>
      </c>
      <c r="D499" s="6"/>
      <c r="E499" s="6"/>
      <c r="F499" s="6"/>
      <c r="G499" s="24" t="str">
        <f>IF(F499="", "", VLOOKUP(F499, Inventory!A:BZ, 3, FALSE) - SUMIF($F$1:$F498, F499, $H$1:$H498))
</f>
        <v/>
      </c>
      <c r="I499" s="26"/>
      <c r="J499" s="26" t="s">
        <v>77</v>
      </c>
      <c r="L499" s="27" t="s">
        <v>77</v>
      </c>
      <c r="N499" s="28" t="s">
        <v>77</v>
      </c>
      <c r="Q499" s="30"/>
    </row>
    <row r="500">
      <c r="B500" s="6"/>
      <c r="C500" s="33" t="str">
        <f t="array" ref="C500">IF(B500="", "", XLOOKUP(B500, Inventory!D:D,Inventory!E:E,"No Name Found"))</f>
        <v/>
      </c>
      <c r="D500" s="6"/>
      <c r="E500" s="6"/>
      <c r="F500" s="6"/>
      <c r="G500" s="24" t="str">
        <f>IF(F500="", "", VLOOKUP(F500, Inventory!A:BZ, 3, FALSE) - SUMIF($F$1:$F499, F500, $H$1:$H499))
</f>
        <v/>
      </c>
      <c r="I500" s="26"/>
      <c r="J500" s="26" t="s">
        <v>77</v>
      </c>
      <c r="L500" s="27" t="s">
        <v>77</v>
      </c>
      <c r="N500" s="28" t="s">
        <v>77</v>
      </c>
      <c r="Q500" s="30"/>
    </row>
    <row r="501">
      <c r="B501" s="6"/>
      <c r="C501" s="33" t="str">
        <f t="array" ref="C501">IF(B501="", "", XLOOKUP(B501, Inventory!D:D,Inventory!E:E,"No Name Found"))</f>
        <v/>
      </c>
      <c r="D501" s="6"/>
      <c r="E501" s="6"/>
      <c r="F501" s="6"/>
      <c r="G501" s="24" t="str">
        <f>IF(F501="", "", VLOOKUP(F501, Inventory!A:BZ, 3, FALSE) - SUMIF($F$1:$F500, F501, $H$1:$H500))
</f>
        <v/>
      </c>
      <c r="I501" s="26"/>
      <c r="J501" s="26" t="s">
        <v>77</v>
      </c>
      <c r="L501" s="27" t="s">
        <v>77</v>
      </c>
      <c r="N501" s="28" t="s">
        <v>77</v>
      </c>
      <c r="Q501" s="30"/>
    </row>
    <row r="502">
      <c r="B502" s="6"/>
      <c r="C502" s="33" t="str">
        <f t="array" ref="C502">IF(B502="", "", XLOOKUP(B502, Inventory!D:D,Inventory!E:E,"No Name Found"))</f>
        <v/>
      </c>
      <c r="D502" s="6"/>
      <c r="E502" s="6"/>
      <c r="F502" s="6"/>
      <c r="G502" s="24" t="str">
        <f>IF(F502="", "", VLOOKUP(F502, Inventory!A:BZ, 3, FALSE) - SUMIF($F$1:$F501, F502, $H$1:$H501))
</f>
        <v/>
      </c>
      <c r="I502" s="26"/>
      <c r="J502" s="26" t="s">
        <v>77</v>
      </c>
      <c r="L502" s="27" t="s">
        <v>77</v>
      </c>
      <c r="N502" s="28" t="s">
        <v>77</v>
      </c>
      <c r="Q502" s="30"/>
    </row>
    <row r="503">
      <c r="B503" s="6"/>
      <c r="C503" s="33" t="str">
        <f t="array" ref="C503">IF(B503="", "", XLOOKUP(B503, Inventory!D:D,Inventory!E:E,"No Name Found"))</f>
        <v/>
      </c>
      <c r="D503" s="6"/>
      <c r="E503" s="6"/>
      <c r="F503" s="6"/>
      <c r="G503" s="24" t="str">
        <f>IF(F503="", "", VLOOKUP(F503, Inventory!A:BZ, 3, FALSE) - SUMIF($F$1:$F502, F503, $H$1:$H502))
</f>
        <v/>
      </c>
      <c r="I503" s="26"/>
      <c r="J503" s="26" t="s">
        <v>77</v>
      </c>
      <c r="L503" s="27" t="s">
        <v>77</v>
      </c>
      <c r="N503" s="28" t="s">
        <v>77</v>
      </c>
      <c r="Q503" s="30"/>
    </row>
    <row r="504">
      <c r="B504" s="6"/>
      <c r="C504" s="33" t="str">
        <f t="array" ref="C504">IF(B504="", "", XLOOKUP(B504, Inventory!D:D,Inventory!E:E,"No Name Found"))</f>
        <v/>
      </c>
      <c r="D504" s="6"/>
      <c r="E504" s="6"/>
      <c r="F504" s="6"/>
      <c r="G504" s="24" t="str">
        <f>IF(F504="", "", VLOOKUP(F504, Inventory!A:BZ, 3, FALSE) - SUMIF($F$1:$F503, F504, $H$1:$H503))
</f>
        <v/>
      </c>
      <c r="I504" s="26"/>
      <c r="J504" s="26" t="s">
        <v>77</v>
      </c>
      <c r="L504" s="27" t="s">
        <v>77</v>
      </c>
      <c r="N504" s="28" t="s">
        <v>77</v>
      </c>
      <c r="Q504" s="30"/>
    </row>
    <row r="505">
      <c r="B505" s="6"/>
      <c r="C505" s="33" t="str">
        <f t="array" ref="C505">IF(B505="", "", XLOOKUP(B505, Inventory!D:D,Inventory!E:E,"No Name Found"))</f>
        <v/>
      </c>
      <c r="D505" s="6"/>
      <c r="E505" s="6"/>
      <c r="F505" s="6"/>
      <c r="G505" s="24" t="str">
        <f>IF(F505="", "", VLOOKUP(F505, Inventory!A:BZ, 3, FALSE) - SUMIF($F$1:$F504, F505, $H$1:$H504))
</f>
        <v/>
      </c>
      <c r="I505" s="26"/>
      <c r="J505" s="26" t="s">
        <v>77</v>
      </c>
      <c r="L505" s="27" t="s">
        <v>77</v>
      </c>
      <c r="N505" s="28" t="s">
        <v>77</v>
      </c>
      <c r="Q505" s="30"/>
    </row>
    <row r="506">
      <c r="B506" s="6"/>
      <c r="C506" s="33" t="str">
        <f t="array" ref="C506">IF(B506="", "", XLOOKUP(B506, Inventory!D:D,Inventory!E:E,"No Name Found"))</f>
        <v/>
      </c>
      <c r="D506" s="6"/>
      <c r="E506" s="6"/>
      <c r="F506" s="6"/>
      <c r="G506" s="24" t="str">
        <f>IF(F506="", "", VLOOKUP(F506, Inventory!A:BZ, 3, FALSE) - SUMIF($F$1:$F505, F506, $H$1:$H505))
</f>
        <v/>
      </c>
      <c r="I506" s="26"/>
      <c r="J506" s="26" t="s">
        <v>77</v>
      </c>
      <c r="L506" s="27" t="s">
        <v>77</v>
      </c>
      <c r="N506" s="28" t="s">
        <v>77</v>
      </c>
      <c r="Q506" s="30"/>
    </row>
    <row r="507">
      <c r="B507" s="6"/>
      <c r="C507" s="33" t="str">
        <f t="array" ref="C507">IF(B507="", "", XLOOKUP(B507, Inventory!D:D,Inventory!E:E,"No Name Found"))</f>
        <v/>
      </c>
      <c r="D507" s="6"/>
      <c r="E507" s="6"/>
      <c r="F507" s="6"/>
      <c r="G507" s="24" t="str">
        <f>IF(F507="", "", VLOOKUP(F507, Inventory!A:BZ, 3, FALSE) - SUMIF($F$1:$F506, F507, $H$1:$H506))
</f>
        <v/>
      </c>
      <c r="I507" s="26"/>
      <c r="J507" s="26" t="s">
        <v>77</v>
      </c>
      <c r="L507" s="27" t="s">
        <v>77</v>
      </c>
      <c r="N507" s="28" t="s">
        <v>77</v>
      </c>
      <c r="Q507" s="30"/>
    </row>
    <row r="508">
      <c r="B508" s="6"/>
      <c r="C508" s="33" t="str">
        <f t="array" ref="C508">IF(B508="", "", XLOOKUP(B508, Inventory!D:D,Inventory!E:E,"No Name Found"))</f>
        <v/>
      </c>
      <c r="D508" s="6"/>
      <c r="E508" s="6"/>
      <c r="F508" s="6"/>
      <c r="G508" s="24" t="str">
        <f>IF(F508="", "", VLOOKUP(F508, Inventory!A:BZ, 3, FALSE) - SUMIF($F$1:$F507, F508, $H$1:$H507))
</f>
        <v/>
      </c>
      <c r="I508" s="26"/>
      <c r="J508" s="26" t="s">
        <v>77</v>
      </c>
      <c r="L508" s="27" t="s">
        <v>77</v>
      </c>
      <c r="N508" s="28" t="s">
        <v>77</v>
      </c>
      <c r="Q508" s="30"/>
    </row>
    <row r="509">
      <c r="B509" s="6"/>
      <c r="C509" s="33" t="str">
        <f t="array" ref="C509">IF(B509="", "", XLOOKUP(B509, Inventory!D:D,Inventory!E:E,"No Name Found"))</f>
        <v/>
      </c>
      <c r="D509" s="6"/>
      <c r="E509" s="6"/>
      <c r="F509" s="6"/>
      <c r="G509" s="24" t="str">
        <f>IF(F509="", "", VLOOKUP(F509, Inventory!A:BZ, 3, FALSE) - SUMIF($F$1:$F508, F509, $H$1:$H508))
</f>
        <v/>
      </c>
      <c r="I509" s="26"/>
      <c r="J509" s="26" t="s">
        <v>77</v>
      </c>
      <c r="L509" s="27" t="s">
        <v>77</v>
      </c>
      <c r="N509" s="28" t="s">
        <v>77</v>
      </c>
      <c r="Q509" s="30"/>
    </row>
    <row r="510">
      <c r="B510" s="6"/>
      <c r="C510" s="33" t="str">
        <f t="array" ref="C510">IF(B510="", "", XLOOKUP(B510, Inventory!D:D,Inventory!E:E,"No Name Found"))</f>
        <v/>
      </c>
      <c r="D510" s="6"/>
      <c r="E510" s="6"/>
      <c r="F510" s="6"/>
      <c r="G510" s="24" t="str">
        <f>IF(F510="", "", VLOOKUP(F510, Inventory!A:BZ, 3, FALSE) - SUMIF($F$1:$F509, F510, $H$1:$H509))
</f>
        <v/>
      </c>
      <c r="I510" s="26"/>
      <c r="J510" s="26" t="s">
        <v>77</v>
      </c>
      <c r="L510" s="27" t="s">
        <v>77</v>
      </c>
      <c r="N510" s="28" t="s">
        <v>77</v>
      </c>
      <c r="Q510" s="30"/>
    </row>
    <row r="511">
      <c r="B511" s="6"/>
      <c r="C511" s="33" t="str">
        <f t="array" ref="C511">IF(B511="", "", XLOOKUP(B511, Inventory!D:D,Inventory!E:E,"No Name Found"))</f>
        <v/>
      </c>
      <c r="D511" s="6"/>
      <c r="E511" s="6"/>
      <c r="F511" s="6"/>
      <c r="G511" s="24" t="str">
        <f>IF(F511="", "", VLOOKUP(F511, Inventory!A:BZ, 3, FALSE) - SUMIF($F$1:$F510, F511, $H$1:$H510))
</f>
        <v/>
      </c>
      <c r="I511" s="26"/>
      <c r="J511" s="26" t="s">
        <v>77</v>
      </c>
      <c r="L511" s="27" t="s">
        <v>77</v>
      </c>
      <c r="N511" s="28" t="s">
        <v>77</v>
      </c>
      <c r="Q511" s="30"/>
    </row>
    <row r="512">
      <c r="B512" s="6"/>
      <c r="C512" s="33" t="str">
        <f t="array" ref="C512">IF(B512="", "", XLOOKUP(B512, Inventory!D:D,Inventory!E:E,"No Name Found"))</f>
        <v/>
      </c>
      <c r="D512" s="6"/>
      <c r="E512" s="6"/>
      <c r="F512" s="6"/>
      <c r="G512" s="24" t="str">
        <f>IF(F512="", "", VLOOKUP(F512, Inventory!A:BZ, 3, FALSE) - SUMIF($F$1:$F511, F512, $H$1:$H511))
</f>
        <v/>
      </c>
      <c r="I512" s="26"/>
      <c r="J512" s="26" t="s">
        <v>77</v>
      </c>
      <c r="L512" s="27" t="s">
        <v>77</v>
      </c>
      <c r="N512" s="28" t="s">
        <v>77</v>
      </c>
      <c r="Q512" s="30"/>
    </row>
    <row r="513">
      <c r="B513" s="6"/>
      <c r="C513" s="33" t="str">
        <f t="array" ref="C513">IF(B513="", "", XLOOKUP(B513, Inventory!D:D,Inventory!E:E,"No Name Found"))</f>
        <v/>
      </c>
      <c r="D513" s="6"/>
      <c r="E513" s="6"/>
      <c r="F513" s="6"/>
      <c r="G513" s="24" t="str">
        <f>IF(F513="", "", VLOOKUP(F513, Inventory!A:BZ, 3, FALSE) - SUMIF($F$1:$F512, F513, $H$1:$H512))
</f>
        <v/>
      </c>
      <c r="I513" s="26"/>
      <c r="J513" s="26" t="s">
        <v>77</v>
      </c>
      <c r="L513" s="27" t="s">
        <v>77</v>
      </c>
      <c r="N513" s="28" t="s">
        <v>77</v>
      </c>
      <c r="Q513" s="30"/>
    </row>
    <row r="514">
      <c r="B514" s="6"/>
      <c r="C514" s="33" t="str">
        <f t="array" ref="C514">IF(B514="", "", XLOOKUP(B514, Inventory!D:D,Inventory!E:E,"No Name Found"))</f>
        <v/>
      </c>
      <c r="D514" s="6"/>
      <c r="E514" s="6"/>
      <c r="F514" s="6"/>
      <c r="G514" s="24" t="str">
        <f>IF(F514="", "", VLOOKUP(F514, Inventory!A:BZ, 3, FALSE) - SUMIF($F$1:$F513, F514, $H$1:$H513))
</f>
        <v/>
      </c>
      <c r="I514" s="26"/>
      <c r="J514" s="26" t="s">
        <v>77</v>
      </c>
      <c r="L514" s="27" t="s">
        <v>77</v>
      </c>
      <c r="N514" s="28" t="s">
        <v>77</v>
      </c>
      <c r="Q514" s="30"/>
    </row>
    <row r="515">
      <c r="B515" s="6"/>
      <c r="C515" s="33" t="str">
        <f t="array" ref="C515">IF(B515="", "", XLOOKUP(B515, Inventory!D:D,Inventory!E:E,"No Name Found"))</f>
        <v/>
      </c>
      <c r="D515" s="6"/>
      <c r="E515" s="6"/>
      <c r="F515" s="6"/>
      <c r="G515" s="24" t="str">
        <f>IF(F515="", "", VLOOKUP(F515, Inventory!A:BZ, 3, FALSE) - SUMIF($F$1:$F514, F515, $H$1:$H514))
</f>
        <v/>
      </c>
      <c r="I515" s="26"/>
      <c r="J515" s="26" t="s">
        <v>77</v>
      </c>
      <c r="L515" s="27" t="s">
        <v>77</v>
      </c>
      <c r="N515" s="28" t="s">
        <v>77</v>
      </c>
      <c r="Q515" s="30"/>
    </row>
    <row r="516">
      <c r="B516" s="6"/>
      <c r="C516" s="33" t="str">
        <f t="array" ref="C516">IF(B516="", "", XLOOKUP(B516, Inventory!D:D,Inventory!E:E,"No Name Found"))</f>
        <v/>
      </c>
      <c r="D516" s="6"/>
      <c r="E516" s="6"/>
      <c r="F516" s="6"/>
      <c r="G516" s="24" t="str">
        <f>IF(F516="", "", VLOOKUP(F516, Inventory!A:BZ, 3, FALSE) - SUMIF($F$1:$F515, F516, $H$1:$H515))
</f>
        <v/>
      </c>
      <c r="I516" s="26"/>
      <c r="J516" s="26" t="s">
        <v>77</v>
      </c>
      <c r="L516" s="27" t="s">
        <v>77</v>
      </c>
      <c r="N516" s="28" t="s">
        <v>77</v>
      </c>
      <c r="Q516" s="30"/>
    </row>
    <row r="517">
      <c r="B517" s="6"/>
      <c r="C517" s="33" t="str">
        <f t="array" ref="C517">IF(B517="", "", XLOOKUP(B517, Inventory!D:D,Inventory!E:E,"No Name Found"))</f>
        <v/>
      </c>
      <c r="D517" s="6"/>
      <c r="E517" s="6"/>
      <c r="F517" s="6"/>
      <c r="G517" s="24" t="str">
        <f>IF(F517="", "", VLOOKUP(F517, Inventory!A:BZ, 3, FALSE) - SUMIF($F$1:$F516, F517, $H$1:$H516))
</f>
        <v/>
      </c>
      <c r="I517" s="26"/>
      <c r="J517" s="26" t="s">
        <v>77</v>
      </c>
      <c r="L517" s="27" t="s">
        <v>77</v>
      </c>
      <c r="N517" s="28" t="s">
        <v>77</v>
      </c>
      <c r="Q517" s="30"/>
    </row>
    <row r="518">
      <c r="B518" s="6"/>
      <c r="C518" s="33" t="str">
        <f t="array" ref="C518">IF(B518="", "", XLOOKUP(B518, Inventory!D:D,Inventory!E:E,"No Name Found"))</f>
        <v/>
      </c>
      <c r="D518" s="6"/>
      <c r="E518" s="6"/>
      <c r="F518" s="6"/>
      <c r="G518" s="24" t="str">
        <f>IF(F518="", "", VLOOKUP(F518, Inventory!A:BZ, 3, FALSE) - SUMIF($F$1:$F517, F518, $H$1:$H517))
</f>
        <v/>
      </c>
      <c r="I518" s="26"/>
      <c r="J518" s="26" t="s">
        <v>77</v>
      </c>
      <c r="L518" s="27" t="s">
        <v>77</v>
      </c>
      <c r="N518" s="28" t="s">
        <v>77</v>
      </c>
      <c r="Q518" s="30"/>
    </row>
    <row r="519">
      <c r="B519" s="6"/>
      <c r="C519" s="33" t="str">
        <f t="array" ref="C519">IF(B519="", "", XLOOKUP(B519, Inventory!D:D,Inventory!E:E,"No Name Found"))</f>
        <v/>
      </c>
      <c r="D519" s="6"/>
      <c r="E519" s="6"/>
      <c r="F519" s="6"/>
      <c r="G519" s="24" t="str">
        <f>IF(F519="", "", VLOOKUP(F519, Inventory!A:BZ, 3, FALSE) - SUMIF($F$1:$F518, F519, $H$1:$H518))
</f>
        <v/>
      </c>
      <c r="I519" s="26"/>
      <c r="J519" s="26" t="s">
        <v>77</v>
      </c>
      <c r="L519" s="27" t="s">
        <v>77</v>
      </c>
      <c r="N519" s="28" t="s">
        <v>77</v>
      </c>
      <c r="Q519" s="30"/>
    </row>
    <row r="520">
      <c r="B520" s="6"/>
      <c r="C520" s="33" t="str">
        <f t="array" ref="C520">IF(B520="", "", XLOOKUP(B520, Inventory!D:D,Inventory!E:E,"No Name Found"))</f>
        <v/>
      </c>
      <c r="D520" s="6"/>
      <c r="E520" s="6"/>
      <c r="F520" s="6"/>
      <c r="G520" s="24" t="str">
        <f>IF(F520="", "", VLOOKUP(F520, Inventory!A:BZ, 3, FALSE) - SUMIF($F$1:$F519, F520, $H$1:$H519))
</f>
        <v/>
      </c>
      <c r="I520" s="26"/>
      <c r="J520" s="26" t="s">
        <v>77</v>
      </c>
      <c r="L520" s="27" t="s">
        <v>77</v>
      </c>
      <c r="N520" s="28" t="s">
        <v>77</v>
      </c>
      <c r="Q520" s="30"/>
    </row>
    <row r="521">
      <c r="B521" s="6"/>
      <c r="C521" s="33" t="str">
        <f t="array" ref="C521">IF(B521="", "", XLOOKUP(B521, Inventory!D:D,Inventory!E:E,"No Name Found"))</f>
        <v/>
      </c>
      <c r="D521" s="6"/>
      <c r="E521" s="6"/>
      <c r="F521" s="6"/>
      <c r="G521" s="24" t="str">
        <f>IF(F521="", "", VLOOKUP(F521, Inventory!A:BZ, 3, FALSE) - SUMIF($F$1:$F520, F521, $H$1:$H520))
</f>
        <v/>
      </c>
      <c r="I521" s="26"/>
      <c r="J521" s="26" t="s">
        <v>77</v>
      </c>
      <c r="L521" s="27" t="s">
        <v>77</v>
      </c>
      <c r="N521" s="28" t="s">
        <v>77</v>
      </c>
      <c r="Q521" s="30"/>
    </row>
    <row r="522">
      <c r="B522" s="6"/>
      <c r="C522" s="33" t="str">
        <f t="array" ref="C522">IF(B522="", "", XLOOKUP(B522, Inventory!D:D,Inventory!E:E,"No Name Found"))</f>
        <v/>
      </c>
      <c r="D522" s="6"/>
      <c r="E522" s="6"/>
      <c r="F522" s="6"/>
      <c r="G522" s="24" t="str">
        <f>IF(F522="", "", VLOOKUP(F522, Inventory!A:BZ, 3, FALSE) - SUMIF($F$1:$F521, F522, $H$1:$H521))
</f>
        <v/>
      </c>
      <c r="I522" s="26"/>
      <c r="J522" s="26" t="s">
        <v>77</v>
      </c>
      <c r="L522" s="27" t="s">
        <v>77</v>
      </c>
      <c r="N522" s="28" t="s">
        <v>77</v>
      </c>
      <c r="Q522" s="30"/>
    </row>
    <row r="523">
      <c r="B523" s="6"/>
      <c r="C523" s="33" t="str">
        <f t="array" ref="C523">IF(B523="", "", XLOOKUP(B523, Inventory!D:D,Inventory!E:E,"No Name Found"))</f>
        <v/>
      </c>
      <c r="D523" s="6"/>
      <c r="E523" s="6"/>
      <c r="F523" s="6"/>
      <c r="G523" s="24" t="str">
        <f>IF(F523="", "", VLOOKUP(F523, Inventory!A:BZ, 3, FALSE) - SUMIF($F$1:$F522, F523, $H$1:$H522))
</f>
        <v/>
      </c>
      <c r="I523" s="26"/>
      <c r="J523" s="26" t="s">
        <v>77</v>
      </c>
      <c r="L523" s="27" t="s">
        <v>77</v>
      </c>
      <c r="N523" s="28" t="s">
        <v>77</v>
      </c>
      <c r="Q523" s="30"/>
    </row>
    <row r="524">
      <c r="B524" s="6"/>
      <c r="C524" s="33" t="str">
        <f t="array" ref="C524">IF(B524="", "", XLOOKUP(B524, Inventory!D:D,Inventory!E:E,"No Name Found"))</f>
        <v/>
      </c>
      <c r="D524" s="6"/>
      <c r="E524" s="6"/>
      <c r="F524" s="6"/>
      <c r="G524" s="24" t="str">
        <f>IF(F524="", "", VLOOKUP(F524, Inventory!A:BZ, 3, FALSE) - SUMIF($F$1:$F523, F524, $H$1:$H523))
</f>
        <v/>
      </c>
      <c r="I524" s="26"/>
      <c r="J524" s="26" t="s">
        <v>77</v>
      </c>
      <c r="L524" s="27" t="s">
        <v>77</v>
      </c>
      <c r="N524" s="28" t="s">
        <v>77</v>
      </c>
      <c r="Q524" s="30"/>
    </row>
    <row r="525">
      <c r="B525" s="6"/>
      <c r="C525" s="33" t="str">
        <f t="array" ref="C525">IF(B525="", "", XLOOKUP(B525, Inventory!D:D,Inventory!E:E,"No Name Found"))</f>
        <v/>
      </c>
      <c r="D525" s="6"/>
      <c r="E525" s="6"/>
      <c r="F525" s="6"/>
      <c r="G525" s="24" t="str">
        <f>IF(F525="", "", VLOOKUP(F525, Inventory!A:BZ, 3, FALSE) - SUMIF($F$1:$F524, F525, $H$1:$H524))
</f>
        <v/>
      </c>
      <c r="I525" s="26"/>
      <c r="J525" s="26" t="s">
        <v>77</v>
      </c>
      <c r="L525" s="27" t="s">
        <v>77</v>
      </c>
      <c r="N525" s="28" t="s">
        <v>77</v>
      </c>
      <c r="Q525" s="30"/>
    </row>
    <row r="526">
      <c r="B526" s="6"/>
      <c r="C526" s="33" t="str">
        <f t="array" ref="C526">IF(B526="", "", XLOOKUP(B526, Inventory!D:D,Inventory!E:E,"No Name Found"))</f>
        <v/>
      </c>
      <c r="D526" s="6"/>
      <c r="E526" s="6"/>
      <c r="F526" s="6"/>
      <c r="G526" s="24" t="str">
        <f>IF(F526="", "", VLOOKUP(F526, Inventory!A:BZ, 3, FALSE) - SUMIF($F$1:$F525, F526, $H$1:$H525))
</f>
        <v/>
      </c>
      <c r="I526" s="26"/>
      <c r="J526" s="26" t="s">
        <v>77</v>
      </c>
      <c r="L526" s="27" t="s">
        <v>77</v>
      </c>
      <c r="N526" s="28" t="s">
        <v>77</v>
      </c>
      <c r="Q526" s="30"/>
    </row>
    <row r="527">
      <c r="B527" s="6"/>
      <c r="C527" s="33" t="str">
        <f t="array" ref="C527">IF(B527="", "", XLOOKUP(B527, Inventory!D:D,Inventory!E:E,"No Name Found"))</f>
        <v/>
      </c>
      <c r="D527" s="6"/>
      <c r="E527" s="6"/>
      <c r="F527" s="6"/>
      <c r="G527" s="24" t="str">
        <f>IF(F527="", "", VLOOKUP(F527, Inventory!A:BZ, 3, FALSE) - SUMIF($F$1:$F526, F527, $H$1:$H526))
</f>
        <v/>
      </c>
      <c r="I527" s="26"/>
      <c r="J527" s="26" t="s">
        <v>77</v>
      </c>
      <c r="L527" s="27" t="s">
        <v>77</v>
      </c>
      <c r="N527" s="28" t="s">
        <v>77</v>
      </c>
      <c r="Q527" s="30"/>
    </row>
    <row r="528">
      <c r="B528" s="6"/>
      <c r="C528" s="33" t="str">
        <f t="array" ref="C528">IF(B528="", "", XLOOKUP(B528, Inventory!D:D,Inventory!E:E,"No Name Found"))</f>
        <v/>
      </c>
      <c r="D528" s="6"/>
      <c r="E528" s="6"/>
      <c r="F528" s="6"/>
      <c r="G528" s="24" t="str">
        <f>IF(F528="", "", VLOOKUP(F528, Inventory!A:BZ, 3, FALSE) - SUMIF($F$1:$F527, F528, $H$1:$H527))
</f>
        <v/>
      </c>
      <c r="I528" s="26"/>
      <c r="J528" s="26" t="s">
        <v>77</v>
      </c>
      <c r="L528" s="27" t="s">
        <v>77</v>
      </c>
      <c r="N528" s="28" t="s">
        <v>77</v>
      </c>
      <c r="Q528" s="30"/>
    </row>
    <row r="529">
      <c r="B529" s="6"/>
      <c r="C529" s="33" t="str">
        <f t="array" ref="C529">IF(B529="", "", XLOOKUP(B529, Inventory!D:D,Inventory!E:E,"No Name Found"))</f>
        <v/>
      </c>
      <c r="D529" s="6"/>
      <c r="E529" s="6"/>
      <c r="F529" s="6"/>
      <c r="G529" s="24" t="str">
        <f>IF(F529="", "", VLOOKUP(F529, Inventory!A:BZ, 3, FALSE) - SUMIF($F$1:$F528, F529, $H$1:$H528))
</f>
        <v/>
      </c>
      <c r="I529" s="26"/>
      <c r="J529" s="26" t="s">
        <v>77</v>
      </c>
      <c r="L529" s="27" t="s">
        <v>77</v>
      </c>
      <c r="N529" s="28" t="s">
        <v>77</v>
      </c>
      <c r="Q529" s="30"/>
    </row>
    <row r="530">
      <c r="B530" s="6"/>
      <c r="C530" s="33" t="str">
        <f t="array" ref="C530">IF(B530="", "", XLOOKUP(B530, Inventory!D:D,Inventory!E:E,"No Name Found"))</f>
        <v/>
      </c>
      <c r="D530" s="6"/>
      <c r="E530" s="6"/>
      <c r="F530" s="6"/>
      <c r="G530" s="24" t="str">
        <f>IF(F530="", "", VLOOKUP(F530, Inventory!A:BZ, 3, FALSE) - SUMIF($F$1:$F529, F530, $H$1:$H529))
</f>
        <v/>
      </c>
      <c r="I530" s="26"/>
      <c r="J530" s="26" t="s">
        <v>77</v>
      </c>
      <c r="L530" s="27" t="s">
        <v>77</v>
      </c>
      <c r="N530" s="28" t="s">
        <v>77</v>
      </c>
      <c r="Q530" s="30"/>
    </row>
    <row r="531">
      <c r="B531" s="6"/>
      <c r="C531" s="33" t="str">
        <f t="array" ref="C531">IF(B531="", "", XLOOKUP(B531, Inventory!D:D,Inventory!E:E,"No Name Found"))</f>
        <v/>
      </c>
      <c r="D531" s="6"/>
      <c r="E531" s="6"/>
      <c r="F531" s="6"/>
      <c r="G531" s="24" t="str">
        <f>IF(F531="", "", VLOOKUP(F531, Inventory!A:BZ, 3, FALSE) - SUMIF($F$1:$F530, F531, $H$1:$H530))
</f>
        <v/>
      </c>
      <c r="I531" s="26"/>
      <c r="J531" s="26" t="s">
        <v>77</v>
      </c>
      <c r="L531" s="27" t="s">
        <v>77</v>
      </c>
      <c r="N531" s="28" t="s">
        <v>77</v>
      </c>
      <c r="Q531" s="30"/>
    </row>
    <row r="532">
      <c r="B532" s="6"/>
      <c r="C532" s="33" t="str">
        <f t="array" ref="C532">IF(B532="", "", XLOOKUP(B532, Inventory!D:D,Inventory!E:E,"No Name Found"))</f>
        <v/>
      </c>
      <c r="D532" s="6"/>
      <c r="E532" s="6"/>
      <c r="F532" s="6"/>
      <c r="G532" s="24" t="str">
        <f>IF(F532="", "", VLOOKUP(F532, Inventory!A:BZ, 3, FALSE) - SUMIF($F$1:$F531, F532, $H$1:$H531))
</f>
        <v/>
      </c>
      <c r="I532" s="26"/>
      <c r="J532" s="26" t="s">
        <v>77</v>
      </c>
      <c r="L532" s="27" t="s">
        <v>77</v>
      </c>
      <c r="N532" s="28" t="s">
        <v>77</v>
      </c>
      <c r="Q532" s="30"/>
    </row>
    <row r="533">
      <c r="B533" s="6"/>
      <c r="C533" s="33" t="str">
        <f t="array" ref="C533">IF(B533="", "", XLOOKUP(B533, Inventory!D:D,Inventory!E:E,"No Name Found"))</f>
        <v/>
      </c>
      <c r="D533" s="6"/>
      <c r="E533" s="6"/>
      <c r="F533" s="6"/>
      <c r="G533" s="24" t="str">
        <f>IF(F533="", "", VLOOKUP(F533, Inventory!A:BZ, 3, FALSE) - SUMIF($F$1:$F532, F533, $H$1:$H532))
</f>
        <v/>
      </c>
      <c r="I533" s="26"/>
      <c r="J533" s="26" t="s">
        <v>77</v>
      </c>
      <c r="L533" s="27" t="s">
        <v>77</v>
      </c>
      <c r="N533" s="28" t="s">
        <v>77</v>
      </c>
      <c r="Q533" s="30"/>
    </row>
    <row r="534">
      <c r="B534" s="6"/>
      <c r="C534" s="33" t="str">
        <f t="array" ref="C534">IF(B534="", "", XLOOKUP(B534, Inventory!D:D,Inventory!E:E,"No Name Found"))</f>
        <v/>
      </c>
      <c r="D534" s="6"/>
      <c r="E534" s="6"/>
      <c r="F534" s="6"/>
      <c r="G534" s="24" t="str">
        <f>IF(F534="", "", VLOOKUP(F534, Inventory!A:BZ, 3, FALSE) - SUMIF($F$1:$F533, F534, $H$1:$H533))
</f>
        <v/>
      </c>
      <c r="I534" s="26"/>
      <c r="J534" s="26" t="s">
        <v>77</v>
      </c>
      <c r="L534" s="27" t="s">
        <v>77</v>
      </c>
      <c r="N534" s="28" t="s">
        <v>77</v>
      </c>
      <c r="Q534" s="30"/>
    </row>
    <row r="535">
      <c r="B535" s="6"/>
      <c r="C535" s="33" t="str">
        <f t="array" ref="C535">IF(B535="", "", XLOOKUP(B535, Inventory!D:D,Inventory!E:E,"No Name Found"))</f>
        <v/>
      </c>
      <c r="D535" s="6"/>
      <c r="E535" s="6"/>
      <c r="F535" s="6"/>
      <c r="G535" s="24" t="str">
        <f>IF(F535="", "", VLOOKUP(F535, Inventory!A:BZ, 3, FALSE) - SUMIF($F$1:$F534, F535, $H$1:$H534))
</f>
        <v/>
      </c>
      <c r="I535" s="26"/>
      <c r="J535" s="26" t="s">
        <v>77</v>
      </c>
      <c r="L535" s="27" t="s">
        <v>77</v>
      </c>
      <c r="N535" s="28" t="s">
        <v>77</v>
      </c>
      <c r="Q535" s="30"/>
    </row>
    <row r="536">
      <c r="B536" s="6"/>
      <c r="C536" s="33" t="str">
        <f t="array" ref="C536">IF(B536="", "", XLOOKUP(B536, Inventory!D:D,Inventory!E:E,"No Name Found"))</f>
        <v/>
      </c>
      <c r="D536" s="6"/>
      <c r="E536" s="6"/>
      <c r="F536" s="6"/>
      <c r="G536" s="24" t="str">
        <f>IF(F536="", "", VLOOKUP(F536, Inventory!A:BZ, 3, FALSE) - SUMIF($F$1:$F535, F536, $H$1:$H535))
</f>
        <v/>
      </c>
      <c r="I536" s="26"/>
      <c r="J536" s="26" t="s">
        <v>77</v>
      </c>
      <c r="L536" s="27" t="s">
        <v>77</v>
      </c>
      <c r="N536" s="28" t="s">
        <v>77</v>
      </c>
      <c r="Q536" s="30"/>
    </row>
    <row r="537">
      <c r="B537" s="6"/>
      <c r="C537" s="33" t="str">
        <f t="array" ref="C537">IF(B537="", "", XLOOKUP(B537, Inventory!D:D,Inventory!E:E,"No Name Found"))</f>
        <v/>
      </c>
      <c r="D537" s="6"/>
      <c r="E537" s="6"/>
      <c r="F537" s="6"/>
      <c r="G537" s="24" t="str">
        <f>IF(F537="", "", VLOOKUP(F537, Inventory!A:BZ, 3, FALSE) - SUMIF($F$1:$F536, F537, $H$1:$H536))
</f>
        <v/>
      </c>
      <c r="I537" s="26"/>
      <c r="J537" s="26" t="s">
        <v>77</v>
      </c>
      <c r="L537" s="27" t="s">
        <v>77</v>
      </c>
      <c r="N537" s="28" t="s">
        <v>77</v>
      </c>
      <c r="Q537" s="30"/>
    </row>
    <row r="538">
      <c r="B538" s="6"/>
      <c r="C538" s="33" t="str">
        <f t="array" ref="C538">IF(B538="", "", XLOOKUP(B538, Inventory!D:D,Inventory!E:E,"No Name Found"))</f>
        <v/>
      </c>
      <c r="D538" s="6"/>
      <c r="E538" s="6"/>
      <c r="F538" s="6"/>
      <c r="G538" s="24" t="str">
        <f>IF(F538="", "", VLOOKUP(F538, Inventory!A:BZ, 3, FALSE) - SUMIF($F$1:$F537, F538, $H$1:$H537))
</f>
        <v/>
      </c>
      <c r="I538" s="26"/>
      <c r="J538" s="26" t="s">
        <v>77</v>
      </c>
      <c r="L538" s="27" t="s">
        <v>77</v>
      </c>
      <c r="N538" s="28" t="s">
        <v>77</v>
      </c>
      <c r="Q538" s="30"/>
    </row>
    <row r="539">
      <c r="B539" s="6"/>
      <c r="C539" s="33" t="str">
        <f t="array" ref="C539">IF(B539="", "", XLOOKUP(B539, Inventory!D:D,Inventory!E:E,"No Name Found"))</f>
        <v/>
      </c>
      <c r="D539" s="6"/>
      <c r="E539" s="6"/>
      <c r="F539" s="6"/>
      <c r="G539" s="24" t="str">
        <f>IF(F539="", "", VLOOKUP(F539, Inventory!A:BZ, 3, FALSE) - SUMIF($F$1:$F538, F539, $H$1:$H538))
</f>
        <v/>
      </c>
      <c r="I539" s="26"/>
      <c r="J539" s="26" t="s">
        <v>77</v>
      </c>
      <c r="L539" s="27" t="s">
        <v>77</v>
      </c>
      <c r="N539" s="28" t="s">
        <v>77</v>
      </c>
      <c r="Q539" s="30"/>
    </row>
    <row r="540">
      <c r="B540" s="6"/>
      <c r="C540" s="33" t="str">
        <f t="array" ref="C540">IF(B540="", "", XLOOKUP(B540, Inventory!D:D,Inventory!E:E,"No Name Found"))</f>
        <v/>
      </c>
      <c r="D540" s="6"/>
      <c r="E540" s="6"/>
      <c r="F540" s="6"/>
      <c r="G540" s="24" t="str">
        <f>IF(F540="", "", VLOOKUP(F540, Inventory!A:BZ, 3, FALSE) - SUMIF($F$1:$F539, F540, $H$1:$H539))
</f>
        <v/>
      </c>
      <c r="I540" s="26"/>
      <c r="J540" s="26" t="s">
        <v>77</v>
      </c>
      <c r="L540" s="27" t="s">
        <v>77</v>
      </c>
      <c r="N540" s="28" t="s">
        <v>77</v>
      </c>
      <c r="Q540" s="30"/>
    </row>
    <row r="541">
      <c r="B541" s="6"/>
      <c r="C541" s="33" t="str">
        <f t="array" ref="C541">IF(B541="", "", XLOOKUP(B541, Inventory!D:D,Inventory!E:E,"No Name Found"))</f>
        <v/>
      </c>
      <c r="D541" s="6"/>
      <c r="E541" s="6"/>
      <c r="F541" s="6"/>
      <c r="G541" s="24" t="str">
        <f>IF(F541="", "", VLOOKUP(F541, Inventory!A:BZ, 3, FALSE) - SUMIF($F$1:$F540, F541, $H$1:$H540))
</f>
        <v/>
      </c>
      <c r="I541" s="26"/>
      <c r="J541" s="26" t="s">
        <v>77</v>
      </c>
      <c r="L541" s="27" t="s">
        <v>77</v>
      </c>
      <c r="N541" s="28" t="s">
        <v>77</v>
      </c>
      <c r="Q541" s="30"/>
    </row>
    <row r="542">
      <c r="B542" s="6"/>
      <c r="C542" s="33" t="str">
        <f t="array" ref="C542">IF(B542="", "", XLOOKUP(B542, Inventory!D:D,Inventory!E:E,"No Name Found"))</f>
        <v/>
      </c>
      <c r="D542" s="6"/>
      <c r="E542" s="6"/>
      <c r="F542" s="6"/>
      <c r="G542" s="24" t="str">
        <f>IF(F542="", "", VLOOKUP(F542, Inventory!A:BZ, 3, FALSE) - SUMIF($F$1:$F541, F542, $H$1:$H541))
</f>
        <v/>
      </c>
      <c r="I542" s="26"/>
      <c r="J542" s="26" t="s">
        <v>77</v>
      </c>
      <c r="L542" s="27" t="s">
        <v>77</v>
      </c>
      <c r="N542" s="28" t="s">
        <v>77</v>
      </c>
      <c r="Q542" s="30"/>
    </row>
    <row r="543">
      <c r="B543" s="6"/>
      <c r="C543" s="33" t="str">
        <f t="array" ref="C543">IF(B543="", "", XLOOKUP(B543, Inventory!D:D,Inventory!E:E,"No Name Found"))</f>
        <v/>
      </c>
      <c r="D543" s="6"/>
      <c r="E543" s="6"/>
      <c r="F543" s="6"/>
      <c r="G543" s="24" t="str">
        <f>IF(F543="", "", VLOOKUP(F543, Inventory!A:BZ, 3, FALSE) - SUMIF($F$1:$F542, F543, $H$1:$H542))
</f>
        <v/>
      </c>
      <c r="I543" s="26"/>
      <c r="J543" s="26" t="s">
        <v>77</v>
      </c>
      <c r="L543" s="27" t="s">
        <v>77</v>
      </c>
      <c r="N543" s="28" t="s">
        <v>77</v>
      </c>
      <c r="Q543" s="30"/>
    </row>
    <row r="544">
      <c r="B544" s="6"/>
      <c r="C544" s="33" t="str">
        <f t="array" ref="C544">IF(B544="", "", XLOOKUP(B544, Inventory!D:D,Inventory!E:E,"No Name Found"))</f>
        <v/>
      </c>
      <c r="D544" s="6"/>
      <c r="E544" s="6"/>
      <c r="F544" s="6"/>
      <c r="G544" s="24" t="str">
        <f>IF(F544="", "", VLOOKUP(F544, Inventory!A:BZ, 3, FALSE) - SUMIF($F$1:$F543, F544, $H$1:$H543))
</f>
        <v/>
      </c>
      <c r="I544" s="26"/>
      <c r="J544" s="26" t="s">
        <v>77</v>
      </c>
      <c r="L544" s="27" t="s">
        <v>77</v>
      </c>
      <c r="N544" s="28" t="s">
        <v>77</v>
      </c>
      <c r="Q544" s="30"/>
    </row>
    <row r="545">
      <c r="B545" s="6"/>
      <c r="C545" s="33" t="str">
        <f t="array" ref="C545">IF(B545="", "", XLOOKUP(B545, Inventory!D:D,Inventory!E:E,"No Name Found"))</f>
        <v/>
      </c>
      <c r="D545" s="6"/>
      <c r="E545" s="6"/>
      <c r="F545" s="6"/>
      <c r="G545" s="24" t="str">
        <f>IF(F545="", "", VLOOKUP(F545, Inventory!A:BZ, 3, FALSE) - SUMIF($F$1:$F544, F545, $H$1:$H544))
</f>
        <v/>
      </c>
      <c r="I545" s="26"/>
      <c r="J545" s="26" t="s">
        <v>77</v>
      </c>
      <c r="L545" s="27" t="s">
        <v>77</v>
      </c>
      <c r="N545" s="28" t="s">
        <v>77</v>
      </c>
      <c r="Q545" s="30"/>
    </row>
    <row r="546">
      <c r="B546" s="6"/>
      <c r="C546" s="33" t="str">
        <f t="array" ref="C546">IF(B546="", "", XLOOKUP(B546, Inventory!D:D,Inventory!E:E,"No Name Found"))</f>
        <v/>
      </c>
      <c r="D546" s="6"/>
      <c r="E546" s="6"/>
      <c r="F546" s="6"/>
      <c r="G546" s="24" t="str">
        <f>IF(F546="", "", VLOOKUP(F546, Inventory!A:BZ, 3, FALSE) - SUMIF($F$1:$F545, F546, $H$1:$H545))
</f>
        <v/>
      </c>
      <c r="I546" s="26"/>
      <c r="J546" s="26" t="s">
        <v>77</v>
      </c>
      <c r="L546" s="27" t="s">
        <v>77</v>
      </c>
      <c r="N546" s="28" t="s">
        <v>77</v>
      </c>
      <c r="Q546" s="30"/>
    </row>
    <row r="547">
      <c r="B547" s="6"/>
      <c r="C547" s="33" t="str">
        <f t="array" ref="C547">IF(B547="", "", XLOOKUP(B547, Inventory!D:D,Inventory!E:E,"No Name Found"))</f>
        <v/>
      </c>
      <c r="D547" s="6"/>
      <c r="E547" s="6"/>
      <c r="F547" s="6"/>
      <c r="G547" s="24" t="str">
        <f>IF(F547="", "", VLOOKUP(F547, Inventory!A:BZ, 3, FALSE) - SUMIF($F$1:$F546, F547, $H$1:$H546))
</f>
        <v/>
      </c>
      <c r="I547" s="26"/>
      <c r="J547" s="26" t="s">
        <v>77</v>
      </c>
      <c r="L547" s="27" t="s">
        <v>77</v>
      </c>
      <c r="N547" s="28" t="s">
        <v>77</v>
      </c>
      <c r="Q547" s="30"/>
    </row>
    <row r="548">
      <c r="B548" s="6"/>
      <c r="C548" s="33" t="str">
        <f t="array" ref="C548">IF(B548="", "", XLOOKUP(B548, Inventory!D:D,Inventory!E:E,"No Name Found"))</f>
        <v/>
      </c>
      <c r="D548" s="6"/>
      <c r="E548" s="6"/>
      <c r="F548" s="6"/>
      <c r="G548" s="24" t="str">
        <f>IF(F548="", "", VLOOKUP(F548, Inventory!A:BZ, 3, FALSE) - SUMIF($F$1:$F547, F548, $H$1:$H547))
</f>
        <v/>
      </c>
      <c r="I548" s="26"/>
      <c r="J548" s="26" t="s">
        <v>77</v>
      </c>
      <c r="L548" s="27" t="s">
        <v>77</v>
      </c>
      <c r="N548" s="28" t="s">
        <v>77</v>
      </c>
      <c r="Q548" s="30"/>
    </row>
    <row r="549">
      <c r="B549" s="6"/>
      <c r="C549" s="33" t="str">
        <f t="array" ref="C549">IF(B549="", "", XLOOKUP(B549, Inventory!D:D,Inventory!E:E,"No Name Found"))</f>
        <v/>
      </c>
      <c r="D549" s="6"/>
      <c r="E549" s="6"/>
      <c r="F549" s="6"/>
      <c r="G549" s="24" t="str">
        <f>IF(F549="", "", VLOOKUP(F549, Inventory!A:BZ, 3, FALSE) - SUMIF($F$1:$F548, F549, $H$1:$H548))
</f>
        <v/>
      </c>
      <c r="I549" s="26"/>
      <c r="J549" s="26" t="s">
        <v>77</v>
      </c>
      <c r="L549" s="27" t="s">
        <v>77</v>
      </c>
      <c r="N549" s="28" t="s">
        <v>77</v>
      </c>
      <c r="Q549" s="30"/>
    </row>
    <row r="550">
      <c r="B550" s="6"/>
      <c r="C550" s="33" t="str">
        <f t="array" ref="C550">IF(B550="", "", XLOOKUP(B550, Inventory!D:D,Inventory!E:E,"No Name Found"))</f>
        <v/>
      </c>
      <c r="D550" s="6"/>
      <c r="E550" s="6"/>
      <c r="F550" s="6"/>
      <c r="G550" s="24" t="str">
        <f>IF(F550="", "", VLOOKUP(F550, Inventory!A:BZ, 3, FALSE) - SUMIF($F$1:$F549, F550, $H$1:$H549))
</f>
        <v/>
      </c>
      <c r="I550" s="26"/>
      <c r="J550" s="26" t="s">
        <v>77</v>
      </c>
      <c r="L550" s="27" t="s">
        <v>77</v>
      </c>
      <c r="N550" s="28" t="s">
        <v>77</v>
      </c>
      <c r="Q550" s="30"/>
    </row>
    <row r="551">
      <c r="B551" s="6"/>
      <c r="C551" s="33" t="str">
        <f t="array" ref="C551">IF(B551="", "", XLOOKUP(B551, Inventory!D:D,Inventory!E:E,"No Name Found"))</f>
        <v/>
      </c>
      <c r="D551" s="6"/>
      <c r="E551" s="6"/>
      <c r="F551" s="6"/>
      <c r="G551" s="24" t="str">
        <f>IF(F551="", "", VLOOKUP(F551, Inventory!A:BZ, 3, FALSE) - SUMIF($F$1:$F550, F551, $H$1:$H550))
</f>
        <v/>
      </c>
      <c r="I551" s="26"/>
      <c r="J551" s="26" t="s">
        <v>77</v>
      </c>
      <c r="L551" s="27" t="s">
        <v>77</v>
      </c>
      <c r="N551" s="28" t="s">
        <v>77</v>
      </c>
      <c r="Q551" s="30"/>
    </row>
    <row r="552">
      <c r="B552" s="6"/>
      <c r="C552" s="33" t="str">
        <f t="array" ref="C552">IF(B552="", "", XLOOKUP(B552, Inventory!D:D,Inventory!E:E,"No Name Found"))</f>
        <v/>
      </c>
      <c r="D552" s="6"/>
      <c r="E552" s="6"/>
      <c r="F552" s="6"/>
      <c r="G552" s="24" t="str">
        <f>IF(F552="", "", VLOOKUP(F552, Inventory!A:BZ, 3, FALSE) - SUMIF($F$1:$F551, F552, $H$1:$H551))
</f>
        <v/>
      </c>
      <c r="I552" s="26"/>
      <c r="J552" s="26" t="s">
        <v>77</v>
      </c>
      <c r="L552" s="27" t="s">
        <v>77</v>
      </c>
      <c r="N552" s="28" t="s">
        <v>77</v>
      </c>
      <c r="Q552" s="30"/>
    </row>
    <row r="553">
      <c r="B553" s="6"/>
      <c r="C553" s="33" t="str">
        <f t="array" ref="C553">IF(B553="", "", XLOOKUP(B553, Inventory!D:D,Inventory!E:E,"No Name Found"))</f>
        <v/>
      </c>
      <c r="D553" s="6"/>
      <c r="E553" s="6"/>
      <c r="F553" s="6"/>
      <c r="G553" s="24" t="str">
        <f>IF(F553="", "", VLOOKUP(F553, Inventory!A:BZ, 3, FALSE) - SUMIF($F$1:$F552, F553, $H$1:$H552))
</f>
        <v/>
      </c>
      <c r="I553" s="26"/>
      <c r="J553" s="26" t="s">
        <v>77</v>
      </c>
      <c r="L553" s="27" t="s">
        <v>77</v>
      </c>
      <c r="N553" s="28" t="s">
        <v>77</v>
      </c>
      <c r="Q553" s="30"/>
    </row>
    <row r="554">
      <c r="B554" s="6"/>
      <c r="C554" s="33" t="str">
        <f t="array" ref="C554">IF(B554="", "", XLOOKUP(B554, Inventory!D:D,Inventory!E:E,"No Name Found"))</f>
        <v/>
      </c>
      <c r="D554" s="6"/>
      <c r="E554" s="6"/>
      <c r="F554" s="6"/>
      <c r="G554" s="24" t="str">
        <f>IF(F554="", "", VLOOKUP(F554, Inventory!A:BZ, 3, FALSE) - SUMIF($F$1:$F553, F554, $H$1:$H553))
</f>
        <v/>
      </c>
      <c r="I554" s="26"/>
      <c r="J554" s="26" t="s">
        <v>77</v>
      </c>
      <c r="L554" s="27" t="s">
        <v>77</v>
      </c>
      <c r="N554" s="28" t="s">
        <v>77</v>
      </c>
      <c r="Q554" s="30"/>
    </row>
    <row r="555">
      <c r="B555" s="6"/>
      <c r="C555" s="33" t="str">
        <f t="array" ref="C555">IF(B555="", "", XLOOKUP(B555, Inventory!D:D,Inventory!E:E,"No Name Found"))</f>
        <v/>
      </c>
      <c r="D555" s="6"/>
      <c r="E555" s="6"/>
      <c r="F555" s="6"/>
      <c r="G555" s="24" t="str">
        <f>IF(F555="", "", VLOOKUP(F555, Inventory!A:BZ, 3, FALSE) - SUMIF($F$1:$F554, F555, $H$1:$H554))
</f>
        <v/>
      </c>
      <c r="I555" s="26"/>
      <c r="J555" s="26" t="s">
        <v>77</v>
      </c>
      <c r="L555" s="27" t="s">
        <v>77</v>
      </c>
      <c r="N555" s="28" t="s">
        <v>77</v>
      </c>
      <c r="Q555" s="30"/>
    </row>
    <row r="556">
      <c r="B556" s="6"/>
      <c r="C556" s="33" t="str">
        <f t="array" ref="C556">IF(B556="", "", XLOOKUP(B556, Inventory!D:D,Inventory!E:E,"No Name Found"))</f>
        <v/>
      </c>
      <c r="D556" s="6"/>
      <c r="E556" s="6"/>
      <c r="F556" s="6"/>
      <c r="G556" s="24" t="str">
        <f>IF(F556="", "", VLOOKUP(F556, Inventory!A:BZ, 3, FALSE) - SUMIF($F$1:$F555, F556, $H$1:$H555))
</f>
        <v/>
      </c>
      <c r="I556" s="26"/>
      <c r="J556" s="26" t="s">
        <v>77</v>
      </c>
      <c r="L556" s="27" t="s">
        <v>77</v>
      </c>
      <c r="N556" s="28" t="s">
        <v>77</v>
      </c>
      <c r="Q556" s="30"/>
    </row>
    <row r="557">
      <c r="B557" s="6"/>
      <c r="C557" s="33" t="str">
        <f t="array" ref="C557">IF(B557="", "", XLOOKUP(B557, Inventory!D:D,Inventory!E:E,"No Name Found"))</f>
        <v/>
      </c>
      <c r="D557" s="6"/>
      <c r="E557" s="6"/>
      <c r="F557" s="6"/>
      <c r="G557" s="24" t="str">
        <f>IF(F557="", "", VLOOKUP(F557, Inventory!A:BZ, 3, FALSE) - SUMIF($F$1:$F556, F557, $H$1:$H556))
</f>
        <v/>
      </c>
      <c r="I557" s="26"/>
      <c r="J557" s="26" t="s">
        <v>77</v>
      </c>
      <c r="L557" s="27" t="s">
        <v>77</v>
      </c>
      <c r="N557" s="28" t="s">
        <v>77</v>
      </c>
      <c r="Q557" s="30"/>
    </row>
    <row r="558">
      <c r="B558" s="6"/>
      <c r="C558" s="33" t="str">
        <f t="array" ref="C558">IF(B558="", "", XLOOKUP(B558, Inventory!D:D,Inventory!E:E,"No Name Found"))</f>
        <v/>
      </c>
      <c r="D558" s="6"/>
      <c r="E558" s="6"/>
      <c r="F558" s="6"/>
      <c r="G558" s="24" t="str">
        <f>IF(F558="", "", VLOOKUP(F558, Inventory!A:BZ, 3, FALSE) - SUMIF($F$1:$F557, F558, $H$1:$H557))
</f>
        <v/>
      </c>
      <c r="I558" s="26"/>
      <c r="J558" s="26" t="s">
        <v>77</v>
      </c>
      <c r="L558" s="27" t="s">
        <v>77</v>
      </c>
      <c r="N558" s="28" t="s">
        <v>77</v>
      </c>
      <c r="Q558" s="30"/>
    </row>
    <row r="559">
      <c r="B559" s="6"/>
      <c r="C559" s="33" t="str">
        <f t="array" ref="C559">IF(B559="", "", XLOOKUP(B559, Inventory!D:D,Inventory!E:E,"No Name Found"))</f>
        <v/>
      </c>
      <c r="D559" s="6"/>
      <c r="E559" s="6"/>
      <c r="F559" s="6"/>
      <c r="G559" s="24" t="str">
        <f>IF(F559="", "", VLOOKUP(F559, Inventory!A:BZ, 3, FALSE) - SUMIF($F$1:$F558, F559, $H$1:$H558))
</f>
        <v/>
      </c>
      <c r="I559" s="26"/>
      <c r="J559" s="26" t="s">
        <v>77</v>
      </c>
      <c r="L559" s="27" t="s">
        <v>77</v>
      </c>
      <c r="N559" s="28" t="s">
        <v>77</v>
      </c>
      <c r="Q559" s="30"/>
    </row>
    <row r="560">
      <c r="B560" s="6"/>
      <c r="C560" s="33" t="str">
        <f t="array" ref="C560">IF(B560="", "", XLOOKUP(B560, Inventory!D:D,Inventory!E:E,"No Name Found"))</f>
        <v/>
      </c>
      <c r="D560" s="6"/>
      <c r="E560" s="6"/>
      <c r="F560" s="6"/>
      <c r="G560" s="24" t="str">
        <f>IF(F560="", "", VLOOKUP(F560, Inventory!A:BZ, 3, FALSE) - SUMIF($F$1:$F559, F560, $H$1:$H559))
</f>
        <v/>
      </c>
      <c r="I560" s="26"/>
      <c r="J560" s="26" t="s">
        <v>77</v>
      </c>
      <c r="L560" s="27" t="s">
        <v>77</v>
      </c>
      <c r="N560" s="28" t="s">
        <v>77</v>
      </c>
      <c r="Q560" s="30"/>
    </row>
    <row r="561">
      <c r="B561" s="6"/>
      <c r="C561" s="33" t="str">
        <f t="array" ref="C561">IF(B561="", "", XLOOKUP(B561, Inventory!D:D,Inventory!E:E,"No Name Found"))</f>
        <v/>
      </c>
      <c r="D561" s="6"/>
      <c r="E561" s="6"/>
      <c r="F561" s="6"/>
      <c r="G561" s="24" t="str">
        <f>IF(F561="", "", VLOOKUP(F561, Inventory!A:BZ, 3, FALSE) - SUMIF($F$1:$F560, F561, $H$1:$H560))
</f>
        <v/>
      </c>
      <c r="I561" s="26"/>
      <c r="J561" s="26" t="s">
        <v>77</v>
      </c>
      <c r="L561" s="27" t="s">
        <v>77</v>
      </c>
      <c r="N561" s="28" t="s">
        <v>77</v>
      </c>
      <c r="Q561" s="30"/>
    </row>
    <row r="562">
      <c r="B562" s="6"/>
      <c r="C562" s="33" t="str">
        <f t="array" ref="C562">IF(B562="", "", XLOOKUP(B562, Inventory!D:D,Inventory!E:E,"No Name Found"))</f>
        <v/>
      </c>
      <c r="D562" s="6"/>
      <c r="E562" s="6"/>
      <c r="F562" s="6"/>
      <c r="G562" s="24" t="str">
        <f>IF(F562="", "", VLOOKUP(F562, Inventory!A:BZ, 3, FALSE) - SUMIF($F$1:$F561, F562, $H$1:$H561))
</f>
        <v/>
      </c>
      <c r="I562" s="26"/>
      <c r="J562" s="26" t="s">
        <v>77</v>
      </c>
      <c r="L562" s="27" t="s">
        <v>77</v>
      </c>
      <c r="N562" s="28" t="s">
        <v>77</v>
      </c>
      <c r="Q562" s="30"/>
    </row>
    <row r="563">
      <c r="B563" s="6"/>
      <c r="C563" s="33" t="str">
        <f t="array" ref="C563">IF(B563="", "", XLOOKUP(B563, Inventory!D:D,Inventory!E:E,"No Name Found"))</f>
        <v/>
      </c>
      <c r="D563" s="6"/>
      <c r="E563" s="6"/>
      <c r="F563" s="6"/>
      <c r="G563" s="24" t="str">
        <f>IF(F563="", "", VLOOKUP(F563, Inventory!A:BZ, 3, FALSE) - SUMIF($F$1:$F562, F563, $H$1:$H562))
</f>
        <v/>
      </c>
      <c r="I563" s="26"/>
      <c r="J563" s="26" t="s">
        <v>77</v>
      </c>
      <c r="L563" s="27" t="s">
        <v>77</v>
      </c>
      <c r="N563" s="28" t="s">
        <v>77</v>
      </c>
      <c r="Q563" s="30"/>
    </row>
    <row r="564">
      <c r="B564" s="6"/>
      <c r="C564" s="33" t="str">
        <f t="array" ref="C564">IF(B564="", "", XLOOKUP(B564, Inventory!D:D,Inventory!E:E,"No Name Found"))</f>
        <v/>
      </c>
      <c r="D564" s="6"/>
      <c r="E564" s="6"/>
      <c r="F564" s="6"/>
      <c r="G564" s="24" t="str">
        <f>IF(F564="", "", VLOOKUP(F564, Inventory!A:BZ, 3, FALSE) - SUMIF($F$1:$F563, F564, $H$1:$H563))
</f>
        <v/>
      </c>
      <c r="I564" s="26"/>
      <c r="J564" s="26" t="s">
        <v>77</v>
      </c>
      <c r="L564" s="27" t="s">
        <v>77</v>
      </c>
      <c r="N564" s="28" t="s">
        <v>77</v>
      </c>
      <c r="Q564" s="30"/>
    </row>
    <row r="565">
      <c r="B565" s="6"/>
      <c r="C565" s="33" t="str">
        <f t="array" ref="C565">IF(B565="", "", XLOOKUP(B565, Inventory!D:D,Inventory!E:E,"No Name Found"))</f>
        <v/>
      </c>
      <c r="D565" s="6"/>
      <c r="E565" s="6"/>
      <c r="F565" s="6"/>
      <c r="G565" s="24" t="str">
        <f>IF(F565="", "", VLOOKUP(F565, Inventory!A:BZ, 3, FALSE) - SUMIF($F$1:$F564, F565, $H$1:$H564))
</f>
        <v/>
      </c>
      <c r="I565" s="26"/>
      <c r="J565" s="26" t="s">
        <v>77</v>
      </c>
      <c r="L565" s="27" t="s">
        <v>77</v>
      </c>
      <c r="N565" s="28" t="s">
        <v>77</v>
      </c>
      <c r="Q565" s="30"/>
    </row>
    <row r="566">
      <c r="B566" s="6"/>
      <c r="C566" s="33" t="str">
        <f t="array" ref="C566">IF(B566="", "", XLOOKUP(B566, Inventory!D:D,Inventory!E:E,"No Name Found"))</f>
        <v/>
      </c>
      <c r="D566" s="6"/>
      <c r="E566" s="6"/>
      <c r="F566" s="6"/>
      <c r="G566" s="24" t="str">
        <f>IF(F566="", "", VLOOKUP(F566, Inventory!A:BZ, 3, FALSE) - SUMIF($F$1:$F565, F566, $H$1:$H565))
</f>
        <v/>
      </c>
      <c r="I566" s="26"/>
      <c r="J566" s="26" t="s">
        <v>77</v>
      </c>
      <c r="L566" s="27" t="s">
        <v>77</v>
      </c>
      <c r="N566" s="28" t="s">
        <v>77</v>
      </c>
      <c r="Q566" s="30"/>
    </row>
    <row r="567">
      <c r="B567" s="6"/>
      <c r="C567" s="33" t="str">
        <f t="array" ref="C567">IF(B567="", "", XLOOKUP(B567, Inventory!D:D,Inventory!E:E,"No Name Found"))</f>
        <v/>
      </c>
      <c r="D567" s="6"/>
      <c r="E567" s="6"/>
      <c r="F567" s="6"/>
      <c r="G567" s="24" t="str">
        <f>IF(F567="", "", VLOOKUP(F567, Inventory!A:BZ, 3, FALSE) - SUMIF($F$1:$F566, F567, $H$1:$H566))
</f>
        <v/>
      </c>
      <c r="I567" s="26"/>
      <c r="J567" s="26" t="s">
        <v>77</v>
      </c>
      <c r="L567" s="27" t="s">
        <v>77</v>
      </c>
      <c r="N567" s="28" t="s">
        <v>77</v>
      </c>
      <c r="Q567" s="30"/>
    </row>
    <row r="568">
      <c r="B568" s="6"/>
      <c r="C568" s="33" t="str">
        <f t="array" ref="C568">IF(B568="", "", XLOOKUP(B568, Inventory!D:D,Inventory!E:E,"No Name Found"))</f>
        <v/>
      </c>
      <c r="D568" s="6"/>
      <c r="E568" s="6"/>
      <c r="F568" s="6"/>
      <c r="G568" s="24" t="str">
        <f>IF(F568="", "", VLOOKUP(F568, Inventory!A:BZ, 3, FALSE) - SUMIF($F$1:$F567, F568, $H$1:$H567))
</f>
        <v/>
      </c>
      <c r="I568" s="26"/>
      <c r="J568" s="26" t="s">
        <v>77</v>
      </c>
      <c r="L568" s="27" t="s">
        <v>77</v>
      </c>
      <c r="N568" s="28" t="s">
        <v>77</v>
      </c>
      <c r="Q568" s="30"/>
    </row>
    <row r="569">
      <c r="B569" s="6"/>
      <c r="C569" s="33" t="str">
        <f t="array" ref="C569">IF(B569="", "", XLOOKUP(B569, Inventory!D:D,Inventory!E:E,"No Name Found"))</f>
        <v/>
      </c>
      <c r="D569" s="6"/>
      <c r="E569" s="6"/>
      <c r="F569" s="6"/>
      <c r="G569" s="24" t="str">
        <f>IF(F569="", "", VLOOKUP(F569, Inventory!A:BZ, 3, FALSE) - SUMIF($F$1:$F568, F569, $H$1:$H568))
</f>
        <v/>
      </c>
      <c r="I569" s="26"/>
      <c r="J569" s="26" t="s">
        <v>77</v>
      </c>
      <c r="L569" s="27" t="s">
        <v>77</v>
      </c>
      <c r="N569" s="28" t="s">
        <v>77</v>
      </c>
      <c r="Q569" s="30"/>
    </row>
    <row r="570">
      <c r="B570" s="6"/>
      <c r="C570" s="33" t="str">
        <f t="array" ref="C570">IF(B570="", "", XLOOKUP(B570, Inventory!D:D,Inventory!E:E,"No Name Found"))</f>
        <v/>
      </c>
      <c r="D570" s="6"/>
      <c r="E570" s="6"/>
      <c r="F570" s="6"/>
      <c r="G570" s="24" t="str">
        <f>IF(F570="", "", VLOOKUP(F570, Inventory!A:BZ, 3, FALSE) - SUMIF($F$1:$F569, F570, $H$1:$H569))
</f>
        <v/>
      </c>
      <c r="I570" s="26"/>
      <c r="J570" s="26" t="s">
        <v>77</v>
      </c>
      <c r="L570" s="27" t="s">
        <v>77</v>
      </c>
      <c r="N570" s="28" t="s">
        <v>77</v>
      </c>
      <c r="Q570" s="30"/>
    </row>
    <row r="571">
      <c r="B571" s="6"/>
      <c r="C571" s="33" t="str">
        <f t="array" ref="C571">IF(B571="", "", XLOOKUP(B571, Inventory!D:D,Inventory!E:E,"No Name Found"))</f>
        <v/>
      </c>
      <c r="D571" s="6"/>
      <c r="E571" s="6"/>
      <c r="F571" s="6"/>
      <c r="G571" s="24" t="str">
        <f>IF(F571="", "", VLOOKUP(F571, Inventory!A:BZ, 3, FALSE) - SUMIF($F$1:$F570, F571, $H$1:$H570))
</f>
        <v/>
      </c>
      <c r="I571" s="26"/>
      <c r="J571" s="26" t="s">
        <v>77</v>
      </c>
      <c r="L571" s="27" t="s">
        <v>77</v>
      </c>
      <c r="N571" s="28" t="s">
        <v>77</v>
      </c>
      <c r="Q571" s="30"/>
    </row>
    <row r="572">
      <c r="B572" s="6"/>
      <c r="C572" s="33" t="str">
        <f t="array" ref="C572">IF(B572="", "", XLOOKUP(B572, Inventory!D:D,Inventory!E:E,"No Name Found"))</f>
        <v/>
      </c>
      <c r="D572" s="6"/>
      <c r="E572" s="6"/>
      <c r="F572" s="6"/>
      <c r="G572" s="24" t="str">
        <f>IF(F572="", "", VLOOKUP(F572, Inventory!A:BZ, 3, FALSE) - SUMIF($F$1:$F571, F572, $H$1:$H571))
</f>
        <v/>
      </c>
      <c r="I572" s="26"/>
      <c r="J572" s="26" t="s">
        <v>77</v>
      </c>
      <c r="L572" s="27" t="s">
        <v>77</v>
      </c>
      <c r="N572" s="28" t="s">
        <v>77</v>
      </c>
      <c r="Q572" s="30"/>
    </row>
    <row r="573">
      <c r="B573" s="6"/>
      <c r="C573" s="33" t="str">
        <f t="array" ref="C573">IF(B573="", "", XLOOKUP(B573, Inventory!D:D,Inventory!E:E,"No Name Found"))</f>
        <v/>
      </c>
      <c r="D573" s="6"/>
      <c r="E573" s="6"/>
      <c r="F573" s="6"/>
      <c r="G573" s="24" t="str">
        <f>IF(F573="", "", VLOOKUP(F573, Inventory!A:BZ, 3, FALSE) - SUMIF($F$1:$F572, F573, $H$1:$H572))
</f>
        <v/>
      </c>
      <c r="I573" s="26"/>
      <c r="J573" s="26" t="s">
        <v>77</v>
      </c>
      <c r="L573" s="27" t="s">
        <v>77</v>
      </c>
      <c r="N573" s="28" t="s">
        <v>77</v>
      </c>
      <c r="Q573" s="30"/>
    </row>
    <row r="574">
      <c r="B574" s="6"/>
      <c r="C574" s="33" t="str">
        <f t="array" ref="C574">IF(B574="", "", XLOOKUP(B574, Inventory!D:D,Inventory!E:E,"No Name Found"))</f>
        <v/>
      </c>
      <c r="D574" s="6"/>
      <c r="E574" s="6"/>
      <c r="F574" s="6"/>
      <c r="G574" s="24" t="str">
        <f>IF(F574="", "", VLOOKUP(F574, Inventory!A:BZ, 3, FALSE) - SUMIF($F$1:$F573, F574, $H$1:$H573))
</f>
        <v/>
      </c>
      <c r="I574" s="26"/>
      <c r="J574" s="26" t="s">
        <v>77</v>
      </c>
      <c r="L574" s="27" t="s">
        <v>77</v>
      </c>
      <c r="N574" s="28" t="s">
        <v>77</v>
      </c>
      <c r="Q574" s="30"/>
    </row>
    <row r="575">
      <c r="B575" s="6"/>
      <c r="C575" s="33" t="str">
        <f t="array" ref="C575">IF(B575="", "", XLOOKUP(B575, Inventory!D:D,Inventory!E:E,"No Name Found"))</f>
        <v/>
      </c>
      <c r="D575" s="6"/>
      <c r="E575" s="6"/>
      <c r="F575" s="6"/>
      <c r="G575" s="24" t="str">
        <f>IF(F575="", "", VLOOKUP(F575, Inventory!A:BZ, 3, FALSE) - SUMIF($F$1:$F574, F575, $H$1:$H574))
</f>
        <v/>
      </c>
      <c r="I575" s="26"/>
      <c r="J575" s="26" t="s">
        <v>77</v>
      </c>
      <c r="L575" s="27" t="s">
        <v>77</v>
      </c>
      <c r="N575" s="28" t="s">
        <v>77</v>
      </c>
      <c r="Q575" s="30"/>
    </row>
    <row r="576">
      <c r="B576" s="6"/>
      <c r="C576" s="33" t="str">
        <f t="array" ref="C576">IF(B576="", "", XLOOKUP(B576, Inventory!D:D,Inventory!E:E,"No Name Found"))</f>
        <v/>
      </c>
      <c r="D576" s="6"/>
      <c r="E576" s="6"/>
      <c r="F576" s="6"/>
      <c r="G576" s="24" t="str">
        <f>IF(F576="", "", VLOOKUP(F576, Inventory!A:BZ, 3, FALSE) - SUMIF($F$1:$F575, F576, $H$1:$H575))
</f>
        <v/>
      </c>
      <c r="I576" s="26"/>
      <c r="J576" s="26" t="s">
        <v>77</v>
      </c>
      <c r="L576" s="27" t="s">
        <v>77</v>
      </c>
      <c r="N576" s="28" t="s">
        <v>77</v>
      </c>
      <c r="Q576" s="30"/>
    </row>
    <row r="577">
      <c r="B577" s="6"/>
      <c r="C577" s="33" t="str">
        <f t="array" ref="C577">IF(B577="", "", XLOOKUP(B577, Inventory!D:D,Inventory!E:E,"No Name Found"))</f>
        <v/>
      </c>
      <c r="D577" s="6"/>
      <c r="E577" s="6"/>
      <c r="F577" s="6"/>
      <c r="G577" s="24" t="str">
        <f>IF(F577="", "", VLOOKUP(F577, Inventory!A:BZ, 3, FALSE) - SUMIF($F$1:$F576, F577, $H$1:$H576))
</f>
        <v/>
      </c>
      <c r="I577" s="26"/>
      <c r="J577" s="26" t="s">
        <v>77</v>
      </c>
      <c r="L577" s="27" t="s">
        <v>77</v>
      </c>
      <c r="N577" s="28" t="s">
        <v>77</v>
      </c>
      <c r="Q577" s="30"/>
    </row>
    <row r="578">
      <c r="B578" s="6"/>
      <c r="C578" s="33" t="str">
        <f t="array" ref="C578">IF(B578="", "", XLOOKUP(B578, Inventory!D:D,Inventory!E:E,"No Name Found"))</f>
        <v/>
      </c>
      <c r="D578" s="6"/>
      <c r="E578" s="6"/>
      <c r="F578" s="6"/>
      <c r="G578" s="24" t="str">
        <f>IF(F578="", "", VLOOKUP(F578, Inventory!A:BZ, 3, FALSE) - SUMIF($F$1:$F577, F578, $H$1:$H577))
</f>
        <v/>
      </c>
      <c r="I578" s="26"/>
      <c r="J578" s="26" t="s">
        <v>77</v>
      </c>
      <c r="L578" s="27" t="s">
        <v>77</v>
      </c>
      <c r="N578" s="28" t="s">
        <v>77</v>
      </c>
      <c r="Q578" s="30"/>
    </row>
    <row r="579">
      <c r="B579" s="6"/>
      <c r="C579" s="33" t="str">
        <f t="array" ref="C579">IF(B579="", "", XLOOKUP(B579, Inventory!D:D,Inventory!E:E,"No Name Found"))</f>
        <v/>
      </c>
      <c r="D579" s="6"/>
      <c r="E579" s="6"/>
      <c r="F579" s="6"/>
      <c r="G579" s="24" t="str">
        <f>IF(F579="", "", VLOOKUP(F579, Inventory!A:BZ, 3, FALSE) - SUMIF($F$1:$F578, F579, $H$1:$H578))
</f>
        <v/>
      </c>
      <c r="I579" s="26"/>
      <c r="J579" s="26" t="s">
        <v>77</v>
      </c>
      <c r="L579" s="27" t="s">
        <v>77</v>
      </c>
      <c r="N579" s="28" t="s">
        <v>77</v>
      </c>
      <c r="Q579" s="30"/>
    </row>
    <row r="580">
      <c r="B580" s="6"/>
      <c r="C580" s="33" t="str">
        <f t="array" ref="C580">IF(B580="", "", XLOOKUP(B580, Inventory!D:D,Inventory!E:E,"No Name Found"))</f>
        <v/>
      </c>
      <c r="D580" s="6"/>
      <c r="E580" s="6"/>
      <c r="F580" s="6"/>
      <c r="G580" s="24" t="str">
        <f>IF(F580="", "", VLOOKUP(F580, Inventory!A:BZ, 3, FALSE) - SUMIF($F$1:$F579, F580, $H$1:$H579))
</f>
        <v/>
      </c>
      <c r="I580" s="26"/>
      <c r="J580" s="26" t="s">
        <v>77</v>
      </c>
      <c r="L580" s="27" t="s">
        <v>77</v>
      </c>
      <c r="N580" s="28" t="s">
        <v>77</v>
      </c>
      <c r="Q580" s="30"/>
    </row>
    <row r="581">
      <c r="B581" s="6"/>
      <c r="C581" s="33" t="str">
        <f t="array" ref="C581">IF(B581="", "", XLOOKUP(B581, Inventory!D:D,Inventory!E:E,"No Name Found"))</f>
        <v/>
      </c>
      <c r="D581" s="6"/>
      <c r="E581" s="6"/>
      <c r="F581" s="6"/>
      <c r="G581" s="24" t="str">
        <f>IF(F581="", "", VLOOKUP(F581, Inventory!A:BZ, 3, FALSE) - SUMIF($F$1:$F580, F581, $H$1:$H580))
</f>
        <v/>
      </c>
      <c r="I581" s="26"/>
      <c r="J581" s="26" t="s">
        <v>77</v>
      </c>
      <c r="L581" s="27" t="s">
        <v>77</v>
      </c>
      <c r="N581" s="28" t="s">
        <v>77</v>
      </c>
      <c r="Q581" s="30"/>
    </row>
    <row r="582">
      <c r="B582" s="6"/>
      <c r="C582" s="33" t="str">
        <f t="array" ref="C582">IF(B582="", "", XLOOKUP(B582, Inventory!D:D,Inventory!E:E,"No Name Found"))</f>
        <v/>
      </c>
      <c r="D582" s="6"/>
      <c r="E582" s="6"/>
      <c r="F582" s="6"/>
      <c r="G582" s="24" t="str">
        <f>IF(F582="", "", VLOOKUP(F582, Inventory!A:BZ, 3, FALSE) - SUMIF($F$1:$F581, F582, $H$1:$H581))
</f>
        <v/>
      </c>
      <c r="I582" s="26"/>
      <c r="J582" s="26" t="s">
        <v>77</v>
      </c>
      <c r="L582" s="27" t="s">
        <v>77</v>
      </c>
      <c r="N582" s="28" t="s">
        <v>77</v>
      </c>
      <c r="Q582" s="30"/>
    </row>
    <row r="583">
      <c r="B583" s="6"/>
      <c r="C583" s="33" t="str">
        <f t="array" ref="C583">IF(B583="", "", XLOOKUP(B583, Inventory!D:D,Inventory!E:E,"No Name Found"))</f>
        <v/>
      </c>
      <c r="D583" s="6"/>
      <c r="E583" s="6"/>
      <c r="F583" s="6"/>
      <c r="G583" s="24" t="str">
        <f>IF(F583="", "", VLOOKUP(F583, Inventory!A:BZ, 3, FALSE) - SUMIF($F$1:$F582, F583, $H$1:$H582))
</f>
        <v/>
      </c>
      <c r="I583" s="26"/>
      <c r="J583" s="26" t="s">
        <v>77</v>
      </c>
      <c r="L583" s="27" t="s">
        <v>77</v>
      </c>
      <c r="N583" s="28" t="s">
        <v>77</v>
      </c>
      <c r="Q583" s="30"/>
    </row>
    <row r="584">
      <c r="B584" s="6"/>
      <c r="C584" s="33" t="str">
        <f t="array" ref="C584">IF(B584="", "", XLOOKUP(B584, Inventory!D:D,Inventory!E:E,"No Name Found"))</f>
        <v/>
      </c>
      <c r="D584" s="6"/>
      <c r="E584" s="6"/>
      <c r="F584" s="6"/>
      <c r="G584" s="24" t="str">
        <f>IF(F584="", "", VLOOKUP(F584, Inventory!A:BZ, 3, FALSE) - SUMIF($F$1:$F583, F584, $H$1:$H583))
</f>
        <v/>
      </c>
      <c r="I584" s="26"/>
      <c r="J584" s="26" t="s">
        <v>77</v>
      </c>
      <c r="L584" s="27" t="s">
        <v>77</v>
      </c>
      <c r="N584" s="28" t="s">
        <v>77</v>
      </c>
      <c r="Q584" s="30"/>
    </row>
    <row r="585">
      <c r="B585" s="6"/>
      <c r="C585" s="33" t="str">
        <f t="array" ref="C585">IF(B585="", "", XLOOKUP(B585, Inventory!D:D,Inventory!E:E,"No Name Found"))</f>
        <v/>
      </c>
      <c r="D585" s="6"/>
      <c r="E585" s="6"/>
      <c r="F585" s="6"/>
      <c r="G585" s="24" t="str">
        <f>IF(F585="", "", VLOOKUP(F585, Inventory!A:BZ, 3, FALSE) - SUMIF($F$1:$F584, F585, $H$1:$H584))
</f>
        <v/>
      </c>
      <c r="I585" s="26"/>
      <c r="J585" s="26" t="s">
        <v>77</v>
      </c>
      <c r="L585" s="27" t="s">
        <v>77</v>
      </c>
      <c r="N585" s="28" t="s">
        <v>77</v>
      </c>
      <c r="Q585" s="30"/>
    </row>
    <row r="586">
      <c r="B586" s="6"/>
      <c r="C586" s="33" t="str">
        <f t="array" ref="C586">IF(B586="", "", XLOOKUP(B586, Inventory!D:D,Inventory!E:E,"No Name Found"))</f>
        <v/>
      </c>
      <c r="D586" s="6"/>
      <c r="E586" s="6"/>
      <c r="F586" s="6"/>
      <c r="G586" s="24" t="str">
        <f>IF(F586="", "", VLOOKUP(F586, Inventory!A:BZ, 3, FALSE) - SUMIF($F$1:$F585, F586, $H$1:$H585))
</f>
        <v/>
      </c>
      <c r="I586" s="26"/>
      <c r="J586" s="26" t="s">
        <v>77</v>
      </c>
      <c r="L586" s="27" t="s">
        <v>77</v>
      </c>
      <c r="N586" s="28" t="s">
        <v>77</v>
      </c>
      <c r="Q586" s="30"/>
    </row>
    <row r="587">
      <c r="B587" s="6"/>
      <c r="C587" s="33" t="str">
        <f t="array" ref="C587">IF(B587="", "", XLOOKUP(B587, Inventory!D:D,Inventory!E:E,"No Name Found"))</f>
        <v/>
      </c>
      <c r="D587" s="6"/>
      <c r="E587" s="6"/>
      <c r="F587" s="6"/>
      <c r="G587" s="24" t="str">
        <f>IF(F587="", "", VLOOKUP(F587, Inventory!A:BZ, 3, FALSE) - SUMIF($F$1:$F586, F587, $H$1:$H586))
</f>
        <v/>
      </c>
      <c r="I587" s="26"/>
      <c r="J587" s="26" t="s">
        <v>77</v>
      </c>
      <c r="L587" s="27" t="s">
        <v>77</v>
      </c>
      <c r="N587" s="28" t="s">
        <v>77</v>
      </c>
      <c r="Q587" s="30"/>
    </row>
    <row r="588">
      <c r="B588" s="6"/>
      <c r="C588" s="33" t="str">
        <f t="array" ref="C588">IF(B588="", "", XLOOKUP(B588, Inventory!D:D,Inventory!E:E,"No Name Found"))</f>
        <v/>
      </c>
      <c r="D588" s="6"/>
      <c r="E588" s="6"/>
      <c r="F588" s="6"/>
      <c r="G588" s="24" t="str">
        <f>IF(F588="", "", VLOOKUP(F588, Inventory!A:BZ, 3, FALSE) - SUMIF($F$1:$F587, F588, $H$1:$H587))
</f>
        <v/>
      </c>
      <c r="I588" s="26"/>
      <c r="J588" s="26" t="s">
        <v>77</v>
      </c>
      <c r="L588" s="27" t="s">
        <v>77</v>
      </c>
      <c r="N588" s="28" t="s">
        <v>77</v>
      </c>
      <c r="Q588" s="30"/>
    </row>
    <row r="589">
      <c r="B589" s="6"/>
      <c r="C589" s="33" t="str">
        <f t="array" ref="C589">IF(B589="", "", XLOOKUP(B589, Inventory!D:D,Inventory!E:E,"No Name Found"))</f>
        <v/>
      </c>
      <c r="D589" s="6"/>
      <c r="E589" s="6"/>
      <c r="F589" s="6"/>
      <c r="G589" s="24" t="str">
        <f>IF(F589="", "", VLOOKUP(F589, Inventory!A:BZ, 3, FALSE) - SUMIF($F$1:$F588, F589, $H$1:$H588))
</f>
        <v/>
      </c>
      <c r="I589" s="26"/>
      <c r="J589" s="26" t="s">
        <v>77</v>
      </c>
      <c r="L589" s="27" t="s">
        <v>77</v>
      </c>
      <c r="N589" s="28" t="s">
        <v>77</v>
      </c>
      <c r="Q589" s="30"/>
    </row>
    <row r="590">
      <c r="B590" s="6"/>
      <c r="C590" s="33" t="str">
        <f t="array" ref="C590">IF(B590="", "", XLOOKUP(B590, Inventory!D:D,Inventory!E:E,"No Name Found"))</f>
        <v/>
      </c>
      <c r="D590" s="6"/>
      <c r="E590" s="6"/>
      <c r="F590" s="6"/>
      <c r="G590" s="24" t="str">
        <f>IF(F590="", "", VLOOKUP(F590, Inventory!A:BZ, 3, FALSE) - SUMIF($F$1:$F589, F590, $H$1:$H589))
</f>
        <v/>
      </c>
      <c r="I590" s="26"/>
      <c r="J590" s="26" t="s">
        <v>77</v>
      </c>
      <c r="L590" s="27" t="s">
        <v>77</v>
      </c>
      <c r="N590" s="28" t="s">
        <v>77</v>
      </c>
      <c r="Q590" s="30"/>
    </row>
    <row r="591">
      <c r="B591" s="6"/>
      <c r="C591" s="33" t="str">
        <f t="array" ref="C591">IF(B591="", "", XLOOKUP(B591, Inventory!D:D,Inventory!E:E,"No Name Found"))</f>
        <v/>
      </c>
      <c r="D591" s="6"/>
      <c r="E591" s="6"/>
      <c r="F591" s="6"/>
      <c r="G591" s="24" t="str">
        <f>IF(F591="", "", VLOOKUP(F591, Inventory!A:BZ, 3, FALSE) - SUMIF($F$1:$F590, F591, $H$1:$H590))
</f>
        <v/>
      </c>
      <c r="I591" s="26"/>
      <c r="J591" s="26" t="s">
        <v>77</v>
      </c>
      <c r="L591" s="27" t="s">
        <v>77</v>
      </c>
      <c r="N591" s="28" t="s">
        <v>77</v>
      </c>
      <c r="Q591" s="30"/>
    </row>
    <row r="592">
      <c r="B592" s="6"/>
      <c r="C592" s="33" t="str">
        <f t="array" ref="C592">IF(B592="", "", XLOOKUP(B592, Inventory!D:D,Inventory!E:E,"No Name Found"))</f>
        <v/>
      </c>
      <c r="D592" s="6"/>
      <c r="E592" s="6"/>
      <c r="F592" s="6"/>
      <c r="G592" s="24" t="str">
        <f>IF(F592="", "", VLOOKUP(F592, Inventory!A:BZ, 3, FALSE) - SUMIF($F$1:$F591, F592, $H$1:$H591))
</f>
        <v/>
      </c>
      <c r="I592" s="26"/>
      <c r="J592" s="26" t="s">
        <v>77</v>
      </c>
      <c r="L592" s="27" t="s">
        <v>77</v>
      </c>
      <c r="N592" s="28" t="s">
        <v>77</v>
      </c>
      <c r="Q592" s="30"/>
    </row>
    <row r="593">
      <c r="B593" s="6"/>
      <c r="C593" s="33" t="str">
        <f t="array" ref="C593">IF(B593="", "", XLOOKUP(B593, Inventory!D:D,Inventory!E:E,"No Name Found"))</f>
        <v/>
      </c>
      <c r="D593" s="6"/>
      <c r="E593" s="6"/>
      <c r="F593" s="6"/>
      <c r="G593" s="24" t="str">
        <f>IF(F593="", "", VLOOKUP(F593, Inventory!A:BZ, 3, FALSE) - SUMIF($F$1:$F592, F593, $H$1:$H592))
</f>
        <v/>
      </c>
      <c r="I593" s="26"/>
      <c r="J593" s="26" t="s">
        <v>77</v>
      </c>
      <c r="L593" s="27" t="s">
        <v>77</v>
      </c>
      <c r="N593" s="28" t="s">
        <v>77</v>
      </c>
      <c r="Q593" s="30"/>
    </row>
    <row r="594">
      <c r="B594" s="6"/>
      <c r="C594" s="33" t="str">
        <f t="array" ref="C594">IF(B594="", "", XLOOKUP(B594, Inventory!D:D,Inventory!E:E,"No Name Found"))</f>
        <v/>
      </c>
      <c r="D594" s="6"/>
      <c r="E594" s="6"/>
      <c r="F594" s="6"/>
      <c r="G594" s="24" t="str">
        <f>IF(F594="", "", VLOOKUP(F594, Inventory!A:BZ, 3, FALSE) - SUMIF($F$1:$F593, F594, $H$1:$H593))
</f>
        <v/>
      </c>
      <c r="I594" s="26"/>
      <c r="J594" s="26" t="s">
        <v>77</v>
      </c>
      <c r="L594" s="27" t="s">
        <v>77</v>
      </c>
      <c r="N594" s="28" t="s">
        <v>77</v>
      </c>
      <c r="Q594" s="30"/>
    </row>
    <row r="595">
      <c r="B595" s="6"/>
      <c r="C595" s="33" t="str">
        <f t="array" ref="C595">IF(B595="", "", XLOOKUP(B595, Inventory!D:D,Inventory!E:E,"No Name Found"))</f>
        <v/>
      </c>
      <c r="D595" s="6"/>
      <c r="E595" s="6"/>
      <c r="F595" s="6"/>
      <c r="G595" s="24" t="str">
        <f>IF(F595="", "", VLOOKUP(F595, Inventory!A:BZ, 3, FALSE) - SUMIF($F$1:$F594, F595, $H$1:$H594))
</f>
        <v/>
      </c>
      <c r="I595" s="26"/>
      <c r="J595" s="26" t="s">
        <v>77</v>
      </c>
      <c r="L595" s="27" t="s">
        <v>77</v>
      </c>
      <c r="N595" s="28" t="s">
        <v>77</v>
      </c>
      <c r="Q595" s="30"/>
    </row>
    <row r="596">
      <c r="B596" s="6"/>
      <c r="C596" s="33" t="str">
        <f t="array" ref="C596">IF(B596="", "", XLOOKUP(B596, Inventory!D:D,Inventory!E:E,"No Name Found"))</f>
        <v/>
      </c>
      <c r="D596" s="6"/>
      <c r="E596" s="6"/>
      <c r="F596" s="6"/>
      <c r="G596" s="24" t="str">
        <f>IF(F596="", "", VLOOKUP(F596, Inventory!A:BZ, 3, FALSE) - SUMIF($F$1:$F595, F596, $H$1:$H595))
</f>
        <v/>
      </c>
      <c r="I596" s="26"/>
      <c r="J596" s="26" t="s">
        <v>77</v>
      </c>
      <c r="L596" s="27" t="s">
        <v>77</v>
      </c>
      <c r="N596" s="28" t="s">
        <v>77</v>
      </c>
      <c r="Q596" s="30"/>
    </row>
    <row r="597">
      <c r="B597" s="6"/>
      <c r="C597" s="33" t="str">
        <f t="array" ref="C597">IF(B597="", "", XLOOKUP(B597, Inventory!D:D,Inventory!E:E,"No Name Found"))</f>
        <v/>
      </c>
      <c r="D597" s="6"/>
      <c r="E597" s="6"/>
      <c r="F597" s="6"/>
      <c r="G597" s="24" t="str">
        <f>IF(F597="", "", VLOOKUP(F597, Inventory!A:BZ, 3, FALSE) - SUMIF($F$1:$F596, F597, $H$1:$H596))
</f>
        <v/>
      </c>
      <c r="I597" s="26"/>
      <c r="J597" s="26" t="s">
        <v>77</v>
      </c>
      <c r="L597" s="27" t="s">
        <v>77</v>
      </c>
      <c r="N597" s="28" t="s">
        <v>77</v>
      </c>
      <c r="Q597" s="30"/>
    </row>
    <row r="598">
      <c r="B598" s="6"/>
      <c r="C598" s="33" t="str">
        <f t="array" ref="C598">IF(B598="", "", XLOOKUP(B598, Inventory!D:D,Inventory!E:E,"No Name Found"))</f>
        <v/>
      </c>
      <c r="D598" s="6"/>
      <c r="E598" s="6"/>
      <c r="F598" s="6"/>
      <c r="G598" s="24" t="str">
        <f>IF(F598="", "", VLOOKUP(F598, Inventory!A:BZ, 3, FALSE) - SUMIF($F$1:$F597, F598, $H$1:$H597))
</f>
        <v/>
      </c>
      <c r="I598" s="26"/>
      <c r="J598" s="26" t="s">
        <v>77</v>
      </c>
      <c r="L598" s="27" t="s">
        <v>77</v>
      </c>
      <c r="N598" s="28" t="s">
        <v>77</v>
      </c>
      <c r="Q598" s="30"/>
    </row>
    <row r="599">
      <c r="B599" s="6"/>
      <c r="C599" s="33" t="str">
        <f t="array" ref="C599">IF(B599="", "", XLOOKUP(B599, Inventory!D:D,Inventory!E:E,"No Name Found"))</f>
        <v/>
      </c>
      <c r="D599" s="6"/>
      <c r="E599" s="6"/>
      <c r="F599" s="6"/>
      <c r="G599" s="24" t="str">
        <f>IF(F599="", "", VLOOKUP(F599, Inventory!A:BZ, 3, FALSE) - SUMIF($F$1:$F598, F599, $H$1:$H598))
</f>
        <v/>
      </c>
      <c r="I599" s="26"/>
      <c r="J599" s="26" t="s">
        <v>77</v>
      </c>
      <c r="L599" s="27" t="s">
        <v>77</v>
      </c>
      <c r="N599" s="28" t="s">
        <v>77</v>
      </c>
      <c r="Q599" s="30"/>
    </row>
    <row r="600">
      <c r="B600" s="6"/>
      <c r="C600" s="33" t="str">
        <f t="array" ref="C600">IF(B600="", "", XLOOKUP(B600, Inventory!D:D,Inventory!E:E,"No Name Found"))</f>
        <v/>
      </c>
      <c r="D600" s="6"/>
      <c r="E600" s="6"/>
      <c r="F600" s="6"/>
      <c r="G600" s="24" t="str">
        <f>IF(F600="", "", VLOOKUP(F600, Inventory!A:BZ, 3, FALSE) - SUMIF($F$1:$F599, F600, $H$1:$H599))
</f>
        <v/>
      </c>
      <c r="I600" s="26"/>
      <c r="J600" s="26" t="s">
        <v>77</v>
      </c>
      <c r="L600" s="27" t="s">
        <v>77</v>
      </c>
      <c r="N600" s="28" t="s">
        <v>77</v>
      </c>
      <c r="Q600" s="30"/>
    </row>
    <row r="601">
      <c r="B601" s="6"/>
      <c r="C601" s="33" t="str">
        <f t="array" ref="C601">IF(B601="", "", XLOOKUP(B601, Inventory!D:D,Inventory!E:E,"No Name Found"))</f>
        <v/>
      </c>
      <c r="D601" s="6"/>
      <c r="E601" s="6"/>
      <c r="F601" s="6"/>
      <c r="G601" s="24" t="str">
        <f>IF(F601="", "", VLOOKUP(F601, Inventory!A:BZ, 3, FALSE) - SUMIF($F$1:$F600, F601, $H$1:$H600))
</f>
        <v/>
      </c>
      <c r="I601" s="26"/>
      <c r="J601" s="26" t="s">
        <v>77</v>
      </c>
      <c r="L601" s="27" t="s">
        <v>77</v>
      </c>
      <c r="N601" s="28" t="s">
        <v>77</v>
      </c>
      <c r="Q601" s="30"/>
    </row>
    <row r="602">
      <c r="B602" s="6"/>
      <c r="C602" s="33" t="str">
        <f t="array" ref="C602">IF(B602="", "", XLOOKUP(B602, Inventory!D:D,Inventory!E:E,"No Name Found"))</f>
        <v/>
      </c>
      <c r="D602" s="6"/>
      <c r="E602" s="6"/>
      <c r="F602" s="6"/>
      <c r="G602" s="24" t="str">
        <f>IF(F602="", "", VLOOKUP(F602, Inventory!A:BZ, 3, FALSE) - SUMIF($F$1:$F601, F602, $H$1:$H601))
</f>
        <v/>
      </c>
      <c r="I602" s="26"/>
      <c r="J602" s="26" t="s">
        <v>77</v>
      </c>
      <c r="L602" s="27" t="s">
        <v>77</v>
      </c>
      <c r="N602" s="28" t="s">
        <v>77</v>
      </c>
      <c r="Q602" s="30"/>
    </row>
    <row r="603">
      <c r="B603" s="6"/>
      <c r="C603" s="33" t="str">
        <f t="array" ref="C603">IF(B603="", "", XLOOKUP(B603, Inventory!D:D,Inventory!E:E,"No Name Found"))</f>
        <v/>
      </c>
      <c r="D603" s="6"/>
      <c r="E603" s="6"/>
      <c r="F603" s="6"/>
      <c r="G603" s="24" t="str">
        <f>IF(F603="", "", VLOOKUP(F603, Inventory!A:BZ, 3, FALSE) - SUMIF($F$1:$F602, F603, $H$1:$H602))
</f>
        <v/>
      </c>
      <c r="I603" s="26"/>
      <c r="J603" s="26" t="s">
        <v>77</v>
      </c>
      <c r="L603" s="27" t="s">
        <v>77</v>
      </c>
      <c r="N603" s="28" t="s">
        <v>77</v>
      </c>
      <c r="Q603" s="30"/>
    </row>
    <row r="604">
      <c r="B604" s="6"/>
      <c r="C604" s="33" t="str">
        <f t="array" ref="C604">IF(B604="", "", XLOOKUP(B604, Inventory!D:D,Inventory!E:E,"No Name Found"))</f>
        <v/>
      </c>
      <c r="D604" s="6"/>
      <c r="E604" s="6"/>
      <c r="F604" s="6"/>
      <c r="G604" s="24" t="str">
        <f>IF(F604="", "", VLOOKUP(F604, Inventory!A:BZ, 3, FALSE) - SUMIF($F$1:$F603, F604, $H$1:$H603))
</f>
        <v/>
      </c>
      <c r="I604" s="26"/>
      <c r="J604" s="26" t="s">
        <v>77</v>
      </c>
      <c r="L604" s="27" t="s">
        <v>77</v>
      </c>
      <c r="N604" s="28" t="s">
        <v>77</v>
      </c>
      <c r="Q604" s="30"/>
    </row>
    <row r="605">
      <c r="B605" s="6"/>
      <c r="C605" s="33" t="str">
        <f t="array" ref="C605">IF(B605="", "", XLOOKUP(B605, Inventory!D:D,Inventory!E:E,"No Name Found"))</f>
        <v/>
      </c>
      <c r="D605" s="6"/>
      <c r="E605" s="6"/>
      <c r="F605" s="6"/>
      <c r="G605" s="24" t="str">
        <f>IF(F605="", "", VLOOKUP(F605, Inventory!A:BZ, 3, FALSE) - SUMIF($F$1:$F604, F605, $H$1:$H604))
</f>
        <v/>
      </c>
      <c r="I605" s="26"/>
      <c r="J605" s="26" t="s">
        <v>77</v>
      </c>
      <c r="L605" s="27" t="s">
        <v>77</v>
      </c>
      <c r="N605" s="28" t="s">
        <v>77</v>
      </c>
      <c r="Q605" s="30"/>
    </row>
    <row r="606">
      <c r="B606" s="6"/>
      <c r="C606" s="33" t="str">
        <f t="array" ref="C606">IF(B606="", "", XLOOKUP(B606, Inventory!D:D,Inventory!E:E,"No Name Found"))</f>
        <v/>
      </c>
      <c r="D606" s="6"/>
      <c r="E606" s="6"/>
      <c r="F606" s="6"/>
      <c r="G606" s="24" t="str">
        <f>IF(F606="", "", VLOOKUP(F606, Inventory!A:BZ, 3, FALSE) - SUMIF($F$1:$F605, F606, $H$1:$H605))
</f>
        <v/>
      </c>
      <c r="I606" s="26"/>
      <c r="J606" s="26" t="s">
        <v>77</v>
      </c>
      <c r="L606" s="27" t="s">
        <v>77</v>
      </c>
      <c r="N606" s="28" t="s">
        <v>77</v>
      </c>
      <c r="Q606" s="30"/>
    </row>
    <row r="607">
      <c r="B607" s="6"/>
      <c r="C607" s="33" t="str">
        <f t="array" ref="C607">IF(B607="", "", XLOOKUP(B607, Inventory!D:D,Inventory!E:E,"No Name Found"))</f>
        <v/>
      </c>
      <c r="D607" s="6"/>
      <c r="E607" s="6"/>
      <c r="F607" s="6"/>
      <c r="G607" s="24" t="str">
        <f>IF(F607="", "", VLOOKUP(F607, Inventory!A:BZ, 3, FALSE) - SUMIF($F$1:$F606, F607, $H$1:$H606))
</f>
        <v/>
      </c>
      <c r="I607" s="26"/>
      <c r="J607" s="26" t="s">
        <v>77</v>
      </c>
      <c r="L607" s="27" t="s">
        <v>77</v>
      </c>
      <c r="N607" s="28" t="s">
        <v>77</v>
      </c>
      <c r="Q607" s="30"/>
    </row>
    <row r="608">
      <c r="B608" s="6"/>
      <c r="C608" s="33" t="str">
        <f t="array" ref="C608">IF(B608="", "", XLOOKUP(B608, Inventory!D:D,Inventory!E:E,"No Name Found"))</f>
        <v/>
      </c>
      <c r="D608" s="6"/>
      <c r="E608" s="6"/>
      <c r="F608" s="6"/>
      <c r="G608" s="24" t="str">
        <f>IF(F608="", "", VLOOKUP(F608, Inventory!A:BZ, 3, FALSE) - SUMIF($F$1:$F607, F608, $H$1:$H607))
</f>
        <v/>
      </c>
      <c r="I608" s="26"/>
      <c r="J608" s="26" t="s">
        <v>77</v>
      </c>
      <c r="L608" s="27" t="s">
        <v>77</v>
      </c>
      <c r="N608" s="28" t="s">
        <v>77</v>
      </c>
      <c r="Q608" s="30"/>
    </row>
    <row r="609">
      <c r="B609" s="6"/>
      <c r="C609" s="33" t="str">
        <f t="array" ref="C609">IF(B609="", "", XLOOKUP(B609, Inventory!D:D,Inventory!E:E,"No Name Found"))</f>
        <v/>
      </c>
      <c r="D609" s="6"/>
      <c r="E609" s="6"/>
      <c r="F609" s="6"/>
      <c r="G609" s="24" t="str">
        <f>IF(F609="", "", VLOOKUP(F609, Inventory!A:BZ, 3, FALSE) - SUMIF($F$1:$F608, F609, $H$1:$H608))
</f>
        <v/>
      </c>
      <c r="I609" s="26"/>
      <c r="J609" s="26" t="s">
        <v>77</v>
      </c>
      <c r="L609" s="27" t="s">
        <v>77</v>
      </c>
      <c r="N609" s="28" t="s">
        <v>77</v>
      </c>
      <c r="Q609" s="30"/>
    </row>
    <row r="610">
      <c r="B610" s="6"/>
      <c r="C610" s="33" t="str">
        <f t="array" ref="C610">IF(B610="", "", XLOOKUP(B610, Inventory!D:D,Inventory!E:E,"No Name Found"))</f>
        <v/>
      </c>
      <c r="D610" s="6"/>
      <c r="E610" s="6"/>
      <c r="F610" s="6"/>
      <c r="G610" s="24" t="str">
        <f>IF(F610="", "", VLOOKUP(F610, Inventory!A:BZ, 3, FALSE) - SUMIF($F$1:$F609, F610, $H$1:$H609))
</f>
        <v/>
      </c>
      <c r="I610" s="26"/>
      <c r="J610" s="26" t="s">
        <v>77</v>
      </c>
      <c r="L610" s="27" t="s">
        <v>77</v>
      </c>
      <c r="N610" s="28" t="s">
        <v>77</v>
      </c>
      <c r="Q610" s="30"/>
    </row>
    <row r="611">
      <c r="B611" s="6"/>
      <c r="C611" s="33" t="str">
        <f t="array" ref="C611">IF(B611="", "", XLOOKUP(B611, Inventory!D:D,Inventory!E:E,"No Name Found"))</f>
        <v/>
      </c>
      <c r="D611" s="6"/>
      <c r="E611" s="6"/>
      <c r="F611" s="6"/>
      <c r="G611" s="24" t="str">
        <f>IF(F611="", "", VLOOKUP(F611, Inventory!A:BZ, 3, FALSE) - SUMIF($F$1:$F610, F611, $H$1:$H610))
</f>
        <v/>
      </c>
      <c r="I611" s="26"/>
      <c r="J611" s="26" t="s">
        <v>77</v>
      </c>
      <c r="L611" s="27" t="s">
        <v>77</v>
      </c>
      <c r="N611" s="28" t="s">
        <v>77</v>
      </c>
      <c r="Q611" s="30"/>
    </row>
    <row r="612">
      <c r="B612" s="6"/>
      <c r="C612" s="33" t="str">
        <f t="array" ref="C612">IF(B612="", "", XLOOKUP(B612, Inventory!D:D,Inventory!E:E,"No Name Found"))</f>
        <v/>
      </c>
      <c r="D612" s="6"/>
      <c r="E612" s="6"/>
      <c r="F612" s="6"/>
      <c r="G612" s="24" t="str">
        <f>IF(F612="", "", VLOOKUP(F612, Inventory!A:BZ, 3, FALSE) - SUMIF($F$1:$F611, F612, $H$1:$H611))
</f>
        <v/>
      </c>
      <c r="I612" s="26"/>
      <c r="J612" s="26" t="s">
        <v>77</v>
      </c>
      <c r="L612" s="27" t="s">
        <v>77</v>
      </c>
      <c r="N612" s="28" t="s">
        <v>77</v>
      </c>
      <c r="Q612" s="30"/>
    </row>
    <row r="613">
      <c r="B613" s="6"/>
      <c r="C613" s="33" t="str">
        <f t="array" ref="C613">IF(B613="", "", XLOOKUP(B613, Inventory!D:D,Inventory!E:E,"No Name Found"))</f>
        <v/>
      </c>
      <c r="D613" s="6"/>
      <c r="E613" s="6"/>
      <c r="F613" s="6"/>
      <c r="G613" s="24" t="str">
        <f>IF(F613="", "", VLOOKUP(F613, Inventory!A:BZ, 3, FALSE) - SUMIF($F$1:$F612, F613, $H$1:$H612))
</f>
        <v/>
      </c>
      <c r="I613" s="26"/>
      <c r="J613" s="26" t="s">
        <v>77</v>
      </c>
      <c r="L613" s="27" t="s">
        <v>77</v>
      </c>
      <c r="N613" s="28" t="s">
        <v>77</v>
      </c>
      <c r="Q613" s="30"/>
    </row>
    <row r="614">
      <c r="B614" s="6"/>
      <c r="C614" s="33" t="str">
        <f t="array" ref="C614">IF(B614="", "", XLOOKUP(B614, Inventory!D:D,Inventory!E:E,"No Name Found"))</f>
        <v/>
      </c>
      <c r="D614" s="6"/>
      <c r="E614" s="6"/>
      <c r="F614" s="6"/>
      <c r="G614" s="24" t="str">
        <f>IF(F614="", "", VLOOKUP(F614, Inventory!A:BZ, 3, FALSE) - SUMIF($F$1:$F613, F614, $H$1:$H613))
</f>
        <v/>
      </c>
      <c r="I614" s="26"/>
      <c r="J614" s="26" t="s">
        <v>77</v>
      </c>
      <c r="L614" s="27" t="s">
        <v>77</v>
      </c>
      <c r="N614" s="28" t="s">
        <v>77</v>
      </c>
      <c r="Q614" s="30"/>
    </row>
    <row r="615">
      <c r="B615" s="6"/>
      <c r="C615" s="33" t="str">
        <f t="array" ref="C615">IF(B615="", "", XLOOKUP(B615, Inventory!D:D,Inventory!E:E,"No Name Found"))</f>
        <v/>
      </c>
      <c r="D615" s="6"/>
      <c r="E615" s="6"/>
      <c r="F615" s="6"/>
      <c r="G615" s="24" t="str">
        <f>IF(F615="", "", VLOOKUP(F615, Inventory!A:BZ, 3, FALSE) - SUMIF($F$1:$F614, F615, $H$1:$H614))
</f>
        <v/>
      </c>
      <c r="I615" s="26"/>
      <c r="J615" s="26" t="s">
        <v>77</v>
      </c>
      <c r="L615" s="27" t="s">
        <v>77</v>
      </c>
      <c r="N615" s="28" t="s">
        <v>77</v>
      </c>
      <c r="Q615" s="30"/>
    </row>
    <row r="616">
      <c r="B616" s="6"/>
      <c r="C616" s="33" t="str">
        <f t="array" ref="C616">IF(B616="", "", XLOOKUP(B616, Inventory!D:D,Inventory!E:E,"No Name Found"))</f>
        <v/>
      </c>
      <c r="D616" s="6"/>
      <c r="E616" s="6"/>
      <c r="F616" s="6"/>
      <c r="G616" s="24" t="str">
        <f>IF(F616="", "", VLOOKUP(F616, Inventory!A:BZ, 3, FALSE) - SUMIF($F$1:$F615, F616, $H$1:$H615))
</f>
        <v/>
      </c>
      <c r="I616" s="26"/>
      <c r="J616" s="26" t="s">
        <v>77</v>
      </c>
      <c r="L616" s="27" t="s">
        <v>77</v>
      </c>
      <c r="N616" s="28" t="s">
        <v>77</v>
      </c>
      <c r="Q616" s="30"/>
    </row>
    <row r="617">
      <c r="B617" s="6"/>
      <c r="C617" s="33" t="str">
        <f t="array" ref="C617">IF(B617="", "", XLOOKUP(B617, Inventory!D:D,Inventory!E:E,"No Name Found"))</f>
        <v/>
      </c>
      <c r="D617" s="6"/>
      <c r="E617" s="6"/>
      <c r="F617" s="6"/>
      <c r="G617" s="24" t="str">
        <f>IF(F617="", "", VLOOKUP(F617, Inventory!A:BZ, 3, FALSE) - SUMIF($F$1:$F616, F617, $H$1:$H616))
</f>
        <v/>
      </c>
      <c r="I617" s="26"/>
      <c r="J617" s="26" t="s">
        <v>77</v>
      </c>
      <c r="L617" s="27" t="s">
        <v>77</v>
      </c>
      <c r="N617" s="28" t="s">
        <v>77</v>
      </c>
      <c r="Q617" s="30"/>
    </row>
    <row r="618">
      <c r="B618" s="6"/>
      <c r="C618" s="33" t="str">
        <f t="array" ref="C618">IF(B618="", "", XLOOKUP(B618, Inventory!D:D,Inventory!E:E,"No Name Found"))</f>
        <v/>
      </c>
      <c r="D618" s="6"/>
      <c r="E618" s="6"/>
      <c r="F618" s="6"/>
      <c r="G618" s="24" t="str">
        <f>IF(F618="", "", VLOOKUP(F618, Inventory!A:BZ, 3, FALSE) - SUMIF($F$1:$F617, F618, $H$1:$H617))
</f>
        <v/>
      </c>
      <c r="I618" s="26"/>
      <c r="J618" s="26" t="s">
        <v>77</v>
      </c>
      <c r="L618" s="27" t="s">
        <v>77</v>
      </c>
      <c r="N618" s="28" t="s">
        <v>77</v>
      </c>
      <c r="Q618" s="30"/>
    </row>
    <row r="619">
      <c r="B619" s="6"/>
      <c r="C619" s="33" t="str">
        <f t="array" ref="C619">IF(B619="", "", XLOOKUP(B619, Inventory!D:D,Inventory!E:E,"No Name Found"))</f>
        <v/>
      </c>
      <c r="D619" s="6"/>
      <c r="E619" s="6"/>
      <c r="F619" s="6"/>
      <c r="G619" s="24" t="str">
        <f>IF(F619="", "", VLOOKUP(F619, Inventory!A:BZ, 3, FALSE) - SUMIF($F$1:$F618, F619, $H$1:$H618))
</f>
        <v/>
      </c>
      <c r="I619" s="26"/>
      <c r="J619" s="26" t="s">
        <v>77</v>
      </c>
      <c r="L619" s="27" t="s">
        <v>77</v>
      </c>
      <c r="N619" s="28" t="s">
        <v>77</v>
      </c>
      <c r="Q619" s="30"/>
    </row>
    <row r="620">
      <c r="B620" s="6"/>
      <c r="C620" s="33" t="str">
        <f t="array" ref="C620">IF(B620="", "", XLOOKUP(B620, Inventory!D:D,Inventory!E:E,"No Name Found"))</f>
        <v/>
      </c>
      <c r="D620" s="6"/>
      <c r="E620" s="6"/>
      <c r="F620" s="6"/>
      <c r="G620" s="24" t="str">
        <f>IF(F620="", "", VLOOKUP(F620, Inventory!A:BZ, 3, FALSE) - SUMIF($F$1:$F619, F620, $H$1:$H619))
</f>
        <v/>
      </c>
      <c r="I620" s="26"/>
      <c r="J620" s="26" t="s">
        <v>77</v>
      </c>
      <c r="L620" s="27" t="s">
        <v>77</v>
      </c>
      <c r="N620" s="28" t="s">
        <v>77</v>
      </c>
      <c r="Q620" s="30"/>
    </row>
    <row r="621">
      <c r="B621" s="6"/>
      <c r="C621" s="33" t="str">
        <f t="array" ref="C621">IF(B621="", "", XLOOKUP(B621, Inventory!D:D,Inventory!E:E,"No Name Found"))</f>
        <v/>
      </c>
      <c r="D621" s="6"/>
      <c r="E621" s="6"/>
      <c r="F621" s="6"/>
      <c r="G621" s="24" t="str">
        <f>IF(F621="", "", VLOOKUP(F621, Inventory!A:BZ, 3, FALSE) - SUMIF($F$1:$F620, F621, $H$1:$H620))
</f>
        <v/>
      </c>
      <c r="I621" s="26"/>
      <c r="J621" s="26" t="s">
        <v>77</v>
      </c>
      <c r="L621" s="27" t="s">
        <v>77</v>
      </c>
      <c r="N621" s="28" t="s">
        <v>77</v>
      </c>
      <c r="Q621" s="30"/>
    </row>
    <row r="622">
      <c r="B622" s="6"/>
      <c r="C622" s="33" t="str">
        <f t="array" ref="C622">IF(B622="", "", XLOOKUP(B622, Inventory!D:D,Inventory!E:E,"No Name Found"))</f>
        <v/>
      </c>
      <c r="D622" s="6"/>
      <c r="E622" s="6"/>
      <c r="F622" s="6"/>
      <c r="G622" s="24" t="str">
        <f>IF(F622="", "", VLOOKUP(F622, Inventory!A:BZ, 3, FALSE) - SUMIF($F$1:$F621, F622, $H$1:$H621))
</f>
        <v/>
      </c>
      <c r="I622" s="26"/>
      <c r="J622" s="26" t="s">
        <v>77</v>
      </c>
      <c r="L622" s="27" t="s">
        <v>77</v>
      </c>
      <c r="N622" s="28" t="s">
        <v>77</v>
      </c>
      <c r="Q622" s="30"/>
    </row>
    <row r="623">
      <c r="B623" s="6"/>
      <c r="C623" s="33" t="str">
        <f t="array" ref="C623">IF(B623="", "", XLOOKUP(B623, Inventory!D:D,Inventory!E:E,"No Name Found"))</f>
        <v/>
      </c>
      <c r="D623" s="6"/>
      <c r="E623" s="6"/>
      <c r="F623" s="6"/>
      <c r="G623" s="24" t="str">
        <f>IF(F623="", "", VLOOKUP(F623, Inventory!A:BZ, 3, FALSE) - SUMIF($F$1:$F622, F623, $H$1:$H622))
</f>
        <v/>
      </c>
      <c r="I623" s="26"/>
      <c r="J623" s="26" t="s">
        <v>77</v>
      </c>
      <c r="L623" s="27" t="s">
        <v>77</v>
      </c>
      <c r="N623" s="28" t="s">
        <v>77</v>
      </c>
      <c r="Q623" s="30"/>
    </row>
    <row r="624">
      <c r="B624" s="6"/>
      <c r="C624" s="33" t="str">
        <f t="array" ref="C624">IF(B624="", "", XLOOKUP(B624, Inventory!D:D,Inventory!E:E,"No Name Found"))</f>
        <v/>
      </c>
      <c r="D624" s="6"/>
      <c r="E624" s="6"/>
      <c r="F624" s="6"/>
      <c r="G624" s="24" t="str">
        <f>IF(F624="", "", VLOOKUP(F624, Inventory!A:BZ, 3, FALSE) - SUMIF($F$1:$F623, F624, $H$1:$H623))
</f>
        <v/>
      </c>
      <c r="I624" s="26"/>
      <c r="J624" s="26" t="s">
        <v>77</v>
      </c>
      <c r="L624" s="27" t="s">
        <v>77</v>
      </c>
      <c r="N624" s="28" t="s">
        <v>77</v>
      </c>
      <c r="Q624" s="30"/>
    </row>
    <row r="625">
      <c r="B625" s="6"/>
      <c r="C625" s="33" t="str">
        <f t="array" ref="C625">IF(B625="", "", XLOOKUP(B625, Inventory!D:D,Inventory!E:E,"No Name Found"))</f>
        <v/>
      </c>
      <c r="D625" s="6"/>
      <c r="E625" s="6"/>
      <c r="F625" s="6"/>
      <c r="G625" s="24" t="str">
        <f>IF(F625="", "", VLOOKUP(F625, Inventory!A:BZ, 3, FALSE) - SUMIF($F$1:$F624, F625, $H$1:$H624))
</f>
        <v/>
      </c>
      <c r="I625" s="26"/>
      <c r="J625" s="26" t="s">
        <v>77</v>
      </c>
      <c r="L625" s="27" t="s">
        <v>77</v>
      </c>
      <c r="N625" s="28" t="s">
        <v>77</v>
      </c>
      <c r="Q625" s="30"/>
    </row>
    <row r="626">
      <c r="B626" s="6"/>
      <c r="C626" s="33" t="str">
        <f t="array" ref="C626">IF(B626="", "", XLOOKUP(B626, Inventory!D:D,Inventory!E:E,"No Name Found"))</f>
        <v/>
      </c>
      <c r="D626" s="6"/>
      <c r="E626" s="6"/>
      <c r="F626" s="6"/>
      <c r="G626" s="24" t="str">
        <f>IF(F626="", "", VLOOKUP(F626, Inventory!A:BZ, 3, FALSE) - SUMIF($F$1:$F625, F626, $H$1:$H625))
</f>
        <v/>
      </c>
      <c r="I626" s="26"/>
      <c r="J626" s="26" t="s">
        <v>77</v>
      </c>
      <c r="L626" s="27" t="s">
        <v>77</v>
      </c>
      <c r="N626" s="28" t="s">
        <v>77</v>
      </c>
      <c r="Q626" s="30"/>
    </row>
    <row r="627">
      <c r="B627" s="6"/>
      <c r="C627" s="33" t="str">
        <f t="array" ref="C627">IF(B627="", "", XLOOKUP(B627, Inventory!D:D,Inventory!E:E,"No Name Found"))</f>
        <v/>
      </c>
      <c r="D627" s="6"/>
      <c r="E627" s="6"/>
      <c r="F627" s="6"/>
      <c r="G627" s="24" t="str">
        <f>IF(F627="", "", VLOOKUP(F627, Inventory!A:BZ, 3, FALSE) - SUMIF($F$1:$F626, F627, $H$1:$H626))
</f>
        <v/>
      </c>
      <c r="I627" s="26"/>
      <c r="J627" s="26" t="s">
        <v>77</v>
      </c>
      <c r="L627" s="27" t="s">
        <v>77</v>
      </c>
      <c r="N627" s="28" t="s">
        <v>77</v>
      </c>
      <c r="Q627" s="30"/>
    </row>
    <row r="628">
      <c r="B628" s="6"/>
      <c r="C628" s="33" t="str">
        <f t="array" ref="C628">IF(B628="", "", XLOOKUP(B628, Inventory!D:D,Inventory!E:E,"No Name Found"))</f>
        <v/>
      </c>
      <c r="D628" s="6"/>
      <c r="E628" s="6"/>
      <c r="F628" s="6"/>
      <c r="G628" s="24" t="str">
        <f>IF(F628="", "", VLOOKUP(F628, Inventory!A:BZ, 3, FALSE) - SUMIF($F$1:$F627, F628, $H$1:$H627))
</f>
        <v/>
      </c>
      <c r="I628" s="26"/>
      <c r="J628" s="26" t="s">
        <v>77</v>
      </c>
      <c r="L628" s="27" t="s">
        <v>77</v>
      </c>
      <c r="N628" s="28" t="s">
        <v>77</v>
      </c>
      <c r="Q628" s="30"/>
    </row>
    <row r="629">
      <c r="B629" s="6"/>
      <c r="C629" s="33" t="str">
        <f t="array" ref="C629">IF(B629="", "", XLOOKUP(B629, Inventory!D:D,Inventory!E:E,"No Name Found"))</f>
        <v/>
      </c>
      <c r="D629" s="6"/>
      <c r="E629" s="6"/>
      <c r="F629" s="6"/>
      <c r="G629" s="24" t="str">
        <f>IF(F629="", "", VLOOKUP(F629, Inventory!A:BZ, 3, FALSE) - SUMIF($F$1:$F628, F629, $H$1:$H628))
</f>
        <v/>
      </c>
      <c r="I629" s="26"/>
      <c r="J629" s="26" t="s">
        <v>77</v>
      </c>
      <c r="L629" s="27" t="s">
        <v>77</v>
      </c>
      <c r="N629" s="28" t="s">
        <v>77</v>
      </c>
      <c r="Q629" s="30"/>
    </row>
    <row r="630">
      <c r="B630" s="6"/>
      <c r="C630" s="33" t="str">
        <f t="array" ref="C630">IF(B630="", "", XLOOKUP(B630, Inventory!D:D,Inventory!E:E,"No Name Found"))</f>
        <v/>
      </c>
      <c r="D630" s="6"/>
      <c r="E630" s="6"/>
      <c r="F630" s="6"/>
      <c r="G630" s="24" t="str">
        <f>IF(F630="", "", VLOOKUP(F630, Inventory!A:BZ, 3, FALSE) - SUMIF($F$1:$F629, F630, $H$1:$H629))
</f>
        <v/>
      </c>
      <c r="I630" s="26"/>
      <c r="J630" s="26" t="s">
        <v>77</v>
      </c>
      <c r="L630" s="27" t="s">
        <v>77</v>
      </c>
      <c r="N630" s="28" t="s">
        <v>77</v>
      </c>
      <c r="Q630" s="30"/>
    </row>
    <row r="631">
      <c r="B631" s="6"/>
      <c r="C631" s="33" t="str">
        <f t="array" ref="C631">IF(B631="", "", XLOOKUP(B631, Inventory!D:D,Inventory!E:E,"No Name Found"))</f>
        <v/>
      </c>
      <c r="D631" s="6"/>
      <c r="E631" s="6"/>
      <c r="F631" s="6"/>
      <c r="G631" s="24" t="str">
        <f>IF(F631="", "", VLOOKUP(F631, Inventory!A:BZ, 3, FALSE) - SUMIF($F$1:$F630, F631, $H$1:$H630))
</f>
        <v/>
      </c>
      <c r="I631" s="26"/>
      <c r="J631" s="26" t="s">
        <v>77</v>
      </c>
      <c r="L631" s="27" t="s">
        <v>77</v>
      </c>
      <c r="N631" s="28" t="s">
        <v>77</v>
      </c>
      <c r="Q631" s="30"/>
    </row>
    <row r="632">
      <c r="B632" s="6"/>
      <c r="C632" s="33" t="str">
        <f t="array" ref="C632">IF(B632="", "", XLOOKUP(B632, Inventory!D:D,Inventory!E:E,"No Name Found"))</f>
        <v/>
      </c>
      <c r="D632" s="6"/>
      <c r="E632" s="6"/>
      <c r="F632" s="6"/>
      <c r="G632" s="24" t="str">
        <f>IF(F632="", "", VLOOKUP(F632, Inventory!A:BZ, 3, FALSE) - SUMIF($F$1:$F631, F632, $H$1:$H631))
</f>
        <v/>
      </c>
      <c r="I632" s="26"/>
      <c r="J632" s="26" t="s">
        <v>77</v>
      </c>
      <c r="L632" s="27" t="s">
        <v>77</v>
      </c>
      <c r="N632" s="28" t="s">
        <v>77</v>
      </c>
      <c r="Q632" s="30"/>
    </row>
    <row r="633">
      <c r="B633" s="6"/>
      <c r="C633" s="33" t="str">
        <f t="array" ref="C633">IF(B633="", "", XLOOKUP(B633, Inventory!D:D,Inventory!E:E,"No Name Found"))</f>
        <v/>
      </c>
      <c r="D633" s="6"/>
      <c r="E633" s="6"/>
      <c r="F633" s="6"/>
      <c r="G633" s="24" t="str">
        <f>IF(F633="", "", VLOOKUP(F633, Inventory!A:BZ, 3, FALSE) - SUMIF($F$1:$F632, F633, $H$1:$H632))
</f>
        <v/>
      </c>
      <c r="I633" s="26"/>
      <c r="J633" s="26" t="s">
        <v>77</v>
      </c>
      <c r="L633" s="27" t="s">
        <v>77</v>
      </c>
      <c r="N633" s="28" t="s">
        <v>77</v>
      </c>
      <c r="Q633" s="30"/>
    </row>
    <row r="634">
      <c r="B634" s="6"/>
      <c r="C634" s="33" t="str">
        <f t="array" ref="C634">IF(B634="", "", XLOOKUP(B634, Inventory!D:D,Inventory!E:E,"No Name Found"))</f>
        <v/>
      </c>
      <c r="D634" s="6"/>
      <c r="E634" s="6"/>
      <c r="F634" s="6"/>
      <c r="G634" s="24" t="str">
        <f>IF(F634="", "", VLOOKUP(F634, Inventory!A:BZ, 3, FALSE) - SUMIF($F$1:$F633, F634, $H$1:$H633))
</f>
        <v/>
      </c>
      <c r="I634" s="26"/>
      <c r="J634" s="26" t="s">
        <v>77</v>
      </c>
      <c r="L634" s="27" t="s">
        <v>77</v>
      </c>
      <c r="N634" s="28" t="s">
        <v>77</v>
      </c>
      <c r="Q634" s="30"/>
    </row>
    <row r="635">
      <c r="B635" s="6"/>
      <c r="C635" s="33" t="str">
        <f t="array" ref="C635">IF(B635="", "", XLOOKUP(B635, Inventory!D:D,Inventory!E:E,"No Name Found"))</f>
        <v/>
      </c>
      <c r="D635" s="6"/>
      <c r="E635" s="6"/>
      <c r="F635" s="6"/>
      <c r="G635" s="24" t="str">
        <f>IF(F635="", "", VLOOKUP(F635, Inventory!A:BZ, 3, FALSE) - SUMIF($F$1:$F634, F635, $H$1:$H634))
</f>
        <v/>
      </c>
      <c r="I635" s="26"/>
      <c r="J635" s="26" t="s">
        <v>77</v>
      </c>
      <c r="L635" s="27" t="s">
        <v>77</v>
      </c>
      <c r="N635" s="28" t="s">
        <v>77</v>
      </c>
      <c r="Q635" s="30"/>
    </row>
    <row r="636">
      <c r="B636" s="6"/>
      <c r="C636" s="33" t="str">
        <f t="array" ref="C636">IF(B636="", "", XLOOKUP(B636, Inventory!D:D,Inventory!E:E,"No Name Found"))</f>
        <v/>
      </c>
      <c r="D636" s="6"/>
      <c r="E636" s="6"/>
      <c r="F636" s="6"/>
      <c r="G636" s="24" t="str">
        <f>IF(F636="", "", VLOOKUP(F636, Inventory!A:BZ, 3, FALSE) - SUMIF($F$1:$F635, F636, $H$1:$H635))
</f>
        <v/>
      </c>
      <c r="I636" s="26"/>
      <c r="J636" s="26" t="s">
        <v>77</v>
      </c>
      <c r="L636" s="27" t="s">
        <v>77</v>
      </c>
      <c r="N636" s="28" t="s">
        <v>77</v>
      </c>
      <c r="Q636" s="30"/>
    </row>
    <row r="637">
      <c r="B637" s="6"/>
      <c r="C637" s="33" t="str">
        <f t="array" ref="C637">IF(B637="", "", XLOOKUP(B637, Inventory!D:D,Inventory!E:E,"No Name Found"))</f>
        <v/>
      </c>
      <c r="D637" s="6"/>
      <c r="E637" s="6"/>
      <c r="F637" s="6"/>
      <c r="G637" s="24" t="str">
        <f>IF(F637="", "", VLOOKUP(F637, Inventory!A:BZ, 3, FALSE) - SUMIF($F$1:$F636, F637, $H$1:$H636))
</f>
        <v/>
      </c>
      <c r="I637" s="26"/>
      <c r="J637" s="26" t="s">
        <v>77</v>
      </c>
      <c r="L637" s="27" t="s">
        <v>77</v>
      </c>
      <c r="N637" s="28" t="s">
        <v>77</v>
      </c>
      <c r="Q637" s="30"/>
    </row>
    <row r="638">
      <c r="B638" s="6"/>
      <c r="C638" s="33" t="str">
        <f t="array" ref="C638">IF(B638="", "", XLOOKUP(B638, Inventory!D:D,Inventory!E:E,"No Name Found"))</f>
        <v/>
      </c>
      <c r="D638" s="6"/>
      <c r="E638" s="6"/>
      <c r="F638" s="6"/>
      <c r="G638" s="24" t="str">
        <f>IF(F638="", "", VLOOKUP(F638, Inventory!A:BZ, 3, FALSE) - SUMIF($F$1:$F637, F638, $H$1:$H637))
</f>
        <v/>
      </c>
      <c r="I638" s="26"/>
      <c r="J638" s="26" t="s">
        <v>77</v>
      </c>
      <c r="L638" s="27" t="s">
        <v>77</v>
      </c>
      <c r="N638" s="28" t="s">
        <v>77</v>
      </c>
      <c r="Q638" s="30"/>
    </row>
    <row r="639">
      <c r="B639" s="6"/>
      <c r="C639" s="33" t="str">
        <f t="array" ref="C639">IF(B639="", "", XLOOKUP(B639, Inventory!D:D,Inventory!E:E,"No Name Found"))</f>
        <v/>
      </c>
      <c r="D639" s="6"/>
      <c r="E639" s="6"/>
      <c r="F639" s="6"/>
      <c r="G639" s="24" t="str">
        <f>IF(F639="", "", VLOOKUP(F639, Inventory!A:BZ, 3, FALSE) - SUMIF($F$1:$F638, F639, $H$1:$H638))
</f>
        <v/>
      </c>
      <c r="I639" s="26"/>
      <c r="J639" s="26" t="s">
        <v>77</v>
      </c>
      <c r="L639" s="27" t="s">
        <v>77</v>
      </c>
      <c r="N639" s="28" t="s">
        <v>77</v>
      </c>
      <c r="Q639" s="30"/>
    </row>
    <row r="640">
      <c r="B640" s="6"/>
      <c r="C640" s="33" t="str">
        <f t="array" ref="C640">IF(B640="", "", XLOOKUP(B640, Inventory!D:D,Inventory!E:E,"No Name Found"))</f>
        <v/>
      </c>
      <c r="D640" s="6"/>
      <c r="E640" s="6"/>
      <c r="F640" s="6"/>
      <c r="G640" s="24" t="str">
        <f>IF(F640="", "", VLOOKUP(F640, Inventory!A:BZ, 3, FALSE) - SUMIF($F$1:$F639, F640, $H$1:$H639))
</f>
        <v/>
      </c>
      <c r="I640" s="26"/>
      <c r="J640" s="26" t="s">
        <v>77</v>
      </c>
      <c r="L640" s="27" t="s">
        <v>77</v>
      </c>
      <c r="N640" s="28" t="s">
        <v>77</v>
      </c>
      <c r="Q640" s="30"/>
    </row>
    <row r="641">
      <c r="B641" s="6"/>
      <c r="C641" s="33" t="str">
        <f t="array" ref="C641">IF(B641="", "", XLOOKUP(B641, Inventory!D:D,Inventory!E:E,"No Name Found"))</f>
        <v/>
      </c>
      <c r="D641" s="6"/>
      <c r="E641" s="6"/>
      <c r="F641" s="6"/>
      <c r="G641" s="24" t="str">
        <f>IF(F641="", "", VLOOKUP(F641, Inventory!A:BZ, 3, FALSE) - SUMIF($F$1:$F640, F641, $H$1:$H640))
</f>
        <v/>
      </c>
      <c r="I641" s="26"/>
      <c r="J641" s="26" t="s">
        <v>77</v>
      </c>
      <c r="L641" s="27" t="s">
        <v>77</v>
      </c>
      <c r="N641" s="28" t="s">
        <v>77</v>
      </c>
      <c r="Q641" s="30"/>
    </row>
    <row r="642">
      <c r="B642" s="6"/>
      <c r="C642" s="33" t="str">
        <f t="array" ref="C642">IF(B642="", "", XLOOKUP(B642, Inventory!D:D,Inventory!E:E,"No Name Found"))</f>
        <v/>
      </c>
      <c r="D642" s="6"/>
      <c r="E642" s="6"/>
      <c r="F642" s="6"/>
      <c r="G642" s="24" t="str">
        <f>IF(F642="", "", VLOOKUP(F642, Inventory!A:BZ, 3, FALSE) - SUMIF($F$1:$F641, F642, $H$1:$H641))
</f>
        <v/>
      </c>
      <c r="I642" s="26"/>
      <c r="J642" s="26" t="s">
        <v>77</v>
      </c>
      <c r="L642" s="27" t="s">
        <v>77</v>
      </c>
      <c r="N642" s="28" t="s">
        <v>77</v>
      </c>
      <c r="Q642" s="30"/>
    </row>
    <row r="643">
      <c r="B643" s="6"/>
      <c r="C643" s="33" t="str">
        <f t="array" ref="C643">IF(B643="", "", XLOOKUP(B643, Inventory!D:D,Inventory!E:E,"No Name Found"))</f>
        <v/>
      </c>
      <c r="D643" s="6"/>
      <c r="E643" s="6"/>
      <c r="F643" s="6"/>
      <c r="G643" s="24" t="str">
        <f>IF(F643="", "", VLOOKUP(F643, Inventory!A:BZ, 3, FALSE) - SUMIF($F$1:$F642, F643, $H$1:$H642))
</f>
        <v/>
      </c>
      <c r="I643" s="26"/>
      <c r="J643" s="26" t="s">
        <v>77</v>
      </c>
      <c r="L643" s="27" t="s">
        <v>77</v>
      </c>
      <c r="N643" s="28" t="s">
        <v>77</v>
      </c>
      <c r="Q643" s="30"/>
    </row>
    <row r="644">
      <c r="B644" s="6"/>
      <c r="C644" s="33" t="str">
        <f t="array" ref="C644">IF(B644="", "", XLOOKUP(B644, Inventory!D:D,Inventory!E:E,"No Name Found"))</f>
        <v/>
      </c>
      <c r="D644" s="6"/>
      <c r="E644" s="6"/>
      <c r="F644" s="6"/>
      <c r="G644" s="24" t="str">
        <f>IF(F644="", "", VLOOKUP(F644, Inventory!A:BZ, 3, FALSE) - SUMIF($F$1:$F643, F644, $H$1:$H643))
</f>
        <v/>
      </c>
      <c r="I644" s="26"/>
      <c r="J644" s="26" t="s">
        <v>77</v>
      </c>
      <c r="L644" s="27" t="s">
        <v>77</v>
      </c>
      <c r="N644" s="28" t="s">
        <v>77</v>
      </c>
      <c r="Q644" s="30"/>
    </row>
    <row r="645">
      <c r="B645" s="6"/>
      <c r="C645" s="33" t="str">
        <f t="array" ref="C645">IF(B645="", "", XLOOKUP(B645, Inventory!D:D,Inventory!E:E,"No Name Found"))</f>
        <v/>
      </c>
      <c r="D645" s="6"/>
      <c r="E645" s="6"/>
      <c r="F645" s="6"/>
      <c r="G645" s="24" t="str">
        <f>IF(F645="", "", VLOOKUP(F645, Inventory!A:BZ, 3, FALSE) - SUMIF($F$1:$F644, F645, $H$1:$H644))
</f>
        <v/>
      </c>
      <c r="I645" s="26"/>
      <c r="J645" s="26" t="s">
        <v>77</v>
      </c>
      <c r="L645" s="27" t="s">
        <v>77</v>
      </c>
      <c r="N645" s="28" t="s">
        <v>77</v>
      </c>
      <c r="Q645" s="30"/>
    </row>
    <row r="646">
      <c r="B646" s="6"/>
      <c r="C646" s="33" t="str">
        <f t="array" ref="C646">IF(B646="", "", XLOOKUP(B646, Inventory!D:D,Inventory!E:E,"No Name Found"))</f>
        <v/>
      </c>
      <c r="D646" s="6"/>
      <c r="E646" s="6"/>
      <c r="F646" s="6"/>
      <c r="G646" s="24" t="str">
        <f>IF(F646="", "", VLOOKUP(F646, Inventory!A:BZ, 3, FALSE) - SUMIF($F$1:$F645, F646, $H$1:$H645))
</f>
        <v/>
      </c>
      <c r="I646" s="26"/>
      <c r="J646" s="26" t="s">
        <v>77</v>
      </c>
      <c r="L646" s="27" t="s">
        <v>77</v>
      </c>
      <c r="N646" s="28" t="s">
        <v>77</v>
      </c>
      <c r="Q646" s="30"/>
    </row>
    <row r="647">
      <c r="B647" s="6"/>
      <c r="C647" s="33" t="str">
        <f t="array" ref="C647">IF(B647="", "", XLOOKUP(B647, Inventory!D:D,Inventory!E:E,"No Name Found"))</f>
        <v/>
      </c>
      <c r="D647" s="6"/>
      <c r="E647" s="6"/>
      <c r="F647" s="6"/>
      <c r="G647" s="24" t="str">
        <f>IF(F647="", "", VLOOKUP(F647, Inventory!A:BZ, 3, FALSE) - SUMIF($F$1:$F646, F647, $H$1:$H646))
</f>
        <v/>
      </c>
      <c r="I647" s="26"/>
      <c r="J647" s="26" t="s">
        <v>77</v>
      </c>
      <c r="L647" s="27" t="s">
        <v>77</v>
      </c>
      <c r="N647" s="28" t="s">
        <v>77</v>
      </c>
      <c r="Q647" s="30"/>
    </row>
    <row r="648">
      <c r="B648" s="6"/>
      <c r="C648" s="33" t="str">
        <f t="array" ref="C648">IF(B648="", "", XLOOKUP(B648, Inventory!D:D,Inventory!E:E,"No Name Found"))</f>
        <v/>
      </c>
      <c r="D648" s="6"/>
      <c r="E648" s="6"/>
      <c r="F648" s="6"/>
      <c r="G648" s="24" t="str">
        <f>IF(F648="", "", VLOOKUP(F648, Inventory!A:BZ, 3, FALSE) - SUMIF($F$1:$F647, F648, $H$1:$H647))
</f>
        <v/>
      </c>
      <c r="I648" s="26"/>
      <c r="J648" s="26" t="s">
        <v>77</v>
      </c>
      <c r="L648" s="27" t="s">
        <v>77</v>
      </c>
      <c r="N648" s="28" t="s">
        <v>77</v>
      </c>
      <c r="Q648" s="30"/>
    </row>
    <row r="649">
      <c r="B649" s="6"/>
      <c r="C649" s="33" t="str">
        <f t="array" ref="C649">IF(B649="", "", XLOOKUP(B649, Inventory!D:D,Inventory!E:E,"No Name Found"))</f>
        <v/>
      </c>
      <c r="D649" s="6"/>
      <c r="E649" s="6"/>
      <c r="F649" s="6"/>
      <c r="G649" s="24" t="str">
        <f>IF(F649="", "", VLOOKUP(F649, Inventory!A:BZ, 3, FALSE) - SUMIF($F$1:$F648, F649, $H$1:$H648))
</f>
        <v/>
      </c>
      <c r="I649" s="26"/>
      <c r="J649" s="26" t="s">
        <v>77</v>
      </c>
      <c r="L649" s="27" t="s">
        <v>77</v>
      </c>
      <c r="N649" s="28" t="s">
        <v>77</v>
      </c>
      <c r="Q649" s="30"/>
    </row>
    <row r="650">
      <c r="B650" s="6"/>
      <c r="C650" s="33" t="str">
        <f t="array" ref="C650">IF(B650="", "", XLOOKUP(B650, Inventory!D:D,Inventory!E:E,"No Name Found"))</f>
        <v/>
      </c>
      <c r="D650" s="6"/>
      <c r="E650" s="6"/>
      <c r="F650" s="6"/>
      <c r="G650" s="24" t="str">
        <f>IF(F650="", "", VLOOKUP(F650, Inventory!A:BZ, 3, FALSE) - SUMIF($F$1:$F649, F650, $H$1:$H649))
</f>
        <v/>
      </c>
      <c r="I650" s="26"/>
      <c r="J650" s="26" t="s">
        <v>77</v>
      </c>
      <c r="L650" s="27" t="s">
        <v>77</v>
      </c>
      <c r="N650" s="28" t="s">
        <v>77</v>
      </c>
      <c r="Q650" s="30"/>
    </row>
    <row r="651">
      <c r="B651" s="6"/>
      <c r="C651" s="33" t="str">
        <f t="array" ref="C651">IF(B651="", "", XLOOKUP(B651, Inventory!D:D,Inventory!E:E,"No Name Found"))</f>
        <v/>
      </c>
      <c r="D651" s="6"/>
      <c r="E651" s="6"/>
      <c r="F651" s="6"/>
      <c r="G651" s="24" t="str">
        <f>IF(F651="", "", VLOOKUP(F651, Inventory!A:BZ, 3, FALSE) - SUMIF($F$1:$F650, F651, $H$1:$H650))
</f>
        <v/>
      </c>
      <c r="I651" s="26"/>
      <c r="J651" s="26" t="s">
        <v>77</v>
      </c>
      <c r="L651" s="27" t="s">
        <v>77</v>
      </c>
      <c r="N651" s="28" t="s">
        <v>77</v>
      </c>
      <c r="Q651" s="30"/>
    </row>
    <row r="652">
      <c r="B652" s="6"/>
      <c r="C652" s="33" t="str">
        <f t="array" ref="C652">IF(B652="", "", XLOOKUP(B652, Inventory!D:D,Inventory!E:E,"No Name Found"))</f>
        <v/>
      </c>
      <c r="D652" s="6"/>
      <c r="E652" s="6"/>
      <c r="F652" s="6"/>
      <c r="G652" s="24" t="str">
        <f>IF(F652="", "", VLOOKUP(F652, Inventory!A:BZ, 3, FALSE) - SUMIF($F$1:$F651, F652, $H$1:$H651))
</f>
        <v/>
      </c>
      <c r="I652" s="26"/>
      <c r="J652" s="26" t="s">
        <v>77</v>
      </c>
      <c r="L652" s="27" t="s">
        <v>77</v>
      </c>
      <c r="N652" s="28" t="s">
        <v>77</v>
      </c>
      <c r="Q652" s="30"/>
    </row>
    <row r="653">
      <c r="B653" s="6"/>
      <c r="C653" s="33" t="str">
        <f t="array" ref="C653">IF(B653="", "", XLOOKUP(B653, Inventory!D:D,Inventory!E:E,"No Name Found"))</f>
        <v/>
      </c>
      <c r="D653" s="6"/>
      <c r="E653" s="6"/>
      <c r="F653" s="6"/>
      <c r="G653" s="24" t="str">
        <f>IF(F653="", "", VLOOKUP(F653, Inventory!A:BZ, 3, FALSE) - SUMIF($F$1:$F652, F653, $H$1:$H652))
</f>
        <v/>
      </c>
      <c r="I653" s="26"/>
      <c r="J653" s="26" t="s">
        <v>77</v>
      </c>
      <c r="L653" s="27" t="s">
        <v>77</v>
      </c>
      <c r="N653" s="28" t="s">
        <v>77</v>
      </c>
      <c r="Q653" s="30"/>
    </row>
    <row r="654">
      <c r="B654" s="6"/>
      <c r="C654" s="33" t="str">
        <f t="array" ref="C654">IF(B654="", "", XLOOKUP(B654, Inventory!D:D,Inventory!E:E,"No Name Found"))</f>
        <v/>
      </c>
      <c r="D654" s="6"/>
      <c r="E654" s="6"/>
      <c r="F654" s="6"/>
      <c r="G654" s="24" t="str">
        <f>IF(F654="", "", VLOOKUP(F654, Inventory!A:BZ, 3, FALSE) - SUMIF($F$1:$F653, F654, $H$1:$H653))
</f>
        <v/>
      </c>
      <c r="I654" s="26"/>
      <c r="J654" s="26" t="s">
        <v>77</v>
      </c>
      <c r="L654" s="27" t="s">
        <v>77</v>
      </c>
      <c r="N654" s="28" t="s">
        <v>77</v>
      </c>
      <c r="Q654" s="30"/>
    </row>
    <row r="655">
      <c r="B655" s="6"/>
      <c r="C655" s="33" t="str">
        <f t="array" ref="C655">IF(B655="", "", XLOOKUP(B655, Inventory!D:D,Inventory!E:E,"No Name Found"))</f>
        <v/>
      </c>
      <c r="D655" s="6"/>
      <c r="E655" s="6"/>
      <c r="F655" s="6"/>
      <c r="G655" s="24" t="str">
        <f>IF(F655="", "", VLOOKUP(F655, Inventory!A:BZ, 3, FALSE) - SUMIF($F$1:$F654, F655, $H$1:$H654))
</f>
        <v/>
      </c>
      <c r="I655" s="26"/>
      <c r="J655" s="26" t="s">
        <v>77</v>
      </c>
      <c r="L655" s="27" t="s">
        <v>77</v>
      </c>
      <c r="N655" s="28" t="s">
        <v>77</v>
      </c>
      <c r="Q655" s="30"/>
    </row>
    <row r="656">
      <c r="B656" s="6"/>
      <c r="C656" s="33" t="str">
        <f t="array" ref="C656">IF(B656="", "", XLOOKUP(B656, Inventory!D:D,Inventory!E:E,"No Name Found"))</f>
        <v/>
      </c>
      <c r="D656" s="6"/>
      <c r="E656" s="6"/>
      <c r="F656" s="6"/>
      <c r="G656" s="24" t="str">
        <f>IF(F656="", "", VLOOKUP(F656, Inventory!A:BZ, 3, FALSE) - SUMIF($F$1:$F655, F656, $H$1:$H655))
</f>
        <v/>
      </c>
      <c r="I656" s="26"/>
      <c r="J656" s="26" t="s">
        <v>77</v>
      </c>
      <c r="L656" s="27" t="s">
        <v>77</v>
      </c>
      <c r="N656" s="28" t="s">
        <v>77</v>
      </c>
      <c r="Q656" s="30"/>
    </row>
    <row r="657">
      <c r="B657" s="6"/>
      <c r="C657" s="33" t="str">
        <f t="array" ref="C657">IF(B657="", "", XLOOKUP(B657, Inventory!D:D,Inventory!E:E,"No Name Found"))</f>
        <v/>
      </c>
      <c r="D657" s="6"/>
      <c r="E657" s="6"/>
      <c r="F657" s="6"/>
      <c r="G657" s="24" t="str">
        <f>IF(F657="", "", VLOOKUP(F657, Inventory!A:BZ, 3, FALSE) - SUMIF($F$1:$F656, F657, $H$1:$H656))
</f>
        <v/>
      </c>
      <c r="I657" s="26"/>
      <c r="J657" s="26" t="s">
        <v>77</v>
      </c>
      <c r="L657" s="27" t="s">
        <v>77</v>
      </c>
      <c r="N657" s="28" t="s">
        <v>77</v>
      </c>
      <c r="Q657" s="30"/>
    </row>
    <row r="658">
      <c r="B658" s="6"/>
      <c r="C658" s="33" t="str">
        <f t="array" ref="C658">IF(B658="", "", XLOOKUP(B658, Inventory!D:D,Inventory!E:E,"No Name Found"))</f>
        <v/>
      </c>
      <c r="D658" s="6"/>
      <c r="E658" s="6"/>
      <c r="F658" s="6"/>
      <c r="G658" s="24" t="str">
        <f>IF(F658="", "", VLOOKUP(F658, Inventory!A:BZ, 3, FALSE) - SUMIF($F$1:$F657, F658, $H$1:$H657))
</f>
        <v/>
      </c>
      <c r="I658" s="26"/>
      <c r="J658" s="26" t="s">
        <v>77</v>
      </c>
      <c r="L658" s="27" t="s">
        <v>77</v>
      </c>
      <c r="N658" s="28" t="s">
        <v>77</v>
      </c>
      <c r="Q658" s="30"/>
    </row>
    <row r="659">
      <c r="B659" s="6"/>
      <c r="C659" s="33" t="str">
        <f t="array" ref="C659">IF(B659="", "", XLOOKUP(B659, Inventory!D:D,Inventory!E:E,"No Name Found"))</f>
        <v/>
      </c>
      <c r="D659" s="6"/>
      <c r="E659" s="6"/>
      <c r="F659" s="6"/>
      <c r="G659" s="24" t="str">
        <f>IF(F659="", "", VLOOKUP(F659, Inventory!A:BZ, 3, FALSE) - SUMIF($F$1:$F658, F659, $H$1:$H658))
</f>
        <v/>
      </c>
      <c r="I659" s="26"/>
      <c r="J659" s="26" t="s">
        <v>77</v>
      </c>
      <c r="L659" s="27" t="s">
        <v>77</v>
      </c>
      <c r="N659" s="28" t="s">
        <v>77</v>
      </c>
      <c r="Q659" s="30"/>
    </row>
    <row r="660">
      <c r="B660" s="6"/>
      <c r="C660" s="33" t="str">
        <f t="array" ref="C660">IF(B660="", "", XLOOKUP(B660, Inventory!D:D,Inventory!E:E,"No Name Found"))</f>
        <v/>
      </c>
      <c r="D660" s="6"/>
      <c r="E660" s="6"/>
      <c r="F660" s="6"/>
      <c r="G660" s="24" t="str">
        <f>IF(F660="", "", VLOOKUP(F660, Inventory!A:BZ, 3, FALSE) - SUMIF($F$1:$F659, F660, $H$1:$H659))
</f>
        <v/>
      </c>
      <c r="I660" s="26"/>
      <c r="J660" s="26" t="s">
        <v>77</v>
      </c>
      <c r="L660" s="27" t="s">
        <v>77</v>
      </c>
      <c r="N660" s="28" t="s">
        <v>77</v>
      </c>
      <c r="Q660" s="30"/>
    </row>
    <row r="661">
      <c r="B661" s="6"/>
      <c r="C661" s="33" t="str">
        <f t="array" ref="C661">IF(B661="", "", XLOOKUP(B661, Inventory!D:D,Inventory!E:E,"No Name Found"))</f>
        <v/>
      </c>
      <c r="D661" s="6"/>
      <c r="E661" s="6"/>
      <c r="F661" s="6"/>
      <c r="G661" s="24" t="str">
        <f>IF(F661="", "", VLOOKUP(F661, Inventory!A:BZ, 3, FALSE) - SUMIF($F$1:$F660, F661, $H$1:$H660))
</f>
        <v/>
      </c>
      <c r="I661" s="26"/>
      <c r="J661" s="26" t="s">
        <v>77</v>
      </c>
      <c r="L661" s="27" t="s">
        <v>77</v>
      </c>
      <c r="N661" s="28" t="s">
        <v>77</v>
      </c>
      <c r="Q661" s="30"/>
    </row>
    <row r="662">
      <c r="B662" s="6"/>
      <c r="C662" s="33" t="str">
        <f t="array" ref="C662">IF(B662="", "", XLOOKUP(B662, Inventory!D:D,Inventory!E:E,"No Name Found"))</f>
        <v/>
      </c>
      <c r="D662" s="6"/>
      <c r="E662" s="6"/>
      <c r="F662" s="6"/>
      <c r="G662" s="24" t="str">
        <f>IF(F662="", "", VLOOKUP(F662, Inventory!A:BZ, 3, FALSE) - SUMIF($F$1:$F661, F662, $H$1:$H661))
</f>
        <v/>
      </c>
      <c r="I662" s="26"/>
      <c r="J662" s="26" t="s">
        <v>77</v>
      </c>
      <c r="L662" s="27" t="s">
        <v>77</v>
      </c>
      <c r="N662" s="28" t="s">
        <v>77</v>
      </c>
      <c r="Q662" s="30"/>
    </row>
    <row r="663">
      <c r="B663" s="6"/>
      <c r="C663" s="33" t="str">
        <f t="array" ref="C663">IF(B663="", "", XLOOKUP(B663, Inventory!D:D,Inventory!E:E,"No Name Found"))</f>
        <v/>
      </c>
      <c r="D663" s="6"/>
      <c r="E663" s="6"/>
      <c r="F663" s="6"/>
      <c r="G663" s="24" t="str">
        <f>IF(F663="", "", VLOOKUP(F663, Inventory!A:BZ, 3, FALSE) - SUMIF($F$1:$F662, F663, $H$1:$H662))
</f>
        <v/>
      </c>
      <c r="I663" s="26"/>
      <c r="J663" s="26" t="s">
        <v>77</v>
      </c>
      <c r="L663" s="27" t="s">
        <v>77</v>
      </c>
      <c r="N663" s="28" t="s">
        <v>77</v>
      </c>
      <c r="Q663" s="30"/>
    </row>
    <row r="664">
      <c r="B664" s="6"/>
      <c r="C664" s="33" t="str">
        <f t="array" ref="C664">IF(B664="", "", XLOOKUP(B664, Inventory!D:D,Inventory!E:E,"No Name Found"))</f>
        <v/>
      </c>
      <c r="D664" s="6"/>
      <c r="E664" s="6"/>
      <c r="F664" s="6"/>
      <c r="G664" s="24" t="str">
        <f>IF(F664="", "", VLOOKUP(F664, Inventory!A:BZ, 3, FALSE) - SUMIF($F$1:$F663, F664, $H$1:$H663))
</f>
        <v/>
      </c>
      <c r="I664" s="26"/>
      <c r="J664" s="26" t="s">
        <v>77</v>
      </c>
      <c r="L664" s="27" t="s">
        <v>77</v>
      </c>
      <c r="N664" s="28" t="s">
        <v>77</v>
      </c>
      <c r="Q664" s="30"/>
    </row>
    <row r="665">
      <c r="B665" s="6"/>
      <c r="C665" s="33" t="str">
        <f t="array" ref="C665">IF(B665="", "", XLOOKUP(B665, Inventory!D:D,Inventory!E:E,"No Name Found"))</f>
        <v/>
      </c>
      <c r="D665" s="6"/>
      <c r="E665" s="6"/>
      <c r="F665" s="6"/>
      <c r="G665" s="24" t="str">
        <f>IF(F665="", "", VLOOKUP(F665, Inventory!A:BZ, 3, FALSE) - SUMIF($F$1:$F664, F665, $H$1:$H664))
</f>
        <v/>
      </c>
      <c r="I665" s="26"/>
      <c r="J665" s="26" t="s">
        <v>77</v>
      </c>
      <c r="L665" s="27" t="s">
        <v>77</v>
      </c>
      <c r="N665" s="28" t="s">
        <v>77</v>
      </c>
      <c r="Q665" s="30"/>
    </row>
    <row r="666">
      <c r="B666" s="6"/>
      <c r="C666" s="33" t="str">
        <f t="array" ref="C666">IF(B666="", "", XLOOKUP(B666, Inventory!D:D,Inventory!E:E,"No Name Found"))</f>
        <v/>
      </c>
      <c r="D666" s="6"/>
      <c r="E666" s="6"/>
      <c r="F666" s="6"/>
      <c r="G666" s="24" t="str">
        <f>IF(F666="", "", VLOOKUP(F666, Inventory!A:BZ, 3, FALSE) - SUMIF($F$1:$F665, F666, $H$1:$H665))
</f>
        <v/>
      </c>
      <c r="I666" s="26"/>
      <c r="J666" s="26" t="s">
        <v>77</v>
      </c>
      <c r="L666" s="27" t="s">
        <v>77</v>
      </c>
      <c r="N666" s="28" t="s">
        <v>77</v>
      </c>
      <c r="Q666" s="30"/>
    </row>
    <row r="667">
      <c r="B667" s="6"/>
      <c r="C667" s="33" t="str">
        <f t="array" ref="C667">IF(B667="", "", XLOOKUP(B667, Inventory!D:D,Inventory!E:E,"No Name Found"))</f>
        <v/>
      </c>
      <c r="D667" s="6"/>
      <c r="E667" s="6"/>
      <c r="F667" s="6"/>
      <c r="G667" s="24" t="str">
        <f>IF(F667="", "", VLOOKUP(F667, Inventory!A:BZ, 3, FALSE) - SUMIF($F$1:$F666, F667, $H$1:$H666))
</f>
        <v/>
      </c>
      <c r="I667" s="26"/>
      <c r="J667" s="26" t="s">
        <v>77</v>
      </c>
      <c r="L667" s="27" t="s">
        <v>77</v>
      </c>
      <c r="N667" s="28" t="s">
        <v>77</v>
      </c>
      <c r="Q667" s="30"/>
    </row>
    <row r="668">
      <c r="B668" s="6"/>
      <c r="C668" s="33" t="str">
        <f t="array" ref="C668">IF(B668="", "", XLOOKUP(B668, Inventory!D:D,Inventory!E:E,"No Name Found"))</f>
        <v/>
      </c>
      <c r="D668" s="6"/>
      <c r="E668" s="6"/>
      <c r="F668" s="6"/>
      <c r="G668" s="24" t="str">
        <f>IF(F668="", "", VLOOKUP(F668, Inventory!A:BZ, 3, FALSE) - SUMIF($F$1:$F667, F668, $H$1:$H667))
</f>
        <v/>
      </c>
      <c r="I668" s="26"/>
      <c r="J668" s="26" t="s">
        <v>77</v>
      </c>
      <c r="L668" s="27" t="s">
        <v>77</v>
      </c>
      <c r="N668" s="28" t="s">
        <v>77</v>
      </c>
      <c r="Q668" s="30"/>
    </row>
    <row r="669">
      <c r="B669" s="6"/>
      <c r="C669" s="33" t="str">
        <f t="array" ref="C669">IF(B669="", "", XLOOKUP(B669, Inventory!D:D,Inventory!E:E,"No Name Found"))</f>
        <v/>
      </c>
      <c r="D669" s="6"/>
      <c r="E669" s="6"/>
      <c r="F669" s="6"/>
      <c r="G669" s="24" t="str">
        <f>IF(F669="", "", VLOOKUP(F669, Inventory!A:BZ, 3, FALSE) - SUMIF($F$1:$F668, F669, $H$1:$H668))
</f>
        <v/>
      </c>
      <c r="I669" s="26"/>
      <c r="J669" s="26" t="s">
        <v>77</v>
      </c>
      <c r="L669" s="27" t="s">
        <v>77</v>
      </c>
      <c r="N669" s="28" t="s">
        <v>77</v>
      </c>
      <c r="Q669" s="30"/>
    </row>
    <row r="670">
      <c r="B670" s="6"/>
      <c r="C670" s="33" t="str">
        <f t="array" ref="C670">IF(B670="", "", XLOOKUP(B670, Inventory!D:D,Inventory!E:E,"No Name Found"))</f>
        <v/>
      </c>
      <c r="D670" s="6"/>
      <c r="E670" s="6"/>
      <c r="F670" s="6"/>
      <c r="G670" s="24" t="str">
        <f>IF(F670="", "", VLOOKUP(F670, Inventory!A:BZ, 3, FALSE) - SUMIF($F$1:$F669, F670, $H$1:$H669))
</f>
        <v/>
      </c>
      <c r="I670" s="26"/>
      <c r="J670" s="26" t="s">
        <v>77</v>
      </c>
      <c r="L670" s="27" t="s">
        <v>77</v>
      </c>
      <c r="N670" s="28" t="s">
        <v>77</v>
      </c>
      <c r="Q670" s="30"/>
    </row>
    <row r="671">
      <c r="B671" s="6"/>
      <c r="C671" s="33" t="str">
        <f t="array" ref="C671">IF(B671="", "", XLOOKUP(B671, Inventory!D:D,Inventory!E:E,"No Name Found"))</f>
        <v/>
      </c>
      <c r="D671" s="6"/>
      <c r="E671" s="6"/>
      <c r="F671" s="6"/>
      <c r="G671" s="24" t="str">
        <f>IF(F671="", "", VLOOKUP(F671, Inventory!A:BZ, 3, FALSE) - SUMIF($F$1:$F670, F671, $H$1:$H670))
</f>
        <v/>
      </c>
      <c r="I671" s="26"/>
      <c r="J671" s="26" t="s">
        <v>77</v>
      </c>
      <c r="L671" s="27" t="s">
        <v>77</v>
      </c>
      <c r="N671" s="28" t="s">
        <v>77</v>
      </c>
      <c r="Q671" s="30"/>
    </row>
    <row r="672">
      <c r="B672" s="6"/>
      <c r="C672" s="33" t="str">
        <f t="array" ref="C672">IF(B672="", "", XLOOKUP(B672, Inventory!D:D,Inventory!E:E,"No Name Found"))</f>
        <v/>
      </c>
      <c r="D672" s="6"/>
      <c r="E672" s="6"/>
      <c r="F672" s="6"/>
      <c r="G672" s="24" t="str">
        <f>IF(F672="", "", VLOOKUP(F672, Inventory!A:BZ, 3, FALSE) - SUMIF($F$1:$F671, F672, $H$1:$H671))
</f>
        <v/>
      </c>
      <c r="I672" s="26"/>
      <c r="J672" s="26" t="s">
        <v>77</v>
      </c>
      <c r="L672" s="27" t="s">
        <v>77</v>
      </c>
      <c r="N672" s="28" t="s">
        <v>77</v>
      </c>
      <c r="Q672" s="30"/>
    </row>
    <row r="673">
      <c r="B673" s="6"/>
      <c r="C673" s="33" t="str">
        <f t="array" ref="C673">IF(B673="", "", XLOOKUP(B673, Inventory!D:D,Inventory!E:E,"No Name Found"))</f>
        <v/>
      </c>
      <c r="D673" s="6"/>
      <c r="E673" s="6"/>
      <c r="F673" s="6"/>
      <c r="G673" s="24" t="str">
        <f>IF(F673="", "", VLOOKUP(F673, Inventory!A:BZ, 3, FALSE) - SUMIF($F$1:$F672, F673, $H$1:$H672))
</f>
        <v/>
      </c>
      <c r="I673" s="26"/>
      <c r="J673" s="26" t="s">
        <v>77</v>
      </c>
      <c r="L673" s="27" t="s">
        <v>77</v>
      </c>
      <c r="N673" s="28" t="s">
        <v>77</v>
      </c>
      <c r="Q673" s="30"/>
    </row>
    <row r="674">
      <c r="B674" s="6"/>
      <c r="C674" s="33" t="str">
        <f t="array" ref="C674">IF(B674="", "", XLOOKUP(B674, Inventory!D:D,Inventory!E:E,"No Name Found"))</f>
        <v/>
      </c>
      <c r="D674" s="6"/>
      <c r="E674" s="6"/>
      <c r="F674" s="6"/>
      <c r="G674" s="24" t="str">
        <f>IF(F674="", "", VLOOKUP(F674, Inventory!A:BZ, 3, FALSE) - SUMIF($F$1:$F673, F674, $H$1:$H673))
</f>
        <v/>
      </c>
      <c r="I674" s="26"/>
      <c r="J674" s="26" t="s">
        <v>77</v>
      </c>
      <c r="L674" s="27" t="s">
        <v>77</v>
      </c>
      <c r="N674" s="28" t="s">
        <v>77</v>
      </c>
      <c r="Q674" s="30"/>
    </row>
    <row r="675">
      <c r="B675" s="6"/>
      <c r="C675" s="33" t="str">
        <f t="array" ref="C675">IF(B675="", "", XLOOKUP(B675, Inventory!D:D,Inventory!E:E,"No Name Found"))</f>
        <v/>
      </c>
      <c r="D675" s="6"/>
      <c r="E675" s="6"/>
      <c r="F675" s="6"/>
      <c r="G675" s="24" t="str">
        <f>IF(F675="", "", VLOOKUP(F675, Inventory!A:BZ, 3, FALSE) - SUMIF($F$1:$F674, F675, $H$1:$H674))
</f>
        <v/>
      </c>
      <c r="I675" s="26"/>
      <c r="J675" s="26" t="s">
        <v>77</v>
      </c>
      <c r="L675" s="27" t="s">
        <v>77</v>
      </c>
      <c r="N675" s="28" t="s">
        <v>77</v>
      </c>
      <c r="Q675" s="30"/>
    </row>
    <row r="676">
      <c r="B676" s="6"/>
      <c r="C676" s="33" t="str">
        <f t="array" ref="C676">IF(B676="", "", XLOOKUP(B676, Inventory!D:D,Inventory!E:E,"No Name Found"))</f>
        <v/>
      </c>
      <c r="D676" s="6"/>
      <c r="E676" s="6"/>
      <c r="F676" s="6"/>
      <c r="G676" s="24" t="str">
        <f>IF(F676="", "", VLOOKUP(F676, Inventory!A:BZ, 3, FALSE) - SUMIF($F$1:$F675, F676, $H$1:$H675))
</f>
        <v/>
      </c>
      <c r="I676" s="26"/>
      <c r="J676" s="26" t="s">
        <v>77</v>
      </c>
      <c r="L676" s="27" t="s">
        <v>77</v>
      </c>
      <c r="N676" s="28" t="s">
        <v>77</v>
      </c>
      <c r="Q676" s="30"/>
    </row>
    <row r="677">
      <c r="B677" s="6"/>
      <c r="C677" s="33" t="str">
        <f t="array" ref="C677">IF(B677="", "", XLOOKUP(B677, Inventory!D:D,Inventory!E:E,"No Name Found"))</f>
        <v/>
      </c>
      <c r="D677" s="6"/>
      <c r="E677" s="6"/>
      <c r="F677" s="6"/>
      <c r="G677" s="24" t="str">
        <f>IF(F677="", "", VLOOKUP(F677, Inventory!A:BZ, 3, FALSE) - SUMIF($F$1:$F676, F677, $H$1:$H676))
</f>
        <v/>
      </c>
      <c r="I677" s="26"/>
      <c r="J677" s="26" t="s">
        <v>77</v>
      </c>
      <c r="L677" s="27" t="s">
        <v>77</v>
      </c>
      <c r="N677" s="28" t="s">
        <v>77</v>
      </c>
      <c r="Q677" s="30"/>
    </row>
    <row r="678">
      <c r="B678" s="6"/>
      <c r="C678" s="33" t="str">
        <f t="array" ref="C678">IF(B678="", "", XLOOKUP(B678, Inventory!D:D,Inventory!E:E,"No Name Found"))</f>
        <v/>
      </c>
      <c r="D678" s="6"/>
      <c r="E678" s="6"/>
      <c r="F678" s="6"/>
      <c r="G678" s="24" t="str">
        <f>IF(F678="", "", VLOOKUP(F678, Inventory!A:BZ, 3, FALSE) - SUMIF($F$1:$F677, F678, $H$1:$H677))
</f>
        <v/>
      </c>
      <c r="I678" s="26"/>
      <c r="J678" s="26" t="s">
        <v>77</v>
      </c>
      <c r="L678" s="27" t="s">
        <v>77</v>
      </c>
      <c r="N678" s="28" t="s">
        <v>77</v>
      </c>
      <c r="Q678" s="30"/>
    </row>
    <row r="679">
      <c r="B679" s="6"/>
      <c r="C679" s="33" t="str">
        <f t="array" ref="C679">IF(B679="", "", XLOOKUP(B679, Inventory!D:D,Inventory!E:E,"No Name Found"))</f>
        <v/>
      </c>
      <c r="D679" s="6"/>
      <c r="E679" s="6"/>
      <c r="F679" s="6"/>
      <c r="G679" s="24" t="str">
        <f>IF(F679="", "", VLOOKUP(F679, Inventory!A:BZ, 3, FALSE) - SUMIF($F$1:$F678, F679, $H$1:$H678))
</f>
        <v/>
      </c>
      <c r="I679" s="26"/>
      <c r="J679" s="26" t="s">
        <v>77</v>
      </c>
      <c r="L679" s="27" t="s">
        <v>77</v>
      </c>
      <c r="N679" s="28" t="s">
        <v>77</v>
      </c>
      <c r="Q679" s="30"/>
    </row>
    <row r="680">
      <c r="B680" s="6"/>
      <c r="C680" s="33" t="str">
        <f t="array" ref="C680">IF(B680="", "", XLOOKUP(B680, Inventory!D:D,Inventory!E:E,"No Name Found"))</f>
        <v/>
      </c>
      <c r="D680" s="6"/>
      <c r="E680" s="6"/>
      <c r="F680" s="6"/>
      <c r="G680" s="24" t="str">
        <f>IF(F680="", "", VLOOKUP(F680, Inventory!A:BZ, 3, FALSE) - SUMIF($F$1:$F679, F680, $H$1:$H679))
</f>
        <v/>
      </c>
      <c r="I680" s="26"/>
      <c r="J680" s="26" t="s">
        <v>77</v>
      </c>
      <c r="L680" s="27" t="s">
        <v>77</v>
      </c>
      <c r="N680" s="28" t="s">
        <v>77</v>
      </c>
      <c r="Q680" s="30"/>
    </row>
    <row r="681">
      <c r="B681" s="6"/>
      <c r="C681" s="33" t="str">
        <f t="array" ref="C681">IF(B681="", "", XLOOKUP(B681, Inventory!D:D,Inventory!E:E,"No Name Found"))</f>
        <v/>
      </c>
      <c r="D681" s="6"/>
      <c r="E681" s="6"/>
      <c r="F681" s="6"/>
      <c r="G681" s="24" t="str">
        <f>IF(F681="", "", VLOOKUP(F681, Inventory!A:BZ, 3, FALSE) - SUMIF($F$1:$F680, F681, $H$1:$H680))
</f>
        <v/>
      </c>
      <c r="I681" s="26"/>
      <c r="J681" s="26" t="s">
        <v>77</v>
      </c>
      <c r="L681" s="27" t="s">
        <v>77</v>
      </c>
      <c r="N681" s="28" t="s">
        <v>77</v>
      </c>
      <c r="Q681" s="30"/>
    </row>
    <row r="682">
      <c r="B682" s="6"/>
      <c r="C682" s="33" t="str">
        <f t="array" ref="C682">IF(B682="", "", XLOOKUP(B682, Inventory!D:D,Inventory!E:E,"No Name Found"))</f>
        <v/>
      </c>
      <c r="D682" s="6"/>
      <c r="E682" s="6"/>
      <c r="F682" s="6"/>
      <c r="G682" s="24" t="str">
        <f>IF(F682="", "", VLOOKUP(F682, Inventory!A:BZ, 3, FALSE) - SUMIF($F$1:$F681, F682, $H$1:$H681))
</f>
        <v/>
      </c>
      <c r="I682" s="26"/>
      <c r="J682" s="26" t="s">
        <v>77</v>
      </c>
      <c r="L682" s="27" t="s">
        <v>77</v>
      </c>
      <c r="N682" s="28" t="s">
        <v>77</v>
      </c>
      <c r="Q682" s="30"/>
    </row>
    <row r="683">
      <c r="B683" s="6"/>
      <c r="C683" s="33" t="str">
        <f t="array" ref="C683">IF(B683="", "", XLOOKUP(B683, Inventory!D:D,Inventory!E:E,"No Name Found"))</f>
        <v/>
      </c>
      <c r="D683" s="6"/>
      <c r="E683" s="6"/>
      <c r="F683" s="6"/>
      <c r="G683" s="24" t="str">
        <f>IF(F683="", "", VLOOKUP(F683, Inventory!A:BZ, 3, FALSE) - SUMIF($F$1:$F682, F683, $H$1:$H682))
</f>
        <v/>
      </c>
      <c r="I683" s="26"/>
      <c r="J683" s="26" t="s">
        <v>77</v>
      </c>
      <c r="L683" s="27" t="s">
        <v>77</v>
      </c>
      <c r="N683" s="28" t="s">
        <v>77</v>
      </c>
      <c r="Q683" s="30"/>
    </row>
    <row r="684">
      <c r="B684" s="6"/>
      <c r="C684" s="33" t="str">
        <f t="array" ref="C684">IF(B684="", "", XLOOKUP(B684, Inventory!D:D,Inventory!E:E,"No Name Found"))</f>
        <v/>
      </c>
      <c r="D684" s="6"/>
      <c r="E684" s="6"/>
      <c r="F684" s="6"/>
      <c r="G684" s="24" t="str">
        <f>IF(F684="", "", VLOOKUP(F684, Inventory!A:BZ, 3, FALSE) - SUMIF($F$1:$F683, F684, $H$1:$H683))
</f>
        <v/>
      </c>
      <c r="I684" s="26"/>
      <c r="J684" s="26" t="s">
        <v>77</v>
      </c>
      <c r="L684" s="27" t="s">
        <v>77</v>
      </c>
      <c r="N684" s="28" t="s">
        <v>77</v>
      </c>
      <c r="Q684" s="30"/>
    </row>
    <row r="685">
      <c r="B685" s="6"/>
      <c r="C685" s="33" t="str">
        <f t="array" ref="C685">IF(B685="", "", XLOOKUP(B685, Inventory!D:D,Inventory!E:E,"No Name Found"))</f>
        <v/>
      </c>
      <c r="D685" s="6"/>
      <c r="E685" s="6"/>
      <c r="F685" s="6"/>
      <c r="G685" s="24" t="str">
        <f>IF(F685="", "", VLOOKUP(F685, Inventory!A:BZ, 3, FALSE) - SUMIF($F$1:$F684, F685, $H$1:$H684))
</f>
        <v/>
      </c>
      <c r="I685" s="26"/>
      <c r="J685" s="26" t="s">
        <v>77</v>
      </c>
      <c r="L685" s="27" t="s">
        <v>77</v>
      </c>
      <c r="N685" s="28" t="s">
        <v>77</v>
      </c>
      <c r="Q685" s="30"/>
    </row>
    <row r="686">
      <c r="B686" s="6"/>
      <c r="C686" s="33" t="str">
        <f t="array" ref="C686">IF(B686="", "", XLOOKUP(B686, Inventory!D:D,Inventory!E:E,"No Name Found"))</f>
        <v/>
      </c>
      <c r="D686" s="6"/>
      <c r="E686" s="6"/>
      <c r="F686" s="6"/>
      <c r="G686" s="24" t="str">
        <f>IF(F686="", "", VLOOKUP(F686, Inventory!A:BZ, 3, FALSE) - SUMIF($F$1:$F685, F686, $H$1:$H685))
</f>
        <v/>
      </c>
      <c r="I686" s="26"/>
      <c r="J686" s="26" t="s">
        <v>77</v>
      </c>
      <c r="L686" s="27" t="s">
        <v>77</v>
      </c>
      <c r="N686" s="28" t="s">
        <v>77</v>
      </c>
      <c r="Q686" s="30"/>
    </row>
    <row r="687">
      <c r="B687" s="6"/>
      <c r="C687" s="33" t="str">
        <f t="array" ref="C687">IF(B687="", "", XLOOKUP(B687, Inventory!D:D,Inventory!E:E,"No Name Found"))</f>
        <v/>
      </c>
      <c r="D687" s="6"/>
      <c r="E687" s="6"/>
      <c r="F687" s="6"/>
      <c r="G687" s="24" t="str">
        <f>IF(F687="", "", VLOOKUP(F687, Inventory!A:BZ, 3, FALSE) - SUMIF($F$1:$F686, F687, $H$1:$H686))
</f>
        <v/>
      </c>
      <c r="I687" s="26"/>
      <c r="J687" s="26" t="s">
        <v>77</v>
      </c>
      <c r="L687" s="27" t="s">
        <v>77</v>
      </c>
      <c r="N687" s="28" t="s">
        <v>77</v>
      </c>
      <c r="Q687" s="30"/>
    </row>
    <row r="688">
      <c r="B688" s="6"/>
      <c r="C688" s="33" t="str">
        <f t="array" ref="C688">IF(B688="", "", XLOOKUP(B688, Inventory!D:D,Inventory!E:E,"No Name Found"))</f>
        <v/>
      </c>
      <c r="D688" s="6"/>
      <c r="E688" s="6"/>
      <c r="F688" s="6"/>
      <c r="G688" s="24" t="str">
        <f>IF(F688="", "", VLOOKUP(F688, Inventory!A:BZ, 3, FALSE) - SUMIF($F$1:$F687, F688, $H$1:$H687))
</f>
        <v/>
      </c>
      <c r="I688" s="26"/>
      <c r="J688" s="26" t="s">
        <v>77</v>
      </c>
      <c r="L688" s="27" t="s">
        <v>77</v>
      </c>
      <c r="N688" s="28" t="s">
        <v>77</v>
      </c>
      <c r="Q688" s="30"/>
    </row>
    <row r="689">
      <c r="B689" s="6"/>
      <c r="C689" s="33" t="str">
        <f t="array" ref="C689">IF(B689="", "", XLOOKUP(B689, Inventory!D:D,Inventory!E:E,"No Name Found"))</f>
        <v/>
      </c>
      <c r="D689" s="6"/>
      <c r="E689" s="6"/>
      <c r="F689" s="6"/>
      <c r="G689" s="24" t="str">
        <f>IF(F689="", "", VLOOKUP(F689, Inventory!A:BZ, 3, FALSE) - SUMIF($F$1:$F688, F689, $H$1:$H688))
</f>
        <v/>
      </c>
      <c r="I689" s="26"/>
      <c r="J689" s="26" t="s">
        <v>77</v>
      </c>
      <c r="L689" s="27" t="s">
        <v>77</v>
      </c>
      <c r="N689" s="28" t="s">
        <v>77</v>
      </c>
      <c r="Q689" s="30"/>
    </row>
    <row r="690">
      <c r="B690" s="6"/>
      <c r="C690" s="33" t="str">
        <f t="array" ref="C690">IF(B690="", "", XLOOKUP(B690, Inventory!D:D,Inventory!E:E,"No Name Found"))</f>
        <v/>
      </c>
      <c r="D690" s="6"/>
      <c r="E690" s="6"/>
      <c r="F690" s="6"/>
      <c r="G690" s="24" t="str">
        <f>IF(F690="", "", VLOOKUP(F690, Inventory!A:BZ, 3, FALSE) - SUMIF($F$1:$F689, F690, $H$1:$H689))
</f>
        <v/>
      </c>
      <c r="I690" s="26"/>
      <c r="J690" s="26" t="s">
        <v>77</v>
      </c>
      <c r="L690" s="27" t="s">
        <v>77</v>
      </c>
      <c r="N690" s="28" t="s">
        <v>77</v>
      </c>
      <c r="Q690" s="30"/>
    </row>
    <row r="691">
      <c r="B691" s="6"/>
      <c r="C691" s="33" t="str">
        <f t="array" ref="C691">IF(B691="", "", XLOOKUP(B691, Inventory!D:D,Inventory!E:E,"No Name Found"))</f>
        <v/>
      </c>
      <c r="D691" s="6"/>
      <c r="E691" s="6"/>
      <c r="F691" s="6"/>
      <c r="G691" s="24" t="str">
        <f>IF(F691="", "", VLOOKUP(F691, Inventory!A:BZ, 3, FALSE) - SUMIF($F$1:$F690, F691, $H$1:$H690))
</f>
        <v/>
      </c>
      <c r="I691" s="26"/>
      <c r="J691" s="26" t="s">
        <v>77</v>
      </c>
      <c r="L691" s="27" t="s">
        <v>77</v>
      </c>
      <c r="N691" s="28" t="s">
        <v>77</v>
      </c>
      <c r="Q691" s="30"/>
    </row>
    <row r="692">
      <c r="B692" s="6"/>
      <c r="C692" s="33" t="str">
        <f t="array" ref="C692">IF(B692="", "", XLOOKUP(B692, Inventory!D:D,Inventory!E:E,"No Name Found"))</f>
        <v/>
      </c>
      <c r="D692" s="6"/>
      <c r="E692" s="6"/>
      <c r="F692" s="6"/>
      <c r="G692" s="24" t="str">
        <f>IF(F692="", "", VLOOKUP(F692, Inventory!A:BZ, 3, FALSE) - SUMIF($F$1:$F691, F692, $H$1:$H691))
</f>
        <v/>
      </c>
      <c r="I692" s="26"/>
      <c r="J692" s="26" t="s">
        <v>77</v>
      </c>
      <c r="L692" s="27" t="s">
        <v>77</v>
      </c>
      <c r="N692" s="28" t="s">
        <v>77</v>
      </c>
      <c r="Q692" s="30"/>
    </row>
    <row r="693">
      <c r="B693" s="6"/>
      <c r="C693" s="33" t="str">
        <f t="array" ref="C693">IF(B693="", "", XLOOKUP(B693, Inventory!D:D,Inventory!E:E,"No Name Found"))</f>
        <v/>
      </c>
      <c r="D693" s="6"/>
      <c r="E693" s="6"/>
      <c r="F693" s="6"/>
      <c r="G693" s="24" t="str">
        <f>IF(F693="", "", VLOOKUP(F693, Inventory!A:BZ, 3, FALSE) - SUMIF($F$1:$F692, F693, $H$1:$H692))
</f>
        <v/>
      </c>
      <c r="I693" s="26"/>
      <c r="J693" s="26" t="s">
        <v>77</v>
      </c>
      <c r="L693" s="27" t="s">
        <v>77</v>
      </c>
      <c r="N693" s="28" t="s">
        <v>77</v>
      </c>
      <c r="Q693" s="30"/>
    </row>
    <row r="694">
      <c r="B694" s="6"/>
      <c r="C694" s="33" t="str">
        <f t="array" ref="C694">IF(B694="", "", XLOOKUP(B694, Inventory!D:D,Inventory!E:E,"No Name Found"))</f>
        <v/>
      </c>
      <c r="D694" s="6"/>
      <c r="E694" s="6"/>
      <c r="F694" s="6"/>
      <c r="G694" s="24" t="str">
        <f>IF(F694="", "", VLOOKUP(F694, Inventory!A:BZ, 3, FALSE) - SUMIF($F$1:$F693, F694, $H$1:$H693))
</f>
        <v/>
      </c>
      <c r="I694" s="26"/>
      <c r="J694" s="26" t="s">
        <v>77</v>
      </c>
      <c r="L694" s="27" t="s">
        <v>77</v>
      </c>
      <c r="N694" s="28" t="s">
        <v>77</v>
      </c>
      <c r="Q694" s="30"/>
    </row>
    <row r="695">
      <c r="B695" s="6"/>
      <c r="C695" s="33" t="str">
        <f t="array" ref="C695">IF(B695="", "", XLOOKUP(B695, Inventory!D:D,Inventory!E:E,"No Name Found"))</f>
        <v/>
      </c>
      <c r="D695" s="6"/>
      <c r="E695" s="6"/>
      <c r="F695" s="6"/>
      <c r="G695" s="24" t="str">
        <f>IF(F695="", "", VLOOKUP(F695, Inventory!A:BZ, 3, FALSE) - SUMIF($F$1:$F694, F695, $H$1:$H694))
</f>
        <v/>
      </c>
      <c r="I695" s="26"/>
      <c r="J695" s="26" t="s">
        <v>77</v>
      </c>
      <c r="L695" s="27" t="s">
        <v>77</v>
      </c>
      <c r="N695" s="28" t="s">
        <v>77</v>
      </c>
      <c r="Q695" s="30"/>
    </row>
    <row r="696">
      <c r="B696" s="6"/>
      <c r="C696" s="33" t="str">
        <f t="array" ref="C696">IF(B696="", "", XLOOKUP(B696, Inventory!D:D,Inventory!E:E,"No Name Found"))</f>
        <v/>
      </c>
      <c r="D696" s="6"/>
      <c r="E696" s="6"/>
      <c r="F696" s="6"/>
      <c r="G696" s="24" t="str">
        <f>IF(F696="", "", VLOOKUP(F696, Inventory!A:BZ, 3, FALSE) - SUMIF($F$1:$F695, F696, $H$1:$H695))
</f>
        <v/>
      </c>
      <c r="I696" s="26"/>
      <c r="J696" s="26" t="s">
        <v>77</v>
      </c>
      <c r="L696" s="27" t="s">
        <v>77</v>
      </c>
      <c r="N696" s="28" t="s">
        <v>77</v>
      </c>
      <c r="Q696" s="30"/>
    </row>
    <row r="697">
      <c r="B697" s="6"/>
      <c r="C697" s="33" t="str">
        <f t="array" ref="C697">IF(B697="", "", XLOOKUP(B697, Inventory!D:D,Inventory!E:E,"No Name Found"))</f>
        <v/>
      </c>
      <c r="D697" s="6"/>
      <c r="E697" s="6"/>
      <c r="F697" s="6"/>
      <c r="G697" s="24" t="str">
        <f>IF(F697="", "", VLOOKUP(F697, Inventory!A:BZ, 3, FALSE) - SUMIF($F$1:$F696, F697, $H$1:$H696))
</f>
        <v/>
      </c>
      <c r="I697" s="26"/>
      <c r="J697" s="26" t="s">
        <v>77</v>
      </c>
      <c r="L697" s="27" t="s">
        <v>77</v>
      </c>
      <c r="N697" s="28" t="s">
        <v>77</v>
      </c>
      <c r="Q697" s="30"/>
    </row>
    <row r="698">
      <c r="B698" s="6"/>
      <c r="C698" s="33" t="str">
        <f t="array" ref="C698">IF(B698="", "", XLOOKUP(B698, Inventory!D:D,Inventory!E:E,"No Name Found"))</f>
        <v/>
      </c>
      <c r="D698" s="6"/>
      <c r="E698" s="6"/>
      <c r="F698" s="6"/>
      <c r="G698" s="24" t="str">
        <f>IF(F698="", "", VLOOKUP(F698, Inventory!A:BZ, 3, FALSE) - SUMIF($F$1:$F697, F698, $H$1:$H697))
</f>
        <v/>
      </c>
      <c r="I698" s="26"/>
      <c r="J698" s="26" t="s">
        <v>77</v>
      </c>
      <c r="L698" s="27" t="s">
        <v>77</v>
      </c>
      <c r="N698" s="28" t="s">
        <v>77</v>
      </c>
      <c r="Q698" s="30"/>
    </row>
    <row r="699">
      <c r="B699" s="6"/>
      <c r="C699" s="33" t="str">
        <f t="array" ref="C699">IF(B699="", "", XLOOKUP(B699, Inventory!D:D,Inventory!E:E,"No Name Found"))</f>
        <v/>
      </c>
      <c r="D699" s="6"/>
      <c r="E699" s="6"/>
      <c r="F699" s="6"/>
      <c r="G699" s="24" t="str">
        <f>IF(F699="", "", VLOOKUP(F699, Inventory!A:BZ, 3, FALSE) - SUMIF($F$1:$F698, F699, $H$1:$H698))
</f>
        <v/>
      </c>
      <c r="I699" s="26"/>
      <c r="J699" s="26" t="s">
        <v>77</v>
      </c>
      <c r="L699" s="27" t="s">
        <v>77</v>
      </c>
      <c r="N699" s="28" t="s">
        <v>77</v>
      </c>
      <c r="Q699" s="30"/>
    </row>
    <row r="700">
      <c r="B700" s="6"/>
      <c r="C700" s="33" t="str">
        <f t="array" ref="C700">IF(B700="", "", XLOOKUP(B700, Inventory!D:D,Inventory!E:E,"No Name Found"))</f>
        <v/>
      </c>
      <c r="D700" s="6"/>
      <c r="E700" s="6"/>
      <c r="F700" s="6"/>
      <c r="G700" s="24" t="str">
        <f>IF(F700="", "", VLOOKUP(F700, Inventory!A:BZ, 3, FALSE) - SUMIF($F$1:$F699, F700, $H$1:$H699))
</f>
        <v/>
      </c>
      <c r="I700" s="26"/>
      <c r="J700" s="26" t="s">
        <v>77</v>
      </c>
      <c r="L700" s="27" t="s">
        <v>77</v>
      </c>
      <c r="N700" s="28" t="s">
        <v>77</v>
      </c>
      <c r="Q700" s="30"/>
    </row>
    <row r="701">
      <c r="B701" s="6"/>
      <c r="C701" s="33" t="str">
        <f t="array" ref="C701">IF(B701="", "", XLOOKUP(B701, Inventory!D:D,Inventory!E:E,"No Name Found"))</f>
        <v/>
      </c>
      <c r="D701" s="6"/>
      <c r="E701" s="6"/>
      <c r="F701" s="6"/>
      <c r="G701" s="24" t="str">
        <f>IF(F701="", "", VLOOKUP(F701, Inventory!A:BZ, 3, FALSE) - SUMIF($F$1:$F700, F701, $H$1:$H700))
</f>
        <v/>
      </c>
      <c r="I701" s="26"/>
      <c r="J701" s="26" t="s">
        <v>77</v>
      </c>
      <c r="L701" s="27" t="s">
        <v>77</v>
      </c>
      <c r="N701" s="28" t="s">
        <v>77</v>
      </c>
      <c r="Q701" s="30"/>
    </row>
    <row r="702">
      <c r="B702" s="6"/>
      <c r="C702" s="33" t="str">
        <f t="array" ref="C702">IF(B702="", "", XLOOKUP(B702, Inventory!D:D,Inventory!E:E,"No Name Found"))</f>
        <v/>
      </c>
      <c r="D702" s="6"/>
      <c r="E702" s="6"/>
      <c r="F702" s="6"/>
      <c r="G702" s="24" t="str">
        <f>IF(F702="", "", VLOOKUP(F702, Inventory!A:BZ, 3, FALSE) - SUMIF($F$1:$F701, F702, $H$1:$H701))
</f>
        <v/>
      </c>
      <c r="I702" s="26"/>
      <c r="J702" s="26" t="s">
        <v>77</v>
      </c>
      <c r="L702" s="27" t="s">
        <v>77</v>
      </c>
      <c r="N702" s="28" t="s">
        <v>77</v>
      </c>
      <c r="Q702" s="30"/>
    </row>
    <row r="703">
      <c r="B703" s="6"/>
      <c r="C703" s="33" t="str">
        <f t="array" ref="C703">IF(B703="", "", XLOOKUP(B703, Inventory!D:D,Inventory!E:E,"No Name Found"))</f>
        <v/>
      </c>
      <c r="D703" s="6"/>
      <c r="E703" s="6"/>
      <c r="F703" s="6"/>
      <c r="G703" s="24" t="str">
        <f>IF(F703="", "", VLOOKUP(F703, Inventory!A:BZ, 3, FALSE) - SUMIF($F$1:$F702, F703, $H$1:$H702))
</f>
        <v/>
      </c>
      <c r="I703" s="26"/>
      <c r="J703" s="26" t="s">
        <v>77</v>
      </c>
      <c r="L703" s="27" t="s">
        <v>77</v>
      </c>
      <c r="N703" s="28" t="s">
        <v>77</v>
      </c>
      <c r="Q703" s="30"/>
    </row>
    <row r="704">
      <c r="B704" s="6"/>
      <c r="C704" s="33" t="str">
        <f t="array" ref="C704">IF(B704="", "", XLOOKUP(B704, Inventory!D:D,Inventory!E:E,"No Name Found"))</f>
        <v/>
      </c>
      <c r="D704" s="6"/>
      <c r="E704" s="6"/>
      <c r="F704" s="6"/>
      <c r="G704" s="24" t="str">
        <f>IF(F704="", "", VLOOKUP(F704, Inventory!A:BZ, 3, FALSE) - SUMIF($F$1:$F703, F704, $H$1:$H703))
</f>
        <v/>
      </c>
      <c r="I704" s="26"/>
      <c r="J704" s="26" t="s">
        <v>77</v>
      </c>
      <c r="L704" s="27" t="s">
        <v>77</v>
      </c>
      <c r="N704" s="28" t="s">
        <v>77</v>
      </c>
      <c r="Q704" s="30"/>
    </row>
    <row r="705">
      <c r="B705" s="6"/>
      <c r="C705" s="33" t="str">
        <f t="array" ref="C705">IF(B705="", "", XLOOKUP(B705, Inventory!D:D,Inventory!E:E,"No Name Found"))</f>
        <v/>
      </c>
      <c r="D705" s="6"/>
      <c r="E705" s="6"/>
      <c r="F705" s="6"/>
      <c r="G705" s="24" t="str">
        <f>IF(F705="", "", VLOOKUP(F705, Inventory!A:BZ, 3, FALSE) - SUMIF($F$1:$F704, F705, $H$1:$H704))
</f>
        <v/>
      </c>
      <c r="I705" s="26"/>
      <c r="J705" s="26" t="s">
        <v>77</v>
      </c>
      <c r="L705" s="27" t="s">
        <v>77</v>
      </c>
      <c r="N705" s="28" t="s">
        <v>77</v>
      </c>
      <c r="Q705" s="30"/>
    </row>
    <row r="706">
      <c r="B706" s="6"/>
      <c r="C706" s="33" t="str">
        <f t="array" ref="C706">IF(B706="", "", XLOOKUP(B706, Inventory!D:D,Inventory!E:E,"No Name Found"))</f>
        <v/>
      </c>
      <c r="D706" s="6"/>
      <c r="E706" s="6"/>
      <c r="F706" s="6"/>
      <c r="G706" s="24" t="str">
        <f>IF(F706="", "", VLOOKUP(F706, Inventory!A:BZ, 3, FALSE) - SUMIF($F$1:$F705, F706, $H$1:$H705))
</f>
        <v/>
      </c>
      <c r="I706" s="26"/>
      <c r="J706" s="26" t="s">
        <v>77</v>
      </c>
      <c r="L706" s="27" t="s">
        <v>77</v>
      </c>
      <c r="N706" s="28" t="s">
        <v>77</v>
      </c>
      <c r="Q706" s="30"/>
    </row>
    <row r="707">
      <c r="B707" s="6"/>
      <c r="C707" s="33" t="str">
        <f t="array" ref="C707">IF(B707="", "", XLOOKUP(B707, Inventory!D:D,Inventory!E:E,"No Name Found"))</f>
        <v/>
      </c>
      <c r="D707" s="6"/>
      <c r="E707" s="6"/>
      <c r="F707" s="6"/>
      <c r="G707" s="24" t="str">
        <f>IF(F707="", "", VLOOKUP(F707, Inventory!A:BZ, 3, FALSE) - SUMIF($F$1:$F706, F707, $H$1:$H706))
</f>
        <v/>
      </c>
      <c r="I707" s="26"/>
      <c r="J707" s="26" t="s">
        <v>77</v>
      </c>
      <c r="L707" s="27" t="s">
        <v>77</v>
      </c>
      <c r="N707" s="28" t="s">
        <v>77</v>
      </c>
      <c r="Q707" s="30"/>
    </row>
    <row r="708">
      <c r="B708" s="6"/>
      <c r="C708" s="33" t="str">
        <f t="array" ref="C708">IF(B708="", "", XLOOKUP(B708, Inventory!D:D,Inventory!E:E,"No Name Found"))</f>
        <v/>
      </c>
      <c r="D708" s="6"/>
      <c r="E708" s="6"/>
      <c r="F708" s="6"/>
      <c r="G708" s="24" t="str">
        <f>IF(F708="", "", VLOOKUP(F708, Inventory!A:BZ, 3, FALSE) - SUMIF($F$1:$F707, F708, $H$1:$H707))
</f>
        <v/>
      </c>
      <c r="I708" s="26"/>
      <c r="J708" s="26" t="s">
        <v>77</v>
      </c>
      <c r="L708" s="27" t="s">
        <v>77</v>
      </c>
      <c r="N708" s="28" t="s">
        <v>77</v>
      </c>
      <c r="Q708" s="30"/>
    </row>
    <row r="709">
      <c r="B709" s="6"/>
      <c r="C709" s="33" t="str">
        <f t="array" ref="C709">IF(B709="", "", XLOOKUP(B709, Inventory!D:D,Inventory!E:E,"No Name Found"))</f>
        <v/>
      </c>
      <c r="D709" s="6"/>
      <c r="E709" s="6"/>
      <c r="F709" s="6"/>
      <c r="G709" s="24" t="str">
        <f>IF(F709="", "", VLOOKUP(F709, Inventory!A:BZ, 3, FALSE) - SUMIF($F$1:$F708, F709, $H$1:$H708))
</f>
        <v/>
      </c>
      <c r="I709" s="26"/>
      <c r="J709" s="26" t="s">
        <v>77</v>
      </c>
      <c r="L709" s="27" t="s">
        <v>77</v>
      </c>
      <c r="N709" s="28" t="s">
        <v>77</v>
      </c>
      <c r="Q709" s="30"/>
    </row>
    <row r="710">
      <c r="B710" s="6"/>
      <c r="C710" s="33" t="str">
        <f t="array" ref="C710">IF(B710="", "", XLOOKUP(B710, Inventory!D:D,Inventory!E:E,"No Name Found"))</f>
        <v/>
      </c>
      <c r="D710" s="6"/>
      <c r="E710" s="6"/>
      <c r="F710" s="6"/>
      <c r="G710" s="24" t="str">
        <f>IF(F710="", "", VLOOKUP(F710, Inventory!A:BZ, 3, FALSE) - SUMIF($F$1:$F709, F710, $H$1:$H709))
</f>
        <v/>
      </c>
      <c r="I710" s="26"/>
      <c r="J710" s="26" t="s">
        <v>77</v>
      </c>
      <c r="L710" s="27" t="s">
        <v>77</v>
      </c>
      <c r="N710" s="28" t="s">
        <v>77</v>
      </c>
      <c r="Q710" s="30"/>
    </row>
    <row r="711">
      <c r="B711" s="6"/>
      <c r="C711" s="33" t="str">
        <f t="array" ref="C711">IF(B711="", "", XLOOKUP(B711, Inventory!D:D,Inventory!E:E,"No Name Found"))</f>
        <v/>
      </c>
      <c r="D711" s="6"/>
      <c r="E711" s="6"/>
      <c r="F711" s="6"/>
      <c r="G711" s="24" t="str">
        <f>IF(F711="", "", VLOOKUP(F711, Inventory!A:BZ, 3, FALSE) - SUMIF($F$1:$F710, F711, $H$1:$H710))
</f>
        <v/>
      </c>
      <c r="I711" s="26"/>
      <c r="J711" s="26" t="s">
        <v>77</v>
      </c>
      <c r="L711" s="27" t="s">
        <v>77</v>
      </c>
      <c r="N711" s="28" t="s">
        <v>77</v>
      </c>
      <c r="Q711" s="30"/>
    </row>
    <row r="712">
      <c r="B712" s="6"/>
      <c r="C712" s="33" t="str">
        <f t="array" ref="C712">IF(B712="", "", XLOOKUP(B712, Inventory!D:D,Inventory!E:E,"No Name Found"))</f>
        <v/>
      </c>
      <c r="D712" s="6"/>
      <c r="E712" s="6"/>
      <c r="F712" s="6"/>
      <c r="G712" s="24" t="str">
        <f>IF(F712="", "", VLOOKUP(F712, Inventory!A:BZ, 3, FALSE) - SUMIF($F$1:$F711, F712, $H$1:$H711))
</f>
        <v/>
      </c>
      <c r="I712" s="26"/>
      <c r="J712" s="26" t="s">
        <v>77</v>
      </c>
      <c r="L712" s="27" t="s">
        <v>77</v>
      </c>
      <c r="N712" s="28" t="s">
        <v>77</v>
      </c>
      <c r="Q712" s="30"/>
    </row>
    <row r="713">
      <c r="B713" s="6"/>
      <c r="C713" s="33" t="str">
        <f t="array" ref="C713">IF(B713="", "", XLOOKUP(B713, Inventory!D:D,Inventory!E:E,"No Name Found"))</f>
        <v/>
      </c>
      <c r="D713" s="6"/>
      <c r="E713" s="6"/>
      <c r="F713" s="6"/>
      <c r="G713" s="24" t="str">
        <f>IF(F713="", "", VLOOKUP(F713, Inventory!A:BZ, 3, FALSE) - SUMIF($F$1:$F712, F713, $H$1:$H712))
</f>
        <v/>
      </c>
      <c r="I713" s="26"/>
      <c r="J713" s="26" t="s">
        <v>77</v>
      </c>
      <c r="L713" s="27" t="s">
        <v>77</v>
      </c>
      <c r="N713" s="28" t="s">
        <v>77</v>
      </c>
      <c r="Q713" s="30"/>
    </row>
    <row r="714">
      <c r="B714" s="6"/>
      <c r="C714" s="33" t="str">
        <f t="array" ref="C714">IF(B714="", "", XLOOKUP(B714, Inventory!D:D,Inventory!E:E,"No Name Found"))</f>
        <v/>
      </c>
      <c r="D714" s="6"/>
      <c r="E714" s="6"/>
      <c r="F714" s="6"/>
      <c r="G714" s="24" t="str">
        <f>IF(F714="", "", VLOOKUP(F714, Inventory!A:BZ, 3, FALSE) - SUMIF($F$1:$F713, F714, $H$1:$H713))
</f>
        <v/>
      </c>
      <c r="I714" s="26"/>
      <c r="J714" s="26" t="s">
        <v>77</v>
      </c>
      <c r="L714" s="27" t="s">
        <v>77</v>
      </c>
      <c r="N714" s="28" t="s">
        <v>77</v>
      </c>
      <c r="Q714" s="30"/>
    </row>
    <row r="715">
      <c r="B715" s="6"/>
      <c r="C715" s="33" t="str">
        <f t="array" ref="C715">IF(B715="", "", XLOOKUP(B715, Inventory!D:D,Inventory!E:E,"No Name Found"))</f>
        <v/>
      </c>
      <c r="D715" s="6"/>
      <c r="E715" s="6"/>
      <c r="F715" s="6"/>
      <c r="G715" s="24" t="str">
        <f>IF(F715="", "", VLOOKUP(F715, Inventory!A:BZ, 3, FALSE) - SUMIF($F$1:$F714, F715, $H$1:$H714))
</f>
        <v/>
      </c>
      <c r="I715" s="26"/>
      <c r="J715" s="26" t="s">
        <v>77</v>
      </c>
      <c r="L715" s="27" t="s">
        <v>77</v>
      </c>
      <c r="N715" s="28" t="s">
        <v>77</v>
      </c>
      <c r="Q715" s="30"/>
    </row>
    <row r="716">
      <c r="B716" s="6"/>
      <c r="C716" s="33" t="str">
        <f t="array" ref="C716">IF(B716="", "", XLOOKUP(B716, Inventory!D:D,Inventory!E:E,"No Name Found"))</f>
        <v/>
      </c>
      <c r="D716" s="6"/>
      <c r="E716" s="6"/>
      <c r="F716" s="6"/>
      <c r="G716" s="24" t="str">
        <f>IF(F716="", "", VLOOKUP(F716, Inventory!A:BZ, 3, FALSE) - SUMIF($F$1:$F715, F716, $H$1:$H715))
</f>
        <v/>
      </c>
      <c r="I716" s="26"/>
      <c r="J716" s="26" t="s">
        <v>77</v>
      </c>
      <c r="L716" s="27" t="s">
        <v>77</v>
      </c>
      <c r="N716" s="28" t="s">
        <v>77</v>
      </c>
      <c r="Q716" s="30"/>
    </row>
    <row r="717">
      <c r="B717" s="6"/>
      <c r="C717" s="33" t="str">
        <f t="array" ref="C717">IF(B717="", "", XLOOKUP(B717, Inventory!D:D,Inventory!E:E,"No Name Found"))</f>
        <v/>
      </c>
      <c r="D717" s="6"/>
      <c r="E717" s="6"/>
      <c r="F717" s="6"/>
      <c r="G717" s="24" t="str">
        <f>IF(F717="", "", VLOOKUP(F717, Inventory!A:BZ, 3, FALSE) - SUMIF($F$1:$F716, F717, $H$1:$H716))
</f>
        <v/>
      </c>
      <c r="I717" s="26"/>
      <c r="J717" s="26" t="s">
        <v>77</v>
      </c>
      <c r="L717" s="27" t="s">
        <v>77</v>
      </c>
      <c r="N717" s="28" t="s">
        <v>77</v>
      </c>
      <c r="Q717" s="30"/>
    </row>
    <row r="718">
      <c r="B718" s="6"/>
      <c r="C718" s="33" t="str">
        <f t="array" ref="C718">IF(B718="", "", XLOOKUP(B718, Inventory!D:D,Inventory!E:E,"No Name Found"))</f>
        <v/>
      </c>
      <c r="D718" s="6"/>
      <c r="E718" s="6"/>
      <c r="F718" s="6"/>
      <c r="G718" s="24" t="str">
        <f>IF(F718="", "", VLOOKUP(F718, Inventory!A:BZ, 3, FALSE) - SUMIF($F$1:$F717, F718, $H$1:$H717))
</f>
        <v/>
      </c>
      <c r="I718" s="26"/>
      <c r="J718" s="26" t="s">
        <v>77</v>
      </c>
      <c r="L718" s="27" t="s">
        <v>77</v>
      </c>
      <c r="N718" s="28" t="s">
        <v>77</v>
      </c>
      <c r="Q718" s="30"/>
    </row>
    <row r="719">
      <c r="B719" s="6"/>
      <c r="C719" s="33" t="str">
        <f t="array" ref="C719">IF(B719="", "", XLOOKUP(B719, Inventory!D:D,Inventory!E:E,"No Name Found"))</f>
        <v/>
      </c>
      <c r="D719" s="6"/>
      <c r="E719" s="6"/>
      <c r="F719" s="6"/>
      <c r="G719" s="24" t="str">
        <f>IF(F719="", "", VLOOKUP(F719, Inventory!A:BZ, 3, FALSE) - SUMIF($F$1:$F718, F719, $H$1:$H718))
</f>
        <v/>
      </c>
      <c r="I719" s="26"/>
      <c r="J719" s="26" t="s">
        <v>77</v>
      </c>
      <c r="L719" s="27" t="s">
        <v>77</v>
      </c>
      <c r="N719" s="28" t="s">
        <v>77</v>
      </c>
      <c r="Q719" s="30"/>
    </row>
    <row r="720">
      <c r="B720" s="6"/>
      <c r="C720" s="33" t="str">
        <f t="array" ref="C720">IF(B720="", "", XLOOKUP(B720, Inventory!D:D,Inventory!E:E,"No Name Found"))</f>
        <v/>
      </c>
      <c r="D720" s="6"/>
      <c r="E720" s="6"/>
      <c r="F720" s="6"/>
      <c r="G720" s="24" t="str">
        <f>IF(F720="", "", VLOOKUP(F720, Inventory!A:BZ, 3, FALSE) - SUMIF($F$1:$F719, F720, $H$1:$H719))
</f>
        <v/>
      </c>
      <c r="I720" s="26"/>
      <c r="J720" s="26" t="s">
        <v>77</v>
      </c>
      <c r="L720" s="27" t="s">
        <v>77</v>
      </c>
      <c r="N720" s="28" t="s">
        <v>77</v>
      </c>
      <c r="Q720" s="30"/>
    </row>
    <row r="721">
      <c r="B721" s="6"/>
      <c r="C721" s="33" t="str">
        <f t="array" ref="C721">IF(B721="", "", XLOOKUP(B721, Inventory!D:D,Inventory!E:E,"No Name Found"))</f>
        <v/>
      </c>
      <c r="D721" s="6"/>
      <c r="E721" s="6"/>
      <c r="F721" s="6"/>
      <c r="G721" s="24" t="str">
        <f>IF(F721="", "", VLOOKUP(F721, Inventory!A:BZ, 3, FALSE) - SUMIF($F$1:$F720, F721, $H$1:$H720))
</f>
        <v/>
      </c>
      <c r="I721" s="26"/>
      <c r="J721" s="26" t="s">
        <v>77</v>
      </c>
      <c r="L721" s="27" t="s">
        <v>77</v>
      </c>
      <c r="N721" s="28" t="s">
        <v>77</v>
      </c>
      <c r="Q721" s="30"/>
    </row>
    <row r="722">
      <c r="B722" s="6"/>
      <c r="C722" s="33" t="str">
        <f t="array" ref="C722">IF(B722="", "", XLOOKUP(B722, Inventory!D:D,Inventory!E:E,"No Name Found"))</f>
        <v/>
      </c>
      <c r="D722" s="6"/>
      <c r="E722" s="6"/>
      <c r="F722" s="6"/>
      <c r="G722" s="24" t="str">
        <f>IF(F722="", "", VLOOKUP(F722, Inventory!A:BZ, 3, FALSE) - SUMIF($F$1:$F721, F722, $H$1:$H721))
</f>
        <v/>
      </c>
      <c r="I722" s="26"/>
      <c r="J722" s="26" t="s">
        <v>77</v>
      </c>
      <c r="L722" s="27" t="s">
        <v>77</v>
      </c>
      <c r="N722" s="28" t="s">
        <v>77</v>
      </c>
      <c r="Q722" s="30"/>
    </row>
    <row r="723">
      <c r="B723" s="6"/>
      <c r="C723" s="33" t="str">
        <f t="array" ref="C723">IF(B723="", "", XLOOKUP(B723, Inventory!D:D,Inventory!E:E,"No Name Found"))</f>
        <v/>
      </c>
      <c r="D723" s="6"/>
      <c r="E723" s="6"/>
      <c r="F723" s="6"/>
      <c r="G723" s="24" t="str">
        <f>IF(F723="", "", VLOOKUP(F723, Inventory!A:BZ, 3, FALSE) - SUMIF($F$1:$F722, F723, $H$1:$H722))
</f>
        <v/>
      </c>
      <c r="I723" s="26"/>
      <c r="J723" s="26" t="s">
        <v>77</v>
      </c>
      <c r="L723" s="27" t="s">
        <v>77</v>
      </c>
      <c r="N723" s="28" t="s">
        <v>77</v>
      </c>
      <c r="Q723" s="30"/>
    </row>
    <row r="724">
      <c r="B724" s="6"/>
      <c r="C724" s="33" t="str">
        <f t="array" ref="C724">IF(B724="", "", XLOOKUP(B724, Inventory!D:D,Inventory!E:E,"No Name Found"))</f>
        <v/>
      </c>
      <c r="D724" s="6"/>
      <c r="E724" s="6"/>
      <c r="F724" s="6"/>
      <c r="G724" s="24" t="str">
        <f>IF(F724="", "", VLOOKUP(F724, Inventory!A:BZ, 3, FALSE) - SUMIF($F$1:$F723, F724, $H$1:$H723))
</f>
        <v/>
      </c>
      <c r="I724" s="26"/>
      <c r="J724" s="26" t="s">
        <v>77</v>
      </c>
      <c r="L724" s="27" t="s">
        <v>77</v>
      </c>
      <c r="N724" s="28" t="s">
        <v>77</v>
      </c>
      <c r="Q724" s="30"/>
    </row>
    <row r="725">
      <c r="B725" s="6"/>
      <c r="C725" s="33" t="str">
        <f t="array" ref="C725">IF(B725="", "", XLOOKUP(B725, Inventory!D:D,Inventory!E:E,"No Name Found"))</f>
        <v/>
      </c>
      <c r="D725" s="6"/>
      <c r="E725" s="6"/>
      <c r="F725" s="6"/>
      <c r="G725" s="24" t="str">
        <f>IF(F725="", "", VLOOKUP(F725, Inventory!A:BZ, 3, FALSE) - SUMIF($F$1:$F724, F725, $H$1:$H724))
</f>
        <v/>
      </c>
      <c r="I725" s="26"/>
      <c r="J725" s="26" t="s">
        <v>77</v>
      </c>
      <c r="L725" s="27" t="s">
        <v>77</v>
      </c>
      <c r="N725" s="28" t="s">
        <v>77</v>
      </c>
      <c r="Q725" s="30"/>
    </row>
    <row r="726">
      <c r="B726" s="6"/>
      <c r="C726" s="33" t="str">
        <f t="array" ref="C726">IF(B726="", "", XLOOKUP(B726, Inventory!D:D,Inventory!E:E,"No Name Found"))</f>
        <v/>
      </c>
      <c r="D726" s="6"/>
      <c r="E726" s="6"/>
      <c r="F726" s="6"/>
      <c r="G726" s="24" t="str">
        <f>IF(F726="", "", VLOOKUP(F726, Inventory!A:BZ, 3, FALSE) - SUMIF($F$1:$F725, F726, $H$1:$H725))
</f>
        <v/>
      </c>
      <c r="I726" s="26"/>
      <c r="J726" s="26" t="s">
        <v>77</v>
      </c>
      <c r="L726" s="27" t="s">
        <v>77</v>
      </c>
      <c r="N726" s="28" t="s">
        <v>77</v>
      </c>
      <c r="Q726" s="30"/>
    </row>
    <row r="727">
      <c r="B727" s="6"/>
      <c r="C727" s="33" t="str">
        <f t="array" ref="C727">IF(B727="", "", XLOOKUP(B727, Inventory!D:D,Inventory!E:E,"No Name Found"))</f>
        <v/>
      </c>
      <c r="D727" s="6"/>
      <c r="E727" s="6"/>
      <c r="F727" s="6"/>
      <c r="G727" s="24" t="str">
        <f>IF(F727="", "", VLOOKUP(F727, Inventory!A:BZ, 3, FALSE) - SUMIF($F$1:$F726, F727, $H$1:$H726))
</f>
        <v/>
      </c>
      <c r="I727" s="26"/>
      <c r="J727" s="26" t="s">
        <v>77</v>
      </c>
      <c r="L727" s="27" t="s">
        <v>77</v>
      </c>
      <c r="N727" s="28" t="s">
        <v>77</v>
      </c>
      <c r="Q727" s="30"/>
    </row>
    <row r="728">
      <c r="B728" s="6"/>
      <c r="C728" s="33" t="str">
        <f t="array" ref="C728">IF(B728="", "", XLOOKUP(B728, Inventory!D:D,Inventory!E:E,"No Name Found"))</f>
        <v/>
      </c>
      <c r="D728" s="6"/>
      <c r="E728" s="6"/>
      <c r="F728" s="6"/>
      <c r="G728" s="24" t="str">
        <f>IF(F728="", "", VLOOKUP(F728, Inventory!A:BZ, 3, FALSE) - SUMIF($F$1:$F727, F728, $H$1:$H727))
</f>
        <v/>
      </c>
      <c r="I728" s="26"/>
      <c r="J728" s="26" t="s">
        <v>77</v>
      </c>
      <c r="L728" s="27" t="s">
        <v>77</v>
      </c>
      <c r="N728" s="28" t="s">
        <v>77</v>
      </c>
      <c r="Q728" s="30"/>
    </row>
    <row r="729">
      <c r="B729" s="6"/>
      <c r="C729" s="33" t="str">
        <f t="array" ref="C729">IF(B729="", "", XLOOKUP(B729, Inventory!D:D,Inventory!E:E,"No Name Found"))</f>
        <v/>
      </c>
      <c r="D729" s="6"/>
      <c r="E729" s="6"/>
      <c r="F729" s="6"/>
      <c r="G729" s="24" t="str">
        <f>IF(F729="", "", VLOOKUP(F729, Inventory!A:BZ, 3, FALSE) - SUMIF($F$1:$F728, F729, $H$1:$H728))
</f>
        <v/>
      </c>
      <c r="I729" s="26"/>
      <c r="J729" s="26" t="s">
        <v>77</v>
      </c>
      <c r="L729" s="27" t="s">
        <v>77</v>
      </c>
      <c r="N729" s="28" t="s">
        <v>77</v>
      </c>
      <c r="Q729" s="30"/>
    </row>
    <row r="730">
      <c r="B730" s="6"/>
      <c r="C730" s="33" t="str">
        <f t="array" ref="C730">IF(B730="", "", XLOOKUP(B730, Inventory!D:D,Inventory!E:E,"No Name Found"))</f>
        <v/>
      </c>
      <c r="D730" s="6"/>
      <c r="E730" s="6"/>
      <c r="F730" s="6"/>
      <c r="G730" s="24" t="str">
        <f>IF(F730="", "", VLOOKUP(F730, Inventory!A:BZ, 3, FALSE) - SUMIF($F$1:$F729, F730, $H$1:$H729))
</f>
        <v/>
      </c>
      <c r="I730" s="26"/>
      <c r="J730" s="26" t="s">
        <v>77</v>
      </c>
      <c r="L730" s="27" t="s">
        <v>77</v>
      </c>
      <c r="N730" s="28" t="s">
        <v>77</v>
      </c>
      <c r="Q730" s="30"/>
    </row>
    <row r="731">
      <c r="B731" s="6"/>
      <c r="C731" s="33" t="str">
        <f t="array" ref="C731">IF(B731="", "", XLOOKUP(B731, Inventory!D:D,Inventory!E:E,"No Name Found"))</f>
        <v/>
      </c>
      <c r="D731" s="6"/>
      <c r="E731" s="6"/>
      <c r="F731" s="6"/>
      <c r="G731" s="24" t="str">
        <f>IF(F731="", "", VLOOKUP(F731, Inventory!A:BZ, 3, FALSE) - SUMIF($F$1:$F730, F731, $H$1:$H730))
</f>
        <v/>
      </c>
      <c r="I731" s="26"/>
      <c r="J731" s="26" t="s">
        <v>77</v>
      </c>
      <c r="L731" s="27" t="s">
        <v>77</v>
      </c>
      <c r="N731" s="28" t="s">
        <v>77</v>
      </c>
      <c r="Q731" s="30"/>
    </row>
    <row r="732">
      <c r="B732" s="6"/>
      <c r="C732" s="33" t="str">
        <f t="array" ref="C732">IF(B732="", "", XLOOKUP(B732, Inventory!D:D,Inventory!E:E,"No Name Found"))</f>
        <v/>
      </c>
      <c r="D732" s="6"/>
      <c r="E732" s="6"/>
      <c r="F732" s="6"/>
      <c r="G732" s="24" t="str">
        <f>IF(F732="", "", VLOOKUP(F732, Inventory!A:BZ, 3, FALSE) - SUMIF($F$1:$F731, F732, $H$1:$H731))
</f>
        <v/>
      </c>
      <c r="I732" s="26"/>
      <c r="J732" s="26" t="s">
        <v>77</v>
      </c>
      <c r="L732" s="27" t="s">
        <v>77</v>
      </c>
      <c r="N732" s="28" t="s">
        <v>77</v>
      </c>
      <c r="Q732" s="30"/>
    </row>
    <row r="733">
      <c r="B733" s="6"/>
      <c r="C733" s="33" t="str">
        <f t="array" ref="C733">IF(B733="", "", XLOOKUP(B733, Inventory!D:D,Inventory!E:E,"No Name Found"))</f>
        <v/>
      </c>
      <c r="D733" s="6"/>
      <c r="E733" s="6"/>
      <c r="F733" s="6"/>
      <c r="G733" s="24" t="str">
        <f>IF(F733="", "", VLOOKUP(F733, Inventory!A:BZ, 3, FALSE) - SUMIF($F$1:$F732, F733, $H$1:$H732))
</f>
        <v/>
      </c>
      <c r="I733" s="26"/>
      <c r="J733" s="26" t="s">
        <v>77</v>
      </c>
      <c r="L733" s="27" t="s">
        <v>77</v>
      </c>
      <c r="N733" s="28" t="s">
        <v>77</v>
      </c>
      <c r="Q733" s="30"/>
    </row>
    <row r="734">
      <c r="B734" s="6"/>
      <c r="C734" s="33" t="str">
        <f t="array" ref="C734">IF(B734="", "", XLOOKUP(B734, Inventory!D:D,Inventory!E:E,"No Name Found"))</f>
        <v/>
      </c>
      <c r="D734" s="6"/>
      <c r="E734" s="6"/>
      <c r="F734" s="6"/>
      <c r="G734" s="24" t="str">
        <f>IF(F734="", "", VLOOKUP(F734, Inventory!A:BZ, 3, FALSE) - SUMIF($F$1:$F733, F734, $H$1:$H733))
</f>
        <v/>
      </c>
      <c r="I734" s="26"/>
      <c r="J734" s="26" t="s">
        <v>77</v>
      </c>
      <c r="L734" s="27" t="s">
        <v>77</v>
      </c>
      <c r="N734" s="28" t="s">
        <v>77</v>
      </c>
      <c r="Q734" s="30"/>
    </row>
    <row r="735">
      <c r="B735" s="6"/>
      <c r="C735" s="33" t="str">
        <f t="array" ref="C735">IF(B735="", "", XLOOKUP(B735, Inventory!D:D,Inventory!E:E,"No Name Found"))</f>
        <v/>
      </c>
      <c r="D735" s="6"/>
      <c r="E735" s="6"/>
      <c r="F735" s="6"/>
      <c r="G735" s="24" t="str">
        <f>IF(F735="", "", VLOOKUP(F735, Inventory!A:BZ, 3, FALSE) - SUMIF($F$1:$F734, F735, $H$1:$H734))
</f>
        <v/>
      </c>
      <c r="I735" s="26"/>
      <c r="J735" s="26" t="s">
        <v>77</v>
      </c>
      <c r="L735" s="27" t="s">
        <v>77</v>
      </c>
      <c r="N735" s="28" t="s">
        <v>77</v>
      </c>
      <c r="Q735" s="30"/>
    </row>
    <row r="736">
      <c r="B736" s="6"/>
      <c r="C736" s="33" t="str">
        <f t="array" ref="C736">IF(B736="", "", XLOOKUP(B736, Inventory!D:D,Inventory!E:E,"No Name Found"))</f>
        <v/>
      </c>
      <c r="D736" s="6"/>
      <c r="E736" s="6"/>
      <c r="F736" s="6"/>
      <c r="G736" s="24" t="str">
        <f>IF(F736="", "", VLOOKUP(F736, Inventory!A:BZ, 3, FALSE) - SUMIF($F$1:$F735, F736, $H$1:$H735))
</f>
        <v/>
      </c>
      <c r="I736" s="26"/>
      <c r="J736" s="26" t="s">
        <v>77</v>
      </c>
      <c r="L736" s="27" t="s">
        <v>77</v>
      </c>
      <c r="N736" s="28" t="s">
        <v>77</v>
      </c>
      <c r="Q736" s="30"/>
    </row>
    <row r="737">
      <c r="B737" s="6"/>
      <c r="C737" s="33" t="str">
        <f t="array" ref="C737">IF(B737="", "", XLOOKUP(B737, Inventory!D:D,Inventory!E:E,"No Name Found"))</f>
        <v/>
      </c>
      <c r="D737" s="6"/>
      <c r="E737" s="6"/>
      <c r="F737" s="6"/>
      <c r="G737" s="24" t="str">
        <f>IF(F737="", "", VLOOKUP(F737, Inventory!A:BZ, 3, FALSE) - SUMIF($F$1:$F736, F737, $H$1:$H736))
</f>
        <v/>
      </c>
      <c r="I737" s="26"/>
      <c r="J737" s="26" t="s">
        <v>77</v>
      </c>
      <c r="L737" s="27" t="s">
        <v>77</v>
      </c>
      <c r="N737" s="28" t="s">
        <v>77</v>
      </c>
      <c r="Q737" s="30"/>
    </row>
    <row r="738">
      <c r="B738" s="6"/>
      <c r="C738" s="33" t="str">
        <f t="array" ref="C738">IF(B738="", "", XLOOKUP(B738, Inventory!D:D,Inventory!E:E,"No Name Found"))</f>
        <v/>
      </c>
      <c r="D738" s="6"/>
      <c r="E738" s="6"/>
      <c r="F738" s="6"/>
      <c r="G738" s="24" t="str">
        <f>IF(F738="", "", VLOOKUP(F738, Inventory!A:BZ, 3, FALSE) - SUMIF($F$1:$F737, F738, $H$1:$H737))
</f>
        <v/>
      </c>
      <c r="I738" s="26"/>
      <c r="J738" s="26" t="s">
        <v>77</v>
      </c>
      <c r="L738" s="27" t="s">
        <v>77</v>
      </c>
      <c r="N738" s="28" t="s">
        <v>77</v>
      </c>
      <c r="Q738" s="30"/>
    </row>
    <row r="739">
      <c r="B739" s="6"/>
      <c r="C739" s="33" t="str">
        <f t="array" ref="C739">IF(B739="", "", XLOOKUP(B739, Inventory!D:D,Inventory!E:E,"No Name Found"))</f>
        <v/>
      </c>
      <c r="D739" s="6"/>
      <c r="E739" s="6"/>
      <c r="F739" s="6"/>
      <c r="G739" s="24" t="str">
        <f>IF(F739="", "", VLOOKUP(F739, Inventory!A:BZ, 3, FALSE) - SUMIF($F$1:$F738, F739, $H$1:$H738))
</f>
        <v/>
      </c>
      <c r="I739" s="26"/>
      <c r="J739" s="26" t="s">
        <v>77</v>
      </c>
      <c r="L739" s="27" t="s">
        <v>77</v>
      </c>
      <c r="N739" s="28" t="s">
        <v>77</v>
      </c>
      <c r="Q739" s="30"/>
    </row>
    <row r="740">
      <c r="B740" s="6"/>
      <c r="C740" s="33" t="str">
        <f t="array" ref="C740">IF(B740="", "", XLOOKUP(B740, Inventory!D:D,Inventory!E:E,"No Name Found"))</f>
        <v/>
      </c>
      <c r="D740" s="6"/>
      <c r="E740" s="6"/>
      <c r="F740" s="6"/>
      <c r="G740" s="24" t="str">
        <f>IF(F740="", "", VLOOKUP(F740, Inventory!A:BZ, 3, FALSE) - SUMIF($F$1:$F739, F740, $H$1:$H739))
</f>
        <v/>
      </c>
      <c r="I740" s="26"/>
      <c r="J740" s="26" t="s">
        <v>77</v>
      </c>
      <c r="L740" s="27" t="s">
        <v>77</v>
      </c>
      <c r="N740" s="28" t="s">
        <v>77</v>
      </c>
      <c r="Q740" s="30"/>
    </row>
    <row r="741">
      <c r="B741" s="6"/>
      <c r="C741" s="33" t="str">
        <f t="array" ref="C741">IF(B741="", "", XLOOKUP(B741, Inventory!D:D,Inventory!E:E,"No Name Found"))</f>
        <v/>
      </c>
      <c r="D741" s="6"/>
      <c r="E741" s="6"/>
      <c r="F741" s="6"/>
      <c r="G741" s="24" t="str">
        <f>IF(F741="", "", VLOOKUP(F741, Inventory!A:BZ, 3, FALSE) - SUMIF($F$1:$F740, F741, $H$1:$H740))
</f>
        <v/>
      </c>
      <c r="I741" s="26"/>
      <c r="J741" s="26" t="s">
        <v>77</v>
      </c>
      <c r="L741" s="27" t="s">
        <v>77</v>
      </c>
      <c r="N741" s="28" t="s">
        <v>77</v>
      </c>
      <c r="Q741" s="30"/>
    </row>
    <row r="742">
      <c r="B742" s="6"/>
      <c r="C742" s="33" t="str">
        <f t="array" ref="C742">IF(B742="", "", XLOOKUP(B742, Inventory!D:D,Inventory!E:E,"No Name Found"))</f>
        <v/>
      </c>
      <c r="D742" s="6"/>
      <c r="E742" s="6"/>
      <c r="F742" s="6"/>
      <c r="G742" s="24" t="str">
        <f>IF(F742="", "", VLOOKUP(F742, Inventory!A:BZ, 3, FALSE) - SUMIF($F$1:$F741, F742, $H$1:$H741))
</f>
        <v/>
      </c>
      <c r="I742" s="26"/>
      <c r="J742" s="26" t="s">
        <v>77</v>
      </c>
      <c r="L742" s="27" t="s">
        <v>77</v>
      </c>
      <c r="N742" s="28" t="s">
        <v>77</v>
      </c>
      <c r="Q742" s="30"/>
    </row>
    <row r="743">
      <c r="B743" s="6"/>
      <c r="C743" s="33" t="str">
        <f t="array" ref="C743">IF(B743="", "", XLOOKUP(B743, Inventory!D:D,Inventory!E:E,"No Name Found"))</f>
        <v/>
      </c>
      <c r="D743" s="6"/>
      <c r="E743" s="6"/>
      <c r="F743" s="6"/>
      <c r="G743" s="24" t="str">
        <f>IF(F743="", "", VLOOKUP(F743, Inventory!A:BZ, 3, FALSE) - SUMIF($F$1:$F742, F743, $H$1:$H742))
</f>
        <v/>
      </c>
      <c r="I743" s="26"/>
      <c r="J743" s="26" t="s">
        <v>77</v>
      </c>
      <c r="L743" s="27" t="s">
        <v>77</v>
      </c>
      <c r="N743" s="28" t="s">
        <v>77</v>
      </c>
      <c r="Q743" s="30"/>
    </row>
    <row r="744">
      <c r="B744" s="6"/>
      <c r="C744" s="33" t="str">
        <f t="array" ref="C744">IF(B744="", "", XLOOKUP(B744, Inventory!D:D,Inventory!E:E,"No Name Found"))</f>
        <v/>
      </c>
      <c r="D744" s="6"/>
      <c r="E744" s="6"/>
      <c r="F744" s="6"/>
      <c r="G744" s="24" t="str">
        <f>IF(F744="", "", VLOOKUP(F744, Inventory!A:BZ, 3, FALSE) - SUMIF($F$1:$F743, F744, $H$1:$H743))
</f>
        <v/>
      </c>
      <c r="I744" s="26"/>
      <c r="J744" s="26" t="s">
        <v>77</v>
      </c>
      <c r="L744" s="27" t="s">
        <v>77</v>
      </c>
      <c r="N744" s="28" t="s">
        <v>77</v>
      </c>
      <c r="Q744" s="30"/>
    </row>
    <row r="745">
      <c r="B745" s="6"/>
      <c r="C745" s="33" t="str">
        <f t="array" ref="C745">IF(B745="", "", XLOOKUP(B745, Inventory!D:D,Inventory!E:E,"No Name Found"))</f>
        <v/>
      </c>
      <c r="D745" s="6"/>
      <c r="E745" s="6"/>
      <c r="F745" s="6"/>
      <c r="G745" s="24" t="str">
        <f>IF(F745="", "", VLOOKUP(F745, Inventory!A:BZ, 3, FALSE) - SUMIF($F$1:$F744, F745, $H$1:$H744))
</f>
        <v/>
      </c>
      <c r="I745" s="26"/>
      <c r="J745" s="26" t="s">
        <v>77</v>
      </c>
      <c r="L745" s="27" t="s">
        <v>77</v>
      </c>
      <c r="N745" s="28" t="s">
        <v>77</v>
      </c>
      <c r="Q745" s="30"/>
    </row>
    <row r="746">
      <c r="B746" s="6"/>
      <c r="C746" s="33" t="str">
        <f t="array" ref="C746">IF(B746="", "", XLOOKUP(B746, Inventory!D:D,Inventory!E:E,"No Name Found"))</f>
        <v/>
      </c>
      <c r="D746" s="6"/>
      <c r="E746" s="6"/>
      <c r="F746" s="6"/>
      <c r="G746" s="24" t="str">
        <f>IF(F746="", "", VLOOKUP(F746, Inventory!A:BZ, 3, FALSE) - SUMIF($F$1:$F745, F746, $H$1:$H745))
</f>
        <v/>
      </c>
      <c r="I746" s="26"/>
      <c r="J746" s="26" t="s">
        <v>77</v>
      </c>
      <c r="L746" s="27" t="s">
        <v>77</v>
      </c>
      <c r="N746" s="28" t="s">
        <v>77</v>
      </c>
      <c r="Q746" s="30"/>
    </row>
    <row r="747">
      <c r="B747" s="6"/>
      <c r="C747" s="33" t="str">
        <f t="array" ref="C747">IF(B747="", "", XLOOKUP(B747, Inventory!D:D,Inventory!E:E,"No Name Found"))</f>
        <v/>
      </c>
      <c r="D747" s="6"/>
      <c r="E747" s="6"/>
      <c r="F747" s="6"/>
      <c r="G747" s="24" t="str">
        <f>IF(F747="", "", VLOOKUP(F747, Inventory!A:BZ, 3, FALSE) - SUMIF($F$1:$F746, F747, $H$1:$H746))
</f>
        <v/>
      </c>
      <c r="I747" s="26"/>
      <c r="J747" s="26" t="s">
        <v>77</v>
      </c>
      <c r="L747" s="27" t="s">
        <v>77</v>
      </c>
      <c r="N747" s="28" t="s">
        <v>77</v>
      </c>
      <c r="Q747" s="30"/>
    </row>
    <row r="748">
      <c r="B748" s="6"/>
      <c r="C748" s="33" t="str">
        <f t="array" ref="C748">IF(B748="", "", XLOOKUP(B748, Inventory!D:D,Inventory!E:E,"No Name Found"))</f>
        <v/>
      </c>
      <c r="D748" s="6"/>
      <c r="E748" s="6"/>
      <c r="F748" s="6"/>
      <c r="G748" s="24" t="str">
        <f>IF(F748="", "", VLOOKUP(F748, Inventory!A:BZ, 3, FALSE) - SUMIF($F$1:$F747, F748, $H$1:$H747))
</f>
        <v/>
      </c>
      <c r="I748" s="26"/>
      <c r="J748" s="26" t="s">
        <v>77</v>
      </c>
      <c r="L748" s="27" t="s">
        <v>77</v>
      </c>
      <c r="N748" s="28" t="s">
        <v>77</v>
      </c>
      <c r="Q748" s="30"/>
    </row>
    <row r="749">
      <c r="B749" s="6"/>
      <c r="C749" s="33" t="str">
        <f t="array" ref="C749">IF(B749="", "", XLOOKUP(B749, Inventory!D:D,Inventory!E:E,"No Name Found"))</f>
        <v/>
      </c>
      <c r="D749" s="6"/>
      <c r="E749" s="6"/>
      <c r="F749" s="6"/>
      <c r="G749" s="24" t="str">
        <f>IF(F749="", "", VLOOKUP(F749, Inventory!A:BZ, 3, FALSE) - SUMIF($F$1:$F748, F749, $H$1:$H748))
</f>
        <v/>
      </c>
      <c r="I749" s="26"/>
      <c r="J749" s="26" t="s">
        <v>77</v>
      </c>
      <c r="L749" s="27" t="s">
        <v>77</v>
      </c>
      <c r="N749" s="28" t="s">
        <v>77</v>
      </c>
      <c r="Q749" s="30"/>
    </row>
    <row r="750">
      <c r="B750" s="6"/>
      <c r="C750" s="33" t="str">
        <f t="array" ref="C750">IF(B750="", "", XLOOKUP(B750, Inventory!D:D,Inventory!E:E,"No Name Found"))</f>
        <v/>
      </c>
      <c r="D750" s="6"/>
      <c r="E750" s="6"/>
      <c r="F750" s="6"/>
      <c r="G750" s="24" t="str">
        <f>IF(F750="", "", VLOOKUP(F750, Inventory!A:BZ, 3, FALSE) - SUMIF($F$1:$F749, F750, $H$1:$H749))
</f>
        <v/>
      </c>
      <c r="I750" s="26"/>
      <c r="J750" s="26" t="s">
        <v>77</v>
      </c>
      <c r="L750" s="27" t="s">
        <v>77</v>
      </c>
      <c r="N750" s="28" t="s">
        <v>77</v>
      </c>
      <c r="Q750" s="30"/>
    </row>
    <row r="751">
      <c r="B751" s="6"/>
      <c r="C751" s="33" t="str">
        <f t="array" ref="C751">IF(B751="", "", XLOOKUP(B751, Inventory!D:D,Inventory!E:E,"No Name Found"))</f>
        <v/>
      </c>
      <c r="D751" s="6"/>
      <c r="E751" s="6"/>
      <c r="F751" s="6"/>
      <c r="G751" s="24" t="str">
        <f>IF(F751="", "", VLOOKUP(F751, Inventory!A:BZ, 3, FALSE) - SUMIF($F$1:$F750, F751, $H$1:$H750))
</f>
        <v/>
      </c>
      <c r="I751" s="26"/>
      <c r="J751" s="26" t="s">
        <v>77</v>
      </c>
      <c r="L751" s="27" t="s">
        <v>77</v>
      </c>
      <c r="N751" s="28" t="s">
        <v>77</v>
      </c>
      <c r="Q751" s="30"/>
    </row>
    <row r="752">
      <c r="B752" s="6"/>
      <c r="C752" s="33" t="str">
        <f t="array" ref="C752">IF(B752="", "", XLOOKUP(B752, Inventory!D:D,Inventory!E:E,"No Name Found"))</f>
        <v/>
      </c>
      <c r="D752" s="6"/>
      <c r="E752" s="6"/>
      <c r="F752" s="6"/>
      <c r="G752" s="24" t="str">
        <f>IF(F752="", "", VLOOKUP(F752, Inventory!A:BZ, 3, FALSE) - SUMIF($F$1:$F751, F752, $H$1:$H751))
</f>
        <v/>
      </c>
      <c r="I752" s="26"/>
      <c r="J752" s="26" t="s">
        <v>77</v>
      </c>
      <c r="L752" s="27" t="s">
        <v>77</v>
      </c>
      <c r="N752" s="28" t="s">
        <v>77</v>
      </c>
      <c r="Q752" s="30"/>
    </row>
    <row r="753">
      <c r="B753" s="6"/>
      <c r="C753" s="33" t="str">
        <f t="array" ref="C753">IF(B753="", "", XLOOKUP(B753, Inventory!D:D,Inventory!E:E,"No Name Found"))</f>
        <v/>
      </c>
      <c r="D753" s="6"/>
      <c r="E753" s="6"/>
      <c r="F753" s="6"/>
      <c r="G753" s="24" t="str">
        <f>IF(F753="", "", VLOOKUP(F753, Inventory!A:BZ, 3, FALSE) - SUMIF($F$1:$F752, F753, $H$1:$H752))
</f>
        <v/>
      </c>
      <c r="I753" s="26"/>
      <c r="J753" s="26" t="s">
        <v>77</v>
      </c>
      <c r="L753" s="27" t="s">
        <v>77</v>
      </c>
      <c r="N753" s="28" t="s">
        <v>77</v>
      </c>
      <c r="Q753" s="30"/>
    </row>
    <row r="754">
      <c r="B754" s="6"/>
      <c r="C754" s="33" t="str">
        <f t="array" ref="C754">IF(B754="", "", XLOOKUP(B754, Inventory!D:D,Inventory!E:E,"No Name Found"))</f>
        <v/>
      </c>
      <c r="D754" s="6"/>
      <c r="E754" s="6"/>
      <c r="F754" s="6"/>
      <c r="G754" s="24" t="str">
        <f>IF(F754="", "", VLOOKUP(F754, Inventory!A:BZ, 3, FALSE) - SUMIF($F$1:$F753, F754, $H$1:$H753))
</f>
        <v/>
      </c>
      <c r="I754" s="26"/>
      <c r="J754" s="26" t="s">
        <v>77</v>
      </c>
      <c r="L754" s="27" t="s">
        <v>77</v>
      </c>
      <c r="N754" s="28" t="s">
        <v>77</v>
      </c>
      <c r="Q754" s="30"/>
    </row>
    <row r="755">
      <c r="B755" s="6"/>
      <c r="C755" s="33" t="str">
        <f t="array" ref="C755">IF(B755="", "", XLOOKUP(B755, Inventory!D:D,Inventory!E:E,"No Name Found"))</f>
        <v/>
      </c>
      <c r="D755" s="6"/>
      <c r="E755" s="6"/>
      <c r="F755" s="6"/>
      <c r="G755" s="24" t="str">
        <f>IF(F755="", "", VLOOKUP(F755, Inventory!A:BZ, 3, FALSE) - SUMIF($F$1:$F754, F755, $H$1:$H754))
</f>
        <v/>
      </c>
      <c r="I755" s="26"/>
      <c r="J755" s="26" t="s">
        <v>77</v>
      </c>
      <c r="L755" s="27" t="s">
        <v>77</v>
      </c>
      <c r="N755" s="28" t="s">
        <v>77</v>
      </c>
      <c r="Q755" s="30"/>
    </row>
    <row r="756">
      <c r="B756" s="6"/>
      <c r="C756" s="33" t="str">
        <f t="array" ref="C756">IF(B756="", "", XLOOKUP(B756, Inventory!D:D,Inventory!E:E,"No Name Found"))</f>
        <v/>
      </c>
      <c r="D756" s="6"/>
      <c r="E756" s="6"/>
      <c r="F756" s="6"/>
      <c r="G756" s="24" t="str">
        <f>IF(F756="", "", VLOOKUP(F756, Inventory!A:BZ, 3, FALSE) - SUMIF($F$1:$F755, F756, $H$1:$H755))
</f>
        <v/>
      </c>
      <c r="I756" s="26"/>
      <c r="J756" s="26" t="s">
        <v>77</v>
      </c>
      <c r="L756" s="27" t="s">
        <v>77</v>
      </c>
      <c r="N756" s="28" t="s">
        <v>77</v>
      </c>
      <c r="Q756" s="30"/>
    </row>
    <row r="757">
      <c r="B757" s="6"/>
      <c r="C757" s="33" t="str">
        <f t="array" ref="C757">IF(B757="", "", XLOOKUP(B757, Inventory!D:D,Inventory!E:E,"No Name Found"))</f>
        <v/>
      </c>
      <c r="D757" s="6"/>
      <c r="E757" s="6"/>
      <c r="F757" s="6"/>
      <c r="G757" s="24" t="str">
        <f>IF(F757="", "", VLOOKUP(F757, Inventory!A:BZ, 3, FALSE) - SUMIF($F$1:$F756, F757, $H$1:$H756))
</f>
        <v/>
      </c>
      <c r="I757" s="26"/>
      <c r="J757" s="26" t="s">
        <v>77</v>
      </c>
      <c r="L757" s="27" t="s">
        <v>77</v>
      </c>
      <c r="N757" s="28" t="s">
        <v>77</v>
      </c>
      <c r="Q757" s="30"/>
    </row>
    <row r="758">
      <c r="B758" s="6"/>
      <c r="C758" s="33" t="str">
        <f t="array" ref="C758">IF(B758="", "", XLOOKUP(B758, Inventory!D:D,Inventory!E:E,"No Name Found"))</f>
        <v/>
      </c>
      <c r="D758" s="6"/>
      <c r="E758" s="6"/>
      <c r="F758" s="6"/>
      <c r="G758" s="24" t="str">
        <f>IF(F758="", "", VLOOKUP(F758, Inventory!A:BZ, 3, FALSE) - SUMIF($F$1:$F757, F758, $H$1:$H757))
</f>
        <v/>
      </c>
      <c r="I758" s="26"/>
      <c r="J758" s="26" t="s">
        <v>77</v>
      </c>
      <c r="L758" s="27" t="s">
        <v>77</v>
      </c>
      <c r="N758" s="28" t="s">
        <v>77</v>
      </c>
      <c r="Q758" s="30"/>
    </row>
    <row r="759">
      <c r="B759" s="6"/>
      <c r="C759" s="33" t="str">
        <f t="array" ref="C759">IF(B759="", "", XLOOKUP(B759, Inventory!D:D,Inventory!E:E,"No Name Found"))</f>
        <v/>
      </c>
      <c r="D759" s="6"/>
      <c r="E759" s="6"/>
      <c r="F759" s="6"/>
      <c r="G759" s="24" t="str">
        <f>IF(F759="", "", VLOOKUP(F759, Inventory!A:BZ, 3, FALSE) - SUMIF($F$1:$F758, F759, $H$1:$H758))
</f>
        <v/>
      </c>
      <c r="I759" s="26"/>
      <c r="J759" s="26" t="s">
        <v>77</v>
      </c>
      <c r="L759" s="27" t="s">
        <v>77</v>
      </c>
      <c r="N759" s="28" t="s">
        <v>77</v>
      </c>
      <c r="Q759" s="30"/>
    </row>
    <row r="760">
      <c r="B760" s="6"/>
      <c r="C760" s="33" t="str">
        <f t="array" ref="C760">IF(B760="", "", XLOOKUP(B760, Inventory!D:D,Inventory!E:E,"No Name Found"))</f>
        <v/>
      </c>
      <c r="D760" s="6"/>
      <c r="E760" s="6"/>
      <c r="F760" s="6"/>
      <c r="G760" s="24" t="str">
        <f>IF(F760="", "", VLOOKUP(F760, Inventory!A:BZ, 3, FALSE) - SUMIF($F$1:$F759, F760, $H$1:$H759))
</f>
        <v/>
      </c>
      <c r="I760" s="26"/>
      <c r="J760" s="26" t="s">
        <v>77</v>
      </c>
      <c r="L760" s="27" t="s">
        <v>77</v>
      </c>
      <c r="N760" s="28" t="s">
        <v>77</v>
      </c>
      <c r="Q760" s="30"/>
    </row>
    <row r="761">
      <c r="B761" s="6"/>
      <c r="C761" s="33" t="str">
        <f t="array" ref="C761">IF(B761="", "", XLOOKUP(B761, Inventory!D:D,Inventory!E:E,"No Name Found"))</f>
        <v/>
      </c>
      <c r="D761" s="6"/>
      <c r="E761" s="6"/>
      <c r="F761" s="6"/>
      <c r="G761" s="24" t="str">
        <f>IF(F761="", "", VLOOKUP(F761, Inventory!A:BZ, 3, FALSE) - SUMIF($F$1:$F760, F761, $H$1:$H760))
</f>
        <v/>
      </c>
      <c r="I761" s="26"/>
      <c r="J761" s="26" t="s">
        <v>77</v>
      </c>
      <c r="L761" s="27" t="s">
        <v>77</v>
      </c>
      <c r="N761" s="28" t="s">
        <v>77</v>
      </c>
      <c r="Q761" s="30"/>
    </row>
    <row r="762">
      <c r="B762" s="6"/>
      <c r="C762" s="33" t="str">
        <f t="array" ref="C762">IF(B762="", "", XLOOKUP(B762, Inventory!D:D,Inventory!E:E,"No Name Found"))</f>
        <v/>
      </c>
      <c r="D762" s="6"/>
      <c r="E762" s="6"/>
      <c r="F762" s="6"/>
      <c r="G762" s="24" t="str">
        <f>IF(F762="", "", VLOOKUP(F762, Inventory!A:BZ, 3, FALSE) - SUMIF($F$1:$F761, F762, $H$1:$H761))
</f>
        <v/>
      </c>
      <c r="I762" s="26"/>
      <c r="J762" s="26" t="s">
        <v>77</v>
      </c>
      <c r="L762" s="27" t="s">
        <v>77</v>
      </c>
      <c r="N762" s="28" t="s">
        <v>77</v>
      </c>
      <c r="Q762" s="30"/>
    </row>
    <row r="763">
      <c r="B763" s="6"/>
      <c r="C763" s="33" t="str">
        <f t="array" ref="C763">IF(B763="", "", XLOOKUP(B763, Inventory!D:D,Inventory!E:E,"No Name Found"))</f>
        <v/>
      </c>
      <c r="D763" s="6"/>
      <c r="E763" s="6"/>
      <c r="F763" s="6"/>
      <c r="G763" s="24" t="str">
        <f>IF(F763="", "", VLOOKUP(F763, Inventory!A:BZ, 3, FALSE) - SUMIF($F$1:$F762, F763, $H$1:$H762))
</f>
        <v/>
      </c>
      <c r="I763" s="26"/>
      <c r="J763" s="26" t="s">
        <v>77</v>
      </c>
      <c r="L763" s="27" t="s">
        <v>77</v>
      </c>
      <c r="N763" s="28" t="s">
        <v>77</v>
      </c>
      <c r="Q763" s="30"/>
    </row>
    <row r="764">
      <c r="B764" s="6"/>
      <c r="C764" s="33" t="str">
        <f t="array" ref="C764">IF(B764="", "", XLOOKUP(B764, Inventory!D:D,Inventory!E:E,"No Name Found"))</f>
        <v/>
      </c>
      <c r="D764" s="6"/>
      <c r="E764" s="6"/>
      <c r="F764" s="6"/>
      <c r="G764" s="24" t="str">
        <f>IF(F764="", "", VLOOKUP(F764, Inventory!A:BZ, 3, FALSE) - SUMIF($F$1:$F763, F764, $H$1:$H763))
</f>
        <v/>
      </c>
      <c r="I764" s="26"/>
      <c r="J764" s="26" t="s">
        <v>77</v>
      </c>
      <c r="L764" s="27" t="s">
        <v>77</v>
      </c>
      <c r="N764" s="28" t="s">
        <v>77</v>
      </c>
      <c r="Q764" s="30"/>
    </row>
    <row r="765">
      <c r="B765" s="6"/>
      <c r="C765" s="33" t="str">
        <f t="array" ref="C765">IF(B765="", "", XLOOKUP(B765, Inventory!D:D,Inventory!E:E,"No Name Found"))</f>
        <v/>
      </c>
      <c r="D765" s="6"/>
      <c r="E765" s="6"/>
      <c r="F765" s="6"/>
      <c r="G765" s="24" t="str">
        <f>IF(F765="", "", VLOOKUP(F765, Inventory!A:BZ, 3, FALSE) - SUMIF($F$1:$F764, F765, $H$1:$H764))
</f>
        <v/>
      </c>
      <c r="I765" s="26"/>
      <c r="J765" s="26" t="s">
        <v>77</v>
      </c>
      <c r="L765" s="27" t="s">
        <v>77</v>
      </c>
      <c r="N765" s="28" t="s">
        <v>77</v>
      </c>
      <c r="Q765" s="30"/>
    </row>
    <row r="766">
      <c r="B766" s="6"/>
      <c r="C766" s="33" t="str">
        <f t="array" ref="C766">IF(B766="", "", XLOOKUP(B766, Inventory!D:D,Inventory!E:E,"No Name Found"))</f>
        <v/>
      </c>
      <c r="D766" s="6"/>
      <c r="E766" s="6"/>
      <c r="F766" s="6"/>
      <c r="G766" s="24" t="str">
        <f>IF(F766="", "", VLOOKUP(F766, Inventory!A:BZ, 3, FALSE) - SUMIF($F$1:$F765, F766, $H$1:$H765))
</f>
        <v/>
      </c>
      <c r="I766" s="26"/>
      <c r="J766" s="26" t="s">
        <v>77</v>
      </c>
      <c r="L766" s="27" t="s">
        <v>77</v>
      </c>
      <c r="N766" s="28" t="s">
        <v>77</v>
      </c>
      <c r="Q766" s="30"/>
    </row>
    <row r="767">
      <c r="B767" s="6"/>
      <c r="C767" s="33" t="str">
        <f t="array" ref="C767">IF(B767="", "", XLOOKUP(B767, Inventory!D:D,Inventory!E:E,"No Name Found"))</f>
        <v/>
      </c>
      <c r="D767" s="6"/>
      <c r="E767" s="6"/>
      <c r="F767" s="6"/>
      <c r="G767" s="24" t="str">
        <f>IF(F767="", "", VLOOKUP(F767, Inventory!A:BZ, 3, FALSE) - SUMIF($F$1:$F766, F767, $H$1:$H766))
</f>
        <v/>
      </c>
      <c r="I767" s="26"/>
      <c r="J767" s="26" t="s">
        <v>77</v>
      </c>
      <c r="L767" s="27" t="s">
        <v>77</v>
      </c>
      <c r="N767" s="28" t="s">
        <v>77</v>
      </c>
      <c r="Q767" s="30"/>
    </row>
    <row r="768">
      <c r="B768" s="6"/>
      <c r="C768" s="33" t="str">
        <f t="array" ref="C768">IF(B768="", "", XLOOKUP(B768, Inventory!D:D,Inventory!E:E,"No Name Found"))</f>
        <v/>
      </c>
      <c r="D768" s="6"/>
      <c r="E768" s="6"/>
      <c r="F768" s="6"/>
      <c r="G768" s="24" t="str">
        <f>IF(F768="", "", VLOOKUP(F768, Inventory!A:BZ, 3, FALSE) - SUMIF($F$1:$F767, F768, $H$1:$H767))
</f>
        <v/>
      </c>
      <c r="I768" s="26"/>
      <c r="J768" s="26" t="s">
        <v>77</v>
      </c>
      <c r="L768" s="27" t="s">
        <v>77</v>
      </c>
      <c r="N768" s="28" t="s">
        <v>77</v>
      </c>
      <c r="Q768" s="30"/>
    </row>
    <row r="769">
      <c r="B769" s="6"/>
      <c r="C769" s="33" t="str">
        <f t="array" ref="C769">IF(B769="", "", XLOOKUP(B769, Inventory!D:D,Inventory!E:E,"No Name Found"))</f>
        <v/>
      </c>
      <c r="D769" s="6"/>
      <c r="E769" s="6"/>
      <c r="F769" s="6"/>
      <c r="G769" s="24" t="str">
        <f>IF(F769="", "", VLOOKUP(F769, Inventory!A:BZ, 3, FALSE) - SUMIF($F$1:$F768, F769, $H$1:$H768))
</f>
        <v/>
      </c>
      <c r="I769" s="26"/>
      <c r="J769" s="26" t="s">
        <v>77</v>
      </c>
      <c r="L769" s="27" t="s">
        <v>77</v>
      </c>
      <c r="N769" s="28" t="s">
        <v>77</v>
      </c>
      <c r="Q769" s="30"/>
    </row>
    <row r="770">
      <c r="B770" s="6"/>
      <c r="C770" s="33" t="str">
        <f t="array" ref="C770">IF(B770="", "", XLOOKUP(B770, Inventory!D:D,Inventory!E:E,"No Name Found"))</f>
        <v/>
      </c>
      <c r="D770" s="6"/>
      <c r="E770" s="6"/>
      <c r="F770" s="6"/>
      <c r="G770" s="24" t="str">
        <f>IF(F770="", "", VLOOKUP(F770, Inventory!A:BZ, 3, FALSE) - SUMIF($F$1:$F769, F770, $H$1:$H769))
</f>
        <v/>
      </c>
      <c r="I770" s="26"/>
      <c r="J770" s="26" t="s">
        <v>77</v>
      </c>
      <c r="L770" s="27" t="s">
        <v>77</v>
      </c>
      <c r="N770" s="28" t="s">
        <v>77</v>
      </c>
      <c r="Q770" s="30"/>
    </row>
    <row r="771">
      <c r="B771" s="6"/>
      <c r="C771" s="33" t="str">
        <f t="array" ref="C771">IF(B771="", "", XLOOKUP(B771, Inventory!D:D,Inventory!E:E,"No Name Found"))</f>
        <v/>
      </c>
      <c r="D771" s="6"/>
      <c r="E771" s="6"/>
      <c r="F771" s="6"/>
      <c r="G771" s="24" t="str">
        <f>IF(F771="", "", VLOOKUP(F771, Inventory!A:BZ, 3, FALSE) - SUMIF($F$1:$F770, F771, $H$1:$H770))
</f>
        <v/>
      </c>
      <c r="I771" s="26"/>
      <c r="J771" s="26" t="s">
        <v>77</v>
      </c>
      <c r="L771" s="27" t="s">
        <v>77</v>
      </c>
      <c r="N771" s="28" t="s">
        <v>77</v>
      </c>
      <c r="Q771" s="30"/>
    </row>
    <row r="772">
      <c r="B772" s="6"/>
      <c r="C772" s="33" t="str">
        <f t="array" ref="C772">IF(B772="", "", XLOOKUP(B772, Inventory!D:D,Inventory!E:E,"No Name Found"))</f>
        <v/>
      </c>
      <c r="D772" s="6"/>
      <c r="E772" s="6"/>
      <c r="F772" s="6"/>
      <c r="G772" s="24" t="str">
        <f>IF(F772="", "", VLOOKUP(F772, Inventory!A:BZ, 3, FALSE) - SUMIF($F$1:$F771, F772, $H$1:$H771))
</f>
        <v/>
      </c>
      <c r="I772" s="26"/>
      <c r="J772" s="26" t="s">
        <v>77</v>
      </c>
      <c r="L772" s="27" t="s">
        <v>77</v>
      </c>
      <c r="N772" s="28" t="s">
        <v>77</v>
      </c>
      <c r="Q772" s="30"/>
    </row>
    <row r="773">
      <c r="B773" s="6"/>
      <c r="C773" s="33" t="str">
        <f t="array" ref="C773">IF(B773="", "", XLOOKUP(B773, Inventory!D:D,Inventory!E:E,"No Name Found"))</f>
        <v/>
      </c>
      <c r="D773" s="6"/>
      <c r="E773" s="6"/>
      <c r="F773" s="6"/>
      <c r="G773" s="24" t="str">
        <f>IF(F773="", "", VLOOKUP(F773, Inventory!A:BZ, 3, FALSE) - SUMIF($F$1:$F772, F773, $H$1:$H772))
</f>
        <v/>
      </c>
      <c r="I773" s="26"/>
      <c r="J773" s="26" t="s">
        <v>77</v>
      </c>
      <c r="L773" s="27" t="s">
        <v>77</v>
      </c>
      <c r="N773" s="28" t="s">
        <v>77</v>
      </c>
      <c r="Q773" s="30"/>
    </row>
    <row r="774">
      <c r="B774" s="6"/>
      <c r="C774" s="33" t="str">
        <f t="array" ref="C774">IF(B774="", "", XLOOKUP(B774, Inventory!D:D,Inventory!E:E,"No Name Found"))</f>
        <v/>
      </c>
      <c r="D774" s="6"/>
      <c r="E774" s="6"/>
      <c r="F774" s="6"/>
      <c r="G774" s="24" t="str">
        <f>IF(F774="", "", VLOOKUP(F774, Inventory!A:BZ, 3, FALSE) - SUMIF($F$1:$F773, F774, $H$1:$H773))
</f>
        <v/>
      </c>
      <c r="I774" s="26"/>
      <c r="J774" s="26" t="s">
        <v>77</v>
      </c>
      <c r="L774" s="27" t="s">
        <v>77</v>
      </c>
      <c r="N774" s="28" t="s">
        <v>77</v>
      </c>
      <c r="Q774" s="30"/>
    </row>
    <row r="775">
      <c r="B775" s="6"/>
      <c r="C775" s="33" t="str">
        <f t="array" ref="C775">IF(B775="", "", XLOOKUP(B775, Inventory!D:D,Inventory!E:E,"No Name Found"))</f>
        <v/>
      </c>
      <c r="D775" s="6"/>
      <c r="E775" s="6"/>
      <c r="F775" s="6"/>
      <c r="G775" s="24" t="str">
        <f>IF(F775="", "", VLOOKUP(F775, Inventory!A:BZ, 3, FALSE) - SUMIF($F$1:$F774, F775, $H$1:$H774))
</f>
        <v/>
      </c>
      <c r="I775" s="26"/>
      <c r="J775" s="26" t="s">
        <v>77</v>
      </c>
      <c r="L775" s="27" t="s">
        <v>77</v>
      </c>
      <c r="N775" s="28" t="s">
        <v>77</v>
      </c>
      <c r="Q775" s="30"/>
    </row>
    <row r="776">
      <c r="B776" s="6"/>
      <c r="C776" s="33" t="str">
        <f t="array" ref="C776">IF(B776="", "", XLOOKUP(B776, Inventory!D:D,Inventory!E:E,"No Name Found"))</f>
        <v/>
      </c>
      <c r="D776" s="6"/>
      <c r="E776" s="6"/>
      <c r="F776" s="6"/>
      <c r="G776" s="24" t="str">
        <f>IF(F776="", "", VLOOKUP(F776, Inventory!A:BZ, 3, FALSE) - SUMIF($F$1:$F775, F776, $H$1:$H775))
</f>
        <v/>
      </c>
      <c r="I776" s="26"/>
      <c r="J776" s="26" t="s">
        <v>77</v>
      </c>
      <c r="L776" s="27" t="s">
        <v>77</v>
      </c>
      <c r="N776" s="28" t="s">
        <v>77</v>
      </c>
      <c r="Q776" s="30"/>
    </row>
    <row r="777">
      <c r="B777" s="6"/>
      <c r="C777" s="33" t="str">
        <f t="array" ref="C777">IF(B777="", "", XLOOKUP(B777, Inventory!D:D,Inventory!E:E,"No Name Found"))</f>
        <v/>
      </c>
      <c r="D777" s="6"/>
      <c r="E777" s="6"/>
      <c r="F777" s="6"/>
      <c r="G777" s="24" t="str">
        <f>IF(F777="", "", VLOOKUP(F777, Inventory!A:BZ, 3, FALSE) - SUMIF($F$1:$F776, F777, $H$1:$H776))
</f>
        <v/>
      </c>
      <c r="I777" s="26"/>
      <c r="J777" s="26" t="s">
        <v>77</v>
      </c>
      <c r="L777" s="27" t="s">
        <v>77</v>
      </c>
      <c r="N777" s="28" t="s">
        <v>77</v>
      </c>
      <c r="Q777" s="30"/>
    </row>
    <row r="778">
      <c r="B778" s="6"/>
      <c r="C778" s="33" t="str">
        <f t="array" ref="C778">IF(B778="", "", XLOOKUP(B778, Inventory!D:D,Inventory!E:E,"No Name Found"))</f>
        <v/>
      </c>
      <c r="D778" s="6"/>
      <c r="E778" s="6"/>
      <c r="F778" s="6"/>
      <c r="G778" s="24" t="str">
        <f>IF(F778="", "", VLOOKUP(F778, Inventory!A:BZ, 3, FALSE) - SUMIF($F$1:$F777, F778, $H$1:$H777))
</f>
        <v/>
      </c>
      <c r="I778" s="26"/>
      <c r="J778" s="26" t="s">
        <v>77</v>
      </c>
      <c r="L778" s="27" t="s">
        <v>77</v>
      </c>
      <c r="N778" s="28" t="s">
        <v>77</v>
      </c>
      <c r="Q778" s="30"/>
    </row>
    <row r="779">
      <c r="B779" s="6"/>
      <c r="C779" s="33" t="str">
        <f t="array" ref="C779">IF(B779="", "", XLOOKUP(B779, Inventory!D:D,Inventory!E:E,"No Name Found"))</f>
        <v/>
      </c>
      <c r="D779" s="6"/>
      <c r="E779" s="6"/>
      <c r="F779" s="6"/>
      <c r="G779" s="24" t="str">
        <f>IF(F779="", "", VLOOKUP(F779, Inventory!A:BZ, 3, FALSE) - SUMIF($F$1:$F778, F779, $H$1:$H778))
</f>
        <v/>
      </c>
      <c r="I779" s="26"/>
      <c r="J779" s="26" t="s">
        <v>77</v>
      </c>
      <c r="L779" s="27" t="s">
        <v>77</v>
      </c>
      <c r="N779" s="28" t="s">
        <v>77</v>
      </c>
      <c r="Q779" s="30"/>
    </row>
    <row r="780">
      <c r="B780" s="6"/>
      <c r="C780" s="33" t="str">
        <f t="array" ref="C780">IF(B780="", "", XLOOKUP(B780, Inventory!D:D,Inventory!E:E,"No Name Found"))</f>
        <v/>
      </c>
      <c r="D780" s="6"/>
      <c r="E780" s="6"/>
      <c r="F780" s="6"/>
      <c r="G780" s="24" t="str">
        <f>IF(F780="", "", VLOOKUP(F780, Inventory!A:BZ, 3, FALSE) - SUMIF($F$1:$F779, F780, $H$1:$H779))
</f>
        <v/>
      </c>
      <c r="I780" s="26"/>
      <c r="J780" s="26" t="s">
        <v>77</v>
      </c>
      <c r="L780" s="27" t="s">
        <v>77</v>
      </c>
      <c r="N780" s="28" t="s">
        <v>77</v>
      </c>
      <c r="Q780" s="30"/>
    </row>
    <row r="781">
      <c r="B781" s="6"/>
      <c r="C781" s="33" t="str">
        <f t="array" ref="C781">IF(B781="", "", XLOOKUP(B781, Inventory!D:D,Inventory!E:E,"No Name Found"))</f>
        <v/>
      </c>
      <c r="D781" s="6"/>
      <c r="E781" s="6"/>
      <c r="F781" s="6"/>
      <c r="G781" s="24" t="str">
        <f>IF(F781="", "", VLOOKUP(F781, Inventory!A:BZ, 3, FALSE) - SUMIF($F$1:$F780, F781, $H$1:$H780))
</f>
        <v/>
      </c>
      <c r="I781" s="26"/>
      <c r="J781" s="26" t="s">
        <v>77</v>
      </c>
      <c r="L781" s="27" t="s">
        <v>77</v>
      </c>
      <c r="N781" s="28" t="s">
        <v>77</v>
      </c>
      <c r="Q781" s="30"/>
    </row>
    <row r="782">
      <c r="B782" s="6"/>
      <c r="C782" s="33" t="str">
        <f t="array" ref="C782">IF(B782="", "", XLOOKUP(B782, Inventory!D:D,Inventory!E:E,"No Name Found"))</f>
        <v/>
      </c>
      <c r="D782" s="6"/>
      <c r="E782" s="6"/>
      <c r="F782" s="6"/>
      <c r="G782" s="24" t="str">
        <f>IF(F782="", "", VLOOKUP(F782, Inventory!A:BZ, 3, FALSE) - SUMIF($F$1:$F781, F782, $H$1:$H781))
</f>
        <v/>
      </c>
      <c r="I782" s="26"/>
      <c r="J782" s="26" t="s">
        <v>77</v>
      </c>
      <c r="L782" s="27" t="s">
        <v>77</v>
      </c>
      <c r="N782" s="28" t="s">
        <v>77</v>
      </c>
      <c r="Q782" s="30"/>
    </row>
    <row r="783">
      <c r="B783" s="6"/>
      <c r="C783" s="33" t="str">
        <f t="array" ref="C783">IF(B783="", "", XLOOKUP(B783, Inventory!D:D,Inventory!E:E,"No Name Found"))</f>
        <v/>
      </c>
      <c r="D783" s="6"/>
      <c r="E783" s="6"/>
      <c r="F783" s="6"/>
      <c r="G783" s="24" t="str">
        <f>IF(F783="", "", VLOOKUP(F783, Inventory!A:BZ, 3, FALSE) - SUMIF($F$1:$F782, F783, $H$1:$H782))
</f>
        <v/>
      </c>
      <c r="I783" s="26"/>
      <c r="J783" s="26" t="s">
        <v>77</v>
      </c>
      <c r="L783" s="27" t="s">
        <v>77</v>
      </c>
      <c r="N783" s="28" t="s">
        <v>77</v>
      </c>
      <c r="Q783" s="30"/>
    </row>
    <row r="784">
      <c r="B784" s="6"/>
      <c r="C784" s="33" t="str">
        <f t="array" ref="C784">IF(B784="", "", XLOOKUP(B784, Inventory!D:D,Inventory!E:E,"No Name Found"))</f>
        <v/>
      </c>
      <c r="D784" s="6"/>
      <c r="E784" s="6"/>
      <c r="F784" s="6"/>
      <c r="G784" s="24" t="str">
        <f>IF(F784="", "", VLOOKUP(F784, Inventory!A:BZ, 3, FALSE) - SUMIF($F$1:$F783, F784, $H$1:$H783))
</f>
        <v/>
      </c>
      <c r="I784" s="26"/>
      <c r="J784" s="26" t="s">
        <v>77</v>
      </c>
      <c r="L784" s="27" t="s">
        <v>77</v>
      </c>
      <c r="N784" s="28" t="s">
        <v>77</v>
      </c>
      <c r="Q784" s="30"/>
    </row>
    <row r="785">
      <c r="B785" s="6"/>
      <c r="C785" s="33" t="str">
        <f t="array" ref="C785">IF(B785="", "", XLOOKUP(B785, Inventory!D:D,Inventory!E:E,"No Name Found"))</f>
        <v/>
      </c>
      <c r="D785" s="6"/>
      <c r="E785" s="6"/>
      <c r="F785" s="6"/>
      <c r="G785" s="24" t="str">
        <f>IF(F785="", "", VLOOKUP(F785, Inventory!A:BZ, 3, FALSE) - SUMIF($F$1:$F784, F785, $H$1:$H784))
</f>
        <v/>
      </c>
      <c r="I785" s="26"/>
      <c r="J785" s="26" t="s">
        <v>77</v>
      </c>
      <c r="L785" s="27" t="s">
        <v>77</v>
      </c>
      <c r="N785" s="28" t="s">
        <v>77</v>
      </c>
      <c r="Q785" s="30"/>
    </row>
    <row r="786">
      <c r="B786" s="6"/>
      <c r="C786" s="33" t="str">
        <f t="array" ref="C786">IF(B786="", "", XLOOKUP(B786, Inventory!D:D,Inventory!E:E,"No Name Found"))</f>
        <v/>
      </c>
      <c r="D786" s="6"/>
      <c r="E786" s="6"/>
      <c r="F786" s="6"/>
      <c r="G786" s="24" t="str">
        <f>IF(F786="", "", VLOOKUP(F786, Inventory!A:BZ, 3, FALSE) - SUMIF($F$1:$F785, F786, $H$1:$H785))
</f>
        <v/>
      </c>
      <c r="I786" s="26"/>
      <c r="J786" s="26" t="s">
        <v>77</v>
      </c>
      <c r="L786" s="27" t="s">
        <v>77</v>
      </c>
      <c r="N786" s="28" t="s">
        <v>77</v>
      </c>
      <c r="Q786" s="30"/>
    </row>
    <row r="787">
      <c r="B787" s="6"/>
      <c r="C787" s="33" t="str">
        <f t="array" ref="C787">IF(B787="", "", XLOOKUP(B787, Inventory!D:D,Inventory!E:E,"No Name Found"))</f>
        <v/>
      </c>
      <c r="D787" s="6"/>
      <c r="E787" s="6"/>
      <c r="F787" s="6"/>
      <c r="G787" s="24" t="str">
        <f>IF(F787="", "", VLOOKUP(F787, Inventory!A:BZ, 3, FALSE) - SUMIF($F$1:$F786, F787, $H$1:$H786))
</f>
        <v/>
      </c>
      <c r="I787" s="26"/>
      <c r="J787" s="26" t="s">
        <v>77</v>
      </c>
      <c r="L787" s="27" t="s">
        <v>77</v>
      </c>
      <c r="N787" s="28" t="s">
        <v>77</v>
      </c>
      <c r="Q787" s="30"/>
    </row>
    <row r="788">
      <c r="B788" s="6"/>
      <c r="C788" s="33" t="str">
        <f t="array" ref="C788">IF(B788="", "", XLOOKUP(B788, Inventory!D:D,Inventory!E:E,"No Name Found"))</f>
        <v/>
      </c>
      <c r="D788" s="6"/>
      <c r="E788" s="6"/>
      <c r="F788" s="6"/>
      <c r="G788" s="24" t="str">
        <f>IF(F788="", "", VLOOKUP(F788, Inventory!A:BZ, 3, FALSE) - SUMIF($F$1:$F787, F788, $H$1:$H787))
</f>
        <v/>
      </c>
      <c r="I788" s="26"/>
      <c r="J788" s="26" t="s">
        <v>77</v>
      </c>
      <c r="L788" s="27" t="s">
        <v>77</v>
      </c>
      <c r="N788" s="28" t="s">
        <v>77</v>
      </c>
      <c r="Q788" s="30"/>
    </row>
    <row r="789">
      <c r="B789" s="6"/>
      <c r="C789" s="33" t="str">
        <f t="array" ref="C789">IF(B789="", "", XLOOKUP(B789, Inventory!D:D,Inventory!E:E,"No Name Found"))</f>
        <v/>
      </c>
      <c r="D789" s="6"/>
      <c r="E789" s="6"/>
      <c r="F789" s="6"/>
      <c r="G789" s="24" t="str">
        <f>IF(F789="", "", VLOOKUP(F789, Inventory!A:BZ, 3, FALSE) - SUMIF($F$1:$F788, F789, $H$1:$H788))
</f>
        <v/>
      </c>
      <c r="I789" s="26"/>
      <c r="J789" s="26" t="s">
        <v>77</v>
      </c>
      <c r="L789" s="27" t="s">
        <v>77</v>
      </c>
      <c r="N789" s="28" t="s">
        <v>77</v>
      </c>
      <c r="Q789" s="30"/>
    </row>
    <row r="790">
      <c r="B790" s="6"/>
      <c r="C790" s="33" t="str">
        <f t="array" ref="C790">IF(B790="", "", XLOOKUP(B790, Inventory!D:D,Inventory!E:E,"No Name Found"))</f>
        <v/>
      </c>
      <c r="D790" s="6"/>
      <c r="E790" s="6"/>
      <c r="F790" s="6"/>
      <c r="G790" s="24" t="str">
        <f>IF(F790="", "", VLOOKUP(F790, Inventory!A:BZ, 3, FALSE) - SUMIF($F$1:$F789, F790, $H$1:$H789))
</f>
        <v/>
      </c>
      <c r="I790" s="26"/>
      <c r="J790" s="26" t="s">
        <v>77</v>
      </c>
      <c r="L790" s="27" t="s">
        <v>77</v>
      </c>
      <c r="N790" s="28" t="s">
        <v>77</v>
      </c>
      <c r="Q790" s="30"/>
    </row>
    <row r="791">
      <c r="B791" s="6"/>
      <c r="C791" s="33" t="str">
        <f t="array" ref="C791">IF(B791="", "", XLOOKUP(B791, Inventory!D:D,Inventory!E:E,"No Name Found"))</f>
        <v/>
      </c>
      <c r="D791" s="6"/>
      <c r="E791" s="6"/>
      <c r="F791" s="6"/>
      <c r="G791" s="24" t="str">
        <f>IF(F791="", "", VLOOKUP(F791, Inventory!A:BZ, 3, FALSE) - SUMIF($F$1:$F790, F791, $H$1:$H790))
</f>
        <v/>
      </c>
      <c r="I791" s="26"/>
      <c r="J791" s="26" t="s">
        <v>77</v>
      </c>
      <c r="L791" s="27" t="s">
        <v>77</v>
      </c>
      <c r="N791" s="28" t="s">
        <v>77</v>
      </c>
      <c r="Q791" s="30"/>
    </row>
    <row r="792">
      <c r="B792" s="6"/>
      <c r="C792" s="33" t="str">
        <f t="array" ref="C792">IF(B792="", "", XLOOKUP(B792, Inventory!D:D,Inventory!E:E,"No Name Found"))</f>
        <v/>
      </c>
      <c r="D792" s="6"/>
      <c r="E792" s="6"/>
      <c r="F792" s="6"/>
      <c r="G792" s="24" t="str">
        <f>IF(F792="", "", VLOOKUP(F792, Inventory!A:BZ, 3, FALSE) - SUMIF($F$1:$F791, F792, $H$1:$H791))
</f>
        <v/>
      </c>
      <c r="I792" s="26"/>
      <c r="J792" s="26" t="s">
        <v>77</v>
      </c>
      <c r="L792" s="27" t="s">
        <v>77</v>
      </c>
      <c r="N792" s="28" t="s">
        <v>77</v>
      </c>
      <c r="Q792" s="30"/>
    </row>
    <row r="793">
      <c r="B793" s="6"/>
      <c r="C793" s="33" t="str">
        <f t="array" ref="C793">IF(B793="", "", XLOOKUP(B793, Inventory!D:D,Inventory!E:E,"No Name Found"))</f>
        <v/>
      </c>
      <c r="D793" s="6"/>
      <c r="E793" s="6"/>
      <c r="F793" s="6"/>
      <c r="G793" s="24" t="str">
        <f>IF(F793="", "", VLOOKUP(F793, Inventory!A:BZ, 3, FALSE) - SUMIF($F$1:$F792, F793, $H$1:$H792))
</f>
        <v/>
      </c>
      <c r="I793" s="26"/>
      <c r="J793" s="26" t="s">
        <v>77</v>
      </c>
      <c r="L793" s="27" t="s">
        <v>77</v>
      </c>
      <c r="N793" s="28" t="s">
        <v>77</v>
      </c>
      <c r="Q793" s="30"/>
    </row>
    <row r="794">
      <c r="B794" s="6"/>
      <c r="C794" s="33" t="str">
        <f t="array" ref="C794">IF(B794="", "", XLOOKUP(B794, Inventory!D:D,Inventory!E:E,"No Name Found"))</f>
        <v/>
      </c>
      <c r="D794" s="6"/>
      <c r="E794" s="6"/>
      <c r="F794" s="6"/>
      <c r="G794" s="24" t="str">
        <f>IF(F794="", "", VLOOKUP(F794, Inventory!A:BZ, 3, FALSE) - SUMIF($F$1:$F793, F794, $H$1:$H793))
</f>
        <v/>
      </c>
      <c r="I794" s="26"/>
      <c r="J794" s="26" t="s">
        <v>77</v>
      </c>
      <c r="L794" s="27" t="s">
        <v>77</v>
      </c>
      <c r="N794" s="28" t="s">
        <v>77</v>
      </c>
      <c r="Q794" s="30"/>
    </row>
    <row r="795">
      <c r="B795" s="6"/>
      <c r="C795" s="33" t="str">
        <f t="array" ref="C795">IF(B795="", "", XLOOKUP(B795, Inventory!D:D,Inventory!E:E,"No Name Found"))</f>
        <v/>
      </c>
      <c r="D795" s="6"/>
      <c r="E795" s="6"/>
      <c r="F795" s="6"/>
      <c r="G795" s="24" t="str">
        <f>IF(F795="", "", VLOOKUP(F795, Inventory!A:BZ, 3, FALSE) - SUMIF($F$1:$F794, F795, $H$1:$H794))
</f>
        <v/>
      </c>
      <c r="I795" s="26"/>
      <c r="J795" s="26" t="s">
        <v>77</v>
      </c>
      <c r="L795" s="27" t="s">
        <v>77</v>
      </c>
      <c r="N795" s="28" t="s">
        <v>77</v>
      </c>
      <c r="Q795" s="30"/>
    </row>
    <row r="796">
      <c r="B796" s="6"/>
      <c r="C796" s="33" t="str">
        <f t="array" ref="C796">IF(B796="", "", XLOOKUP(B796, Inventory!D:D,Inventory!E:E,"No Name Found"))</f>
        <v/>
      </c>
      <c r="D796" s="6"/>
      <c r="E796" s="6"/>
      <c r="F796" s="6"/>
      <c r="G796" s="24" t="str">
        <f>IF(F796="", "", VLOOKUP(F796, Inventory!A:BZ, 3, FALSE) - SUMIF($F$1:$F795, F796, $H$1:$H795))
</f>
        <v/>
      </c>
      <c r="I796" s="26"/>
      <c r="J796" s="26" t="s">
        <v>77</v>
      </c>
      <c r="L796" s="27" t="s">
        <v>77</v>
      </c>
      <c r="N796" s="28" t="s">
        <v>77</v>
      </c>
      <c r="Q796" s="30"/>
    </row>
    <row r="797">
      <c r="B797" s="6"/>
      <c r="C797" s="33" t="str">
        <f t="array" ref="C797">IF(B797="", "", XLOOKUP(B797, Inventory!D:D,Inventory!E:E,"No Name Found"))</f>
        <v/>
      </c>
      <c r="D797" s="6"/>
      <c r="E797" s="6"/>
      <c r="F797" s="6"/>
      <c r="G797" s="24" t="str">
        <f>IF(F797="", "", VLOOKUP(F797, Inventory!A:BZ, 3, FALSE) - SUMIF($F$1:$F796, F797, $H$1:$H796))
</f>
        <v/>
      </c>
      <c r="I797" s="26"/>
      <c r="J797" s="26" t="s">
        <v>77</v>
      </c>
      <c r="L797" s="27" t="s">
        <v>77</v>
      </c>
      <c r="N797" s="28" t="s">
        <v>77</v>
      </c>
      <c r="Q797" s="30"/>
    </row>
    <row r="798">
      <c r="B798" s="6"/>
      <c r="C798" s="33" t="str">
        <f t="array" ref="C798">IF(B798="", "", XLOOKUP(B798, Inventory!D:D,Inventory!E:E,"No Name Found"))</f>
        <v/>
      </c>
      <c r="D798" s="6"/>
      <c r="E798" s="6"/>
      <c r="F798" s="6"/>
      <c r="G798" s="24" t="str">
        <f>IF(F798="", "", VLOOKUP(F798, Inventory!A:BZ, 3, FALSE) - SUMIF($F$1:$F797, F798, $H$1:$H797))
</f>
        <v/>
      </c>
      <c r="I798" s="26"/>
      <c r="J798" s="26" t="s">
        <v>77</v>
      </c>
      <c r="L798" s="27" t="s">
        <v>77</v>
      </c>
      <c r="N798" s="28" t="s">
        <v>77</v>
      </c>
      <c r="Q798" s="30"/>
    </row>
    <row r="799">
      <c r="B799" s="6"/>
      <c r="C799" s="33" t="str">
        <f t="array" ref="C799">IF(B799="", "", XLOOKUP(B799, Inventory!D:D,Inventory!E:E,"No Name Found"))</f>
        <v/>
      </c>
      <c r="D799" s="6"/>
      <c r="E799" s="6"/>
      <c r="F799" s="6"/>
      <c r="G799" s="24" t="str">
        <f>IF(F799="", "", VLOOKUP(F799, Inventory!A:BZ, 3, FALSE) - SUMIF($F$1:$F798, F799, $H$1:$H798))
</f>
        <v/>
      </c>
      <c r="I799" s="26"/>
      <c r="J799" s="26" t="s">
        <v>77</v>
      </c>
      <c r="L799" s="27" t="s">
        <v>77</v>
      </c>
      <c r="N799" s="28" t="s">
        <v>77</v>
      </c>
      <c r="Q799" s="30"/>
    </row>
    <row r="800">
      <c r="B800" s="6"/>
      <c r="C800" s="33" t="str">
        <f t="array" ref="C800">IF(B800="", "", XLOOKUP(B800, Inventory!D:D,Inventory!E:E,"No Name Found"))</f>
        <v/>
      </c>
      <c r="D800" s="6"/>
      <c r="E800" s="6"/>
      <c r="F800" s="6"/>
      <c r="G800" s="24" t="str">
        <f>IF(F800="", "", VLOOKUP(F800, Inventory!A:BZ, 3, FALSE) - SUMIF($F$1:$F799, F800, $H$1:$H799))
</f>
        <v/>
      </c>
      <c r="I800" s="26"/>
      <c r="J800" s="26" t="s">
        <v>77</v>
      </c>
      <c r="L800" s="27" t="s">
        <v>77</v>
      </c>
      <c r="N800" s="28" t="s">
        <v>77</v>
      </c>
      <c r="Q800" s="30"/>
    </row>
    <row r="801">
      <c r="B801" s="6"/>
      <c r="C801" s="33" t="str">
        <f t="array" ref="C801">IF(B801="", "", XLOOKUP(B801, Inventory!D:D,Inventory!E:E,"No Name Found"))</f>
        <v/>
      </c>
      <c r="D801" s="6"/>
      <c r="E801" s="6"/>
      <c r="F801" s="6"/>
      <c r="G801" s="24" t="str">
        <f>IF(F801="", "", VLOOKUP(F801, Inventory!A:BZ, 3, FALSE) - SUMIF($F$1:$F800, F801, $H$1:$H800))
</f>
        <v/>
      </c>
      <c r="I801" s="26"/>
      <c r="J801" s="26" t="s">
        <v>77</v>
      </c>
      <c r="L801" s="27" t="s">
        <v>77</v>
      </c>
      <c r="N801" s="28" t="s">
        <v>77</v>
      </c>
      <c r="Q801" s="30"/>
    </row>
    <row r="802">
      <c r="B802" s="6"/>
      <c r="C802" s="33" t="str">
        <f t="array" ref="C802">IF(B802="", "", XLOOKUP(B802, Inventory!D:D,Inventory!E:E,"No Name Found"))</f>
        <v/>
      </c>
      <c r="D802" s="6"/>
      <c r="E802" s="6"/>
      <c r="F802" s="6"/>
      <c r="G802" s="24" t="str">
        <f>IF(F802="", "", VLOOKUP(F802, Inventory!A:BZ, 3, FALSE) - SUMIF($F$1:$F801, F802, $H$1:$H801))
</f>
        <v/>
      </c>
      <c r="I802" s="26"/>
      <c r="J802" s="26" t="s">
        <v>77</v>
      </c>
      <c r="L802" s="27" t="s">
        <v>77</v>
      </c>
      <c r="N802" s="28" t="s">
        <v>77</v>
      </c>
      <c r="Q802" s="30"/>
    </row>
    <row r="803">
      <c r="B803" s="6"/>
      <c r="C803" s="33" t="str">
        <f t="array" ref="C803">IF(B803="", "", XLOOKUP(B803, Inventory!D:D,Inventory!E:E,"No Name Found"))</f>
        <v/>
      </c>
      <c r="D803" s="6"/>
      <c r="E803" s="6"/>
      <c r="F803" s="6"/>
      <c r="G803" s="24" t="str">
        <f>IF(F803="", "", VLOOKUP(F803, Inventory!A:BZ, 3, FALSE) - SUMIF($F$1:$F802, F803, $H$1:$H802))
</f>
        <v/>
      </c>
      <c r="I803" s="26"/>
      <c r="J803" s="26" t="s">
        <v>77</v>
      </c>
      <c r="L803" s="27" t="s">
        <v>77</v>
      </c>
      <c r="N803" s="28" t="s">
        <v>77</v>
      </c>
      <c r="Q803" s="30"/>
    </row>
    <row r="804">
      <c r="B804" s="6"/>
      <c r="C804" s="33" t="str">
        <f t="array" ref="C804">IF(B804="", "", XLOOKUP(B804, Inventory!D:D,Inventory!E:E,"No Name Found"))</f>
        <v/>
      </c>
      <c r="D804" s="6"/>
      <c r="E804" s="6"/>
      <c r="F804" s="6"/>
      <c r="G804" s="24" t="str">
        <f>IF(F804="", "", VLOOKUP(F804, Inventory!A:BZ, 3, FALSE) - SUMIF($F$1:$F803, F804, $H$1:$H803))
</f>
        <v/>
      </c>
      <c r="I804" s="26"/>
      <c r="J804" s="26" t="s">
        <v>77</v>
      </c>
      <c r="L804" s="27" t="s">
        <v>77</v>
      </c>
      <c r="N804" s="28" t="s">
        <v>77</v>
      </c>
      <c r="Q804" s="30"/>
    </row>
    <row r="805">
      <c r="B805" s="6"/>
      <c r="C805" s="33" t="str">
        <f t="array" ref="C805">IF(B805="", "", XLOOKUP(B805, Inventory!D:D,Inventory!E:E,"No Name Found"))</f>
        <v/>
      </c>
      <c r="D805" s="6"/>
      <c r="E805" s="6"/>
      <c r="F805" s="6"/>
      <c r="G805" s="24" t="str">
        <f>IF(F805="", "", VLOOKUP(F805, Inventory!A:BZ, 3, FALSE) - SUMIF($F$1:$F804, F805, $H$1:$H804))
</f>
        <v/>
      </c>
      <c r="I805" s="26"/>
      <c r="J805" s="26" t="s">
        <v>77</v>
      </c>
      <c r="L805" s="27" t="s">
        <v>77</v>
      </c>
      <c r="N805" s="28" t="s">
        <v>77</v>
      </c>
      <c r="Q805" s="30"/>
    </row>
    <row r="806">
      <c r="B806" s="6"/>
      <c r="C806" s="33" t="str">
        <f t="array" ref="C806">IF(B806="", "", XLOOKUP(B806, Inventory!D:D,Inventory!E:E,"No Name Found"))</f>
        <v/>
      </c>
      <c r="D806" s="6"/>
      <c r="E806" s="6"/>
      <c r="F806" s="6"/>
      <c r="G806" s="24" t="str">
        <f>IF(F806="", "", VLOOKUP(F806, Inventory!A:BZ, 3, FALSE) - SUMIF($F$1:$F805, F806, $H$1:$H805))
</f>
        <v/>
      </c>
      <c r="I806" s="26"/>
      <c r="J806" s="26" t="s">
        <v>77</v>
      </c>
      <c r="L806" s="27" t="s">
        <v>77</v>
      </c>
      <c r="N806" s="28" t="s">
        <v>77</v>
      </c>
      <c r="Q806" s="30"/>
    </row>
    <row r="807">
      <c r="B807" s="6"/>
      <c r="C807" s="33" t="str">
        <f t="array" ref="C807">IF(B807="", "", XLOOKUP(B807, Inventory!D:D,Inventory!E:E,"No Name Found"))</f>
        <v/>
      </c>
      <c r="D807" s="6"/>
      <c r="E807" s="6"/>
      <c r="F807" s="6"/>
      <c r="G807" s="24" t="str">
        <f>IF(F807="", "", VLOOKUP(F807, Inventory!A:BZ, 3, FALSE) - SUMIF($F$1:$F806, F807, $H$1:$H806))
</f>
        <v/>
      </c>
      <c r="I807" s="26"/>
      <c r="J807" s="26" t="s">
        <v>77</v>
      </c>
      <c r="L807" s="27" t="s">
        <v>77</v>
      </c>
      <c r="N807" s="28" t="s">
        <v>77</v>
      </c>
      <c r="Q807" s="30"/>
    </row>
    <row r="808">
      <c r="B808" s="6"/>
      <c r="C808" s="33" t="str">
        <f t="array" ref="C808">IF(B808="", "", XLOOKUP(B808, Inventory!D:D,Inventory!E:E,"No Name Found"))</f>
        <v/>
      </c>
      <c r="D808" s="6"/>
      <c r="E808" s="6"/>
      <c r="F808" s="6"/>
      <c r="G808" s="24" t="str">
        <f>IF(F808="", "", VLOOKUP(F808, Inventory!A:BZ, 3, FALSE) - SUMIF($F$1:$F807, F808, $H$1:$H807))
</f>
        <v/>
      </c>
      <c r="I808" s="26"/>
      <c r="J808" s="26" t="s">
        <v>77</v>
      </c>
      <c r="L808" s="27" t="s">
        <v>77</v>
      </c>
      <c r="N808" s="28" t="s">
        <v>77</v>
      </c>
      <c r="Q808" s="30"/>
    </row>
    <row r="809">
      <c r="B809" s="6"/>
      <c r="C809" s="33" t="str">
        <f t="array" ref="C809">IF(B809="", "", XLOOKUP(B809, Inventory!D:D,Inventory!E:E,"No Name Found"))</f>
        <v/>
      </c>
      <c r="D809" s="6"/>
      <c r="E809" s="6"/>
      <c r="F809" s="6"/>
      <c r="G809" s="24" t="str">
        <f>IF(F809="", "", VLOOKUP(F809, Inventory!A:BZ, 3, FALSE) - SUMIF($F$1:$F808, F809, $H$1:$H808))
</f>
        <v/>
      </c>
      <c r="I809" s="26"/>
      <c r="J809" s="26" t="s">
        <v>77</v>
      </c>
      <c r="L809" s="27" t="s">
        <v>77</v>
      </c>
      <c r="N809" s="28" t="s">
        <v>77</v>
      </c>
      <c r="Q809" s="30"/>
    </row>
    <row r="810">
      <c r="B810" s="6"/>
      <c r="C810" s="33" t="str">
        <f t="array" ref="C810">IF(B810="", "", XLOOKUP(B810, Inventory!D:D,Inventory!E:E,"No Name Found"))</f>
        <v/>
      </c>
      <c r="D810" s="6"/>
      <c r="E810" s="6"/>
      <c r="F810" s="6"/>
      <c r="G810" s="24" t="str">
        <f>IF(F810="", "", VLOOKUP(F810, Inventory!A:BZ, 3, FALSE) - SUMIF($F$1:$F809, F810, $H$1:$H809))
</f>
        <v/>
      </c>
      <c r="I810" s="26"/>
      <c r="J810" s="26" t="s">
        <v>77</v>
      </c>
      <c r="L810" s="27" t="s">
        <v>77</v>
      </c>
      <c r="N810" s="28" t="s">
        <v>77</v>
      </c>
      <c r="Q810" s="30"/>
    </row>
    <row r="811">
      <c r="B811" s="6"/>
      <c r="C811" s="33" t="str">
        <f t="array" ref="C811">IF(B811="", "", XLOOKUP(B811, Inventory!D:D,Inventory!E:E,"No Name Found"))</f>
        <v/>
      </c>
      <c r="D811" s="6"/>
      <c r="E811" s="6"/>
      <c r="F811" s="6"/>
      <c r="G811" s="24" t="str">
        <f>IF(F811="", "", VLOOKUP(F811, Inventory!A:BZ, 3, FALSE) - SUMIF($F$1:$F810, F811, $H$1:$H810))
</f>
        <v/>
      </c>
      <c r="I811" s="26"/>
      <c r="J811" s="26" t="s">
        <v>77</v>
      </c>
      <c r="L811" s="27" t="s">
        <v>77</v>
      </c>
      <c r="N811" s="28" t="s">
        <v>77</v>
      </c>
      <c r="Q811" s="30"/>
    </row>
    <row r="812">
      <c r="B812" s="6"/>
      <c r="C812" s="33" t="str">
        <f t="array" ref="C812">IF(B812="", "", XLOOKUP(B812, Inventory!D:D,Inventory!E:E,"No Name Found"))</f>
        <v/>
      </c>
      <c r="D812" s="6"/>
      <c r="E812" s="6"/>
      <c r="F812" s="6"/>
      <c r="G812" s="24" t="str">
        <f>IF(F812="", "", VLOOKUP(F812, Inventory!A:BZ, 3, FALSE) - SUMIF($F$1:$F811, F812, $H$1:$H811))
</f>
        <v/>
      </c>
      <c r="I812" s="26"/>
      <c r="J812" s="26" t="s">
        <v>77</v>
      </c>
      <c r="L812" s="27" t="s">
        <v>77</v>
      </c>
      <c r="N812" s="28" t="s">
        <v>77</v>
      </c>
      <c r="Q812" s="30"/>
    </row>
    <row r="813">
      <c r="B813" s="6"/>
      <c r="C813" s="33" t="str">
        <f t="array" ref="C813">IF(B813="", "", XLOOKUP(B813, Inventory!D:D,Inventory!E:E,"No Name Found"))</f>
        <v/>
      </c>
      <c r="D813" s="6"/>
      <c r="E813" s="6"/>
      <c r="F813" s="6"/>
      <c r="G813" s="24" t="str">
        <f>IF(F813="", "", VLOOKUP(F813, Inventory!A:BZ, 3, FALSE) - SUMIF($F$1:$F812, F813, $H$1:$H812))
</f>
        <v/>
      </c>
      <c r="I813" s="26"/>
      <c r="J813" s="26" t="s">
        <v>77</v>
      </c>
      <c r="L813" s="27" t="s">
        <v>77</v>
      </c>
      <c r="N813" s="28" t="s">
        <v>77</v>
      </c>
      <c r="Q813" s="30"/>
    </row>
    <row r="814">
      <c r="B814" s="6"/>
      <c r="C814" s="33" t="str">
        <f t="array" ref="C814">IF(B814="", "", XLOOKUP(B814, Inventory!D:D,Inventory!E:E,"No Name Found"))</f>
        <v/>
      </c>
      <c r="D814" s="6"/>
      <c r="E814" s="6"/>
      <c r="F814" s="6"/>
      <c r="G814" s="24" t="str">
        <f>IF(F814="", "", VLOOKUP(F814, Inventory!A:BZ, 3, FALSE) - SUMIF($F$1:$F813, F814, $H$1:$H813))
</f>
        <v/>
      </c>
      <c r="I814" s="26"/>
      <c r="J814" s="26" t="s">
        <v>77</v>
      </c>
      <c r="L814" s="27" t="s">
        <v>77</v>
      </c>
      <c r="N814" s="28" t="s">
        <v>77</v>
      </c>
      <c r="Q814" s="30"/>
    </row>
    <row r="815">
      <c r="B815" s="6"/>
      <c r="C815" s="33" t="str">
        <f t="array" ref="C815">IF(B815="", "", XLOOKUP(B815, Inventory!D:D,Inventory!E:E,"No Name Found"))</f>
        <v/>
      </c>
      <c r="D815" s="6"/>
      <c r="E815" s="6"/>
      <c r="F815" s="6"/>
      <c r="G815" s="24" t="str">
        <f>IF(F815="", "", VLOOKUP(F815, Inventory!A:BZ, 3, FALSE) - SUMIF($F$1:$F814, F815, $H$1:$H814))
</f>
        <v/>
      </c>
      <c r="I815" s="26"/>
      <c r="J815" s="26" t="s">
        <v>77</v>
      </c>
      <c r="L815" s="27" t="s">
        <v>77</v>
      </c>
      <c r="N815" s="28" t="s">
        <v>77</v>
      </c>
      <c r="Q815" s="30"/>
    </row>
    <row r="816">
      <c r="B816" s="6"/>
      <c r="C816" s="33" t="str">
        <f t="array" ref="C816">IF(B816="", "", XLOOKUP(B816, Inventory!D:D,Inventory!E:E,"No Name Found"))</f>
        <v/>
      </c>
      <c r="D816" s="6"/>
      <c r="E816" s="6"/>
      <c r="F816" s="6"/>
      <c r="G816" s="24" t="str">
        <f>IF(F816="", "", VLOOKUP(F816, Inventory!A:BZ, 3, FALSE) - SUMIF($F$1:$F815, F816, $H$1:$H815))
</f>
        <v/>
      </c>
      <c r="I816" s="26"/>
      <c r="J816" s="26" t="s">
        <v>77</v>
      </c>
      <c r="L816" s="27" t="s">
        <v>77</v>
      </c>
      <c r="N816" s="28" t="s">
        <v>77</v>
      </c>
      <c r="Q816" s="30"/>
    </row>
    <row r="817">
      <c r="B817" s="6"/>
      <c r="C817" s="33" t="str">
        <f t="array" ref="C817">IF(B817="", "", XLOOKUP(B817, Inventory!D:D,Inventory!E:E,"No Name Found"))</f>
        <v/>
      </c>
      <c r="D817" s="6"/>
      <c r="E817" s="6"/>
      <c r="F817" s="6"/>
      <c r="G817" s="24" t="str">
        <f>IF(F817="", "", VLOOKUP(F817, Inventory!A:BZ, 3, FALSE) - SUMIF($F$1:$F816, F817, $H$1:$H816))
</f>
        <v/>
      </c>
      <c r="I817" s="26"/>
      <c r="J817" s="26" t="s">
        <v>77</v>
      </c>
      <c r="L817" s="27" t="s">
        <v>77</v>
      </c>
      <c r="N817" s="28" t="s">
        <v>77</v>
      </c>
      <c r="Q817" s="30"/>
    </row>
    <row r="818">
      <c r="B818" s="6"/>
      <c r="C818" s="33" t="str">
        <f t="array" ref="C818">IF(B818="", "", XLOOKUP(B818, Inventory!D:D,Inventory!E:E,"No Name Found"))</f>
        <v/>
      </c>
      <c r="D818" s="6"/>
      <c r="E818" s="6"/>
      <c r="F818" s="6"/>
      <c r="G818" s="24" t="str">
        <f>IF(F818="", "", VLOOKUP(F818, Inventory!A:BZ, 3, FALSE) - SUMIF($F$1:$F817, F818, $H$1:$H817))
</f>
        <v/>
      </c>
      <c r="I818" s="26"/>
      <c r="J818" s="26" t="s">
        <v>77</v>
      </c>
      <c r="L818" s="27" t="s">
        <v>77</v>
      </c>
      <c r="N818" s="28" t="s">
        <v>77</v>
      </c>
      <c r="Q818" s="30"/>
    </row>
    <row r="819">
      <c r="B819" s="6"/>
      <c r="C819" s="33" t="str">
        <f t="array" ref="C819">IF(B819="", "", XLOOKUP(B819, Inventory!D:D,Inventory!E:E,"No Name Found"))</f>
        <v/>
      </c>
      <c r="D819" s="6"/>
      <c r="E819" s="6"/>
      <c r="F819" s="6"/>
      <c r="G819" s="24" t="str">
        <f>IF(F819="", "", VLOOKUP(F819, Inventory!A:BZ, 3, FALSE) - SUMIF($F$1:$F818, F819, $H$1:$H818))
</f>
        <v/>
      </c>
      <c r="I819" s="26"/>
      <c r="J819" s="26" t="s">
        <v>77</v>
      </c>
      <c r="L819" s="27" t="s">
        <v>77</v>
      </c>
      <c r="N819" s="28" t="s">
        <v>77</v>
      </c>
      <c r="Q819" s="30"/>
    </row>
    <row r="820">
      <c r="B820" s="6"/>
      <c r="C820" s="33" t="str">
        <f t="array" ref="C820">IF(B820="", "", XLOOKUP(B820, Inventory!D:D,Inventory!E:E,"No Name Found"))</f>
        <v/>
      </c>
      <c r="D820" s="6"/>
      <c r="E820" s="6"/>
      <c r="F820" s="6"/>
      <c r="G820" s="24" t="str">
        <f>IF(F820="", "", VLOOKUP(F820, Inventory!A:BZ, 3, FALSE) - SUMIF($F$1:$F819, F820, $H$1:$H819))
</f>
        <v/>
      </c>
      <c r="I820" s="26"/>
      <c r="J820" s="26" t="s">
        <v>77</v>
      </c>
      <c r="L820" s="27" t="s">
        <v>77</v>
      </c>
      <c r="N820" s="28" t="s">
        <v>77</v>
      </c>
      <c r="Q820" s="30"/>
    </row>
    <row r="821">
      <c r="B821" s="6"/>
      <c r="C821" s="33" t="str">
        <f t="array" ref="C821">IF(B821="", "", XLOOKUP(B821, Inventory!D:D,Inventory!E:E,"No Name Found"))</f>
        <v/>
      </c>
      <c r="D821" s="6"/>
      <c r="E821" s="6"/>
      <c r="F821" s="6"/>
      <c r="G821" s="24" t="str">
        <f>IF(F821="", "", VLOOKUP(F821, Inventory!A:BZ, 3, FALSE) - SUMIF($F$1:$F820, F821, $H$1:$H820))
</f>
        <v/>
      </c>
      <c r="I821" s="26"/>
      <c r="J821" s="26" t="s">
        <v>77</v>
      </c>
      <c r="L821" s="27" t="s">
        <v>77</v>
      </c>
      <c r="N821" s="28" t="s">
        <v>77</v>
      </c>
      <c r="Q821" s="30"/>
    </row>
    <row r="822">
      <c r="B822" s="6"/>
      <c r="C822" s="33" t="str">
        <f t="array" ref="C822">IF(B822="", "", XLOOKUP(B822, Inventory!D:D,Inventory!E:E,"No Name Found"))</f>
        <v/>
      </c>
      <c r="D822" s="6"/>
      <c r="E822" s="6"/>
      <c r="F822" s="6"/>
      <c r="G822" s="24" t="str">
        <f>IF(F822="", "", VLOOKUP(F822, Inventory!A:BZ, 3, FALSE) - SUMIF($F$1:$F821, F822, $H$1:$H821))
</f>
        <v/>
      </c>
      <c r="I822" s="26"/>
      <c r="J822" s="26" t="s">
        <v>77</v>
      </c>
      <c r="L822" s="27" t="s">
        <v>77</v>
      </c>
      <c r="N822" s="28" t="s">
        <v>77</v>
      </c>
      <c r="Q822" s="30"/>
    </row>
    <row r="823">
      <c r="B823" s="6"/>
      <c r="C823" s="33" t="str">
        <f t="array" ref="C823">IF(B823="", "", XLOOKUP(B823, Inventory!D:D,Inventory!E:E,"No Name Found"))</f>
        <v/>
      </c>
      <c r="D823" s="6"/>
      <c r="E823" s="6"/>
      <c r="F823" s="6"/>
      <c r="G823" s="24" t="str">
        <f>IF(F823="", "", VLOOKUP(F823, Inventory!A:BZ, 3, FALSE) - SUMIF($F$1:$F822, F823, $H$1:$H822))
</f>
        <v/>
      </c>
      <c r="I823" s="26"/>
      <c r="J823" s="26" t="s">
        <v>77</v>
      </c>
      <c r="L823" s="27" t="s">
        <v>77</v>
      </c>
      <c r="N823" s="28" t="s">
        <v>77</v>
      </c>
      <c r="Q823" s="30"/>
    </row>
    <row r="824">
      <c r="B824" s="6"/>
      <c r="C824" s="33" t="str">
        <f t="array" ref="C824">IF(B824="", "", XLOOKUP(B824, Inventory!D:D,Inventory!E:E,"No Name Found"))</f>
        <v/>
      </c>
      <c r="D824" s="6"/>
      <c r="E824" s="6"/>
      <c r="F824" s="6"/>
      <c r="G824" s="24" t="str">
        <f>IF(F824="", "", VLOOKUP(F824, Inventory!A:BZ, 3, FALSE) - SUMIF($F$1:$F823, F824, $H$1:$H823))
</f>
        <v/>
      </c>
      <c r="I824" s="26"/>
      <c r="J824" s="26" t="s">
        <v>77</v>
      </c>
      <c r="L824" s="27" t="s">
        <v>77</v>
      </c>
      <c r="N824" s="28" t="s">
        <v>77</v>
      </c>
      <c r="Q824" s="30"/>
    </row>
    <row r="825">
      <c r="B825" s="6"/>
      <c r="C825" s="33" t="str">
        <f t="array" ref="C825">IF(B825="", "", XLOOKUP(B825, Inventory!D:D,Inventory!E:E,"No Name Found"))</f>
        <v/>
      </c>
      <c r="D825" s="6"/>
      <c r="E825" s="6"/>
      <c r="F825" s="6"/>
      <c r="G825" s="24" t="str">
        <f>IF(F825="", "", VLOOKUP(F825, Inventory!A:BZ, 3, FALSE) - SUMIF($F$1:$F824, F825, $H$1:$H824))
</f>
        <v/>
      </c>
      <c r="I825" s="26"/>
      <c r="J825" s="26" t="s">
        <v>77</v>
      </c>
      <c r="L825" s="27" t="s">
        <v>77</v>
      </c>
      <c r="N825" s="28" t="s">
        <v>77</v>
      </c>
      <c r="Q825" s="30"/>
    </row>
    <row r="826">
      <c r="B826" s="6"/>
      <c r="C826" s="33" t="str">
        <f t="array" ref="C826">IF(B826="", "", XLOOKUP(B826, Inventory!D:D,Inventory!E:E,"No Name Found"))</f>
        <v/>
      </c>
      <c r="D826" s="6"/>
      <c r="E826" s="6"/>
      <c r="F826" s="6"/>
      <c r="G826" s="24" t="str">
        <f>IF(F826="", "", VLOOKUP(F826, Inventory!A:BZ, 3, FALSE) - SUMIF($F$1:$F825, F826, $H$1:$H825))
</f>
        <v/>
      </c>
      <c r="I826" s="26"/>
      <c r="J826" s="26" t="s">
        <v>77</v>
      </c>
      <c r="L826" s="27" t="s">
        <v>77</v>
      </c>
      <c r="N826" s="28" t="s">
        <v>77</v>
      </c>
      <c r="Q826" s="30"/>
    </row>
    <row r="827">
      <c r="B827" s="6"/>
      <c r="C827" s="33" t="str">
        <f t="array" ref="C827">IF(B827="", "", XLOOKUP(B827, Inventory!D:D,Inventory!E:E,"No Name Found"))</f>
        <v/>
      </c>
      <c r="D827" s="6"/>
      <c r="E827" s="6"/>
      <c r="F827" s="6"/>
      <c r="G827" s="24" t="str">
        <f>IF(F827="", "", VLOOKUP(F827, Inventory!A:BZ, 3, FALSE) - SUMIF($F$1:$F826, F827, $H$1:$H826))
</f>
        <v/>
      </c>
      <c r="I827" s="26"/>
      <c r="J827" s="26" t="s">
        <v>77</v>
      </c>
      <c r="L827" s="27" t="s">
        <v>77</v>
      </c>
      <c r="N827" s="28" t="s">
        <v>77</v>
      </c>
      <c r="Q827" s="30"/>
    </row>
    <row r="828">
      <c r="B828" s="6"/>
      <c r="C828" s="33" t="str">
        <f t="array" ref="C828">IF(B828="", "", XLOOKUP(B828, Inventory!D:D,Inventory!E:E,"No Name Found"))</f>
        <v/>
      </c>
      <c r="D828" s="6"/>
      <c r="E828" s="6"/>
      <c r="F828" s="6"/>
      <c r="G828" s="24" t="str">
        <f>IF(F828="", "", VLOOKUP(F828, Inventory!A:BZ, 3, FALSE) - SUMIF($F$1:$F827, F828, $H$1:$H827))
</f>
        <v/>
      </c>
      <c r="I828" s="26"/>
      <c r="J828" s="26" t="s">
        <v>77</v>
      </c>
      <c r="L828" s="27" t="s">
        <v>77</v>
      </c>
      <c r="N828" s="28" t="s">
        <v>77</v>
      </c>
      <c r="Q828" s="30"/>
    </row>
    <row r="829">
      <c r="B829" s="6"/>
      <c r="C829" s="33" t="str">
        <f t="array" ref="C829">IF(B829="", "", XLOOKUP(B829, Inventory!D:D,Inventory!E:E,"No Name Found"))</f>
        <v/>
      </c>
      <c r="D829" s="6"/>
      <c r="E829" s="6"/>
      <c r="F829" s="6"/>
      <c r="G829" s="24" t="str">
        <f>IF(F829="", "", VLOOKUP(F829, Inventory!A:BZ, 3, FALSE) - SUMIF($F$1:$F828, F829, $H$1:$H828))
</f>
        <v/>
      </c>
      <c r="I829" s="26"/>
      <c r="J829" s="26" t="s">
        <v>77</v>
      </c>
      <c r="L829" s="27" t="s">
        <v>77</v>
      </c>
      <c r="N829" s="28" t="s">
        <v>77</v>
      </c>
      <c r="Q829" s="30"/>
    </row>
    <row r="830">
      <c r="B830" s="6"/>
      <c r="C830" s="33" t="str">
        <f t="array" ref="C830">IF(B830="", "", XLOOKUP(B830, Inventory!D:D,Inventory!E:E,"No Name Found"))</f>
        <v/>
      </c>
      <c r="D830" s="6"/>
      <c r="E830" s="6"/>
      <c r="F830" s="6"/>
      <c r="G830" s="24" t="str">
        <f>IF(F830="", "", VLOOKUP(F830, Inventory!A:BZ, 3, FALSE) - SUMIF($F$1:$F829, F830, $H$1:$H829))
</f>
        <v/>
      </c>
      <c r="I830" s="26"/>
      <c r="J830" s="26" t="s">
        <v>77</v>
      </c>
      <c r="L830" s="27" t="s">
        <v>77</v>
      </c>
      <c r="N830" s="28" t="s">
        <v>77</v>
      </c>
      <c r="Q830" s="30"/>
    </row>
    <row r="831">
      <c r="B831" s="6"/>
      <c r="C831" s="33" t="str">
        <f t="array" ref="C831">IF(B831="", "", XLOOKUP(B831, Inventory!D:D,Inventory!E:E,"No Name Found"))</f>
        <v/>
      </c>
      <c r="D831" s="6"/>
      <c r="E831" s="6"/>
      <c r="F831" s="6"/>
      <c r="G831" s="24" t="str">
        <f>IF(F831="", "", VLOOKUP(F831, Inventory!A:BZ, 3, FALSE) - SUMIF($F$1:$F830, F831, $H$1:$H830))
</f>
        <v/>
      </c>
      <c r="I831" s="26"/>
      <c r="J831" s="26" t="s">
        <v>77</v>
      </c>
      <c r="L831" s="27" t="s">
        <v>77</v>
      </c>
      <c r="N831" s="28" t="s">
        <v>77</v>
      </c>
      <c r="Q831" s="30"/>
    </row>
    <row r="832">
      <c r="B832" s="6"/>
      <c r="C832" s="33" t="str">
        <f t="array" ref="C832">IF(B832="", "", XLOOKUP(B832, Inventory!D:D,Inventory!E:E,"No Name Found"))</f>
        <v/>
      </c>
      <c r="D832" s="6"/>
      <c r="E832" s="6"/>
      <c r="F832" s="6"/>
      <c r="G832" s="24" t="str">
        <f>IF(F832="", "", VLOOKUP(F832, Inventory!A:BZ, 3, FALSE) - SUMIF($F$1:$F831, F832, $H$1:$H831))
</f>
        <v/>
      </c>
      <c r="I832" s="26"/>
      <c r="J832" s="26" t="s">
        <v>77</v>
      </c>
      <c r="L832" s="27" t="s">
        <v>77</v>
      </c>
      <c r="N832" s="28" t="s">
        <v>77</v>
      </c>
      <c r="Q832" s="30"/>
    </row>
    <row r="833">
      <c r="B833" s="6"/>
      <c r="C833" s="33" t="str">
        <f t="array" ref="C833">IF(B833="", "", XLOOKUP(B833, Inventory!D:D,Inventory!E:E,"No Name Found"))</f>
        <v/>
      </c>
      <c r="D833" s="6"/>
      <c r="E833" s="6"/>
      <c r="F833" s="6"/>
      <c r="G833" s="24" t="str">
        <f>IF(F833="", "", VLOOKUP(F833, Inventory!A:BZ, 3, FALSE) - SUMIF($F$1:$F832, F833, $H$1:$H832))
</f>
        <v/>
      </c>
      <c r="I833" s="26"/>
      <c r="J833" s="26" t="s">
        <v>77</v>
      </c>
      <c r="L833" s="27" t="s">
        <v>77</v>
      </c>
      <c r="N833" s="28" t="s">
        <v>77</v>
      </c>
      <c r="Q833" s="30"/>
    </row>
    <row r="834">
      <c r="B834" s="6"/>
      <c r="C834" s="33" t="str">
        <f t="array" ref="C834">IF(B834="", "", XLOOKUP(B834, Inventory!D:D,Inventory!E:E,"No Name Found"))</f>
        <v/>
      </c>
      <c r="D834" s="6"/>
      <c r="E834" s="6"/>
      <c r="F834" s="6"/>
      <c r="G834" s="24" t="str">
        <f>IF(F834="", "", VLOOKUP(F834, Inventory!A:BZ, 3, FALSE) - SUMIF($F$1:$F833, F834, $H$1:$H833))
</f>
        <v/>
      </c>
      <c r="I834" s="26"/>
      <c r="J834" s="26" t="s">
        <v>77</v>
      </c>
      <c r="L834" s="27" t="s">
        <v>77</v>
      </c>
      <c r="N834" s="28" t="s">
        <v>77</v>
      </c>
      <c r="Q834" s="30"/>
    </row>
    <row r="835">
      <c r="B835" s="6"/>
      <c r="C835" s="33" t="str">
        <f t="array" ref="C835">IF(B835="", "", XLOOKUP(B835, Inventory!D:D,Inventory!E:E,"No Name Found"))</f>
        <v/>
      </c>
      <c r="D835" s="6"/>
      <c r="E835" s="6"/>
      <c r="F835" s="6"/>
      <c r="G835" s="24" t="str">
        <f>IF(F835="", "", VLOOKUP(F835, Inventory!A:BZ, 3, FALSE) - SUMIF($F$1:$F834, F835, $H$1:$H834))
</f>
        <v/>
      </c>
      <c r="I835" s="26"/>
      <c r="J835" s="26" t="s">
        <v>77</v>
      </c>
      <c r="L835" s="27" t="s">
        <v>77</v>
      </c>
      <c r="N835" s="28" t="s">
        <v>77</v>
      </c>
      <c r="Q835" s="30"/>
    </row>
    <row r="836">
      <c r="B836" s="6"/>
      <c r="C836" s="33" t="str">
        <f t="array" ref="C836">IF(B836="", "", XLOOKUP(B836, Inventory!D:D,Inventory!E:E,"No Name Found"))</f>
        <v/>
      </c>
      <c r="D836" s="6"/>
      <c r="E836" s="6"/>
      <c r="F836" s="6"/>
      <c r="G836" s="24" t="str">
        <f>IF(F836="", "", VLOOKUP(F836, Inventory!A:BZ, 3, FALSE) - SUMIF($F$1:$F835, F836, $H$1:$H835))
</f>
        <v/>
      </c>
      <c r="I836" s="26"/>
      <c r="J836" s="26" t="s">
        <v>77</v>
      </c>
      <c r="L836" s="27" t="s">
        <v>77</v>
      </c>
      <c r="N836" s="28" t="s">
        <v>77</v>
      </c>
      <c r="Q836" s="30"/>
    </row>
    <row r="837">
      <c r="B837" s="6"/>
      <c r="C837" s="33" t="str">
        <f t="array" ref="C837">IF(B837="", "", XLOOKUP(B837, Inventory!D:D,Inventory!E:E,"No Name Found"))</f>
        <v/>
      </c>
      <c r="D837" s="6"/>
      <c r="E837" s="6"/>
      <c r="F837" s="6"/>
      <c r="G837" s="24" t="str">
        <f>IF(F837="", "", VLOOKUP(F837, Inventory!A:BZ, 3, FALSE) - SUMIF($F$1:$F836, F837, $H$1:$H836))
</f>
        <v/>
      </c>
      <c r="I837" s="26"/>
      <c r="J837" s="26" t="s">
        <v>77</v>
      </c>
      <c r="L837" s="27" t="s">
        <v>77</v>
      </c>
      <c r="N837" s="28" t="s">
        <v>77</v>
      </c>
      <c r="Q837" s="30"/>
    </row>
    <row r="838">
      <c r="B838" s="6"/>
      <c r="C838" s="33" t="str">
        <f t="array" ref="C838">IF(B838="", "", XLOOKUP(B838, Inventory!D:D,Inventory!E:E,"No Name Found"))</f>
        <v/>
      </c>
      <c r="D838" s="6"/>
      <c r="E838" s="6"/>
      <c r="F838" s="6"/>
      <c r="G838" s="24" t="str">
        <f>IF(F838="", "", VLOOKUP(F838, Inventory!A:BZ, 3, FALSE) - SUMIF($F$1:$F837, F838, $H$1:$H837))
</f>
        <v/>
      </c>
      <c r="I838" s="26"/>
      <c r="J838" s="26" t="s">
        <v>77</v>
      </c>
      <c r="L838" s="27" t="s">
        <v>77</v>
      </c>
      <c r="N838" s="28" t="s">
        <v>77</v>
      </c>
      <c r="Q838" s="30"/>
    </row>
    <row r="839">
      <c r="B839" s="6"/>
      <c r="C839" s="33" t="str">
        <f t="array" ref="C839">IF(B839="", "", XLOOKUP(B839, Inventory!D:D,Inventory!E:E,"No Name Found"))</f>
        <v/>
      </c>
      <c r="D839" s="6"/>
      <c r="E839" s="6"/>
      <c r="F839" s="6"/>
      <c r="G839" s="24" t="str">
        <f>IF(F839="", "", VLOOKUP(F839, Inventory!A:BZ, 3, FALSE) - SUMIF($F$1:$F838, F839, $H$1:$H838))
</f>
        <v/>
      </c>
      <c r="I839" s="26"/>
      <c r="J839" s="26" t="s">
        <v>77</v>
      </c>
      <c r="L839" s="27" t="s">
        <v>77</v>
      </c>
      <c r="N839" s="28" t="s">
        <v>77</v>
      </c>
      <c r="Q839" s="30"/>
    </row>
    <row r="840">
      <c r="B840" s="6"/>
      <c r="C840" s="33" t="str">
        <f t="array" ref="C840">IF(B840="", "", XLOOKUP(B840, Inventory!D:D,Inventory!E:E,"No Name Found"))</f>
        <v/>
      </c>
      <c r="D840" s="6"/>
      <c r="E840" s="6"/>
      <c r="F840" s="6"/>
      <c r="G840" s="24" t="str">
        <f>IF(F840="", "", VLOOKUP(F840, Inventory!A:BZ, 3, FALSE) - SUMIF($F$1:$F839, F840, $H$1:$H839))
</f>
        <v/>
      </c>
      <c r="I840" s="26"/>
      <c r="J840" s="26" t="s">
        <v>77</v>
      </c>
      <c r="L840" s="27" t="s">
        <v>77</v>
      </c>
      <c r="N840" s="28" t="s">
        <v>77</v>
      </c>
      <c r="Q840" s="30"/>
    </row>
    <row r="841">
      <c r="B841" s="6"/>
      <c r="C841" s="33" t="str">
        <f t="array" ref="C841">IF(B841="", "", XLOOKUP(B841, Inventory!D:D,Inventory!E:E,"No Name Found"))</f>
        <v/>
      </c>
      <c r="D841" s="6"/>
      <c r="E841" s="6"/>
      <c r="F841" s="6"/>
      <c r="G841" s="24" t="str">
        <f>IF(F841="", "", VLOOKUP(F841, Inventory!A:BZ, 3, FALSE) - SUMIF($F$1:$F840, F841, $H$1:$H840))
</f>
        <v/>
      </c>
      <c r="I841" s="26"/>
      <c r="J841" s="26" t="s">
        <v>77</v>
      </c>
      <c r="L841" s="27" t="s">
        <v>77</v>
      </c>
      <c r="N841" s="28" t="s">
        <v>77</v>
      </c>
      <c r="Q841" s="30"/>
    </row>
    <row r="842">
      <c r="B842" s="6"/>
      <c r="C842" s="33" t="str">
        <f t="array" ref="C842">IF(B842="", "", XLOOKUP(B842, Inventory!D:D,Inventory!E:E,"No Name Found"))</f>
        <v/>
      </c>
      <c r="D842" s="6"/>
      <c r="E842" s="6"/>
      <c r="F842" s="6"/>
      <c r="G842" s="24" t="str">
        <f>IF(F842="", "", VLOOKUP(F842, Inventory!A:BZ, 3, FALSE) - SUMIF($F$1:$F841, F842, $H$1:$H841))
</f>
        <v/>
      </c>
      <c r="I842" s="26"/>
      <c r="J842" s="26" t="s">
        <v>77</v>
      </c>
      <c r="L842" s="27" t="s">
        <v>77</v>
      </c>
      <c r="N842" s="28" t="s">
        <v>77</v>
      </c>
      <c r="Q842" s="30"/>
    </row>
    <row r="843">
      <c r="B843" s="6"/>
      <c r="C843" s="33" t="str">
        <f t="array" ref="C843">IF(B843="", "", XLOOKUP(B843, Inventory!D:D,Inventory!E:E,"No Name Found"))</f>
        <v/>
      </c>
      <c r="D843" s="6"/>
      <c r="E843" s="6"/>
      <c r="F843" s="6"/>
      <c r="G843" s="24" t="str">
        <f>IF(F843="", "", VLOOKUP(F843, Inventory!A:BZ, 3, FALSE) - SUMIF($F$1:$F842, F843, $H$1:$H842))
</f>
        <v/>
      </c>
      <c r="I843" s="26"/>
      <c r="J843" s="26" t="s">
        <v>77</v>
      </c>
      <c r="L843" s="27" t="s">
        <v>77</v>
      </c>
      <c r="N843" s="28" t="s">
        <v>77</v>
      </c>
      <c r="Q843" s="30"/>
    </row>
    <row r="844">
      <c r="B844" s="6"/>
      <c r="C844" s="33" t="str">
        <f t="array" ref="C844">IF(B844="", "", XLOOKUP(B844, Inventory!D:D,Inventory!E:E,"No Name Found"))</f>
        <v/>
      </c>
      <c r="D844" s="6"/>
      <c r="E844" s="6"/>
      <c r="F844" s="6"/>
      <c r="G844" s="24" t="str">
        <f>IF(F844="", "", VLOOKUP(F844, Inventory!A:BZ, 3, FALSE) - SUMIF($F$1:$F843, F844, $H$1:$H843))
</f>
        <v/>
      </c>
      <c r="I844" s="26"/>
      <c r="J844" s="26" t="s">
        <v>77</v>
      </c>
      <c r="L844" s="27" t="s">
        <v>77</v>
      </c>
      <c r="N844" s="28" t="s">
        <v>77</v>
      </c>
      <c r="Q844" s="30"/>
    </row>
    <row r="845">
      <c r="B845" s="6"/>
      <c r="C845" s="33" t="str">
        <f t="array" ref="C845">IF(B845="", "", XLOOKUP(B845, Inventory!D:D,Inventory!E:E,"No Name Found"))</f>
        <v/>
      </c>
      <c r="D845" s="6"/>
      <c r="E845" s="6"/>
      <c r="F845" s="6"/>
      <c r="G845" s="24" t="str">
        <f>IF(F845="", "", VLOOKUP(F845, Inventory!A:BZ, 3, FALSE) - SUMIF($F$1:$F844, F845, $H$1:$H844))
</f>
        <v/>
      </c>
      <c r="I845" s="26"/>
      <c r="J845" s="26" t="s">
        <v>77</v>
      </c>
      <c r="L845" s="27" t="s">
        <v>77</v>
      </c>
      <c r="N845" s="28" t="s">
        <v>77</v>
      </c>
      <c r="Q845" s="30"/>
    </row>
    <row r="846">
      <c r="B846" s="6"/>
      <c r="C846" s="33" t="str">
        <f t="array" ref="C846">IF(B846="", "", XLOOKUP(B846, Inventory!D:D,Inventory!E:E,"No Name Found"))</f>
        <v/>
      </c>
      <c r="D846" s="6"/>
      <c r="E846" s="6"/>
      <c r="F846" s="6"/>
      <c r="G846" s="24" t="str">
        <f>IF(F846="", "", VLOOKUP(F846, Inventory!A:BZ, 3, FALSE) - SUMIF($F$1:$F845, F846, $H$1:$H845))
</f>
        <v/>
      </c>
      <c r="I846" s="26"/>
      <c r="J846" s="26" t="s">
        <v>77</v>
      </c>
      <c r="L846" s="27" t="s">
        <v>77</v>
      </c>
      <c r="N846" s="28" t="s">
        <v>77</v>
      </c>
      <c r="Q846" s="30"/>
    </row>
    <row r="847">
      <c r="B847" s="6"/>
      <c r="C847" s="33" t="str">
        <f t="array" ref="C847">IF(B847="", "", XLOOKUP(B847, Inventory!D:D,Inventory!E:E,"No Name Found"))</f>
        <v/>
      </c>
      <c r="D847" s="6"/>
      <c r="E847" s="6"/>
      <c r="F847" s="6"/>
      <c r="G847" s="24" t="str">
        <f>IF(F847="", "", VLOOKUP(F847, Inventory!A:BZ, 3, FALSE) - SUMIF($F$1:$F846, F847, $H$1:$H846))
</f>
        <v/>
      </c>
      <c r="I847" s="26"/>
      <c r="J847" s="26" t="s">
        <v>77</v>
      </c>
      <c r="L847" s="27" t="s">
        <v>77</v>
      </c>
      <c r="N847" s="28" t="s">
        <v>77</v>
      </c>
      <c r="Q847" s="30"/>
    </row>
    <row r="848">
      <c r="B848" s="6"/>
      <c r="C848" s="33" t="str">
        <f t="array" ref="C848">IF(B848="", "", XLOOKUP(B848, Inventory!D:D,Inventory!E:E,"No Name Found"))</f>
        <v/>
      </c>
      <c r="D848" s="6"/>
      <c r="E848" s="6"/>
      <c r="F848" s="6"/>
      <c r="G848" s="24" t="str">
        <f>IF(F848="", "", VLOOKUP(F848, Inventory!A:BZ, 3, FALSE) - SUMIF($F$1:$F847, F848, $H$1:$H847))
</f>
        <v/>
      </c>
      <c r="I848" s="26"/>
      <c r="J848" s="26" t="s">
        <v>77</v>
      </c>
      <c r="L848" s="27" t="s">
        <v>77</v>
      </c>
      <c r="N848" s="28" t="s">
        <v>77</v>
      </c>
      <c r="Q848" s="30"/>
    </row>
    <row r="849">
      <c r="B849" s="6"/>
      <c r="C849" s="33" t="str">
        <f t="array" ref="C849">IF(B849="", "", XLOOKUP(B849, Inventory!D:D,Inventory!E:E,"No Name Found"))</f>
        <v/>
      </c>
      <c r="D849" s="6"/>
      <c r="E849" s="6"/>
      <c r="F849" s="6"/>
      <c r="G849" s="24" t="str">
        <f>IF(F849="", "", VLOOKUP(F849, Inventory!A:BZ, 3, FALSE) - SUMIF($F$1:$F848, F849, $H$1:$H848))
</f>
        <v/>
      </c>
      <c r="I849" s="26"/>
      <c r="J849" s="26" t="s">
        <v>77</v>
      </c>
      <c r="L849" s="27" t="s">
        <v>77</v>
      </c>
      <c r="N849" s="28" t="s">
        <v>77</v>
      </c>
      <c r="Q849" s="30"/>
    </row>
    <row r="850">
      <c r="B850" s="6"/>
      <c r="C850" s="33" t="str">
        <f t="array" ref="C850">IF(B850="", "", XLOOKUP(B850, Inventory!D:D,Inventory!E:E,"No Name Found"))</f>
        <v/>
      </c>
      <c r="D850" s="6"/>
      <c r="E850" s="6"/>
      <c r="F850" s="6"/>
      <c r="G850" s="24" t="str">
        <f>IF(F850="", "", VLOOKUP(F850, Inventory!A:BZ, 3, FALSE) - SUMIF($F$1:$F849, F850, $H$1:$H849))
</f>
        <v/>
      </c>
      <c r="I850" s="26"/>
      <c r="J850" s="26" t="s">
        <v>77</v>
      </c>
      <c r="L850" s="27" t="s">
        <v>77</v>
      </c>
      <c r="N850" s="28" t="s">
        <v>77</v>
      </c>
      <c r="Q850" s="30"/>
    </row>
    <row r="851">
      <c r="B851" s="6"/>
      <c r="C851" s="33" t="str">
        <f t="array" ref="C851">IF(B851="", "", XLOOKUP(B851, Inventory!D:D,Inventory!E:E,"No Name Found"))</f>
        <v/>
      </c>
      <c r="D851" s="6"/>
      <c r="E851" s="6"/>
      <c r="F851" s="6"/>
      <c r="G851" s="24" t="str">
        <f>IF(F851="", "", VLOOKUP(F851, Inventory!A:BZ, 3, FALSE) - SUMIF($F$1:$F850, F851, $H$1:$H850))
</f>
        <v/>
      </c>
      <c r="I851" s="26"/>
      <c r="J851" s="26" t="s">
        <v>77</v>
      </c>
      <c r="L851" s="27" t="s">
        <v>77</v>
      </c>
      <c r="N851" s="28" t="s">
        <v>77</v>
      </c>
      <c r="Q851" s="30"/>
    </row>
    <row r="852">
      <c r="B852" s="6"/>
      <c r="C852" s="33" t="str">
        <f t="array" ref="C852">IF(B852="", "", XLOOKUP(B852, Inventory!D:D,Inventory!E:E,"No Name Found"))</f>
        <v/>
      </c>
      <c r="D852" s="6"/>
      <c r="E852" s="6"/>
      <c r="F852" s="6"/>
      <c r="G852" s="24" t="str">
        <f>IF(F852="", "", VLOOKUP(F852, Inventory!A:BZ, 3, FALSE) - SUMIF($F$1:$F851, F852, $H$1:$H851))
</f>
        <v/>
      </c>
      <c r="I852" s="26"/>
      <c r="J852" s="26" t="s">
        <v>77</v>
      </c>
      <c r="L852" s="27" t="s">
        <v>77</v>
      </c>
      <c r="N852" s="28" t="s">
        <v>77</v>
      </c>
      <c r="Q852" s="30"/>
    </row>
    <row r="853">
      <c r="B853" s="6"/>
      <c r="C853" s="33" t="str">
        <f t="array" ref="C853">IF(B853="", "", XLOOKUP(B853, Inventory!D:D,Inventory!E:E,"No Name Found"))</f>
        <v/>
      </c>
      <c r="D853" s="6"/>
      <c r="E853" s="6"/>
      <c r="F853" s="6"/>
      <c r="G853" s="24" t="str">
        <f>IF(F853="", "", VLOOKUP(F853, Inventory!A:BZ, 3, FALSE) - SUMIF($F$1:$F852, F853, $H$1:$H852))
</f>
        <v/>
      </c>
      <c r="I853" s="26"/>
      <c r="J853" s="26" t="s">
        <v>77</v>
      </c>
      <c r="L853" s="27" t="s">
        <v>77</v>
      </c>
      <c r="N853" s="28" t="s">
        <v>77</v>
      </c>
      <c r="Q853" s="30"/>
    </row>
    <row r="854">
      <c r="B854" s="6"/>
      <c r="C854" s="33" t="str">
        <f t="array" ref="C854">IF(B854="", "", XLOOKUP(B854, Inventory!D:D,Inventory!E:E,"No Name Found"))</f>
        <v/>
      </c>
      <c r="D854" s="6"/>
      <c r="E854" s="6"/>
      <c r="F854" s="6"/>
      <c r="G854" s="24" t="str">
        <f>IF(F854="", "", VLOOKUP(F854, Inventory!A:BZ, 3, FALSE) - SUMIF($F$1:$F853, F854, $H$1:$H853))
</f>
        <v/>
      </c>
      <c r="I854" s="26"/>
      <c r="J854" s="26" t="s">
        <v>77</v>
      </c>
      <c r="L854" s="27" t="s">
        <v>77</v>
      </c>
      <c r="N854" s="28" t="s">
        <v>77</v>
      </c>
      <c r="Q854" s="30"/>
    </row>
    <row r="855">
      <c r="B855" s="6"/>
      <c r="C855" s="33" t="str">
        <f t="array" ref="C855">IF(B855="", "", XLOOKUP(B855, Inventory!D:D,Inventory!E:E,"No Name Found"))</f>
        <v/>
      </c>
      <c r="D855" s="6"/>
      <c r="E855" s="6"/>
      <c r="F855" s="6"/>
      <c r="G855" s="24" t="str">
        <f>IF(F855="", "", VLOOKUP(F855, Inventory!A:BZ, 3, FALSE) - SUMIF($F$1:$F854, F855, $H$1:$H854))
</f>
        <v/>
      </c>
      <c r="I855" s="26"/>
      <c r="J855" s="26" t="s">
        <v>77</v>
      </c>
      <c r="L855" s="27" t="s">
        <v>77</v>
      </c>
      <c r="N855" s="28" t="s">
        <v>77</v>
      </c>
      <c r="Q855" s="30"/>
    </row>
    <row r="856">
      <c r="B856" s="6"/>
      <c r="C856" s="33" t="str">
        <f t="array" ref="C856">IF(B856="", "", XLOOKUP(B856, Inventory!D:D,Inventory!E:E,"No Name Found"))</f>
        <v/>
      </c>
      <c r="D856" s="6"/>
      <c r="E856" s="6"/>
      <c r="F856" s="6"/>
      <c r="G856" s="24" t="str">
        <f>IF(F856="", "", VLOOKUP(F856, Inventory!A:BZ, 3, FALSE) - SUMIF($F$1:$F855, F856, $H$1:$H855))
</f>
        <v/>
      </c>
      <c r="I856" s="26"/>
      <c r="J856" s="26" t="s">
        <v>77</v>
      </c>
      <c r="L856" s="27" t="s">
        <v>77</v>
      </c>
      <c r="N856" s="28" t="s">
        <v>77</v>
      </c>
      <c r="Q856" s="30"/>
    </row>
    <row r="857">
      <c r="B857" s="6"/>
      <c r="C857" s="33" t="str">
        <f t="array" ref="C857">IF(B857="", "", XLOOKUP(B857, Inventory!D:D,Inventory!E:E,"No Name Found"))</f>
        <v/>
      </c>
      <c r="D857" s="6"/>
      <c r="E857" s="6"/>
      <c r="F857" s="6"/>
      <c r="G857" s="24" t="str">
        <f>IF(F857="", "", VLOOKUP(F857, Inventory!A:BZ, 3, FALSE) - SUMIF($F$1:$F856, F857, $H$1:$H856))
</f>
        <v/>
      </c>
      <c r="I857" s="26"/>
      <c r="J857" s="26" t="s">
        <v>77</v>
      </c>
      <c r="L857" s="27" t="s">
        <v>77</v>
      </c>
      <c r="N857" s="28" t="s">
        <v>77</v>
      </c>
      <c r="Q857" s="30"/>
    </row>
    <row r="858">
      <c r="B858" s="6"/>
      <c r="C858" s="33" t="str">
        <f t="array" ref="C858">IF(B858="", "", XLOOKUP(B858, Inventory!D:D,Inventory!E:E,"No Name Found"))</f>
        <v/>
      </c>
      <c r="D858" s="6"/>
      <c r="E858" s="6"/>
      <c r="F858" s="6"/>
      <c r="G858" s="24" t="str">
        <f>IF(F858="", "", VLOOKUP(F858, Inventory!A:BZ, 3, FALSE) - SUMIF($F$1:$F857, F858, $H$1:$H857))
</f>
        <v/>
      </c>
      <c r="I858" s="26"/>
      <c r="J858" s="26" t="s">
        <v>77</v>
      </c>
      <c r="L858" s="27" t="s">
        <v>77</v>
      </c>
      <c r="N858" s="28" t="s">
        <v>77</v>
      </c>
      <c r="Q858" s="30"/>
    </row>
    <row r="859">
      <c r="B859" s="6"/>
      <c r="C859" s="33" t="str">
        <f t="array" ref="C859">IF(B859="", "", XLOOKUP(B859, Inventory!D:D,Inventory!E:E,"No Name Found"))</f>
        <v/>
      </c>
      <c r="D859" s="6"/>
      <c r="E859" s="6"/>
      <c r="F859" s="6"/>
      <c r="G859" s="24" t="str">
        <f>IF(F859="", "", VLOOKUP(F859, Inventory!A:BZ, 3, FALSE) - SUMIF($F$1:$F858, F859, $H$1:$H858))
</f>
        <v/>
      </c>
      <c r="I859" s="26"/>
      <c r="J859" s="26" t="s">
        <v>77</v>
      </c>
      <c r="L859" s="27" t="s">
        <v>77</v>
      </c>
      <c r="N859" s="28" t="s">
        <v>77</v>
      </c>
      <c r="Q859" s="30"/>
    </row>
    <row r="860">
      <c r="B860" s="6"/>
      <c r="C860" s="33" t="str">
        <f t="array" ref="C860">IF(B860="", "", XLOOKUP(B860, Inventory!D:D,Inventory!E:E,"No Name Found"))</f>
        <v/>
      </c>
      <c r="D860" s="6"/>
      <c r="E860" s="6"/>
      <c r="F860" s="6"/>
      <c r="G860" s="24" t="str">
        <f>IF(F860="", "", VLOOKUP(F860, Inventory!A:BZ, 3, FALSE) - SUMIF($F$1:$F859, F860, $H$1:$H859))
</f>
        <v/>
      </c>
      <c r="I860" s="26"/>
      <c r="J860" s="26" t="s">
        <v>77</v>
      </c>
      <c r="L860" s="27" t="s">
        <v>77</v>
      </c>
      <c r="N860" s="28" t="s">
        <v>77</v>
      </c>
      <c r="Q860" s="30"/>
    </row>
    <row r="861">
      <c r="B861" s="6"/>
      <c r="C861" s="33" t="str">
        <f t="array" ref="C861">IF(B861="", "", XLOOKUP(B861, Inventory!D:D,Inventory!E:E,"No Name Found"))</f>
        <v/>
      </c>
      <c r="D861" s="6"/>
      <c r="E861" s="6"/>
      <c r="F861" s="6"/>
      <c r="G861" s="24" t="str">
        <f>IF(F861="", "", VLOOKUP(F861, Inventory!A:BZ, 3, FALSE) - SUMIF($F$1:$F860, F861, $H$1:$H860))
</f>
        <v/>
      </c>
      <c r="I861" s="26"/>
      <c r="J861" s="26" t="s">
        <v>77</v>
      </c>
      <c r="L861" s="27" t="s">
        <v>77</v>
      </c>
      <c r="N861" s="28" t="s">
        <v>77</v>
      </c>
      <c r="Q861" s="30"/>
    </row>
    <row r="862">
      <c r="B862" s="6"/>
      <c r="C862" s="33" t="str">
        <f t="array" ref="C862">IF(B862="", "", XLOOKUP(B862, Inventory!D:D,Inventory!E:E,"No Name Found"))</f>
        <v/>
      </c>
      <c r="D862" s="6"/>
      <c r="E862" s="6"/>
      <c r="F862" s="6"/>
      <c r="G862" s="24" t="str">
        <f>IF(F862="", "", VLOOKUP(F862, Inventory!A:BZ, 3, FALSE) - SUMIF($F$1:$F861, F862, $H$1:$H861))
</f>
        <v/>
      </c>
      <c r="I862" s="26"/>
      <c r="J862" s="26" t="s">
        <v>77</v>
      </c>
      <c r="L862" s="27" t="s">
        <v>77</v>
      </c>
      <c r="N862" s="28" t="s">
        <v>77</v>
      </c>
      <c r="Q862" s="30"/>
    </row>
    <row r="863">
      <c r="B863" s="6"/>
      <c r="C863" s="33" t="str">
        <f t="array" ref="C863">IF(B863="", "", XLOOKUP(B863, Inventory!D:D,Inventory!E:E,"No Name Found"))</f>
        <v/>
      </c>
      <c r="D863" s="6"/>
      <c r="E863" s="6"/>
      <c r="F863" s="6"/>
      <c r="G863" s="24" t="str">
        <f>IF(F863="", "", VLOOKUP(F863, Inventory!A:BZ, 3, FALSE) - SUMIF($F$1:$F862, F863, $H$1:$H862))
</f>
        <v/>
      </c>
      <c r="I863" s="26"/>
      <c r="J863" s="26" t="s">
        <v>77</v>
      </c>
      <c r="L863" s="27" t="s">
        <v>77</v>
      </c>
      <c r="N863" s="28" t="s">
        <v>77</v>
      </c>
      <c r="Q863" s="30"/>
    </row>
    <row r="864">
      <c r="B864" s="6"/>
      <c r="C864" s="33" t="str">
        <f t="array" ref="C864">IF(B864="", "", XLOOKUP(B864, Inventory!D:D,Inventory!E:E,"No Name Found"))</f>
        <v/>
      </c>
      <c r="D864" s="6"/>
      <c r="E864" s="6"/>
      <c r="F864" s="6"/>
      <c r="G864" s="24" t="str">
        <f>IF(F864="", "", VLOOKUP(F864, Inventory!A:BZ, 3, FALSE) - SUMIF($F$1:$F863, F864, $H$1:$H863))
</f>
        <v/>
      </c>
      <c r="I864" s="26"/>
      <c r="J864" s="26" t="s">
        <v>77</v>
      </c>
      <c r="L864" s="27" t="s">
        <v>77</v>
      </c>
      <c r="N864" s="28" t="s">
        <v>77</v>
      </c>
      <c r="Q864" s="30"/>
    </row>
    <row r="865">
      <c r="B865" s="6"/>
      <c r="C865" s="33" t="str">
        <f t="array" ref="C865">IF(B865="", "", XLOOKUP(B865, Inventory!D:D,Inventory!E:E,"No Name Found"))</f>
        <v/>
      </c>
      <c r="D865" s="6"/>
      <c r="E865" s="6"/>
      <c r="F865" s="6"/>
      <c r="G865" s="24" t="str">
        <f>IF(F865="", "", VLOOKUP(F865, Inventory!A:BZ, 3, FALSE) - SUMIF($F$1:$F864, F865, $H$1:$H864))
</f>
        <v/>
      </c>
      <c r="I865" s="26"/>
      <c r="J865" s="26" t="s">
        <v>77</v>
      </c>
      <c r="L865" s="27" t="s">
        <v>77</v>
      </c>
      <c r="N865" s="28" t="s">
        <v>77</v>
      </c>
      <c r="Q865" s="30"/>
    </row>
    <row r="866">
      <c r="B866" s="6"/>
      <c r="C866" s="33" t="str">
        <f t="array" ref="C866">IF(B866="", "", XLOOKUP(B866, Inventory!D:D,Inventory!E:E,"No Name Found"))</f>
        <v/>
      </c>
      <c r="D866" s="6"/>
      <c r="E866" s="6"/>
      <c r="F866" s="6"/>
      <c r="G866" s="24" t="str">
        <f>IF(F866="", "", VLOOKUP(F866, Inventory!A:BZ, 3, FALSE) - SUMIF($F$1:$F865, F866, $H$1:$H865))
</f>
        <v/>
      </c>
      <c r="I866" s="26"/>
      <c r="J866" s="26" t="s">
        <v>77</v>
      </c>
      <c r="L866" s="27" t="s">
        <v>77</v>
      </c>
      <c r="N866" s="28" t="s">
        <v>77</v>
      </c>
      <c r="Q866" s="30"/>
    </row>
    <row r="867">
      <c r="B867" s="6"/>
      <c r="C867" s="33" t="str">
        <f t="array" ref="C867">IF(B867="", "", XLOOKUP(B867, Inventory!D:D,Inventory!E:E,"No Name Found"))</f>
        <v/>
      </c>
      <c r="D867" s="6"/>
      <c r="E867" s="6"/>
      <c r="F867" s="6"/>
      <c r="G867" s="24" t="str">
        <f>IF(F867="", "", VLOOKUP(F867, Inventory!A:BZ, 3, FALSE) - SUMIF($F$1:$F866, F867, $H$1:$H866))
</f>
        <v/>
      </c>
      <c r="I867" s="26"/>
      <c r="J867" s="26" t="s">
        <v>77</v>
      </c>
      <c r="L867" s="27" t="s">
        <v>77</v>
      </c>
      <c r="N867" s="28" t="s">
        <v>77</v>
      </c>
      <c r="Q867" s="30"/>
    </row>
    <row r="868">
      <c r="B868" s="6"/>
      <c r="C868" s="33" t="str">
        <f t="array" ref="C868">IF(B868="", "", XLOOKUP(B868, Inventory!D:D,Inventory!E:E,"No Name Found"))</f>
        <v/>
      </c>
      <c r="D868" s="6"/>
      <c r="E868" s="6"/>
      <c r="F868" s="6"/>
      <c r="G868" s="24" t="str">
        <f>IF(F868="", "", VLOOKUP(F868, Inventory!A:BZ, 3, FALSE) - SUMIF($F$1:$F867, F868, $H$1:$H867))
</f>
        <v/>
      </c>
      <c r="I868" s="26"/>
      <c r="J868" s="26" t="s">
        <v>77</v>
      </c>
      <c r="L868" s="27" t="s">
        <v>77</v>
      </c>
      <c r="N868" s="28" t="s">
        <v>77</v>
      </c>
      <c r="Q868" s="30"/>
    </row>
    <row r="869">
      <c r="B869" s="6"/>
      <c r="C869" s="33" t="str">
        <f t="array" ref="C869">IF(B869="", "", XLOOKUP(B869, Inventory!D:D,Inventory!E:E,"No Name Found"))</f>
        <v/>
      </c>
      <c r="D869" s="6"/>
      <c r="E869" s="6"/>
      <c r="F869" s="6"/>
      <c r="G869" s="24" t="str">
        <f>IF(F869="", "", VLOOKUP(F869, Inventory!A:BZ, 3, FALSE) - SUMIF($F$1:$F868, F869, $H$1:$H868))
</f>
        <v/>
      </c>
      <c r="I869" s="26"/>
      <c r="J869" s="26" t="s">
        <v>77</v>
      </c>
      <c r="L869" s="27" t="s">
        <v>77</v>
      </c>
      <c r="N869" s="28" t="s">
        <v>77</v>
      </c>
      <c r="Q869" s="30"/>
    </row>
    <row r="870">
      <c r="B870" s="6"/>
      <c r="C870" s="33" t="str">
        <f t="array" ref="C870">IF(B870="", "", XLOOKUP(B870, Inventory!D:D,Inventory!E:E,"No Name Found"))</f>
        <v/>
      </c>
      <c r="D870" s="6"/>
      <c r="E870" s="6"/>
      <c r="F870" s="6"/>
      <c r="G870" s="24" t="str">
        <f>IF(F870="", "", VLOOKUP(F870, Inventory!A:BZ, 3, FALSE) - SUMIF($F$1:$F869, F870, $H$1:$H869))
</f>
        <v/>
      </c>
      <c r="I870" s="26"/>
      <c r="J870" s="26" t="s">
        <v>77</v>
      </c>
      <c r="L870" s="27" t="s">
        <v>77</v>
      </c>
      <c r="N870" s="28" t="s">
        <v>77</v>
      </c>
      <c r="Q870" s="30"/>
    </row>
    <row r="871">
      <c r="B871" s="6"/>
      <c r="C871" s="33" t="str">
        <f t="array" ref="C871">IF(B871="", "", XLOOKUP(B871, Inventory!D:D,Inventory!E:E,"No Name Found"))</f>
        <v/>
      </c>
      <c r="D871" s="6"/>
      <c r="E871" s="6"/>
      <c r="F871" s="6"/>
      <c r="G871" s="24" t="str">
        <f>IF(F871="", "", VLOOKUP(F871, Inventory!A:BZ, 3, FALSE) - SUMIF($F$1:$F870, F871, $H$1:$H870))
</f>
        <v/>
      </c>
      <c r="I871" s="26"/>
      <c r="J871" s="26" t="s">
        <v>77</v>
      </c>
      <c r="L871" s="27" t="s">
        <v>77</v>
      </c>
      <c r="N871" s="28" t="s">
        <v>77</v>
      </c>
      <c r="Q871" s="30"/>
    </row>
    <row r="872">
      <c r="B872" s="6"/>
      <c r="C872" s="33" t="str">
        <f t="array" ref="C872">IF(B872="", "", XLOOKUP(B872, Inventory!D:D,Inventory!E:E,"No Name Found"))</f>
        <v/>
      </c>
      <c r="D872" s="6"/>
      <c r="E872" s="6"/>
      <c r="F872" s="6"/>
      <c r="G872" s="24" t="str">
        <f>IF(F872="", "", VLOOKUP(F872, Inventory!A:BZ, 3, FALSE) - SUMIF($F$1:$F871, F872, $H$1:$H871))
</f>
        <v/>
      </c>
      <c r="I872" s="26"/>
      <c r="J872" s="26" t="s">
        <v>77</v>
      </c>
      <c r="L872" s="27" t="s">
        <v>77</v>
      </c>
      <c r="N872" s="28" t="s">
        <v>77</v>
      </c>
      <c r="Q872" s="30"/>
    </row>
    <row r="873">
      <c r="B873" s="6"/>
      <c r="C873" s="33" t="str">
        <f t="array" ref="C873">IF(B873="", "", XLOOKUP(B873, Inventory!D:D,Inventory!E:E,"No Name Found"))</f>
        <v/>
      </c>
      <c r="D873" s="6"/>
      <c r="E873" s="6"/>
      <c r="F873" s="6"/>
      <c r="G873" s="24" t="str">
        <f>IF(F873="", "", VLOOKUP(F873, Inventory!A:BZ, 3, FALSE) - SUMIF($F$1:$F872, F873, $H$1:$H872))
</f>
        <v/>
      </c>
      <c r="I873" s="26"/>
      <c r="J873" s="26" t="s">
        <v>77</v>
      </c>
      <c r="L873" s="27" t="s">
        <v>77</v>
      </c>
      <c r="N873" s="28" t="s">
        <v>77</v>
      </c>
      <c r="Q873" s="30"/>
    </row>
    <row r="874">
      <c r="B874" s="6"/>
      <c r="C874" s="33" t="str">
        <f t="array" ref="C874">IF(B874="", "", XLOOKUP(B874, Inventory!D:D,Inventory!E:E,"No Name Found"))</f>
        <v/>
      </c>
      <c r="D874" s="6"/>
      <c r="E874" s="6"/>
      <c r="F874" s="6"/>
      <c r="G874" s="24" t="str">
        <f>IF(F874="", "", VLOOKUP(F874, Inventory!A:BZ, 3, FALSE) - SUMIF($F$1:$F873, F874, $H$1:$H873))
</f>
        <v/>
      </c>
      <c r="I874" s="26"/>
      <c r="J874" s="26" t="s">
        <v>77</v>
      </c>
      <c r="L874" s="27" t="s">
        <v>77</v>
      </c>
      <c r="N874" s="28" t="s">
        <v>77</v>
      </c>
      <c r="Q874" s="30"/>
    </row>
    <row r="875">
      <c r="B875" s="6"/>
      <c r="C875" s="33" t="str">
        <f t="array" ref="C875">IF(B875="", "", XLOOKUP(B875, Inventory!D:D,Inventory!E:E,"No Name Found"))</f>
        <v/>
      </c>
      <c r="D875" s="6"/>
      <c r="E875" s="6"/>
      <c r="F875" s="6"/>
      <c r="G875" s="24" t="str">
        <f>IF(F875="", "", VLOOKUP(F875, Inventory!A:BZ, 3, FALSE) - SUMIF($F$1:$F874, F875, $H$1:$H874))
</f>
        <v/>
      </c>
      <c r="I875" s="26"/>
      <c r="J875" s="26" t="s">
        <v>77</v>
      </c>
      <c r="L875" s="27" t="s">
        <v>77</v>
      </c>
      <c r="N875" s="28" t="s">
        <v>77</v>
      </c>
      <c r="Q875" s="30"/>
    </row>
    <row r="876">
      <c r="B876" s="6"/>
      <c r="C876" s="33" t="str">
        <f t="array" ref="C876">IF(B876="", "", XLOOKUP(B876, Inventory!D:D,Inventory!E:E,"No Name Found"))</f>
        <v/>
      </c>
      <c r="D876" s="6"/>
      <c r="E876" s="6"/>
      <c r="F876" s="6"/>
      <c r="G876" s="24" t="str">
        <f>IF(F876="", "", VLOOKUP(F876, Inventory!A:BZ, 3, FALSE) - SUMIF($F$1:$F875, F876, $H$1:$H875))
</f>
        <v/>
      </c>
      <c r="I876" s="26"/>
      <c r="J876" s="26" t="s">
        <v>77</v>
      </c>
      <c r="L876" s="27" t="s">
        <v>77</v>
      </c>
      <c r="N876" s="28" t="s">
        <v>77</v>
      </c>
      <c r="Q876" s="30"/>
    </row>
    <row r="877">
      <c r="B877" s="6"/>
      <c r="C877" s="33" t="str">
        <f t="array" ref="C877">IF(B877="", "", XLOOKUP(B877, Inventory!D:D,Inventory!E:E,"No Name Found"))</f>
        <v/>
      </c>
      <c r="D877" s="6"/>
      <c r="E877" s="6"/>
      <c r="F877" s="6"/>
      <c r="G877" s="24" t="str">
        <f>IF(F877="", "", VLOOKUP(F877, Inventory!A:BZ, 3, FALSE) - SUMIF($F$1:$F876, F877, $H$1:$H876))
</f>
        <v/>
      </c>
      <c r="I877" s="26"/>
      <c r="J877" s="26" t="s">
        <v>77</v>
      </c>
      <c r="L877" s="27" t="s">
        <v>77</v>
      </c>
      <c r="N877" s="28" t="s">
        <v>77</v>
      </c>
      <c r="Q877" s="30"/>
    </row>
    <row r="878">
      <c r="B878" s="6"/>
      <c r="C878" s="33" t="str">
        <f t="array" ref="C878">IF(B878="", "", XLOOKUP(B878, Inventory!D:D,Inventory!E:E,"No Name Found"))</f>
        <v/>
      </c>
      <c r="D878" s="6"/>
      <c r="E878" s="6"/>
      <c r="F878" s="6"/>
      <c r="G878" s="24" t="str">
        <f>IF(F878="", "", VLOOKUP(F878, Inventory!A:BZ, 3, FALSE) - SUMIF($F$1:$F877, F878, $H$1:$H877))
</f>
        <v/>
      </c>
      <c r="I878" s="26"/>
      <c r="J878" s="26" t="s">
        <v>77</v>
      </c>
      <c r="L878" s="27" t="s">
        <v>77</v>
      </c>
      <c r="N878" s="28" t="s">
        <v>77</v>
      </c>
      <c r="Q878" s="30"/>
    </row>
    <row r="879">
      <c r="B879" s="6"/>
      <c r="C879" s="33" t="str">
        <f t="array" ref="C879">IF(B879="", "", XLOOKUP(B879, Inventory!D:D,Inventory!E:E,"No Name Found"))</f>
        <v/>
      </c>
      <c r="D879" s="6"/>
      <c r="E879" s="6"/>
      <c r="F879" s="6"/>
      <c r="G879" s="24" t="str">
        <f>IF(F879="", "", VLOOKUP(F879, Inventory!A:BZ, 3, FALSE) - SUMIF($F$1:$F878, F879, $H$1:$H878))
</f>
        <v/>
      </c>
      <c r="I879" s="26"/>
      <c r="J879" s="26" t="s">
        <v>77</v>
      </c>
      <c r="L879" s="27" t="s">
        <v>77</v>
      </c>
      <c r="N879" s="28" t="s">
        <v>77</v>
      </c>
      <c r="Q879" s="30"/>
    </row>
    <row r="880">
      <c r="B880" s="6"/>
      <c r="C880" s="33" t="str">
        <f t="array" ref="C880">IF(B880="", "", XLOOKUP(B880, Inventory!D:D,Inventory!E:E,"No Name Found"))</f>
        <v/>
      </c>
      <c r="D880" s="6"/>
      <c r="E880" s="6"/>
      <c r="F880" s="6"/>
      <c r="G880" s="24" t="str">
        <f>IF(F880="", "", VLOOKUP(F880, Inventory!A:BZ, 3, FALSE) - SUMIF($F$1:$F879, F880, $H$1:$H879))
</f>
        <v/>
      </c>
      <c r="I880" s="26"/>
      <c r="J880" s="26" t="s">
        <v>77</v>
      </c>
      <c r="L880" s="27" t="s">
        <v>77</v>
      </c>
      <c r="N880" s="28" t="s">
        <v>77</v>
      </c>
      <c r="Q880" s="30"/>
    </row>
    <row r="881">
      <c r="B881" s="6"/>
      <c r="C881" s="33" t="str">
        <f t="array" ref="C881">IF(B881="", "", XLOOKUP(B881, Inventory!D:D,Inventory!E:E,"No Name Found"))</f>
        <v/>
      </c>
      <c r="D881" s="6"/>
      <c r="E881" s="6"/>
      <c r="F881" s="6"/>
      <c r="G881" s="24" t="str">
        <f>IF(F881="", "", VLOOKUP(F881, Inventory!A:BZ, 3, FALSE) - SUMIF($F$1:$F880, F881, $H$1:$H880))
</f>
        <v/>
      </c>
      <c r="I881" s="26"/>
      <c r="J881" s="26" t="s">
        <v>77</v>
      </c>
      <c r="L881" s="27" t="s">
        <v>77</v>
      </c>
      <c r="N881" s="28" t="s">
        <v>77</v>
      </c>
      <c r="Q881" s="30"/>
    </row>
    <row r="882">
      <c r="B882" s="6"/>
      <c r="C882" s="33" t="str">
        <f t="array" ref="C882">IF(B882="", "", XLOOKUP(B882, Inventory!D:D,Inventory!E:E,"No Name Found"))</f>
        <v/>
      </c>
      <c r="D882" s="6"/>
      <c r="E882" s="6"/>
      <c r="F882" s="6"/>
      <c r="G882" s="24" t="str">
        <f>IF(F882="", "", VLOOKUP(F882, Inventory!A:BZ, 3, FALSE) - SUMIF($F$1:$F881, F882, $H$1:$H881))
</f>
        <v/>
      </c>
      <c r="I882" s="26"/>
      <c r="J882" s="26" t="s">
        <v>77</v>
      </c>
      <c r="L882" s="27" t="s">
        <v>77</v>
      </c>
      <c r="N882" s="28" t="s">
        <v>77</v>
      </c>
      <c r="Q882" s="30"/>
    </row>
    <row r="883">
      <c r="B883" s="6"/>
      <c r="C883" s="33" t="str">
        <f t="array" ref="C883">IF(B883="", "", XLOOKUP(B883, Inventory!D:D,Inventory!E:E,"No Name Found"))</f>
        <v/>
      </c>
      <c r="D883" s="6"/>
      <c r="E883" s="6"/>
      <c r="F883" s="6"/>
      <c r="G883" s="24" t="str">
        <f>IF(F883="", "", VLOOKUP(F883, Inventory!A:BZ, 3, FALSE) - SUMIF($F$1:$F882, F883, $H$1:$H882))
</f>
        <v/>
      </c>
      <c r="I883" s="26"/>
      <c r="J883" s="26" t="s">
        <v>77</v>
      </c>
      <c r="L883" s="27" t="s">
        <v>77</v>
      </c>
      <c r="N883" s="28" t="s">
        <v>77</v>
      </c>
      <c r="Q883" s="30"/>
    </row>
    <row r="884">
      <c r="B884" s="6"/>
      <c r="C884" s="33" t="str">
        <f t="array" ref="C884">IF(B884="", "", XLOOKUP(B884, Inventory!D:D,Inventory!E:E,"No Name Found"))</f>
        <v/>
      </c>
      <c r="D884" s="6"/>
      <c r="E884" s="6"/>
      <c r="F884" s="6"/>
      <c r="G884" s="24" t="str">
        <f>IF(F884="", "", VLOOKUP(F884, Inventory!A:BZ, 3, FALSE) - SUMIF($F$1:$F883, F884, $H$1:$H883))
</f>
        <v/>
      </c>
      <c r="I884" s="26"/>
      <c r="J884" s="26" t="s">
        <v>77</v>
      </c>
      <c r="L884" s="27" t="s">
        <v>77</v>
      </c>
      <c r="N884" s="28" t="s">
        <v>77</v>
      </c>
      <c r="Q884" s="30"/>
    </row>
    <row r="885">
      <c r="B885" s="6"/>
      <c r="C885" s="33" t="str">
        <f t="array" ref="C885">IF(B885="", "", XLOOKUP(B885, Inventory!D:D,Inventory!E:E,"No Name Found"))</f>
        <v/>
      </c>
      <c r="D885" s="6"/>
      <c r="E885" s="6"/>
      <c r="F885" s="6"/>
      <c r="G885" s="24" t="str">
        <f>IF(F885="", "", VLOOKUP(F885, Inventory!A:BZ, 3, FALSE) - SUMIF($F$1:$F884, F885, $H$1:$H884))
</f>
        <v/>
      </c>
      <c r="I885" s="26"/>
      <c r="J885" s="26" t="s">
        <v>77</v>
      </c>
      <c r="L885" s="27" t="s">
        <v>77</v>
      </c>
      <c r="N885" s="28" t="s">
        <v>77</v>
      </c>
      <c r="Q885" s="30"/>
    </row>
    <row r="886">
      <c r="B886" s="6"/>
      <c r="C886" s="33" t="str">
        <f t="array" ref="C886">IF(B886="", "", XLOOKUP(B886, Inventory!D:D,Inventory!E:E,"No Name Found"))</f>
        <v/>
      </c>
      <c r="D886" s="6"/>
      <c r="E886" s="6"/>
      <c r="F886" s="6"/>
      <c r="G886" s="24" t="str">
        <f>IF(F886="", "", VLOOKUP(F886, Inventory!A:BZ, 3, FALSE) - SUMIF($F$1:$F885, F886, $H$1:$H885))
</f>
        <v/>
      </c>
      <c r="I886" s="26"/>
      <c r="J886" s="26" t="s">
        <v>77</v>
      </c>
      <c r="L886" s="27" t="s">
        <v>77</v>
      </c>
      <c r="N886" s="28" t="s">
        <v>77</v>
      </c>
      <c r="Q886" s="30"/>
    </row>
    <row r="887">
      <c r="B887" s="6"/>
      <c r="C887" s="33" t="str">
        <f t="array" ref="C887">IF(B887="", "", XLOOKUP(B887, Inventory!D:D,Inventory!E:E,"No Name Found"))</f>
        <v/>
      </c>
      <c r="D887" s="6"/>
      <c r="E887" s="6"/>
      <c r="F887" s="6"/>
      <c r="G887" s="24" t="str">
        <f>IF(F887="", "", VLOOKUP(F887, Inventory!A:BZ, 3, FALSE) - SUMIF($F$1:$F886, F887, $H$1:$H886))
</f>
        <v/>
      </c>
      <c r="I887" s="26"/>
      <c r="J887" s="26" t="s">
        <v>77</v>
      </c>
      <c r="L887" s="27" t="s">
        <v>77</v>
      </c>
      <c r="N887" s="28" t="s">
        <v>77</v>
      </c>
      <c r="Q887" s="30"/>
    </row>
    <row r="888">
      <c r="B888" s="6"/>
      <c r="C888" s="33" t="str">
        <f t="array" ref="C888">IF(B888="", "", XLOOKUP(B888, Inventory!D:D,Inventory!E:E,"No Name Found"))</f>
        <v/>
      </c>
      <c r="D888" s="6"/>
      <c r="E888" s="6"/>
      <c r="F888" s="6"/>
      <c r="G888" s="24" t="str">
        <f>IF(F888="", "", VLOOKUP(F888, Inventory!A:BZ, 3, FALSE) - SUMIF($F$1:$F887, F888, $H$1:$H887))
</f>
        <v/>
      </c>
      <c r="I888" s="26"/>
      <c r="J888" s="26" t="s">
        <v>77</v>
      </c>
      <c r="L888" s="27" t="s">
        <v>77</v>
      </c>
      <c r="N888" s="28" t="s">
        <v>77</v>
      </c>
      <c r="Q888" s="30"/>
    </row>
    <row r="889">
      <c r="B889" s="6"/>
      <c r="C889" s="33" t="str">
        <f t="array" ref="C889">IF(B889="", "", XLOOKUP(B889, Inventory!D:D,Inventory!E:E,"No Name Found"))</f>
        <v/>
      </c>
      <c r="D889" s="6"/>
      <c r="E889" s="6"/>
      <c r="F889" s="6"/>
      <c r="G889" s="24" t="str">
        <f>IF(F889="", "", VLOOKUP(F889, Inventory!A:BZ, 3, FALSE) - SUMIF($F$1:$F888, F889, $H$1:$H888))
</f>
        <v/>
      </c>
      <c r="I889" s="26"/>
      <c r="J889" s="26" t="s">
        <v>77</v>
      </c>
      <c r="L889" s="27" t="s">
        <v>77</v>
      </c>
      <c r="N889" s="28" t="s">
        <v>77</v>
      </c>
      <c r="Q889" s="30"/>
    </row>
    <row r="890">
      <c r="B890" s="6"/>
      <c r="C890" s="33" t="str">
        <f t="array" ref="C890">IF(B890="", "", XLOOKUP(B890, Inventory!D:D,Inventory!E:E,"No Name Found"))</f>
        <v/>
      </c>
      <c r="D890" s="6"/>
      <c r="E890" s="6"/>
      <c r="F890" s="6"/>
      <c r="G890" s="24" t="str">
        <f>IF(F890="", "", VLOOKUP(F890, Inventory!A:BZ, 3, FALSE) - SUMIF($F$1:$F889, F890, $H$1:$H889))
</f>
        <v/>
      </c>
      <c r="I890" s="26"/>
      <c r="J890" s="26" t="s">
        <v>77</v>
      </c>
      <c r="L890" s="27" t="s">
        <v>77</v>
      </c>
      <c r="N890" s="28" t="s">
        <v>77</v>
      </c>
      <c r="Q890" s="30"/>
    </row>
    <row r="891">
      <c r="B891" s="6"/>
      <c r="C891" s="33" t="str">
        <f t="array" ref="C891">IF(B891="", "", XLOOKUP(B891, Inventory!D:D,Inventory!E:E,"No Name Found"))</f>
        <v/>
      </c>
      <c r="D891" s="6"/>
      <c r="E891" s="6"/>
      <c r="F891" s="6"/>
      <c r="G891" s="24" t="str">
        <f>IF(F891="", "", VLOOKUP(F891, Inventory!A:BZ, 3, FALSE) - SUMIF($F$1:$F890, F891, $H$1:$H890))
</f>
        <v/>
      </c>
      <c r="I891" s="26"/>
      <c r="J891" s="26" t="s">
        <v>77</v>
      </c>
      <c r="L891" s="27" t="s">
        <v>77</v>
      </c>
      <c r="N891" s="28" t="s">
        <v>77</v>
      </c>
      <c r="Q891" s="30"/>
    </row>
    <row r="892">
      <c r="B892" s="6"/>
      <c r="C892" s="33" t="str">
        <f t="array" ref="C892">IF(B892="", "", XLOOKUP(B892, Inventory!D:D,Inventory!E:E,"No Name Found"))</f>
        <v/>
      </c>
      <c r="D892" s="6"/>
      <c r="E892" s="6"/>
      <c r="F892" s="6"/>
      <c r="G892" s="24" t="str">
        <f>IF(F892="", "", VLOOKUP(F892, Inventory!A:BZ, 3, FALSE) - SUMIF($F$1:$F891, F892, $H$1:$H891))
</f>
        <v/>
      </c>
      <c r="I892" s="26"/>
      <c r="J892" s="26" t="s">
        <v>77</v>
      </c>
      <c r="L892" s="27" t="s">
        <v>77</v>
      </c>
      <c r="N892" s="28" t="s">
        <v>77</v>
      </c>
      <c r="Q892" s="30"/>
    </row>
    <row r="893">
      <c r="B893" s="6"/>
      <c r="C893" s="33" t="str">
        <f t="array" ref="C893">IF(B893="", "", XLOOKUP(B893, Inventory!D:D,Inventory!E:E,"No Name Found"))</f>
        <v/>
      </c>
      <c r="D893" s="6"/>
      <c r="E893" s="6"/>
      <c r="F893" s="6"/>
      <c r="G893" s="24" t="str">
        <f>IF(F893="", "", VLOOKUP(F893, Inventory!A:BZ, 3, FALSE) - SUMIF($F$1:$F892, F893, $H$1:$H892))
</f>
        <v/>
      </c>
      <c r="I893" s="26"/>
      <c r="J893" s="26" t="s">
        <v>77</v>
      </c>
      <c r="L893" s="27" t="s">
        <v>77</v>
      </c>
      <c r="N893" s="28" t="s">
        <v>77</v>
      </c>
      <c r="Q893" s="30"/>
    </row>
    <row r="894">
      <c r="B894" s="6"/>
      <c r="C894" s="33" t="str">
        <f t="array" ref="C894">IF(B894="", "", XLOOKUP(B894, Inventory!D:D,Inventory!E:E,"No Name Found"))</f>
        <v/>
      </c>
      <c r="D894" s="6"/>
      <c r="E894" s="6"/>
      <c r="F894" s="6"/>
      <c r="G894" s="24" t="str">
        <f>IF(F894="", "", VLOOKUP(F894, Inventory!A:BZ, 3, FALSE) - SUMIF($F$1:$F893, F894, $H$1:$H893))
</f>
        <v/>
      </c>
      <c r="I894" s="26"/>
      <c r="J894" s="26" t="s">
        <v>77</v>
      </c>
      <c r="L894" s="27" t="s">
        <v>77</v>
      </c>
      <c r="N894" s="28" t="s">
        <v>77</v>
      </c>
      <c r="Q894" s="30"/>
    </row>
    <row r="895">
      <c r="B895" s="6"/>
      <c r="C895" s="33" t="str">
        <f t="array" ref="C895">IF(B895="", "", XLOOKUP(B895, Inventory!D:D,Inventory!E:E,"No Name Found"))</f>
        <v/>
      </c>
      <c r="D895" s="6"/>
      <c r="E895" s="6"/>
      <c r="F895" s="6"/>
      <c r="G895" s="24" t="str">
        <f>IF(F895="", "", VLOOKUP(F895, Inventory!A:BZ, 3, FALSE) - SUMIF($F$1:$F894, F895, $H$1:$H894))
</f>
        <v/>
      </c>
      <c r="I895" s="26"/>
      <c r="J895" s="26" t="s">
        <v>77</v>
      </c>
      <c r="L895" s="27" t="s">
        <v>77</v>
      </c>
      <c r="N895" s="28" t="s">
        <v>77</v>
      </c>
      <c r="Q895" s="30"/>
    </row>
    <row r="896">
      <c r="B896" s="6"/>
      <c r="C896" s="33" t="str">
        <f t="array" ref="C896">IF(B896="", "", XLOOKUP(B896, Inventory!D:D,Inventory!E:E,"No Name Found"))</f>
        <v/>
      </c>
      <c r="D896" s="6"/>
      <c r="E896" s="6"/>
      <c r="F896" s="6"/>
      <c r="G896" s="24" t="str">
        <f>IF(F896="", "", VLOOKUP(F896, Inventory!A:BZ, 3, FALSE) - SUMIF($F$1:$F895, F896, $H$1:$H895))
</f>
        <v/>
      </c>
      <c r="I896" s="26"/>
      <c r="J896" s="26" t="s">
        <v>77</v>
      </c>
      <c r="L896" s="27" t="s">
        <v>77</v>
      </c>
      <c r="N896" s="28" t="s">
        <v>77</v>
      </c>
      <c r="Q896" s="30"/>
    </row>
    <row r="897">
      <c r="B897" s="6"/>
      <c r="C897" s="33" t="str">
        <f t="array" ref="C897">IF(B897="", "", XLOOKUP(B897, Inventory!D:D,Inventory!E:E,"No Name Found"))</f>
        <v/>
      </c>
      <c r="D897" s="6"/>
      <c r="E897" s="6"/>
      <c r="F897" s="6"/>
      <c r="G897" s="24" t="str">
        <f>IF(F897="", "", VLOOKUP(F897, Inventory!A:BZ, 3, FALSE) - SUMIF($F$1:$F896, F897, $H$1:$H896))
</f>
        <v/>
      </c>
      <c r="I897" s="26"/>
      <c r="J897" s="26" t="s">
        <v>77</v>
      </c>
      <c r="L897" s="27" t="s">
        <v>77</v>
      </c>
      <c r="N897" s="28" t="s">
        <v>77</v>
      </c>
      <c r="Q897" s="30"/>
    </row>
    <row r="898">
      <c r="B898" s="6"/>
      <c r="C898" s="33" t="str">
        <f t="array" ref="C898">IF(B898="", "", XLOOKUP(B898, Inventory!D:D,Inventory!E:E,"No Name Found"))</f>
        <v/>
      </c>
      <c r="D898" s="6"/>
      <c r="E898" s="6"/>
      <c r="F898" s="6"/>
      <c r="G898" s="24" t="str">
        <f>IF(F898="", "", VLOOKUP(F898, Inventory!A:BZ, 3, FALSE) - SUMIF($F$1:$F897, F898, $H$1:$H897))
</f>
        <v/>
      </c>
      <c r="I898" s="26"/>
      <c r="J898" s="26" t="s">
        <v>77</v>
      </c>
      <c r="L898" s="27" t="s">
        <v>77</v>
      </c>
      <c r="N898" s="28" t="s">
        <v>77</v>
      </c>
      <c r="Q898" s="30"/>
    </row>
    <row r="899">
      <c r="B899" s="6"/>
      <c r="C899" s="33" t="str">
        <f t="array" ref="C899">IF(B899="", "", XLOOKUP(B899, Inventory!D:D,Inventory!E:E,"No Name Found"))</f>
        <v/>
      </c>
      <c r="D899" s="6"/>
      <c r="E899" s="6"/>
      <c r="F899" s="6"/>
      <c r="G899" s="24" t="str">
        <f>IF(F899="", "", VLOOKUP(F899, Inventory!A:BZ, 3, FALSE) - SUMIF($F$1:$F898, F899, $H$1:$H898))
</f>
        <v/>
      </c>
      <c r="I899" s="26"/>
      <c r="J899" s="26" t="s">
        <v>77</v>
      </c>
      <c r="L899" s="27" t="s">
        <v>77</v>
      </c>
      <c r="N899" s="28" t="s">
        <v>77</v>
      </c>
      <c r="Q899" s="30"/>
    </row>
    <row r="900">
      <c r="B900" s="6"/>
      <c r="C900" s="33" t="str">
        <f t="array" ref="C900">IF(B900="", "", XLOOKUP(B900, Inventory!D:D,Inventory!E:E,"No Name Found"))</f>
        <v/>
      </c>
      <c r="D900" s="6"/>
      <c r="E900" s="6"/>
      <c r="F900" s="6"/>
      <c r="G900" s="24" t="str">
        <f>IF(F900="", "", VLOOKUP(F900, Inventory!A:BZ, 3, FALSE) - SUMIF($F$1:$F899, F900, $H$1:$H899))
</f>
        <v/>
      </c>
      <c r="I900" s="26"/>
      <c r="J900" s="26" t="s">
        <v>77</v>
      </c>
      <c r="L900" s="27" t="s">
        <v>77</v>
      </c>
      <c r="N900" s="28" t="s">
        <v>77</v>
      </c>
      <c r="Q900" s="30"/>
    </row>
    <row r="901">
      <c r="B901" s="6"/>
      <c r="C901" s="33" t="str">
        <f t="array" ref="C901">IF(B901="", "", XLOOKUP(B901, Inventory!D:D,Inventory!E:E,"No Name Found"))</f>
        <v/>
      </c>
      <c r="D901" s="6"/>
      <c r="E901" s="6"/>
      <c r="F901" s="6"/>
      <c r="G901" s="24" t="str">
        <f>IF(F901="", "", VLOOKUP(F901, Inventory!A:BZ, 3, FALSE) - SUMIF($F$1:$F900, F901, $H$1:$H900))
</f>
        <v/>
      </c>
      <c r="I901" s="26"/>
      <c r="J901" s="26" t="s">
        <v>77</v>
      </c>
      <c r="L901" s="27" t="s">
        <v>77</v>
      </c>
      <c r="N901" s="28" t="s">
        <v>77</v>
      </c>
      <c r="Q901" s="30"/>
    </row>
    <row r="902">
      <c r="B902" s="6"/>
      <c r="C902" s="33" t="str">
        <f t="array" ref="C902">IF(B902="", "", XLOOKUP(B902, Inventory!D:D,Inventory!E:E,"No Name Found"))</f>
        <v/>
      </c>
      <c r="D902" s="6"/>
      <c r="E902" s="6"/>
      <c r="F902" s="6"/>
      <c r="G902" s="24" t="str">
        <f>IF(F902="", "", VLOOKUP(F902, Inventory!A:BZ, 3, FALSE) - SUMIF($F$1:$F901, F902, $H$1:$H901))
</f>
        <v/>
      </c>
      <c r="I902" s="26"/>
      <c r="J902" s="26" t="s">
        <v>77</v>
      </c>
      <c r="L902" s="27" t="s">
        <v>77</v>
      </c>
      <c r="N902" s="28" t="s">
        <v>77</v>
      </c>
      <c r="Q902" s="30"/>
    </row>
    <row r="903">
      <c r="B903" s="6"/>
      <c r="C903" s="33" t="str">
        <f t="array" ref="C903">IF(B903="", "", XLOOKUP(B903, Inventory!D:D,Inventory!E:E,"No Name Found"))</f>
        <v/>
      </c>
      <c r="D903" s="6"/>
      <c r="E903" s="6"/>
      <c r="F903" s="6"/>
      <c r="G903" s="24" t="str">
        <f>IF(F903="", "", VLOOKUP(F903, Inventory!A:BZ, 3, FALSE) - SUMIF($F$1:$F902, F903, $H$1:$H902))
</f>
        <v/>
      </c>
      <c r="I903" s="26"/>
      <c r="J903" s="26" t="s">
        <v>77</v>
      </c>
      <c r="L903" s="27" t="s">
        <v>77</v>
      </c>
      <c r="N903" s="28" t="s">
        <v>77</v>
      </c>
      <c r="Q903" s="30"/>
    </row>
    <row r="904">
      <c r="B904" s="6"/>
      <c r="C904" s="33" t="str">
        <f t="array" ref="C904">IF(B904="", "", XLOOKUP(B904, Inventory!D:D,Inventory!E:E,"No Name Found"))</f>
        <v/>
      </c>
      <c r="D904" s="6"/>
      <c r="E904" s="6"/>
      <c r="F904" s="6"/>
      <c r="G904" s="24" t="str">
        <f>IF(F904="", "", VLOOKUP(F904, Inventory!A:BZ, 3, FALSE) - SUMIF($F$1:$F903, F904, $H$1:$H903))
</f>
        <v/>
      </c>
      <c r="I904" s="26"/>
      <c r="J904" s="26" t="s">
        <v>77</v>
      </c>
      <c r="L904" s="27" t="s">
        <v>77</v>
      </c>
      <c r="N904" s="28" t="s">
        <v>77</v>
      </c>
      <c r="Q904" s="30"/>
    </row>
    <row r="905">
      <c r="B905" s="6"/>
      <c r="C905" s="33" t="str">
        <f t="array" ref="C905">IF(B905="", "", XLOOKUP(B905, Inventory!D:D,Inventory!E:E,"No Name Found"))</f>
        <v/>
      </c>
      <c r="D905" s="6"/>
      <c r="E905" s="6"/>
      <c r="F905" s="6"/>
      <c r="G905" s="24" t="str">
        <f>IF(F905="", "", VLOOKUP(F905, Inventory!A:BZ, 3, FALSE) - SUMIF($F$1:$F904, F905, $H$1:$H904))
</f>
        <v/>
      </c>
      <c r="I905" s="26"/>
      <c r="J905" s="26" t="s">
        <v>77</v>
      </c>
      <c r="L905" s="27" t="s">
        <v>77</v>
      </c>
      <c r="N905" s="28" t="s">
        <v>77</v>
      </c>
      <c r="Q905" s="30"/>
    </row>
    <row r="906">
      <c r="B906" s="6"/>
      <c r="C906" s="33" t="str">
        <f t="array" ref="C906">IF(B906="", "", XLOOKUP(B906, Inventory!D:D,Inventory!E:E,"No Name Found"))</f>
        <v/>
      </c>
      <c r="D906" s="6"/>
      <c r="E906" s="6"/>
      <c r="F906" s="6"/>
      <c r="G906" s="24" t="str">
        <f>IF(F906="", "", VLOOKUP(F906, Inventory!A:BZ, 3, FALSE) - SUMIF($F$1:$F905, F906, $H$1:$H905))
</f>
        <v/>
      </c>
      <c r="I906" s="26"/>
      <c r="J906" s="26" t="s">
        <v>77</v>
      </c>
      <c r="L906" s="27" t="s">
        <v>77</v>
      </c>
      <c r="N906" s="28" t="s">
        <v>77</v>
      </c>
      <c r="Q906" s="30"/>
    </row>
    <row r="907">
      <c r="B907" s="6"/>
      <c r="C907" s="33" t="str">
        <f t="array" ref="C907">IF(B907="", "", XLOOKUP(B907, Inventory!D:D,Inventory!E:E,"No Name Found"))</f>
        <v/>
      </c>
      <c r="D907" s="6"/>
      <c r="E907" s="6"/>
      <c r="F907" s="6"/>
      <c r="G907" s="24" t="str">
        <f>IF(F907="", "", VLOOKUP(F907, Inventory!A:BZ, 3, FALSE) - SUMIF($F$1:$F906, F907, $H$1:$H906))
</f>
        <v/>
      </c>
      <c r="I907" s="26"/>
      <c r="J907" s="26" t="s">
        <v>77</v>
      </c>
      <c r="L907" s="27" t="s">
        <v>77</v>
      </c>
      <c r="N907" s="28" t="s">
        <v>77</v>
      </c>
      <c r="Q907" s="30"/>
    </row>
    <row r="908">
      <c r="B908" s="6"/>
      <c r="C908" s="33" t="str">
        <f t="array" ref="C908">IF(B908="", "", XLOOKUP(B908, Inventory!D:D,Inventory!E:E,"No Name Found"))</f>
        <v/>
      </c>
      <c r="D908" s="6"/>
      <c r="E908" s="6"/>
      <c r="F908" s="6"/>
      <c r="G908" s="24" t="str">
        <f>IF(F908="", "", VLOOKUP(F908, Inventory!A:BZ, 3, FALSE) - SUMIF($F$1:$F907, F908, $H$1:$H907))
</f>
        <v/>
      </c>
      <c r="I908" s="26"/>
      <c r="J908" s="26" t="s">
        <v>77</v>
      </c>
      <c r="L908" s="27" t="s">
        <v>77</v>
      </c>
      <c r="N908" s="28" t="s">
        <v>77</v>
      </c>
      <c r="Q908" s="30"/>
    </row>
    <row r="909">
      <c r="B909" s="6"/>
      <c r="C909" s="33" t="str">
        <f t="array" ref="C909">IF(B909="", "", XLOOKUP(B909, Inventory!D:D,Inventory!E:E,"No Name Found"))</f>
        <v/>
      </c>
      <c r="D909" s="6"/>
      <c r="E909" s="6"/>
      <c r="F909" s="6"/>
      <c r="G909" s="24" t="str">
        <f>IF(F909="", "", VLOOKUP(F909, Inventory!A:BZ, 3, FALSE) - SUMIF($F$1:$F908, F909, $H$1:$H908))
</f>
        <v/>
      </c>
      <c r="I909" s="26"/>
      <c r="J909" s="26" t="s">
        <v>77</v>
      </c>
      <c r="L909" s="27" t="s">
        <v>77</v>
      </c>
      <c r="N909" s="28" t="s">
        <v>77</v>
      </c>
      <c r="Q909" s="30"/>
    </row>
    <row r="910">
      <c r="B910" s="6"/>
      <c r="C910" s="33" t="str">
        <f t="array" ref="C910">IF(B910="", "", XLOOKUP(B910, Inventory!D:D,Inventory!E:E,"No Name Found"))</f>
        <v/>
      </c>
      <c r="D910" s="6"/>
      <c r="E910" s="6"/>
      <c r="F910" s="6"/>
      <c r="G910" s="24" t="str">
        <f>IF(F910="", "", VLOOKUP(F910, Inventory!A:BZ, 3, FALSE) - SUMIF($F$1:$F909, F910, $H$1:$H909))
</f>
        <v/>
      </c>
      <c r="I910" s="26"/>
      <c r="J910" s="26" t="s">
        <v>77</v>
      </c>
      <c r="L910" s="27" t="s">
        <v>77</v>
      </c>
      <c r="N910" s="28" t="s">
        <v>77</v>
      </c>
      <c r="Q910" s="30"/>
    </row>
    <row r="911">
      <c r="B911" s="6"/>
      <c r="C911" s="33" t="str">
        <f t="array" ref="C911">IF(B911="", "", XLOOKUP(B911, Inventory!D:D,Inventory!E:E,"No Name Found"))</f>
        <v/>
      </c>
      <c r="D911" s="6"/>
      <c r="E911" s="6"/>
      <c r="F911" s="6"/>
      <c r="G911" s="24" t="str">
        <f>IF(F911="", "", VLOOKUP(F911, Inventory!A:BZ, 3, FALSE) - SUMIF($F$1:$F910, F911, $H$1:$H910))
</f>
        <v/>
      </c>
      <c r="I911" s="26"/>
      <c r="J911" s="26" t="s">
        <v>77</v>
      </c>
      <c r="L911" s="27" t="s">
        <v>77</v>
      </c>
      <c r="N911" s="28" t="s">
        <v>77</v>
      </c>
      <c r="Q911" s="30"/>
    </row>
    <row r="912">
      <c r="B912" s="6"/>
      <c r="C912" s="33" t="str">
        <f t="array" ref="C912">IF(B912="", "", XLOOKUP(B912, Inventory!D:D,Inventory!E:E,"No Name Found"))</f>
        <v/>
      </c>
      <c r="D912" s="6"/>
      <c r="E912" s="6"/>
      <c r="F912" s="6"/>
      <c r="G912" s="24" t="str">
        <f>IF(F912="", "", VLOOKUP(F912, Inventory!A:BZ, 3, FALSE) - SUMIF($F$1:$F911, F912, $H$1:$H911))
</f>
        <v/>
      </c>
      <c r="I912" s="26"/>
      <c r="J912" s="26" t="s">
        <v>77</v>
      </c>
      <c r="L912" s="27" t="s">
        <v>77</v>
      </c>
      <c r="N912" s="28" t="s">
        <v>77</v>
      </c>
      <c r="Q912" s="30"/>
    </row>
    <row r="913">
      <c r="B913" s="6"/>
      <c r="C913" s="33" t="str">
        <f t="array" ref="C913">IF(B913="", "", XLOOKUP(B913, Inventory!D:D,Inventory!E:E,"No Name Found"))</f>
        <v/>
      </c>
      <c r="D913" s="6"/>
      <c r="E913" s="6"/>
      <c r="F913" s="6"/>
      <c r="G913" s="24" t="str">
        <f>IF(F913="", "", VLOOKUP(F913, Inventory!A:BZ, 3, FALSE) - SUMIF($F$1:$F912, F913, $H$1:$H912))
</f>
        <v/>
      </c>
      <c r="I913" s="26"/>
      <c r="J913" s="26" t="s">
        <v>77</v>
      </c>
      <c r="L913" s="27" t="s">
        <v>77</v>
      </c>
      <c r="N913" s="28" t="s">
        <v>77</v>
      </c>
      <c r="Q913" s="30"/>
    </row>
    <row r="914">
      <c r="B914" s="6"/>
      <c r="C914" s="33" t="str">
        <f t="array" ref="C914">IF(B914="", "", XLOOKUP(B914, Inventory!D:D,Inventory!E:E,"No Name Found"))</f>
        <v/>
      </c>
      <c r="D914" s="6"/>
      <c r="E914" s="6"/>
      <c r="F914" s="6"/>
      <c r="G914" s="24" t="str">
        <f>IF(F914="", "", VLOOKUP(F914, Inventory!A:BZ, 3, FALSE) - SUMIF($F$1:$F913, F914, $H$1:$H913))
</f>
        <v/>
      </c>
      <c r="I914" s="26"/>
      <c r="J914" s="26" t="s">
        <v>77</v>
      </c>
      <c r="L914" s="27" t="s">
        <v>77</v>
      </c>
      <c r="N914" s="28" t="s">
        <v>77</v>
      </c>
      <c r="Q914" s="30"/>
    </row>
    <row r="915">
      <c r="B915" s="6"/>
      <c r="C915" s="33" t="str">
        <f t="array" ref="C915">IF(B915="", "", XLOOKUP(B915, Inventory!D:D,Inventory!E:E,"No Name Found"))</f>
        <v/>
      </c>
      <c r="D915" s="6"/>
      <c r="E915" s="6"/>
      <c r="F915" s="6"/>
      <c r="G915" s="24" t="str">
        <f>IF(F915="", "", VLOOKUP(F915, Inventory!A:BZ, 3, FALSE) - SUMIF($F$1:$F914, F915, $H$1:$H914))
</f>
        <v/>
      </c>
      <c r="I915" s="26"/>
      <c r="J915" s="26" t="s">
        <v>77</v>
      </c>
      <c r="L915" s="27" t="s">
        <v>77</v>
      </c>
      <c r="N915" s="28" t="s">
        <v>77</v>
      </c>
      <c r="Q915" s="30"/>
    </row>
    <row r="916">
      <c r="B916" s="6"/>
      <c r="C916" s="33" t="str">
        <f t="array" ref="C916">IF(B916="", "", XLOOKUP(B916, Inventory!D:D,Inventory!E:E,"No Name Found"))</f>
        <v/>
      </c>
      <c r="D916" s="6"/>
      <c r="E916" s="6"/>
      <c r="F916" s="6"/>
      <c r="G916" s="24" t="str">
        <f>IF(F916="", "", VLOOKUP(F916, Inventory!A:BZ, 3, FALSE) - SUMIF($F$1:$F915, F916, $H$1:$H915))
</f>
        <v/>
      </c>
      <c r="I916" s="26"/>
      <c r="J916" s="26" t="s">
        <v>77</v>
      </c>
      <c r="L916" s="27" t="s">
        <v>77</v>
      </c>
      <c r="N916" s="28" t="s">
        <v>77</v>
      </c>
      <c r="Q916" s="30"/>
    </row>
    <row r="917">
      <c r="B917" s="6"/>
      <c r="C917" s="33" t="str">
        <f t="array" ref="C917">IF(B917="", "", XLOOKUP(B917, Inventory!D:D,Inventory!E:E,"No Name Found"))</f>
        <v/>
      </c>
      <c r="D917" s="6"/>
      <c r="E917" s="6"/>
      <c r="F917" s="6"/>
      <c r="G917" s="24" t="str">
        <f>IF(F917="", "", VLOOKUP(F917, Inventory!A:BZ, 3, FALSE) - SUMIF($F$1:$F916, F917, $H$1:$H916))
</f>
        <v/>
      </c>
      <c r="I917" s="26"/>
      <c r="J917" s="26" t="s">
        <v>77</v>
      </c>
      <c r="L917" s="27" t="s">
        <v>77</v>
      </c>
      <c r="N917" s="28" t="s">
        <v>77</v>
      </c>
      <c r="Q917" s="30"/>
    </row>
    <row r="918">
      <c r="B918" s="6"/>
      <c r="C918" s="33" t="str">
        <f t="array" ref="C918">IF(B918="", "", XLOOKUP(B918, Inventory!D:D,Inventory!E:E,"No Name Found"))</f>
        <v/>
      </c>
      <c r="D918" s="6"/>
      <c r="E918" s="6"/>
      <c r="F918" s="6"/>
      <c r="G918" s="24" t="str">
        <f>IF(F918="", "", VLOOKUP(F918, Inventory!A:BZ, 3, FALSE) - SUMIF($F$1:$F917, F918, $H$1:$H917))
</f>
        <v/>
      </c>
      <c r="I918" s="26"/>
      <c r="J918" s="26" t="s">
        <v>77</v>
      </c>
      <c r="L918" s="27" t="s">
        <v>77</v>
      </c>
      <c r="N918" s="28" t="s">
        <v>77</v>
      </c>
      <c r="Q918" s="30"/>
    </row>
    <row r="919">
      <c r="B919" s="6"/>
      <c r="C919" s="33" t="str">
        <f t="array" ref="C919">IF(B919="", "", XLOOKUP(B919, Inventory!D:D,Inventory!E:E,"No Name Found"))</f>
        <v/>
      </c>
      <c r="D919" s="6"/>
      <c r="E919" s="6"/>
      <c r="F919" s="6"/>
      <c r="G919" s="24" t="str">
        <f>IF(F919="", "", VLOOKUP(F919, Inventory!A:BZ, 3, FALSE) - SUMIF($F$1:$F918, F919, $H$1:$H918))
</f>
        <v/>
      </c>
      <c r="I919" s="26"/>
      <c r="J919" s="26" t="s">
        <v>77</v>
      </c>
      <c r="L919" s="27" t="s">
        <v>77</v>
      </c>
      <c r="N919" s="28" t="s">
        <v>77</v>
      </c>
      <c r="Q919" s="30"/>
    </row>
    <row r="920">
      <c r="B920" s="6"/>
      <c r="C920" s="33" t="str">
        <f t="array" ref="C920">IF(B920="", "", XLOOKUP(B920, Inventory!D:D,Inventory!E:E,"No Name Found"))</f>
        <v/>
      </c>
      <c r="D920" s="6"/>
      <c r="E920" s="6"/>
      <c r="F920" s="6"/>
      <c r="G920" s="24" t="str">
        <f>IF(F920="", "", VLOOKUP(F920, Inventory!A:BZ, 3, FALSE) - SUMIF($F$1:$F919, F920, $H$1:$H919))
</f>
        <v/>
      </c>
      <c r="I920" s="26"/>
      <c r="J920" s="26" t="s">
        <v>77</v>
      </c>
      <c r="L920" s="27" t="s">
        <v>77</v>
      </c>
      <c r="N920" s="28" t="s">
        <v>77</v>
      </c>
      <c r="Q920" s="30"/>
    </row>
    <row r="921">
      <c r="B921" s="6"/>
      <c r="C921" s="33" t="str">
        <f t="array" ref="C921">IF(B921="", "", XLOOKUP(B921, Inventory!D:D,Inventory!E:E,"No Name Found"))</f>
        <v/>
      </c>
      <c r="D921" s="6"/>
      <c r="E921" s="6"/>
      <c r="F921" s="6"/>
      <c r="G921" s="24" t="str">
        <f>IF(F921="", "", VLOOKUP(F921, Inventory!A:BZ, 3, FALSE) - SUMIF($F$1:$F920, F921, $H$1:$H920))
</f>
        <v/>
      </c>
      <c r="I921" s="26"/>
      <c r="J921" s="26" t="s">
        <v>77</v>
      </c>
      <c r="L921" s="27" t="s">
        <v>77</v>
      </c>
      <c r="N921" s="28" t="s">
        <v>77</v>
      </c>
      <c r="Q921" s="30"/>
    </row>
    <row r="922">
      <c r="B922" s="6"/>
      <c r="C922" s="33" t="str">
        <f t="array" ref="C922">IF(B922="", "", XLOOKUP(B922, Inventory!D:D,Inventory!E:E,"No Name Found"))</f>
        <v/>
      </c>
      <c r="D922" s="6"/>
      <c r="E922" s="6"/>
      <c r="F922" s="6"/>
      <c r="G922" s="24" t="str">
        <f>IF(F922="", "", VLOOKUP(F922, Inventory!A:BZ, 3, FALSE) - SUMIF($F$1:$F921, F922, $H$1:$H921))
</f>
        <v/>
      </c>
      <c r="I922" s="26"/>
      <c r="J922" s="26" t="s">
        <v>77</v>
      </c>
      <c r="L922" s="27" t="s">
        <v>77</v>
      </c>
      <c r="N922" s="28" t="s">
        <v>77</v>
      </c>
      <c r="Q922" s="30"/>
    </row>
    <row r="923">
      <c r="B923" s="6"/>
      <c r="C923" s="33" t="str">
        <f t="array" ref="C923">IF(B923="", "", XLOOKUP(B923, Inventory!D:D,Inventory!E:E,"No Name Found"))</f>
        <v/>
      </c>
      <c r="D923" s="6"/>
      <c r="E923" s="6"/>
      <c r="F923" s="6"/>
      <c r="G923" s="24" t="str">
        <f>IF(F923="", "", VLOOKUP(F923, Inventory!A:BZ, 3, FALSE) - SUMIF($F$1:$F922, F923, $H$1:$H922))
</f>
        <v/>
      </c>
      <c r="I923" s="26"/>
      <c r="J923" s="26" t="s">
        <v>77</v>
      </c>
      <c r="L923" s="27" t="s">
        <v>77</v>
      </c>
      <c r="N923" s="28" t="s">
        <v>77</v>
      </c>
      <c r="Q923" s="30"/>
    </row>
    <row r="924">
      <c r="B924" s="6"/>
      <c r="C924" s="33" t="str">
        <f t="array" ref="C924">IF(B924="", "", XLOOKUP(B924, Inventory!D:D,Inventory!E:E,"No Name Found"))</f>
        <v/>
      </c>
      <c r="D924" s="6"/>
      <c r="E924" s="6"/>
      <c r="F924" s="6"/>
      <c r="G924" s="24" t="str">
        <f>IF(F924="", "", VLOOKUP(F924, Inventory!A:BZ, 3, FALSE) - SUMIF($F$1:$F923, F924, $H$1:$H923))
</f>
        <v/>
      </c>
      <c r="I924" s="26"/>
      <c r="J924" s="26" t="s">
        <v>77</v>
      </c>
      <c r="L924" s="27" t="s">
        <v>77</v>
      </c>
      <c r="N924" s="28" t="s">
        <v>77</v>
      </c>
      <c r="Q924" s="30"/>
    </row>
    <row r="925">
      <c r="B925" s="6"/>
      <c r="C925" s="33" t="str">
        <f t="array" ref="C925">IF(B925="", "", XLOOKUP(B925, Inventory!D:D,Inventory!E:E,"No Name Found"))</f>
        <v/>
      </c>
      <c r="D925" s="6"/>
      <c r="E925" s="6"/>
      <c r="F925" s="6"/>
      <c r="G925" s="24" t="str">
        <f>IF(F925="", "", VLOOKUP(F925, Inventory!A:BZ, 3, FALSE) - SUMIF($F$1:$F924, F925, $H$1:$H924))
</f>
        <v/>
      </c>
      <c r="I925" s="26"/>
      <c r="J925" s="26" t="s">
        <v>77</v>
      </c>
      <c r="L925" s="27" t="s">
        <v>77</v>
      </c>
      <c r="N925" s="28" t="s">
        <v>77</v>
      </c>
      <c r="Q925" s="30"/>
    </row>
    <row r="926">
      <c r="B926" s="6"/>
      <c r="C926" s="33" t="str">
        <f t="array" ref="C926">IF(B926="", "", XLOOKUP(B926, Inventory!D:D,Inventory!E:E,"No Name Found"))</f>
        <v/>
      </c>
      <c r="D926" s="6"/>
      <c r="E926" s="6"/>
      <c r="F926" s="6"/>
      <c r="G926" s="24" t="str">
        <f>IF(F926="", "", VLOOKUP(F926, Inventory!A:BZ, 3, FALSE) - SUMIF($F$1:$F925, F926, $H$1:$H925))
</f>
        <v/>
      </c>
      <c r="I926" s="26"/>
      <c r="J926" s="26" t="s">
        <v>77</v>
      </c>
      <c r="L926" s="27" t="s">
        <v>77</v>
      </c>
      <c r="N926" s="28" t="s">
        <v>77</v>
      </c>
      <c r="Q926" s="30"/>
    </row>
    <row r="927">
      <c r="B927" s="6"/>
      <c r="C927" s="33" t="str">
        <f t="array" ref="C927">IF(B927="", "", XLOOKUP(B927, Inventory!D:D,Inventory!E:E,"No Name Found"))</f>
        <v/>
      </c>
      <c r="D927" s="6"/>
      <c r="E927" s="6"/>
      <c r="F927" s="6"/>
      <c r="G927" s="24" t="str">
        <f>IF(F927="", "", VLOOKUP(F927, Inventory!A:BZ, 3, FALSE) - SUMIF($F$1:$F926, F927, $H$1:$H926))
</f>
        <v/>
      </c>
      <c r="I927" s="26"/>
      <c r="J927" s="26" t="s">
        <v>77</v>
      </c>
      <c r="L927" s="27" t="s">
        <v>77</v>
      </c>
      <c r="N927" s="28" t="s">
        <v>77</v>
      </c>
      <c r="Q927" s="30"/>
    </row>
    <row r="928">
      <c r="B928" s="6"/>
      <c r="C928" s="33" t="str">
        <f t="array" ref="C928">IF(B928="", "", XLOOKUP(B928, Inventory!D:D,Inventory!E:E,"No Name Found"))</f>
        <v/>
      </c>
      <c r="D928" s="6"/>
      <c r="E928" s="6"/>
      <c r="F928" s="6"/>
      <c r="G928" s="24" t="str">
        <f>IF(F928="", "", VLOOKUP(F928, Inventory!A:BZ, 3, FALSE) - SUMIF($F$1:$F927, F928, $H$1:$H927))
</f>
        <v/>
      </c>
      <c r="I928" s="26"/>
      <c r="J928" s="26" t="s">
        <v>77</v>
      </c>
      <c r="L928" s="27" t="s">
        <v>77</v>
      </c>
      <c r="N928" s="28" t="s">
        <v>77</v>
      </c>
      <c r="Q928" s="30"/>
    </row>
    <row r="929">
      <c r="B929" s="6"/>
      <c r="C929" s="33" t="str">
        <f t="array" ref="C929">IF(B929="", "", XLOOKUP(B929, Inventory!D:D,Inventory!E:E,"No Name Found"))</f>
        <v/>
      </c>
      <c r="D929" s="6"/>
      <c r="E929" s="6"/>
      <c r="F929" s="6"/>
      <c r="G929" s="24" t="str">
        <f>IF(F929="", "", VLOOKUP(F929, Inventory!A:BZ, 3, FALSE) - SUMIF($F$1:$F928, F929, $H$1:$H928))
</f>
        <v/>
      </c>
      <c r="I929" s="26"/>
      <c r="J929" s="26" t="s">
        <v>77</v>
      </c>
      <c r="L929" s="27" t="s">
        <v>77</v>
      </c>
      <c r="N929" s="28" t="s">
        <v>77</v>
      </c>
      <c r="Q929" s="30"/>
    </row>
    <row r="930">
      <c r="B930" s="6"/>
      <c r="C930" s="33" t="str">
        <f t="array" ref="C930">IF(B930="", "", XLOOKUP(B930, Inventory!D:D,Inventory!E:E,"No Name Found"))</f>
        <v/>
      </c>
      <c r="D930" s="6"/>
      <c r="E930" s="6"/>
      <c r="F930" s="6"/>
      <c r="G930" s="24" t="str">
        <f>IF(F930="", "", VLOOKUP(F930, Inventory!A:BZ, 3, FALSE) - SUMIF($F$1:$F929, F930, $H$1:$H929))
</f>
        <v/>
      </c>
      <c r="I930" s="26"/>
      <c r="J930" s="26" t="s">
        <v>77</v>
      </c>
      <c r="L930" s="27" t="s">
        <v>77</v>
      </c>
      <c r="N930" s="28" t="s">
        <v>77</v>
      </c>
      <c r="Q930" s="30"/>
    </row>
    <row r="931">
      <c r="B931" s="6"/>
      <c r="C931" s="33" t="str">
        <f t="array" ref="C931">IF(B931="", "", XLOOKUP(B931, Inventory!D:D,Inventory!E:E,"No Name Found"))</f>
        <v/>
      </c>
      <c r="D931" s="6"/>
      <c r="E931" s="6"/>
      <c r="F931" s="6"/>
      <c r="G931" s="24" t="str">
        <f>IF(F931="", "", VLOOKUP(F931, Inventory!A:BZ, 3, FALSE) - SUMIF($F$1:$F930, F931, $H$1:$H930))
</f>
        <v/>
      </c>
      <c r="I931" s="26"/>
      <c r="J931" s="26" t="s">
        <v>77</v>
      </c>
      <c r="L931" s="27" t="s">
        <v>77</v>
      </c>
      <c r="N931" s="28" t="s">
        <v>77</v>
      </c>
      <c r="Q931" s="30"/>
    </row>
    <row r="932">
      <c r="B932" s="6"/>
      <c r="C932" s="33" t="str">
        <f t="array" ref="C932">IF(B932="", "", XLOOKUP(B932, Inventory!D:D,Inventory!E:E,"No Name Found"))</f>
        <v/>
      </c>
      <c r="D932" s="6"/>
      <c r="E932" s="6"/>
      <c r="F932" s="6"/>
      <c r="G932" s="24" t="str">
        <f>IF(F932="", "", VLOOKUP(F932, Inventory!A:BZ, 3, FALSE) - SUMIF($F$1:$F931, F932, $H$1:$H931))
</f>
        <v/>
      </c>
      <c r="I932" s="26"/>
      <c r="J932" s="26" t="s">
        <v>77</v>
      </c>
      <c r="L932" s="27" t="s">
        <v>77</v>
      </c>
      <c r="N932" s="28" t="s">
        <v>77</v>
      </c>
      <c r="Q932" s="30"/>
    </row>
    <row r="933">
      <c r="B933" s="6"/>
      <c r="C933" s="33" t="str">
        <f t="array" ref="C933">IF(B933="", "", XLOOKUP(B933, Inventory!D:D,Inventory!E:E,"No Name Found"))</f>
        <v/>
      </c>
      <c r="D933" s="6"/>
      <c r="E933" s="6"/>
      <c r="F933" s="6"/>
      <c r="G933" s="24" t="str">
        <f>IF(F933="", "", VLOOKUP(F933, Inventory!A:BZ, 3, FALSE) - SUMIF($F$1:$F932, F933, $H$1:$H932))
</f>
        <v/>
      </c>
      <c r="I933" s="26"/>
      <c r="J933" s="26" t="s">
        <v>77</v>
      </c>
      <c r="L933" s="27" t="s">
        <v>77</v>
      </c>
      <c r="N933" s="28" t="s">
        <v>77</v>
      </c>
      <c r="Q933" s="30"/>
    </row>
    <row r="934">
      <c r="B934" s="6"/>
      <c r="C934" s="33" t="str">
        <f t="array" ref="C934">IF(B934="", "", XLOOKUP(B934, Inventory!D:D,Inventory!E:E,"No Name Found"))</f>
        <v/>
      </c>
      <c r="D934" s="6"/>
      <c r="E934" s="6"/>
      <c r="F934" s="6"/>
      <c r="G934" s="24" t="str">
        <f>IF(F934="", "", VLOOKUP(F934, Inventory!A:BZ, 3, FALSE) - SUMIF($F$1:$F933, F934, $H$1:$H933))
</f>
        <v/>
      </c>
      <c r="I934" s="26"/>
      <c r="J934" s="26" t="s">
        <v>77</v>
      </c>
      <c r="L934" s="27" t="s">
        <v>77</v>
      </c>
      <c r="N934" s="28" t="s">
        <v>77</v>
      </c>
      <c r="Q934" s="30"/>
    </row>
    <row r="935">
      <c r="B935" s="6"/>
      <c r="C935" s="33" t="str">
        <f t="array" ref="C935">IF(B935="", "", XLOOKUP(B935, Inventory!D:D,Inventory!E:E,"No Name Found"))</f>
        <v/>
      </c>
      <c r="D935" s="6"/>
      <c r="E935" s="6"/>
      <c r="F935" s="6"/>
      <c r="G935" s="24" t="str">
        <f>IF(F935="", "", VLOOKUP(F935, Inventory!A:BZ, 3, FALSE) - SUMIF($F$1:$F934, F935, $H$1:$H934))
</f>
        <v/>
      </c>
      <c r="I935" s="26"/>
      <c r="J935" s="26" t="s">
        <v>77</v>
      </c>
      <c r="L935" s="27" t="s">
        <v>77</v>
      </c>
      <c r="N935" s="28" t="s">
        <v>77</v>
      </c>
      <c r="Q935" s="30"/>
    </row>
    <row r="936">
      <c r="B936" s="6"/>
      <c r="C936" s="33" t="str">
        <f t="array" ref="C936">IF(B936="", "", XLOOKUP(B936, Inventory!D:D,Inventory!E:E,"No Name Found"))</f>
        <v/>
      </c>
      <c r="D936" s="6"/>
      <c r="E936" s="6"/>
      <c r="F936" s="6"/>
      <c r="G936" s="24" t="str">
        <f>IF(F936="", "", VLOOKUP(F936, Inventory!A:BZ, 3, FALSE) - SUMIF($F$1:$F935, F936, $H$1:$H935))
</f>
        <v/>
      </c>
      <c r="I936" s="26"/>
      <c r="J936" s="26" t="s">
        <v>77</v>
      </c>
      <c r="L936" s="27" t="s">
        <v>77</v>
      </c>
      <c r="N936" s="28" t="s">
        <v>77</v>
      </c>
      <c r="Q936" s="30"/>
    </row>
    <row r="937">
      <c r="B937" s="6"/>
      <c r="C937" s="33" t="str">
        <f t="array" ref="C937">IF(B937="", "", XLOOKUP(B937, Inventory!D:D,Inventory!E:E,"No Name Found"))</f>
        <v/>
      </c>
      <c r="D937" s="6"/>
      <c r="E937" s="6"/>
      <c r="F937" s="6"/>
      <c r="G937" s="24" t="str">
        <f>IF(F937="", "", VLOOKUP(F937, Inventory!A:BZ, 3, FALSE) - SUMIF($F$1:$F936, F937, $H$1:$H936))
</f>
        <v/>
      </c>
      <c r="I937" s="26"/>
      <c r="J937" s="26" t="s">
        <v>77</v>
      </c>
      <c r="L937" s="27" t="s">
        <v>77</v>
      </c>
      <c r="N937" s="28" t="s">
        <v>77</v>
      </c>
      <c r="Q937" s="30"/>
    </row>
    <row r="938">
      <c r="B938" s="6"/>
      <c r="C938" s="33" t="str">
        <f t="array" ref="C938">IF(B938="", "", XLOOKUP(B938, Inventory!D:D,Inventory!E:E,"No Name Found"))</f>
        <v/>
      </c>
      <c r="D938" s="6"/>
      <c r="E938" s="6"/>
      <c r="F938" s="6"/>
      <c r="G938" s="24" t="str">
        <f>IF(F938="", "", VLOOKUP(F938, Inventory!A:BZ, 3, FALSE) - SUMIF($F$1:$F937, F938, $H$1:$H937))
</f>
        <v/>
      </c>
      <c r="I938" s="26"/>
      <c r="J938" s="26" t="s">
        <v>77</v>
      </c>
      <c r="L938" s="27" t="s">
        <v>77</v>
      </c>
      <c r="N938" s="28" t="s">
        <v>77</v>
      </c>
      <c r="Q938" s="30"/>
    </row>
    <row r="939">
      <c r="B939" s="6"/>
      <c r="C939" s="33" t="str">
        <f t="array" ref="C939">IF(B939="", "", XLOOKUP(B939, Inventory!D:D,Inventory!E:E,"No Name Found"))</f>
        <v/>
      </c>
      <c r="D939" s="6"/>
      <c r="E939" s="6"/>
      <c r="F939" s="6"/>
      <c r="G939" s="24" t="str">
        <f>IF(F939="", "", VLOOKUP(F939, Inventory!A:BZ, 3, FALSE) - SUMIF($F$1:$F938, F939, $H$1:$H938))
</f>
        <v/>
      </c>
      <c r="I939" s="26"/>
      <c r="J939" s="26" t="s">
        <v>77</v>
      </c>
      <c r="L939" s="27" t="s">
        <v>77</v>
      </c>
      <c r="N939" s="28" t="s">
        <v>77</v>
      </c>
      <c r="Q939" s="30"/>
    </row>
    <row r="940">
      <c r="B940" s="6"/>
      <c r="C940" s="33" t="str">
        <f t="array" ref="C940">IF(B940="", "", XLOOKUP(B940, Inventory!D:D,Inventory!E:E,"No Name Found"))</f>
        <v/>
      </c>
      <c r="D940" s="6"/>
      <c r="E940" s="6"/>
      <c r="F940" s="6"/>
      <c r="G940" s="24" t="str">
        <f>IF(F940="", "", VLOOKUP(F940, Inventory!A:BZ, 3, FALSE) - SUMIF($F$1:$F939, F940, $H$1:$H939))
</f>
        <v/>
      </c>
      <c r="I940" s="26"/>
      <c r="J940" s="26" t="s">
        <v>77</v>
      </c>
      <c r="L940" s="27" t="s">
        <v>77</v>
      </c>
      <c r="N940" s="28" t="s">
        <v>77</v>
      </c>
      <c r="Q940" s="30"/>
    </row>
    <row r="941">
      <c r="B941" s="6"/>
      <c r="C941" s="33" t="str">
        <f t="array" ref="C941">IF(B941="", "", XLOOKUP(B941, Inventory!D:D,Inventory!E:E,"No Name Found"))</f>
        <v/>
      </c>
      <c r="D941" s="6"/>
      <c r="E941" s="6"/>
      <c r="F941" s="6"/>
      <c r="G941" s="24" t="str">
        <f>IF(F941="", "", VLOOKUP(F941, Inventory!A:BZ, 3, FALSE) - SUMIF($F$1:$F940, F941, $H$1:$H940))
</f>
        <v/>
      </c>
      <c r="I941" s="26"/>
      <c r="J941" s="26" t="s">
        <v>77</v>
      </c>
      <c r="L941" s="27" t="s">
        <v>77</v>
      </c>
      <c r="N941" s="28" t="s">
        <v>77</v>
      </c>
      <c r="Q941" s="30"/>
    </row>
    <row r="942">
      <c r="B942" s="6"/>
      <c r="C942" s="33" t="str">
        <f t="array" ref="C942">IF(B942="", "", XLOOKUP(B942, Inventory!D:D,Inventory!E:E,"No Name Found"))</f>
        <v/>
      </c>
      <c r="D942" s="6"/>
      <c r="E942" s="6"/>
      <c r="F942" s="6"/>
      <c r="G942" s="24" t="str">
        <f>IF(F942="", "", VLOOKUP(F942, Inventory!A:BZ, 3, FALSE) - SUMIF($F$1:$F941, F942, $H$1:$H941))
</f>
        <v/>
      </c>
      <c r="I942" s="26"/>
      <c r="J942" s="26" t="s">
        <v>77</v>
      </c>
      <c r="L942" s="27" t="s">
        <v>77</v>
      </c>
      <c r="N942" s="28" t="s">
        <v>77</v>
      </c>
      <c r="Q942" s="30"/>
    </row>
    <row r="943">
      <c r="B943" s="6"/>
      <c r="C943" s="33" t="str">
        <f t="array" ref="C943">IF(B943="", "", XLOOKUP(B943, Inventory!D:D,Inventory!E:E,"No Name Found"))</f>
        <v/>
      </c>
      <c r="D943" s="6"/>
      <c r="E943" s="6"/>
      <c r="F943" s="6"/>
      <c r="G943" s="24" t="str">
        <f>IF(F943="", "", VLOOKUP(F943, Inventory!A:BZ, 3, FALSE) - SUMIF($F$1:$F942, F943, $H$1:$H942))
</f>
        <v/>
      </c>
      <c r="I943" s="26"/>
      <c r="J943" s="26" t="s">
        <v>77</v>
      </c>
      <c r="L943" s="27" t="s">
        <v>77</v>
      </c>
      <c r="N943" s="28" t="s">
        <v>77</v>
      </c>
      <c r="Q943" s="30"/>
    </row>
    <row r="944">
      <c r="B944" s="6"/>
      <c r="C944" s="33" t="str">
        <f t="array" ref="C944">IF(B944="", "", XLOOKUP(B944, Inventory!D:D,Inventory!E:E,"No Name Found"))</f>
        <v/>
      </c>
      <c r="D944" s="6"/>
      <c r="E944" s="6"/>
      <c r="F944" s="6"/>
      <c r="G944" s="24" t="str">
        <f>IF(F944="", "", VLOOKUP(F944, Inventory!A:BZ, 3, FALSE) - SUMIF($F$1:$F943, F944, $H$1:$H943))
</f>
        <v/>
      </c>
      <c r="I944" s="26"/>
      <c r="J944" s="26" t="s">
        <v>77</v>
      </c>
      <c r="L944" s="27" t="s">
        <v>77</v>
      </c>
      <c r="N944" s="28" t="s">
        <v>77</v>
      </c>
      <c r="Q944" s="30"/>
    </row>
    <row r="945">
      <c r="B945" s="6"/>
      <c r="C945" s="33" t="str">
        <f t="array" ref="C945">IF(B945="", "", XLOOKUP(B945, Inventory!D:D,Inventory!E:E,"No Name Found"))</f>
        <v/>
      </c>
      <c r="D945" s="6"/>
      <c r="E945" s="6"/>
      <c r="F945" s="6"/>
      <c r="G945" s="24" t="str">
        <f>IF(F945="", "", VLOOKUP(F945, Inventory!A:BZ, 3, FALSE) - SUMIF($F$1:$F944, F945, $H$1:$H944))
</f>
        <v/>
      </c>
      <c r="I945" s="26"/>
      <c r="J945" s="26" t="s">
        <v>77</v>
      </c>
      <c r="L945" s="27" t="s">
        <v>77</v>
      </c>
      <c r="N945" s="28" t="s">
        <v>77</v>
      </c>
      <c r="Q945" s="30"/>
    </row>
    <row r="946">
      <c r="B946" s="6"/>
      <c r="C946" s="33" t="str">
        <f t="array" ref="C946">IF(B946="", "", XLOOKUP(B946, Inventory!D:D,Inventory!E:E,"No Name Found"))</f>
        <v/>
      </c>
      <c r="D946" s="6"/>
      <c r="E946" s="6"/>
      <c r="F946" s="6"/>
      <c r="G946" s="24" t="str">
        <f>IF(F946="", "", VLOOKUP(F946, Inventory!A:BZ, 3, FALSE) - SUMIF($F$1:$F945, F946, $H$1:$H945))
</f>
        <v/>
      </c>
      <c r="I946" s="26"/>
      <c r="J946" s="26" t="s">
        <v>77</v>
      </c>
      <c r="L946" s="27" t="s">
        <v>77</v>
      </c>
      <c r="N946" s="28" t="s">
        <v>77</v>
      </c>
      <c r="Q946" s="30"/>
    </row>
    <row r="947">
      <c r="B947" s="6"/>
      <c r="C947" s="33" t="str">
        <f t="array" ref="C947">IF(B947="", "", XLOOKUP(B947, Inventory!D:D,Inventory!E:E,"No Name Found"))</f>
        <v/>
      </c>
      <c r="D947" s="6"/>
      <c r="E947" s="6"/>
      <c r="F947" s="6"/>
      <c r="G947" s="24" t="str">
        <f>IF(F947="", "", VLOOKUP(F947, Inventory!A:BZ, 3, FALSE) - SUMIF($F$1:$F946, F947, $H$1:$H946))
</f>
        <v/>
      </c>
      <c r="I947" s="26"/>
      <c r="J947" s="26" t="s">
        <v>77</v>
      </c>
      <c r="L947" s="27" t="s">
        <v>77</v>
      </c>
      <c r="N947" s="28" t="s">
        <v>77</v>
      </c>
      <c r="Q947" s="30"/>
    </row>
    <row r="948">
      <c r="B948" s="6"/>
      <c r="C948" s="33" t="str">
        <f t="array" ref="C948">IF(B948="", "", XLOOKUP(B948, Inventory!D:D,Inventory!E:E,"No Name Found"))</f>
        <v/>
      </c>
      <c r="D948" s="6"/>
      <c r="E948" s="6"/>
      <c r="F948" s="6"/>
      <c r="G948" s="24" t="str">
        <f>IF(F948="", "", VLOOKUP(F948, Inventory!A:BZ, 3, FALSE) - SUMIF($F$1:$F947, F948, $H$1:$H947))
</f>
        <v/>
      </c>
      <c r="I948" s="26"/>
      <c r="J948" s="26" t="s">
        <v>77</v>
      </c>
      <c r="L948" s="27" t="s">
        <v>77</v>
      </c>
      <c r="N948" s="28" t="s">
        <v>77</v>
      </c>
      <c r="Q948" s="30"/>
    </row>
    <row r="949">
      <c r="B949" s="6"/>
      <c r="C949" s="33" t="str">
        <f t="array" ref="C949">IF(B949="", "", XLOOKUP(B949, Inventory!D:D,Inventory!E:E,"No Name Found"))</f>
        <v/>
      </c>
      <c r="D949" s="6"/>
      <c r="E949" s="6"/>
      <c r="F949" s="6"/>
      <c r="G949" s="24" t="str">
        <f>IF(F949="", "", VLOOKUP(F949, Inventory!A:BZ, 3, FALSE) - SUMIF($F$1:$F948, F949, $H$1:$H948))
</f>
        <v/>
      </c>
      <c r="I949" s="26"/>
      <c r="J949" s="26" t="s">
        <v>77</v>
      </c>
      <c r="L949" s="27" t="s">
        <v>77</v>
      </c>
      <c r="N949" s="28" t="s">
        <v>77</v>
      </c>
      <c r="Q949" s="30"/>
    </row>
    <row r="950">
      <c r="B950" s="6"/>
      <c r="C950" s="33" t="str">
        <f t="array" ref="C950">IF(B950="", "", XLOOKUP(B950, Inventory!D:D,Inventory!E:E,"No Name Found"))</f>
        <v/>
      </c>
      <c r="D950" s="6"/>
      <c r="E950" s="6"/>
      <c r="F950" s="6"/>
      <c r="G950" s="24" t="str">
        <f>IF(F950="", "", VLOOKUP(F950, Inventory!A:BZ, 3, FALSE) - SUMIF($F$1:$F949, F950, $H$1:$H949))
</f>
        <v/>
      </c>
      <c r="I950" s="26"/>
      <c r="J950" s="26" t="s">
        <v>77</v>
      </c>
      <c r="L950" s="27" t="s">
        <v>77</v>
      </c>
      <c r="N950" s="28" t="s">
        <v>77</v>
      </c>
      <c r="Q950" s="30"/>
    </row>
    <row r="951">
      <c r="B951" s="6"/>
      <c r="C951" s="33" t="str">
        <f t="array" ref="C951">IF(B951="", "", XLOOKUP(B951, Inventory!D:D,Inventory!E:E,"No Name Found"))</f>
        <v/>
      </c>
      <c r="D951" s="6"/>
      <c r="E951" s="6"/>
      <c r="F951" s="6"/>
      <c r="G951" s="24" t="str">
        <f>IF(F951="", "", VLOOKUP(F951, Inventory!A:BZ, 3, FALSE) - SUMIF($F$1:$F950, F951, $H$1:$H950))
</f>
        <v/>
      </c>
      <c r="I951" s="26"/>
      <c r="J951" s="26" t="s">
        <v>77</v>
      </c>
      <c r="L951" s="27" t="s">
        <v>77</v>
      </c>
      <c r="N951" s="28" t="s">
        <v>77</v>
      </c>
      <c r="Q951" s="30"/>
    </row>
    <row r="952">
      <c r="B952" s="6"/>
      <c r="C952" s="33" t="str">
        <f t="array" ref="C952">IF(B952="", "", XLOOKUP(B952, Inventory!D:D,Inventory!E:E,"No Name Found"))</f>
        <v/>
      </c>
      <c r="D952" s="6"/>
      <c r="E952" s="6"/>
      <c r="F952" s="6"/>
      <c r="G952" s="24" t="str">
        <f>IF(F952="", "", VLOOKUP(F952, Inventory!A:BZ, 3, FALSE) - SUMIF($F$1:$F951, F952, $H$1:$H951))
</f>
        <v/>
      </c>
      <c r="I952" s="26"/>
      <c r="J952" s="26" t="s">
        <v>77</v>
      </c>
      <c r="L952" s="27" t="s">
        <v>77</v>
      </c>
      <c r="N952" s="28" t="s">
        <v>77</v>
      </c>
      <c r="Q952" s="30"/>
    </row>
    <row r="953">
      <c r="B953" s="6"/>
      <c r="C953" s="33" t="str">
        <f t="array" ref="C953">IF(B953="", "", XLOOKUP(B953, Inventory!D:D,Inventory!E:E,"No Name Found"))</f>
        <v/>
      </c>
      <c r="D953" s="6"/>
      <c r="E953" s="6"/>
      <c r="F953" s="6"/>
      <c r="G953" s="24" t="str">
        <f>IF(F953="", "", VLOOKUP(F953, Inventory!A:BZ, 3, FALSE) - SUMIF($F$1:$F952, F953, $H$1:$H952))
</f>
        <v/>
      </c>
      <c r="I953" s="26"/>
      <c r="J953" s="26" t="s">
        <v>77</v>
      </c>
      <c r="L953" s="27" t="s">
        <v>77</v>
      </c>
      <c r="N953" s="28" t="s">
        <v>77</v>
      </c>
      <c r="Q953" s="30"/>
    </row>
    <row r="954">
      <c r="B954" s="6"/>
      <c r="C954" s="33" t="str">
        <f t="array" ref="C954">IF(B954="", "", XLOOKUP(B954, Inventory!D:D,Inventory!E:E,"No Name Found"))</f>
        <v/>
      </c>
      <c r="D954" s="6"/>
      <c r="E954" s="6"/>
      <c r="F954" s="6"/>
      <c r="G954" s="24" t="str">
        <f>IF(F954="", "", VLOOKUP(F954, Inventory!A:BZ, 3, FALSE) - SUMIF($F$1:$F953, F954, $H$1:$H953))
</f>
        <v/>
      </c>
      <c r="I954" s="26"/>
      <c r="J954" s="26" t="s">
        <v>77</v>
      </c>
      <c r="L954" s="27" t="s">
        <v>77</v>
      </c>
      <c r="N954" s="28" t="s">
        <v>77</v>
      </c>
      <c r="Q954" s="30"/>
    </row>
    <row r="955">
      <c r="B955" s="6"/>
      <c r="C955" s="33" t="str">
        <f t="array" ref="C955">IF(B955="", "", XLOOKUP(B955, Inventory!D:D,Inventory!E:E,"No Name Found"))</f>
        <v/>
      </c>
      <c r="D955" s="6"/>
      <c r="E955" s="6"/>
      <c r="F955" s="6"/>
      <c r="G955" s="24" t="str">
        <f>IF(F955="", "", VLOOKUP(F955, Inventory!A:BZ, 3, FALSE) - SUMIF($F$1:$F954, F955, $H$1:$H954))
</f>
        <v/>
      </c>
      <c r="I955" s="26"/>
      <c r="J955" s="26" t="s">
        <v>77</v>
      </c>
      <c r="L955" s="27" t="s">
        <v>77</v>
      </c>
      <c r="N955" s="28" t="s">
        <v>77</v>
      </c>
      <c r="Q955" s="30"/>
    </row>
    <row r="956">
      <c r="B956" s="6"/>
      <c r="C956" s="33" t="str">
        <f t="array" ref="C956">IF(B956="", "", XLOOKUP(B956, Inventory!D:D,Inventory!E:E,"No Name Found"))</f>
        <v/>
      </c>
      <c r="D956" s="6"/>
      <c r="E956" s="6"/>
      <c r="F956" s="6"/>
      <c r="G956" s="24" t="str">
        <f>IF(F956="", "", VLOOKUP(F956, Inventory!A:BZ, 3, FALSE) - SUMIF($F$1:$F955, F956, $H$1:$H955))
</f>
        <v/>
      </c>
      <c r="I956" s="26"/>
      <c r="J956" s="26" t="s">
        <v>77</v>
      </c>
      <c r="L956" s="27" t="s">
        <v>77</v>
      </c>
      <c r="N956" s="28" t="s">
        <v>77</v>
      </c>
      <c r="Q956" s="30"/>
    </row>
    <row r="957">
      <c r="B957" s="6"/>
      <c r="C957" s="33" t="str">
        <f t="array" ref="C957">IF(B957="", "", XLOOKUP(B957, Inventory!D:D,Inventory!E:E,"No Name Found"))</f>
        <v/>
      </c>
      <c r="D957" s="6"/>
      <c r="E957" s="6"/>
      <c r="F957" s="6"/>
      <c r="G957" s="24" t="str">
        <f>IF(F957="", "", VLOOKUP(F957, Inventory!A:BZ, 3, FALSE) - SUMIF($F$1:$F956, F957, $H$1:$H956))
</f>
        <v/>
      </c>
      <c r="I957" s="26"/>
      <c r="J957" s="26" t="s">
        <v>77</v>
      </c>
      <c r="L957" s="27" t="s">
        <v>77</v>
      </c>
      <c r="N957" s="28" t="s">
        <v>77</v>
      </c>
      <c r="Q957" s="30"/>
    </row>
    <row r="958">
      <c r="B958" s="6"/>
      <c r="C958" s="33" t="str">
        <f t="array" ref="C958">IF(B958="", "", XLOOKUP(B958, Inventory!D:D,Inventory!E:E,"No Name Found"))</f>
        <v/>
      </c>
      <c r="D958" s="6"/>
      <c r="E958" s="6"/>
      <c r="F958" s="6"/>
      <c r="G958" s="24" t="str">
        <f>IF(F958="", "", VLOOKUP(F958, Inventory!A:BZ, 3, FALSE) - SUMIF($F$1:$F957, F958, $H$1:$H957))
</f>
        <v/>
      </c>
      <c r="I958" s="26"/>
      <c r="J958" s="26" t="s">
        <v>77</v>
      </c>
      <c r="L958" s="27" t="s">
        <v>77</v>
      </c>
      <c r="N958" s="28" t="s">
        <v>77</v>
      </c>
      <c r="Q958" s="30"/>
    </row>
    <row r="959">
      <c r="B959" s="6"/>
      <c r="C959" s="33" t="str">
        <f t="array" ref="C959">IF(B959="", "", XLOOKUP(B959, Inventory!D:D,Inventory!E:E,"No Name Found"))</f>
        <v/>
      </c>
      <c r="D959" s="6"/>
      <c r="E959" s="6"/>
      <c r="F959" s="6"/>
      <c r="G959" s="24" t="str">
        <f>IF(F959="", "", VLOOKUP(F959, Inventory!A:BZ, 3, FALSE) - SUMIF($F$1:$F958, F959, $H$1:$H958))
</f>
        <v/>
      </c>
      <c r="I959" s="26"/>
      <c r="J959" s="26" t="s">
        <v>77</v>
      </c>
      <c r="L959" s="27" t="s">
        <v>77</v>
      </c>
      <c r="N959" s="28" t="s">
        <v>77</v>
      </c>
      <c r="Q959" s="30"/>
    </row>
    <row r="960">
      <c r="B960" s="6"/>
      <c r="C960" s="33" t="str">
        <f t="array" ref="C960">IF(B960="", "", XLOOKUP(B960, Inventory!D:D,Inventory!E:E,"No Name Found"))</f>
        <v/>
      </c>
      <c r="D960" s="6"/>
      <c r="E960" s="6"/>
      <c r="F960" s="6"/>
      <c r="G960" s="24" t="str">
        <f>IF(F960="", "", VLOOKUP(F960, Inventory!A:BZ, 3, FALSE) - SUMIF($F$1:$F959, F960, $H$1:$H959))
</f>
        <v/>
      </c>
      <c r="I960" s="26"/>
      <c r="J960" s="26" t="s">
        <v>77</v>
      </c>
      <c r="L960" s="27" t="s">
        <v>77</v>
      </c>
      <c r="N960" s="28" t="s">
        <v>77</v>
      </c>
      <c r="Q960" s="30"/>
    </row>
    <row r="961">
      <c r="B961" s="6"/>
      <c r="C961" s="33" t="str">
        <f t="array" ref="C961">IF(B961="", "", XLOOKUP(B961, Inventory!D:D,Inventory!E:E,"No Name Found"))</f>
        <v/>
      </c>
      <c r="D961" s="6"/>
      <c r="E961" s="6"/>
      <c r="F961" s="6"/>
      <c r="G961" s="24" t="str">
        <f>IF(F961="", "", VLOOKUP(F961, Inventory!A:BZ, 3, FALSE) - SUMIF($F$1:$F960, F961, $H$1:$H960))
</f>
        <v/>
      </c>
      <c r="I961" s="26"/>
      <c r="J961" s="26" t="s">
        <v>77</v>
      </c>
      <c r="L961" s="27" t="s">
        <v>77</v>
      </c>
      <c r="N961" s="28" t="s">
        <v>77</v>
      </c>
      <c r="Q961" s="30"/>
    </row>
    <row r="962">
      <c r="B962" s="6"/>
      <c r="C962" s="33" t="str">
        <f t="array" ref="C962">IF(B962="", "", XLOOKUP(B962, Inventory!D:D,Inventory!E:E,"No Name Found"))</f>
        <v/>
      </c>
      <c r="D962" s="6"/>
      <c r="E962" s="6"/>
      <c r="F962" s="6"/>
      <c r="G962" s="24" t="str">
        <f>IF(F962="", "", VLOOKUP(F962, Inventory!A:BZ, 3, FALSE) - SUMIF($F$1:$F961, F962, $H$1:$H961))
</f>
        <v/>
      </c>
      <c r="I962" s="26"/>
      <c r="J962" s="26" t="s">
        <v>77</v>
      </c>
      <c r="L962" s="27" t="s">
        <v>77</v>
      </c>
      <c r="N962" s="28" t="s">
        <v>77</v>
      </c>
      <c r="Q962" s="30"/>
    </row>
    <row r="963">
      <c r="B963" s="6"/>
      <c r="C963" s="33" t="str">
        <f t="array" ref="C963">IF(B963="", "", XLOOKUP(B963, Inventory!D:D,Inventory!E:E,"No Name Found"))</f>
        <v/>
      </c>
      <c r="D963" s="6"/>
      <c r="E963" s="6"/>
      <c r="F963" s="6"/>
      <c r="G963" s="24" t="str">
        <f>IF(F963="", "", VLOOKUP(F963, Inventory!A:BZ, 3, FALSE) - SUMIF($F$1:$F962, F963, $H$1:$H962))
</f>
        <v/>
      </c>
      <c r="I963" s="26"/>
      <c r="J963" s="26" t="s">
        <v>77</v>
      </c>
      <c r="L963" s="27" t="s">
        <v>77</v>
      </c>
      <c r="N963" s="28" t="s">
        <v>77</v>
      </c>
      <c r="Q963" s="30"/>
    </row>
    <row r="964">
      <c r="B964" s="6"/>
      <c r="C964" s="33" t="str">
        <f t="array" ref="C964">IF(B964="", "", XLOOKUP(B964, Inventory!D:D,Inventory!E:E,"No Name Found"))</f>
        <v/>
      </c>
      <c r="D964" s="6"/>
      <c r="E964" s="6"/>
      <c r="F964" s="6"/>
      <c r="G964" s="24" t="str">
        <f>IF(F964="", "", VLOOKUP(F964, Inventory!A:BZ, 3, FALSE) - SUMIF($F$1:$F963, F964, $H$1:$H963))
</f>
        <v/>
      </c>
      <c r="I964" s="26"/>
      <c r="J964" s="26" t="s">
        <v>77</v>
      </c>
      <c r="L964" s="27" t="s">
        <v>77</v>
      </c>
      <c r="N964" s="28" t="s">
        <v>77</v>
      </c>
      <c r="Q964" s="30"/>
    </row>
    <row r="965">
      <c r="B965" s="6"/>
      <c r="C965" s="33" t="str">
        <f t="array" ref="C965">IF(B965="", "", XLOOKUP(B965, Inventory!D:D,Inventory!E:E,"No Name Found"))</f>
        <v/>
      </c>
      <c r="D965" s="6"/>
      <c r="E965" s="6"/>
      <c r="F965" s="6"/>
      <c r="G965" s="24" t="str">
        <f>IF(F965="", "", VLOOKUP(F965, Inventory!A:BZ, 3, FALSE) - SUMIF($F$1:$F964, F965, $H$1:$H964))
</f>
        <v/>
      </c>
      <c r="I965" s="26"/>
      <c r="J965" s="26" t="s">
        <v>77</v>
      </c>
      <c r="L965" s="27" t="s">
        <v>77</v>
      </c>
      <c r="N965" s="28" t="s">
        <v>77</v>
      </c>
      <c r="Q965" s="30"/>
    </row>
    <row r="966">
      <c r="B966" s="6"/>
      <c r="C966" s="33" t="str">
        <f t="array" ref="C966">IF(B966="", "", XLOOKUP(B966, Inventory!D:D,Inventory!E:E,"No Name Found"))</f>
        <v/>
      </c>
      <c r="D966" s="6"/>
      <c r="E966" s="6"/>
      <c r="F966" s="6"/>
      <c r="G966" s="24" t="str">
        <f>IF(F966="", "", VLOOKUP(F966, Inventory!A:BZ, 3, FALSE) - SUMIF($F$1:$F965, F966, $H$1:$H965))
</f>
        <v/>
      </c>
      <c r="I966" s="26"/>
      <c r="J966" s="26" t="s">
        <v>77</v>
      </c>
      <c r="L966" s="27" t="s">
        <v>77</v>
      </c>
      <c r="N966" s="28" t="s">
        <v>77</v>
      </c>
      <c r="Q966" s="30"/>
    </row>
    <row r="967">
      <c r="B967" s="6"/>
      <c r="C967" s="33" t="str">
        <f t="array" ref="C967">IF(B967="", "", XLOOKUP(B967, Inventory!D:D,Inventory!E:E,"No Name Found"))</f>
        <v/>
      </c>
      <c r="D967" s="6"/>
      <c r="E967" s="6"/>
      <c r="F967" s="6"/>
      <c r="G967" s="24" t="str">
        <f>IF(F967="", "", VLOOKUP(F967, Inventory!A:BZ, 3, FALSE) - SUMIF($F$1:$F966, F967, $H$1:$H966))
</f>
        <v/>
      </c>
      <c r="I967" s="26"/>
      <c r="J967" s="26" t="s">
        <v>77</v>
      </c>
      <c r="L967" s="27" t="s">
        <v>77</v>
      </c>
      <c r="N967" s="28" t="s">
        <v>77</v>
      </c>
      <c r="Q967" s="30"/>
    </row>
    <row r="968">
      <c r="B968" s="6"/>
      <c r="C968" s="33" t="str">
        <f t="array" ref="C968">IF(B968="", "", XLOOKUP(B968, Inventory!D:D,Inventory!E:E,"No Name Found"))</f>
        <v/>
      </c>
      <c r="D968" s="6"/>
      <c r="E968" s="6"/>
      <c r="F968" s="6"/>
      <c r="G968" s="24" t="str">
        <f>IF(F968="", "", VLOOKUP(F968, Inventory!A:BZ, 3, FALSE) - SUMIF($F$1:$F967, F968, $H$1:$H967))
</f>
        <v/>
      </c>
      <c r="I968" s="26"/>
      <c r="J968" s="26" t="s">
        <v>77</v>
      </c>
      <c r="L968" s="27" t="s">
        <v>77</v>
      </c>
      <c r="N968" s="28" t="s">
        <v>77</v>
      </c>
      <c r="Q968" s="30"/>
    </row>
    <row r="969">
      <c r="B969" s="6"/>
      <c r="C969" s="33" t="str">
        <f t="array" ref="C969">IF(B969="", "", XLOOKUP(B969, Inventory!D:D,Inventory!E:E,"No Name Found"))</f>
        <v/>
      </c>
      <c r="D969" s="6"/>
      <c r="E969" s="6"/>
      <c r="F969" s="6"/>
      <c r="G969" s="24" t="str">
        <f>IF(F969="", "", VLOOKUP(F969, Inventory!A:BZ, 3, FALSE) - SUMIF($F$1:$F968, F969, $H$1:$H968))
</f>
        <v/>
      </c>
      <c r="I969" s="26"/>
      <c r="J969" s="26" t="s">
        <v>77</v>
      </c>
      <c r="L969" s="27" t="s">
        <v>77</v>
      </c>
      <c r="N969" s="28" t="s">
        <v>77</v>
      </c>
      <c r="Q969" s="30"/>
    </row>
    <row r="970">
      <c r="B970" s="6"/>
      <c r="C970" s="33" t="str">
        <f t="array" ref="C970">IF(B970="", "", XLOOKUP(B970, Inventory!D:D,Inventory!E:E,"No Name Found"))</f>
        <v/>
      </c>
      <c r="D970" s="6"/>
      <c r="E970" s="6"/>
      <c r="F970" s="6"/>
      <c r="G970" s="24" t="str">
        <f>IF(F970="", "", VLOOKUP(F970, Inventory!A:BZ, 3, FALSE) - SUMIF($F$1:$F969, F970, $H$1:$H969))
</f>
        <v/>
      </c>
      <c r="I970" s="26"/>
      <c r="J970" s="26" t="s">
        <v>77</v>
      </c>
      <c r="L970" s="27" t="s">
        <v>77</v>
      </c>
      <c r="N970" s="28" t="s">
        <v>77</v>
      </c>
      <c r="Q970" s="30"/>
    </row>
    <row r="971">
      <c r="B971" s="6"/>
      <c r="C971" s="33" t="str">
        <f t="array" ref="C971">IF(B971="", "", XLOOKUP(B971, Inventory!D:D,Inventory!E:E,"No Name Found"))</f>
        <v/>
      </c>
      <c r="D971" s="6"/>
      <c r="E971" s="6"/>
      <c r="F971" s="6"/>
      <c r="G971" s="24" t="str">
        <f>IF(F971="", "", VLOOKUP(F971, Inventory!A:BZ, 3, FALSE) - SUMIF($F$1:$F970, F971, $H$1:$H970))
</f>
        <v/>
      </c>
      <c r="I971" s="26"/>
      <c r="J971" s="26" t="s">
        <v>77</v>
      </c>
      <c r="L971" s="27" t="s">
        <v>77</v>
      </c>
      <c r="N971" s="28" t="s">
        <v>77</v>
      </c>
      <c r="Q971" s="30"/>
    </row>
    <row r="972">
      <c r="B972" s="6"/>
      <c r="C972" s="33" t="str">
        <f t="array" ref="C972">IF(B972="", "", XLOOKUP(B972, Inventory!D:D,Inventory!E:E,"No Name Found"))</f>
        <v/>
      </c>
      <c r="D972" s="6"/>
      <c r="E972" s="6"/>
      <c r="F972" s="6"/>
      <c r="G972" s="24" t="str">
        <f>IF(F972="", "", VLOOKUP(F972, Inventory!A:BZ, 3, FALSE) - SUMIF($F$1:$F971, F972, $H$1:$H971))
</f>
        <v/>
      </c>
      <c r="I972" s="26"/>
      <c r="J972" s="26" t="s">
        <v>77</v>
      </c>
      <c r="L972" s="27" t="s">
        <v>77</v>
      </c>
      <c r="N972" s="28" t="s">
        <v>77</v>
      </c>
      <c r="Q972" s="30"/>
    </row>
    <row r="973">
      <c r="B973" s="6"/>
      <c r="C973" s="33" t="str">
        <f t="array" ref="C973">IF(B973="", "", XLOOKUP(B973, Inventory!D:D,Inventory!E:E,"No Name Found"))</f>
        <v/>
      </c>
      <c r="D973" s="6"/>
      <c r="E973" s="6"/>
      <c r="F973" s="6"/>
      <c r="G973" s="24" t="str">
        <f>IF(F973="", "", VLOOKUP(F973, Inventory!A:BZ, 3, FALSE) - SUMIF($F$1:$F972, F973, $H$1:$H972))
</f>
        <v/>
      </c>
      <c r="I973" s="26"/>
      <c r="J973" s="26" t="s">
        <v>77</v>
      </c>
      <c r="L973" s="27" t="s">
        <v>77</v>
      </c>
      <c r="N973" s="28" t="s">
        <v>77</v>
      </c>
      <c r="Q973" s="30"/>
    </row>
    <row r="974">
      <c r="B974" s="6"/>
      <c r="C974" s="33" t="str">
        <f t="array" ref="C974">IF(B974="", "", XLOOKUP(B974, Inventory!D:D,Inventory!E:E,"No Name Found"))</f>
        <v/>
      </c>
      <c r="D974" s="6"/>
      <c r="E974" s="6"/>
      <c r="F974" s="6"/>
      <c r="G974" s="24" t="str">
        <f>IF(F974="", "", VLOOKUP(F974, Inventory!A:BZ, 3, FALSE) - SUMIF($F$1:$F973, F974, $H$1:$H973))
</f>
        <v/>
      </c>
      <c r="I974" s="26"/>
      <c r="J974" s="26" t="s">
        <v>77</v>
      </c>
      <c r="L974" s="27" t="s">
        <v>77</v>
      </c>
      <c r="N974" s="28" t="s">
        <v>77</v>
      </c>
      <c r="Q974" s="30"/>
    </row>
    <row r="975">
      <c r="B975" s="6"/>
      <c r="C975" s="33" t="str">
        <f t="array" ref="C975">IF(B975="", "", XLOOKUP(B975, Inventory!D:D,Inventory!E:E,"No Name Found"))</f>
        <v/>
      </c>
      <c r="D975" s="6"/>
      <c r="E975" s="6"/>
      <c r="F975" s="6"/>
      <c r="G975" s="24" t="str">
        <f>IF(F975="", "", VLOOKUP(F975, Inventory!A:BZ, 3, FALSE) - SUMIF($F$1:$F974, F975, $H$1:$H974))
</f>
        <v/>
      </c>
      <c r="I975" s="26"/>
      <c r="J975" s="26" t="s">
        <v>77</v>
      </c>
      <c r="L975" s="27" t="s">
        <v>77</v>
      </c>
      <c r="N975" s="28" t="s">
        <v>77</v>
      </c>
      <c r="Q975" s="30"/>
    </row>
    <row r="976">
      <c r="B976" s="6"/>
      <c r="C976" s="33" t="str">
        <f t="array" ref="C976">IF(B976="", "", XLOOKUP(B976, Inventory!D:D,Inventory!E:E,"No Name Found"))</f>
        <v/>
      </c>
      <c r="D976" s="6"/>
      <c r="E976" s="6"/>
      <c r="F976" s="6"/>
      <c r="G976" s="24" t="str">
        <f>IF(F976="", "", VLOOKUP(F976, Inventory!A:BZ, 3, FALSE) - SUMIF($F$1:$F975, F976, $H$1:$H975))
</f>
        <v/>
      </c>
      <c r="I976" s="26"/>
      <c r="J976" s="26" t="s">
        <v>77</v>
      </c>
      <c r="L976" s="27" t="s">
        <v>77</v>
      </c>
      <c r="N976" s="28" t="s">
        <v>77</v>
      </c>
      <c r="Q976" s="30"/>
    </row>
    <row r="977">
      <c r="B977" s="6"/>
      <c r="C977" s="33" t="str">
        <f t="array" ref="C977">IF(B977="", "", XLOOKUP(B977, Inventory!D:D,Inventory!E:E,"No Name Found"))</f>
        <v/>
      </c>
      <c r="D977" s="6"/>
      <c r="E977" s="6"/>
      <c r="F977" s="6"/>
      <c r="G977" s="24" t="str">
        <f>IF(F977="", "", VLOOKUP(F977, Inventory!A:BZ, 3, FALSE) - SUMIF($F$1:$F976, F977, $H$1:$H976))
</f>
        <v/>
      </c>
      <c r="I977" s="26"/>
      <c r="J977" s="26" t="s">
        <v>77</v>
      </c>
      <c r="L977" s="27" t="s">
        <v>77</v>
      </c>
      <c r="N977" s="28" t="s">
        <v>77</v>
      </c>
      <c r="Q977" s="30"/>
    </row>
    <row r="978">
      <c r="B978" s="6"/>
      <c r="C978" s="33" t="str">
        <f t="array" ref="C978">IF(B978="", "", XLOOKUP(B978, Inventory!D:D,Inventory!E:E,"No Name Found"))</f>
        <v/>
      </c>
      <c r="D978" s="6"/>
      <c r="E978" s="6"/>
      <c r="F978" s="6"/>
      <c r="G978" s="24" t="str">
        <f>IF(F978="", "", VLOOKUP(F978, Inventory!A:BZ, 3, FALSE) - SUMIF($F$1:$F977, F978, $H$1:$H977))
</f>
        <v/>
      </c>
      <c r="I978" s="26"/>
      <c r="J978" s="26" t="s">
        <v>77</v>
      </c>
      <c r="L978" s="27" t="s">
        <v>77</v>
      </c>
      <c r="N978" s="28" t="s">
        <v>77</v>
      </c>
      <c r="Q978" s="30"/>
    </row>
    <row r="979">
      <c r="B979" s="6"/>
      <c r="C979" s="33" t="str">
        <f t="array" ref="C979">IF(B979="", "", XLOOKUP(B979, Inventory!D:D,Inventory!E:E,"No Name Found"))</f>
        <v/>
      </c>
      <c r="D979" s="6"/>
      <c r="E979" s="6"/>
      <c r="F979" s="6"/>
      <c r="G979" s="24" t="str">
        <f>IF(F979="", "", VLOOKUP(F979, Inventory!A:BZ, 3, FALSE) - SUMIF($F$1:$F978, F979, $H$1:$H978))
</f>
        <v/>
      </c>
      <c r="I979" s="26"/>
      <c r="J979" s="26" t="s">
        <v>77</v>
      </c>
      <c r="L979" s="27" t="s">
        <v>77</v>
      </c>
      <c r="N979" s="28" t="s">
        <v>77</v>
      </c>
      <c r="Q979" s="30"/>
    </row>
    <row r="980">
      <c r="B980" s="6"/>
      <c r="C980" s="33" t="str">
        <f t="array" ref="C980">IF(B980="", "", XLOOKUP(B980, Inventory!D:D,Inventory!E:E,"No Name Found"))</f>
        <v/>
      </c>
      <c r="D980" s="6"/>
      <c r="E980" s="6"/>
      <c r="F980" s="6"/>
      <c r="G980" s="24" t="str">
        <f>IF(F980="", "", VLOOKUP(F980, Inventory!A:BZ, 3, FALSE) - SUMIF($F$1:$F979, F980, $H$1:$H979))
</f>
        <v/>
      </c>
      <c r="I980" s="26"/>
      <c r="J980" s="26" t="s">
        <v>77</v>
      </c>
      <c r="L980" s="27" t="s">
        <v>77</v>
      </c>
      <c r="N980" s="28" t="s">
        <v>77</v>
      </c>
      <c r="Q980" s="30"/>
    </row>
    <row r="981">
      <c r="B981" s="6"/>
      <c r="C981" s="33" t="str">
        <f t="array" ref="C981">IF(B981="", "", XLOOKUP(B981, Inventory!D:D,Inventory!E:E,"No Name Found"))</f>
        <v/>
      </c>
      <c r="D981" s="6"/>
      <c r="E981" s="6"/>
      <c r="F981" s="6"/>
      <c r="G981" s="24" t="str">
        <f>IF(F981="", "", VLOOKUP(F981, Inventory!A:BZ, 3, FALSE) - SUMIF($F$1:$F980, F981, $H$1:$H980))
</f>
        <v/>
      </c>
      <c r="I981" s="26"/>
      <c r="J981" s="26" t="s">
        <v>77</v>
      </c>
      <c r="L981" s="27" t="s">
        <v>77</v>
      </c>
      <c r="N981" s="28" t="s">
        <v>77</v>
      </c>
      <c r="Q981" s="30"/>
    </row>
    <row r="982">
      <c r="B982" s="6"/>
      <c r="C982" s="33" t="str">
        <f t="array" ref="C982">IF(B982="", "", XLOOKUP(B982, Inventory!D:D,Inventory!E:E,"No Name Found"))</f>
        <v/>
      </c>
      <c r="D982" s="6"/>
      <c r="E982" s="6"/>
      <c r="F982" s="6"/>
      <c r="G982" s="24" t="str">
        <f>IF(F982="", "", VLOOKUP(F982, Inventory!A:BZ, 3, FALSE) - SUMIF($F$1:$F981, F982, $H$1:$H981))
</f>
        <v/>
      </c>
      <c r="I982" s="26"/>
      <c r="J982" s="26" t="s">
        <v>77</v>
      </c>
      <c r="L982" s="27" t="s">
        <v>77</v>
      </c>
      <c r="N982" s="28" t="s">
        <v>77</v>
      </c>
      <c r="Q982" s="30"/>
    </row>
    <row r="983">
      <c r="B983" s="6"/>
      <c r="C983" s="33" t="str">
        <f t="array" ref="C983">IF(B983="", "", XLOOKUP(B983, Inventory!D:D,Inventory!E:E,"No Name Found"))</f>
        <v/>
      </c>
      <c r="D983" s="6"/>
      <c r="E983" s="6"/>
      <c r="F983" s="6"/>
      <c r="G983" s="24" t="str">
        <f>IF(F983="", "", VLOOKUP(F983, Inventory!A:BZ, 3, FALSE) - SUMIF($F$1:$F982, F983, $H$1:$H982))
</f>
        <v/>
      </c>
      <c r="I983" s="26"/>
      <c r="J983" s="26" t="s">
        <v>77</v>
      </c>
      <c r="L983" s="27" t="s">
        <v>77</v>
      </c>
      <c r="N983" s="28" t="s">
        <v>77</v>
      </c>
      <c r="Q983" s="30"/>
    </row>
    <row r="984">
      <c r="B984" s="6"/>
      <c r="C984" s="33" t="str">
        <f t="array" ref="C984">IF(B984="", "", XLOOKUP(B984, Inventory!D:D,Inventory!E:E,"No Name Found"))</f>
        <v/>
      </c>
      <c r="D984" s="6"/>
      <c r="E984" s="6"/>
      <c r="F984" s="6"/>
      <c r="G984" s="24" t="str">
        <f>IF(F984="", "", VLOOKUP(F984, Inventory!A:BZ, 3, FALSE) - SUMIF($F$1:$F983, F984, $H$1:$H983))
</f>
        <v/>
      </c>
      <c r="I984" s="26"/>
      <c r="J984" s="26" t="s">
        <v>77</v>
      </c>
      <c r="L984" s="27" t="s">
        <v>77</v>
      </c>
      <c r="N984" s="28" t="s">
        <v>77</v>
      </c>
      <c r="Q984" s="30"/>
    </row>
    <row r="985">
      <c r="B985" s="6"/>
      <c r="C985" s="33" t="str">
        <f t="array" ref="C985">IF(B985="", "", XLOOKUP(B985, Inventory!D:D,Inventory!E:E,"No Name Found"))</f>
        <v/>
      </c>
      <c r="D985" s="6"/>
      <c r="E985" s="6"/>
      <c r="F985" s="6"/>
      <c r="G985" s="24" t="str">
        <f>IF(F985="", "", VLOOKUP(F985, Inventory!A:BZ, 3, FALSE) - SUMIF($F$1:$F984, F985, $H$1:$H984))
</f>
        <v/>
      </c>
      <c r="I985" s="26"/>
      <c r="J985" s="26" t="s">
        <v>77</v>
      </c>
      <c r="L985" s="27" t="s">
        <v>77</v>
      </c>
      <c r="N985" s="28" t="s">
        <v>77</v>
      </c>
      <c r="Q985" s="30"/>
    </row>
    <row r="986">
      <c r="B986" s="6"/>
      <c r="C986" s="33" t="str">
        <f t="array" ref="C986">IF(B986="", "", XLOOKUP(B986, Inventory!D:D,Inventory!E:E,"No Name Found"))</f>
        <v/>
      </c>
      <c r="D986" s="6"/>
      <c r="E986" s="6"/>
      <c r="F986" s="6"/>
      <c r="G986" s="24" t="str">
        <f>IF(F986="", "", VLOOKUP(F986, Inventory!A:BZ, 3, FALSE) - SUMIF($F$1:$F985, F986, $H$1:$H985))
</f>
        <v/>
      </c>
      <c r="I986" s="26"/>
      <c r="J986" s="26" t="s">
        <v>77</v>
      </c>
      <c r="L986" s="27" t="s">
        <v>77</v>
      </c>
      <c r="N986" s="28" t="s">
        <v>77</v>
      </c>
      <c r="Q986" s="30"/>
    </row>
    <row r="987">
      <c r="B987" s="6"/>
      <c r="C987" s="33" t="str">
        <f t="array" ref="C987">IF(B987="", "", XLOOKUP(B987, Inventory!D:D,Inventory!E:E,"No Name Found"))</f>
        <v/>
      </c>
      <c r="D987" s="6"/>
      <c r="E987" s="6"/>
      <c r="F987" s="6"/>
      <c r="G987" s="24" t="str">
        <f>IF(F987="", "", VLOOKUP(F987, Inventory!A:BZ, 3, FALSE) - SUMIF($F$1:$F986, F987, $H$1:$H986))
</f>
        <v/>
      </c>
      <c r="I987" s="26"/>
      <c r="J987" s="26" t="s">
        <v>77</v>
      </c>
      <c r="L987" s="27" t="s">
        <v>77</v>
      </c>
      <c r="N987" s="28" t="s">
        <v>77</v>
      </c>
      <c r="Q987" s="30"/>
    </row>
    <row r="988">
      <c r="B988" s="6"/>
      <c r="C988" s="33" t="str">
        <f t="array" ref="C988">IF(B988="", "", XLOOKUP(B988, Inventory!D:D,Inventory!E:E,"No Name Found"))</f>
        <v/>
      </c>
      <c r="D988" s="6"/>
      <c r="E988" s="6"/>
      <c r="F988" s="6"/>
      <c r="G988" s="24" t="str">
        <f>IF(F988="", "", VLOOKUP(F988, Inventory!A:BZ, 3, FALSE) - SUMIF($F$1:$F987, F988, $H$1:$H987))
</f>
        <v/>
      </c>
      <c r="I988" s="26"/>
      <c r="J988" s="26" t="s">
        <v>77</v>
      </c>
      <c r="L988" s="27" t="s">
        <v>77</v>
      </c>
      <c r="N988" s="28" t="s">
        <v>77</v>
      </c>
      <c r="Q988" s="30"/>
    </row>
    <row r="989">
      <c r="B989" s="6"/>
      <c r="C989" s="33" t="str">
        <f t="array" ref="C989">IF(B989="", "", XLOOKUP(B989, Inventory!D:D,Inventory!E:E,"No Name Found"))</f>
        <v/>
      </c>
      <c r="D989" s="6"/>
      <c r="E989" s="6"/>
      <c r="F989" s="6"/>
      <c r="G989" s="24" t="str">
        <f>IF(F989="", "", VLOOKUP(F989, Inventory!A:BZ, 3, FALSE) - SUMIF($F$1:$F988, F989, $H$1:$H988))
</f>
        <v/>
      </c>
      <c r="I989" s="26"/>
      <c r="J989" s="26" t="s">
        <v>77</v>
      </c>
      <c r="L989" s="27" t="s">
        <v>77</v>
      </c>
      <c r="N989" s="28" t="s">
        <v>77</v>
      </c>
      <c r="Q989" s="30"/>
    </row>
    <row r="990">
      <c r="B990" s="6"/>
      <c r="C990" s="33" t="str">
        <f t="array" ref="C990">IF(B990="", "", XLOOKUP(B990, Inventory!D:D,Inventory!E:E,"No Name Found"))</f>
        <v/>
      </c>
      <c r="D990" s="6"/>
      <c r="E990" s="6"/>
      <c r="F990" s="6"/>
      <c r="G990" s="24" t="str">
        <f>IF(F990="", "", VLOOKUP(F990, Inventory!A:BZ, 3, FALSE) - SUMIF($F$1:$F989, F990, $H$1:$H989))
</f>
        <v/>
      </c>
      <c r="I990" s="26"/>
      <c r="J990" s="26" t="s">
        <v>77</v>
      </c>
      <c r="L990" s="27" t="s">
        <v>77</v>
      </c>
      <c r="N990" s="28" t="s">
        <v>77</v>
      </c>
      <c r="Q990" s="30"/>
    </row>
    <row r="991">
      <c r="B991" s="6"/>
      <c r="C991" s="33" t="str">
        <f t="array" ref="C991">IF(B991="", "", XLOOKUP(B991, Inventory!D:D,Inventory!E:E,"No Name Found"))</f>
        <v/>
      </c>
      <c r="D991" s="6"/>
      <c r="E991" s="6"/>
      <c r="F991" s="6"/>
      <c r="G991" s="24" t="str">
        <f>IF(F991="", "", VLOOKUP(F991, Inventory!A:BZ, 3, FALSE) - SUMIF($F$1:$F990, F991, $H$1:$H990))
</f>
        <v/>
      </c>
      <c r="I991" s="26"/>
      <c r="J991" s="26" t="s">
        <v>77</v>
      </c>
      <c r="L991" s="27" t="s">
        <v>77</v>
      </c>
      <c r="N991" s="28" t="s">
        <v>77</v>
      </c>
      <c r="Q991" s="30"/>
    </row>
    <row r="992">
      <c r="B992" s="6"/>
      <c r="C992" s="33" t="str">
        <f t="array" ref="C992">IF(B992="", "", XLOOKUP(B992, Inventory!D:D,Inventory!E:E,"No Name Found"))</f>
        <v/>
      </c>
      <c r="D992" s="6"/>
      <c r="E992" s="6"/>
      <c r="F992" s="6"/>
      <c r="G992" s="24" t="str">
        <f>IF(F992="", "", VLOOKUP(F992, Inventory!A:BZ, 3, FALSE) - SUMIF($F$1:$F991, F992, $H$1:$H991))
</f>
        <v/>
      </c>
      <c r="I992" s="26"/>
      <c r="J992" s="26" t="s">
        <v>77</v>
      </c>
      <c r="L992" s="27" t="s">
        <v>77</v>
      </c>
      <c r="N992" s="28" t="s">
        <v>77</v>
      </c>
      <c r="Q992" s="30"/>
    </row>
    <row r="993">
      <c r="B993" s="6"/>
      <c r="C993" s="33" t="str">
        <f t="array" ref="C993">IF(B993="", "", XLOOKUP(B993, Inventory!D:D,Inventory!E:E,"No Name Found"))</f>
        <v/>
      </c>
      <c r="D993" s="6"/>
      <c r="E993" s="6"/>
      <c r="F993" s="6"/>
      <c r="G993" s="24" t="str">
        <f>IF(F993="", "", VLOOKUP(F993, Inventory!A:BZ, 3, FALSE) - SUMIF($F$1:$F992, F993, $H$1:$H992))
</f>
        <v/>
      </c>
      <c r="I993" s="26"/>
      <c r="J993" s="26" t="s">
        <v>77</v>
      </c>
      <c r="L993" s="27" t="s">
        <v>77</v>
      </c>
      <c r="N993" s="28" t="s">
        <v>77</v>
      </c>
      <c r="Q993" s="30"/>
    </row>
    <row r="994">
      <c r="B994" s="6"/>
      <c r="C994" s="33" t="str">
        <f t="array" ref="C994">IF(B994="", "", XLOOKUP(B994, Inventory!D:D,Inventory!E:E,"No Name Found"))</f>
        <v/>
      </c>
      <c r="D994" s="6"/>
      <c r="E994" s="6"/>
      <c r="F994" s="6"/>
      <c r="G994" s="24" t="str">
        <f>IF(F994="", "", VLOOKUP(F994, Inventory!A:BZ, 3, FALSE) - SUMIF($F$1:$F993, F994, $H$1:$H993))
</f>
        <v/>
      </c>
      <c r="I994" s="26"/>
      <c r="J994" s="26" t="s">
        <v>77</v>
      </c>
      <c r="L994" s="27" t="s">
        <v>77</v>
      </c>
      <c r="N994" s="28" t="s">
        <v>77</v>
      </c>
      <c r="Q994" s="30"/>
    </row>
    <row r="995">
      <c r="B995" s="6"/>
      <c r="C995" s="33" t="str">
        <f t="array" ref="C995">IF(B995="", "", XLOOKUP(B995, Inventory!D:D,Inventory!E:E,"No Name Found"))</f>
        <v/>
      </c>
      <c r="D995" s="6"/>
      <c r="E995" s="6"/>
      <c r="F995" s="6"/>
      <c r="G995" s="24" t="str">
        <f>IF(F995="", "", VLOOKUP(F995, Inventory!A:BZ, 3, FALSE) - SUMIF($F$1:$F994, F995, $H$1:$H994))
</f>
        <v/>
      </c>
      <c r="I995" s="26"/>
      <c r="J995" s="26" t="s">
        <v>77</v>
      </c>
      <c r="L995" s="27" t="s">
        <v>77</v>
      </c>
      <c r="N995" s="28" t="s">
        <v>77</v>
      </c>
      <c r="Q995" s="30"/>
    </row>
    <row r="996">
      <c r="B996" s="6"/>
      <c r="C996" s="33" t="str">
        <f t="array" ref="C996">IF(B996="", "", XLOOKUP(B996, Inventory!D:D,Inventory!E:E,"No Name Found"))</f>
        <v/>
      </c>
      <c r="D996" s="6"/>
      <c r="E996" s="6"/>
      <c r="F996" s="6"/>
      <c r="G996" s="24" t="str">
        <f>IF(F996="", "", VLOOKUP(F996, Inventory!A:BZ, 3, FALSE) - SUMIF($F$1:$F995, F996, $H$1:$H995))
</f>
        <v/>
      </c>
      <c r="I996" s="26"/>
      <c r="J996" s="26" t="s">
        <v>77</v>
      </c>
      <c r="L996" s="27" t="s">
        <v>77</v>
      </c>
      <c r="N996" s="28" t="s">
        <v>77</v>
      </c>
      <c r="Q996" s="30"/>
    </row>
    <row r="997">
      <c r="B997" s="6"/>
      <c r="C997" s="33" t="str">
        <f t="array" ref="C997">IF(B997="", "", XLOOKUP(B997, Inventory!D:D,Inventory!E:E,"No Name Found"))</f>
        <v/>
      </c>
      <c r="D997" s="6"/>
      <c r="E997" s="6"/>
      <c r="F997" s="6"/>
      <c r="G997" s="24" t="str">
        <f>IF(F997="", "", VLOOKUP(F997, Inventory!A:BZ, 3, FALSE) - SUMIF($F$1:$F996, F997, $H$1:$H996))
</f>
        <v/>
      </c>
      <c r="I997" s="26"/>
      <c r="J997" s="26" t="s">
        <v>77</v>
      </c>
      <c r="L997" s="27" t="s">
        <v>77</v>
      </c>
      <c r="N997" s="28" t="s">
        <v>77</v>
      </c>
      <c r="Q997" s="30"/>
    </row>
    <row r="998">
      <c r="B998" s="6"/>
      <c r="C998" s="33" t="str">
        <f t="array" ref="C998">IF(B998="", "", XLOOKUP(B998, Inventory!D:D,Inventory!E:E,"No Name Found"))</f>
        <v/>
      </c>
      <c r="D998" s="6"/>
      <c r="E998" s="6"/>
      <c r="F998" s="6"/>
      <c r="G998" s="24" t="str">
        <f>IF(F998="", "", VLOOKUP(F998, Inventory!A:BZ, 3, FALSE) - SUMIF($F$1:$F997, F998, $H$1:$H997))
</f>
        <v/>
      </c>
      <c r="I998" s="26"/>
      <c r="J998" s="26" t="s">
        <v>77</v>
      </c>
      <c r="L998" s="27" t="s">
        <v>77</v>
      </c>
      <c r="N998" s="28" t="s">
        <v>77</v>
      </c>
      <c r="Q998" s="30"/>
    </row>
    <row r="999">
      <c r="B999" s="6"/>
      <c r="C999" s="33" t="str">
        <f t="array" ref="C999">IF(B999="", "", XLOOKUP(B999, Inventory!D:D,Inventory!E:E,"No Name Found"))</f>
        <v/>
      </c>
      <c r="D999" s="6"/>
      <c r="E999" s="6"/>
      <c r="F999" s="6"/>
      <c r="G999" s="24" t="str">
        <f>IF(F999="", "", VLOOKUP(F999, Inventory!A:BZ, 3, FALSE) - SUMIF($F$1:$F998, F999, $H$1:$H998))
</f>
        <v/>
      </c>
      <c r="I999" s="26"/>
      <c r="J999" s="26" t="s">
        <v>77</v>
      </c>
      <c r="L999" s="27" t="s">
        <v>77</v>
      </c>
      <c r="N999" s="28" t="s">
        <v>77</v>
      </c>
      <c r="Q999" s="30"/>
    </row>
    <row r="1000">
      <c r="B1000" s="6"/>
      <c r="C1000" s="33" t="str">
        <f t="array" ref="C1000">IF(B1000="", "", XLOOKUP(B1000, Inventory!D:D,Inventory!E:E,"No Name Found"))</f>
        <v/>
      </c>
      <c r="D1000" s="6"/>
      <c r="E1000" s="6"/>
      <c r="F1000" s="6"/>
      <c r="G1000" s="24" t="str">
        <f>IF(F1000="", "", VLOOKUP(F1000, Inventory!A:BZ, 3, FALSE) - SUMIF($F$1:$F999, F1000, $H$1:$H999))
</f>
        <v/>
      </c>
      <c r="I1000" s="26"/>
      <c r="J1000" s="26" t="s">
        <v>77</v>
      </c>
      <c r="L1000" s="27" t="s">
        <v>77</v>
      </c>
      <c r="N1000" s="28" t="s">
        <v>77</v>
      </c>
      <c r="Q1000" s="30"/>
    </row>
    <row r="1001">
      <c r="B1001" s="6"/>
      <c r="C1001" s="33" t="str">
        <f t="array" ref="C1001">IF(B1001="", "", XLOOKUP(B1001, Inventory!D:D,Inventory!E:E,"No Name Found"))</f>
        <v/>
      </c>
      <c r="D1001" s="6"/>
      <c r="E1001" s="6"/>
      <c r="F1001" s="6"/>
      <c r="G1001" s="24" t="str">
        <f>IF(F1001="", "", VLOOKUP(F1001, Inventory!A:BZ, 3, FALSE) - SUMIF($F$1:$F1000, F1001, $H$1:$H1000))
</f>
        <v/>
      </c>
      <c r="I1001" s="26"/>
      <c r="J1001" s="26" t="s">
        <v>77</v>
      </c>
      <c r="L1001" s="27" t="s">
        <v>77</v>
      </c>
      <c r="N1001" s="28" t="s">
        <v>77</v>
      </c>
      <c r="Q1001" s="30"/>
    </row>
    <row r="1002">
      <c r="B1002" s="6"/>
      <c r="C1002" s="33" t="str">
        <f t="array" ref="C1002">IF(B1002="", "", XLOOKUP(B1002, Inventory!D:D,Inventory!E:E,"No Name Found"))</f>
        <v/>
      </c>
      <c r="D1002" s="6"/>
      <c r="E1002" s="6"/>
      <c r="F1002" s="6"/>
      <c r="G1002" s="24" t="str">
        <f>IF(F1002="", "", VLOOKUP(F1002, Inventory!A:BZ, 3, FALSE) - SUMIF($F$1:$F1001, F1002, $H$1:$H1001))
</f>
        <v/>
      </c>
      <c r="I1002" s="26"/>
      <c r="J1002" s="26" t="s">
        <v>77</v>
      </c>
      <c r="L1002" s="27" t="s">
        <v>77</v>
      </c>
      <c r="N1002" s="28" t="s">
        <v>77</v>
      </c>
      <c r="Q1002" s="30"/>
    </row>
    <row r="1003">
      <c r="B1003" s="6"/>
      <c r="C1003" s="33" t="str">
        <f t="array" ref="C1003">IF(B1003="", "", XLOOKUP(B1003, Inventory!D:D,Inventory!E:E,"No Name Found"))</f>
        <v/>
      </c>
      <c r="D1003" s="6"/>
      <c r="E1003" s="6"/>
      <c r="F1003" s="6"/>
      <c r="G1003" s="24" t="str">
        <f>IF(F1003="", "", VLOOKUP(F1003, Inventory!A:BZ, 3, FALSE) - SUMIF($F$1:$F1002, F1003, $H$1:$H1002))
</f>
        <v/>
      </c>
      <c r="I1003" s="26"/>
      <c r="J1003" s="26" t="s">
        <v>77</v>
      </c>
      <c r="L1003" s="27" t="s">
        <v>77</v>
      </c>
      <c r="N1003" s="28" t="s">
        <v>77</v>
      </c>
      <c r="Q1003" s="30"/>
    </row>
    <row r="1004">
      <c r="B1004" s="6"/>
      <c r="C1004" s="33" t="str">
        <f t="array" ref="C1004">IF(B1004="", "", XLOOKUP(B1004, Inventory!D:D,Inventory!E:E,"No Name Found"))</f>
        <v/>
      </c>
      <c r="D1004" s="6"/>
      <c r="E1004" s="6"/>
      <c r="F1004" s="6"/>
      <c r="G1004" s="24" t="str">
        <f>IF(F1004="", "", VLOOKUP(F1004, Inventory!A:BZ, 3, FALSE) - SUMIF($F$1:$F1003, F1004, $H$1:$H1003))
</f>
        <v/>
      </c>
      <c r="I1004" s="26"/>
      <c r="J1004" s="26" t="s">
        <v>77</v>
      </c>
      <c r="L1004" s="27" t="s">
        <v>77</v>
      </c>
      <c r="N1004" s="28" t="s">
        <v>77</v>
      </c>
      <c r="Q1004" s="30"/>
    </row>
    <row r="1005">
      <c r="B1005" s="6"/>
      <c r="C1005" s="33" t="str">
        <f t="array" ref="C1005">IF(B1005="", "", XLOOKUP(B1005, Inventory!D:D,Inventory!E:E,"No Name Found"))</f>
        <v/>
      </c>
      <c r="D1005" s="6"/>
      <c r="E1005" s="6"/>
      <c r="F1005" s="6"/>
      <c r="G1005" s="24" t="str">
        <f>IF(F1005="", "", VLOOKUP(F1005, Inventory!A:BZ, 3, FALSE) - SUMIF($F$1:$F1004, F1005, $H$1:$H1004))
</f>
        <v/>
      </c>
      <c r="I1005" s="26"/>
      <c r="J1005" s="26" t="s">
        <v>77</v>
      </c>
      <c r="L1005" s="27" t="s">
        <v>77</v>
      </c>
      <c r="N1005" s="28" t="s">
        <v>77</v>
      </c>
      <c r="Q1005" s="30"/>
    </row>
    <row r="1006">
      <c r="B1006" s="6"/>
      <c r="C1006" s="33" t="str">
        <f t="array" ref="C1006">IF(B1006="", "", XLOOKUP(B1006, Inventory!D:D,Inventory!E:E,"No Name Found"))</f>
        <v/>
      </c>
      <c r="D1006" s="6"/>
      <c r="E1006" s="6"/>
      <c r="F1006" s="6"/>
      <c r="G1006" s="24" t="str">
        <f>IF(F1006="", "", VLOOKUP(F1006, Inventory!A:BZ, 3, FALSE) - SUMIF($F$1:$F1005, F1006, $H$1:$H1005))
</f>
        <v/>
      </c>
      <c r="I1006" s="26"/>
      <c r="J1006" s="26" t="s">
        <v>77</v>
      </c>
      <c r="L1006" s="27" t="s">
        <v>77</v>
      </c>
      <c r="N1006" s="28" t="s">
        <v>77</v>
      </c>
      <c r="Q1006" s="30"/>
    </row>
    <row r="1007">
      <c r="B1007" s="6"/>
      <c r="C1007" s="33" t="str">
        <f t="array" ref="C1007">IF(B1007="", "", XLOOKUP(B1007, Inventory!D:D,Inventory!E:E,"No Name Found"))</f>
        <v/>
      </c>
      <c r="D1007" s="6"/>
      <c r="E1007" s="6"/>
      <c r="F1007" s="6"/>
      <c r="G1007" s="24" t="str">
        <f>IF(F1007="", "", VLOOKUP(F1007, Inventory!A:BZ, 3, FALSE) - SUMIF($F$1:$F1006, F1007, $H$1:$H1006))
</f>
        <v/>
      </c>
      <c r="I1007" s="26"/>
      <c r="J1007" s="26" t="s">
        <v>77</v>
      </c>
      <c r="L1007" s="27" t="s">
        <v>77</v>
      </c>
      <c r="N1007" s="28" t="s">
        <v>77</v>
      </c>
      <c r="Q1007" s="30"/>
    </row>
    <row r="1008">
      <c r="B1008" s="6"/>
      <c r="C1008" s="33" t="str">
        <f t="array" ref="C1008">IF(B1008="", "", XLOOKUP(B1008, Inventory!D:D,Inventory!E:E,"No Name Found"))</f>
        <v/>
      </c>
      <c r="D1008" s="6"/>
      <c r="E1008" s="6"/>
      <c r="F1008" s="6"/>
      <c r="G1008" s="24" t="str">
        <f>IF(F1008="", "", VLOOKUP(F1008, Inventory!A:BZ, 3, FALSE) - SUMIF($F$1:$F1007, F1008, $H$1:$H1007))
</f>
        <v/>
      </c>
      <c r="I1008" s="26"/>
      <c r="J1008" s="26" t="s">
        <v>77</v>
      </c>
      <c r="L1008" s="27" t="s">
        <v>77</v>
      </c>
      <c r="N1008" s="28" t="s">
        <v>77</v>
      </c>
      <c r="Q1008" s="30"/>
    </row>
    <row r="1009">
      <c r="B1009" s="6"/>
      <c r="C1009" s="33" t="str">
        <f t="array" ref="C1009">IF(B1009="", "", XLOOKUP(B1009, Inventory!D:D,Inventory!E:E,"No Name Found"))</f>
        <v/>
      </c>
      <c r="D1009" s="6"/>
      <c r="E1009" s="6"/>
      <c r="F1009" s="6"/>
      <c r="G1009" s="24" t="str">
        <f>IF(F1009="", "", VLOOKUP(F1009, Inventory!A:BZ, 3, FALSE) - SUMIF($F$1:$F1008, F1009, $H$1:$H1008))
</f>
        <v/>
      </c>
      <c r="I1009" s="26"/>
      <c r="J1009" s="26" t="s">
        <v>77</v>
      </c>
      <c r="L1009" s="27" t="s">
        <v>77</v>
      </c>
      <c r="N1009" s="28" t="s">
        <v>77</v>
      </c>
      <c r="Q1009" s="30"/>
    </row>
    <row r="1010">
      <c r="B1010" s="6"/>
      <c r="C1010" s="33" t="str">
        <f t="array" ref="C1010">IF(B1010="", "", XLOOKUP(B1010, Inventory!D:D,Inventory!E:E,"No Name Found"))</f>
        <v/>
      </c>
      <c r="D1010" s="6"/>
      <c r="E1010" s="6"/>
      <c r="F1010" s="6"/>
      <c r="G1010" s="24" t="str">
        <f>IF(F1010="", "", VLOOKUP(F1010, Inventory!A:BZ, 3, FALSE) - SUMIF($F$1:$F1009, F1010, $H$1:$H1009))
</f>
        <v/>
      </c>
      <c r="I1010" s="26"/>
      <c r="J1010" s="26" t="s">
        <v>77</v>
      </c>
      <c r="L1010" s="27" t="s">
        <v>77</v>
      </c>
      <c r="N1010" s="28" t="s">
        <v>77</v>
      </c>
      <c r="Q1010" s="30"/>
    </row>
    <row r="1011">
      <c r="B1011" s="6"/>
      <c r="C1011" s="33" t="str">
        <f t="array" ref="C1011">IF(B1011="", "", XLOOKUP(B1011, Inventory!D:D,Inventory!E:E,"No Name Found"))</f>
        <v/>
      </c>
      <c r="D1011" s="6"/>
      <c r="E1011" s="6"/>
      <c r="F1011" s="6"/>
      <c r="G1011" s="24" t="str">
        <f>IF(F1011="", "", VLOOKUP(F1011, Inventory!A:BZ, 3, FALSE) - SUMIF($F$1:$F1010, F1011, $H$1:$H1010))
</f>
        <v/>
      </c>
      <c r="I1011" s="26"/>
      <c r="J1011" s="26" t="s">
        <v>77</v>
      </c>
      <c r="L1011" s="27" t="s">
        <v>77</v>
      </c>
      <c r="N1011" s="28" t="s">
        <v>77</v>
      </c>
      <c r="Q1011" s="30"/>
    </row>
    <row r="1012">
      <c r="B1012" s="6"/>
      <c r="C1012" s="33" t="str">
        <f t="array" ref="C1012">IF(B1012="", "", XLOOKUP(B1012, Inventory!D:D,Inventory!E:E,"No Name Found"))</f>
        <v/>
      </c>
      <c r="D1012" s="6"/>
      <c r="E1012" s="6"/>
      <c r="F1012" s="6"/>
      <c r="G1012" s="24" t="str">
        <f>IF(F1012="", "", VLOOKUP(F1012, Inventory!A:BZ, 3, FALSE) - SUMIF($F$1:$F1011, F1012, $H$1:$H1011))
</f>
        <v/>
      </c>
      <c r="I1012" s="26"/>
      <c r="J1012" s="26" t="s">
        <v>77</v>
      </c>
      <c r="L1012" s="27" t="s">
        <v>77</v>
      </c>
      <c r="N1012" s="28" t="s">
        <v>77</v>
      </c>
      <c r="Q1012" s="30"/>
    </row>
    <row r="1013">
      <c r="B1013" s="6"/>
      <c r="C1013" s="33" t="str">
        <f t="array" ref="C1013">IF(B1013="", "", XLOOKUP(B1013, Inventory!D:D,Inventory!E:E,"No Name Found"))</f>
        <v/>
      </c>
      <c r="D1013" s="6"/>
      <c r="E1013" s="6"/>
      <c r="F1013" s="6"/>
      <c r="G1013" s="24" t="str">
        <f>IF(F1013="", "", VLOOKUP(F1013, Inventory!A:BZ, 3, FALSE) - SUMIF($F$1:$F1012, F1013, $H$1:$H1012))
</f>
        <v/>
      </c>
      <c r="I1013" s="26"/>
      <c r="J1013" s="26" t="s">
        <v>77</v>
      </c>
      <c r="L1013" s="27" t="s">
        <v>77</v>
      </c>
      <c r="N1013" s="28" t="s">
        <v>77</v>
      </c>
      <c r="Q1013" s="30"/>
    </row>
    <row r="1014">
      <c r="B1014" s="6"/>
      <c r="C1014" s="33" t="str">
        <f t="array" ref="C1014">IF(B1014="", "", XLOOKUP(B1014, Inventory!D:D,Inventory!E:E,"No Name Found"))</f>
        <v/>
      </c>
      <c r="D1014" s="6"/>
      <c r="E1014" s="6"/>
      <c r="F1014" s="6"/>
      <c r="G1014" s="24" t="str">
        <f>IF(F1014="", "", VLOOKUP(F1014, Inventory!A:BZ, 3, FALSE) - SUMIF($F$1:$F1013, F1014, $H$1:$H1013))
</f>
        <v/>
      </c>
      <c r="I1014" s="26"/>
      <c r="J1014" s="26" t="s">
        <v>77</v>
      </c>
      <c r="L1014" s="27" t="s">
        <v>77</v>
      </c>
      <c r="N1014" s="28" t="s">
        <v>77</v>
      </c>
      <c r="Q1014" s="30"/>
    </row>
    <row r="1015">
      <c r="B1015" s="6"/>
      <c r="C1015" s="33" t="str">
        <f t="array" ref="C1015">IF(B1015="", "", XLOOKUP(B1015, Inventory!D:D,Inventory!E:E,"No Name Found"))</f>
        <v/>
      </c>
      <c r="D1015" s="6"/>
      <c r="E1015" s="6"/>
      <c r="F1015" s="6"/>
      <c r="G1015" s="24" t="str">
        <f>IF(F1015="", "", VLOOKUP(F1015, Inventory!A:BZ, 3, FALSE) - SUMIF($F$1:$F1014, F1015, $H$1:$H1014))
</f>
        <v/>
      </c>
      <c r="I1015" s="26"/>
      <c r="J1015" s="26" t="s">
        <v>77</v>
      </c>
      <c r="L1015" s="27" t="s">
        <v>77</v>
      </c>
      <c r="N1015" s="28" t="s">
        <v>77</v>
      </c>
      <c r="Q1015" s="30"/>
    </row>
    <row r="1016">
      <c r="B1016" s="6"/>
      <c r="C1016" s="33" t="str">
        <f t="array" ref="C1016">IF(B1016="", "", XLOOKUP(B1016, Inventory!D:D,Inventory!E:E,"No Name Found"))</f>
        <v/>
      </c>
      <c r="D1016" s="6"/>
      <c r="E1016" s="6"/>
      <c r="F1016" s="6"/>
      <c r="G1016" s="24" t="str">
        <f>IF(F1016="", "", VLOOKUP(F1016, Inventory!A:BZ, 3, FALSE) - SUMIF($F$1:$F1015, F1016, $H$1:$H1015))
</f>
        <v/>
      </c>
      <c r="I1016" s="26"/>
      <c r="J1016" s="26" t="s">
        <v>77</v>
      </c>
      <c r="L1016" s="27" t="s">
        <v>77</v>
      </c>
      <c r="N1016" s="28" t="s">
        <v>77</v>
      </c>
      <c r="Q1016" s="30"/>
    </row>
    <row r="1017">
      <c r="B1017" s="6"/>
      <c r="C1017" s="33" t="str">
        <f t="array" ref="C1017">IF(B1017="", "", XLOOKUP(B1017, Inventory!D:D,Inventory!E:E,"No Name Found"))</f>
        <v/>
      </c>
      <c r="D1017" s="6"/>
      <c r="E1017" s="6"/>
      <c r="F1017" s="6"/>
      <c r="G1017" s="24" t="str">
        <f>IF(F1017="", "", VLOOKUP(F1017, Inventory!A:BZ, 3, FALSE) - SUMIF($F$1:$F1016, F1017, $H$1:$H1016))
</f>
        <v/>
      </c>
      <c r="I1017" s="26"/>
      <c r="J1017" s="26" t="s">
        <v>77</v>
      </c>
      <c r="L1017" s="27" t="s">
        <v>77</v>
      </c>
      <c r="N1017" s="28" t="s">
        <v>77</v>
      </c>
      <c r="Q1017" s="30"/>
    </row>
    <row r="1018">
      <c r="B1018" s="6"/>
      <c r="C1018" s="33" t="str">
        <f t="array" ref="C1018">IF(B1018="", "", XLOOKUP(B1018, Inventory!D:D,Inventory!E:E,"No Name Found"))</f>
        <v/>
      </c>
      <c r="D1018" s="6"/>
      <c r="E1018" s="6"/>
      <c r="F1018" s="6"/>
      <c r="G1018" s="24" t="str">
        <f>IF(F1018="", "", VLOOKUP(F1018, Inventory!A:BZ, 3, FALSE) - SUMIF($F$1:$F1017, F1018, $H$1:$H1017))
</f>
        <v/>
      </c>
      <c r="I1018" s="26"/>
      <c r="J1018" s="26" t="s">
        <v>77</v>
      </c>
      <c r="L1018" s="27" t="s">
        <v>77</v>
      </c>
      <c r="N1018" s="28" t="s">
        <v>77</v>
      </c>
      <c r="Q1018" s="30"/>
    </row>
    <row r="1019">
      <c r="B1019" s="6"/>
      <c r="C1019" s="33" t="str">
        <f t="array" ref="C1019">IF(B1019="", "", XLOOKUP(B1019, Inventory!D:D,Inventory!E:E,"No Name Found"))</f>
        <v/>
      </c>
      <c r="D1019" s="6"/>
      <c r="E1019" s="6"/>
      <c r="F1019" s="6"/>
      <c r="G1019" s="24" t="str">
        <f>IF(F1019="", "", VLOOKUP(F1019, Inventory!A:BZ, 3, FALSE) - SUMIF($F$1:$F1018, F1019, $H$1:$H1018))
</f>
        <v/>
      </c>
      <c r="I1019" s="26"/>
      <c r="J1019" s="26" t="s">
        <v>77</v>
      </c>
      <c r="L1019" s="27" t="s">
        <v>77</v>
      </c>
      <c r="N1019" s="28" t="s">
        <v>77</v>
      </c>
      <c r="Q1019" s="30"/>
    </row>
    <row r="1020">
      <c r="B1020" s="6"/>
      <c r="C1020" s="33" t="str">
        <f t="array" ref="C1020">IF(B1020="", "", XLOOKUP(B1020, Inventory!D:D,Inventory!E:E,"No Name Found"))</f>
        <v/>
      </c>
      <c r="D1020" s="6"/>
      <c r="E1020" s="6"/>
      <c r="F1020" s="6"/>
      <c r="G1020" s="24" t="str">
        <f>IF(F1020="", "", VLOOKUP(F1020, Inventory!A:BZ, 3, FALSE) - SUMIF($F$1:$F1019, F1020, $H$1:$H1019))
</f>
        <v/>
      </c>
      <c r="I1020" s="26"/>
      <c r="J1020" s="26" t="s">
        <v>77</v>
      </c>
      <c r="L1020" s="27" t="s">
        <v>77</v>
      </c>
      <c r="N1020" s="28" t="s">
        <v>77</v>
      </c>
      <c r="Q1020" s="30"/>
    </row>
    <row r="1021">
      <c r="B1021" s="6"/>
      <c r="C1021" s="33" t="str">
        <f t="array" ref="C1021">IF(B1021="", "", XLOOKUP(B1021, Inventory!D:D,Inventory!E:E,"No Name Found"))</f>
        <v/>
      </c>
      <c r="D1021" s="6"/>
      <c r="E1021" s="6"/>
      <c r="F1021" s="6"/>
      <c r="G1021" s="24" t="str">
        <f>IF(F1021="", "", VLOOKUP(F1021, Inventory!A:BZ, 3, FALSE) - SUMIF($F$1:$F1020, F1021, $H$1:$H1020))
</f>
        <v/>
      </c>
      <c r="I1021" s="26"/>
      <c r="J1021" s="26" t="s">
        <v>77</v>
      </c>
      <c r="L1021" s="27" t="s">
        <v>77</v>
      </c>
      <c r="N1021" s="28" t="s">
        <v>77</v>
      </c>
      <c r="Q1021" s="30"/>
    </row>
    <row r="1022">
      <c r="B1022" s="6"/>
      <c r="C1022" s="33" t="str">
        <f t="array" ref="C1022">IF(B1022="", "", XLOOKUP(B1022, Inventory!D:D,Inventory!E:E,"No Name Found"))</f>
        <v/>
      </c>
      <c r="D1022" s="6"/>
      <c r="E1022" s="6"/>
      <c r="F1022" s="6"/>
      <c r="G1022" s="24" t="str">
        <f>IF(F1022="", "", VLOOKUP(F1022, Inventory!A:BZ, 3, FALSE) - SUMIF($F$1:$F1021, F1022, $H$1:$H1021))
</f>
        <v/>
      </c>
      <c r="I1022" s="26"/>
      <c r="J1022" s="26" t="s">
        <v>77</v>
      </c>
      <c r="L1022" s="27" t="s">
        <v>77</v>
      </c>
      <c r="N1022" s="28" t="s">
        <v>77</v>
      </c>
      <c r="Q1022" s="30"/>
    </row>
    <row r="1023">
      <c r="B1023" s="6"/>
      <c r="C1023" s="33" t="str">
        <f t="array" ref="C1023">IF(B1023="", "", XLOOKUP(B1023, Inventory!D:D,Inventory!E:E,"No Name Found"))</f>
        <v/>
      </c>
      <c r="D1023" s="6"/>
      <c r="E1023" s="6"/>
      <c r="F1023" s="6"/>
      <c r="G1023" s="24" t="str">
        <f>IF(F1023="", "", VLOOKUP(F1023, Inventory!A:BZ, 3, FALSE) - SUMIF($F$1:$F1022, F1023, $H$1:$H1022))
</f>
        <v/>
      </c>
      <c r="I1023" s="26"/>
      <c r="J1023" s="26" t="s">
        <v>77</v>
      </c>
      <c r="L1023" s="27" t="s">
        <v>77</v>
      </c>
      <c r="N1023" s="28" t="s">
        <v>77</v>
      </c>
      <c r="Q1023" s="30"/>
    </row>
    <row r="1024">
      <c r="B1024" s="6"/>
      <c r="C1024" s="33" t="str">
        <f t="array" ref="C1024">IF(B1024="", "", XLOOKUP(B1024, Inventory!D:D,Inventory!E:E,"No Name Found"))</f>
        <v/>
      </c>
      <c r="D1024" s="6"/>
      <c r="E1024" s="6"/>
      <c r="F1024" s="6"/>
      <c r="G1024" s="24" t="str">
        <f>IF(F1024="", "", VLOOKUP(F1024, Inventory!A:BZ, 3, FALSE) - SUMIF($F$1:$F1023, F1024, $H$1:$H1023))
</f>
        <v/>
      </c>
      <c r="I1024" s="26"/>
      <c r="J1024" s="26" t="s">
        <v>77</v>
      </c>
      <c r="L1024" s="27" t="s">
        <v>77</v>
      </c>
      <c r="N1024" s="28" t="s">
        <v>77</v>
      </c>
      <c r="Q1024" s="30"/>
    </row>
    <row r="1025">
      <c r="B1025" s="6"/>
      <c r="C1025" s="33" t="str">
        <f t="array" ref="C1025">IF(B1025="", "", XLOOKUP(B1025, Inventory!D:D,Inventory!E:E,"No Name Found"))</f>
        <v/>
      </c>
      <c r="D1025" s="6"/>
      <c r="E1025" s="6"/>
      <c r="F1025" s="6"/>
      <c r="G1025" s="24" t="str">
        <f>IF(F1025="", "", VLOOKUP(F1025, Inventory!A:BZ, 3, FALSE) - SUMIF($F$1:$F1024, F1025, $H$1:$H1024))
</f>
        <v/>
      </c>
      <c r="I1025" s="26"/>
      <c r="J1025" s="26" t="s">
        <v>77</v>
      </c>
      <c r="L1025" s="27" t="s">
        <v>77</v>
      </c>
      <c r="N1025" s="28" t="s">
        <v>77</v>
      </c>
      <c r="Q1025" s="30"/>
    </row>
    <row r="1026">
      <c r="B1026" s="6"/>
      <c r="C1026" s="33" t="str">
        <f t="array" ref="C1026">IF(B1026="", "", XLOOKUP(B1026, Inventory!D:D,Inventory!E:E,"No Name Found"))</f>
        <v/>
      </c>
      <c r="D1026" s="6"/>
      <c r="E1026" s="6"/>
      <c r="F1026" s="6"/>
      <c r="G1026" s="24" t="str">
        <f>IF(F1026="", "", VLOOKUP(F1026, Inventory!A:BZ, 3, FALSE) - SUMIF($F$1:$F1025, F1026, $H$1:$H1025))
</f>
        <v/>
      </c>
      <c r="I1026" s="26"/>
      <c r="J1026" s="26" t="s">
        <v>77</v>
      </c>
      <c r="L1026" s="27" t="s">
        <v>77</v>
      </c>
      <c r="N1026" s="28" t="s">
        <v>77</v>
      </c>
      <c r="Q1026" s="30"/>
    </row>
    <row r="1027">
      <c r="B1027" s="6"/>
      <c r="C1027" s="33" t="str">
        <f t="array" ref="C1027">IF(B1027="", "", XLOOKUP(B1027, Inventory!D:D,Inventory!E:E,"No Name Found"))</f>
        <v/>
      </c>
      <c r="D1027" s="6"/>
      <c r="E1027" s="6"/>
      <c r="F1027" s="6"/>
      <c r="G1027" s="24" t="str">
        <f>IF(F1027="", "", VLOOKUP(F1027, Inventory!A:BZ, 3, FALSE) - SUMIF($F$1:$F1026, F1027, $H$1:$H1026))
</f>
        <v/>
      </c>
      <c r="I1027" s="26"/>
      <c r="J1027" s="26" t="s">
        <v>77</v>
      </c>
      <c r="L1027" s="27" t="s">
        <v>77</v>
      </c>
      <c r="N1027" s="28" t="s">
        <v>77</v>
      </c>
      <c r="Q1027" s="30"/>
    </row>
    <row r="1028">
      <c r="B1028" s="6"/>
      <c r="C1028" s="33" t="str">
        <f t="array" ref="C1028">IF(B1028="", "", XLOOKUP(B1028, Inventory!D:D,Inventory!E:E,"No Name Found"))</f>
        <v/>
      </c>
      <c r="D1028" s="6"/>
      <c r="E1028" s="6"/>
      <c r="F1028" s="6"/>
      <c r="G1028" s="24" t="str">
        <f>IF(F1028="", "", VLOOKUP(F1028, Inventory!A:BZ, 3, FALSE) - SUMIF($F$1:$F1027, F1028, $H$1:$H1027))
</f>
        <v/>
      </c>
      <c r="I1028" s="26"/>
      <c r="J1028" s="26" t="s">
        <v>77</v>
      </c>
      <c r="L1028" s="27" t="s">
        <v>77</v>
      </c>
      <c r="N1028" s="28" t="s">
        <v>77</v>
      </c>
      <c r="Q1028" s="30"/>
    </row>
    <row r="1029">
      <c r="B1029" s="6"/>
      <c r="C1029" s="33" t="str">
        <f t="array" ref="C1029">IF(B1029="", "", XLOOKUP(B1029, Inventory!D:D,Inventory!E:E,"No Name Found"))</f>
        <v/>
      </c>
      <c r="D1029" s="6"/>
      <c r="E1029" s="6"/>
      <c r="F1029" s="6"/>
      <c r="G1029" s="24" t="str">
        <f>IF(F1029="", "", VLOOKUP(F1029, Inventory!A:BZ, 3, FALSE) - SUMIF($F$1:$F1028, F1029, $H$1:$H1028))
</f>
        <v/>
      </c>
      <c r="I1029" s="26"/>
      <c r="J1029" s="26" t="s">
        <v>77</v>
      </c>
      <c r="L1029" s="27" t="s">
        <v>77</v>
      </c>
      <c r="N1029" s="28" t="s">
        <v>77</v>
      </c>
      <c r="Q1029" s="30"/>
    </row>
    <row r="1030">
      <c r="B1030" s="6"/>
      <c r="C1030" s="33" t="str">
        <f t="array" ref="C1030">IF(B1030="", "", XLOOKUP(B1030, Inventory!D:D,Inventory!E:E,"No Name Found"))</f>
        <v/>
      </c>
      <c r="D1030" s="6"/>
      <c r="E1030" s="6"/>
      <c r="F1030" s="6"/>
      <c r="G1030" s="24" t="str">
        <f>IF(F1030="", "", VLOOKUP(F1030, Inventory!A:BZ, 3, FALSE) - SUMIF($F$1:$F1029, F1030, $H$1:$H1029))
</f>
        <v/>
      </c>
      <c r="I1030" s="26"/>
      <c r="J1030" s="26" t="s">
        <v>77</v>
      </c>
      <c r="L1030" s="27" t="s">
        <v>77</v>
      </c>
      <c r="N1030" s="28" t="s">
        <v>77</v>
      </c>
      <c r="Q1030" s="30"/>
    </row>
    <row r="1031">
      <c r="B1031" s="6"/>
      <c r="C1031" s="33" t="str">
        <f t="array" ref="C1031">IF(B1031="", "", XLOOKUP(B1031, Inventory!D:D,Inventory!E:E,"No Name Found"))</f>
        <v/>
      </c>
      <c r="D1031" s="6"/>
      <c r="E1031" s="6"/>
      <c r="F1031" s="6"/>
      <c r="G1031" s="24" t="str">
        <f>IF(F1031="", "", VLOOKUP(F1031, Inventory!A:BZ, 3, FALSE) - SUMIF($F$1:$F1030, F1031, $H$1:$H1030))
</f>
        <v/>
      </c>
      <c r="I1031" s="26"/>
      <c r="J1031" s="26" t="s">
        <v>77</v>
      </c>
      <c r="L1031" s="27" t="s">
        <v>77</v>
      </c>
      <c r="N1031" s="28" t="s">
        <v>77</v>
      </c>
      <c r="Q1031" s="30"/>
    </row>
    <row r="1032">
      <c r="B1032" s="6"/>
      <c r="C1032" s="33" t="str">
        <f t="array" ref="C1032">IF(B1032="", "", XLOOKUP(B1032, Inventory!D:D,Inventory!E:E,"No Name Found"))</f>
        <v/>
      </c>
      <c r="D1032" s="6"/>
      <c r="E1032" s="6"/>
      <c r="F1032" s="6"/>
      <c r="G1032" s="24" t="str">
        <f>IF(F1032="", "", VLOOKUP(F1032, Inventory!A:BZ, 3, FALSE) - SUMIF($F$1:$F1031, F1032, $H$1:$H1031))
</f>
        <v/>
      </c>
      <c r="I1032" s="26"/>
      <c r="J1032" s="26" t="s">
        <v>77</v>
      </c>
      <c r="L1032" s="27" t="s">
        <v>77</v>
      </c>
      <c r="N1032" s="28" t="s">
        <v>77</v>
      </c>
      <c r="Q1032" s="30"/>
    </row>
    <row r="1033">
      <c r="B1033" s="6"/>
      <c r="C1033" s="33" t="str">
        <f t="array" ref="C1033">IF(B1033="", "", XLOOKUP(B1033, Inventory!D:D,Inventory!E:E,"No Name Found"))</f>
        <v/>
      </c>
      <c r="D1033" s="6"/>
      <c r="E1033" s="6"/>
      <c r="F1033" s="6"/>
      <c r="G1033" s="24" t="str">
        <f>IF(F1033="", "", VLOOKUP(F1033, Inventory!A:BZ, 3, FALSE) - SUMIF($F$1:$F1032, F1033, $H$1:$H1032))
</f>
        <v/>
      </c>
      <c r="I1033" s="26"/>
      <c r="J1033" s="26" t="s">
        <v>77</v>
      </c>
      <c r="L1033" s="27" t="s">
        <v>77</v>
      </c>
      <c r="N1033" s="28" t="s">
        <v>77</v>
      </c>
      <c r="Q1033" s="30"/>
    </row>
    <row r="1034">
      <c r="B1034" s="6"/>
      <c r="C1034" s="33" t="str">
        <f t="array" ref="C1034">IF(B1034="", "", XLOOKUP(B1034, Inventory!D:D,Inventory!E:E,"No Name Found"))</f>
        <v/>
      </c>
      <c r="D1034" s="6"/>
      <c r="E1034" s="6"/>
      <c r="F1034" s="6"/>
      <c r="G1034" s="24" t="str">
        <f>IF(F1034="", "", VLOOKUP(F1034, Inventory!A:BZ, 3, FALSE) - SUMIF($F$1:$F1033, F1034, $H$1:$H1033))
</f>
        <v/>
      </c>
      <c r="I1034" s="26"/>
      <c r="J1034" s="26" t="s">
        <v>77</v>
      </c>
      <c r="L1034" s="27" t="s">
        <v>77</v>
      </c>
      <c r="N1034" s="28" t="s">
        <v>77</v>
      </c>
      <c r="Q1034" s="30"/>
    </row>
    <row r="1035">
      <c r="B1035" s="6"/>
      <c r="C1035" s="33" t="str">
        <f t="array" ref="C1035">IF(B1035="", "", XLOOKUP(B1035, Inventory!D:D,Inventory!E:E,"No Name Found"))</f>
        <v/>
      </c>
      <c r="D1035" s="6"/>
      <c r="E1035" s="6"/>
      <c r="F1035" s="6"/>
      <c r="G1035" s="24" t="str">
        <f>IF(F1035="", "", VLOOKUP(F1035, Inventory!A:BZ, 3, FALSE) - SUMIF($F$1:$F1034, F1035, $H$1:$H1034))
</f>
        <v/>
      </c>
      <c r="I1035" s="26"/>
      <c r="J1035" s="26" t="s">
        <v>77</v>
      </c>
      <c r="L1035" s="27" t="s">
        <v>77</v>
      </c>
      <c r="N1035" s="28" t="s">
        <v>77</v>
      </c>
      <c r="Q1035" s="30"/>
    </row>
    <row r="1036">
      <c r="B1036" s="6"/>
      <c r="C1036" s="33" t="str">
        <f t="array" ref="C1036">IF(B1036="", "", XLOOKUP(B1036, Inventory!D:D,Inventory!E:E,"No Name Found"))</f>
        <v/>
      </c>
      <c r="D1036" s="6"/>
      <c r="E1036" s="6"/>
      <c r="F1036" s="6"/>
      <c r="G1036" s="24" t="str">
        <f>IF(F1036="", "", VLOOKUP(F1036, Inventory!A:BZ, 3, FALSE) - SUMIF($F$1:$F1035, F1036, $H$1:$H1035))
</f>
        <v/>
      </c>
      <c r="I1036" s="26"/>
      <c r="J1036" s="26" t="s">
        <v>77</v>
      </c>
      <c r="L1036" s="27" t="s">
        <v>77</v>
      </c>
      <c r="N1036" s="28" t="s">
        <v>77</v>
      </c>
      <c r="Q1036" s="30"/>
    </row>
    <row r="1037">
      <c r="B1037" s="6"/>
      <c r="C1037" s="33" t="str">
        <f t="array" ref="C1037">IF(B1037="", "", XLOOKUP(B1037, Inventory!D:D,Inventory!E:E,"No Name Found"))</f>
        <v/>
      </c>
      <c r="D1037" s="6"/>
      <c r="E1037" s="6"/>
      <c r="F1037" s="6"/>
      <c r="G1037" s="24" t="str">
        <f>IF(F1037="", "", VLOOKUP(F1037, Inventory!A:BZ, 3, FALSE) - SUMIF($F$1:$F1036, F1037, $H$1:$H1036))
</f>
        <v/>
      </c>
      <c r="I1037" s="26"/>
      <c r="J1037" s="26" t="s">
        <v>77</v>
      </c>
      <c r="L1037" s="27" t="s">
        <v>77</v>
      </c>
      <c r="N1037" s="28" t="s">
        <v>77</v>
      </c>
      <c r="Q1037" s="30"/>
    </row>
    <row r="1038">
      <c r="B1038" s="6"/>
      <c r="C1038" s="33" t="str">
        <f t="array" ref="C1038">IF(B1038="", "", XLOOKUP(B1038, Inventory!D:D,Inventory!E:E,"No Name Found"))</f>
        <v/>
      </c>
      <c r="D1038" s="6"/>
      <c r="E1038" s="6"/>
      <c r="F1038" s="6"/>
      <c r="G1038" s="24" t="str">
        <f>IF(F1038="", "", VLOOKUP(F1038, Inventory!A:BZ, 3, FALSE) - SUMIF($F$1:$F1037, F1038, $H$1:$H1037))
</f>
        <v/>
      </c>
      <c r="I1038" s="26"/>
      <c r="J1038" s="26" t="s">
        <v>77</v>
      </c>
      <c r="L1038" s="27" t="s">
        <v>77</v>
      </c>
      <c r="N1038" s="28" t="s">
        <v>77</v>
      </c>
      <c r="Q1038" s="30"/>
    </row>
    <row r="1039">
      <c r="B1039" s="6"/>
      <c r="C1039" s="33" t="str">
        <f t="array" ref="C1039">IF(B1039="", "", XLOOKUP(B1039, Inventory!D:D,Inventory!E:E,"No Name Found"))</f>
        <v/>
      </c>
      <c r="D1039" s="6"/>
      <c r="E1039" s="6"/>
      <c r="F1039" s="6"/>
      <c r="G1039" s="24" t="str">
        <f>IF(F1039="", "", VLOOKUP(F1039, Inventory!A:BZ, 3, FALSE) - SUMIF($F$1:$F1038, F1039, $H$1:$H1038))
</f>
        <v/>
      </c>
      <c r="I1039" s="26"/>
      <c r="J1039" s="26" t="s">
        <v>77</v>
      </c>
      <c r="L1039" s="27" t="s">
        <v>77</v>
      </c>
      <c r="N1039" s="28" t="s">
        <v>77</v>
      </c>
      <c r="Q1039" s="30"/>
    </row>
    <row r="1040">
      <c r="B1040" s="6"/>
      <c r="C1040" s="33" t="str">
        <f t="array" ref="C1040">IF(B1040="", "", XLOOKUP(B1040, Inventory!D:D,Inventory!E:E,"No Name Found"))</f>
        <v/>
      </c>
      <c r="D1040" s="6"/>
      <c r="E1040" s="6"/>
      <c r="F1040" s="6"/>
      <c r="G1040" s="24" t="str">
        <f>IF(F1040="", "", VLOOKUP(F1040, Inventory!A:BZ, 3, FALSE) - SUMIF($F$1:$F1039, F1040, $H$1:$H1039))
</f>
        <v/>
      </c>
      <c r="I1040" s="26"/>
      <c r="J1040" s="26" t="s">
        <v>77</v>
      </c>
      <c r="L1040" s="27" t="s">
        <v>77</v>
      </c>
      <c r="N1040" s="28" t="s">
        <v>77</v>
      </c>
      <c r="Q1040" s="30"/>
    </row>
    <row r="1041">
      <c r="B1041" s="6"/>
      <c r="C1041" s="33" t="str">
        <f t="array" ref="C1041">IF(B1041="", "", XLOOKUP(B1041, Inventory!D:D,Inventory!E:E,"No Name Found"))</f>
        <v/>
      </c>
      <c r="D1041" s="6"/>
      <c r="E1041" s="6"/>
      <c r="F1041" s="6"/>
      <c r="G1041" s="24" t="str">
        <f>IF(F1041="", "", VLOOKUP(F1041, Inventory!A:BZ, 3, FALSE) - SUMIF($F$1:$F1040, F1041, $H$1:$H1040))
</f>
        <v/>
      </c>
      <c r="I1041" s="26"/>
      <c r="J1041" s="26" t="s">
        <v>77</v>
      </c>
      <c r="L1041" s="27" t="s">
        <v>77</v>
      </c>
      <c r="N1041" s="28" t="s">
        <v>77</v>
      </c>
      <c r="Q1041" s="30"/>
    </row>
    <row r="1042">
      <c r="B1042" s="6"/>
      <c r="C1042" s="33" t="str">
        <f t="array" ref="C1042">IF(B1042="", "", XLOOKUP(B1042, Inventory!D:D,Inventory!E:E,"No Name Found"))</f>
        <v/>
      </c>
      <c r="D1042" s="6"/>
      <c r="E1042" s="6"/>
      <c r="F1042" s="6"/>
      <c r="G1042" s="24" t="str">
        <f>IF(F1042="", "", VLOOKUP(F1042, Inventory!A:BZ, 3, FALSE) - SUMIF($F$1:$F1041, F1042, $H$1:$H1041))
</f>
        <v/>
      </c>
      <c r="I1042" s="26"/>
      <c r="J1042" s="26" t="s">
        <v>77</v>
      </c>
      <c r="L1042" s="27" t="s">
        <v>77</v>
      </c>
      <c r="N1042" s="28" t="s">
        <v>77</v>
      </c>
      <c r="Q1042" s="30"/>
    </row>
    <row r="1043">
      <c r="B1043" s="6"/>
      <c r="C1043" s="33" t="str">
        <f t="array" ref="C1043">IF(B1043="", "", XLOOKUP(B1043, Inventory!D:D,Inventory!E:E,"No Name Found"))</f>
        <v/>
      </c>
      <c r="D1043" s="6"/>
      <c r="E1043" s="6"/>
      <c r="F1043" s="6"/>
      <c r="G1043" s="24" t="str">
        <f>IF(F1043="", "", VLOOKUP(F1043, Inventory!A:BZ, 3, FALSE) - SUMIF($F$1:$F1042, F1043, $H$1:$H1042))
</f>
        <v/>
      </c>
      <c r="I1043" s="26"/>
      <c r="J1043" s="26" t="s">
        <v>77</v>
      </c>
      <c r="L1043" s="27" t="s">
        <v>77</v>
      </c>
      <c r="N1043" s="28" t="s">
        <v>77</v>
      </c>
      <c r="Q1043" s="30"/>
    </row>
    <row r="1044">
      <c r="B1044" s="6"/>
      <c r="C1044" s="33" t="str">
        <f t="array" ref="C1044">IF(B1044="", "", XLOOKUP(B1044, Inventory!D:D,Inventory!E:E,"No Name Found"))</f>
        <v/>
      </c>
      <c r="D1044" s="6"/>
      <c r="E1044" s="6"/>
      <c r="F1044" s="6"/>
      <c r="G1044" s="24" t="str">
        <f>IF(F1044="", "", VLOOKUP(F1044, Inventory!A:BZ, 3, FALSE) - SUMIF($F$1:$F1043, F1044, $H$1:$H1043))
</f>
        <v/>
      </c>
      <c r="I1044" s="26"/>
      <c r="J1044" s="26" t="s">
        <v>77</v>
      </c>
      <c r="L1044" s="27" t="s">
        <v>77</v>
      </c>
      <c r="N1044" s="28" t="s">
        <v>77</v>
      </c>
      <c r="Q1044" s="30"/>
    </row>
    <row r="1045">
      <c r="B1045" s="6"/>
      <c r="C1045" s="33" t="str">
        <f t="array" ref="C1045">IF(B1045="", "", XLOOKUP(B1045, Inventory!D:D,Inventory!E:E,"No Name Found"))</f>
        <v/>
      </c>
      <c r="D1045" s="6"/>
      <c r="E1045" s="6"/>
      <c r="F1045" s="6"/>
      <c r="G1045" s="24" t="str">
        <f>IF(F1045="", "", VLOOKUP(F1045, Inventory!A:BZ, 3, FALSE) - SUMIF($F$1:$F1044, F1045, $H$1:$H1044))
</f>
        <v/>
      </c>
      <c r="I1045" s="26"/>
      <c r="J1045" s="26" t="s">
        <v>77</v>
      </c>
      <c r="L1045" s="27" t="s">
        <v>77</v>
      </c>
      <c r="N1045" s="28" t="s">
        <v>77</v>
      </c>
      <c r="Q1045" s="30"/>
    </row>
    <row r="1046">
      <c r="B1046" s="6"/>
      <c r="C1046" s="33" t="str">
        <f t="array" ref="C1046">IF(B1046="", "", XLOOKUP(B1046, Inventory!D:D,Inventory!E:E,"No Name Found"))</f>
        <v/>
      </c>
      <c r="D1046" s="6"/>
      <c r="E1046" s="6"/>
      <c r="F1046" s="6"/>
      <c r="G1046" s="24" t="str">
        <f>IF(F1046="", "", VLOOKUP(F1046, Inventory!A:BZ, 3, FALSE) - SUMIF($F$1:$F1045, F1046, $H$1:$H1045))
</f>
        <v/>
      </c>
      <c r="I1046" s="26"/>
      <c r="J1046" s="26" t="s">
        <v>77</v>
      </c>
      <c r="L1046" s="27" t="s">
        <v>77</v>
      </c>
      <c r="N1046" s="28" t="s">
        <v>77</v>
      </c>
      <c r="Q1046" s="30"/>
    </row>
    <row r="1047">
      <c r="B1047" s="6"/>
      <c r="C1047" s="33" t="str">
        <f t="array" ref="C1047">IF(B1047="", "", XLOOKUP(B1047, Inventory!D:D,Inventory!E:E,"No Name Found"))</f>
        <v/>
      </c>
      <c r="D1047" s="6"/>
      <c r="E1047" s="6"/>
      <c r="F1047" s="6"/>
      <c r="G1047" s="24" t="str">
        <f>IF(F1047="", "", VLOOKUP(F1047, Inventory!A:BZ, 3, FALSE) - SUMIF($F$1:$F1046, F1047, $H$1:$H1046))
</f>
        <v/>
      </c>
      <c r="I1047" s="26"/>
      <c r="J1047" s="26" t="s">
        <v>77</v>
      </c>
      <c r="L1047" s="27" t="s">
        <v>77</v>
      </c>
      <c r="N1047" s="28" t="s">
        <v>77</v>
      </c>
      <c r="Q1047" s="30"/>
    </row>
    <row r="1048">
      <c r="B1048" s="6"/>
      <c r="C1048" s="33" t="str">
        <f t="array" ref="C1048">IF(B1048="", "", XLOOKUP(B1048, Inventory!D:D,Inventory!E:E,"No Name Found"))</f>
        <v/>
      </c>
      <c r="D1048" s="6"/>
      <c r="E1048" s="6"/>
      <c r="F1048" s="6"/>
      <c r="G1048" s="24" t="str">
        <f>IF(F1048="", "", VLOOKUP(F1048, Inventory!A:BZ, 3, FALSE) - SUMIF($F$1:$F1047, F1048, $H$1:$H1047))
</f>
        <v/>
      </c>
      <c r="I1048" s="26"/>
      <c r="J1048" s="26" t="s">
        <v>77</v>
      </c>
      <c r="L1048" s="27" t="s">
        <v>77</v>
      </c>
      <c r="N1048" s="28" t="s">
        <v>77</v>
      </c>
      <c r="Q1048" s="30"/>
    </row>
    <row r="1049">
      <c r="B1049" s="6"/>
      <c r="C1049" s="33" t="str">
        <f t="array" ref="C1049">IF(B1049="", "", XLOOKUP(B1049, Inventory!D:D,Inventory!E:E,"No Name Found"))</f>
        <v/>
      </c>
      <c r="D1049" s="6"/>
      <c r="E1049" s="6"/>
      <c r="F1049" s="6"/>
      <c r="G1049" s="24" t="str">
        <f>IF(F1049="", "", VLOOKUP(F1049, Inventory!A:BZ, 3, FALSE) - SUMIF($F$1:$F1048, F1049, $H$1:$H1048))
</f>
        <v/>
      </c>
      <c r="I1049" s="26"/>
      <c r="J1049" s="26" t="s">
        <v>77</v>
      </c>
      <c r="L1049" s="27" t="s">
        <v>77</v>
      </c>
      <c r="N1049" s="28" t="s">
        <v>77</v>
      </c>
      <c r="Q1049" s="30"/>
    </row>
    <row r="1050">
      <c r="B1050" s="6"/>
      <c r="C1050" s="33" t="str">
        <f t="array" ref="C1050">IF(B1050="", "", XLOOKUP(B1050, Inventory!D:D,Inventory!E:E,"No Name Found"))</f>
        <v/>
      </c>
      <c r="D1050" s="6"/>
      <c r="E1050" s="6"/>
      <c r="F1050" s="6"/>
      <c r="G1050" s="24" t="str">
        <f>IF(F1050="", "", VLOOKUP(F1050, Inventory!A:BZ, 3, FALSE) - SUMIF($F$1:$F1049, F1050, $H$1:$H1049))
</f>
        <v/>
      </c>
      <c r="I1050" s="26"/>
      <c r="J1050" s="26" t="s">
        <v>77</v>
      </c>
      <c r="L1050" s="27" t="s">
        <v>77</v>
      </c>
      <c r="N1050" s="28" t="s">
        <v>77</v>
      </c>
      <c r="Q1050" s="30"/>
    </row>
    <row r="1051">
      <c r="B1051" s="6"/>
      <c r="C1051" s="33" t="str">
        <f t="array" ref="C1051">IF(B1051="", "", XLOOKUP(B1051, Inventory!D:D,Inventory!E:E,"No Name Found"))</f>
        <v/>
      </c>
      <c r="D1051" s="6"/>
      <c r="E1051" s="6"/>
      <c r="F1051" s="6"/>
      <c r="G1051" s="24" t="str">
        <f>IF(F1051="", "", VLOOKUP(F1051, Inventory!A:BZ, 3, FALSE) - SUMIF($F$1:$F1050, F1051, $H$1:$H1050))
</f>
        <v/>
      </c>
      <c r="I1051" s="26"/>
      <c r="J1051" s="26" t="s">
        <v>77</v>
      </c>
      <c r="L1051" s="27" t="s">
        <v>77</v>
      </c>
      <c r="N1051" s="28" t="s">
        <v>77</v>
      </c>
      <c r="Q1051" s="30"/>
    </row>
    <row r="1052">
      <c r="B1052" s="6"/>
      <c r="C1052" s="33" t="str">
        <f t="array" ref="C1052">IF(B1052="", "", XLOOKUP(B1052, Inventory!D:D,Inventory!E:E,"No Name Found"))</f>
        <v/>
      </c>
      <c r="D1052" s="6"/>
      <c r="E1052" s="6"/>
      <c r="F1052" s="6"/>
      <c r="G1052" s="24" t="str">
        <f>IF(F1052="", "", VLOOKUP(F1052, Inventory!A:BZ, 3, FALSE) - SUMIF($F$1:$F1051, F1052, $H$1:$H1051))
</f>
        <v/>
      </c>
      <c r="I1052" s="26"/>
      <c r="J1052" s="26" t="s">
        <v>77</v>
      </c>
      <c r="L1052" s="27" t="s">
        <v>77</v>
      </c>
      <c r="N1052" s="28" t="s">
        <v>77</v>
      </c>
      <c r="Q1052" s="30"/>
    </row>
    <row r="1053">
      <c r="B1053" s="6"/>
      <c r="C1053" s="33" t="str">
        <f t="array" ref="C1053">IF(B1053="", "", XLOOKUP(B1053, Inventory!D:D,Inventory!E:E,"No Name Found"))</f>
        <v/>
      </c>
      <c r="D1053" s="6"/>
      <c r="E1053" s="6"/>
      <c r="F1053" s="6"/>
      <c r="G1053" s="24" t="str">
        <f>IF(F1053="", "", VLOOKUP(F1053, Inventory!A:BZ, 3, FALSE) - SUMIF($F$1:$F1052, F1053, $H$1:$H1052))
</f>
        <v/>
      </c>
      <c r="I1053" s="26"/>
      <c r="J1053" s="26" t="s">
        <v>77</v>
      </c>
      <c r="L1053" s="27" t="s">
        <v>77</v>
      </c>
      <c r="N1053" s="28" t="s">
        <v>77</v>
      </c>
      <c r="Q1053" s="30"/>
    </row>
    <row r="1054">
      <c r="B1054" s="6"/>
      <c r="C1054" s="33" t="str">
        <f t="array" ref="C1054">IF(B1054="", "", XLOOKUP(B1054, Inventory!D:D,Inventory!E:E,"No Name Found"))</f>
        <v/>
      </c>
      <c r="D1054" s="6"/>
      <c r="E1054" s="6"/>
      <c r="F1054" s="6"/>
      <c r="G1054" s="24" t="str">
        <f>IF(F1054="", "", VLOOKUP(F1054, Inventory!A:BZ, 3, FALSE) - SUMIF($F$1:$F1053, F1054, $H$1:$H1053))
</f>
        <v/>
      </c>
      <c r="I1054" s="26"/>
      <c r="J1054" s="26" t="s">
        <v>77</v>
      </c>
      <c r="L1054" s="27" t="s">
        <v>77</v>
      </c>
      <c r="N1054" s="28" t="s">
        <v>77</v>
      </c>
      <c r="Q1054" s="30"/>
    </row>
    <row r="1055">
      <c r="B1055" s="6"/>
      <c r="C1055" s="33" t="str">
        <f t="array" ref="C1055">IF(B1055="", "", XLOOKUP(B1055, Inventory!D:D,Inventory!E:E,"No Name Found"))</f>
        <v/>
      </c>
      <c r="D1055" s="6"/>
      <c r="E1055" s="6"/>
      <c r="F1055" s="6"/>
      <c r="G1055" s="24" t="str">
        <f>IF(F1055="", "", VLOOKUP(F1055, Inventory!A:BZ, 3, FALSE) - SUMIF($F$1:$F1054, F1055, $H$1:$H1054))
</f>
        <v/>
      </c>
      <c r="I1055" s="26"/>
      <c r="J1055" s="26" t="s">
        <v>77</v>
      </c>
      <c r="L1055" s="27" t="s">
        <v>77</v>
      </c>
      <c r="N1055" s="28" t="s">
        <v>77</v>
      </c>
      <c r="Q1055" s="30"/>
    </row>
    <row r="1056">
      <c r="B1056" s="6"/>
      <c r="C1056" s="33" t="str">
        <f t="array" ref="C1056">IF(B1056="", "", XLOOKUP(B1056, Inventory!D:D,Inventory!E:E,"No Name Found"))</f>
        <v/>
      </c>
      <c r="D1056" s="6"/>
      <c r="E1056" s="6"/>
      <c r="F1056" s="6"/>
      <c r="G1056" s="24" t="str">
        <f>IF(F1056="", "", VLOOKUP(F1056, Inventory!A:BZ, 3, FALSE) - SUMIF($F$1:$F1055, F1056, $H$1:$H1055))
</f>
        <v/>
      </c>
      <c r="I1056" s="26"/>
      <c r="J1056" s="26" t="s">
        <v>77</v>
      </c>
      <c r="L1056" s="27" t="s">
        <v>77</v>
      </c>
      <c r="N1056" s="28" t="s">
        <v>77</v>
      </c>
      <c r="Q1056" s="30"/>
    </row>
    <row r="1057">
      <c r="B1057" s="6"/>
      <c r="C1057" s="33" t="str">
        <f t="array" ref="C1057">IF(B1057="", "", XLOOKUP(B1057, Inventory!D:D,Inventory!E:E,"No Name Found"))</f>
        <v/>
      </c>
      <c r="D1057" s="6"/>
      <c r="E1057" s="6"/>
      <c r="F1057" s="6"/>
      <c r="G1057" s="24" t="str">
        <f>IF(F1057="", "", VLOOKUP(F1057, Inventory!A:BZ, 3, FALSE) - SUMIF($F$1:$F1056, F1057, $H$1:$H1056))
</f>
        <v/>
      </c>
      <c r="I1057" s="26"/>
      <c r="J1057" s="26" t="s">
        <v>77</v>
      </c>
      <c r="L1057" s="27" t="s">
        <v>77</v>
      </c>
      <c r="N1057" s="28" t="s">
        <v>77</v>
      </c>
      <c r="Q1057" s="30"/>
    </row>
    <row r="1058">
      <c r="B1058" s="6"/>
      <c r="C1058" s="33" t="str">
        <f t="array" ref="C1058">IF(B1058="", "", XLOOKUP(B1058, Inventory!D:D,Inventory!E:E,"No Name Found"))</f>
        <v/>
      </c>
      <c r="D1058" s="6"/>
      <c r="E1058" s="6"/>
      <c r="F1058" s="6"/>
      <c r="G1058" s="24" t="str">
        <f>IF(F1058="", "", VLOOKUP(F1058, Inventory!A:BZ, 3, FALSE) - SUMIF($F$1:$F1057, F1058, $H$1:$H1057))
</f>
        <v/>
      </c>
      <c r="I1058" s="26"/>
      <c r="J1058" s="26" t="s">
        <v>77</v>
      </c>
      <c r="L1058" s="27" t="s">
        <v>77</v>
      </c>
      <c r="N1058" s="28" t="s">
        <v>77</v>
      </c>
      <c r="Q1058" s="30"/>
    </row>
    <row r="1059">
      <c r="B1059" s="6"/>
      <c r="C1059" s="33" t="str">
        <f t="array" ref="C1059">IF(B1059="", "", XLOOKUP(B1059, Inventory!D:D,Inventory!E:E,"No Name Found"))</f>
        <v/>
      </c>
      <c r="D1059" s="6"/>
      <c r="E1059" s="6"/>
      <c r="F1059" s="6"/>
      <c r="G1059" s="24" t="str">
        <f>IF(F1059="", "", VLOOKUP(F1059, Inventory!A:BZ, 3, FALSE) - SUMIF($F$1:$F1058, F1059, $H$1:$H1058))
</f>
        <v/>
      </c>
      <c r="I1059" s="26"/>
      <c r="J1059" s="26" t="s">
        <v>77</v>
      </c>
      <c r="L1059" s="27" t="s">
        <v>77</v>
      </c>
      <c r="N1059" s="28" t="s">
        <v>77</v>
      </c>
      <c r="Q1059" s="30"/>
    </row>
    <row r="1060">
      <c r="B1060" s="6"/>
      <c r="C1060" s="33" t="str">
        <f t="array" ref="C1060">IF(B1060="", "", XLOOKUP(B1060, Inventory!D:D,Inventory!E:E,"No Name Found"))</f>
        <v/>
      </c>
      <c r="D1060" s="6"/>
      <c r="E1060" s="6"/>
      <c r="F1060" s="6"/>
      <c r="G1060" s="24" t="str">
        <f>IF(F1060="", "", VLOOKUP(F1060, Inventory!A:BZ, 3, FALSE) - SUMIF($F$1:$F1059, F1060, $H$1:$H1059))
</f>
        <v/>
      </c>
      <c r="I1060" s="26"/>
      <c r="J1060" s="26" t="s">
        <v>77</v>
      </c>
      <c r="L1060" s="27" t="s">
        <v>77</v>
      </c>
      <c r="N1060" s="28" t="s">
        <v>77</v>
      </c>
      <c r="Q1060" s="30"/>
    </row>
    <row r="1061">
      <c r="B1061" s="6"/>
      <c r="C1061" s="33" t="str">
        <f t="array" ref="C1061">IF(B1061="", "", XLOOKUP(B1061, Inventory!D:D,Inventory!E:E,"No Name Found"))</f>
        <v/>
      </c>
      <c r="D1061" s="6"/>
      <c r="E1061" s="6"/>
      <c r="F1061" s="6"/>
      <c r="G1061" s="24" t="str">
        <f>IF(F1061="", "", VLOOKUP(F1061, Inventory!A:BZ, 3, FALSE) - SUMIF($F$1:$F1060, F1061, $H$1:$H1060))
</f>
        <v/>
      </c>
      <c r="I1061" s="26"/>
      <c r="J1061" s="26" t="s">
        <v>77</v>
      </c>
      <c r="L1061" s="27" t="s">
        <v>77</v>
      </c>
      <c r="N1061" s="28" t="s">
        <v>77</v>
      </c>
      <c r="Q1061" s="30"/>
    </row>
    <row r="1062">
      <c r="B1062" s="6"/>
      <c r="C1062" s="33" t="str">
        <f t="array" ref="C1062">IF(B1062="", "", XLOOKUP(B1062, Inventory!D:D,Inventory!E:E,"No Name Found"))</f>
        <v/>
      </c>
      <c r="D1062" s="6"/>
      <c r="E1062" s="6"/>
      <c r="F1062" s="6"/>
      <c r="G1062" s="24" t="str">
        <f>IF(F1062="", "", VLOOKUP(F1062, Inventory!A:BZ, 3, FALSE) - SUMIF($F$1:$F1061, F1062, $H$1:$H1061))
</f>
        <v/>
      </c>
      <c r="I1062" s="26"/>
      <c r="J1062" s="26" t="s">
        <v>77</v>
      </c>
      <c r="L1062" s="27" t="s">
        <v>77</v>
      </c>
      <c r="N1062" s="28" t="s">
        <v>77</v>
      </c>
      <c r="Q1062" s="30"/>
    </row>
    <row r="1063">
      <c r="B1063" s="6"/>
      <c r="C1063" s="33" t="str">
        <f t="array" ref="C1063">IF(B1063="", "", XLOOKUP(B1063, Inventory!D:D,Inventory!E:E,"No Name Found"))</f>
        <v/>
      </c>
      <c r="D1063" s="6"/>
      <c r="E1063" s="6"/>
      <c r="F1063" s="6"/>
      <c r="G1063" s="24" t="str">
        <f>IF(F1063="", "", VLOOKUP(F1063, Inventory!A:BZ, 3, FALSE) - SUMIF($F$1:$F1062, F1063, $H$1:$H1062))
</f>
        <v/>
      </c>
      <c r="I1063" s="26"/>
      <c r="J1063" s="26" t="s">
        <v>77</v>
      </c>
      <c r="L1063" s="27" t="s">
        <v>77</v>
      </c>
      <c r="N1063" s="28" t="s">
        <v>77</v>
      </c>
      <c r="Q1063" s="30"/>
    </row>
    <row r="1064">
      <c r="B1064" s="6"/>
      <c r="C1064" s="33" t="str">
        <f t="array" ref="C1064">IF(B1064="", "", XLOOKUP(B1064, Inventory!D:D,Inventory!E:E,"No Name Found"))</f>
        <v/>
      </c>
      <c r="D1064" s="6"/>
      <c r="E1064" s="6"/>
      <c r="F1064" s="6"/>
      <c r="G1064" s="24" t="str">
        <f>IF(F1064="", "", VLOOKUP(F1064, Inventory!A:BZ, 3, FALSE) - SUMIF($F$1:$F1063, F1064, $H$1:$H1063))
</f>
        <v/>
      </c>
      <c r="I1064" s="26"/>
      <c r="J1064" s="26" t="s">
        <v>77</v>
      </c>
      <c r="L1064" s="27" t="s">
        <v>77</v>
      </c>
      <c r="N1064" s="28" t="s">
        <v>77</v>
      </c>
      <c r="Q1064" s="30"/>
    </row>
    <row r="1065">
      <c r="B1065" s="6"/>
      <c r="C1065" s="33" t="str">
        <f t="array" ref="C1065">IF(B1065="", "", XLOOKUP(B1065, Inventory!D:D,Inventory!E:E,"No Name Found"))</f>
        <v/>
      </c>
      <c r="D1065" s="6"/>
      <c r="E1065" s="6"/>
      <c r="F1065" s="6"/>
      <c r="G1065" s="24" t="str">
        <f>IF(F1065="", "", VLOOKUP(F1065, Inventory!A:BZ, 3, FALSE) - SUMIF($F$1:$F1064, F1065, $H$1:$H1064))
</f>
        <v/>
      </c>
      <c r="I1065" s="26"/>
      <c r="J1065" s="26" t="s">
        <v>77</v>
      </c>
      <c r="L1065" s="27" t="s">
        <v>77</v>
      </c>
      <c r="N1065" s="28" t="s">
        <v>77</v>
      </c>
      <c r="Q1065" s="30"/>
    </row>
    <row r="1066">
      <c r="B1066" s="6"/>
      <c r="C1066" s="33" t="str">
        <f t="array" ref="C1066">IF(B1066="", "", XLOOKUP(B1066, Inventory!D:D,Inventory!E:E,"No Name Found"))</f>
        <v/>
      </c>
      <c r="D1066" s="6"/>
      <c r="E1066" s="6"/>
      <c r="F1066" s="6"/>
      <c r="G1066" s="24" t="str">
        <f>IF(F1066="", "", VLOOKUP(F1066, Inventory!A:BZ, 3, FALSE) - SUMIF($F$1:$F1065, F1066, $H$1:$H1065))
</f>
        <v/>
      </c>
      <c r="I1066" s="26"/>
      <c r="J1066" s="26" t="s">
        <v>77</v>
      </c>
      <c r="L1066" s="27" t="s">
        <v>77</v>
      </c>
      <c r="N1066" s="28" t="s">
        <v>77</v>
      </c>
      <c r="Q1066" s="30"/>
    </row>
    <row r="1067">
      <c r="B1067" s="6"/>
      <c r="C1067" s="33" t="str">
        <f t="array" ref="C1067">IF(B1067="", "", XLOOKUP(B1067, Inventory!D:D,Inventory!E:E,"No Name Found"))</f>
        <v/>
      </c>
      <c r="D1067" s="6"/>
      <c r="E1067" s="6"/>
      <c r="F1067" s="6"/>
      <c r="G1067" s="24" t="str">
        <f>IF(F1067="", "", VLOOKUP(F1067, Inventory!A:BZ, 3, FALSE) - SUMIF($F$1:$F1066, F1067, $H$1:$H1066))
</f>
        <v/>
      </c>
      <c r="I1067" s="26"/>
      <c r="J1067" s="26" t="s">
        <v>77</v>
      </c>
      <c r="L1067" s="27" t="s">
        <v>77</v>
      </c>
      <c r="N1067" s="28" t="s">
        <v>77</v>
      </c>
      <c r="Q1067" s="30"/>
    </row>
    <row r="1068">
      <c r="B1068" s="6"/>
      <c r="C1068" s="33" t="str">
        <f t="array" ref="C1068">IF(B1068="", "", XLOOKUP(B1068, Inventory!D:D,Inventory!E:E,"No Name Found"))</f>
        <v/>
      </c>
      <c r="D1068" s="6"/>
      <c r="E1068" s="6"/>
      <c r="F1068" s="6"/>
      <c r="G1068" s="24" t="str">
        <f>IF(F1068="", "", VLOOKUP(F1068, Inventory!A:BZ, 3, FALSE) - SUMIF($F$1:$F1067, F1068, $H$1:$H1067))
</f>
        <v/>
      </c>
      <c r="I1068" s="26"/>
      <c r="J1068" s="26" t="s">
        <v>77</v>
      </c>
      <c r="L1068" s="27" t="s">
        <v>77</v>
      </c>
      <c r="N1068" s="28" t="s">
        <v>77</v>
      </c>
      <c r="Q1068" s="30"/>
    </row>
    <row r="1069">
      <c r="B1069" s="6"/>
      <c r="C1069" s="33" t="str">
        <f t="array" ref="C1069">IF(B1069="", "", XLOOKUP(B1069, Inventory!D:D,Inventory!E:E,"No Name Found"))</f>
        <v/>
      </c>
      <c r="D1069" s="6"/>
      <c r="E1069" s="6"/>
      <c r="F1069" s="6"/>
      <c r="G1069" s="24" t="str">
        <f>IF(F1069="", "", VLOOKUP(F1069, Inventory!A:BZ, 3, FALSE) - SUMIF($F$1:$F1068, F1069, $H$1:$H1068))
</f>
        <v/>
      </c>
      <c r="I1069" s="26"/>
      <c r="J1069" s="26" t="s">
        <v>77</v>
      </c>
      <c r="L1069" s="27" t="s">
        <v>77</v>
      </c>
      <c r="N1069" s="28" t="s">
        <v>77</v>
      </c>
      <c r="Q1069" s="30"/>
    </row>
    <row r="1070">
      <c r="B1070" s="6"/>
      <c r="C1070" s="33" t="str">
        <f t="array" ref="C1070">IF(B1070="", "", XLOOKUP(B1070, Inventory!D:D,Inventory!E:E,"No Name Found"))</f>
        <v/>
      </c>
      <c r="D1070" s="6"/>
      <c r="E1070" s="6"/>
      <c r="F1070" s="6"/>
      <c r="G1070" s="24" t="str">
        <f>IF(F1070="", "", VLOOKUP(F1070, Inventory!A:BZ, 3, FALSE) - SUMIF($F$1:$F1069, F1070, $H$1:$H1069))
</f>
        <v/>
      </c>
      <c r="I1070" s="26"/>
      <c r="J1070" s="26" t="s">
        <v>77</v>
      </c>
      <c r="L1070" s="27" t="s">
        <v>77</v>
      </c>
      <c r="N1070" s="28" t="s">
        <v>77</v>
      </c>
      <c r="Q1070" s="30"/>
    </row>
    <row r="1071">
      <c r="B1071" s="6"/>
      <c r="C1071" s="33" t="str">
        <f t="array" ref="C1071">IF(B1071="", "", XLOOKUP(B1071, Inventory!D:D,Inventory!E:E,"No Name Found"))</f>
        <v/>
      </c>
      <c r="D1071" s="6"/>
      <c r="E1071" s="6"/>
      <c r="F1071" s="6"/>
      <c r="G1071" s="24" t="str">
        <f>IF(F1071="", "", VLOOKUP(F1071, Inventory!A:BZ, 3, FALSE) - SUMIF($F$1:$F1070, F1071, $H$1:$H1070))
</f>
        <v/>
      </c>
      <c r="I1071" s="26"/>
      <c r="J1071" s="26" t="s">
        <v>77</v>
      </c>
      <c r="L1071" s="27" t="s">
        <v>77</v>
      </c>
      <c r="N1071" s="28" t="s">
        <v>77</v>
      </c>
      <c r="Q1071" s="30"/>
    </row>
    <row r="1072">
      <c r="B1072" s="6"/>
      <c r="C1072" s="33" t="str">
        <f t="array" ref="C1072">IF(B1072="", "", XLOOKUP(B1072, Inventory!D:D,Inventory!E:E,"No Name Found"))</f>
        <v/>
      </c>
      <c r="D1072" s="6"/>
      <c r="E1072" s="6"/>
      <c r="F1072" s="6"/>
      <c r="G1072" s="24" t="str">
        <f>IF(F1072="", "", VLOOKUP(F1072, Inventory!A:BZ, 3, FALSE) - SUMIF($F$1:$F1071, F1072, $H$1:$H1071))
</f>
        <v/>
      </c>
      <c r="I1072" s="26"/>
      <c r="J1072" s="26" t="s">
        <v>77</v>
      </c>
      <c r="L1072" s="27" t="s">
        <v>77</v>
      </c>
      <c r="N1072" s="28" t="s">
        <v>77</v>
      </c>
      <c r="Q1072" s="30"/>
    </row>
    <row r="1073">
      <c r="B1073" s="6"/>
      <c r="C1073" s="33" t="str">
        <f t="array" ref="C1073">IF(B1073="", "", XLOOKUP(B1073, Inventory!D:D,Inventory!E:E,"No Name Found"))</f>
        <v/>
      </c>
      <c r="D1073" s="6"/>
      <c r="E1073" s="6"/>
      <c r="F1073" s="6"/>
      <c r="G1073" s="24" t="str">
        <f>IF(F1073="", "", VLOOKUP(F1073, Inventory!A:BZ, 3, FALSE) - SUMIF($F$1:$F1072, F1073, $H$1:$H1072))
</f>
        <v/>
      </c>
      <c r="I1073" s="26"/>
      <c r="J1073" s="26" t="s">
        <v>77</v>
      </c>
      <c r="L1073" s="27" t="s">
        <v>77</v>
      </c>
      <c r="N1073" s="28" t="s">
        <v>77</v>
      </c>
      <c r="Q1073" s="30"/>
    </row>
    <row r="1074">
      <c r="B1074" s="6"/>
      <c r="C1074" s="33" t="str">
        <f t="array" ref="C1074">IF(B1074="", "", XLOOKUP(B1074, Inventory!D:D,Inventory!E:E,"No Name Found"))</f>
        <v/>
      </c>
      <c r="D1074" s="6"/>
      <c r="E1074" s="6"/>
      <c r="F1074" s="6"/>
      <c r="G1074" s="24" t="str">
        <f>IF(F1074="", "", VLOOKUP(F1074, Inventory!A:BZ, 3, FALSE) - SUMIF($F$1:$F1073, F1074, $H$1:$H1073))
</f>
        <v/>
      </c>
      <c r="I1074" s="26"/>
      <c r="J1074" s="26" t="s">
        <v>77</v>
      </c>
      <c r="L1074" s="27" t="s">
        <v>77</v>
      </c>
      <c r="N1074" s="28" t="s">
        <v>77</v>
      </c>
      <c r="Q1074" s="30"/>
    </row>
    <row r="1075">
      <c r="B1075" s="6"/>
      <c r="C1075" s="33" t="str">
        <f t="array" ref="C1075">IF(B1075="", "", XLOOKUP(B1075, Inventory!D:D,Inventory!E:E,"No Name Found"))</f>
        <v/>
      </c>
      <c r="D1075" s="6"/>
      <c r="E1075" s="6"/>
      <c r="F1075" s="6"/>
      <c r="G1075" s="24" t="str">
        <f>IF(F1075="", "", VLOOKUP(F1075, Inventory!A:BZ, 3, FALSE) - SUMIF($F$1:$F1074, F1075, $H$1:$H1074))
</f>
        <v/>
      </c>
      <c r="I1075" s="26"/>
      <c r="J1075" s="26" t="s">
        <v>77</v>
      </c>
      <c r="L1075" s="27" t="s">
        <v>77</v>
      </c>
      <c r="N1075" s="28" t="s">
        <v>77</v>
      </c>
      <c r="Q1075" s="30"/>
    </row>
    <row r="1076">
      <c r="B1076" s="6"/>
      <c r="C1076" s="33" t="str">
        <f t="array" ref="C1076">IF(B1076="", "", XLOOKUP(B1076, Inventory!D:D,Inventory!E:E,"No Name Found"))</f>
        <v/>
      </c>
      <c r="D1076" s="6"/>
      <c r="E1076" s="6"/>
      <c r="F1076" s="6"/>
      <c r="G1076" s="24" t="str">
        <f>IF(F1076="", "", VLOOKUP(F1076, Inventory!A:BZ, 3, FALSE) - SUMIF($F$1:$F1075, F1076, $H$1:$H1075))
</f>
        <v/>
      </c>
      <c r="I1076" s="26"/>
      <c r="J1076" s="26" t="s">
        <v>77</v>
      </c>
      <c r="L1076" s="27" t="s">
        <v>77</v>
      </c>
      <c r="N1076" s="28" t="s">
        <v>77</v>
      </c>
      <c r="Q1076" s="30"/>
    </row>
    <row r="1077">
      <c r="B1077" s="6"/>
      <c r="C1077" s="33" t="str">
        <f t="array" ref="C1077">IF(B1077="", "", XLOOKUP(B1077, Inventory!D:D,Inventory!E:E,"No Name Found"))</f>
        <v/>
      </c>
      <c r="D1077" s="6"/>
      <c r="E1077" s="6"/>
      <c r="F1077" s="6"/>
      <c r="G1077" s="24" t="str">
        <f>IF(F1077="", "", VLOOKUP(F1077, Inventory!A:BZ, 3, FALSE) - SUMIF($F$1:$F1076, F1077, $H$1:$H1076))
</f>
        <v/>
      </c>
      <c r="I1077" s="26"/>
      <c r="J1077" s="26" t="s">
        <v>77</v>
      </c>
      <c r="L1077" s="27" t="s">
        <v>77</v>
      </c>
      <c r="N1077" s="28" t="s">
        <v>77</v>
      </c>
      <c r="Q1077" s="30"/>
    </row>
    <row r="1078">
      <c r="B1078" s="6"/>
      <c r="C1078" s="33" t="str">
        <f t="array" ref="C1078">IF(B1078="", "", XLOOKUP(B1078, Inventory!D:D,Inventory!E:E,"No Name Found"))</f>
        <v/>
      </c>
      <c r="D1078" s="6"/>
      <c r="E1078" s="6"/>
      <c r="F1078" s="6"/>
      <c r="G1078" s="24" t="str">
        <f>IF(F1078="", "", VLOOKUP(F1078, Inventory!A:BZ, 3, FALSE) - SUMIF($F$1:$F1077, F1078, $H$1:$H1077))
</f>
        <v/>
      </c>
      <c r="I1078" s="26"/>
      <c r="J1078" s="26" t="s">
        <v>77</v>
      </c>
      <c r="L1078" s="27" t="s">
        <v>77</v>
      </c>
      <c r="N1078" s="28" t="s">
        <v>77</v>
      </c>
      <c r="Q1078" s="30"/>
    </row>
    <row r="1079">
      <c r="B1079" s="6"/>
      <c r="C1079" s="33" t="str">
        <f t="array" ref="C1079">IF(B1079="", "", XLOOKUP(B1079, Inventory!D:D,Inventory!E:E,"No Name Found"))</f>
        <v/>
      </c>
      <c r="D1079" s="6"/>
      <c r="E1079" s="6"/>
      <c r="F1079" s="6"/>
      <c r="G1079" s="24" t="str">
        <f>IF(F1079="", "", VLOOKUP(F1079, Inventory!A:BZ, 3, FALSE) - SUMIF($F$1:$F1078, F1079, $H$1:$H1078))
</f>
        <v/>
      </c>
      <c r="I1079" s="26"/>
      <c r="J1079" s="26" t="s">
        <v>77</v>
      </c>
      <c r="L1079" s="27" t="s">
        <v>77</v>
      </c>
      <c r="N1079" s="28" t="s">
        <v>77</v>
      </c>
      <c r="Q1079" s="30"/>
    </row>
    <row r="1080">
      <c r="B1080" s="6"/>
      <c r="C1080" s="33" t="str">
        <f t="array" ref="C1080">IF(B1080="", "", XLOOKUP(B1080, Inventory!D:D,Inventory!E:E,"No Name Found"))</f>
        <v/>
      </c>
      <c r="D1080" s="6"/>
      <c r="E1080" s="6"/>
      <c r="F1080" s="6"/>
      <c r="G1080" s="24" t="str">
        <f>IF(F1080="", "", VLOOKUP(F1080, Inventory!A:BZ, 3, FALSE) - SUMIF($F$1:$F1079, F1080, $H$1:$H1079))
</f>
        <v/>
      </c>
      <c r="I1080" s="26"/>
      <c r="J1080" s="26" t="s">
        <v>77</v>
      </c>
      <c r="L1080" s="27" t="s">
        <v>77</v>
      </c>
      <c r="N1080" s="28" t="s">
        <v>77</v>
      </c>
      <c r="Q1080" s="30"/>
    </row>
    <row r="1081">
      <c r="B1081" s="6"/>
      <c r="C1081" s="33" t="str">
        <f t="array" ref="C1081">IF(B1081="", "", XLOOKUP(B1081, Inventory!D:D,Inventory!E:E,"No Name Found"))</f>
        <v/>
      </c>
      <c r="D1081" s="6"/>
      <c r="E1081" s="6"/>
      <c r="F1081" s="6"/>
      <c r="G1081" s="24" t="str">
        <f>IF(F1081="", "", VLOOKUP(F1081, Inventory!A:BZ, 3, FALSE) - SUMIF($F$1:$F1080, F1081, $H$1:$H1080))
</f>
        <v/>
      </c>
      <c r="I1081" s="26"/>
      <c r="J1081" s="26" t="s">
        <v>77</v>
      </c>
      <c r="L1081" s="27" t="s">
        <v>77</v>
      </c>
      <c r="N1081" s="28" t="s">
        <v>77</v>
      </c>
      <c r="Q1081" s="30"/>
    </row>
    <row r="1082">
      <c r="B1082" s="6"/>
      <c r="C1082" s="33" t="str">
        <f t="array" ref="C1082">IF(B1082="", "", XLOOKUP(B1082, Inventory!D:D,Inventory!E:E,"No Name Found"))</f>
        <v/>
      </c>
      <c r="D1082" s="6"/>
      <c r="E1082" s="6"/>
      <c r="F1082" s="6"/>
      <c r="G1082" s="24" t="str">
        <f>IF(F1082="", "", VLOOKUP(F1082, Inventory!A:BZ, 3, FALSE) - SUMIF($F$1:$F1081, F1082, $H$1:$H1081))
</f>
        <v/>
      </c>
      <c r="I1082" s="26"/>
      <c r="J1082" s="26" t="s">
        <v>77</v>
      </c>
      <c r="L1082" s="27" t="s">
        <v>77</v>
      </c>
      <c r="N1082" s="28" t="s">
        <v>77</v>
      </c>
      <c r="Q1082" s="30"/>
    </row>
    <row r="1083">
      <c r="B1083" s="6"/>
      <c r="C1083" s="33" t="str">
        <f t="array" ref="C1083">IF(B1083="", "", XLOOKUP(B1083, Inventory!D:D,Inventory!E:E,"No Name Found"))</f>
        <v/>
      </c>
      <c r="D1083" s="6"/>
      <c r="E1083" s="6"/>
      <c r="F1083" s="6"/>
      <c r="G1083" s="24" t="str">
        <f>IF(F1083="", "", VLOOKUP(F1083, Inventory!A:BZ, 3, FALSE) - SUMIF($F$1:$F1082, F1083, $H$1:$H1082))
</f>
        <v/>
      </c>
      <c r="I1083" s="26"/>
      <c r="J1083" s="26" t="s">
        <v>77</v>
      </c>
      <c r="L1083" s="27" t="s">
        <v>77</v>
      </c>
      <c r="N1083" s="28" t="s">
        <v>77</v>
      </c>
      <c r="Q1083" s="30"/>
    </row>
    <row r="1084">
      <c r="B1084" s="6"/>
      <c r="C1084" s="33" t="str">
        <f t="array" ref="C1084">IF(B1084="", "", XLOOKUP(B1084, Inventory!D:D,Inventory!E:E,"No Name Found"))</f>
        <v/>
      </c>
      <c r="D1084" s="6"/>
      <c r="E1084" s="6"/>
      <c r="F1084" s="22"/>
      <c r="G1084" s="24" t="str">
        <f>IF(F1084="", "", VLOOKUP(F1084, Inventory!A:BZ, 3, FALSE) - SUMIF($F$1:$F1083, F1084, $H$1:$H1083))
</f>
        <v/>
      </c>
      <c r="I1084" s="26"/>
      <c r="J1084" s="26" t="s">
        <v>77</v>
      </c>
      <c r="L1084" s="27" t="s">
        <v>77</v>
      </c>
      <c r="N1084" s="28" t="s">
        <v>77</v>
      </c>
      <c r="Q1084" s="30"/>
    </row>
    <row r="1085">
      <c r="B1085" s="6"/>
      <c r="C1085" s="33" t="str">
        <f t="array" ref="C1085">IF(B1085="", "", XLOOKUP(B1085, Inventory!D:D,Inventory!E:E,"No Name Found"))</f>
        <v/>
      </c>
      <c r="D1085" s="6"/>
      <c r="E1085" s="6"/>
      <c r="F1085" s="6"/>
      <c r="G1085" s="24" t="str">
        <f>IF(F1085="", "", VLOOKUP(F1085, Inventory!A:BZ, 3, FALSE) - SUMIF($F$1:$F1084, F1085, $H$1:$H1084))
</f>
        <v/>
      </c>
      <c r="I1085" s="26"/>
      <c r="J1085" s="26" t="s">
        <v>77</v>
      </c>
      <c r="L1085" s="27" t="s">
        <v>77</v>
      </c>
      <c r="N1085" s="28" t="s">
        <v>77</v>
      </c>
      <c r="Q1085" s="30"/>
    </row>
    <row r="1086">
      <c r="B1086" s="6"/>
      <c r="C1086" s="33" t="str">
        <f t="array" ref="C1086">IF(B1086="", "", XLOOKUP(B1086, Inventory!D:D,Inventory!E:E,"No Name Found"))</f>
        <v/>
      </c>
      <c r="D1086" s="6"/>
      <c r="E1086" s="6"/>
      <c r="F1086" s="22"/>
      <c r="G1086" s="24" t="str">
        <f>IF(F1086="", "", VLOOKUP(F1086, Inventory!A:BZ, 3, FALSE) - SUMIF($F$1:$F1085, F1086, $H$1:$H1085))
</f>
        <v/>
      </c>
      <c r="I1086" s="26"/>
      <c r="J1086" s="26" t="s">
        <v>77</v>
      </c>
      <c r="L1086" s="27" t="s">
        <v>77</v>
      </c>
      <c r="N1086" s="28" t="s">
        <v>77</v>
      </c>
      <c r="Q1086" s="30"/>
    </row>
    <row r="1087">
      <c r="B1087" s="6"/>
      <c r="C1087" s="33" t="str">
        <f t="array" ref="C1087">IF(B1087="", "", XLOOKUP(B1087, Inventory!D:D,Inventory!E:E,"No Name Found"))</f>
        <v/>
      </c>
      <c r="D1087" s="6"/>
      <c r="E1087" s="6"/>
      <c r="F1087" s="6"/>
      <c r="G1087" s="24" t="str">
        <f>IF(F1087="", "", VLOOKUP(F1087, Inventory!A:BZ, 3, FALSE) - SUMIF($F$1:$F1086, F1087, $H$1:$H1086))
</f>
        <v/>
      </c>
      <c r="I1087" s="26"/>
      <c r="J1087" s="26" t="s">
        <v>77</v>
      </c>
      <c r="L1087" s="27" t="s">
        <v>77</v>
      </c>
      <c r="N1087" s="28" t="s">
        <v>77</v>
      </c>
      <c r="Q1087" s="30"/>
    </row>
    <row r="1088">
      <c r="B1088" s="6"/>
      <c r="C1088" s="33" t="str">
        <f t="array" ref="C1088">IF(B1088="", "", XLOOKUP(B1088, Inventory!D:D,Inventory!E:E,"No Name Found"))</f>
        <v/>
      </c>
      <c r="D1088" s="6"/>
      <c r="E1088" s="6"/>
      <c r="F1088" s="6"/>
      <c r="G1088" s="24" t="str">
        <f>IF(F1088="", "", VLOOKUP(F1088, Inventory!A:BZ, 3, FALSE) - SUMIF($F$1:$F1087, F1088, $H$1:$H1087))
</f>
        <v/>
      </c>
      <c r="I1088" s="26"/>
      <c r="J1088" s="26" t="s">
        <v>77</v>
      </c>
      <c r="L1088" s="27" t="s">
        <v>77</v>
      </c>
      <c r="N1088" s="28" t="s">
        <v>77</v>
      </c>
      <c r="Q1088" s="30"/>
    </row>
    <row r="1089">
      <c r="B1089" s="6"/>
      <c r="C1089" s="33" t="str">
        <f t="array" ref="C1089">IF(B1089="", "", XLOOKUP(B1089, Inventory!D:D,Inventory!E:E,"No Name Found"))</f>
        <v/>
      </c>
      <c r="D1089" s="6"/>
      <c r="E1089" s="6"/>
      <c r="F1089" s="6"/>
      <c r="G1089" s="24" t="str">
        <f>IF(F1089="", "", VLOOKUP(F1089, Inventory!A:BZ, 3, FALSE) - SUMIF($F$1:$F1088, F1089, $H$1:$H1088))
</f>
        <v/>
      </c>
      <c r="I1089" s="26"/>
      <c r="J1089" s="26" t="s">
        <v>77</v>
      </c>
      <c r="L1089" s="27" t="s">
        <v>77</v>
      </c>
      <c r="N1089" s="28" t="s">
        <v>77</v>
      </c>
      <c r="Q1089" s="30"/>
    </row>
    <row r="1090">
      <c r="B1090" s="6"/>
      <c r="C1090" s="33" t="str">
        <f t="array" ref="C1090">IF(B1090="", "", XLOOKUP(B1090, Inventory!D:D,Inventory!E:E,"No Name Found"))</f>
        <v/>
      </c>
      <c r="D1090" s="6"/>
      <c r="E1090" s="6"/>
      <c r="F1090" s="6"/>
      <c r="G1090" s="24" t="str">
        <f>IF(F1090="", "", VLOOKUP(F1090, Inventory!A:BZ, 3, FALSE) - SUMIF($F$1:$F1089, F1090, $H$1:$H1089))
</f>
        <v/>
      </c>
      <c r="I1090" s="26"/>
      <c r="J1090" s="26" t="s">
        <v>77</v>
      </c>
      <c r="L1090" s="27" t="s">
        <v>77</v>
      </c>
      <c r="N1090" s="28" t="s">
        <v>77</v>
      </c>
      <c r="Q1090" s="30"/>
    </row>
    <row r="1091">
      <c r="B1091" s="6"/>
      <c r="C1091" s="33" t="str">
        <f t="array" ref="C1091">IF(B1091="", "", XLOOKUP(B1091, Inventory!D:D,Inventory!E:E,"No Name Found"))</f>
        <v/>
      </c>
      <c r="D1091" s="6"/>
      <c r="E1091" s="6"/>
      <c r="F1091" s="6"/>
      <c r="G1091" s="24" t="str">
        <f>IF(F1091="", "", VLOOKUP(F1091, Inventory!A:BZ, 3, FALSE) - SUMIF($F$1:$F1090, F1091, $H$1:$H1090))
</f>
        <v/>
      </c>
      <c r="I1091" s="26"/>
      <c r="J1091" s="26" t="s">
        <v>77</v>
      </c>
      <c r="L1091" s="27" t="s">
        <v>77</v>
      </c>
      <c r="N1091" s="28" t="s">
        <v>77</v>
      </c>
      <c r="Q1091" s="30"/>
    </row>
    <row r="1092">
      <c r="B1092" s="6"/>
      <c r="C1092" s="33" t="str">
        <f t="array" ref="C1092">IF(B1092="", "", XLOOKUP(B1092, Inventory!D:D,Inventory!E:E,"No Name Found"))</f>
        <v/>
      </c>
      <c r="D1092" s="6"/>
      <c r="E1092" s="6"/>
      <c r="F1092" s="6"/>
      <c r="G1092" s="24" t="str">
        <f>IF(F1092="", "", VLOOKUP(F1092, Inventory!A:BZ, 3, FALSE) - SUMIF($F$1:$F1091, F1092, $H$1:$H1091))
</f>
        <v/>
      </c>
      <c r="I1092" s="26"/>
      <c r="J1092" s="26" t="s">
        <v>77</v>
      </c>
      <c r="L1092" s="27" t="s">
        <v>77</v>
      </c>
      <c r="N1092" s="28" t="s">
        <v>77</v>
      </c>
      <c r="Q1092" s="30"/>
    </row>
    <row r="1093">
      <c r="B1093" s="6"/>
      <c r="C1093" s="33" t="str">
        <f t="array" ref="C1093">IF(B1093="", "", XLOOKUP(B1093, Inventory!D:D,Inventory!E:E,"No Name Found"))</f>
        <v/>
      </c>
      <c r="D1093" s="6"/>
      <c r="E1093" s="6"/>
      <c r="F1093" s="6"/>
      <c r="G1093" s="24" t="str">
        <f>IF(F1093="", "", VLOOKUP(F1093, Inventory!A:BZ, 3, FALSE) - SUMIF($F$1:$F1092, F1093, $H$1:$H1092))
</f>
        <v/>
      </c>
      <c r="I1093" s="26"/>
      <c r="J1093" s="26" t="s">
        <v>77</v>
      </c>
      <c r="L1093" s="27" t="s">
        <v>77</v>
      </c>
      <c r="N1093" s="28" t="s">
        <v>77</v>
      </c>
      <c r="Q1093" s="30"/>
    </row>
    <row r="1094">
      <c r="B1094" s="6"/>
      <c r="C1094" s="33" t="str">
        <f t="array" ref="C1094">IF(B1094="", "", XLOOKUP(B1094, Inventory!D:D,Inventory!E:E,"No Name Found"))</f>
        <v/>
      </c>
      <c r="D1094" s="6"/>
      <c r="E1094" s="6"/>
      <c r="F1094" s="6"/>
      <c r="G1094" s="24" t="str">
        <f>IF(F1094="", "", VLOOKUP(F1094, Inventory!A:BZ, 3, FALSE) - SUMIF($F$1:$F1093, F1094, $H$1:$H1093))
</f>
        <v/>
      </c>
      <c r="I1094" s="26"/>
      <c r="J1094" s="26" t="s">
        <v>77</v>
      </c>
      <c r="L1094" s="27" t="s">
        <v>77</v>
      </c>
      <c r="N1094" s="28" t="s">
        <v>77</v>
      </c>
      <c r="Q1094" s="30"/>
    </row>
    <row r="1095">
      <c r="B1095" s="6"/>
      <c r="C1095" s="33" t="str">
        <f t="array" ref="C1095">IF(B1095="", "", XLOOKUP(B1095, Inventory!D:D,Inventory!E:E,"No Name Found"))</f>
        <v/>
      </c>
      <c r="D1095" s="6"/>
      <c r="E1095" s="6"/>
      <c r="F1095" s="6"/>
      <c r="G1095" s="24" t="str">
        <f>IF(F1095="", "", VLOOKUP(F1095, Inventory!A:BZ, 3, FALSE) - SUMIF($F$1:$F1094, F1095, $H$1:$H1094))
</f>
        <v/>
      </c>
      <c r="I1095" s="26"/>
      <c r="J1095" s="26" t="s">
        <v>77</v>
      </c>
      <c r="L1095" s="27" t="s">
        <v>77</v>
      </c>
      <c r="N1095" s="28" t="s">
        <v>77</v>
      </c>
      <c r="Q1095" s="30"/>
    </row>
    <row r="1096">
      <c r="B1096" s="6"/>
      <c r="C1096" s="33" t="str">
        <f t="array" ref="C1096">IF(B1096="", "", XLOOKUP(B1096, Inventory!D:D,Inventory!E:E,"No Name Found"))</f>
        <v/>
      </c>
      <c r="D1096" s="6"/>
      <c r="E1096" s="6"/>
      <c r="F1096" s="6"/>
      <c r="G1096" s="24" t="str">
        <f>IF(F1096="", "", VLOOKUP(F1096, Inventory!A:BZ, 3, FALSE) - SUMIF($F$1:$F1095, F1096, $H$1:$H1095))
</f>
        <v/>
      </c>
      <c r="I1096" s="26"/>
      <c r="J1096" s="26" t="s">
        <v>77</v>
      </c>
      <c r="L1096" s="27" t="s">
        <v>77</v>
      </c>
      <c r="N1096" s="28" t="s">
        <v>77</v>
      </c>
      <c r="Q1096" s="30"/>
    </row>
    <row r="1097">
      <c r="B1097" s="6"/>
      <c r="C1097" s="33" t="str">
        <f t="array" ref="C1097">IF(B1097="", "", XLOOKUP(B1097, Inventory!D:D,Inventory!E:E,"No Name Found"))</f>
        <v/>
      </c>
      <c r="D1097" s="6"/>
      <c r="E1097" s="6"/>
      <c r="F1097" s="6"/>
      <c r="G1097" s="24" t="str">
        <f>IF(F1097="", "", VLOOKUP(F1097, Inventory!A:BZ, 3, FALSE) - SUMIF($F$1:$F1096, F1097, $H$1:$H1096))
</f>
        <v/>
      </c>
      <c r="I1097" s="26"/>
      <c r="J1097" s="26" t="s">
        <v>77</v>
      </c>
      <c r="L1097" s="27" t="s">
        <v>77</v>
      </c>
      <c r="N1097" s="28" t="s">
        <v>77</v>
      </c>
      <c r="Q1097" s="30"/>
    </row>
    <row r="1098">
      <c r="B1098" s="6"/>
      <c r="C1098" s="33" t="str">
        <f t="array" ref="C1098">IF(B1098="", "", XLOOKUP(B1098, Inventory!D:D,Inventory!E:E,"No Name Found"))</f>
        <v/>
      </c>
      <c r="D1098" s="6"/>
      <c r="E1098" s="6"/>
      <c r="F1098" s="6"/>
      <c r="G1098" s="24" t="str">
        <f>IF(F1098="", "", VLOOKUP(F1098, Inventory!A:BZ, 3, FALSE) - SUMIF($F$1:$F1097, F1098, $H$1:$H1097))
</f>
        <v/>
      </c>
      <c r="I1098" s="26"/>
      <c r="J1098" s="26" t="s">
        <v>77</v>
      </c>
      <c r="L1098" s="27" t="s">
        <v>77</v>
      </c>
      <c r="N1098" s="28" t="s">
        <v>77</v>
      </c>
      <c r="Q1098" s="30"/>
    </row>
    <row r="1099">
      <c r="B1099" s="6"/>
      <c r="C1099" s="33" t="str">
        <f t="array" ref="C1099">IF(B1099="", "", XLOOKUP(B1099, Inventory!D:D,Inventory!E:E,"No Name Found"))</f>
        <v/>
      </c>
      <c r="D1099" s="6"/>
      <c r="E1099" s="6"/>
      <c r="F1099" s="6"/>
      <c r="G1099" s="24" t="str">
        <f>IF(F1099="", "", VLOOKUP(F1099, Inventory!A:BZ, 3, FALSE) - SUMIF($F$1:$F1098, F1099, $H$1:$H1098))
</f>
        <v/>
      </c>
      <c r="I1099" s="26"/>
      <c r="J1099" s="26" t="s">
        <v>77</v>
      </c>
      <c r="L1099" s="27" t="s">
        <v>77</v>
      </c>
      <c r="N1099" s="28" t="s">
        <v>77</v>
      </c>
      <c r="Q1099" s="30"/>
    </row>
    <row r="1100">
      <c r="B1100" s="6"/>
      <c r="C1100" s="33" t="str">
        <f t="array" ref="C1100">IF(B1100="", "", XLOOKUP(B1100, Inventory!D:D,Inventory!E:E,"No Name Found"))</f>
        <v/>
      </c>
      <c r="D1100" s="6"/>
      <c r="E1100" s="6"/>
      <c r="F1100" s="6"/>
      <c r="G1100" s="24" t="str">
        <f>IF(F1100="", "", VLOOKUP(F1100, Inventory!A:BZ, 3, FALSE) - SUMIF($F$1:$F1099, F1100, $H$1:$H1099))
</f>
        <v/>
      </c>
      <c r="I1100" s="26"/>
      <c r="J1100" s="26" t="s">
        <v>77</v>
      </c>
      <c r="L1100" s="27" t="s">
        <v>77</v>
      </c>
      <c r="N1100" s="28" t="s">
        <v>77</v>
      </c>
      <c r="Q1100" s="30"/>
    </row>
    <row r="1101">
      <c r="B1101" s="6"/>
      <c r="C1101" s="33" t="str">
        <f t="array" ref="C1101">IF(B1101="", "", XLOOKUP(B1101, Inventory!D:D,Inventory!E:E,"No Name Found"))</f>
        <v/>
      </c>
      <c r="D1101" s="6"/>
      <c r="E1101" s="6"/>
      <c r="F1101" s="6"/>
      <c r="G1101" s="24" t="str">
        <f>IF(F1101="", "", VLOOKUP(F1101, Inventory!A:BZ, 3, FALSE) - SUMIF($F$1:$F1100, F1101, $H$1:$H1100))
</f>
        <v/>
      </c>
      <c r="I1101" s="26"/>
      <c r="J1101" s="26" t="s">
        <v>77</v>
      </c>
      <c r="L1101" s="27" t="s">
        <v>77</v>
      </c>
      <c r="N1101" s="28" t="s">
        <v>77</v>
      </c>
      <c r="Q1101" s="30"/>
    </row>
    <row r="1102">
      <c r="B1102" s="6"/>
      <c r="C1102" s="33" t="str">
        <f t="array" ref="C1102">IF(B1102="", "", XLOOKUP(B1102, Inventory!D:D,Inventory!E:E,"No Name Found"))</f>
        <v/>
      </c>
      <c r="D1102" s="6"/>
      <c r="E1102" s="6"/>
      <c r="F1102" s="6"/>
      <c r="G1102" s="24" t="str">
        <f>IF(F1102="", "", VLOOKUP(F1102, Inventory!A:BZ, 3, FALSE) - SUMIF($F$1:$F1101, F1102, $H$1:$H1101))
</f>
        <v/>
      </c>
      <c r="I1102" s="26"/>
      <c r="J1102" s="26" t="s">
        <v>77</v>
      </c>
      <c r="L1102" s="27" t="s">
        <v>77</v>
      </c>
      <c r="N1102" s="28" t="s">
        <v>77</v>
      </c>
      <c r="Q1102" s="30"/>
    </row>
    <row r="1103">
      <c r="B1103" s="6"/>
      <c r="C1103" s="33" t="str">
        <f t="array" ref="C1103">IF(B1103="", "", XLOOKUP(B1103, Inventory!D:D,Inventory!E:E,"No Name Found"))</f>
        <v/>
      </c>
      <c r="D1103" s="6"/>
      <c r="E1103" s="6"/>
      <c r="F1103" s="6"/>
      <c r="G1103" s="24" t="str">
        <f>IF(F1103="", "", VLOOKUP(F1103, Inventory!A:BZ, 3, FALSE) - SUMIF($F$1:$F1102, F1103, $H$1:$H1102))
</f>
        <v/>
      </c>
      <c r="I1103" s="26"/>
      <c r="J1103" s="26" t="s">
        <v>77</v>
      </c>
      <c r="L1103" s="27" t="s">
        <v>77</v>
      </c>
      <c r="N1103" s="28" t="s">
        <v>77</v>
      </c>
      <c r="Q1103" s="30"/>
    </row>
    <row r="1104">
      <c r="B1104" s="6"/>
      <c r="C1104" s="33" t="str">
        <f t="array" ref="C1104">IF(B1104="", "", XLOOKUP(B1104, Inventory!D:D,Inventory!E:E,"No Name Found"))</f>
        <v/>
      </c>
      <c r="D1104" s="6"/>
      <c r="E1104" s="6"/>
      <c r="F1104" s="6"/>
      <c r="G1104" s="24" t="str">
        <f>IF(F1104="", "", VLOOKUP(F1104, Inventory!A:BZ, 3, FALSE) - SUMIF($F$1:$F1103, F1104, $H$1:$H1103))
</f>
        <v/>
      </c>
      <c r="I1104" s="26"/>
      <c r="J1104" s="26" t="s">
        <v>77</v>
      </c>
      <c r="L1104" s="27" t="s">
        <v>77</v>
      </c>
      <c r="N1104" s="28" t="s">
        <v>77</v>
      </c>
      <c r="Q1104" s="30"/>
    </row>
    <row r="1105">
      <c r="B1105" s="6"/>
      <c r="C1105" s="33" t="str">
        <f t="array" ref="C1105">IF(B1105="", "", XLOOKUP(B1105, Inventory!D:D,Inventory!E:E,"No Name Found"))</f>
        <v/>
      </c>
      <c r="D1105" s="6"/>
      <c r="E1105" s="6"/>
      <c r="F1105" s="6"/>
      <c r="G1105" s="24" t="str">
        <f>IF(F1105="", "", VLOOKUP(F1105, Inventory!A:BZ, 3, FALSE) - SUMIF($F$1:$F1104, F1105, $H$1:$H1104))
</f>
        <v/>
      </c>
      <c r="I1105" s="26"/>
      <c r="J1105" s="26" t="s">
        <v>77</v>
      </c>
      <c r="L1105" s="27" t="s">
        <v>77</v>
      </c>
      <c r="N1105" s="28" t="s">
        <v>77</v>
      </c>
      <c r="Q1105" s="30"/>
    </row>
    <row r="1106">
      <c r="B1106" s="6"/>
      <c r="C1106" s="33" t="str">
        <f t="array" ref="C1106">IF(B1106="", "", XLOOKUP(B1106, Inventory!D:D,Inventory!E:E,"No Name Found"))</f>
        <v/>
      </c>
      <c r="D1106" s="6"/>
      <c r="E1106" s="6"/>
      <c r="F1106" s="6"/>
      <c r="G1106" s="24" t="str">
        <f>IF(F1106="", "", VLOOKUP(F1106, Inventory!A:BZ, 3, FALSE) - SUMIF($F$1:$F1105, F1106, $H$1:$H1105))
</f>
        <v/>
      </c>
      <c r="I1106" s="26"/>
      <c r="J1106" s="26" t="s">
        <v>77</v>
      </c>
      <c r="L1106" s="27" t="s">
        <v>77</v>
      </c>
      <c r="N1106" s="28" t="s">
        <v>77</v>
      </c>
      <c r="Q1106" s="30"/>
    </row>
    <row r="1107">
      <c r="B1107" s="6"/>
      <c r="C1107" s="33" t="str">
        <f t="array" ref="C1107">IF(B1107="", "", XLOOKUP(B1107, Inventory!D:D,Inventory!E:E,"No Name Found"))</f>
        <v/>
      </c>
      <c r="D1107" s="6"/>
      <c r="E1107" s="6"/>
      <c r="F1107" s="6"/>
      <c r="G1107" s="24" t="str">
        <f>IF(F1107="", "", VLOOKUP(F1107, Inventory!A:BZ, 3, FALSE) - SUMIF($F$1:$F1106, F1107, $H$1:$H1106))
</f>
        <v/>
      </c>
      <c r="I1107" s="26"/>
      <c r="J1107" s="26" t="s">
        <v>77</v>
      </c>
      <c r="L1107" s="27" t="s">
        <v>77</v>
      </c>
      <c r="N1107" s="28" t="s">
        <v>77</v>
      </c>
      <c r="Q1107" s="30"/>
    </row>
    <row r="1108">
      <c r="B1108" s="6"/>
      <c r="C1108" s="33" t="str">
        <f t="array" ref="C1108">IF(B1108="", "", XLOOKUP(B1108, Inventory!D:D,Inventory!E:E,"No Name Found"))</f>
        <v/>
      </c>
      <c r="D1108" s="6"/>
      <c r="E1108" s="6"/>
      <c r="F1108" s="6"/>
      <c r="G1108" s="24" t="str">
        <f>IF(F1108="", "", VLOOKUP(F1108, Inventory!A:BZ, 3, FALSE) - SUMIF($F$1:$F1107, F1108, $H$1:$H1107))
</f>
        <v/>
      </c>
      <c r="I1108" s="26"/>
      <c r="J1108" s="26" t="s">
        <v>77</v>
      </c>
      <c r="L1108" s="27" t="s">
        <v>77</v>
      </c>
      <c r="N1108" s="28" t="s">
        <v>77</v>
      </c>
      <c r="Q1108" s="30"/>
    </row>
    <row r="1109">
      <c r="B1109" s="6"/>
      <c r="C1109" s="33" t="str">
        <f t="array" ref="C1109">IF(B1109="", "", XLOOKUP(B1109, Inventory!D:D,Inventory!E:E,"No Name Found"))</f>
        <v/>
      </c>
      <c r="D1109" s="6"/>
      <c r="E1109" s="6"/>
      <c r="F1109" s="6"/>
      <c r="G1109" s="24" t="str">
        <f>IF(F1109="", "", VLOOKUP(F1109, Inventory!A:BZ, 3, FALSE) - SUMIF($F$1:$F1108, F1109, $H$1:$H1108))
</f>
        <v/>
      </c>
      <c r="I1109" s="26"/>
      <c r="J1109" s="26" t="s">
        <v>77</v>
      </c>
      <c r="L1109" s="27" t="s">
        <v>77</v>
      </c>
      <c r="N1109" s="28" t="s">
        <v>77</v>
      </c>
      <c r="Q1109" s="30"/>
    </row>
    <row r="1110">
      <c r="B1110" s="6"/>
      <c r="C1110" s="33" t="str">
        <f t="array" ref="C1110">IF(B1110="", "", XLOOKUP(B1110, Inventory!D:D,Inventory!E:E,"No Name Found"))</f>
        <v/>
      </c>
      <c r="D1110" s="6"/>
      <c r="E1110" s="6"/>
      <c r="F1110" s="6"/>
      <c r="G1110" s="24" t="str">
        <f>IF(F1110="", "", VLOOKUP(F1110, Inventory!A:BZ, 3, FALSE) - SUMIF($F$1:$F1109, F1110, $H$1:$H1109))
</f>
        <v/>
      </c>
      <c r="I1110" s="26"/>
      <c r="J1110" s="26" t="s">
        <v>77</v>
      </c>
      <c r="L1110" s="27" t="s">
        <v>77</v>
      </c>
      <c r="N1110" s="28" t="s">
        <v>77</v>
      </c>
      <c r="Q1110" s="30"/>
    </row>
    <row r="1111">
      <c r="B1111" s="6"/>
      <c r="C1111" s="33" t="str">
        <f t="array" ref="C1111">IF(B1111="", "", XLOOKUP(B1111, Inventory!D:D,Inventory!E:E,"No Name Found"))</f>
        <v/>
      </c>
      <c r="D1111" s="6"/>
      <c r="E1111" s="6"/>
      <c r="F1111" s="6"/>
      <c r="G1111" s="24" t="str">
        <f>IF(F1111="", "", VLOOKUP(F1111, Inventory!A:BZ, 3, FALSE) - SUMIF($F$1:$F1110, F1111, $H$1:$H1110))
</f>
        <v/>
      </c>
      <c r="I1111" s="26"/>
      <c r="J1111" s="26" t="s">
        <v>77</v>
      </c>
      <c r="L1111" s="27" t="s">
        <v>77</v>
      </c>
      <c r="N1111" s="28" t="s">
        <v>77</v>
      </c>
      <c r="Q1111" s="30"/>
    </row>
    <row r="1112">
      <c r="B1112" s="6"/>
      <c r="C1112" s="33" t="str">
        <f t="array" ref="C1112">IF(B1112="", "", XLOOKUP(B1112, Inventory!D:D,Inventory!E:E,"No Name Found"))</f>
        <v/>
      </c>
      <c r="D1112" s="6"/>
      <c r="E1112" s="6"/>
      <c r="F1112" s="6"/>
      <c r="G1112" s="24" t="str">
        <f>IF(F1112="", "", VLOOKUP(F1112, Inventory!A:BZ, 3, FALSE) - SUMIF($F$1:$F1111, F1112, $H$1:$H1111))
</f>
        <v/>
      </c>
      <c r="I1112" s="26"/>
      <c r="J1112" s="26" t="s">
        <v>77</v>
      </c>
      <c r="L1112" s="27" t="s">
        <v>77</v>
      </c>
      <c r="N1112" s="28" t="s">
        <v>77</v>
      </c>
      <c r="Q1112" s="30"/>
    </row>
    <row r="1113">
      <c r="B1113" s="6"/>
      <c r="C1113" s="33" t="str">
        <f t="array" ref="C1113">IF(B1113="", "", XLOOKUP(B1113, Inventory!D:D,Inventory!E:E,"No Name Found"))</f>
        <v/>
      </c>
      <c r="D1113" s="6"/>
      <c r="E1113" s="6"/>
      <c r="F1113" s="6"/>
      <c r="G1113" s="24" t="str">
        <f>IF(F1113="", "", VLOOKUP(F1113, Inventory!A:BZ, 3, FALSE) - SUMIF($F$1:$F1112, F1113, $H$1:$H1112))
</f>
        <v/>
      </c>
      <c r="I1113" s="26"/>
      <c r="J1113" s="26" t="s">
        <v>77</v>
      </c>
      <c r="L1113" s="27" t="s">
        <v>77</v>
      </c>
      <c r="N1113" s="28" t="s">
        <v>77</v>
      </c>
      <c r="Q1113" s="30"/>
    </row>
    <row r="1114">
      <c r="B1114" s="6"/>
      <c r="C1114" s="33" t="str">
        <f t="array" ref="C1114">IF(B1114="", "", XLOOKUP(B1114, Inventory!D:D,Inventory!E:E,"No Name Found"))</f>
        <v/>
      </c>
      <c r="D1114" s="6"/>
      <c r="E1114" s="6"/>
      <c r="F1114" s="6"/>
      <c r="G1114" s="24" t="str">
        <f>IF(F1114="", "", VLOOKUP(F1114, Inventory!A:BZ, 3, FALSE) - SUMIF($F$1:$F1113, F1114, $H$1:$H1113))
</f>
        <v/>
      </c>
      <c r="I1114" s="26"/>
      <c r="J1114" s="26" t="s">
        <v>77</v>
      </c>
      <c r="L1114" s="27" t="s">
        <v>77</v>
      </c>
      <c r="N1114" s="28" t="s">
        <v>77</v>
      </c>
      <c r="Q1114" s="30"/>
    </row>
    <row r="1115">
      <c r="B1115" s="6"/>
      <c r="C1115" s="33" t="str">
        <f t="array" ref="C1115">IF(B1115="", "", XLOOKUP(B1115, Inventory!D:D,Inventory!E:E,"No Name Found"))</f>
        <v/>
      </c>
      <c r="D1115" s="6"/>
      <c r="E1115" s="6"/>
      <c r="F1115" s="6"/>
      <c r="G1115" s="24" t="str">
        <f>IF(F1115="", "", VLOOKUP(F1115, Inventory!A:BZ, 3, FALSE) - SUMIF($F$1:$F1114, F1115, $H$1:$H1114))
</f>
        <v/>
      </c>
      <c r="I1115" s="26"/>
      <c r="J1115" s="26" t="s">
        <v>77</v>
      </c>
      <c r="L1115" s="27" t="s">
        <v>77</v>
      </c>
      <c r="N1115" s="28" t="s">
        <v>77</v>
      </c>
      <c r="Q1115" s="30"/>
    </row>
    <row r="1116">
      <c r="B1116" s="6"/>
      <c r="C1116" s="33" t="str">
        <f t="array" ref="C1116">IF(B1116="", "", XLOOKUP(B1116, Inventory!D:D,Inventory!E:E,"No Name Found"))</f>
        <v/>
      </c>
      <c r="D1116" s="6"/>
      <c r="E1116" s="6"/>
      <c r="F1116" s="6"/>
      <c r="G1116" s="24" t="str">
        <f>IF(F1116="", "", VLOOKUP(F1116, Inventory!A:BZ, 3, FALSE) - SUMIF($F$1:$F1115, F1116, $H$1:$H1115))
</f>
        <v/>
      </c>
      <c r="I1116" s="26"/>
      <c r="J1116" s="26" t="s">
        <v>77</v>
      </c>
      <c r="L1116" s="27" t="s">
        <v>77</v>
      </c>
      <c r="N1116" s="28" t="s">
        <v>77</v>
      </c>
      <c r="Q1116" s="30"/>
    </row>
    <row r="1117">
      <c r="B1117" s="6"/>
      <c r="C1117" s="33" t="str">
        <f t="array" ref="C1117">IF(B1117="", "", XLOOKUP(B1117, Inventory!D:D,Inventory!E:E,"No Name Found"))</f>
        <v/>
      </c>
      <c r="D1117" s="6"/>
      <c r="E1117" s="6"/>
      <c r="F1117" s="6"/>
      <c r="G1117" s="24" t="str">
        <f>IF(F1117="", "", VLOOKUP(F1117, Inventory!A:BZ, 3, FALSE) - SUMIF($F$1:$F1116, F1117, $H$1:$H1116))
</f>
        <v/>
      </c>
      <c r="I1117" s="26"/>
      <c r="J1117" s="26" t="s">
        <v>77</v>
      </c>
      <c r="L1117" s="27" t="s">
        <v>77</v>
      </c>
      <c r="N1117" s="28" t="s">
        <v>77</v>
      </c>
      <c r="Q1117" s="30"/>
    </row>
    <row r="1118">
      <c r="B1118" s="6"/>
      <c r="C1118" s="33" t="str">
        <f t="array" ref="C1118">IF(B1118="", "", XLOOKUP(B1118, Inventory!D:D,Inventory!E:E,"No Name Found"))</f>
        <v/>
      </c>
      <c r="D1118" s="6"/>
      <c r="E1118" s="6"/>
      <c r="F1118" s="6"/>
      <c r="G1118" s="24" t="str">
        <f>IF(F1118="", "", VLOOKUP(F1118, Inventory!A:BZ, 3, FALSE) - SUMIF($F$1:$F1117, F1118, $H$1:$H1117))
</f>
        <v/>
      </c>
      <c r="I1118" s="26"/>
      <c r="J1118" s="26" t="s">
        <v>77</v>
      </c>
      <c r="L1118" s="27" t="s">
        <v>77</v>
      </c>
      <c r="N1118" s="28" t="s">
        <v>77</v>
      </c>
      <c r="Q1118" s="30"/>
    </row>
    <row r="1119">
      <c r="B1119" s="6"/>
      <c r="C1119" s="33" t="str">
        <f t="array" ref="C1119">IF(B1119="", "", XLOOKUP(B1119, Inventory!D:D,Inventory!E:E,"No Name Found"))</f>
        <v/>
      </c>
      <c r="D1119" s="6"/>
      <c r="E1119" s="6"/>
      <c r="F1119" s="6"/>
      <c r="G1119" s="24" t="str">
        <f>IF(F1119="", "", VLOOKUP(F1119, Inventory!A:BZ, 3, FALSE) - SUMIF($F$1:$F1118, F1119, $H$1:$H1118))
</f>
        <v/>
      </c>
      <c r="I1119" s="26"/>
      <c r="J1119" s="26" t="s">
        <v>77</v>
      </c>
      <c r="L1119" s="27" t="s">
        <v>77</v>
      </c>
      <c r="N1119" s="28" t="s">
        <v>77</v>
      </c>
      <c r="Q1119" s="30"/>
    </row>
    <row r="1120">
      <c r="B1120" s="6"/>
      <c r="C1120" s="33" t="str">
        <f t="array" ref="C1120">IF(B1120="", "", XLOOKUP(B1120, Inventory!D:D,Inventory!E:E,"No Name Found"))</f>
        <v/>
      </c>
      <c r="D1120" s="6"/>
      <c r="E1120" s="6"/>
      <c r="F1120" s="6"/>
      <c r="G1120" s="24" t="str">
        <f>IF(F1120="", "", VLOOKUP(F1120, Inventory!A:BZ, 3, FALSE) - SUMIF($F$1:$F1119, F1120, $H$1:$H1119))
</f>
        <v/>
      </c>
      <c r="I1120" s="26"/>
      <c r="J1120" s="26" t="s">
        <v>77</v>
      </c>
      <c r="L1120" s="27" t="s">
        <v>77</v>
      </c>
      <c r="N1120" s="28" t="s">
        <v>77</v>
      </c>
      <c r="Q1120" s="30"/>
    </row>
    <row r="1121">
      <c r="B1121" s="6"/>
      <c r="C1121" s="33" t="str">
        <f t="array" ref="C1121">IF(B1121="", "", XLOOKUP(B1121, Inventory!D:D,Inventory!E:E,"No Name Found"))</f>
        <v/>
      </c>
      <c r="D1121" s="6"/>
      <c r="E1121" s="6"/>
      <c r="F1121" s="6"/>
      <c r="G1121" s="24" t="str">
        <f>IF(F1121="", "", VLOOKUP(F1121, Inventory!A:BZ, 3, FALSE) - SUMIF($F$1:$F1120, F1121, $H$1:$H1120))
</f>
        <v/>
      </c>
      <c r="I1121" s="26"/>
      <c r="J1121" s="26" t="s">
        <v>77</v>
      </c>
      <c r="L1121" s="27" t="s">
        <v>77</v>
      </c>
      <c r="N1121" s="28" t="s">
        <v>77</v>
      </c>
      <c r="Q1121" s="30"/>
    </row>
    <row r="1122">
      <c r="B1122" s="6"/>
      <c r="C1122" s="33" t="str">
        <f t="array" ref="C1122">IF(B1122="", "", XLOOKUP(B1122, Inventory!D:D,Inventory!E:E,"No Name Found"))</f>
        <v/>
      </c>
      <c r="D1122" s="6"/>
      <c r="E1122" s="6"/>
      <c r="F1122" s="6"/>
      <c r="G1122" s="24" t="str">
        <f>IF(F1122="", "", VLOOKUP(F1122, Inventory!A:BZ, 3, FALSE) - SUMIF($F$1:$F1121, F1122, $H$1:$H1121))
</f>
        <v/>
      </c>
      <c r="I1122" s="26"/>
      <c r="J1122" s="26" t="s">
        <v>77</v>
      </c>
      <c r="L1122" s="27" t="s">
        <v>77</v>
      </c>
      <c r="N1122" s="28" t="s">
        <v>77</v>
      </c>
      <c r="Q1122" s="30"/>
    </row>
    <row r="1123">
      <c r="B1123" s="6"/>
      <c r="C1123" s="33" t="str">
        <f t="array" ref="C1123">IF(B1123="", "", XLOOKUP(B1123, Inventory!D:D,Inventory!E:E,"No Name Found"))</f>
        <v/>
      </c>
      <c r="D1123" s="6"/>
      <c r="E1123" s="6"/>
      <c r="F1123" s="6"/>
      <c r="G1123" s="24" t="str">
        <f>IF(F1123="", "", VLOOKUP(F1123, Inventory!A:BZ, 3, FALSE) - SUMIF($F$1:$F1122, F1123, $H$1:$H1122))
</f>
        <v/>
      </c>
      <c r="I1123" s="26"/>
      <c r="J1123" s="26" t="s">
        <v>77</v>
      </c>
      <c r="L1123" s="27" t="s">
        <v>77</v>
      </c>
      <c r="N1123" s="28" t="s">
        <v>77</v>
      </c>
      <c r="Q1123" s="30"/>
    </row>
    <row r="1124">
      <c r="B1124" s="6"/>
      <c r="C1124" s="33" t="str">
        <f t="array" ref="C1124">IF(B1124="", "", XLOOKUP(B1124, Inventory!D:D,Inventory!E:E,"No Name Found"))</f>
        <v/>
      </c>
      <c r="D1124" s="6"/>
      <c r="E1124" s="6"/>
      <c r="F1124" s="6"/>
      <c r="G1124" s="24" t="str">
        <f>IF(F1124="", "", VLOOKUP(F1124, Inventory!A:BZ, 3, FALSE) - SUMIF($F$1:$F1123, F1124, $H$1:$H1123))
</f>
        <v/>
      </c>
      <c r="I1124" s="26"/>
      <c r="J1124" s="26" t="s">
        <v>77</v>
      </c>
      <c r="L1124" s="27" t="s">
        <v>77</v>
      </c>
      <c r="N1124" s="28" t="s">
        <v>77</v>
      </c>
      <c r="Q1124" s="30"/>
    </row>
    <row r="1125">
      <c r="B1125" s="6"/>
      <c r="C1125" s="33" t="str">
        <f t="array" ref="C1125">IF(B1125="", "", XLOOKUP(B1125, Inventory!D:D,Inventory!E:E,"No Name Found"))</f>
        <v/>
      </c>
      <c r="D1125" s="6"/>
      <c r="E1125" s="6"/>
      <c r="F1125" s="6"/>
      <c r="G1125" s="24" t="str">
        <f>IF(F1125="", "", VLOOKUP(F1125, Inventory!A:BZ, 3, FALSE) - SUMIF($F$1:$F1124, F1125, $H$1:$H1124))
</f>
        <v/>
      </c>
      <c r="I1125" s="26"/>
      <c r="J1125" s="26" t="s">
        <v>77</v>
      </c>
      <c r="L1125" s="27" t="s">
        <v>77</v>
      </c>
      <c r="N1125" s="28" t="s">
        <v>77</v>
      </c>
      <c r="Q1125" s="30"/>
    </row>
    <row r="1126">
      <c r="B1126" s="6"/>
      <c r="C1126" s="33" t="str">
        <f t="array" ref="C1126">IF(B1126="", "", XLOOKUP(B1126, Inventory!D:D,Inventory!E:E,"No Name Found"))</f>
        <v/>
      </c>
      <c r="D1126" s="6"/>
      <c r="E1126" s="6"/>
      <c r="F1126" s="6"/>
      <c r="G1126" s="24" t="str">
        <f>IF(F1126="", "", VLOOKUP(F1126, Inventory!A:BZ, 3, FALSE) - SUMIF($F$1:$F1125, F1126, $H$1:$H1125))
</f>
        <v/>
      </c>
      <c r="I1126" s="26"/>
      <c r="J1126" s="26" t="s">
        <v>77</v>
      </c>
      <c r="L1126" s="27" t="s">
        <v>77</v>
      </c>
      <c r="N1126" s="28" t="s">
        <v>77</v>
      </c>
      <c r="Q1126" s="30"/>
    </row>
    <row r="1127">
      <c r="B1127" s="6"/>
      <c r="C1127" s="33" t="str">
        <f t="array" ref="C1127">IF(B1127="", "", XLOOKUP(B1127, Inventory!D:D,Inventory!E:E,"No Name Found"))</f>
        <v/>
      </c>
      <c r="D1127" s="6"/>
      <c r="E1127" s="6"/>
      <c r="F1127" s="6"/>
      <c r="G1127" s="24" t="str">
        <f>IF(F1127="", "", VLOOKUP(F1127, Inventory!A:BZ, 3, FALSE) - SUMIF($F$1:$F1126, F1127, $H$1:$H1126))
</f>
        <v/>
      </c>
      <c r="I1127" s="26"/>
      <c r="J1127" s="26" t="s">
        <v>77</v>
      </c>
      <c r="L1127" s="27" t="s">
        <v>77</v>
      </c>
      <c r="N1127" s="28" t="s">
        <v>77</v>
      </c>
      <c r="Q1127" s="30"/>
    </row>
    <row r="1128">
      <c r="B1128" s="6"/>
      <c r="C1128" s="33" t="str">
        <f t="array" ref="C1128">IF(B1128="", "", XLOOKUP(B1128, Inventory!D:D,Inventory!E:E,"No Name Found"))</f>
        <v/>
      </c>
      <c r="D1128" s="6"/>
      <c r="E1128" s="6"/>
      <c r="F1128" s="6"/>
      <c r="G1128" s="24" t="str">
        <f>IF(F1128="", "", VLOOKUP(F1128, Inventory!A:BZ, 3, FALSE) - SUMIF($F$1:$F1127, F1128, $H$1:$H1127))
</f>
        <v/>
      </c>
      <c r="I1128" s="26"/>
      <c r="J1128" s="26" t="s">
        <v>77</v>
      </c>
      <c r="L1128" s="27" t="s">
        <v>77</v>
      </c>
      <c r="N1128" s="28" t="s">
        <v>77</v>
      </c>
      <c r="Q1128" s="30"/>
    </row>
    <row r="1129">
      <c r="B1129" s="6"/>
      <c r="C1129" s="33" t="str">
        <f t="array" ref="C1129">IF(B1129="", "", XLOOKUP(B1129, Inventory!D:D,Inventory!E:E,"No Name Found"))</f>
        <v/>
      </c>
      <c r="D1129" s="6"/>
      <c r="E1129" s="6"/>
      <c r="F1129" s="6"/>
      <c r="G1129" s="24" t="str">
        <f>IF(F1129="", "", VLOOKUP(F1129, Inventory!A:BZ, 3, FALSE) - SUMIF($F$1:$F1128, F1129, $H$1:$H1128))
</f>
        <v/>
      </c>
      <c r="I1129" s="26"/>
      <c r="J1129" s="26" t="s">
        <v>77</v>
      </c>
      <c r="L1129" s="27" t="s">
        <v>77</v>
      </c>
      <c r="N1129" s="28" t="s">
        <v>77</v>
      </c>
      <c r="Q1129" s="30"/>
    </row>
    <row r="1130">
      <c r="B1130" s="6"/>
      <c r="C1130" s="33" t="str">
        <f t="array" ref="C1130">IF(B1130="", "", XLOOKUP(B1130, Inventory!D:D,Inventory!E:E,"No Name Found"))</f>
        <v/>
      </c>
      <c r="D1130" s="6"/>
      <c r="E1130" s="6"/>
      <c r="F1130" s="6"/>
      <c r="G1130" s="24" t="str">
        <f>IF(F1130="", "", VLOOKUP(F1130, Inventory!A:BZ, 3, FALSE) - SUMIF($F$1:$F1129, F1130, $H$1:$H1129))
</f>
        <v/>
      </c>
      <c r="I1130" s="26"/>
      <c r="J1130" s="26" t="s">
        <v>77</v>
      </c>
      <c r="L1130" s="27" t="s">
        <v>77</v>
      </c>
      <c r="N1130" s="28" t="s">
        <v>77</v>
      </c>
      <c r="Q1130" s="30"/>
    </row>
    <row r="1131">
      <c r="B1131" s="6"/>
      <c r="C1131" s="33" t="str">
        <f t="array" ref="C1131">IF(B1131="", "", XLOOKUP(B1131, Inventory!D:D,Inventory!E:E,"No Name Found"))</f>
        <v/>
      </c>
      <c r="D1131" s="6"/>
      <c r="E1131" s="6"/>
      <c r="F1131" s="6"/>
      <c r="G1131" s="24" t="str">
        <f>IF(F1131="", "", VLOOKUP(F1131, Inventory!A:BZ, 3, FALSE) - SUMIF($F$1:$F1130, F1131, $H$1:$H1130))
</f>
        <v/>
      </c>
      <c r="I1131" s="26"/>
      <c r="J1131" s="26" t="s">
        <v>77</v>
      </c>
      <c r="L1131" s="27" t="s">
        <v>77</v>
      </c>
      <c r="N1131" s="28" t="s">
        <v>77</v>
      </c>
      <c r="Q1131" s="30"/>
    </row>
    <row r="1132">
      <c r="B1132" s="6"/>
      <c r="C1132" s="33" t="str">
        <f t="array" ref="C1132">IF(B1132="", "", XLOOKUP(B1132, Inventory!D:D,Inventory!E:E,"No Name Found"))</f>
        <v/>
      </c>
      <c r="D1132" s="6"/>
      <c r="E1132" s="6"/>
      <c r="F1132" s="6"/>
      <c r="G1132" s="24" t="str">
        <f>IF(F1132="", "", VLOOKUP(F1132, Inventory!A:BZ, 3, FALSE) - SUMIF($F$1:$F1131, F1132, $H$1:$H1131))
</f>
        <v/>
      </c>
      <c r="I1132" s="26"/>
      <c r="J1132" s="26" t="s">
        <v>77</v>
      </c>
      <c r="L1132" s="27" t="s">
        <v>77</v>
      </c>
      <c r="N1132" s="28" t="s">
        <v>77</v>
      </c>
      <c r="Q1132" s="30"/>
    </row>
    <row r="1133">
      <c r="B1133" s="6"/>
      <c r="C1133" s="33" t="str">
        <f t="array" ref="C1133">IF(B1133="", "", XLOOKUP(B1133, Inventory!D:D,Inventory!E:E,"No Name Found"))</f>
        <v/>
      </c>
      <c r="D1133" s="6"/>
      <c r="E1133" s="6"/>
      <c r="F1133" s="6"/>
      <c r="G1133" s="24" t="str">
        <f>IF(F1133="", "", VLOOKUP(F1133, Inventory!A:BZ, 3, FALSE) - SUMIF($F$1:$F1132, F1133, $H$1:$H1132))
</f>
        <v/>
      </c>
      <c r="I1133" s="26"/>
      <c r="J1133" s="26" t="s">
        <v>77</v>
      </c>
      <c r="L1133" s="27" t="s">
        <v>77</v>
      </c>
      <c r="N1133" s="28" t="s">
        <v>77</v>
      </c>
      <c r="Q1133" s="30"/>
    </row>
    <row r="1134">
      <c r="B1134" s="6"/>
      <c r="C1134" s="33" t="str">
        <f t="array" ref="C1134">IF(B1134="", "", XLOOKUP(B1134, Inventory!D:D,Inventory!E:E,"No Name Found"))</f>
        <v/>
      </c>
      <c r="D1134" s="6"/>
      <c r="E1134" s="6"/>
      <c r="F1134" s="6"/>
      <c r="G1134" s="24" t="str">
        <f>IF(F1134="", "", VLOOKUP(F1134, Inventory!A:BZ, 3, FALSE) - SUMIF($F$1:$F1133, F1134, $H$1:$H1133))
</f>
        <v/>
      </c>
      <c r="I1134" s="26"/>
      <c r="J1134" s="26" t="s">
        <v>77</v>
      </c>
      <c r="L1134" s="27" t="s">
        <v>77</v>
      </c>
      <c r="N1134" s="28" t="s">
        <v>77</v>
      </c>
      <c r="Q1134" s="30"/>
    </row>
    <row r="1135">
      <c r="B1135" s="6"/>
      <c r="C1135" s="33" t="str">
        <f t="array" ref="C1135">IF(B1135="", "", XLOOKUP(B1135, Inventory!D:D,Inventory!E:E,"No Name Found"))</f>
        <v/>
      </c>
      <c r="D1135" s="6"/>
      <c r="E1135" s="6"/>
      <c r="F1135" s="6"/>
      <c r="G1135" s="24" t="str">
        <f>IF(F1135="", "", VLOOKUP(F1135, Inventory!A:BZ, 3, FALSE) - SUMIF($F$1:$F1134, F1135, $H$1:$H1134))
</f>
        <v/>
      </c>
      <c r="I1135" s="26"/>
      <c r="J1135" s="26" t="s">
        <v>77</v>
      </c>
      <c r="L1135" s="27" t="s">
        <v>77</v>
      </c>
      <c r="N1135" s="28" t="s">
        <v>77</v>
      </c>
      <c r="Q1135" s="30"/>
    </row>
    <row r="1136">
      <c r="B1136" s="6"/>
      <c r="C1136" s="33" t="str">
        <f t="array" ref="C1136">IF(B1136="", "", XLOOKUP(B1136, Inventory!D:D,Inventory!E:E,"No Name Found"))</f>
        <v/>
      </c>
      <c r="D1136" s="6"/>
      <c r="E1136" s="6"/>
      <c r="F1136" s="6"/>
      <c r="G1136" s="24" t="str">
        <f>IF(F1136="", "", VLOOKUP(F1136, Inventory!A:BZ, 3, FALSE) - SUMIF($F$1:$F1135, F1136, $H$1:$H1135))
</f>
        <v/>
      </c>
      <c r="I1136" s="26"/>
      <c r="J1136" s="26" t="s">
        <v>77</v>
      </c>
      <c r="L1136" s="27" t="s">
        <v>77</v>
      </c>
      <c r="N1136" s="28" t="s">
        <v>77</v>
      </c>
      <c r="Q1136" s="30"/>
    </row>
    <row r="1137">
      <c r="B1137" s="6"/>
      <c r="C1137" s="33" t="str">
        <f t="array" ref="C1137">IF(B1137="", "", XLOOKUP(B1137, Inventory!D:D,Inventory!E:E,"No Name Found"))</f>
        <v/>
      </c>
      <c r="D1137" s="6"/>
      <c r="E1137" s="6"/>
      <c r="F1137" s="6"/>
      <c r="G1137" s="24" t="str">
        <f>IF(F1137="", "", VLOOKUP(F1137, Inventory!A:BZ, 3, FALSE) - SUMIF($F$1:$F1136, F1137, $H$1:$H1136))
</f>
        <v/>
      </c>
      <c r="I1137" s="26"/>
      <c r="J1137" s="26" t="s">
        <v>77</v>
      </c>
      <c r="L1137" s="27" t="s">
        <v>77</v>
      </c>
      <c r="N1137" s="28" t="s">
        <v>77</v>
      </c>
      <c r="Q1137" s="30"/>
    </row>
    <row r="1138">
      <c r="B1138" s="6"/>
      <c r="C1138" s="33" t="str">
        <f t="array" ref="C1138">IF(B1138="", "", XLOOKUP(B1138, Inventory!D:D,Inventory!E:E,"No Name Found"))</f>
        <v/>
      </c>
      <c r="D1138" s="6"/>
      <c r="E1138" s="6"/>
      <c r="F1138" s="6"/>
      <c r="G1138" s="24" t="str">
        <f>IF(F1138="", "", VLOOKUP(F1138, Inventory!A:BZ, 3, FALSE) - SUMIF($F$1:$F1137, F1138, $H$1:$H1137))
</f>
        <v/>
      </c>
      <c r="I1138" s="26"/>
      <c r="J1138" s="26" t="s">
        <v>77</v>
      </c>
      <c r="L1138" s="27" t="s">
        <v>77</v>
      </c>
      <c r="N1138" s="28" t="s">
        <v>77</v>
      </c>
      <c r="Q1138" s="30"/>
    </row>
    <row r="1139">
      <c r="B1139" s="6"/>
      <c r="C1139" s="33" t="str">
        <f t="array" ref="C1139">IF(B1139="", "", XLOOKUP(B1139, Inventory!D:D,Inventory!E:E,"No Name Found"))</f>
        <v/>
      </c>
      <c r="D1139" s="6"/>
      <c r="E1139" s="6"/>
      <c r="F1139" s="6"/>
      <c r="G1139" s="24" t="str">
        <f>IF(F1139="", "", VLOOKUP(F1139, Inventory!A:BZ, 3, FALSE) - SUMIF($F$1:$F1138, F1139, $H$1:$H1138))
</f>
        <v/>
      </c>
      <c r="I1139" s="26"/>
      <c r="J1139" s="26" t="s">
        <v>77</v>
      </c>
      <c r="L1139" s="27" t="s">
        <v>77</v>
      </c>
      <c r="N1139" s="28" t="s">
        <v>77</v>
      </c>
      <c r="Q1139" s="30"/>
    </row>
    <row r="1140">
      <c r="B1140" s="6"/>
      <c r="C1140" s="33" t="str">
        <f t="array" ref="C1140">IF(B1140="", "", XLOOKUP(B1140, Inventory!D:D,Inventory!E:E,"No Name Found"))</f>
        <v/>
      </c>
      <c r="D1140" s="6"/>
      <c r="E1140" s="6"/>
      <c r="F1140" s="6"/>
      <c r="G1140" s="24" t="str">
        <f>IF(F1140="", "", VLOOKUP(F1140, Inventory!A:BZ, 3, FALSE) - SUMIF($F$1:$F1139, F1140, $H$1:$H1139))
</f>
        <v/>
      </c>
      <c r="I1140" s="26"/>
      <c r="J1140" s="26" t="s">
        <v>77</v>
      </c>
      <c r="L1140" s="27" t="s">
        <v>77</v>
      </c>
      <c r="N1140" s="28" t="s">
        <v>77</v>
      </c>
      <c r="Q1140" s="30"/>
    </row>
    <row r="1141">
      <c r="B1141" s="6"/>
      <c r="C1141" s="33" t="str">
        <f t="array" ref="C1141">IF(B1141="", "", XLOOKUP(B1141, Inventory!D:D,Inventory!E:E,"No Name Found"))</f>
        <v/>
      </c>
      <c r="D1141" s="6"/>
      <c r="E1141" s="6"/>
      <c r="F1141" s="6"/>
      <c r="G1141" s="24" t="str">
        <f>IF(F1141="", "", VLOOKUP(F1141, Inventory!A:BZ, 3, FALSE) - SUMIF($F$1:$F1140, F1141, $H$1:$H1140))
</f>
        <v/>
      </c>
      <c r="I1141" s="26"/>
      <c r="J1141" s="26" t="s">
        <v>77</v>
      </c>
      <c r="L1141" s="27" t="s">
        <v>77</v>
      </c>
      <c r="N1141" s="28" t="s">
        <v>77</v>
      </c>
      <c r="Q1141" s="30"/>
    </row>
    <row r="1142">
      <c r="B1142" s="6"/>
      <c r="C1142" s="33" t="str">
        <f t="array" ref="C1142">IF(B1142="", "", XLOOKUP(B1142, Inventory!D:D,Inventory!E:E,"No Name Found"))</f>
        <v/>
      </c>
      <c r="D1142" s="6"/>
      <c r="E1142" s="6"/>
      <c r="F1142" s="6"/>
      <c r="G1142" s="24" t="str">
        <f>IF(F1142="", "", VLOOKUP(F1142, Inventory!A:BZ, 3, FALSE) - SUMIF($F$1:$F1141, F1142, $H$1:$H1141))
</f>
        <v/>
      </c>
      <c r="I1142" s="26"/>
      <c r="J1142" s="26" t="s">
        <v>77</v>
      </c>
      <c r="L1142" s="27" t="s">
        <v>77</v>
      </c>
      <c r="N1142" s="28" t="s">
        <v>77</v>
      </c>
      <c r="Q1142" s="30"/>
    </row>
    <row r="1143">
      <c r="B1143" s="6"/>
      <c r="C1143" s="33" t="str">
        <f t="array" ref="C1143">IF(B1143="", "", XLOOKUP(B1143, Inventory!D:D,Inventory!E:E,"No Name Found"))</f>
        <v/>
      </c>
      <c r="D1143" s="6"/>
      <c r="E1143" s="6"/>
      <c r="F1143" s="6"/>
      <c r="G1143" s="24" t="str">
        <f>IF(F1143="", "", VLOOKUP(F1143, Inventory!A:BZ, 3, FALSE) - SUMIF($F$1:$F1142, F1143, $H$1:$H1142))
</f>
        <v/>
      </c>
      <c r="I1143" s="26"/>
      <c r="J1143" s="26" t="s">
        <v>77</v>
      </c>
      <c r="L1143" s="27" t="s">
        <v>77</v>
      </c>
      <c r="N1143" s="28" t="s">
        <v>77</v>
      </c>
      <c r="Q1143" s="30"/>
    </row>
    <row r="1144">
      <c r="B1144" s="6"/>
      <c r="C1144" s="33" t="str">
        <f t="array" ref="C1144">IF(B1144="", "", XLOOKUP(B1144, Inventory!D:D,Inventory!E:E,"No Name Found"))</f>
        <v/>
      </c>
      <c r="D1144" s="6"/>
      <c r="E1144" s="6"/>
      <c r="F1144" s="6"/>
      <c r="G1144" s="24" t="str">
        <f>IF(F1144="", "", VLOOKUP(F1144, Inventory!A:BZ, 3, FALSE) - SUMIF($F$1:$F1143, F1144, $H$1:$H1143))
</f>
        <v/>
      </c>
      <c r="I1144" s="26"/>
      <c r="J1144" s="26" t="s">
        <v>77</v>
      </c>
      <c r="L1144" s="27" t="s">
        <v>77</v>
      </c>
      <c r="N1144" s="28" t="s">
        <v>77</v>
      </c>
      <c r="Q1144" s="30"/>
    </row>
    <row r="1145">
      <c r="B1145" s="6"/>
      <c r="C1145" s="33" t="str">
        <f t="array" ref="C1145">IF(B1145="", "", XLOOKUP(B1145, Inventory!D:D,Inventory!E:E,"No Name Found"))</f>
        <v/>
      </c>
      <c r="D1145" s="6"/>
      <c r="E1145" s="6"/>
      <c r="F1145" s="6"/>
      <c r="G1145" s="24" t="str">
        <f>IF(F1145="", "", VLOOKUP(F1145, Inventory!A:BZ, 3, FALSE) - SUMIF($F$1:$F1144, F1145, $H$1:$H1144))
</f>
        <v/>
      </c>
      <c r="I1145" s="26"/>
      <c r="J1145" s="26" t="s">
        <v>77</v>
      </c>
      <c r="L1145" s="27" t="s">
        <v>77</v>
      </c>
      <c r="N1145" s="28" t="s">
        <v>77</v>
      </c>
      <c r="Q1145" s="30"/>
    </row>
    <row r="1146">
      <c r="B1146" s="6"/>
      <c r="C1146" s="33" t="str">
        <f t="array" ref="C1146">IF(B1146="", "", XLOOKUP(B1146, Inventory!D:D,Inventory!E:E,"No Name Found"))</f>
        <v/>
      </c>
      <c r="D1146" s="6"/>
      <c r="E1146" s="6"/>
      <c r="F1146" s="6"/>
      <c r="G1146" s="24" t="str">
        <f>IF(F1146="", "", VLOOKUP(F1146, Inventory!A:BZ, 3, FALSE) - SUMIF($F$1:$F1145, F1146, $H$1:$H1145))
</f>
        <v/>
      </c>
      <c r="I1146" s="26"/>
      <c r="J1146" s="26" t="s">
        <v>77</v>
      </c>
      <c r="L1146" s="27" t="s">
        <v>77</v>
      </c>
      <c r="N1146" s="28" t="s">
        <v>77</v>
      </c>
      <c r="Q1146" s="30"/>
    </row>
    <row r="1147">
      <c r="B1147" s="6"/>
      <c r="C1147" s="33" t="str">
        <f t="array" ref="C1147">IF(B1147="", "", XLOOKUP(B1147, Inventory!D:D,Inventory!E:E,"No Name Found"))</f>
        <v/>
      </c>
      <c r="D1147" s="6"/>
      <c r="E1147" s="6"/>
      <c r="F1147" s="6"/>
      <c r="G1147" s="24" t="str">
        <f>IF(F1147="", "", VLOOKUP(F1147, Inventory!A:BZ, 3, FALSE) - SUMIF($F$1:$F1146, F1147, $H$1:$H1146))
</f>
        <v/>
      </c>
      <c r="I1147" s="26"/>
      <c r="J1147" s="26" t="s">
        <v>77</v>
      </c>
      <c r="L1147" s="27" t="s">
        <v>77</v>
      </c>
      <c r="N1147" s="28" t="s">
        <v>77</v>
      </c>
      <c r="Q1147" s="30"/>
    </row>
    <row r="1148">
      <c r="B1148" s="6"/>
      <c r="C1148" s="33" t="str">
        <f t="array" ref="C1148">IF(B1148="", "", XLOOKUP(B1148, Inventory!D:D,Inventory!E:E,"No Name Found"))</f>
        <v/>
      </c>
      <c r="D1148" s="6"/>
      <c r="E1148" s="6"/>
      <c r="F1148" s="6"/>
      <c r="G1148" s="24" t="str">
        <f>IF(F1148="", "", VLOOKUP(F1148, Inventory!A:BZ, 3, FALSE) - SUMIF($F$1:$F1147, F1148, $H$1:$H1147))
</f>
        <v/>
      </c>
      <c r="I1148" s="26"/>
      <c r="J1148" s="26" t="s">
        <v>77</v>
      </c>
      <c r="L1148" s="27" t="s">
        <v>77</v>
      </c>
      <c r="N1148" s="28" t="s">
        <v>77</v>
      </c>
      <c r="Q1148" s="30"/>
    </row>
    <row r="1149">
      <c r="B1149" s="6"/>
      <c r="C1149" s="33" t="str">
        <f t="array" ref="C1149">IF(B1149="", "", XLOOKUP(B1149, Inventory!D:D,Inventory!E:E,"No Name Found"))</f>
        <v/>
      </c>
      <c r="D1149" s="6"/>
      <c r="E1149" s="6"/>
      <c r="F1149" s="6"/>
      <c r="G1149" s="24" t="str">
        <f>IF(F1149="", "", VLOOKUP(F1149, Inventory!A:BZ, 3, FALSE) - SUMIF($F$1:$F1148, F1149, $H$1:$H1148))
</f>
        <v/>
      </c>
      <c r="I1149" s="26"/>
      <c r="J1149" s="26" t="s">
        <v>77</v>
      </c>
      <c r="L1149" s="27" t="s">
        <v>77</v>
      </c>
      <c r="N1149" s="28" t="s">
        <v>77</v>
      </c>
      <c r="Q1149" s="30"/>
    </row>
    <row r="1150">
      <c r="B1150" s="6"/>
      <c r="C1150" s="33" t="str">
        <f t="array" ref="C1150">IF(B1150="", "", XLOOKUP(B1150, Inventory!D:D,Inventory!E:E,"No Name Found"))</f>
        <v/>
      </c>
      <c r="D1150" s="6"/>
      <c r="E1150" s="6"/>
      <c r="F1150" s="6"/>
      <c r="G1150" s="24" t="str">
        <f>IF(F1150="", "", VLOOKUP(F1150, Inventory!A:BZ, 3, FALSE) - SUMIF($F$1:$F1149, F1150, $H$1:$H1149))
</f>
        <v/>
      </c>
      <c r="I1150" s="26"/>
      <c r="J1150" s="26" t="s">
        <v>77</v>
      </c>
      <c r="L1150" s="27" t="s">
        <v>77</v>
      </c>
      <c r="N1150" s="28" t="s">
        <v>77</v>
      </c>
      <c r="Q1150" s="30"/>
    </row>
    <row r="1151">
      <c r="B1151" s="6"/>
      <c r="C1151" s="33" t="str">
        <f t="array" ref="C1151">IF(B1151="", "", XLOOKUP(B1151, Inventory!D:D,Inventory!E:E,"No Name Found"))</f>
        <v/>
      </c>
      <c r="D1151" s="6"/>
      <c r="E1151" s="6"/>
      <c r="F1151" s="6"/>
      <c r="G1151" s="24" t="str">
        <f>IF(F1151="", "", VLOOKUP(F1151, Inventory!A:BZ, 3, FALSE) - SUMIF($F$1:$F1150, F1151, $H$1:$H1150))
</f>
        <v/>
      </c>
      <c r="I1151" s="26"/>
      <c r="J1151" s="26" t="s">
        <v>77</v>
      </c>
      <c r="L1151" s="27" t="s">
        <v>77</v>
      </c>
      <c r="N1151" s="28" t="s">
        <v>77</v>
      </c>
      <c r="Q1151" s="30"/>
    </row>
    <row r="1152">
      <c r="B1152" s="6"/>
      <c r="C1152" s="33" t="str">
        <f t="array" ref="C1152">IF(B1152="", "", XLOOKUP(B1152, Inventory!D:D,Inventory!E:E,"No Name Found"))</f>
        <v/>
      </c>
      <c r="D1152" s="6"/>
      <c r="E1152" s="6"/>
      <c r="F1152" s="6"/>
      <c r="G1152" s="24" t="str">
        <f>IF(F1152="", "", VLOOKUP(F1152, Inventory!A:BZ, 3, FALSE) - SUMIF($F$1:$F1151, F1152, $H$1:$H1151))
</f>
        <v/>
      </c>
      <c r="I1152" s="26"/>
      <c r="J1152" s="26" t="s">
        <v>77</v>
      </c>
      <c r="L1152" s="27" t="s">
        <v>77</v>
      </c>
      <c r="N1152" s="28" t="s">
        <v>77</v>
      </c>
      <c r="Q1152" s="30"/>
    </row>
    <row r="1153">
      <c r="B1153" s="6"/>
      <c r="C1153" s="33" t="str">
        <f t="array" ref="C1153">IF(B1153="", "", XLOOKUP(B1153, Inventory!D:D,Inventory!E:E,"No Name Found"))</f>
        <v/>
      </c>
      <c r="D1153" s="6"/>
      <c r="E1153" s="6"/>
      <c r="F1153" s="6"/>
      <c r="G1153" s="24" t="str">
        <f>IF(F1153="", "", VLOOKUP(F1153, Inventory!A:BZ, 3, FALSE) - SUMIF($F$1:$F1152, F1153, $H$1:$H1152))
</f>
        <v/>
      </c>
      <c r="I1153" s="26"/>
      <c r="J1153" s="26" t="s">
        <v>77</v>
      </c>
      <c r="L1153" s="27" t="s">
        <v>77</v>
      </c>
      <c r="N1153" s="28" t="s">
        <v>77</v>
      </c>
      <c r="Q1153" s="30"/>
    </row>
    <row r="1154">
      <c r="B1154" s="6"/>
      <c r="C1154" s="33" t="str">
        <f t="array" ref="C1154">IF(B1154="", "", XLOOKUP(B1154, Inventory!D:D,Inventory!E:E,"No Name Found"))</f>
        <v/>
      </c>
      <c r="D1154" s="6"/>
      <c r="E1154" s="6"/>
      <c r="F1154" s="6"/>
      <c r="G1154" s="24" t="str">
        <f>IF(F1154="", "", VLOOKUP(F1154, Inventory!A:BZ, 3, FALSE) - SUMIF($F$1:$F1153, F1154, $H$1:$H1153))
</f>
        <v/>
      </c>
      <c r="I1154" s="26"/>
      <c r="J1154" s="26" t="s">
        <v>77</v>
      </c>
      <c r="L1154" s="27" t="s">
        <v>77</v>
      </c>
      <c r="N1154" s="28" t="s">
        <v>77</v>
      </c>
      <c r="Q1154" s="30"/>
    </row>
    <row r="1155">
      <c r="B1155" s="6"/>
      <c r="C1155" s="33" t="str">
        <f t="array" ref="C1155">IF(B1155="", "", XLOOKUP(B1155, Inventory!D:D,Inventory!E:E,"No Name Found"))</f>
        <v/>
      </c>
      <c r="D1155" s="6"/>
      <c r="E1155" s="6"/>
      <c r="F1155" s="6"/>
      <c r="G1155" s="24" t="str">
        <f>IF(F1155="", "", VLOOKUP(F1155, Inventory!A:BZ, 3, FALSE) - SUMIF($F$1:$F1154, F1155, $H$1:$H1154))
</f>
        <v/>
      </c>
      <c r="I1155" s="26"/>
      <c r="J1155" s="26" t="s">
        <v>77</v>
      </c>
      <c r="L1155" s="27" t="s">
        <v>77</v>
      </c>
      <c r="N1155" s="28" t="s">
        <v>77</v>
      </c>
      <c r="Q1155" s="30"/>
    </row>
    <row r="1156">
      <c r="B1156" s="6"/>
      <c r="C1156" s="33" t="str">
        <f t="array" ref="C1156">IF(B1156="", "", XLOOKUP(B1156, Inventory!D:D,Inventory!E:E,"No Name Found"))</f>
        <v/>
      </c>
      <c r="D1156" s="6"/>
      <c r="E1156" s="6"/>
      <c r="F1156" s="6"/>
      <c r="G1156" s="24" t="str">
        <f>IF(F1156="", "", VLOOKUP(F1156, Inventory!A:BZ, 3, FALSE) - SUMIF($F$1:$F1155, F1156, $H$1:$H1155))
</f>
        <v/>
      </c>
      <c r="I1156" s="26"/>
      <c r="J1156" s="26" t="s">
        <v>77</v>
      </c>
      <c r="L1156" s="27" t="s">
        <v>77</v>
      </c>
      <c r="N1156" s="28" t="s">
        <v>77</v>
      </c>
      <c r="Q1156" s="30"/>
    </row>
    <row r="1157">
      <c r="B1157" s="6"/>
      <c r="C1157" s="33" t="str">
        <f t="array" ref="C1157">IF(B1157="", "", XLOOKUP(B1157, Inventory!D:D,Inventory!E:E,"No Name Found"))</f>
        <v/>
      </c>
      <c r="D1157" s="6"/>
      <c r="E1157" s="6"/>
      <c r="F1157" s="6"/>
      <c r="G1157" s="24" t="str">
        <f>IF(F1157="", "", VLOOKUP(F1157, Inventory!A:BZ, 3, FALSE) - SUMIF($F$1:$F1156, F1157, $H$1:$H1156))
</f>
        <v/>
      </c>
      <c r="I1157" s="26"/>
      <c r="J1157" s="26" t="s">
        <v>77</v>
      </c>
      <c r="L1157" s="27" t="s">
        <v>77</v>
      </c>
      <c r="N1157" s="28" t="s">
        <v>77</v>
      </c>
      <c r="Q1157" s="30"/>
    </row>
    <row r="1158">
      <c r="B1158" s="6"/>
      <c r="C1158" s="33" t="str">
        <f t="array" ref="C1158">IF(B1158="", "", XLOOKUP(B1158, Inventory!D:D,Inventory!E:E,"No Name Found"))</f>
        <v/>
      </c>
      <c r="D1158" s="6"/>
      <c r="E1158" s="6"/>
      <c r="F1158" s="6"/>
      <c r="G1158" s="24" t="str">
        <f>IF(F1158="", "", VLOOKUP(F1158, Inventory!A:BZ, 3, FALSE) - SUMIF($F$1:$F1157, F1158, $H$1:$H1157))
</f>
        <v/>
      </c>
      <c r="I1158" s="26"/>
      <c r="J1158" s="26" t="s">
        <v>77</v>
      </c>
      <c r="L1158" s="27" t="s">
        <v>77</v>
      </c>
      <c r="N1158" s="28" t="s">
        <v>77</v>
      </c>
      <c r="Q1158" s="30"/>
    </row>
    <row r="1159">
      <c r="B1159" s="6"/>
      <c r="C1159" s="33" t="str">
        <f t="array" ref="C1159">IF(B1159="", "", XLOOKUP(B1159, Inventory!D:D,Inventory!E:E,"No Name Found"))</f>
        <v/>
      </c>
      <c r="D1159" s="6"/>
      <c r="E1159" s="6"/>
      <c r="F1159" s="6"/>
      <c r="G1159" s="24" t="str">
        <f>IF(F1159="", "", VLOOKUP(F1159, Inventory!A:BZ, 3, FALSE) - SUMIF($F$1:$F1158, F1159, $H$1:$H1158))
</f>
        <v/>
      </c>
      <c r="I1159" s="26"/>
      <c r="J1159" s="26" t="s">
        <v>77</v>
      </c>
      <c r="L1159" s="27" t="s">
        <v>77</v>
      </c>
      <c r="N1159" s="28" t="s">
        <v>77</v>
      </c>
      <c r="Q1159" s="30"/>
    </row>
    <row r="1160">
      <c r="B1160" s="6"/>
      <c r="C1160" s="33" t="str">
        <f t="array" ref="C1160">IF(B1160="", "", XLOOKUP(B1160, Inventory!D:D,Inventory!E:E,"No Name Found"))</f>
        <v/>
      </c>
      <c r="D1160" s="6"/>
      <c r="E1160" s="6"/>
      <c r="F1160" s="6"/>
      <c r="G1160" s="24" t="str">
        <f>IF(F1160="", "", VLOOKUP(F1160, Inventory!A:BZ, 3, FALSE) - SUMIF($F$1:$F1159, F1160, $H$1:$H1159))
</f>
        <v/>
      </c>
      <c r="I1160" s="26"/>
      <c r="J1160" s="26" t="s">
        <v>77</v>
      </c>
      <c r="L1160" s="27" t="s">
        <v>77</v>
      </c>
      <c r="N1160" s="28" t="s">
        <v>77</v>
      </c>
      <c r="Q1160" s="30"/>
    </row>
    <row r="1161">
      <c r="B1161" s="6"/>
      <c r="C1161" s="33" t="str">
        <f t="array" ref="C1161">IF(B1161="", "", XLOOKUP(B1161, Inventory!D:D,Inventory!E:E,"No Name Found"))</f>
        <v/>
      </c>
      <c r="D1161" s="6"/>
      <c r="E1161" s="6"/>
      <c r="F1161" s="6"/>
      <c r="G1161" s="24" t="str">
        <f>IF(F1161="", "", VLOOKUP(F1161, Inventory!A:BZ, 3, FALSE) - SUMIF($F$1:$F1160, F1161, $H$1:$H1160))
</f>
        <v/>
      </c>
      <c r="I1161" s="26"/>
      <c r="J1161" s="26" t="s">
        <v>77</v>
      </c>
      <c r="L1161" s="27" t="s">
        <v>77</v>
      </c>
      <c r="N1161" s="28" t="s">
        <v>77</v>
      </c>
      <c r="Q1161" s="30"/>
    </row>
    <row r="1162">
      <c r="B1162" s="6"/>
      <c r="C1162" s="33" t="str">
        <f t="array" ref="C1162">IF(B1162="", "", XLOOKUP(B1162, Inventory!D:D,Inventory!E:E,"No Name Found"))</f>
        <v/>
      </c>
      <c r="D1162" s="6"/>
      <c r="E1162" s="6"/>
      <c r="F1162" s="6"/>
      <c r="G1162" s="24" t="str">
        <f>IF(F1162="", "", VLOOKUP(F1162, Inventory!A:BZ, 3, FALSE) - SUMIF($F$1:$F1161, F1162, $H$1:$H1161))
</f>
        <v/>
      </c>
      <c r="I1162" s="26"/>
      <c r="J1162" s="26" t="s">
        <v>77</v>
      </c>
      <c r="L1162" s="27" t="s">
        <v>77</v>
      </c>
      <c r="N1162" s="28" t="s">
        <v>77</v>
      </c>
      <c r="Q1162" s="30"/>
    </row>
    <row r="1163">
      <c r="B1163" s="6"/>
      <c r="C1163" s="33" t="str">
        <f t="array" ref="C1163">IF(B1163="", "", XLOOKUP(B1163, Inventory!D:D,Inventory!E:E,"No Name Found"))</f>
        <v/>
      </c>
      <c r="D1163" s="6"/>
      <c r="E1163" s="6"/>
      <c r="F1163" s="6"/>
      <c r="G1163" s="24" t="str">
        <f>IF(F1163="", "", VLOOKUP(F1163, Inventory!A:BZ, 3, FALSE) - SUMIF($F$1:$F1162, F1163, $H$1:$H1162))
</f>
        <v/>
      </c>
      <c r="I1163" s="26"/>
      <c r="J1163" s="26" t="s">
        <v>77</v>
      </c>
      <c r="L1163" s="27" t="s">
        <v>77</v>
      </c>
      <c r="N1163" s="28" t="s">
        <v>77</v>
      </c>
      <c r="Q1163" s="30"/>
    </row>
    <row r="1164">
      <c r="B1164" s="6"/>
      <c r="C1164" s="33" t="str">
        <f t="array" ref="C1164">IF(B1164="", "", XLOOKUP(B1164, Inventory!D:D,Inventory!E:E,"No Name Found"))</f>
        <v/>
      </c>
      <c r="D1164" s="6"/>
      <c r="E1164" s="6"/>
      <c r="F1164" s="6"/>
      <c r="G1164" s="24" t="str">
        <f>IF(F1164="", "", VLOOKUP(F1164, Inventory!A:BZ, 3, FALSE) - SUMIF($F$1:$F1163, F1164, $H$1:$H1163))
</f>
        <v/>
      </c>
      <c r="I1164" s="26"/>
      <c r="J1164" s="26" t="s">
        <v>77</v>
      </c>
      <c r="L1164" s="27" t="s">
        <v>77</v>
      </c>
      <c r="N1164" s="28" t="s">
        <v>77</v>
      </c>
      <c r="Q1164" s="30"/>
    </row>
    <row r="1165">
      <c r="B1165" s="6"/>
      <c r="C1165" s="33" t="str">
        <f t="array" ref="C1165">IF(B1165="", "", XLOOKUP(B1165, Inventory!D:D,Inventory!E:E,"No Name Found"))</f>
        <v/>
      </c>
      <c r="D1165" s="6"/>
      <c r="E1165" s="6"/>
      <c r="F1165" s="6"/>
      <c r="G1165" s="24" t="str">
        <f>IF(F1165="", "", VLOOKUP(F1165, Inventory!A:BZ, 3, FALSE) - SUMIF($F$1:$F1164, F1165, $H$1:$H1164))
</f>
        <v/>
      </c>
      <c r="I1165" s="26"/>
      <c r="J1165" s="26" t="s">
        <v>77</v>
      </c>
      <c r="L1165" s="27" t="s">
        <v>77</v>
      </c>
      <c r="N1165" s="28" t="s">
        <v>77</v>
      </c>
      <c r="Q1165" s="30"/>
    </row>
    <row r="1166">
      <c r="B1166" s="6"/>
      <c r="C1166" s="33" t="str">
        <f t="array" ref="C1166">IF(B1166="", "", XLOOKUP(B1166, Inventory!D:D,Inventory!E:E,"No Name Found"))</f>
        <v/>
      </c>
      <c r="D1166" s="6"/>
      <c r="E1166" s="6"/>
      <c r="F1166" s="6"/>
      <c r="G1166" s="24" t="str">
        <f>IF(F1166="", "", VLOOKUP(F1166, Inventory!A:BZ, 3, FALSE) - SUMIF($F$1:$F1165, F1166, $H$1:$H1165))
</f>
        <v/>
      </c>
      <c r="I1166" s="26"/>
      <c r="J1166" s="26" t="s">
        <v>77</v>
      </c>
      <c r="L1166" s="27" t="s">
        <v>77</v>
      </c>
      <c r="N1166" s="28" t="s">
        <v>77</v>
      </c>
      <c r="Q1166" s="30"/>
    </row>
    <row r="1167">
      <c r="B1167" s="6"/>
      <c r="C1167" s="33" t="str">
        <f t="array" ref="C1167">IF(B1167="", "", XLOOKUP(B1167, Inventory!D:D,Inventory!E:E,"No Name Found"))</f>
        <v/>
      </c>
      <c r="D1167" s="6"/>
      <c r="E1167" s="6"/>
      <c r="F1167" s="6"/>
      <c r="G1167" s="24" t="str">
        <f>IF(F1167="", "", VLOOKUP(F1167, Inventory!A:BZ, 3, FALSE) - SUMIF($F$1:$F1166, F1167, $H$1:$H1166))
</f>
        <v/>
      </c>
      <c r="I1167" s="26"/>
      <c r="J1167" s="26" t="s">
        <v>77</v>
      </c>
      <c r="L1167" s="27" t="s">
        <v>77</v>
      </c>
      <c r="N1167" s="28" t="s">
        <v>77</v>
      </c>
      <c r="Q1167" s="30"/>
    </row>
    <row r="1168">
      <c r="B1168" s="6"/>
      <c r="C1168" s="33" t="str">
        <f t="array" ref="C1168">IF(B1168="", "", XLOOKUP(B1168, Inventory!D:D,Inventory!E:E,"No Name Found"))</f>
        <v/>
      </c>
      <c r="D1168" s="6"/>
      <c r="E1168" s="6"/>
      <c r="F1168" s="6"/>
      <c r="G1168" s="24" t="str">
        <f>IF(F1168="", "", VLOOKUP(F1168, Inventory!A:BZ, 3, FALSE) - SUMIF($F$1:$F1167, F1168, $H$1:$H1167))
</f>
        <v/>
      </c>
      <c r="I1168" s="26"/>
      <c r="J1168" s="26" t="s">
        <v>77</v>
      </c>
      <c r="L1168" s="27" t="s">
        <v>77</v>
      </c>
      <c r="N1168" s="28" t="s">
        <v>77</v>
      </c>
      <c r="Q1168" s="30"/>
    </row>
    <row r="1169">
      <c r="B1169" s="6"/>
      <c r="C1169" s="33" t="str">
        <f t="array" ref="C1169">IF(B1169="", "", XLOOKUP(B1169, Inventory!D:D,Inventory!E:E,"No Name Found"))</f>
        <v/>
      </c>
      <c r="D1169" s="6"/>
      <c r="E1169" s="6"/>
      <c r="F1169" s="6"/>
      <c r="G1169" s="24" t="str">
        <f>IF(F1169="", "", VLOOKUP(F1169, Inventory!A:BZ, 3, FALSE) - SUMIF($F$1:$F1168, F1169, $H$1:$H1168))
</f>
        <v/>
      </c>
      <c r="I1169" s="26"/>
      <c r="J1169" s="26" t="s">
        <v>77</v>
      </c>
      <c r="L1169" s="27" t="s">
        <v>77</v>
      </c>
      <c r="N1169" s="28" t="s">
        <v>77</v>
      </c>
      <c r="Q1169" s="30"/>
    </row>
    <row r="1170">
      <c r="B1170" s="6"/>
      <c r="C1170" s="33" t="str">
        <f t="array" ref="C1170">IF(B1170="", "", XLOOKUP(B1170, Inventory!D:D,Inventory!E:E,"No Name Found"))</f>
        <v/>
      </c>
      <c r="D1170" s="6"/>
      <c r="E1170" s="6"/>
      <c r="F1170" s="6"/>
      <c r="G1170" s="24" t="str">
        <f>IF(F1170="", "", VLOOKUP(F1170, Inventory!A:BZ, 3, FALSE) - SUMIF($F$1:$F1169, F1170, $H$1:$H1169))
</f>
        <v/>
      </c>
      <c r="I1170" s="26"/>
      <c r="J1170" s="26" t="s">
        <v>77</v>
      </c>
      <c r="L1170" s="27" t="s">
        <v>77</v>
      </c>
      <c r="N1170" s="28" t="s">
        <v>77</v>
      </c>
      <c r="Q1170" s="30"/>
    </row>
    <row r="1171">
      <c r="B1171" s="6"/>
      <c r="C1171" s="33" t="str">
        <f t="array" ref="C1171">IF(B1171="", "", XLOOKUP(B1171, Inventory!D:D,Inventory!E:E,"No Name Found"))</f>
        <v/>
      </c>
      <c r="D1171" s="6"/>
      <c r="E1171" s="6"/>
      <c r="F1171" s="6"/>
      <c r="G1171" s="24" t="str">
        <f>IF(F1171="", "", VLOOKUP(F1171, Inventory!A:BZ, 3, FALSE) - SUMIF($F$1:$F1170, F1171, $H$1:$H1170))
</f>
        <v/>
      </c>
      <c r="I1171" s="26"/>
      <c r="J1171" s="26" t="s">
        <v>77</v>
      </c>
      <c r="L1171" s="27" t="s">
        <v>77</v>
      </c>
      <c r="N1171" s="28" t="s">
        <v>77</v>
      </c>
      <c r="Q1171" s="30"/>
    </row>
    <row r="1172">
      <c r="B1172" s="6"/>
      <c r="C1172" s="33" t="str">
        <f t="array" ref="C1172">IF(B1172="", "", XLOOKUP(B1172, Inventory!D:D,Inventory!E:E,"No Name Found"))</f>
        <v/>
      </c>
      <c r="D1172" s="6"/>
      <c r="E1172" s="6"/>
      <c r="F1172" s="6"/>
      <c r="G1172" s="24" t="str">
        <f>IF(F1172="", "", VLOOKUP(F1172, Inventory!A:BZ, 3, FALSE) - SUMIF($F$1:$F1171, F1172, $H$1:$H1171))
</f>
        <v/>
      </c>
      <c r="I1172" s="26"/>
      <c r="J1172" s="26" t="s">
        <v>77</v>
      </c>
      <c r="L1172" s="27" t="s">
        <v>77</v>
      </c>
      <c r="N1172" s="28" t="s">
        <v>77</v>
      </c>
      <c r="Q1172" s="30"/>
    </row>
    <row r="1173">
      <c r="B1173" s="6"/>
      <c r="C1173" s="33" t="str">
        <f t="array" ref="C1173">IF(B1173="", "", XLOOKUP(B1173, Inventory!D:D,Inventory!E:E,"No Name Found"))</f>
        <v/>
      </c>
      <c r="D1173" s="6"/>
      <c r="E1173" s="6"/>
      <c r="F1173" s="6"/>
      <c r="G1173" s="24" t="str">
        <f>IF(F1173="", "", VLOOKUP(F1173, Inventory!A:BZ, 3, FALSE) - SUMIF($F$1:$F1172, F1173, $H$1:$H1172))
</f>
        <v/>
      </c>
      <c r="I1173" s="26"/>
      <c r="J1173" s="26" t="s">
        <v>77</v>
      </c>
      <c r="L1173" s="27" t="s">
        <v>77</v>
      </c>
      <c r="N1173" s="28" t="s">
        <v>77</v>
      </c>
      <c r="Q1173" s="30"/>
    </row>
    <row r="1174">
      <c r="B1174" s="6"/>
      <c r="C1174" s="33" t="str">
        <f t="array" ref="C1174">IF(B1174="", "", XLOOKUP(B1174, Inventory!D:D,Inventory!E:E,"No Name Found"))</f>
        <v/>
      </c>
      <c r="D1174" s="6"/>
      <c r="E1174" s="6"/>
      <c r="F1174" s="6"/>
      <c r="G1174" s="24" t="str">
        <f>IF(F1174="", "", VLOOKUP(F1174, Inventory!A:BZ, 3, FALSE) - SUMIF($F$1:$F1173, F1174, $H$1:$H1173))
</f>
        <v/>
      </c>
      <c r="I1174" s="26"/>
      <c r="J1174" s="26" t="s">
        <v>77</v>
      </c>
      <c r="L1174" s="27" t="s">
        <v>77</v>
      </c>
      <c r="N1174" s="28" t="s">
        <v>77</v>
      </c>
      <c r="Q1174" s="30"/>
    </row>
    <row r="1175">
      <c r="B1175" s="6"/>
      <c r="C1175" s="33" t="str">
        <f t="array" ref="C1175">IF(B1175="", "", XLOOKUP(B1175, Inventory!D:D,Inventory!E:E,"No Name Found"))</f>
        <v/>
      </c>
      <c r="D1175" s="6"/>
      <c r="E1175" s="6"/>
      <c r="F1175" s="6"/>
      <c r="G1175" s="24" t="str">
        <f>IF(F1175="", "", VLOOKUP(F1175, Inventory!A:BZ, 3, FALSE) - SUMIF($F$1:$F1174, F1175, $H$1:$H1174))
</f>
        <v/>
      </c>
      <c r="I1175" s="26"/>
      <c r="J1175" s="26" t="s">
        <v>77</v>
      </c>
      <c r="L1175" s="27" t="s">
        <v>77</v>
      </c>
      <c r="N1175" s="28" t="s">
        <v>77</v>
      </c>
      <c r="Q1175" s="30"/>
    </row>
    <row r="1176">
      <c r="B1176" s="6"/>
      <c r="C1176" s="33" t="str">
        <f t="array" ref="C1176">IF(B1176="", "", XLOOKUP(B1176, Inventory!D:D,Inventory!E:E,"No Name Found"))</f>
        <v/>
      </c>
      <c r="D1176" s="6"/>
      <c r="E1176" s="6"/>
      <c r="F1176" s="6"/>
      <c r="G1176" s="24" t="str">
        <f>IF(F1176="", "", VLOOKUP(F1176, Inventory!A:BZ, 3, FALSE) - SUMIF($F$1:$F1175, F1176, $H$1:$H1175))
</f>
        <v/>
      </c>
      <c r="I1176" s="26"/>
      <c r="J1176" s="26" t="s">
        <v>77</v>
      </c>
      <c r="L1176" s="27" t="s">
        <v>77</v>
      </c>
      <c r="N1176" s="28" t="s">
        <v>77</v>
      </c>
      <c r="Q1176" s="30"/>
    </row>
    <row r="1177">
      <c r="B1177" s="6"/>
      <c r="C1177" s="33" t="str">
        <f t="array" ref="C1177">IF(B1177="", "", XLOOKUP(B1177, Inventory!D:D,Inventory!E:E,"No Name Found"))</f>
        <v/>
      </c>
      <c r="D1177" s="6"/>
      <c r="E1177" s="6"/>
      <c r="F1177" s="6"/>
      <c r="G1177" s="24" t="str">
        <f>IF(F1177="", "", VLOOKUP(F1177, Inventory!A:BZ, 3, FALSE) - SUMIF($F$1:$F1176, F1177, $H$1:$H1176))
</f>
        <v/>
      </c>
      <c r="I1177" s="26"/>
      <c r="J1177" s="26" t="s">
        <v>77</v>
      </c>
      <c r="L1177" s="27" t="s">
        <v>77</v>
      </c>
      <c r="N1177" s="28" t="s">
        <v>77</v>
      </c>
      <c r="Q1177" s="30"/>
    </row>
    <row r="1178">
      <c r="B1178" s="6"/>
      <c r="C1178" s="33" t="str">
        <f t="array" ref="C1178">IF(B1178="", "", XLOOKUP(B1178, Inventory!D:D,Inventory!E:E,"No Name Found"))</f>
        <v/>
      </c>
      <c r="D1178" s="6"/>
      <c r="E1178" s="6"/>
      <c r="F1178" s="6"/>
      <c r="G1178" s="24" t="str">
        <f>IF(F1178="", "", VLOOKUP(F1178, Inventory!A:BZ, 3, FALSE) - SUMIF($F$1:$F1177, F1178, $H$1:$H1177))
</f>
        <v/>
      </c>
      <c r="I1178" s="26"/>
      <c r="J1178" s="26" t="s">
        <v>77</v>
      </c>
      <c r="L1178" s="27" t="s">
        <v>77</v>
      </c>
      <c r="N1178" s="28" t="s">
        <v>77</v>
      </c>
      <c r="Q1178" s="30"/>
    </row>
    <row r="1179">
      <c r="B1179" s="6"/>
      <c r="C1179" s="33" t="str">
        <f t="array" ref="C1179">IF(B1179="", "", XLOOKUP(B1179, Inventory!D:D,Inventory!E:E,"No Name Found"))</f>
        <v/>
      </c>
      <c r="D1179" s="6"/>
      <c r="E1179" s="6"/>
      <c r="F1179" s="6"/>
      <c r="G1179" s="24" t="str">
        <f>IF(F1179="", "", VLOOKUP(F1179, Inventory!A:BZ, 3, FALSE) - SUMIF($F$1:$F1178, F1179, $H$1:$H1178))
</f>
        <v/>
      </c>
      <c r="I1179" s="26"/>
      <c r="J1179" s="26" t="s">
        <v>77</v>
      </c>
      <c r="L1179" s="27" t="s">
        <v>77</v>
      </c>
      <c r="N1179" s="28" t="s">
        <v>77</v>
      </c>
      <c r="Q1179" s="30"/>
    </row>
    <row r="1180">
      <c r="B1180" s="6"/>
      <c r="C1180" s="33" t="str">
        <f t="array" ref="C1180">IF(B1180="", "", XLOOKUP(B1180, Inventory!D:D,Inventory!E:E,"No Name Found"))</f>
        <v/>
      </c>
      <c r="D1180" s="6"/>
      <c r="E1180" s="6"/>
      <c r="F1180" s="6"/>
      <c r="G1180" s="24" t="str">
        <f>IF(F1180="", "", VLOOKUP(F1180, Inventory!A:BZ, 3, FALSE) - SUMIF($F$1:$F1179, F1180, $H$1:$H1179))
</f>
        <v/>
      </c>
      <c r="I1180" s="26"/>
      <c r="J1180" s="26" t="s">
        <v>77</v>
      </c>
      <c r="L1180" s="27" t="s">
        <v>77</v>
      </c>
      <c r="N1180" s="28" t="s">
        <v>77</v>
      </c>
      <c r="Q1180" s="30"/>
    </row>
    <row r="1181">
      <c r="B1181" s="6"/>
      <c r="C1181" s="33" t="str">
        <f t="array" ref="C1181">IF(B1181="", "", XLOOKUP(B1181, Inventory!D:D,Inventory!E:E,"No Name Found"))</f>
        <v/>
      </c>
      <c r="D1181" s="6"/>
      <c r="E1181" s="6"/>
      <c r="F1181" s="6"/>
      <c r="G1181" s="24" t="str">
        <f>IF(F1181="", "", VLOOKUP(F1181, Inventory!A:BZ, 3, FALSE) - SUMIF($F$1:$F1180, F1181, $H$1:$H1180))
</f>
        <v/>
      </c>
      <c r="I1181" s="26"/>
      <c r="J1181" s="26" t="s">
        <v>77</v>
      </c>
      <c r="L1181" s="27" t="s">
        <v>77</v>
      </c>
      <c r="N1181" s="28" t="s">
        <v>77</v>
      </c>
      <c r="Q1181" s="30"/>
    </row>
    <row r="1182">
      <c r="B1182" s="6"/>
      <c r="C1182" s="33" t="str">
        <f t="array" ref="C1182">IF(B1182="", "", XLOOKUP(B1182, Inventory!D:D,Inventory!E:E,"No Name Found"))</f>
        <v/>
      </c>
      <c r="D1182" s="6"/>
      <c r="E1182" s="6"/>
      <c r="F1182" s="6"/>
      <c r="G1182" s="24" t="str">
        <f>IF(F1182="", "", VLOOKUP(F1182, Inventory!A:BZ, 3, FALSE) - SUMIF($F$1:$F1181, F1182, $H$1:$H1181))
</f>
        <v/>
      </c>
      <c r="I1182" s="26"/>
      <c r="J1182" s="26" t="s">
        <v>77</v>
      </c>
      <c r="L1182" s="27" t="s">
        <v>77</v>
      </c>
      <c r="N1182" s="28" t="s">
        <v>77</v>
      </c>
      <c r="Q1182" s="30"/>
    </row>
    <row r="1183">
      <c r="B1183" s="6"/>
      <c r="C1183" s="33" t="str">
        <f t="array" ref="C1183">IF(B1183="", "", XLOOKUP(B1183, Inventory!D:D,Inventory!E:E,"No Name Found"))</f>
        <v/>
      </c>
      <c r="D1183" s="6"/>
      <c r="E1183" s="6"/>
      <c r="F1183" s="6"/>
      <c r="G1183" s="24" t="str">
        <f>IF(F1183="", "", VLOOKUP(F1183, Inventory!A:BZ, 3, FALSE) - SUMIF($F$1:$F1182, F1183, $H$1:$H1182))
</f>
        <v/>
      </c>
      <c r="I1183" s="26"/>
      <c r="J1183" s="26" t="s">
        <v>77</v>
      </c>
      <c r="L1183" s="27" t="s">
        <v>77</v>
      </c>
      <c r="N1183" s="28" t="s">
        <v>77</v>
      </c>
      <c r="Q1183" s="30"/>
    </row>
    <row r="1184">
      <c r="B1184" s="6"/>
      <c r="C1184" s="33" t="str">
        <f t="array" ref="C1184">IF(B1184="", "", XLOOKUP(B1184, Inventory!D:D,Inventory!E:E,"No Name Found"))</f>
        <v/>
      </c>
      <c r="D1184" s="6"/>
      <c r="E1184" s="6"/>
      <c r="F1184" s="6"/>
      <c r="G1184" s="24" t="str">
        <f>IF(F1184="", "", VLOOKUP(F1184, Inventory!A:BZ, 3, FALSE) - SUMIF($F$1:$F1183, F1184, $H$1:$H1183))
</f>
        <v/>
      </c>
      <c r="I1184" s="26"/>
      <c r="J1184" s="26" t="s">
        <v>77</v>
      </c>
      <c r="L1184" s="27" t="s">
        <v>77</v>
      </c>
      <c r="N1184" s="28" t="s">
        <v>77</v>
      </c>
      <c r="Q1184" s="30"/>
    </row>
    <row r="1185">
      <c r="B1185" s="6"/>
      <c r="C1185" s="33" t="str">
        <f t="array" ref="C1185">IF(B1185="", "", XLOOKUP(B1185, Inventory!D:D,Inventory!E:E,"No Name Found"))</f>
        <v/>
      </c>
      <c r="D1185" s="6"/>
      <c r="E1185" s="6"/>
      <c r="F1185" s="6"/>
      <c r="G1185" s="24" t="str">
        <f>IF(F1185="", "", VLOOKUP(F1185, Inventory!A:BZ, 3, FALSE) - SUMIF($F$1:$F1184, F1185, $H$1:$H1184))
</f>
        <v/>
      </c>
      <c r="I1185" s="26"/>
      <c r="J1185" s="26" t="s">
        <v>77</v>
      </c>
      <c r="L1185" s="27" t="s">
        <v>77</v>
      </c>
      <c r="N1185" s="28" t="s">
        <v>77</v>
      </c>
      <c r="Q1185" s="30"/>
    </row>
    <row r="1186">
      <c r="B1186" s="6"/>
      <c r="C1186" s="33" t="str">
        <f t="array" ref="C1186">IF(B1186="", "", XLOOKUP(B1186, Inventory!D:D,Inventory!E:E,"No Name Found"))</f>
        <v/>
      </c>
      <c r="D1186" s="6"/>
      <c r="E1186" s="6"/>
      <c r="F1186" s="6"/>
      <c r="G1186" s="24" t="str">
        <f>IF(F1186="", "", VLOOKUP(F1186, Inventory!A:BZ, 3, FALSE) - SUMIF($F$1:$F1185, F1186, $H$1:$H1185))
</f>
        <v/>
      </c>
      <c r="I1186" s="26"/>
      <c r="J1186" s="26" t="s">
        <v>77</v>
      </c>
      <c r="L1186" s="27" t="s">
        <v>77</v>
      </c>
      <c r="N1186" s="28" t="s">
        <v>77</v>
      </c>
      <c r="Q1186" s="30"/>
    </row>
    <row r="1187">
      <c r="B1187" s="6"/>
      <c r="C1187" s="33" t="str">
        <f t="array" ref="C1187">IF(B1187="", "", XLOOKUP(B1187, Inventory!D:D,Inventory!E:E,"No Name Found"))</f>
        <v/>
      </c>
      <c r="D1187" s="6"/>
      <c r="E1187" s="6"/>
      <c r="F1187" s="6"/>
      <c r="G1187" s="24" t="str">
        <f>IF(F1187="", "", VLOOKUP(F1187, Inventory!A:BZ, 3, FALSE) - SUMIF($F$1:$F1186, F1187, $H$1:$H1186))
</f>
        <v/>
      </c>
      <c r="I1187" s="26"/>
      <c r="J1187" s="26" t="s">
        <v>77</v>
      </c>
      <c r="L1187" s="27" t="s">
        <v>77</v>
      </c>
      <c r="N1187" s="28" t="s">
        <v>77</v>
      </c>
      <c r="Q1187" s="30"/>
    </row>
    <row r="1188">
      <c r="B1188" s="6"/>
      <c r="C1188" s="33" t="str">
        <f t="array" ref="C1188">IF(B1188="", "", XLOOKUP(B1188, Inventory!D:D,Inventory!E:E,"No Name Found"))</f>
        <v/>
      </c>
      <c r="D1188" s="6"/>
      <c r="E1188" s="6"/>
      <c r="F1188" s="6"/>
      <c r="G1188" s="24" t="str">
        <f>IF(F1188="", "", VLOOKUP(F1188, Inventory!A:BZ, 3, FALSE) - SUMIF($F$1:$F1187, F1188, $H$1:$H1187))
</f>
        <v/>
      </c>
      <c r="I1188" s="26"/>
      <c r="J1188" s="26" t="s">
        <v>77</v>
      </c>
      <c r="L1188" s="27" t="s">
        <v>77</v>
      </c>
      <c r="N1188" s="28" t="s">
        <v>77</v>
      </c>
      <c r="Q1188" s="30"/>
    </row>
    <row r="1189">
      <c r="B1189" s="6"/>
      <c r="C1189" s="33" t="str">
        <f t="array" ref="C1189">IF(B1189="", "", XLOOKUP(B1189, Inventory!D:D,Inventory!E:E,"No Name Found"))</f>
        <v/>
      </c>
      <c r="D1189" s="6"/>
      <c r="E1189" s="6"/>
      <c r="F1189" s="6"/>
      <c r="G1189" s="24" t="str">
        <f>IF(F1189="", "", VLOOKUP(F1189, Inventory!A:BZ, 3, FALSE) - SUMIF($F$1:$F1188, F1189, $H$1:$H1188))
</f>
        <v/>
      </c>
      <c r="I1189" s="26"/>
      <c r="J1189" s="26" t="s">
        <v>77</v>
      </c>
      <c r="L1189" s="27" t="s">
        <v>77</v>
      </c>
      <c r="N1189" s="28" t="s">
        <v>77</v>
      </c>
      <c r="Q1189" s="30"/>
    </row>
    <row r="1190">
      <c r="B1190" s="6"/>
      <c r="C1190" s="33" t="str">
        <f t="array" ref="C1190">IF(B1190="", "", XLOOKUP(B1190, Inventory!D:D,Inventory!E:E,"No Name Found"))</f>
        <v/>
      </c>
      <c r="D1190" s="6"/>
      <c r="E1190" s="6"/>
      <c r="F1190" s="6"/>
      <c r="G1190" s="24" t="str">
        <f>IF(F1190="", "", VLOOKUP(F1190, Inventory!A:BZ, 3, FALSE) - SUMIF($F$1:$F1189, F1190, $H$1:$H1189))
</f>
        <v/>
      </c>
      <c r="I1190" s="26"/>
      <c r="J1190" s="26" t="s">
        <v>77</v>
      </c>
      <c r="L1190" s="27" t="s">
        <v>77</v>
      </c>
      <c r="N1190" s="28" t="s">
        <v>77</v>
      </c>
      <c r="Q1190" s="30"/>
    </row>
    <row r="1191">
      <c r="B1191" s="6"/>
      <c r="C1191" s="33" t="str">
        <f t="array" ref="C1191">IF(B1191="", "", XLOOKUP(B1191, Inventory!D:D,Inventory!E:E,"No Name Found"))</f>
        <v/>
      </c>
      <c r="D1191" s="6"/>
      <c r="E1191" s="6"/>
      <c r="F1191" s="6"/>
      <c r="G1191" s="24" t="str">
        <f>IF(F1191="", "", VLOOKUP(F1191, Inventory!A:BZ, 3, FALSE) - SUMIF($F$1:$F1190, F1191, $H$1:$H1190))
</f>
        <v/>
      </c>
      <c r="I1191" s="26"/>
      <c r="J1191" s="26" t="s">
        <v>77</v>
      </c>
      <c r="L1191" s="27" t="s">
        <v>77</v>
      </c>
      <c r="N1191" s="28" t="s">
        <v>77</v>
      </c>
      <c r="Q1191" s="30"/>
    </row>
    <row r="1192">
      <c r="B1192" s="6"/>
      <c r="C1192" s="33" t="str">
        <f t="array" ref="C1192">IF(B1192="", "", XLOOKUP(B1192, Inventory!D:D,Inventory!E:E,"No Name Found"))</f>
        <v/>
      </c>
      <c r="D1192" s="6"/>
      <c r="E1192" s="6"/>
      <c r="F1192" s="6"/>
      <c r="G1192" s="24" t="str">
        <f>IF(F1192="", "", VLOOKUP(F1192, Inventory!A:BZ, 3, FALSE) - SUMIF($F$1:$F1191, F1192, $H$1:$H1191))
</f>
        <v/>
      </c>
      <c r="I1192" s="26"/>
      <c r="J1192" s="26" t="s">
        <v>77</v>
      </c>
      <c r="L1192" s="27" t="s">
        <v>77</v>
      </c>
      <c r="N1192" s="28" t="s">
        <v>77</v>
      </c>
      <c r="Q1192" s="30"/>
    </row>
    <row r="1193">
      <c r="B1193" s="6"/>
      <c r="C1193" s="33" t="str">
        <f t="array" ref="C1193">IF(B1193="", "", XLOOKUP(B1193, Inventory!D:D,Inventory!E:E,"No Name Found"))</f>
        <v/>
      </c>
      <c r="D1193" s="6"/>
      <c r="E1193" s="6"/>
      <c r="F1193" s="6"/>
      <c r="G1193" s="24" t="str">
        <f>IF(F1193="", "", VLOOKUP(F1193, Inventory!A:BZ, 3, FALSE) - SUMIF($F$1:$F1192, F1193, $H$1:$H1192))
</f>
        <v/>
      </c>
      <c r="I1193" s="26"/>
      <c r="J1193" s="26" t="s">
        <v>77</v>
      </c>
      <c r="L1193" s="27" t="s">
        <v>77</v>
      </c>
      <c r="N1193" s="28" t="s">
        <v>77</v>
      </c>
      <c r="Q1193" s="30"/>
    </row>
    <row r="1194">
      <c r="B1194" s="6"/>
      <c r="C1194" s="33" t="str">
        <f t="array" ref="C1194">IF(B1194="", "", XLOOKUP(B1194, Inventory!D:D,Inventory!E:E,"No Name Found"))</f>
        <v/>
      </c>
      <c r="D1194" s="6"/>
      <c r="E1194" s="6"/>
      <c r="F1194" s="6"/>
      <c r="G1194" s="24" t="str">
        <f>IF(F1194="", "", VLOOKUP(F1194, Inventory!A:BZ, 3, FALSE) - SUMIF($F$1:$F1193, F1194, $H$1:$H1193))
</f>
        <v/>
      </c>
      <c r="I1194" s="26"/>
      <c r="J1194" s="26" t="s">
        <v>77</v>
      </c>
      <c r="L1194" s="27" t="s">
        <v>77</v>
      </c>
      <c r="N1194" s="28" t="s">
        <v>77</v>
      </c>
      <c r="Q1194" s="30"/>
    </row>
    <row r="1195">
      <c r="B1195" s="6"/>
      <c r="C1195" s="33" t="str">
        <f t="array" ref="C1195">IF(B1195="", "", XLOOKUP(B1195, Inventory!D:D,Inventory!E:E,"No Name Found"))</f>
        <v/>
      </c>
      <c r="D1195" s="6"/>
      <c r="E1195" s="6"/>
      <c r="F1195" s="6"/>
      <c r="G1195" s="24" t="str">
        <f>IF(F1195="", "", VLOOKUP(F1195, Inventory!A:BZ, 3, FALSE) - SUMIF($F$1:$F1194, F1195, $H$1:$H1194))
</f>
        <v/>
      </c>
      <c r="I1195" s="26"/>
      <c r="J1195" s="26" t="s">
        <v>77</v>
      </c>
      <c r="L1195" s="27" t="s">
        <v>77</v>
      </c>
      <c r="N1195" s="28" t="s">
        <v>77</v>
      </c>
      <c r="Q1195" s="30"/>
    </row>
    <row r="1196">
      <c r="B1196" s="6"/>
      <c r="C1196" s="33" t="str">
        <f t="array" ref="C1196">IF(B1196="", "", XLOOKUP(B1196, Inventory!D:D,Inventory!E:E,"No Name Found"))</f>
        <v/>
      </c>
      <c r="D1196" s="6"/>
      <c r="E1196" s="6"/>
      <c r="F1196" s="6"/>
      <c r="G1196" s="24" t="str">
        <f>IF(F1196="", "", VLOOKUP(F1196, Inventory!A:BZ, 3, FALSE) - SUMIF($F$1:$F1195, F1196, $H$1:$H1195))
</f>
        <v/>
      </c>
      <c r="I1196" s="26"/>
      <c r="J1196" s="26" t="s">
        <v>77</v>
      </c>
      <c r="L1196" s="27" t="s">
        <v>77</v>
      </c>
      <c r="N1196" s="28" t="s">
        <v>77</v>
      </c>
      <c r="Q1196" s="30"/>
    </row>
    <row r="1197">
      <c r="B1197" s="6"/>
      <c r="C1197" s="33" t="str">
        <f t="array" ref="C1197">IF(B1197="", "", XLOOKUP(B1197, Inventory!D:D,Inventory!E:E,"No Name Found"))</f>
        <v/>
      </c>
      <c r="D1197" s="6"/>
      <c r="E1197" s="6"/>
      <c r="F1197" s="6"/>
      <c r="G1197" s="24" t="str">
        <f>IF(F1197="", "", VLOOKUP(F1197, Inventory!A:BZ, 3, FALSE) - SUMIF($F$1:$F1196, F1197, $H$1:$H1196))
</f>
        <v/>
      </c>
      <c r="I1197" s="26"/>
      <c r="J1197" s="26" t="s">
        <v>77</v>
      </c>
      <c r="L1197" s="27" t="s">
        <v>77</v>
      </c>
      <c r="N1197" s="28" t="s">
        <v>77</v>
      </c>
      <c r="Q1197" s="30"/>
    </row>
    <row r="1198">
      <c r="B1198" s="6"/>
      <c r="C1198" s="33" t="str">
        <f t="array" ref="C1198">IF(B1198="", "", XLOOKUP(B1198, Inventory!D:D,Inventory!E:E,"No Name Found"))</f>
        <v/>
      </c>
      <c r="D1198" s="6"/>
      <c r="E1198" s="6"/>
      <c r="F1198" s="6"/>
      <c r="G1198" s="24" t="str">
        <f>IF(F1198="", "", VLOOKUP(F1198, Inventory!A:BZ, 3, FALSE) - SUMIF($F$1:$F1197, F1198, $H$1:$H1197))
</f>
        <v/>
      </c>
      <c r="I1198" s="26"/>
      <c r="J1198" s="26" t="s">
        <v>77</v>
      </c>
      <c r="L1198" s="27" t="s">
        <v>77</v>
      </c>
      <c r="N1198" s="28" t="s">
        <v>77</v>
      </c>
      <c r="Q1198" s="30"/>
    </row>
    <row r="1199">
      <c r="B1199" s="6"/>
      <c r="C1199" s="33" t="str">
        <f t="array" ref="C1199">IF(B1199="", "", XLOOKUP(B1199, Inventory!D:D,Inventory!E:E,"No Name Found"))</f>
        <v/>
      </c>
      <c r="D1199" s="6"/>
      <c r="E1199" s="6"/>
      <c r="F1199" s="6"/>
      <c r="G1199" s="24" t="str">
        <f>IF(F1199="", "", VLOOKUP(F1199, Inventory!A:BZ, 3, FALSE) - SUMIF($F$1:$F1198, F1199, $H$1:$H1198))
</f>
        <v/>
      </c>
      <c r="I1199" s="26"/>
      <c r="J1199" s="26" t="s">
        <v>77</v>
      </c>
      <c r="L1199" s="27" t="s">
        <v>77</v>
      </c>
      <c r="N1199" s="28" t="s">
        <v>77</v>
      </c>
      <c r="Q1199" s="30"/>
    </row>
    <row r="1200">
      <c r="B1200" s="6"/>
      <c r="C1200" s="33" t="str">
        <f t="array" ref="C1200">IF(B1200="", "", XLOOKUP(B1200, Inventory!D:D,Inventory!E:E,"No Name Found"))</f>
        <v/>
      </c>
      <c r="D1200" s="6"/>
      <c r="E1200" s="6"/>
      <c r="F1200" s="6"/>
      <c r="G1200" s="24" t="str">
        <f>IF(F1200="", "", VLOOKUP(F1200, Inventory!A:BZ, 3, FALSE) - SUMIF($F$1:$F1199, F1200, $H$1:$H1199))
</f>
        <v/>
      </c>
      <c r="I1200" s="26"/>
      <c r="J1200" s="26" t="s">
        <v>77</v>
      </c>
      <c r="L1200" s="27" t="s">
        <v>77</v>
      </c>
      <c r="N1200" s="28" t="s">
        <v>77</v>
      </c>
      <c r="Q1200" s="30"/>
    </row>
    <row r="1201">
      <c r="B1201" s="6"/>
      <c r="C1201" s="33" t="str">
        <f t="array" ref="C1201">IF(B1201="", "", XLOOKUP(B1201, Inventory!D:D,Inventory!E:E,"No Name Found"))</f>
        <v/>
      </c>
      <c r="D1201" s="6"/>
      <c r="E1201" s="6"/>
      <c r="F1201" s="6"/>
      <c r="G1201" s="24" t="str">
        <f>IF(F1201="", "", VLOOKUP(F1201, Inventory!A:BZ, 3, FALSE) - SUMIF($F$1:$F1200, F1201, $H$1:$H1200))
</f>
        <v/>
      </c>
      <c r="I1201" s="26"/>
      <c r="J1201" s="26" t="s">
        <v>77</v>
      </c>
      <c r="L1201" s="27" t="s">
        <v>77</v>
      </c>
      <c r="N1201" s="28" t="s">
        <v>77</v>
      </c>
      <c r="Q1201" s="30"/>
    </row>
    <row r="1202">
      <c r="B1202" s="6"/>
      <c r="C1202" s="33" t="str">
        <f t="array" ref="C1202">IF(B1202="", "", XLOOKUP(B1202, Inventory!D:D,Inventory!E:E,"No Name Found"))</f>
        <v/>
      </c>
      <c r="D1202" s="6"/>
      <c r="E1202" s="6"/>
      <c r="F1202" s="6"/>
      <c r="G1202" s="24" t="str">
        <f>IF(F1202="", "", VLOOKUP(F1202, Inventory!A:BZ, 3, FALSE) - SUMIF($F$1:$F1201, F1202, $H$1:$H1201))
</f>
        <v/>
      </c>
      <c r="I1202" s="26"/>
      <c r="J1202" s="26" t="s">
        <v>77</v>
      </c>
      <c r="L1202" s="27" t="s">
        <v>77</v>
      </c>
      <c r="N1202" s="28" t="s">
        <v>77</v>
      </c>
      <c r="Q1202" s="30"/>
    </row>
    <row r="1203">
      <c r="B1203" s="6"/>
      <c r="C1203" s="33" t="str">
        <f t="array" ref="C1203">IF(B1203="", "", XLOOKUP(B1203, Inventory!D:D,Inventory!E:E,"No Name Found"))</f>
        <v/>
      </c>
      <c r="D1203" s="6"/>
      <c r="E1203" s="6"/>
      <c r="F1203" s="6"/>
      <c r="G1203" s="24" t="str">
        <f>IF(F1203="", "", VLOOKUP(F1203, Inventory!A:BZ, 3, FALSE) - SUMIF($F$1:$F1202, F1203, $H$1:$H1202))
</f>
        <v/>
      </c>
      <c r="I1203" s="26"/>
      <c r="J1203" s="26" t="s">
        <v>77</v>
      </c>
      <c r="L1203" s="27" t="s">
        <v>77</v>
      </c>
      <c r="N1203" s="28" t="s">
        <v>77</v>
      </c>
      <c r="Q1203" s="30"/>
    </row>
    <row r="1204">
      <c r="B1204" s="6"/>
      <c r="C1204" s="33" t="str">
        <f t="array" ref="C1204">IF(B1204="", "", XLOOKUP(B1204, Inventory!D:D,Inventory!E:E,"No Name Found"))</f>
        <v/>
      </c>
      <c r="D1204" s="6"/>
      <c r="E1204" s="6"/>
      <c r="F1204" s="6"/>
      <c r="G1204" s="24" t="str">
        <f>IF(F1204="", "", VLOOKUP(F1204, Inventory!A:BZ, 3, FALSE) - SUMIF($F$1:$F1203, F1204, $H$1:$H1203))
</f>
        <v/>
      </c>
      <c r="I1204" s="26"/>
      <c r="J1204" s="26" t="s">
        <v>77</v>
      </c>
      <c r="L1204" s="27" t="s">
        <v>77</v>
      </c>
      <c r="N1204" s="28" t="s">
        <v>77</v>
      </c>
      <c r="Q1204" s="30"/>
    </row>
    <row r="1205">
      <c r="B1205" s="6"/>
      <c r="C1205" s="33" t="str">
        <f t="array" ref="C1205">IF(B1205="", "", XLOOKUP(B1205, Inventory!D:D,Inventory!E:E,"No Name Found"))</f>
        <v/>
      </c>
      <c r="D1205" s="6"/>
      <c r="E1205" s="6"/>
      <c r="F1205" s="6"/>
      <c r="G1205" s="24" t="str">
        <f>IF(F1205="", "", VLOOKUP(F1205, Inventory!A:BZ, 3, FALSE) - SUMIF($F$1:$F1204, F1205, $H$1:$H1204))
</f>
        <v/>
      </c>
      <c r="I1205" s="26"/>
      <c r="J1205" s="26" t="s">
        <v>77</v>
      </c>
      <c r="L1205" s="27" t="s">
        <v>77</v>
      </c>
      <c r="N1205" s="28" t="s">
        <v>77</v>
      </c>
      <c r="Q1205" s="30"/>
    </row>
    <row r="1206">
      <c r="B1206" s="6"/>
      <c r="C1206" s="33" t="str">
        <f t="array" ref="C1206">IF(B1206="", "", XLOOKUP(B1206, Inventory!D:D,Inventory!E:E,"No Name Found"))</f>
        <v/>
      </c>
      <c r="D1206" s="6"/>
      <c r="E1206" s="6"/>
      <c r="F1206" s="6"/>
      <c r="G1206" s="24" t="str">
        <f>IF(F1206="", "", VLOOKUP(F1206, Inventory!A:BZ, 3, FALSE) - SUMIF($F$1:$F1205, F1206, $H$1:$H1205))
</f>
        <v/>
      </c>
      <c r="I1206" s="26"/>
      <c r="J1206" s="26" t="s">
        <v>77</v>
      </c>
      <c r="L1206" s="27" t="s">
        <v>77</v>
      </c>
      <c r="N1206" s="28" t="s">
        <v>77</v>
      </c>
      <c r="Q1206" s="30"/>
    </row>
    <row r="1207">
      <c r="B1207" s="6"/>
      <c r="C1207" s="33" t="str">
        <f t="array" ref="C1207">IF(B1207="", "", XLOOKUP(B1207, Inventory!D:D,Inventory!E:E,"No Name Found"))</f>
        <v/>
      </c>
      <c r="D1207" s="6"/>
      <c r="E1207" s="6"/>
      <c r="F1207" s="6"/>
      <c r="G1207" s="24" t="str">
        <f>IF(F1207="", "", VLOOKUP(F1207, Inventory!A:BZ, 3, FALSE) - SUMIF($F$1:$F1206, F1207, $H$1:$H1206))
</f>
        <v/>
      </c>
      <c r="I1207" s="26"/>
      <c r="J1207" s="26" t="s">
        <v>77</v>
      </c>
      <c r="L1207" s="27" t="s">
        <v>77</v>
      </c>
      <c r="N1207" s="28" t="s">
        <v>77</v>
      </c>
      <c r="Q1207" s="30"/>
    </row>
    <row r="1208">
      <c r="B1208" s="6"/>
      <c r="C1208" s="33" t="str">
        <f t="array" ref="C1208">IF(B1208="", "", XLOOKUP(B1208, Inventory!D:D,Inventory!E:E,"No Name Found"))</f>
        <v/>
      </c>
      <c r="D1208" s="6"/>
      <c r="E1208" s="6"/>
      <c r="F1208" s="6"/>
      <c r="G1208" s="24" t="str">
        <f>IF(F1208="", "", VLOOKUP(F1208, Inventory!A:BZ, 3, FALSE) - SUMIF($F$1:$F1207, F1208, $H$1:$H1207))
</f>
        <v/>
      </c>
      <c r="I1208" s="26"/>
      <c r="J1208" s="26" t="s">
        <v>77</v>
      </c>
      <c r="L1208" s="27" t="s">
        <v>77</v>
      </c>
      <c r="N1208" s="28" t="s">
        <v>77</v>
      </c>
      <c r="Q1208" s="30"/>
    </row>
    <row r="1209">
      <c r="B1209" s="6"/>
      <c r="C1209" s="33" t="str">
        <f t="array" ref="C1209">IF(B1209="", "", XLOOKUP(B1209, Inventory!D:D,Inventory!E:E,"No Name Found"))</f>
        <v/>
      </c>
      <c r="D1209" s="6"/>
      <c r="E1209" s="6"/>
      <c r="F1209" s="6"/>
      <c r="G1209" s="24" t="str">
        <f>IF(F1209="", "", VLOOKUP(F1209, Inventory!A:BZ, 3, FALSE) - SUMIF($F$1:$F1208, F1209, $H$1:$H1208))
</f>
        <v/>
      </c>
      <c r="I1209" s="26"/>
      <c r="J1209" s="26" t="s">
        <v>77</v>
      </c>
      <c r="L1209" s="27" t="s">
        <v>77</v>
      </c>
      <c r="N1209" s="28" t="s">
        <v>77</v>
      </c>
      <c r="Q1209" s="30"/>
    </row>
    <row r="1210">
      <c r="B1210" s="6"/>
      <c r="C1210" s="33" t="str">
        <f t="array" ref="C1210">IF(B1210="", "", XLOOKUP(B1210, Inventory!D:D,Inventory!E:E,"No Name Found"))</f>
        <v/>
      </c>
      <c r="D1210" s="6"/>
      <c r="E1210" s="6"/>
      <c r="F1210" s="6"/>
      <c r="G1210" s="24" t="str">
        <f>IF(F1210="", "", VLOOKUP(F1210, Inventory!A:BZ, 3, FALSE) - SUMIF($F$1:$F1209, F1210, $H$1:$H1209))
</f>
        <v/>
      </c>
      <c r="I1210" s="26"/>
      <c r="J1210" s="26" t="s">
        <v>77</v>
      </c>
      <c r="L1210" s="27" t="s">
        <v>77</v>
      </c>
      <c r="N1210" s="28" t="s">
        <v>77</v>
      </c>
      <c r="Q1210" s="30"/>
    </row>
    <row r="1211">
      <c r="B1211" s="6"/>
      <c r="C1211" s="33" t="str">
        <f t="array" ref="C1211">IF(B1211="", "", XLOOKUP(B1211, Inventory!D:D,Inventory!E:E,"No Name Found"))</f>
        <v/>
      </c>
      <c r="D1211" s="6"/>
      <c r="E1211" s="6"/>
      <c r="F1211" s="6"/>
      <c r="G1211" s="24" t="str">
        <f>IF(F1211="", "", VLOOKUP(F1211, Inventory!A:BZ, 3, FALSE) - SUMIF($F$1:$F1210, F1211, $H$1:$H1210))
</f>
        <v/>
      </c>
      <c r="I1211" s="26"/>
      <c r="J1211" s="26" t="s">
        <v>77</v>
      </c>
      <c r="L1211" s="27" t="s">
        <v>77</v>
      </c>
      <c r="N1211" s="28" t="s">
        <v>77</v>
      </c>
      <c r="Q1211" s="30"/>
    </row>
    <row r="1212">
      <c r="B1212" s="6"/>
      <c r="C1212" s="33" t="str">
        <f t="array" ref="C1212">IF(B1212="", "", XLOOKUP(B1212, Inventory!D:D,Inventory!E:E,"No Name Found"))</f>
        <v/>
      </c>
      <c r="D1212" s="6"/>
      <c r="E1212" s="6"/>
      <c r="F1212" s="6"/>
      <c r="G1212" s="24" t="str">
        <f>IF(F1212="", "", VLOOKUP(F1212, Inventory!A:BZ, 3, FALSE) - SUMIF($F$1:$F1211, F1212, $H$1:$H1211))
</f>
        <v/>
      </c>
      <c r="I1212" s="26"/>
      <c r="J1212" s="26" t="s">
        <v>77</v>
      </c>
      <c r="L1212" s="27" t="s">
        <v>77</v>
      </c>
      <c r="N1212" s="28" t="s">
        <v>77</v>
      </c>
      <c r="Q1212" s="30"/>
    </row>
    <row r="1213">
      <c r="B1213" s="6"/>
      <c r="C1213" s="33" t="str">
        <f t="array" ref="C1213">IF(B1213="", "", XLOOKUP(B1213, Inventory!D:D,Inventory!E:E,"No Name Found"))</f>
        <v/>
      </c>
      <c r="D1213" s="6"/>
      <c r="E1213" s="6"/>
      <c r="F1213" s="6"/>
      <c r="G1213" s="24" t="str">
        <f>IF(F1213="", "", VLOOKUP(F1213, Inventory!A:BZ, 3, FALSE) - SUMIF($F$1:$F1212, F1213, $H$1:$H1212))
</f>
        <v/>
      </c>
      <c r="I1213" s="26"/>
      <c r="J1213" s="26" t="s">
        <v>77</v>
      </c>
      <c r="L1213" s="27" t="s">
        <v>77</v>
      </c>
      <c r="N1213" s="28" t="s">
        <v>77</v>
      </c>
      <c r="Q1213" s="30"/>
    </row>
    <row r="1214">
      <c r="B1214" s="6"/>
      <c r="C1214" s="33" t="str">
        <f t="array" ref="C1214">IF(B1214="", "", XLOOKUP(B1214, Inventory!D:D,Inventory!E:E,"No Name Found"))</f>
        <v/>
      </c>
      <c r="D1214" s="6"/>
      <c r="E1214" s="6"/>
      <c r="F1214" s="6"/>
      <c r="G1214" s="24" t="str">
        <f>IF(F1214="", "", VLOOKUP(F1214, Inventory!A:BZ, 3, FALSE) - SUMIF($F$1:$F1213, F1214, $H$1:$H1213))
</f>
        <v/>
      </c>
      <c r="I1214" s="26"/>
      <c r="J1214" s="26" t="s">
        <v>77</v>
      </c>
      <c r="L1214" s="27" t="s">
        <v>77</v>
      </c>
      <c r="N1214" s="28" t="s">
        <v>77</v>
      </c>
      <c r="Q1214" s="30"/>
    </row>
    <row r="1215">
      <c r="B1215" s="6"/>
      <c r="C1215" s="33" t="str">
        <f t="array" ref="C1215">IF(B1215="", "", XLOOKUP(B1215, Inventory!D:D,Inventory!E:E,"No Name Found"))</f>
        <v/>
      </c>
      <c r="D1215" s="6"/>
      <c r="E1215" s="6"/>
      <c r="F1215" s="6"/>
      <c r="G1215" s="24" t="str">
        <f>IF(F1215="", "", VLOOKUP(F1215, Inventory!A:BZ, 3, FALSE) - SUMIF($F$1:$F1214, F1215, $H$1:$H1214))
</f>
        <v/>
      </c>
      <c r="I1215" s="26"/>
      <c r="J1215" s="26" t="s">
        <v>77</v>
      </c>
      <c r="L1215" s="27" t="s">
        <v>77</v>
      </c>
      <c r="N1215" s="28" t="s">
        <v>77</v>
      </c>
      <c r="Q1215" s="30"/>
    </row>
    <row r="1216">
      <c r="B1216" s="6"/>
      <c r="C1216" s="33" t="str">
        <f t="array" ref="C1216">IF(B1216="", "", XLOOKUP(B1216, Inventory!D:D,Inventory!E:E,"No Name Found"))</f>
        <v/>
      </c>
      <c r="D1216" s="6"/>
      <c r="E1216" s="6"/>
      <c r="F1216" s="6"/>
      <c r="G1216" s="24" t="str">
        <f>IF(F1216="", "", VLOOKUP(F1216, Inventory!A:BZ, 3, FALSE) - SUMIF($F$1:$F1215, F1216, $H$1:$H1215))
</f>
        <v/>
      </c>
      <c r="I1216" s="26"/>
      <c r="J1216" s="26" t="s">
        <v>77</v>
      </c>
      <c r="L1216" s="27" t="s">
        <v>77</v>
      </c>
      <c r="N1216" s="28" t="s">
        <v>77</v>
      </c>
      <c r="Q1216" s="30"/>
    </row>
    <row r="1217">
      <c r="B1217" s="6"/>
      <c r="C1217" s="33" t="str">
        <f t="array" ref="C1217">IF(B1217="", "", XLOOKUP(B1217, Inventory!D:D,Inventory!E:E,"No Name Found"))</f>
        <v/>
      </c>
      <c r="D1217" s="6"/>
      <c r="E1217" s="6"/>
      <c r="F1217" s="6"/>
      <c r="G1217" s="24" t="str">
        <f>IF(F1217="", "", VLOOKUP(F1217, Inventory!A:BZ, 3, FALSE) - SUMIF($F$1:$F1216, F1217, $H$1:$H1216))
</f>
        <v/>
      </c>
      <c r="I1217" s="26"/>
      <c r="J1217" s="26" t="s">
        <v>77</v>
      </c>
      <c r="L1217" s="27" t="s">
        <v>77</v>
      </c>
      <c r="N1217" s="28" t="s">
        <v>77</v>
      </c>
      <c r="Q1217" s="30"/>
    </row>
    <row r="1218">
      <c r="B1218" s="6"/>
      <c r="C1218" s="33" t="str">
        <f t="array" ref="C1218">IF(B1218="", "", XLOOKUP(B1218, Inventory!D:D,Inventory!E:E,"No Name Found"))</f>
        <v/>
      </c>
      <c r="D1218" s="6"/>
      <c r="E1218" s="6"/>
      <c r="F1218" s="6"/>
      <c r="G1218" s="24" t="str">
        <f>IF(F1218="", "", VLOOKUP(F1218, Inventory!A:BZ, 3, FALSE) - SUMIF($F$1:$F1217, F1218, $H$1:$H1217))
</f>
        <v/>
      </c>
      <c r="I1218" s="26"/>
      <c r="J1218" s="26" t="s">
        <v>77</v>
      </c>
      <c r="L1218" s="27" t="s">
        <v>77</v>
      </c>
      <c r="N1218" s="28" t="s">
        <v>77</v>
      </c>
      <c r="Q1218" s="30"/>
    </row>
    <row r="1219">
      <c r="B1219" s="6"/>
      <c r="C1219" s="33" t="str">
        <f t="array" ref="C1219">IF(B1219="", "", XLOOKUP(B1219, Inventory!D:D,Inventory!E:E,"No Name Found"))</f>
        <v/>
      </c>
      <c r="D1219" s="6"/>
      <c r="E1219" s="6"/>
      <c r="F1219" s="6"/>
      <c r="G1219" s="24" t="str">
        <f>IF(F1219="", "", VLOOKUP(F1219, Inventory!A:BZ, 3, FALSE) - SUMIF($F$1:$F1218, F1219, $H$1:$H1218))
</f>
        <v/>
      </c>
      <c r="I1219" s="26"/>
      <c r="J1219" s="26" t="s">
        <v>77</v>
      </c>
      <c r="L1219" s="27" t="s">
        <v>77</v>
      </c>
      <c r="N1219" s="28" t="s">
        <v>77</v>
      </c>
      <c r="Q1219" s="30"/>
    </row>
    <row r="1220">
      <c r="B1220" s="6"/>
      <c r="C1220" s="33" t="str">
        <f t="array" ref="C1220">IF(B1220="", "", XLOOKUP(B1220, Inventory!D:D,Inventory!E:E,"No Name Found"))</f>
        <v/>
      </c>
      <c r="D1220" s="6"/>
      <c r="E1220" s="6"/>
      <c r="F1220" s="6"/>
      <c r="G1220" s="24" t="str">
        <f>IF(F1220="", "", VLOOKUP(F1220, Inventory!A:BZ, 3, FALSE) - SUMIF($F$1:$F1219, F1220, $H$1:$H1219))
</f>
        <v/>
      </c>
      <c r="I1220" s="26"/>
      <c r="J1220" s="26" t="s">
        <v>77</v>
      </c>
      <c r="L1220" s="27" t="s">
        <v>77</v>
      </c>
      <c r="N1220" s="28" t="s">
        <v>77</v>
      </c>
      <c r="Q1220" s="30"/>
    </row>
    <row r="1221">
      <c r="B1221" s="6"/>
      <c r="C1221" s="33" t="str">
        <f t="array" ref="C1221">IF(B1221="", "", XLOOKUP(B1221, Inventory!D:D,Inventory!E:E,"No Name Found"))</f>
        <v/>
      </c>
      <c r="D1221" s="6"/>
      <c r="E1221" s="6"/>
      <c r="F1221" s="6"/>
      <c r="G1221" s="24" t="str">
        <f>IF(F1221="", "", VLOOKUP(F1221, Inventory!A:BZ, 3, FALSE) - SUMIF($F$1:$F1220, F1221, $H$1:$H1220))
</f>
        <v/>
      </c>
      <c r="I1221" s="26"/>
      <c r="J1221" s="26" t="s">
        <v>77</v>
      </c>
      <c r="L1221" s="27" t="s">
        <v>77</v>
      </c>
      <c r="N1221" s="28" t="s">
        <v>77</v>
      </c>
      <c r="Q1221" s="30"/>
    </row>
    <row r="1222">
      <c r="B1222" s="6"/>
      <c r="C1222" s="33" t="str">
        <f t="array" ref="C1222">IF(B1222="", "", XLOOKUP(B1222, Inventory!D:D,Inventory!E:E,"No Name Found"))</f>
        <v/>
      </c>
      <c r="D1222" s="6"/>
      <c r="E1222" s="6"/>
      <c r="F1222" s="6"/>
      <c r="G1222" s="24" t="str">
        <f>IF(F1222="", "", VLOOKUP(F1222, Inventory!A:BZ, 3, FALSE) - SUMIF($F$1:$F1221, F1222, $H$1:$H1221))
</f>
        <v/>
      </c>
      <c r="I1222" s="26"/>
      <c r="J1222" s="26" t="s">
        <v>77</v>
      </c>
      <c r="L1222" s="27" t="s">
        <v>77</v>
      </c>
      <c r="N1222" s="28" t="s">
        <v>77</v>
      </c>
      <c r="Q1222" s="30"/>
    </row>
    <row r="1223">
      <c r="B1223" s="6"/>
      <c r="C1223" s="33" t="str">
        <f t="array" ref="C1223">IF(B1223="", "", XLOOKUP(B1223, Inventory!D:D,Inventory!E:E,"No Name Found"))</f>
        <v/>
      </c>
      <c r="D1223" s="6"/>
      <c r="E1223" s="6"/>
      <c r="F1223" s="6"/>
      <c r="G1223" s="24" t="str">
        <f>IF(F1223="", "", VLOOKUP(F1223, Inventory!A:BZ, 3, FALSE) - SUMIF($F$1:$F1222, F1223, $H$1:$H1222))
</f>
        <v/>
      </c>
      <c r="I1223" s="26"/>
      <c r="J1223" s="26" t="s">
        <v>77</v>
      </c>
      <c r="L1223" s="27" t="s">
        <v>77</v>
      </c>
      <c r="N1223" s="28" t="s">
        <v>77</v>
      </c>
      <c r="Q1223" s="30"/>
    </row>
    <row r="1224">
      <c r="B1224" s="6"/>
      <c r="C1224" s="33" t="str">
        <f t="array" ref="C1224">IF(B1224="", "", XLOOKUP(B1224, Inventory!D:D,Inventory!E:E,"No Name Found"))</f>
        <v/>
      </c>
      <c r="D1224" s="6"/>
      <c r="E1224" s="6"/>
      <c r="F1224" s="6"/>
      <c r="G1224" s="24" t="str">
        <f>IF(F1224="", "", VLOOKUP(F1224, Inventory!A:BZ, 3, FALSE) - SUMIF($F$1:$F1223, F1224, $H$1:$H1223))
</f>
        <v/>
      </c>
      <c r="I1224" s="26"/>
      <c r="J1224" s="26" t="s">
        <v>77</v>
      </c>
      <c r="L1224" s="27" t="s">
        <v>77</v>
      </c>
      <c r="N1224" s="28" t="s">
        <v>77</v>
      </c>
      <c r="Q1224" s="30"/>
    </row>
    <row r="1225">
      <c r="B1225" s="6"/>
      <c r="C1225" s="33" t="str">
        <f t="array" ref="C1225">IF(B1225="", "", XLOOKUP(B1225, Inventory!D:D,Inventory!E:E,"No Name Found"))</f>
        <v/>
      </c>
      <c r="D1225" s="6"/>
      <c r="E1225" s="6"/>
      <c r="F1225" s="6"/>
      <c r="G1225" s="24" t="str">
        <f>IF(F1225="", "", VLOOKUP(F1225, Inventory!A:BZ, 3, FALSE) - SUMIF($F$1:$F1224, F1225, $H$1:$H1224))
</f>
        <v/>
      </c>
      <c r="I1225" s="26"/>
      <c r="J1225" s="26" t="s">
        <v>77</v>
      </c>
      <c r="L1225" s="27" t="s">
        <v>77</v>
      </c>
      <c r="N1225" s="28" t="s">
        <v>77</v>
      </c>
      <c r="Q1225" s="30"/>
    </row>
    <row r="1226">
      <c r="B1226" s="6"/>
      <c r="C1226" s="33" t="str">
        <f t="array" ref="C1226">IF(B1226="", "", XLOOKUP(B1226, Inventory!D:D,Inventory!E:E,"No Name Found"))</f>
        <v/>
      </c>
      <c r="D1226" s="6"/>
      <c r="E1226" s="6"/>
      <c r="F1226" s="6"/>
      <c r="G1226" s="24" t="str">
        <f>IF(F1226="", "", VLOOKUP(F1226, Inventory!A:BZ, 3, FALSE) - SUMIF($F$1:$F1225, F1226, $H$1:$H1225))
</f>
        <v/>
      </c>
      <c r="I1226" s="26"/>
      <c r="J1226" s="26" t="s">
        <v>77</v>
      </c>
      <c r="L1226" s="27" t="s">
        <v>77</v>
      </c>
      <c r="N1226" s="28" t="s">
        <v>77</v>
      </c>
      <c r="Q1226" s="30"/>
    </row>
    <row r="1227">
      <c r="B1227" s="6"/>
      <c r="C1227" s="33" t="str">
        <f t="array" ref="C1227">IF(B1227="", "", XLOOKUP(B1227, Inventory!D:D,Inventory!E:E,"No Name Found"))</f>
        <v/>
      </c>
      <c r="D1227" s="6"/>
      <c r="E1227" s="6"/>
      <c r="F1227" s="6"/>
      <c r="G1227" s="24" t="str">
        <f>IF(F1227="", "", VLOOKUP(F1227, Inventory!A:BZ, 3, FALSE) - SUMIF($F$1:$F1226, F1227, $H$1:$H1226))
</f>
        <v/>
      </c>
      <c r="I1227" s="26"/>
      <c r="J1227" s="26" t="s">
        <v>77</v>
      </c>
      <c r="L1227" s="27" t="s">
        <v>77</v>
      </c>
      <c r="N1227" s="28" t="s">
        <v>77</v>
      </c>
      <c r="Q1227" s="30"/>
    </row>
    <row r="1228">
      <c r="B1228" s="6"/>
      <c r="C1228" s="33" t="str">
        <f t="array" ref="C1228">IF(B1228="", "", XLOOKUP(B1228, Inventory!D:D,Inventory!E:E,"No Name Found"))</f>
        <v/>
      </c>
      <c r="D1228" s="6"/>
      <c r="E1228" s="6"/>
      <c r="F1228" s="6"/>
      <c r="G1228" s="24" t="str">
        <f>IF(F1228="", "", VLOOKUP(F1228, Inventory!A:BZ, 3, FALSE) - SUMIF($F$1:$F1227, F1228, $H$1:$H1227))
</f>
        <v/>
      </c>
      <c r="I1228" s="26"/>
      <c r="J1228" s="26" t="s">
        <v>77</v>
      </c>
      <c r="L1228" s="27" t="s">
        <v>77</v>
      </c>
      <c r="N1228" s="28" t="s">
        <v>77</v>
      </c>
      <c r="Q1228" s="30"/>
    </row>
    <row r="1229">
      <c r="B1229" s="6"/>
      <c r="C1229" s="33" t="str">
        <f t="array" ref="C1229">IF(B1229="", "", XLOOKUP(B1229, Inventory!D:D,Inventory!E:E,"No Name Found"))</f>
        <v/>
      </c>
      <c r="D1229" s="6"/>
      <c r="E1229" s="6"/>
      <c r="F1229" s="6"/>
      <c r="G1229" s="24" t="str">
        <f>IF(F1229="", "", VLOOKUP(F1229, Inventory!A:BZ, 3, FALSE) - SUMIF($F$1:$F1228, F1229, $H$1:$H1228))
</f>
        <v/>
      </c>
      <c r="I1229" s="26"/>
      <c r="J1229" s="26" t="s">
        <v>77</v>
      </c>
      <c r="L1229" s="27" t="s">
        <v>77</v>
      </c>
      <c r="N1229" s="28" t="s">
        <v>77</v>
      </c>
      <c r="Q1229" s="30"/>
    </row>
    <row r="1230">
      <c r="B1230" s="6"/>
      <c r="C1230" s="33" t="str">
        <f t="array" ref="C1230">IF(B1230="", "", XLOOKUP(B1230, Inventory!D:D,Inventory!E:E,"No Name Found"))</f>
        <v/>
      </c>
      <c r="D1230" s="6"/>
      <c r="E1230" s="6"/>
      <c r="F1230" s="6"/>
      <c r="G1230" s="24" t="str">
        <f>IF(F1230="", "", VLOOKUP(F1230, Inventory!A:BZ, 3, FALSE) - SUMIF($F$1:$F1229, F1230, $H$1:$H1229))
</f>
        <v/>
      </c>
      <c r="I1230" s="26"/>
      <c r="J1230" s="26" t="s">
        <v>77</v>
      </c>
      <c r="L1230" s="27" t="s">
        <v>77</v>
      </c>
      <c r="N1230" s="28" t="s">
        <v>77</v>
      </c>
      <c r="Q1230" s="30"/>
    </row>
    <row r="1231">
      <c r="B1231" s="6"/>
      <c r="C1231" s="33" t="str">
        <f t="array" ref="C1231">IF(B1231="", "", XLOOKUP(B1231, Inventory!D:D,Inventory!E:E,"No Name Found"))</f>
        <v/>
      </c>
      <c r="D1231" s="6"/>
      <c r="E1231" s="6"/>
      <c r="F1231" s="6"/>
      <c r="G1231" s="24" t="str">
        <f>IF(F1231="", "", VLOOKUP(F1231, Inventory!A:BZ, 3, FALSE) - SUMIF($F$1:$F1230, F1231, $H$1:$H1230))
</f>
        <v/>
      </c>
      <c r="I1231" s="26"/>
      <c r="J1231" s="26" t="s">
        <v>77</v>
      </c>
      <c r="L1231" s="27" t="s">
        <v>77</v>
      </c>
      <c r="N1231" s="28" t="s">
        <v>77</v>
      </c>
      <c r="Q1231" s="30"/>
    </row>
    <row r="1232">
      <c r="B1232" s="6"/>
      <c r="C1232" s="33" t="str">
        <f t="array" ref="C1232">IF(B1232="", "", XLOOKUP(B1232, Inventory!D:D,Inventory!E:E,"No Name Found"))</f>
        <v/>
      </c>
      <c r="D1232" s="6"/>
      <c r="E1232" s="6"/>
      <c r="F1232" s="6"/>
      <c r="G1232" s="24" t="str">
        <f>IF(F1232="", "", VLOOKUP(F1232, Inventory!A:BZ, 3, FALSE) - SUMIF($F$1:$F1231, F1232, $H$1:$H1231))
</f>
        <v/>
      </c>
      <c r="I1232" s="26"/>
      <c r="J1232" s="26" t="s">
        <v>77</v>
      </c>
      <c r="L1232" s="27" t="s">
        <v>77</v>
      </c>
      <c r="N1232" s="28" t="s">
        <v>77</v>
      </c>
      <c r="Q1232" s="30"/>
    </row>
    <row r="1233">
      <c r="B1233" s="6"/>
      <c r="C1233" s="33" t="str">
        <f t="array" ref="C1233">IF(B1233="", "", XLOOKUP(B1233, Inventory!D:D,Inventory!E:E,"No Name Found"))</f>
        <v/>
      </c>
      <c r="D1233" s="6"/>
      <c r="E1233" s="6"/>
      <c r="F1233" s="6"/>
      <c r="G1233" s="24" t="str">
        <f>IF(F1233="", "", VLOOKUP(F1233, Inventory!A:BZ, 3, FALSE) - SUMIF($F$1:$F1232, F1233, $H$1:$H1232))
</f>
        <v/>
      </c>
      <c r="I1233" s="26"/>
      <c r="J1233" s="26" t="s">
        <v>77</v>
      </c>
      <c r="L1233" s="27" t="s">
        <v>77</v>
      </c>
      <c r="N1233" s="28" t="s">
        <v>77</v>
      </c>
      <c r="Q1233" s="30"/>
    </row>
    <row r="1234">
      <c r="B1234" s="6"/>
      <c r="C1234" s="33" t="str">
        <f t="array" ref="C1234">IF(B1234="", "", XLOOKUP(B1234, Inventory!D:D,Inventory!E:E,"No Name Found"))</f>
        <v/>
      </c>
      <c r="D1234" s="6"/>
      <c r="E1234" s="6"/>
      <c r="F1234" s="6"/>
      <c r="G1234" s="24" t="str">
        <f>IF(F1234="", "", VLOOKUP(F1234, Inventory!A:BZ, 3, FALSE) - SUMIF($F$1:$F1233, F1234, $H$1:$H1233))
</f>
        <v/>
      </c>
      <c r="I1234" s="26"/>
      <c r="J1234" s="26" t="s">
        <v>77</v>
      </c>
      <c r="L1234" s="27" t="s">
        <v>77</v>
      </c>
      <c r="N1234" s="28" t="s">
        <v>77</v>
      </c>
      <c r="Q1234" s="30"/>
    </row>
    <row r="1235">
      <c r="B1235" s="6"/>
      <c r="C1235" s="33" t="str">
        <f t="array" ref="C1235">IF(B1235="", "", XLOOKUP(B1235, Inventory!D:D,Inventory!E:E,"No Name Found"))</f>
        <v/>
      </c>
      <c r="D1235" s="6"/>
      <c r="E1235" s="6"/>
      <c r="F1235" s="6"/>
      <c r="G1235" s="24" t="str">
        <f>IF(F1235="", "", VLOOKUP(F1235, Inventory!A:BZ, 3, FALSE) - SUMIF($F$1:$F1234, F1235, $H$1:$H1234))
</f>
        <v/>
      </c>
      <c r="I1235" s="26"/>
      <c r="J1235" s="26" t="s">
        <v>77</v>
      </c>
      <c r="L1235" s="27" t="s">
        <v>77</v>
      </c>
      <c r="N1235" s="28" t="s">
        <v>77</v>
      </c>
      <c r="Q1235" s="30"/>
    </row>
    <row r="1236">
      <c r="B1236" s="6"/>
      <c r="C1236" s="33" t="str">
        <f t="array" ref="C1236">IF(B1236="", "", XLOOKUP(B1236, Inventory!D:D,Inventory!E:E,"No Name Found"))</f>
        <v/>
      </c>
      <c r="D1236" s="6"/>
      <c r="E1236" s="6"/>
      <c r="F1236" s="6"/>
      <c r="G1236" s="24" t="str">
        <f>IF(F1236="", "", VLOOKUP(F1236, Inventory!A:BZ, 3, FALSE) - SUMIF($F$1:$F1235, F1236, $H$1:$H1235))
</f>
        <v/>
      </c>
      <c r="I1236" s="26"/>
      <c r="J1236" s="26" t="s">
        <v>77</v>
      </c>
      <c r="L1236" s="27" t="s">
        <v>77</v>
      </c>
      <c r="N1236" s="28" t="s">
        <v>77</v>
      </c>
      <c r="Q1236" s="30"/>
    </row>
    <row r="1237">
      <c r="B1237" s="6"/>
      <c r="C1237" s="33" t="str">
        <f t="array" ref="C1237">IF(B1237="", "", XLOOKUP(B1237, Inventory!D:D,Inventory!E:E,"No Name Found"))</f>
        <v/>
      </c>
      <c r="D1237" s="6"/>
      <c r="E1237" s="6"/>
      <c r="F1237" s="6"/>
      <c r="G1237" s="24" t="str">
        <f>IF(F1237="", "", VLOOKUP(F1237, Inventory!A:BZ, 3, FALSE) - SUMIF($F$1:$F1236, F1237, $H$1:$H1236))
</f>
        <v/>
      </c>
      <c r="I1237" s="26"/>
      <c r="J1237" s="26" t="s">
        <v>77</v>
      </c>
      <c r="L1237" s="27" t="s">
        <v>77</v>
      </c>
      <c r="N1237" s="28" t="s">
        <v>77</v>
      </c>
      <c r="Q1237" s="30"/>
    </row>
    <row r="1238">
      <c r="B1238" s="6"/>
      <c r="C1238" s="33" t="str">
        <f t="array" ref="C1238">IF(B1238="", "", XLOOKUP(B1238, Inventory!D:D,Inventory!E:E,"No Name Found"))</f>
        <v/>
      </c>
      <c r="D1238" s="6"/>
      <c r="E1238" s="6"/>
      <c r="F1238" s="6"/>
      <c r="G1238" s="24" t="str">
        <f>IF(F1238="", "", VLOOKUP(F1238, Inventory!A:BZ, 3, FALSE) - SUMIF($F$1:$F1237, F1238, $H$1:$H1237))
</f>
        <v/>
      </c>
      <c r="I1238" s="26"/>
      <c r="J1238" s="26" t="s">
        <v>77</v>
      </c>
      <c r="L1238" s="27" t="s">
        <v>77</v>
      </c>
      <c r="N1238" s="28" t="s">
        <v>77</v>
      </c>
      <c r="Q1238" s="30"/>
    </row>
    <row r="1239">
      <c r="B1239" s="6"/>
      <c r="C1239" s="33" t="str">
        <f t="array" ref="C1239">IF(B1239="", "", XLOOKUP(B1239, Inventory!D:D,Inventory!E:E,"No Name Found"))</f>
        <v/>
      </c>
      <c r="D1239" s="6"/>
      <c r="E1239" s="6"/>
      <c r="F1239" s="6"/>
      <c r="G1239" s="24" t="str">
        <f>IF(F1239="", "", VLOOKUP(F1239, Inventory!A:BZ, 3, FALSE) - SUMIF($F$1:$F1238, F1239, $H$1:$H1238))
</f>
        <v/>
      </c>
      <c r="I1239" s="26"/>
      <c r="J1239" s="26" t="s">
        <v>77</v>
      </c>
      <c r="L1239" s="27" t="s">
        <v>77</v>
      </c>
      <c r="N1239" s="28" t="s">
        <v>77</v>
      </c>
      <c r="Q1239" s="30"/>
    </row>
    <row r="1240">
      <c r="B1240" s="6"/>
      <c r="C1240" s="33" t="str">
        <f t="array" ref="C1240">IF(B1240="", "", XLOOKUP(B1240, Inventory!D:D,Inventory!E:E,"No Name Found"))</f>
        <v/>
      </c>
      <c r="D1240" s="6"/>
      <c r="E1240" s="6"/>
      <c r="F1240" s="6"/>
      <c r="G1240" s="24" t="str">
        <f>IF(F1240="", "", VLOOKUP(F1240, Inventory!A:BZ, 3, FALSE) - SUMIF($F$1:$F1239, F1240, $H$1:$H1239))
</f>
        <v/>
      </c>
      <c r="I1240" s="26"/>
      <c r="J1240" s="26" t="s">
        <v>77</v>
      </c>
      <c r="L1240" s="27" t="s">
        <v>77</v>
      </c>
      <c r="N1240" s="28" t="s">
        <v>77</v>
      </c>
      <c r="Q1240" s="30"/>
    </row>
    <row r="1241">
      <c r="B1241" s="6"/>
      <c r="C1241" s="33" t="str">
        <f t="array" ref="C1241">IF(B1241="", "", XLOOKUP(B1241, Inventory!D:D,Inventory!E:E,"No Name Found"))</f>
        <v/>
      </c>
      <c r="D1241" s="6"/>
      <c r="E1241" s="6"/>
      <c r="F1241" s="6"/>
      <c r="G1241" s="24" t="str">
        <f>IF(F1241="", "", VLOOKUP(F1241, Inventory!A:BZ, 3, FALSE) - SUMIF($F$1:$F1240, F1241, $H$1:$H1240))
</f>
        <v/>
      </c>
      <c r="I1241" s="26"/>
      <c r="J1241" s="26" t="s">
        <v>77</v>
      </c>
      <c r="L1241" s="27" t="s">
        <v>77</v>
      </c>
      <c r="N1241" s="28" t="s">
        <v>77</v>
      </c>
      <c r="Q1241" s="30"/>
    </row>
    <row r="1242">
      <c r="B1242" s="6"/>
      <c r="C1242" s="33" t="str">
        <f t="array" ref="C1242">IF(B1242="", "", XLOOKUP(B1242, Inventory!D:D,Inventory!E:E,"No Name Found"))</f>
        <v/>
      </c>
      <c r="D1242" s="6"/>
      <c r="E1242" s="6"/>
      <c r="F1242" s="6"/>
      <c r="G1242" s="24" t="str">
        <f>IF(F1242="", "", VLOOKUP(F1242, Inventory!A:BZ, 3, FALSE) - SUMIF($F$1:$F1241, F1242, $H$1:$H1241))
</f>
        <v/>
      </c>
      <c r="I1242" s="26"/>
      <c r="J1242" s="26" t="s">
        <v>77</v>
      </c>
      <c r="L1242" s="27" t="s">
        <v>77</v>
      </c>
      <c r="N1242" s="28" t="s">
        <v>77</v>
      </c>
      <c r="Q1242" s="30"/>
    </row>
    <row r="1243">
      <c r="B1243" s="6"/>
      <c r="C1243" s="33" t="str">
        <f t="array" ref="C1243">IF(B1243="", "", XLOOKUP(B1243, Inventory!D:D,Inventory!E:E,"No Name Found"))</f>
        <v/>
      </c>
      <c r="D1243" s="6"/>
      <c r="E1243" s="6"/>
      <c r="F1243" s="6"/>
      <c r="G1243" s="24" t="str">
        <f>IF(F1243="", "", VLOOKUP(F1243, Inventory!A:BZ, 3, FALSE) - SUMIF($F$1:$F1242, F1243, $H$1:$H1242))
</f>
        <v/>
      </c>
      <c r="I1243" s="26"/>
      <c r="J1243" s="26" t="s">
        <v>77</v>
      </c>
      <c r="L1243" s="27" t="s">
        <v>77</v>
      </c>
      <c r="N1243" s="28" t="s">
        <v>77</v>
      </c>
      <c r="Q1243" s="30"/>
    </row>
    <row r="1244">
      <c r="B1244" s="6"/>
      <c r="C1244" s="33" t="str">
        <f t="array" ref="C1244">IF(B1244="", "", XLOOKUP(B1244, Inventory!D:D,Inventory!E:E,"No Name Found"))</f>
        <v/>
      </c>
      <c r="D1244" s="6"/>
      <c r="E1244" s="6"/>
      <c r="F1244" s="6"/>
      <c r="G1244" s="24" t="str">
        <f>IF(F1244="", "", VLOOKUP(F1244, Inventory!A:BZ, 3, FALSE) - SUMIF($F$1:$F1243, F1244, $H$1:$H1243))
</f>
        <v/>
      </c>
      <c r="I1244" s="26"/>
      <c r="J1244" s="26" t="s">
        <v>77</v>
      </c>
      <c r="L1244" s="27" t="s">
        <v>77</v>
      </c>
      <c r="N1244" s="28" t="s">
        <v>77</v>
      </c>
      <c r="Q1244" s="30"/>
    </row>
    <row r="1245">
      <c r="B1245" s="6"/>
      <c r="C1245" s="33" t="str">
        <f t="array" ref="C1245">IF(B1245="", "", XLOOKUP(B1245, Inventory!D:D,Inventory!E:E,"No Name Found"))</f>
        <v/>
      </c>
      <c r="D1245" s="6"/>
      <c r="E1245" s="6"/>
      <c r="F1245" s="6"/>
      <c r="G1245" s="24" t="str">
        <f>IF(F1245="", "", VLOOKUP(F1245, Inventory!A:BZ, 3, FALSE) - SUMIF($F$1:$F1244, F1245, $H$1:$H1244))
</f>
        <v/>
      </c>
      <c r="I1245" s="26"/>
      <c r="J1245" s="26" t="s">
        <v>77</v>
      </c>
      <c r="L1245" s="27" t="s">
        <v>77</v>
      </c>
      <c r="N1245" s="28" t="s">
        <v>77</v>
      </c>
      <c r="Q1245" s="30"/>
    </row>
    <row r="1246">
      <c r="B1246" s="6"/>
      <c r="C1246" s="33" t="str">
        <f t="array" ref="C1246">IF(B1246="", "", XLOOKUP(B1246, Inventory!D:D,Inventory!E:E,"No Name Found"))</f>
        <v/>
      </c>
      <c r="D1246" s="6"/>
      <c r="E1246" s="6"/>
      <c r="F1246" s="6"/>
      <c r="G1246" s="24" t="str">
        <f>IF(F1246="", "", VLOOKUP(F1246, Inventory!A:BZ, 3, FALSE) - SUMIF($F$1:$F1245, F1246, $H$1:$H1245))
</f>
        <v/>
      </c>
      <c r="I1246" s="26"/>
      <c r="J1246" s="26" t="s">
        <v>77</v>
      </c>
      <c r="L1246" s="27" t="s">
        <v>77</v>
      </c>
      <c r="N1246" s="28" t="s">
        <v>77</v>
      </c>
      <c r="Q1246" s="30"/>
    </row>
    <row r="1247">
      <c r="B1247" s="6"/>
      <c r="C1247" s="33" t="str">
        <f t="array" ref="C1247">IF(B1247="", "", XLOOKUP(B1247, Inventory!D:D,Inventory!E:E,"No Name Found"))</f>
        <v/>
      </c>
      <c r="D1247" s="6"/>
      <c r="E1247" s="6"/>
      <c r="F1247" s="6"/>
      <c r="G1247" s="24" t="str">
        <f>IF(F1247="", "", VLOOKUP(F1247, Inventory!A:BZ, 3, FALSE) - SUMIF($F$1:$F1246, F1247, $H$1:$H1246))
</f>
        <v/>
      </c>
      <c r="I1247" s="26"/>
      <c r="J1247" s="26" t="s">
        <v>77</v>
      </c>
      <c r="L1247" s="27" t="s">
        <v>77</v>
      </c>
      <c r="N1247" s="28" t="s">
        <v>77</v>
      </c>
      <c r="Q1247" s="30"/>
    </row>
    <row r="1248">
      <c r="B1248" s="6"/>
      <c r="C1248" s="33" t="str">
        <f t="array" ref="C1248">IF(B1248="", "", XLOOKUP(B1248, Inventory!D:D,Inventory!E:E,"No Name Found"))</f>
        <v/>
      </c>
      <c r="D1248" s="6"/>
      <c r="E1248" s="6"/>
      <c r="F1248" s="6"/>
      <c r="G1248" s="24" t="str">
        <f>IF(F1248="", "", VLOOKUP(F1248, Inventory!A:BZ, 3, FALSE) - SUMIF($F$1:$F1247, F1248, $H$1:$H1247))
</f>
        <v/>
      </c>
      <c r="I1248" s="26"/>
      <c r="J1248" s="26" t="s">
        <v>77</v>
      </c>
      <c r="L1248" s="27" t="s">
        <v>77</v>
      </c>
      <c r="N1248" s="28" t="s">
        <v>77</v>
      </c>
      <c r="Q1248" s="30"/>
    </row>
    <row r="1249">
      <c r="B1249" s="6"/>
      <c r="C1249" s="33" t="str">
        <f t="array" ref="C1249">IF(B1249="", "", XLOOKUP(B1249, Inventory!D:D,Inventory!E:E,"No Name Found"))</f>
        <v/>
      </c>
      <c r="D1249" s="6"/>
      <c r="E1249" s="6"/>
      <c r="F1249" s="6"/>
      <c r="G1249" s="24" t="str">
        <f>IF(F1249="", "", VLOOKUP(F1249, Inventory!A:BZ, 3, FALSE) - SUMIF($F$1:$F1248, F1249, $H$1:$H1248))
</f>
        <v/>
      </c>
      <c r="I1249" s="26"/>
      <c r="J1249" s="26" t="s">
        <v>77</v>
      </c>
      <c r="L1249" s="27" t="s">
        <v>77</v>
      </c>
      <c r="N1249" s="28" t="s">
        <v>77</v>
      </c>
      <c r="Q1249" s="30"/>
    </row>
    <row r="1250">
      <c r="B1250" s="6"/>
      <c r="C1250" s="33" t="str">
        <f t="array" ref="C1250">IF(B1250="", "", XLOOKUP(B1250, Inventory!D:D,Inventory!E:E,"No Name Found"))</f>
        <v/>
      </c>
      <c r="D1250" s="6"/>
      <c r="E1250" s="6"/>
      <c r="F1250" s="6"/>
      <c r="G1250" s="24" t="str">
        <f>IF(F1250="", "", VLOOKUP(F1250, Inventory!A:BZ, 3, FALSE) - SUMIF($F$1:$F1249, F1250, $H$1:$H1249))
</f>
        <v/>
      </c>
      <c r="I1250" s="26"/>
      <c r="J1250" s="26" t="s">
        <v>77</v>
      </c>
      <c r="L1250" s="27" t="s">
        <v>77</v>
      </c>
      <c r="N1250" s="28" t="s">
        <v>77</v>
      </c>
      <c r="Q1250" s="30"/>
    </row>
    <row r="1251">
      <c r="B1251" s="6"/>
      <c r="C1251" s="33" t="str">
        <f t="array" ref="C1251">IF(B1251="", "", XLOOKUP(B1251, Inventory!D:D,Inventory!E:E,"No Name Found"))</f>
        <v/>
      </c>
      <c r="D1251" s="6"/>
      <c r="E1251" s="6"/>
      <c r="F1251" s="6"/>
      <c r="G1251" s="24" t="str">
        <f>IF(F1251="", "", VLOOKUP(F1251, Inventory!A:BZ, 3, FALSE) - SUMIF($F$1:$F1250, F1251, $H$1:$H1250))
</f>
        <v/>
      </c>
      <c r="I1251" s="26"/>
      <c r="J1251" s="26" t="s">
        <v>77</v>
      </c>
      <c r="L1251" s="27" t="s">
        <v>77</v>
      </c>
      <c r="N1251" s="28" t="s">
        <v>77</v>
      </c>
      <c r="Q1251" s="30"/>
    </row>
    <row r="1252">
      <c r="B1252" s="6"/>
      <c r="C1252" s="33" t="str">
        <f t="array" ref="C1252">IF(B1252="", "", XLOOKUP(B1252, Inventory!D:D,Inventory!E:E,"No Name Found"))</f>
        <v/>
      </c>
      <c r="D1252" s="6"/>
      <c r="E1252" s="6"/>
      <c r="F1252" s="6"/>
      <c r="G1252" s="24" t="str">
        <f>IF(F1252="", "", VLOOKUP(F1252, Inventory!A:BZ, 3, FALSE) - SUMIF($F$1:$F1251, F1252, $H$1:$H1251))
</f>
        <v/>
      </c>
      <c r="I1252" s="26"/>
      <c r="J1252" s="26" t="s">
        <v>77</v>
      </c>
      <c r="L1252" s="27" t="s">
        <v>77</v>
      </c>
      <c r="N1252" s="28" t="s">
        <v>77</v>
      </c>
      <c r="Q1252" s="30"/>
    </row>
    <row r="1253">
      <c r="B1253" s="6"/>
      <c r="C1253" s="33" t="str">
        <f t="array" ref="C1253">IF(B1253="", "", XLOOKUP(B1253, Inventory!D:D,Inventory!E:E,"No Name Found"))</f>
        <v/>
      </c>
      <c r="D1253" s="6"/>
      <c r="E1253" s="6"/>
      <c r="F1253" s="6"/>
      <c r="G1253" s="24" t="str">
        <f>IF(F1253="", "", VLOOKUP(F1253, Inventory!A:BZ, 3, FALSE) - SUMIF($F$1:$F1252, F1253, $H$1:$H1252))
</f>
        <v/>
      </c>
      <c r="I1253" s="26"/>
      <c r="J1253" s="26" t="s">
        <v>77</v>
      </c>
      <c r="L1253" s="27" t="s">
        <v>77</v>
      </c>
      <c r="N1253" s="28" t="s">
        <v>77</v>
      </c>
      <c r="Q1253" s="30"/>
    </row>
    <row r="1254">
      <c r="B1254" s="6"/>
      <c r="C1254" s="33" t="str">
        <f t="array" ref="C1254">IF(B1254="", "", XLOOKUP(B1254, Inventory!D:D,Inventory!E:E,"No Name Found"))</f>
        <v/>
      </c>
      <c r="D1254" s="6"/>
      <c r="E1254" s="6"/>
      <c r="F1254" s="6"/>
      <c r="G1254" s="24" t="str">
        <f>IF(F1254="", "", VLOOKUP(F1254, Inventory!A:BZ, 3, FALSE) - SUMIF($F$1:$F1253, F1254, $H$1:$H1253))
</f>
        <v/>
      </c>
      <c r="I1254" s="26"/>
      <c r="J1254" s="26" t="s">
        <v>77</v>
      </c>
      <c r="L1254" s="27" t="s">
        <v>77</v>
      </c>
      <c r="N1254" s="28" t="s">
        <v>77</v>
      </c>
      <c r="Q1254" s="30"/>
    </row>
    <row r="1255">
      <c r="B1255" s="6"/>
      <c r="C1255" s="33" t="str">
        <f t="array" ref="C1255">IF(B1255="", "", XLOOKUP(B1255, Inventory!D:D,Inventory!E:E,"No Name Found"))</f>
        <v/>
      </c>
      <c r="D1255" s="6"/>
      <c r="E1255" s="6"/>
      <c r="F1255" s="6"/>
      <c r="G1255" s="24" t="str">
        <f>IF(F1255="", "", VLOOKUP(F1255, Inventory!A:BZ, 3, FALSE) - SUMIF($F$1:$F1254, F1255, $H$1:$H1254))
</f>
        <v/>
      </c>
      <c r="I1255" s="26"/>
      <c r="J1255" s="26" t="s">
        <v>77</v>
      </c>
      <c r="L1255" s="27" t="s">
        <v>77</v>
      </c>
      <c r="N1255" s="28" t="s">
        <v>77</v>
      </c>
      <c r="Q1255" s="30"/>
    </row>
    <row r="1256">
      <c r="B1256" s="6"/>
      <c r="C1256" s="33" t="str">
        <f t="array" ref="C1256">IF(B1256="", "", XLOOKUP(B1256, Inventory!D:D,Inventory!E:E,"No Name Found"))</f>
        <v/>
      </c>
      <c r="D1256" s="6"/>
      <c r="E1256" s="6"/>
      <c r="F1256" s="6"/>
      <c r="G1256" s="24" t="str">
        <f>IF(F1256="", "", VLOOKUP(F1256, Inventory!A:BZ, 3, FALSE) - SUMIF($F$1:$F1255, F1256, $H$1:$H1255))
</f>
        <v/>
      </c>
      <c r="I1256" s="26"/>
      <c r="J1256" s="26" t="s">
        <v>77</v>
      </c>
      <c r="L1256" s="27" t="s">
        <v>77</v>
      </c>
      <c r="N1256" s="28" t="s">
        <v>77</v>
      </c>
      <c r="Q1256" s="30"/>
    </row>
    <row r="1257">
      <c r="B1257" s="6"/>
      <c r="C1257" s="33" t="str">
        <f t="array" ref="C1257">IF(B1257="", "", XLOOKUP(B1257, Inventory!D:D,Inventory!E:E,"No Name Found"))</f>
        <v/>
      </c>
      <c r="D1257" s="6"/>
      <c r="E1257" s="6"/>
      <c r="F1257" s="6"/>
      <c r="G1257" s="24" t="str">
        <f>IF(F1257="", "", VLOOKUP(F1257, Inventory!A:BZ, 3, FALSE) - SUMIF($F$1:$F1256, F1257, $H$1:$H1256))
</f>
        <v/>
      </c>
      <c r="I1257" s="26"/>
      <c r="J1257" s="26" t="s">
        <v>77</v>
      </c>
      <c r="L1257" s="27" t="s">
        <v>77</v>
      </c>
      <c r="N1257" s="28" t="s">
        <v>77</v>
      </c>
      <c r="Q1257" s="30"/>
    </row>
    <row r="1258">
      <c r="B1258" s="6"/>
      <c r="C1258" s="33" t="str">
        <f t="array" ref="C1258">IF(B1258="", "", XLOOKUP(B1258, Inventory!D:D,Inventory!E:E,"No Name Found"))</f>
        <v/>
      </c>
      <c r="D1258" s="6"/>
      <c r="E1258" s="6"/>
      <c r="F1258" s="6"/>
      <c r="G1258" s="24" t="str">
        <f>IF(F1258="", "", VLOOKUP(F1258, Inventory!A:BZ, 3, FALSE) - SUMIF($F$1:$F1257, F1258, $H$1:$H1257))
</f>
        <v/>
      </c>
      <c r="I1258" s="26"/>
      <c r="J1258" s="26" t="s">
        <v>77</v>
      </c>
      <c r="L1258" s="27" t="s">
        <v>77</v>
      </c>
      <c r="N1258" s="28" t="s">
        <v>77</v>
      </c>
      <c r="Q1258" s="30"/>
    </row>
    <row r="1259">
      <c r="B1259" s="6"/>
      <c r="C1259" s="33" t="str">
        <f t="array" ref="C1259">IF(B1259="", "", XLOOKUP(B1259, Inventory!D:D,Inventory!E:E,"No Name Found"))</f>
        <v/>
      </c>
      <c r="D1259" s="6"/>
      <c r="E1259" s="6"/>
      <c r="F1259" s="6"/>
      <c r="G1259" s="24" t="str">
        <f>IF(F1259="", "", VLOOKUP(F1259, Inventory!A:BZ, 3, FALSE) - SUMIF($F$1:$F1258, F1259, $H$1:$H1258))
</f>
        <v/>
      </c>
      <c r="I1259" s="26"/>
      <c r="J1259" s="26" t="s">
        <v>77</v>
      </c>
      <c r="L1259" s="27" t="s">
        <v>77</v>
      </c>
      <c r="N1259" s="28" t="s">
        <v>77</v>
      </c>
      <c r="Q1259" s="30"/>
    </row>
    <row r="1260">
      <c r="B1260" s="6"/>
      <c r="C1260" s="33" t="str">
        <f t="array" ref="C1260">IF(B1260="", "", XLOOKUP(B1260, Inventory!D:D,Inventory!E:E,"No Name Found"))</f>
        <v/>
      </c>
      <c r="D1260" s="6"/>
      <c r="E1260" s="6"/>
      <c r="F1260" s="6"/>
      <c r="G1260" s="24" t="str">
        <f>IF(F1260="", "", VLOOKUP(F1260, Inventory!A:BZ, 3, FALSE) - SUMIF($F$1:$F1259, F1260, $H$1:$H1259))
</f>
        <v/>
      </c>
      <c r="I1260" s="26"/>
      <c r="J1260" s="26" t="s">
        <v>77</v>
      </c>
      <c r="L1260" s="27" t="s">
        <v>77</v>
      </c>
      <c r="N1260" s="28" t="s">
        <v>77</v>
      </c>
      <c r="Q1260" s="30"/>
    </row>
    <row r="1261">
      <c r="B1261" s="6"/>
      <c r="C1261" s="33" t="str">
        <f t="array" ref="C1261">IF(B1261="", "", XLOOKUP(B1261, Inventory!D:D,Inventory!E:E,"No Name Found"))</f>
        <v/>
      </c>
      <c r="D1261" s="6"/>
      <c r="E1261" s="6"/>
      <c r="F1261" s="6"/>
      <c r="G1261" s="24" t="str">
        <f>IF(F1261="", "", VLOOKUP(F1261, Inventory!A:BZ, 3, FALSE) - SUMIF($F$1:$F1260, F1261, $H$1:$H1260))
</f>
        <v/>
      </c>
      <c r="I1261" s="26"/>
      <c r="J1261" s="26" t="s">
        <v>77</v>
      </c>
      <c r="L1261" s="27" t="s">
        <v>77</v>
      </c>
      <c r="N1261" s="28" t="s">
        <v>77</v>
      </c>
      <c r="Q1261" s="30"/>
    </row>
    <row r="1262">
      <c r="B1262" s="6"/>
      <c r="C1262" s="33" t="str">
        <f t="array" ref="C1262">IF(B1262="", "", XLOOKUP(B1262, Inventory!D:D,Inventory!E:E,"No Name Found"))</f>
        <v/>
      </c>
      <c r="D1262" s="6"/>
      <c r="E1262" s="6"/>
      <c r="F1262" s="6"/>
      <c r="G1262" s="24" t="str">
        <f>IF(F1262="", "", VLOOKUP(F1262, Inventory!A:BZ, 3, FALSE) - SUMIF($F$1:$F1261, F1262, $H$1:$H1261))
</f>
        <v/>
      </c>
      <c r="I1262" s="26"/>
      <c r="J1262" s="26" t="s">
        <v>77</v>
      </c>
      <c r="L1262" s="27" t="s">
        <v>77</v>
      </c>
      <c r="N1262" s="28" t="s">
        <v>77</v>
      </c>
      <c r="Q1262" s="30"/>
    </row>
    <row r="1263">
      <c r="B1263" s="6"/>
      <c r="C1263" s="33" t="str">
        <f t="array" ref="C1263">IF(B1263="", "", XLOOKUP(B1263, Inventory!D:D,Inventory!E:E,"No Name Found"))</f>
        <v/>
      </c>
      <c r="D1263" s="6"/>
      <c r="E1263" s="6"/>
      <c r="F1263" s="6"/>
      <c r="G1263" s="24" t="str">
        <f>IF(F1263="", "", VLOOKUP(F1263, Inventory!A:BZ, 3, FALSE) - SUMIF($F$1:$F1262, F1263, $H$1:$H1262))
</f>
        <v/>
      </c>
      <c r="I1263" s="26"/>
      <c r="J1263" s="26" t="s">
        <v>77</v>
      </c>
      <c r="L1263" s="27" t="s">
        <v>77</v>
      </c>
      <c r="N1263" s="28" t="s">
        <v>77</v>
      </c>
      <c r="Q1263" s="30"/>
    </row>
    <row r="1264">
      <c r="B1264" s="6"/>
      <c r="C1264" s="33" t="str">
        <f t="array" ref="C1264">IF(B1264="", "", XLOOKUP(B1264, Inventory!D:D,Inventory!E:E,"No Name Found"))</f>
        <v/>
      </c>
      <c r="D1264" s="6"/>
      <c r="E1264" s="6"/>
      <c r="F1264" s="6"/>
      <c r="G1264" s="24" t="str">
        <f>IF(F1264="", "", VLOOKUP(F1264, Inventory!A:BZ, 3, FALSE) - SUMIF($F$1:$F1263, F1264, $H$1:$H1263))
</f>
        <v/>
      </c>
      <c r="I1264" s="26"/>
      <c r="J1264" s="26" t="s">
        <v>77</v>
      </c>
      <c r="L1264" s="27" t="s">
        <v>77</v>
      </c>
      <c r="N1264" s="28" t="s">
        <v>77</v>
      </c>
      <c r="Q1264" s="30"/>
    </row>
    <row r="1265">
      <c r="B1265" s="6"/>
      <c r="C1265" s="33" t="str">
        <f t="array" ref="C1265">IF(B1265="", "", XLOOKUP(B1265, Inventory!D:D,Inventory!E:E,"No Name Found"))</f>
        <v/>
      </c>
      <c r="D1265" s="6"/>
      <c r="E1265" s="6"/>
      <c r="F1265" s="6"/>
      <c r="G1265" s="24" t="str">
        <f>IF(F1265="", "", VLOOKUP(F1265, Inventory!A:BZ, 3, FALSE) - SUMIF($F$1:$F1264, F1265, $H$1:$H1264))
</f>
        <v/>
      </c>
      <c r="I1265" s="26"/>
      <c r="J1265" s="26" t="s">
        <v>77</v>
      </c>
      <c r="L1265" s="27" t="s">
        <v>77</v>
      </c>
      <c r="N1265" s="28" t="s">
        <v>77</v>
      </c>
      <c r="Q1265" s="30"/>
    </row>
    <row r="1266">
      <c r="B1266" s="6"/>
      <c r="C1266" s="33" t="str">
        <f t="array" ref="C1266">IF(B1266="", "", XLOOKUP(B1266, Inventory!D:D,Inventory!E:E,"No Name Found"))</f>
        <v/>
      </c>
      <c r="D1266" s="6"/>
      <c r="E1266" s="6"/>
      <c r="F1266" s="6"/>
      <c r="G1266" s="24" t="str">
        <f>IF(F1266="", "", VLOOKUP(F1266, Inventory!A:BZ, 3, FALSE) - SUMIF($F$1:$F1265, F1266, $H$1:$H1265))
</f>
        <v/>
      </c>
      <c r="I1266" s="26"/>
      <c r="J1266" s="26" t="s">
        <v>77</v>
      </c>
      <c r="L1266" s="27" t="s">
        <v>77</v>
      </c>
      <c r="N1266" s="28" t="s">
        <v>77</v>
      </c>
      <c r="Q1266" s="30"/>
    </row>
    <row r="1267">
      <c r="B1267" s="6"/>
      <c r="C1267" s="33" t="str">
        <f t="array" ref="C1267">IF(B1267="", "", XLOOKUP(B1267, Inventory!D:D,Inventory!E:E,"No Name Found"))</f>
        <v/>
      </c>
      <c r="D1267" s="6"/>
      <c r="E1267" s="6"/>
      <c r="F1267" s="6"/>
      <c r="G1267" s="24" t="str">
        <f>IF(F1267="", "", VLOOKUP(F1267, Inventory!A:BZ, 3, FALSE) - SUMIF($F$1:$F1266, F1267, $H$1:$H1266))
</f>
        <v/>
      </c>
      <c r="I1267" s="26"/>
      <c r="J1267" s="26" t="s">
        <v>77</v>
      </c>
      <c r="L1267" s="27" t="s">
        <v>77</v>
      </c>
      <c r="N1267" s="28" t="s">
        <v>77</v>
      </c>
      <c r="Q1267" s="30"/>
    </row>
    <row r="1268">
      <c r="B1268" s="6"/>
      <c r="C1268" s="33" t="str">
        <f t="array" ref="C1268">IF(B1268="", "", XLOOKUP(B1268, Inventory!D:D,Inventory!E:E,"No Name Found"))</f>
        <v/>
      </c>
      <c r="D1268" s="6"/>
      <c r="E1268" s="6"/>
      <c r="F1268" s="6"/>
      <c r="G1268" s="24" t="str">
        <f>IF(F1268="", "", VLOOKUP(F1268, Inventory!A:BZ, 3, FALSE) - SUMIF($F$1:$F1267, F1268, $H$1:$H1267))
</f>
        <v/>
      </c>
      <c r="I1268" s="26"/>
      <c r="J1268" s="26" t="s">
        <v>77</v>
      </c>
      <c r="L1268" s="27" t="s">
        <v>77</v>
      </c>
      <c r="N1268" s="28" t="s">
        <v>77</v>
      </c>
      <c r="Q1268" s="30"/>
    </row>
    <row r="1269">
      <c r="B1269" s="6"/>
      <c r="C1269" s="33" t="str">
        <f t="array" ref="C1269">IF(B1269="", "", XLOOKUP(B1269, Inventory!D:D,Inventory!E:E,"No Name Found"))</f>
        <v/>
      </c>
      <c r="D1269" s="6"/>
      <c r="E1269" s="6"/>
      <c r="F1269" s="6"/>
      <c r="G1269" s="24" t="str">
        <f>IF(F1269="", "", VLOOKUP(F1269, Inventory!A:BZ, 3, FALSE) - SUMIF($F$1:$F1268, F1269, $H$1:$H1268))
</f>
        <v/>
      </c>
      <c r="I1269" s="26"/>
      <c r="J1269" s="26" t="s">
        <v>77</v>
      </c>
      <c r="L1269" s="27" t="s">
        <v>77</v>
      </c>
      <c r="N1269" s="28" t="s">
        <v>77</v>
      </c>
      <c r="Q1269" s="30"/>
    </row>
    <row r="1270">
      <c r="B1270" s="6"/>
      <c r="C1270" s="33" t="str">
        <f t="array" ref="C1270">IF(B1270="", "", XLOOKUP(B1270, Inventory!D:D,Inventory!E:E,"No Name Found"))</f>
        <v/>
      </c>
      <c r="D1270" s="6"/>
      <c r="E1270" s="6"/>
      <c r="F1270" s="6"/>
      <c r="G1270" s="24" t="str">
        <f>IF(F1270="", "", VLOOKUP(F1270, Inventory!A:BZ, 3, FALSE) - SUMIF($F$1:$F1269, F1270, $H$1:$H1269))
</f>
        <v/>
      </c>
      <c r="I1270" s="26"/>
      <c r="J1270" s="26" t="s">
        <v>77</v>
      </c>
      <c r="L1270" s="27" t="s">
        <v>77</v>
      </c>
      <c r="N1270" s="28" t="s">
        <v>77</v>
      </c>
      <c r="Q1270" s="30"/>
    </row>
    <row r="1271">
      <c r="B1271" s="6"/>
      <c r="C1271" s="33" t="str">
        <f t="array" ref="C1271">IF(B1271="", "", XLOOKUP(B1271, Inventory!D:D,Inventory!E:E,"No Name Found"))</f>
        <v/>
      </c>
      <c r="D1271" s="6"/>
      <c r="E1271" s="6"/>
      <c r="F1271" s="6"/>
      <c r="G1271" s="24" t="str">
        <f>IF(F1271="", "", VLOOKUP(F1271, Inventory!A:BZ, 3, FALSE) - SUMIF($F$1:$F1270, F1271, $H$1:$H1270))
</f>
        <v/>
      </c>
      <c r="I1271" s="26"/>
      <c r="J1271" s="26" t="s">
        <v>77</v>
      </c>
      <c r="L1271" s="27" t="s">
        <v>77</v>
      </c>
      <c r="N1271" s="28" t="s">
        <v>77</v>
      </c>
      <c r="Q1271" s="30"/>
    </row>
    <row r="1272">
      <c r="B1272" s="6"/>
      <c r="C1272" s="33" t="str">
        <f t="array" ref="C1272">IF(B1272="", "", XLOOKUP(B1272, Inventory!D:D,Inventory!E:E,"No Name Found"))</f>
        <v/>
      </c>
      <c r="D1272" s="6"/>
      <c r="E1272" s="6"/>
      <c r="F1272" s="6"/>
      <c r="G1272" s="24" t="str">
        <f>IF(F1272="", "", VLOOKUP(F1272, Inventory!A:BZ, 3, FALSE) - SUMIF($F$1:$F1271, F1272, $H$1:$H1271))
</f>
        <v/>
      </c>
      <c r="I1272" s="26"/>
      <c r="J1272" s="26" t="s">
        <v>77</v>
      </c>
      <c r="L1272" s="27" t="s">
        <v>77</v>
      </c>
      <c r="N1272" s="28" t="s">
        <v>77</v>
      </c>
      <c r="Q1272" s="30"/>
    </row>
    <row r="1273">
      <c r="B1273" s="6"/>
      <c r="C1273" s="33" t="str">
        <f t="array" ref="C1273">IF(B1273="", "", XLOOKUP(B1273, Inventory!D:D,Inventory!E:E,"No Name Found"))</f>
        <v/>
      </c>
      <c r="D1273" s="6"/>
      <c r="E1273" s="6"/>
      <c r="F1273" s="6"/>
      <c r="G1273" s="24" t="str">
        <f>IF(F1273="", "", VLOOKUP(F1273, Inventory!A:BZ, 3, FALSE) - SUMIF($F$1:$F1272, F1273, $H$1:$H1272))
</f>
        <v/>
      </c>
      <c r="I1273" s="26"/>
      <c r="J1273" s="26" t="s">
        <v>77</v>
      </c>
      <c r="L1273" s="27" t="s">
        <v>77</v>
      </c>
      <c r="N1273" s="28" t="s">
        <v>77</v>
      </c>
      <c r="Q1273" s="30"/>
    </row>
    <row r="1274">
      <c r="B1274" s="6"/>
      <c r="C1274" s="33" t="str">
        <f t="array" ref="C1274">IF(B1274="", "", XLOOKUP(B1274, Inventory!D:D,Inventory!E:E,"No Name Found"))</f>
        <v/>
      </c>
      <c r="D1274" s="6"/>
      <c r="E1274" s="6"/>
      <c r="F1274" s="6"/>
      <c r="G1274" s="24" t="str">
        <f>IF(F1274="", "", VLOOKUP(F1274, Inventory!A:BZ, 3, FALSE) - SUMIF($F$1:$F1273, F1274, $H$1:$H1273))
</f>
        <v/>
      </c>
      <c r="I1274" s="26"/>
      <c r="J1274" s="26" t="s">
        <v>77</v>
      </c>
      <c r="L1274" s="27" t="s">
        <v>77</v>
      </c>
      <c r="N1274" s="28" t="s">
        <v>77</v>
      </c>
      <c r="Q1274" s="30"/>
    </row>
    <row r="1275">
      <c r="B1275" s="6"/>
      <c r="C1275" s="33" t="str">
        <f t="array" ref="C1275">IF(B1275="", "", XLOOKUP(B1275, Inventory!D:D,Inventory!E:E,"No Name Found"))</f>
        <v/>
      </c>
      <c r="D1275" s="6"/>
      <c r="E1275" s="6"/>
      <c r="F1275" s="6"/>
      <c r="G1275" s="24" t="str">
        <f>IF(F1275="", "", VLOOKUP(F1275, Inventory!A:BZ, 3, FALSE) - SUMIF($F$1:$F1274, F1275, $H$1:$H1274))
</f>
        <v/>
      </c>
      <c r="I1275" s="26"/>
      <c r="J1275" s="26" t="s">
        <v>77</v>
      </c>
      <c r="L1275" s="27" t="s">
        <v>77</v>
      </c>
      <c r="N1275" s="28" t="s">
        <v>77</v>
      </c>
      <c r="Q1275" s="30"/>
    </row>
    <row r="1276">
      <c r="B1276" s="6"/>
      <c r="C1276" s="33" t="str">
        <f t="array" ref="C1276">IF(B1276="", "", XLOOKUP(B1276, Inventory!D:D,Inventory!E:E,"No Name Found"))</f>
        <v/>
      </c>
      <c r="D1276" s="6"/>
      <c r="E1276" s="6"/>
      <c r="F1276" s="6"/>
      <c r="G1276" s="24" t="str">
        <f>IF(F1276="", "", VLOOKUP(F1276, Inventory!A:BZ, 3, FALSE) - SUMIF($F$1:$F1275, F1276, $H$1:$H1275))
</f>
        <v/>
      </c>
      <c r="I1276" s="26"/>
      <c r="J1276" s="26" t="s">
        <v>77</v>
      </c>
      <c r="L1276" s="27" t="s">
        <v>77</v>
      </c>
      <c r="N1276" s="28" t="s">
        <v>77</v>
      </c>
      <c r="Q1276" s="30"/>
    </row>
    <row r="1277">
      <c r="B1277" s="6"/>
      <c r="C1277" s="33" t="str">
        <f t="array" ref="C1277">IF(B1277="", "", XLOOKUP(B1277, Inventory!D:D,Inventory!E:E,"No Name Found"))</f>
        <v/>
      </c>
      <c r="D1277" s="6"/>
      <c r="E1277" s="6"/>
      <c r="F1277" s="6"/>
      <c r="G1277" s="24" t="str">
        <f>IF(F1277="", "", VLOOKUP(F1277, Inventory!A:BZ, 3, FALSE) - SUMIF($F$1:$F1276, F1277, $H$1:$H1276))
</f>
        <v/>
      </c>
      <c r="I1277" s="26"/>
      <c r="J1277" s="26" t="s">
        <v>77</v>
      </c>
      <c r="L1277" s="27" t="s">
        <v>77</v>
      </c>
      <c r="N1277" s="28" t="s">
        <v>77</v>
      </c>
      <c r="Q1277" s="30"/>
    </row>
    <row r="1278">
      <c r="B1278" s="6"/>
      <c r="C1278" s="33" t="str">
        <f t="array" ref="C1278">IF(B1278="", "", XLOOKUP(B1278, Inventory!D:D,Inventory!E:E,"No Name Found"))</f>
        <v/>
      </c>
      <c r="D1278" s="6"/>
      <c r="E1278" s="6"/>
      <c r="F1278" s="6"/>
      <c r="G1278" s="24" t="str">
        <f>IF(F1278="", "", VLOOKUP(F1278, Inventory!A:BZ, 3, FALSE) - SUMIF($F$1:$F1277, F1278, $H$1:$H1277))
</f>
        <v/>
      </c>
      <c r="I1278" s="26"/>
      <c r="J1278" s="26" t="s">
        <v>77</v>
      </c>
      <c r="L1278" s="27" t="s">
        <v>77</v>
      </c>
      <c r="N1278" s="28" t="s">
        <v>77</v>
      </c>
      <c r="Q1278" s="30"/>
    </row>
    <row r="1279">
      <c r="B1279" s="6"/>
      <c r="C1279" s="33" t="str">
        <f t="array" ref="C1279">IF(B1279="", "", XLOOKUP(B1279, Inventory!D:D,Inventory!E:E,"No Name Found"))</f>
        <v/>
      </c>
      <c r="D1279" s="6"/>
      <c r="E1279" s="6"/>
      <c r="F1279" s="6"/>
      <c r="G1279" s="24" t="str">
        <f>IF(F1279="", "", VLOOKUP(F1279, Inventory!A:BZ, 3, FALSE) - SUMIF($F$1:$F1278, F1279, $H$1:$H1278))
</f>
        <v/>
      </c>
      <c r="I1279" s="26"/>
      <c r="J1279" s="26" t="s">
        <v>77</v>
      </c>
      <c r="L1279" s="27" t="s">
        <v>77</v>
      </c>
      <c r="N1279" s="28" t="s">
        <v>77</v>
      </c>
      <c r="Q1279" s="30"/>
    </row>
    <row r="1280">
      <c r="B1280" s="6"/>
      <c r="C1280" s="33" t="str">
        <f t="array" ref="C1280">IF(B1280="", "", XLOOKUP(B1280, Inventory!D:D,Inventory!E:E,"No Name Found"))</f>
        <v/>
      </c>
      <c r="D1280" s="6"/>
      <c r="E1280" s="6"/>
      <c r="F1280" s="6"/>
      <c r="G1280" s="24" t="str">
        <f>IF(F1280="", "", VLOOKUP(F1280, Inventory!A:BZ, 3, FALSE) - SUMIF($F$1:$F1279, F1280, $H$1:$H1279))
</f>
        <v/>
      </c>
      <c r="I1280" s="26"/>
      <c r="J1280" s="26" t="s">
        <v>77</v>
      </c>
      <c r="L1280" s="27" t="s">
        <v>77</v>
      </c>
      <c r="N1280" s="28" t="s">
        <v>77</v>
      </c>
      <c r="Q1280" s="30"/>
    </row>
    <row r="1281">
      <c r="B1281" s="6"/>
      <c r="C1281" s="33" t="str">
        <f t="array" ref="C1281">IF(B1281="", "", XLOOKUP(B1281, Inventory!D:D,Inventory!E:E,"No Name Found"))</f>
        <v/>
      </c>
      <c r="D1281" s="6"/>
      <c r="E1281" s="6"/>
      <c r="F1281" s="6"/>
      <c r="G1281" s="24" t="str">
        <f>IF(F1281="", "", VLOOKUP(F1281, Inventory!A:BZ, 3, FALSE) - SUMIF($F$1:$F1280, F1281, $H$1:$H1280))
</f>
        <v/>
      </c>
      <c r="I1281" s="26"/>
      <c r="J1281" s="26" t="s">
        <v>77</v>
      </c>
      <c r="L1281" s="27" t="s">
        <v>77</v>
      </c>
      <c r="N1281" s="28" t="s">
        <v>77</v>
      </c>
      <c r="Q1281" s="30"/>
    </row>
    <row r="1282">
      <c r="B1282" s="6"/>
      <c r="C1282" s="33" t="str">
        <f t="array" ref="C1282">IF(B1282="", "", XLOOKUP(B1282, Inventory!D:D,Inventory!E:E,"No Name Found"))</f>
        <v/>
      </c>
      <c r="D1282" s="6"/>
      <c r="E1282" s="6"/>
      <c r="F1282" s="6"/>
      <c r="G1282" s="24" t="str">
        <f>IF(F1282="", "", VLOOKUP(F1282, Inventory!A:BZ, 3, FALSE) - SUMIF($F$1:$F1281, F1282, $H$1:$H1281))
</f>
        <v/>
      </c>
      <c r="I1282" s="26"/>
      <c r="J1282" s="26" t="s">
        <v>77</v>
      </c>
      <c r="L1282" s="27" t="s">
        <v>77</v>
      </c>
      <c r="N1282" s="28" t="s">
        <v>77</v>
      </c>
      <c r="Q1282" s="30"/>
    </row>
    <row r="1283">
      <c r="B1283" s="6"/>
      <c r="C1283" s="33" t="str">
        <f t="array" ref="C1283">IF(B1283="", "", XLOOKUP(B1283, Inventory!D:D,Inventory!E:E,"No Name Found"))</f>
        <v/>
      </c>
      <c r="D1283" s="6"/>
      <c r="E1283" s="6"/>
      <c r="F1283" s="6"/>
      <c r="G1283" s="24" t="str">
        <f>IF(F1283="", "", VLOOKUP(F1283, Inventory!A:BZ, 3, FALSE) - SUMIF($F$1:$F1282, F1283, $H$1:$H1282))
</f>
        <v/>
      </c>
      <c r="I1283" s="26"/>
      <c r="J1283" s="26" t="s">
        <v>77</v>
      </c>
      <c r="L1283" s="27" t="s">
        <v>77</v>
      </c>
      <c r="N1283" s="28" t="s">
        <v>77</v>
      </c>
      <c r="Q1283" s="30"/>
    </row>
    <row r="1284">
      <c r="B1284" s="6"/>
      <c r="C1284" s="33" t="str">
        <f t="array" ref="C1284">IF(B1284="", "", XLOOKUP(B1284, Inventory!D:D,Inventory!E:E,"No Name Found"))</f>
        <v/>
      </c>
      <c r="D1284" s="6"/>
      <c r="E1284" s="6"/>
      <c r="F1284" s="6"/>
      <c r="G1284" s="24" t="str">
        <f>IF(F1284="", "", VLOOKUP(F1284, Inventory!A:BZ, 3, FALSE) - SUMIF($F$1:$F1283, F1284, $H$1:$H1283))
</f>
        <v/>
      </c>
      <c r="I1284" s="26"/>
      <c r="J1284" s="26" t="s">
        <v>77</v>
      </c>
      <c r="L1284" s="27" t="s">
        <v>77</v>
      </c>
      <c r="N1284" s="28" t="s">
        <v>77</v>
      </c>
      <c r="Q1284" s="30"/>
    </row>
    <row r="1285">
      <c r="B1285" s="6"/>
      <c r="C1285" s="33" t="str">
        <f t="array" ref="C1285">IF(B1285="", "", XLOOKUP(B1285, Inventory!D:D,Inventory!E:E,"No Name Found"))</f>
        <v/>
      </c>
      <c r="D1285" s="6"/>
      <c r="E1285" s="6"/>
      <c r="F1285" s="6"/>
      <c r="G1285" s="24" t="str">
        <f>IF(F1285="", "", VLOOKUP(F1285, Inventory!A:BZ, 3, FALSE) - SUMIF($F$1:$F1284, F1285, $H$1:$H1284))
</f>
        <v/>
      </c>
      <c r="I1285" s="26"/>
      <c r="J1285" s="26" t="s">
        <v>77</v>
      </c>
      <c r="L1285" s="27" t="s">
        <v>77</v>
      </c>
      <c r="N1285" s="28" t="s">
        <v>77</v>
      </c>
      <c r="Q1285" s="30"/>
    </row>
    <row r="1286">
      <c r="B1286" s="6"/>
      <c r="C1286" s="33" t="str">
        <f t="array" ref="C1286">IF(B1286="", "", XLOOKUP(B1286, Inventory!D:D,Inventory!E:E,"No Name Found"))</f>
        <v/>
      </c>
      <c r="D1286" s="6"/>
      <c r="E1286" s="6"/>
      <c r="F1286" s="6"/>
      <c r="G1286" s="24" t="str">
        <f>IF(F1286="", "", VLOOKUP(F1286, Inventory!A:BZ, 3, FALSE) - SUMIF($F$1:$F1285, F1286, $H$1:$H1285))
</f>
        <v/>
      </c>
      <c r="I1286" s="26"/>
      <c r="J1286" s="26" t="s">
        <v>77</v>
      </c>
      <c r="L1286" s="27" t="s">
        <v>77</v>
      </c>
      <c r="N1286" s="28" t="s">
        <v>77</v>
      </c>
      <c r="Q1286" s="30"/>
    </row>
    <row r="1287">
      <c r="B1287" s="6"/>
      <c r="C1287" s="33" t="str">
        <f t="array" ref="C1287">IF(B1287="", "", XLOOKUP(B1287, Inventory!D:D,Inventory!E:E,"No Name Found"))</f>
        <v/>
      </c>
      <c r="D1287" s="6"/>
      <c r="E1287" s="6"/>
      <c r="F1287" s="6"/>
      <c r="G1287" s="24" t="str">
        <f>IF(F1287="", "", VLOOKUP(F1287, Inventory!A:BZ, 3, FALSE) - SUMIF($F$1:$F1286, F1287, $H$1:$H1286))
</f>
        <v/>
      </c>
      <c r="I1287" s="26"/>
      <c r="J1287" s="26" t="s">
        <v>77</v>
      </c>
      <c r="L1287" s="27" t="s">
        <v>77</v>
      </c>
      <c r="N1287" s="28" t="s">
        <v>77</v>
      </c>
      <c r="Q1287" s="30"/>
    </row>
    <row r="1288">
      <c r="B1288" s="6"/>
      <c r="C1288" s="33" t="str">
        <f t="array" ref="C1288">IF(B1288="", "", XLOOKUP(B1288, Inventory!D:D,Inventory!E:E,"No Name Found"))</f>
        <v/>
      </c>
      <c r="D1288" s="6"/>
      <c r="E1288" s="6"/>
      <c r="F1288" s="6"/>
      <c r="G1288" s="24" t="str">
        <f>IF(F1288="", "", VLOOKUP(F1288, Inventory!A:BZ, 3, FALSE) - SUMIF($F$1:$F1287, F1288, $H$1:$H1287))
</f>
        <v/>
      </c>
      <c r="I1288" s="26"/>
      <c r="J1288" s="26" t="s">
        <v>77</v>
      </c>
      <c r="L1288" s="27" t="s">
        <v>77</v>
      </c>
      <c r="N1288" s="28" t="s">
        <v>77</v>
      </c>
      <c r="Q1288" s="30"/>
    </row>
    <row r="1289">
      <c r="B1289" s="6"/>
      <c r="C1289" s="33" t="str">
        <f t="array" ref="C1289">IF(B1289="", "", XLOOKUP(B1289, Inventory!D:D,Inventory!E:E,"No Name Found"))</f>
        <v/>
      </c>
      <c r="D1289" s="6"/>
      <c r="E1289" s="6"/>
      <c r="F1289" s="6"/>
      <c r="G1289" s="24" t="str">
        <f>IF(F1289="", "", VLOOKUP(F1289, Inventory!A:BZ, 3, FALSE) - SUMIF($F$1:$F1288, F1289, $H$1:$H1288))
</f>
        <v/>
      </c>
      <c r="I1289" s="26"/>
      <c r="J1289" s="26" t="s">
        <v>77</v>
      </c>
      <c r="L1289" s="27" t="s">
        <v>77</v>
      </c>
      <c r="N1289" s="28" t="s">
        <v>77</v>
      </c>
      <c r="Q1289" s="30"/>
    </row>
    <row r="1290">
      <c r="B1290" s="6"/>
      <c r="C1290" s="33" t="str">
        <f t="array" ref="C1290">IF(B1290="", "", XLOOKUP(B1290, Inventory!D:D,Inventory!E:E,"No Name Found"))</f>
        <v/>
      </c>
      <c r="D1290" s="6"/>
      <c r="E1290" s="6"/>
      <c r="F1290" s="6"/>
      <c r="G1290" s="24" t="str">
        <f>IF(F1290="", "", VLOOKUP(F1290, Inventory!A:BZ, 3, FALSE) - SUMIF($F$1:$F1289, F1290, $H$1:$H1289))
</f>
        <v/>
      </c>
      <c r="I1290" s="26"/>
      <c r="J1290" s="26" t="s">
        <v>77</v>
      </c>
      <c r="L1290" s="27" t="s">
        <v>77</v>
      </c>
      <c r="N1290" s="28" t="s">
        <v>77</v>
      </c>
      <c r="Q1290" s="30"/>
    </row>
    <row r="1291">
      <c r="B1291" s="6"/>
      <c r="C1291" s="33" t="str">
        <f t="array" ref="C1291">IF(B1291="", "", XLOOKUP(B1291, Inventory!D:D,Inventory!E:E,"No Name Found"))</f>
        <v/>
      </c>
      <c r="D1291" s="6"/>
      <c r="E1291" s="6"/>
      <c r="F1291" s="6"/>
      <c r="G1291" s="24" t="str">
        <f>IF(F1291="", "", VLOOKUP(F1291, Inventory!A:BZ, 3, FALSE) - SUMIF($F$1:$F1290, F1291, $H$1:$H1290))
</f>
        <v/>
      </c>
      <c r="I1291" s="26"/>
      <c r="J1291" s="26" t="s">
        <v>77</v>
      </c>
      <c r="L1291" s="27" t="s">
        <v>77</v>
      </c>
      <c r="N1291" s="28" t="s">
        <v>77</v>
      </c>
      <c r="Q1291" s="30"/>
    </row>
    <row r="1292">
      <c r="B1292" s="6"/>
      <c r="C1292" s="33" t="str">
        <f t="array" ref="C1292">IF(B1292="", "", XLOOKUP(B1292, Inventory!D:D,Inventory!E:E,"No Name Found"))</f>
        <v/>
      </c>
      <c r="D1292" s="6"/>
      <c r="E1292" s="6"/>
      <c r="F1292" s="6"/>
      <c r="G1292" s="24" t="str">
        <f>IF(F1292="", "", VLOOKUP(F1292, Inventory!A:BZ, 3, FALSE) - SUMIF($F$1:$F1291, F1292, $H$1:$H1291))
</f>
        <v/>
      </c>
      <c r="I1292" s="26"/>
      <c r="J1292" s="26" t="s">
        <v>77</v>
      </c>
      <c r="L1292" s="27" t="s">
        <v>77</v>
      </c>
      <c r="N1292" s="28" t="s">
        <v>77</v>
      </c>
      <c r="Q1292" s="30"/>
    </row>
    <row r="1293">
      <c r="B1293" s="6"/>
      <c r="C1293" s="33" t="str">
        <f t="array" ref="C1293">IF(B1293="", "", XLOOKUP(B1293, Inventory!D:D,Inventory!E:E,"No Name Found"))</f>
        <v/>
      </c>
      <c r="D1293" s="6"/>
      <c r="E1293" s="6"/>
      <c r="F1293" s="6"/>
      <c r="G1293" s="24" t="str">
        <f>IF(F1293="", "", VLOOKUP(F1293, Inventory!A:BZ, 3, FALSE) - SUMIF($F$1:$F1292, F1293, $H$1:$H1292))
</f>
        <v/>
      </c>
      <c r="I1293" s="26"/>
      <c r="J1293" s="26" t="s">
        <v>77</v>
      </c>
      <c r="L1293" s="27" t="s">
        <v>77</v>
      </c>
      <c r="N1293" s="28" t="s">
        <v>77</v>
      </c>
      <c r="Q1293" s="30"/>
    </row>
    <row r="1294">
      <c r="B1294" s="6"/>
      <c r="C1294" s="33" t="str">
        <f t="array" ref="C1294">IF(B1294="", "", XLOOKUP(B1294, Inventory!D:D,Inventory!E:E,"No Name Found"))</f>
        <v/>
      </c>
      <c r="D1294" s="6"/>
      <c r="E1294" s="6"/>
      <c r="F1294" s="6"/>
      <c r="G1294" s="24" t="str">
        <f>IF(F1294="", "", VLOOKUP(F1294, Inventory!A:BZ, 3, FALSE) - SUMIF($F$1:$F1293, F1294, $H$1:$H1293))
</f>
        <v/>
      </c>
      <c r="I1294" s="26"/>
      <c r="J1294" s="26" t="s">
        <v>77</v>
      </c>
      <c r="L1294" s="27" t="s">
        <v>77</v>
      </c>
      <c r="N1294" s="28" t="s">
        <v>77</v>
      </c>
      <c r="Q1294" s="30"/>
    </row>
    <row r="1295">
      <c r="B1295" s="6"/>
      <c r="C1295" s="33" t="str">
        <f t="array" ref="C1295">IF(B1295="", "", XLOOKUP(B1295, Inventory!D:D,Inventory!E:E,"No Name Found"))</f>
        <v/>
      </c>
      <c r="D1295" s="6"/>
      <c r="E1295" s="6"/>
      <c r="F1295" s="6"/>
      <c r="G1295" s="24" t="str">
        <f>IF(F1295="", "", VLOOKUP(F1295, Inventory!A:BZ, 3, FALSE) - SUMIF($F$1:$F1294, F1295, $H$1:$H1294))
</f>
        <v/>
      </c>
      <c r="I1295" s="26"/>
      <c r="J1295" s="26" t="s">
        <v>77</v>
      </c>
      <c r="L1295" s="27" t="s">
        <v>77</v>
      </c>
      <c r="N1295" s="28" t="s">
        <v>77</v>
      </c>
      <c r="Q1295" s="30"/>
    </row>
    <row r="1296">
      <c r="B1296" s="6"/>
      <c r="C1296" s="33" t="str">
        <f t="array" ref="C1296">IF(B1296="", "", XLOOKUP(B1296, Inventory!D:D,Inventory!E:E,"No Name Found"))</f>
        <v/>
      </c>
      <c r="D1296" s="6"/>
      <c r="E1296" s="6"/>
      <c r="F1296" s="6"/>
      <c r="G1296" s="24" t="str">
        <f>IF(F1296="", "", VLOOKUP(F1296, Inventory!A:BZ, 3, FALSE) - SUMIF($F$1:$F1295, F1296, $H$1:$H1295))
</f>
        <v/>
      </c>
      <c r="I1296" s="26"/>
      <c r="J1296" s="26" t="s">
        <v>77</v>
      </c>
      <c r="L1296" s="27" t="s">
        <v>77</v>
      </c>
      <c r="N1296" s="28" t="s">
        <v>77</v>
      </c>
      <c r="Q1296" s="30"/>
    </row>
    <row r="1297">
      <c r="B1297" s="6"/>
      <c r="C1297" s="33" t="str">
        <f t="array" ref="C1297">IF(B1297="", "", XLOOKUP(B1297, Inventory!D:D,Inventory!E:E,"No Name Found"))</f>
        <v/>
      </c>
      <c r="D1297" s="6"/>
      <c r="E1297" s="6"/>
      <c r="F1297" s="6"/>
      <c r="G1297" s="24" t="str">
        <f>IF(F1297="", "", VLOOKUP(F1297, Inventory!A:BZ, 3, FALSE) - SUMIF($F$1:$F1296, F1297, $H$1:$H1296))
</f>
        <v/>
      </c>
      <c r="I1297" s="26"/>
      <c r="J1297" s="26" t="s">
        <v>77</v>
      </c>
      <c r="L1297" s="27" t="s">
        <v>77</v>
      </c>
      <c r="N1297" s="28" t="s">
        <v>77</v>
      </c>
      <c r="Q1297" s="30"/>
    </row>
    <row r="1298">
      <c r="B1298" s="6"/>
      <c r="C1298" s="33" t="str">
        <f t="array" ref="C1298">IF(B1298="", "", XLOOKUP(B1298, Inventory!D:D,Inventory!E:E,"No Name Found"))</f>
        <v/>
      </c>
      <c r="D1298" s="6"/>
      <c r="E1298" s="6"/>
      <c r="F1298" s="6"/>
      <c r="G1298" s="24" t="str">
        <f>IF(F1298="", "", VLOOKUP(F1298, Inventory!A:BZ, 3, FALSE) - SUMIF($F$1:$F1297, F1298, $H$1:$H1297))
</f>
        <v/>
      </c>
      <c r="I1298" s="26"/>
      <c r="J1298" s="26" t="s">
        <v>77</v>
      </c>
      <c r="L1298" s="27" t="s">
        <v>77</v>
      </c>
      <c r="N1298" s="28" t="s">
        <v>77</v>
      </c>
      <c r="Q1298" s="30"/>
    </row>
    <row r="1299">
      <c r="B1299" s="6"/>
      <c r="C1299" s="33" t="str">
        <f t="array" ref="C1299">IF(B1299="", "", XLOOKUP(B1299, Inventory!D:D,Inventory!E:E,"No Name Found"))</f>
        <v/>
      </c>
      <c r="D1299" s="6"/>
      <c r="E1299" s="6"/>
      <c r="F1299" s="6"/>
      <c r="G1299" s="24" t="str">
        <f>IF(F1299="", "", VLOOKUP(F1299, Inventory!A:BZ, 3, FALSE) - SUMIF($F$1:$F1298, F1299, $H$1:$H1298))
</f>
        <v/>
      </c>
      <c r="I1299" s="26"/>
      <c r="J1299" s="26" t="s">
        <v>77</v>
      </c>
      <c r="L1299" s="27" t="s">
        <v>77</v>
      </c>
      <c r="N1299" s="28" t="s">
        <v>77</v>
      </c>
      <c r="Q1299" s="30"/>
    </row>
    <row r="1300">
      <c r="B1300" s="6"/>
      <c r="C1300" s="33" t="str">
        <f t="array" ref="C1300">IF(B1300="", "", XLOOKUP(B1300, Inventory!D:D,Inventory!E:E,"No Name Found"))</f>
        <v/>
      </c>
      <c r="D1300" s="6"/>
      <c r="E1300" s="6"/>
      <c r="F1300" s="6"/>
      <c r="G1300" s="24" t="str">
        <f>IF(F1300="", "", VLOOKUP(F1300, Inventory!A:BZ, 3, FALSE) - SUMIF($F$1:$F1299, F1300, $H$1:$H1299))
</f>
        <v/>
      </c>
      <c r="I1300" s="26"/>
      <c r="J1300" s="26" t="s">
        <v>77</v>
      </c>
      <c r="L1300" s="27" t="s">
        <v>77</v>
      </c>
      <c r="N1300" s="28" t="s">
        <v>77</v>
      </c>
      <c r="Q1300" s="30"/>
    </row>
    <row r="1301">
      <c r="B1301" s="6"/>
      <c r="C1301" s="33" t="str">
        <f t="array" ref="C1301">IF(B1301="", "", XLOOKUP(B1301, Inventory!D:D,Inventory!E:E,"No Name Found"))</f>
        <v/>
      </c>
      <c r="D1301" s="6"/>
      <c r="E1301" s="6"/>
      <c r="F1301" s="6"/>
      <c r="G1301" s="24" t="str">
        <f>IF(F1301="", "", VLOOKUP(F1301, Inventory!A:BZ, 3, FALSE) - SUMIF($F$1:$F1300, F1301, $H$1:$H1300))
</f>
        <v/>
      </c>
      <c r="I1301" s="26"/>
      <c r="J1301" s="26" t="s">
        <v>77</v>
      </c>
      <c r="L1301" s="27" t="s">
        <v>77</v>
      </c>
      <c r="N1301" s="28" t="s">
        <v>77</v>
      </c>
      <c r="Q1301" s="30"/>
    </row>
    <row r="1302">
      <c r="B1302" s="6"/>
      <c r="C1302" s="33" t="str">
        <f t="array" ref="C1302">IF(B1302="", "", XLOOKUP(B1302, Inventory!D:D,Inventory!E:E,"No Name Found"))</f>
        <v/>
      </c>
      <c r="D1302" s="6"/>
      <c r="E1302" s="6"/>
      <c r="F1302" s="6"/>
      <c r="G1302" s="24" t="str">
        <f>IF(F1302="", "", VLOOKUP(F1302, Inventory!A:BZ, 3, FALSE) - SUMIF($F$1:$F1301, F1302, $H$1:$H1301))
</f>
        <v/>
      </c>
      <c r="I1302" s="26"/>
      <c r="J1302" s="26" t="s">
        <v>77</v>
      </c>
      <c r="L1302" s="27" t="s">
        <v>77</v>
      </c>
      <c r="N1302" s="28" t="s">
        <v>77</v>
      </c>
      <c r="Q1302" s="30"/>
    </row>
    <row r="1303">
      <c r="B1303" s="6"/>
      <c r="C1303" s="33" t="str">
        <f t="array" ref="C1303">IF(B1303="", "", XLOOKUP(B1303, Inventory!D:D,Inventory!E:E,"No Name Found"))</f>
        <v/>
      </c>
      <c r="D1303" s="6"/>
      <c r="E1303" s="6"/>
      <c r="F1303" s="6"/>
      <c r="G1303" s="24" t="str">
        <f>IF(F1303="", "", VLOOKUP(F1303, Inventory!A:BZ, 3, FALSE) - SUMIF($F$1:$F1302, F1303, $H$1:$H1302))
</f>
        <v/>
      </c>
      <c r="I1303" s="26"/>
      <c r="J1303" s="26" t="s">
        <v>77</v>
      </c>
      <c r="L1303" s="27" t="s">
        <v>77</v>
      </c>
      <c r="N1303" s="28" t="s">
        <v>77</v>
      </c>
      <c r="Q1303" s="30"/>
    </row>
    <row r="1304">
      <c r="B1304" s="6"/>
      <c r="C1304" s="33" t="str">
        <f t="array" ref="C1304">IF(B1304="", "", XLOOKUP(B1304, Inventory!D:D,Inventory!E:E,"No Name Found"))</f>
        <v/>
      </c>
      <c r="D1304" s="6"/>
      <c r="E1304" s="6"/>
      <c r="F1304" s="6"/>
      <c r="G1304" s="24" t="str">
        <f>IF(F1304="", "", VLOOKUP(F1304, Inventory!A:BZ, 3, FALSE) - SUMIF($F$1:$F1303, F1304, $H$1:$H1303))
</f>
        <v/>
      </c>
      <c r="I1304" s="26"/>
      <c r="J1304" s="26" t="s">
        <v>77</v>
      </c>
      <c r="L1304" s="27" t="s">
        <v>77</v>
      </c>
      <c r="N1304" s="28" t="s">
        <v>77</v>
      </c>
      <c r="Q1304" s="30"/>
    </row>
    <row r="1305">
      <c r="B1305" s="6"/>
      <c r="C1305" s="33" t="str">
        <f t="array" ref="C1305">IF(B1305="", "", XLOOKUP(B1305, Inventory!D:D,Inventory!E:E,"No Name Found"))</f>
        <v/>
      </c>
      <c r="D1305" s="6"/>
      <c r="E1305" s="6"/>
      <c r="F1305" s="6"/>
      <c r="G1305" s="24" t="str">
        <f>IF(F1305="", "", VLOOKUP(F1305, Inventory!A:BZ, 3, FALSE) - SUMIF($F$1:$F1304, F1305, $H$1:$H1304))
</f>
        <v/>
      </c>
      <c r="I1305" s="26"/>
      <c r="J1305" s="26" t="s">
        <v>77</v>
      </c>
      <c r="L1305" s="27" t="s">
        <v>77</v>
      </c>
      <c r="N1305" s="28" t="s">
        <v>77</v>
      </c>
      <c r="Q1305" s="30"/>
    </row>
    <row r="1306">
      <c r="B1306" s="6"/>
      <c r="C1306" s="33" t="str">
        <f t="array" ref="C1306">IF(B1306="", "", XLOOKUP(B1306, Inventory!D:D,Inventory!E:E,"No Name Found"))</f>
        <v/>
      </c>
      <c r="D1306" s="6"/>
      <c r="E1306" s="6"/>
      <c r="F1306" s="6"/>
      <c r="G1306" s="24" t="str">
        <f>IF(F1306="", "", VLOOKUP(F1306, Inventory!A:BZ, 3, FALSE) - SUMIF($F$1:$F1305, F1306, $H$1:$H1305))
</f>
        <v/>
      </c>
      <c r="I1306" s="26"/>
      <c r="J1306" s="26" t="s">
        <v>77</v>
      </c>
      <c r="L1306" s="27" t="s">
        <v>77</v>
      </c>
      <c r="N1306" s="28" t="s">
        <v>77</v>
      </c>
      <c r="Q1306" s="30"/>
    </row>
    <row r="1307">
      <c r="B1307" s="6"/>
      <c r="C1307" s="33" t="str">
        <f t="array" ref="C1307">IF(B1307="", "", XLOOKUP(B1307, Inventory!D:D,Inventory!E:E,"No Name Found"))</f>
        <v/>
      </c>
      <c r="D1307" s="6"/>
      <c r="E1307" s="6"/>
      <c r="F1307" s="6"/>
      <c r="G1307" s="24" t="str">
        <f>IF(F1307="", "", VLOOKUP(F1307, Inventory!A:BZ, 3, FALSE) - SUMIF($F$1:$F1306, F1307, $H$1:$H1306))
</f>
        <v/>
      </c>
      <c r="I1307" s="26"/>
      <c r="J1307" s="26" t="s">
        <v>77</v>
      </c>
      <c r="L1307" s="27" t="s">
        <v>77</v>
      </c>
      <c r="N1307" s="28" t="s">
        <v>77</v>
      </c>
      <c r="Q1307" s="30"/>
    </row>
    <row r="1308">
      <c r="B1308" s="6"/>
      <c r="C1308" s="33" t="str">
        <f t="array" ref="C1308">IF(B1308="", "", XLOOKUP(B1308, Inventory!D:D,Inventory!E:E,"No Name Found"))</f>
        <v/>
      </c>
      <c r="D1308" s="6"/>
      <c r="E1308" s="6"/>
      <c r="F1308" s="6"/>
      <c r="G1308" s="24" t="str">
        <f>IF(F1308="", "", VLOOKUP(F1308, Inventory!A:BZ, 3, FALSE) - SUMIF($F$1:$F1307, F1308, $H$1:$H1307))
</f>
        <v/>
      </c>
      <c r="I1308" s="26"/>
      <c r="J1308" s="26" t="s">
        <v>77</v>
      </c>
      <c r="L1308" s="27" t="s">
        <v>77</v>
      </c>
      <c r="N1308" s="28" t="s">
        <v>77</v>
      </c>
      <c r="Q1308" s="30"/>
    </row>
    <row r="1309">
      <c r="B1309" s="6"/>
      <c r="C1309" s="33" t="str">
        <f t="array" ref="C1309">IF(B1309="", "", XLOOKUP(B1309, Inventory!D:D,Inventory!E:E,"No Name Found"))</f>
        <v/>
      </c>
      <c r="D1309" s="6"/>
      <c r="E1309" s="6"/>
      <c r="F1309" s="6"/>
      <c r="G1309" s="24" t="str">
        <f>IF(F1309="", "", VLOOKUP(F1309, Inventory!A:BZ, 3, FALSE) - SUMIF($F$1:$F1308, F1309, $H$1:$H1308))
</f>
        <v/>
      </c>
      <c r="I1309" s="26"/>
      <c r="J1309" s="26" t="s">
        <v>77</v>
      </c>
      <c r="L1309" s="27" t="s">
        <v>77</v>
      </c>
      <c r="N1309" s="28" t="s">
        <v>77</v>
      </c>
      <c r="Q1309" s="30"/>
    </row>
    <row r="1310">
      <c r="B1310" s="6"/>
      <c r="C1310" s="33" t="str">
        <f t="array" ref="C1310">IF(B1310="", "", XLOOKUP(B1310, Inventory!D:D,Inventory!E:E,"No Name Found"))</f>
        <v/>
      </c>
      <c r="D1310" s="6"/>
      <c r="E1310" s="6"/>
      <c r="F1310" s="6"/>
      <c r="G1310" s="24" t="str">
        <f>IF(F1310="", "", VLOOKUP(F1310, Inventory!A:BZ, 3, FALSE) - SUMIF($F$1:$F1309, F1310, $H$1:$H1309))
</f>
        <v/>
      </c>
      <c r="I1310" s="26"/>
      <c r="J1310" s="26" t="s">
        <v>77</v>
      </c>
      <c r="L1310" s="27" t="s">
        <v>77</v>
      </c>
      <c r="N1310" s="28" t="s">
        <v>77</v>
      </c>
      <c r="Q1310" s="30"/>
    </row>
    <row r="1311">
      <c r="B1311" s="6"/>
      <c r="C1311" s="33" t="str">
        <f t="array" ref="C1311">IF(B1311="", "", XLOOKUP(B1311, Inventory!D:D,Inventory!E:E,"No Name Found"))</f>
        <v/>
      </c>
      <c r="D1311" s="6"/>
      <c r="E1311" s="6"/>
      <c r="F1311" s="6"/>
      <c r="G1311" s="24" t="str">
        <f>IF(F1311="", "", VLOOKUP(F1311, Inventory!A:BZ, 3, FALSE) - SUMIF($F$1:$F1310, F1311, $H$1:$H1310))
</f>
        <v/>
      </c>
      <c r="I1311" s="26"/>
      <c r="J1311" s="26" t="s">
        <v>77</v>
      </c>
      <c r="L1311" s="27" t="s">
        <v>77</v>
      </c>
      <c r="N1311" s="28" t="s">
        <v>77</v>
      </c>
      <c r="Q1311" s="30"/>
    </row>
    <row r="1312">
      <c r="B1312" s="6"/>
      <c r="C1312" s="33" t="str">
        <f t="array" ref="C1312">IF(B1312="", "", XLOOKUP(B1312, Inventory!D:D,Inventory!E:E,"No Name Found"))</f>
        <v/>
      </c>
      <c r="D1312" s="6"/>
      <c r="E1312" s="6"/>
      <c r="F1312" s="6"/>
      <c r="G1312" s="24" t="str">
        <f>IF(F1312="", "", VLOOKUP(F1312, Inventory!A:BZ, 3, FALSE) - SUMIF($F$1:$F1311, F1312, $H$1:$H1311))
</f>
        <v/>
      </c>
      <c r="I1312" s="26"/>
      <c r="J1312" s="26" t="s">
        <v>77</v>
      </c>
      <c r="L1312" s="27" t="s">
        <v>77</v>
      </c>
      <c r="N1312" s="28" t="s">
        <v>77</v>
      </c>
      <c r="Q1312" s="30"/>
    </row>
    <row r="1313">
      <c r="B1313" s="6"/>
      <c r="C1313" s="33" t="str">
        <f t="array" ref="C1313">IF(B1313="", "", XLOOKUP(B1313, Inventory!D:D,Inventory!E:E,"No Name Found"))</f>
        <v/>
      </c>
      <c r="D1313" s="6"/>
      <c r="E1313" s="6"/>
      <c r="F1313" s="6"/>
      <c r="G1313" s="24" t="str">
        <f>IF(F1313="", "", VLOOKUP(F1313, Inventory!A:BZ, 3, FALSE) - SUMIF($F$1:$F1312, F1313, $H$1:$H1312))
</f>
        <v/>
      </c>
      <c r="I1313" s="26"/>
      <c r="J1313" s="26" t="s">
        <v>77</v>
      </c>
      <c r="L1313" s="27" t="s">
        <v>77</v>
      </c>
      <c r="N1313" s="28" t="s">
        <v>77</v>
      </c>
      <c r="Q1313" s="30"/>
    </row>
    <row r="1314">
      <c r="B1314" s="6"/>
      <c r="C1314" s="33" t="str">
        <f t="array" ref="C1314">IF(B1314="", "", XLOOKUP(B1314, Inventory!D:D,Inventory!E:E,"No Name Found"))</f>
        <v/>
      </c>
      <c r="D1314" s="6"/>
      <c r="E1314" s="6"/>
      <c r="F1314" s="6"/>
      <c r="G1314" s="24" t="str">
        <f>IF(F1314="", "", VLOOKUP(F1314, Inventory!A:BZ, 3, FALSE) - SUMIF($F$1:$F1313, F1314, $H$1:$H1313))
</f>
        <v/>
      </c>
      <c r="I1314" s="26"/>
      <c r="J1314" s="26" t="s">
        <v>77</v>
      </c>
      <c r="L1314" s="27" t="s">
        <v>77</v>
      </c>
      <c r="N1314" s="28" t="s">
        <v>77</v>
      </c>
      <c r="Q1314" s="30"/>
    </row>
    <row r="1315">
      <c r="B1315" s="6"/>
      <c r="C1315" s="33" t="str">
        <f t="array" ref="C1315">IF(B1315="", "", XLOOKUP(B1315, Inventory!D:D,Inventory!E:E,"No Name Found"))</f>
        <v/>
      </c>
      <c r="D1315" s="6"/>
      <c r="E1315" s="6"/>
      <c r="F1315" s="6"/>
      <c r="G1315" s="24" t="str">
        <f>IF(F1315="", "", VLOOKUP(F1315, Inventory!A:BZ, 3, FALSE) - SUMIF($F$1:$F1314, F1315, $H$1:$H1314))
</f>
        <v/>
      </c>
      <c r="I1315" s="26"/>
      <c r="J1315" s="26" t="s">
        <v>77</v>
      </c>
      <c r="L1315" s="27" t="s">
        <v>77</v>
      </c>
      <c r="N1315" s="28" t="s">
        <v>77</v>
      </c>
      <c r="Q1315" s="30"/>
    </row>
    <row r="1316">
      <c r="B1316" s="6"/>
      <c r="C1316" s="33" t="str">
        <f t="array" ref="C1316">IF(B1316="", "", XLOOKUP(B1316, Inventory!D:D,Inventory!E:E,"No Name Found"))</f>
        <v/>
      </c>
      <c r="D1316" s="6"/>
      <c r="E1316" s="6"/>
      <c r="F1316" s="6"/>
      <c r="G1316" s="24" t="str">
        <f>IF(F1316="", "", VLOOKUP(F1316, Inventory!A:BZ, 3, FALSE) - SUMIF($F$1:$F1315, F1316, $H$1:$H1315))
</f>
        <v/>
      </c>
      <c r="I1316" s="26"/>
      <c r="J1316" s="26" t="s">
        <v>77</v>
      </c>
      <c r="L1316" s="27" t="s">
        <v>77</v>
      </c>
      <c r="N1316" s="28" t="s">
        <v>77</v>
      </c>
      <c r="Q1316" s="30"/>
    </row>
    <row r="1317">
      <c r="B1317" s="6"/>
      <c r="C1317" s="33" t="str">
        <f t="array" ref="C1317">IF(B1317="", "", XLOOKUP(B1317, Inventory!D:D,Inventory!E:E,"No Name Found"))</f>
        <v/>
      </c>
      <c r="D1317" s="6"/>
      <c r="E1317" s="6"/>
      <c r="F1317" s="6"/>
      <c r="G1317" s="24" t="str">
        <f>IF(F1317="", "", VLOOKUP(F1317, Inventory!A:BZ, 3, FALSE) - SUMIF($F$1:$F1316, F1317, $H$1:$H1316))
</f>
        <v/>
      </c>
      <c r="I1317" s="26"/>
      <c r="J1317" s="26" t="s">
        <v>77</v>
      </c>
      <c r="L1317" s="27" t="s">
        <v>77</v>
      </c>
      <c r="N1317" s="28" t="s">
        <v>77</v>
      </c>
      <c r="Q1317" s="30"/>
    </row>
    <row r="1318">
      <c r="B1318" s="6"/>
      <c r="C1318" s="33" t="str">
        <f t="array" ref="C1318">IF(B1318="", "", XLOOKUP(B1318, Inventory!D:D,Inventory!E:E,"No Name Found"))</f>
        <v/>
      </c>
      <c r="D1318" s="6"/>
      <c r="E1318" s="6"/>
      <c r="F1318" s="6"/>
      <c r="G1318" s="24" t="str">
        <f>IF(F1318="", "", VLOOKUP(F1318, Inventory!A:BZ, 3, FALSE) - SUMIF($F$1:$F1317, F1318, $H$1:$H1317))
</f>
        <v/>
      </c>
      <c r="I1318" s="26"/>
      <c r="J1318" s="26" t="s">
        <v>77</v>
      </c>
      <c r="L1318" s="27" t="s">
        <v>77</v>
      </c>
      <c r="N1318" s="28" t="s">
        <v>77</v>
      </c>
      <c r="Q1318" s="30"/>
    </row>
    <row r="1319">
      <c r="B1319" s="6"/>
      <c r="C1319" s="33" t="str">
        <f t="array" ref="C1319">IF(B1319="", "", XLOOKUP(B1319, Inventory!D:D,Inventory!E:E,"No Name Found"))</f>
        <v/>
      </c>
      <c r="D1319" s="6"/>
      <c r="E1319" s="6"/>
      <c r="F1319" s="6"/>
      <c r="G1319" s="24" t="str">
        <f>IF(F1319="", "", VLOOKUP(F1319, Inventory!A:BZ, 3, FALSE) - SUMIF($F$1:$F1318, F1319, $H$1:$H1318))
</f>
        <v/>
      </c>
      <c r="I1319" s="26"/>
      <c r="J1319" s="26" t="s">
        <v>77</v>
      </c>
      <c r="L1319" s="27" t="s">
        <v>77</v>
      </c>
      <c r="N1319" s="28" t="s">
        <v>77</v>
      </c>
      <c r="Q1319" s="30"/>
    </row>
    <row r="1320">
      <c r="B1320" s="6"/>
      <c r="C1320" s="33" t="str">
        <f t="array" ref="C1320">IF(B1320="", "", XLOOKUP(B1320, Inventory!D:D,Inventory!E:E,"No Name Found"))</f>
        <v/>
      </c>
      <c r="D1320" s="6"/>
      <c r="E1320" s="6"/>
      <c r="F1320" s="6"/>
      <c r="G1320" s="24" t="str">
        <f>IF(F1320="", "", VLOOKUP(F1320, Inventory!A:BZ, 3, FALSE) - SUMIF($F$1:$F1319, F1320, $H$1:$H1319))
</f>
        <v/>
      </c>
      <c r="I1320" s="26"/>
      <c r="J1320" s="26" t="s">
        <v>77</v>
      </c>
      <c r="L1320" s="27" t="s">
        <v>77</v>
      </c>
      <c r="N1320" s="28" t="s">
        <v>77</v>
      </c>
      <c r="Q1320" s="30"/>
    </row>
    <row r="1321">
      <c r="B1321" s="6"/>
      <c r="C1321" s="33" t="str">
        <f t="array" ref="C1321">IF(B1321="", "", XLOOKUP(B1321, Inventory!D:D,Inventory!E:E,"No Name Found"))</f>
        <v/>
      </c>
      <c r="D1321" s="6"/>
      <c r="E1321" s="6"/>
      <c r="F1321" s="6"/>
      <c r="G1321" s="24" t="str">
        <f>IF(F1321="", "", VLOOKUP(F1321, Inventory!A:BZ, 3, FALSE) - SUMIF($F$1:$F1320, F1321, $H$1:$H1320))
</f>
        <v/>
      </c>
      <c r="I1321" s="26"/>
      <c r="J1321" s="26" t="s">
        <v>77</v>
      </c>
      <c r="L1321" s="27" t="s">
        <v>77</v>
      </c>
      <c r="N1321" s="28" t="s">
        <v>77</v>
      </c>
      <c r="Q1321" s="30"/>
    </row>
    <row r="1322">
      <c r="B1322" s="6"/>
      <c r="C1322" s="33" t="str">
        <f t="array" ref="C1322">IF(B1322="", "", XLOOKUP(B1322, Inventory!D:D,Inventory!E:E,"No Name Found"))</f>
        <v/>
      </c>
      <c r="D1322" s="6"/>
      <c r="E1322" s="6"/>
      <c r="F1322" s="6"/>
      <c r="G1322" s="24" t="str">
        <f>IF(F1322="", "", VLOOKUP(F1322, Inventory!A:BZ, 3, FALSE) - SUMIF($F$1:$F1321, F1322, $H$1:$H1321))
</f>
        <v/>
      </c>
      <c r="I1322" s="26"/>
      <c r="J1322" s="26" t="s">
        <v>77</v>
      </c>
      <c r="L1322" s="27" t="s">
        <v>77</v>
      </c>
      <c r="N1322" s="28" t="s">
        <v>77</v>
      </c>
      <c r="Q1322" s="30"/>
    </row>
    <row r="1323">
      <c r="B1323" s="6"/>
      <c r="C1323" s="33" t="str">
        <f t="array" ref="C1323">IF(B1323="", "", XLOOKUP(B1323, Inventory!D:D,Inventory!E:E,"No Name Found"))</f>
        <v/>
      </c>
      <c r="D1323" s="6"/>
      <c r="E1323" s="6"/>
      <c r="F1323" s="6"/>
      <c r="G1323" s="24" t="str">
        <f>IF(F1323="", "", VLOOKUP(F1323, Inventory!A:BZ, 3, FALSE) - SUMIF($F$1:$F1322, F1323, $H$1:$H1322))
</f>
        <v/>
      </c>
      <c r="I1323" s="26"/>
      <c r="J1323" s="26" t="s">
        <v>77</v>
      </c>
      <c r="L1323" s="27" t="s">
        <v>77</v>
      </c>
      <c r="N1323" s="28" t="s">
        <v>77</v>
      </c>
      <c r="Q1323" s="30"/>
    </row>
    <row r="1324">
      <c r="B1324" s="6"/>
      <c r="C1324" s="33" t="str">
        <f t="array" ref="C1324">IF(B1324="", "", XLOOKUP(B1324, Inventory!D:D,Inventory!E:E,"No Name Found"))</f>
        <v/>
      </c>
      <c r="D1324" s="6"/>
      <c r="E1324" s="6"/>
      <c r="F1324" s="6"/>
      <c r="G1324" s="24" t="str">
        <f>IF(F1324="", "", VLOOKUP(F1324, Inventory!A:BZ, 3, FALSE) - SUMIF($F$1:$F1323, F1324, $H$1:$H1323))
</f>
        <v/>
      </c>
      <c r="I1324" s="26"/>
      <c r="J1324" s="26" t="s">
        <v>77</v>
      </c>
      <c r="L1324" s="27" t="s">
        <v>77</v>
      </c>
      <c r="N1324" s="28" t="s">
        <v>77</v>
      </c>
      <c r="Q1324" s="30"/>
    </row>
    <row r="1325">
      <c r="B1325" s="6"/>
      <c r="C1325" s="33" t="str">
        <f t="array" ref="C1325">IF(B1325="", "", XLOOKUP(B1325, Inventory!D:D,Inventory!E:E,"No Name Found"))</f>
        <v/>
      </c>
      <c r="D1325" s="6"/>
      <c r="E1325" s="6"/>
      <c r="F1325" s="6"/>
      <c r="G1325" s="24" t="str">
        <f>IF(F1325="", "", VLOOKUP(F1325, Inventory!A:BZ, 3, FALSE) - SUMIF($F$1:$F1324, F1325, $H$1:$H1324))
</f>
        <v/>
      </c>
      <c r="I1325" s="26"/>
      <c r="J1325" s="26" t="s">
        <v>77</v>
      </c>
      <c r="L1325" s="27" t="s">
        <v>77</v>
      </c>
      <c r="N1325" s="28" t="s">
        <v>77</v>
      </c>
      <c r="Q1325" s="30"/>
    </row>
    <row r="1326">
      <c r="B1326" s="6"/>
      <c r="C1326" s="33" t="str">
        <f t="array" ref="C1326">IF(B1326="", "", XLOOKUP(B1326, Inventory!D:D,Inventory!E:E,"No Name Found"))</f>
        <v/>
      </c>
      <c r="D1326" s="6"/>
      <c r="E1326" s="6"/>
      <c r="F1326" s="6"/>
      <c r="G1326" s="24" t="str">
        <f>IF(F1326="", "", VLOOKUP(F1326, Inventory!A:BZ, 3, FALSE) - SUMIF($F$1:$F1325, F1326, $H$1:$H1325))
</f>
        <v/>
      </c>
      <c r="I1326" s="26"/>
      <c r="J1326" s="26" t="s">
        <v>77</v>
      </c>
      <c r="L1326" s="27" t="s">
        <v>77</v>
      </c>
      <c r="N1326" s="28" t="s">
        <v>77</v>
      </c>
      <c r="Q1326" s="30"/>
    </row>
    <row r="1327">
      <c r="B1327" s="6"/>
      <c r="C1327" s="33" t="str">
        <f t="array" ref="C1327">IF(B1327="", "", XLOOKUP(B1327, Inventory!D:D,Inventory!E:E,"No Name Found"))</f>
        <v/>
      </c>
      <c r="D1327" s="6"/>
      <c r="E1327" s="6"/>
      <c r="F1327" s="6"/>
      <c r="G1327" s="24" t="str">
        <f>IF(F1327="", "", VLOOKUP(F1327, Inventory!A:BZ, 3, FALSE) - SUMIF($F$1:$F1326, F1327, $H$1:$H1326))
</f>
        <v/>
      </c>
      <c r="I1327" s="26"/>
      <c r="J1327" s="26" t="s">
        <v>77</v>
      </c>
      <c r="L1327" s="27" t="s">
        <v>77</v>
      </c>
      <c r="N1327" s="28" t="s">
        <v>77</v>
      </c>
      <c r="Q1327" s="30"/>
    </row>
    <row r="1328">
      <c r="B1328" s="6"/>
      <c r="C1328" s="33" t="str">
        <f t="array" ref="C1328">IF(B1328="", "", XLOOKUP(B1328, Inventory!D:D,Inventory!E:E,"No Name Found"))</f>
        <v/>
      </c>
      <c r="D1328" s="6"/>
      <c r="E1328" s="6"/>
      <c r="F1328" s="6"/>
      <c r="G1328" s="24" t="str">
        <f>IF(F1328="", "", VLOOKUP(F1328, Inventory!A:BZ, 3, FALSE) - SUMIF($F$1:$F1327, F1328, $H$1:$H1327))
</f>
        <v/>
      </c>
      <c r="I1328" s="26"/>
      <c r="J1328" s="26" t="s">
        <v>77</v>
      </c>
      <c r="L1328" s="27" t="s">
        <v>77</v>
      </c>
      <c r="N1328" s="28" t="s">
        <v>77</v>
      </c>
      <c r="Q1328" s="30"/>
    </row>
    <row r="1329">
      <c r="B1329" s="6"/>
      <c r="C1329" s="33" t="str">
        <f t="array" ref="C1329">IF(B1329="", "", XLOOKUP(B1329, Inventory!D:D,Inventory!E:E,"No Name Found"))</f>
        <v/>
      </c>
      <c r="D1329" s="6"/>
      <c r="E1329" s="6"/>
      <c r="F1329" s="6"/>
      <c r="G1329" s="24" t="str">
        <f>IF(F1329="", "", VLOOKUP(F1329, Inventory!A:BZ, 3, FALSE) - SUMIF($F$1:$F1328, F1329, $H$1:$H1328))
</f>
        <v/>
      </c>
      <c r="I1329" s="26"/>
      <c r="J1329" s="26" t="s">
        <v>77</v>
      </c>
      <c r="L1329" s="27" t="s">
        <v>77</v>
      </c>
      <c r="N1329" s="28" t="s">
        <v>77</v>
      </c>
      <c r="Q1329" s="30"/>
    </row>
    <row r="1330">
      <c r="B1330" s="6"/>
      <c r="C1330" s="33" t="str">
        <f t="array" ref="C1330">IF(B1330="", "", XLOOKUP(B1330, Inventory!D:D,Inventory!E:E,"No Name Found"))</f>
        <v/>
      </c>
      <c r="D1330" s="6"/>
      <c r="E1330" s="6"/>
      <c r="F1330" s="6"/>
      <c r="G1330" s="24" t="str">
        <f>IF(F1330="", "", VLOOKUP(F1330, Inventory!A:BZ, 3, FALSE) - SUMIF($F$1:$F1329, F1330, $H$1:$H1329))
</f>
        <v/>
      </c>
      <c r="I1330" s="26"/>
      <c r="J1330" s="26" t="s">
        <v>77</v>
      </c>
      <c r="L1330" s="27" t="s">
        <v>77</v>
      </c>
      <c r="N1330" s="28" t="s">
        <v>77</v>
      </c>
      <c r="Q1330" s="30"/>
    </row>
    <row r="1331">
      <c r="B1331" s="6"/>
      <c r="C1331" s="33" t="str">
        <f t="array" ref="C1331">IF(B1331="", "", XLOOKUP(B1331, Inventory!D:D,Inventory!E:E,"No Name Found"))</f>
        <v/>
      </c>
      <c r="D1331" s="6"/>
      <c r="E1331" s="6"/>
      <c r="F1331" s="6"/>
      <c r="G1331" s="24" t="str">
        <f>IF(F1331="", "", VLOOKUP(F1331, Inventory!A:BZ, 3, FALSE) - SUMIF($F$1:$F1330, F1331, $H$1:$H1330))
</f>
        <v/>
      </c>
      <c r="I1331" s="26"/>
      <c r="J1331" s="26" t="s">
        <v>77</v>
      </c>
      <c r="L1331" s="27" t="s">
        <v>77</v>
      </c>
      <c r="N1331" s="28" t="s">
        <v>77</v>
      </c>
      <c r="Q1331" s="30"/>
    </row>
    <row r="1332">
      <c r="B1332" s="6"/>
      <c r="C1332" s="33" t="str">
        <f t="array" ref="C1332">IF(B1332="", "", XLOOKUP(B1332, Inventory!D:D,Inventory!E:E,"No Name Found"))</f>
        <v/>
      </c>
      <c r="D1332" s="6"/>
      <c r="E1332" s="6"/>
      <c r="F1332" s="6"/>
      <c r="G1332" s="24" t="str">
        <f>IF(F1332="", "", VLOOKUP(F1332, Inventory!A:BZ, 3, FALSE) - SUMIF($F$1:$F1331, F1332, $H$1:$H1331))
</f>
        <v/>
      </c>
      <c r="I1332" s="26"/>
      <c r="J1332" s="26" t="s">
        <v>77</v>
      </c>
      <c r="L1332" s="27" t="s">
        <v>77</v>
      </c>
      <c r="N1332" s="28" t="s">
        <v>77</v>
      </c>
      <c r="Q1332" s="30"/>
    </row>
    <row r="1333">
      <c r="B1333" s="6"/>
      <c r="C1333" s="33" t="str">
        <f t="array" ref="C1333">IF(B1333="", "", XLOOKUP(B1333, Inventory!D:D,Inventory!E:E,"No Name Found"))</f>
        <v/>
      </c>
      <c r="D1333" s="6"/>
      <c r="E1333" s="6"/>
      <c r="F1333" s="6"/>
      <c r="G1333" s="24" t="str">
        <f>IF(F1333="", "", VLOOKUP(F1333, Inventory!A:BZ, 3, FALSE) - SUMIF($F$1:$F1332, F1333, $H$1:$H1332))
</f>
        <v/>
      </c>
      <c r="I1333" s="26"/>
      <c r="J1333" s="26" t="s">
        <v>77</v>
      </c>
      <c r="L1333" s="27" t="s">
        <v>77</v>
      </c>
      <c r="N1333" s="28" t="s">
        <v>77</v>
      </c>
      <c r="Q1333" s="30"/>
    </row>
    <row r="1334">
      <c r="B1334" s="6"/>
      <c r="C1334" s="33" t="str">
        <f t="array" ref="C1334">IF(B1334="", "", XLOOKUP(B1334, Inventory!D:D,Inventory!E:E,"No Name Found"))</f>
        <v/>
      </c>
      <c r="D1334" s="6"/>
      <c r="E1334" s="6"/>
      <c r="F1334" s="6"/>
      <c r="G1334" s="24" t="str">
        <f>IF(F1334="", "", VLOOKUP(F1334, Inventory!A:BZ, 3, FALSE) - SUMIF($F$1:$F1333, F1334, $H$1:$H1333))
</f>
        <v/>
      </c>
      <c r="I1334" s="26"/>
      <c r="J1334" s="26" t="s">
        <v>77</v>
      </c>
      <c r="L1334" s="27" t="s">
        <v>77</v>
      </c>
      <c r="N1334" s="28" t="s">
        <v>77</v>
      </c>
      <c r="Q1334" s="30"/>
    </row>
    <row r="1335">
      <c r="B1335" s="6"/>
      <c r="C1335" s="33" t="str">
        <f t="array" ref="C1335">IF(B1335="", "", XLOOKUP(B1335, Inventory!D:D,Inventory!E:E,"No Name Found"))</f>
        <v/>
      </c>
      <c r="D1335" s="6"/>
      <c r="E1335" s="6"/>
      <c r="F1335" s="6"/>
      <c r="G1335" s="24" t="str">
        <f>IF(F1335="", "", VLOOKUP(F1335, Inventory!A:BZ, 3, FALSE) - SUMIF($F$1:$F1334, F1335, $H$1:$H1334))
</f>
        <v/>
      </c>
      <c r="I1335" s="26"/>
      <c r="J1335" s="26" t="s">
        <v>77</v>
      </c>
      <c r="L1335" s="27" t="s">
        <v>77</v>
      </c>
      <c r="N1335" s="28" t="s">
        <v>77</v>
      </c>
      <c r="Q1335" s="30"/>
    </row>
    <row r="1336">
      <c r="B1336" s="6"/>
      <c r="C1336" s="33" t="str">
        <f t="array" ref="C1336">IF(B1336="", "", XLOOKUP(B1336, Inventory!D:D,Inventory!E:E,"No Name Found"))</f>
        <v/>
      </c>
      <c r="D1336" s="6"/>
      <c r="E1336" s="6"/>
      <c r="F1336" s="6"/>
      <c r="G1336" s="24" t="str">
        <f>IF(F1336="", "", VLOOKUP(F1336, Inventory!A:BZ, 3, FALSE) - SUMIF($F$1:$F1335, F1336, $H$1:$H1335))
</f>
        <v/>
      </c>
      <c r="I1336" s="26"/>
      <c r="J1336" s="26" t="s">
        <v>77</v>
      </c>
      <c r="L1336" s="27" t="s">
        <v>77</v>
      </c>
      <c r="N1336" s="28" t="s">
        <v>77</v>
      </c>
      <c r="Q1336" s="30"/>
    </row>
    <row r="1337">
      <c r="B1337" s="6"/>
      <c r="C1337" s="33" t="str">
        <f t="array" ref="C1337">IF(B1337="", "", XLOOKUP(B1337, Inventory!D:D,Inventory!E:E,"No Name Found"))</f>
        <v/>
      </c>
      <c r="D1337" s="6"/>
      <c r="E1337" s="6"/>
      <c r="F1337" s="6"/>
      <c r="G1337" s="24" t="str">
        <f>IF(F1337="", "", VLOOKUP(F1337, Inventory!A:BZ, 3, FALSE) - SUMIF($F$1:$F1336, F1337, $H$1:$H1336))
</f>
        <v/>
      </c>
      <c r="I1337" s="26"/>
      <c r="J1337" s="26" t="s">
        <v>77</v>
      </c>
      <c r="L1337" s="27" t="s">
        <v>77</v>
      </c>
      <c r="N1337" s="28" t="s">
        <v>77</v>
      </c>
      <c r="Q1337" s="30"/>
    </row>
    <row r="1338">
      <c r="B1338" s="6"/>
      <c r="C1338" s="33" t="str">
        <f t="array" ref="C1338">IF(B1338="", "", XLOOKUP(B1338, Inventory!D:D,Inventory!E:E,"No Name Found"))</f>
        <v/>
      </c>
      <c r="D1338" s="6"/>
      <c r="E1338" s="6"/>
      <c r="F1338" s="6"/>
      <c r="G1338" s="24" t="str">
        <f>IF(F1338="", "", VLOOKUP(F1338, Inventory!A:BZ, 3, FALSE) - SUMIF($F$1:$F1337, F1338, $H$1:$H1337))
</f>
        <v/>
      </c>
      <c r="I1338" s="26"/>
      <c r="J1338" s="26" t="s">
        <v>77</v>
      </c>
      <c r="L1338" s="27" t="s">
        <v>77</v>
      </c>
      <c r="N1338" s="28" t="s">
        <v>77</v>
      </c>
      <c r="Q1338" s="30"/>
    </row>
    <row r="1339">
      <c r="B1339" s="6"/>
      <c r="C1339" s="33" t="str">
        <f t="array" ref="C1339">IF(B1339="", "", XLOOKUP(B1339, Inventory!D:D,Inventory!E:E,"No Name Found"))</f>
        <v/>
      </c>
      <c r="D1339" s="6"/>
      <c r="E1339" s="6"/>
      <c r="F1339" s="6"/>
      <c r="G1339" s="24" t="str">
        <f>IF(F1339="", "", VLOOKUP(F1339, Inventory!A:BZ, 3, FALSE) - SUMIF($F$1:$F1338, F1339, $H$1:$H1338))
</f>
        <v/>
      </c>
      <c r="I1339" s="26"/>
      <c r="J1339" s="26" t="s">
        <v>77</v>
      </c>
      <c r="L1339" s="27" t="s">
        <v>77</v>
      </c>
      <c r="N1339" s="28" t="s">
        <v>77</v>
      </c>
      <c r="Q1339" s="30"/>
    </row>
    <row r="1340">
      <c r="B1340" s="6"/>
      <c r="C1340" s="33" t="str">
        <f t="array" ref="C1340">IF(B1340="", "", XLOOKUP(B1340, Inventory!D:D,Inventory!E:E,"No Name Found"))</f>
        <v/>
      </c>
      <c r="D1340" s="6"/>
      <c r="E1340" s="6"/>
      <c r="F1340" s="6"/>
      <c r="G1340" s="24" t="str">
        <f>IF(F1340="", "", VLOOKUP(F1340, Inventory!A:BZ, 3, FALSE) - SUMIF($F$1:$F1339, F1340, $H$1:$H1339))
</f>
        <v/>
      </c>
      <c r="I1340" s="26"/>
      <c r="J1340" s="26" t="s">
        <v>77</v>
      </c>
      <c r="L1340" s="27" t="s">
        <v>77</v>
      </c>
      <c r="N1340" s="28" t="s">
        <v>77</v>
      </c>
      <c r="Q1340" s="30"/>
    </row>
    <row r="1341">
      <c r="B1341" s="6"/>
      <c r="C1341" s="33" t="str">
        <f t="array" ref="C1341">IF(B1341="", "", XLOOKUP(B1341, Inventory!D:D,Inventory!E:E,"No Name Found"))</f>
        <v/>
      </c>
      <c r="D1341" s="6"/>
      <c r="E1341" s="6"/>
      <c r="F1341" s="6"/>
      <c r="G1341" s="24" t="str">
        <f>IF(F1341="", "", VLOOKUP(F1341, Inventory!A:BZ, 3, FALSE) - SUMIF($F$1:$F1340, F1341, $H$1:$H1340))
</f>
        <v/>
      </c>
      <c r="I1341" s="26"/>
      <c r="J1341" s="26" t="s">
        <v>77</v>
      </c>
      <c r="L1341" s="27" t="s">
        <v>77</v>
      </c>
      <c r="N1341" s="28" t="s">
        <v>77</v>
      </c>
      <c r="Q1341" s="30"/>
    </row>
    <row r="1342">
      <c r="B1342" s="6"/>
      <c r="C1342" s="33" t="str">
        <f t="array" ref="C1342">IF(B1342="", "", XLOOKUP(B1342, Inventory!D:D,Inventory!E:E,"No Name Found"))</f>
        <v/>
      </c>
      <c r="D1342" s="6"/>
      <c r="E1342" s="6"/>
      <c r="F1342" s="6"/>
      <c r="G1342" s="24" t="str">
        <f>IF(F1342="", "", VLOOKUP(F1342, Inventory!A:BZ, 3, FALSE) - SUMIF($F$1:$F1341, F1342, $H$1:$H1341))
</f>
        <v/>
      </c>
      <c r="I1342" s="26"/>
      <c r="J1342" s="26" t="s">
        <v>77</v>
      </c>
      <c r="L1342" s="27" t="s">
        <v>77</v>
      </c>
      <c r="N1342" s="28" t="s">
        <v>77</v>
      </c>
      <c r="Q1342" s="30"/>
    </row>
    <row r="1343">
      <c r="B1343" s="6"/>
      <c r="C1343" s="33" t="str">
        <f t="array" ref="C1343">IF(B1343="", "", XLOOKUP(B1343, Inventory!D:D,Inventory!E:E,"No Name Found"))</f>
        <v/>
      </c>
      <c r="D1343" s="6"/>
      <c r="E1343" s="6"/>
      <c r="F1343" s="6"/>
      <c r="G1343" s="24" t="str">
        <f>IF(F1343="", "", VLOOKUP(F1343, Inventory!A:BZ, 3, FALSE) - SUMIF($F$1:$F1342, F1343, $H$1:$H1342))
</f>
        <v/>
      </c>
      <c r="I1343" s="26"/>
      <c r="J1343" s="26" t="s">
        <v>77</v>
      </c>
      <c r="L1343" s="27" t="s">
        <v>77</v>
      </c>
      <c r="N1343" s="28" t="s">
        <v>77</v>
      </c>
      <c r="Q1343" s="30"/>
    </row>
    <row r="1344">
      <c r="B1344" s="6"/>
      <c r="C1344" s="33" t="str">
        <f t="array" ref="C1344">IF(B1344="", "", XLOOKUP(B1344, Inventory!D:D,Inventory!E:E,"No Name Found"))</f>
        <v/>
      </c>
      <c r="D1344" s="6"/>
      <c r="E1344" s="6"/>
      <c r="F1344" s="6"/>
      <c r="G1344" s="24" t="str">
        <f>IF(F1344="", "", VLOOKUP(F1344, Inventory!A:BZ, 3, FALSE) - SUMIF($F$1:$F1343, F1344, $H$1:$H1343))
</f>
        <v/>
      </c>
      <c r="I1344" s="26"/>
      <c r="J1344" s="26" t="s">
        <v>77</v>
      </c>
      <c r="L1344" s="27" t="s">
        <v>77</v>
      </c>
      <c r="N1344" s="28" t="s">
        <v>77</v>
      </c>
      <c r="Q1344" s="30"/>
    </row>
    <row r="1345">
      <c r="B1345" s="6"/>
      <c r="C1345" s="33" t="str">
        <f t="array" ref="C1345">IF(B1345="", "", XLOOKUP(B1345, Inventory!D:D,Inventory!E:E,"No Name Found"))</f>
        <v/>
      </c>
      <c r="D1345" s="6"/>
      <c r="E1345" s="6"/>
      <c r="F1345" s="6"/>
      <c r="G1345" s="24" t="str">
        <f>IF(F1345="", "", VLOOKUP(F1345, Inventory!A:BZ, 3, FALSE) - SUMIF($F$1:$F1344, F1345, $H$1:$H1344))
</f>
        <v/>
      </c>
      <c r="I1345" s="26"/>
      <c r="J1345" s="26" t="s">
        <v>77</v>
      </c>
      <c r="L1345" s="27" t="s">
        <v>77</v>
      </c>
      <c r="N1345" s="28" t="s">
        <v>77</v>
      </c>
      <c r="Q1345" s="30"/>
    </row>
    <row r="1346">
      <c r="B1346" s="6"/>
      <c r="C1346" s="33" t="str">
        <f t="array" ref="C1346">IF(B1346="", "", XLOOKUP(B1346, Inventory!D:D,Inventory!E:E,"No Name Found"))</f>
        <v/>
      </c>
      <c r="D1346" s="6"/>
      <c r="E1346" s="6"/>
      <c r="F1346" s="6"/>
      <c r="G1346" s="24" t="str">
        <f>IF(F1346="", "", VLOOKUP(F1346, Inventory!A:BZ, 3, FALSE) - SUMIF($F$1:$F1345, F1346, $H$1:$H1345))
</f>
        <v/>
      </c>
      <c r="I1346" s="26"/>
      <c r="J1346" s="26" t="s">
        <v>77</v>
      </c>
      <c r="L1346" s="27" t="s">
        <v>77</v>
      </c>
      <c r="N1346" s="28" t="s">
        <v>77</v>
      </c>
      <c r="Q1346" s="30"/>
    </row>
    <row r="1347">
      <c r="B1347" s="6"/>
      <c r="C1347" s="33" t="str">
        <f t="array" ref="C1347">IF(B1347="", "", XLOOKUP(B1347, Inventory!D:D,Inventory!E:E,"No Name Found"))</f>
        <v/>
      </c>
      <c r="D1347" s="6"/>
      <c r="E1347" s="6"/>
      <c r="F1347" s="6"/>
      <c r="G1347" s="24" t="str">
        <f>IF(F1347="", "", VLOOKUP(F1347, Inventory!A:BZ, 3, FALSE) - SUMIF($F$1:$F1346, F1347, $H$1:$H1346))
</f>
        <v/>
      </c>
      <c r="I1347" s="26"/>
      <c r="J1347" s="26" t="s">
        <v>77</v>
      </c>
      <c r="L1347" s="27" t="s">
        <v>77</v>
      </c>
      <c r="N1347" s="28" t="s">
        <v>77</v>
      </c>
      <c r="Q1347" s="30"/>
    </row>
    <row r="1348">
      <c r="B1348" s="6"/>
      <c r="C1348" s="33" t="str">
        <f t="array" ref="C1348">IF(B1348="", "", XLOOKUP(B1348, Inventory!D:D,Inventory!E:E,"No Name Found"))</f>
        <v/>
      </c>
      <c r="D1348" s="6"/>
      <c r="E1348" s="6"/>
      <c r="F1348" s="6"/>
      <c r="G1348" s="24" t="str">
        <f>IF(F1348="", "", VLOOKUP(F1348, Inventory!A:BZ, 3, FALSE) - SUMIF($F$1:$F1347, F1348, $H$1:$H1347))
</f>
        <v/>
      </c>
      <c r="I1348" s="26"/>
      <c r="J1348" s="26" t="s">
        <v>77</v>
      </c>
      <c r="L1348" s="27" t="s">
        <v>77</v>
      </c>
      <c r="N1348" s="28" t="s">
        <v>77</v>
      </c>
      <c r="Q1348" s="30"/>
    </row>
    <row r="1349">
      <c r="B1349" s="6"/>
      <c r="C1349" s="33" t="str">
        <f t="array" ref="C1349">IF(B1349="", "", XLOOKUP(B1349, Inventory!D:D,Inventory!E:E,"No Name Found"))</f>
        <v/>
      </c>
      <c r="D1349" s="6"/>
      <c r="E1349" s="6"/>
      <c r="F1349" s="6"/>
      <c r="G1349" s="24" t="str">
        <f>IF(F1349="", "", VLOOKUP(F1349, Inventory!A:BZ, 3, FALSE) - SUMIF($F$1:$F1348, F1349, $H$1:$H1348))
</f>
        <v/>
      </c>
      <c r="I1349" s="26"/>
      <c r="J1349" s="26" t="s">
        <v>77</v>
      </c>
      <c r="L1349" s="27" t="s">
        <v>77</v>
      </c>
      <c r="N1349" s="28" t="s">
        <v>77</v>
      </c>
      <c r="Q1349" s="30"/>
    </row>
    <row r="1350">
      <c r="B1350" s="6"/>
      <c r="C1350" s="33" t="str">
        <f t="array" ref="C1350">IF(B1350="", "", XLOOKUP(B1350, Inventory!D:D,Inventory!E:E,"No Name Found"))</f>
        <v/>
      </c>
      <c r="D1350" s="6"/>
      <c r="E1350" s="6"/>
      <c r="F1350" s="6"/>
      <c r="G1350" s="24" t="str">
        <f>IF(F1350="", "", VLOOKUP(F1350, Inventory!A:BZ, 3, FALSE) - SUMIF($F$1:$F1349, F1350, $H$1:$H1349))
</f>
        <v/>
      </c>
      <c r="I1350" s="26"/>
      <c r="J1350" s="26" t="s">
        <v>77</v>
      </c>
      <c r="L1350" s="27" t="s">
        <v>77</v>
      </c>
      <c r="N1350" s="28" t="s">
        <v>77</v>
      </c>
      <c r="Q1350" s="30"/>
    </row>
    <row r="1351">
      <c r="B1351" s="6"/>
      <c r="C1351" s="33" t="str">
        <f t="array" ref="C1351">IF(B1351="", "", XLOOKUP(B1351, Inventory!D:D,Inventory!E:E,"No Name Found"))</f>
        <v/>
      </c>
      <c r="D1351" s="6"/>
      <c r="E1351" s="6"/>
      <c r="F1351" s="6"/>
      <c r="G1351" s="24" t="str">
        <f>IF(F1351="", "", VLOOKUP(F1351, Inventory!A:BZ, 3, FALSE) - SUMIF($F$1:$F1350, F1351, $H$1:$H1350))
</f>
        <v/>
      </c>
      <c r="I1351" s="26"/>
      <c r="J1351" s="26" t="s">
        <v>77</v>
      </c>
      <c r="L1351" s="27" t="s">
        <v>77</v>
      </c>
      <c r="N1351" s="28" t="s">
        <v>77</v>
      </c>
      <c r="Q1351" s="30"/>
    </row>
    <row r="1352">
      <c r="B1352" s="6"/>
      <c r="C1352" s="33" t="str">
        <f t="array" ref="C1352">IF(B1352="", "", XLOOKUP(B1352, Inventory!D:D,Inventory!E:E,"No Name Found"))</f>
        <v/>
      </c>
      <c r="D1352" s="6"/>
      <c r="E1352" s="6"/>
      <c r="F1352" s="6"/>
      <c r="G1352" s="24" t="str">
        <f>IF(F1352="", "", VLOOKUP(F1352, Inventory!A:BZ, 3, FALSE) - SUMIF($F$1:$F1351, F1352, $H$1:$H1351))
</f>
        <v/>
      </c>
      <c r="I1352" s="26"/>
      <c r="J1352" s="26" t="s">
        <v>77</v>
      </c>
      <c r="L1352" s="27" t="s">
        <v>77</v>
      </c>
      <c r="N1352" s="28" t="s">
        <v>77</v>
      </c>
      <c r="Q1352" s="30"/>
    </row>
    <row r="1353">
      <c r="B1353" s="6"/>
      <c r="C1353" s="33" t="str">
        <f t="array" ref="C1353">IF(B1353="", "", XLOOKUP(B1353, Inventory!D:D,Inventory!E:E,"No Name Found"))</f>
        <v/>
      </c>
      <c r="D1353" s="6"/>
      <c r="E1353" s="6"/>
      <c r="F1353" s="6"/>
      <c r="G1353" s="24" t="str">
        <f>IF(F1353="", "", VLOOKUP(F1353, Inventory!A:BZ, 3, FALSE) - SUMIF($F$1:$F1352, F1353, $H$1:$H1352))
</f>
        <v/>
      </c>
      <c r="I1353" s="26"/>
      <c r="J1353" s="26" t="s">
        <v>77</v>
      </c>
      <c r="L1353" s="27" t="s">
        <v>77</v>
      </c>
      <c r="N1353" s="28" t="s">
        <v>77</v>
      </c>
      <c r="Q1353" s="30"/>
    </row>
    <row r="1354">
      <c r="B1354" s="6"/>
      <c r="C1354" s="33" t="str">
        <f t="array" ref="C1354">IF(B1354="", "", XLOOKUP(B1354, Inventory!D:D,Inventory!E:E,"No Name Found"))</f>
        <v/>
      </c>
      <c r="D1354" s="6"/>
      <c r="E1354" s="6"/>
      <c r="F1354" s="6"/>
      <c r="G1354" s="24" t="str">
        <f>IF(F1354="", "", VLOOKUP(F1354, Inventory!A:BZ, 3, FALSE) - SUMIF($F$1:$F1353, F1354, $H$1:$H1353))
</f>
        <v/>
      </c>
      <c r="I1354" s="26"/>
      <c r="J1354" s="26" t="s">
        <v>77</v>
      </c>
      <c r="L1354" s="27" t="s">
        <v>77</v>
      </c>
      <c r="N1354" s="28" t="s">
        <v>77</v>
      </c>
      <c r="Q1354" s="30"/>
    </row>
    <row r="1355">
      <c r="B1355" s="6"/>
      <c r="C1355" s="33" t="str">
        <f t="array" ref="C1355">IF(B1355="", "", XLOOKUP(B1355, Inventory!D:D,Inventory!E:E,"No Name Found"))</f>
        <v/>
      </c>
      <c r="D1355" s="6"/>
      <c r="E1355" s="6"/>
      <c r="F1355" s="6"/>
      <c r="G1355" s="24" t="str">
        <f>IF(F1355="", "", VLOOKUP(F1355, Inventory!A:BZ, 3, FALSE) - SUMIF($F$1:$F1354, F1355, $H$1:$H1354))
</f>
        <v/>
      </c>
      <c r="I1355" s="26"/>
      <c r="J1355" s="26" t="s">
        <v>77</v>
      </c>
      <c r="L1355" s="27" t="s">
        <v>77</v>
      </c>
      <c r="N1355" s="28" t="s">
        <v>77</v>
      </c>
      <c r="Q1355" s="30"/>
    </row>
    <row r="1356">
      <c r="B1356" s="6"/>
      <c r="C1356" s="33" t="str">
        <f t="array" ref="C1356">IF(B1356="", "", XLOOKUP(B1356, Inventory!D:D,Inventory!E:E,"No Name Found"))</f>
        <v/>
      </c>
      <c r="D1356" s="6"/>
      <c r="E1356" s="6"/>
      <c r="F1356" s="6"/>
      <c r="G1356" s="24" t="str">
        <f>IF(F1356="", "", VLOOKUP(F1356, Inventory!A:BZ, 3, FALSE) - SUMIF($F$1:$F1355, F1356, $H$1:$H1355))
</f>
        <v/>
      </c>
      <c r="I1356" s="26"/>
      <c r="J1356" s="26" t="s">
        <v>77</v>
      </c>
      <c r="L1356" s="27" t="s">
        <v>77</v>
      </c>
      <c r="N1356" s="28" t="s">
        <v>77</v>
      </c>
      <c r="Q1356" s="30"/>
    </row>
    <row r="1357">
      <c r="B1357" s="6"/>
      <c r="C1357" s="33" t="str">
        <f t="array" ref="C1357">IF(B1357="", "", XLOOKUP(B1357, Inventory!D:D,Inventory!E:E,"No Name Found"))</f>
        <v/>
      </c>
      <c r="D1357" s="6"/>
      <c r="E1357" s="6"/>
      <c r="F1357" s="6"/>
      <c r="G1357" s="24" t="str">
        <f>IF(F1357="", "", VLOOKUP(F1357, Inventory!A:BZ, 3, FALSE) - SUMIF($F$1:$F1356, F1357, $H$1:$H1356))
</f>
        <v/>
      </c>
      <c r="I1357" s="26"/>
      <c r="J1357" s="26" t="s">
        <v>77</v>
      </c>
      <c r="L1357" s="27" t="s">
        <v>77</v>
      </c>
      <c r="N1357" s="28" t="s">
        <v>77</v>
      </c>
      <c r="Q1357" s="30"/>
    </row>
    <row r="1358">
      <c r="B1358" s="6"/>
      <c r="C1358" s="33" t="str">
        <f t="array" ref="C1358">IF(B1358="", "", XLOOKUP(B1358, Inventory!D:D,Inventory!E:E,"No Name Found"))</f>
        <v/>
      </c>
      <c r="D1358" s="6"/>
      <c r="E1358" s="6"/>
      <c r="F1358" s="6"/>
      <c r="G1358" s="24" t="str">
        <f>IF(F1358="", "", VLOOKUP(F1358, Inventory!A:BZ, 3, FALSE) - SUMIF($F$1:$F1357, F1358, $H$1:$H1357))
</f>
        <v/>
      </c>
      <c r="I1358" s="26"/>
      <c r="J1358" s="26" t="s">
        <v>77</v>
      </c>
      <c r="L1358" s="27" t="s">
        <v>77</v>
      </c>
      <c r="N1358" s="28" t="s">
        <v>77</v>
      </c>
      <c r="Q1358" s="30"/>
    </row>
    <row r="1359">
      <c r="B1359" s="6"/>
      <c r="C1359" s="33" t="str">
        <f t="array" ref="C1359">IF(B1359="", "", XLOOKUP(B1359, Inventory!D:D,Inventory!E:E,"No Name Found"))</f>
        <v/>
      </c>
      <c r="D1359" s="6"/>
      <c r="E1359" s="6"/>
      <c r="F1359" s="6"/>
      <c r="G1359" s="24" t="str">
        <f>IF(F1359="", "", VLOOKUP(F1359, Inventory!A:BZ, 3, FALSE) - SUMIF($F$1:$F1358, F1359, $H$1:$H1358))
</f>
        <v/>
      </c>
      <c r="I1359" s="26"/>
      <c r="J1359" s="26" t="s">
        <v>77</v>
      </c>
      <c r="L1359" s="27" t="s">
        <v>77</v>
      </c>
      <c r="N1359" s="28" t="s">
        <v>77</v>
      </c>
      <c r="Q1359" s="30"/>
    </row>
    <row r="1360">
      <c r="B1360" s="6"/>
      <c r="C1360" s="33" t="str">
        <f t="array" ref="C1360">IF(B1360="", "", XLOOKUP(B1360, Inventory!D:D,Inventory!E:E,"No Name Found"))</f>
        <v/>
      </c>
      <c r="D1360" s="6"/>
      <c r="E1360" s="6"/>
      <c r="F1360" s="6"/>
      <c r="G1360" s="24" t="str">
        <f>IF(F1360="", "", VLOOKUP(F1360, Inventory!A:BZ, 3, FALSE) - SUMIF($F$1:$F1359, F1360, $H$1:$H1359))
</f>
        <v/>
      </c>
      <c r="I1360" s="26"/>
      <c r="J1360" s="26" t="s">
        <v>77</v>
      </c>
      <c r="L1360" s="27" t="s">
        <v>77</v>
      </c>
      <c r="N1360" s="28" t="s">
        <v>77</v>
      </c>
      <c r="Q1360" s="30"/>
    </row>
    <row r="1361">
      <c r="B1361" s="6"/>
      <c r="C1361" s="33" t="str">
        <f t="array" ref="C1361">IF(B1361="", "", XLOOKUP(B1361, Inventory!D:D,Inventory!E:E,"No Name Found"))</f>
        <v/>
      </c>
      <c r="D1361" s="6"/>
      <c r="E1361" s="6"/>
      <c r="F1361" s="6"/>
      <c r="G1361" s="24" t="str">
        <f>IF(F1361="", "", VLOOKUP(F1361, Inventory!A:BZ, 3, FALSE) - SUMIF($F$1:$F1360, F1361, $H$1:$H1360))
</f>
        <v/>
      </c>
      <c r="I1361" s="26"/>
      <c r="J1361" s="26" t="s">
        <v>77</v>
      </c>
      <c r="L1361" s="27" t="s">
        <v>77</v>
      </c>
      <c r="N1361" s="28" t="s">
        <v>77</v>
      </c>
      <c r="Q1361" s="30"/>
    </row>
    <row r="1362">
      <c r="B1362" s="6"/>
      <c r="C1362" s="33" t="str">
        <f t="array" ref="C1362">IF(B1362="", "", XLOOKUP(B1362, Inventory!D:D,Inventory!E:E,"No Name Found"))</f>
        <v/>
      </c>
      <c r="D1362" s="6"/>
      <c r="E1362" s="6"/>
      <c r="F1362" s="6"/>
      <c r="G1362" s="24" t="str">
        <f>IF(F1362="", "", VLOOKUP(F1362, Inventory!A:BZ, 3, FALSE) - SUMIF($F$1:$F1361, F1362, $H$1:$H1361))
</f>
        <v/>
      </c>
      <c r="I1362" s="26"/>
      <c r="J1362" s="26" t="s">
        <v>77</v>
      </c>
      <c r="L1362" s="27" t="s">
        <v>77</v>
      </c>
      <c r="N1362" s="28" t="s">
        <v>77</v>
      </c>
      <c r="Q1362" s="30"/>
    </row>
    <row r="1363">
      <c r="B1363" s="6"/>
      <c r="C1363" s="33" t="str">
        <f t="array" ref="C1363">IF(B1363="", "", XLOOKUP(B1363, Inventory!D:D,Inventory!E:E,"No Name Found"))</f>
        <v/>
      </c>
      <c r="D1363" s="6"/>
      <c r="E1363" s="6"/>
      <c r="F1363" s="6"/>
      <c r="G1363" s="24" t="str">
        <f>IF(F1363="", "", VLOOKUP(F1363, Inventory!A:BZ, 3, FALSE) - SUMIF($F$1:$F1362, F1363, $H$1:$H1362))
</f>
        <v/>
      </c>
      <c r="I1363" s="26"/>
      <c r="J1363" s="26" t="s">
        <v>77</v>
      </c>
      <c r="L1363" s="27" t="s">
        <v>77</v>
      </c>
      <c r="N1363" s="28" t="s">
        <v>77</v>
      </c>
      <c r="Q1363" s="30"/>
    </row>
    <row r="1364">
      <c r="B1364" s="6"/>
      <c r="C1364" s="33" t="str">
        <f t="array" ref="C1364">IF(B1364="", "", XLOOKUP(B1364, Inventory!D:D,Inventory!E:E,"No Name Found"))</f>
        <v/>
      </c>
      <c r="D1364" s="6"/>
      <c r="E1364" s="6"/>
      <c r="F1364" s="6"/>
      <c r="G1364" s="24" t="str">
        <f>IF(F1364="", "", VLOOKUP(F1364, Inventory!A:BZ, 3, FALSE) - SUMIF($F$1:$F1363, F1364, $H$1:$H1363))
</f>
        <v/>
      </c>
      <c r="I1364" s="26"/>
      <c r="J1364" s="26" t="s">
        <v>77</v>
      </c>
      <c r="L1364" s="27" t="s">
        <v>77</v>
      </c>
      <c r="N1364" s="28" t="s">
        <v>77</v>
      </c>
      <c r="Q1364" s="30"/>
    </row>
    <row r="1365">
      <c r="B1365" s="6"/>
      <c r="C1365" s="33" t="str">
        <f t="array" ref="C1365">IF(B1365="", "", XLOOKUP(B1365, Inventory!D:D,Inventory!E:E,"No Name Found"))</f>
        <v/>
      </c>
      <c r="D1365" s="6"/>
      <c r="E1365" s="6"/>
      <c r="F1365" s="6"/>
      <c r="G1365" s="24" t="str">
        <f>IF(F1365="", "", VLOOKUP(F1365, Inventory!A:BZ, 3, FALSE) - SUMIF($F$1:$F1364, F1365, $H$1:$H1364))
</f>
        <v/>
      </c>
      <c r="I1365" s="26"/>
      <c r="J1365" s="26" t="s">
        <v>77</v>
      </c>
      <c r="L1365" s="27" t="s">
        <v>77</v>
      </c>
      <c r="N1365" s="28" t="s">
        <v>77</v>
      </c>
      <c r="Q1365" s="30"/>
    </row>
    <row r="1366">
      <c r="B1366" s="6"/>
      <c r="C1366" s="33" t="str">
        <f t="array" ref="C1366">IF(B1366="", "", XLOOKUP(B1366, Inventory!D:D,Inventory!E:E,"No Name Found"))</f>
        <v/>
      </c>
      <c r="D1366" s="6"/>
      <c r="E1366" s="6"/>
      <c r="F1366" s="6"/>
      <c r="G1366" s="24" t="str">
        <f>IF(F1366="", "", VLOOKUP(F1366, Inventory!A:BZ, 3, FALSE) - SUMIF($F$1:$F1365, F1366, $H$1:$H1365))
</f>
        <v/>
      </c>
      <c r="I1366" s="26"/>
      <c r="J1366" s="26" t="s">
        <v>77</v>
      </c>
      <c r="L1366" s="27" t="s">
        <v>77</v>
      </c>
      <c r="N1366" s="28" t="s">
        <v>77</v>
      </c>
      <c r="Q1366" s="30"/>
    </row>
    <row r="1367">
      <c r="B1367" s="6"/>
      <c r="C1367" s="33" t="str">
        <f t="array" ref="C1367">IF(B1367="", "", XLOOKUP(B1367, Inventory!D:D,Inventory!E:E,"No Name Found"))</f>
        <v/>
      </c>
      <c r="D1367" s="6"/>
      <c r="E1367" s="6"/>
      <c r="F1367" s="6"/>
      <c r="G1367" s="24" t="str">
        <f>IF(F1367="", "", VLOOKUP(F1367, Inventory!A:BZ, 3, FALSE) - SUMIF($F$1:$F1366, F1367, $H$1:$H1366))
</f>
        <v/>
      </c>
      <c r="I1367" s="26"/>
      <c r="J1367" s="26" t="s">
        <v>77</v>
      </c>
      <c r="L1367" s="27" t="s">
        <v>77</v>
      </c>
      <c r="N1367" s="28" t="s">
        <v>77</v>
      </c>
      <c r="Q1367" s="30"/>
    </row>
    <row r="1368">
      <c r="B1368" s="6"/>
      <c r="C1368" s="33" t="str">
        <f t="array" ref="C1368">IF(B1368="", "", XLOOKUP(B1368, Inventory!D:D,Inventory!E:E,"No Name Found"))</f>
        <v/>
      </c>
      <c r="D1368" s="6"/>
      <c r="E1368" s="6"/>
      <c r="F1368" s="6"/>
      <c r="G1368" s="24" t="str">
        <f>IF(F1368="", "", VLOOKUP(F1368, Inventory!A:BZ, 3, FALSE) - SUMIF($F$1:$F1367, F1368, $H$1:$H1367))
</f>
        <v/>
      </c>
      <c r="I1368" s="26"/>
      <c r="J1368" s="26" t="s">
        <v>77</v>
      </c>
      <c r="L1368" s="27" t="s">
        <v>77</v>
      </c>
      <c r="N1368" s="28" t="s">
        <v>77</v>
      </c>
      <c r="Q1368" s="30"/>
    </row>
    <row r="1369">
      <c r="B1369" s="6"/>
      <c r="C1369" s="33" t="str">
        <f t="array" ref="C1369">IF(B1369="", "", XLOOKUP(B1369, Inventory!D:D,Inventory!E:E,"No Name Found"))</f>
        <v/>
      </c>
      <c r="D1369" s="6"/>
      <c r="E1369" s="6"/>
      <c r="F1369" s="6"/>
      <c r="G1369" s="24" t="str">
        <f>IF(F1369="", "", VLOOKUP(F1369, Inventory!A:BZ, 3, FALSE) - SUMIF($F$1:$F1368, F1369, $H$1:$H1368))
</f>
        <v/>
      </c>
      <c r="I1369" s="26"/>
      <c r="J1369" s="26" t="s">
        <v>77</v>
      </c>
      <c r="L1369" s="27" t="s">
        <v>77</v>
      </c>
      <c r="N1369" s="28" t="s">
        <v>77</v>
      </c>
      <c r="Q1369" s="30"/>
    </row>
    <row r="1370">
      <c r="B1370" s="6"/>
      <c r="C1370" s="33" t="str">
        <f t="array" ref="C1370">IF(B1370="", "", XLOOKUP(B1370, Inventory!D:D,Inventory!E:E,"No Name Found"))</f>
        <v/>
      </c>
      <c r="D1370" s="6"/>
      <c r="E1370" s="6"/>
      <c r="F1370" s="6"/>
      <c r="G1370" s="24" t="str">
        <f>IF(F1370="", "", VLOOKUP(F1370, Inventory!A:BZ, 3, FALSE) - SUMIF($F$1:$F1369, F1370, $H$1:$H1369))
</f>
        <v/>
      </c>
      <c r="I1370" s="26"/>
      <c r="J1370" s="26" t="s">
        <v>77</v>
      </c>
      <c r="L1370" s="27" t="s">
        <v>77</v>
      </c>
      <c r="N1370" s="28" t="s">
        <v>77</v>
      </c>
      <c r="Q1370" s="30"/>
    </row>
    <row r="1371">
      <c r="B1371" s="6"/>
      <c r="C1371" s="33" t="str">
        <f t="array" ref="C1371">IF(B1371="", "", XLOOKUP(B1371, Inventory!D:D,Inventory!E:E,"No Name Found"))</f>
        <v/>
      </c>
      <c r="D1371" s="6"/>
      <c r="E1371" s="6"/>
      <c r="F1371" s="6"/>
      <c r="G1371" s="24" t="str">
        <f>IF(F1371="", "", VLOOKUP(F1371, Inventory!A:BZ, 3, FALSE) - SUMIF($F$1:$F1370, F1371, $H$1:$H1370))
</f>
        <v/>
      </c>
      <c r="I1371" s="26"/>
      <c r="J1371" s="26" t="s">
        <v>77</v>
      </c>
      <c r="L1371" s="27" t="s">
        <v>77</v>
      </c>
      <c r="N1371" s="28" t="s">
        <v>77</v>
      </c>
      <c r="Q1371" s="30"/>
    </row>
    <row r="1372">
      <c r="B1372" s="6"/>
      <c r="C1372" s="33" t="str">
        <f t="array" ref="C1372">IF(B1372="", "", XLOOKUP(B1372, Inventory!D:D,Inventory!E:E,"No Name Found"))</f>
        <v/>
      </c>
      <c r="D1372" s="6"/>
      <c r="E1372" s="6"/>
      <c r="F1372" s="6"/>
      <c r="G1372" s="24" t="str">
        <f>IF(F1372="", "", VLOOKUP(F1372, Inventory!A:BZ, 3, FALSE) - SUMIF($F$1:$F1371, F1372, $H$1:$H1371))
</f>
        <v/>
      </c>
      <c r="I1372" s="26"/>
      <c r="J1372" s="26" t="s">
        <v>77</v>
      </c>
      <c r="L1372" s="27" t="s">
        <v>77</v>
      </c>
      <c r="N1372" s="28" t="s">
        <v>77</v>
      </c>
      <c r="Q1372" s="30"/>
    </row>
    <row r="1373">
      <c r="B1373" s="6"/>
      <c r="C1373" s="33" t="str">
        <f t="array" ref="C1373">IF(B1373="", "", XLOOKUP(B1373, Inventory!D:D,Inventory!E:E,"No Name Found"))</f>
        <v/>
      </c>
      <c r="D1373" s="6"/>
      <c r="E1373" s="6"/>
      <c r="F1373" s="6"/>
      <c r="G1373" s="24" t="str">
        <f>IF(F1373="", "", VLOOKUP(F1373, Inventory!A:BZ, 3, FALSE) - SUMIF($F$1:$F1372, F1373, $H$1:$H1372))
</f>
        <v/>
      </c>
      <c r="I1373" s="26"/>
      <c r="J1373" s="26" t="s">
        <v>77</v>
      </c>
      <c r="L1373" s="27" t="s">
        <v>77</v>
      </c>
      <c r="N1373" s="28" t="s">
        <v>77</v>
      </c>
      <c r="Q1373" s="30"/>
    </row>
    <row r="1374">
      <c r="B1374" s="6"/>
      <c r="C1374" s="33" t="str">
        <f t="array" ref="C1374">IF(B1374="", "", XLOOKUP(B1374, Inventory!D:D,Inventory!E:E,"No Name Found"))</f>
        <v/>
      </c>
      <c r="D1374" s="6"/>
      <c r="E1374" s="6"/>
      <c r="F1374" s="6"/>
      <c r="G1374" s="24" t="str">
        <f>IF(F1374="", "", VLOOKUP(F1374, Inventory!A:BZ, 3, FALSE) - SUMIF($F$1:$F1373, F1374, $H$1:$H1373))
</f>
        <v/>
      </c>
      <c r="I1374" s="26"/>
      <c r="J1374" s="26" t="s">
        <v>77</v>
      </c>
      <c r="L1374" s="27" t="s">
        <v>77</v>
      </c>
      <c r="N1374" s="28" t="s">
        <v>77</v>
      </c>
      <c r="Q1374" s="30"/>
    </row>
    <row r="1375">
      <c r="B1375" s="6"/>
      <c r="C1375" s="33" t="str">
        <f t="array" ref="C1375">IF(B1375="", "", XLOOKUP(B1375, Inventory!D:D,Inventory!E:E,"No Name Found"))</f>
        <v/>
      </c>
      <c r="D1375" s="6"/>
      <c r="E1375" s="6"/>
      <c r="F1375" s="6"/>
      <c r="G1375" s="24" t="str">
        <f>IF(F1375="", "", VLOOKUP(F1375, Inventory!A:BZ, 3, FALSE) - SUMIF($F$1:$F1374, F1375, $H$1:$H1374))
</f>
        <v/>
      </c>
      <c r="I1375" s="26"/>
      <c r="J1375" s="26" t="s">
        <v>77</v>
      </c>
      <c r="L1375" s="27" t="s">
        <v>77</v>
      </c>
      <c r="N1375" s="28" t="s">
        <v>77</v>
      </c>
      <c r="Q1375" s="30"/>
    </row>
    <row r="1376">
      <c r="B1376" s="6"/>
      <c r="C1376" s="33" t="str">
        <f t="array" ref="C1376">IF(B1376="", "", XLOOKUP(B1376, Inventory!D:D,Inventory!E:E,"No Name Found"))</f>
        <v/>
      </c>
      <c r="D1376" s="6"/>
      <c r="E1376" s="6"/>
      <c r="F1376" s="6"/>
      <c r="G1376" s="24" t="str">
        <f>IF(F1376="", "", VLOOKUP(F1376, Inventory!A:BZ, 3, FALSE) - SUMIF($F$1:$F1375, F1376, $H$1:$H1375))
</f>
        <v/>
      </c>
      <c r="I1376" s="26"/>
      <c r="J1376" s="26" t="s">
        <v>77</v>
      </c>
      <c r="L1376" s="27" t="s">
        <v>77</v>
      </c>
      <c r="N1376" s="28" t="s">
        <v>77</v>
      </c>
      <c r="Q1376" s="30"/>
    </row>
    <row r="1377">
      <c r="B1377" s="6"/>
      <c r="C1377" s="33" t="str">
        <f t="array" ref="C1377">IF(B1377="", "", XLOOKUP(B1377, Inventory!D:D,Inventory!E:E,"No Name Found"))</f>
        <v/>
      </c>
      <c r="D1377" s="6"/>
      <c r="E1377" s="6"/>
      <c r="F1377" s="6"/>
      <c r="G1377" s="24" t="str">
        <f>IF(F1377="", "", VLOOKUP(F1377, Inventory!A:BZ, 3, FALSE) - SUMIF($F$1:$F1376, F1377, $H$1:$H1376))
</f>
        <v/>
      </c>
      <c r="I1377" s="26"/>
      <c r="J1377" s="26" t="s">
        <v>77</v>
      </c>
      <c r="L1377" s="27" t="s">
        <v>77</v>
      </c>
      <c r="N1377" s="28" t="s">
        <v>77</v>
      </c>
      <c r="Q1377" s="30"/>
    </row>
    <row r="1378">
      <c r="B1378" s="6"/>
      <c r="C1378" s="33" t="str">
        <f t="array" ref="C1378">IF(B1378="", "", XLOOKUP(B1378, Inventory!D:D,Inventory!E:E,"No Name Found"))</f>
        <v/>
      </c>
      <c r="D1378" s="6"/>
      <c r="E1378" s="6"/>
      <c r="F1378" s="6"/>
      <c r="G1378" s="24" t="str">
        <f>IF(F1378="", "", VLOOKUP(F1378, Inventory!A:BZ, 3, FALSE) - SUMIF($F$1:$F1377, F1378, $H$1:$H1377))
</f>
        <v/>
      </c>
      <c r="I1378" s="26"/>
      <c r="J1378" s="26" t="s">
        <v>77</v>
      </c>
      <c r="L1378" s="27" t="s">
        <v>77</v>
      </c>
      <c r="N1378" s="28" t="s">
        <v>77</v>
      </c>
      <c r="Q1378" s="30"/>
    </row>
    <row r="1379">
      <c r="B1379" s="6"/>
      <c r="C1379" s="33" t="str">
        <f t="array" ref="C1379">IF(B1379="", "", XLOOKUP(B1379, Inventory!D:D,Inventory!E:E,"No Name Found"))</f>
        <v/>
      </c>
      <c r="D1379" s="6"/>
      <c r="E1379" s="6"/>
      <c r="F1379" s="6"/>
      <c r="G1379" s="24" t="str">
        <f>IF(F1379="", "", VLOOKUP(F1379, Inventory!A:BZ, 3, FALSE) - SUMIF($F$1:$F1378, F1379, $H$1:$H1378))
</f>
        <v/>
      </c>
      <c r="I1379" s="26"/>
      <c r="J1379" s="26" t="s">
        <v>77</v>
      </c>
      <c r="L1379" s="27" t="s">
        <v>77</v>
      </c>
      <c r="N1379" s="28" t="s">
        <v>77</v>
      </c>
      <c r="Q1379" s="30"/>
    </row>
    <row r="1380">
      <c r="B1380" s="6"/>
      <c r="C1380" s="33" t="str">
        <f t="array" ref="C1380">IF(B1380="", "", XLOOKUP(B1380, Inventory!D:D,Inventory!E:E,"No Name Found"))</f>
        <v/>
      </c>
      <c r="D1380" s="6"/>
      <c r="E1380" s="6"/>
      <c r="F1380" s="6"/>
      <c r="G1380" s="24" t="str">
        <f>IF(F1380="", "", VLOOKUP(F1380, Inventory!A:BZ, 3, FALSE) - SUMIF($F$1:$F1379, F1380, $H$1:$H1379))
</f>
        <v/>
      </c>
      <c r="I1380" s="26"/>
      <c r="J1380" s="26" t="s">
        <v>77</v>
      </c>
      <c r="L1380" s="27" t="s">
        <v>77</v>
      </c>
      <c r="N1380" s="28" t="s">
        <v>77</v>
      </c>
      <c r="Q1380" s="30"/>
    </row>
    <row r="1381">
      <c r="B1381" s="6"/>
      <c r="C1381" s="33" t="str">
        <f t="array" ref="C1381">IF(B1381="", "", XLOOKUP(B1381, Inventory!D:D,Inventory!E:E,"No Name Found"))</f>
        <v/>
      </c>
      <c r="D1381" s="6"/>
      <c r="E1381" s="6"/>
      <c r="F1381" s="6"/>
      <c r="G1381" s="24" t="str">
        <f>IF(F1381="", "", VLOOKUP(F1381, Inventory!A:BZ, 3, FALSE) - SUMIF($F$1:$F1380, F1381, $H$1:$H1380))
</f>
        <v/>
      </c>
      <c r="I1381" s="26"/>
      <c r="J1381" s="26" t="s">
        <v>77</v>
      </c>
      <c r="L1381" s="27" t="s">
        <v>77</v>
      </c>
      <c r="N1381" s="28" t="s">
        <v>77</v>
      </c>
      <c r="Q1381" s="30"/>
    </row>
    <row r="1382">
      <c r="B1382" s="6"/>
      <c r="C1382" s="33" t="str">
        <f t="array" ref="C1382">IF(B1382="", "", XLOOKUP(B1382, Inventory!D:D,Inventory!E:E,"No Name Found"))</f>
        <v/>
      </c>
      <c r="D1382" s="6"/>
      <c r="E1382" s="6"/>
      <c r="F1382" s="6"/>
      <c r="G1382" s="24" t="str">
        <f>IF(F1382="", "", VLOOKUP(F1382, Inventory!A:BZ, 3, FALSE) - SUMIF($F$1:$F1381, F1382, $H$1:$H1381))
</f>
        <v/>
      </c>
      <c r="I1382" s="26"/>
      <c r="J1382" s="26" t="s">
        <v>77</v>
      </c>
      <c r="L1382" s="27" t="s">
        <v>77</v>
      </c>
      <c r="N1382" s="28" t="s">
        <v>77</v>
      </c>
      <c r="Q1382" s="30"/>
    </row>
    <row r="1383">
      <c r="B1383" s="6"/>
      <c r="C1383" s="33" t="str">
        <f t="array" ref="C1383">IF(B1383="", "", XLOOKUP(B1383, Inventory!D:D,Inventory!E:E,"No Name Found"))</f>
        <v/>
      </c>
      <c r="D1383" s="6"/>
      <c r="E1383" s="6"/>
      <c r="F1383" s="6"/>
      <c r="G1383" s="24" t="str">
        <f>IF(F1383="", "", VLOOKUP(F1383, Inventory!A:BZ, 3, FALSE) - SUMIF($F$1:$F1382, F1383, $H$1:$H1382))
</f>
        <v/>
      </c>
      <c r="I1383" s="26"/>
      <c r="J1383" s="26" t="s">
        <v>77</v>
      </c>
      <c r="L1383" s="27" t="s">
        <v>77</v>
      </c>
      <c r="N1383" s="28" t="s">
        <v>77</v>
      </c>
      <c r="Q1383" s="30"/>
    </row>
    <row r="1384">
      <c r="B1384" s="6"/>
      <c r="C1384" s="33" t="str">
        <f t="array" ref="C1384">IF(B1384="", "", XLOOKUP(B1384, Inventory!D:D,Inventory!E:E,"No Name Found"))</f>
        <v/>
      </c>
      <c r="D1384" s="6"/>
      <c r="E1384" s="6"/>
      <c r="F1384" s="6"/>
      <c r="G1384" s="24" t="str">
        <f>IF(F1384="", "", VLOOKUP(F1384, Inventory!A:BZ, 3, FALSE) - SUMIF($F$1:$F1383, F1384, $H$1:$H1383))
</f>
        <v/>
      </c>
      <c r="I1384" s="26"/>
      <c r="J1384" s="26" t="s">
        <v>77</v>
      </c>
      <c r="L1384" s="27" t="s">
        <v>77</v>
      </c>
      <c r="N1384" s="28" t="s">
        <v>77</v>
      </c>
      <c r="Q1384" s="30"/>
    </row>
    <row r="1385">
      <c r="B1385" s="6"/>
      <c r="C1385" s="33" t="str">
        <f t="array" ref="C1385">IF(B1385="", "", XLOOKUP(B1385, Inventory!D:D,Inventory!E:E,"No Name Found"))</f>
        <v/>
      </c>
      <c r="D1385" s="6"/>
      <c r="E1385" s="6"/>
      <c r="F1385" s="6"/>
      <c r="G1385" s="24" t="str">
        <f>IF(F1385="", "", VLOOKUP(F1385, Inventory!A:BZ, 3, FALSE) - SUMIF($F$1:$F1384, F1385, $H$1:$H1384))
</f>
        <v/>
      </c>
      <c r="I1385" s="26"/>
      <c r="J1385" s="26" t="s">
        <v>77</v>
      </c>
      <c r="L1385" s="27" t="s">
        <v>77</v>
      </c>
      <c r="N1385" s="28" t="s">
        <v>77</v>
      </c>
      <c r="Q1385" s="30"/>
    </row>
    <row r="1386">
      <c r="B1386" s="6"/>
      <c r="C1386" s="33" t="str">
        <f t="array" ref="C1386">IF(B1386="", "", XLOOKUP(B1386, Inventory!D:D,Inventory!E:E,"No Name Found"))</f>
        <v/>
      </c>
      <c r="D1386" s="6"/>
      <c r="E1386" s="6"/>
      <c r="F1386" s="6"/>
      <c r="G1386" s="24" t="str">
        <f>IF(F1386="", "", VLOOKUP(F1386, Inventory!A:BZ, 3, FALSE) - SUMIF($F$1:$F1385, F1386, $H$1:$H1385))
</f>
        <v/>
      </c>
      <c r="I1386" s="26"/>
      <c r="J1386" s="26" t="s">
        <v>77</v>
      </c>
      <c r="L1386" s="27" t="s">
        <v>77</v>
      </c>
      <c r="N1386" s="28" t="s">
        <v>77</v>
      </c>
      <c r="Q1386" s="30"/>
    </row>
    <row r="1387">
      <c r="B1387" s="6"/>
      <c r="C1387" s="33" t="str">
        <f t="array" ref="C1387">IF(B1387="", "", XLOOKUP(B1387, Inventory!D:D,Inventory!E:E,"No Name Found"))</f>
        <v/>
      </c>
      <c r="D1387" s="6"/>
      <c r="E1387" s="6"/>
      <c r="F1387" s="6"/>
      <c r="G1387" s="24" t="str">
        <f>IF(F1387="", "", VLOOKUP(F1387, Inventory!A:BZ, 3, FALSE) - SUMIF($F$1:$F1386, F1387, $H$1:$H1386))
</f>
        <v/>
      </c>
      <c r="I1387" s="26"/>
      <c r="J1387" s="26" t="s">
        <v>77</v>
      </c>
      <c r="L1387" s="27" t="s">
        <v>77</v>
      </c>
      <c r="N1387" s="28" t="s">
        <v>77</v>
      </c>
      <c r="Q1387" s="30"/>
    </row>
    <row r="1388">
      <c r="B1388" s="6"/>
      <c r="C1388" s="33" t="str">
        <f t="array" ref="C1388">IF(B1388="", "", XLOOKUP(B1388, Inventory!D:D,Inventory!E:E,"No Name Found"))</f>
        <v/>
      </c>
      <c r="D1388" s="6"/>
      <c r="E1388" s="6"/>
      <c r="F1388" s="6"/>
      <c r="G1388" s="24" t="str">
        <f>IF(F1388="", "", VLOOKUP(F1388, Inventory!A:BZ, 3, FALSE) - SUMIF($F$1:$F1387, F1388, $H$1:$H1387))
</f>
        <v/>
      </c>
      <c r="I1388" s="26"/>
      <c r="J1388" s="26" t="s">
        <v>77</v>
      </c>
      <c r="L1388" s="27" t="s">
        <v>77</v>
      </c>
      <c r="N1388" s="28" t="s">
        <v>77</v>
      </c>
      <c r="Q1388" s="30"/>
    </row>
    <row r="1389">
      <c r="B1389" s="6"/>
      <c r="C1389" s="33" t="str">
        <f t="array" ref="C1389">IF(B1389="", "", XLOOKUP(B1389, Inventory!D:D,Inventory!E:E,"No Name Found"))</f>
        <v/>
      </c>
      <c r="D1389" s="6"/>
      <c r="E1389" s="6"/>
      <c r="F1389" s="6"/>
      <c r="G1389" s="24" t="str">
        <f>IF(F1389="", "", VLOOKUP(F1389, Inventory!A:BZ, 3, FALSE) - SUMIF($F$1:$F1388, F1389, $H$1:$H1388))
</f>
        <v/>
      </c>
      <c r="I1389" s="26"/>
      <c r="J1389" s="26" t="s">
        <v>77</v>
      </c>
      <c r="L1389" s="27" t="s">
        <v>77</v>
      </c>
      <c r="N1389" s="28" t="s">
        <v>77</v>
      </c>
      <c r="Q1389" s="30"/>
    </row>
    <row r="1390">
      <c r="B1390" s="6"/>
      <c r="C1390" s="33" t="str">
        <f t="array" ref="C1390">IF(B1390="", "", XLOOKUP(B1390, Inventory!D:D,Inventory!E:E,"No Name Found"))</f>
        <v/>
      </c>
      <c r="D1390" s="6"/>
      <c r="E1390" s="6"/>
      <c r="F1390" s="6"/>
      <c r="G1390" s="24" t="str">
        <f>IF(F1390="", "", VLOOKUP(F1390, Inventory!A:BZ, 3, FALSE) - SUMIF($F$1:$F1389, F1390, $H$1:$H1389))
</f>
        <v/>
      </c>
      <c r="I1390" s="26"/>
      <c r="J1390" s="26" t="s">
        <v>77</v>
      </c>
      <c r="L1390" s="27" t="s">
        <v>77</v>
      </c>
      <c r="N1390" s="28" t="s">
        <v>77</v>
      </c>
      <c r="Q1390" s="30"/>
    </row>
    <row r="1391">
      <c r="B1391" s="6"/>
      <c r="C1391" s="33" t="str">
        <f t="array" ref="C1391">IF(B1391="", "", XLOOKUP(B1391, Inventory!D:D,Inventory!E:E,"No Name Found"))</f>
        <v/>
      </c>
      <c r="D1391" s="6"/>
      <c r="E1391" s="6"/>
      <c r="F1391" s="6"/>
      <c r="G1391" s="24" t="str">
        <f>IF(F1391="", "", VLOOKUP(F1391, Inventory!A:BZ, 3, FALSE) - SUMIF($F$1:$F1390, F1391, $H$1:$H1390))
</f>
        <v/>
      </c>
      <c r="I1391" s="26"/>
      <c r="J1391" s="26" t="s">
        <v>77</v>
      </c>
      <c r="L1391" s="27" t="s">
        <v>77</v>
      </c>
      <c r="N1391" s="28" t="s">
        <v>77</v>
      </c>
      <c r="Q1391" s="30"/>
    </row>
    <row r="1392">
      <c r="B1392" s="6"/>
      <c r="C1392" s="33" t="str">
        <f t="array" ref="C1392">IF(B1392="", "", XLOOKUP(B1392, Inventory!D:D,Inventory!E:E,"No Name Found"))</f>
        <v/>
      </c>
      <c r="D1392" s="6"/>
      <c r="E1392" s="6"/>
      <c r="F1392" s="6"/>
      <c r="G1392" s="24" t="str">
        <f>IF(F1392="", "", VLOOKUP(F1392, Inventory!A:BZ, 3, FALSE) - SUMIF($F$1:$F1391, F1392, $H$1:$H1391))
</f>
        <v/>
      </c>
      <c r="I1392" s="26"/>
      <c r="J1392" s="26" t="s">
        <v>77</v>
      </c>
      <c r="L1392" s="27" t="s">
        <v>77</v>
      </c>
      <c r="N1392" s="28" t="s">
        <v>77</v>
      </c>
      <c r="Q1392" s="30"/>
    </row>
    <row r="1393">
      <c r="B1393" s="6"/>
      <c r="C1393" s="33" t="str">
        <f t="array" ref="C1393">IF(B1393="", "", XLOOKUP(B1393, Inventory!D:D,Inventory!E:E,"No Name Found"))</f>
        <v/>
      </c>
      <c r="D1393" s="6"/>
      <c r="E1393" s="6"/>
      <c r="F1393" s="6"/>
      <c r="G1393" s="24" t="str">
        <f>IF(F1393="", "", VLOOKUP(F1393, Inventory!A:BZ, 3, FALSE) - SUMIF($F$1:$F1392, F1393, $H$1:$H1392))
</f>
        <v/>
      </c>
      <c r="I1393" s="26"/>
      <c r="J1393" s="26" t="s">
        <v>77</v>
      </c>
      <c r="L1393" s="27" t="s">
        <v>77</v>
      </c>
      <c r="N1393" s="28" t="s">
        <v>77</v>
      </c>
      <c r="Q1393" s="30"/>
    </row>
    <row r="1394">
      <c r="B1394" s="6"/>
      <c r="C1394" s="33" t="str">
        <f t="array" ref="C1394">IF(B1394="", "", XLOOKUP(B1394, Inventory!D:D,Inventory!E:E,"No Name Found"))</f>
        <v/>
      </c>
      <c r="D1394" s="6"/>
      <c r="E1394" s="6"/>
      <c r="F1394" s="6"/>
      <c r="G1394" s="24" t="str">
        <f>IF(F1394="", "", VLOOKUP(F1394, Inventory!A:BZ, 3, FALSE) - SUMIF($F$1:$F1393, F1394, $H$1:$H1393))
</f>
        <v/>
      </c>
      <c r="I1394" s="26"/>
      <c r="J1394" s="26" t="s">
        <v>77</v>
      </c>
      <c r="L1394" s="27" t="s">
        <v>77</v>
      </c>
      <c r="N1394" s="28" t="s">
        <v>77</v>
      </c>
      <c r="Q1394" s="30"/>
    </row>
    <row r="1395">
      <c r="B1395" s="6"/>
      <c r="C1395" s="33" t="str">
        <f t="array" ref="C1395">IF(B1395="", "", XLOOKUP(B1395, Inventory!D:D,Inventory!E:E,"No Name Found"))</f>
        <v/>
      </c>
      <c r="D1395" s="6"/>
      <c r="E1395" s="6"/>
      <c r="F1395" s="6"/>
      <c r="G1395" s="24" t="str">
        <f>IF(F1395="", "", VLOOKUP(F1395, Inventory!A:BZ, 3, FALSE) - SUMIF($F$1:$F1394, F1395, $H$1:$H1394))
</f>
        <v/>
      </c>
      <c r="I1395" s="26"/>
      <c r="J1395" s="26" t="s">
        <v>77</v>
      </c>
      <c r="L1395" s="27" t="s">
        <v>77</v>
      </c>
      <c r="N1395" s="28" t="s">
        <v>77</v>
      </c>
      <c r="Q1395" s="30"/>
    </row>
    <row r="1396">
      <c r="B1396" s="6"/>
      <c r="C1396" s="33" t="str">
        <f t="array" ref="C1396">IF(B1396="", "", XLOOKUP(B1396, Inventory!D:D,Inventory!E:E,"No Name Found"))</f>
        <v/>
      </c>
      <c r="D1396" s="6"/>
      <c r="E1396" s="6"/>
      <c r="F1396" s="6"/>
      <c r="G1396" s="24" t="str">
        <f>IF(F1396="", "", VLOOKUP(F1396, Inventory!A:BZ, 3, FALSE) - SUMIF($F$1:$F1395, F1396, $H$1:$H1395))
</f>
        <v/>
      </c>
      <c r="I1396" s="26"/>
      <c r="J1396" s="26" t="s">
        <v>77</v>
      </c>
      <c r="L1396" s="27" t="s">
        <v>77</v>
      </c>
      <c r="N1396" s="28" t="s">
        <v>77</v>
      </c>
      <c r="Q1396" s="30"/>
    </row>
    <row r="1397">
      <c r="B1397" s="6"/>
      <c r="C1397" s="33" t="str">
        <f t="array" ref="C1397">IF(B1397="", "", XLOOKUP(B1397, Inventory!D:D,Inventory!E:E,"No Name Found"))</f>
        <v/>
      </c>
      <c r="D1397" s="6"/>
      <c r="E1397" s="6"/>
      <c r="F1397" s="6"/>
      <c r="G1397" s="24" t="str">
        <f>IF(F1397="", "", VLOOKUP(F1397, Inventory!A:BZ, 3, FALSE) - SUMIF($F$1:$F1396, F1397, $H$1:$H1396))
</f>
        <v/>
      </c>
      <c r="I1397" s="26"/>
      <c r="J1397" s="26" t="s">
        <v>77</v>
      </c>
      <c r="L1397" s="27" t="s">
        <v>77</v>
      </c>
      <c r="N1397" s="28" t="s">
        <v>77</v>
      </c>
      <c r="Q1397" s="30"/>
    </row>
    <row r="1398">
      <c r="B1398" s="6"/>
      <c r="C1398" s="33" t="str">
        <f t="array" ref="C1398">IF(B1398="", "", XLOOKUP(B1398, Inventory!D:D,Inventory!E:E,"No Name Found"))</f>
        <v/>
      </c>
      <c r="D1398" s="6"/>
      <c r="E1398" s="6"/>
      <c r="F1398" s="6"/>
      <c r="G1398" s="24" t="str">
        <f>IF(F1398="", "", VLOOKUP(F1398, Inventory!A:BZ, 3, FALSE) - SUMIF($F$1:$F1397, F1398, $H$1:$H1397))
</f>
        <v/>
      </c>
      <c r="I1398" s="26"/>
      <c r="J1398" s="26" t="s">
        <v>77</v>
      </c>
      <c r="L1398" s="27" t="s">
        <v>77</v>
      </c>
      <c r="N1398" s="28" t="s">
        <v>77</v>
      </c>
      <c r="Q1398" s="30"/>
    </row>
    <row r="1399">
      <c r="B1399" s="6"/>
      <c r="C1399" s="33" t="str">
        <f t="array" ref="C1399">IF(B1399="", "", XLOOKUP(B1399, Inventory!D:D,Inventory!E:E,"No Name Found"))</f>
        <v/>
      </c>
      <c r="D1399" s="6"/>
      <c r="E1399" s="6"/>
      <c r="F1399" s="6"/>
      <c r="G1399" s="24" t="str">
        <f>IF(F1399="", "", VLOOKUP(F1399, Inventory!A:BZ, 3, FALSE) - SUMIF($F$1:$F1398, F1399, $H$1:$H1398))
</f>
        <v/>
      </c>
      <c r="I1399" s="26"/>
      <c r="J1399" s="26" t="s">
        <v>77</v>
      </c>
      <c r="L1399" s="27" t="s">
        <v>77</v>
      </c>
      <c r="N1399" s="28" t="s">
        <v>77</v>
      </c>
      <c r="Q1399" s="30"/>
    </row>
    <row r="1400">
      <c r="B1400" s="6"/>
      <c r="C1400" s="33" t="str">
        <f t="array" ref="C1400">IF(B1400="", "", XLOOKUP(B1400, Inventory!D:D,Inventory!E:E,"No Name Found"))</f>
        <v/>
      </c>
      <c r="D1400" s="6"/>
      <c r="E1400" s="6"/>
      <c r="F1400" s="6"/>
      <c r="G1400" s="24" t="str">
        <f>IF(F1400="", "", VLOOKUP(F1400, Inventory!A:BZ, 3, FALSE) - SUMIF($F$1:$F1399, F1400, $H$1:$H1399))
</f>
        <v/>
      </c>
      <c r="I1400" s="26"/>
      <c r="J1400" s="26" t="s">
        <v>77</v>
      </c>
      <c r="L1400" s="27" t="s">
        <v>77</v>
      </c>
      <c r="N1400" s="28" t="s">
        <v>77</v>
      </c>
      <c r="Q1400" s="30"/>
    </row>
    <row r="1401">
      <c r="B1401" s="6"/>
      <c r="C1401" s="33" t="str">
        <f t="array" ref="C1401">IF(B1401="", "", XLOOKUP(B1401, Inventory!D:D,Inventory!E:E,"No Name Found"))</f>
        <v/>
      </c>
      <c r="D1401" s="6"/>
      <c r="E1401" s="6"/>
      <c r="F1401" s="6"/>
      <c r="G1401" s="24" t="str">
        <f>IF(F1401="", "", VLOOKUP(F1401, Inventory!A:BZ, 3, FALSE) - SUMIF($F$1:$F1400, F1401, $H$1:$H1400))
</f>
        <v/>
      </c>
      <c r="I1401" s="26"/>
      <c r="J1401" s="26" t="s">
        <v>77</v>
      </c>
      <c r="L1401" s="27" t="s">
        <v>77</v>
      </c>
      <c r="N1401" s="28" t="s">
        <v>77</v>
      </c>
      <c r="Q1401" s="30"/>
    </row>
    <row r="1402">
      <c r="B1402" s="6"/>
      <c r="C1402" s="33" t="str">
        <f t="array" ref="C1402">IF(B1402="", "", XLOOKUP(B1402, Inventory!D:D,Inventory!E:E,"No Name Found"))</f>
        <v/>
      </c>
      <c r="D1402" s="6"/>
      <c r="E1402" s="6"/>
      <c r="F1402" s="6"/>
      <c r="G1402" s="24" t="str">
        <f>IF(F1402="", "", VLOOKUP(F1402, Inventory!A:BZ, 3, FALSE) - SUMIF($F$1:$F1401, F1402, $H$1:$H1401))
</f>
        <v/>
      </c>
      <c r="I1402" s="26"/>
      <c r="J1402" s="26" t="s">
        <v>77</v>
      </c>
      <c r="L1402" s="27" t="s">
        <v>77</v>
      </c>
      <c r="N1402" s="28" t="s">
        <v>77</v>
      </c>
      <c r="Q1402" s="30"/>
    </row>
    <row r="1403">
      <c r="B1403" s="6"/>
      <c r="C1403" s="33" t="str">
        <f t="array" ref="C1403">IF(B1403="", "", XLOOKUP(B1403, Inventory!D:D,Inventory!E:E,"No Name Found"))</f>
        <v/>
      </c>
      <c r="D1403" s="6"/>
      <c r="E1403" s="6"/>
      <c r="F1403" s="6"/>
      <c r="G1403" s="24" t="str">
        <f>IF(F1403="", "", VLOOKUP(F1403, Inventory!A:BZ, 3, FALSE) - SUMIF($F$1:$F1402, F1403, $H$1:$H1402))
</f>
        <v/>
      </c>
      <c r="I1403" s="26"/>
      <c r="J1403" s="26" t="s">
        <v>77</v>
      </c>
      <c r="L1403" s="27" t="s">
        <v>77</v>
      </c>
      <c r="N1403" s="28" t="s">
        <v>77</v>
      </c>
      <c r="Q1403" s="30"/>
    </row>
    <row r="1404">
      <c r="B1404" s="6"/>
      <c r="C1404" s="33" t="str">
        <f t="array" ref="C1404">IF(B1404="", "", XLOOKUP(B1404, Inventory!D:D,Inventory!E:E,"No Name Found"))</f>
        <v/>
      </c>
      <c r="D1404" s="6"/>
      <c r="E1404" s="6"/>
      <c r="F1404" s="6"/>
      <c r="G1404" s="24" t="str">
        <f>IF(F1404="", "", VLOOKUP(F1404, Inventory!A:BZ, 3, FALSE) - SUMIF($F$1:$F1403, F1404, $H$1:$H1403))
</f>
        <v/>
      </c>
      <c r="I1404" s="26"/>
      <c r="J1404" s="26" t="s">
        <v>77</v>
      </c>
      <c r="L1404" s="27" t="s">
        <v>77</v>
      </c>
      <c r="N1404" s="28" t="s">
        <v>77</v>
      </c>
      <c r="Q1404" s="30"/>
    </row>
    <row r="1405">
      <c r="B1405" s="6"/>
      <c r="C1405" s="33" t="str">
        <f t="array" ref="C1405">IF(B1405="", "", XLOOKUP(B1405, Inventory!D:D,Inventory!E:E,"No Name Found"))</f>
        <v/>
      </c>
      <c r="D1405" s="6"/>
      <c r="E1405" s="6"/>
      <c r="F1405" s="6"/>
      <c r="G1405" s="24" t="str">
        <f>IF(F1405="", "", VLOOKUP(F1405, Inventory!A:BZ, 3, FALSE) - SUMIF($F$1:$F1404, F1405, $H$1:$H1404))
</f>
        <v/>
      </c>
      <c r="I1405" s="26"/>
      <c r="J1405" s="26" t="s">
        <v>77</v>
      </c>
      <c r="L1405" s="27" t="s">
        <v>77</v>
      </c>
      <c r="N1405" s="28" t="s">
        <v>77</v>
      </c>
      <c r="Q1405" s="30"/>
    </row>
    <row r="1406">
      <c r="B1406" s="6"/>
      <c r="C1406" s="33" t="str">
        <f t="array" ref="C1406">IF(B1406="", "", XLOOKUP(B1406, Inventory!D:D,Inventory!E:E,"No Name Found"))</f>
        <v/>
      </c>
      <c r="D1406" s="6"/>
      <c r="E1406" s="6"/>
      <c r="F1406" s="6"/>
      <c r="G1406" s="24" t="str">
        <f>IF(F1406="", "", VLOOKUP(F1406, Inventory!A:BZ, 3, FALSE) - SUMIF($F$1:$F1405, F1406, $H$1:$H1405))
</f>
        <v/>
      </c>
      <c r="I1406" s="26"/>
      <c r="J1406" s="26" t="s">
        <v>77</v>
      </c>
      <c r="L1406" s="27" t="s">
        <v>77</v>
      </c>
      <c r="N1406" s="28" t="s">
        <v>77</v>
      </c>
      <c r="Q1406" s="30"/>
    </row>
    <row r="1407">
      <c r="B1407" s="6"/>
      <c r="C1407" s="33" t="str">
        <f t="array" ref="C1407">IF(B1407="", "", XLOOKUP(B1407, Inventory!D:D,Inventory!E:E,"No Name Found"))</f>
        <v/>
      </c>
      <c r="D1407" s="6"/>
      <c r="E1407" s="6"/>
      <c r="F1407" s="6"/>
      <c r="G1407" s="24" t="str">
        <f>IF(F1407="", "", VLOOKUP(F1407, Inventory!A:BZ, 3, FALSE) - SUMIF($F$1:$F1406, F1407, $H$1:$H1406))
</f>
        <v/>
      </c>
      <c r="I1407" s="26"/>
      <c r="J1407" s="26" t="s">
        <v>77</v>
      </c>
      <c r="L1407" s="27" t="s">
        <v>77</v>
      </c>
      <c r="N1407" s="28" t="s">
        <v>77</v>
      </c>
      <c r="Q1407" s="30"/>
    </row>
    <row r="1408">
      <c r="B1408" s="6"/>
      <c r="C1408" s="33" t="str">
        <f t="array" ref="C1408">IF(B1408="", "", XLOOKUP(B1408, Inventory!D:D,Inventory!E:E,"No Name Found"))</f>
        <v/>
      </c>
      <c r="D1408" s="6"/>
      <c r="E1408" s="6"/>
      <c r="F1408" s="6"/>
      <c r="G1408" s="24" t="str">
        <f>IF(F1408="", "", VLOOKUP(F1408, Inventory!A:BZ, 3, FALSE) - SUMIF($F$1:$F1407, F1408, $H$1:$H1407))
</f>
        <v/>
      </c>
      <c r="I1408" s="26"/>
      <c r="J1408" s="26" t="s">
        <v>77</v>
      </c>
      <c r="L1408" s="27" t="s">
        <v>77</v>
      </c>
      <c r="N1408" s="28" t="s">
        <v>77</v>
      </c>
      <c r="Q1408" s="30"/>
    </row>
    <row r="1409">
      <c r="B1409" s="6"/>
      <c r="C1409" s="33" t="str">
        <f t="array" ref="C1409">IF(B1409="", "", XLOOKUP(B1409, Inventory!D:D,Inventory!E:E,"No Name Found"))</f>
        <v/>
      </c>
      <c r="D1409" s="6"/>
      <c r="E1409" s="6"/>
      <c r="F1409" s="6"/>
      <c r="G1409" s="24" t="str">
        <f>IF(F1409="", "", VLOOKUP(F1409, Inventory!A:BZ, 3, FALSE) - SUMIF($F$1:$F1408, F1409, $H$1:$H1408))
</f>
        <v/>
      </c>
      <c r="I1409" s="26"/>
      <c r="J1409" s="26" t="s">
        <v>77</v>
      </c>
      <c r="L1409" s="27" t="s">
        <v>77</v>
      </c>
      <c r="N1409" s="28" t="s">
        <v>77</v>
      </c>
      <c r="Q1409" s="30"/>
    </row>
    <row r="1410">
      <c r="B1410" s="6"/>
      <c r="C1410" s="33" t="str">
        <f t="array" ref="C1410">IF(B1410="", "", XLOOKUP(B1410, Inventory!D:D,Inventory!E:E,"No Name Found"))</f>
        <v/>
      </c>
      <c r="D1410" s="6"/>
      <c r="E1410" s="6"/>
      <c r="F1410" s="6"/>
      <c r="G1410" s="24" t="str">
        <f>IF(F1410="", "", VLOOKUP(F1410, Inventory!A:BZ, 3, FALSE) - SUMIF($F$1:$F1409, F1410, $H$1:$H1409))
</f>
        <v/>
      </c>
      <c r="I1410" s="26"/>
      <c r="J1410" s="26" t="s">
        <v>77</v>
      </c>
      <c r="L1410" s="27" t="s">
        <v>77</v>
      </c>
      <c r="N1410" s="28" t="s">
        <v>77</v>
      </c>
      <c r="Q1410" s="30"/>
    </row>
    <row r="1411">
      <c r="B1411" s="6"/>
      <c r="C1411" s="33" t="str">
        <f t="array" ref="C1411">IF(B1411="", "", XLOOKUP(B1411, Inventory!D:D,Inventory!E:E,"No Name Found"))</f>
        <v/>
      </c>
      <c r="D1411" s="6"/>
      <c r="E1411" s="6"/>
      <c r="F1411" s="6"/>
      <c r="G1411" s="24" t="str">
        <f>IF(F1411="", "", VLOOKUP(F1411, Inventory!A:BZ, 3, FALSE) - SUMIF($F$1:$F1410, F1411, $H$1:$H1410))
</f>
        <v/>
      </c>
      <c r="I1411" s="26"/>
      <c r="J1411" s="26" t="s">
        <v>77</v>
      </c>
      <c r="L1411" s="27" t="s">
        <v>77</v>
      </c>
      <c r="N1411" s="28" t="s">
        <v>77</v>
      </c>
      <c r="Q1411" s="30"/>
    </row>
    <row r="1412">
      <c r="B1412" s="6"/>
      <c r="C1412" s="33" t="str">
        <f t="array" ref="C1412">IF(B1412="", "", XLOOKUP(B1412, Inventory!D:D,Inventory!E:E,"No Name Found"))</f>
        <v/>
      </c>
      <c r="D1412" s="6"/>
      <c r="E1412" s="6"/>
      <c r="F1412" s="6"/>
      <c r="G1412" s="24" t="str">
        <f>IF(F1412="", "", VLOOKUP(F1412, Inventory!A:BZ, 3, FALSE) - SUMIF($F$1:$F1411, F1412, $H$1:$H1411))
</f>
        <v/>
      </c>
      <c r="I1412" s="26"/>
      <c r="J1412" s="26" t="s">
        <v>77</v>
      </c>
      <c r="L1412" s="27" t="s">
        <v>77</v>
      </c>
      <c r="N1412" s="28" t="s">
        <v>77</v>
      </c>
      <c r="Q1412" s="30"/>
    </row>
    <row r="1413">
      <c r="B1413" s="6"/>
      <c r="C1413" s="33" t="str">
        <f t="array" ref="C1413">IF(B1413="", "", XLOOKUP(B1413, Inventory!D:D,Inventory!E:E,"No Name Found"))</f>
        <v/>
      </c>
      <c r="D1413" s="6"/>
      <c r="E1413" s="6"/>
      <c r="F1413" s="6"/>
      <c r="G1413" s="24" t="str">
        <f>IF(F1413="", "", VLOOKUP(F1413, Inventory!A:BZ, 3, FALSE) - SUMIF($F$1:$F1412, F1413, $H$1:$H1412))
</f>
        <v/>
      </c>
      <c r="I1413" s="26"/>
      <c r="J1413" s="26" t="s">
        <v>77</v>
      </c>
      <c r="L1413" s="27" t="s">
        <v>77</v>
      </c>
      <c r="N1413" s="28" t="s">
        <v>77</v>
      </c>
      <c r="Q1413" s="30"/>
    </row>
    <row r="1414">
      <c r="B1414" s="6"/>
      <c r="C1414" s="33" t="str">
        <f t="array" ref="C1414">IF(B1414="", "", XLOOKUP(B1414, Inventory!D:D,Inventory!E:E,"No Name Found"))</f>
        <v/>
      </c>
      <c r="D1414" s="6"/>
      <c r="E1414" s="6"/>
      <c r="F1414" s="6"/>
      <c r="G1414" s="24" t="str">
        <f>IF(F1414="", "", VLOOKUP(F1414, Inventory!A:BZ, 3, FALSE) - SUMIF($F$1:$F1413, F1414, $H$1:$H1413))
</f>
        <v/>
      </c>
      <c r="I1414" s="26"/>
      <c r="J1414" s="26" t="s">
        <v>77</v>
      </c>
      <c r="L1414" s="27" t="s">
        <v>77</v>
      </c>
      <c r="N1414" s="28" t="s">
        <v>77</v>
      </c>
      <c r="Q1414" s="30"/>
    </row>
    <row r="1415">
      <c r="B1415" s="6"/>
      <c r="C1415" s="33" t="str">
        <f t="array" ref="C1415">IF(B1415="", "", XLOOKUP(B1415, Inventory!D:D,Inventory!E:E,"No Name Found"))</f>
        <v/>
      </c>
      <c r="D1415" s="6"/>
      <c r="E1415" s="6"/>
      <c r="F1415" s="6"/>
      <c r="G1415" s="24" t="str">
        <f>IF(F1415="", "", VLOOKUP(F1415, Inventory!A:BZ, 3, FALSE) - SUMIF($F$1:$F1414, F1415, $H$1:$H1414))
</f>
        <v/>
      </c>
      <c r="I1415" s="26"/>
      <c r="J1415" s="26" t="s">
        <v>77</v>
      </c>
      <c r="L1415" s="27" t="s">
        <v>77</v>
      </c>
      <c r="N1415" s="28" t="s">
        <v>77</v>
      </c>
      <c r="Q1415" s="30"/>
    </row>
    <row r="1416">
      <c r="B1416" s="6"/>
      <c r="C1416" s="33" t="str">
        <f t="array" ref="C1416">IF(B1416="", "", XLOOKUP(B1416, Inventory!D:D,Inventory!E:E,"No Name Found"))</f>
        <v/>
      </c>
      <c r="D1416" s="6"/>
      <c r="E1416" s="6"/>
      <c r="F1416" s="6"/>
      <c r="G1416" s="24" t="str">
        <f>IF(F1416="", "", VLOOKUP(F1416, Inventory!A:BZ, 3, FALSE) - SUMIF($F$1:$F1415, F1416, $H$1:$H1415))
</f>
        <v/>
      </c>
      <c r="I1416" s="26"/>
      <c r="J1416" s="26" t="s">
        <v>77</v>
      </c>
      <c r="L1416" s="27" t="s">
        <v>77</v>
      </c>
      <c r="N1416" s="28" t="s">
        <v>77</v>
      </c>
      <c r="Q1416" s="30"/>
    </row>
    <row r="1417">
      <c r="B1417" s="6"/>
      <c r="C1417" s="33" t="str">
        <f t="array" ref="C1417">IF(B1417="", "", XLOOKUP(B1417, Inventory!D:D,Inventory!E:E,"No Name Found"))</f>
        <v/>
      </c>
      <c r="D1417" s="6"/>
      <c r="E1417" s="6"/>
      <c r="F1417" s="6"/>
      <c r="G1417" s="24" t="str">
        <f>IF(F1417="", "", VLOOKUP(F1417, Inventory!A:BZ, 3, FALSE) - SUMIF($F$1:$F1416, F1417, $H$1:$H1416))
</f>
        <v/>
      </c>
      <c r="I1417" s="26"/>
      <c r="J1417" s="26" t="s">
        <v>77</v>
      </c>
      <c r="L1417" s="27" t="s">
        <v>77</v>
      </c>
      <c r="N1417" s="28" t="s">
        <v>77</v>
      </c>
      <c r="Q1417" s="30"/>
    </row>
    <row r="1418">
      <c r="B1418" s="6"/>
      <c r="C1418" s="33" t="str">
        <f t="array" ref="C1418">IF(B1418="", "", XLOOKUP(B1418, Inventory!D:D,Inventory!E:E,"No Name Found"))</f>
        <v/>
      </c>
      <c r="D1418" s="6"/>
      <c r="E1418" s="6"/>
      <c r="F1418" s="6"/>
      <c r="G1418" s="24" t="str">
        <f>IF(F1418="", "", VLOOKUP(F1418, Inventory!A:BZ, 3, FALSE) - SUMIF($F$1:$F1417, F1418, $H$1:$H1417))
</f>
        <v/>
      </c>
      <c r="I1418" s="26"/>
      <c r="J1418" s="26" t="s">
        <v>77</v>
      </c>
      <c r="L1418" s="27" t="s">
        <v>77</v>
      </c>
      <c r="N1418" s="28" t="s">
        <v>77</v>
      </c>
      <c r="Q1418" s="30"/>
    </row>
    <row r="1419">
      <c r="B1419" s="6"/>
      <c r="C1419" s="33" t="str">
        <f t="array" ref="C1419">IF(B1419="", "", XLOOKUP(B1419, Inventory!D:D,Inventory!E:E,"No Name Found"))</f>
        <v/>
      </c>
      <c r="D1419" s="6"/>
      <c r="E1419" s="6"/>
      <c r="F1419" s="6"/>
      <c r="G1419" s="24" t="str">
        <f>IF(F1419="", "", VLOOKUP(F1419, Inventory!A:BZ, 3, FALSE) - SUMIF($F$1:$F1418, F1419, $H$1:$H1418))
</f>
        <v/>
      </c>
      <c r="I1419" s="26"/>
      <c r="J1419" s="26" t="s">
        <v>77</v>
      </c>
      <c r="L1419" s="27" t="s">
        <v>77</v>
      </c>
      <c r="N1419" s="28" t="s">
        <v>77</v>
      </c>
      <c r="Q1419" s="30"/>
    </row>
    <row r="1420">
      <c r="B1420" s="6"/>
      <c r="C1420" s="33" t="str">
        <f t="array" ref="C1420">IF(B1420="", "", XLOOKUP(B1420, Inventory!D:D,Inventory!E:E,"No Name Found"))</f>
        <v/>
      </c>
      <c r="D1420" s="6"/>
      <c r="E1420" s="6"/>
      <c r="F1420" s="6"/>
      <c r="G1420" s="24" t="str">
        <f>IF(F1420="", "", VLOOKUP(F1420, Inventory!A:BZ, 3, FALSE) - SUMIF($F$1:$F1419, F1420, $H$1:$H1419))
</f>
        <v/>
      </c>
      <c r="I1420" s="26"/>
      <c r="J1420" s="26" t="s">
        <v>77</v>
      </c>
      <c r="L1420" s="27" t="s">
        <v>77</v>
      </c>
      <c r="N1420" s="28" t="s">
        <v>77</v>
      </c>
      <c r="Q1420" s="30"/>
    </row>
    <row r="1421">
      <c r="B1421" s="6"/>
      <c r="C1421" s="33" t="str">
        <f t="array" ref="C1421">IF(B1421="", "", XLOOKUP(B1421, Inventory!D:D,Inventory!E:E,"No Name Found"))</f>
        <v/>
      </c>
      <c r="D1421" s="6"/>
      <c r="E1421" s="6"/>
      <c r="F1421" s="6"/>
      <c r="G1421" s="24" t="str">
        <f>IF(F1421="", "", VLOOKUP(F1421, Inventory!A:BZ, 3, FALSE) - SUMIF($F$1:$F1420, F1421, $H$1:$H1420))
</f>
        <v/>
      </c>
      <c r="I1421" s="26"/>
      <c r="J1421" s="26" t="s">
        <v>77</v>
      </c>
      <c r="L1421" s="27" t="s">
        <v>77</v>
      </c>
      <c r="N1421" s="28" t="s">
        <v>77</v>
      </c>
      <c r="Q1421" s="30"/>
    </row>
    <row r="1422">
      <c r="B1422" s="6"/>
      <c r="C1422" s="33" t="str">
        <f t="array" ref="C1422">IF(B1422="", "", XLOOKUP(B1422, Inventory!D:D,Inventory!E:E,"No Name Found"))</f>
        <v/>
      </c>
      <c r="D1422" s="6"/>
      <c r="E1422" s="6"/>
      <c r="F1422" s="6"/>
      <c r="G1422" s="24" t="str">
        <f>IF(F1422="", "", VLOOKUP(F1422, Inventory!A:BZ, 3, FALSE) - SUMIF($F$1:$F1421, F1422, $H$1:$H1421))
</f>
        <v/>
      </c>
      <c r="I1422" s="26"/>
      <c r="J1422" s="26" t="s">
        <v>77</v>
      </c>
      <c r="L1422" s="27" t="s">
        <v>77</v>
      </c>
      <c r="N1422" s="28" t="s">
        <v>77</v>
      </c>
      <c r="Q1422" s="30"/>
    </row>
    <row r="1423">
      <c r="B1423" s="6"/>
      <c r="C1423" s="33" t="str">
        <f t="array" ref="C1423">IF(B1423="", "", XLOOKUP(B1423, Inventory!D:D,Inventory!E:E,"No Name Found"))</f>
        <v/>
      </c>
      <c r="D1423" s="6"/>
      <c r="E1423" s="6"/>
      <c r="F1423" s="6"/>
      <c r="G1423" s="24" t="str">
        <f>IF(F1423="", "", VLOOKUP(F1423, Inventory!A:BZ, 3, FALSE) - SUMIF($F$1:$F1422, F1423, $H$1:$H1422))
</f>
        <v/>
      </c>
      <c r="I1423" s="26"/>
      <c r="J1423" s="26" t="s">
        <v>77</v>
      </c>
      <c r="L1423" s="27" t="s">
        <v>77</v>
      </c>
      <c r="N1423" s="28" t="s">
        <v>77</v>
      </c>
      <c r="Q1423" s="30"/>
    </row>
    <row r="1424">
      <c r="B1424" s="6"/>
      <c r="C1424" s="33" t="str">
        <f t="array" ref="C1424">IF(B1424="", "", XLOOKUP(B1424, Inventory!D:D,Inventory!E:E,"No Name Found"))</f>
        <v/>
      </c>
      <c r="D1424" s="6"/>
      <c r="E1424" s="6"/>
      <c r="F1424" s="6"/>
      <c r="G1424" s="24" t="str">
        <f>IF(F1424="", "", VLOOKUP(F1424, Inventory!A:BZ, 3, FALSE) - SUMIF($F$1:$F1423, F1424, $H$1:$H1423))
</f>
        <v/>
      </c>
      <c r="I1424" s="26"/>
      <c r="J1424" s="26" t="s">
        <v>77</v>
      </c>
      <c r="L1424" s="27" t="s">
        <v>77</v>
      </c>
      <c r="N1424" s="28" t="s">
        <v>77</v>
      </c>
      <c r="Q1424" s="30"/>
    </row>
    <row r="1425">
      <c r="B1425" s="6"/>
      <c r="C1425" s="33" t="str">
        <f t="array" ref="C1425">IF(B1425="", "", XLOOKUP(B1425, Inventory!D:D,Inventory!E:E,"No Name Found"))</f>
        <v/>
      </c>
      <c r="D1425" s="6"/>
      <c r="E1425" s="6"/>
      <c r="F1425" s="6"/>
      <c r="G1425" s="24" t="str">
        <f>IF(F1425="", "", VLOOKUP(F1425, Inventory!A:BZ, 3, FALSE) - SUMIF($F$1:$F1424, F1425, $H$1:$H1424))
</f>
        <v/>
      </c>
      <c r="I1425" s="26"/>
      <c r="J1425" s="26" t="s">
        <v>77</v>
      </c>
      <c r="L1425" s="27" t="s">
        <v>77</v>
      </c>
      <c r="N1425" s="28" t="s">
        <v>77</v>
      </c>
      <c r="Q1425" s="30"/>
    </row>
    <row r="1426">
      <c r="B1426" s="6"/>
      <c r="C1426" s="33" t="str">
        <f t="array" ref="C1426">IF(B1426="", "", XLOOKUP(B1426, Inventory!D:D,Inventory!E:E,"No Name Found"))</f>
        <v/>
      </c>
      <c r="D1426" s="6"/>
      <c r="E1426" s="6"/>
      <c r="F1426" s="6"/>
      <c r="G1426" s="24" t="str">
        <f>IF(F1426="", "", VLOOKUP(F1426, Inventory!A:BZ, 3, FALSE) - SUMIF($F$1:$F1425, F1426, $H$1:$H1425))
</f>
        <v/>
      </c>
      <c r="I1426" s="26"/>
      <c r="J1426" s="26" t="s">
        <v>77</v>
      </c>
      <c r="L1426" s="27" t="s">
        <v>77</v>
      </c>
      <c r="N1426" s="28" t="s">
        <v>77</v>
      </c>
      <c r="Q1426" s="30"/>
    </row>
    <row r="1427">
      <c r="B1427" s="6"/>
      <c r="C1427" s="33" t="str">
        <f t="array" ref="C1427">IF(B1427="", "", XLOOKUP(B1427, Inventory!D:D,Inventory!E:E,"No Name Found"))</f>
        <v/>
      </c>
      <c r="D1427" s="6"/>
      <c r="E1427" s="6"/>
      <c r="F1427" s="6"/>
      <c r="G1427" s="24" t="str">
        <f>IF(F1427="", "", VLOOKUP(F1427, Inventory!A:BZ, 3, FALSE) - SUMIF($F$1:$F1426, F1427, $H$1:$H1426))
</f>
        <v/>
      </c>
      <c r="I1427" s="26"/>
      <c r="J1427" s="26" t="s">
        <v>77</v>
      </c>
      <c r="L1427" s="27" t="s">
        <v>77</v>
      </c>
      <c r="N1427" s="28" t="s">
        <v>77</v>
      </c>
      <c r="Q1427" s="30"/>
    </row>
    <row r="1428">
      <c r="B1428" s="6"/>
      <c r="C1428" s="33" t="str">
        <f t="array" ref="C1428">IF(B1428="", "", XLOOKUP(B1428, Inventory!D:D,Inventory!E:E,"No Name Found"))</f>
        <v/>
      </c>
      <c r="D1428" s="6"/>
      <c r="E1428" s="6"/>
      <c r="F1428" s="6"/>
      <c r="G1428" s="24" t="str">
        <f>IF(F1428="", "", VLOOKUP(F1428, Inventory!A:BZ, 3, FALSE) - SUMIF($F$1:$F1427, F1428, $H$1:$H1427))
</f>
        <v/>
      </c>
      <c r="I1428" s="26"/>
      <c r="J1428" s="26" t="s">
        <v>77</v>
      </c>
      <c r="L1428" s="27" t="s">
        <v>77</v>
      </c>
      <c r="N1428" s="28" t="s">
        <v>77</v>
      </c>
      <c r="Q1428" s="30"/>
    </row>
    <row r="1429">
      <c r="B1429" s="6"/>
      <c r="C1429" s="33" t="str">
        <f t="array" ref="C1429">IF(B1429="", "", XLOOKUP(B1429, Inventory!D:D,Inventory!E:E,"No Name Found"))</f>
        <v/>
      </c>
      <c r="D1429" s="6"/>
      <c r="E1429" s="6"/>
      <c r="F1429" s="6"/>
      <c r="G1429" s="24" t="str">
        <f>IF(F1429="", "", VLOOKUP(F1429, Inventory!A:BZ, 3, FALSE) - SUMIF($F$1:$F1428, F1429, $H$1:$H1428))
</f>
        <v/>
      </c>
      <c r="I1429" s="26"/>
      <c r="J1429" s="26" t="s">
        <v>77</v>
      </c>
      <c r="L1429" s="27" t="s">
        <v>77</v>
      </c>
      <c r="N1429" s="28" t="s">
        <v>77</v>
      </c>
      <c r="Q1429" s="30"/>
    </row>
    <row r="1430">
      <c r="B1430" s="6"/>
      <c r="C1430" s="33" t="str">
        <f t="array" ref="C1430">IF(B1430="", "", XLOOKUP(B1430, Inventory!D:D,Inventory!E:E,"No Name Found"))</f>
        <v/>
      </c>
      <c r="D1430" s="6"/>
      <c r="E1430" s="6"/>
      <c r="F1430" s="6"/>
      <c r="G1430" s="24" t="str">
        <f>IF(F1430="", "", VLOOKUP(F1430, Inventory!A:BZ, 3, FALSE) - SUMIF($F$1:$F1429, F1430, $H$1:$H1429))
</f>
        <v/>
      </c>
      <c r="I1430" s="26"/>
      <c r="J1430" s="26" t="s">
        <v>77</v>
      </c>
      <c r="L1430" s="27" t="s">
        <v>77</v>
      </c>
      <c r="N1430" s="28" t="s">
        <v>77</v>
      </c>
      <c r="Q1430" s="30"/>
    </row>
    <row r="1431">
      <c r="B1431" s="6"/>
      <c r="C1431" s="33" t="str">
        <f t="array" ref="C1431">IF(B1431="", "", XLOOKUP(B1431, Inventory!D:D,Inventory!E:E,"No Name Found"))</f>
        <v/>
      </c>
      <c r="D1431" s="6"/>
      <c r="E1431" s="6"/>
      <c r="F1431" s="6"/>
      <c r="G1431" s="24" t="str">
        <f>IF(F1431="", "", VLOOKUP(F1431, Inventory!A:BZ, 3, FALSE) - SUMIF($F$1:$F1430, F1431, $H$1:$H1430))
</f>
        <v/>
      </c>
      <c r="I1431" s="26"/>
      <c r="J1431" s="26" t="s">
        <v>77</v>
      </c>
      <c r="L1431" s="27" t="s">
        <v>77</v>
      </c>
      <c r="N1431" s="28" t="s">
        <v>77</v>
      </c>
      <c r="Q1431" s="30"/>
    </row>
    <row r="1432">
      <c r="B1432" s="6"/>
      <c r="C1432" s="33" t="str">
        <f t="array" ref="C1432">IF(B1432="", "", XLOOKUP(B1432, Inventory!D:D,Inventory!E:E,"No Name Found"))</f>
        <v/>
      </c>
      <c r="D1432" s="6"/>
      <c r="E1432" s="6"/>
      <c r="F1432" s="6"/>
      <c r="G1432" s="24" t="str">
        <f>IF(F1432="", "", VLOOKUP(F1432, Inventory!A:BZ, 3, FALSE) - SUMIF($F$1:$F1431, F1432, $H$1:$H1431))
</f>
        <v/>
      </c>
      <c r="I1432" s="26"/>
      <c r="J1432" s="26" t="s">
        <v>77</v>
      </c>
      <c r="L1432" s="27" t="s">
        <v>77</v>
      </c>
      <c r="N1432" s="28" t="s">
        <v>77</v>
      </c>
      <c r="Q1432" s="30"/>
    </row>
    <row r="1433">
      <c r="B1433" s="6"/>
      <c r="C1433" s="33" t="str">
        <f t="array" ref="C1433">IF(B1433="", "", XLOOKUP(B1433, Inventory!D:D,Inventory!E:E,"No Name Found"))</f>
        <v/>
      </c>
      <c r="D1433" s="6"/>
      <c r="E1433" s="6"/>
      <c r="F1433" s="6"/>
      <c r="G1433" s="24" t="str">
        <f>IF(F1433="", "", VLOOKUP(F1433, Inventory!A:BZ, 3, FALSE) - SUMIF($F$1:$F1432, F1433, $H$1:$H1432))
</f>
        <v/>
      </c>
      <c r="I1433" s="26"/>
      <c r="J1433" s="26" t="s">
        <v>77</v>
      </c>
      <c r="L1433" s="27" t="s">
        <v>77</v>
      </c>
      <c r="N1433" s="28" t="s">
        <v>77</v>
      </c>
      <c r="Q1433" s="30"/>
    </row>
    <row r="1434">
      <c r="B1434" s="6"/>
      <c r="C1434" s="33" t="str">
        <f t="array" ref="C1434">IF(B1434="", "", XLOOKUP(B1434, Inventory!D:D,Inventory!E:E,"No Name Found"))</f>
        <v/>
      </c>
      <c r="D1434" s="6"/>
      <c r="E1434" s="6"/>
      <c r="F1434" s="6"/>
      <c r="G1434" s="24" t="str">
        <f>IF(F1434="", "", VLOOKUP(F1434, Inventory!A:BZ, 3, FALSE) - SUMIF($F$1:$F1433, F1434, $H$1:$H1433))
</f>
        <v/>
      </c>
      <c r="I1434" s="26"/>
      <c r="J1434" s="26" t="s">
        <v>77</v>
      </c>
      <c r="L1434" s="27" t="s">
        <v>77</v>
      </c>
      <c r="N1434" s="28" t="s">
        <v>77</v>
      </c>
      <c r="Q1434" s="30"/>
    </row>
    <row r="1435">
      <c r="B1435" s="6"/>
      <c r="C1435" s="33" t="str">
        <f t="array" ref="C1435">IF(B1435="", "", XLOOKUP(B1435, Inventory!D:D,Inventory!E:E,"No Name Found"))</f>
        <v/>
      </c>
      <c r="D1435" s="6"/>
      <c r="E1435" s="6"/>
      <c r="F1435" s="6"/>
      <c r="G1435" s="24" t="str">
        <f>IF(F1435="", "", VLOOKUP(F1435, Inventory!A:BZ, 3, FALSE) - SUMIF($F$1:$F1434, F1435, $H$1:$H1434))
</f>
        <v/>
      </c>
      <c r="I1435" s="26"/>
      <c r="J1435" s="26" t="s">
        <v>77</v>
      </c>
      <c r="L1435" s="27" t="s">
        <v>77</v>
      </c>
      <c r="N1435" s="28" t="s">
        <v>77</v>
      </c>
      <c r="Q1435" s="30"/>
    </row>
    <row r="1436">
      <c r="B1436" s="6"/>
      <c r="C1436" s="33" t="str">
        <f t="array" ref="C1436">IF(B1436="", "", XLOOKUP(B1436, Inventory!D:D,Inventory!E:E,"No Name Found"))</f>
        <v/>
      </c>
      <c r="D1436" s="6"/>
      <c r="E1436" s="6"/>
      <c r="F1436" s="6"/>
      <c r="G1436" s="24" t="str">
        <f>IF(F1436="", "", VLOOKUP(F1436, Inventory!A:BZ, 3, FALSE) - SUMIF($F$1:$F1435, F1436, $H$1:$H1435))
</f>
        <v/>
      </c>
      <c r="I1436" s="26"/>
      <c r="J1436" s="26" t="s">
        <v>77</v>
      </c>
      <c r="L1436" s="27" t="s">
        <v>77</v>
      </c>
      <c r="N1436" s="28" t="s">
        <v>77</v>
      </c>
      <c r="Q1436" s="30"/>
    </row>
    <row r="1437">
      <c r="B1437" s="6"/>
      <c r="C1437" s="33" t="str">
        <f t="array" ref="C1437">IF(B1437="", "", XLOOKUP(B1437, Inventory!D:D,Inventory!E:E,"No Name Found"))</f>
        <v/>
      </c>
      <c r="D1437" s="6"/>
      <c r="E1437" s="6"/>
      <c r="F1437" s="6"/>
      <c r="G1437" s="24" t="str">
        <f>IF(F1437="", "", VLOOKUP(F1437, Inventory!A:BZ, 3, FALSE) - SUMIF($F$1:$F1436, F1437, $H$1:$H1436))
</f>
        <v/>
      </c>
      <c r="I1437" s="26"/>
      <c r="J1437" s="26" t="s">
        <v>77</v>
      </c>
      <c r="L1437" s="27" t="s">
        <v>77</v>
      </c>
      <c r="N1437" s="28" t="s">
        <v>77</v>
      </c>
      <c r="Q1437" s="30"/>
    </row>
    <row r="1438">
      <c r="B1438" s="6"/>
      <c r="C1438" s="33" t="str">
        <f t="array" ref="C1438">IF(B1438="", "", XLOOKUP(B1438, Inventory!D:D,Inventory!E:E,"No Name Found"))</f>
        <v/>
      </c>
      <c r="D1438" s="6"/>
      <c r="E1438" s="6"/>
      <c r="F1438" s="6"/>
      <c r="G1438" s="24" t="str">
        <f>IF(F1438="", "", VLOOKUP(F1438, Inventory!A:BZ, 3, FALSE) - SUMIF($F$1:$F1437, F1438, $H$1:$H1437))
</f>
        <v/>
      </c>
      <c r="I1438" s="26"/>
      <c r="J1438" s="26" t="s">
        <v>77</v>
      </c>
      <c r="L1438" s="27" t="s">
        <v>77</v>
      </c>
      <c r="N1438" s="28" t="s">
        <v>77</v>
      </c>
      <c r="Q1438" s="30"/>
    </row>
    <row r="1439">
      <c r="B1439" s="6"/>
      <c r="C1439" s="33" t="str">
        <f t="array" ref="C1439">IF(B1439="", "", XLOOKUP(B1439, Inventory!D:D,Inventory!E:E,"No Name Found"))</f>
        <v/>
      </c>
      <c r="D1439" s="6"/>
      <c r="E1439" s="6"/>
      <c r="F1439" s="6"/>
      <c r="G1439" s="24" t="str">
        <f>IF(F1439="", "", VLOOKUP(F1439, Inventory!A:BZ, 3, FALSE) - SUMIF($F$1:$F1438, F1439, $H$1:$H1438))
</f>
        <v/>
      </c>
      <c r="I1439" s="26"/>
      <c r="J1439" s="26" t="s">
        <v>77</v>
      </c>
      <c r="L1439" s="27" t="s">
        <v>77</v>
      </c>
      <c r="N1439" s="28" t="s">
        <v>77</v>
      </c>
      <c r="Q1439" s="30"/>
    </row>
    <row r="1440">
      <c r="B1440" s="6"/>
      <c r="C1440" s="33" t="str">
        <f t="array" ref="C1440">IF(B1440="", "", XLOOKUP(B1440, Inventory!D:D,Inventory!E:E,"No Name Found"))</f>
        <v/>
      </c>
      <c r="D1440" s="6"/>
      <c r="E1440" s="6"/>
      <c r="F1440" s="6"/>
      <c r="G1440" s="24" t="str">
        <f>IF(F1440="", "", VLOOKUP(F1440, Inventory!A:BZ, 3, FALSE) - SUMIF($F$1:$F1439, F1440, $H$1:$H1439))
</f>
        <v/>
      </c>
      <c r="I1440" s="26"/>
      <c r="J1440" s="26" t="s">
        <v>77</v>
      </c>
      <c r="L1440" s="27" t="s">
        <v>77</v>
      </c>
      <c r="N1440" s="28" t="s">
        <v>77</v>
      </c>
      <c r="Q1440" s="30"/>
    </row>
    <row r="1441">
      <c r="B1441" s="6"/>
      <c r="C1441" s="33" t="str">
        <f t="array" ref="C1441">IF(B1441="", "", XLOOKUP(B1441, Inventory!D:D,Inventory!E:E,"No Name Found"))</f>
        <v/>
      </c>
      <c r="D1441" s="6"/>
      <c r="E1441" s="6"/>
      <c r="F1441" s="6"/>
      <c r="G1441" s="24" t="str">
        <f>IF(F1441="", "", VLOOKUP(F1441, Inventory!A:BZ, 3, FALSE) - SUMIF($F$1:$F1440, F1441, $H$1:$H1440))
</f>
        <v/>
      </c>
      <c r="I1441" s="26"/>
      <c r="J1441" s="26" t="s">
        <v>77</v>
      </c>
      <c r="L1441" s="27" t="s">
        <v>77</v>
      </c>
      <c r="N1441" s="28" t="s">
        <v>77</v>
      </c>
      <c r="Q1441" s="30"/>
    </row>
    <row r="1442">
      <c r="B1442" s="6"/>
      <c r="C1442" s="33" t="str">
        <f t="array" ref="C1442">IF(B1442="", "", XLOOKUP(B1442, Inventory!D:D,Inventory!E:E,"No Name Found"))</f>
        <v/>
      </c>
      <c r="D1442" s="6"/>
      <c r="E1442" s="6"/>
      <c r="F1442" s="6"/>
      <c r="G1442" s="24" t="str">
        <f>IF(F1442="", "", VLOOKUP(F1442, Inventory!A:BZ, 3, FALSE) - SUMIF($F$1:$F1441, F1442, $H$1:$H1441))
</f>
        <v/>
      </c>
      <c r="I1442" s="26"/>
      <c r="J1442" s="26" t="s">
        <v>77</v>
      </c>
      <c r="L1442" s="27" t="s">
        <v>77</v>
      </c>
      <c r="N1442" s="28" t="s">
        <v>77</v>
      </c>
      <c r="Q1442" s="30"/>
    </row>
    <row r="1443">
      <c r="B1443" s="6"/>
      <c r="C1443" s="33" t="str">
        <f t="array" ref="C1443">IF(B1443="", "", XLOOKUP(B1443, Inventory!D:D,Inventory!E:E,"No Name Found"))</f>
        <v/>
      </c>
      <c r="D1443" s="6"/>
      <c r="E1443" s="6"/>
      <c r="F1443" s="6"/>
      <c r="G1443" s="24" t="str">
        <f>IF(F1443="", "", VLOOKUP(F1443, Inventory!A:BZ, 3, FALSE) - SUMIF($F$1:$F1442, F1443, $H$1:$H1442))
</f>
        <v/>
      </c>
      <c r="I1443" s="26"/>
      <c r="J1443" s="26" t="s">
        <v>77</v>
      </c>
      <c r="L1443" s="27" t="s">
        <v>77</v>
      </c>
      <c r="N1443" s="28" t="s">
        <v>77</v>
      </c>
      <c r="Q1443" s="30"/>
    </row>
    <row r="1444">
      <c r="B1444" s="6"/>
      <c r="C1444" s="33" t="str">
        <f t="array" ref="C1444">IF(B1444="", "", XLOOKUP(B1444, Inventory!D:D,Inventory!E:E,"No Name Found"))</f>
        <v/>
      </c>
      <c r="D1444" s="6"/>
      <c r="E1444" s="6"/>
      <c r="F1444" s="6"/>
      <c r="G1444" s="24" t="str">
        <f>IF(F1444="", "", VLOOKUP(F1444, Inventory!A:BZ, 3, FALSE) - SUMIF($F$1:$F1443, F1444, $H$1:$H1443))
</f>
        <v/>
      </c>
      <c r="I1444" s="26"/>
      <c r="J1444" s="26" t="s">
        <v>77</v>
      </c>
      <c r="L1444" s="27" t="s">
        <v>77</v>
      </c>
      <c r="N1444" s="28" t="s">
        <v>77</v>
      </c>
      <c r="Q1444" s="30"/>
    </row>
    <row r="1445">
      <c r="B1445" s="6"/>
      <c r="C1445" s="33" t="str">
        <f t="array" ref="C1445">IF(B1445="", "", XLOOKUP(B1445, Inventory!D:D,Inventory!E:E,"No Name Found"))</f>
        <v/>
      </c>
      <c r="D1445" s="6"/>
      <c r="E1445" s="6"/>
      <c r="F1445" s="6"/>
      <c r="G1445" s="24" t="str">
        <f>IF(F1445="", "", VLOOKUP(F1445, Inventory!A:BZ, 3, FALSE) - SUMIF($F$1:$F1444, F1445, $H$1:$H1444))
</f>
        <v/>
      </c>
      <c r="I1445" s="26"/>
      <c r="J1445" s="26" t="s">
        <v>77</v>
      </c>
      <c r="L1445" s="27" t="s">
        <v>77</v>
      </c>
      <c r="N1445" s="28" t="s">
        <v>77</v>
      </c>
      <c r="Q1445" s="30"/>
    </row>
    <row r="1446">
      <c r="B1446" s="6"/>
      <c r="C1446" s="33" t="str">
        <f t="array" ref="C1446">IF(B1446="", "", XLOOKUP(B1446, Inventory!D:D,Inventory!E:E,"No Name Found"))</f>
        <v/>
      </c>
      <c r="D1446" s="6"/>
      <c r="E1446" s="6"/>
      <c r="F1446" s="6"/>
      <c r="G1446" s="24" t="str">
        <f>IF(F1446="", "", VLOOKUP(F1446, Inventory!A:BZ, 3, FALSE) - SUMIF($F$1:$F1445, F1446, $H$1:$H1445))
</f>
        <v/>
      </c>
      <c r="I1446" s="26"/>
      <c r="J1446" s="26" t="s">
        <v>77</v>
      </c>
      <c r="L1446" s="27" t="s">
        <v>77</v>
      </c>
      <c r="N1446" s="28" t="s">
        <v>77</v>
      </c>
      <c r="Q1446" s="30"/>
    </row>
    <row r="1447">
      <c r="B1447" s="6"/>
      <c r="C1447" s="33" t="str">
        <f t="array" ref="C1447">IF(B1447="", "", XLOOKUP(B1447, Inventory!D:D,Inventory!E:E,"No Name Found"))</f>
        <v/>
      </c>
      <c r="D1447" s="6"/>
      <c r="E1447" s="6"/>
      <c r="F1447" s="6"/>
      <c r="G1447" s="24" t="str">
        <f>IF(F1447="", "", VLOOKUP(F1447, Inventory!A:BZ, 3, FALSE) - SUMIF($F$1:$F1446, F1447, $H$1:$H1446))
</f>
        <v/>
      </c>
      <c r="I1447" s="26"/>
      <c r="J1447" s="26" t="s">
        <v>77</v>
      </c>
      <c r="L1447" s="27" t="s">
        <v>77</v>
      </c>
      <c r="N1447" s="28" t="s">
        <v>77</v>
      </c>
      <c r="Q1447" s="30"/>
    </row>
    <row r="1448">
      <c r="B1448" s="6"/>
      <c r="C1448" s="33" t="str">
        <f t="array" ref="C1448">IF(B1448="", "", XLOOKUP(B1448, Inventory!D:D,Inventory!E:E,"No Name Found"))</f>
        <v/>
      </c>
      <c r="D1448" s="6"/>
      <c r="E1448" s="6"/>
      <c r="F1448" s="6"/>
      <c r="G1448" s="24" t="str">
        <f>IF(F1448="", "", VLOOKUP(F1448, Inventory!A:BZ, 3, FALSE) - SUMIF($F$1:$F1447, F1448, $H$1:$H1447))
</f>
        <v/>
      </c>
      <c r="I1448" s="26"/>
      <c r="J1448" s="26" t="s">
        <v>77</v>
      </c>
      <c r="L1448" s="27" t="s">
        <v>77</v>
      </c>
      <c r="N1448" s="28" t="s">
        <v>77</v>
      </c>
      <c r="Q1448" s="30"/>
    </row>
    <row r="1449">
      <c r="B1449" s="6"/>
      <c r="C1449" s="33" t="str">
        <f t="array" ref="C1449">IF(B1449="", "", XLOOKUP(B1449, Inventory!D:D,Inventory!E:E,"No Name Found"))</f>
        <v/>
      </c>
      <c r="D1449" s="6"/>
      <c r="E1449" s="6"/>
      <c r="F1449" s="6"/>
      <c r="G1449" s="24" t="str">
        <f>IF(F1449="", "", VLOOKUP(F1449, Inventory!A:BZ, 3, FALSE) - SUMIF($F$1:$F1448, F1449, $H$1:$H1448))
</f>
        <v/>
      </c>
      <c r="I1449" s="26"/>
      <c r="J1449" s="26" t="s">
        <v>77</v>
      </c>
      <c r="L1449" s="27" t="s">
        <v>77</v>
      </c>
      <c r="N1449" s="28" t="s">
        <v>77</v>
      </c>
      <c r="Q1449" s="30"/>
    </row>
    <row r="1450">
      <c r="B1450" s="6"/>
      <c r="C1450" s="33" t="str">
        <f t="array" ref="C1450">IF(B1450="", "", XLOOKUP(B1450, Inventory!D:D,Inventory!E:E,"No Name Found"))</f>
        <v/>
      </c>
      <c r="D1450" s="6"/>
      <c r="E1450" s="6"/>
      <c r="F1450" s="6"/>
      <c r="G1450" s="24" t="str">
        <f>IF(F1450="", "", VLOOKUP(F1450, Inventory!A:BZ, 3, FALSE) - SUMIF($F$1:$F1449, F1450, $H$1:$H1449))
</f>
        <v/>
      </c>
      <c r="I1450" s="26"/>
      <c r="J1450" s="26" t="s">
        <v>77</v>
      </c>
      <c r="L1450" s="27" t="s">
        <v>77</v>
      </c>
      <c r="N1450" s="28" t="s">
        <v>77</v>
      </c>
      <c r="Q1450" s="30"/>
    </row>
    <row r="1451">
      <c r="B1451" s="6"/>
      <c r="C1451" s="33" t="str">
        <f t="array" ref="C1451">IF(B1451="", "", XLOOKUP(B1451, Inventory!D:D,Inventory!E:E,"No Name Found"))</f>
        <v/>
      </c>
      <c r="D1451" s="6"/>
      <c r="E1451" s="6"/>
      <c r="F1451" s="6"/>
      <c r="G1451" s="24" t="str">
        <f>IF(F1451="", "", VLOOKUP(F1451, Inventory!A:BZ, 3, FALSE) - SUMIF($F$1:$F1450, F1451, $H$1:$H1450))
</f>
        <v/>
      </c>
      <c r="I1451" s="26"/>
      <c r="J1451" s="26" t="s">
        <v>77</v>
      </c>
      <c r="L1451" s="27" t="s">
        <v>77</v>
      </c>
      <c r="N1451" s="28" t="s">
        <v>77</v>
      </c>
      <c r="Q1451" s="30"/>
    </row>
    <row r="1452">
      <c r="B1452" s="6"/>
      <c r="C1452" s="33" t="str">
        <f t="array" ref="C1452">IF(B1452="", "", XLOOKUP(B1452, Inventory!D:D,Inventory!E:E,"No Name Found"))</f>
        <v/>
      </c>
      <c r="D1452" s="6"/>
      <c r="E1452" s="6"/>
      <c r="F1452" s="6"/>
      <c r="G1452" s="24" t="str">
        <f>IF(F1452="", "", VLOOKUP(F1452, Inventory!A:BZ, 3, FALSE) - SUMIF($F$1:$F1451, F1452, $H$1:$H1451))
</f>
        <v/>
      </c>
      <c r="I1452" s="26"/>
      <c r="J1452" s="26" t="s">
        <v>77</v>
      </c>
      <c r="L1452" s="27" t="s">
        <v>77</v>
      </c>
      <c r="N1452" s="28" t="s">
        <v>77</v>
      </c>
      <c r="Q1452" s="30"/>
    </row>
    <row r="1453">
      <c r="B1453" s="6"/>
      <c r="C1453" s="33" t="str">
        <f t="array" ref="C1453">IF(B1453="", "", XLOOKUP(B1453, Inventory!D:D,Inventory!E:E,"No Name Found"))</f>
        <v/>
      </c>
      <c r="D1453" s="6"/>
      <c r="E1453" s="6"/>
      <c r="F1453" s="6"/>
      <c r="G1453" s="24" t="str">
        <f>IF(F1453="", "", VLOOKUP(F1453, Inventory!A:BZ, 3, FALSE) - SUMIF($F$1:$F1452, F1453, $H$1:$H1452))
</f>
        <v/>
      </c>
      <c r="I1453" s="26"/>
      <c r="J1453" s="26" t="s">
        <v>77</v>
      </c>
      <c r="L1453" s="27" t="s">
        <v>77</v>
      </c>
      <c r="N1453" s="28" t="s">
        <v>77</v>
      </c>
      <c r="Q1453" s="30"/>
    </row>
    <row r="1454">
      <c r="B1454" s="6"/>
      <c r="C1454" s="33" t="str">
        <f t="array" ref="C1454">IF(B1454="", "", XLOOKUP(B1454, Inventory!D:D,Inventory!E:E,"No Name Found"))</f>
        <v/>
      </c>
      <c r="D1454" s="6"/>
      <c r="E1454" s="6"/>
      <c r="F1454" s="6"/>
      <c r="G1454" s="24" t="str">
        <f>IF(F1454="", "", VLOOKUP(F1454, Inventory!A:BZ, 3, FALSE) - SUMIF($F$1:$F1453, F1454, $H$1:$H1453))
</f>
        <v/>
      </c>
      <c r="I1454" s="26"/>
      <c r="J1454" s="26" t="s">
        <v>77</v>
      </c>
      <c r="L1454" s="27" t="s">
        <v>77</v>
      </c>
      <c r="N1454" s="28" t="s">
        <v>77</v>
      </c>
      <c r="Q1454" s="30"/>
    </row>
    <row r="1455">
      <c r="B1455" s="6"/>
      <c r="C1455" s="33" t="str">
        <f t="array" ref="C1455">IF(B1455="", "", XLOOKUP(B1455, Inventory!D:D,Inventory!E:E,"No Name Found"))</f>
        <v/>
      </c>
      <c r="D1455" s="6"/>
      <c r="E1455" s="6"/>
      <c r="F1455" s="6"/>
      <c r="G1455" s="24" t="str">
        <f>IF(F1455="", "", VLOOKUP(F1455, Inventory!A:BZ, 3, FALSE) - SUMIF($F$1:$F1454, F1455, $H$1:$H1454))
</f>
        <v/>
      </c>
      <c r="I1455" s="26"/>
      <c r="J1455" s="26" t="s">
        <v>77</v>
      </c>
      <c r="L1455" s="27" t="s">
        <v>77</v>
      </c>
      <c r="N1455" s="28" t="s">
        <v>77</v>
      </c>
      <c r="Q1455" s="30"/>
    </row>
    <row r="1456">
      <c r="B1456" s="6"/>
      <c r="C1456" s="33" t="str">
        <f t="array" ref="C1456">IF(B1456="", "", XLOOKUP(B1456, Inventory!D:D,Inventory!E:E,"No Name Found"))</f>
        <v/>
      </c>
      <c r="D1456" s="6"/>
      <c r="E1456" s="6"/>
      <c r="F1456" s="6"/>
      <c r="G1456" s="24" t="str">
        <f>IF(F1456="", "", VLOOKUP(F1456, Inventory!A:BZ, 3, FALSE) - SUMIF($F$1:$F1455, F1456, $H$1:$H1455))
</f>
        <v/>
      </c>
      <c r="I1456" s="26"/>
      <c r="J1456" s="26" t="s">
        <v>77</v>
      </c>
      <c r="L1456" s="27" t="s">
        <v>77</v>
      </c>
      <c r="N1456" s="28" t="s">
        <v>77</v>
      </c>
      <c r="Q1456" s="30"/>
    </row>
    <row r="1457">
      <c r="B1457" s="6"/>
      <c r="C1457" s="33" t="str">
        <f t="array" ref="C1457">IF(B1457="", "", XLOOKUP(B1457, Inventory!D:D,Inventory!E:E,"No Name Found"))</f>
        <v/>
      </c>
      <c r="D1457" s="6"/>
      <c r="E1457" s="6"/>
      <c r="F1457" s="6"/>
      <c r="G1457" s="24" t="str">
        <f>IF(F1457="", "", VLOOKUP(F1457, Inventory!A:BZ, 3, FALSE) - SUMIF($F$1:$F1456, F1457, $H$1:$H1456))
</f>
        <v/>
      </c>
      <c r="I1457" s="26"/>
      <c r="J1457" s="26" t="s">
        <v>77</v>
      </c>
      <c r="L1457" s="27" t="s">
        <v>77</v>
      </c>
      <c r="N1457" s="28" t="s">
        <v>77</v>
      </c>
      <c r="Q1457" s="30"/>
    </row>
    <row r="1458">
      <c r="B1458" s="6"/>
      <c r="C1458" s="33" t="str">
        <f t="array" ref="C1458">IF(B1458="", "", XLOOKUP(B1458, Inventory!D:D,Inventory!E:E,"No Name Found"))</f>
        <v/>
      </c>
      <c r="D1458" s="6"/>
      <c r="E1458" s="6"/>
      <c r="F1458" s="6"/>
      <c r="G1458" s="24" t="str">
        <f>IF(F1458="", "", VLOOKUP(F1458, Inventory!A:BZ, 3, FALSE) - SUMIF($F$1:$F1457, F1458, $H$1:$H1457))
</f>
        <v/>
      </c>
      <c r="I1458" s="26"/>
      <c r="J1458" s="26" t="s">
        <v>77</v>
      </c>
      <c r="L1458" s="27" t="s">
        <v>77</v>
      </c>
      <c r="N1458" s="28" t="s">
        <v>77</v>
      </c>
      <c r="Q1458" s="30"/>
    </row>
    <row r="1459">
      <c r="B1459" s="6"/>
      <c r="C1459" s="33" t="str">
        <f t="array" ref="C1459">IF(B1459="", "", XLOOKUP(B1459, Inventory!D:D,Inventory!E:E,"No Name Found"))</f>
        <v/>
      </c>
      <c r="D1459" s="6"/>
      <c r="E1459" s="6"/>
      <c r="F1459" s="6"/>
      <c r="G1459" s="24" t="str">
        <f>IF(F1459="", "", VLOOKUP(F1459, Inventory!A:BZ, 3, FALSE) - SUMIF($F$1:$F1458, F1459, $H$1:$H1458))
</f>
        <v/>
      </c>
      <c r="I1459" s="26"/>
      <c r="J1459" s="26" t="s">
        <v>77</v>
      </c>
      <c r="L1459" s="27" t="s">
        <v>77</v>
      </c>
      <c r="N1459" s="28" t="s">
        <v>77</v>
      </c>
      <c r="Q1459" s="30"/>
    </row>
    <row r="1460">
      <c r="B1460" s="6"/>
      <c r="C1460" s="33" t="str">
        <f t="array" ref="C1460">IF(B1460="", "", XLOOKUP(B1460, Inventory!D:D,Inventory!E:E,"No Name Found"))</f>
        <v/>
      </c>
      <c r="D1460" s="6"/>
      <c r="E1460" s="6"/>
      <c r="F1460" s="6"/>
      <c r="G1460" s="24" t="str">
        <f>IF(F1460="", "", VLOOKUP(F1460, Inventory!A:BZ, 3, FALSE) - SUMIF($F$1:$F1459, F1460, $H$1:$H1459))
</f>
        <v/>
      </c>
      <c r="I1460" s="26"/>
      <c r="J1460" s="26" t="s">
        <v>77</v>
      </c>
      <c r="L1460" s="27" t="s">
        <v>77</v>
      </c>
      <c r="N1460" s="28" t="s">
        <v>77</v>
      </c>
      <c r="Q1460" s="30"/>
    </row>
    <row r="1461">
      <c r="B1461" s="6"/>
      <c r="C1461" s="33" t="str">
        <f t="array" ref="C1461">IF(B1461="", "", XLOOKUP(B1461, Inventory!D:D,Inventory!E:E,"No Name Found"))</f>
        <v/>
      </c>
      <c r="D1461" s="6"/>
      <c r="E1461" s="6"/>
      <c r="F1461" s="6"/>
      <c r="G1461" s="24" t="str">
        <f>IF(F1461="", "", VLOOKUP(F1461, Inventory!A:BZ, 3, FALSE) - SUMIF($F$1:$F1460, F1461, $H$1:$H1460))
</f>
        <v/>
      </c>
      <c r="I1461" s="26"/>
      <c r="J1461" s="26" t="s">
        <v>77</v>
      </c>
      <c r="L1461" s="27" t="s">
        <v>77</v>
      </c>
      <c r="N1461" s="28" t="s">
        <v>77</v>
      </c>
      <c r="Q1461" s="30"/>
    </row>
    <row r="1462">
      <c r="B1462" s="6"/>
      <c r="C1462" s="33" t="str">
        <f t="array" ref="C1462">IF(B1462="", "", XLOOKUP(B1462, Inventory!D:D,Inventory!E:E,"No Name Found"))</f>
        <v/>
      </c>
      <c r="D1462" s="6"/>
      <c r="E1462" s="6"/>
      <c r="F1462" s="6"/>
      <c r="G1462" s="24" t="str">
        <f>IF(F1462="", "", VLOOKUP(F1462, Inventory!A:BZ, 3, FALSE) - SUMIF($F$1:$F1461, F1462, $H$1:$H1461))
</f>
        <v/>
      </c>
      <c r="I1462" s="26"/>
      <c r="J1462" s="26" t="s">
        <v>77</v>
      </c>
      <c r="L1462" s="27" t="s">
        <v>77</v>
      </c>
      <c r="N1462" s="28" t="s">
        <v>77</v>
      </c>
      <c r="Q1462" s="30"/>
    </row>
    <row r="1463">
      <c r="B1463" s="6"/>
      <c r="C1463" s="33" t="str">
        <f t="array" ref="C1463">IF(B1463="", "", XLOOKUP(B1463, Inventory!D:D,Inventory!E:E,"No Name Found"))</f>
        <v/>
      </c>
      <c r="D1463" s="6"/>
      <c r="E1463" s="6"/>
      <c r="F1463" s="6"/>
      <c r="G1463" s="24" t="str">
        <f>IF(F1463="", "", VLOOKUP(F1463, Inventory!A:BZ, 3, FALSE) - SUMIF($F$1:$F1462, F1463, $H$1:$H1462))
</f>
        <v/>
      </c>
      <c r="I1463" s="26"/>
      <c r="J1463" s="26" t="s">
        <v>77</v>
      </c>
      <c r="L1463" s="27" t="s">
        <v>77</v>
      </c>
      <c r="N1463" s="28" t="s">
        <v>77</v>
      </c>
      <c r="Q1463" s="30"/>
    </row>
    <row r="1464">
      <c r="B1464" s="6"/>
      <c r="C1464" s="33" t="str">
        <f t="array" ref="C1464">IF(B1464="", "", XLOOKUP(B1464, Inventory!D:D,Inventory!E:E,"No Name Found"))</f>
        <v/>
      </c>
      <c r="D1464" s="6"/>
      <c r="E1464" s="6"/>
      <c r="F1464" s="6"/>
      <c r="G1464" s="24" t="str">
        <f>IF(F1464="", "", VLOOKUP(F1464, Inventory!A:BZ, 3, FALSE) - SUMIF($F$1:$F1463, F1464, $H$1:$H1463))
</f>
        <v/>
      </c>
      <c r="I1464" s="26"/>
      <c r="J1464" s="26" t="s">
        <v>77</v>
      </c>
      <c r="L1464" s="27" t="s">
        <v>77</v>
      </c>
      <c r="N1464" s="28" t="s">
        <v>77</v>
      </c>
      <c r="Q1464" s="30"/>
    </row>
    <row r="1465">
      <c r="B1465" s="6"/>
      <c r="C1465" s="33" t="str">
        <f t="array" ref="C1465">IF(B1465="", "", XLOOKUP(B1465, Inventory!D:D,Inventory!E:E,"No Name Found"))</f>
        <v/>
      </c>
      <c r="D1465" s="6"/>
      <c r="E1465" s="6"/>
      <c r="F1465" s="6"/>
      <c r="G1465" s="24" t="str">
        <f>IF(F1465="", "", VLOOKUP(F1465, Inventory!A:BZ, 3, FALSE) - SUMIF($F$1:$F1464, F1465, $H$1:$H1464))
</f>
        <v/>
      </c>
      <c r="I1465" s="26"/>
      <c r="J1465" s="26" t="s">
        <v>77</v>
      </c>
      <c r="L1465" s="27" t="s">
        <v>77</v>
      </c>
      <c r="N1465" s="28" t="s">
        <v>77</v>
      </c>
      <c r="Q1465" s="30"/>
    </row>
    <row r="1466">
      <c r="B1466" s="6"/>
      <c r="C1466" s="33" t="str">
        <f t="array" ref="C1466">IF(B1466="", "", XLOOKUP(B1466, Inventory!D:D,Inventory!E:E,"No Name Found"))</f>
        <v/>
      </c>
      <c r="D1466" s="6"/>
      <c r="E1466" s="6"/>
      <c r="F1466" s="6"/>
      <c r="G1466" s="24" t="str">
        <f>IF(F1466="", "", VLOOKUP(F1466, Inventory!A:BZ, 3, FALSE) - SUMIF($F$1:$F1465, F1466, $H$1:$H1465))
</f>
        <v/>
      </c>
      <c r="I1466" s="26"/>
      <c r="J1466" s="26" t="s">
        <v>77</v>
      </c>
      <c r="L1466" s="27" t="s">
        <v>77</v>
      </c>
      <c r="N1466" s="28" t="s">
        <v>77</v>
      </c>
      <c r="Q1466" s="30"/>
    </row>
    <row r="1467">
      <c r="B1467" s="6"/>
      <c r="C1467" s="33" t="str">
        <f t="array" ref="C1467">IF(B1467="", "", XLOOKUP(B1467, Inventory!D:D,Inventory!E:E,"No Name Found"))</f>
        <v/>
      </c>
      <c r="D1467" s="6"/>
      <c r="E1467" s="6"/>
      <c r="F1467" s="6"/>
      <c r="G1467" s="24" t="str">
        <f>IF(F1467="", "", VLOOKUP(F1467, Inventory!A:BZ, 3, FALSE) - SUMIF($F$1:$F1466, F1467, $H$1:$H1466))
</f>
        <v/>
      </c>
      <c r="I1467" s="26"/>
      <c r="J1467" s="26" t="s">
        <v>77</v>
      </c>
      <c r="L1467" s="27" t="s">
        <v>77</v>
      </c>
      <c r="N1467" s="28" t="s">
        <v>77</v>
      </c>
      <c r="Q1467" s="30"/>
    </row>
    <row r="1468">
      <c r="B1468" s="6"/>
      <c r="C1468" s="33" t="str">
        <f t="array" ref="C1468">IF(B1468="", "", XLOOKUP(B1468, Inventory!D:D,Inventory!E:E,"No Name Found"))</f>
        <v/>
      </c>
      <c r="D1468" s="6"/>
      <c r="E1468" s="6"/>
      <c r="F1468" s="6"/>
      <c r="G1468" s="24" t="str">
        <f>IF(F1468="", "", VLOOKUP(F1468, Inventory!A:BZ, 3, FALSE) - SUMIF($F$1:$F1467, F1468, $H$1:$H1467))
</f>
        <v/>
      </c>
      <c r="I1468" s="26"/>
      <c r="J1468" s="26" t="s">
        <v>77</v>
      </c>
      <c r="L1468" s="27" t="s">
        <v>77</v>
      </c>
      <c r="N1468" s="28" t="s">
        <v>77</v>
      </c>
      <c r="Q1468" s="30"/>
    </row>
    <row r="1469">
      <c r="B1469" s="6"/>
      <c r="C1469" s="33" t="str">
        <f t="array" ref="C1469">IF(B1469="", "", XLOOKUP(B1469, Inventory!D:D,Inventory!E:E,"No Name Found"))</f>
        <v/>
      </c>
      <c r="D1469" s="6"/>
      <c r="E1469" s="6"/>
      <c r="F1469" s="6"/>
      <c r="G1469" s="24" t="str">
        <f>IF(F1469="", "", VLOOKUP(F1469, Inventory!A:BZ, 3, FALSE) - SUMIF($F$1:$F1468, F1469, $H$1:$H1468))
</f>
        <v/>
      </c>
      <c r="I1469" s="26"/>
      <c r="J1469" s="26" t="s">
        <v>77</v>
      </c>
      <c r="L1469" s="27" t="s">
        <v>77</v>
      </c>
      <c r="N1469" s="28" t="s">
        <v>77</v>
      </c>
      <c r="Q1469" s="30"/>
    </row>
    <row r="1470">
      <c r="B1470" s="6"/>
      <c r="C1470" s="33" t="str">
        <f t="array" ref="C1470">IF(B1470="", "", XLOOKUP(B1470, Inventory!D:D,Inventory!E:E,"No Name Found"))</f>
        <v/>
      </c>
      <c r="D1470" s="6"/>
      <c r="E1470" s="6"/>
      <c r="F1470" s="6"/>
      <c r="G1470" s="24" t="str">
        <f>IF(F1470="", "", VLOOKUP(F1470, Inventory!A:BZ, 3, FALSE) - SUMIF($F$1:$F1469, F1470, $H$1:$H1469))
</f>
        <v/>
      </c>
      <c r="I1470" s="26"/>
      <c r="J1470" s="26" t="s">
        <v>77</v>
      </c>
      <c r="L1470" s="27" t="s">
        <v>77</v>
      </c>
      <c r="N1470" s="28" t="s">
        <v>77</v>
      </c>
      <c r="Q1470" s="30"/>
    </row>
    <row r="1471">
      <c r="B1471" s="6"/>
      <c r="C1471" s="33" t="str">
        <f t="array" ref="C1471">IF(B1471="", "", XLOOKUP(B1471, Inventory!D:D,Inventory!E:E,"No Name Found"))</f>
        <v/>
      </c>
      <c r="D1471" s="6"/>
      <c r="E1471" s="6"/>
      <c r="F1471" s="6"/>
      <c r="G1471" s="24" t="str">
        <f>IF(F1471="", "", VLOOKUP(F1471, Inventory!A:BZ, 3, FALSE) - SUMIF($F$1:$F1470, F1471, $H$1:$H1470))
</f>
        <v/>
      </c>
      <c r="I1471" s="26"/>
      <c r="J1471" s="26" t="s">
        <v>77</v>
      </c>
      <c r="L1471" s="27" t="s">
        <v>77</v>
      </c>
      <c r="N1471" s="28" t="s">
        <v>77</v>
      </c>
      <c r="Q1471" s="30"/>
    </row>
    <row r="1472">
      <c r="B1472" s="6"/>
      <c r="C1472" s="33" t="str">
        <f t="array" ref="C1472">IF(B1472="", "", XLOOKUP(B1472, Inventory!D:D,Inventory!E:E,"No Name Found"))</f>
        <v/>
      </c>
      <c r="D1472" s="6"/>
      <c r="E1472" s="6"/>
      <c r="F1472" s="6"/>
      <c r="G1472" s="24" t="str">
        <f>IF(F1472="", "", VLOOKUP(F1472, Inventory!A:BZ, 3, FALSE) - SUMIF($F$1:$F1471, F1472, $H$1:$H1471))
</f>
        <v/>
      </c>
      <c r="I1472" s="26"/>
      <c r="J1472" s="26" t="s">
        <v>77</v>
      </c>
      <c r="L1472" s="27" t="s">
        <v>77</v>
      </c>
      <c r="N1472" s="28" t="s">
        <v>77</v>
      </c>
      <c r="Q1472" s="30"/>
    </row>
    <row r="1473">
      <c r="B1473" s="6"/>
      <c r="C1473" s="33" t="str">
        <f t="array" ref="C1473">IF(B1473="", "", XLOOKUP(B1473, Inventory!D:D,Inventory!E:E,"No Name Found"))</f>
        <v/>
      </c>
      <c r="D1473" s="6"/>
      <c r="E1473" s="6"/>
      <c r="F1473" s="6"/>
      <c r="G1473" s="24" t="str">
        <f>IF(F1473="", "", VLOOKUP(F1473, Inventory!A:BZ, 3, FALSE) - SUMIF($F$1:$F1472, F1473, $H$1:$H1472))
</f>
        <v/>
      </c>
      <c r="I1473" s="26"/>
      <c r="J1473" s="26" t="s">
        <v>77</v>
      </c>
      <c r="L1473" s="27" t="s">
        <v>77</v>
      </c>
      <c r="N1473" s="28" t="s">
        <v>77</v>
      </c>
      <c r="Q1473" s="30"/>
    </row>
    <row r="1474">
      <c r="B1474" s="6"/>
      <c r="C1474" s="33" t="str">
        <f t="array" ref="C1474">IF(B1474="", "", XLOOKUP(B1474, Inventory!D:D,Inventory!E:E,"No Name Found"))</f>
        <v/>
      </c>
      <c r="D1474" s="6"/>
      <c r="E1474" s="6"/>
      <c r="F1474" s="6"/>
      <c r="G1474" s="24" t="str">
        <f>IF(F1474="", "", VLOOKUP(F1474, Inventory!A:BZ, 3, FALSE) - SUMIF($F$1:$F1473, F1474, $H$1:$H1473))
</f>
        <v/>
      </c>
      <c r="I1474" s="26"/>
      <c r="J1474" s="26" t="s">
        <v>77</v>
      </c>
      <c r="L1474" s="27" t="s">
        <v>77</v>
      </c>
      <c r="N1474" s="28" t="s">
        <v>77</v>
      </c>
      <c r="Q1474" s="30"/>
    </row>
    <row r="1475">
      <c r="B1475" s="6"/>
      <c r="C1475" s="33" t="str">
        <f t="array" ref="C1475">IF(B1475="", "", XLOOKUP(B1475, Inventory!D:D,Inventory!E:E,"No Name Found"))</f>
        <v/>
      </c>
      <c r="D1475" s="6"/>
      <c r="E1475" s="6"/>
      <c r="F1475" s="6"/>
      <c r="G1475" s="24" t="str">
        <f>IF(F1475="", "", VLOOKUP(F1475, Inventory!A:BZ, 3, FALSE) - SUMIF($F$1:$F1474, F1475, $H$1:$H1474))
</f>
        <v/>
      </c>
      <c r="I1475" s="26"/>
      <c r="J1475" s="26" t="s">
        <v>77</v>
      </c>
      <c r="L1475" s="27" t="s">
        <v>77</v>
      </c>
      <c r="N1475" s="28" t="s">
        <v>77</v>
      </c>
      <c r="Q1475" s="30"/>
    </row>
    <row r="1476">
      <c r="B1476" s="6"/>
      <c r="C1476" s="33" t="str">
        <f t="array" ref="C1476">IF(B1476="", "", XLOOKUP(B1476, Inventory!D:D,Inventory!E:E,"No Name Found"))</f>
        <v/>
      </c>
      <c r="D1476" s="6"/>
      <c r="E1476" s="6"/>
      <c r="F1476" s="6"/>
      <c r="G1476" s="24" t="str">
        <f>IF(F1476="", "", VLOOKUP(F1476, Inventory!A:BZ, 3, FALSE) - SUMIF($F$1:$F1475, F1476, $H$1:$H1475))
</f>
        <v/>
      </c>
      <c r="I1476" s="26"/>
      <c r="J1476" s="26" t="s">
        <v>77</v>
      </c>
      <c r="L1476" s="27" t="s">
        <v>77</v>
      </c>
      <c r="N1476" s="28" t="s">
        <v>77</v>
      </c>
      <c r="Q1476" s="30"/>
    </row>
    <row r="1477">
      <c r="B1477" s="6"/>
      <c r="C1477" s="33" t="str">
        <f t="array" ref="C1477">IF(B1477="", "", XLOOKUP(B1477, Inventory!D:D,Inventory!E:E,"No Name Found"))</f>
        <v/>
      </c>
      <c r="D1477" s="6"/>
      <c r="E1477" s="6"/>
      <c r="F1477" s="6"/>
      <c r="G1477" s="24" t="str">
        <f>IF(F1477="", "", VLOOKUP(F1477, Inventory!A:BZ, 3, FALSE) - SUMIF($F$1:$F1476, F1477, $H$1:$H1476))
</f>
        <v/>
      </c>
      <c r="I1477" s="26"/>
      <c r="J1477" s="26" t="s">
        <v>77</v>
      </c>
      <c r="L1477" s="27" t="s">
        <v>77</v>
      </c>
      <c r="N1477" s="28" t="s">
        <v>77</v>
      </c>
      <c r="Q1477" s="30"/>
    </row>
    <row r="1478">
      <c r="B1478" s="6"/>
      <c r="C1478" s="33" t="str">
        <f t="array" ref="C1478">IF(B1478="", "", XLOOKUP(B1478, Inventory!D:D,Inventory!E:E,"No Name Found"))</f>
        <v/>
      </c>
      <c r="D1478" s="6"/>
      <c r="E1478" s="6"/>
      <c r="F1478" s="6"/>
      <c r="G1478" s="24" t="str">
        <f>IF(F1478="", "", VLOOKUP(F1478, Inventory!A:BZ, 3, FALSE) - SUMIF($F$1:$F1477, F1478, $H$1:$H1477))
</f>
        <v/>
      </c>
      <c r="I1478" s="26"/>
      <c r="J1478" s="26" t="s">
        <v>77</v>
      </c>
      <c r="L1478" s="27" t="s">
        <v>77</v>
      </c>
      <c r="N1478" s="28" t="s">
        <v>77</v>
      </c>
      <c r="Q1478" s="30"/>
    </row>
    <row r="1479">
      <c r="B1479" s="6"/>
      <c r="C1479" s="33" t="str">
        <f t="array" ref="C1479">IF(B1479="", "", XLOOKUP(B1479, Inventory!D:D,Inventory!E:E,"No Name Found"))</f>
        <v/>
      </c>
      <c r="D1479" s="6"/>
      <c r="E1479" s="6"/>
      <c r="F1479" s="6"/>
      <c r="G1479" s="24" t="str">
        <f>IF(F1479="", "", VLOOKUP(F1479, Inventory!A:BZ, 3, FALSE) - SUMIF($F$1:$F1478, F1479, $H$1:$H1478))
</f>
        <v/>
      </c>
      <c r="I1479" s="26"/>
      <c r="J1479" s="26" t="s">
        <v>77</v>
      </c>
      <c r="L1479" s="27" t="s">
        <v>77</v>
      </c>
      <c r="N1479" s="28" t="s">
        <v>77</v>
      </c>
      <c r="Q1479" s="30"/>
    </row>
    <row r="1480">
      <c r="B1480" s="6"/>
      <c r="C1480" s="33" t="str">
        <f t="array" ref="C1480">IF(B1480="", "", XLOOKUP(B1480, Inventory!D:D,Inventory!E:E,"No Name Found"))</f>
        <v/>
      </c>
      <c r="D1480" s="6"/>
      <c r="E1480" s="6"/>
      <c r="F1480" s="6"/>
      <c r="G1480" s="24" t="str">
        <f>IF(F1480="", "", VLOOKUP(F1480, Inventory!A:BZ, 3, FALSE) - SUMIF($F$1:$F1479, F1480, $H$1:$H1479))
</f>
        <v/>
      </c>
      <c r="I1480" s="26"/>
      <c r="J1480" s="26" t="s">
        <v>77</v>
      </c>
      <c r="L1480" s="27" t="s">
        <v>77</v>
      </c>
      <c r="N1480" s="28" t="s">
        <v>77</v>
      </c>
      <c r="Q1480" s="30"/>
    </row>
    <row r="1481">
      <c r="B1481" s="6"/>
      <c r="C1481" s="33" t="str">
        <f t="array" ref="C1481">IF(B1481="", "", XLOOKUP(B1481, Inventory!D:D,Inventory!E:E,"No Name Found"))</f>
        <v/>
      </c>
      <c r="D1481" s="6"/>
      <c r="E1481" s="6"/>
      <c r="F1481" s="6"/>
      <c r="G1481" s="24" t="str">
        <f>IF(F1481="", "", VLOOKUP(F1481, Inventory!A:BZ, 3, FALSE) - SUMIF($F$1:$F1480, F1481, $H$1:$H1480))
</f>
        <v/>
      </c>
      <c r="I1481" s="26"/>
      <c r="J1481" s="26" t="s">
        <v>77</v>
      </c>
      <c r="L1481" s="27" t="s">
        <v>77</v>
      </c>
      <c r="N1481" s="28" t="s">
        <v>77</v>
      </c>
      <c r="Q1481" s="30"/>
    </row>
    <row r="1482">
      <c r="B1482" s="6"/>
      <c r="C1482" s="33" t="str">
        <f t="array" ref="C1482">IF(B1482="", "", XLOOKUP(B1482, Inventory!D:D,Inventory!E:E,"No Name Found"))</f>
        <v/>
      </c>
      <c r="D1482" s="6"/>
      <c r="E1482" s="6"/>
      <c r="F1482" s="6"/>
      <c r="G1482" s="24" t="str">
        <f>IF(F1482="", "", VLOOKUP(F1482, Inventory!A:BZ, 3, FALSE) - SUMIF($F$1:$F1481, F1482, $H$1:$H1481))
</f>
        <v/>
      </c>
      <c r="I1482" s="26"/>
      <c r="J1482" s="26" t="s">
        <v>77</v>
      </c>
      <c r="L1482" s="27" t="s">
        <v>77</v>
      </c>
      <c r="N1482" s="28" t="s">
        <v>77</v>
      </c>
      <c r="Q1482" s="30"/>
    </row>
    <row r="1483">
      <c r="B1483" s="6"/>
      <c r="C1483" s="33" t="str">
        <f t="array" ref="C1483">IF(B1483="", "", XLOOKUP(B1483, Inventory!D:D,Inventory!E:E,"No Name Found"))</f>
        <v/>
      </c>
      <c r="D1483" s="6"/>
      <c r="E1483" s="6"/>
      <c r="F1483" s="6"/>
      <c r="G1483" s="24" t="str">
        <f>IF(F1483="", "", VLOOKUP(F1483, Inventory!A:BZ, 3, FALSE) - SUMIF($F$1:$F1482, F1483, $H$1:$H1482))
</f>
        <v/>
      </c>
      <c r="I1483" s="26"/>
      <c r="J1483" s="26" t="s">
        <v>77</v>
      </c>
      <c r="L1483" s="27" t="s">
        <v>77</v>
      </c>
      <c r="N1483" s="28" t="s">
        <v>77</v>
      </c>
      <c r="Q1483" s="30"/>
    </row>
    <row r="1484">
      <c r="B1484" s="6"/>
      <c r="C1484" s="33" t="str">
        <f t="array" ref="C1484">IF(B1484="", "", XLOOKUP(B1484, Inventory!D:D,Inventory!E:E,"No Name Found"))</f>
        <v/>
      </c>
      <c r="D1484" s="6"/>
      <c r="E1484" s="6"/>
      <c r="F1484" s="6"/>
      <c r="G1484" s="24" t="str">
        <f>IF(F1484="", "", VLOOKUP(F1484, Inventory!A:BZ, 3, FALSE) - SUMIF($F$1:$F1483, F1484, $H$1:$H1483))
</f>
        <v/>
      </c>
      <c r="I1484" s="26"/>
      <c r="J1484" s="26" t="s">
        <v>77</v>
      </c>
      <c r="L1484" s="27" t="s">
        <v>77</v>
      </c>
      <c r="N1484" s="28" t="s">
        <v>77</v>
      </c>
      <c r="Q1484" s="30"/>
    </row>
    <row r="1485">
      <c r="B1485" s="6"/>
      <c r="C1485" s="33" t="str">
        <f t="array" ref="C1485">IF(B1485="", "", XLOOKUP(B1485, Inventory!D:D,Inventory!E:E,"No Name Found"))</f>
        <v/>
      </c>
      <c r="D1485" s="6"/>
      <c r="E1485" s="6"/>
      <c r="F1485" s="6"/>
      <c r="G1485" s="24" t="str">
        <f>IF(F1485="", "", VLOOKUP(F1485, Inventory!A:BZ, 3, FALSE) - SUMIF($F$1:$F1484, F1485, $H$1:$H1484))
</f>
        <v/>
      </c>
      <c r="I1485" s="26"/>
      <c r="J1485" s="26" t="s">
        <v>77</v>
      </c>
      <c r="L1485" s="27" t="s">
        <v>77</v>
      </c>
      <c r="N1485" s="28" t="s">
        <v>77</v>
      </c>
      <c r="Q1485" s="30"/>
    </row>
    <row r="1486">
      <c r="B1486" s="6"/>
      <c r="C1486" s="33" t="str">
        <f t="array" ref="C1486">IF(B1486="", "", XLOOKUP(B1486, Inventory!D:D,Inventory!E:E,"No Name Found"))</f>
        <v/>
      </c>
      <c r="D1486" s="6"/>
      <c r="E1486" s="6"/>
      <c r="F1486" s="6"/>
      <c r="G1486" s="24" t="str">
        <f>IF(F1486="", "", VLOOKUP(F1486, Inventory!A:BZ, 3, FALSE) - SUMIF($F$1:$F1485, F1486, $H$1:$H1485))
</f>
        <v/>
      </c>
      <c r="I1486" s="26"/>
      <c r="J1486" s="26" t="s">
        <v>77</v>
      </c>
      <c r="L1486" s="27" t="s">
        <v>77</v>
      </c>
      <c r="N1486" s="28" t="s">
        <v>77</v>
      </c>
      <c r="Q1486" s="30"/>
    </row>
    <row r="1487">
      <c r="B1487" s="6"/>
      <c r="C1487" s="33" t="str">
        <f t="array" ref="C1487">IF(B1487="", "", XLOOKUP(B1487, Inventory!D:D,Inventory!E:E,"No Name Found"))</f>
        <v/>
      </c>
      <c r="D1487" s="6"/>
      <c r="E1487" s="6"/>
      <c r="F1487" s="6"/>
      <c r="G1487" s="24" t="str">
        <f>IF(F1487="", "", VLOOKUP(F1487, Inventory!A:BZ, 3, FALSE) - SUMIF($F$1:$F1486, F1487, $H$1:$H1486))
</f>
        <v/>
      </c>
      <c r="I1487" s="26"/>
      <c r="J1487" s="26" t="s">
        <v>77</v>
      </c>
      <c r="L1487" s="27" t="s">
        <v>77</v>
      </c>
      <c r="N1487" s="28" t="s">
        <v>77</v>
      </c>
      <c r="Q1487" s="30"/>
    </row>
    <row r="1488">
      <c r="B1488" s="6"/>
      <c r="C1488" s="33" t="str">
        <f t="array" ref="C1488">IF(B1488="", "", XLOOKUP(B1488, Inventory!D:D,Inventory!E:E,"No Name Found"))</f>
        <v/>
      </c>
      <c r="D1488" s="6"/>
      <c r="E1488" s="6"/>
      <c r="F1488" s="6"/>
      <c r="G1488" s="24" t="str">
        <f>IF(F1488="", "", VLOOKUP(F1488, Inventory!A:BZ, 3, FALSE) - SUMIF($F$1:$F1487, F1488, $H$1:$H1487))
</f>
        <v/>
      </c>
      <c r="I1488" s="26"/>
      <c r="J1488" s="26" t="s">
        <v>77</v>
      </c>
      <c r="L1488" s="27" t="s">
        <v>77</v>
      </c>
      <c r="N1488" s="28" t="s">
        <v>77</v>
      </c>
      <c r="Q1488" s="30"/>
    </row>
    <row r="1489">
      <c r="B1489" s="6"/>
      <c r="C1489" s="33" t="str">
        <f t="array" ref="C1489">IF(B1489="", "", XLOOKUP(B1489, Inventory!D:D,Inventory!E:E,"No Name Found"))</f>
        <v/>
      </c>
      <c r="D1489" s="6"/>
      <c r="E1489" s="6"/>
      <c r="F1489" s="6"/>
      <c r="G1489" s="24" t="str">
        <f>IF(F1489="", "", VLOOKUP(F1489, Inventory!A:BZ, 3, FALSE) - SUMIF($F$1:$F1488, F1489, $H$1:$H1488))
</f>
        <v/>
      </c>
      <c r="I1489" s="26"/>
      <c r="J1489" s="26" t="s">
        <v>77</v>
      </c>
      <c r="L1489" s="27" t="s">
        <v>77</v>
      </c>
      <c r="N1489" s="28" t="s">
        <v>77</v>
      </c>
      <c r="Q1489" s="30"/>
    </row>
    <row r="1490">
      <c r="B1490" s="6"/>
      <c r="C1490" s="33" t="str">
        <f t="array" ref="C1490">IF(B1490="", "", XLOOKUP(B1490, Inventory!D:D,Inventory!E:E,"No Name Found"))</f>
        <v/>
      </c>
      <c r="D1490" s="6"/>
      <c r="E1490" s="6"/>
      <c r="F1490" s="6"/>
      <c r="G1490" s="24" t="str">
        <f>IF(F1490="", "", VLOOKUP(F1490, Inventory!A:BZ, 3, FALSE) - SUMIF($F$1:$F1489, F1490, $H$1:$H1489))
</f>
        <v/>
      </c>
      <c r="I1490" s="26"/>
      <c r="J1490" s="26" t="s">
        <v>77</v>
      </c>
      <c r="L1490" s="27" t="s">
        <v>77</v>
      </c>
      <c r="N1490" s="28" t="s">
        <v>77</v>
      </c>
      <c r="Q1490" s="30"/>
    </row>
    <row r="1491">
      <c r="B1491" s="6"/>
      <c r="C1491" s="33" t="str">
        <f t="array" ref="C1491">IF(B1491="", "", XLOOKUP(B1491, Inventory!D:D,Inventory!E:E,"No Name Found"))</f>
        <v/>
      </c>
      <c r="D1491" s="6"/>
      <c r="E1491" s="6"/>
      <c r="F1491" s="6"/>
      <c r="G1491" s="24" t="str">
        <f>IF(F1491="", "", VLOOKUP(F1491, Inventory!A:BZ, 3, FALSE) - SUMIF($F$1:$F1490, F1491, $H$1:$H1490))
</f>
        <v/>
      </c>
      <c r="I1491" s="26"/>
      <c r="J1491" s="26" t="s">
        <v>77</v>
      </c>
      <c r="L1491" s="27" t="s">
        <v>77</v>
      </c>
      <c r="N1491" s="28" t="s">
        <v>77</v>
      </c>
      <c r="Q1491" s="30"/>
    </row>
    <row r="1492">
      <c r="B1492" s="6"/>
      <c r="C1492" s="33" t="str">
        <f t="array" ref="C1492">IF(B1492="", "", XLOOKUP(B1492, Inventory!D:D,Inventory!E:E,"No Name Found"))</f>
        <v/>
      </c>
      <c r="D1492" s="6"/>
      <c r="E1492" s="6"/>
      <c r="F1492" s="6"/>
      <c r="G1492" s="24" t="str">
        <f>IF(F1492="", "", VLOOKUP(F1492, Inventory!A:BZ, 3, FALSE) - SUMIF($F$1:$F1491, F1492, $H$1:$H1491))
</f>
        <v/>
      </c>
      <c r="I1492" s="26"/>
      <c r="J1492" s="26" t="s">
        <v>77</v>
      </c>
      <c r="L1492" s="27" t="s">
        <v>77</v>
      </c>
      <c r="N1492" s="28" t="s">
        <v>77</v>
      </c>
      <c r="Q1492" s="30"/>
    </row>
    <row r="1493">
      <c r="B1493" s="6"/>
      <c r="C1493" s="33" t="str">
        <f t="array" ref="C1493">IF(B1493="", "", XLOOKUP(B1493, Inventory!D:D,Inventory!E:E,"No Name Found"))</f>
        <v/>
      </c>
      <c r="D1493" s="6"/>
      <c r="E1493" s="6"/>
      <c r="F1493" s="6"/>
      <c r="G1493" s="24" t="str">
        <f>IF(F1493="", "", VLOOKUP(F1493, Inventory!A:BZ, 3, FALSE) - SUMIF($F$1:$F1492, F1493, $H$1:$H1492))
</f>
        <v/>
      </c>
      <c r="I1493" s="26"/>
      <c r="J1493" s="26" t="s">
        <v>77</v>
      </c>
      <c r="L1493" s="27" t="s">
        <v>77</v>
      </c>
      <c r="N1493" s="28" t="s">
        <v>77</v>
      </c>
      <c r="Q1493" s="30"/>
    </row>
    <row r="1494">
      <c r="B1494" s="6"/>
      <c r="C1494" s="33" t="str">
        <f t="array" ref="C1494">IF(B1494="", "", XLOOKUP(B1494, Inventory!D:D,Inventory!E:E,"No Name Found"))</f>
        <v/>
      </c>
      <c r="D1494" s="6"/>
      <c r="E1494" s="6"/>
      <c r="F1494" s="6"/>
      <c r="G1494" s="24" t="str">
        <f>IF(F1494="", "", VLOOKUP(F1494, Inventory!A:BZ, 3, FALSE) - SUMIF($F$1:$F1493, F1494, $H$1:$H1493))
</f>
        <v/>
      </c>
      <c r="I1494" s="26"/>
      <c r="J1494" s="26" t="s">
        <v>77</v>
      </c>
      <c r="L1494" s="27" t="s">
        <v>77</v>
      </c>
      <c r="N1494" s="28" t="s">
        <v>77</v>
      </c>
      <c r="Q1494" s="30"/>
    </row>
    <row r="1495">
      <c r="B1495" s="6"/>
      <c r="C1495" s="33" t="str">
        <f t="array" ref="C1495">IF(B1495="", "", XLOOKUP(B1495, Inventory!D:D,Inventory!E:E,"No Name Found"))</f>
        <v/>
      </c>
      <c r="D1495" s="6"/>
      <c r="E1495" s="6"/>
      <c r="F1495" s="6"/>
      <c r="G1495" s="24" t="str">
        <f>IF(F1495="", "", VLOOKUP(F1495, Inventory!A:BZ, 3, FALSE) - SUMIF($F$1:$F1494, F1495, $H$1:$H1494))
</f>
        <v/>
      </c>
      <c r="I1495" s="26"/>
      <c r="J1495" s="26" t="s">
        <v>77</v>
      </c>
      <c r="L1495" s="27" t="s">
        <v>77</v>
      </c>
      <c r="N1495" s="28" t="s">
        <v>77</v>
      </c>
      <c r="Q1495" s="30"/>
    </row>
    <row r="1496">
      <c r="B1496" s="6"/>
      <c r="C1496" s="33" t="str">
        <f t="array" ref="C1496">IF(B1496="", "", XLOOKUP(B1496, Inventory!D:D,Inventory!E:E,"No Name Found"))</f>
        <v/>
      </c>
      <c r="D1496" s="6"/>
      <c r="E1496" s="6"/>
      <c r="F1496" s="6"/>
      <c r="G1496" s="24" t="str">
        <f>IF(F1496="", "", VLOOKUP(F1496, Inventory!A:BZ, 3, FALSE) - SUMIF($F$1:$F1495, F1496, $H$1:$H1495))
</f>
        <v/>
      </c>
      <c r="I1496" s="26"/>
      <c r="J1496" s="26" t="s">
        <v>77</v>
      </c>
      <c r="L1496" s="27" t="s">
        <v>77</v>
      </c>
      <c r="N1496" s="28" t="s">
        <v>77</v>
      </c>
      <c r="Q1496" s="30"/>
    </row>
    <row r="1497">
      <c r="B1497" s="6"/>
      <c r="C1497" s="33" t="str">
        <f t="array" ref="C1497">IF(B1497="", "", XLOOKUP(B1497, Inventory!D:D,Inventory!E:E,"No Name Found"))</f>
        <v/>
      </c>
      <c r="D1497" s="6"/>
      <c r="E1497" s="6"/>
      <c r="F1497" s="6"/>
      <c r="G1497" s="24" t="str">
        <f>IF(F1497="", "", VLOOKUP(F1497, Inventory!A:BZ, 3, FALSE) - SUMIF($F$1:$F1496, F1497, $H$1:$H1496))
</f>
        <v/>
      </c>
      <c r="I1497" s="26"/>
      <c r="J1497" s="26" t="s">
        <v>77</v>
      </c>
      <c r="L1497" s="27" t="s">
        <v>77</v>
      </c>
      <c r="N1497" s="28" t="s">
        <v>77</v>
      </c>
      <c r="Q1497" s="30"/>
    </row>
    <row r="1498">
      <c r="B1498" s="6"/>
      <c r="C1498" s="33" t="str">
        <f t="array" ref="C1498">IF(B1498="", "", XLOOKUP(B1498, Inventory!D:D,Inventory!E:E,"No Name Found"))</f>
        <v/>
      </c>
      <c r="D1498" s="6"/>
      <c r="E1498" s="6"/>
      <c r="F1498" s="6"/>
      <c r="G1498" s="24" t="str">
        <f>IF(F1498="", "", VLOOKUP(F1498, Inventory!A:BZ, 3, FALSE) - SUMIF($F$1:$F1497, F1498, $H$1:$H1497))
</f>
        <v/>
      </c>
      <c r="I1498" s="26"/>
      <c r="J1498" s="26" t="s">
        <v>77</v>
      </c>
      <c r="L1498" s="27" t="s">
        <v>77</v>
      </c>
      <c r="N1498" s="28" t="s">
        <v>77</v>
      </c>
      <c r="Q1498" s="30"/>
    </row>
    <row r="1499">
      <c r="B1499" s="6"/>
      <c r="C1499" s="33" t="str">
        <f t="array" ref="C1499">IF(B1499="", "", XLOOKUP(B1499, Inventory!D:D,Inventory!E:E,"No Name Found"))</f>
        <v/>
      </c>
      <c r="D1499" s="6"/>
      <c r="E1499" s="6"/>
      <c r="F1499" s="6"/>
      <c r="G1499" s="24" t="str">
        <f>IF(F1499="", "", VLOOKUP(F1499, Inventory!A:BZ, 3, FALSE) - SUMIF($F$1:$F1498, F1499, $H$1:$H1498))
</f>
        <v/>
      </c>
      <c r="I1499" s="26"/>
      <c r="J1499" s="26" t="s">
        <v>77</v>
      </c>
      <c r="L1499" s="27" t="s">
        <v>77</v>
      </c>
      <c r="N1499" s="28" t="s">
        <v>77</v>
      </c>
      <c r="Q1499" s="30"/>
    </row>
    <row r="1500">
      <c r="B1500" s="6"/>
      <c r="C1500" s="33" t="str">
        <f t="array" ref="C1500">IF(B1500="", "", XLOOKUP(B1500, Inventory!D:D,Inventory!E:E,"No Name Found"))</f>
        <v/>
      </c>
      <c r="D1500" s="6"/>
      <c r="E1500" s="6"/>
      <c r="F1500" s="6"/>
      <c r="G1500" s="24" t="str">
        <f>IF(F1500="", "", VLOOKUP(F1500, Inventory!A:BZ, 3, FALSE) - SUMIF($F$1:$F1499, F1500, $H$1:$H1499))
</f>
        <v/>
      </c>
      <c r="I1500" s="26"/>
      <c r="J1500" s="26" t="s">
        <v>77</v>
      </c>
      <c r="L1500" s="27" t="s">
        <v>77</v>
      </c>
      <c r="N1500" s="28" t="s">
        <v>77</v>
      </c>
      <c r="Q1500" s="30"/>
    </row>
    <row r="1501">
      <c r="B1501" s="6"/>
      <c r="C1501" s="33" t="str">
        <f t="array" ref="C1501">IF(B1501="", "", XLOOKUP(B1501, Inventory!D:D,Inventory!E:E,"No Name Found"))</f>
        <v/>
      </c>
      <c r="D1501" s="6"/>
      <c r="E1501" s="6"/>
      <c r="F1501" s="6"/>
      <c r="G1501" s="24" t="str">
        <f>IF(F1501="", "", VLOOKUP(F1501, Inventory!A:BZ, 3, FALSE) - SUMIF($F$1:$F1500, F1501, $H$1:$H1500))
</f>
        <v/>
      </c>
      <c r="I1501" s="26"/>
      <c r="J1501" s="26" t="s">
        <v>77</v>
      </c>
      <c r="L1501" s="27" t="s">
        <v>77</v>
      </c>
      <c r="N1501" s="28" t="s">
        <v>77</v>
      </c>
      <c r="Q1501" s="30"/>
    </row>
    <row r="1502">
      <c r="B1502" s="6"/>
      <c r="C1502" s="33" t="str">
        <f t="array" ref="C1502">IF(B1502="", "", XLOOKUP(B1502, Inventory!D:D,Inventory!E:E,"No Name Found"))</f>
        <v/>
      </c>
      <c r="D1502" s="6"/>
      <c r="E1502" s="6"/>
      <c r="F1502" s="6"/>
      <c r="G1502" s="24" t="str">
        <f>IF(F1502="", "", VLOOKUP(F1502, Inventory!A:BZ, 3, FALSE) - SUMIF($F$1:$F1501, F1502, $H$1:$H1501))
</f>
        <v/>
      </c>
      <c r="I1502" s="26"/>
      <c r="J1502" s="26" t="s">
        <v>77</v>
      </c>
      <c r="L1502" s="27" t="s">
        <v>77</v>
      </c>
      <c r="N1502" s="28" t="s">
        <v>77</v>
      </c>
      <c r="Q1502" s="30"/>
    </row>
    <row r="1503">
      <c r="B1503" s="6"/>
      <c r="C1503" s="33" t="str">
        <f t="array" ref="C1503">IF(B1503="", "", XLOOKUP(B1503, Inventory!D:D,Inventory!E:E,"No Name Found"))</f>
        <v/>
      </c>
      <c r="D1503" s="6"/>
      <c r="E1503" s="6"/>
      <c r="F1503" s="6"/>
      <c r="G1503" s="24" t="str">
        <f>IF(F1503="", "", VLOOKUP(F1503, Inventory!A:BZ, 3, FALSE) - SUMIF($F$1:$F1502, F1503, $H$1:$H1502))
</f>
        <v/>
      </c>
      <c r="I1503" s="26"/>
      <c r="J1503" s="26" t="s">
        <v>77</v>
      </c>
      <c r="L1503" s="27" t="s">
        <v>77</v>
      </c>
      <c r="N1503" s="28" t="s">
        <v>77</v>
      </c>
      <c r="Q1503" s="30"/>
    </row>
    <row r="1504">
      <c r="B1504" s="6"/>
      <c r="C1504" s="33" t="str">
        <f t="array" ref="C1504">IF(B1504="", "", XLOOKUP(B1504, Inventory!D:D,Inventory!E:E,"No Name Found"))</f>
        <v/>
      </c>
      <c r="D1504" s="6"/>
      <c r="E1504" s="6"/>
      <c r="F1504" s="6"/>
      <c r="G1504" s="24" t="str">
        <f>IF(F1504="", "", VLOOKUP(F1504, Inventory!A:BZ, 3, FALSE) - SUMIF($F$1:$F1503, F1504, $H$1:$H1503))
</f>
        <v/>
      </c>
      <c r="I1504" s="26"/>
      <c r="J1504" s="26" t="s">
        <v>77</v>
      </c>
      <c r="L1504" s="27" t="s">
        <v>77</v>
      </c>
      <c r="N1504" s="28" t="s">
        <v>77</v>
      </c>
      <c r="Q1504" s="30"/>
    </row>
    <row r="1505">
      <c r="B1505" s="6"/>
      <c r="C1505" s="33" t="str">
        <f t="array" ref="C1505">IF(B1505="", "", XLOOKUP(B1505, Inventory!D:D,Inventory!E:E,"No Name Found"))</f>
        <v/>
      </c>
      <c r="D1505" s="6"/>
      <c r="E1505" s="6"/>
      <c r="F1505" s="6"/>
      <c r="G1505" s="24" t="str">
        <f>IF(F1505="", "", VLOOKUP(F1505, Inventory!A:BZ, 3, FALSE) - SUMIF($F$1:$F1504, F1505, $H$1:$H1504))
</f>
        <v/>
      </c>
      <c r="I1505" s="26"/>
      <c r="J1505" s="26" t="s">
        <v>77</v>
      </c>
      <c r="L1505" s="27" t="s">
        <v>77</v>
      </c>
      <c r="N1505" s="28" t="s">
        <v>77</v>
      </c>
      <c r="Q1505" s="30"/>
    </row>
    <row r="1506">
      <c r="B1506" s="6"/>
      <c r="C1506" s="33" t="str">
        <f t="array" ref="C1506">IF(B1506="", "", XLOOKUP(B1506, Inventory!D:D,Inventory!E:E,"No Name Found"))</f>
        <v/>
      </c>
      <c r="D1506" s="6"/>
      <c r="E1506" s="6"/>
      <c r="F1506" s="6"/>
      <c r="G1506" s="24" t="str">
        <f>IF(F1506="", "", VLOOKUP(F1506, Inventory!A:BZ, 3, FALSE) - SUMIF($F$1:$F1505, F1506, $H$1:$H1505))
</f>
        <v/>
      </c>
      <c r="I1506" s="26"/>
      <c r="J1506" s="26" t="s">
        <v>77</v>
      </c>
      <c r="L1506" s="27" t="s">
        <v>77</v>
      </c>
      <c r="N1506" s="28" t="s">
        <v>77</v>
      </c>
      <c r="Q1506" s="30"/>
    </row>
    <row r="1507">
      <c r="B1507" s="6"/>
      <c r="C1507" s="33" t="str">
        <f t="array" ref="C1507">IF(B1507="", "", XLOOKUP(B1507, Inventory!D:D,Inventory!E:E,"No Name Found"))</f>
        <v/>
      </c>
      <c r="D1507" s="6"/>
      <c r="E1507" s="6"/>
      <c r="F1507" s="6"/>
      <c r="G1507" s="24" t="str">
        <f>IF(F1507="", "", VLOOKUP(F1507, Inventory!A:BZ, 3, FALSE) - SUMIF($F$1:$F1506, F1507, $H$1:$H1506))
</f>
        <v/>
      </c>
      <c r="I1507" s="26"/>
      <c r="J1507" s="26" t="s">
        <v>77</v>
      </c>
      <c r="L1507" s="27" t="s">
        <v>77</v>
      </c>
      <c r="N1507" s="28" t="s">
        <v>77</v>
      </c>
      <c r="Q1507" s="30"/>
    </row>
    <row r="1508">
      <c r="B1508" s="6"/>
      <c r="C1508" s="33" t="str">
        <f t="array" ref="C1508">IF(B1508="", "", XLOOKUP(B1508, Inventory!D:D,Inventory!E:E,"No Name Found"))</f>
        <v/>
      </c>
      <c r="D1508" s="6"/>
      <c r="E1508" s="6"/>
      <c r="F1508" s="6"/>
      <c r="G1508" s="24" t="str">
        <f>IF(F1508="", "", VLOOKUP(F1508, Inventory!A:BZ, 3, FALSE) - SUMIF($F$1:$F1507, F1508, $H$1:$H1507))
</f>
        <v/>
      </c>
      <c r="I1508" s="26"/>
      <c r="J1508" s="26" t="s">
        <v>77</v>
      </c>
      <c r="L1508" s="27" t="s">
        <v>77</v>
      </c>
      <c r="N1508" s="28" t="s">
        <v>77</v>
      </c>
      <c r="Q1508" s="30"/>
    </row>
    <row r="1509">
      <c r="B1509" s="6"/>
      <c r="C1509" s="33" t="str">
        <f t="array" ref="C1509">IF(B1509="", "", XLOOKUP(B1509, Inventory!D:D,Inventory!E:E,"No Name Found"))</f>
        <v/>
      </c>
      <c r="D1509" s="6"/>
      <c r="E1509" s="6"/>
      <c r="F1509" s="6"/>
      <c r="G1509" s="24" t="str">
        <f>IF(F1509="", "", VLOOKUP(F1509, Inventory!A:BZ, 3, FALSE) - SUMIF($F$1:$F1508, F1509, $H$1:$H1508))
</f>
        <v/>
      </c>
      <c r="I1509" s="26"/>
      <c r="J1509" s="26" t="s">
        <v>77</v>
      </c>
      <c r="L1509" s="27" t="s">
        <v>77</v>
      </c>
      <c r="N1509" s="28" t="s">
        <v>77</v>
      </c>
      <c r="Q1509" s="30"/>
    </row>
    <row r="1510">
      <c r="B1510" s="6"/>
      <c r="C1510" s="33" t="str">
        <f t="array" ref="C1510">IF(B1510="", "", XLOOKUP(B1510, Inventory!D:D,Inventory!E:E,"No Name Found"))</f>
        <v/>
      </c>
      <c r="D1510" s="6"/>
      <c r="E1510" s="6"/>
      <c r="F1510" s="6"/>
      <c r="G1510" s="24" t="str">
        <f>IF(F1510="", "", VLOOKUP(F1510, Inventory!A:BZ, 3, FALSE) - SUMIF($F$1:$F1509, F1510, $H$1:$H1509))
</f>
        <v/>
      </c>
      <c r="I1510" s="26"/>
      <c r="J1510" s="26" t="s">
        <v>77</v>
      </c>
      <c r="L1510" s="27" t="s">
        <v>77</v>
      </c>
      <c r="N1510" s="28" t="s">
        <v>77</v>
      </c>
      <c r="Q1510" s="30"/>
    </row>
    <row r="1511">
      <c r="B1511" s="6"/>
      <c r="C1511" s="33" t="str">
        <f t="array" ref="C1511">IF(B1511="", "", XLOOKUP(B1511, Inventory!D:D,Inventory!E:E,"No Name Found"))</f>
        <v/>
      </c>
      <c r="D1511" s="6"/>
      <c r="E1511" s="6"/>
      <c r="F1511" s="6"/>
      <c r="G1511" s="24" t="str">
        <f>IF(F1511="", "", VLOOKUP(F1511, Inventory!A:BZ, 3, FALSE) - SUMIF($F$1:$F1510, F1511, $H$1:$H1510))
</f>
        <v/>
      </c>
      <c r="I1511" s="26"/>
      <c r="J1511" s="26" t="s">
        <v>77</v>
      </c>
      <c r="L1511" s="27" t="s">
        <v>77</v>
      </c>
      <c r="N1511" s="28" t="s">
        <v>77</v>
      </c>
      <c r="Q1511" s="30"/>
    </row>
    <row r="1512">
      <c r="B1512" s="6"/>
      <c r="C1512" s="33" t="str">
        <f t="array" ref="C1512">IF(B1512="", "", XLOOKUP(B1512, Inventory!D:D,Inventory!E:E,"No Name Found"))</f>
        <v/>
      </c>
      <c r="D1512" s="6"/>
      <c r="E1512" s="6"/>
      <c r="F1512" s="6"/>
      <c r="G1512" s="24" t="str">
        <f>IF(F1512="", "", VLOOKUP(F1512, Inventory!A:BZ, 3, FALSE) - SUMIF($F$1:$F1511, F1512, $H$1:$H1511))
</f>
        <v/>
      </c>
      <c r="I1512" s="26"/>
      <c r="J1512" s="26" t="s">
        <v>77</v>
      </c>
      <c r="L1512" s="27" t="s">
        <v>77</v>
      </c>
      <c r="N1512" s="28" t="s">
        <v>77</v>
      </c>
      <c r="Q1512" s="30"/>
    </row>
    <row r="1513">
      <c r="B1513" s="6"/>
      <c r="C1513" s="33" t="str">
        <f t="array" ref="C1513">IF(B1513="", "", XLOOKUP(B1513, Inventory!D:D,Inventory!E:E,"No Name Found"))</f>
        <v/>
      </c>
      <c r="D1513" s="6"/>
      <c r="E1513" s="6"/>
      <c r="F1513" s="6"/>
      <c r="G1513" s="24" t="str">
        <f>IF(F1513="", "", VLOOKUP(F1513, Inventory!A:BZ, 3, FALSE) - SUMIF($F$1:$F1512, F1513, $H$1:$H1512))
</f>
        <v/>
      </c>
      <c r="I1513" s="26"/>
      <c r="J1513" s="26" t="s">
        <v>77</v>
      </c>
      <c r="L1513" s="27" t="s">
        <v>77</v>
      </c>
      <c r="N1513" s="28" t="s">
        <v>77</v>
      </c>
      <c r="Q1513" s="30"/>
    </row>
    <row r="1514">
      <c r="B1514" s="6"/>
      <c r="C1514" s="33" t="str">
        <f t="array" ref="C1514">IF(B1514="", "", XLOOKUP(B1514, Inventory!D:D,Inventory!E:E,"No Name Found"))</f>
        <v/>
      </c>
      <c r="D1514" s="6"/>
      <c r="E1514" s="6"/>
      <c r="F1514" s="6"/>
      <c r="G1514" s="24" t="str">
        <f>IF(F1514="", "", VLOOKUP(F1514, Inventory!A:BZ, 3, FALSE) - SUMIF($F$1:$F1513, F1514, $H$1:$H1513))
</f>
        <v/>
      </c>
      <c r="I1514" s="26"/>
      <c r="J1514" s="26" t="s">
        <v>77</v>
      </c>
      <c r="L1514" s="27" t="s">
        <v>77</v>
      </c>
      <c r="N1514" s="28" t="s">
        <v>77</v>
      </c>
      <c r="Q1514" s="30"/>
    </row>
    <row r="1515">
      <c r="B1515" s="6"/>
      <c r="C1515" s="33" t="str">
        <f t="array" ref="C1515">IF(B1515="", "", XLOOKUP(B1515, Inventory!D:D,Inventory!E:E,"No Name Found"))</f>
        <v/>
      </c>
      <c r="D1515" s="6"/>
      <c r="E1515" s="6"/>
      <c r="F1515" s="6"/>
      <c r="G1515" s="24" t="str">
        <f>IF(F1515="", "", VLOOKUP(F1515, Inventory!A:BZ, 3, FALSE) - SUMIF($F$1:$F1514, F1515, $H$1:$H1514))
</f>
        <v/>
      </c>
      <c r="I1515" s="26"/>
      <c r="J1515" s="26" t="s">
        <v>77</v>
      </c>
      <c r="L1515" s="27" t="s">
        <v>77</v>
      </c>
      <c r="N1515" s="28" t="s">
        <v>77</v>
      </c>
      <c r="Q1515" s="30"/>
    </row>
    <row r="1516">
      <c r="B1516" s="6"/>
      <c r="C1516" s="33" t="str">
        <f t="array" ref="C1516">IF(B1516="", "", XLOOKUP(B1516, Inventory!D:D,Inventory!E:E,"No Name Found"))</f>
        <v/>
      </c>
      <c r="D1516" s="6"/>
      <c r="E1516" s="6"/>
      <c r="F1516" s="6"/>
      <c r="G1516" s="24" t="str">
        <f>IF(F1516="", "", VLOOKUP(F1516, Inventory!A:BZ, 3, FALSE) - SUMIF($F$1:$F1515, F1516, $H$1:$H1515))
</f>
        <v/>
      </c>
      <c r="I1516" s="26"/>
      <c r="J1516" s="26" t="s">
        <v>77</v>
      </c>
      <c r="L1516" s="27" t="s">
        <v>77</v>
      </c>
      <c r="N1516" s="28" t="s">
        <v>77</v>
      </c>
      <c r="Q1516" s="30"/>
    </row>
    <row r="1517">
      <c r="B1517" s="6"/>
      <c r="C1517" s="33" t="str">
        <f t="array" ref="C1517">IF(B1517="", "", XLOOKUP(B1517, Inventory!D:D,Inventory!E:E,"No Name Found"))</f>
        <v/>
      </c>
      <c r="D1517" s="6"/>
      <c r="E1517" s="6"/>
      <c r="F1517" s="6"/>
      <c r="G1517" s="24" t="str">
        <f>IF(F1517="", "", VLOOKUP(F1517, Inventory!A:BZ, 3, FALSE) - SUMIF($F$1:$F1516, F1517, $H$1:$H1516))
</f>
        <v/>
      </c>
      <c r="I1517" s="26"/>
      <c r="J1517" s="26" t="s">
        <v>77</v>
      </c>
      <c r="L1517" s="27" t="s">
        <v>77</v>
      </c>
      <c r="N1517" s="28" t="s">
        <v>77</v>
      </c>
      <c r="Q1517" s="30"/>
    </row>
    <row r="1518">
      <c r="B1518" s="6"/>
      <c r="C1518" s="33" t="str">
        <f t="array" ref="C1518">IF(B1518="", "", XLOOKUP(B1518, Inventory!D:D,Inventory!E:E,"No Name Found"))</f>
        <v/>
      </c>
      <c r="D1518" s="6"/>
      <c r="E1518" s="6"/>
      <c r="F1518" s="6"/>
      <c r="G1518" s="24" t="str">
        <f>IF(F1518="", "", VLOOKUP(F1518, Inventory!A:BZ, 3, FALSE) - SUMIF($F$1:$F1517, F1518, $H$1:$H1517))
</f>
        <v/>
      </c>
      <c r="I1518" s="26"/>
      <c r="J1518" s="26" t="s">
        <v>77</v>
      </c>
      <c r="L1518" s="27" t="s">
        <v>77</v>
      </c>
      <c r="N1518" s="28" t="s">
        <v>77</v>
      </c>
      <c r="Q1518" s="30"/>
    </row>
    <row r="1519">
      <c r="B1519" s="6"/>
      <c r="C1519" s="33" t="str">
        <f t="array" ref="C1519">IF(B1519="", "", XLOOKUP(B1519, Inventory!D:D,Inventory!E:E,"No Name Found"))</f>
        <v/>
      </c>
      <c r="D1519" s="6"/>
      <c r="E1519" s="6"/>
      <c r="F1519" s="6"/>
      <c r="G1519" s="24" t="str">
        <f>IF(F1519="", "", VLOOKUP(F1519, Inventory!A:BZ, 3, FALSE) - SUMIF($F$1:$F1518, F1519, $H$1:$H1518))
</f>
        <v/>
      </c>
      <c r="I1519" s="26"/>
      <c r="J1519" s="26" t="s">
        <v>77</v>
      </c>
      <c r="L1519" s="27" t="s">
        <v>77</v>
      </c>
      <c r="N1519" s="28" t="s">
        <v>77</v>
      </c>
      <c r="Q1519" s="30"/>
    </row>
    <row r="1520">
      <c r="B1520" s="6"/>
      <c r="C1520" s="33" t="str">
        <f t="array" ref="C1520">IF(B1520="", "", XLOOKUP(B1520, Inventory!D:D,Inventory!E:E,"No Name Found"))</f>
        <v/>
      </c>
      <c r="D1520" s="6"/>
      <c r="E1520" s="6"/>
      <c r="F1520" s="6"/>
      <c r="G1520" s="24" t="str">
        <f>IF(F1520="", "", VLOOKUP(F1520, Inventory!A:BZ, 3, FALSE) - SUMIF($F$1:$F1519, F1520, $H$1:$H1519))
</f>
        <v/>
      </c>
      <c r="I1520" s="26"/>
      <c r="J1520" s="26" t="s">
        <v>77</v>
      </c>
      <c r="L1520" s="27" t="s">
        <v>77</v>
      </c>
      <c r="N1520" s="28" t="s">
        <v>77</v>
      </c>
      <c r="Q1520" s="30"/>
    </row>
    <row r="1521">
      <c r="B1521" s="6"/>
      <c r="C1521" s="33" t="str">
        <f t="array" ref="C1521">IF(B1521="", "", XLOOKUP(B1521, Inventory!D:D,Inventory!E:E,"No Name Found"))</f>
        <v/>
      </c>
      <c r="D1521" s="6"/>
      <c r="E1521" s="6"/>
      <c r="F1521" s="6"/>
      <c r="G1521" s="24" t="str">
        <f>IF(F1521="", "", VLOOKUP(F1521, Inventory!A:BZ, 3, FALSE) - SUMIF($F$1:$F1520, F1521, $H$1:$H1520))
</f>
        <v/>
      </c>
      <c r="I1521" s="26"/>
      <c r="J1521" s="26" t="s">
        <v>77</v>
      </c>
      <c r="L1521" s="27" t="s">
        <v>77</v>
      </c>
      <c r="N1521" s="28" t="s">
        <v>77</v>
      </c>
      <c r="Q1521" s="30"/>
    </row>
    <row r="1522">
      <c r="B1522" s="6"/>
      <c r="C1522" s="33" t="str">
        <f t="array" ref="C1522">IF(B1522="", "", XLOOKUP(B1522, Inventory!D:D,Inventory!E:E,"No Name Found"))</f>
        <v/>
      </c>
      <c r="D1522" s="6"/>
      <c r="E1522" s="6"/>
      <c r="F1522" s="6"/>
      <c r="G1522" s="24" t="str">
        <f>IF(F1522="", "", VLOOKUP(F1522, Inventory!A:BZ, 3, FALSE) - SUMIF($F$1:$F1521, F1522, $H$1:$H1521))
</f>
        <v/>
      </c>
      <c r="I1522" s="26"/>
      <c r="J1522" s="26" t="s">
        <v>77</v>
      </c>
      <c r="L1522" s="27" t="s">
        <v>77</v>
      </c>
      <c r="N1522" s="28" t="s">
        <v>77</v>
      </c>
      <c r="Q1522" s="30"/>
    </row>
    <row r="1523">
      <c r="B1523" s="6"/>
      <c r="C1523" s="33" t="str">
        <f t="array" ref="C1523">IF(B1523="", "", XLOOKUP(B1523, Inventory!D:D,Inventory!E:E,"No Name Found"))</f>
        <v/>
      </c>
      <c r="D1523" s="6"/>
      <c r="E1523" s="6"/>
      <c r="F1523" s="6"/>
      <c r="G1523" s="24" t="str">
        <f>IF(F1523="", "", VLOOKUP(F1523, Inventory!A:BZ, 3, FALSE) - SUMIF($F$1:$F1522, F1523, $H$1:$H1522))
</f>
        <v/>
      </c>
      <c r="I1523" s="26"/>
      <c r="J1523" s="26" t="s">
        <v>77</v>
      </c>
      <c r="L1523" s="27" t="s">
        <v>77</v>
      </c>
      <c r="N1523" s="28" t="s">
        <v>77</v>
      </c>
      <c r="Q1523" s="30"/>
    </row>
    <row r="1524">
      <c r="B1524" s="6"/>
      <c r="C1524" s="33" t="str">
        <f t="array" ref="C1524">IF(B1524="", "", XLOOKUP(B1524, Inventory!D:D,Inventory!E:E,"No Name Found"))</f>
        <v/>
      </c>
      <c r="D1524" s="6"/>
      <c r="E1524" s="6"/>
      <c r="F1524" s="6"/>
      <c r="G1524" s="24" t="str">
        <f>IF(F1524="", "", VLOOKUP(F1524, Inventory!A:BZ, 3, FALSE) - SUMIF($F$1:$F1523, F1524, $H$1:$H1523))
</f>
        <v/>
      </c>
      <c r="I1524" s="26"/>
      <c r="J1524" s="26" t="s">
        <v>77</v>
      </c>
      <c r="L1524" s="27" t="s">
        <v>77</v>
      </c>
      <c r="N1524" s="28" t="s">
        <v>77</v>
      </c>
      <c r="Q1524" s="30"/>
    </row>
    <row r="1525">
      <c r="B1525" s="6"/>
      <c r="C1525" s="33" t="str">
        <f t="array" ref="C1525">IF(B1525="", "", XLOOKUP(B1525, Inventory!D:D,Inventory!E:E,"No Name Found"))</f>
        <v/>
      </c>
      <c r="D1525" s="6"/>
      <c r="E1525" s="6"/>
      <c r="F1525" s="6"/>
      <c r="G1525" s="24" t="str">
        <f>IF(F1525="", "", VLOOKUP(F1525, Inventory!A:BZ, 3, FALSE) - SUMIF($F$1:$F1524, F1525, $H$1:$H1524))
</f>
        <v/>
      </c>
      <c r="I1525" s="26"/>
      <c r="J1525" s="26" t="s">
        <v>77</v>
      </c>
      <c r="L1525" s="27" t="s">
        <v>77</v>
      </c>
      <c r="N1525" s="28" t="s">
        <v>77</v>
      </c>
      <c r="Q1525" s="30"/>
    </row>
    <row r="1526">
      <c r="B1526" s="6"/>
      <c r="C1526" s="33" t="str">
        <f t="array" ref="C1526">IF(B1526="", "", XLOOKUP(B1526, Inventory!D:D,Inventory!E:E,"No Name Found"))</f>
        <v/>
      </c>
      <c r="D1526" s="6"/>
      <c r="E1526" s="6"/>
      <c r="F1526" s="6"/>
      <c r="G1526" s="24" t="str">
        <f>IF(F1526="", "", VLOOKUP(F1526, Inventory!A:BZ, 3, FALSE) - SUMIF($F$1:$F1525, F1526, $H$1:$H1525))
</f>
        <v/>
      </c>
      <c r="I1526" s="26"/>
      <c r="J1526" s="26" t="s">
        <v>77</v>
      </c>
      <c r="L1526" s="27" t="s">
        <v>77</v>
      </c>
      <c r="N1526" s="28" t="s">
        <v>77</v>
      </c>
      <c r="Q1526" s="30"/>
    </row>
    <row r="1527">
      <c r="B1527" s="6"/>
      <c r="C1527" s="33" t="str">
        <f t="array" ref="C1527">IF(B1527="", "", XLOOKUP(B1527, Inventory!D:D,Inventory!E:E,"No Name Found"))</f>
        <v/>
      </c>
      <c r="D1527" s="6"/>
      <c r="E1527" s="6"/>
      <c r="F1527" s="6"/>
      <c r="G1527" s="24" t="str">
        <f>IF(F1527="", "", VLOOKUP(F1527, Inventory!A:BZ, 3, FALSE) - SUMIF($F$1:$F1526, F1527, $H$1:$H1526))
</f>
        <v/>
      </c>
      <c r="I1527" s="26"/>
      <c r="J1527" s="26" t="s">
        <v>77</v>
      </c>
      <c r="L1527" s="27" t="s">
        <v>77</v>
      </c>
      <c r="N1527" s="28" t="s">
        <v>77</v>
      </c>
      <c r="Q1527" s="30"/>
    </row>
    <row r="1528">
      <c r="B1528" s="6"/>
      <c r="C1528" s="33" t="str">
        <f t="array" ref="C1528">IF(B1528="", "", XLOOKUP(B1528, Inventory!D:D,Inventory!E:E,"No Name Found"))</f>
        <v/>
      </c>
      <c r="D1528" s="6"/>
      <c r="E1528" s="6"/>
      <c r="F1528" s="6"/>
      <c r="G1528" s="24" t="str">
        <f>IF(F1528="", "", VLOOKUP(F1528, Inventory!A:BZ, 3, FALSE) - SUMIF($F$1:$F1527, F1528, $H$1:$H1527))
</f>
        <v/>
      </c>
      <c r="I1528" s="26"/>
      <c r="J1528" s="26" t="s">
        <v>77</v>
      </c>
      <c r="L1528" s="27" t="s">
        <v>77</v>
      </c>
      <c r="N1528" s="28" t="s">
        <v>77</v>
      </c>
      <c r="Q1528" s="30"/>
    </row>
    <row r="1529">
      <c r="B1529" s="6"/>
      <c r="C1529" s="33" t="str">
        <f t="array" ref="C1529">IF(B1529="", "", XLOOKUP(B1529, Inventory!D:D,Inventory!E:E,"No Name Found"))</f>
        <v/>
      </c>
      <c r="D1529" s="6"/>
      <c r="E1529" s="6"/>
      <c r="F1529" s="6"/>
      <c r="G1529" s="24" t="str">
        <f>IF(F1529="", "", VLOOKUP(F1529, Inventory!A:BZ, 3, FALSE) - SUMIF($F$1:$F1528, F1529, $H$1:$H1528))
</f>
        <v/>
      </c>
      <c r="I1529" s="26"/>
      <c r="J1529" s="26" t="s">
        <v>77</v>
      </c>
      <c r="L1529" s="27" t="s">
        <v>77</v>
      </c>
      <c r="N1529" s="28" t="s">
        <v>77</v>
      </c>
      <c r="Q1529" s="30"/>
    </row>
    <row r="1530">
      <c r="B1530" s="6"/>
      <c r="C1530" s="33" t="str">
        <f t="array" ref="C1530">IF(B1530="", "", XLOOKUP(B1530, Inventory!D:D,Inventory!E:E,"No Name Found"))</f>
        <v/>
      </c>
      <c r="D1530" s="6"/>
      <c r="E1530" s="6"/>
      <c r="F1530" s="6"/>
      <c r="G1530" s="24" t="str">
        <f>IF(F1530="", "", VLOOKUP(F1530, Inventory!A:BZ, 3, FALSE) - SUMIF($F$1:$F1529, F1530, $H$1:$H1529))
</f>
        <v/>
      </c>
      <c r="I1530" s="26"/>
      <c r="J1530" s="26" t="s">
        <v>77</v>
      </c>
      <c r="L1530" s="27" t="s">
        <v>77</v>
      </c>
      <c r="N1530" s="28" t="s">
        <v>77</v>
      </c>
      <c r="Q1530" s="30"/>
    </row>
    <row r="1531">
      <c r="B1531" s="6"/>
      <c r="C1531" s="33" t="str">
        <f t="array" ref="C1531">IF(B1531="", "", XLOOKUP(B1531, Inventory!D:D,Inventory!E:E,"No Name Found"))</f>
        <v/>
      </c>
      <c r="D1531" s="6"/>
      <c r="E1531" s="6"/>
      <c r="F1531" s="6"/>
      <c r="G1531" s="24" t="str">
        <f>IF(F1531="", "", VLOOKUP(F1531, Inventory!A:BZ, 3, FALSE) - SUMIF($F$1:$F1530, F1531, $H$1:$H1530))
</f>
        <v/>
      </c>
      <c r="I1531" s="26"/>
      <c r="J1531" s="26" t="s">
        <v>77</v>
      </c>
      <c r="L1531" s="27" t="s">
        <v>77</v>
      </c>
      <c r="N1531" s="28" t="s">
        <v>77</v>
      </c>
      <c r="Q1531" s="30"/>
    </row>
    <row r="1532">
      <c r="B1532" s="6"/>
      <c r="C1532" s="33" t="str">
        <f t="array" ref="C1532">IF(B1532="", "", XLOOKUP(B1532, Inventory!D:D,Inventory!E:E,"No Name Found"))</f>
        <v/>
      </c>
      <c r="D1532" s="6"/>
      <c r="E1532" s="6"/>
      <c r="F1532" s="6"/>
      <c r="G1532" s="24" t="str">
        <f>IF(F1532="", "", VLOOKUP(F1532, Inventory!A:BZ, 3, FALSE) - SUMIF($F$1:$F1531, F1532, $H$1:$H1531))
</f>
        <v/>
      </c>
      <c r="I1532" s="26"/>
      <c r="J1532" s="26" t="s">
        <v>77</v>
      </c>
      <c r="L1532" s="27" t="s">
        <v>77</v>
      </c>
      <c r="N1532" s="28" t="s">
        <v>77</v>
      </c>
      <c r="Q1532" s="30"/>
    </row>
    <row r="1533">
      <c r="B1533" s="6"/>
      <c r="C1533" s="33" t="str">
        <f t="array" ref="C1533">IF(B1533="", "", XLOOKUP(B1533, Inventory!D:D,Inventory!E:E,"No Name Found"))</f>
        <v/>
      </c>
      <c r="D1533" s="6"/>
      <c r="E1533" s="6"/>
      <c r="F1533" s="6"/>
      <c r="G1533" s="24" t="str">
        <f>IF(F1533="", "", VLOOKUP(F1533, Inventory!A:BZ, 3, FALSE) - SUMIF($F$1:$F1532, F1533, $H$1:$H1532))
</f>
        <v/>
      </c>
      <c r="I1533" s="26"/>
      <c r="J1533" s="26" t="s">
        <v>77</v>
      </c>
      <c r="L1533" s="27" t="s">
        <v>77</v>
      </c>
      <c r="N1533" s="28" t="s">
        <v>77</v>
      </c>
      <c r="Q1533" s="30"/>
    </row>
    <row r="1534">
      <c r="B1534" s="6"/>
      <c r="C1534" s="33" t="str">
        <f t="array" ref="C1534">IF(B1534="", "", XLOOKUP(B1534, Inventory!D:D,Inventory!E:E,"No Name Found"))</f>
        <v/>
      </c>
      <c r="D1534" s="6"/>
      <c r="E1534" s="6"/>
      <c r="F1534" s="6"/>
      <c r="G1534" s="24" t="str">
        <f>IF(F1534="", "", VLOOKUP(F1534, Inventory!A:BZ, 3, FALSE) - SUMIF($F$1:$F1533, F1534, $H$1:$H1533))
</f>
        <v/>
      </c>
      <c r="I1534" s="26"/>
      <c r="J1534" s="26" t="s">
        <v>77</v>
      </c>
      <c r="L1534" s="27" t="s">
        <v>77</v>
      </c>
      <c r="N1534" s="28" t="s">
        <v>77</v>
      </c>
      <c r="Q1534" s="30"/>
    </row>
    <row r="1535">
      <c r="B1535" s="6"/>
      <c r="C1535" s="33" t="str">
        <f t="array" ref="C1535">IF(B1535="", "", XLOOKUP(B1535, Inventory!D:D,Inventory!E:E,"No Name Found"))</f>
        <v/>
      </c>
      <c r="D1535" s="6"/>
      <c r="E1535" s="6"/>
      <c r="F1535" s="6"/>
      <c r="G1535" s="24" t="str">
        <f>IF(F1535="", "", VLOOKUP(F1535, Inventory!A:BZ, 3, FALSE) - SUMIF($F$1:$F1534, F1535, $H$1:$H1534))
</f>
        <v/>
      </c>
      <c r="I1535" s="26"/>
      <c r="J1535" s="26" t="s">
        <v>77</v>
      </c>
      <c r="L1535" s="27" t="s">
        <v>77</v>
      </c>
      <c r="N1535" s="28" t="s">
        <v>77</v>
      </c>
      <c r="Q1535" s="30"/>
    </row>
    <row r="1536">
      <c r="B1536" s="6"/>
      <c r="C1536" s="33" t="str">
        <f t="array" ref="C1536">IF(B1536="", "", XLOOKUP(B1536, Inventory!D:D,Inventory!E:E,"No Name Found"))</f>
        <v/>
      </c>
      <c r="D1536" s="6"/>
      <c r="E1536" s="6"/>
      <c r="F1536" s="6"/>
      <c r="G1536" s="24" t="str">
        <f>IF(F1536="", "", VLOOKUP(F1536, Inventory!A:BZ, 3, FALSE) - SUMIF($F$1:$F1535, F1536, $H$1:$H1535))
</f>
        <v/>
      </c>
      <c r="I1536" s="26"/>
      <c r="J1536" s="26" t="s">
        <v>77</v>
      </c>
      <c r="L1536" s="27" t="s">
        <v>77</v>
      </c>
      <c r="N1536" s="28" t="s">
        <v>77</v>
      </c>
      <c r="Q1536" s="30"/>
    </row>
    <row r="1537">
      <c r="B1537" s="6"/>
      <c r="C1537" s="33" t="str">
        <f t="array" ref="C1537">IF(B1537="", "", XLOOKUP(B1537, Inventory!D:D,Inventory!E:E,"No Name Found"))</f>
        <v/>
      </c>
      <c r="D1537" s="6"/>
      <c r="E1537" s="6"/>
      <c r="F1537" s="6"/>
      <c r="G1537" s="24" t="str">
        <f>IF(F1537="", "", VLOOKUP(F1537, Inventory!A:BZ, 3, FALSE) - SUMIF($F$1:$F1536, F1537, $H$1:$H1536))
</f>
        <v/>
      </c>
      <c r="I1537" s="26"/>
      <c r="J1537" s="26" t="s">
        <v>77</v>
      </c>
      <c r="L1537" s="27" t="s">
        <v>77</v>
      </c>
      <c r="N1537" s="28" t="s">
        <v>77</v>
      </c>
      <c r="Q1537" s="30"/>
    </row>
    <row r="1538">
      <c r="B1538" s="6"/>
      <c r="C1538" s="33" t="str">
        <f t="array" ref="C1538">IF(B1538="", "", XLOOKUP(B1538, Inventory!D:D,Inventory!E:E,"No Name Found"))</f>
        <v/>
      </c>
      <c r="D1538" s="6"/>
      <c r="E1538" s="6"/>
      <c r="F1538" s="6"/>
      <c r="G1538" s="24" t="str">
        <f>IF(F1538="", "", VLOOKUP(F1538, Inventory!A:BZ, 3, FALSE) - SUMIF($F$1:$F1537, F1538, $H$1:$H1537))
</f>
        <v/>
      </c>
      <c r="I1538" s="26"/>
      <c r="J1538" s="26" t="s">
        <v>77</v>
      </c>
      <c r="L1538" s="27" t="s">
        <v>77</v>
      </c>
      <c r="N1538" s="28" t="s">
        <v>77</v>
      </c>
      <c r="Q1538" s="30"/>
    </row>
    <row r="1539">
      <c r="B1539" s="6"/>
      <c r="C1539" s="33" t="str">
        <f t="array" ref="C1539">IF(B1539="", "", XLOOKUP(B1539, Inventory!D:D,Inventory!E:E,"No Name Found"))</f>
        <v/>
      </c>
      <c r="D1539" s="6"/>
      <c r="E1539" s="6"/>
      <c r="F1539" s="6"/>
      <c r="G1539" s="24" t="str">
        <f>IF(F1539="", "", VLOOKUP(F1539, Inventory!A:BZ, 3, FALSE) - SUMIF($F$1:$F1538, F1539, $H$1:$H1538))
</f>
        <v/>
      </c>
      <c r="I1539" s="26"/>
      <c r="J1539" s="26" t="s">
        <v>77</v>
      </c>
      <c r="L1539" s="27" t="s">
        <v>77</v>
      </c>
      <c r="N1539" s="28" t="s">
        <v>77</v>
      </c>
      <c r="Q1539" s="30"/>
    </row>
    <row r="1540">
      <c r="B1540" s="6"/>
      <c r="C1540" s="33" t="str">
        <f t="array" ref="C1540">IF(B1540="", "", XLOOKUP(B1540, Inventory!D:D,Inventory!E:E,"No Name Found"))</f>
        <v/>
      </c>
      <c r="D1540" s="6"/>
      <c r="E1540" s="6"/>
      <c r="F1540" s="6"/>
      <c r="G1540" s="24" t="str">
        <f>IF(F1540="", "", VLOOKUP(F1540, Inventory!A:BZ, 3, FALSE) - SUMIF($F$1:$F1539, F1540, $H$1:$H1539))
</f>
        <v/>
      </c>
      <c r="I1540" s="26"/>
      <c r="J1540" s="26" t="s">
        <v>77</v>
      </c>
      <c r="L1540" s="27" t="s">
        <v>77</v>
      </c>
      <c r="N1540" s="28" t="s">
        <v>77</v>
      </c>
      <c r="Q1540" s="30"/>
    </row>
    <row r="1541">
      <c r="B1541" s="6"/>
      <c r="C1541" s="33" t="str">
        <f t="array" ref="C1541">IF(B1541="", "", XLOOKUP(B1541, Inventory!D:D,Inventory!E:E,"No Name Found"))</f>
        <v/>
      </c>
      <c r="D1541" s="6"/>
      <c r="E1541" s="6"/>
      <c r="F1541" s="6"/>
      <c r="G1541" s="24" t="str">
        <f>IF(F1541="", "", VLOOKUP(F1541, Inventory!A:BZ, 3, FALSE) - SUMIF($F$1:$F1540, F1541, $H$1:$H1540))
</f>
        <v/>
      </c>
      <c r="I1541" s="26"/>
      <c r="J1541" s="26" t="s">
        <v>77</v>
      </c>
      <c r="L1541" s="27" t="s">
        <v>77</v>
      </c>
      <c r="N1541" s="28" t="s">
        <v>77</v>
      </c>
      <c r="Q1541" s="30"/>
    </row>
    <row r="1542">
      <c r="B1542" s="6"/>
      <c r="C1542" s="33" t="str">
        <f t="array" ref="C1542">IF(B1542="", "", XLOOKUP(B1542, Inventory!D:D,Inventory!E:E,"No Name Found"))</f>
        <v/>
      </c>
      <c r="D1542" s="6"/>
      <c r="E1542" s="6"/>
      <c r="F1542" s="6"/>
      <c r="G1542" s="24" t="str">
        <f>IF(F1542="", "", VLOOKUP(F1542, Inventory!A:BZ, 3, FALSE) - SUMIF($F$1:$F1541, F1542, $H$1:$H1541))
</f>
        <v/>
      </c>
      <c r="I1542" s="26"/>
      <c r="J1542" s="26" t="s">
        <v>77</v>
      </c>
      <c r="L1542" s="27" t="s">
        <v>77</v>
      </c>
      <c r="N1542" s="28" t="s">
        <v>77</v>
      </c>
      <c r="Q1542" s="30"/>
    </row>
    <row r="1543">
      <c r="B1543" s="6"/>
      <c r="C1543" s="33" t="str">
        <f t="array" ref="C1543">IF(B1543="", "", XLOOKUP(B1543, Inventory!D:D,Inventory!E:E,"No Name Found"))</f>
        <v/>
      </c>
      <c r="D1543" s="6"/>
      <c r="E1543" s="6"/>
      <c r="F1543" s="6"/>
      <c r="G1543" s="24" t="str">
        <f>IF(F1543="", "", VLOOKUP(F1543, Inventory!A:BZ, 3, FALSE) - SUMIF($F$1:$F1542, F1543, $H$1:$H1542))
</f>
        <v/>
      </c>
      <c r="I1543" s="26"/>
      <c r="J1543" s="26" t="s">
        <v>77</v>
      </c>
      <c r="L1543" s="27" t="s">
        <v>77</v>
      </c>
      <c r="N1543" s="28" t="s">
        <v>77</v>
      </c>
      <c r="Q1543" s="30"/>
    </row>
    <row r="1544">
      <c r="B1544" s="6"/>
      <c r="C1544" s="33" t="str">
        <f t="array" ref="C1544">IF(B1544="", "", XLOOKUP(B1544, Inventory!D:D,Inventory!E:E,"No Name Found"))</f>
        <v/>
      </c>
      <c r="D1544" s="6"/>
      <c r="E1544" s="6"/>
      <c r="F1544" s="6"/>
      <c r="G1544" s="24" t="str">
        <f>IF(F1544="", "", VLOOKUP(F1544, Inventory!A:BZ, 3, FALSE) - SUMIF($F$1:$F1543, F1544, $H$1:$H1543))
</f>
        <v/>
      </c>
      <c r="I1544" s="26"/>
      <c r="J1544" s="26" t="s">
        <v>77</v>
      </c>
      <c r="L1544" s="27" t="s">
        <v>77</v>
      </c>
      <c r="N1544" s="28" t="s">
        <v>77</v>
      </c>
      <c r="Q1544" s="30"/>
    </row>
    <row r="1545">
      <c r="B1545" s="6"/>
      <c r="C1545" s="33" t="str">
        <f t="array" ref="C1545">IF(B1545="", "", XLOOKUP(B1545, Inventory!D:D,Inventory!E:E,"No Name Found"))</f>
        <v/>
      </c>
      <c r="D1545" s="6"/>
      <c r="E1545" s="6"/>
      <c r="F1545" s="6"/>
      <c r="G1545" s="24" t="str">
        <f>IF(F1545="", "", VLOOKUP(F1545, Inventory!A:BZ, 3, FALSE) - SUMIF($F$1:$F1544, F1545, $H$1:$H1544))
</f>
        <v/>
      </c>
      <c r="I1545" s="26"/>
      <c r="J1545" s="26" t="s">
        <v>77</v>
      </c>
      <c r="L1545" s="27" t="s">
        <v>77</v>
      </c>
      <c r="N1545" s="28" t="s">
        <v>77</v>
      </c>
      <c r="Q1545" s="30"/>
    </row>
    <row r="1546">
      <c r="B1546" s="6"/>
      <c r="C1546" s="33" t="str">
        <f t="array" ref="C1546">IF(B1546="", "", XLOOKUP(B1546, Inventory!D:D,Inventory!E:E,"No Name Found"))</f>
        <v/>
      </c>
      <c r="D1546" s="6"/>
      <c r="E1546" s="6"/>
      <c r="F1546" s="6"/>
      <c r="G1546" s="24" t="str">
        <f>IF(F1546="", "", VLOOKUP(F1546, Inventory!A:BZ, 3, FALSE) - SUMIF($F$1:$F1545, F1546, $H$1:$H1545))
</f>
        <v/>
      </c>
      <c r="I1546" s="26"/>
      <c r="J1546" s="26" t="s">
        <v>77</v>
      </c>
      <c r="L1546" s="27" t="s">
        <v>77</v>
      </c>
      <c r="N1546" s="28" t="s">
        <v>77</v>
      </c>
      <c r="Q1546" s="30"/>
    </row>
    <row r="1547">
      <c r="B1547" s="6"/>
      <c r="C1547" s="33" t="str">
        <f t="array" ref="C1547">IF(B1547="", "", XLOOKUP(B1547, Inventory!D:D,Inventory!E:E,"No Name Found"))</f>
        <v/>
      </c>
      <c r="D1547" s="6"/>
      <c r="E1547" s="6"/>
      <c r="F1547" s="6"/>
      <c r="G1547" s="24" t="str">
        <f>IF(F1547="", "", VLOOKUP(F1547, Inventory!A:BZ, 3, FALSE) - SUMIF($F$1:$F1546, F1547, $H$1:$H1546))
</f>
        <v/>
      </c>
      <c r="I1547" s="26"/>
      <c r="J1547" s="26" t="s">
        <v>77</v>
      </c>
      <c r="L1547" s="27" t="s">
        <v>77</v>
      </c>
      <c r="N1547" s="28" t="s">
        <v>77</v>
      </c>
      <c r="Q1547" s="30"/>
    </row>
    <row r="1548">
      <c r="B1548" s="6"/>
      <c r="C1548" s="33" t="str">
        <f t="array" ref="C1548">IF(B1548="", "", XLOOKUP(B1548, Inventory!D:D,Inventory!E:E,"No Name Found"))</f>
        <v/>
      </c>
      <c r="D1548" s="6"/>
      <c r="E1548" s="6"/>
      <c r="F1548" s="6"/>
      <c r="G1548" s="24" t="str">
        <f>IF(F1548="", "", VLOOKUP(F1548, Inventory!A:BZ, 3, FALSE) - SUMIF($F$1:$F1547, F1548, $H$1:$H1547))
</f>
        <v/>
      </c>
      <c r="I1548" s="26"/>
      <c r="J1548" s="26" t="s">
        <v>77</v>
      </c>
      <c r="L1548" s="27" t="s">
        <v>77</v>
      </c>
      <c r="N1548" s="28" t="s">
        <v>77</v>
      </c>
      <c r="Q1548" s="30"/>
    </row>
    <row r="1549">
      <c r="B1549" s="6"/>
      <c r="C1549" s="33" t="str">
        <f t="array" ref="C1549">IF(B1549="", "", XLOOKUP(B1549, Inventory!D:D,Inventory!E:E,"No Name Found"))</f>
        <v/>
      </c>
      <c r="D1549" s="6"/>
      <c r="E1549" s="6"/>
      <c r="F1549" s="6"/>
      <c r="G1549" s="24" t="str">
        <f>IF(F1549="", "", VLOOKUP(F1549, Inventory!A:BZ, 3, FALSE) - SUMIF($F$1:$F1548, F1549, $H$1:$H1548))
</f>
        <v/>
      </c>
      <c r="I1549" s="26"/>
      <c r="J1549" s="26" t="s">
        <v>77</v>
      </c>
      <c r="L1549" s="27" t="s">
        <v>77</v>
      </c>
      <c r="N1549" s="28" t="s">
        <v>77</v>
      </c>
      <c r="Q1549" s="30"/>
    </row>
    <row r="1550">
      <c r="B1550" s="6"/>
      <c r="C1550" s="33" t="str">
        <f t="array" ref="C1550">IF(B1550="", "", XLOOKUP(B1550, Inventory!D:D,Inventory!E:E,"No Name Found"))</f>
        <v/>
      </c>
      <c r="D1550" s="6"/>
      <c r="E1550" s="6"/>
      <c r="F1550" s="6"/>
      <c r="G1550" s="24" t="str">
        <f>IF(F1550="", "", VLOOKUP(F1550, Inventory!A:BZ, 3, FALSE) - SUMIF($F$1:$F1549, F1550, $H$1:$H1549))
</f>
        <v/>
      </c>
      <c r="I1550" s="26"/>
      <c r="J1550" s="26" t="s">
        <v>77</v>
      </c>
      <c r="L1550" s="27" t="s">
        <v>77</v>
      </c>
      <c r="N1550" s="28" t="s">
        <v>77</v>
      </c>
      <c r="Q1550" s="30"/>
    </row>
    <row r="1551">
      <c r="B1551" s="6"/>
      <c r="C1551" s="33" t="str">
        <f t="array" ref="C1551">IF(B1551="", "", XLOOKUP(B1551, Inventory!D:D,Inventory!E:E,"No Name Found"))</f>
        <v/>
      </c>
      <c r="D1551" s="6"/>
      <c r="E1551" s="6"/>
      <c r="F1551" s="6"/>
      <c r="G1551" s="24" t="str">
        <f>IF(F1551="", "", VLOOKUP(F1551, Inventory!A:BZ, 3, FALSE) - SUMIF($F$1:$F1550, F1551, $H$1:$H1550))
</f>
        <v/>
      </c>
      <c r="I1551" s="26"/>
      <c r="J1551" s="26" t="s">
        <v>77</v>
      </c>
      <c r="L1551" s="27" t="s">
        <v>77</v>
      </c>
      <c r="N1551" s="28" t="s">
        <v>77</v>
      </c>
      <c r="Q1551" s="30"/>
    </row>
    <row r="1552">
      <c r="B1552" s="6"/>
      <c r="C1552" s="33" t="str">
        <f t="array" ref="C1552">IF(B1552="", "", XLOOKUP(B1552, Inventory!D:D,Inventory!E:E,"No Name Found"))</f>
        <v/>
      </c>
      <c r="D1552" s="6"/>
      <c r="E1552" s="6"/>
      <c r="F1552" s="6"/>
      <c r="G1552" s="24" t="str">
        <f>IF(F1552="", "", VLOOKUP(F1552, Inventory!A:BZ, 3, FALSE) - SUMIF($F$1:$F1551, F1552, $H$1:$H1551))
</f>
        <v/>
      </c>
      <c r="I1552" s="26"/>
      <c r="J1552" s="26" t="s">
        <v>77</v>
      </c>
      <c r="L1552" s="27" t="s">
        <v>77</v>
      </c>
      <c r="N1552" s="28" t="s">
        <v>77</v>
      </c>
      <c r="Q1552" s="30"/>
    </row>
    <row r="1553">
      <c r="B1553" s="6"/>
      <c r="C1553" s="33" t="str">
        <f t="array" ref="C1553">IF(B1553="", "", XLOOKUP(B1553, Inventory!D:D,Inventory!E:E,"No Name Found"))</f>
        <v/>
      </c>
      <c r="D1553" s="6"/>
      <c r="E1553" s="6"/>
      <c r="F1553" s="6"/>
      <c r="G1553" s="24" t="str">
        <f>IF(F1553="", "", VLOOKUP(F1553, Inventory!A:BZ, 3, FALSE) - SUMIF($F$1:$F1552, F1553, $H$1:$H1552))
</f>
        <v/>
      </c>
      <c r="I1553" s="26"/>
      <c r="J1553" s="26" t="s">
        <v>77</v>
      </c>
      <c r="L1553" s="27" t="s">
        <v>77</v>
      </c>
      <c r="N1553" s="28" t="s">
        <v>77</v>
      </c>
      <c r="Q1553" s="30"/>
    </row>
    <row r="1554">
      <c r="B1554" s="6"/>
      <c r="C1554" s="33" t="str">
        <f t="array" ref="C1554">IF(B1554="", "", XLOOKUP(B1554, Inventory!D:D,Inventory!E:E,"No Name Found"))</f>
        <v/>
      </c>
      <c r="D1554" s="6"/>
      <c r="E1554" s="6"/>
      <c r="F1554" s="6"/>
      <c r="G1554" s="24" t="str">
        <f>IF(F1554="", "", VLOOKUP(F1554, Inventory!A:BZ, 3, FALSE) - SUMIF($F$1:$F1553, F1554, $H$1:$H1553))
</f>
        <v/>
      </c>
      <c r="I1554" s="26"/>
      <c r="J1554" s="26" t="s">
        <v>77</v>
      </c>
      <c r="L1554" s="27" t="s">
        <v>77</v>
      </c>
      <c r="N1554" s="28" t="s">
        <v>77</v>
      </c>
      <c r="Q1554" s="30"/>
    </row>
    <row r="1555">
      <c r="B1555" s="6"/>
      <c r="C1555" s="33" t="str">
        <f t="array" ref="C1555">IF(B1555="", "", XLOOKUP(B1555, Inventory!D:D,Inventory!E:E,"No Name Found"))</f>
        <v/>
      </c>
      <c r="D1555" s="6"/>
      <c r="E1555" s="6"/>
      <c r="F1555" s="6"/>
      <c r="G1555" s="24" t="str">
        <f>IF(F1555="", "", VLOOKUP(F1555, Inventory!A:BZ, 3, FALSE) - SUMIF($F$1:$F1554, F1555, $H$1:$H1554))
</f>
        <v/>
      </c>
      <c r="I1555" s="26"/>
      <c r="J1555" s="26" t="s">
        <v>77</v>
      </c>
      <c r="L1555" s="27" t="s">
        <v>77</v>
      </c>
      <c r="N1555" s="28" t="s">
        <v>77</v>
      </c>
      <c r="Q1555" s="30"/>
    </row>
    <row r="1556">
      <c r="B1556" s="6"/>
      <c r="C1556" s="33" t="str">
        <f t="array" ref="C1556">IF(B1556="", "", XLOOKUP(B1556, Inventory!D:D,Inventory!E:E,"No Name Found"))</f>
        <v/>
      </c>
      <c r="D1556" s="6"/>
      <c r="E1556" s="6"/>
      <c r="F1556" s="6"/>
      <c r="G1556" s="24" t="str">
        <f>IF(F1556="", "", VLOOKUP(F1556, Inventory!A:BZ, 3, FALSE) - SUMIF($F$1:$F1555, F1556, $H$1:$H1555))
</f>
        <v/>
      </c>
      <c r="I1556" s="26"/>
      <c r="J1556" s="26" t="s">
        <v>77</v>
      </c>
      <c r="L1556" s="27" t="s">
        <v>77</v>
      </c>
      <c r="N1556" s="28" t="s">
        <v>77</v>
      </c>
      <c r="Q1556" s="30"/>
    </row>
    <row r="1557">
      <c r="B1557" s="6"/>
      <c r="C1557" s="33" t="str">
        <f t="array" ref="C1557">IF(B1557="", "", XLOOKUP(B1557, Inventory!D:D,Inventory!E:E,"No Name Found"))</f>
        <v/>
      </c>
      <c r="D1557" s="6"/>
      <c r="E1557" s="6"/>
      <c r="F1557" s="6"/>
      <c r="G1557" s="24" t="str">
        <f>IF(F1557="", "", VLOOKUP(F1557, Inventory!A:BZ, 3, FALSE) - SUMIF($F$1:$F1556, F1557, $H$1:$H1556))
</f>
        <v/>
      </c>
      <c r="I1557" s="26"/>
      <c r="J1557" s="26" t="s">
        <v>77</v>
      </c>
      <c r="L1557" s="27" t="s">
        <v>77</v>
      </c>
      <c r="N1557" s="28" t="s">
        <v>77</v>
      </c>
      <c r="Q1557" s="30"/>
    </row>
    <row r="1558">
      <c r="B1558" s="6"/>
      <c r="C1558" s="33" t="str">
        <f t="array" ref="C1558">IF(B1558="", "", XLOOKUP(B1558, Inventory!D:D,Inventory!E:E,"No Name Found"))</f>
        <v/>
      </c>
      <c r="D1558" s="6"/>
      <c r="E1558" s="6"/>
      <c r="F1558" s="6"/>
      <c r="G1558" s="24" t="str">
        <f>IF(F1558="", "", VLOOKUP(F1558, Inventory!A:BZ, 3, FALSE) - SUMIF($F$1:$F1557, F1558, $H$1:$H1557))
</f>
        <v/>
      </c>
      <c r="I1558" s="26"/>
      <c r="J1558" s="26" t="s">
        <v>77</v>
      </c>
      <c r="L1558" s="27" t="s">
        <v>77</v>
      </c>
      <c r="N1558" s="28" t="s">
        <v>77</v>
      </c>
      <c r="Q1558" s="30"/>
    </row>
    <row r="1559">
      <c r="B1559" s="6"/>
      <c r="C1559" s="33" t="str">
        <f t="array" ref="C1559">IF(B1559="", "", XLOOKUP(B1559, Inventory!D:D,Inventory!E:E,"No Name Found"))</f>
        <v/>
      </c>
      <c r="D1559" s="6"/>
      <c r="E1559" s="6"/>
      <c r="F1559" s="6"/>
      <c r="G1559" s="24" t="str">
        <f>IF(F1559="", "", VLOOKUP(F1559, Inventory!A:BZ, 3, FALSE) - SUMIF($F$1:$F1558, F1559, $H$1:$H1558))
</f>
        <v/>
      </c>
      <c r="I1559" s="26"/>
      <c r="J1559" s="26" t="s">
        <v>77</v>
      </c>
      <c r="L1559" s="27" t="s">
        <v>77</v>
      </c>
      <c r="N1559" s="28" t="s">
        <v>77</v>
      </c>
      <c r="Q1559" s="30"/>
    </row>
    <row r="1560">
      <c r="B1560" s="6"/>
      <c r="C1560" s="33" t="str">
        <f t="array" ref="C1560">IF(B1560="", "", XLOOKUP(B1560, Inventory!D:D,Inventory!E:E,"No Name Found"))</f>
        <v/>
      </c>
      <c r="D1560" s="6"/>
      <c r="E1560" s="6"/>
      <c r="F1560" s="6"/>
      <c r="G1560" s="24" t="str">
        <f>IF(F1560="", "", VLOOKUP(F1560, Inventory!A:BZ, 3, FALSE) - SUMIF($F$1:$F1559, F1560, $H$1:$H1559))
</f>
        <v/>
      </c>
      <c r="I1560" s="26"/>
      <c r="J1560" s="26" t="s">
        <v>77</v>
      </c>
      <c r="L1560" s="27" t="s">
        <v>77</v>
      </c>
      <c r="N1560" s="28" t="s">
        <v>77</v>
      </c>
      <c r="Q1560" s="30"/>
    </row>
    <row r="1561">
      <c r="B1561" s="6"/>
      <c r="C1561" s="33" t="str">
        <f t="array" ref="C1561">IF(B1561="", "", XLOOKUP(B1561, Inventory!D:D,Inventory!E:E,"No Name Found"))</f>
        <v/>
      </c>
      <c r="D1561" s="6"/>
      <c r="E1561" s="6"/>
      <c r="F1561" s="6"/>
      <c r="G1561" s="24" t="str">
        <f>IF(F1561="", "", VLOOKUP(F1561, Inventory!A:BZ, 3, FALSE) - SUMIF($F$1:$F1560, F1561, $H$1:$H1560))
</f>
        <v/>
      </c>
      <c r="I1561" s="26"/>
      <c r="J1561" s="26" t="s">
        <v>77</v>
      </c>
      <c r="L1561" s="27" t="s">
        <v>77</v>
      </c>
      <c r="N1561" s="28" t="s">
        <v>77</v>
      </c>
      <c r="Q1561" s="30"/>
    </row>
    <row r="1562">
      <c r="B1562" s="6"/>
      <c r="C1562" s="33" t="str">
        <f t="array" ref="C1562">IF(B1562="", "", XLOOKUP(B1562, Inventory!D:D,Inventory!E:E,"No Name Found"))</f>
        <v/>
      </c>
      <c r="D1562" s="6"/>
      <c r="E1562" s="6"/>
      <c r="F1562" s="6"/>
      <c r="G1562" s="24" t="str">
        <f>IF(F1562="", "", VLOOKUP(F1562, Inventory!A:BZ, 3, FALSE) - SUMIF($F$1:$F1561, F1562, $H$1:$H1561))
</f>
        <v/>
      </c>
      <c r="I1562" s="26"/>
      <c r="J1562" s="26" t="s">
        <v>77</v>
      </c>
      <c r="L1562" s="27" t="s">
        <v>77</v>
      </c>
      <c r="N1562" s="28" t="s">
        <v>77</v>
      </c>
      <c r="Q1562" s="30"/>
    </row>
    <row r="1563">
      <c r="B1563" s="6"/>
      <c r="C1563" s="33" t="str">
        <f t="array" ref="C1563">IF(B1563="", "", XLOOKUP(B1563, Inventory!D:D,Inventory!E:E,"No Name Found"))</f>
        <v/>
      </c>
      <c r="D1563" s="6"/>
      <c r="E1563" s="6"/>
      <c r="F1563" s="6"/>
      <c r="G1563" s="24" t="str">
        <f>IF(F1563="", "", VLOOKUP(F1563, Inventory!A:BZ, 3, FALSE) - SUMIF($F$1:$F1562, F1563, $H$1:$H1562))
</f>
        <v/>
      </c>
      <c r="I1563" s="26"/>
      <c r="J1563" s="26" t="s">
        <v>77</v>
      </c>
      <c r="L1563" s="27" t="s">
        <v>77</v>
      </c>
      <c r="N1563" s="28" t="s">
        <v>77</v>
      </c>
      <c r="Q1563" s="30"/>
    </row>
    <row r="1564">
      <c r="B1564" s="6"/>
      <c r="C1564" s="33" t="str">
        <f t="array" ref="C1564">IF(B1564="", "", XLOOKUP(B1564, Inventory!D:D,Inventory!E:E,"No Name Found"))</f>
        <v/>
      </c>
      <c r="D1564" s="6"/>
      <c r="E1564" s="6"/>
      <c r="F1564" s="6"/>
      <c r="G1564" s="24" t="str">
        <f>IF(F1564="", "", VLOOKUP(F1564, Inventory!A:BZ, 3, FALSE) - SUMIF($F$1:$F1563, F1564, $H$1:$H1563))
</f>
        <v/>
      </c>
      <c r="I1564" s="26"/>
      <c r="J1564" s="26" t="s">
        <v>77</v>
      </c>
      <c r="L1564" s="27" t="s">
        <v>77</v>
      </c>
      <c r="N1564" s="28" t="s">
        <v>77</v>
      </c>
      <c r="Q1564" s="30"/>
    </row>
    <row r="1565">
      <c r="B1565" s="6"/>
      <c r="C1565" s="33" t="str">
        <f t="array" ref="C1565">IF(B1565="", "", XLOOKUP(B1565, Inventory!D:D,Inventory!E:E,"No Name Found"))</f>
        <v/>
      </c>
      <c r="D1565" s="6"/>
      <c r="E1565" s="6"/>
      <c r="F1565" s="6"/>
      <c r="G1565" s="24" t="str">
        <f>IF(F1565="", "", VLOOKUP(F1565, Inventory!A:BZ, 3, FALSE) - SUMIF($F$1:$F1564, F1565, $H$1:$H1564))
</f>
        <v/>
      </c>
      <c r="I1565" s="26"/>
      <c r="J1565" s="26" t="s">
        <v>77</v>
      </c>
      <c r="L1565" s="27" t="s">
        <v>77</v>
      </c>
      <c r="N1565" s="28" t="s">
        <v>77</v>
      </c>
      <c r="Q1565" s="30"/>
    </row>
    <row r="1566">
      <c r="B1566" s="6"/>
      <c r="C1566" s="33" t="str">
        <f t="array" ref="C1566">IF(B1566="", "", XLOOKUP(B1566, Inventory!D:D,Inventory!E:E,"No Name Found"))</f>
        <v/>
      </c>
      <c r="D1566" s="6"/>
      <c r="E1566" s="6"/>
      <c r="F1566" s="6"/>
      <c r="G1566" s="24" t="str">
        <f>IF(F1566="", "", VLOOKUP(F1566, Inventory!A:BZ, 3, FALSE) - SUMIF($F$1:$F1565, F1566, $H$1:$H1565))
</f>
        <v/>
      </c>
      <c r="I1566" s="26"/>
      <c r="J1566" s="26" t="s">
        <v>77</v>
      </c>
      <c r="L1566" s="27" t="s">
        <v>77</v>
      </c>
      <c r="N1566" s="28" t="s">
        <v>77</v>
      </c>
      <c r="Q1566" s="30"/>
    </row>
    <row r="1567">
      <c r="B1567" s="6"/>
      <c r="C1567" s="33" t="str">
        <f t="array" ref="C1567">IF(B1567="", "", XLOOKUP(B1567, Inventory!D:D,Inventory!E:E,"No Name Found"))</f>
        <v/>
      </c>
      <c r="D1567" s="6"/>
      <c r="E1567" s="6"/>
      <c r="F1567" s="6"/>
      <c r="G1567" s="24" t="str">
        <f>IF(F1567="", "", VLOOKUP(F1567, Inventory!A:BZ, 3, FALSE) - SUMIF($F$1:$F1566, F1567, $H$1:$H1566))
</f>
        <v/>
      </c>
      <c r="I1567" s="26"/>
      <c r="J1567" s="26" t="s">
        <v>77</v>
      </c>
      <c r="L1567" s="27" t="s">
        <v>77</v>
      </c>
      <c r="N1567" s="28" t="s">
        <v>77</v>
      </c>
      <c r="Q1567" s="30"/>
    </row>
    <row r="1568">
      <c r="B1568" s="6"/>
      <c r="C1568" s="33" t="str">
        <f t="array" ref="C1568">IF(B1568="", "", XLOOKUP(B1568, Inventory!D:D,Inventory!E:E,"No Name Found"))</f>
        <v/>
      </c>
      <c r="D1568" s="6"/>
      <c r="E1568" s="6"/>
      <c r="F1568" s="6"/>
      <c r="G1568" s="24" t="str">
        <f>IF(F1568="", "", VLOOKUP(F1568, Inventory!A:BZ, 3, FALSE) - SUMIF($F$1:$F1567, F1568, $H$1:$H1567))
</f>
        <v/>
      </c>
      <c r="I1568" s="26"/>
      <c r="J1568" s="26" t="s">
        <v>77</v>
      </c>
      <c r="L1568" s="27" t="s">
        <v>77</v>
      </c>
      <c r="N1568" s="28" t="s">
        <v>77</v>
      </c>
      <c r="Q1568" s="30"/>
    </row>
    <row r="1569">
      <c r="B1569" s="6"/>
      <c r="C1569" s="33" t="str">
        <f t="array" ref="C1569">IF(B1569="", "", XLOOKUP(B1569, Inventory!D:D,Inventory!E:E,"No Name Found"))</f>
        <v/>
      </c>
      <c r="D1569" s="6"/>
      <c r="E1569" s="6"/>
      <c r="F1569" s="6"/>
      <c r="G1569" s="24" t="str">
        <f>IF(F1569="", "", VLOOKUP(F1569, Inventory!A:BZ, 3, FALSE) - SUMIF($F$1:$F1568, F1569, $H$1:$H1568))
</f>
        <v/>
      </c>
      <c r="I1569" s="26"/>
      <c r="J1569" s="26" t="s">
        <v>77</v>
      </c>
      <c r="L1569" s="27" t="s">
        <v>77</v>
      </c>
      <c r="N1569" s="28" t="s">
        <v>77</v>
      </c>
      <c r="Q1569" s="30"/>
    </row>
    <row r="1570">
      <c r="B1570" s="6"/>
      <c r="C1570" s="33" t="str">
        <f t="array" ref="C1570">IF(B1570="", "", XLOOKUP(B1570, Inventory!D:D,Inventory!E:E,"No Name Found"))</f>
        <v/>
      </c>
      <c r="D1570" s="6"/>
      <c r="E1570" s="6"/>
      <c r="F1570" s="6"/>
      <c r="G1570" s="24" t="str">
        <f>IF(F1570="", "", VLOOKUP(F1570, Inventory!A:BZ, 3, FALSE) - SUMIF($F$1:$F1569, F1570, $H$1:$H1569))
</f>
        <v/>
      </c>
      <c r="I1570" s="26"/>
      <c r="J1570" s="26" t="s">
        <v>77</v>
      </c>
      <c r="L1570" s="27" t="s">
        <v>77</v>
      </c>
      <c r="N1570" s="28" t="s">
        <v>77</v>
      </c>
      <c r="Q1570" s="30"/>
    </row>
    <row r="1571">
      <c r="B1571" s="6"/>
      <c r="C1571" s="33" t="str">
        <f t="array" ref="C1571">IF(B1571="", "", XLOOKUP(B1571, Inventory!D:D,Inventory!E:E,"No Name Found"))</f>
        <v/>
      </c>
      <c r="D1571" s="6"/>
      <c r="E1571" s="6"/>
      <c r="F1571" s="6"/>
      <c r="G1571" s="24" t="str">
        <f>IF(F1571="", "", VLOOKUP(F1571, Inventory!A:BZ, 3, FALSE) - SUMIF($F$1:$F1570, F1571, $H$1:$H1570))
</f>
        <v/>
      </c>
      <c r="I1571" s="26"/>
      <c r="J1571" s="26" t="s">
        <v>77</v>
      </c>
      <c r="L1571" s="27" t="s">
        <v>77</v>
      </c>
      <c r="N1571" s="28" t="s">
        <v>77</v>
      </c>
      <c r="Q1571" s="30"/>
    </row>
    <row r="1572">
      <c r="B1572" s="6"/>
      <c r="C1572" s="33" t="str">
        <f t="array" ref="C1572">IF(B1572="", "", XLOOKUP(B1572, Inventory!D:D,Inventory!E:E,"No Name Found"))</f>
        <v/>
      </c>
      <c r="D1572" s="6"/>
      <c r="E1572" s="6"/>
      <c r="F1572" s="6"/>
      <c r="G1572" s="24" t="str">
        <f>IF(F1572="", "", VLOOKUP(F1572, Inventory!A:BZ, 3, FALSE) - SUMIF($F$1:$F1571, F1572, $H$1:$H1571))
</f>
        <v/>
      </c>
      <c r="I1572" s="26"/>
      <c r="J1572" s="26" t="s">
        <v>77</v>
      </c>
      <c r="L1572" s="27" t="s">
        <v>77</v>
      </c>
      <c r="N1572" s="28" t="s">
        <v>77</v>
      </c>
      <c r="Q1572" s="30"/>
    </row>
    <row r="1573">
      <c r="B1573" s="6"/>
      <c r="C1573" s="33" t="str">
        <f t="array" ref="C1573">IF(B1573="", "", XLOOKUP(B1573, Inventory!D:D,Inventory!E:E,"No Name Found"))</f>
        <v/>
      </c>
      <c r="D1573" s="6"/>
      <c r="E1573" s="6"/>
      <c r="F1573" s="6"/>
      <c r="G1573" s="24" t="str">
        <f>IF(F1573="", "", VLOOKUP(F1573, Inventory!A:BZ, 3, FALSE) - SUMIF($F$1:$F1572, F1573, $H$1:$H1572))
</f>
        <v/>
      </c>
      <c r="I1573" s="26"/>
      <c r="J1573" s="26" t="s">
        <v>77</v>
      </c>
      <c r="L1573" s="27" t="s">
        <v>77</v>
      </c>
      <c r="N1573" s="28" t="s">
        <v>77</v>
      </c>
      <c r="Q1573" s="30"/>
    </row>
    <row r="1574">
      <c r="B1574" s="6"/>
      <c r="C1574" s="33" t="str">
        <f t="array" ref="C1574">IF(B1574="", "", XLOOKUP(B1574, Inventory!D:D,Inventory!E:E,"No Name Found"))</f>
        <v/>
      </c>
      <c r="D1574" s="6"/>
      <c r="E1574" s="6"/>
      <c r="F1574" s="6"/>
      <c r="G1574" s="24" t="str">
        <f>IF(F1574="", "", VLOOKUP(F1574, Inventory!A:BZ, 3, FALSE) - SUMIF($F$1:$F1573, F1574, $H$1:$H1573))
</f>
        <v/>
      </c>
      <c r="I1574" s="26"/>
      <c r="J1574" s="26" t="s">
        <v>77</v>
      </c>
      <c r="L1574" s="27" t="s">
        <v>77</v>
      </c>
      <c r="N1574" s="28" t="s">
        <v>77</v>
      </c>
      <c r="Q1574" s="30"/>
    </row>
    <row r="1575">
      <c r="B1575" s="6"/>
      <c r="C1575" s="33" t="str">
        <f t="array" ref="C1575">IF(B1575="", "", XLOOKUP(B1575, Inventory!D:D,Inventory!E:E,"No Name Found"))</f>
        <v/>
      </c>
      <c r="D1575" s="6"/>
      <c r="E1575" s="6"/>
      <c r="F1575" s="6"/>
      <c r="G1575" s="24" t="str">
        <f>IF(F1575="", "", VLOOKUP(F1575, Inventory!A:BZ, 3, FALSE) - SUMIF($F$1:$F1574, F1575, $H$1:$H1574))
</f>
        <v/>
      </c>
      <c r="I1575" s="26"/>
      <c r="J1575" s="26" t="s">
        <v>77</v>
      </c>
      <c r="L1575" s="27" t="s">
        <v>77</v>
      </c>
      <c r="N1575" s="28" t="s">
        <v>77</v>
      </c>
      <c r="Q1575" s="30"/>
    </row>
    <row r="1576">
      <c r="B1576" s="6"/>
      <c r="C1576" s="33" t="str">
        <f t="array" ref="C1576">IF(B1576="", "", XLOOKUP(B1576, Inventory!D:D,Inventory!E:E,"No Name Found"))</f>
        <v/>
      </c>
      <c r="D1576" s="6"/>
      <c r="E1576" s="6"/>
      <c r="F1576" s="6"/>
      <c r="G1576" s="24" t="str">
        <f>IF(F1576="", "", VLOOKUP(F1576, Inventory!A:BZ, 3, FALSE) - SUMIF($F$1:$F1575, F1576, $H$1:$H1575))
</f>
        <v/>
      </c>
      <c r="I1576" s="26"/>
      <c r="J1576" s="26" t="s">
        <v>77</v>
      </c>
      <c r="L1576" s="27" t="s">
        <v>77</v>
      </c>
      <c r="N1576" s="28" t="s">
        <v>77</v>
      </c>
      <c r="Q1576" s="30"/>
    </row>
    <row r="1577">
      <c r="B1577" s="6"/>
      <c r="C1577" s="33" t="str">
        <f t="array" ref="C1577">IF(B1577="", "", XLOOKUP(B1577, Inventory!D:D,Inventory!E:E,"No Name Found"))</f>
        <v/>
      </c>
      <c r="D1577" s="6"/>
      <c r="E1577" s="6"/>
      <c r="F1577" s="6"/>
      <c r="G1577" s="24" t="str">
        <f>IF(F1577="", "", VLOOKUP(F1577, Inventory!A:BZ, 3, FALSE) - SUMIF($F$1:$F1576, F1577, $H$1:$H1576))
</f>
        <v/>
      </c>
      <c r="I1577" s="26"/>
      <c r="J1577" s="26" t="s">
        <v>77</v>
      </c>
      <c r="L1577" s="27" t="s">
        <v>77</v>
      </c>
      <c r="N1577" s="28" t="s">
        <v>77</v>
      </c>
      <c r="Q1577" s="30"/>
    </row>
    <row r="1578">
      <c r="B1578" s="6"/>
      <c r="C1578" s="33" t="str">
        <f t="array" ref="C1578">IF(B1578="", "", XLOOKUP(B1578, Inventory!D:D,Inventory!E:E,"No Name Found"))</f>
        <v/>
      </c>
      <c r="D1578" s="6"/>
      <c r="E1578" s="6"/>
      <c r="F1578" s="6"/>
      <c r="G1578" s="24" t="str">
        <f>IF(F1578="", "", VLOOKUP(F1578, Inventory!A:BZ, 3, FALSE) - SUMIF($F$1:$F1577, F1578, $H$1:$H1577))
</f>
        <v/>
      </c>
      <c r="I1578" s="26"/>
      <c r="J1578" s="26" t="s">
        <v>77</v>
      </c>
      <c r="L1578" s="27" t="s">
        <v>77</v>
      </c>
      <c r="N1578" s="28" t="s">
        <v>77</v>
      </c>
      <c r="Q1578" s="30"/>
    </row>
    <row r="1579">
      <c r="B1579" s="6"/>
      <c r="C1579" s="33" t="str">
        <f t="array" ref="C1579">IF(B1579="", "", XLOOKUP(B1579, Inventory!D:D,Inventory!E:E,"No Name Found"))</f>
        <v/>
      </c>
      <c r="D1579" s="6"/>
      <c r="E1579" s="6"/>
      <c r="F1579" s="6"/>
      <c r="G1579" s="24" t="str">
        <f>IF(F1579="", "", VLOOKUP(F1579, Inventory!A:BZ, 3, FALSE) - SUMIF($F$1:$F1578, F1579, $H$1:$H1578))
</f>
        <v/>
      </c>
      <c r="I1579" s="26"/>
      <c r="J1579" s="26" t="s">
        <v>77</v>
      </c>
      <c r="L1579" s="27" t="s">
        <v>77</v>
      </c>
      <c r="N1579" s="28" t="s">
        <v>77</v>
      </c>
      <c r="Q1579" s="30"/>
    </row>
    <row r="1580">
      <c r="B1580" s="6"/>
      <c r="C1580" s="33" t="str">
        <f t="array" ref="C1580">IF(B1580="", "", XLOOKUP(B1580, Inventory!D:D,Inventory!E:E,"No Name Found"))</f>
        <v/>
      </c>
      <c r="D1580" s="6"/>
      <c r="E1580" s="6"/>
      <c r="F1580" s="6"/>
      <c r="G1580" s="24" t="str">
        <f>IF(F1580="", "", VLOOKUP(F1580, Inventory!A:BZ, 3, FALSE) - SUMIF($F$1:$F1579, F1580, $H$1:$H1579))
</f>
        <v/>
      </c>
      <c r="I1580" s="26"/>
      <c r="J1580" s="26" t="s">
        <v>77</v>
      </c>
      <c r="L1580" s="27" t="s">
        <v>77</v>
      </c>
      <c r="N1580" s="28" t="s">
        <v>77</v>
      </c>
      <c r="Q1580" s="30"/>
    </row>
    <row r="1581">
      <c r="B1581" s="6"/>
      <c r="C1581" s="33" t="str">
        <f t="array" ref="C1581">IF(B1581="", "", XLOOKUP(B1581, Inventory!D:D,Inventory!E:E,"No Name Found"))</f>
        <v/>
      </c>
      <c r="D1581" s="6"/>
      <c r="E1581" s="6"/>
      <c r="F1581" s="6"/>
      <c r="G1581" s="24" t="str">
        <f>IF(F1581="", "", VLOOKUP(F1581, Inventory!A:BZ, 3, FALSE) - SUMIF($F$1:$F1580, F1581, $H$1:$H1580))
</f>
        <v/>
      </c>
      <c r="I1581" s="26"/>
      <c r="J1581" s="26" t="s">
        <v>77</v>
      </c>
      <c r="L1581" s="27" t="s">
        <v>77</v>
      </c>
      <c r="N1581" s="28" t="s">
        <v>77</v>
      </c>
      <c r="Q1581" s="30"/>
    </row>
    <row r="1582">
      <c r="B1582" s="6"/>
      <c r="C1582" s="33" t="str">
        <f t="array" ref="C1582">IF(B1582="", "", XLOOKUP(B1582, Inventory!D:D,Inventory!E:E,"No Name Found"))</f>
        <v/>
      </c>
      <c r="D1582" s="6"/>
      <c r="E1582" s="6"/>
      <c r="F1582" s="6"/>
      <c r="G1582" s="24" t="str">
        <f>IF(F1582="", "", VLOOKUP(F1582, Inventory!A:BZ, 3, FALSE) - SUMIF($F$1:$F1581, F1582, $H$1:$H1581))
</f>
        <v/>
      </c>
      <c r="I1582" s="26"/>
      <c r="J1582" s="26" t="s">
        <v>77</v>
      </c>
      <c r="L1582" s="27" t="s">
        <v>77</v>
      </c>
      <c r="N1582" s="28" t="s">
        <v>77</v>
      </c>
      <c r="Q1582" s="30"/>
    </row>
    <row r="1583">
      <c r="B1583" s="6"/>
      <c r="C1583" s="33" t="str">
        <f t="array" ref="C1583">IF(B1583="", "", XLOOKUP(B1583, Inventory!D:D,Inventory!E:E,"No Name Found"))</f>
        <v/>
      </c>
      <c r="D1583" s="6"/>
      <c r="E1583" s="6"/>
      <c r="F1583" s="6"/>
      <c r="G1583" s="24" t="str">
        <f>IF(F1583="", "", VLOOKUP(F1583, Inventory!A:BZ, 3, FALSE) - SUMIF($F$1:$F1582, F1583, $H$1:$H1582))
</f>
        <v/>
      </c>
      <c r="I1583" s="26"/>
      <c r="J1583" s="26" t="s">
        <v>77</v>
      </c>
      <c r="L1583" s="27" t="s">
        <v>77</v>
      </c>
      <c r="N1583" s="28" t="s">
        <v>77</v>
      </c>
      <c r="Q1583" s="30"/>
    </row>
    <row r="1584">
      <c r="B1584" s="6"/>
      <c r="C1584" s="33" t="str">
        <f t="array" ref="C1584">IF(B1584="", "", XLOOKUP(B1584, Inventory!D:D,Inventory!E:E,"No Name Found"))</f>
        <v/>
      </c>
      <c r="D1584" s="6"/>
      <c r="E1584" s="6"/>
      <c r="F1584" s="6"/>
      <c r="G1584" s="24" t="str">
        <f>IF(F1584="", "", VLOOKUP(F1584, Inventory!A:BZ, 3, FALSE) - SUMIF($F$1:$F1583, F1584, $H$1:$H1583))
</f>
        <v/>
      </c>
      <c r="I1584" s="26"/>
      <c r="J1584" s="26" t="s">
        <v>77</v>
      </c>
      <c r="L1584" s="27" t="s">
        <v>77</v>
      </c>
      <c r="N1584" s="28" t="s">
        <v>77</v>
      </c>
      <c r="Q1584" s="30"/>
    </row>
    <row r="1585">
      <c r="B1585" s="6"/>
      <c r="C1585" s="33" t="str">
        <f t="array" ref="C1585">IF(B1585="", "", XLOOKUP(B1585, Inventory!D:D,Inventory!E:E,"No Name Found"))</f>
        <v/>
      </c>
      <c r="D1585" s="6"/>
      <c r="E1585" s="6"/>
      <c r="F1585" s="6"/>
      <c r="G1585" s="24" t="str">
        <f>IF(F1585="", "", VLOOKUP(F1585, Inventory!A:BZ, 3, FALSE) - SUMIF($F$1:$F1584, F1585, $H$1:$H1584))
</f>
        <v/>
      </c>
      <c r="I1585" s="26"/>
      <c r="J1585" s="26" t="s">
        <v>77</v>
      </c>
      <c r="L1585" s="27" t="s">
        <v>77</v>
      </c>
      <c r="N1585" s="28" t="s">
        <v>77</v>
      </c>
      <c r="Q1585" s="30"/>
    </row>
    <row r="1586">
      <c r="B1586" s="6"/>
      <c r="C1586" s="33" t="str">
        <f t="array" ref="C1586">IF(B1586="", "", XLOOKUP(B1586, Inventory!D:D,Inventory!E:E,"No Name Found"))</f>
        <v/>
      </c>
      <c r="D1586" s="6"/>
      <c r="E1586" s="6"/>
      <c r="F1586" s="6"/>
      <c r="G1586" s="24" t="str">
        <f>IF(F1586="", "", VLOOKUP(F1586, Inventory!A:BZ, 3, FALSE) - SUMIF($F$1:$F1585, F1586, $H$1:$H1585))
</f>
        <v/>
      </c>
      <c r="I1586" s="26"/>
      <c r="J1586" s="26" t="s">
        <v>77</v>
      </c>
      <c r="L1586" s="27" t="s">
        <v>77</v>
      </c>
      <c r="N1586" s="28" t="s">
        <v>77</v>
      </c>
      <c r="Q1586" s="30"/>
    </row>
    <row r="1587">
      <c r="B1587" s="6"/>
      <c r="C1587" s="33" t="str">
        <f t="array" ref="C1587">IF(B1587="", "", XLOOKUP(B1587, Inventory!D:D,Inventory!E:E,"No Name Found"))</f>
        <v/>
      </c>
      <c r="D1587" s="6"/>
      <c r="E1587" s="6"/>
      <c r="F1587" s="6"/>
      <c r="G1587" s="24" t="str">
        <f>IF(F1587="", "", VLOOKUP(F1587, Inventory!A:BZ, 3, FALSE) - SUMIF($F$1:$F1586, F1587, $H$1:$H1586))
</f>
        <v/>
      </c>
      <c r="I1587" s="26"/>
      <c r="J1587" s="26" t="s">
        <v>77</v>
      </c>
      <c r="L1587" s="27" t="s">
        <v>77</v>
      </c>
      <c r="N1587" s="28" t="s">
        <v>77</v>
      </c>
      <c r="Q1587" s="30"/>
    </row>
    <row r="1588">
      <c r="B1588" s="6"/>
      <c r="C1588" s="33" t="str">
        <f t="array" ref="C1588">IF(B1588="", "", XLOOKUP(B1588, Inventory!D:D,Inventory!E:E,"No Name Found"))</f>
        <v/>
      </c>
      <c r="D1588" s="6"/>
      <c r="E1588" s="6"/>
      <c r="F1588" s="6"/>
      <c r="G1588" s="24" t="str">
        <f>IF(F1588="", "", VLOOKUP(F1588, Inventory!A:BZ, 3, FALSE) - SUMIF($F$1:$F1587, F1588, $H$1:$H1587))
</f>
        <v/>
      </c>
      <c r="I1588" s="26"/>
      <c r="J1588" s="26" t="s">
        <v>77</v>
      </c>
      <c r="L1588" s="27" t="s">
        <v>77</v>
      </c>
      <c r="N1588" s="28" t="s">
        <v>77</v>
      </c>
      <c r="Q1588" s="30"/>
    </row>
    <row r="1589">
      <c r="B1589" s="6"/>
      <c r="C1589" s="33" t="str">
        <f t="array" ref="C1589">IF(B1589="", "", XLOOKUP(B1589, Inventory!D:D,Inventory!E:E,"No Name Found"))</f>
        <v/>
      </c>
      <c r="D1589" s="6"/>
      <c r="E1589" s="6"/>
      <c r="F1589" s="6"/>
      <c r="G1589" s="24" t="str">
        <f>IF(F1589="", "", VLOOKUP(F1589, Inventory!A:BZ, 3, FALSE) - SUMIF($F$1:$F1588, F1589, $H$1:$H1588))
</f>
        <v/>
      </c>
      <c r="I1589" s="26"/>
      <c r="J1589" s="26" t="s">
        <v>77</v>
      </c>
      <c r="L1589" s="27" t="s">
        <v>77</v>
      </c>
      <c r="N1589" s="28" t="s">
        <v>77</v>
      </c>
      <c r="Q1589" s="30"/>
    </row>
    <row r="1590">
      <c r="B1590" s="6"/>
      <c r="C1590" s="33" t="str">
        <f t="array" ref="C1590">IF(B1590="", "", XLOOKUP(B1590, Inventory!D:D,Inventory!E:E,"No Name Found"))</f>
        <v/>
      </c>
      <c r="D1590" s="6"/>
      <c r="E1590" s="6"/>
      <c r="F1590" s="6"/>
      <c r="G1590" s="24" t="str">
        <f>IF(F1590="", "", VLOOKUP(F1590, Inventory!A:BZ, 3, FALSE) - SUMIF($F$1:$F1589, F1590, $H$1:$H1589))
</f>
        <v/>
      </c>
      <c r="I1590" s="26"/>
      <c r="J1590" s="26" t="s">
        <v>77</v>
      </c>
      <c r="L1590" s="27" t="s">
        <v>77</v>
      </c>
      <c r="N1590" s="28" t="s">
        <v>77</v>
      </c>
      <c r="Q1590" s="30"/>
    </row>
    <row r="1591">
      <c r="B1591" s="6"/>
      <c r="C1591" s="33" t="str">
        <f t="array" ref="C1591">IF(B1591="", "", XLOOKUP(B1591, Inventory!D:D,Inventory!E:E,"No Name Found"))</f>
        <v/>
      </c>
      <c r="D1591" s="6"/>
      <c r="E1591" s="6"/>
      <c r="F1591" s="6"/>
      <c r="G1591" s="24" t="str">
        <f>IF(F1591="", "", VLOOKUP(F1591, Inventory!A:BZ, 3, FALSE) - SUMIF($F$1:$F1590, F1591, $H$1:$H1590))
</f>
        <v/>
      </c>
      <c r="I1591" s="26"/>
      <c r="J1591" s="26" t="s">
        <v>77</v>
      </c>
      <c r="L1591" s="27" t="s">
        <v>77</v>
      </c>
      <c r="N1591" s="28" t="s">
        <v>77</v>
      </c>
      <c r="Q1591" s="30"/>
    </row>
    <row r="1592">
      <c r="B1592" s="6"/>
      <c r="C1592" s="33" t="str">
        <f t="array" ref="C1592">IF(B1592="", "", XLOOKUP(B1592, Inventory!D:D,Inventory!E:E,"No Name Found"))</f>
        <v/>
      </c>
      <c r="D1592" s="6"/>
      <c r="E1592" s="6"/>
      <c r="F1592" s="6"/>
      <c r="G1592" s="24" t="str">
        <f>IF(F1592="", "", VLOOKUP(F1592, Inventory!A:BZ, 3, FALSE) - SUMIF($F$1:$F1591, F1592, $H$1:$H1591))
</f>
        <v/>
      </c>
      <c r="I1592" s="26"/>
      <c r="J1592" s="26" t="s">
        <v>77</v>
      </c>
      <c r="L1592" s="27" t="s">
        <v>77</v>
      </c>
      <c r="N1592" s="28" t="s">
        <v>77</v>
      </c>
      <c r="Q1592" s="30"/>
    </row>
    <row r="1593">
      <c r="B1593" s="6"/>
      <c r="C1593" s="33" t="str">
        <f t="array" ref="C1593">IF(B1593="", "", XLOOKUP(B1593, Inventory!D:D,Inventory!E:E,"No Name Found"))</f>
        <v/>
      </c>
      <c r="D1593" s="6"/>
      <c r="E1593" s="6"/>
      <c r="F1593" s="6"/>
      <c r="G1593" s="24" t="str">
        <f>IF(F1593="", "", VLOOKUP(F1593, Inventory!A:BZ, 3, FALSE) - SUMIF($F$1:$F1592, F1593, $H$1:$H1592))
</f>
        <v/>
      </c>
      <c r="I1593" s="26"/>
      <c r="J1593" s="26" t="s">
        <v>77</v>
      </c>
      <c r="L1593" s="27" t="s">
        <v>77</v>
      </c>
      <c r="N1593" s="28" t="s">
        <v>77</v>
      </c>
      <c r="Q1593" s="30"/>
    </row>
    <row r="1594">
      <c r="B1594" s="6"/>
      <c r="C1594" s="33" t="str">
        <f t="array" ref="C1594">IF(B1594="", "", XLOOKUP(B1594, Inventory!D:D,Inventory!E:E,"No Name Found"))</f>
        <v/>
      </c>
      <c r="D1594" s="6"/>
      <c r="E1594" s="6"/>
      <c r="F1594" s="6"/>
      <c r="G1594" s="24" t="str">
        <f>IF(F1594="", "", VLOOKUP(F1594, Inventory!A:BZ, 3, FALSE) - SUMIF($F$1:$F1593, F1594, $H$1:$H1593))
</f>
        <v/>
      </c>
      <c r="I1594" s="26"/>
      <c r="J1594" s="26" t="s">
        <v>77</v>
      </c>
      <c r="L1594" s="27" t="s">
        <v>77</v>
      </c>
      <c r="N1594" s="28" t="s">
        <v>77</v>
      </c>
      <c r="Q1594" s="30"/>
    </row>
    <row r="1595">
      <c r="B1595" s="6"/>
      <c r="C1595" s="33" t="str">
        <f t="array" ref="C1595">IF(B1595="", "", XLOOKUP(B1595, Inventory!D:D,Inventory!E:E,"No Name Found"))</f>
        <v/>
      </c>
      <c r="D1595" s="6"/>
      <c r="E1595" s="6"/>
      <c r="F1595" s="6"/>
      <c r="G1595" s="24" t="str">
        <f>IF(F1595="", "", VLOOKUP(F1595, Inventory!A:BZ, 3, FALSE) - SUMIF($F$1:$F1594, F1595, $H$1:$H1594))
</f>
        <v/>
      </c>
      <c r="I1595" s="26"/>
      <c r="J1595" s="26" t="s">
        <v>77</v>
      </c>
      <c r="L1595" s="27" t="s">
        <v>77</v>
      </c>
      <c r="N1595" s="28" t="s">
        <v>77</v>
      </c>
      <c r="Q1595" s="30"/>
    </row>
    <row r="1596">
      <c r="B1596" s="6"/>
      <c r="C1596" s="33" t="str">
        <f t="array" ref="C1596">IF(B1596="", "", XLOOKUP(B1596, Inventory!D:D,Inventory!E:E,"No Name Found"))</f>
        <v/>
      </c>
      <c r="D1596" s="6"/>
      <c r="E1596" s="6"/>
      <c r="F1596" s="6"/>
      <c r="G1596" s="24" t="str">
        <f>IF(F1596="", "", VLOOKUP(F1596, Inventory!A:BZ, 3, FALSE) - SUMIF($F$1:$F1595, F1596, $H$1:$H1595))
</f>
        <v/>
      </c>
      <c r="I1596" s="26"/>
      <c r="J1596" s="26" t="s">
        <v>77</v>
      </c>
      <c r="L1596" s="27" t="s">
        <v>77</v>
      </c>
      <c r="N1596" s="28" t="s">
        <v>77</v>
      </c>
      <c r="Q1596" s="30"/>
    </row>
    <row r="1597">
      <c r="B1597" s="6"/>
      <c r="C1597" s="33" t="str">
        <f t="array" ref="C1597">IF(B1597="", "", XLOOKUP(B1597, Inventory!D:D,Inventory!E:E,"No Name Found"))</f>
        <v/>
      </c>
      <c r="D1597" s="6"/>
      <c r="E1597" s="6"/>
      <c r="F1597" s="6"/>
      <c r="G1597" s="24" t="str">
        <f>IF(F1597="", "", VLOOKUP(F1597, Inventory!A:BZ, 3, FALSE) - SUMIF($F$1:$F1596, F1597, $H$1:$H1596))
</f>
        <v/>
      </c>
      <c r="I1597" s="26"/>
      <c r="J1597" s="26" t="s">
        <v>77</v>
      </c>
      <c r="L1597" s="27" t="s">
        <v>77</v>
      </c>
      <c r="N1597" s="28" t="s">
        <v>77</v>
      </c>
      <c r="Q1597" s="30"/>
    </row>
    <row r="1598">
      <c r="B1598" s="6"/>
      <c r="C1598" s="33" t="str">
        <f t="array" ref="C1598">IF(B1598="", "", XLOOKUP(B1598, Inventory!D:D,Inventory!E:E,"No Name Found"))</f>
        <v/>
      </c>
      <c r="D1598" s="6"/>
      <c r="E1598" s="6"/>
      <c r="F1598" s="6"/>
      <c r="G1598" s="24" t="str">
        <f>IF(F1598="", "", VLOOKUP(F1598, Inventory!A:BZ, 3, FALSE) - SUMIF($F$1:$F1597, F1598, $H$1:$H1597))
</f>
        <v/>
      </c>
      <c r="I1598" s="26"/>
      <c r="J1598" s="26" t="s">
        <v>77</v>
      </c>
      <c r="L1598" s="27" t="s">
        <v>77</v>
      </c>
      <c r="N1598" s="28" t="s">
        <v>77</v>
      </c>
      <c r="Q1598" s="30"/>
    </row>
    <row r="1599">
      <c r="B1599" s="6"/>
      <c r="C1599" s="33" t="str">
        <f t="array" ref="C1599">IF(B1599="", "", XLOOKUP(B1599, Inventory!D:D,Inventory!E:E,"No Name Found"))</f>
        <v/>
      </c>
      <c r="D1599" s="6"/>
      <c r="E1599" s="6"/>
      <c r="F1599" s="6"/>
      <c r="G1599" s="24" t="str">
        <f>IF(F1599="", "", VLOOKUP(F1599, Inventory!A:BZ, 3, FALSE) - SUMIF($F$1:$F1598, F1599, $H$1:$H1598))
</f>
        <v/>
      </c>
      <c r="I1599" s="26"/>
      <c r="J1599" s="26" t="s">
        <v>77</v>
      </c>
      <c r="L1599" s="27" t="s">
        <v>77</v>
      </c>
      <c r="N1599" s="28" t="s">
        <v>77</v>
      </c>
      <c r="Q1599" s="30"/>
    </row>
    <row r="1600">
      <c r="B1600" s="6"/>
      <c r="C1600" s="33" t="str">
        <f t="array" ref="C1600">IF(B1600="", "", XLOOKUP(B1600, Inventory!D:D,Inventory!E:E,"No Name Found"))</f>
        <v/>
      </c>
      <c r="D1600" s="6"/>
      <c r="E1600" s="6"/>
      <c r="F1600" s="6"/>
      <c r="G1600" s="24" t="str">
        <f>IF(F1600="", "", VLOOKUP(F1600, Inventory!A:BZ, 3, FALSE) - SUMIF($F$1:$F1599, F1600, $H$1:$H1599))
</f>
        <v/>
      </c>
      <c r="I1600" s="26"/>
      <c r="J1600" s="26" t="s">
        <v>77</v>
      </c>
      <c r="L1600" s="27" t="s">
        <v>77</v>
      </c>
      <c r="N1600" s="28" t="s">
        <v>77</v>
      </c>
      <c r="Q1600" s="30"/>
    </row>
    <row r="1601">
      <c r="B1601" s="6"/>
      <c r="C1601" s="33" t="str">
        <f t="array" ref="C1601">IF(B1601="", "", XLOOKUP(B1601, Inventory!D:D,Inventory!E:E,"No Name Found"))</f>
        <v/>
      </c>
      <c r="D1601" s="6"/>
      <c r="E1601" s="6"/>
      <c r="F1601" s="6"/>
      <c r="G1601" s="24" t="str">
        <f>IF(F1601="", "", VLOOKUP(F1601, Inventory!A:BZ, 3, FALSE) - SUMIF($F$1:$F1600, F1601, $H$1:$H1600))
</f>
        <v/>
      </c>
      <c r="I1601" s="26"/>
      <c r="J1601" s="26" t="s">
        <v>77</v>
      </c>
      <c r="L1601" s="27" t="s">
        <v>77</v>
      </c>
      <c r="N1601" s="28" t="s">
        <v>77</v>
      </c>
      <c r="Q1601" s="30"/>
    </row>
    <row r="1602">
      <c r="B1602" s="6"/>
      <c r="C1602" s="33" t="str">
        <f t="array" ref="C1602">IF(B1602="", "", XLOOKUP(B1602, Inventory!D:D,Inventory!E:E,"No Name Found"))</f>
        <v/>
      </c>
      <c r="D1602" s="6"/>
      <c r="E1602" s="6"/>
      <c r="F1602" s="6"/>
      <c r="G1602" s="24" t="str">
        <f>IF(F1602="", "", VLOOKUP(F1602, Inventory!A:BZ, 3, FALSE) - SUMIF($F$1:$F1601, F1602, $H$1:$H1601))
</f>
        <v/>
      </c>
      <c r="I1602" s="26"/>
      <c r="J1602" s="26" t="s">
        <v>77</v>
      </c>
      <c r="L1602" s="27" t="s">
        <v>77</v>
      </c>
      <c r="N1602" s="28" t="s">
        <v>77</v>
      </c>
      <c r="Q1602" s="30"/>
    </row>
    <row r="1603">
      <c r="B1603" s="6"/>
      <c r="C1603" s="33" t="str">
        <f t="array" ref="C1603">IF(B1603="", "", XLOOKUP(B1603, Inventory!D:D,Inventory!E:E,"No Name Found"))</f>
        <v/>
      </c>
      <c r="D1603" s="6"/>
      <c r="E1603" s="6"/>
      <c r="F1603" s="6"/>
      <c r="G1603" s="24" t="str">
        <f>IF(F1603="", "", VLOOKUP(F1603, Inventory!A:BZ, 3, FALSE) - SUMIF($F$1:$F1602, F1603, $H$1:$H1602))
</f>
        <v/>
      </c>
      <c r="I1603" s="26"/>
      <c r="J1603" s="26" t="s">
        <v>77</v>
      </c>
      <c r="L1603" s="27" t="s">
        <v>77</v>
      </c>
      <c r="N1603" s="28" t="s">
        <v>77</v>
      </c>
      <c r="Q1603" s="30"/>
    </row>
    <row r="1604">
      <c r="B1604" s="6"/>
      <c r="C1604" s="33" t="str">
        <f t="array" ref="C1604">IF(B1604="", "", XLOOKUP(B1604, Inventory!D:D,Inventory!E:E,"No Name Found"))</f>
        <v/>
      </c>
      <c r="D1604" s="6"/>
      <c r="E1604" s="6"/>
      <c r="F1604" s="6"/>
      <c r="G1604" s="24" t="str">
        <f>IF(F1604="", "", VLOOKUP(F1604, Inventory!A:BZ, 3, FALSE) - SUMIF($F$1:$F1603, F1604, $H$1:$H1603))
</f>
        <v/>
      </c>
      <c r="I1604" s="26"/>
      <c r="J1604" s="26" t="s">
        <v>77</v>
      </c>
      <c r="L1604" s="27" t="s">
        <v>77</v>
      </c>
      <c r="N1604" s="28" t="s">
        <v>77</v>
      </c>
      <c r="Q1604" s="30"/>
    </row>
    <row r="1605">
      <c r="B1605" s="6"/>
      <c r="C1605" s="33" t="str">
        <f t="array" ref="C1605">IF(B1605="", "", XLOOKUP(B1605, Inventory!D:D,Inventory!E:E,"No Name Found"))</f>
        <v/>
      </c>
      <c r="D1605" s="6"/>
      <c r="E1605" s="6"/>
      <c r="F1605" s="6"/>
      <c r="G1605" s="24" t="str">
        <f>IF(F1605="", "", VLOOKUP(F1605, Inventory!A:BZ, 3, FALSE) - SUMIF($F$1:$F1604, F1605, $H$1:$H1604))
</f>
        <v/>
      </c>
      <c r="I1605" s="26"/>
      <c r="J1605" s="26" t="s">
        <v>77</v>
      </c>
      <c r="L1605" s="27" t="s">
        <v>77</v>
      </c>
      <c r="N1605" s="28" t="s">
        <v>77</v>
      </c>
      <c r="Q1605" s="30"/>
    </row>
    <row r="1606">
      <c r="B1606" s="6"/>
      <c r="C1606" s="33" t="str">
        <f t="array" ref="C1606">IF(B1606="", "", XLOOKUP(B1606, Inventory!D:D,Inventory!E:E,"No Name Found"))</f>
        <v/>
      </c>
      <c r="D1606" s="6"/>
      <c r="E1606" s="6"/>
      <c r="F1606" s="6"/>
      <c r="G1606" s="24" t="str">
        <f>IF(F1606="", "", VLOOKUP(F1606, Inventory!A:BZ, 3, FALSE) - SUMIF($F$1:$F1605, F1606, $H$1:$H1605))
</f>
        <v/>
      </c>
      <c r="I1606" s="26"/>
      <c r="J1606" s="26" t="s">
        <v>77</v>
      </c>
      <c r="L1606" s="27" t="s">
        <v>77</v>
      </c>
      <c r="N1606" s="28" t="s">
        <v>77</v>
      </c>
      <c r="Q1606" s="30"/>
    </row>
    <row r="1607">
      <c r="B1607" s="6"/>
      <c r="C1607" s="33" t="str">
        <f t="array" ref="C1607">IF(B1607="", "", XLOOKUP(B1607, Inventory!D:D,Inventory!E:E,"No Name Found"))</f>
        <v/>
      </c>
      <c r="D1607" s="6"/>
      <c r="E1607" s="6"/>
      <c r="F1607" s="6"/>
      <c r="G1607" s="24" t="str">
        <f>IF(F1607="", "", VLOOKUP(F1607, Inventory!A:BZ, 3, FALSE) - SUMIF($F$1:$F1606, F1607, $H$1:$H1606))
</f>
        <v/>
      </c>
      <c r="I1607" s="26"/>
      <c r="J1607" s="26" t="s">
        <v>77</v>
      </c>
      <c r="L1607" s="27" t="s">
        <v>77</v>
      </c>
      <c r="N1607" s="28" t="s">
        <v>77</v>
      </c>
      <c r="Q1607" s="30"/>
    </row>
    <row r="1608">
      <c r="B1608" s="6"/>
      <c r="C1608" s="33" t="str">
        <f t="array" ref="C1608">IF(B1608="", "", XLOOKUP(B1608, Inventory!D:D,Inventory!E:E,"No Name Found"))</f>
        <v/>
      </c>
      <c r="D1608" s="6"/>
      <c r="E1608" s="6"/>
      <c r="F1608" s="6"/>
      <c r="G1608" s="24" t="str">
        <f>IF(F1608="", "", VLOOKUP(F1608, Inventory!A:BZ, 3, FALSE) - SUMIF($F$1:$F1607, F1608, $H$1:$H1607))
</f>
        <v/>
      </c>
      <c r="I1608" s="26"/>
      <c r="J1608" s="26" t="s">
        <v>77</v>
      </c>
      <c r="L1608" s="27" t="s">
        <v>77</v>
      </c>
      <c r="N1608" s="28" t="s">
        <v>77</v>
      </c>
      <c r="Q1608" s="30"/>
    </row>
    <row r="1609">
      <c r="B1609" s="6"/>
      <c r="C1609" s="33" t="str">
        <f t="array" ref="C1609">IF(B1609="", "", XLOOKUP(B1609, Inventory!D:D,Inventory!E:E,"No Name Found"))</f>
        <v/>
      </c>
      <c r="D1609" s="6"/>
      <c r="E1609" s="6"/>
      <c r="F1609" s="6"/>
      <c r="G1609" s="24" t="str">
        <f>IF(F1609="", "", VLOOKUP(F1609, Inventory!A:BZ, 3, FALSE) - SUMIF($F$1:$F1608, F1609, $H$1:$H1608))
</f>
        <v/>
      </c>
      <c r="I1609" s="26"/>
      <c r="J1609" s="26" t="s">
        <v>77</v>
      </c>
      <c r="L1609" s="27" t="s">
        <v>77</v>
      </c>
      <c r="N1609" s="28" t="s">
        <v>77</v>
      </c>
      <c r="Q1609" s="30"/>
    </row>
    <row r="1610">
      <c r="B1610" s="6"/>
      <c r="C1610" s="33" t="str">
        <f t="array" ref="C1610">IF(B1610="", "", XLOOKUP(B1610, Inventory!D:D,Inventory!E:E,"No Name Found"))</f>
        <v/>
      </c>
      <c r="D1610" s="6"/>
      <c r="E1610" s="6"/>
      <c r="F1610" s="6"/>
      <c r="G1610" s="24" t="str">
        <f>IF(F1610="", "", VLOOKUP(F1610, Inventory!A:BZ, 3, FALSE) - SUMIF($F$1:$F1609, F1610, $H$1:$H1609))
</f>
        <v/>
      </c>
      <c r="I1610" s="26"/>
      <c r="J1610" s="26" t="s">
        <v>77</v>
      </c>
      <c r="L1610" s="27" t="s">
        <v>77</v>
      </c>
      <c r="N1610" s="28" t="s">
        <v>77</v>
      </c>
      <c r="Q1610" s="30"/>
    </row>
    <row r="1611">
      <c r="B1611" s="6"/>
      <c r="C1611" s="33" t="str">
        <f t="array" ref="C1611">IF(B1611="", "", XLOOKUP(B1611, Inventory!D:D,Inventory!E:E,"No Name Found"))</f>
        <v/>
      </c>
      <c r="D1611" s="6"/>
      <c r="E1611" s="6"/>
      <c r="F1611" s="6"/>
      <c r="G1611" s="24" t="str">
        <f>IF(F1611="", "", VLOOKUP(F1611, Inventory!A:BZ, 3, FALSE) - SUMIF($F$1:$F1610, F1611, $H$1:$H1610))
</f>
        <v/>
      </c>
      <c r="I1611" s="26"/>
      <c r="J1611" s="26" t="s">
        <v>77</v>
      </c>
      <c r="L1611" s="27" t="s">
        <v>77</v>
      </c>
      <c r="N1611" s="28" t="s">
        <v>77</v>
      </c>
      <c r="Q1611" s="30"/>
    </row>
    <row r="1612">
      <c r="B1612" s="6"/>
      <c r="C1612" s="33" t="str">
        <f t="array" ref="C1612">IF(B1612="", "", XLOOKUP(B1612, Inventory!D:D,Inventory!E:E,"No Name Found"))</f>
        <v/>
      </c>
      <c r="D1612" s="6"/>
      <c r="E1612" s="6"/>
      <c r="F1612" s="6"/>
      <c r="G1612" s="24" t="str">
        <f>IF(F1612="", "", VLOOKUP(F1612, Inventory!A:BZ, 3, FALSE) - SUMIF($F$1:$F1611, F1612, $H$1:$H1611))
</f>
        <v/>
      </c>
      <c r="I1612" s="26"/>
      <c r="J1612" s="26" t="s">
        <v>77</v>
      </c>
      <c r="L1612" s="27" t="s">
        <v>77</v>
      </c>
      <c r="N1612" s="28" t="s">
        <v>77</v>
      </c>
      <c r="Q1612" s="30"/>
    </row>
    <row r="1613">
      <c r="B1613" s="6"/>
      <c r="C1613" s="33" t="str">
        <f t="array" ref="C1613">IF(B1613="", "", XLOOKUP(B1613, Inventory!D:D,Inventory!E:E,"No Name Found"))</f>
        <v/>
      </c>
      <c r="D1613" s="6"/>
      <c r="E1613" s="6"/>
      <c r="F1613" s="6"/>
      <c r="G1613" s="24" t="str">
        <f>IF(F1613="", "", VLOOKUP(F1613, Inventory!A:BZ, 3, FALSE) - SUMIF($F$1:$F1612, F1613, $H$1:$H1612))
</f>
        <v/>
      </c>
      <c r="I1613" s="26"/>
      <c r="J1613" s="26" t="s">
        <v>77</v>
      </c>
      <c r="L1613" s="27" t="s">
        <v>77</v>
      </c>
      <c r="N1613" s="28" t="s">
        <v>77</v>
      </c>
      <c r="Q1613" s="30"/>
    </row>
    <row r="1614">
      <c r="B1614" s="6"/>
      <c r="C1614" s="33" t="str">
        <f t="array" ref="C1614">IF(B1614="", "", XLOOKUP(B1614, Inventory!D:D,Inventory!E:E,"No Name Found"))</f>
        <v/>
      </c>
      <c r="D1614" s="6"/>
      <c r="E1614" s="6"/>
      <c r="F1614" s="6"/>
      <c r="G1614" s="24" t="str">
        <f>IF(F1614="", "", VLOOKUP(F1614, Inventory!A:BZ, 3, FALSE) - SUMIF($F$1:$F1613, F1614, $H$1:$H1613))
</f>
        <v/>
      </c>
      <c r="I1614" s="26"/>
      <c r="J1614" s="26" t="s">
        <v>77</v>
      </c>
      <c r="L1614" s="27" t="s">
        <v>77</v>
      </c>
      <c r="N1614" s="28" t="s">
        <v>77</v>
      </c>
      <c r="Q1614" s="30"/>
    </row>
    <row r="1615">
      <c r="B1615" s="6"/>
      <c r="C1615" s="33" t="str">
        <f t="array" ref="C1615">IF(B1615="", "", XLOOKUP(B1615, Inventory!D:D,Inventory!E:E,"No Name Found"))</f>
        <v/>
      </c>
      <c r="D1615" s="6"/>
      <c r="E1615" s="6"/>
      <c r="F1615" s="6"/>
      <c r="G1615" s="24" t="str">
        <f>IF(F1615="", "", VLOOKUP(F1615, Inventory!A:BZ, 3, FALSE) - SUMIF($F$1:$F1614, F1615, $H$1:$H1614))
</f>
        <v/>
      </c>
      <c r="I1615" s="26"/>
      <c r="J1615" s="26" t="s">
        <v>77</v>
      </c>
      <c r="L1615" s="27" t="s">
        <v>77</v>
      </c>
      <c r="N1615" s="28" t="s">
        <v>77</v>
      </c>
      <c r="Q1615" s="30"/>
    </row>
    <row r="1616">
      <c r="B1616" s="6"/>
      <c r="C1616" s="33" t="str">
        <f t="array" ref="C1616">IF(B1616="", "", XLOOKUP(B1616, Inventory!D:D,Inventory!E:E,"No Name Found"))</f>
        <v/>
      </c>
      <c r="D1616" s="6"/>
      <c r="E1616" s="6"/>
      <c r="F1616" s="6"/>
      <c r="G1616" s="24" t="str">
        <f>IF(F1616="", "", VLOOKUP(F1616, Inventory!A:BZ, 3, FALSE) - SUMIF($F$1:$F1615, F1616, $H$1:$H1615))
</f>
        <v/>
      </c>
      <c r="I1616" s="26"/>
      <c r="J1616" s="26" t="s">
        <v>77</v>
      </c>
      <c r="L1616" s="27" t="s">
        <v>77</v>
      </c>
      <c r="N1616" s="28" t="s">
        <v>77</v>
      </c>
      <c r="Q1616" s="30"/>
    </row>
    <row r="1617">
      <c r="B1617" s="6"/>
      <c r="C1617" s="33" t="str">
        <f t="array" ref="C1617">IF(B1617="", "", XLOOKUP(B1617, Inventory!D:D,Inventory!E:E,"No Name Found"))</f>
        <v/>
      </c>
      <c r="D1617" s="6"/>
      <c r="E1617" s="6"/>
      <c r="F1617" s="6"/>
      <c r="G1617" s="24" t="str">
        <f>IF(F1617="", "", VLOOKUP(F1617, Inventory!A:BZ, 3, FALSE) - SUMIF($F$1:$F1616, F1617, $H$1:$H1616))
</f>
        <v/>
      </c>
      <c r="I1617" s="26"/>
      <c r="J1617" s="26" t="s">
        <v>77</v>
      </c>
      <c r="L1617" s="27" t="s">
        <v>77</v>
      </c>
      <c r="N1617" s="28" t="s">
        <v>77</v>
      </c>
      <c r="Q1617" s="30"/>
    </row>
    <row r="1618">
      <c r="B1618" s="6"/>
      <c r="C1618" s="33" t="str">
        <f t="array" ref="C1618">IF(B1618="", "", XLOOKUP(B1618, Inventory!D:D,Inventory!E:E,"No Name Found"))</f>
        <v/>
      </c>
      <c r="D1618" s="6"/>
      <c r="E1618" s="6"/>
      <c r="F1618" s="6"/>
      <c r="G1618" s="24" t="str">
        <f>IF(F1618="", "", VLOOKUP(F1618, Inventory!A:BZ, 3, FALSE) - SUMIF($F$1:$F1617, F1618, $H$1:$H1617))
</f>
        <v/>
      </c>
      <c r="I1618" s="26"/>
      <c r="J1618" s="26" t="s">
        <v>77</v>
      </c>
      <c r="L1618" s="27" t="s">
        <v>77</v>
      </c>
      <c r="N1618" s="28" t="s">
        <v>77</v>
      </c>
      <c r="Q1618" s="30"/>
    </row>
    <row r="1619">
      <c r="B1619" s="6"/>
      <c r="C1619" s="33" t="str">
        <f t="array" ref="C1619">IF(B1619="", "", XLOOKUP(B1619, Inventory!D:D,Inventory!E:E,"No Name Found"))</f>
        <v/>
      </c>
      <c r="D1619" s="6"/>
      <c r="E1619" s="6"/>
      <c r="F1619" s="6"/>
      <c r="G1619" s="24" t="str">
        <f>IF(F1619="", "", VLOOKUP(F1619, Inventory!A:BZ, 3, FALSE) - SUMIF($F$1:$F1618, F1619, $H$1:$H1618))
</f>
        <v/>
      </c>
      <c r="I1619" s="26"/>
      <c r="J1619" s="26" t="s">
        <v>77</v>
      </c>
      <c r="L1619" s="27" t="s">
        <v>77</v>
      </c>
      <c r="N1619" s="28" t="s">
        <v>77</v>
      </c>
      <c r="Q1619" s="30"/>
    </row>
    <row r="1620">
      <c r="B1620" s="6"/>
      <c r="C1620" s="33" t="str">
        <f t="array" ref="C1620">IF(B1620="", "", XLOOKUP(B1620, Inventory!D:D,Inventory!E:E,"No Name Found"))</f>
        <v/>
      </c>
      <c r="D1620" s="6"/>
      <c r="E1620" s="6"/>
      <c r="F1620" s="6"/>
      <c r="G1620" s="24" t="str">
        <f>IF(F1620="", "", VLOOKUP(F1620, Inventory!A:BZ, 3, FALSE) - SUMIF($F$1:$F1619, F1620, $H$1:$H1619))
</f>
        <v/>
      </c>
      <c r="I1620" s="26"/>
      <c r="J1620" s="26" t="s">
        <v>77</v>
      </c>
      <c r="L1620" s="27" t="s">
        <v>77</v>
      </c>
      <c r="N1620" s="28" t="s">
        <v>77</v>
      </c>
      <c r="Q1620" s="30"/>
    </row>
    <row r="1621">
      <c r="B1621" s="6"/>
      <c r="C1621" s="33" t="str">
        <f t="array" ref="C1621">IF(B1621="", "", XLOOKUP(B1621, Inventory!D:D,Inventory!E:E,"No Name Found"))</f>
        <v/>
      </c>
      <c r="D1621" s="6"/>
      <c r="E1621" s="6"/>
      <c r="F1621" s="6"/>
      <c r="G1621" s="24" t="str">
        <f>IF(F1621="", "", VLOOKUP(F1621, Inventory!A:BZ, 3, FALSE) - SUMIF($F$1:$F1620, F1621, $H$1:$H1620))
</f>
        <v/>
      </c>
      <c r="I1621" s="26"/>
      <c r="J1621" s="26" t="s">
        <v>77</v>
      </c>
      <c r="L1621" s="27" t="s">
        <v>77</v>
      </c>
      <c r="N1621" s="28" t="s">
        <v>77</v>
      </c>
      <c r="Q1621" s="30"/>
    </row>
    <row r="1622">
      <c r="B1622" s="6"/>
      <c r="C1622" s="33" t="str">
        <f t="array" ref="C1622">IF(B1622="", "", XLOOKUP(B1622, Inventory!D:D,Inventory!E:E,"No Name Found"))</f>
        <v/>
      </c>
      <c r="D1622" s="6"/>
      <c r="E1622" s="6"/>
      <c r="F1622" s="6"/>
      <c r="G1622" s="24" t="str">
        <f>IF(F1622="", "", VLOOKUP(F1622, Inventory!A:BZ, 3, FALSE) - SUMIF($F$1:$F1621, F1622, $H$1:$H1621))
</f>
        <v/>
      </c>
      <c r="I1622" s="26"/>
      <c r="J1622" s="26" t="s">
        <v>77</v>
      </c>
      <c r="L1622" s="27" t="s">
        <v>77</v>
      </c>
      <c r="N1622" s="28" t="s">
        <v>77</v>
      </c>
      <c r="Q1622" s="30"/>
    </row>
    <row r="1623">
      <c r="B1623" s="6"/>
      <c r="C1623" s="33" t="str">
        <f t="array" ref="C1623">IF(B1623="", "", XLOOKUP(B1623, Inventory!D:D,Inventory!E:E,"No Name Found"))</f>
        <v/>
      </c>
      <c r="D1623" s="6"/>
      <c r="E1623" s="6"/>
      <c r="F1623" s="6"/>
      <c r="G1623" s="24" t="str">
        <f>IF(F1623="", "", VLOOKUP(F1623, Inventory!A:BZ, 3, FALSE) - SUMIF($F$1:$F1622, F1623, $H$1:$H1622))
</f>
        <v/>
      </c>
      <c r="I1623" s="26"/>
      <c r="J1623" s="26" t="s">
        <v>77</v>
      </c>
      <c r="L1623" s="27" t="s">
        <v>77</v>
      </c>
      <c r="N1623" s="28" t="s">
        <v>77</v>
      </c>
      <c r="Q1623" s="30"/>
    </row>
    <row r="1624">
      <c r="B1624" s="6"/>
      <c r="C1624" s="33" t="str">
        <f t="array" ref="C1624">IF(B1624="", "", XLOOKUP(B1624, Inventory!D:D,Inventory!E:E,"No Name Found"))</f>
        <v/>
      </c>
      <c r="D1624" s="6"/>
      <c r="E1624" s="6"/>
      <c r="F1624" s="6"/>
      <c r="G1624" s="24" t="str">
        <f>IF(F1624="", "", VLOOKUP(F1624, Inventory!A:BZ, 3, FALSE) - SUMIF($F$1:$F1623, F1624, $H$1:$H1623))
</f>
        <v/>
      </c>
      <c r="I1624" s="26"/>
      <c r="J1624" s="26" t="s">
        <v>77</v>
      </c>
      <c r="L1624" s="27" t="s">
        <v>77</v>
      </c>
      <c r="N1624" s="28" t="s">
        <v>77</v>
      </c>
      <c r="Q1624" s="30"/>
    </row>
    <row r="1625">
      <c r="B1625" s="6"/>
      <c r="C1625" s="33" t="str">
        <f t="array" ref="C1625">IF(B1625="", "", XLOOKUP(B1625, Inventory!D:D,Inventory!E:E,"No Name Found"))</f>
        <v/>
      </c>
      <c r="D1625" s="6"/>
      <c r="E1625" s="6"/>
      <c r="F1625" s="6"/>
      <c r="G1625" s="24" t="str">
        <f>IF(F1625="", "", VLOOKUP(F1625, Inventory!A:BZ, 3, FALSE) - SUMIF($F$1:$F1624, F1625, $H$1:$H1624))
</f>
        <v/>
      </c>
      <c r="I1625" s="26"/>
      <c r="J1625" s="26" t="s">
        <v>77</v>
      </c>
      <c r="L1625" s="27" t="s">
        <v>77</v>
      </c>
      <c r="N1625" s="28" t="s">
        <v>77</v>
      </c>
      <c r="Q1625" s="30"/>
    </row>
    <row r="1626">
      <c r="B1626" s="6"/>
      <c r="C1626" s="33" t="str">
        <f t="array" ref="C1626">IF(B1626="", "", XLOOKUP(B1626, Inventory!D:D,Inventory!E:E,"No Name Found"))</f>
        <v/>
      </c>
      <c r="D1626" s="6"/>
      <c r="E1626" s="6"/>
      <c r="F1626" s="6"/>
      <c r="G1626" s="24" t="str">
        <f>IF(F1626="", "", VLOOKUP(F1626, Inventory!A:BZ, 3, FALSE) - SUMIF($F$1:$F1625, F1626, $H$1:$H1625))
</f>
        <v/>
      </c>
      <c r="I1626" s="26"/>
      <c r="J1626" s="26" t="s">
        <v>77</v>
      </c>
      <c r="L1626" s="27" t="s">
        <v>77</v>
      </c>
      <c r="N1626" s="28" t="s">
        <v>77</v>
      </c>
      <c r="Q1626" s="30"/>
    </row>
    <row r="1627">
      <c r="B1627" s="6"/>
      <c r="C1627" s="33" t="str">
        <f t="array" ref="C1627">IF(B1627="", "", XLOOKUP(B1627, Inventory!D:D,Inventory!E:E,"No Name Found"))</f>
        <v/>
      </c>
      <c r="D1627" s="6"/>
      <c r="E1627" s="6"/>
      <c r="F1627" s="6"/>
      <c r="G1627" s="24" t="str">
        <f>IF(F1627="", "", VLOOKUP(F1627, Inventory!A:BZ, 3, FALSE) - SUMIF($F$1:$F1626, F1627, $H$1:$H1626))
</f>
        <v/>
      </c>
      <c r="I1627" s="26"/>
      <c r="J1627" s="26" t="s">
        <v>77</v>
      </c>
      <c r="L1627" s="27" t="s">
        <v>77</v>
      </c>
      <c r="N1627" s="28" t="s">
        <v>77</v>
      </c>
      <c r="Q1627" s="30"/>
    </row>
    <row r="1628">
      <c r="B1628" s="6"/>
      <c r="C1628" s="33" t="str">
        <f t="array" ref="C1628">IF(B1628="", "", XLOOKUP(B1628, Inventory!D:D,Inventory!E:E,"No Name Found"))</f>
        <v/>
      </c>
      <c r="D1628" s="6"/>
      <c r="E1628" s="6"/>
      <c r="F1628" s="6"/>
      <c r="G1628" s="24" t="str">
        <f>IF(F1628="", "", VLOOKUP(F1628, Inventory!A:BZ, 3, FALSE) - SUMIF($F$1:$F1627, F1628, $H$1:$H1627))
</f>
        <v/>
      </c>
      <c r="I1628" s="26"/>
      <c r="J1628" s="26" t="s">
        <v>77</v>
      </c>
      <c r="L1628" s="27" t="s">
        <v>77</v>
      </c>
      <c r="N1628" s="28" t="s">
        <v>77</v>
      </c>
      <c r="Q1628" s="30"/>
    </row>
    <row r="1629">
      <c r="B1629" s="6"/>
      <c r="C1629" s="33" t="str">
        <f t="array" ref="C1629">IF(B1629="", "", XLOOKUP(B1629, Inventory!D:D,Inventory!E:E,"No Name Found"))</f>
        <v/>
      </c>
      <c r="D1629" s="6"/>
      <c r="E1629" s="6"/>
      <c r="F1629" s="6"/>
      <c r="G1629" s="24" t="str">
        <f>IF(F1629="", "", VLOOKUP(F1629, Inventory!A:BZ, 3, FALSE) - SUMIF($F$1:$F1628, F1629, $H$1:$H1628))
</f>
        <v/>
      </c>
      <c r="I1629" s="26"/>
      <c r="J1629" s="26" t="s">
        <v>77</v>
      </c>
      <c r="L1629" s="27" t="s">
        <v>77</v>
      </c>
      <c r="N1629" s="28" t="s">
        <v>77</v>
      </c>
      <c r="Q1629" s="30"/>
    </row>
    <row r="1630">
      <c r="B1630" s="6"/>
      <c r="C1630" s="33" t="str">
        <f t="array" ref="C1630">IF(B1630="", "", XLOOKUP(B1630, Inventory!D:D,Inventory!E:E,"No Name Found"))</f>
        <v/>
      </c>
      <c r="D1630" s="6"/>
      <c r="E1630" s="6"/>
      <c r="F1630" s="6"/>
      <c r="G1630" s="24" t="str">
        <f>IF(F1630="", "", VLOOKUP(F1630, Inventory!A:BZ, 3, FALSE) - SUMIF($F$1:$F1629, F1630, $H$1:$H1629))
</f>
        <v/>
      </c>
      <c r="I1630" s="26"/>
      <c r="J1630" s="26" t="s">
        <v>77</v>
      </c>
      <c r="L1630" s="27" t="s">
        <v>77</v>
      </c>
      <c r="N1630" s="28" t="s">
        <v>77</v>
      </c>
      <c r="Q1630" s="30"/>
    </row>
    <row r="1631">
      <c r="B1631" s="6"/>
      <c r="C1631" s="33" t="str">
        <f t="array" ref="C1631">IF(B1631="", "", XLOOKUP(B1631, Inventory!D:D,Inventory!E:E,"No Name Found"))</f>
        <v/>
      </c>
      <c r="D1631" s="6"/>
      <c r="E1631" s="6"/>
      <c r="F1631" s="6"/>
      <c r="G1631" s="24" t="str">
        <f>IF(F1631="", "", VLOOKUP(F1631, Inventory!A:BZ, 3, FALSE) - SUMIF($F$1:$F1630, F1631, $H$1:$H1630))
</f>
        <v/>
      </c>
      <c r="I1631" s="26"/>
      <c r="J1631" s="26" t="s">
        <v>77</v>
      </c>
      <c r="L1631" s="27" t="s">
        <v>77</v>
      </c>
      <c r="N1631" s="28" t="s">
        <v>77</v>
      </c>
      <c r="Q1631" s="30"/>
    </row>
    <row r="1632">
      <c r="B1632" s="6"/>
      <c r="C1632" s="33" t="str">
        <f t="array" ref="C1632">IF(B1632="", "", XLOOKUP(B1632, Inventory!D:D,Inventory!E:E,"No Name Found"))</f>
        <v/>
      </c>
      <c r="D1632" s="6"/>
      <c r="E1632" s="6"/>
      <c r="F1632" s="6"/>
      <c r="G1632" s="24" t="str">
        <f>IF(F1632="", "", VLOOKUP(F1632, Inventory!A:BZ, 3, FALSE) - SUMIF($F$1:$F1631, F1632, $H$1:$H1631))
</f>
        <v/>
      </c>
      <c r="I1632" s="26"/>
      <c r="J1632" s="26" t="s">
        <v>77</v>
      </c>
      <c r="L1632" s="27" t="s">
        <v>77</v>
      </c>
      <c r="N1632" s="28" t="s">
        <v>77</v>
      </c>
      <c r="Q1632" s="30"/>
    </row>
    <row r="1633">
      <c r="B1633" s="6"/>
      <c r="C1633" s="33" t="str">
        <f t="array" ref="C1633">IF(B1633="", "", XLOOKUP(B1633, Inventory!D:D,Inventory!E:E,"No Name Found"))</f>
        <v/>
      </c>
      <c r="D1633" s="6"/>
      <c r="E1633" s="6"/>
      <c r="F1633" s="6"/>
      <c r="G1633" s="24" t="str">
        <f>IF(F1633="", "", VLOOKUP(F1633, Inventory!A:BZ, 3, FALSE) - SUMIF($F$1:$F1632, F1633, $H$1:$H1632))
</f>
        <v/>
      </c>
      <c r="I1633" s="26"/>
      <c r="J1633" s="26" t="s">
        <v>77</v>
      </c>
      <c r="L1633" s="27" t="s">
        <v>77</v>
      </c>
      <c r="N1633" s="28" t="s">
        <v>77</v>
      </c>
      <c r="Q1633" s="30"/>
    </row>
    <row r="1634">
      <c r="B1634" s="6"/>
      <c r="C1634" s="33" t="str">
        <f t="array" ref="C1634">IF(B1634="", "", XLOOKUP(B1634, Inventory!D:D,Inventory!E:E,"No Name Found"))</f>
        <v/>
      </c>
      <c r="D1634" s="6"/>
      <c r="E1634" s="6"/>
      <c r="F1634" s="6"/>
      <c r="G1634" s="24" t="str">
        <f>IF(F1634="", "", VLOOKUP(F1634, Inventory!A:BZ, 3, FALSE) - SUMIF($F$1:$F1633, F1634, $H$1:$H1633))
</f>
        <v/>
      </c>
      <c r="I1634" s="26"/>
      <c r="J1634" s="26" t="s">
        <v>77</v>
      </c>
      <c r="L1634" s="27" t="s">
        <v>77</v>
      </c>
      <c r="N1634" s="28" t="s">
        <v>77</v>
      </c>
      <c r="Q1634" s="30"/>
    </row>
    <row r="1635">
      <c r="B1635" s="6"/>
      <c r="C1635" s="33" t="str">
        <f t="array" ref="C1635">IF(B1635="", "", XLOOKUP(B1635, Inventory!D:D,Inventory!E:E,"No Name Found"))</f>
        <v/>
      </c>
      <c r="D1635" s="6"/>
      <c r="E1635" s="6"/>
      <c r="F1635" s="6"/>
      <c r="G1635" s="24" t="str">
        <f>IF(F1635="", "", VLOOKUP(F1635, Inventory!A:BZ, 3, FALSE) - SUMIF($F$1:$F1634, F1635, $H$1:$H1634))
</f>
        <v/>
      </c>
      <c r="I1635" s="26"/>
      <c r="J1635" s="26" t="s">
        <v>77</v>
      </c>
      <c r="L1635" s="27" t="s">
        <v>77</v>
      </c>
      <c r="N1635" s="28" t="s">
        <v>77</v>
      </c>
      <c r="Q1635" s="30"/>
    </row>
    <row r="1636">
      <c r="B1636" s="6"/>
      <c r="C1636" s="33" t="str">
        <f t="array" ref="C1636">IF(B1636="", "", XLOOKUP(B1636, Inventory!D:D,Inventory!E:E,"No Name Found"))</f>
        <v/>
      </c>
      <c r="D1636" s="6"/>
      <c r="E1636" s="6"/>
      <c r="F1636" s="6"/>
      <c r="G1636" s="24" t="str">
        <f>IF(F1636="", "", VLOOKUP(F1636, Inventory!A:BZ, 3, FALSE) - SUMIF($F$1:$F1635, F1636, $H$1:$H1635))
</f>
        <v/>
      </c>
      <c r="I1636" s="26"/>
      <c r="J1636" s="26" t="s">
        <v>77</v>
      </c>
      <c r="L1636" s="27" t="s">
        <v>77</v>
      </c>
      <c r="N1636" s="28" t="s">
        <v>77</v>
      </c>
      <c r="Q1636" s="30"/>
    </row>
    <row r="1637">
      <c r="B1637" s="6"/>
      <c r="C1637" s="33" t="str">
        <f t="array" ref="C1637">IF(B1637="", "", XLOOKUP(B1637, Inventory!D:D,Inventory!E:E,"No Name Found"))</f>
        <v/>
      </c>
      <c r="D1637" s="6"/>
      <c r="E1637" s="6"/>
      <c r="F1637" s="6"/>
      <c r="G1637" s="24" t="str">
        <f>IF(F1637="", "", VLOOKUP(F1637, Inventory!A:BZ, 3, FALSE) - SUMIF($F$1:$F1636, F1637, $H$1:$H1636))
</f>
        <v/>
      </c>
      <c r="I1637" s="26"/>
      <c r="J1637" s="26" t="s">
        <v>77</v>
      </c>
      <c r="L1637" s="27" t="s">
        <v>77</v>
      </c>
      <c r="N1637" s="28" t="s">
        <v>77</v>
      </c>
      <c r="Q1637" s="30"/>
    </row>
    <row r="1638">
      <c r="B1638" s="6"/>
      <c r="C1638" s="33" t="str">
        <f t="array" ref="C1638">IF(B1638="", "", XLOOKUP(B1638, Inventory!D:D,Inventory!E:E,"No Name Found"))</f>
        <v/>
      </c>
      <c r="D1638" s="6"/>
      <c r="E1638" s="6"/>
      <c r="F1638" s="6"/>
      <c r="G1638" s="24" t="str">
        <f>IF(F1638="", "", VLOOKUP(F1638, Inventory!A:BZ, 3, FALSE) - SUMIF($F$1:$F1637, F1638, $H$1:$H1637))
</f>
        <v/>
      </c>
      <c r="I1638" s="26"/>
      <c r="J1638" s="26" t="s">
        <v>77</v>
      </c>
      <c r="L1638" s="27" t="s">
        <v>77</v>
      </c>
      <c r="N1638" s="28" t="s">
        <v>77</v>
      </c>
      <c r="Q1638" s="30"/>
    </row>
    <row r="1639">
      <c r="B1639" s="6"/>
      <c r="C1639" s="33" t="str">
        <f t="array" ref="C1639">IF(B1639="", "", XLOOKUP(B1639, Inventory!D:D,Inventory!E:E,"No Name Found"))</f>
        <v/>
      </c>
      <c r="D1639" s="6"/>
      <c r="E1639" s="6"/>
      <c r="F1639" s="6"/>
      <c r="G1639" s="24" t="str">
        <f>IF(F1639="", "", VLOOKUP(F1639, Inventory!A:BZ, 3, FALSE) - SUMIF($F$1:$F1638, F1639, $H$1:$H1638))
</f>
        <v/>
      </c>
      <c r="I1639" s="26"/>
      <c r="J1639" s="26" t="s">
        <v>77</v>
      </c>
      <c r="L1639" s="27" t="s">
        <v>77</v>
      </c>
      <c r="N1639" s="28" t="s">
        <v>77</v>
      </c>
      <c r="Q1639" s="30"/>
    </row>
    <row r="1640">
      <c r="B1640" s="6"/>
      <c r="C1640" s="33" t="str">
        <f t="array" ref="C1640">IF(B1640="", "", XLOOKUP(B1640, Inventory!D:D,Inventory!E:E,"No Name Found"))</f>
        <v/>
      </c>
      <c r="D1640" s="6"/>
      <c r="E1640" s="6"/>
      <c r="F1640" s="6"/>
      <c r="G1640" s="24" t="str">
        <f>IF(F1640="", "", VLOOKUP(F1640, Inventory!A:BZ, 3, FALSE) - SUMIF($F$1:$F1639, F1640, $H$1:$H1639))
</f>
        <v/>
      </c>
      <c r="I1640" s="26"/>
      <c r="J1640" s="26" t="s">
        <v>77</v>
      </c>
      <c r="L1640" s="27" t="s">
        <v>77</v>
      </c>
      <c r="N1640" s="28" t="s">
        <v>77</v>
      </c>
      <c r="Q1640" s="30"/>
    </row>
    <row r="1641">
      <c r="B1641" s="6"/>
      <c r="C1641" s="33" t="str">
        <f t="array" ref="C1641">IF(B1641="", "", XLOOKUP(B1641, Inventory!D:D,Inventory!E:E,"No Name Found"))</f>
        <v/>
      </c>
      <c r="D1641" s="6"/>
      <c r="E1641" s="6"/>
      <c r="F1641" s="6"/>
      <c r="G1641" s="24" t="str">
        <f>IF(F1641="", "", VLOOKUP(F1641, Inventory!A:BZ, 3, FALSE) - SUMIF($F$1:$F1640, F1641, $H$1:$H1640))
</f>
        <v/>
      </c>
      <c r="I1641" s="26"/>
      <c r="J1641" s="26" t="s">
        <v>77</v>
      </c>
      <c r="L1641" s="27" t="s">
        <v>77</v>
      </c>
      <c r="N1641" s="28" t="s">
        <v>77</v>
      </c>
      <c r="Q1641" s="30"/>
    </row>
    <row r="1642">
      <c r="B1642" s="6"/>
      <c r="C1642" s="33" t="str">
        <f t="array" ref="C1642">IF(B1642="", "", XLOOKUP(B1642, Inventory!D:D,Inventory!E:E,"No Name Found"))</f>
        <v/>
      </c>
      <c r="D1642" s="6"/>
      <c r="E1642" s="6"/>
      <c r="F1642" s="6"/>
      <c r="G1642" s="24" t="str">
        <f>IF(F1642="", "", VLOOKUP(F1642, Inventory!A:BZ, 3, FALSE) - SUMIF($F$1:$F1641, F1642, $H$1:$H1641))
</f>
        <v/>
      </c>
      <c r="I1642" s="26"/>
      <c r="J1642" s="26" t="s">
        <v>77</v>
      </c>
      <c r="L1642" s="27" t="s">
        <v>77</v>
      </c>
      <c r="N1642" s="28" t="s">
        <v>77</v>
      </c>
      <c r="Q1642" s="30"/>
    </row>
    <row r="1643">
      <c r="B1643" s="6"/>
      <c r="C1643" s="33" t="str">
        <f t="array" ref="C1643">IF(B1643="", "", XLOOKUP(B1643, Inventory!D:D,Inventory!E:E,"No Name Found"))</f>
        <v/>
      </c>
      <c r="D1643" s="6"/>
      <c r="E1643" s="6"/>
      <c r="F1643" s="6"/>
      <c r="G1643" s="24" t="str">
        <f>IF(F1643="", "", VLOOKUP(F1643, Inventory!A:BZ, 3, FALSE) - SUMIF($F$1:$F1642, F1643, $H$1:$H1642))
</f>
        <v/>
      </c>
      <c r="I1643" s="26"/>
      <c r="J1643" s="26" t="s">
        <v>77</v>
      </c>
      <c r="L1643" s="27" t="s">
        <v>77</v>
      </c>
      <c r="N1643" s="28" t="s">
        <v>77</v>
      </c>
      <c r="Q1643" s="30"/>
    </row>
    <row r="1644">
      <c r="B1644" s="6"/>
      <c r="C1644" s="33" t="str">
        <f t="array" ref="C1644">IF(B1644="", "", XLOOKUP(B1644, Inventory!D:D,Inventory!E:E,"No Name Found"))</f>
        <v/>
      </c>
      <c r="D1644" s="6"/>
      <c r="E1644" s="6"/>
      <c r="F1644" s="6"/>
      <c r="G1644" s="24" t="str">
        <f>IF(F1644="", "", VLOOKUP(F1644, Inventory!A:BZ, 3, FALSE) - SUMIF($F$1:$F1643, F1644, $H$1:$H1643))
</f>
        <v/>
      </c>
      <c r="I1644" s="26"/>
      <c r="J1644" s="26" t="s">
        <v>77</v>
      </c>
      <c r="L1644" s="27" t="s">
        <v>77</v>
      </c>
      <c r="N1644" s="28" t="s">
        <v>77</v>
      </c>
      <c r="Q1644" s="30"/>
    </row>
    <row r="1645">
      <c r="B1645" s="6"/>
      <c r="C1645" s="33" t="str">
        <f t="array" ref="C1645">IF(B1645="", "", XLOOKUP(B1645, Inventory!D:D,Inventory!E:E,"No Name Found"))</f>
        <v/>
      </c>
      <c r="D1645" s="6"/>
      <c r="E1645" s="6"/>
      <c r="F1645" s="6"/>
      <c r="G1645" s="24" t="str">
        <f>IF(F1645="", "", VLOOKUP(F1645, Inventory!A:BZ, 3, FALSE) - SUMIF($F$1:$F1644, F1645, $H$1:$H1644))
</f>
        <v/>
      </c>
      <c r="I1645" s="26"/>
      <c r="J1645" s="26" t="s">
        <v>77</v>
      </c>
      <c r="L1645" s="27" t="s">
        <v>77</v>
      </c>
      <c r="N1645" s="28" t="s">
        <v>77</v>
      </c>
      <c r="Q1645" s="30"/>
    </row>
    <row r="1646">
      <c r="B1646" s="6"/>
      <c r="C1646" s="33" t="str">
        <f t="array" ref="C1646">IF(B1646="", "", XLOOKUP(B1646, Inventory!D:D,Inventory!E:E,"No Name Found"))</f>
        <v/>
      </c>
      <c r="D1646" s="6"/>
      <c r="E1646" s="6"/>
      <c r="F1646" s="6"/>
      <c r="G1646" s="24" t="str">
        <f>IF(F1646="", "", VLOOKUP(F1646, Inventory!A:BZ, 3, FALSE) - SUMIF($F$1:$F1645, F1646, $H$1:$H1645))
</f>
        <v/>
      </c>
      <c r="I1646" s="26"/>
      <c r="J1646" s="26" t="s">
        <v>77</v>
      </c>
      <c r="L1646" s="27" t="s">
        <v>77</v>
      </c>
      <c r="N1646" s="28" t="s">
        <v>77</v>
      </c>
      <c r="Q1646" s="30"/>
    </row>
    <row r="1647">
      <c r="B1647" s="6"/>
      <c r="C1647" s="33" t="str">
        <f t="array" ref="C1647">IF(B1647="", "", XLOOKUP(B1647, Inventory!D:D,Inventory!E:E,"No Name Found"))</f>
        <v/>
      </c>
      <c r="D1647" s="6"/>
      <c r="E1647" s="6"/>
      <c r="F1647" s="6"/>
      <c r="G1647" s="24" t="str">
        <f>IF(F1647="", "", VLOOKUP(F1647, Inventory!A:BZ, 3, FALSE) - SUMIF($F$1:$F1646, F1647, $H$1:$H1646))
</f>
        <v/>
      </c>
      <c r="I1647" s="26"/>
      <c r="J1647" s="26" t="s">
        <v>77</v>
      </c>
      <c r="L1647" s="27" t="s">
        <v>77</v>
      </c>
      <c r="N1647" s="28" t="s">
        <v>77</v>
      </c>
      <c r="Q1647" s="30"/>
    </row>
    <row r="1648">
      <c r="B1648" s="6"/>
      <c r="C1648" s="33" t="str">
        <f t="array" ref="C1648">IF(B1648="", "", XLOOKUP(B1648, Inventory!D:D,Inventory!E:E,"No Name Found"))</f>
        <v/>
      </c>
      <c r="D1648" s="6"/>
      <c r="E1648" s="6"/>
      <c r="F1648" s="6"/>
      <c r="G1648" s="24" t="str">
        <f>IF(F1648="", "", VLOOKUP(F1648, Inventory!A:BZ, 3, FALSE) - SUMIF($F$1:$F1647, F1648, $H$1:$H1647))
</f>
        <v/>
      </c>
      <c r="I1648" s="26"/>
      <c r="J1648" s="26" t="s">
        <v>77</v>
      </c>
      <c r="L1648" s="27" t="s">
        <v>77</v>
      </c>
      <c r="N1648" s="28" t="s">
        <v>77</v>
      </c>
      <c r="Q1648" s="30"/>
    </row>
    <row r="1649">
      <c r="B1649" s="6"/>
      <c r="C1649" s="33" t="str">
        <f t="array" ref="C1649">IF(B1649="", "", XLOOKUP(B1649, Inventory!D:D,Inventory!E:E,"No Name Found"))</f>
        <v/>
      </c>
      <c r="D1649" s="6"/>
      <c r="E1649" s="6"/>
      <c r="F1649" s="6"/>
      <c r="G1649" s="24" t="str">
        <f>IF(F1649="", "", VLOOKUP(F1649, Inventory!A:BZ, 3, FALSE) - SUMIF($F$1:$F1648, F1649, $H$1:$H1648))
</f>
        <v/>
      </c>
      <c r="I1649" s="26"/>
      <c r="J1649" s="26" t="s">
        <v>77</v>
      </c>
      <c r="L1649" s="27" t="s">
        <v>77</v>
      </c>
      <c r="N1649" s="28" t="s">
        <v>77</v>
      </c>
      <c r="Q1649" s="30"/>
    </row>
    <row r="1650">
      <c r="B1650" s="6"/>
      <c r="C1650" s="33" t="str">
        <f t="array" ref="C1650">IF(B1650="", "", XLOOKUP(B1650, Inventory!D:D,Inventory!E:E,"No Name Found"))</f>
        <v/>
      </c>
      <c r="D1650" s="6"/>
      <c r="E1650" s="6"/>
      <c r="F1650" s="6"/>
      <c r="G1650" s="24" t="str">
        <f>IF(F1650="", "", VLOOKUP(F1650, Inventory!A:BZ, 3, FALSE) - SUMIF($F$1:$F1649, F1650, $H$1:$H1649))
</f>
        <v/>
      </c>
      <c r="I1650" s="26"/>
      <c r="J1650" s="26" t="s">
        <v>77</v>
      </c>
      <c r="L1650" s="27" t="s">
        <v>77</v>
      </c>
      <c r="N1650" s="28" t="s">
        <v>77</v>
      </c>
      <c r="Q1650" s="30"/>
    </row>
    <row r="1651">
      <c r="B1651" s="6"/>
      <c r="C1651" s="33" t="str">
        <f t="array" ref="C1651">IF(B1651="", "", XLOOKUP(B1651, Inventory!D:D,Inventory!E:E,"No Name Found"))</f>
        <v/>
      </c>
      <c r="D1651" s="6"/>
      <c r="E1651" s="6"/>
      <c r="F1651" s="6"/>
      <c r="G1651" s="24" t="str">
        <f>IF(F1651="", "", VLOOKUP(F1651, Inventory!A:BZ, 3, FALSE) - SUMIF($F$1:$F1650, F1651, $H$1:$H1650))
</f>
        <v/>
      </c>
      <c r="I1651" s="26"/>
      <c r="J1651" s="26" t="s">
        <v>77</v>
      </c>
      <c r="L1651" s="27" t="s">
        <v>77</v>
      </c>
      <c r="N1651" s="28" t="s">
        <v>77</v>
      </c>
      <c r="Q1651" s="30"/>
    </row>
    <row r="1652">
      <c r="B1652" s="6"/>
      <c r="C1652" s="33" t="str">
        <f t="array" ref="C1652">IF(B1652="", "", XLOOKUP(B1652, Inventory!D:D,Inventory!E:E,"No Name Found"))</f>
        <v/>
      </c>
      <c r="D1652" s="6"/>
      <c r="E1652" s="6"/>
      <c r="F1652" s="6"/>
      <c r="G1652" s="24" t="str">
        <f>IF(F1652="", "", VLOOKUP(F1652, Inventory!A:BZ, 3, FALSE) - SUMIF($F$1:$F1651, F1652, $H$1:$H1651))
</f>
        <v/>
      </c>
      <c r="I1652" s="26"/>
      <c r="J1652" s="26" t="s">
        <v>77</v>
      </c>
      <c r="L1652" s="27" t="s">
        <v>77</v>
      </c>
      <c r="N1652" s="28" t="s">
        <v>77</v>
      </c>
      <c r="Q1652" s="30"/>
    </row>
    <row r="1653">
      <c r="B1653" s="6"/>
      <c r="C1653" s="33" t="str">
        <f t="array" ref="C1653">IF(B1653="", "", XLOOKUP(B1653, Inventory!D:D,Inventory!E:E,"No Name Found"))</f>
        <v/>
      </c>
      <c r="D1653" s="6"/>
      <c r="E1653" s="6"/>
      <c r="F1653" s="6"/>
      <c r="G1653" s="24" t="str">
        <f>IF(F1653="", "", VLOOKUP(F1653, Inventory!A:BZ, 3, FALSE) - SUMIF($F$1:$F1652, F1653, $H$1:$H1652))
</f>
        <v/>
      </c>
      <c r="I1653" s="26"/>
      <c r="J1653" s="26" t="s">
        <v>77</v>
      </c>
      <c r="L1653" s="27" t="s">
        <v>77</v>
      </c>
      <c r="N1653" s="28" t="s">
        <v>77</v>
      </c>
      <c r="Q1653" s="30"/>
    </row>
    <row r="1654">
      <c r="B1654" s="6"/>
      <c r="C1654" s="33" t="str">
        <f t="array" ref="C1654">IF(B1654="", "", XLOOKUP(B1654, Inventory!D:D,Inventory!E:E,"No Name Found"))</f>
        <v/>
      </c>
      <c r="D1654" s="6"/>
      <c r="E1654" s="6"/>
      <c r="F1654" s="6"/>
      <c r="G1654" s="24" t="str">
        <f>IF(F1654="", "", VLOOKUP(F1654, Inventory!A:BZ, 3, FALSE) - SUMIF($F$1:$F1653, F1654, $H$1:$H1653))
</f>
        <v/>
      </c>
      <c r="I1654" s="26"/>
      <c r="J1654" s="26" t="s">
        <v>77</v>
      </c>
      <c r="L1654" s="27" t="s">
        <v>77</v>
      </c>
      <c r="N1654" s="28" t="s">
        <v>77</v>
      </c>
      <c r="Q1654" s="30"/>
    </row>
    <row r="1655">
      <c r="B1655" s="6"/>
      <c r="C1655" s="33" t="str">
        <f t="array" ref="C1655">IF(B1655="", "", XLOOKUP(B1655, Inventory!D:D,Inventory!E:E,"No Name Found"))</f>
        <v/>
      </c>
      <c r="D1655" s="6"/>
      <c r="E1655" s="6"/>
      <c r="F1655" s="6"/>
      <c r="G1655" s="24" t="str">
        <f>IF(F1655="", "", VLOOKUP(F1655, Inventory!A:BZ, 3, FALSE) - SUMIF($F$1:$F1654, F1655, $H$1:$H1654))
</f>
        <v/>
      </c>
      <c r="I1655" s="26"/>
      <c r="J1655" s="26" t="s">
        <v>77</v>
      </c>
      <c r="L1655" s="27" t="s">
        <v>77</v>
      </c>
      <c r="N1655" s="28" t="s">
        <v>77</v>
      </c>
      <c r="Q1655" s="30"/>
    </row>
    <row r="1656">
      <c r="B1656" s="6"/>
      <c r="C1656" s="33" t="str">
        <f t="array" ref="C1656">IF(B1656="", "", XLOOKUP(B1656, Inventory!D:D,Inventory!E:E,"No Name Found"))</f>
        <v/>
      </c>
      <c r="D1656" s="6"/>
      <c r="E1656" s="6"/>
      <c r="F1656" s="6"/>
      <c r="G1656" s="24" t="str">
        <f>IF(F1656="", "", VLOOKUP(F1656, Inventory!A:BZ, 3, FALSE) - SUMIF($F$1:$F1655, F1656, $H$1:$H1655))
</f>
        <v/>
      </c>
      <c r="I1656" s="26"/>
      <c r="J1656" s="26" t="s">
        <v>77</v>
      </c>
      <c r="L1656" s="27" t="s">
        <v>77</v>
      </c>
      <c r="N1656" s="28" t="s">
        <v>77</v>
      </c>
      <c r="Q1656" s="30"/>
    </row>
    <row r="1657">
      <c r="B1657" s="6"/>
      <c r="C1657" s="33" t="str">
        <f t="array" ref="C1657">IF(B1657="", "", XLOOKUP(B1657, Inventory!D:D,Inventory!E:E,"No Name Found"))</f>
        <v/>
      </c>
      <c r="D1657" s="6"/>
      <c r="E1657" s="6"/>
      <c r="F1657" s="6"/>
      <c r="G1657" s="24" t="str">
        <f>IF(F1657="", "", VLOOKUP(F1657, Inventory!A:BZ, 3, FALSE) - SUMIF($F$1:$F1656, F1657, $H$1:$H1656))
</f>
        <v/>
      </c>
      <c r="I1657" s="26"/>
      <c r="J1657" s="26" t="s">
        <v>77</v>
      </c>
      <c r="L1657" s="27" t="s">
        <v>77</v>
      </c>
      <c r="N1657" s="28" t="s">
        <v>77</v>
      </c>
      <c r="Q1657" s="30"/>
    </row>
    <row r="1658">
      <c r="B1658" s="6"/>
      <c r="C1658" s="33" t="str">
        <f t="array" ref="C1658">IF(B1658="", "", XLOOKUP(B1658, Inventory!D:D,Inventory!E:E,"No Name Found"))</f>
        <v/>
      </c>
      <c r="D1658" s="6"/>
      <c r="E1658" s="6"/>
      <c r="F1658" s="6"/>
      <c r="G1658" s="24" t="str">
        <f>IF(F1658="", "", VLOOKUP(F1658, Inventory!A:BZ, 3, FALSE) - SUMIF($F$1:$F1657, F1658, $H$1:$H1657))
</f>
        <v/>
      </c>
      <c r="I1658" s="26"/>
      <c r="J1658" s="26" t="s">
        <v>77</v>
      </c>
      <c r="L1658" s="27" t="s">
        <v>77</v>
      </c>
      <c r="N1658" s="28" t="s">
        <v>77</v>
      </c>
      <c r="Q1658" s="30"/>
    </row>
    <row r="1659">
      <c r="B1659" s="6"/>
      <c r="C1659" s="33" t="str">
        <f t="array" ref="C1659">IF(B1659="", "", XLOOKUP(B1659, Inventory!D:D,Inventory!E:E,"No Name Found"))</f>
        <v/>
      </c>
      <c r="D1659" s="6"/>
      <c r="E1659" s="6"/>
      <c r="F1659" s="6"/>
      <c r="G1659" s="24" t="str">
        <f>IF(F1659="", "", VLOOKUP(F1659, Inventory!A:BZ, 3, FALSE) - SUMIF($F$1:$F1658, F1659, $H$1:$H1658))
</f>
        <v/>
      </c>
      <c r="I1659" s="26"/>
      <c r="J1659" s="26" t="s">
        <v>77</v>
      </c>
      <c r="L1659" s="27" t="s">
        <v>77</v>
      </c>
      <c r="N1659" s="28" t="s">
        <v>77</v>
      </c>
      <c r="Q1659" s="30"/>
    </row>
    <row r="1660">
      <c r="B1660" s="6"/>
      <c r="C1660" s="33" t="str">
        <f t="array" ref="C1660">IF(B1660="", "", XLOOKUP(B1660, Inventory!D:D,Inventory!E:E,"No Name Found"))</f>
        <v/>
      </c>
      <c r="D1660" s="6"/>
      <c r="E1660" s="6"/>
      <c r="F1660" s="6"/>
      <c r="G1660" s="24" t="str">
        <f>IF(F1660="", "", VLOOKUP(F1660, Inventory!A:BZ, 3, FALSE) - SUMIF($F$1:$F1659, F1660, $H$1:$H1659))
</f>
        <v/>
      </c>
      <c r="I1660" s="26"/>
      <c r="J1660" s="26" t="s">
        <v>77</v>
      </c>
      <c r="L1660" s="27" t="s">
        <v>77</v>
      </c>
      <c r="N1660" s="28" t="s">
        <v>77</v>
      </c>
      <c r="Q1660" s="30"/>
    </row>
    <row r="1661">
      <c r="B1661" s="6"/>
      <c r="C1661" s="33" t="str">
        <f t="array" ref="C1661">IF(B1661="", "", XLOOKUP(B1661, Inventory!D:D,Inventory!E:E,"No Name Found"))</f>
        <v/>
      </c>
      <c r="D1661" s="6"/>
      <c r="E1661" s="6"/>
      <c r="F1661" s="6"/>
      <c r="G1661" s="24" t="str">
        <f>IF(F1661="", "", VLOOKUP(F1661, Inventory!A:BZ, 3, FALSE) - SUMIF($F$1:$F1660, F1661, $H$1:$H1660))
</f>
        <v/>
      </c>
      <c r="I1661" s="26"/>
      <c r="J1661" s="26" t="s">
        <v>77</v>
      </c>
      <c r="L1661" s="27" t="s">
        <v>77</v>
      </c>
      <c r="N1661" s="28" t="s">
        <v>77</v>
      </c>
      <c r="Q1661" s="30"/>
    </row>
    <row r="1662">
      <c r="B1662" s="6"/>
      <c r="C1662" s="33" t="str">
        <f t="array" ref="C1662">IF(B1662="", "", XLOOKUP(B1662, Inventory!D:D,Inventory!E:E,"No Name Found"))</f>
        <v/>
      </c>
      <c r="D1662" s="6"/>
      <c r="E1662" s="6"/>
      <c r="F1662" s="6"/>
      <c r="G1662" s="24" t="str">
        <f>IF(F1662="", "", VLOOKUP(F1662, Inventory!A:BZ, 3, FALSE) - SUMIF($F$1:$F1661, F1662, $H$1:$H1661))
</f>
        <v/>
      </c>
      <c r="I1662" s="26"/>
      <c r="J1662" s="26" t="s">
        <v>77</v>
      </c>
      <c r="L1662" s="27" t="s">
        <v>77</v>
      </c>
      <c r="N1662" s="28" t="s">
        <v>77</v>
      </c>
      <c r="Q1662" s="30"/>
    </row>
    <row r="1663">
      <c r="B1663" s="6"/>
      <c r="C1663" s="33" t="str">
        <f t="array" ref="C1663">IF(B1663="", "", XLOOKUP(B1663, Inventory!D:D,Inventory!E:E,"No Name Found"))</f>
        <v/>
      </c>
      <c r="D1663" s="6"/>
      <c r="E1663" s="6"/>
      <c r="F1663" s="6"/>
      <c r="G1663" s="24" t="str">
        <f>IF(F1663="", "", VLOOKUP(F1663, Inventory!A:BZ, 3, FALSE) - SUMIF($F$1:$F1662, F1663, $H$1:$H1662))
</f>
        <v/>
      </c>
      <c r="I1663" s="26"/>
      <c r="J1663" s="26" t="s">
        <v>77</v>
      </c>
      <c r="L1663" s="27" t="s">
        <v>77</v>
      </c>
      <c r="N1663" s="28" t="s">
        <v>77</v>
      </c>
      <c r="Q1663" s="30"/>
    </row>
    <row r="1664">
      <c r="B1664" s="6"/>
      <c r="C1664" s="33" t="str">
        <f t="array" ref="C1664">IF(B1664="", "", XLOOKUP(B1664, Inventory!D:D,Inventory!E:E,"No Name Found"))</f>
        <v/>
      </c>
      <c r="D1664" s="6"/>
      <c r="E1664" s="6"/>
      <c r="F1664" s="6"/>
      <c r="G1664" s="24" t="str">
        <f>IF(F1664="", "", VLOOKUP(F1664, Inventory!A:BZ, 3, FALSE) - SUMIF($F$1:$F1663, F1664, $H$1:$H1663))
</f>
        <v/>
      </c>
      <c r="I1664" s="26"/>
      <c r="J1664" s="26" t="s">
        <v>77</v>
      </c>
      <c r="L1664" s="27" t="s">
        <v>77</v>
      </c>
      <c r="N1664" s="28" t="s">
        <v>77</v>
      </c>
      <c r="Q1664" s="30"/>
    </row>
    <row r="1665">
      <c r="B1665" s="6"/>
      <c r="C1665" s="33" t="str">
        <f t="array" ref="C1665">IF(B1665="", "", XLOOKUP(B1665, Inventory!D:D,Inventory!E:E,"No Name Found"))</f>
        <v/>
      </c>
      <c r="D1665" s="6"/>
      <c r="E1665" s="6"/>
      <c r="F1665" s="6"/>
      <c r="G1665" s="24" t="str">
        <f>IF(F1665="", "", VLOOKUP(F1665, Inventory!A:BZ, 3, FALSE) - SUMIF($F$1:$F1664, F1665, $H$1:$H1664))
</f>
        <v/>
      </c>
      <c r="I1665" s="26"/>
      <c r="J1665" s="26" t="s">
        <v>77</v>
      </c>
      <c r="L1665" s="27" t="s">
        <v>77</v>
      </c>
      <c r="N1665" s="28" t="s">
        <v>77</v>
      </c>
      <c r="Q1665" s="30"/>
    </row>
    <row r="1666">
      <c r="B1666" s="6"/>
      <c r="C1666" s="33" t="str">
        <f t="array" ref="C1666">IF(B1666="", "", XLOOKUP(B1666, Inventory!D:D,Inventory!E:E,"No Name Found"))</f>
        <v/>
      </c>
      <c r="D1666" s="6"/>
      <c r="E1666" s="6"/>
      <c r="F1666" s="6"/>
      <c r="G1666" s="24" t="str">
        <f>IF(F1666="", "", VLOOKUP(F1666, Inventory!A:BZ, 3, FALSE) - SUMIF($F$1:$F1665, F1666, $H$1:$H1665))
</f>
        <v/>
      </c>
      <c r="I1666" s="26"/>
      <c r="J1666" s="26" t="s">
        <v>77</v>
      </c>
      <c r="L1666" s="27" t="s">
        <v>77</v>
      </c>
      <c r="N1666" s="28" t="s">
        <v>77</v>
      </c>
      <c r="Q1666" s="30"/>
    </row>
    <row r="1667">
      <c r="B1667" s="6"/>
      <c r="C1667" s="33" t="str">
        <f t="array" ref="C1667">IF(B1667="", "", XLOOKUP(B1667, Inventory!D:D,Inventory!E:E,"No Name Found"))</f>
        <v/>
      </c>
      <c r="D1667" s="6"/>
      <c r="E1667" s="6"/>
      <c r="F1667" s="6"/>
      <c r="G1667" s="24" t="str">
        <f>IF(F1667="", "", VLOOKUP(F1667, Inventory!A:BZ, 3, FALSE) - SUMIF($F$1:$F1666, F1667, $H$1:$H1666))
</f>
        <v/>
      </c>
      <c r="I1667" s="26"/>
      <c r="J1667" s="26" t="s">
        <v>77</v>
      </c>
      <c r="L1667" s="27" t="s">
        <v>77</v>
      </c>
      <c r="N1667" s="28" t="s">
        <v>77</v>
      </c>
      <c r="Q1667" s="30"/>
    </row>
    <row r="1668">
      <c r="B1668" s="6"/>
      <c r="C1668" s="33" t="str">
        <f t="array" ref="C1668">IF(B1668="", "", XLOOKUP(B1668, Inventory!D:D,Inventory!E:E,"No Name Found"))</f>
        <v/>
      </c>
      <c r="D1668" s="6"/>
      <c r="E1668" s="6"/>
      <c r="F1668" s="6"/>
      <c r="G1668" s="24" t="str">
        <f>IF(F1668="", "", VLOOKUP(F1668, Inventory!A:BZ, 3, FALSE) - SUMIF($F$1:$F1667, F1668, $H$1:$H1667))
</f>
        <v/>
      </c>
      <c r="I1668" s="26"/>
      <c r="J1668" s="26" t="s">
        <v>77</v>
      </c>
      <c r="L1668" s="27" t="s">
        <v>77</v>
      </c>
      <c r="N1668" s="28" t="s">
        <v>77</v>
      </c>
      <c r="Q1668" s="30"/>
    </row>
    <row r="1669">
      <c r="B1669" s="6"/>
      <c r="C1669" s="33" t="str">
        <f t="array" ref="C1669">IF(B1669="", "", XLOOKUP(B1669, Inventory!D:D,Inventory!E:E,"No Name Found"))</f>
        <v/>
      </c>
      <c r="D1669" s="6"/>
      <c r="E1669" s="6"/>
      <c r="F1669" s="6"/>
      <c r="G1669" s="24" t="str">
        <f>IF(F1669="", "", VLOOKUP(F1669, Inventory!A:BZ, 3, FALSE) - SUMIF($F$1:$F1668, F1669, $H$1:$H1668))
</f>
        <v/>
      </c>
      <c r="I1669" s="26"/>
      <c r="J1669" s="26" t="s">
        <v>77</v>
      </c>
      <c r="L1669" s="27" t="s">
        <v>77</v>
      </c>
      <c r="N1669" s="28" t="s">
        <v>77</v>
      </c>
      <c r="Q1669" s="30"/>
    </row>
    <row r="1670">
      <c r="B1670" s="6"/>
      <c r="C1670" s="33" t="str">
        <f t="array" ref="C1670">IF(B1670="", "", XLOOKUP(B1670, Inventory!D:D,Inventory!E:E,"No Name Found"))</f>
        <v/>
      </c>
      <c r="D1670" s="6"/>
      <c r="E1670" s="6"/>
      <c r="F1670" s="6"/>
      <c r="G1670" s="24" t="str">
        <f>IF(F1670="", "", VLOOKUP(F1670, Inventory!A:BZ, 3, FALSE) - SUMIF($F$1:$F1669, F1670, $H$1:$H1669))
</f>
        <v/>
      </c>
      <c r="I1670" s="26"/>
      <c r="J1670" s="26" t="s">
        <v>77</v>
      </c>
      <c r="L1670" s="27" t="s">
        <v>77</v>
      </c>
      <c r="N1670" s="28" t="s">
        <v>77</v>
      </c>
      <c r="Q1670" s="30"/>
    </row>
    <row r="1671">
      <c r="B1671" s="6"/>
      <c r="C1671" s="33" t="str">
        <f t="array" ref="C1671">IF(B1671="", "", XLOOKUP(B1671, Inventory!D:D,Inventory!E:E,"No Name Found"))</f>
        <v/>
      </c>
      <c r="D1671" s="6"/>
      <c r="E1671" s="6"/>
      <c r="F1671" s="6"/>
      <c r="G1671" s="24" t="str">
        <f>IF(F1671="", "", VLOOKUP(F1671, Inventory!A:BZ, 3, FALSE) - SUMIF($F$1:$F1670, F1671, $H$1:$H1670))
</f>
        <v/>
      </c>
      <c r="I1671" s="26"/>
      <c r="J1671" s="26" t="s">
        <v>77</v>
      </c>
      <c r="L1671" s="27" t="s">
        <v>77</v>
      </c>
      <c r="N1671" s="28" t="s">
        <v>77</v>
      </c>
      <c r="Q1671" s="30"/>
    </row>
    <row r="1672">
      <c r="B1672" s="6"/>
      <c r="C1672" s="33" t="str">
        <f t="array" ref="C1672">IF(B1672="", "", XLOOKUP(B1672, Inventory!D:D,Inventory!E:E,"No Name Found"))</f>
        <v/>
      </c>
      <c r="D1672" s="6"/>
      <c r="E1672" s="6"/>
      <c r="F1672" s="6"/>
      <c r="G1672" s="24" t="str">
        <f>IF(F1672="", "", VLOOKUP(F1672, Inventory!A:BZ, 3, FALSE) - SUMIF($F$1:$F1671, F1672, $H$1:$H1671))
</f>
        <v/>
      </c>
      <c r="I1672" s="26"/>
      <c r="J1672" s="26" t="s">
        <v>77</v>
      </c>
      <c r="L1672" s="27" t="s">
        <v>77</v>
      </c>
      <c r="N1672" s="28" t="s">
        <v>77</v>
      </c>
      <c r="Q1672" s="30"/>
    </row>
    <row r="1673">
      <c r="B1673" s="6"/>
      <c r="C1673" s="33" t="str">
        <f t="array" ref="C1673">IF(B1673="", "", XLOOKUP(B1673, Inventory!D:D,Inventory!E:E,"No Name Found"))</f>
        <v/>
      </c>
      <c r="D1673" s="6"/>
      <c r="E1673" s="6"/>
      <c r="F1673" s="6"/>
      <c r="G1673" s="24" t="str">
        <f>IF(F1673="", "", VLOOKUP(F1673, Inventory!A:BZ, 3, FALSE) - SUMIF($F$1:$F1672, F1673, $H$1:$H1672))
</f>
        <v/>
      </c>
      <c r="I1673" s="26"/>
      <c r="J1673" s="26" t="s">
        <v>77</v>
      </c>
      <c r="L1673" s="27" t="s">
        <v>77</v>
      </c>
      <c r="N1673" s="28" t="s">
        <v>77</v>
      </c>
      <c r="Q1673" s="30"/>
    </row>
    <row r="1674">
      <c r="B1674" s="6"/>
      <c r="C1674" s="33" t="str">
        <f t="array" ref="C1674">IF(B1674="", "", XLOOKUP(B1674, Inventory!D:D,Inventory!E:E,"No Name Found"))</f>
        <v/>
      </c>
      <c r="D1674" s="6"/>
      <c r="E1674" s="6"/>
      <c r="F1674" s="6"/>
      <c r="G1674" s="24" t="str">
        <f>IF(F1674="", "", VLOOKUP(F1674, Inventory!A:BZ, 3, FALSE) - SUMIF($F$1:$F1673, F1674, $H$1:$H1673))
</f>
        <v/>
      </c>
      <c r="I1674" s="26"/>
      <c r="J1674" s="26" t="s">
        <v>77</v>
      </c>
      <c r="L1674" s="27" t="s">
        <v>77</v>
      </c>
      <c r="N1674" s="28" t="s">
        <v>77</v>
      </c>
      <c r="Q1674" s="30"/>
    </row>
    <row r="1675">
      <c r="B1675" s="6"/>
      <c r="C1675" s="33" t="str">
        <f t="array" ref="C1675">IF(B1675="", "", XLOOKUP(B1675, Inventory!D:D,Inventory!E:E,"No Name Found"))</f>
        <v/>
      </c>
      <c r="D1675" s="6"/>
      <c r="E1675" s="6"/>
      <c r="F1675" s="6"/>
      <c r="G1675" s="24" t="str">
        <f>IF(F1675="", "", VLOOKUP(F1675, Inventory!A:BZ, 3, FALSE) - SUMIF($F$1:$F1674, F1675, $H$1:$H1674))
</f>
        <v/>
      </c>
      <c r="I1675" s="26"/>
      <c r="J1675" s="26" t="s">
        <v>77</v>
      </c>
      <c r="L1675" s="27" t="s">
        <v>77</v>
      </c>
      <c r="N1675" s="28" t="s">
        <v>77</v>
      </c>
      <c r="Q1675" s="30"/>
    </row>
    <row r="1676">
      <c r="B1676" s="6"/>
      <c r="C1676" s="33" t="str">
        <f t="array" ref="C1676">IF(B1676="", "", XLOOKUP(B1676, Inventory!D:D,Inventory!E:E,"No Name Found"))</f>
        <v/>
      </c>
      <c r="D1676" s="6"/>
      <c r="E1676" s="6"/>
      <c r="F1676" s="6"/>
      <c r="G1676" s="24" t="str">
        <f>IF(F1676="", "", VLOOKUP(F1676, Inventory!A:BZ, 3, FALSE) - SUMIF($F$1:$F1675, F1676, $H$1:$H1675))
</f>
        <v/>
      </c>
      <c r="I1676" s="26"/>
      <c r="J1676" s="26" t="s">
        <v>77</v>
      </c>
      <c r="L1676" s="27" t="s">
        <v>77</v>
      </c>
      <c r="N1676" s="28" t="s">
        <v>77</v>
      </c>
      <c r="Q1676" s="30"/>
    </row>
    <row r="1677">
      <c r="B1677" s="6"/>
      <c r="C1677" s="33" t="str">
        <f t="array" ref="C1677">IF(B1677="", "", XLOOKUP(B1677, Inventory!D:D,Inventory!E:E,"No Name Found"))</f>
        <v/>
      </c>
      <c r="D1677" s="6"/>
      <c r="E1677" s="6"/>
      <c r="F1677" s="6"/>
      <c r="G1677" s="24" t="str">
        <f>IF(F1677="", "", VLOOKUP(F1677, Inventory!A:BZ, 3, FALSE) - SUMIF($F$1:$F1676, F1677, $H$1:$H1676))
</f>
        <v/>
      </c>
      <c r="I1677" s="26"/>
      <c r="J1677" s="26" t="s">
        <v>77</v>
      </c>
      <c r="L1677" s="27" t="s">
        <v>77</v>
      </c>
      <c r="N1677" s="28" t="s">
        <v>77</v>
      </c>
      <c r="Q1677" s="30"/>
    </row>
    <row r="1678">
      <c r="B1678" s="6"/>
      <c r="C1678" s="33" t="str">
        <f t="array" ref="C1678">IF(B1678="", "", XLOOKUP(B1678, Inventory!D:D,Inventory!E:E,"No Name Found"))</f>
        <v/>
      </c>
      <c r="D1678" s="6"/>
      <c r="E1678" s="6"/>
      <c r="F1678" s="6"/>
      <c r="G1678" s="24" t="str">
        <f>IF(F1678="", "", VLOOKUP(F1678, Inventory!A:BZ, 3, FALSE) - SUMIF($F$1:$F1677, F1678, $H$1:$H1677))
</f>
        <v/>
      </c>
      <c r="I1678" s="26"/>
      <c r="J1678" s="26" t="s">
        <v>77</v>
      </c>
      <c r="L1678" s="27" t="s">
        <v>77</v>
      </c>
      <c r="N1678" s="28" t="s">
        <v>77</v>
      </c>
      <c r="Q1678" s="30"/>
    </row>
    <row r="1679">
      <c r="B1679" s="6"/>
      <c r="C1679" s="33" t="str">
        <f t="array" ref="C1679">IF(B1679="", "", XLOOKUP(B1679, Inventory!D:D,Inventory!E:E,"No Name Found"))</f>
        <v/>
      </c>
      <c r="D1679" s="6"/>
      <c r="E1679" s="6"/>
      <c r="F1679" s="6"/>
      <c r="G1679" s="24" t="str">
        <f>IF(F1679="", "", VLOOKUP(F1679, Inventory!A:BZ, 3, FALSE) - SUMIF($F$1:$F1678, F1679, $H$1:$H1678))
</f>
        <v/>
      </c>
      <c r="I1679" s="26"/>
      <c r="J1679" s="26" t="s">
        <v>77</v>
      </c>
      <c r="L1679" s="27" t="s">
        <v>77</v>
      </c>
      <c r="N1679" s="28" t="s">
        <v>77</v>
      </c>
      <c r="Q1679" s="30"/>
    </row>
    <row r="1680">
      <c r="B1680" s="6"/>
      <c r="C1680" s="33" t="str">
        <f t="array" ref="C1680">IF(B1680="", "", XLOOKUP(B1680, Inventory!D:D,Inventory!E:E,"No Name Found"))</f>
        <v/>
      </c>
      <c r="D1680" s="6"/>
      <c r="E1680" s="6"/>
      <c r="F1680" s="6"/>
      <c r="G1680" s="24" t="str">
        <f>IF(F1680="", "", VLOOKUP(F1680, Inventory!A:BZ, 3, FALSE) - SUMIF($F$1:$F1679, F1680, $H$1:$H1679))
</f>
        <v/>
      </c>
      <c r="I1680" s="26"/>
      <c r="J1680" s="26" t="s">
        <v>77</v>
      </c>
      <c r="L1680" s="27" t="s">
        <v>77</v>
      </c>
      <c r="N1680" s="28" t="s">
        <v>77</v>
      </c>
      <c r="Q1680" s="30"/>
    </row>
    <row r="1681">
      <c r="B1681" s="6"/>
      <c r="C1681" s="33" t="str">
        <f t="array" ref="C1681">IF(B1681="", "", XLOOKUP(B1681, Inventory!D:D,Inventory!E:E,"No Name Found"))</f>
        <v/>
      </c>
      <c r="D1681" s="6"/>
      <c r="E1681" s="6"/>
      <c r="F1681" s="6"/>
      <c r="G1681" s="24" t="str">
        <f>IF(F1681="", "", VLOOKUP(F1681, Inventory!A:BZ, 3, FALSE) - SUMIF($F$1:$F1680, F1681, $H$1:$H1680))
</f>
        <v/>
      </c>
      <c r="I1681" s="26"/>
      <c r="J1681" s="26" t="s">
        <v>77</v>
      </c>
      <c r="L1681" s="27" t="s">
        <v>77</v>
      </c>
      <c r="N1681" s="28" t="s">
        <v>77</v>
      </c>
      <c r="Q1681" s="30"/>
    </row>
    <row r="1682">
      <c r="B1682" s="6"/>
      <c r="C1682" s="33" t="str">
        <f t="array" ref="C1682">IF(B1682="", "", XLOOKUP(B1682, Inventory!D:D,Inventory!E:E,"No Name Found"))</f>
        <v/>
      </c>
      <c r="D1682" s="6"/>
      <c r="E1682" s="6"/>
      <c r="F1682" s="6"/>
      <c r="G1682" s="24" t="str">
        <f>IF(F1682="", "", VLOOKUP(F1682, Inventory!A:BZ, 3, FALSE) - SUMIF($F$1:$F1681, F1682, $H$1:$H1681))
</f>
        <v/>
      </c>
      <c r="I1682" s="26"/>
      <c r="J1682" s="26" t="s">
        <v>77</v>
      </c>
      <c r="L1682" s="27" t="s">
        <v>77</v>
      </c>
      <c r="N1682" s="28" t="s">
        <v>77</v>
      </c>
      <c r="Q1682" s="30"/>
    </row>
    <row r="1683">
      <c r="B1683" s="6"/>
      <c r="C1683" s="33" t="str">
        <f t="array" ref="C1683">IF(B1683="", "", XLOOKUP(B1683, Inventory!D:D,Inventory!E:E,"No Name Found"))</f>
        <v/>
      </c>
      <c r="D1683" s="6"/>
      <c r="E1683" s="6"/>
      <c r="F1683" s="6"/>
      <c r="G1683" s="24" t="str">
        <f>IF(F1683="", "", VLOOKUP(F1683, Inventory!A:BZ, 3, FALSE) - SUMIF($F$1:$F1682, F1683, $H$1:$H1682))
</f>
        <v/>
      </c>
      <c r="I1683" s="26"/>
      <c r="J1683" s="26" t="s">
        <v>77</v>
      </c>
      <c r="L1683" s="27" t="s">
        <v>77</v>
      </c>
      <c r="N1683" s="28" t="s">
        <v>77</v>
      </c>
      <c r="Q1683" s="30"/>
    </row>
    <row r="1684">
      <c r="B1684" s="6"/>
      <c r="C1684" s="33" t="str">
        <f t="array" ref="C1684">IF(B1684="", "", XLOOKUP(B1684, Inventory!D:D,Inventory!E:E,"No Name Found"))</f>
        <v/>
      </c>
      <c r="D1684" s="6"/>
      <c r="E1684" s="6"/>
      <c r="F1684" s="6"/>
      <c r="G1684" s="24" t="str">
        <f>IF(F1684="", "", VLOOKUP(F1684, Inventory!A:BZ, 3, FALSE) - SUMIF($F$1:$F1683, F1684, $H$1:$H1683))
</f>
        <v/>
      </c>
      <c r="I1684" s="26"/>
      <c r="J1684" s="26" t="s">
        <v>77</v>
      </c>
      <c r="L1684" s="27" t="s">
        <v>77</v>
      </c>
      <c r="N1684" s="28" t="s">
        <v>77</v>
      </c>
      <c r="Q1684" s="30"/>
    </row>
    <row r="1685">
      <c r="B1685" s="6"/>
      <c r="C1685" s="33" t="str">
        <f t="array" ref="C1685">IF(B1685="", "", XLOOKUP(B1685, Inventory!D:D,Inventory!E:E,"No Name Found"))</f>
        <v/>
      </c>
      <c r="D1685" s="6"/>
      <c r="E1685" s="6"/>
      <c r="F1685" s="6"/>
      <c r="G1685" s="24" t="str">
        <f>IF(F1685="", "", VLOOKUP(F1685, Inventory!A:BZ, 3, FALSE) - SUMIF($F$1:$F1684, F1685, $H$1:$H1684))
</f>
        <v/>
      </c>
      <c r="I1685" s="26"/>
      <c r="J1685" s="26" t="s">
        <v>77</v>
      </c>
      <c r="L1685" s="27" t="s">
        <v>77</v>
      </c>
      <c r="N1685" s="28" t="s">
        <v>77</v>
      </c>
      <c r="Q1685" s="30"/>
    </row>
    <row r="1686">
      <c r="B1686" s="6"/>
      <c r="C1686" s="33" t="str">
        <f t="array" ref="C1686">IF(B1686="", "", XLOOKUP(B1686, Inventory!D:D,Inventory!E:E,"No Name Found"))</f>
        <v/>
      </c>
      <c r="D1686" s="6"/>
      <c r="E1686" s="6"/>
      <c r="F1686" s="6"/>
      <c r="G1686" s="24" t="str">
        <f>IF(F1686="", "", VLOOKUP(F1686, Inventory!A:BZ, 3, FALSE) - SUMIF($F$1:$F1685, F1686, $H$1:$H1685))
</f>
        <v/>
      </c>
      <c r="I1686" s="26"/>
      <c r="J1686" s="26" t="s">
        <v>77</v>
      </c>
      <c r="L1686" s="27" t="s">
        <v>77</v>
      </c>
      <c r="N1686" s="28" t="s">
        <v>77</v>
      </c>
      <c r="Q1686" s="30"/>
    </row>
    <row r="1687">
      <c r="B1687" s="6"/>
      <c r="C1687" s="33" t="str">
        <f t="array" ref="C1687">IF(B1687="", "", XLOOKUP(B1687, Inventory!D:D,Inventory!E:E,"No Name Found"))</f>
        <v/>
      </c>
      <c r="D1687" s="6"/>
      <c r="E1687" s="6"/>
      <c r="F1687" s="6"/>
      <c r="G1687" s="24" t="str">
        <f>IF(F1687="", "", VLOOKUP(F1687, Inventory!A:BZ, 3, FALSE) - SUMIF($F$1:$F1686, F1687, $H$1:$H1686))
</f>
        <v/>
      </c>
      <c r="I1687" s="26"/>
      <c r="J1687" s="26" t="s">
        <v>77</v>
      </c>
      <c r="L1687" s="27" t="s">
        <v>77</v>
      </c>
      <c r="N1687" s="28" t="s">
        <v>77</v>
      </c>
      <c r="Q1687" s="30"/>
    </row>
    <row r="1688">
      <c r="B1688" s="6"/>
      <c r="C1688" s="33" t="str">
        <f t="array" ref="C1688">IF(B1688="", "", XLOOKUP(B1688, Inventory!D:D,Inventory!E:E,"No Name Found"))</f>
        <v/>
      </c>
      <c r="D1688" s="6"/>
      <c r="E1688" s="6"/>
      <c r="F1688" s="6"/>
      <c r="G1688" s="24" t="str">
        <f>IF(F1688="", "", VLOOKUP(F1688, Inventory!A:BZ, 3, FALSE) - SUMIF($F$1:$F1687, F1688, $H$1:$H1687))
</f>
        <v/>
      </c>
      <c r="I1688" s="26"/>
      <c r="J1688" s="26" t="s">
        <v>77</v>
      </c>
      <c r="L1688" s="27" t="s">
        <v>77</v>
      </c>
      <c r="N1688" s="28" t="s">
        <v>77</v>
      </c>
      <c r="Q1688" s="30"/>
    </row>
    <row r="1689">
      <c r="B1689" s="6"/>
      <c r="C1689" s="33" t="str">
        <f t="array" ref="C1689">IF(B1689="", "", XLOOKUP(B1689, Inventory!D:D,Inventory!E:E,"No Name Found"))</f>
        <v/>
      </c>
      <c r="D1689" s="6"/>
      <c r="E1689" s="6"/>
      <c r="F1689" s="6"/>
      <c r="G1689" s="24" t="str">
        <f>IF(F1689="", "", VLOOKUP(F1689, Inventory!A:BZ, 3, FALSE) - SUMIF($F$1:$F1688, F1689, $H$1:$H1688))
</f>
        <v/>
      </c>
      <c r="I1689" s="26"/>
      <c r="J1689" s="26" t="s">
        <v>77</v>
      </c>
      <c r="L1689" s="27" t="s">
        <v>77</v>
      </c>
      <c r="N1689" s="28" t="s">
        <v>77</v>
      </c>
      <c r="Q1689" s="30"/>
    </row>
    <row r="1690">
      <c r="B1690" s="6"/>
      <c r="C1690" s="33" t="str">
        <f t="array" ref="C1690">IF(B1690="", "", XLOOKUP(B1690, Inventory!D:D,Inventory!E:E,"No Name Found"))</f>
        <v/>
      </c>
      <c r="D1690" s="6"/>
      <c r="E1690" s="6"/>
      <c r="F1690" s="6"/>
      <c r="G1690" s="24" t="str">
        <f>IF(F1690="", "", VLOOKUP(F1690, Inventory!A:BZ, 3, FALSE) - SUMIF($F$1:$F1689, F1690, $H$1:$H1689))
</f>
        <v/>
      </c>
      <c r="I1690" s="26"/>
      <c r="J1690" s="26" t="s">
        <v>77</v>
      </c>
      <c r="L1690" s="27" t="s">
        <v>77</v>
      </c>
      <c r="N1690" s="28" t="s">
        <v>77</v>
      </c>
      <c r="Q1690" s="30"/>
    </row>
    <row r="1691">
      <c r="B1691" s="6"/>
      <c r="C1691" s="33" t="str">
        <f t="array" ref="C1691">IF(B1691="", "", XLOOKUP(B1691, Inventory!D:D,Inventory!E:E,"No Name Found"))</f>
        <v/>
      </c>
      <c r="D1691" s="6"/>
      <c r="E1691" s="6"/>
      <c r="F1691" s="6"/>
      <c r="G1691" s="24" t="str">
        <f>IF(F1691="", "", VLOOKUP(F1691, Inventory!A:BZ, 3, FALSE) - SUMIF($F$1:$F1690, F1691, $H$1:$H1690))
</f>
        <v/>
      </c>
      <c r="I1691" s="26"/>
      <c r="J1691" s="26" t="s">
        <v>77</v>
      </c>
      <c r="L1691" s="27" t="s">
        <v>77</v>
      </c>
      <c r="N1691" s="28" t="s">
        <v>77</v>
      </c>
      <c r="Q1691" s="30"/>
    </row>
    <row r="1692">
      <c r="B1692" s="6"/>
      <c r="C1692" s="33" t="str">
        <f t="array" ref="C1692">IF(B1692="", "", XLOOKUP(B1692, Inventory!D:D,Inventory!E:E,"No Name Found"))</f>
        <v/>
      </c>
      <c r="D1692" s="6"/>
      <c r="E1692" s="6"/>
      <c r="F1692" s="6"/>
      <c r="G1692" s="24" t="str">
        <f>IF(F1692="", "", VLOOKUP(F1692, Inventory!A:BZ, 3, FALSE) - SUMIF($F$1:$F1691, F1692, $H$1:$H1691))
</f>
        <v/>
      </c>
      <c r="I1692" s="26"/>
      <c r="J1692" s="26" t="s">
        <v>77</v>
      </c>
      <c r="L1692" s="27" t="s">
        <v>77</v>
      </c>
      <c r="N1692" s="28" t="s">
        <v>77</v>
      </c>
      <c r="Q1692" s="30"/>
    </row>
    <row r="1693">
      <c r="B1693" s="6"/>
      <c r="C1693" s="33" t="str">
        <f t="array" ref="C1693">IF(B1693="", "", XLOOKUP(B1693, Inventory!D:D,Inventory!E:E,"No Name Found"))</f>
        <v/>
      </c>
      <c r="D1693" s="6"/>
      <c r="E1693" s="6"/>
      <c r="F1693" s="6"/>
      <c r="G1693" s="24" t="str">
        <f>IF(F1693="", "", VLOOKUP(F1693, Inventory!A:BZ, 3, FALSE) - SUMIF($F$1:$F1692, F1693, $H$1:$H1692))
</f>
        <v/>
      </c>
      <c r="I1693" s="26"/>
      <c r="J1693" s="26" t="s">
        <v>77</v>
      </c>
      <c r="L1693" s="27" t="s">
        <v>77</v>
      </c>
      <c r="N1693" s="28" t="s">
        <v>77</v>
      </c>
      <c r="Q1693" s="30"/>
    </row>
    <row r="1694">
      <c r="B1694" s="6"/>
      <c r="C1694" s="33" t="str">
        <f t="array" ref="C1694">IF(B1694="", "", XLOOKUP(B1694, Inventory!D:D,Inventory!E:E,"No Name Found"))</f>
        <v/>
      </c>
      <c r="D1694" s="6"/>
      <c r="E1694" s="6"/>
      <c r="F1694" s="6"/>
      <c r="G1694" s="24" t="str">
        <f>IF(F1694="", "", VLOOKUP(F1694, Inventory!A:BZ, 3, FALSE) - SUMIF($F$1:$F1693, F1694, $H$1:$H1693))
</f>
        <v/>
      </c>
      <c r="I1694" s="26"/>
      <c r="J1694" s="26" t="s">
        <v>77</v>
      </c>
      <c r="L1694" s="27" t="s">
        <v>77</v>
      </c>
      <c r="N1694" s="28" t="s">
        <v>77</v>
      </c>
      <c r="Q1694" s="30"/>
    </row>
    <row r="1695">
      <c r="B1695" s="6"/>
      <c r="C1695" s="33" t="str">
        <f t="array" ref="C1695">IF(B1695="", "", XLOOKUP(B1695, Inventory!D:D,Inventory!E:E,"No Name Found"))</f>
        <v/>
      </c>
      <c r="D1695" s="6"/>
      <c r="E1695" s="6"/>
      <c r="F1695" s="6"/>
      <c r="G1695" s="24" t="str">
        <f>IF(F1695="", "", VLOOKUP(F1695, Inventory!A:BZ, 3, FALSE) - SUMIF($F$1:$F1694, F1695, $H$1:$H1694))
</f>
        <v/>
      </c>
      <c r="I1695" s="26"/>
      <c r="J1695" s="26" t="s">
        <v>77</v>
      </c>
      <c r="L1695" s="27" t="s">
        <v>77</v>
      </c>
      <c r="N1695" s="28" t="s">
        <v>77</v>
      </c>
      <c r="Q1695" s="30"/>
    </row>
    <row r="1696">
      <c r="B1696" s="6"/>
      <c r="C1696" s="33" t="str">
        <f t="array" ref="C1696">IF(B1696="", "", XLOOKUP(B1696, Inventory!D:D,Inventory!E:E,"No Name Found"))</f>
        <v/>
      </c>
      <c r="D1696" s="6"/>
      <c r="E1696" s="6"/>
      <c r="F1696" s="6"/>
      <c r="G1696" s="24" t="str">
        <f>IF(F1696="", "", VLOOKUP(F1696, Inventory!A:BZ, 3, FALSE) - SUMIF($F$1:$F1695, F1696, $H$1:$H1695))
</f>
        <v/>
      </c>
      <c r="I1696" s="26"/>
      <c r="J1696" s="26" t="s">
        <v>77</v>
      </c>
      <c r="L1696" s="27" t="s">
        <v>77</v>
      </c>
      <c r="N1696" s="28" t="s">
        <v>77</v>
      </c>
      <c r="Q1696" s="30"/>
    </row>
    <row r="1697">
      <c r="B1697" s="6"/>
      <c r="C1697" s="33" t="str">
        <f t="array" ref="C1697">IF(B1697="", "", XLOOKUP(B1697, Inventory!D:D,Inventory!E:E,"No Name Found"))</f>
        <v/>
      </c>
      <c r="D1697" s="6"/>
      <c r="E1697" s="6"/>
      <c r="F1697" s="6"/>
      <c r="G1697" s="24" t="str">
        <f>IF(F1697="", "", VLOOKUP(F1697, Inventory!A:BZ, 3, FALSE) - SUMIF($F$1:$F1696, F1697, $H$1:$H1696))
</f>
        <v/>
      </c>
      <c r="I1697" s="26"/>
      <c r="J1697" s="26" t="s">
        <v>77</v>
      </c>
      <c r="L1697" s="27" t="s">
        <v>77</v>
      </c>
      <c r="N1697" s="28" t="s">
        <v>77</v>
      </c>
      <c r="Q1697" s="30"/>
    </row>
    <row r="1698">
      <c r="B1698" s="6"/>
      <c r="C1698" s="33" t="str">
        <f t="array" ref="C1698">IF(B1698="", "", XLOOKUP(B1698, Inventory!D:D,Inventory!E:E,"No Name Found"))</f>
        <v/>
      </c>
      <c r="D1698" s="6"/>
      <c r="E1698" s="6"/>
      <c r="F1698" s="6"/>
      <c r="G1698" s="24" t="str">
        <f>IF(F1698="", "", VLOOKUP(F1698, Inventory!A:BZ, 3, FALSE) - SUMIF($F$1:$F1697, F1698, $H$1:$H1697))
</f>
        <v/>
      </c>
      <c r="I1698" s="26"/>
      <c r="J1698" s="26" t="s">
        <v>77</v>
      </c>
      <c r="L1698" s="27" t="s">
        <v>77</v>
      </c>
      <c r="N1698" s="28" t="s">
        <v>77</v>
      </c>
      <c r="Q1698" s="30"/>
    </row>
    <row r="1699">
      <c r="B1699" s="6"/>
      <c r="C1699" s="33" t="str">
        <f t="array" ref="C1699">IF(B1699="", "", XLOOKUP(B1699, Inventory!D:D,Inventory!E:E,"No Name Found"))</f>
        <v/>
      </c>
      <c r="D1699" s="6"/>
      <c r="E1699" s="6"/>
      <c r="F1699" s="6"/>
      <c r="G1699" s="24" t="str">
        <f>IF(F1699="", "", VLOOKUP(F1699, Inventory!A:BZ, 3, FALSE) - SUMIF($F$1:$F1698, F1699, $H$1:$H1698))
</f>
        <v/>
      </c>
      <c r="I1699" s="26"/>
      <c r="J1699" s="26" t="s">
        <v>77</v>
      </c>
      <c r="L1699" s="27" t="s">
        <v>77</v>
      </c>
      <c r="N1699" s="28" t="s">
        <v>77</v>
      </c>
      <c r="Q1699" s="30"/>
    </row>
    <row r="1700">
      <c r="B1700" s="6"/>
      <c r="C1700" s="33" t="str">
        <f t="array" ref="C1700">IF(B1700="", "", XLOOKUP(B1700, Inventory!D:D,Inventory!E:E,"No Name Found"))</f>
        <v/>
      </c>
      <c r="D1700" s="6"/>
      <c r="E1700" s="6"/>
      <c r="F1700" s="6"/>
      <c r="G1700" s="24" t="str">
        <f>IF(F1700="", "", VLOOKUP(F1700, Inventory!A:BZ, 3, FALSE) - SUMIF($F$1:$F1699, F1700, $H$1:$H1699))
</f>
        <v/>
      </c>
      <c r="I1700" s="26"/>
      <c r="J1700" s="26" t="s">
        <v>77</v>
      </c>
      <c r="L1700" s="27" t="s">
        <v>77</v>
      </c>
      <c r="N1700" s="28" t="s">
        <v>77</v>
      </c>
      <c r="Q1700" s="30"/>
    </row>
    <row r="1701">
      <c r="B1701" s="6"/>
      <c r="C1701" s="33" t="str">
        <f t="array" ref="C1701">IF(B1701="", "", XLOOKUP(B1701, Inventory!D:D,Inventory!E:E,"No Name Found"))</f>
        <v/>
      </c>
      <c r="D1701" s="6"/>
      <c r="E1701" s="6"/>
      <c r="F1701" s="6"/>
      <c r="G1701" s="24" t="str">
        <f>IF(F1701="", "", VLOOKUP(F1701, Inventory!A:BZ, 3, FALSE) - SUMIF($F$1:$F1700, F1701, $H$1:$H1700))
</f>
        <v/>
      </c>
      <c r="I1701" s="26"/>
      <c r="J1701" s="26" t="s">
        <v>77</v>
      </c>
      <c r="L1701" s="27" t="s">
        <v>77</v>
      </c>
      <c r="N1701" s="28" t="s">
        <v>77</v>
      </c>
      <c r="Q1701" s="30"/>
    </row>
    <row r="1702">
      <c r="B1702" s="6"/>
      <c r="C1702" s="33" t="str">
        <f t="array" ref="C1702">IF(B1702="", "", XLOOKUP(B1702, Inventory!D:D,Inventory!E:E,"No Name Found"))</f>
        <v/>
      </c>
      <c r="D1702" s="6"/>
      <c r="E1702" s="6"/>
      <c r="F1702" s="6"/>
      <c r="G1702" s="24" t="str">
        <f>IF(F1702="", "", VLOOKUP(F1702, Inventory!A:BZ, 3, FALSE) - SUMIF($F$1:$F1701, F1702, $H$1:$H1701))
</f>
        <v/>
      </c>
      <c r="I1702" s="26"/>
      <c r="J1702" s="26" t="s">
        <v>77</v>
      </c>
      <c r="L1702" s="27" t="s">
        <v>77</v>
      </c>
      <c r="N1702" s="28" t="s">
        <v>77</v>
      </c>
      <c r="Q1702" s="30"/>
    </row>
    <row r="1703">
      <c r="B1703" s="6"/>
      <c r="C1703" s="33" t="str">
        <f t="array" ref="C1703">IF(B1703="", "", XLOOKUP(B1703, Inventory!D:D,Inventory!E:E,"No Name Found"))</f>
        <v/>
      </c>
      <c r="D1703" s="6"/>
      <c r="E1703" s="6"/>
      <c r="F1703" s="6"/>
      <c r="G1703" s="24" t="str">
        <f>IF(F1703="", "", VLOOKUP(F1703, Inventory!A:BZ, 3, FALSE) - SUMIF($F$1:$F1702, F1703, $H$1:$H1702))
</f>
        <v/>
      </c>
      <c r="I1703" s="26"/>
      <c r="J1703" s="26" t="s">
        <v>77</v>
      </c>
      <c r="L1703" s="27" t="s">
        <v>77</v>
      </c>
      <c r="N1703" s="28" t="s">
        <v>77</v>
      </c>
      <c r="Q1703" s="30"/>
    </row>
    <row r="1704">
      <c r="B1704" s="6"/>
      <c r="C1704" s="33" t="str">
        <f t="array" ref="C1704">IF(B1704="", "", XLOOKUP(B1704, Inventory!D:D,Inventory!E:E,"No Name Found"))</f>
        <v/>
      </c>
      <c r="D1704" s="6"/>
      <c r="E1704" s="6"/>
      <c r="F1704" s="6"/>
      <c r="G1704" s="24" t="str">
        <f>IF(F1704="", "", VLOOKUP(F1704, Inventory!A:BZ, 3, FALSE) - SUMIF($F$1:$F1703, F1704, $H$1:$H1703))
</f>
        <v/>
      </c>
      <c r="I1704" s="26"/>
      <c r="J1704" s="26" t="s">
        <v>77</v>
      </c>
      <c r="L1704" s="27" t="s">
        <v>77</v>
      </c>
      <c r="N1704" s="28" t="s">
        <v>77</v>
      </c>
      <c r="Q1704" s="30"/>
    </row>
    <row r="1705">
      <c r="B1705" s="6"/>
      <c r="C1705" s="33" t="str">
        <f t="array" ref="C1705">IF(B1705="", "", XLOOKUP(B1705, Inventory!D:D,Inventory!E:E,"No Name Found"))</f>
        <v/>
      </c>
      <c r="D1705" s="6"/>
      <c r="E1705" s="6"/>
      <c r="F1705" s="6"/>
      <c r="G1705" s="24" t="str">
        <f>IF(F1705="", "", VLOOKUP(F1705, Inventory!A:BZ, 3, FALSE) - SUMIF($F$1:$F1704, F1705, $H$1:$H1704))
</f>
        <v/>
      </c>
      <c r="I1705" s="26"/>
      <c r="J1705" s="26" t="s">
        <v>77</v>
      </c>
      <c r="L1705" s="27" t="s">
        <v>77</v>
      </c>
      <c r="N1705" s="28" t="s">
        <v>77</v>
      </c>
      <c r="Q1705" s="30"/>
    </row>
    <row r="1706">
      <c r="B1706" s="6"/>
      <c r="C1706" s="33" t="str">
        <f t="array" ref="C1706">IF(B1706="", "", XLOOKUP(B1706, Inventory!D:D,Inventory!E:E,"No Name Found"))</f>
        <v/>
      </c>
      <c r="D1706" s="6"/>
      <c r="E1706" s="6"/>
      <c r="F1706" s="6"/>
      <c r="G1706" s="24" t="str">
        <f>IF(F1706="", "", VLOOKUP(F1706, Inventory!A:BZ, 3, FALSE) - SUMIF($F$1:$F1705, F1706, $H$1:$H1705))
</f>
        <v/>
      </c>
      <c r="I1706" s="26"/>
      <c r="J1706" s="26" t="s">
        <v>77</v>
      </c>
      <c r="L1706" s="27" t="s">
        <v>77</v>
      </c>
      <c r="N1706" s="28" t="s">
        <v>77</v>
      </c>
      <c r="Q1706" s="30"/>
    </row>
    <row r="1707">
      <c r="B1707" s="6"/>
      <c r="C1707" s="33" t="str">
        <f t="array" ref="C1707">IF(B1707="", "", XLOOKUP(B1707, Inventory!D:D,Inventory!E:E,"No Name Found"))</f>
        <v/>
      </c>
      <c r="D1707" s="6"/>
      <c r="E1707" s="6"/>
      <c r="F1707" s="6"/>
      <c r="G1707" s="24" t="str">
        <f>IF(F1707="", "", VLOOKUP(F1707, Inventory!A:BZ, 3, FALSE) - SUMIF($F$1:$F1706, F1707, $H$1:$H1706))
</f>
        <v/>
      </c>
      <c r="I1707" s="26"/>
      <c r="J1707" s="26" t="s">
        <v>77</v>
      </c>
      <c r="L1707" s="27" t="s">
        <v>77</v>
      </c>
      <c r="N1707" s="28" t="s">
        <v>77</v>
      </c>
      <c r="Q1707" s="30"/>
    </row>
    <row r="1708">
      <c r="B1708" s="6"/>
      <c r="C1708" s="33" t="str">
        <f t="array" ref="C1708">IF(B1708="", "", XLOOKUP(B1708, Inventory!D:D,Inventory!E:E,"No Name Found"))</f>
        <v/>
      </c>
      <c r="D1708" s="6"/>
      <c r="E1708" s="6"/>
      <c r="F1708" s="6"/>
      <c r="G1708" s="24" t="str">
        <f>IF(F1708="", "", VLOOKUP(F1708, Inventory!A:BZ, 3, FALSE) - SUMIF($F$1:$F1707, F1708, $H$1:$H1707))
</f>
        <v/>
      </c>
      <c r="I1708" s="26"/>
      <c r="J1708" s="26" t="s">
        <v>77</v>
      </c>
      <c r="L1708" s="27" t="s">
        <v>77</v>
      </c>
      <c r="N1708" s="28" t="s">
        <v>77</v>
      </c>
      <c r="Q1708" s="30"/>
    </row>
    <row r="1709">
      <c r="B1709" s="6"/>
      <c r="C1709" s="33" t="str">
        <f t="array" ref="C1709">IF(B1709="", "", XLOOKUP(B1709, Inventory!D:D,Inventory!E:E,"No Name Found"))</f>
        <v/>
      </c>
      <c r="D1709" s="6"/>
      <c r="E1709" s="6"/>
      <c r="F1709" s="6"/>
      <c r="G1709" s="24" t="str">
        <f>IF(F1709="", "", VLOOKUP(F1709, Inventory!A:BZ, 3, FALSE) - SUMIF($F$1:$F1708, F1709, $H$1:$H1708))
</f>
        <v/>
      </c>
      <c r="I1709" s="26"/>
      <c r="J1709" s="26" t="s">
        <v>77</v>
      </c>
      <c r="L1709" s="27" t="s">
        <v>77</v>
      </c>
      <c r="N1709" s="28" t="s">
        <v>77</v>
      </c>
      <c r="Q1709" s="30"/>
    </row>
    <row r="1710">
      <c r="B1710" s="6"/>
      <c r="C1710" s="33" t="str">
        <f t="array" ref="C1710">IF(B1710="", "", XLOOKUP(B1710, Inventory!D:D,Inventory!E:E,"No Name Found"))</f>
        <v/>
      </c>
      <c r="D1710" s="6"/>
      <c r="E1710" s="6"/>
      <c r="F1710" s="6"/>
      <c r="G1710" s="24" t="str">
        <f>IF(F1710="", "", VLOOKUP(F1710, Inventory!A:BZ, 3, FALSE) - SUMIF($F$1:$F1709, F1710, $H$1:$H1709))
</f>
        <v/>
      </c>
      <c r="I1710" s="26"/>
      <c r="J1710" s="26" t="s">
        <v>77</v>
      </c>
      <c r="L1710" s="27" t="s">
        <v>77</v>
      </c>
      <c r="N1710" s="28" t="s">
        <v>77</v>
      </c>
      <c r="Q1710" s="30"/>
    </row>
    <row r="1711">
      <c r="B1711" s="6"/>
      <c r="C1711" s="33" t="str">
        <f t="array" ref="C1711">IF(B1711="", "", XLOOKUP(B1711, Inventory!D:D,Inventory!E:E,"No Name Found"))</f>
        <v/>
      </c>
      <c r="D1711" s="6"/>
      <c r="E1711" s="6"/>
      <c r="F1711" s="6"/>
      <c r="G1711" s="24" t="str">
        <f>IF(F1711="", "", VLOOKUP(F1711, Inventory!A:BZ, 3, FALSE) - SUMIF($F$1:$F1710, F1711, $H$1:$H1710))
</f>
        <v/>
      </c>
      <c r="I1711" s="26"/>
      <c r="J1711" s="26" t="s">
        <v>77</v>
      </c>
      <c r="L1711" s="27" t="s">
        <v>77</v>
      </c>
      <c r="N1711" s="28" t="s">
        <v>77</v>
      </c>
      <c r="Q1711" s="30"/>
    </row>
    <row r="1712">
      <c r="B1712" s="6"/>
      <c r="C1712" s="33" t="str">
        <f t="array" ref="C1712">IF(B1712="", "", XLOOKUP(B1712, Inventory!D:D,Inventory!E:E,"No Name Found"))</f>
        <v/>
      </c>
      <c r="D1712" s="6"/>
      <c r="E1712" s="6"/>
      <c r="F1712" s="6"/>
      <c r="G1712" s="24" t="str">
        <f>IF(F1712="", "", VLOOKUP(F1712, Inventory!A:BZ, 3, FALSE) - SUMIF($F$1:$F1711, F1712, $H$1:$H1711))
</f>
        <v/>
      </c>
      <c r="I1712" s="26"/>
      <c r="J1712" s="26" t="s">
        <v>77</v>
      </c>
      <c r="L1712" s="27" t="s">
        <v>77</v>
      </c>
      <c r="N1712" s="28" t="s">
        <v>77</v>
      </c>
      <c r="Q1712" s="30"/>
    </row>
    <row r="1713">
      <c r="B1713" s="6"/>
      <c r="C1713" s="33" t="str">
        <f t="array" ref="C1713">IF(B1713="", "", XLOOKUP(B1713, Inventory!D:D,Inventory!E:E,"No Name Found"))</f>
        <v/>
      </c>
      <c r="D1713" s="6"/>
      <c r="E1713" s="6"/>
      <c r="F1713" s="6"/>
      <c r="G1713" s="24" t="str">
        <f>IF(F1713="", "", VLOOKUP(F1713, Inventory!A:BZ, 3, FALSE) - SUMIF($F$1:$F1712, F1713, $H$1:$H1712))
</f>
        <v/>
      </c>
      <c r="I1713" s="26"/>
      <c r="J1713" s="26" t="s">
        <v>77</v>
      </c>
      <c r="L1713" s="27" t="s">
        <v>77</v>
      </c>
      <c r="N1713" s="28" t="s">
        <v>77</v>
      </c>
      <c r="Q1713" s="30"/>
    </row>
    <row r="1714">
      <c r="B1714" s="6"/>
      <c r="C1714" s="33" t="str">
        <f t="array" ref="C1714">IF(B1714="", "", XLOOKUP(B1714, Inventory!D:D,Inventory!E:E,"No Name Found"))</f>
        <v/>
      </c>
      <c r="D1714" s="6"/>
      <c r="E1714" s="6"/>
      <c r="F1714" s="6"/>
      <c r="G1714" s="24" t="str">
        <f>IF(F1714="", "", VLOOKUP(F1714, Inventory!A:BZ, 3, FALSE) - SUMIF($F$1:$F1713, F1714, $H$1:$H1713))
</f>
        <v/>
      </c>
      <c r="I1714" s="26"/>
      <c r="J1714" s="26" t="s">
        <v>77</v>
      </c>
      <c r="L1714" s="27" t="s">
        <v>77</v>
      </c>
      <c r="N1714" s="28" t="s">
        <v>77</v>
      </c>
      <c r="Q1714" s="30"/>
    </row>
    <row r="1715">
      <c r="B1715" s="6"/>
      <c r="C1715" s="33" t="str">
        <f t="array" ref="C1715">IF(B1715="", "", XLOOKUP(B1715, Inventory!D:D,Inventory!E:E,"No Name Found"))</f>
        <v/>
      </c>
      <c r="D1715" s="6"/>
      <c r="E1715" s="6"/>
      <c r="F1715" s="6"/>
      <c r="G1715" s="24" t="str">
        <f>IF(F1715="", "", VLOOKUP(F1715, Inventory!A:BZ, 3, FALSE) - SUMIF($F$1:$F1714, F1715, $H$1:$H1714))
</f>
        <v/>
      </c>
      <c r="I1715" s="26"/>
      <c r="J1715" s="26" t="s">
        <v>77</v>
      </c>
      <c r="L1715" s="27" t="s">
        <v>77</v>
      </c>
      <c r="N1715" s="28" t="s">
        <v>77</v>
      </c>
      <c r="Q1715" s="30"/>
    </row>
    <row r="1716">
      <c r="B1716" s="6"/>
      <c r="C1716" s="33" t="str">
        <f t="array" ref="C1716">IF(B1716="", "", XLOOKUP(B1716, Inventory!D:D,Inventory!E:E,"No Name Found"))</f>
        <v/>
      </c>
      <c r="D1716" s="6"/>
      <c r="E1716" s="6"/>
      <c r="F1716" s="6"/>
      <c r="G1716" s="24" t="str">
        <f>IF(F1716="", "", VLOOKUP(F1716, Inventory!A:BZ, 3, FALSE) - SUMIF($F$1:$F1715, F1716, $H$1:$H1715))
</f>
        <v/>
      </c>
      <c r="I1716" s="26"/>
      <c r="J1716" s="26" t="s">
        <v>77</v>
      </c>
      <c r="L1716" s="27" t="s">
        <v>77</v>
      </c>
      <c r="N1716" s="28" t="s">
        <v>77</v>
      </c>
      <c r="Q1716" s="30"/>
    </row>
    <row r="1717">
      <c r="B1717" s="6"/>
      <c r="C1717" s="33" t="str">
        <f t="array" ref="C1717">IF(B1717="", "", XLOOKUP(B1717, Inventory!D:D,Inventory!E:E,"No Name Found"))</f>
        <v/>
      </c>
      <c r="D1717" s="6"/>
      <c r="E1717" s="6"/>
      <c r="F1717" s="6"/>
      <c r="G1717" s="24" t="str">
        <f>IF(F1717="", "", VLOOKUP(F1717, Inventory!A:BZ, 3, FALSE) - SUMIF($F$1:$F1716, F1717, $H$1:$H1716))
</f>
        <v/>
      </c>
      <c r="I1717" s="26"/>
      <c r="J1717" s="26" t="s">
        <v>77</v>
      </c>
      <c r="L1717" s="27" t="s">
        <v>77</v>
      </c>
      <c r="N1717" s="28" t="s">
        <v>77</v>
      </c>
      <c r="Q1717" s="30"/>
    </row>
    <row r="1718">
      <c r="B1718" s="6"/>
      <c r="C1718" s="33" t="str">
        <f t="array" ref="C1718">IF(B1718="", "", XLOOKUP(B1718, Inventory!D:D,Inventory!E:E,"No Name Found"))</f>
        <v/>
      </c>
      <c r="D1718" s="6"/>
      <c r="E1718" s="6"/>
      <c r="F1718" s="6"/>
      <c r="G1718" s="24" t="str">
        <f>IF(F1718="", "", VLOOKUP(F1718, Inventory!A:BZ, 3, FALSE) - SUMIF($F$1:$F1717, F1718, $H$1:$H1717))
</f>
        <v/>
      </c>
      <c r="I1718" s="26"/>
      <c r="J1718" s="26" t="s">
        <v>77</v>
      </c>
      <c r="L1718" s="27" t="s">
        <v>77</v>
      </c>
      <c r="N1718" s="28" t="s">
        <v>77</v>
      </c>
      <c r="Q1718" s="30"/>
    </row>
    <row r="1719">
      <c r="B1719" s="6"/>
      <c r="C1719" s="33" t="str">
        <f t="array" ref="C1719">IF(B1719="", "", XLOOKUP(B1719, Inventory!D:D,Inventory!E:E,"No Name Found"))</f>
        <v/>
      </c>
      <c r="D1719" s="6"/>
      <c r="E1719" s="6"/>
      <c r="F1719" s="6"/>
      <c r="G1719" s="24" t="str">
        <f>IF(F1719="", "", VLOOKUP(F1719, Inventory!A:BZ, 3, FALSE) - SUMIF($F$1:$F1718, F1719, $H$1:$H1718))
</f>
        <v/>
      </c>
      <c r="I1719" s="26"/>
      <c r="J1719" s="26" t="s">
        <v>77</v>
      </c>
      <c r="L1719" s="27" t="s">
        <v>77</v>
      </c>
      <c r="N1719" s="28" t="s">
        <v>77</v>
      </c>
      <c r="Q1719" s="30"/>
    </row>
    <row r="1720">
      <c r="B1720" s="6"/>
      <c r="C1720" s="33" t="str">
        <f t="array" ref="C1720">IF(B1720="", "", XLOOKUP(B1720, Inventory!D:D,Inventory!E:E,"No Name Found"))</f>
        <v/>
      </c>
      <c r="D1720" s="6"/>
      <c r="E1720" s="6"/>
      <c r="F1720" s="6"/>
      <c r="G1720" s="24" t="str">
        <f>IF(F1720="", "", VLOOKUP(F1720, Inventory!A:BZ, 3, FALSE) - SUMIF($F$1:$F1719, F1720, $H$1:$H1719))
</f>
        <v/>
      </c>
      <c r="I1720" s="26"/>
      <c r="J1720" s="26" t="s">
        <v>77</v>
      </c>
      <c r="L1720" s="27" t="s">
        <v>77</v>
      </c>
      <c r="N1720" s="28" t="s">
        <v>77</v>
      </c>
      <c r="Q1720" s="30"/>
    </row>
    <row r="1721">
      <c r="B1721" s="6"/>
      <c r="C1721" s="33" t="str">
        <f t="array" ref="C1721">IF(B1721="", "", XLOOKUP(B1721, Inventory!D:D,Inventory!E:E,"No Name Found"))</f>
        <v/>
      </c>
      <c r="D1721" s="6"/>
      <c r="E1721" s="6"/>
      <c r="F1721" s="6"/>
      <c r="G1721" s="24" t="str">
        <f>IF(F1721="", "", VLOOKUP(F1721, Inventory!A:BZ, 3, FALSE) - SUMIF($F$1:$F1720, F1721, $H$1:$H1720))
</f>
        <v/>
      </c>
      <c r="I1721" s="26"/>
      <c r="J1721" s="26" t="s">
        <v>77</v>
      </c>
      <c r="L1721" s="27" t="s">
        <v>77</v>
      </c>
      <c r="N1721" s="28" t="s">
        <v>77</v>
      </c>
      <c r="Q1721" s="30"/>
    </row>
    <row r="1722">
      <c r="B1722" s="6"/>
      <c r="C1722" s="33" t="str">
        <f t="array" ref="C1722">IF(B1722="", "", XLOOKUP(B1722, Inventory!D:D,Inventory!E:E,"No Name Found"))</f>
        <v/>
      </c>
      <c r="D1722" s="6"/>
      <c r="E1722" s="6"/>
      <c r="F1722" s="6"/>
      <c r="G1722" s="24" t="str">
        <f>IF(F1722="", "", VLOOKUP(F1722, Inventory!A:BZ, 3, FALSE) - SUMIF($F$1:$F1721, F1722, $H$1:$H1721))
</f>
        <v/>
      </c>
      <c r="I1722" s="26"/>
      <c r="J1722" s="26" t="s">
        <v>77</v>
      </c>
      <c r="L1722" s="27" t="s">
        <v>77</v>
      </c>
      <c r="N1722" s="28" t="s">
        <v>77</v>
      </c>
      <c r="Q1722" s="30"/>
    </row>
    <row r="1723">
      <c r="B1723" s="6"/>
      <c r="C1723" s="33" t="str">
        <f t="array" ref="C1723">IF(B1723="", "", XLOOKUP(B1723, Inventory!D:D,Inventory!E:E,"No Name Found"))</f>
        <v/>
      </c>
      <c r="D1723" s="6"/>
      <c r="E1723" s="6"/>
      <c r="F1723" s="6"/>
      <c r="G1723" s="24" t="str">
        <f>IF(F1723="", "", VLOOKUP(F1723, Inventory!A:BZ, 3, FALSE) - SUMIF($F$1:$F1722, F1723, $H$1:$H1722))
</f>
        <v/>
      </c>
      <c r="I1723" s="26"/>
      <c r="J1723" s="26" t="s">
        <v>77</v>
      </c>
      <c r="L1723" s="27" t="s">
        <v>77</v>
      </c>
      <c r="N1723" s="28" t="s">
        <v>77</v>
      </c>
      <c r="Q1723" s="30"/>
    </row>
    <row r="1724">
      <c r="B1724" s="6"/>
      <c r="C1724" s="33" t="str">
        <f t="array" ref="C1724">IF(B1724="", "", XLOOKUP(B1724, Inventory!D:D,Inventory!E:E,"No Name Found"))</f>
        <v/>
      </c>
      <c r="D1724" s="6"/>
      <c r="E1724" s="6"/>
      <c r="F1724" s="6"/>
      <c r="G1724" s="24" t="str">
        <f>IF(F1724="", "", VLOOKUP(F1724, Inventory!A:BZ, 3, FALSE) - SUMIF($F$1:$F1723, F1724, $H$1:$H1723))
</f>
        <v/>
      </c>
      <c r="I1724" s="26"/>
      <c r="J1724" s="26" t="s">
        <v>77</v>
      </c>
      <c r="L1724" s="27" t="s">
        <v>77</v>
      </c>
      <c r="N1724" s="28" t="s">
        <v>77</v>
      </c>
      <c r="Q1724" s="30"/>
    </row>
    <row r="1725">
      <c r="B1725" s="6"/>
      <c r="C1725" s="33" t="str">
        <f t="array" ref="C1725">IF(B1725="", "", XLOOKUP(B1725, Inventory!D:D,Inventory!E:E,"No Name Found"))</f>
        <v/>
      </c>
      <c r="D1725" s="6"/>
      <c r="E1725" s="6"/>
      <c r="F1725" s="6"/>
      <c r="G1725" s="24" t="str">
        <f>IF(F1725="", "", VLOOKUP(F1725, Inventory!A:BZ, 3, FALSE) - SUMIF($F$1:$F1724, F1725, $H$1:$H1724))
</f>
        <v/>
      </c>
      <c r="I1725" s="26"/>
      <c r="J1725" s="26" t="s">
        <v>77</v>
      </c>
      <c r="L1725" s="27" t="s">
        <v>77</v>
      </c>
      <c r="N1725" s="28" t="s">
        <v>77</v>
      </c>
      <c r="Q1725" s="30"/>
    </row>
    <row r="1726">
      <c r="B1726" s="6"/>
      <c r="C1726" s="33" t="str">
        <f t="array" ref="C1726">IF(B1726="", "", XLOOKUP(B1726, Inventory!D:D,Inventory!E:E,"No Name Found"))</f>
        <v/>
      </c>
      <c r="D1726" s="6"/>
      <c r="E1726" s="6"/>
      <c r="F1726" s="6"/>
      <c r="G1726" s="24" t="str">
        <f>IF(F1726="", "", VLOOKUP(F1726, Inventory!A:BZ, 3, FALSE) - SUMIF($F$1:$F1725, F1726, $H$1:$H1725))
</f>
        <v/>
      </c>
      <c r="I1726" s="26"/>
      <c r="J1726" s="26" t="s">
        <v>77</v>
      </c>
      <c r="L1726" s="27" t="s">
        <v>77</v>
      </c>
      <c r="N1726" s="28" t="s">
        <v>77</v>
      </c>
      <c r="Q1726" s="30"/>
    </row>
    <row r="1727">
      <c r="B1727" s="6"/>
      <c r="C1727" s="33" t="str">
        <f t="array" ref="C1727">IF(B1727="", "", XLOOKUP(B1727, Inventory!D:D,Inventory!E:E,"No Name Found"))</f>
        <v/>
      </c>
      <c r="D1727" s="6"/>
      <c r="E1727" s="6"/>
      <c r="F1727" s="6"/>
      <c r="G1727" s="24" t="str">
        <f>IF(F1727="", "", VLOOKUP(F1727, Inventory!A:BZ, 3, FALSE) - SUMIF($F$1:$F1726, F1727, $H$1:$H1726))
</f>
        <v/>
      </c>
      <c r="I1727" s="26"/>
      <c r="J1727" s="26" t="s">
        <v>77</v>
      </c>
      <c r="L1727" s="27" t="s">
        <v>77</v>
      </c>
      <c r="N1727" s="28" t="s">
        <v>77</v>
      </c>
      <c r="Q1727" s="30"/>
    </row>
    <row r="1728">
      <c r="B1728" s="6"/>
      <c r="C1728" s="33" t="str">
        <f t="array" ref="C1728">IF(B1728="", "", XLOOKUP(B1728, Inventory!D:D,Inventory!E:E,"No Name Found"))</f>
        <v/>
      </c>
      <c r="D1728" s="6"/>
      <c r="E1728" s="6"/>
      <c r="F1728" s="6"/>
      <c r="G1728" s="24" t="str">
        <f>IF(F1728="", "", VLOOKUP(F1728, Inventory!A:BZ, 3, FALSE) - SUMIF($F$1:$F1727, F1728, $H$1:$H1727))
</f>
        <v/>
      </c>
      <c r="I1728" s="26"/>
      <c r="J1728" s="26" t="s">
        <v>77</v>
      </c>
      <c r="L1728" s="27" t="s">
        <v>77</v>
      </c>
      <c r="N1728" s="28" t="s">
        <v>77</v>
      </c>
      <c r="Q1728" s="30"/>
    </row>
    <row r="1729">
      <c r="B1729" s="6"/>
      <c r="C1729" s="33" t="str">
        <f t="array" ref="C1729">IF(B1729="", "", XLOOKUP(B1729, Inventory!D:D,Inventory!E:E,"No Name Found"))</f>
        <v/>
      </c>
      <c r="D1729" s="6"/>
      <c r="E1729" s="6"/>
      <c r="F1729" s="6"/>
      <c r="G1729" s="24" t="str">
        <f>IF(F1729="", "", VLOOKUP(F1729, Inventory!A:BZ, 3, FALSE) - SUMIF($F$1:$F1728, F1729, $H$1:$H1728))
</f>
        <v/>
      </c>
      <c r="I1729" s="26"/>
      <c r="J1729" s="26" t="s">
        <v>77</v>
      </c>
      <c r="L1729" s="27" t="s">
        <v>77</v>
      </c>
      <c r="N1729" s="28" t="s">
        <v>77</v>
      </c>
      <c r="Q1729" s="30"/>
    </row>
    <row r="1730">
      <c r="B1730" s="6"/>
      <c r="C1730" s="33" t="str">
        <f t="array" ref="C1730">IF(B1730="", "", XLOOKUP(B1730, Inventory!D:D,Inventory!E:E,"No Name Found"))</f>
        <v/>
      </c>
      <c r="D1730" s="6"/>
      <c r="E1730" s="6"/>
      <c r="F1730" s="6"/>
      <c r="G1730" s="24" t="str">
        <f>IF(F1730="", "", VLOOKUP(F1730, Inventory!A:BZ, 3, FALSE) - SUMIF($F$1:$F1729, F1730, $H$1:$H1729))
</f>
        <v/>
      </c>
      <c r="I1730" s="26"/>
      <c r="J1730" s="26" t="s">
        <v>77</v>
      </c>
      <c r="L1730" s="27" t="s">
        <v>77</v>
      </c>
      <c r="N1730" s="28" t="s">
        <v>77</v>
      </c>
      <c r="Q1730" s="30"/>
    </row>
    <row r="1731">
      <c r="B1731" s="6"/>
      <c r="C1731" s="33" t="str">
        <f t="array" ref="C1731">IF(B1731="", "", XLOOKUP(B1731, Inventory!D:D,Inventory!E:E,"No Name Found"))</f>
        <v/>
      </c>
      <c r="D1731" s="6"/>
      <c r="E1731" s="6"/>
      <c r="F1731" s="6"/>
      <c r="G1731" s="24" t="str">
        <f>IF(F1731="", "", VLOOKUP(F1731, Inventory!A:BZ, 3, FALSE) - SUMIF($F$1:$F1730, F1731, $H$1:$H1730))
</f>
        <v/>
      </c>
      <c r="I1731" s="26"/>
      <c r="J1731" s="26" t="s">
        <v>77</v>
      </c>
      <c r="L1731" s="27" t="s">
        <v>77</v>
      </c>
      <c r="N1731" s="28" t="s">
        <v>77</v>
      </c>
      <c r="Q1731" s="30"/>
    </row>
    <row r="1732">
      <c r="B1732" s="6"/>
      <c r="C1732" s="33" t="str">
        <f t="array" ref="C1732">IF(B1732="", "", XLOOKUP(B1732, Inventory!D:D,Inventory!E:E,"No Name Found"))</f>
        <v/>
      </c>
      <c r="D1732" s="6"/>
      <c r="E1732" s="6"/>
      <c r="F1732" s="6"/>
      <c r="G1732" s="24" t="str">
        <f>IF(F1732="", "", VLOOKUP(F1732, Inventory!A:BZ, 3, FALSE) - SUMIF($F$1:$F1731, F1732, $H$1:$H1731))
</f>
        <v/>
      </c>
      <c r="I1732" s="26"/>
      <c r="J1732" s="26" t="s">
        <v>77</v>
      </c>
      <c r="L1732" s="27" t="s">
        <v>77</v>
      </c>
      <c r="N1732" s="28" t="s">
        <v>77</v>
      </c>
      <c r="Q1732" s="30"/>
    </row>
    <row r="1733">
      <c r="B1733" s="6"/>
      <c r="C1733" s="33" t="str">
        <f t="array" ref="C1733">IF(B1733="", "", XLOOKUP(B1733, Inventory!D:D,Inventory!E:E,"No Name Found"))</f>
        <v/>
      </c>
      <c r="D1733" s="6"/>
      <c r="E1733" s="6"/>
      <c r="F1733" s="6"/>
      <c r="G1733" s="24" t="str">
        <f>IF(F1733="", "", VLOOKUP(F1733, Inventory!A:BZ, 3, FALSE) - SUMIF($F$1:$F1732, F1733, $H$1:$H1732))
</f>
        <v/>
      </c>
      <c r="I1733" s="26"/>
      <c r="J1733" s="26" t="s">
        <v>77</v>
      </c>
      <c r="L1733" s="27" t="s">
        <v>77</v>
      </c>
      <c r="N1733" s="28" t="s">
        <v>77</v>
      </c>
      <c r="Q1733" s="30"/>
    </row>
    <row r="1734">
      <c r="B1734" s="6"/>
      <c r="C1734" s="33" t="str">
        <f t="array" ref="C1734">IF(B1734="", "", XLOOKUP(B1734, Inventory!D:D,Inventory!E:E,"No Name Found"))</f>
        <v/>
      </c>
      <c r="D1734" s="6"/>
      <c r="E1734" s="6"/>
      <c r="F1734" s="6"/>
      <c r="G1734" s="24" t="str">
        <f>IF(F1734="", "", VLOOKUP(F1734, Inventory!A:BZ, 3, FALSE) - SUMIF($F$1:$F1733, F1734, $H$1:$H1733))
</f>
        <v/>
      </c>
      <c r="I1734" s="26"/>
      <c r="J1734" s="26" t="s">
        <v>77</v>
      </c>
      <c r="L1734" s="27" t="s">
        <v>77</v>
      </c>
      <c r="N1734" s="28" t="s">
        <v>77</v>
      </c>
      <c r="Q1734" s="30"/>
    </row>
    <row r="1735">
      <c r="B1735" s="6"/>
      <c r="C1735" s="33" t="str">
        <f t="array" ref="C1735">IF(B1735="", "", XLOOKUP(B1735, Inventory!D:D,Inventory!E:E,"No Name Found"))</f>
        <v/>
      </c>
      <c r="D1735" s="6"/>
      <c r="E1735" s="6"/>
      <c r="F1735" s="6"/>
      <c r="G1735" s="24" t="str">
        <f>IF(F1735="", "", VLOOKUP(F1735, Inventory!A:BZ, 3, FALSE) - SUMIF($F$1:$F1734, F1735, $H$1:$H1734))
</f>
        <v/>
      </c>
      <c r="I1735" s="26"/>
      <c r="J1735" s="26" t="s">
        <v>77</v>
      </c>
      <c r="L1735" s="27" t="s">
        <v>77</v>
      </c>
      <c r="N1735" s="28" t="s">
        <v>77</v>
      </c>
      <c r="Q1735" s="30"/>
    </row>
    <row r="1736">
      <c r="B1736" s="6"/>
      <c r="C1736" s="33" t="str">
        <f t="array" ref="C1736">IF(B1736="", "", XLOOKUP(B1736, Inventory!D:D,Inventory!E:E,"No Name Found"))</f>
        <v/>
      </c>
      <c r="D1736" s="6"/>
      <c r="E1736" s="6"/>
      <c r="F1736" s="6"/>
      <c r="G1736" s="24" t="str">
        <f>IF(F1736="", "", VLOOKUP(F1736, Inventory!A:BZ, 3, FALSE) - SUMIF($F$1:$F1735, F1736, $H$1:$H1735))
</f>
        <v/>
      </c>
      <c r="I1736" s="26"/>
      <c r="J1736" s="26" t="s">
        <v>77</v>
      </c>
      <c r="L1736" s="27" t="s">
        <v>77</v>
      </c>
      <c r="N1736" s="28" t="s">
        <v>77</v>
      </c>
      <c r="Q1736" s="30"/>
    </row>
    <row r="1737">
      <c r="B1737" s="6"/>
      <c r="C1737" s="33" t="str">
        <f t="array" ref="C1737">IF(B1737="", "", XLOOKUP(B1737, Inventory!D:D,Inventory!E:E,"No Name Found"))</f>
        <v/>
      </c>
      <c r="D1737" s="6"/>
      <c r="E1737" s="6"/>
      <c r="F1737" s="6"/>
      <c r="G1737" s="24" t="str">
        <f>IF(F1737="", "", VLOOKUP(F1737, Inventory!A:BZ, 3, FALSE) - SUMIF($F$1:$F1736, F1737, $H$1:$H1736))
</f>
        <v/>
      </c>
      <c r="I1737" s="26"/>
      <c r="J1737" s="26" t="s">
        <v>77</v>
      </c>
      <c r="L1737" s="27" t="s">
        <v>77</v>
      </c>
      <c r="N1737" s="28" t="s">
        <v>77</v>
      </c>
      <c r="Q1737" s="30"/>
    </row>
    <row r="1738">
      <c r="B1738" s="6"/>
      <c r="C1738" s="33" t="str">
        <f t="array" ref="C1738">IF(B1738="", "", XLOOKUP(B1738, Inventory!D:D,Inventory!E:E,"No Name Found"))</f>
        <v/>
      </c>
      <c r="D1738" s="6"/>
      <c r="E1738" s="6"/>
      <c r="F1738" s="6"/>
      <c r="G1738" s="24" t="str">
        <f>IF(F1738="", "", VLOOKUP(F1738, Inventory!A:BZ, 3, FALSE) - SUMIF($F$1:$F1737, F1738, $H$1:$H1737))
</f>
        <v/>
      </c>
      <c r="I1738" s="26"/>
      <c r="J1738" s="26" t="s">
        <v>77</v>
      </c>
      <c r="L1738" s="27" t="s">
        <v>77</v>
      </c>
      <c r="N1738" s="28" t="s">
        <v>77</v>
      </c>
      <c r="Q1738" s="30"/>
    </row>
    <row r="1739">
      <c r="B1739" s="6"/>
      <c r="C1739" s="33" t="str">
        <f t="array" ref="C1739">IF(B1739="", "", XLOOKUP(B1739, Inventory!D:D,Inventory!E:E,"No Name Found"))</f>
        <v/>
      </c>
      <c r="D1739" s="6"/>
      <c r="E1739" s="6"/>
      <c r="F1739" s="6"/>
      <c r="G1739" s="24" t="str">
        <f>IF(F1739="", "", VLOOKUP(F1739, Inventory!A:BZ, 3, FALSE) - SUMIF($F$1:$F1738, F1739, $H$1:$H1738))
</f>
        <v/>
      </c>
      <c r="I1739" s="26"/>
      <c r="J1739" s="26" t="s">
        <v>77</v>
      </c>
      <c r="L1739" s="27" t="s">
        <v>77</v>
      </c>
      <c r="N1739" s="28" t="s">
        <v>77</v>
      </c>
      <c r="Q1739" s="30"/>
    </row>
    <row r="1740">
      <c r="B1740" s="6"/>
      <c r="C1740" s="33" t="str">
        <f t="array" ref="C1740">IF(B1740="", "", XLOOKUP(B1740, Inventory!D:D,Inventory!E:E,"No Name Found"))</f>
        <v/>
      </c>
      <c r="D1740" s="6"/>
      <c r="E1740" s="6"/>
      <c r="F1740" s="6"/>
      <c r="G1740" s="24" t="str">
        <f>IF(F1740="", "", VLOOKUP(F1740, Inventory!A:BZ, 3, FALSE) - SUMIF($F$1:$F1739, F1740, $H$1:$H1739))
</f>
        <v/>
      </c>
      <c r="I1740" s="26"/>
      <c r="J1740" s="26" t="s">
        <v>77</v>
      </c>
      <c r="L1740" s="27" t="s">
        <v>77</v>
      </c>
      <c r="N1740" s="28" t="s">
        <v>77</v>
      </c>
      <c r="Q1740" s="30"/>
    </row>
    <row r="1741">
      <c r="B1741" s="6"/>
      <c r="C1741" s="33" t="str">
        <f t="array" ref="C1741">IF(B1741="", "", XLOOKUP(B1741, Inventory!D:D,Inventory!E:E,"No Name Found"))</f>
        <v/>
      </c>
      <c r="D1741" s="6"/>
      <c r="E1741" s="6"/>
      <c r="F1741" s="6"/>
      <c r="G1741" s="24" t="str">
        <f>IF(F1741="", "", VLOOKUP(F1741, Inventory!A:BZ, 3, FALSE) - SUMIF($F$1:$F1740, F1741, $H$1:$H1740))
</f>
        <v/>
      </c>
      <c r="I1741" s="26"/>
      <c r="J1741" s="26" t="s">
        <v>77</v>
      </c>
      <c r="L1741" s="27" t="s">
        <v>77</v>
      </c>
      <c r="N1741" s="28" t="s">
        <v>77</v>
      </c>
      <c r="Q1741" s="30"/>
    </row>
    <row r="1742">
      <c r="B1742" s="6"/>
      <c r="C1742" s="33" t="str">
        <f t="array" ref="C1742">IF(B1742="", "", XLOOKUP(B1742, Inventory!D:D,Inventory!E:E,"No Name Found"))</f>
        <v/>
      </c>
      <c r="D1742" s="6"/>
      <c r="E1742" s="6"/>
      <c r="F1742" s="6"/>
      <c r="G1742" s="24" t="str">
        <f>IF(F1742="", "", VLOOKUP(F1742, Inventory!A:BZ, 3, FALSE) - SUMIF($F$1:$F1741, F1742, $H$1:$H1741))
</f>
        <v/>
      </c>
      <c r="I1742" s="26"/>
      <c r="J1742" s="26" t="s">
        <v>77</v>
      </c>
      <c r="L1742" s="27" t="s">
        <v>77</v>
      </c>
      <c r="N1742" s="28" t="s">
        <v>77</v>
      </c>
      <c r="Q1742" s="30"/>
    </row>
    <row r="1743">
      <c r="B1743" s="6"/>
      <c r="C1743" s="33" t="str">
        <f t="array" ref="C1743">IF(B1743="", "", XLOOKUP(B1743, Inventory!D:D,Inventory!E:E,"No Name Found"))</f>
        <v/>
      </c>
      <c r="D1743" s="6"/>
      <c r="E1743" s="6"/>
      <c r="F1743" s="6"/>
      <c r="G1743" s="24" t="str">
        <f>IF(F1743="", "", VLOOKUP(F1743, Inventory!A:BZ, 3, FALSE) - SUMIF($F$1:$F1742, F1743, $H$1:$H1742))
</f>
        <v/>
      </c>
      <c r="I1743" s="26"/>
      <c r="J1743" s="26" t="s">
        <v>77</v>
      </c>
      <c r="L1743" s="27" t="s">
        <v>77</v>
      </c>
      <c r="N1743" s="28" t="s">
        <v>77</v>
      </c>
      <c r="Q1743" s="30"/>
    </row>
    <row r="1744">
      <c r="B1744" s="6"/>
      <c r="C1744" s="33" t="str">
        <f t="array" ref="C1744">IF(B1744="", "", XLOOKUP(B1744, Inventory!D:D,Inventory!E:E,"No Name Found"))</f>
        <v/>
      </c>
      <c r="D1744" s="6"/>
      <c r="E1744" s="6"/>
      <c r="F1744" s="6"/>
      <c r="G1744" s="24" t="str">
        <f>IF(F1744="", "", VLOOKUP(F1744, Inventory!A:BZ, 3, FALSE) - SUMIF($F$1:$F1743, F1744, $H$1:$H1743))
</f>
        <v/>
      </c>
      <c r="I1744" s="26"/>
      <c r="J1744" s="26" t="s">
        <v>77</v>
      </c>
      <c r="L1744" s="27" t="s">
        <v>77</v>
      </c>
      <c r="N1744" s="28" t="s">
        <v>77</v>
      </c>
      <c r="Q1744" s="30"/>
    </row>
    <row r="1745">
      <c r="B1745" s="6"/>
      <c r="C1745" s="33" t="str">
        <f t="array" ref="C1745">IF(B1745="", "", XLOOKUP(B1745, Inventory!D:D,Inventory!E:E,"No Name Found"))</f>
        <v/>
      </c>
      <c r="D1745" s="6"/>
      <c r="E1745" s="6"/>
      <c r="F1745" s="6"/>
      <c r="G1745" s="24" t="str">
        <f>IF(F1745="", "", VLOOKUP(F1745, Inventory!A:BZ, 3, FALSE) - SUMIF($F$1:$F1744, F1745, $H$1:$H1744))
</f>
        <v/>
      </c>
      <c r="I1745" s="26"/>
      <c r="J1745" s="26" t="s">
        <v>77</v>
      </c>
      <c r="L1745" s="27" t="s">
        <v>77</v>
      </c>
      <c r="N1745" s="28" t="s">
        <v>77</v>
      </c>
      <c r="Q1745" s="30"/>
    </row>
    <row r="1746">
      <c r="B1746" s="6"/>
      <c r="C1746" s="33" t="str">
        <f t="array" ref="C1746">IF(B1746="", "", XLOOKUP(B1746, Inventory!D:D,Inventory!E:E,"No Name Found"))</f>
        <v/>
      </c>
      <c r="D1746" s="6"/>
      <c r="E1746" s="6"/>
      <c r="F1746" s="6"/>
      <c r="G1746" s="24" t="str">
        <f>IF(F1746="", "", VLOOKUP(F1746, Inventory!A:BZ, 3, FALSE) - SUMIF($F$1:$F1745, F1746, $H$1:$H1745))
</f>
        <v/>
      </c>
      <c r="I1746" s="26"/>
      <c r="J1746" s="26" t="s">
        <v>77</v>
      </c>
      <c r="L1746" s="27" t="s">
        <v>77</v>
      </c>
      <c r="N1746" s="28" t="s">
        <v>77</v>
      </c>
      <c r="Q1746" s="30"/>
    </row>
    <row r="1747">
      <c r="B1747" s="6"/>
      <c r="C1747" s="33" t="str">
        <f t="array" ref="C1747">IF(B1747="", "", XLOOKUP(B1747, Inventory!D:D,Inventory!E:E,"No Name Found"))</f>
        <v/>
      </c>
      <c r="D1747" s="6"/>
      <c r="E1747" s="6"/>
      <c r="F1747" s="6"/>
      <c r="G1747" s="24" t="str">
        <f>IF(F1747="", "", VLOOKUP(F1747, Inventory!A:BZ, 3, FALSE) - SUMIF($F$1:$F1746, F1747, $H$1:$H1746))
</f>
        <v/>
      </c>
      <c r="I1747" s="26"/>
      <c r="J1747" s="26" t="s">
        <v>77</v>
      </c>
      <c r="L1747" s="27" t="s">
        <v>77</v>
      </c>
      <c r="N1747" s="28" t="s">
        <v>77</v>
      </c>
      <c r="Q1747" s="30"/>
    </row>
    <row r="1748">
      <c r="B1748" s="6"/>
      <c r="C1748" s="33" t="str">
        <f t="array" ref="C1748">IF(B1748="", "", XLOOKUP(B1748, Inventory!D:D,Inventory!E:E,"No Name Found"))</f>
        <v/>
      </c>
      <c r="D1748" s="6"/>
      <c r="E1748" s="6"/>
      <c r="F1748" s="6"/>
      <c r="G1748" s="24" t="str">
        <f>IF(F1748="", "", VLOOKUP(F1748, Inventory!A:BZ, 3, FALSE) - SUMIF($F$1:$F1747, F1748, $H$1:$H1747))
</f>
        <v/>
      </c>
      <c r="I1748" s="26"/>
      <c r="J1748" s="26" t="s">
        <v>77</v>
      </c>
      <c r="L1748" s="27" t="s">
        <v>77</v>
      </c>
      <c r="N1748" s="28" t="s">
        <v>77</v>
      </c>
      <c r="Q1748" s="30"/>
    </row>
    <row r="1749">
      <c r="B1749" s="6"/>
      <c r="C1749" s="33" t="str">
        <f t="array" ref="C1749">IF(B1749="", "", XLOOKUP(B1749, Inventory!D:D,Inventory!E:E,"No Name Found"))</f>
        <v/>
      </c>
      <c r="D1749" s="6"/>
      <c r="E1749" s="6"/>
      <c r="F1749" s="6"/>
      <c r="G1749" s="24" t="str">
        <f>IF(F1749="", "", VLOOKUP(F1749, Inventory!A:BZ, 3, FALSE) - SUMIF($F$1:$F1748, F1749, $H$1:$H1748))
</f>
        <v/>
      </c>
      <c r="I1749" s="26"/>
      <c r="J1749" s="26" t="s">
        <v>77</v>
      </c>
      <c r="L1749" s="27" t="s">
        <v>77</v>
      </c>
      <c r="N1749" s="28" t="s">
        <v>77</v>
      </c>
      <c r="Q1749" s="30"/>
    </row>
    <row r="1750">
      <c r="B1750" s="6"/>
      <c r="C1750" s="33" t="str">
        <f t="array" ref="C1750">IF(B1750="", "", XLOOKUP(B1750, Inventory!D:D,Inventory!E:E,"No Name Found"))</f>
        <v/>
      </c>
      <c r="D1750" s="6"/>
      <c r="E1750" s="6"/>
      <c r="F1750" s="6"/>
      <c r="G1750" s="24" t="str">
        <f>IF(F1750="", "", VLOOKUP(F1750, Inventory!A:BZ, 3, FALSE) - SUMIF($F$1:$F1749, F1750, $H$1:$H1749))
</f>
        <v/>
      </c>
      <c r="I1750" s="26"/>
      <c r="J1750" s="26" t="s">
        <v>77</v>
      </c>
      <c r="L1750" s="27" t="s">
        <v>77</v>
      </c>
      <c r="N1750" s="28" t="s">
        <v>77</v>
      </c>
      <c r="Q1750" s="30"/>
    </row>
    <row r="1751">
      <c r="B1751" s="6"/>
      <c r="C1751" s="33" t="str">
        <f t="array" ref="C1751">IF(B1751="", "", XLOOKUP(B1751, Inventory!D:D,Inventory!E:E,"No Name Found"))</f>
        <v/>
      </c>
      <c r="D1751" s="6"/>
      <c r="E1751" s="6"/>
      <c r="F1751" s="6"/>
      <c r="G1751" s="24" t="str">
        <f>IF(F1751="", "", VLOOKUP(F1751, Inventory!A:BZ, 3, FALSE) - SUMIF($F$1:$F1750, F1751, $H$1:$H1750))
</f>
        <v/>
      </c>
      <c r="I1751" s="26"/>
      <c r="J1751" s="26" t="s">
        <v>77</v>
      </c>
      <c r="L1751" s="27" t="s">
        <v>77</v>
      </c>
      <c r="N1751" s="28" t="s">
        <v>77</v>
      </c>
      <c r="Q1751" s="30"/>
    </row>
    <row r="1752">
      <c r="B1752" s="6"/>
      <c r="C1752" s="33" t="str">
        <f t="array" ref="C1752">IF(B1752="", "", XLOOKUP(B1752, Inventory!D:D,Inventory!E:E,"No Name Found"))</f>
        <v/>
      </c>
      <c r="D1752" s="6"/>
      <c r="E1752" s="6"/>
      <c r="F1752" s="6"/>
      <c r="G1752" s="24" t="str">
        <f>IF(F1752="", "", VLOOKUP(F1752, Inventory!A:BZ, 3, FALSE) - SUMIF($F$1:$F1751, F1752, $H$1:$H1751))
</f>
        <v/>
      </c>
      <c r="I1752" s="26"/>
      <c r="J1752" s="26" t="s">
        <v>77</v>
      </c>
      <c r="L1752" s="27" t="s">
        <v>77</v>
      </c>
      <c r="N1752" s="28" t="s">
        <v>77</v>
      </c>
      <c r="Q1752" s="30"/>
    </row>
    <row r="1753">
      <c r="B1753" s="6"/>
      <c r="C1753" s="33" t="str">
        <f t="array" ref="C1753">IF(B1753="", "", XLOOKUP(B1753, Inventory!D:D,Inventory!E:E,"No Name Found"))</f>
        <v/>
      </c>
      <c r="D1753" s="6"/>
      <c r="E1753" s="6"/>
      <c r="F1753" s="6"/>
      <c r="G1753" s="24" t="str">
        <f>IF(F1753="", "", VLOOKUP(F1753, Inventory!A:BZ, 3, FALSE) - SUMIF($F$1:$F1752, F1753, $H$1:$H1752))
</f>
        <v/>
      </c>
      <c r="I1753" s="26"/>
      <c r="J1753" s="26" t="s">
        <v>77</v>
      </c>
      <c r="L1753" s="27" t="s">
        <v>77</v>
      </c>
      <c r="N1753" s="28" t="s">
        <v>77</v>
      </c>
      <c r="Q1753" s="30"/>
    </row>
    <row r="1754">
      <c r="B1754" s="6"/>
      <c r="C1754" s="33" t="str">
        <f t="array" ref="C1754">IF(B1754="", "", XLOOKUP(B1754, Inventory!D:D,Inventory!E:E,"No Name Found"))</f>
        <v/>
      </c>
      <c r="D1754" s="6"/>
      <c r="E1754" s="6"/>
      <c r="F1754" s="6"/>
      <c r="G1754" s="24" t="str">
        <f>IF(F1754="", "", VLOOKUP(F1754, Inventory!A:BZ, 3, FALSE) - SUMIF($F$1:$F1753, F1754, $H$1:$H1753))
</f>
        <v/>
      </c>
      <c r="I1754" s="26"/>
      <c r="J1754" s="26" t="s">
        <v>77</v>
      </c>
      <c r="L1754" s="27" t="s">
        <v>77</v>
      </c>
      <c r="N1754" s="28" t="s">
        <v>77</v>
      </c>
      <c r="Q1754" s="30"/>
    </row>
    <row r="1755">
      <c r="B1755" s="6"/>
      <c r="C1755" s="33" t="str">
        <f t="array" ref="C1755">IF(B1755="", "", XLOOKUP(B1755, Inventory!D:D,Inventory!E:E,"No Name Found"))</f>
        <v/>
      </c>
      <c r="D1755" s="6"/>
      <c r="E1755" s="6"/>
      <c r="F1755" s="6"/>
      <c r="G1755" s="24" t="str">
        <f>IF(F1755="", "", VLOOKUP(F1755, Inventory!A:BZ, 3, FALSE) - SUMIF($F$1:$F1754, F1755, $H$1:$H1754))
</f>
        <v/>
      </c>
      <c r="I1755" s="26"/>
      <c r="J1755" s="26" t="s">
        <v>77</v>
      </c>
      <c r="L1755" s="27" t="s">
        <v>77</v>
      </c>
      <c r="N1755" s="28" t="s">
        <v>77</v>
      </c>
      <c r="Q1755" s="30"/>
    </row>
    <row r="1756">
      <c r="B1756" s="6"/>
      <c r="C1756" s="33" t="str">
        <f t="array" ref="C1756">IF(B1756="", "", XLOOKUP(B1756, Inventory!D:D,Inventory!E:E,"No Name Found"))</f>
        <v/>
      </c>
      <c r="D1756" s="6"/>
      <c r="E1756" s="6"/>
      <c r="F1756" s="6"/>
      <c r="G1756" s="24" t="str">
        <f>IF(F1756="", "", VLOOKUP(F1756, Inventory!A:BZ, 3, FALSE) - SUMIF($F$1:$F1755, F1756, $H$1:$H1755))
</f>
        <v/>
      </c>
      <c r="I1756" s="26"/>
      <c r="J1756" s="26" t="s">
        <v>77</v>
      </c>
      <c r="L1756" s="27" t="s">
        <v>77</v>
      </c>
      <c r="N1756" s="28" t="s">
        <v>77</v>
      </c>
      <c r="Q1756" s="30"/>
    </row>
    <row r="1757">
      <c r="B1757" s="6"/>
      <c r="C1757" s="33" t="str">
        <f t="array" ref="C1757">IF(B1757="", "", XLOOKUP(B1757, Inventory!D:D,Inventory!E:E,"No Name Found"))</f>
        <v/>
      </c>
      <c r="D1757" s="6"/>
      <c r="E1757" s="6"/>
      <c r="F1757" s="6"/>
      <c r="G1757" s="24" t="str">
        <f>IF(F1757="", "", VLOOKUP(F1757, Inventory!A:BZ, 3, FALSE) - SUMIF($F$1:$F1756, F1757, $H$1:$H1756))
</f>
        <v/>
      </c>
      <c r="I1757" s="26"/>
      <c r="J1757" s="26" t="s">
        <v>77</v>
      </c>
      <c r="L1757" s="27" t="s">
        <v>77</v>
      </c>
      <c r="N1757" s="28" t="s">
        <v>77</v>
      </c>
      <c r="Q1757" s="30"/>
    </row>
    <row r="1758">
      <c r="B1758" s="6"/>
      <c r="C1758" s="33" t="str">
        <f t="array" ref="C1758">IF(B1758="", "", XLOOKUP(B1758, Inventory!D:D,Inventory!E:E,"No Name Found"))</f>
        <v/>
      </c>
      <c r="D1758" s="6"/>
      <c r="E1758" s="6"/>
      <c r="F1758" s="6"/>
      <c r="G1758" s="24" t="str">
        <f>IF(F1758="", "", VLOOKUP(F1758, Inventory!A:BZ, 3, FALSE) - SUMIF($F$1:$F1757, F1758, $H$1:$H1757))
</f>
        <v/>
      </c>
      <c r="I1758" s="26"/>
      <c r="J1758" s="26" t="s">
        <v>77</v>
      </c>
      <c r="L1758" s="27" t="s">
        <v>77</v>
      </c>
      <c r="N1758" s="28" t="s">
        <v>77</v>
      </c>
      <c r="Q1758" s="30"/>
    </row>
    <row r="1759">
      <c r="B1759" s="6"/>
      <c r="C1759" s="33" t="str">
        <f t="array" ref="C1759">IF(B1759="", "", XLOOKUP(B1759, Inventory!D:D,Inventory!E:E,"No Name Found"))</f>
        <v/>
      </c>
      <c r="D1759" s="6"/>
      <c r="E1759" s="6"/>
      <c r="F1759" s="6"/>
      <c r="G1759" s="24" t="str">
        <f>IF(F1759="", "", VLOOKUP(F1759, Inventory!A:BZ, 3, FALSE) - SUMIF($F$1:$F1758, F1759, $H$1:$H1758))
</f>
        <v/>
      </c>
      <c r="I1759" s="26"/>
      <c r="J1759" s="26" t="s">
        <v>77</v>
      </c>
      <c r="L1759" s="27" t="s">
        <v>77</v>
      </c>
      <c r="N1759" s="28" t="s">
        <v>77</v>
      </c>
      <c r="Q1759" s="30"/>
    </row>
    <row r="1760">
      <c r="B1760" s="6"/>
      <c r="C1760" s="33" t="str">
        <f t="array" ref="C1760">IF(B1760="", "", XLOOKUP(B1760, Inventory!D:D,Inventory!E:E,"No Name Found"))</f>
        <v/>
      </c>
      <c r="D1760" s="6"/>
      <c r="E1760" s="6"/>
      <c r="F1760" s="6"/>
      <c r="G1760" s="24" t="str">
        <f>IF(F1760="", "", VLOOKUP(F1760, Inventory!A:BZ, 3, FALSE) - SUMIF($F$1:$F1759, F1760, $H$1:$H1759))
</f>
        <v/>
      </c>
      <c r="I1760" s="26"/>
      <c r="J1760" s="26" t="s">
        <v>77</v>
      </c>
      <c r="L1760" s="27" t="s">
        <v>77</v>
      </c>
      <c r="N1760" s="28" t="s">
        <v>77</v>
      </c>
      <c r="Q1760" s="30"/>
    </row>
    <row r="1761">
      <c r="B1761" s="6"/>
      <c r="C1761" s="33" t="str">
        <f t="array" ref="C1761">IF(B1761="", "", XLOOKUP(B1761, Inventory!D:D,Inventory!E:E,"No Name Found"))</f>
        <v/>
      </c>
      <c r="D1761" s="6"/>
      <c r="E1761" s="6"/>
      <c r="F1761" s="6"/>
      <c r="G1761" s="24" t="str">
        <f>IF(F1761="", "", VLOOKUP(F1761, Inventory!A:BZ, 3, FALSE) - SUMIF($F$1:$F1760, F1761, $H$1:$H1760))
</f>
        <v/>
      </c>
      <c r="I1761" s="26"/>
      <c r="J1761" s="26" t="s">
        <v>77</v>
      </c>
      <c r="L1761" s="27" t="s">
        <v>77</v>
      </c>
      <c r="N1761" s="28" t="s">
        <v>77</v>
      </c>
      <c r="Q1761" s="30"/>
    </row>
    <row r="1762">
      <c r="B1762" s="6"/>
      <c r="C1762" s="33" t="str">
        <f t="array" ref="C1762">IF(B1762="", "", XLOOKUP(B1762, Inventory!D:D,Inventory!E:E,"No Name Found"))</f>
        <v/>
      </c>
      <c r="D1762" s="6"/>
      <c r="E1762" s="6"/>
      <c r="F1762" s="6"/>
      <c r="G1762" s="24" t="str">
        <f>IF(F1762="", "", VLOOKUP(F1762, Inventory!A:BZ, 3, FALSE) - SUMIF($F$1:$F1761, F1762, $H$1:$H1761))
</f>
        <v/>
      </c>
      <c r="I1762" s="26"/>
      <c r="J1762" s="26" t="s">
        <v>77</v>
      </c>
      <c r="L1762" s="27" t="s">
        <v>77</v>
      </c>
      <c r="N1762" s="28" t="s">
        <v>77</v>
      </c>
      <c r="Q1762" s="30"/>
    </row>
    <row r="1763">
      <c r="B1763" s="6"/>
      <c r="C1763" s="33" t="str">
        <f t="array" ref="C1763">IF(B1763="", "", XLOOKUP(B1763, Inventory!D:D,Inventory!E:E,"No Name Found"))</f>
        <v/>
      </c>
      <c r="D1763" s="6"/>
      <c r="E1763" s="6"/>
      <c r="F1763" s="6"/>
      <c r="G1763" s="24" t="str">
        <f>IF(F1763="", "", VLOOKUP(F1763, Inventory!A:BZ, 3, FALSE) - SUMIF($F$1:$F1762, F1763, $H$1:$H1762))
</f>
        <v/>
      </c>
      <c r="I1763" s="26"/>
      <c r="J1763" s="26" t="s">
        <v>77</v>
      </c>
      <c r="L1763" s="27" t="s">
        <v>77</v>
      </c>
      <c r="N1763" s="28" t="s">
        <v>77</v>
      </c>
      <c r="Q1763" s="30"/>
    </row>
    <row r="1764">
      <c r="B1764" s="6"/>
      <c r="C1764" s="33" t="str">
        <f t="array" ref="C1764">IF(B1764="", "", XLOOKUP(B1764, Inventory!D:D,Inventory!E:E,"No Name Found"))</f>
        <v/>
      </c>
      <c r="D1764" s="6"/>
      <c r="E1764" s="6"/>
      <c r="F1764" s="6"/>
      <c r="G1764" s="24" t="str">
        <f>IF(F1764="", "", VLOOKUP(F1764, Inventory!A:BZ, 3, FALSE) - SUMIF($F$1:$F1763, F1764, $H$1:$H1763))
</f>
        <v/>
      </c>
      <c r="I1764" s="26"/>
      <c r="J1764" s="26" t="s">
        <v>77</v>
      </c>
      <c r="L1764" s="27" t="s">
        <v>77</v>
      </c>
      <c r="N1764" s="28" t="s">
        <v>77</v>
      </c>
      <c r="Q1764" s="30"/>
    </row>
    <row r="1765">
      <c r="B1765" s="6"/>
      <c r="C1765" s="33" t="str">
        <f t="array" ref="C1765">IF(B1765="", "", XLOOKUP(B1765, Inventory!D:D,Inventory!E:E,"No Name Found"))</f>
        <v/>
      </c>
      <c r="D1765" s="6"/>
      <c r="E1765" s="6"/>
      <c r="F1765" s="6"/>
      <c r="G1765" s="24" t="str">
        <f>IF(F1765="", "", VLOOKUP(F1765, Inventory!A:BZ, 3, FALSE) - SUMIF($F$1:$F1764, F1765, $H$1:$H1764))
</f>
        <v/>
      </c>
      <c r="I1765" s="26"/>
      <c r="J1765" s="26" t="s">
        <v>77</v>
      </c>
      <c r="L1765" s="27" t="s">
        <v>77</v>
      </c>
      <c r="N1765" s="28" t="s">
        <v>77</v>
      </c>
      <c r="Q1765" s="30"/>
    </row>
    <row r="1766">
      <c r="B1766" s="6"/>
      <c r="C1766" s="33" t="str">
        <f t="array" ref="C1766">IF(B1766="", "", XLOOKUP(B1766, Inventory!D:D,Inventory!E:E,"No Name Found"))</f>
        <v/>
      </c>
      <c r="D1766" s="6"/>
      <c r="E1766" s="6"/>
      <c r="F1766" s="6"/>
      <c r="G1766" s="24" t="str">
        <f>IF(F1766="", "", VLOOKUP(F1766, Inventory!A:BZ, 3, FALSE) - SUMIF($F$1:$F1765, F1766, $H$1:$H1765))
</f>
        <v/>
      </c>
      <c r="I1766" s="26"/>
      <c r="J1766" s="26" t="s">
        <v>77</v>
      </c>
      <c r="L1766" s="27" t="s">
        <v>77</v>
      </c>
      <c r="N1766" s="28" t="s">
        <v>77</v>
      </c>
      <c r="Q1766" s="30"/>
    </row>
    <row r="1767">
      <c r="B1767" s="6"/>
      <c r="C1767" s="33" t="str">
        <f t="array" ref="C1767">IF(B1767="", "", XLOOKUP(B1767, Inventory!D:D,Inventory!E:E,"No Name Found"))</f>
        <v/>
      </c>
      <c r="D1767" s="6"/>
      <c r="E1767" s="6"/>
      <c r="F1767" s="6"/>
      <c r="G1767" s="24" t="str">
        <f>IF(F1767="", "", VLOOKUP(F1767, Inventory!A:BZ, 3, FALSE) - SUMIF($F$1:$F1766, F1767, $H$1:$H1766))
</f>
        <v/>
      </c>
      <c r="I1767" s="26"/>
      <c r="J1767" s="26" t="s">
        <v>77</v>
      </c>
      <c r="L1767" s="27" t="s">
        <v>77</v>
      </c>
      <c r="N1767" s="28" t="s">
        <v>77</v>
      </c>
      <c r="Q1767" s="30"/>
    </row>
    <row r="1768">
      <c r="B1768" s="6"/>
      <c r="C1768" s="33" t="str">
        <f t="array" ref="C1768">IF(B1768="", "", XLOOKUP(B1768, Inventory!D:D,Inventory!E:E,"No Name Found"))</f>
        <v/>
      </c>
      <c r="D1768" s="6"/>
      <c r="E1768" s="6"/>
      <c r="F1768" s="6"/>
      <c r="G1768" s="24" t="str">
        <f>IF(F1768="", "", VLOOKUP(F1768, Inventory!A:BZ, 3, FALSE) - SUMIF($F$1:$F1767, F1768, $H$1:$H1767))
</f>
        <v/>
      </c>
      <c r="I1768" s="26"/>
      <c r="J1768" s="26" t="s">
        <v>77</v>
      </c>
      <c r="L1768" s="27" t="s">
        <v>77</v>
      </c>
      <c r="N1768" s="28" t="s">
        <v>77</v>
      </c>
      <c r="Q1768" s="30"/>
    </row>
    <row r="1769">
      <c r="B1769" s="6"/>
      <c r="C1769" s="33" t="str">
        <f t="array" ref="C1769">IF(B1769="", "", XLOOKUP(B1769, Inventory!D:D,Inventory!E:E,"No Name Found"))</f>
        <v/>
      </c>
      <c r="D1769" s="6"/>
      <c r="E1769" s="6"/>
      <c r="F1769" s="6"/>
      <c r="G1769" s="24" t="str">
        <f>IF(F1769="", "", VLOOKUP(F1769, Inventory!A:BZ, 3, FALSE) - SUMIF($F$1:$F1768, F1769, $H$1:$H1768))
</f>
        <v/>
      </c>
      <c r="I1769" s="26"/>
      <c r="J1769" s="26" t="s">
        <v>77</v>
      </c>
      <c r="L1769" s="27" t="s">
        <v>77</v>
      </c>
      <c r="N1769" s="28" t="s">
        <v>77</v>
      </c>
      <c r="Q1769" s="30"/>
    </row>
    <row r="1770">
      <c r="B1770" s="6"/>
      <c r="C1770" s="33" t="str">
        <f t="array" ref="C1770">IF(B1770="", "", XLOOKUP(B1770, Inventory!D:D,Inventory!E:E,"No Name Found"))</f>
        <v/>
      </c>
      <c r="D1770" s="6"/>
      <c r="E1770" s="6"/>
      <c r="F1770" s="6"/>
      <c r="G1770" s="24" t="str">
        <f>IF(F1770="", "", VLOOKUP(F1770, Inventory!A:BZ, 3, FALSE) - SUMIF($F$1:$F1769, F1770, $H$1:$H1769))
</f>
        <v/>
      </c>
      <c r="I1770" s="26"/>
      <c r="J1770" s="26" t="s">
        <v>77</v>
      </c>
      <c r="L1770" s="27" t="s">
        <v>77</v>
      </c>
      <c r="N1770" s="28" t="s">
        <v>77</v>
      </c>
      <c r="Q1770" s="30"/>
    </row>
    <row r="1771">
      <c r="B1771" s="6"/>
      <c r="C1771" s="33" t="str">
        <f t="array" ref="C1771">IF(B1771="", "", XLOOKUP(B1771, Inventory!D:D,Inventory!E:E,"No Name Found"))</f>
        <v/>
      </c>
      <c r="D1771" s="6"/>
      <c r="E1771" s="6"/>
      <c r="F1771" s="6"/>
      <c r="G1771" s="24" t="str">
        <f>IF(F1771="", "", VLOOKUP(F1771, Inventory!A:BZ, 3, FALSE) - SUMIF($F$1:$F1770, F1771, $H$1:$H1770))
</f>
        <v/>
      </c>
      <c r="I1771" s="26"/>
      <c r="J1771" s="26" t="s">
        <v>77</v>
      </c>
      <c r="L1771" s="27" t="s">
        <v>77</v>
      </c>
      <c r="N1771" s="28" t="s">
        <v>77</v>
      </c>
      <c r="Q1771" s="30"/>
    </row>
    <row r="1772">
      <c r="B1772" s="6"/>
      <c r="C1772" s="33" t="str">
        <f t="array" ref="C1772">IF(B1772="", "", XLOOKUP(B1772, Inventory!D:D,Inventory!E:E,"No Name Found"))</f>
        <v/>
      </c>
      <c r="D1772" s="6"/>
      <c r="E1772" s="6"/>
      <c r="F1772" s="6"/>
      <c r="G1772" s="24" t="str">
        <f>IF(F1772="", "", VLOOKUP(F1772, Inventory!A:BZ, 3, FALSE) - SUMIF($F$1:$F1771, F1772, $H$1:$H1771))
</f>
        <v/>
      </c>
      <c r="I1772" s="26"/>
      <c r="J1772" s="26" t="s">
        <v>77</v>
      </c>
      <c r="L1772" s="27" t="s">
        <v>77</v>
      </c>
      <c r="N1772" s="28" t="s">
        <v>77</v>
      </c>
      <c r="Q1772" s="30"/>
    </row>
    <row r="1773">
      <c r="B1773" s="6"/>
      <c r="C1773" s="33" t="str">
        <f t="array" ref="C1773">IF(B1773="", "", XLOOKUP(B1773, Inventory!D:D,Inventory!E:E,"No Name Found"))</f>
        <v/>
      </c>
      <c r="D1773" s="6"/>
      <c r="E1773" s="6"/>
      <c r="F1773" s="6"/>
      <c r="G1773" s="24" t="str">
        <f>IF(F1773="", "", VLOOKUP(F1773, Inventory!A:BZ, 3, FALSE) - SUMIF($F$1:$F1772, F1773, $H$1:$H1772))
</f>
        <v/>
      </c>
      <c r="I1773" s="26"/>
      <c r="J1773" s="26" t="s">
        <v>77</v>
      </c>
      <c r="L1773" s="27" t="s">
        <v>77</v>
      </c>
      <c r="N1773" s="28" t="s">
        <v>77</v>
      </c>
      <c r="Q1773" s="30"/>
    </row>
    <row r="1774">
      <c r="B1774" s="6"/>
      <c r="C1774" s="33" t="str">
        <f t="array" ref="C1774">IF(B1774="", "", XLOOKUP(B1774, Inventory!D:D,Inventory!E:E,"No Name Found"))</f>
        <v/>
      </c>
      <c r="D1774" s="6"/>
      <c r="E1774" s="6"/>
      <c r="F1774" s="6"/>
      <c r="G1774" s="24" t="str">
        <f>IF(F1774="", "", VLOOKUP(F1774, Inventory!A:BZ, 3, FALSE) - SUMIF($F$1:$F1773, F1774, $H$1:$H1773))
</f>
        <v/>
      </c>
      <c r="I1774" s="26"/>
      <c r="J1774" s="26" t="s">
        <v>77</v>
      </c>
      <c r="L1774" s="27" t="s">
        <v>77</v>
      </c>
      <c r="N1774" s="28" t="s">
        <v>77</v>
      </c>
      <c r="Q1774" s="30"/>
    </row>
    <row r="1775">
      <c r="B1775" s="6"/>
      <c r="C1775" s="33" t="str">
        <f t="array" ref="C1775">IF(B1775="", "", XLOOKUP(B1775, Inventory!D:D,Inventory!E:E,"No Name Found"))</f>
        <v/>
      </c>
      <c r="D1775" s="6"/>
      <c r="E1775" s="6"/>
      <c r="F1775" s="6"/>
      <c r="G1775" s="24" t="str">
        <f>IF(F1775="", "", VLOOKUP(F1775, Inventory!A:BZ, 3, FALSE) - SUMIF($F$1:$F1774, F1775, $H$1:$H1774))
</f>
        <v/>
      </c>
      <c r="I1775" s="26"/>
      <c r="J1775" s="26" t="s">
        <v>77</v>
      </c>
      <c r="L1775" s="27" t="s">
        <v>77</v>
      </c>
      <c r="N1775" s="28" t="s">
        <v>77</v>
      </c>
      <c r="Q1775" s="30"/>
    </row>
    <row r="1776">
      <c r="B1776" s="6"/>
      <c r="C1776" s="33" t="str">
        <f t="array" ref="C1776">IF(B1776="", "", XLOOKUP(B1776, Inventory!D:D,Inventory!E:E,"No Name Found"))</f>
        <v/>
      </c>
      <c r="D1776" s="6"/>
      <c r="E1776" s="6"/>
      <c r="F1776" s="6"/>
      <c r="G1776" s="24" t="str">
        <f>IF(F1776="", "", VLOOKUP(F1776, Inventory!A:BZ, 3, FALSE) - SUMIF($F$1:$F1775, F1776, $H$1:$H1775))
</f>
        <v/>
      </c>
      <c r="I1776" s="26"/>
      <c r="J1776" s="26" t="s">
        <v>77</v>
      </c>
      <c r="L1776" s="27" t="s">
        <v>77</v>
      </c>
      <c r="N1776" s="28" t="s">
        <v>77</v>
      </c>
      <c r="Q1776" s="30"/>
    </row>
    <row r="1777">
      <c r="B1777" s="6"/>
      <c r="C1777" s="33" t="str">
        <f t="array" ref="C1777">IF(B1777="", "", XLOOKUP(B1777, Inventory!D:D,Inventory!E:E,"No Name Found"))</f>
        <v/>
      </c>
      <c r="D1777" s="6"/>
      <c r="E1777" s="6"/>
      <c r="F1777" s="6"/>
      <c r="G1777" s="24" t="str">
        <f>IF(F1777="", "", VLOOKUP(F1777, Inventory!A:BZ, 3, FALSE) - SUMIF($F$1:$F1776, F1777, $H$1:$H1776))
</f>
        <v/>
      </c>
      <c r="I1777" s="26"/>
      <c r="J1777" s="26" t="s">
        <v>77</v>
      </c>
      <c r="L1777" s="27" t="s">
        <v>77</v>
      </c>
      <c r="N1777" s="28" t="s">
        <v>77</v>
      </c>
      <c r="Q1777" s="30"/>
    </row>
    <row r="1778">
      <c r="B1778" s="6"/>
      <c r="C1778" s="33" t="str">
        <f t="array" ref="C1778">IF(B1778="", "", XLOOKUP(B1778, Inventory!D:D,Inventory!E:E,"No Name Found"))</f>
        <v/>
      </c>
      <c r="D1778" s="6"/>
      <c r="E1778" s="6"/>
      <c r="F1778" s="6"/>
      <c r="G1778" s="24" t="str">
        <f>IF(F1778="", "", VLOOKUP(F1778, Inventory!A:BZ, 3, FALSE) - SUMIF($F$1:$F1777, F1778, $H$1:$H1777))
</f>
        <v/>
      </c>
      <c r="I1778" s="26"/>
      <c r="J1778" s="26" t="s">
        <v>77</v>
      </c>
      <c r="L1778" s="27" t="s">
        <v>77</v>
      </c>
      <c r="N1778" s="28" t="s">
        <v>77</v>
      </c>
      <c r="Q1778" s="30"/>
    </row>
    <row r="1779">
      <c r="B1779" s="6"/>
      <c r="C1779" s="33" t="str">
        <f t="array" ref="C1779">IF(B1779="", "", XLOOKUP(B1779, Inventory!D:D,Inventory!E:E,"No Name Found"))</f>
        <v/>
      </c>
      <c r="D1779" s="6"/>
      <c r="E1779" s="6"/>
      <c r="F1779" s="6"/>
      <c r="G1779" s="24" t="str">
        <f>IF(F1779="", "", VLOOKUP(F1779, Inventory!A:BZ, 3, FALSE) - SUMIF($F$1:$F1778, F1779, $H$1:$H1778))
</f>
        <v/>
      </c>
      <c r="I1779" s="26"/>
      <c r="J1779" s="26" t="s">
        <v>77</v>
      </c>
      <c r="L1779" s="27" t="s">
        <v>77</v>
      </c>
      <c r="N1779" s="28" t="s">
        <v>77</v>
      </c>
      <c r="Q1779" s="30"/>
    </row>
    <row r="1780">
      <c r="B1780" s="6"/>
      <c r="C1780" s="33" t="str">
        <f t="array" ref="C1780">IF(B1780="", "", XLOOKUP(B1780, Inventory!D:D,Inventory!E:E,"No Name Found"))</f>
        <v/>
      </c>
      <c r="D1780" s="6"/>
      <c r="E1780" s="6"/>
      <c r="F1780" s="6"/>
      <c r="G1780" s="24" t="str">
        <f>IF(F1780="", "", VLOOKUP(F1780, Inventory!A:BZ, 3, FALSE) - SUMIF($F$1:$F1779, F1780, $H$1:$H1779))
</f>
        <v/>
      </c>
      <c r="I1780" s="26"/>
      <c r="J1780" s="26" t="s">
        <v>77</v>
      </c>
      <c r="L1780" s="27" t="s">
        <v>77</v>
      </c>
      <c r="N1780" s="28" t="s">
        <v>77</v>
      </c>
      <c r="Q1780" s="30"/>
    </row>
    <row r="1781">
      <c r="B1781" s="6"/>
      <c r="C1781" s="33" t="str">
        <f t="array" ref="C1781">IF(B1781="", "", XLOOKUP(B1781, Inventory!D:D,Inventory!E:E,"No Name Found"))</f>
        <v/>
      </c>
      <c r="D1781" s="6"/>
      <c r="E1781" s="6"/>
      <c r="F1781" s="6"/>
      <c r="G1781" s="24" t="str">
        <f>IF(F1781="", "", VLOOKUP(F1781, Inventory!A:BZ, 3, FALSE) - SUMIF($F$1:$F1780, F1781, $H$1:$H1780))
</f>
        <v/>
      </c>
      <c r="I1781" s="26"/>
      <c r="J1781" s="26" t="s">
        <v>77</v>
      </c>
      <c r="L1781" s="27" t="s">
        <v>77</v>
      </c>
      <c r="N1781" s="28" t="s">
        <v>77</v>
      </c>
      <c r="Q1781" s="30"/>
    </row>
    <row r="1782">
      <c r="B1782" s="6"/>
      <c r="C1782" s="33" t="str">
        <f t="array" ref="C1782">IF(B1782="", "", XLOOKUP(B1782, Inventory!D:D,Inventory!E:E,"No Name Found"))</f>
        <v/>
      </c>
      <c r="D1782" s="6"/>
      <c r="E1782" s="6"/>
      <c r="F1782" s="6"/>
      <c r="G1782" s="24" t="str">
        <f>IF(F1782="", "", VLOOKUP(F1782, Inventory!A:BZ, 3, FALSE) - SUMIF($F$1:$F1781, F1782, $H$1:$H1781))
</f>
        <v/>
      </c>
      <c r="I1782" s="26"/>
      <c r="J1782" s="26" t="s">
        <v>77</v>
      </c>
      <c r="L1782" s="27" t="s">
        <v>77</v>
      </c>
      <c r="N1782" s="28" t="s">
        <v>77</v>
      </c>
      <c r="Q1782" s="30"/>
    </row>
    <row r="1783">
      <c r="B1783" s="6"/>
      <c r="C1783" s="33" t="str">
        <f t="array" ref="C1783">IF(B1783="", "", XLOOKUP(B1783, Inventory!D:D,Inventory!E:E,"No Name Found"))</f>
        <v/>
      </c>
      <c r="D1783" s="6"/>
      <c r="E1783" s="6"/>
      <c r="F1783" s="6"/>
      <c r="G1783" s="24" t="str">
        <f>IF(F1783="", "", VLOOKUP(F1783, Inventory!A:BZ, 3, FALSE) - SUMIF($F$1:$F1782, F1783, $H$1:$H1782))
</f>
        <v/>
      </c>
      <c r="I1783" s="26"/>
      <c r="J1783" s="26" t="s">
        <v>77</v>
      </c>
      <c r="L1783" s="27" t="s">
        <v>77</v>
      </c>
      <c r="N1783" s="28" t="s">
        <v>77</v>
      </c>
      <c r="Q1783" s="30"/>
    </row>
    <row r="1784">
      <c r="B1784" s="6"/>
      <c r="C1784" s="33" t="str">
        <f t="array" ref="C1784">IF(B1784="", "", XLOOKUP(B1784, Inventory!D:D,Inventory!E:E,"No Name Found"))</f>
        <v/>
      </c>
      <c r="D1784" s="6"/>
      <c r="E1784" s="6"/>
      <c r="F1784" s="6"/>
      <c r="G1784" s="24" t="str">
        <f>IF(F1784="", "", VLOOKUP(F1784, Inventory!A:BZ, 3, FALSE) - SUMIF($F$1:$F1783, F1784, $H$1:$H1783))
</f>
        <v/>
      </c>
      <c r="I1784" s="26"/>
      <c r="J1784" s="26" t="s">
        <v>77</v>
      </c>
      <c r="L1784" s="27" t="s">
        <v>77</v>
      </c>
      <c r="N1784" s="28" t="s">
        <v>77</v>
      </c>
      <c r="Q1784" s="30"/>
    </row>
    <row r="1785">
      <c r="B1785" s="6"/>
      <c r="C1785" s="33" t="str">
        <f t="array" ref="C1785">IF(B1785="", "", XLOOKUP(B1785, Inventory!D:D,Inventory!E:E,"No Name Found"))</f>
        <v/>
      </c>
      <c r="D1785" s="6"/>
      <c r="E1785" s="6"/>
      <c r="F1785" s="6"/>
      <c r="G1785" s="24" t="str">
        <f>IF(F1785="", "", VLOOKUP(F1785, Inventory!A:BZ, 3, FALSE) - SUMIF($F$1:$F1784, F1785, $H$1:$H1784))
</f>
        <v/>
      </c>
      <c r="I1785" s="26"/>
      <c r="J1785" s="26" t="s">
        <v>77</v>
      </c>
      <c r="L1785" s="27" t="s">
        <v>77</v>
      </c>
      <c r="N1785" s="28" t="s">
        <v>77</v>
      </c>
      <c r="Q1785" s="30"/>
    </row>
    <row r="1786">
      <c r="B1786" s="6"/>
      <c r="C1786" s="33" t="str">
        <f t="array" ref="C1786">IF(B1786="", "", XLOOKUP(B1786, Inventory!D:D,Inventory!E:E,"No Name Found"))</f>
        <v/>
      </c>
      <c r="D1786" s="6"/>
      <c r="E1786" s="6"/>
      <c r="F1786" s="6"/>
      <c r="G1786" s="24" t="str">
        <f>IF(F1786="", "", VLOOKUP(F1786, Inventory!A:BZ, 3, FALSE) - SUMIF($F$1:$F1785, F1786, $H$1:$H1785))
</f>
        <v/>
      </c>
      <c r="I1786" s="26"/>
      <c r="J1786" s="26" t="s">
        <v>77</v>
      </c>
      <c r="L1786" s="27" t="s">
        <v>77</v>
      </c>
      <c r="N1786" s="28" t="s">
        <v>77</v>
      </c>
      <c r="Q1786" s="30"/>
    </row>
    <row r="1787">
      <c r="B1787" s="6"/>
      <c r="C1787" s="33" t="str">
        <f t="array" ref="C1787">IF(B1787="", "", XLOOKUP(B1787, Inventory!D:D,Inventory!E:E,"No Name Found"))</f>
        <v/>
      </c>
      <c r="D1787" s="6"/>
      <c r="E1787" s="6"/>
      <c r="F1787" s="6"/>
      <c r="G1787" s="24" t="str">
        <f>IF(F1787="", "", VLOOKUP(F1787, Inventory!A:BZ, 3, FALSE) - SUMIF($F$1:$F1786, F1787, $H$1:$H1786))
</f>
        <v/>
      </c>
      <c r="I1787" s="26"/>
      <c r="J1787" s="26" t="s">
        <v>77</v>
      </c>
      <c r="L1787" s="27" t="s">
        <v>77</v>
      </c>
      <c r="N1787" s="28" t="s">
        <v>77</v>
      </c>
      <c r="Q1787" s="30"/>
    </row>
    <row r="1788">
      <c r="B1788" s="6"/>
      <c r="C1788" s="33" t="str">
        <f t="array" ref="C1788">IF(B1788="", "", XLOOKUP(B1788, Inventory!D:D,Inventory!E:E,"No Name Found"))</f>
        <v/>
      </c>
      <c r="D1788" s="6"/>
      <c r="E1788" s="6"/>
      <c r="F1788" s="6"/>
      <c r="G1788" s="24" t="str">
        <f>IF(F1788="", "", VLOOKUP(F1788, Inventory!A:BZ, 3, FALSE) - SUMIF($F$1:$F1787, F1788, $H$1:$H1787))
</f>
        <v/>
      </c>
      <c r="I1788" s="26"/>
      <c r="J1788" s="26" t="s">
        <v>77</v>
      </c>
      <c r="L1788" s="27" t="s">
        <v>77</v>
      </c>
      <c r="N1788" s="28" t="s">
        <v>77</v>
      </c>
      <c r="Q1788" s="30"/>
    </row>
    <row r="1789">
      <c r="B1789" s="6"/>
      <c r="C1789" s="33" t="str">
        <f t="array" ref="C1789">IF(B1789="", "", XLOOKUP(B1789, Inventory!D:D,Inventory!E:E,"No Name Found"))</f>
        <v/>
      </c>
      <c r="D1789" s="6"/>
      <c r="E1789" s="6"/>
      <c r="F1789" s="6"/>
      <c r="G1789" s="24" t="str">
        <f>IF(F1789="", "", VLOOKUP(F1789, Inventory!A:BZ, 3, FALSE) - SUMIF($F$1:$F1788, F1789, $H$1:$H1788))
</f>
        <v/>
      </c>
      <c r="I1789" s="26"/>
      <c r="J1789" s="26" t="s">
        <v>77</v>
      </c>
      <c r="L1789" s="27" t="s">
        <v>77</v>
      </c>
      <c r="N1789" s="28" t="s">
        <v>77</v>
      </c>
      <c r="Q1789" s="30"/>
    </row>
    <row r="1790">
      <c r="B1790" s="6"/>
      <c r="C1790" s="33" t="str">
        <f t="array" ref="C1790">IF(B1790="", "", XLOOKUP(B1790, Inventory!D:D,Inventory!E:E,"No Name Found"))</f>
        <v/>
      </c>
      <c r="D1790" s="6"/>
      <c r="E1790" s="6"/>
      <c r="F1790" s="6"/>
      <c r="G1790" s="24" t="str">
        <f>IF(F1790="", "", VLOOKUP(F1790, Inventory!A:BZ, 3, FALSE) - SUMIF($F$1:$F1789, F1790, $H$1:$H1789))
</f>
        <v/>
      </c>
      <c r="I1790" s="26"/>
      <c r="J1790" s="26" t="s">
        <v>77</v>
      </c>
      <c r="L1790" s="27" t="s">
        <v>77</v>
      </c>
      <c r="N1790" s="28" t="s">
        <v>77</v>
      </c>
      <c r="Q1790" s="30"/>
    </row>
    <row r="1791">
      <c r="B1791" s="6"/>
      <c r="C1791" s="33" t="str">
        <f t="array" ref="C1791">IF(B1791="", "", XLOOKUP(B1791, Inventory!D:D,Inventory!E:E,"No Name Found"))</f>
        <v/>
      </c>
      <c r="D1791" s="6"/>
      <c r="E1791" s="6"/>
      <c r="F1791" s="6"/>
      <c r="G1791" s="24" t="str">
        <f>IF(F1791="", "", VLOOKUP(F1791, Inventory!A:BZ, 3, FALSE) - SUMIF($F$1:$F1790, F1791, $H$1:$H1790))
</f>
        <v/>
      </c>
      <c r="I1791" s="26"/>
      <c r="J1791" s="26" t="s">
        <v>77</v>
      </c>
      <c r="L1791" s="27" t="s">
        <v>77</v>
      </c>
      <c r="N1791" s="28" t="s">
        <v>77</v>
      </c>
      <c r="Q1791" s="30"/>
    </row>
    <row r="1792">
      <c r="B1792" s="6"/>
      <c r="C1792" s="33" t="str">
        <f t="array" ref="C1792">IF(B1792="", "", XLOOKUP(B1792, Inventory!D:D,Inventory!E:E,"No Name Found"))</f>
        <v/>
      </c>
      <c r="D1792" s="6"/>
      <c r="E1792" s="6"/>
      <c r="F1792" s="6"/>
      <c r="G1792" s="24" t="str">
        <f>IF(F1792="", "", VLOOKUP(F1792, Inventory!A:BZ, 3, FALSE) - SUMIF($F$1:$F1791, F1792, $H$1:$H1791))
</f>
        <v/>
      </c>
      <c r="I1792" s="26"/>
      <c r="J1792" s="26" t="s">
        <v>77</v>
      </c>
      <c r="L1792" s="27" t="s">
        <v>77</v>
      </c>
      <c r="N1792" s="28" t="s">
        <v>77</v>
      </c>
      <c r="Q1792" s="30"/>
    </row>
    <row r="1793">
      <c r="B1793" s="6"/>
      <c r="C1793" s="33" t="str">
        <f t="array" ref="C1793">IF(B1793="", "", XLOOKUP(B1793, Inventory!D:D,Inventory!E:E,"No Name Found"))</f>
        <v/>
      </c>
      <c r="D1793" s="6"/>
      <c r="E1793" s="6"/>
      <c r="F1793" s="6"/>
      <c r="G1793" s="24" t="str">
        <f>IF(F1793="", "", VLOOKUP(F1793, Inventory!A:BZ, 3, FALSE) - SUMIF($F$1:$F1792, F1793, $H$1:$H1792))
</f>
        <v/>
      </c>
      <c r="I1793" s="26"/>
      <c r="J1793" s="26" t="s">
        <v>77</v>
      </c>
      <c r="L1793" s="27" t="s">
        <v>77</v>
      </c>
      <c r="N1793" s="28" t="s">
        <v>77</v>
      </c>
      <c r="Q1793" s="30"/>
    </row>
    <row r="1794">
      <c r="B1794" s="6"/>
      <c r="C1794" s="33" t="str">
        <f t="array" ref="C1794">IF(B1794="", "", XLOOKUP(B1794, Inventory!D:D,Inventory!E:E,"No Name Found"))</f>
        <v/>
      </c>
      <c r="D1794" s="6"/>
      <c r="E1794" s="6"/>
      <c r="F1794" s="6"/>
      <c r="G1794" s="24" t="str">
        <f>IF(F1794="", "", VLOOKUP(F1794, Inventory!A:BZ, 3, FALSE) - SUMIF($F$1:$F1793, F1794, $H$1:$H1793))
</f>
        <v/>
      </c>
      <c r="I1794" s="26"/>
      <c r="J1794" s="26" t="s">
        <v>77</v>
      </c>
      <c r="L1794" s="27" t="s">
        <v>77</v>
      </c>
      <c r="N1794" s="28" t="s">
        <v>77</v>
      </c>
      <c r="Q1794" s="30"/>
    </row>
    <row r="1795">
      <c r="B1795" s="6"/>
      <c r="C1795" s="33" t="str">
        <f t="array" ref="C1795">IF(B1795="", "", XLOOKUP(B1795, Inventory!D:D,Inventory!E:E,"No Name Found"))</f>
        <v/>
      </c>
      <c r="D1795" s="6"/>
      <c r="E1795" s="6"/>
      <c r="F1795" s="6"/>
      <c r="G1795" s="24" t="str">
        <f>IF(F1795="", "", VLOOKUP(F1795, Inventory!A:BZ, 3, FALSE) - SUMIF($F$1:$F1794, F1795, $H$1:$H1794))
</f>
        <v/>
      </c>
      <c r="I1795" s="26"/>
      <c r="J1795" s="26" t="s">
        <v>77</v>
      </c>
      <c r="L1795" s="27" t="s">
        <v>77</v>
      </c>
      <c r="N1795" s="28" t="s">
        <v>77</v>
      </c>
      <c r="Q1795" s="30"/>
    </row>
    <row r="1796">
      <c r="B1796" s="6"/>
      <c r="C1796" s="33" t="str">
        <f t="array" ref="C1796">IF(B1796="", "", XLOOKUP(B1796, Inventory!D:D,Inventory!E:E,"No Name Found"))</f>
        <v/>
      </c>
      <c r="D1796" s="6"/>
      <c r="E1796" s="6"/>
      <c r="F1796" s="6"/>
      <c r="G1796" s="24" t="str">
        <f>IF(F1796="", "", VLOOKUP(F1796, Inventory!A:BZ, 3, FALSE) - SUMIF($F$1:$F1795, F1796, $H$1:$H1795))
</f>
        <v/>
      </c>
      <c r="I1796" s="26"/>
      <c r="J1796" s="26" t="s">
        <v>77</v>
      </c>
      <c r="L1796" s="27" t="s">
        <v>77</v>
      </c>
      <c r="N1796" s="28" t="s">
        <v>77</v>
      </c>
      <c r="Q1796" s="30"/>
    </row>
    <row r="1797">
      <c r="B1797" s="6"/>
      <c r="C1797" s="33" t="str">
        <f t="array" ref="C1797">IF(B1797="", "", XLOOKUP(B1797, Inventory!D:D,Inventory!E:E,"No Name Found"))</f>
        <v/>
      </c>
      <c r="D1797" s="6"/>
      <c r="E1797" s="6"/>
      <c r="F1797" s="6"/>
      <c r="G1797" s="24" t="str">
        <f>IF(F1797="", "", VLOOKUP(F1797, Inventory!A:BZ, 3, FALSE) - SUMIF($F$1:$F1796, F1797, $H$1:$H1796))
</f>
        <v/>
      </c>
      <c r="I1797" s="26"/>
      <c r="J1797" s="26" t="s">
        <v>77</v>
      </c>
      <c r="L1797" s="27" t="s">
        <v>77</v>
      </c>
      <c r="N1797" s="28" t="s">
        <v>77</v>
      </c>
      <c r="Q1797" s="30"/>
    </row>
    <row r="1798">
      <c r="B1798" s="6"/>
      <c r="C1798" s="33" t="str">
        <f t="array" ref="C1798">IF(B1798="", "", XLOOKUP(B1798, Inventory!D:D,Inventory!E:E,"No Name Found"))</f>
        <v/>
      </c>
      <c r="D1798" s="6"/>
      <c r="E1798" s="6"/>
      <c r="F1798" s="6"/>
      <c r="G1798" s="24" t="str">
        <f>IF(F1798="", "", VLOOKUP(F1798, Inventory!A:BZ, 3, FALSE) - SUMIF($F$1:$F1797, F1798, $H$1:$H1797))
</f>
        <v/>
      </c>
      <c r="I1798" s="26"/>
      <c r="J1798" s="26" t="s">
        <v>77</v>
      </c>
      <c r="L1798" s="27" t="s">
        <v>77</v>
      </c>
      <c r="N1798" s="28" t="s">
        <v>77</v>
      </c>
      <c r="Q1798" s="30"/>
    </row>
    <row r="1799">
      <c r="B1799" s="6"/>
      <c r="C1799" s="33" t="str">
        <f t="array" ref="C1799">IF(B1799="", "", XLOOKUP(B1799, Inventory!D:D,Inventory!E:E,"No Name Found"))</f>
        <v/>
      </c>
      <c r="D1799" s="6"/>
      <c r="E1799" s="6"/>
      <c r="F1799" s="6"/>
      <c r="G1799" s="24" t="str">
        <f>IF(F1799="", "", VLOOKUP(F1799, Inventory!A:BZ, 3, FALSE) - SUMIF($F$1:$F1798, F1799, $H$1:$H1798))
</f>
        <v/>
      </c>
      <c r="I1799" s="26"/>
      <c r="J1799" s="26" t="s">
        <v>77</v>
      </c>
      <c r="L1799" s="27" t="s">
        <v>77</v>
      </c>
      <c r="N1799" s="28" t="s">
        <v>77</v>
      </c>
      <c r="Q1799" s="30"/>
    </row>
    <row r="1800">
      <c r="B1800" s="6"/>
      <c r="C1800" s="33" t="str">
        <f t="array" ref="C1800">IF(B1800="", "", XLOOKUP(B1800, Inventory!D:D,Inventory!E:E,"No Name Found"))</f>
        <v/>
      </c>
      <c r="D1800" s="6"/>
      <c r="E1800" s="6"/>
      <c r="F1800" s="6"/>
      <c r="G1800" s="24" t="str">
        <f>IF(F1800="", "", VLOOKUP(F1800, Inventory!A:BZ, 3, FALSE) - SUMIF($F$1:$F1799, F1800, $H$1:$H1799))
</f>
        <v/>
      </c>
      <c r="I1800" s="26"/>
      <c r="J1800" s="26" t="s">
        <v>77</v>
      </c>
      <c r="L1800" s="27" t="s">
        <v>77</v>
      </c>
      <c r="N1800" s="28" t="s">
        <v>77</v>
      </c>
      <c r="Q1800" s="30"/>
    </row>
    <row r="1801">
      <c r="B1801" s="6"/>
      <c r="C1801" s="33" t="str">
        <f t="array" ref="C1801">IF(B1801="", "", XLOOKUP(B1801, Inventory!D:D,Inventory!E:E,"No Name Found"))</f>
        <v/>
      </c>
      <c r="D1801" s="6"/>
      <c r="E1801" s="6"/>
      <c r="F1801" s="6"/>
      <c r="G1801" s="24" t="str">
        <f>IF(F1801="", "", VLOOKUP(F1801, Inventory!A:BZ, 3, FALSE) - SUMIF($F$1:$F1800, F1801, $H$1:$H1800))
</f>
        <v/>
      </c>
      <c r="I1801" s="26"/>
      <c r="J1801" s="26" t="s">
        <v>77</v>
      </c>
      <c r="L1801" s="27" t="s">
        <v>77</v>
      </c>
      <c r="N1801" s="28" t="s">
        <v>77</v>
      </c>
      <c r="Q1801" s="30"/>
    </row>
    <row r="1802">
      <c r="B1802" s="6"/>
      <c r="C1802" s="33" t="str">
        <f t="array" ref="C1802">IF(B1802="", "", XLOOKUP(B1802, Inventory!D:D,Inventory!E:E,"No Name Found"))</f>
        <v/>
      </c>
      <c r="D1802" s="6"/>
      <c r="E1802" s="6"/>
      <c r="F1802" s="6"/>
      <c r="G1802" s="24" t="str">
        <f>IF(F1802="", "", VLOOKUP(F1802, Inventory!A:BZ, 3, FALSE) - SUMIF($F$1:$F1801, F1802, $H$1:$H1801))
</f>
        <v/>
      </c>
      <c r="I1802" s="26"/>
      <c r="J1802" s="26" t="s">
        <v>77</v>
      </c>
      <c r="L1802" s="27" t="s">
        <v>77</v>
      </c>
      <c r="N1802" s="28" t="s">
        <v>77</v>
      </c>
      <c r="Q1802" s="30"/>
    </row>
    <row r="1803">
      <c r="B1803" s="6"/>
      <c r="C1803" s="33" t="str">
        <f t="array" ref="C1803">IF(B1803="", "", XLOOKUP(B1803, Inventory!D:D,Inventory!E:E,"No Name Found"))</f>
        <v/>
      </c>
      <c r="D1803" s="6"/>
      <c r="E1803" s="6"/>
      <c r="F1803" s="6"/>
      <c r="G1803" s="24" t="str">
        <f>IF(F1803="", "", VLOOKUP(F1803, Inventory!A:BZ, 3, FALSE) - SUMIF($F$1:$F1802, F1803, $H$1:$H1802))
</f>
        <v/>
      </c>
      <c r="I1803" s="26"/>
      <c r="J1803" s="26" t="s">
        <v>77</v>
      </c>
      <c r="L1803" s="27" t="s">
        <v>77</v>
      </c>
      <c r="N1803" s="28" t="s">
        <v>77</v>
      </c>
      <c r="Q1803" s="30"/>
    </row>
    <row r="1804">
      <c r="B1804" s="6"/>
      <c r="C1804" s="33" t="str">
        <f t="array" ref="C1804">IF(B1804="", "", XLOOKUP(B1804, Inventory!D:D,Inventory!E:E,"No Name Found"))</f>
        <v/>
      </c>
      <c r="D1804" s="6"/>
      <c r="E1804" s="6"/>
      <c r="F1804" s="6"/>
      <c r="G1804" s="24" t="str">
        <f>IF(F1804="", "", VLOOKUP(F1804, Inventory!A:BZ, 3, FALSE) - SUMIF($F$1:$F1803, F1804, $H$1:$H1803))
</f>
        <v/>
      </c>
      <c r="I1804" s="26"/>
      <c r="J1804" s="26" t="s">
        <v>77</v>
      </c>
      <c r="L1804" s="27" t="s">
        <v>77</v>
      </c>
      <c r="N1804" s="28" t="s">
        <v>77</v>
      </c>
      <c r="Q1804" s="30"/>
    </row>
    <row r="1805">
      <c r="B1805" s="6"/>
      <c r="C1805" s="33" t="str">
        <f t="array" ref="C1805">IF(B1805="", "", XLOOKUP(B1805, Inventory!D:D,Inventory!E:E,"No Name Found"))</f>
        <v/>
      </c>
      <c r="D1805" s="6"/>
      <c r="E1805" s="6"/>
      <c r="F1805" s="6"/>
      <c r="G1805" s="24" t="str">
        <f>IF(F1805="", "", VLOOKUP(F1805, Inventory!A:BZ, 3, FALSE) - SUMIF($F$1:$F1804, F1805, $H$1:$H1804))
</f>
        <v/>
      </c>
      <c r="I1805" s="26"/>
      <c r="J1805" s="26" t="s">
        <v>77</v>
      </c>
      <c r="L1805" s="27" t="s">
        <v>77</v>
      </c>
      <c r="N1805" s="28" t="s">
        <v>77</v>
      </c>
      <c r="Q1805" s="30"/>
    </row>
    <row r="1806">
      <c r="B1806" s="6"/>
      <c r="C1806" s="33" t="str">
        <f t="array" ref="C1806">IF(B1806="", "", XLOOKUP(B1806, Inventory!D:D,Inventory!E:E,"No Name Found"))</f>
        <v/>
      </c>
      <c r="D1806" s="6"/>
      <c r="E1806" s="6"/>
      <c r="F1806" s="6"/>
      <c r="G1806" s="24" t="str">
        <f>IF(F1806="", "", VLOOKUP(F1806, Inventory!A:BZ, 3, FALSE) - SUMIF($F$1:$F1805, F1806, $H$1:$H1805))
</f>
        <v/>
      </c>
      <c r="I1806" s="26"/>
      <c r="J1806" s="26" t="s">
        <v>77</v>
      </c>
      <c r="L1806" s="27" t="s">
        <v>77</v>
      </c>
      <c r="N1806" s="28" t="s">
        <v>77</v>
      </c>
      <c r="Q1806" s="30"/>
    </row>
    <row r="1807">
      <c r="B1807" s="6"/>
      <c r="C1807" s="33" t="str">
        <f t="array" ref="C1807">IF(B1807="", "", XLOOKUP(B1807, Inventory!D:D,Inventory!E:E,"No Name Found"))</f>
        <v/>
      </c>
      <c r="D1807" s="6"/>
      <c r="E1807" s="6"/>
      <c r="F1807" s="6"/>
      <c r="G1807" s="24" t="str">
        <f>IF(F1807="", "", VLOOKUP(F1807, Inventory!A:BZ, 3, FALSE) - SUMIF($F$1:$F1806, F1807, $H$1:$H1806))
</f>
        <v/>
      </c>
      <c r="I1807" s="26"/>
      <c r="J1807" s="26" t="s">
        <v>77</v>
      </c>
      <c r="L1807" s="27" t="s">
        <v>77</v>
      </c>
      <c r="N1807" s="28" t="s">
        <v>77</v>
      </c>
      <c r="Q1807" s="30"/>
    </row>
    <row r="1808">
      <c r="B1808" s="6"/>
      <c r="C1808" s="33" t="str">
        <f t="array" ref="C1808">IF(B1808="", "", XLOOKUP(B1808, Inventory!D:D,Inventory!E:E,"No Name Found"))</f>
        <v/>
      </c>
      <c r="D1808" s="6"/>
      <c r="E1808" s="6"/>
      <c r="F1808" s="6"/>
      <c r="G1808" s="24" t="str">
        <f>IF(F1808="", "", VLOOKUP(F1808, Inventory!A:BZ, 3, FALSE) - SUMIF($F$1:$F1807, F1808, $H$1:$H1807))
</f>
        <v/>
      </c>
      <c r="I1808" s="26"/>
      <c r="J1808" s="26" t="s">
        <v>77</v>
      </c>
      <c r="L1808" s="27" t="s">
        <v>77</v>
      </c>
      <c r="N1808" s="28" t="s">
        <v>77</v>
      </c>
      <c r="Q1808" s="30"/>
    </row>
    <row r="1809">
      <c r="B1809" s="6"/>
      <c r="C1809" s="33" t="str">
        <f t="array" ref="C1809">IF(B1809="", "", XLOOKUP(B1809, Inventory!D:D,Inventory!E:E,"No Name Found"))</f>
        <v/>
      </c>
      <c r="D1809" s="6"/>
      <c r="E1809" s="6"/>
      <c r="F1809" s="6"/>
      <c r="G1809" s="24" t="str">
        <f>IF(F1809="", "", VLOOKUP(F1809, Inventory!A:BZ, 3, FALSE) - SUMIF($F$1:$F1808, F1809, $H$1:$H1808))
</f>
        <v/>
      </c>
      <c r="I1809" s="26"/>
      <c r="J1809" s="26" t="s">
        <v>77</v>
      </c>
      <c r="L1809" s="27" t="s">
        <v>77</v>
      </c>
      <c r="N1809" s="28" t="s">
        <v>77</v>
      </c>
      <c r="Q1809" s="30"/>
    </row>
    <row r="1810">
      <c r="B1810" s="6"/>
      <c r="C1810" s="33" t="str">
        <f t="array" ref="C1810">IF(B1810="", "", XLOOKUP(B1810, Inventory!D:D,Inventory!E:E,"No Name Found"))</f>
        <v/>
      </c>
      <c r="D1810" s="6"/>
      <c r="E1810" s="6"/>
      <c r="F1810" s="6"/>
      <c r="G1810" s="24" t="str">
        <f>IF(F1810="", "", VLOOKUP(F1810, Inventory!A:BZ, 3, FALSE) - SUMIF($F$1:$F1809, F1810, $H$1:$H1809))
</f>
        <v/>
      </c>
      <c r="I1810" s="26"/>
      <c r="J1810" s="26" t="s">
        <v>77</v>
      </c>
      <c r="L1810" s="27" t="s">
        <v>77</v>
      </c>
      <c r="N1810" s="28" t="s">
        <v>77</v>
      </c>
      <c r="Q1810" s="30"/>
    </row>
    <row r="1811">
      <c r="B1811" s="6"/>
      <c r="C1811" s="33" t="str">
        <f t="array" ref="C1811">IF(B1811="", "", XLOOKUP(B1811, Inventory!D:D,Inventory!E:E,"No Name Found"))</f>
        <v/>
      </c>
      <c r="D1811" s="6"/>
      <c r="E1811" s="6"/>
      <c r="F1811" s="6"/>
      <c r="G1811" s="24" t="str">
        <f>IF(F1811="", "", VLOOKUP(F1811, Inventory!A:BZ, 3, FALSE) - SUMIF($F$1:$F1810, F1811, $H$1:$H1810))
</f>
        <v/>
      </c>
      <c r="I1811" s="26"/>
      <c r="J1811" s="26" t="s">
        <v>77</v>
      </c>
      <c r="L1811" s="27" t="s">
        <v>77</v>
      </c>
      <c r="N1811" s="28" t="s">
        <v>77</v>
      </c>
      <c r="Q1811" s="30"/>
    </row>
    <row r="1812">
      <c r="B1812" s="6"/>
      <c r="C1812" s="33" t="str">
        <f t="array" ref="C1812">IF(B1812="", "", XLOOKUP(B1812, Inventory!D:D,Inventory!E:E,"No Name Found"))</f>
        <v/>
      </c>
      <c r="D1812" s="6"/>
      <c r="E1812" s="6"/>
      <c r="F1812" s="6"/>
      <c r="G1812" s="24" t="str">
        <f>IF(F1812="", "", VLOOKUP(F1812, Inventory!A:BZ, 3, FALSE) - SUMIF($F$1:$F1811, F1812, $H$1:$H1811))
</f>
        <v/>
      </c>
      <c r="I1812" s="26"/>
      <c r="J1812" s="26" t="s">
        <v>77</v>
      </c>
      <c r="L1812" s="27" t="s">
        <v>77</v>
      </c>
      <c r="N1812" s="28" t="s">
        <v>77</v>
      </c>
      <c r="Q1812" s="30"/>
    </row>
    <row r="1813">
      <c r="B1813" s="6"/>
      <c r="C1813" s="33" t="str">
        <f t="array" ref="C1813">IF(B1813="", "", XLOOKUP(B1813, Inventory!D:D,Inventory!E:E,"No Name Found"))</f>
        <v/>
      </c>
      <c r="D1813" s="6"/>
      <c r="E1813" s="6"/>
      <c r="F1813" s="6"/>
      <c r="G1813" s="24" t="str">
        <f>IF(F1813="", "", VLOOKUP(F1813, Inventory!A:BZ, 3, FALSE) - SUMIF($F$1:$F1812, F1813, $H$1:$H1812))
</f>
        <v/>
      </c>
      <c r="I1813" s="26"/>
      <c r="J1813" s="26" t="s">
        <v>77</v>
      </c>
      <c r="L1813" s="27" t="s">
        <v>77</v>
      </c>
      <c r="N1813" s="28" t="s">
        <v>77</v>
      </c>
      <c r="Q1813" s="30"/>
    </row>
    <row r="1814">
      <c r="B1814" s="6"/>
      <c r="C1814" s="33" t="str">
        <f t="array" ref="C1814">IF(B1814="", "", XLOOKUP(B1814, Inventory!D:D,Inventory!E:E,"No Name Found"))</f>
        <v/>
      </c>
      <c r="D1814" s="6"/>
      <c r="E1814" s="6"/>
      <c r="F1814" s="6"/>
      <c r="G1814" s="24" t="str">
        <f>IF(F1814="", "", VLOOKUP(F1814, Inventory!A:BZ, 3, FALSE) - SUMIF($F$1:$F1813, F1814, $H$1:$H1813))
</f>
        <v/>
      </c>
      <c r="I1814" s="26"/>
      <c r="J1814" s="26" t="s">
        <v>77</v>
      </c>
      <c r="L1814" s="27" t="s">
        <v>77</v>
      </c>
      <c r="N1814" s="28" t="s">
        <v>77</v>
      </c>
      <c r="Q1814" s="30"/>
    </row>
    <row r="1815">
      <c r="B1815" s="6"/>
      <c r="C1815" s="33" t="str">
        <f t="array" ref="C1815">IF(B1815="", "", XLOOKUP(B1815, Inventory!D:D,Inventory!E:E,"No Name Found"))</f>
        <v/>
      </c>
      <c r="D1815" s="6"/>
      <c r="E1815" s="6"/>
      <c r="F1815" s="6"/>
      <c r="G1815" s="24" t="str">
        <f>IF(F1815="", "", VLOOKUP(F1815, Inventory!A:BZ, 3, FALSE) - SUMIF($F$1:$F1814, F1815, $H$1:$H1814))
</f>
        <v/>
      </c>
      <c r="I1815" s="26"/>
      <c r="J1815" s="26" t="s">
        <v>77</v>
      </c>
      <c r="L1815" s="27" t="s">
        <v>77</v>
      </c>
      <c r="N1815" s="28" t="s">
        <v>77</v>
      </c>
      <c r="Q1815" s="30"/>
    </row>
    <row r="1816">
      <c r="B1816" s="6"/>
      <c r="C1816" s="33" t="str">
        <f t="array" ref="C1816">IF(B1816="", "", XLOOKUP(B1816, Inventory!D:D,Inventory!E:E,"No Name Found"))</f>
        <v/>
      </c>
      <c r="D1816" s="6"/>
      <c r="E1816" s="6"/>
      <c r="F1816" s="6"/>
      <c r="G1816" s="24" t="str">
        <f>IF(F1816="", "", VLOOKUP(F1816, Inventory!A:BZ, 3, FALSE) - SUMIF($F$1:$F1815, F1816, $H$1:$H1815))
</f>
        <v/>
      </c>
      <c r="I1816" s="26"/>
      <c r="J1816" s="26" t="s">
        <v>77</v>
      </c>
      <c r="L1816" s="27" t="s">
        <v>77</v>
      </c>
      <c r="N1816" s="28" t="s">
        <v>77</v>
      </c>
      <c r="Q1816" s="30"/>
    </row>
    <row r="1817">
      <c r="B1817" s="6"/>
      <c r="C1817" s="33" t="str">
        <f t="array" ref="C1817">IF(B1817="", "", XLOOKUP(B1817, Inventory!D:D,Inventory!E:E,"No Name Found"))</f>
        <v/>
      </c>
      <c r="D1817" s="6"/>
      <c r="E1817" s="6"/>
      <c r="F1817" s="6"/>
      <c r="G1817" s="24" t="str">
        <f>IF(F1817="", "", VLOOKUP(F1817, Inventory!A:BZ, 3, FALSE) - SUMIF($F$1:$F1816, F1817, $H$1:$H1816))
</f>
        <v/>
      </c>
      <c r="I1817" s="26"/>
      <c r="J1817" s="26" t="s">
        <v>77</v>
      </c>
      <c r="L1817" s="27" t="s">
        <v>77</v>
      </c>
      <c r="N1817" s="28" t="s">
        <v>77</v>
      </c>
      <c r="Q1817" s="30"/>
    </row>
    <row r="1818">
      <c r="B1818" s="6"/>
      <c r="C1818" s="33" t="str">
        <f t="array" ref="C1818">IF(B1818="", "", XLOOKUP(B1818, Inventory!D:D,Inventory!E:E,"No Name Found"))</f>
        <v/>
      </c>
      <c r="D1818" s="6"/>
      <c r="E1818" s="6"/>
      <c r="F1818" s="6"/>
      <c r="G1818" s="24" t="str">
        <f>IF(F1818="", "", VLOOKUP(F1818, Inventory!A:BZ, 3, FALSE) - SUMIF($F$1:$F1817, F1818, $H$1:$H1817))
</f>
        <v/>
      </c>
      <c r="I1818" s="26"/>
      <c r="J1818" s="26" t="s">
        <v>77</v>
      </c>
      <c r="L1818" s="27" t="s">
        <v>77</v>
      </c>
      <c r="N1818" s="28" t="s">
        <v>77</v>
      </c>
      <c r="Q1818" s="30"/>
    </row>
    <row r="1819">
      <c r="B1819" s="6"/>
      <c r="C1819" s="33" t="str">
        <f t="array" ref="C1819">IF(B1819="", "", XLOOKUP(B1819, Inventory!D:D,Inventory!E:E,"No Name Found"))</f>
        <v/>
      </c>
      <c r="D1819" s="6"/>
      <c r="E1819" s="6"/>
      <c r="F1819" s="6"/>
      <c r="G1819" s="24" t="str">
        <f>IF(F1819="", "", VLOOKUP(F1819, Inventory!A:BZ, 3, FALSE) - SUMIF($F$1:$F1818, F1819, $H$1:$H1818))
</f>
        <v/>
      </c>
      <c r="I1819" s="26"/>
      <c r="J1819" s="26" t="s">
        <v>77</v>
      </c>
      <c r="L1819" s="27" t="s">
        <v>77</v>
      </c>
      <c r="N1819" s="28" t="s">
        <v>77</v>
      </c>
      <c r="Q1819" s="30"/>
    </row>
    <row r="1820">
      <c r="B1820" s="6"/>
      <c r="C1820" s="33" t="str">
        <f t="array" ref="C1820">IF(B1820="", "", XLOOKUP(B1820, Inventory!D:D,Inventory!E:E,"No Name Found"))</f>
        <v/>
      </c>
      <c r="D1820" s="6"/>
      <c r="E1820" s="6"/>
      <c r="F1820" s="6"/>
      <c r="G1820" s="24" t="str">
        <f>IF(F1820="", "", VLOOKUP(F1820, Inventory!A:BZ, 3, FALSE) - SUMIF($F$1:$F1819, F1820, $H$1:$H1819))
</f>
        <v/>
      </c>
      <c r="I1820" s="26"/>
      <c r="J1820" s="26" t="s">
        <v>77</v>
      </c>
      <c r="L1820" s="27" t="s">
        <v>77</v>
      </c>
      <c r="N1820" s="28" t="s">
        <v>77</v>
      </c>
      <c r="Q1820" s="30"/>
    </row>
    <row r="1821">
      <c r="B1821" s="6"/>
      <c r="C1821" s="33" t="str">
        <f t="array" ref="C1821">IF(B1821="", "", XLOOKUP(B1821, Inventory!D:D,Inventory!E:E,"No Name Found"))</f>
        <v/>
      </c>
      <c r="D1821" s="6"/>
      <c r="E1821" s="6"/>
      <c r="F1821" s="6"/>
      <c r="G1821" s="24" t="str">
        <f>IF(F1821="", "", VLOOKUP(F1821, Inventory!A:BZ, 3, FALSE) - SUMIF($F$1:$F1820, F1821, $H$1:$H1820))
</f>
        <v/>
      </c>
      <c r="I1821" s="26"/>
      <c r="J1821" s="26" t="s">
        <v>77</v>
      </c>
      <c r="L1821" s="27" t="s">
        <v>77</v>
      </c>
      <c r="N1821" s="28" t="s">
        <v>77</v>
      </c>
      <c r="Q1821" s="30"/>
    </row>
    <row r="1822">
      <c r="B1822" s="6"/>
      <c r="C1822" s="33" t="str">
        <f t="array" ref="C1822">IF(B1822="", "", XLOOKUP(B1822, Inventory!D:D,Inventory!E:E,"No Name Found"))</f>
        <v/>
      </c>
      <c r="D1822" s="6"/>
      <c r="E1822" s="6"/>
      <c r="F1822" s="6"/>
      <c r="G1822" s="24" t="str">
        <f>IF(F1822="", "", VLOOKUP(F1822, Inventory!A:BZ, 3, FALSE) - SUMIF($F$1:$F1821, F1822, $H$1:$H1821))
</f>
        <v/>
      </c>
      <c r="I1822" s="26"/>
      <c r="J1822" s="26" t="s">
        <v>77</v>
      </c>
      <c r="L1822" s="27" t="s">
        <v>77</v>
      </c>
      <c r="N1822" s="28" t="s">
        <v>77</v>
      </c>
      <c r="Q1822" s="30"/>
    </row>
    <row r="1823">
      <c r="B1823" s="6"/>
      <c r="C1823" s="33" t="str">
        <f t="array" ref="C1823">IF(B1823="", "", XLOOKUP(B1823, Inventory!D:D,Inventory!E:E,"No Name Found"))</f>
        <v/>
      </c>
      <c r="D1823" s="6"/>
      <c r="E1823" s="6"/>
      <c r="F1823" s="6"/>
      <c r="G1823" s="24" t="str">
        <f>IF(F1823="", "", VLOOKUP(F1823, Inventory!A:BZ, 3, FALSE) - SUMIF($F$1:$F1822, F1823, $H$1:$H1822))
</f>
        <v/>
      </c>
      <c r="I1823" s="26"/>
      <c r="J1823" s="26" t="s">
        <v>77</v>
      </c>
      <c r="L1823" s="27" t="s">
        <v>77</v>
      </c>
      <c r="N1823" s="28" t="s">
        <v>77</v>
      </c>
      <c r="Q1823" s="30"/>
    </row>
    <row r="1824">
      <c r="B1824" s="6"/>
      <c r="C1824" s="33" t="str">
        <f t="array" ref="C1824">IF(B1824="", "", XLOOKUP(B1824, Inventory!D:D,Inventory!E:E,"No Name Found"))</f>
        <v/>
      </c>
      <c r="D1824" s="6"/>
      <c r="E1824" s="6"/>
      <c r="F1824" s="6"/>
      <c r="G1824" s="24" t="str">
        <f>IF(F1824="", "", VLOOKUP(F1824, Inventory!A:BZ, 3, FALSE) - SUMIF($F$1:$F1823, F1824, $H$1:$H1823))
</f>
        <v/>
      </c>
      <c r="I1824" s="26"/>
      <c r="J1824" s="26" t="s">
        <v>77</v>
      </c>
      <c r="L1824" s="27" t="s">
        <v>77</v>
      </c>
      <c r="N1824" s="28" t="s">
        <v>77</v>
      </c>
      <c r="Q1824" s="30"/>
    </row>
    <row r="1825">
      <c r="B1825" s="6"/>
      <c r="C1825" s="33" t="str">
        <f t="array" ref="C1825">IF(B1825="", "", XLOOKUP(B1825, Inventory!D:D,Inventory!E:E,"No Name Found"))</f>
        <v/>
      </c>
      <c r="D1825" s="6"/>
      <c r="E1825" s="6"/>
      <c r="F1825" s="6"/>
      <c r="G1825" s="24" t="str">
        <f>IF(F1825="", "", VLOOKUP(F1825, Inventory!A:BZ, 3, FALSE) - SUMIF($F$1:$F1824, F1825, $H$1:$H1824))
</f>
        <v/>
      </c>
      <c r="I1825" s="26"/>
      <c r="J1825" s="26" t="s">
        <v>77</v>
      </c>
      <c r="L1825" s="27" t="s">
        <v>77</v>
      </c>
      <c r="N1825" s="28" t="s">
        <v>77</v>
      </c>
      <c r="Q1825" s="30"/>
    </row>
    <row r="1826">
      <c r="B1826" s="6"/>
      <c r="C1826" s="33" t="str">
        <f t="array" ref="C1826">IF(B1826="", "", XLOOKUP(B1826, Inventory!D:D,Inventory!E:E,"No Name Found"))</f>
        <v/>
      </c>
      <c r="D1826" s="6"/>
      <c r="E1826" s="6"/>
      <c r="F1826" s="6"/>
      <c r="G1826" s="24" t="str">
        <f>IF(F1826="", "", VLOOKUP(F1826, Inventory!A:BZ, 3, FALSE) - SUMIF($F$1:$F1825, F1826, $H$1:$H1825))
</f>
        <v/>
      </c>
      <c r="I1826" s="26"/>
      <c r="J1826" s="26" t="s">
        <v>77</v>
      </c>
      <c r="L1826" s="27" t="s">
        <v>77</v>
      </c>
      <c r="N1826" s="28" t="s">
        <v>77</v>
      </c>
      <c r="Q1826" s="30"/>
    </row>
    <row r="1827">
      <c r="B1827" s="6"/>
      <c r="C1827" s="33" t="str">
        <f t="array" ref="C1827">IF(B1827="", "", XLOOKUP(B1827, Inventory!D:D,Inventory!E:E,"No Name Found"))</f>
        <v/>
      </c>
      <c r="D1827" s="6"/>
      <c r="E1827" s="6"/>
      <c r="F1827" s="6"/>
      <c r="G1827" s="24" t="str">
        <f>IF(F1827="", "", VLOOKUP(F1827, Inventory!A:BZ, 3, FALSE) - SUMIF($F$1:$F1826, F1827, $H$1:$H1826))
</f>
        <v/>
      </c>
      <c r="I1827" s="26"/>
      <c r="J1827" s="26" t="s">
        <v>77</v>
      </c>
      <c r="L1827" s="27" t="s">
        <v>77</v>
      </c>
      <c r="N1827" s="28" t="s">
        <v>77</v>
      </c>
      <c r="Q1827" s="30"/>
    </row>
    <row r="1828">
      <c r="B1828" s="6"/>
      <c r="C1828" s="33" t="str">
        <f t="array" ref="C1828">IF(B1828="", "", XLOOKUP(B1828, Inventory!D:D,Inventory!E:E,"No Name Found"))</f>
        <v/>
      </c>
      <c r="D1828" s="6"/>
      <c r="E1828" s="6"/>
      <c r="F1828" s="6"/>
      <c r="G1828" s="24" t="str">
        <f>IF(F1828="", "", VLOOKUP(F1828, Inventory!A:BZ, 3, FALSE) - SUMIF($F$1:$F1827, F1828, $H$1:$H1827))
</f>
        <v/>
      </c>
      <c r="I1828" s="26"/>
      <c r="J1828" s="26" t="s">
        <v>77</v>
      </c>
      <c r="L1828" s="27" t="s">
        <v>77</v>
      </c>
      <c r="N1828" s="28" t="s">
        <v>77</v>
      </c>
      <c r="Q1828" s="30"/>
    </row>
    <row r="1829">
      <c r="B1829" s="6"/>
      <c r="C1829" s="33" t="str">
        <f t="array" ref="C1829">IF(B1829="", "", XLOOKUP(B1829, Inventory!D:D,Inventory!E:E,"No Name Found"))</f>
        <v/>
      </c>
      <c r="D1829" s="6"/>
      <c r="E1829" s="6"/>
      <c r="F1829" s="6"/>
      <c r="G1829" s="24" t="str">
        <f>IF(F1829="", "", VLOOKUP(F1829, Inventory!A:BZ, 3, FALSE) - SUMIF($F$1:$F1828, F1829, $H$1:$H1828))
</f>
        <v/>
      </c>
      <c r="I1829" s="26"/>
      <c r="J1829" s="26" t="s">
        <v>77</v>
      </c>
      <c r="L1829" s="27" t="s">
        <v>77</v>
      </c>
      <c r="N1829" s="28" t="s">
        <v>77</v>
      </c>
      <c r="Q1829" s="30"/>
    </row>
    <row r="1830">
      <c r="B1830" s="6"/>
      <c r="C1830" s="33" t="str">
        <f t="array" ref="C1830">IF(B1830="", "", XLOOKUP(B1830, Inventory!D:D,Inventory!E:E,"No Name Found"))</f>
        <v/>
      </c>
      <c r="D1830" s="6"/>
      <c r="E1830" s="6"/>
      <c r="F1830" s="6"/>
      <c r="G1830" s="24" t="str">
        <f>IF(F1830="", "", VLOOKUP(F1830, Inventory!A:BZ, 3, FALSE) - SUMIF($F$1:$F1829, F1830, $H$1:$H1829))
</f>
        <v/>
      </c>
      <c r="I1830" s="26"/>
      <c r="J1830" s="26" t="s">
        <v>77</v>
      </c>
      <c r="L1830" s="27" t="s">
        <v>77</v>
      </c>
      <c r="N1830" s="28" t="s">
        <v>77</v>
      </c>
      <c r="Q1830" s="30"/>
    </row>
    <row r="1831">
      <c r="B1831" s="6"/>
      <c r="C1831" s="33" t="str">
        <f t="array" ref="C1831">IF(B1831="", "", XLOOKUP(B1831, Inventory!D:D,Inventory!E:E,"No Name Found"))</f>
        <v/>
      </c>
      <c r="D1831" s="6"/>
      <c r="E1831" s="6"/>
      <c r="F1831" s="6"/>
      <c r="G1831" s="24" t="str">
        <f>IF(F1831="", "", VLOOKUP(F1831, Inventory!A:BZ, 3, FALSE) - SUMIF($F$1:$F1830, F1831, $H$1:$H1830))
</f>
        <v/>
      </c>
      <c r="I1831" s="26"/>
      <c r="J1831" s="26" t="s">
        <v>77</v>
      </c>
      <c r="L1831" s="27" t="s">
        <v>77</v>
      </c>
      <c r="N1831" s="28" t="s">
        <v>77</v>
      </c>
      <c r="Q1831" s="30"/>
    </row>
    <row r="1832">
      <c r="B1832" s="6"/>
      <c r="C1832" s="33" t="str">
        <f t="array" ref="C1832">IF(B1832="", "", XLOOKUP(B1832, Inventory!D:D,Inventory!E:E,"No Name Found"))</f>
        <v/>
      </c>
      <c r="D1832" s="6"/>
      <c r="E1832" s="6"/>
      <c r="F1832" s="6"/>
      <c r="G1832" s="24" t="str">
        <f>IF(F1832="", "", VLOOKUP(F1832, Inventory!A:BZ, 3, FALSE) - SUMIF($F$1:$F1831, F1832, $H$1:$H1831))
</f>
        <v/>
      </c>
      <c r="I1832" s="26"/>
      <c r="J1832" s="26" t="s">
        <v>77</v>
      </c>
      <c r="L1832" s="27" t="s">
        <v>77</v>
      </c>
      <c r="N1832" s="28" t="s">
        <v>77</v>
      </c>
      <c r="Q1832" s="30"/>
    </row>
    <row r="1833">
      <c r="B1833" s="6"/>
      <c r="C1833" s="33" t="str">
        <f t="array" ref="C1833">IF(B1833="", "", XLOOKUP(B1833, Inventory!D:D,Inventory!E:E,"No Name Found"))</f>
        <v/>
      </c>
      <c r="D1833" s="6"/>
      <c r="E1833" s="6"/>
      <c r="F1833" s="6"/>
      <c r="G1833" s="24" t="str">
        <f>IF(F1833="", "", VLOOKUP(F1833, Inventory!A:BZ, 3, FALSE) - SUMIF($F$1:$F1832, F1833, $H$1:$H1832))
</f>
        <v/>
      </c>
      <c r="I1833" s="26"/>
      <c r="J1833" s="26" t="s">
        <v>77</v>
      </c>
      <c r="L1833" s="27" t="s">
        <v>77</v>
      </c>
      <c r="N1833" s="28" t="s">
        <v>77</v>
      </c>
      <c r="Q1833" s="30"/>
    </row>
    <row r="1834">
      <c r="B1834" s="6"/>
      <c r="C1834" s="33" t="str">
        <f t="array" ref="C1834">IF(B1834="", "", XLOOKUP(B1834, Inventory!D:D,Inventory!E:E,"No Name Found"))</f>
        <v/>
      </c>
      <c r="D1834" s="6"/>
      <c r="E1834" s="6"/>
      <c r="F1834" s="6"/>
      <c r="G1834" s="24" t="str">
        <f>IF(F1834="", "", VLOOKUP(F1834, Inventory!A:BZ, 3, FALSE) - SUMIF($F$1:$F1833, F1834, $H$1:$H1833))
</f>
        <v/>
      </c>
      <c r="I1834" s="26"/>
      <c r="J1834" s="26" t="s">
        <v>77</v>
      </c>
      <c r="L1834" s="27" t="s">
        <v>77</v>
      </c>
      <c r="N1834" s="28" t="s">
        <v>77</v>
      </c>
      <c r="Q1834" s="30"/>
    </row>
    <row r="1835">
      <c r="B1835" s="6"/>
      <c r="C1835" s="33" t="str">
        <f t="array" ref="C1835">IF(B1835="", "", XLOOKUP(B1835, Inventory!D:D,Inventory!E:E,"No Name Found"))</f>
        <v/>
      </c>
      <c r="D1835" s="6"/>
      <c r="E1835" s="6"/>
      <c r="F1835" s="6"/>
      <c r="G1835" s="24" t="str">
        <f>IF(F1835="", "", VLOOKUP(F1835, Inventory!A:BZ, 3, FALSE) - SUMIF($F$1:$F1834, F1835, $H$1:$H1834))
</f>
        <v/>
      </c>
      <c r="I1835" s="26"/>
      <c r="J1835" s="26" t="s">
        <v>77</v>
      </c>
      <c r="L1835" s="27" t="s">
        <v>77</v>
      </c>
      <c r="N1835" s="28" t="s">
        <v>77</v>
      </c>
      <c r="Q1835" s="30"/>
    </row>
    <row r="1836">
      <c r="B1836" s="6"/>
      <c r="C1836" s="33" t="str">
        <f t="array" ref="C1836">IF(B1836="", "", XLOOKUP(B1836, Inventory!D:D,Inventory!E:E,"No Name Found"))</f>
        <v/>
      </c>
      <c r="D1836" s="6"/>
      <c r="E1836" s="6"/>
      <c r="F1836" s="6"/>
      <c r="G1836" s="24" t="str">
        <f>IF(F1836="", "", VLOOKUP(F1836, Inventory!A:BZ, 3, FALSE) - SUMIF($F$1:$F1835, F1836, $H$1:$H1835))
</f>
        <v/>
      </c>
      <c r="I1836" s="26"/>
      <c r="J1836" s="26" t="s">
        <v>77</v>
      </c>
      <c r="L1836" s="27" t="s">
        <v>77</v>
      </c>
      <c r="N1836" s="28" t="s">
        <v>77</v>
      </c>
      <c r="Q1836" s="30"/>
    </row>
    <row r="1837">
      <c r="B1837" s="6"/>
      <c r="C1837" s="33" t="str">
        <f t="array" ref="C1837">IF(B1837="", "", XLOOKUP(B1837, Inventory!D:D,Inventory!E:E,"No Name Found"))</f>
        <v/>
      </c>
      <c r="D1837" s="6"/>
      <c r="E1837" s="6"/>
      <c r="F1837" s="6"/>
      <c r="G1837" s="24" t="str">
        <f>IF(F1837="", "", VLOOKUP(F1837, Inventory!A:BZ, 3, FALSE) - SUMIF($F$1:$F1836, F1837, $H$1:$H1836))
</f>
        <v/>
      </c>
      <c r="I1837" s="26"/>
      <c r="J1837" s="26" t="s">
        <v>77</v>
      </c>
      <c r="L1837" s="27" t="s">
        <v>77</v>
      </c>
      <c r="N1837" s="28" t="s">
        <v>77</v>
      </c>
      <c r="Q1837" s="30"/>
    </row>
    <row r="1838">
      <c r="B1838" s="6"/>
      <c r="C1838" s="33" t="str">
        <f t="array" ref="C1838">IF(B1838="", "", XLOOKUP(B1838, Inventory!D:D,Inventory!E:E,"No Name Found"))</f>
        <v/>
      </c>
      <c r="D1838" s="6"/>
      <c r="E1838" s="6"/>
      <c r="F1838" s="6"/>
      <c r="G1838" s="24" t="str">
        <f>IF(F1838="", "", VLOOKUP(F1838, Inventory!A:BZ, 3, FALSE) - SUMIF($F$1:$F1837, F1838, $H$1:$H1837))
</f>
        <v/>
      </c>
      <c r="I1838" s="26"/>
      <c r="J1838" s="26" t="s">
        <v>77</v>
      </c>
      <c r="L1838" s="27" t="s">
        <v>77</v>
      </c>
      <c r="N1838" s="28" t="s">
        <v>77</v>
      </c>
      <c r="Q1838" s="30"/>
    </row>
    <row r="1839">
      <c r="B1839" s="6"/>
      <c r="C1839" s="33" t="str">
        <f t="array" ref="C1839">IF(B1839="", "", XLOOKUP(B1839, Inventory!D:D,Inventory!E:E,"No Name Found"))</f>
        <v/>
      </c>
      <c r="D1839" s="6"/>
      <c r="E1839" s="6"/>
      <c r="F1839" s="6"/>
      <c r="G1839" s="24" t="str">
        <f>IF(F1839="", "", VLOOKUP(F1839, Inventory!A:BZ, 3, FALSE) - SUMIF($F$1:$F1838, F1839, $H$1:$H1838))
</f>
        <v/>
      </c>
      <c r="I1839" s="26"/>
      <c r="J1839" s="26" t="s">
        <v>77</v>
      </c>
      <c r="L1839" s="27" t="s">
        <v>77</v>
      </c>
      <c r="N1839" s="28" t="s">
        <v>77</v>
      </c>
      <c r="Q1839" s="30"/>
    </row>
    <row r="1840">
      <c r="B1840" s="6"/>
      <c r="C1840" s="33" t="str">
        <f t="array" ref="C1840">IF(B1840="", "", XLOOKUP(B1840, Inventory!D:D,Inventory!E:E,"No Name Found"))</f>
        <v/>
      </c>
      <c r="D1840" s="6"/>
      <c r="E1840" s="6"/>
      <c r="F1840" s="6"/>
      <c r="G1840" s="24" t="str">
        <f>IF(F1840="", "", VLOOKUP(F1840, Inventory!A:BZ, 3, FALSE) - SUMIF($F$1:$F1839, F1840, $H$1:$H1839))
</f>
        <v/>
      </c>
      <c r="I1840" s="26"/>
      <c r="J1840" s="26" t="s">
        <v>77</v>
      </c>
      <c r="L1840" s="27" t="s">
        <v>77</v>
      </c>
      <c r="N1840" s="28" t="s">
        <v>77</v>
      </c>
      <c r="Q1840" s="30"/>
    </row>
    <row r="1841">
      <c r="B1841" s="6"/>
      <c r="C1841" s="33" t="str">
        <f t="array" ref="C1841">IF(B1841="", "", XLOOKUP(B1841, Inventory!D:D,Inventory!E:E,"No Name Found"))</f>
        <v/>
      </c>
      <c r="D1841" s="6"/>
      <c r="E1841" s="6"/>
      <c r="F1841" s="6"/>
      <c r="G1841" s="24" t="str">
        <f>IF(F1841="", "", VLOOKUP(F1841, Inventory!A:BZ, 3, FALSE) - SUMIF($F$1:$F1840, F1841, $H$1:$H1840))
</f>
        <v/>
      </c>
      <c r="I1841" s="26"/>
      <c r="J1841" s="26" t="s">
        <v>77</v>
      </c>
      <c r="L1841" s="27" t="s">
        <v>77</v>
      </c>
      <c r="N1841" s="28" t="s">
        <v>77</v>
      </c>
      <c r="Q1841" s="30"/>
    </row>
    <row r="1842">
      <c r="B1842" s="6"/>
      <c r="C1842" s="33" t="str">
        <f t="array" ref="C1842">IF(B1842="", "", XLOOKUP(B1842, Inventory!D:D,Inventory!E:E,"No Name Found"))</f>
        <v/>
      </c>
      <c r="D1842" s="6"/>
      <c r="E1842" s="6"/>
      <c r="F1842" s="6"/>
      <c r="G1842" s="24" t="str">
        <f>IF(F1842="", "", VLOOKUP(F1842, Inventory!A:BZ, 3, FALSE) - SUMIF($F$1:$F1841, F1842, $H$1:$H1841))
</f>
        <v/>
      </c>
      <c r="I1842" s="26"/>
      <c r="J1842" s="26" t="s">
        <v>77</v>
      </c>
      <c r="L1842" s="27" t="s">
        <v>77</v>
      </c>
      <c r="N1842" s="28" t="s">
        <v>77</v>
      </c>
      <c r="Q1842" s="30"/>
    </row>
    <row r="1843">
      <c r="B1843" s="6"/>
      <c r="C1843" s="33" t="str">
        <f t="array" ref="C1843">IF(B1843="", "", XLOOKUP(B1843, Inventory!D:D,Inventory!E:E,"No Name Found"))</f>
        <v/>
      </c>
      <c r="D1843" s="6"/>
      <c r="E1843" s="6"/>
      <c r="F1843" s="6"/>
      <c r="G1843" s="24" t="str">
        <f>IF(F1843="", "", VLOOKUP(F1843, Inventory!A:BZ, 3, FALSE) - SUMIF($F$1:$F1842, F1843, $H$1:$H1842))
</f>
        <v/>
      </c>
      <c r="I1843" s="26"/>
      <c r="J1843" s="26" t="s">
        <v>77</v>
      </c>
      <c r="L1843" s="27" t="s">
        <v>77</v>
      </c>
      <c r="N1843" s="28" t="s">
        <v>77</v>
      </c>
      <c r="Q1843" s="30"/>
    </row>
    <row r="1844">
      <c r="B1844" s="6"/>
      <c r="C1844" s="33" t="str">
        <f t="array" ref="C1844">IF(B1844="", "", XLOOKUP(B1844, Inventory!D:D,Inventory!E:E,"No Name Found"))</f>
        <v/>
      </c>
      <c r="D1844" s="6"/>
      <c r="E1844" s="6"/>
      <c r="F1844" s="6"/>
      <c r="G1844" s="24" t="str">
        <f>IF(F1844="", "", VLOOKUP(F1844, Inventory!A:BZ, 3, FALSE) - SUMIF($F$1:$F1843, F1844, $H$1:$H1843))
</f>
        <v/>
      </c>
      <c r="I1844" s="26"/>
      <c r="J1844" s="26" t="s">
        <v>77</v>
      </c>
      <c r="L1844" s="27" t="s">
        <v>77</v>
      </c>
      <c r="N1844" s="28" t="s">
        <v>77</v>
      </c>
      <c r="Q1844" s="30"/>
    </row>
    <row r="1845">
      <c r="B1845" s="6"/>
      <c r="C1845" s="33" t="str">
        <f t="array" ref="C1845">IF(B1845="", "", XLOOKUP(B1845, Inventory!D:D,Inventory!E:E,"No Name Found"))</f>
        <v/>
      </c>
      <c r="D1845" s="6"/>
      <c r="E1845" s="6"/>
      <c r="F1845" s="6"/>
      <c r="G1845" s="24" t="str">
        <f>IF(F1845="", "", VLOOKUP(F1845, Inventory!A:BZ, 3, FALSE) - SUMIF($F$1:$F1844, F1845, $H$1:$H1844))
</f>
        <v/>
      </c>
      <c r="I1845" s="26"/>
      <c r="J1845" s="26" t="s">
        <v>77</v>
      </c>
      <c r="L1845" s="27" t="s">
        <v>77</v>
      </c>
      <c r="N1845" s="28" t="s">
        <v>77</v>
      </c>
      <c r="Q1845" s="30"/>
    </row>
    <row r="1846">
      <c r="B1846" s="6"/>
      <c r="C1846" s="33" t="str">
        <f t="array" ref="C1846">IF(B1846="", "", XLOOKUP(B1846, Inventory!D:D,Inventory!E:E,"No Name Found"))</f>
        <v/>
      </c>
      <c r="D1846" s="6"/>
      <c r="E1846" s="6"/>
      <c r="F1846" s="6"/>
      <c r="G1846" s="24" t="str">
        <f>IF(F1846="", "", VLOOKUP(F1846, Inventory!A:BZ, 3, FALSE) - SUMIF($F$1:$F1845, F1846, $H$1:$H1845))
</f>
        <v/>
      </c>
      <c r="I1846" s="26"/>
      <c r="J1846" s="26" t="s">
        <v>77</v>
      </c>
      <c r="L1846" s="27" t="s">
        <v>77</v>
      </c>
      <c r="N1846" s="28" t="s">
        <v>77</v>
      </c>
      <c r="Q1846" s="30"/>
    </row>
    <row r="1847">
      <c r="B1847" s="6"/>
      <c r="C1847" s="33" t="str">
        <f t="array" ref="C1847">IF(B1847="", "", XLOOKUP(B1847, Inventory!D:D,Inventory!E:E,"No Name Found"))</f>
        <v/>
      </c>
      <c r="D1847" s="6"/>
      <c r="E1847" s="6"/>
      <c r="F1847" s="6"/>
      <c r="G1847" s="24" t="str">
        <f>IF(F1847="", "", VLOOKUP(F1847, Inventory!A:BZ, 3, FALSE) - SUMIF($F$1:$F1846, F1847, $H$1:$H1846))
</f>
        <v/>
      </c>
      <c r="I1847" s="26"/>
      <c r="J1847" s="26" t="s">
        <v>77</v>
      </c>
      <c r="L1847" s="27" t="s">
        <v>77</v>
      </c>
      <c r="N1847" s="28" t="s">
        <v>77</v>
      </c>
      <c r="Q1847" s="30"/>
    </row>
    <row r="1848">
      <c r="B1848" s="6"/>
      <c r="C1848" s="33" t="str">
        <f t="array" ref="C1848">IF(B1848="", "", XLOOKUP(B1848, Inventory!D:D,Inventory!E:E,"No Name Found"))</f>
        <v/>
      </c>
      <c r="D1848" s="6"/>
      <c r="E1848" s="6"/>
      <c r="F1848" s="6"/>
      <c r="G1848" s="24" t="str">
        <f>IF(F1848="", "", VLOOKUP(F1848, Inventory!A:BZ, 3, FALSE) - SUMIF($F$1:$F1847, F1848, $H$1:$H1847))
</f>
        <v/>
      </c>
      <c r="I1848" s="26"/>
      <c r="J1848" s="26" t="s">
        <v>77</v>
      </c>
      <c r="L1848" s="27" t="s">
        <v>77</v>
      </c>
      <c r="N1848" s="28" t="s">
        <v>77</v>
      </c>
      <c r="Q1848" s="30"/>
    </row>
    <row r="1849">
      <c r="B1849" s="6"/>
      <c r="C1849" s="33" t="str">
        <f t="array" ref="C1849">IF(B1849="", "", XLOOKUP(B1849, Inventory!D:D,Inventory!E:E,"No Name Found"))</f>
        <v/>
      </c>
      <c r="D1849" s="6"/>
      <c r="E1849" s="6"/>
      <c r="F1849" s="6"/>
      <c r="G1849" s="24" t="str">
        <f>IF(F1849="", "", VLOOKUP(F1849, Inventory!A:BZ, 3, FALSE) - SUMIF($F$1:$F1848, F1849, $H$1:$H1848))
</f>
        <v/>
      </c>
      <c r="I1849" s="26"/>
      <c r="J1849" s="26" t="s">
        <v>77</v>
      </c>
      <c r="L1849" s="27" t="s">
        <v>77</v>
      </c>
      <c r="N1849" s="28" t="s">
        <v>77</v>
      </c>
      <c r="Q1849" s="30"/>
    </row>
    <row r="1850">
      <c r="B1850" s="6"/>
      <c r="C1850" s="33" t="str">
        <f t="array" ref="C1850">IF(B1850="", "", XLOOKUP(B1850, Inventory!D:D,Inventory!E:E,"No Name Found"))</f>
        <v/>
      </c>
      <c r="D1850" s="6"/>
      <c r="E1850" s="6"/>
      <c r="F1850" s="6"/>
      <c r="G1850" s="24" t="str">
        <f>IF(F1850="", "", VLOOKUP(F1850, Inventory!A:BZ, 3, FALSE) - SUMIF($F$1:$F1849, F1850, $H$1:$H1849))
</f>
        <v/>
      </c>
      <c r="I1850" s="26"/>
      <c r="J1850" s="26" t="s">
        <v>77</v>
      </c>
      <c r="L1850" s="27" t="s">
        <v>77</v>
      </c>
      <c r="N1850" s="28" t="s">
        <v>77</v>
      </c>
      <c r="Q1850" s="30"/>
    </row>
    <row r="1851">
      <c r="B1851" s="6"/>
      <c r="C1851" s="33" t="str">
        <f t="array" ref="C1851">IF(B1851="", "", XLOOKUP(B1851, Inventory!D:D,Inventory!E:E,"No Name Found"))</f>
        <v/>
      </c>
      <c r="D1851" s="6"/>
      <c r="E1851" s="6"/>
      <c r="F1851" s="6"/>
      <c r="G1851" s="24" t="str">
        <f>IF(F1851="", "", VLOOKUP(F1851, Inventory!A:BZ, 3, FALSE) - SUMIF($F$1:$F1850, F1851, $H$1:$H1850))
</f>
        <v/>
      </c>
      <c r="I1851" s="26"/>
      <c r="J1851" s="26" t="s">
        <v>77</v>
      </c>
      <c r="L1851" s="27" t="s">
        <v>77</v>
      </c>
      <c r="N1851" s="28" t="s">
        <v>77</v>
      </c>
      <c r="Q1851" s="30"/>
    </row>
    <row r="1852">
      <c r="B1852" s="6"/>
      <c r="C1852" s="33" t="str">
        <f t="array" ref="C1852">IF(B1852="", "", XLOOKUP(B1852, Inventory!D:D,Inventory!E:E,"No Name Found"))</f>
        <v/>
      </c>
      <c r="D1852" s="6"/>
      <c r="E1852" s="6"/>
      <c r="F1852" s="6"/>
      <c r="G1852" s="24" t="str">
        <f>IF(F1852="", "", VLOOKUP(F1852, Inventory!A:BZ, 3, FALSE) - SUMIF($F$1:$F1851, F1852, $H$1:$H1851))
</f>
        <v/>
      </c>
      <c r="I1852" s="26"/>
      <c r="J1852" s="26" t="s">
        <v>77</v>
      </c>
      <c r="L1852" s="27" t="s">
        <v>77</v>
      </c>
      <c r="N1852" s="28" t="s">
        <v>77</v>
      </c>
      <c r="Q1852" s="30"/>
    </row>
    <row r="1853">
      <c r="B1853" s="6"/>
      <c r="C1853" s="33" t="str">
        <f t="array" ref="C1853">IF(B1853="", "", XLOOKUP(B1853, Inventory!D:D,Inventory!E:E,"No Name Found"))</f>
        <v/>
      </c>
      <c r="D1853" s="6"/>
      <c r="E1853" s="6"/>
      <c r="F1853" s="6"/>
      <c r="G1853" s="24" t="str">
        <f>IF(F1853="", "", VLOOKUP(F1853, Inventory!A:BZ, 3, FALSE) - SUMIF($F$1:$F1852, F1853, $H$1:$H1852))
</f>
        <v/>
      </c>
      <c r="I1853" s="26"/>
      <c r="J1853" s="26" t="s">
        <v>77</v>
      </c>
      <c r="L1853" s="27" t="s">
        <v>77</v>
      </c>
      <c r="N1853" s="28" t="s">
        <v>77</v>
      </c>
      <c r="Q1853" s="30"/>
    </row>
    <row r="1854">
      <c r="B1854" s="6"/>
      <c r="C1854" s="33" t="str">
        <f t="array" ref="C1854">IF(B1854="", "", XLOOKUP(B1854, Inventory!D:D,Inventory!E:E,"No Name Found"))</f>
        <v/>
      </c>
      <c r="D1854" s="6"/>
      <c r="E1854" s="6"/>
      <c r="F1854" s="6"/>
      <c r="G1854" s="24" t="str">
        <f>IF(F1854="", "", VLOOKUP(F1854, Inventory!A:BZ, 3, FALSE) - SUMIF($F$1:$F1853, F1854, $H$1:$H1853))
</f>
        <v/>
      </c>
      <c r="I1854" s="26"/>
      <c r="J1854" s="26" t="s">
        <v>77</v>
      </c>
      <c r="L1854" s="27" t="s">
        <v>77</v>
      </c>
      <c r="N1854" s="28" t="s">
        <v>77</v>
      </c>
      <c r="Q1854" s="30"/>
    </row>
    <row r="1855">
      <c r="B1855" s="6"/>
      <c r="C1855" s="33" t="str">
        <f t="array" ref="C1855">IF(B1855="", "", XLOOKUP(B1855, Inventory!D:D,Inventory!E:E,"No Name Found"))</f>
        <v/>
      </c>
      <c r="D1855" s="6"/>
      <c r="E1855" s="6"/>
      <c r="F1855" s="6"/>
      <c r="G1855" s="24" t="str">
        <f>IF(F1855="", "", VLOOKUP(F1855, Inventory!A:BZ, 3, FALSE) - SUMIF($F$1:$F1854, F1855, $H$1:$H1854))
</f>
        <v/>
      </c>
      <c r="I1855" s="26"/>
      <c r="J1855" s="26" t="s">
        <v>77</v>
      </c>
      <c r="L1855" s="27" t="s">
        <v>77</v>
      </c>
      <c r="N1855" s="28" t="s">
        <v>77</v>
      </c>
      <c r="Q1855" s="30"/>
    </row>
    <row r="1856">
      <c r="B1856" s="6"/>
      <c r="C1856" s="33" t="str">
        <f t="array" ref="C1856">IF(B1856="", "", XLOOKUP(B1856, Inventory!D:D,Inventory!E:E,"No Name Found"))</f>
        <v/>
      </c>
      <c r="D1856" s="6"/>
      <c r="E1856" s="6"/>
      <c r="F1856" s="6"/>
      <c r="G1856" s="24" t="str">
        <f>IF(F1856="", "", VLOOKUP(F1856, Inventory!A:BZ, 3, FALSE) - SUMIF($F$1:$F1855, F1856, $H$1:$H1855))
</f>
        <v/>
      </c>
      <c r="I1856" s="26"/>
      <c r="J1856" s="26" t="s">
        <v>77</v>
      </c>
      <c r="L1856" s="27" t="s">
        <v>77</v>
      </c>
      <c r="N1856" s="28" t="s">
        <v>77</v>
      </c>
      <c r="Q1856" s="30"/>
    </row>
    <row r="1857">
      <c r="B1857" s="6"/>
      <c r="C1857" s="33" t="str">
        <f t="array" ref="C1857">IF(B1857="", "", XLOOKUP(B1857, Inventory!D:D,Inventory!E:E,"No Name Found"))</f>
        <v/>
      </c>
      <c r="D1857" s="6"/>
      <c r="E1857" s="6"/>
      <c r="F1857" s="6"/>
      <c r="G1857" s="24" t="str">
        <f>IF(F1857="", "", VLOOKUP(F1857, Inventory!A:BZ, 3, FALSE) - SUMIF($F$1:$F1856, F1857, $H$1:$H1856))
</f>
        <v/>
      </c>
      <c r="I1857" s="26"/>
      <c r="J1857" s="26" t="s">
        <v>77</v>
      </c>
      <c r="L1857" s="27" t="s">
        <v>77</v>
      </c>
      <c r="N1857" s="28" t="s">
        <v>77</v>
      </c>
      <c r="Q1857" s="30"/>
    </row>
    <row r="1858">
      <c r="B1858" s="6"/>
      <c r="C1858" s="33" t="str">
        <f t="array" ref="C1858">IF(B1858="", "", XLOOKUP(B1858, Inventory!D:D,Inventory!E:E,"No Name Found"))</f>
        <v/>
      </c>
      <c r="D1858" s="6"/>
      <c r="E1858" s="6"/>
      <c r="F1858" s="6"/>
      <c r="G1858" s="24" t="str">
        <f>IF(F1858="", "", VLOOKUP(F1858, Inventory!A:BZ, 3, FALSE) - SUMIF($F$1:$F1857, F1858, $H$1:$H1857))
</f>
        <v/>
      </c>
      <c r="I1858" s="26"/>
      <c r="J1858" s="26" t="s">
        <v>77</v>
      </c>
      <c r="L1858" s="27" t="s">
        <v>77</v>
      </c>
      <c r="N1858" s="28" t="s">
        <v>77</v>
      </c>
      <c r="Q1858" s="30"/>
    </row>
    <row r="1859">
      <c r="B1859" s="6"/>
      <c r="C1859" s="33" t="str">
        <f t="array" ref="C1859">IF(B1859="", "", XLOOKUP(B1859, Inventory!D:D,Inventory!E:E,"No Name Found"))</f>
        <v/>
      </c>
      <c r="D1859" s="6"/>
      <c r="E1859" s="6"/>
      <c r="F1859" s="6"/>
      <c r="G1859" s="24" t="str">
        <f>IF(F1859="", "", VLOOKUP(F1859, Inventory!A:BZ, 3, FALSE) - SUMIF($F$1:$F1858, F1859, $H$1:$H1858))
</f>
        <v/>
      </c>
      <c r="I1859" s="26"/>
      <c r="J1859" s="26" t="s">
        <v>77</v>
      </c>
      <c r="L1859" s="27" t="s">
        <v>77</v>
      </c>
      <c r="N1859" s="28" t="s">
        <v>77</v>
      </c>
      <c r="Q1859" s="30"/>
    </row>
    <row r="1860">
      <c r="B1860" s="6"/>
      <c r="C1860" s="33" t="str">
        <f t="array" ref="C1860">IF(B1860="", "", XLOOKUP(B1860, Inventory!D:D,Inventory!E:E,"No Name Found"))</f>
        <v/>
      </c>
      <c r="D1860" s="6"/>
      <c r="E1860" s="6"/>
      <c r="F1860" s="6"/>
      <c r="G1860" s="24" t="str">
        <f>IF(F1860="", "", VLOOKUP(F1860, Inventory!A:BZ, 3, FALSE) - SUMIF($F$1:$F1859, F1860, $H$1:$H1859))
</f>
        <v/>
      </c>
      <c r="I1860" s="26"/>
      <c r="J1860" s="26" t="s">
        <v>77</v>
      </c>
      <c r="L1860" s="27" t="s">
        <v>77</v>
      </c>
      <c r="N1860" s="28" t="s">
        <v>77</v>
      </c>
      <c r="Q1860" s="30"/>
    </row>
    <row r="1861">
      <c r="B1861" s="6"/>
      <c r="C1861" s="33" t="str">
        <f t="array" ref="C1861">IF(B1861="", "", XLOOKUP(B1861, Inventory!D:D,Inventory!E:E,"No Name Found"))</f>
        <v/>
      </c>
      <c r="D1861" s="6"/>
      <c r="E1861" s="6"/>
      <c r="F1861" s="6"/>
      <c r="G1861" s="24" t="str">
        <f>IF(F1861="", "", VLOOKUP(F1861, Inventory!A:BZ, 3, FALSE) - SUMIF($F$1:$F1860, F1861, $H$1:$H1860))
</f>
        <v/>
      </c>
      <c r="I1861" s="26"/>
      <c r="J1861" s="26" t="s">
        <v>77</v>
      </c>
      <c r="L1861" s="27" t="s">
        <v>77</v>
      </c>
      <c r="N1861" s="28" t="s">
        <v>77</v>
      </c>
      <c r="Q1861" s="30"/>
    </row>
    <row r="1862">
      <c r="B1862" s="6"/>
      <c r="C1862" s="33" t="str">
        <f t="array" ref="C1862">IF(B1862="", "", XLOOKUP(B1862, Inventory!D:D,Inventory!E:E,"No Name Found"))</f>
        <v/>
      </c>
      <c r="D1862" s="6"/>
      <c r="E1862" s="6"/>
      <c r="F1862" s="6"/>
      <c r="G1862" s="24" t="str">
        <f>IF(F1862="", "", VLOOKUP(F1862, Inventory!A:BZ, 3, FALSE) - SUMIF($F$1:$F1861, F1862, $H$1:$H1861))
</f>
        <v/>
      </c>
      <c r="I1862" s="26"/>
      <c r="J1862" s="26" t="s">
        <v>77</v>
      </c>
      <c r="L1862" s="27" t="s">
        <v>77</v>
      </c>
      <c r="N1862" s="28" t="s">
        <v>77</v>
      </c>
      <c r="Q1862" s="30"/>
    </row>
    <row r="1863">
      <c r="B1863" s="6"/>
      <c r="C1863" s="33" t="str">
        <f t="array" ref="C1863">IF(B1863="", "", XLOOKUP(B1863, Inventory!D:D,Inventory!E:E,"No Name Found"))</f>
        <v/>
      </c>
      <c r="D1863" s="6"/>
      <c r="E1863" s="6"/>
      <c r="F1863" s="6"/>
      <c r="G1863" s="24" t="str">
        <f>IF(F1863="", "", VLOOKUP(F1863, Inventory!A:BZ, 3, FALSE) - SUMIF($F$1:$F1862, F1863, $H$1:$H1862))
</f>
        <v/>
      </c>
      <c r="I1863" s="26"/>
      <c r="J1863" s="26" t="s">
        <v>77</v>
      </c>
      <c r="L1863" s="27" t="s">
        <v>77</v>
      </c>
      <c r="N1863" s="28" t="s">
        <v>77</v>
      </c>
      <c r="Q1863" s="30"/>
    </row>
    <row r="1864">
      <c r="B1864" s="6"/>
      <c r="C1864" s="33" t="str">
        <f t="array" ref="C1864">IF(B1864="", "", XLOOKUP(B1864, Inventory!D:D,Inventory!E:E,"No Name Found"))</f>
        <v/>
      </c>
      <c r="D1864" s="6"/>
      <c r="E1864" s="6"/>
      <c r="F1864" s="6"/>
      <c r="G1864" s="24" t="str">
        <f>IF(F1864="", "", VLOOKUP(F1864, Inventory!A:BZ, 3, FALSE) - SUMIF($F$1:$F1863, F1864, $H$1:$H1863))
</f>
        <v/>
      </c>
      <c r="I1864" s="26"/>
      <c r="J1864" s="26" t="s">
        <v>77</v>
      </c>
      <c r="L1864" s="27" t="s">
        <v>77</v>
      </c>
      <c r="N1864" s="28" t="s">
        <v>77</v>
      </c>
      <c r="Q1864" s="30"/>
    </row>
    <row r="1865">
      <c r="B1865" s="6"/>
      <c r="C1865" s="33" t="str">
        <f t="array" ref="C1865">IF(B1865="", "", XLOOKUP(B1865, Inventory!D:D,Inventory!E:E,"No Name Found"))</f>
        <v/>
      </c>
      <c r="D1865" s="6"/>
      <c r="E1865" s="6"/>
      <c r="F1865" s="6"/>
      <c r="G1865" s="24" t="str">
        <f>IF(F1865="", "", VLOOKUP(F1865, Inventory!A:BZ, 3, FALSE) - SUMIF($F$1:$F1864, F1865, $H$1:$H1864))
</f>
        <v/>
      </c>
      <c r="I1865" s="26"/>
      <c r="J1865" s="26" t="s">
        <v>77</v>
      </c>
      <c r="L1865" s="27" t="s">
        <v>77</v>
      </c>
      <c r="N1865" s="28" t="s">
        <v>77</v>
      </c>
      <c r="Q1865" s="30"/>
    </row>
    <row r="1866">
      <c r="B1866" s="6"/>
      <c r="C1866" s="33" t="str">
        <f t="array" ref="C1866">IF(B1866="", "", XLOOKUP(B1866, Inventory!D:D,Inventory!E:E,"No Name Found"))</f>
        <v/>
      </c>
      <c r="D1866" s="6"/>
      <c r="E1866" s="6"/>
      <c r="F1866" s="6"/>
      <c r="G1866" s="24" t="str">
        <f>IF(F1866="", "", VLOOKUP(F1866, Inventory!A:BZ, 3, FALSE) - SUMIF($F$1:$F1865, F1866, $H$1:$H1865))
</f>
        <v/>
      </c>
      <c r="I1866" s="26"/>
      <c r="J1866" s="26" t="s">
        <v>77</v>
      </c>
      <c r="L1866" s="27" t="s">
        <v>77</v>
      </c>
      <c r="N1866" s="28" t="s">
        <v>77</v>
      </c>
      <c r="Q1866" s="30"/>
    </row>
    <row r="1867">
      <c r="B1867" s="6"/>
      <c r="C1867" s="33" t="str">
        <f t="array" ref="C1867">IF(B1867="", "", XLOOKUP(B1867, Inventory!D:D,Inventory!E:E,"No Name Found"))</f>
        <v/>
      </c>
      <c r="D1867" s="6"/>
      <c r="E1867" s="6"/>
      <c r="F1867" s="6"/>
      <c r="G1867" s="24" t="str">
        <f>IF(F1867="", "", VLOOKUP(F1867, Inventory!A:BZ, 3, FALSE) - SUMIF($F$1:$F1866, F1867, $H$1:$H1866))
</f>
        <v/>
      </c>
      <c r="I1867" s="26"/>
      <c r="J1867" s="26" t="s">
        <v>77</v>
      </c>
      <c r="L1867" s="27" t="s">
        <v>77</v>
      </c>
      <c r="N1867" s="28" t="s">
        <v>77</v>
      </c>
      <c r="Q1867" s="30"/>
    </row>
    <row r="1868">
      <c r="B1868" s="6"/>
      <c r="C1868" s="33" t="str">
        <f t="array" ref="C1868">IF(B1868="", "", XLOOKUP(B1868, Inventory!D:D,Inventory!E:E,"No Name Found"))</f>
        <v/>
      </c>
      <c r="D1868" s="6"/>
      <c r="E1868" s="6"/>
      <c r="F1868" s="6"/>
      <c r="G1868" s="24" t="str">
        <f>IF(F1868="", "", VLOOKUP(F1868, Inventory!A:BZ, 3, FALSE) - SUMIF($F$1:$F1867, F1868, $H$1:$H1867))
</f>
        <v/>
      </c>
      <c r="I1868" s="26"/>
      <c r="J1868" s="26" t="s">
        <v>77</v>
      </c>
      <c r="L1868" s="27" t="s">
        <v>77</v>
      </c>
      <c r="N1868" s="28" t="s">
        <v>77</v>
      </c>
      <c r="Q1868" s="30"/>
    </row>
    <row r="1869">
      <c r="B1869" s="6"/>
      <c r="C1869" s="33" t="str">
        <f t="array" ref="C1869">IF(B1869="", "", XLOOKUP(B1869, Inventory!D:D,Inventory!E:E,"No Name Found"))</f>
        <v/>
      </c>
      <c r="D1869" s="6"/>
      <c r="E1869" s="6"/>
      <c r="F1869" s="6"/>
      <c r="G1869" s="24" t="str">
        <f>IF(F1869="", "", VLOOKUP(F1869, Inventory!A:BZ, 3, FALSE) - SUMIF($F$1:$F1868, F1869, $H$1:$H1868))
</f>
        <v/>
      </c>
      <c r="I1869" s="26"/>
      <c r="J1869" s="26" t="s">
        <v>77</v>
      </c>
      <c r="L1869" s="27" t="s">
        <v>77</v>
      </c>
      <c r="N1869" s="28" t="s">
        <v>77</v>
      </c>
      <c r="Q1869" s="30"/>
    </row>
    <row r="1870">
      <c r="B1870" s="6"/>
      <c r="C1870" s="33" t="str">
        <f t="array" ref="C1870">IF(B1870="", "", XLOOKUP(B1870, Inventory!D:D,Inventory!E:E,"No Name Found"))</f>
        <v/>
      </c>
      <c r="D1870" s="6"/>
      <c r="E1870" s="6"/>
      <c r="F1870" s="6"/>
      <c r="G1870" s="24" t="str">
        <f>IF(F1870="", "", VLOOKUP(F1870, Inventory!A:BZ, 3, FALSE) - SUMIF($F$1:$F1869, F1870, $H$1:$H1869))
</f>
        <v/>
      </c>
      <c r="I1870" s="26"/>
      <c r="J1870" s="26" t="s">
        <v>77</v>
      </c>
      <c r="L1870" s="27" t="s">
        <v>77</v>
      </c>
      <c r="N1870" s="28" t="s">
        <v>77</v>
      </c>
      <c r="Q1870" s="30"/>
    </row>
    <row r="1871">
      <c r="B1871" s="6"/>
      <c r="C1871" s="33" t="str">
        <f t="array" ref="C1871">IF(B1871="", "", XLOOKUP(B1871, Inventory!D:D,Inventory!E:E,"No Name Found"))</f>
        <v/>
      </c>
      <c r="D1871" s="6"/>
      <c r="E1871" s="6"/>
      <c r="F1871" s="6"/>
      <c r="G1871" s="24" t="str">
        <f>IF(F1871="", "", VLOOKUP(F1871, Inventory!A:BZ, 3, FALSE) - SUMIF($F$1:$F1870, F1871, $H$1:$H1870))
</f>
        <v/>
      </c>
      <c r="I1871" s="26"/>
      <c r="J1871" s="26" t="s">
        <v>77</v>
      </c>
      <c r="L1871" s="27" t="s">
        <v>77</v>
      </c>
      <c r="N1871" s="28" t="s">
        <v>77</v>
      </c>
      <c r="Q1871" s="30"/>
    </row>
    <row r="1872">
      <c r="B1872" s="6"/>
      <c r="C1872" s="33" t="str">
        <f t="array" ref="C1872">IF(B1872="", "", XLOOKUP(B1872, Inventory!D:D,Inventory!E:E,"No Name Found"))</f>
        <v/>
      </c>
      <c r="D1872" s="6"/>
      <c r="E1872" s="6"/>
      <c r="F1872" s="6"/>
      <c r="G1872" s="24" t="str">
        <f>IF(F1872="", "", VLOOKUP(F1872, Inventory!A:BZ, 3, FALSE) - SUMIF($F$1:$F1871, F1872, $H$1:$H1871))
</f>
        <v/>
      </c>
      <c r="I1872" s="26"/>
      <c r="J1872" s="26" t="s">
        <v>77</v>
      </c>
      <c r="L1872" s="27" t="s">
        <v>77</v>
      </c>
      <c r="N1872" s="28" t="s">
        <v>77</v>
      </c>
      <c r="Q1872" s="30"/>
    </row>
    <row r="1873">
      <c r="B1873" s="6"/>
      <c r="C1873" s="33" t="str">
        <f t="array" ref="C1873">IF(B1873="", "", XLOOKUP(B1873, Inventory!D:D,Inventory!E:E,"No Name Found"))</f>
        <v/>
      </c>
      <c r="D1873" s="6"/>
      <c r="E1873" s="6"/>
      <c r="F1873" s="6"/>
      <c r="G1873" s="24" t="str">
        <f>IF(F1873="", "", VLOOKUP(F1873, Inventory!A:BZ, 3, FALSE) - SUMIF($F$1:$F1872, F1873, $H$1:$H1872))
</f>
        <v/>
      </c>
      <c r="I1873" s="26"/>
      <c r="J1873" s="26" t="s">
        <v>77</v>
      </c>
      <c r="L1873" s="27" t="s">
        <v>77</v>
      </c>
      <c r="N1873" s="28" t="s">
        <v>77</v>
      </c>
      <c r="Q1873" s="30"/>
    </row>
    <row r="1874">
      <c r="B1874" s="6"/>
      <c r="C1874" s="33" t="str">
        <f t="array" ref="C1874">IF(B1874="", "", XLOOKUP(B1874, Inventory!D:D,Inventory!E:E,"No Name Found"))</f>
        <v/>
      </c>
      <c r="D1874" s="6"/>
      <c r="E1874" s="6"/>
      <c r="F1874" s="6"/>
      <c r="G1874" s="24" t="str">
        <f>IF(F1874="", "", VLOOKUP(F1874, Inventory!A:BZ, 3, FALSE) - SUMIF($F$1:$F1873, F1874, $H$1:$H1873))
</f>
        <v/>
      </c>
      <c r="I1874" s="26"/>
      <c r="J1874" s="26" t="s">
        <v>77</v>
      </c>
      <c r="L1874" s="27" t="s">
        <v>77</v>
      </c>
      <c r="N1874" s="28" t="s">
        <v>77</v>
      </c>
      <c r="Q1874" s="30"/>
    </row>
    <row r="1875">
      <c r="B1875" s="6"/>
      <c r="C1875" s="33" t="str">
        <f t="array" ref="C1875">IF(B1875="", "", XLOOKUP(B1875, Inventory!D:D,Inventory!E:E,"No Name Found"))</f>
        <v/>
      </c>
      <c r="D1875" s="6"/>
      <c r="E1875" s="6"/>
      <c r="F1875" s="6"/>
      <c r="G1875" s="24" t="str">
        <f>IF(F1875="", "", VLOOKUP(F1875, Inventory!A:BZ, 3, FALSE) - SUMIF($F$1:$F1874, F1875, $H$1:$H1874))
</f>
        <v/>
      </c>
      <c r="I1875" s="26"/>
      <c r="J1875" s="26" t="s">
        <v>77</v>
      </c>
      <c r="L1875" s="27" t="s">
        <v>77</v>
      </c>
      <c r="N1875" s="28" t="s">
        <v>77</v>
      </c>
      <c r="Q1875" s="30"/>
    </row>
    <row r="1876">
      <c r="B1876" s="6"/>
      <c r="C1876" s="33" t="str">
        <f t="array" ref="C1876">IF(B1876="", "", XLOOKUP(B1876, Inventory!D:D,Inventory!E:E,"No Name Found"))</f>
        <v/>
      </c>
      <c r="D1876" s="6"/>
      <c r="E1876" s="6"/>
      <c r="F1876" s="6"/>
      <c r="G1876" s="24" t="str">
        <f>IF(F1876="", "", VLOOKUP(F1876, Inventory!A:BZ, 3, FALSE) - SUMIF($F$1:$F1875, F1876, $H$1:$H1875))
</f>
        <v/>
      </c>
      <c r="I1876" s="26"/>
      <c r="J1876" s="26" t="s">
        <v>77</v>
      </c>
      <c r="L1876" s="27" t="s">
        <v>77</v>
      </c>
      <c r="N1876" s="28" t="s">
        <v>77</v>
      </c>
      <c r="Q1876" s="30"/>
    </row>
    <row r="1877">
      <c r="B1877" s="6"/>
      <c r="C1877" s="33" t="str">
        <f t="array" ref="C1877">IF(B1877="", "", XLOOKUP(B1877, Inventory!D:D,Inventory!E:E,"No Name Found"))</f>
        <v/>
      </c>
      <c r="D1877" s="6"/>
      <c r="E1877" s="6"/>
      <c r="F1877" s="6"/>
      <c r="G1877" s="24" t="str">
        <f>IF(F1877="", "", VLOOKUP(F1877, Inventory!A:BZ, 3, FALSE) - SUMIF($F$1:$F1876, F1877, $H$1:$H1876))
</f>
        <v/>
      </c>
      <c r="I1877" s="26"/>
      <c r="J1877" s="26" t="s">
        <v>77</v>
      </c>
      <c r="L1877" s="27" t="s">
        <v>77</v>
      </c>
      <c r="N1877" s="28" t="s">
        <v>77</v>
      </c>
      <c r="Q1877" s="30"/>
    </row>
    <row r="1878">
      <c r="B1878" s="6"/>
      <c r="C1878" s="33" t="str">
        <f t="array" ref="C1878">IF(B1878="", "", XLOOKUP(B1878, Inventory!D:D,Inventory!E:E,"No Name Found"))</f>
        <v/>
      </c>
      <c r="D1878" s="6"/>
      <c r="E1878" s="6"/>
      <c r="F1878" s="6"/>
      <c r="G1878" s="24" t="str">
        <f>IF(F1878="", "", VLOOKUP(F1878, Inventory!A:BZ, 3, FALSE) - SUMIF($F$1:$F1877, F1878, $H$1:$H1877))
</f>
        <v/>
      </c>
      <c r="I1878" s="26"/>
      <c r="J1878" s="26" t="s">
        <v>77</v>
      </c>
      <c r="L1878" s="27" t="s">
        <v>77</v>
      </c>
      <c r="N1878" s="28" t="s">
        <v>77</v>
      </c>
      <c r="Q1878" s="30"/>
    </row>
    <row r="1879">
      <c r="B1879" s="6"/>
      <c r="C1879" s="33" t="str">
        <f t="array" ref="C1879">IF(B1879="", "", XLOOKUP(B1879, Inventory!D:D,Inventory!E:E,"No Name Found"))</f>
        <v/>
      </c>
      <c r="D1879" s="6"/>
      <c r="E1879" s="6"/>
      <c r="F1879" s="6"/>
      <c r="G1879" s="24" t="str">
        <f>IF(F1879="", "", VLOOKUP(F1879, Inventory!A:BZ, 3, FALSE) - SUMIF($F$1:$F1878, F1879, $H$1:$H1878))
</f>
        <v/>
      </c>
      <c r="I1879" s="26"/>
      <c r="J1879" s="26" t="s">
        <v>77</v>
      </c>
      <c r="L1879" s="27" t="s">
        <v>77</v>
      </c>
      <c r="N1879" s="28" t="s">
        <v>77</v>
      </c>
      <c r="Q1879" s="30"/>
    </row>
    <row r="1880">
      <c r="B1880" s="6"/>
      <c r="C1880" s="33" t="str">
        <f t="array" ref="C1880">IF(B1880="", "", XLOOKUP(B1880, Inventory!D:D,Inventory!E:E,"No Name Found"))</f>
        <v/>
      </c>
      <c r="D1880" s="6"/>
      <c r="E1880" s="6"/>
      <c r="F1880" s="6"/>
      <c r="G1880" s="24" t="str">
        <f>IF(F1880="", "", VLOOKUP(F1880, Inventory!A:BZ, 3, FALSE) - SUMIF($F$1:$F1879, F1880, $H$1:$H1879))
</f>
        <v/>
      </c>
      <c r="I1880" s="26"/>
      <c r="J1880" s="26" t="s">
        <v>77</v>
      </c>
      <c r="L1880" s="27" t="s">
        <v>77</v>
      </c>
      <c r="N1880" s="28" t="s">
        <v>77</v>
      </c>
      <c r="Q1880" s="30"/>
    </row>
    <row r="1881">
      <c r="B1881" s="6"/>
      <c r="C1881" s="33" t="str">
        <f t="array" ref="C1881">IF(B1881="", "", XLOOKUP(B1881, Inventory!D:D,Inventory!E:E,"No Name Found"))</f>
        <v/>
      </c>
      <c r="D1881" s="6"/>
      <c r="E1881" s="6"/>
      <c r="F1881" s="6"/>
      <c r="G1881" s="24" t="str">
        <f>IF(F1881="", "", VLOOKUP(F1881, Inventory!A:BZ, 3, FALSE) - SUMIF($F$1:$F1880, F1881, $H$1:$H1880))
</f>
        <v/>
      </c>
      <c r="I1881" s="26"/>
      <c r="J1881" s="26" t="s">
        <v>77</v>
      </c>
      <c r="L1881" s="27" t="s">
        <v>77</v>
      </c>
      <c r="N1881" s="28" t="s">
        <v>77</v>
      </c>
      <c r="Q1881" s="30"/>
    </row>
    <row r="1882">
      <c r="B1882" s="6"/>
      <c r="C1882" s="33" t="str">
        <f t="array" ref="C1882">IF(B1882="", "", XLOOKUP(B1882, Inventory!D:D,Inventory!E:E,"No Name Found"))</f>
        <v/>
      </c>
      <c r="D1882" s="6"/>
      <c r="E1882" s="6"/>
      <c r="F1882" s="6"/>
      <c r="G1882" s="24" t="str">
        <f>IF(F1882="", "", VLOOKUP(F1882, Inventory!A:BZ, 3, FALSE) - SUMIF($F$1:$F1881, F1882, $H$1:$H1881))
</f>
        <v/>
      </c>
      <c r="I1882" s="26"/>
      <c r="J1882" s="26" t="s">
        <v>77</v>
      </c>
      <c r="L1882" s="27" t="s">
        <v>77</v>
      </c>
      <c r="N1882" s="28" t="s">
        <v>77</v>
      </c>
      <c r="Q1882" s="30"/>
    </row>
    <row r="1883">
      <c r="B1883" s="6"/>
      <c r="C1883" s="33" t="str">
        <f t="array" ref="C1883">IF(B1883="", "", XLOOKUP(B1883, Inventory!D:D,Inventory!E:E,"No Name Found"))</f>
        <v/>
      </c>
      <c r="D1883" s="6"/>
      <c r="E1883" s="6"/>
      <c r="F1883" s="6"/>
      <c r="G1883" s="24" t="str">
        <f>IF(F1883="", "", VLOOKUP(F1883, Inventory!A:BZ, 3, FALSE) - SUMIF($F$1:$F1882, F1883, $H$1:$H1882))
</f>
        <v/>
      </c>
      <c r="I1883" s="26"/>
      <c r="J1883" s="26" t="s">
        <v>77</v>
      </c>
      <c r="L1883" s="27" t="s">
        <v>77</v>
      </c>
      <c r="N1883" s="28" t="s">
        <v>77</v>
      </c>
      <c r="Q1883" s="30"/>
    </row>
    <row r="1884">
      <c r="B1884" s="6"/>
      <c r="C1884" s="33" t="str">
        <f t="array" ref="C1884">IF(B1884="", "", XLOOKUP(B1884, Inventory!D:D,Inventory!E:E,"No Name Found"))</f>
        <v/>
      </c>
      <c r="D1884" s="6"/>
      <c r="E1884" s="6"/>
      <c r="F1884" s="6"/>
      <c r="G1884" s="24" t="str">
        <f>IF(F1884="", "", VLOOKUP(F1884, Inventory!A:BZ, 3, FALSE) - SUMIF($F$1:$F1883, F1884, $H$1:$H1883))
</f>
        <v/>
      </c>
      <c r="I1884" s="26"/>
      <c r="J1884" s="26" t="s">
        <v>77</v>
      </c>
      <c r="L1884" s="27" t="s">
        <v>77</v>
      </c>
      <c r="N1884" s="28" t="s">
        <v>77</v>
      </c>
      <c r="Q1884" s="30"/>
    </row>
    <row r="1885">
      <c r="B1885" s="6"/>
      <c r="C1885" s="33" t="str">
        <f t="array" ref="C1885">IF(B1885="", "", XLOOKUP(B1885, Inventory!D:D,Inventory!E:E,"No Name Found"))</f>
        <v/>
      </c>
      <c r="D1885" s="6"/>
      <c r="E1885" s="6"/>
      <c r="F1885" s="6"/>
      <c r="G1885" s="24" t="str">
        <f>IF(F1885="", "", VLOOKUP(F1885, Inventory!A:BZ, 3, FALSE) - SUMIF($F$1:$F1884, F1885, $H$1:$H1884))
</f>
        <v/>
      </c>
      <c r="I1885" s="26"/>
      <c r="J1885" s="26" t="s">
        <v>77</v>
      </c>
      <c r="L1885" s="27" t="s">
        <v>77</v>
      </c>
      <c r="N1885" s="28" t="s">
        <v>77</v>
      </c>
      <c r="Q1885" s="30"/>
    </row>
    <row r="1886">
      <c r="B1886" s="6"/>
      <c r="C1886" s="33" t="str">
        <f t="array" ref="C1886">IF(B1886="", "", XLOOKUP(B1886, Inventory!D:D,Inventory!E:E,"No Name Found"))</f>
        <v/>
      </c>
      <c r="D1886" s="6"/>
      <c r="E1886" s="6"/>
      <c r="F1886" s="6"/>
      <c r="G1886" s="24" t="str">
        <f>IF(F1886="", "", VLOOKUP(F1886, Inventory!A:BZ, 3, FALSE) - SUMIF($F$1:$F1885, F1886, $H$1:$H1885))
</f>
        <v/>
      </c>
      <c r="I1886" s="26"/>
      <c r="J1886" s="26" t="s">
        <v>77</v>
      </c>
      <c r="L1886" s="27" t="s">
        <v>77</v>
      </c>
      <c r="N1886" s="28" t="s">
        <v>77</v>
      </c>
      <c r="Q1886" s="30"/>
    </row>
    <row r="1887">
      <c r="B1887" s="6"/>
      <c r="C1887" s="33" t="str">
        <f t="array" ref="C1887">IF(B1887="", "", XLOOKUP(B1887, Inventory!D:D,Inventory!E:E,"No Name Found"))</f>
        <v/>
      </c>
      <c r="D1887" s="6"/>
      <c r="E1887" s="6"/>
      <c r="F1887" s="6"/>
      <c r="G1887" s="24" t="str">
        <f>IF(F1887="", "", VLOOKUP(F1887, Inventory!A:BZ, 3, FALSE) - SUMIF($F$1:$F1886, F1887, $H$1:$H1886))
</f>
        <v/>
      </c>
      <c r="I1887" s="26"/>
      <c r="J1887" s="26" t="s">
        <v>77</v>
      </c>
      <c r="L1887" s="27" t="s">
        <v>77</v>
      </c>
      <c r="N1887" s="28" t="s">
        <v>77</v>
      </c>
      <c r="Q1887" s="30"/>
    </row>
    <row r="1888">
      <c r="B1888" s="6"/>
      <c r="C1888" s="33" t="str">
        <f t="array" ref="C1888">IF(B1888="", "", XLOOKUP(B1888, Inventory!D:D,Inventory!E:E,"No Name Found"))</f>
        <v/>
      </c>
      <c r="D1888" s="6"/>
      <c r="E1888" s="6"/>
      <c r="F1888" s="6"/>
      <c r="G1888" s="24" t="str">
        <f>IF(F1888="", "", VLOOKUP(F1888, Inventory!A:BZ, 3, FALSE) - SUMIF($F$1:$F1887, F1888, $H$1:$H1887))
</f>
        <v/>
      </c>
      <c r="I1888" s="26"/>
      <c r="J1888" s="26" t="s">
        <v>77</v>
      </c>
      <c r="L1888" s="27" t="s">
        <v>77</v>
      </c>
      <c r="N1888" s="28" t="s">
        <v>77</v>
      </c>
      <c r="Q1888" s="30"/>
    </row>
    <row r="1889">
      <c r="B1889" s="6"/>
      <c r="C1889" s="33" t="str">
        <f t="array" ref="C1889">IF(B1889="", "", XLOOKUP(B1889, Inventory!D:D,Inventory!E:E,"No Name Found"))</f>
        <v/>
      </c>
      <c r="D1889" s="6"/>
      <c r="E1889" s="6"/>
      <c r="F1889" s="6"/>
      <c r="G1889" s="24" t="str">
        <f>IF(F1889="", "", VLOOKUP(F1889, Inventory!A:BZ, 3, FALSE) - SUMIF($F$1:$F1888, F1889, $H$1:$H1888))
</f>
        <v/>
      </c>
      <c r="I1889" s="26"/>
      <c r="J1889" s="26" t="s">
        <v>77</v>
      </c>
      <c r="L1889" s="27" t="s">
        <v>77</v>
      </c>
      <c r="N1889" s="28" t="s">
        <v>77</v>
      </c>
      <c r="Q1889" s="30"/>
    </row>
    <row r="1890">
      <c r="B1890" s="6"/>
      <c r="C1890" s="33" t="str">
        <f t="array" ref="C1890">IF(B1890="", "", XLOOKUP(B1890, Inventory!D:D,Inventory!E:E,"No Name Found"))</f>
        <v/>
      </c>
      <c r="D1890" s="6"/>
      <c r="E1890" s="6"/>
      <c r="F1890" s="6"/>
      <c r="G1890" s="24" t="str">
        <f>IF(F1890="", "", VLOOKUP(F1890, Inventory!A:BZ, 3, FALSE) - SUMIF($F$1:$F1889, F1890, $H$1:$H1889))
</f>
        <v/>
      </c>
      <c r="I1890" s="26"/>
      <c r="J1890" s="26" t="s">
        <v>77</v>
      </c>
      <c r="L1890" s="27" t="s">
        <v>77</v>
      </c>
      <c r="N1890" s="28" t="s">
        <v>77</v>
      </c>
      <c r="Q1890" s="30"/>
    </row>
    <row r="1891">
      <c r="B1891" s="6"/>
      <c r="C1891" s="33" t="str">
        <f t="array" ref="C1891">IF(B1891="", "", XLOOKUP(B1891, Inventory!D:D,Inventory!E:E,"No Name Found"))</f>
        <v/>
      </c>
      <c r="D1891" s="6"/>
      <c r="E1891" s="6"/>
      <c r="F1891" s="6"/>
      <c r="G1891" s="24" t="str">
        <f>IF(F1891="", "", VLOOKUP(F1891, Inventory!A:BZ, 3, FALSE) - SUMIF($F$1:$F1890, F1891, $H$1:$H1890))
</f>
        <v/>
      </c>
      <c r="I1891" s="26"/>
      <c r="J1891" s="26" t="s">
        <v>77</v>
      </c>
      <c r="L1891" s="27" t="s">
        <v>77</v>
      </c>
      <c r="N1891" s="28" t="s">
        <v>77</v>
      </c>
      <c r="Q1891" s="30"/>
    </row>
    <row r="1892">
      <c r="B1892" s="6"/>
      <c r="C1892" s="33" t="str">
        <f t="array" ref="C1892">IF(B1892="", "", XLOOKUP(B1892, Inventory!D:D,Inventory!E:E,"No Name Found"))</f>
        <v/>
      </c>
      <c r="D1892" s="6"/>
      <c r="E1892" s="6"/>
      <c r="F1892" s="6"/>
      <c r="G1892" s="24" t="str">
        <f>IF(F1892="", "", VLOOKUP(F1892, Inventory!A:BZ, 3, FALSE) - SUMIF($F$1:$F1891, F1892, $H$1:$H1891))
</f>
        <v/>
      </c>
      <c r="I1892" s="26"/>
      <c r="J1892" s="26" t="s">
        <v>77</v>
      </c>
      <c r="L1892" s="27" t="s">
        <v>77</v>
      </c>
      <c r="N1892" s="28" t="s">
        <v>77</v>
      </c>
      <c r="Q1892" s="30"/>
    </row>
    <row r="1893">
      <c r="B1893" s="6"/>
      <c r="C1893" s="33" t="str">
        <f t="array" ref="C1893">IF(B1893="", "", XLOOKUP(B1893, Inventory!D:D,Inventory!E:E,"No Name Found"))</f>
        <v/>
      </c>
      <c r="D1893" s="6"/>
      <c r="E1893" s="6"/>
      <c r="F1893" s="6"/>
      <c r="G1893" s="24" t="str">
        <f>IF(F1893="", "", VLOOKUP(F1893, Inventory!A:BZ, 3, FALSE) - SUMIF($F$1:$F1892, F1893, $H$1:$H1892))
</f>
        <v/>
      </c>
      <c r="I1893" s="26"/>
      <c r="J1893" s="26" t="s">
        <v>77</v>
      </c>
      <c r="L1893" s="27" t="s">
        <v>77</v>
      </c>
      <c r="N1893" s="28" t="s">
        <v>77</v>
      </c>
      <c r="Q1893" s="30"/>
    </row>
    <row r="1894">
      <c r="B1894" s="6"/>
      <c r="C1894" s="33" t="str">
        <f t="array" ref="C1894">IF(B1894="", "", XLOOKUP(B1894, Inventory!D:D,Inventory!E:E,"No Name Found"))</f>
        <v/>
      </c>
      <c r="D1894" s="6"/>
      <c r="E1894" s="6"/>
      <c r="F1894" s="6"/>
      <c r="G1894" s="24" t="str">
        <f>IF(F1894="", "", VLOOKUP(F1894, Inventory!A:BZ, 3, FALSE) - SUMIF($F$1:$F1893, F1894, $H$1:$H1893))
</f>
        <v/>
      </c>
      <c r="I1894" s="26"/>
      <c r="J1894" s="26" t="s">
        <v>77</v>
      </c>
      <c r="L1894" s="27" t="s">
        <v>77</v>
      </c>
      <c r="N1894" s="28" t="s">
        <v>77</v>
      </c>
      <c r="Q1894" s="30"/>
    </row>
    <row r="1895">
      <c r="B1895" s="6"/>
      <c r="C1895" s="33" t="str">
        <f t="array" ref="C1895">IF(B1895="", "", XLOOKUP(B1895, Inventory!D:D,Inventory!E:E,"No Name Found"))</f>
        <v/>
      </c>
      <c r="D1895" s="6"/>
      <c r="E1895" s="6"/>
      <c r="F1895" s="6"/>
      <c r="G1895" s="24" t="str">
        <f>IF(F1895="", "", VLOOKUP(F1895, Inventory!A:BZ, 3, FALSE) - SUMIF($F$1:$F1894, F1895, $H$1:$H1894))
</f>
        <v/>
      </c>
      <c r="I1895" s="26"/>
      <c r="J1895" s="26" t="s">
        <v>77</v>
      </c>
      <c r="L1895" s="27" t="s">
        <v>77</v>
      </c>
      <c r="N1895" s="28" t="s">
        <v>77</v>
      </c>
      <c r="Q1895" s="30"/>
    </row>
    <row r="1896">
      <c r="B1896" s="6"/>
      <c r="C1896" s="33" t="str">
        <f t="array" ref="C1896">IF(B1896="", "", XLOOKUP(B1896, Inventory!D:D,Inventory!E:E,"No Name Found"))</f>
        <v/>
      </c>
      <c r="D1896" s="6"/>
      <c r="E1896" s="6"/>
      <c r="F1896" s="6"/>
      <c r="G1896" s="24" t="str">
        <f>IF(F1896="", "", VLOOKUP(F1896, Inventory!A:BZ, 3, FALSE) - SUMIF($F$1:$F1895, F1896, $H$1:$H1895))
</f>
        <v/>
      </c>
      <c r="I1896" s="26"/>
      <c r="J1896" s="26" t="s">
        <v>77</v>
      </c>
      <c r="L1896" s="27" t="s">
        <v>77</v>
      </c>
      <c r="N1896" s="28" t="s">
        <v>77</v>
      </c>
      <c r="Q1896" s="30"/>
    </row>
    <row r="1897">
      <c r="B1897" s="6"/>
      <c r="C1897" s="33" t="str">
        <f t="array" ref="C1897">IF(B1897="", "", XLOOKUP(B1897, Inventory!D:D,Inventory!E:E,"No Name Found"))</f>
        <v/>
      </c>
      <c r="D1897" s="6"/>
      <c r="E1897" s="6"/>
      <c r="F1897" s="6"/>
      <c r="G1897" s="24" t="str">
        <f>IF(F1897="", "", VLOOKUP(F1897, Inventory!A:BZ, 3, FALSE) - SUMIF($F$1:$F1896, F1897, $H$1:$H1896))
</f>
        <v/>
      </c>
      <c r="I1897" s="26"/>
      <c r="J1897" s="26" t="s">
        <v>77</v>
      </c>
      <c r="L1897" s="27" t="s">
        <v>77</v>
      </c>
      <c r="N1897" s="28" t="s">
        <v>77</v>
      </c>
      <c r="Q1897" s="30"/>
    </row>
    <row r="1898">
      <c r="B1898" s="6"/>
      <c r="C1898" s="33" t="str">
        <f t="array" ref="C1898">IF(B1898="", "", XLOOKUP(B1898, Inventory!D:D,Inventory!E:E,"No Name Found"))</f>
        <v/>
      </c>
      <c r="D1898" s="6"/>
      <c r="E1898" s="6"/>
      <c r="F1898" s="6"/>
      <c r="G1898" s="24" t="str">
        <f>IF(F1898="", "", VLOOKUP(F1898, Inventory!A:BZ, 3, FALSE) - SUMIF($F$1:$F1897, F1898, $H$1:$H1897))
</f>
        <v/>
      </c>
      <c r="I1898" s="26"/>
      <c r="J1898" s="26" t="s">
        <v>77</v>
      </c>
      <c r="L1898" s="27" t="s">
        <v>77</v>
      </c>
      <c r="N1898" s="28" t="s">
        <v>77</v>
      </c>
      <c r="Q1898" s="30"/>
    </row>
    <row r="1899">
      <c r="B1899" s="6"/>
      <c r="C1899" s="33" t="str">
        <f t="array" ref="C1899">IF(B1899="", "", XLOOKUP(B1899, Inventory!D:D,Inventory!E:E,"No Name Found"))</f>
        <v/>
      </c>
      <c r="D1899" s="6"/>
      <c r="E1899" s="6"/>
      <c r="F1899" s="6"/>
      <c r="G1899" s="24" t="str">
        <f>IF(F1899="", "", VLOOKUP(F1899, Inventory!A:BZ, 3, FALSE) - SUMIF($F$1:$F1898, F1899, $H$1:$H1898))
</f>
        <v/>
      </c>
      <c r="I1899" s="26"/>
      <c r="J1899" s="26" t="s">
        <v>77</v>
      </c>
      <c r="L1899" s="27" t="s">
        <v>77</v>
      </c>
      <c r="N1899" s="28" t="s">
        <v>77</v>
      </c>
      <c r="Q1899" s="30"/>
    </row>
    <row r="1900">
      <c r="B1900" s="6"/>
      <c r="C1900" s="33" t="str">
        <f t="array" ref="C1900">IF(B1900="", "", XLOOKUP(B1900, Inventory!D:D,Inventory!E:E,"No Name Found"))</f>
        <v/>
      </c>
      <c r="D1900" s="6"/>
      <c r="E1900" s="6"/>
      <c r="F1900" s="6"/>
      <c r="G1900" s="24" t="str">
        <f>IF(F1900="", "", VLOOKUP(F1900, Inventory!A:BZ, 3, FALSE) - SUMIF($F$1:$F1899, F1900, $H$1:$H1899))
</f>
        <v/>
      </c>
      <c r="I1900" s="26"/>
      <c r="J1900" s="26" t="s">
        <v>77</v>
      </c>
      <c r="L1900" s="27" t="s">
        <v>77</v>
      </c>
      <c r="N1900" s="28" t="s">
        <v>77</v>
      </c>
      <c r="Q1900" s="30"/>
    </row>
    <row r="1901">
      <c r="B1901" s="6"/>
      <c r="C1901" s="33" t="str">
        <f t="array" ref="C1901">IF(B1901="", "", XLOOKUP(B1901, Inventory!D:D,Inventory!E:E,"No Name Found"))</f>
        <v/>
      </c>
      <c r="D1901" s="6"/>
      <c r="E1901" s="6"/>
      <c r="F1901" s="6"/>
      <c r="G1901" s="24" t="str">
        <f>IF(F1901="", "", VLOOKUP(F1901, Inventory!A:BZ, 3, FALSE) - SUMIF($F$1:$F1900, F1901, $H$1:$H1900))
</f>
        <v/>
      </c>
      <c r="I1901" s="26"/>
      <c r="J1901" s="26" t="s">
        <v>77</v>
      </c>
      <c r="L1901" s="27" t="s">
        <v>77</v>
      </c>
      <c r="N1901" s="28" t="s">
        <v>77</v>
      </c>
      <c r="Q1901" s="30"/>
    </row>
    <row r="1902">
      <c r="B1902" s="6"/>
      <c r="C1902" s="33" t="str">
        <f t="array" ref="C1902">IF(B1902="", "", XLOOKUP(B1902, Inventory!D:D,Inventory!E:E,"No Name Found"))</f>
        <v/>
      </c>
      <c r="D1902" s="6"/>
      <c r="E1902" s="6"/>
      <c r="F1902" s="6"/>
      <c r="G1902" s="24" t="str">
        <f>IF(F1902="", "", VLOOKUP(F1902, Inventory!A:BZ, 3, FALSE) - SUMIF($F$1:$F1901, F1902, $H$1:$H1901))
</f>
        <v/>
      </c>
      <c r="I1902" s="26"/>
      <c r="J1902" s="26" t="s">
        <v>77</v>
      </c>
      <c r="L1902" s="27" t="s">
        <v>77</v>
      </c>
      <c r="N1902" s="28" t="s">
        <v>77</v>
      </c>
      <c r="Q1902" s="30"/>
    </row>
    <row r="1903">
      <c r="B1903" s="6"/>
      <c r="C1903" s="33" t="str">
        <f t="array" ref="C1903">IF(B1903="", "", XLOOKUP(B1903, Inventory!D:D,Inventory!E:E,"No Name Found"))</f>
        <v/>
      </c>
      <c r="D1903" s="6"/>
      <c r="E1903" s="6"/>
      <c r="F1903" s="6"/>
      <c r="G1903" s="24" t="str">
        <f>IF(F1903="", "", VLOOKUP(F1903, Inventory!A:BZ, 3, FALSE) - SUMIF($F$1:$F1902, F1903, $H$1:$H1902))
</f>
        <v/>
      </c>
      <c r="I1903" s="26"/>
      <c r="J1903" s="26" t="s">
        <v>77</v>
      </c>
      <c r="L1903" s="27" t="s">
        <v>77</v>
      </c>
      <c r="N1903" s="28" t="s">
        <v>77</v>
      </c>
      <c r="Q1903" s="30"/>
    </row>
    <row r="1904">
      <c r="B1904" s="6"/>
      <c r="C1904" s="33" t="str">
        <f t="array" ref="C1904">IF(B1904="", "", XLOOKUP(B1904, Inventory!D:D,Inventory!E:E,"No Name Found"))</f>
        <v/>
      </c>
      <c r="D1904" s="6"/>
      <c r="E1904" s="6"/>
      <c r="F1904" s="6"/>
      <c r="G1904" s="24" t="str">
        <f>IF(F1904="", "", VLOOKUP(F1904, Inventory!A:BZ, 3, FALSE) - SUMIF($F$1:$F1903, F1904, $H$1:$H1903))
</f>
        <v/>
      </c>
      <c r="I1904" s="26"/>
      <c r="J1904" s="26" t="s">
        <v>77</v>
      </c>
      <c r="L1904" s="27" t="s">
        <v>77</v>
      </c>
      <c r="N1904" s="28" t="s">
        <v>77</v>
      </c>
      <c r="Q1904" s="30"/>
    </row>
    <row r="1905">
      <c r="B1905" s="6"/>
      <c r="C1905" s="33" t="str">
        <f t="array" ref="C1905">IF(B1905="", "", XLOOKUP(B1905, Inventory!D:D,Inventory!E:E,"No Name Found"))</f>
        <v/>
      </c>
      <c r="D1905" s="6"/>
      <c r="E1905" s="6"/>
      <c r="F1905" s="6"/>
      <c r="G1905" s="24" t="str">
        <f>IF(F1905="", "", VLOOKUP(F1905, Inventory!A:BZ, 3, FALSE) - SUMIF($F$1:$F1904, F1905, $H$1:$H1904))
</f>
        <v/>
      </c>
      <c r="I1905" s="26"/>
      <c r="J1905" s="26" t="s">
        <v>77</v>
      </c>
      <c r="L1905" s="27" t="s">
        <v>77</v>
      </c>
      <c r="N1905" s="28" t="s">
        <v>77</v>
      </c>
      <c r="Q1905" s="30"/>
    </row>
    <row r="1906">
      <c r="B1906" s="6"/>
      <c r="C1906" s="33" t="str">
        <f t="array" ref="C1906">IF(B1906="", "", XLOOKUP(B1906, Inventory!D:D,Inventory!E:E,"No Name Found"))</f>
        <v/>
      </c>
      <c r="D1906" s="6"/>
      <c r="E1906" s="6"/>
      <c r="F1906" s="6"/>
      <c r="G1906" s="24" t="str">
        <f>IF(F1906="", "", VLOOKUP(F1906, Inventory!A:BZ, 3, FALSE) - SUMIF($F$1:$F1905, F1906, $H$1:$H1905))
</f>
        <v/>
      </c>
      <c r="I1906" s="26"/>
      <c r="J1906" s="26" t="s">
        <v>77</v>
      </c>
      <c r="L1906" s="27" t="s">
        <v>77</v>
      </c>
      <c r="N1906" s="28" t="s">
        <v>77</v>
      </c>
      <c r="Q1906" s="30"/>
    </row>
    <row r="1907">
      <c r="B1907" s="6"/>
      <c r="C1907" s="33" t="str">
        <f t="array" ref="C1907">IF(B1907="", "", XLOOKUP(B1907, Inventory!D:D,Inventory!E:E,"No Name Found"))</f>
        <v/>
      </c>
      <c r="D1907" s="6"/>
      <c r="E1907" s="6"/>
      <c r="F1907" s="6"/>
      <c r="G1907" s="24" t="str">
        <f>IF(F1907="", "", VLOOKUP(F1907, Inventory!A:BZ, 3, FALSE) - SUMIF($F$1:$F1906, F1907, $H$1:$H1906))
</f>
        <v/>
      </c>
      <c r="I1907" s="26"/>
      <c r="J1907" s="26" t="s">
        <v>77</v>
      </c>
      <c r="L1907" s="27" t="s">
        <v>77</v>
      </c>
      <c r="N1907" s="28" t="s">
        <v>77</v>
      </c>
      <c r="Q1907" s="30"/>
    </row>
    <row r="1908">
      <c r="B1908" s="6"/>
      <c r="C1908" s="33" t="str">
        <f t="array" ref="C1908">IF(B1908="", "", XLOOKUP(B1908, Inventory!D:D,Inventory!E:E,"No Name Found"))</f>
        <v/>
      </c>
      <c r="D1908" s="6"/>
      <c r="E1908" s="6"/>
      <c r="F1908" s="6"/>
      <c r="G1908" s="24" t="str">
        <f>IF(F1908="", "", VLOOKUP(F1908, Inventory!A:BZ, 3, FALSE) - SUMIF($F$1:$F1907, F1908, $H$1:$H1907))
</f>
        <v/>
      </c>
      <c r="I1908" s="26"/>
      <c r="J1908" s="26" t="s">
        <v>77</v>
      </c>
      <c r="L1908" s="27" t="s">
        <v>77</v>
      </c>
      <c r="N1908" s="28" t="s">
        <v>77</v>
      </c>
      <c r="Q1908" s="30"/>
    </row>
    <row r="1909">
      <c r="B1909" s="6"/>
      <c r="C1909" s="33" t="str">
        <f t="array" ref="C1909">IF(B1909="", "", XLOOKUP(B1909, Inventory!D:D,Inventory!E:E,"No Name Found"))</f>
        <v/>
      </c>
      <c r="D1909" s="6"/>
      <c r="E1909" s="6"/>
      <c r="F1909" s="6"/>
      <c r="G1909" s="24" t="str">
        <f>IF(F1909="", "", VLOOKUP(F1909, Inventory!A:BZ, 3, FALSE) - SUMIF($F$1:$F1908, F1909, $H$1:$H1908))
</f>
        <v/>
      </c>
      <c r="I1909" s="26"/>
      <c r="J1909" s="26" t="s">
        <v>77</v>
      </c>
      <c r="L1909" s="27" t="s">
        <v>77</v>
      </c>
      <c r="N1909" s="28" t="s">
        <v>77</v>
      </c>
      <c r="Q1909" s="30"/>
    </row>
    <row r="1910">
      <c r="B1910" s="6"/>
      <c r="C1910" s="33" t="str">
        <f t="array" ref="C1910">IF(B1910="", "", XLOOKUP(B1910, Inventory!D:D,Inventory!E:E,"No Name Found"))</f>
        <v/>
      </c>
      <c r="D1910" s="6"/>
      <c r="E1910" s="6"/>
      <c r="F1910" s="6"/>
      <c r="G1910" s="24" t="str">
        <f>IF(F1910="", "", VLOOKUP(F1910, Inventory!A:BZ, 3, FALSE) - SUMIF($F$1:$F1909, F1910, $H$1:$H1909))
</f>
        <v/>
      </c>
      <c r="I1910" s="26"/>
      <c r="J1910" s="26" t="s">
        <v>77</v>
      </c>
      <c r="L1910" s="27" t="s">
        <v>77</v>
      </c>
      <c r="N1910" s="28" t="s">
        <v>77</v>
      </c>
      <c r="Q1910" s="30"/>
    </row>
    <row r="1911">
      <c r="B1911" s="6"/>
      <c r="C1911" s="33" t="str">
        <f t="array" ref="C1911">IF(B1911="", "", XLOOKUP(B1911, Inventory!D:D,Inventory!E:E,"No Name Found"))</f>
        <v/>
      </c>
      <c r="D1911" s="6"/>
      <c r="E1911" s="6"/>
      <c r="F1911" s="6"/>
      <c r="G1911" s="24" t="str">
        <f>IF(F1911="", "", VLOOKUP(F1911, Inventory!A:BZ, 3, FALSE) - SUMIF($F$1:$F1910, F1911, $H$1:$H1910))
</f>
        <v/>
      </c>
      <c r="I1911" s="26"/>
      <c r="J1911" s="26" t="s">
        <v>77</v>
      </c>
      <c r="L1911" s="27" t="s">
        <v>77</v>
      </c>
      <c r="N1911" s="28" t="s">
        <v>77</v>
      </c>
      <c r="Q1911" s="30"/>
    </row>
    <row r="1912">
      <c r="B1912" s="6"/>
      <c r="C1912" s="33" t="str">
        <f t="array" ref="C1912">IF(B1912="", "", XLOOKUP(B1912, Inventory!D:D,Inventory!E:E,"No Name Found"))</f>
        <v/>
      </c>
      <c r="D1912" s="6"/>
      <c r="E1912" s="6"/>
      <c r="F1912" s="6"/>
      <c r="G1912" s="24" t="str">
        <f>IF(F1912="", "", VLOOKUP(F1912, Inventory!A:BZ, 3, FALSE) - SUMIF($F$1:$F1911, F1912, $H$1:$H1911))
</f>
        <v/>
      </c>
      <c r="I1912" s="26"/>
      <c r="J1912" s="26" t="s">
        <v>77</v>
      </c>
      <c r="L1912" s="27" t="s">
        <v>77</v>
      </c>
      <c r="N1912" s="28" t="s">
        <v>77</v>
      </c>
      <c r="Q1912" s="30"/>
    </row>
    <row r="1913">
      <c r="B1913" s="6"/>
      <c r="C1913" s="33" t="str">
        <f t="array" ref="C1913">IF(B1913="", "", XLOOKUP(B1913, Inventory!D:D,Inventory!E:E,"No Name Found"))</f>
        <v/>
      </c>
      <c r="D1913" s="6"/>
      <c r="E1913" s="6"/>
      <c r="F1913" s="6"/>
      <c r="G1913" s="24" t="str">
        <f>IF(F1913="", "", VLOOKUP(F1913, Inventory!A:BZ, 3, FALSE) - SUMIF($F$1:$F1912, F1913, $H$1:$H1912))
</f>
        <v/>
      </c>
      <c r="I1913" s="26"/>
      <c r="J1913" s="26" t="s">
        <v>77</v>
      </c>
      <c r="L1913" s="27" t="s">
        <v>77</v>
      </c>
      <c r="N1913" s="28" t="s">
        <v>77</v>
      </c>
      <c r="Q1913" s="30"/>
    </row>
    <row r="1914">
      <c r="B1914" s="6"/>
      <c r="C1914" s="33" t="str">
        <f t="array" ref="C1914">IF(B1914="", "", XLOOKUP(B1914, Inventory!D:D,Inventory!E:E,"No Name Found"))</f>
        <v/>
      </c>
      <c r="D1914" s="6"/>
      <c r="E1914" s="6"/>
      <c r="F1914" s="6"/>
      <c r="G1914" s="24" t="str">
        <f>IF(F1914="", "", VLOOKUP(F1914, Inventory!A:BZ, 3, FALSE) - SUMIF($F$1:$F1913, F1914, $H$1:$H1913))
</f>
        <v/>
      </c>
      <c r="I1914" s="26"/>
      <c r="J1914" s="26" t="s">
        <v>77</v>
      </c>
      <c r="L1914" s="27" t="s">
        <v>77</v>
      </c>
      <c r="N1914" s="28" t="s">
        <v>77</v>
      </c>
      <c r="Q1914" s="30"/>
    </row>
    <row r="1915">
      <c r="B1915" s="6"/>
      <c r="C1915" s="33" t="str">
        <f t="array" ref="C1915">IF(B1915="", "", XLOOKUP(B1915, Inventory!D:D,Inventory!E:E,"No Name Found"))</f>
        <v/>
      </c>
      <c r="D1915" s="6"/>
      <c r="E1915" s="6"/>
      <c r="F1915" s="6"/>
      <c r="G1915" s="24" t="str">
        <f>IF(F1915="", "", VLOOKUP(F1915, Inventory!A:BZ, 3, FALSE) - SUMIF($F$1:$F1914, F1915, $H$1:$H1914))
</f>
        <v/>
      </c>
      <c r="I1915" s="26"/>
      <c r="J1915" s="26" t="s">
        <v>77</v>
      </c>
      <c r="L1915" s="27" t="s">
        <v>77</v>
      </c>
      <c r="N1915" s="28" t="s">
        <v>77</v>
      </c>
      <c r="Q1915" s="30"/>
    </row>
    <row r="1916">
      <c r="B1916" s="6"/>
      <c r="C1916" s="33" t="str">
        <f t="array" ref="C1916">IF(B1916="", "", XLOOKUP(B1916, Inventory!D:D,Inventory!E:E,"No Name Found"))</f>
        <v/>
      </c>
      <c r="D1916" s="6"/>
      <c r="E1916" s="6"/>
      <c r="F1916" s="6"/>
      <c r="G1916" s="24" t="str">
        <f>IF(F1916="", "", VLOOKUP(F1916, Inventory!A:BZ, 3, FALSE) - SUMIF($F$1:$F1915, F1916, $H$1:$H1915))
</f>
        <v/>
      </c>
      <c r="I1916" s="26"/>
      <c r="J1916" s="26" t="s">
        <v>77</v>
      </c>
      <c r="L1916" s="27" t="s">
        <v>77</v>
      </c>
      <c r="N1916" s="28" t="s">
        <v>77</v>
      </c>
      <c r="Q1916" s="30"/>
    </row>
    <row r="1917">
      <c r="B1917" s="6"/>
      <c r="C1917" s="33" t="str">
        <f t="array" ref="C1917">IF(B1917="", "", XLOOKUP(B1917, Inventory!D:D,Inventory!E:E,"No Name Found"))</f>
        <v/>
      </c>
      <c r="D1917" s="6"/>
      <c r="E1917" s="6"/>
      <c r="F1917" s="6"/>
      <c r="G1917" s="24" t="str">
        <f>IF(F1917="", "", VLOOKUP(F1917, Inventory!A:BZ, 3, FALSE) - SUMIF($F$1:$F1916, F1917, $H$1:$H1916))
</f>
        <v/>
      </c>
      <c r="I1917" s="26"/>
      <c r="J1917" s="26" t="s">
        <v>77</v>
      </c>
      <c r="L1917" s="27" t="s">
        <v>77</v>
      </c>
      <c r="N1917" s="28" t="s">
        <v>77</v>
      </c>
      <c r="Q1917" s="30"/>
    </row>
    <row r="1918">
      <c r="B1918" s="6"/>
      <c r="C1918" s="33" t="str">
        <f t="array" ref="C1918">IF(B1918="", "", XLOOKUP(B1918, Inventory!D:D,Inventory!E:E,"No Name Found"))</f>
        <v/>
      </c>
      <c r="D1918" s="6"/>
      <c r="E1918" s="6"/>
      <c r="F1918" s="6"/>
      <c r="G1918" s="24" t="str">
        <f>IF(F1918="", "", VLOOKUP(F1918, Inventory!A:BZ, 3, FALSE) - SUMIF($F$1:$F1917, F1918, $H$1:$H1917))
</f>
        <v/>
      </c>
      <c r="I1918" s="26"/>
      <c r="J1918" s="26" t="s">
        <v>77</v>
      </c>
      <c r="L1918" s="27" t="s">
        <v>77</v>
      </c>
      <c r="N1918" s="28" t="s">
        <v>77</v>
      </c>
      <c r="Q1918" s="30"/>
    </row>
    <row r="1919">
      <c r="B1919" s="6"/>
      <c r="C1919" s="33" t="str">
        <f t="array" ref="C1919">IF(B1919="", "", XLOOKUP(B1919, Inventory!D:D,Inventory!E:E,"No Name Found"))</f>
        <v/>
      </c>
      <c r="D1919" s="6"/>
      <c r="E1919" s="6"/>
      <c r="F1919" s="6"/>
      <c r="G1919" s="24" t="str">
        <f>IF(F1919="", "", VLOOKUP(F1919, Inventory!A:BZ, 3, FALSE) - SUMIF($F$1:$F1918, F1919, $H$1:$H1918))
</f>
        <v/>
      </c>
      <c r="I1919" s="26"/>
      <c r="J1919" s="26" t="s">
        <v>77</v>
      </c>
      <c r="L1919" s="27" t="s">
        <v>77</v>
      </c>
      <c r="N1919" s="28" t="s">
        <v>77</v>
      </c>
      <c r="Q1919" s="30"/>
    </row>
    <row r="1920">
      <c r="B1920" s="6"/>
      <c r="C1920" s="33" t="str">
        <f t="array" ref="C1920">IF(B1920="", "", XLOOKUP(B1920, Inventory!D:D,Inventory!E:E,"No Name Found"))</f>
        <v/>
      </c>
      <c r="D1920" s="6"/>
      <c r="E1920" s="6"/>
      <c r="F1920" s="6"/>
      <c r="G1920" s="24" t="str">
        <f>IF(F1920="", "", VLOOKUP(F1920, Inventory!A:BZ, 3, FALSE) - SUMIF($F$1:$F1919, F1920, $H$1:$H1919))
</f>
        <v/>
      </c>
      <c r="I1920" s="26"/>
      <c r="J1920" s="26" t="s">
        <v>77</v>
      </c>
      <c r="L1920" s="27" t="s">
        <v>77</v>
      </c>
      <c r="N1920" s="28" t="s">
        <v>77</v>
      </c>
      <c r="Q1920" s="30"/>
    </row>
    <row r="1921">
      <c r="B1921" s="6"/>
      <c r="C1921" s="33" t="str">
        <f t="array" ref="C1921">IF(B1921="", "", XLOOKUP(B1921, Inventory!D:D,Inventory!E:E,"No Name Found"))</f>
        <v/>
      </c>
      <c r="D1921" s="6"/>
      <c r="E1921" s="6"/>
      <c r="F1921" s="6"/>
      <c r="G1921" s="24" t="str">
        <f>IF(F1921="", "", VLOOKUP(F1921, Inventory!A:BZ, 3, FALSE) - SUMIF($F$1:$F1920, F1921, $H$1:$H1920))
</f>
        <v/>
      </c>
      <c r="I1921" s="26"/>
      <c r="J1921" s="26" t="s">
        <v>77</v>
      </c>
      <c r="L1921" s="27" t="s">
        <v>77</v>
      </c>
      <c r="N1921" s="28" t="s">
        <v>77</v>
      </c>
      <c r="Q1921" s="30"/>
    </row>
    <row r="1922">
      <c r="B1922" s="6"/>
      <c r="C1922" s="33" t="str">
        <f t="array" ref="C1922">IF(B1922="", "", XLOOKUP(B1922, Inventory!D:D,Inventory!E:E,"No Name Found"))</f>
        <v/>
      </c>
      <c r="D1922" s="6"/>
      <c r="E1922" s="6"/>
      <c r="F1922" s="6"/>
      <c r="G1922" s="24" t="str">
        <f>IF(F1922="", "", VLOOKUP(F1922, Inventory!A:BZ, 3, FALSE) - SUMIF($F$1:$F1921, F1922, $H$1:$H1921))
</f>
        <v/>
      </c>
      <c r="I1922" s="26"/>
      <c r="J1922" s="26" t="s">
        <v>77</v>
      </c>
      <c r="L1922" s="27" t="s">
        <v>77</v>
      </c>
      <c r="N1922" s="28" t="s">
        <v>77</v>
      </c>
      <c r="Q1922" s="30"/>
    </row>
    <row r="1923">
      <c r="B1923" s="6"/>
      <c r="C1923" s="33" t="str">
        <f t="array" ref="C1923">IF(B1923="", "", XLOOKUP(B1923, Inventory!D:D,Inventory!E:E,"No Name Found"))</f>
        <v/>
      </c>
      <c r="D1923" s="6"/>
      <c r="E1923" s="6"/>
      <c r="F1923" s="6"/>
      <c r="G1923" s="24" t="str">
        <f>IF(F1923="", "", VLOOKUP(F1923, Inventory!A:BZ, 3, FALSE) - SUMIF($F$1:$F1922, F1923, $H$1:$H1922))
</f>
        <v/>
      </c>
      <c r="I1923" s="26"/>
      <c r="J1923" s="26" t="s">
        <v>77</v>
      </c>
      <c r="L1923" s="27" t="s">
        <v>77</v>
      </c>
      <c r="N1923" s="28" t="s">
        <v>77</v>
      </c>
      <c r="Q1923" s="30"/>
    </row>
    <row r="1924">
      <c r="B1924" s="6"/>
      <c r="C1924" s="33" t="str">
        <f t="array" ref="C1924">IF(B1924="", "", XLOOKUP(B1924, Inventory!D:D,Inventory!E:E,"No Name Found"))</f>
        <v/>
      </c>
      <c r="D1924" s="6"/>
      <c r="E1924" s="6"/>
      <c r="F1924" s="6"/>
      <c r="G1924" s="24" t="str">
        <f>IF(F1924="", "", VLOOKUP(F1924, Inventory!A:BZ, 3, FALSE) - SUMIF($F$1:$F1923, F1924, $H$1:$H1923))
</f>
        <v/>
      </c>
      <c r="I1924" s="26"/>
      <c r="J1924" s="26" t="s">
        <v>77</v>
      </c>
      <c r="L1924" s="27" t="s">
        <v>77</v>
      </c>
      <c r="N1924" s="28" t="s">
        <v>77</v>
      </c>
      <c r="Q1924" s="30"/>
    </row>
    <row r="1925">
      <c r="B1925" s="6"/>
      <c r="C1925" s="33" t="str">
        <f t="array" ref="C1925">IF(B1925="", "", XLOOKUP(B1925, Inventory!D:D,Inventory!E:E,"No Name Found"))</f>
        <v/>
      </c>
      <c r="D1925" s="6"/>
      <c r="E1925" s="6"/>
      <c r="F1925" s="6"/>
      <c r="G1925" s="24" t="str">
        <f>IF(F1925="", "", VLOOKUP(F1925, Inventory!A:BZ, 3, FALSE) - SUMIF($F$1:$F1924, F1925, $H$1:$H1924))
</f>
        <v/>
      </c>
      <c r="I1925" s="26"/>
      <c r="J1925" s="26" t="s">
        <v>77</v>
      </c>
      <c r="L1925" s="27" t="s">
        <v>77</v>
      </c>
      <c r="N1925" s="28" t="s">
        <v>77</v>
      </c>
      <c r="Q1925" s="30"/>
    </row>
    <row r="1926">
      <c r="B1926" s="6"/>
      <c r="C1926" s="33" t="str">
        <f t="array" ref="C1926">IF(B1926="", "", XLOOKUP(B1926, Inventory!D:D,Inventory!E:E,"No Name Found"))</f>
        <v/>
      </c>
      <c r="D1926" s="6"/>
      <c r="E1926" s="6"/>
      <c r="F1926" s="6"/>
      <c r="G1926" s="24" t="str">
        <f>IF(F1926="", "", VLOOKUP(F1926, Inventory!A:BZ, 3, FALSE) - SUMIF($F$1:$F1925, F1926, $H$1:$H1925))
</f>
        <v/>
      </c>
      <c r="I1926" s="26"/>
      <c r="J1926" s="26" t="s">
        <v>77</v>
      </c>
      <c r="L1926" s="27" t="s">
        <v>77</v>
      </c>
      <c r="N1926" s="28" t="s">
        <v>77</v>
      </c>
      <c r="Q1926" s="30"/>
    </row>
    <row r="1927">
      <c r="B1927" s="6"/>
      <c r="C1927" s="33" t="str">
        <f t="array" ref="C1927">IF(B1927="", "", XLOOKUP(B1927, Inventory!D:D,Inventory!E:E,"No Name Found"))</f>
        <v/>
      </c>
      <c r="D1927" s="6"/>
      <c r="E1927" s="6"/>
      <c r="F1927" s="6"/>
      <c r="G1927" s="24" t="str">
        <f>IF(F1927="", "", VLOOKUP(F1927, Inventory!A:BZ, 3, FALSE) - SUMIF($F$1:$F1926, F1927, $H$1:$H1926))
</f>
        <v/>
      </c>
      <c r="I1927" s="26"/>
      <c r="J1927" s="26" t="s">
        <v>77</v>
      </c>
      <c r="L1927" s="27" t="s">
        <v>77</v>
      </c>
      <c r="N1927" s="28" t="s">
        <v>77</v>
      </c>
      <c r="Q1927" s="30"/>
    </row>
    <row r="1928">
      <c r="B1928" s="6"/>
      <c r="C1928" s="33" t="str">
        <f t="array" ref="C1928">IF(B1928="", "", XLOOKUP(B1928, Inventory!D:D,Inventory!E:E,"No Name Found"))</f>
        <v/>
      </c>
      <c r="D1928" s="6"/>
      <c r="E1928" s="6"/>
      <c r="F1928" s="6"/>
      <c r="G1928" s="24" t="str">
        <f>IF(F1928="", "", VLOOKUP(F1928, Inventory!A:BZ, 3, FALSE) - SUMIF($F$1:$F1927, F1928, $H$1:$H1927))
</f>
        <v/>
      </c>
      <c r="I1928" s="26"/>
      <c r="J1928" s="26" t="s">
        <v>77</v>
      </c>
      <c r="L1928" s="27" t="s">
        <v>77</v>
      </c>
      <c r="N1928" s="28" t="s">
        <v>77</v>
      </c>
      <c r="Q1928" s="30"/>
    </row>
    <row r="1929">
      <c r="B1929" s="6"/>
      <c r="C1929" s="33" t="str">
        <f t="array" ref="C1929">IF(B1929="", "", XLOOKUP(B1929, Inventory!D:D,Inventory!E:E,"No Name Found"))</f>
        <v/>
      </c>
      <c r="D1929" s="6"/>
      <c r="E1929" s="6"/>
      <c r="F1929" s="6"/>
      <c r="G1929" s="24" t="str">
        <f>IF(F1929="", "", VLOOKUP(F1929, Inventory!A:BZ, 3, FALSE) - SUMIF($F$1:$F1928, F1929, $H$1:$H1928))
</f>
        <v/>
      </c>
      <c r="I1929" s="26"/>
      <c r="J1929" s="26" t="s">
        <v>77</v>
      </c>
      <c r="L1929" s="27" t="s">
        <v>77</v>
      </c>
      <c r="N1929" s="28" t="s">
        <v>77</v>
      </c>
      <c r="Q1929" s="30"/>
    </row>
    <row r="1930">
      <c r="B1930" s="6"/>
      <c r="C1930" s="33" t="str">
        <f t="array" ref="C1930">IF(B1930="", "", XLOOKUP(B1930, Inventory!D:D,Inventory!E:E,"No Name Found"))</f>
        <v/>
      </c>
      <c r="D1930" s="6"/>
      <c r="E1930" s="6"/>
      <c r="F1930" s="6"/>
      <c r="G1930" s="24" t="str">
        <f>IF(F1930="", "", VLOOKUP(F1930, Inventory!A:BZ, 3, FALSE) - SUMIF($F$1:$F1929, F1930, $H$1:$H1929))
</f>
        <v/>
      </c>
      <c r="I1930" s="26"/>
      <c r="J1930" s="26" t="s">
        <v>77</v>
      </c>
      <c r="L1930" s="27" t="s">
        <v>77</v>
      </c>
      <c r="N1930" s="28" t="s">
        <v>77</v>
      </c>
      <c r="Q1930" s="30"/>
    </row>
    <row r="1931">
      <c r="B1931" s="6"/>
      <c r="C1931" s="33" t="str">
        <f t="array" ref="C1931">IF(B1931="", "", XLOOKUP(B1931, Inventory!D:D,Inventory!E:E,"No Name Found"))</f>
        <v/>
      </c>
      <c r="D1931" s="6"/>
      <c r="E1931" s="6"/>
      <c r="F1931" s="6"/>
      <c r="G1931" s="24" t="str">
        <f>IF(F1931="", "", VLOOKUP(F1931, Inventory!A:BZ, 3, FALSE) - SUMIF($F$1:$F1930, F1931, $H$1:$H1930))
</f>
        <v/>
      </c>
      <c r="I1931" s="26"/>
      <c r="J1931" s="26" t="s">
        <v>77</v>
      </c>
      <c r="L1931" s="27" t="s">
        <v>77</v>
      </c>
      <c r="N1931" s="28" t="s">
        <v>77</v>
      </c>
      <c r="Q1931" s="30"/>
    </row>
    <row r="1932">
      <c r="B1932" s="6"/>
      <c r="C1932" s="33" t="str">
        <f t="array" ref="C1932">IF(B1932="", "", XLOOKUP(B1932, Inventory!D:D,Inventory!E:E,"No Name Found"))</f>
        <v/>
      </c>
      <c r="D1932" s="6"/>
      <c r="E1932" s="6"/>
      <c r="F1932" s="6"/>
      <c r="G1932" s="24" t="str">
        <f>IF(F1932="", "", VLOOKUP(F1932, Inventory!A:BZ, 3, FALSE) - SUMIF($F$1:$F1931, F1932, $H$1:$H1931))
</f>
        <v/>
      </c>
      <c r="I1932" s="26"/>
      <c r="J1932" s="26" t="s">
        <v>77</v>
      </c>
      <c r="L1932" s="27" t="s">
        <v>77</v>
      </c>
      <c r="N1932" s="28" t="s">
        <v>77</v>
      </c>
      <c r="Q1932" s="30"/>
    </row>
    <row r="1933">
      <c r="B1933" s="6"/>
      <c r="C1933" s="33" t="str">
        <f t="array" ref="C1933">IF(B1933="", "", XLOOKUP(B1933, Inventory!D:D,Inventory!E:E,"No Name Found"))</f>
        <v/>
      </c>
      <c r="D1933" s="6"/>
      <c r="E1933" s="6"/>
      <c r="F1933" s="6"/>
      <c r="G1933" s="24" t="str">
        <f>IF(F1933="", "", VLOOKUP(F1933, Inventory!A:BZ, 3, FALSE) - SUMIF($F$1:$F1932, F1933, $H$1:$H1932))
</f>
        <v/>
      </c>
      <c r="I1933" s="26"/>
      <c r="J1933" s="26" t="s">
        <v>77</v>
      </c>
      <c r="L1933" s="27" t="s">
        <v>77</v>
      </c>
      <c r="N1933" s="28" t="s">
        <v>77</v>
      </c>
      <c r="Q1933" s="30"/>
    </row>
    <row r="1934">
      <c r="B1934" s="6"/>
      <c r="C1934" s="33" t="str">
        <f t="array" ref="C1934">IF(B1934="", "", XLOOKUP(B1934, Inventory!D:D,Inventory!E:E,"No Name Found"))</f>
        <v/>
      </c>
      <c r="D1934" s="6"/>
      <c r="E1934" s="6"/>
      <c r="F1934" s="6"/>
      <c r="G1934" s="24" t="str">
        <f>IF(F1934="", "", VLOOKUP(F1934, Inventory!A:BZ, 3, FALSE) - SUMIF($F$1:$F1933, F1934, $H$1:$H1933))
</f>
        <v/>
      </c>
      <c r="I1934" s="26"/>
      <c r="J1934" s="26" t="s">
        <v>77</v>
      </c>
      <c r="L1934" s="27" t="s">
        <v>77</v>
      </c>
      <c r="N1934" s="28" t="s">
        <v>77</v>
      </c>
      <c r="Q1934" s="30"/>
    </row>
    <row r="1935">
      <c r="B1935" s="6"/>
      <c r="C1935" s="33" t="str">
        <f t="array" ref="C1935">IF(B1935="", "", XLOOKUP(B1935, Inventory!D:D,Inventory!E:E,"No Name Found"))</f>
        <v/>
      </c>
      <c r="D1935" s="6"/>
      <c r="E1935" s="6"/>
      <c r="F1935" s="6"/>
      <c r="G1935" s="24" t="str">
        <f>IF(F1935="", "", VLOOKUP(F1935, Inventory!A:BZ, 3, FALSE) - SUMIF($F$1:$F1934, F1935, $H$1:$H1934))
</f>
        <v/>
      </c>
      <c r="I1935" s="26"/>
      <c r="J1935" s="26" t="s">
        <v>77</v>
      </c>
      <c r="L1935" s="27" t="s">
        <v>77</v>
      </c>
      <c r="N1935" s="28" t="s">
        <v>77</v>
      </c>
      <c r="Q1935" s="30"/>
    </row>
    <row r="1936">
      <c r="B1936" s="6"/>
      <c r="C1936" s="33" t="str">
        <f t="array" ref="C1936">IF(B1936="", "", XLOOKUP(B1936, Inventory!D:D,Inventory!E:E,"No Name Found"))</f>
        <v/>
      </c>
      <c r="D1936" s="6"/>
      <c r="E1936" s="6"/>
      <c r="F1936" s="6"/>
      <c r="G1936" s="24" t="str">
        <f>IF(F1936="", "", VLOOKUP(F1936, Inventory!A:BZ, 3, FALSE) - SUMIF($F$1:$F1935, F1936, $H$1:$H1935))
</f>
        <v/>
      </c>
      <c r="I1936" s="26"/>
      <c r="J1936" s="26" t="s">
        <v>77</v>
      </c>
      <c r="L1936" s="27" t="s">
        <v>77</v>
      </c>
      <c r="N1936" s="28" t="s">
        <v>77</v>
      </c>
      <c r="Q1936" s="30"/>
    </row>
    <row r="1937">
      <c r="B1937" s="6"/>
      <c r="C1937" s="33" t="str">
        <f t="array" ref="C1937">IF(B1937="", "", XLOOKUP(B1937, Inventory!D:D,Inventory!E:E,"No Name Found"))</f>
        <v/>
      </c>
      <c r="D1937" s="6"/>
      <c r="E1937" s="6"/>
      <c r="F1937" s="6"/>
      <c r="G1937" s="24" t="str">
        <f>IF(F1937="", "", VLOOKUP(F1937, Inventory!A:BZ, 3, FALSE) - SUMIF($F$1:$F1936, F1937, $H$1:$H1936))
</f>
        <v/>
      </c>
      <c r="I1937" s="26"/>
      <c r="J1937" s="26" t="s">
        <v>77</v>
      </c>
      <c r="L1937" s="27" t="s">
        <v>77</v>
      </c>
      <c r="N1937" s="28" t="s">
        <v>77</v>
      </c>
      <c r="Q1937" s="30"/>
    </row>
    <row r="1938">
      <c r="B1938" s="6"/>
      <c r="C1938" s="33" t="str">
        <f t="array" ref="C1938">IF(B1938="", "", XLOOKUP(B1938, Inventory!D:D,Inventory!E:E,"No Name Found"))</f>
        <v/>
      </c>
      <c r="D1938" s="6"/>
      <c r="E1938" s="6"/>
      <c r="F1938" s="6"/>
      <c r="G1938" s="24" t="str">
        <f>IF(F1938="", "", VLOOKUP(F1938, Inventory!A:BZ, 3, FALSE) - SUMIF($F$1:$F1937, F1938, $H$1:$H1937))
</f>
        <v/>
      </c>
      <c r="I1938" s="26"/>
      <c r="J1938" s="26" t="s">
        <v>77</v>
      </c>
      <c r="L1938" s="27" t="s">
        <v>77</v>
      </c>
      <c r="N1938" s="28" t="s">
        <v>77</v>
      </c>
      <c r="Q1938" s="30"/>
    </row>
    <row r="1939">
      <c r="B1939" s="6"/>
      <c r="C1939" s="33" t="str">
        <f t="array" ref="C1939">IF(B1939="", "", XLOOKUP(B1939, Inventory!D:D,Inventory!E:E,"No Name Found"))</f>
        <v/>
      </c>
      <c r="D1939" s="6"/>
      <c r="E1939" s="6"/>
      <c r="F1939" s="6"/>
      <c r="G1939" s="24" t="str">
        <f>IF(F1939="", "", VLOOKUP(F1939, Inventory!A:BZ, 3, FALSE) - SUMIF($F$1:$F1938, F1939, $H$1:$H1938))
</f>
        <v/>
      </c>
      <c r="I1939" s="26"/>
      <c r="J1939" s="26" t="s">
        <v>77</v>
      </c>
      <c r="L1939" s="27" t="s">
        <v>77</v>
      </c>
      <c r="N1939" s="28" t="s">
        <v>77</v>
      </c>
      <c r="Q1939" s="30"/>
    </row>
    <row r="1940">
      <c r="B1940" s="6"/>
      <c r="C1940" s="33" t="str">
        <f t="array" ref="C1940">IF(B1940="", "", XLOOKUP(B1940, Inventory!D:D,Inventory!E:E,"No Name Found"))</f>
        <v/>
      </c>
      <c r="D1940" s="6"/>
      <c r="E1940" s="6"/>
      <c r="F1940" s="6"/>
      <c r="G1940" s="24" t="str">
        <f>IF(F1940="", "", VLOOKUP(F1940, Inventory!A:BZ, 3, FALSE) - SUMIF($F$1:$F1939, F1940, $H$1:$H1939))
</f>
        <v/>
      </c>
      <c r="I1940" s="26"/>
      <c r="J1940" s="26" t="s">
        <v>77</v>
      </c>
      <c r="L1940" s="27" t="s">
        <v>77</v>
      </c>
      <c r="N1940" s="28" t="s">
        <v>77</v>
      </c>
      <c r="Q1940" s="30"/>
    </row>
    <row r="1941">
      <c r="B1941" s="6"/>
      <c r="C1941" s="33" t="str">
        <f t="array" ref="C1941">IF(B1941="", "", XLOOKUP(B1941, Inventory!D:D,Inventory!E:E,"No Name Found"))</f>
        <v/>
      </c>
      <c r="D1941" s="6"/>
      <c r="E1941" s="6"/>
      <c r="F1941" s="6"/>
      <c r="G1941" s="24" t="str">
        <f>IF(F1941="", "", VLOOKUP(F1941, Inventory!A:BZ, 3, FALSE) - SUMIF($F$1:$F1940, F1941, $H$1:$H1940))
</f>
        <v/>
      </c>
      <c r="I1941" s="26"/>
      <c r="J1941" s="26" t="s">
        <v>77</v>
      </c>
      <c r="L1941" s="27" t="s">
        <v>77</v>
      </c>
      <c r="N1941" s="28" t="s">
        <v>77</v>
      </c>
      <c r="Q1941" s="30"/>
    </row>
    <row r="1942">
      <c r="B1942" s="6"/>
      <c r="C1942" s="33" t="str">
        <f t="array" ref="C1942">IF(B1942="", "", XLOOKUP(B1942, Inventory!D:D,Inventory!E:E,"No Name Found"))</f>
        <v/>
      </c>
      <c r="D1942" s="6"/>
      <c r="E1942" s="6"/>
      <c r="F1942" s="6"/>
      <c r="G1942" s="24" t="str">
        <f>IF(F1942="", "", VLOOKUP(F1942, Inventory!A:BZ, 3, FALSE) - SUMIF($F$1:$F1941, F1942, $H$1:$H1941))
</f>
        <v/>
      </c>
      <c r="I1942" s="26"/>
      <c r="J1942" s="26" t="s">
        <v>77</v>
      </c>
      <c r="L1942" s="27" t="s">
        <v>77</v>
      </c>
      <c r="N1942" s="28" t="s">
        <v>77</v>
      </c>
      <c r="Q1942" s="30"/>
    </row>
    <row r="1943">
      <c r="B1943" s="6"/>
      <c r="C1943" s="33" t="str">
        <f t="array" ref="C1943">IF(B1943="", "", XLOOKUP(B1943, Inventory!D:D,Inventory!E:E,"No Name Found"))</f>
        <v/>
      </c>
      <c r="D1943" s="6"/>
      <c r="E1943" s="6"/>
      <c r="F1943" s="6"/>
      <c r="G1943" s="24" t="str">
        <f>IF(F1943="", "", VLOOKUP(F1943, Inventory!A:BZ, 3, FALSE) - SUMIF($F$1:$F1942, F1943, $H$1:$H1942))
</f>
        <v/>
      </c>
      <c r="I1943" s="26"/>
      <c r="J1943" s="26" t="s">
        <v>77</v>
      </c>
      <c r="L1943" s="27" t="s">
        <v>77</v>
      </c>
      <c r="N1943" s="28" t="s">
        <v>77</v>
      </c>
      <c r="Q1943" s="30"/>
    </row>
    <row r="1944">
      <c r="B1944" s="6"/>
      <c r="C1944" s="33" t="str">
        <f t="array" ref="C1944">IF(B1944="", "", XLOOKUP(B1944, Inventory!D:D,Inventory!E:E,"No Name Found"))</f>
        <v/>
      </c>
      <c r="D1944" s="6"/>
      <c r="E1944" s="6"/>
      <c r="F1944" s="6"/>
      <c r="G1944" s="24" t="str">
        <f>IF(F1944="", "", VLOOKUP(F1944, Inventory!A:BZ, 3, FALSE) - SUMIF($F$1:$F1943, F1944, $H$1:$H1943))
</f>
        <v/>
      </c>
      <c r="I1944" s="26"/>
      <c r="J1944" s="26" t="s">
        <v>77</v>
      </c>
      <c r="L1944" s="27" t="s">
        <v>77</v>
      </c>
      <c r="N1944" s="28" t="s">
        <v>77</v>
      </c>
      <c r="Q1944" s="30"/>
    </row>
    <row r="1945">
      <c r="B1945" s="6"/>
      <c r="C1945" s="33" t="str">
        <f t="array" ref="C1945">IF(B1945="", "", XLOOKUP(B1945, Inventory!D:D,Inventory!E:E,"No Name Found"))</f>
        <v/>
      </c>
      <c r="D1945" s="6"/>
      <c r="E1945" s="6"/>
      <c r="F1945" s="6"/>
      <c r="G1945" s="24" t="str">
        <f>IF(F1945="", "", VLOOKUP(F1945, Inventory!A:BZ, 3, FALSE) - SUMIF($F$1:$F1944, F1945, $H$1:$H1944))
</f>
        <v/>
      </c>
      <c r="I1945" s="26"/>
      <c r="J1945" s="26" t="s">
        <v>77</v>
      </c>
      <c r="L1945" s="27" t="s">
        <v>77</v>
      </c>
      <c r="N1945" s="28" t="s">
        <v>77</v>
      </c>
      <c r="Q1945" s="30"/>
    </row>
    <row r="1946">
      <c r="B1946" s="6"/>
      <c r="C1946" s="33" t="str">
        <f t="array" ref="C1946">IF(B1946="", "", XLOOKUP(B1946, Inventory!D:D,Inventory!E:E,"No Name Found"))</f>
        <v/>
      </c>
      <c r="D1946" s="6"/>
      <c r="E1946" s="6"/>
      <c r="F1946" s="6"/>
      <c r="G1946" s="24" t="str">
        <f>IF(F1946="", "", VLOOKUP(F1946, Inventory!A:BZ, 3, FALSE) - SUMIF($F$1:$F1945, F1946, $H$1:$H1945))
</f>
        <v/>
      </c>
      <c r="I1946" s="26"/>
      <c r="J1946" s="26" t="s">
        <v>77</v>
      </c>
      <c r="L1946" s="27" t="s">
        <v>77</v>
      </c>
      <c r="N1946" s="28" t="s">
        <v>77</v>
      </c>
      <c r="Q1946" s="30"/>
    </row>
    <row r="1947">
      <c r="B1947" s="6"/>
      <c r="C1947" s="33" t="str">
        <f t="array" ref="C1947">IF(B1947="", "", XLOOKUP(B1947, Inventory!D:D,Inventory!E:E,"No Name Found"))</f>
        <v/>
      </c>
      <c r="D1947" s="6"/>
      <c r="E1947" s="6"/>
      <c r="F1947" s="6"/>
      <c r="G1947" s="24" t="str">
        <f>IF(F1947="", "", VLOOKUP(F1947, Inventory!A:BZ, 3, FALSE) - SUMIF($F$1:$F1946, F1947, $H$1:$H1946))
</f>
        <v/>
      </c>
      <c r="I1947" s="26"/>
      <c r="J1947" s="26" t="s">
        <v>77</v>
      </c>
      <c r="L1947" s="27" t="s">
        <v>77</v>
      </c>
      <c r="N1947" s="28" t="s">
        <v>77</v>
      </c>
      <c r="Q1947" s="30"/>
    </row>
    <row r="1948">
      <c r="B1948" s="6"/>
      <c r="C1948" s="33" t="str">
        <f t="array" ref="C1948">IF(B1948="", "", XLOOKUP(B1948, Inventory!D:D,Inventory!E:E,"No Name Found"))</f>
        <v/>
      </c>
      <c r="D1948" s="6"/>
      <c r="E1948" s="6"/>
      <c r="F1948" s="6"/>
      <c r="G1948" s="24" t="str">
        <f>IF(F1948="", "", VLOOKUP(F1948, Inventory!A:BZ, 3, FALSE) - SUMIF($F$1:$F1947, F1948, $H$1:$H1947))
</f>
        <v/>
      </c>
      <c r="I1948" s="26"/>
      <c r="J1948" s="26" t="s">
        <v>77</v>
      </c>
      <c r="L1948" s="27" t="s">
        <v>77</v>
      </c>
      <c r="N1948" s="28" t="s">
        <v>77</v>
      </c>
      <c r="Q1948" s="30"/>
    </row>
    <row r="1949">
      <c r="B1949" s="6"/>
      <c r="C1949" s="33" t="str">
        <f t="array" ref="C1949">IF(B1949="", "", XLOOKUP(B1949, Inventory!D:D,Inventory!E:E,"No Name Found"))</f>
        <v/>
      </c>
      <c r="D1949" s="6"/>
      <c r="E1949" s="6"/>
      <c r="F1949" s="6"/>
      <c r="G1949" s="24" t="str">
        <f>IF(F1949="", "", VLOOKUP(F1949, Inventory!A:BZ, 3, FALSE) - SUMIF($F$1:$F1948, F1949, $H$1:$H1948))
</f>
        <v/>
      </c>
      <c r="I1949" s="26"/>
      <c r="J1949" s="26" t="s">
        <v>77</v>
      </c>
      <c r="L1949" s="27" t="s">
        <v>77</v>
      </c>
      <c r="N1949" s="28" t="s">
        <v>77</v>
      </c>
      <c r="Q1949" s="30"/>
    </row>
    <row r="1950">
      <c r="B1950" s="6"/>
      <c r="C1950" s="33" t="str">
        <f t="array" ref="C1950">IF(B1950="", "", XLOOKUP(B1950, Inventory!D:D,Inventory!E:E,"No Name Found"))</f>
        <v/>
      </c>
      <c r="D1950" s="6"/>
      <c r="E1950" s="6"/>
      <c r="F1950" s="6"/>
      <c r="G1950" s="24" t="str">
        <f>IF(F1950="", "", VLOOKUP(F1950, Inventory!A:BZ, 3, FALSE) - SUMIF($F$1:$F1949, F1950, $H$1:$H1949))
</f>
        <v/>
      </c>
      <c r="I1950" s="26"/>
      <c r="J1950" s="26" t="s">
        <v>77</v>
      </c>
      <c r="L1950" s="27" t="s">
        <v>77</v>
      </c>
      <c r="N1950" s="28" t="s">
        <v>77</v>
      </c>
      <c r="Q1950" s="30"/>
    </row>
    <row r="1951">
      <c r="B1951" s="6"/>
      <c r="C1951" s="33" t="str">
        <f t="array" ref="C1951">IF(B1951="", "", XLOOKUP(B1951, Inventory!D:D,Inventory!E:E,"No Name Found"))</f>
        <v/>
      </c>
      <c r="D1951" s="6"/>
      <c r="E1951" s="6"/>
      <c r="F1951" s="6"/>
      <c r="G1951" s="24" t="str">
        <f>IF(F1951="", "", VLOOKUP(F1951, Inventory!A:BZ, 3, FALSE) - SUMIF($F$1:$F1950, F1951, $H$1:$H1950))
</f>
        <v/>
      </c>
      <c r="I1951" s="26"/>
      <c r="J1951" s="26" t="s">
        <v>77</v>
      </c>
      <c r="L1951" s="27" t="s">
        <v>77</v>
      </c>
      <c r="N1951" s="28" t="s">
        <v>77</v>
      </c>
      <c r="Q1951" s="30"/>
    </row>
    <row r="1952">
      <c r="B1952" s="6"/>
      <c r="C1952" s="33" t="str">
        <f t="array" ref="C1952">IF(B1952="", "", XLOOKUP(B1952, Inventory!D:D,Inventory!E:E,"No Name Found"))</f>
        <v/>
      </c>
      <c r="D1952" s="6"/>
      <c r="E1952" s="6"/>
      <c r="F1952" s="6"/>
      <c r="G1952" s="24" t="str">
        <f>IF(F1952="", "", VLOOKUP(F1952, Inventory!A:BZ, 3, FALSE) - SUMIF($F$1:$F1951, F1952, $H$1:$H1951))
</f>
        <v/>
      </c>
      <c r="I1952" s="26"/>
      <c r="J1952" s="26" t="s">
        <v>77</v>
      </c>
      <c r="L1952" s="27" t="s">
        <v>77</v>
      </c>
      <c r="N1952" s="28" t="s">
        <v>77</v>
      </c>
      <c r="Q1952" s="30"/>
    </row>
    <row r="1953">
      <c r="B1953" s="6"/>
      <c r="C1953" s="33" t="str">
        <f t="array" ref="C1953">IF(B1953="", "", XLOOKUP(B1953, Inventory!D:D,Inventory!E:E,"No Name Found"))</f>
        <v/>
      </c>
      <c r="D1953" s="6"/>
      <c r="E1953" s="6"/>
      <c r="F1953" s="6"/>
      <c r="G1953" s="24" t="str">
        <f>IF(F1953="", "", VLOOKUP(F1953, Inventory!A:BZ, 3, FALSE) - SUMIF($F$1:$F1952, F1953, $H$1:$H1952))
</f>
        <v/>
      </c>
      <c r="I1953" s="26"/>
      <c r="J1953" s="26" t="s">
        <v>77</v>
      </c>
      <c r="L1953" s="27" t="s">
        <v>77</v>
      </c>
      <c r="N1953" s="28" t="s">
        <v>77</v>
      </c>
      <c r="Q1953" s="30"/>
    </row>
    <row r="1954">
      <c r="B1954" s="6"/>
      <c r="C1954" s="33" t="str">
        <f t="array" ref="C1954">IF(B1954="", "", XLOOKUP(B1954, Inventory!D:D,Inventory!E:E,"No Name Found"))</f>
        <v/>
      </c>
      <c r="D1954" s="6"/>
      <c r="E1954" s="6"/>
      <c r="F1954" s="6"/>
      <c r="G1954" s="24" t="str">
        <f>IF(F1954="", "", VLOOKUP(F1954, Inventory!A:BZ, 3, FALSE) - SUMIF($F$1:$F1953, F1954, $H$1:$H1953))
</f>
        <v/>
      </c>
      <c r="I1954" s="26"/>
      <c r="J1954" s="26" t="s">
        <v>77</v>
      </c>
      <c r="L1954" s="27" t="s">
        <v>77</v>
      </c>
      <c r="N1954" s="28" t="s">
        <v>77</v>
      </c>
      <c r="Q1954" s="30"/>
    </row>
    <row r="1955">
      <c r="B1955" s="6"/>
      <c r="C1955" s="33" t="str">
        <f t="array" ref="C1955">IF(B1955="", "", XLOOKUP(B1955, Inventory!D:D,Inventory!E:E,"No Name Found"))</f>
        <v/>
      </c>
      <c r="D1955" s="6"/>
      <c r="E1955" s="6"/>
      <c r="F1955" s="6"/>
      <c r="G1955" s="24" t="str">
        <f>IF(F1955="", "", VLOOKUP(F1955, Inventory!A:BZ, 3, FALSE) - SUMIF($F$1:$F1954, F1955, $H$1:$H1954))
</f>
        <v/>
      </c>
      <c r="I1955" s="26"/>
      <c r="J1955" s="26" t="s">
        <v>77</v>
      </c>
      <c r="L1955" s="27" t="s">
        <v>77</v>
      </c>
      <c r="N1955" s="28" t="s">
        <v>77</v>
      </c>
      <c r="Q1955" s="30"/>
    </row>
    <row r="1956">
      <c r="B1956" s="6"/>
      <c r="C1956" s="33" t="str">
        <f t="array" ref="C1956">IF(B1956="", "", XLOOKUP(B1956, Inventory!D:D,Inventory!E:E,"No Name Found"))</f>
        <v/>
      </c>
      <c r="D1956" s="6"/>
      <c r="E1956" s="6"/>
      <c r="F1956" s="6"/>
      <c r="G1956" s="24" t="str">
        <f>IF(F1956="", "", VLOOKUP(F1956, Inventory!A:BZ, 3, FALSE) - SUMIF($F$1:$F1955, F1956, $H$1:$H1955))
</f>
        <v/>
      </c>
      <c r="I1956" s="26"/>
      <c r="J1956" s="26" t="s">
        <v>77</v>
      </c>
      <c r="L1956" s="27" t="s">
        <v>77</v>
      </c>
      <c r="N1956" s="28" t="s">
        <v>77</v>
      </c>
      <c r="Q1956" s="30"/>
    </row>
    <row r="1957">
      <c r="B1957" s="6"/>
      <c r="C1957" s="33" t="str">
        <f t="array" ref="C1957">IF(B1957="", "", XLOOKUP(B1957, Inventory!D:D,Inventory!E:E,"No Name Found"))</f>
        <v/>
      </c>
      <c r="D1957" s="6"/>
      <c r="E1957" s="6"/>
      <c r="F1957" s="6"/>
      <c r="G1957" s="24" t="str">
        <f>IF(F1957="", "", VLOOKUP(F1957, Inventory!A:BZ, 3, FALSE) - SUMIF($F$1:$F1956, F1957, $H$1:$H1956))
</f>
        <v/>
      </c>
      <c r="I1957" s="26"/>
      <c r="J1957" s="26" t="s">
        <v>77</v>
      </c>
      <c r="L1957" s="27" t="s">
        <v>77</v>
      </c>
      <c r="N1957" s="28" t="s">
        <v>77</v>
      </c>
      <c r="Q1957" s="30"/>
    </row>
    <row r="1958">
      <c r="B1958" s="6"/>
      <c r="C1958" s="33" t="str">
        <f t="array" ref="C1958">IF(B1958="", "", XLOOKUP(B1958, Inventory!D:D,Inventory!E:E,"No Name Found"))</f>
        <v/>
      </c>
      <c r="D1958" s="6"/>
      <c r="E1958" s="6"/>
      <c r="F1958" s="6"/>
      <c r="G1958" s="24" t="str">
        <f>IF(F1958="", "", VLOOKUP(F1958, Inventory!A:BZ, 3, FALSE) - SUMIF($F$1:$F1957, F1958, $H$1:$H1957))
</f>
        <v/>
      </c>
      <c r="I1958" s="26"/>
      <c r="J1958" s="26" t="s">
        <v>77</v>
      </c>
      <c r="L1958" s="27" t="s">
        <v>77</v>
      </c>
      <c r="N1958" s="28" t="s">
        <v>77</v>
      </c>
      <c r="Q1958" s="30"/>
    </row>
    <row r="1959">
      <c r="B1959" s="6"/>
      <c r="C1959" s="33" t="str">
        <f t="array" ref="C1959">IF(B1959="", "", XLOOKUP(B1959, Inventory!D:D,Inventory!E:E,"No Name Found"))</f>
        <v/>
      </c>
      <c r="D1959" s="6"/>
      <c r="E1959" s="6"/>
      <c r="F1959" s="6"/>
      <c r="G1959" s="24" t="str">
        <f>IF(F1959="", "", VLOOKUP(F1959, Inventory!A:BZ, 3, FALSE) - SUMIF($F$1:$F1958, F1959, $H$1:$H1958))
</f>
        <v/>
      </c>
      <c r="I1959" s="26"/>
      <c r="J1959" s="26" t="s">
        <v>77</v>
      </c>
      <c r="L1959" s="27" t="s">
        <v>77</v>
      </c>
      <c r="N1959" s="28" t="s">
        <v>77</v>
      </c>
      <c r="Q1959" s="30"/>
    </row>
    <row r="1960">
      <c r="B1960" s="6"/>
      <c r="C1960" s="33" t="str">
        <f t="array" ref="C1960">IF(B1960="", "", XLOOKUP(B1960, Inventory!D:D,Inventory!E:E,"No Name Found"))</f>
        <v/>
      </c>
      <c r="D1960" s="6"/>
      <c r="E1960" s="6"/>
      <c r="F1960" s="6"/>
      <c r="G1960" s="24" t="str">
        <f>IF(F1960="", "", VLOOKUP(F1960, Inventory!A:BZ, 3, FALSE) - SUMIF($F$1:$F1959, F1960, $H$1:$H1959))
</f>
        <v/>
      </c>
      <c r="I1960" s="26"/>
      <c r="J1960" s="26" t="s">
        <v>77</v>
      </c>
      <c r="L1960" s="27" t="s">
        <v>77</v>
      </c>
      <c r="N1960" s="28" t="s">
        <v>77</v>
      </c>
      <c r="Q1960" s="30"/>
    </row>
    <row r="1961">
      <c r="B1961" s="6"/>
      <c r="C1961" s="33" t="str">
        <f t="array" ref="C1961">IF(B1961="", "", XLOOKUP(B1961, Inventory!D:D,Inventory!E:E,"No Name Found"))</f>
        <v/>
      </c>
      <c r="D1961" s="6"/>
      <c r="E1961" s="6"/>
      <c r="F1961" s="6"/>
      <c r="G1961" s="24" t="str">
        <f>IF(F1961="", "", VLOOKUP(F1961, Inventory!A:BZ, 3, FALSE) - SUMIF($F$1:$F1960, F1961, $H$1:$H1960))
</f>
        <v/>
      </c>
      <c r="I1961" s="26"/>
      <c r="J1961" s="26" t="s">
        <v>77</v>
      </c>
      <c r="L1961" s="27" t="s">
        <v>77</v>
      </c>
      <c r="N1961" s="28" t="s">
        <v>77</v>
      </c>
      <c r="Q1961" s="30"/>
    </row>
    <row r="1962">
      <c r="B1962" s="6"/>
      <c r="C1962" s="33" t="str">
        <f t="array" ref="C1962">IF(B1962="", "", XLOOKUP(B1962, Inventory!D:D,Inventory!E:E,"No Name Found"))</f>
        <v/>
      </c>
      <c r="D1962" s="6"/>
      <c r="E1962" s="6"/>
      <c r="F1962" s="6"/>
      <c r="G1962" s="24" t="str">
        <f>IF(F1962="", "", VLOOKUP(F1962, Inventory!A:BZ, 3, FALSE) - SUMIF($F$1:$F1961, F1962, $H$1:$H1961))
</f>
        <v/>
      </c>
      <c r="I1962" s="26"/>
      <c r="J1962" s="26" t="s">
        <v>77</v>
      </c>
      <c r="L1962" s="27" t="s">
        <v>77</v>
      </c>
      <c r="N1962" s="28" t="s">
        <v>77</v>
      </c>
      <c r="Q1962" s="30"/>
    </row>
    <row r="1963">
      <c r="B1963" s="6"/>
      <c r="C1963" s="33" t="str">
        <f t="array" ref="C1963">IF(B1963="", "", XLOOKUP(B1963, Inventory!D:D,Inventory!E:E,"No Name Found"))</f>
        <v/>
      </c>
      <c r="D1963" s="6"/>
      <c r="E1963" s="6"/>
      <c r="F1963" s="6"/>
      <c r="G1963" s="24" t="str">
        <f>IF(F1963="", "", VLOOKUP(F1963, Inventory!A:BZ, 3, FALSE) - SUMIF($F$1:$F1962, F1963, $H$1:$H1962))
</f>
        <v/>
      </c>
      <c r="I1963" s="26"/>
      <c r="J1963" s="26" t="s">
        <v>77</v>
      </c>
      <c r="L1963" s="27" t="s">
        <v>77</v>
      </c>
      <c r="N1963" s="28" t="s">
        <v>77</v>
      </c>
      <c r="Q1963" s="30"/>
    </row>
    <row r="1964">
      <c r="B1964" s="6"/>
      <c r="C1964" s="33" t="str">
        <f t="array" ref="C1964">IF(B1964="", "", XLOOKUP(B1964, Inventory!D:D,Inventory!E:E,"No Name Found"))</f>
        <v/>
      </c>
      <c r="D1964" s="6"/>
      <c r="E1964" s="6"/>
      <c r="F1964" s="6"/>
      <c r="G1964" s="24" t="str">
        <f>IF(F1964="", "", VLOOKUP(F1964, Inventory!A:BZ, 3, FALSE) - SUMIF($F$1:$F1963, F1964, $H$1:$H1963))
</f>
        <v/>
      </c>
      <c r="I1964" s="26"/>
      <c r="J1964" s="26" t="s">
        <v>77</v>
      </c>
      <c r="L1964" s="27" t="s">
        <v>77</v>
      </c>
      <c r="N1964" s="28" t="s">
        <v>77</v>
      </c>
      <c r="Q1964" s="30"/>
    </row>
    <row r="1965">
      <c r="B1965" s="6"/>
      <c r="C1965" s="33" t="str">
        <f t="array" ref="C1965">IF(B1965="", "", XLOOKUP(B1965, Inventory!D:D,Inventory!E:E,"No Name Found"))</f>
        <v/>
      </c>
      <c r="D1965" s="6"/>
      <c r="E1965" s="6"/>
      <c r="F1965" s="6"/>
      <c r="G1965" s="24" t="str">
        <f>IF(F1965="", "", VLOOKUP(F1965, Inventory!A:BZ, 3, FALSE) - SUMIF($F$1:$F1964, F1965, $H$1:$H1964))
</f>
        <v/>
      </c>
      <c r="I1965" s="26"/>
      <c r="J1965" s="26" t="s">
        <v>77</v>
      </c>
      <c r="L1965" s="27" t="s">
        <v>77</v>
      </c>
      <c r="N1965" s="28" t="s">
        <v>77</v>
      </c>
      <c r="Q1965" s="30"/>
    </row>
    <row r="1966">
      <c r="B1966" s="6"/>
      <c r="C1966" s="33" t="str">
        <f t="array" ref="C1966">IF(B1966="", "", XLOOKUP(B1966, Inventory!D:D,Inventory!E:E,"No Name Found"))</f>
        <v/>
      </c>
      <c r="D1966" s="6"/>
      <c r="E1966" s="6"/>
      <c r="F1966" s="6"/>
      <c r="G1966" s="24" t="str">
        <f>IF(F1966="", "", VLOOKUP(F1966, Inventory!A:BZ, 3, FALSE) - SUMIF($F$1:$F1965, F1966, $H$1:$H1965))
</f>
        <v/>
      </c>
      <c r="I1966" s="26"/>
      <c r="J1966" s="26" t="s">
        <v>77</v>
      </c>
      <c r="L1966" s="27" t="s">
        <v>77</v>
      </c>
      <c r="N1966" s="28" t="s">
        <v>77</v>
      </c>
      <c r="Q1966" s="30"/>
    </row>
    <row r="1967">
      <c r="B1967" s="6"/>
      <c r="C1967" s="33" t="str">
        <f t="array" ref="C1967">IF(B1967="", "", XLOOKUP(B1967, Inventory!D:D,Inventory!E:E,"No Name Found"))</f>
        <v/>
      </c>
      <c r="D1967" s="6"/>
      <c r="E1967" s="6"/>
      <c r="F1967" s="6"/>
      <c r="G1967" s="24" t="str">
        <f>IF(F1967="", "", VLOOKUP(F1967, Inventory!A:BZ, 3, FALSE) - SUMIF($F$1:$F1966, F1967, $H$1:$H1966))
</f>
        <v/>
      </c>
      <c r="I1967" s="26"/>
      <c r="J1967" s="26" t="s">
        <v>77</v>
      </c>
      <c r="L1967" s="27" t="s">
        <v>77</v>
      </c>
      <c r="N1967" s="28" t="s">
        <v>77</v>
      </c>
      <c r="Q1967" s="30"/>
    </row>
    <row r="1968">
      <c r="B1968" s="6"/>
      <c r="C1968" s="33" t="str">
        <f t="array" ref="C1968">IF(B1968="", "", XLOOKUP(B1968, Inventory!D:D,Inventory!E:E,"No Name Found"))</f>
        <v/>
      </c>
      <c r="D1968" s="6"/>
      <c r="E1968" s="6"/>
      <c r="F1968" s="6"/>
      <c r="G1968" s="24" t="str">
        <f>IF(F1968="", "", VLOOKUP(F1968, Inventory!A:BZ, 3, FALSE) - SUMIF($F$1:$F1967, F1968, $H$1:$H1967))
</f>
        <v/>
      </c>
      <c r="I1968" s="26"/>
      <c r="J1968" s="26" t="s">
        <v>77</v>
      </c>
      <c r="L1968" s="27" t="s">
        <v>77</v>
      </c>
      <c r="N1968" s="28" t="s">
        <v>77</v>
      </c>
      <c r="Q1968" s="30"/>
    </row>
    <row r="1969">
      <c r="B1969" s="6"/>
      <c r="C1969" s="33" t="str">
        <f t="array" ref="C1969">IF(B1969="", "", XLOOKUP(B1969, Inventory!D:D,Inventory!E:E,"No Name Found"))</f>
        <v/>
      </c>
      <c r="D1969" s="6"/>
      <c r="E1969" s="6"/>
      <c r="F1969" s="6"/>
      <c r="G1969" s="24" t="str">
        <f>IF(F1969="", "", VLOOKUP(F1969, Inventory!A:BZ, 3, FALSE) - SUMIF($F$1:$F1968, F1969, $H$1:$H1968))
</f>
        <v/>
      </c>
      <c r="I1969" s="26"/>
      <c r="J1969" s="26" t="s">
        <v>77</v>
      </c>
      <c r="L1969" s="27" t="s">
        <v>77</v>
      </c>
      <c r="N1969" s="28" t="s">
        <v>77</v>
      </c>
      <c r="Q1969" s="30"/>
    </row>
    <row r="1970">
      <c r="B1970" s="6"/>
      <c r="C1970" s="33" t="str">
        <f t="array" ref="C1970">IF(B1970="", "", XLOOKUP(B1970, Inventory!D:D,Inventory!E:E,"No Name Found"))</f>
        <v/>
      </c>
      <c r="D1970" s="6"/>
      <c r="E1970" s="6"/>
      <c r="F1970" s="6"/>
      <c r="G1970" s="24" t="str">
        <f>IF(F1970="", "", VLOOKUP(F1970, Inventory!A:BZ, 3, FALSE) - SUMIF($F$1:$F1969, F1970, $H$1:$H1969))
</f>
        <v/>
      </c>
      <c r="I1970" s="26"/>
      <c r="J1970" s="26" t="s">
        <v>77</v>
      </c>
      <c r="L1970" s="27" t="s">
        <v>77</v>
      </c>
      <c r="N1970" s="28" t="s">
        <v>77</v>
      </c>
      <c r="Q1970" s="30"/>
    </row>
    <row r="1971">
      <c r="B1971" s="6"/>
      <c r="C1971" s="33" t="str">
        <f t="array" ref="C1971">IF(B1971="", "", XLOOKUP(B1971, Inventory!D:D,Inventory!E:E,"No Name Found"))</f>
        <v/>
      </c>
      <c r="D1971" s="6"/>
      <c r="E1971" s="6"/>
      <c r="F1971" s="6"/>
      <c r="G1971" s="24" t="str">
        <f>IF(F1971="", "", VLOOKUP(F1971, Inventory!A:BZ, 3, FALSE) - SUMIF($F$1:$F1970, F1971, $H$1:$H1970))
</f>
        <v/>
      </c>
      <c r="I1971" s="26"/>
      <c r="J1971" s="26" t="s">
        <v>77</v>
      </c>
      <c r="L1971" s="27" t="s">
        <v>77</v>
      </c>
      <c r="N1971" s="28" t="s">
        <v>77</v>
      </c>
      <c r="Q1971" s="30"/>
    </row>
    <row r="1972">
      <c r="B1972" s="6"/>
      <c r="C1972" s="33" t="str">
        <f t="array" ref="C1972">IF(B1972="", "", XLOOKUP(B1972, Inventory!D:D,Inventory!E:E,"No Name Found"))</f>
        <v/>
      </c>
      <c r="D1972" s="6"/>
      <c r="E1972" s="6"/>
      <c r="F1972" s="6"/>
      <c r="G1972" s="24" t="str">
        <f>IF(F1972="", "", VLOOKUP(F1972, Inventory!A:BZ, 3, FALSE) - SUMIF($F$1:$F1971, F1972, $H$1:$H1971))
</f>
        <v/>
      </c>
      <c r="I1972" s="26"/>
      <c r="J1972" s="26" t="s">
        <v>77</v>
      </c>
      <c r="L1972" s="27" t="s">
        <v>77</v>
      </c>
      <c r="N1972" s="28" t="s">
        <v>77</v>
      </c>
      <c r="Q1972" s="30"/>
    </row>
    <row r="1973">
      <c r="B1973" s="6"/>
      <c r="C1973" s="33" t="str">
        <f t="array" ref="C1973">IF(B1973="", "", XLOOKUP(B1973, Inventory!D:D,Inventory!E:E,"No Name Found"))</f>
        <v/>
      </c>
      <c r="D1973" s="6"/>
      <c r="E1973" s="6"/>
      <c r="F1973" s="6"/>
      <c r="G1973" s="24" t="str">
        <f>IF(F1973="", "", VLOOKUP(F1973, Inventory!A:BZ, 3, FALSE) - SUMIF($F$1:$F1972, F1973, $H$1:$H1972))
</f>
        <v/>
      </c>
      <c r="I1973" s="26"/>
      <c r="J1973" s="26" t="s">
        <v>77</v>
      </c>
      <c r="L1973" s="27" t="s">
        <v>77</v>
      </c>
      <c r="N1973" s="28" t="s">
        <v>77</v>
      </c>
      <c r="Q1973" s="30"/>
    </row>
    <row r="1974">
      <c r="B1974" s="6"/>
      <c r="C1974" s="33" t="str">
        <f t="array" ref="C1974">IF(B1974="", "", XLOOKUP(B1974, Inventory!D:D,Inventory!E:E,"No Name Found"))</f>
        <v/>
      </c>
      <c r="D1974" s="6"/>
      <c r="E1974" s="6"/>
      <c r="F1974" s="6"/>
      <c r="G1974" s="24" t="str">
        <f>IF(F1974="", "", VLOOKUP(F1974, Inventory!A:BZ, 3, FALSE) - SUMIF($F$1:$F1973, F1974, $H$1:$H1973))
</f>
        <v/>
      </c>
      <c r="I1974" s="26"/>
      <c r="J1974" s="26" t="s">
        <v>77</v>
      </c>
      <c r="L1974" s="27" t="s">
        <v>77</v>
      </c>
      <c r="N1974" s="28" t="s">
        <v>77</v>
      </c>
      <c r="Q1974" s="30"/>
    </row>
    <row r="1975">
      <c r="B1975" s="6"/>
      <c r="C1975" s="33" t="str">
        <f t="array" ref="C1975">IF(B1975="", "", XLOOKUP(B1975, Inventory!D:D,Inventory!E:E,"No Name Found"))</f>
        <v/>
      </c>
      <c r="D1975" s="6"/>
      <c r="E1975" s="6"/>
      <c r="F1975" s="6"/>
      <c r="G1975" s="24" t="str">
        <f>IF(F1975="", "", VLOOKUP(F1975, Inventory!A:BZ, 3, FALSE) - SUMIF($F$1:$F1974, F1975, $H$1:$H1974))
</f>
        <v/>
      </c>
      <c r="I1975" s="26"/>
      <c r="J1975" s="26" t="s">
        <v>77</v>
      </c>
      <c r="L1975" s="27" t="s">
        <v>77</v>
      </c>
      <c r="N1975" s="28" t="s">
        <v>77</v>
      </c>
      <c r="Q1975" s="30"/>
    </row>
    <row r="1976">
      <c r="B1976" s="6"/>
      <c r="C1976" s="33" t="str">
        <f t="array" ref="C1976">IF(B1976="", "", XLOOKUP(B1976, Inventory!D:D,Inventory!E:E,"No Name Found"))</f>
        <v/>
      </c>
      <c r="D1976" s="6"/>
      <c r="E1976" s="6"/>
      <c r="F1976" s="6"/>
      <c r="G1976" s="24" t="str">
        <f>IF(F1976="", "", VLOOKUP(F1976, Inventory!A:BZ, 3, FALSE) - SUMIF($F$1:$F1975, F1976, $H$1:$H1975))
</f>
        <v/>
      </c>
      <c r="I1976" s="26"/>
      <c r="J1976" s="26" t="s">
        <v>77</v>
      </c>
      <c r="L1976" s="27" t="s">
        <v>77</v>
      </c>
      <c r="N1976" s="28" t="s">
        <v>77</v>
      </c>
      <c r="Q1976" s="30"/>
    </row>
    <row r="1977">
      <c r="B1977" s="6"/>
      <c r="C1977" s="33" t="str">
        <f t="array" ref="C1977">IF(B1977="", "", XLOOKUP(B1977, Inventory!D:D,Inventory!E:E,"No Name Found"))</f>
        <v/>
      </c>
      <c r="D1977" s="6"/>
      <c r="E1977" s="6"/>
      <c r="F1977" s="6"/>
      <c r="G1977" s="24" t="str">
        <f>IF(F1977="", "", VLOOKUP(F1977, Inventory!A:BZ, 3, FALSE) - SUMIF($F$1:$F1976, F1977, $H$1:$H1976))
</f>
        <v/>
      </c>
      <c r="I1977" s="26"/>
      <c r="J1977" s="26" t="s">
        <v>77</v>
      </c>
      <c r="L1977" s="27" t="s">
        <v>77</v>
      </c>
      <c r="N1977" s="28" t="s">
        <v>77</v>
      </c>
      <c r="Q1977" s="30"/>
    </row>
    <row r="1978">
      <c r="B1978" s="6"/>
      <c r="C1978" s="33" t="str">
        <f t="array" ref="C1978">IF(B1978="", "", XLOOKUP(B1978, Inventory!D:D,Inventory!E:E,"No Name Found"))</f>
        <v/>
      </c>
      <c r="D1978" s="6"/>
      <c r="E1978" s="6"/>
      <c r="F1978" s="6"/>
      <c r="G1978" s="24" t="str">
        <f>IF(F1978="", "", VLOOKUP(F1978, Inventory!A:BZ, 3, FALSE) - SUMIF($F$1:$F1977, F1978, $H$1:$H1977))
</f>
        <v/>
      </c>
      <c r="I1978" s="26"/>
      <c r="J1978" s="26" t="s">
        <v>77</v>
      </c>
      <c r="L1978" s="27" t="s">
        <v>77</v>
      </c>
      <c r="N1978" s="28" t="s">
        <v>77</v>
      </c>
      <c r="Q1978" s="30"/>
    </row>
    <row r="1979">
      <c r="B1979" s="6"/>
      <c r="C1979" s="33" t="str">
        <f t="array" ref="C1979">IF(B1979="", "", XLOOKUP(B1979, Inventory!D:D,Inventory!E:E,"No Name Found"))</f>
        <v/>
      </c>
      <c r="D1979" s="6"/>
      <c r="E1979" s="6"/>
      <c r="F1979" s="6"/>
      <c r="G1979" s="24" t="str">
        <f>IF(F1979="", "", VLOOKUP(F1979, Inventory!A:BZ, 3, FALSE) - SUMIF($F$1:$F1978, F1979, $H$1:$H1978))
</f>
        <v/>
      </c>
      <c r="I1979" s="26"/>
      <c r="J1979" s="26" t="s">
        <v>77</v>
      </c>
      <c r="L1979" s="27" t="s">
        <v>77</v>
      </c>
      <c r="N1979" s="28" t="s">
        <v>77</v>
      </c>
      <c r="Q1979" s="30"/>
    </row>
    <row r="1980">
      <c r="B1980" s="6"/>
      <c r="C1980" s="33" t="str">
        <f t="array" ref="C1980">IF(B1980="", "", XLOOKUP(B1980, Inventory!D:D,Inventory!E:E,"No Name Found"))</f>
        <v/>
      </c>
      <c r="D1980" s="6"/>
      <c r="E1980" s="6"/>
      <c r="F1980" s="6"/>
      <c r="G1980" s="24" t="str">
        <f>IF(F1980="", "", VLOOKUP(F1980, Inventory!A:BZ, 3, FALSE) - SUMIF($F$1:$F1979, F1980, $H$1:$H1979))
</f>
        <v/>
      </c>
      <c r="I1980" s="26"/>
      <c r="J1980" s="26" t="s">
        <v>77</v>
      </c>
      <c r="L1980" s="27" t="s">
        <v>77</v>
      </c>
      <c r="N1980" s="28" t="s">
        <v>77</v>
      </c>
      <c r="Q1980" s="30"/>
    </row>
    <row r="1981">
      <c r="B1981" s="6"/>
      <c r="C1981" s="33" t="str">
        <f t="array" ref="C1981">IF(B1981="", "", XLOOKUP(B1981, Inventory!D:D,Inventory!E:E,"No Name Found"))</f>
        <v/>
      </c>
      <c r="D1981" s="6"/>
      <c r="E1981" s="6"/>
      <c r="F1981" s="6"/>
      <c r="G1981" s="24" t="str">
        <f>IF(F1981="", "", VLOOKUP(F1981, Inventory!A:BZ, 3, FALSE) - SUMIF($F$1:$F1980, F1981, $H$1:$H1980))
</f>
        <v/>
      </c>
      <c r="I1981" s="26"/>
      <c r="J1981" s="26" t="s">
        <v>77</v>
      </c>
      <c r="L1981" s="27" t="s">
        <v>77</v>
      </c>
      <c r="N1981" s="28" t="s">
        <v>77</v>
      </c>
      <c r="Q1981" s="30"/>
    </row>
    <row r="1982">
      <c r="B1982" s="6"/>
      <c r="C1982" s="33" t="str">
        <f t="array" ref="C1982">IF(B1982="", "", XLOOKUP(B1982, Inventory!D:D,Inventory!E:E,"No Name Found"))</f>
        <v/>
      </c>
      <c r="D1982" s="6"/>
      <c r="E1982" s="6"/>
      <c r="F1982" s="6"/>
      <c r="G1982" s="24" t="str">
        <f>IF(F1982="", "", VLOOKUP(F1982, Inventory!A:BZ, 3, FALSE) - SUMIF($F$1:$F1981, F1982, $H$1:$H1981))
</f>
        <v/>
      </c>
      <c r="I1982" s="26"/>
      <c r="J1982" s="26" t="s">
        <v>77</v>
      </c>
      <c r="L1982" s="27" t="s">
        <v>77</v>
      </c>
      <c r="N1982" s="28" t="s">
        <v>77</v>
      </c>
      <c r="Q1982" s="30"/>
    </row>
    <row r="1983">
      <c r="B1983" s="6"/>
      <c r="C1983" s="33" t="str">
        <f t="array" ref="C1983">IF(B1983="", "", XLOOKUP(B1983, Inventory!D:D,Inventory!E:E,"No Name Found"))</f>
        <v/>
      </c>
      <c r="D1983" s="6"/>
      <c r="E1983" s="6"/>
      <c r="F1983" s="6"/>
      <c r="G1983" s="24" t="str">
        <f>IF(F1983="", "", VLOOKUP(F1983, Inventory!A:BZ, 3, FALSE) - SUMIF($F$1:$F1982, F1983, $H$1:$H1982))
</f>
        <v/>
      </c>
      <c r="I1983" s="26"/>
      <c r="J1983" s="26" t="s">
        <v>77</v>
      </c>
      <c r="L1983" s="27" t="s">
        <v>77</v>
      </c>
      <c r="N1983" s="28" t="s">
        <v>77</v>
      </c>
      <c r="Q1983" s="30"/>
    </row>
    <row r="1984">
      <c r="B1984" s="6"/>
      <c r="C1984" s="33" t="str">
        <f t="array" ref="C1984">IF(B1984="", "", XLOOKUP(B1984, Inventory!D:D,Inventory!E:E,"No Name Found"))</f>
        <v/>
      </c>
      <c r="D1984" s="6"/>
      <c r="E1984" s="6"/>
      <c r="F1984" s="6"/>
      <c r="G1984" s="24" t="str">
        <f>IF(F1984="", "", VLOOKUP(F1984, Inventory!A:BZ, 3, FALSE) - SUMIF($F$1:$F1983, F1984, $H$1:$H1983))
</f>
        <v/>
      </c>
      <c r="I1984" s="26"/>
      <c r="J1984" s="26" t="s">
        <v>77</v>
      </c>
      <c r="L1984" s="27" t="s">
        <v>77</v>
      </c>
      <c r="N1984" s="28" t="s">
        <v>77</v>
      </c>
      <c r="Q1984" s="30"/>
    </row>
    <row r="1985">
      <c r="B1985" s="6"/>
      <c r="C1985" s="33" t="str">
        <f t="array" ref="C1985">IF(B1985="", "", XLOOKUP(B1985, Inventory!D:D,Inventory!E:E,"No Name Found"))</f>
        <v/>
      </c>
      <c r="D1985" s="6"/>
      <c r="E1985" s="6"/>
      <c r="F1985" s="6"/>
      <c r="G1985" s="24" t="str">
        <f>IF(F1985="", "", VLOOKUP(F1985, Inventory!A:BZ, 3, FALSE) - SUMIF($F$1:$F1984, F1985, $H$1:$H1984))
</f>
        <v/>
      </c>
      <c r="I1985" s="26"/>
      <c r="J1985" s="26" t="s">
        <v>77</v>
      </c>
      <c r="L1985" s="27" t="s">
        <v>77</v>
      </c>
      <c r="N1985" s="28" t="s">
        <v>77</v>
      </c>
      <c r="Q1985" s="30"/>
    </row>
    <row r="1986">
      <c r="B1986" s="6"/>
      <c r="C1986" s="33" t="str">
        <f t="array" ref="C1986">IF(B1986="", "", XLOOKUP(B1986, Inventory!D:D,Inventory!E:E,"No Name Found"))</f>
        <v/>
      </c>
      <c r="D1986" s="6"/>
      <c r="E1986" s="6"/>
      <c r="F1986" s="6"/>
      <c r="G1986" s="24" t="str">
        <f>IF(F1986="", "", VLOOKUP(F1986, Inventory!A:BZ, 3, FALSE) - SUMIF($F$1:$F1985, F1986, $H$1:$H1985))
</f>
        <v/>
      </c>
      <c r="I1986" s="26"/>
      <c r="J1986" s="26" t="s">
        <v>77</v>
      </c>
      <c r="L1986" s="27" t="s">
        <v>77</v>
      </c>
      <c r="N1986" s="28" t="s">
        <v>77</v>
      </c>
      <c r="Q1986" s="30"/>
    </row>
    <row r="1987">
      <c r="B1987" s="6"/>
      <c r="C1987" s="33" t="str">
        <f t="array" ref="C1987">IF(B1987="", "", XLOOKUP(B1987, Inventory!D:D,Inventory!E:E,"No Name Found"))</f>
        <v/>
      </c>
      <c r="D1987" s="6"/>
      <c r="E1987" s="6"/>
      <c r="F1987" s="6"/>
      <c r="G1987" s="24" t="str">
        <f>IF(F1987="", "", VLOOKUP(F1987, Inventory!A:BZ, 3, FALSE) - SUMIF($F$1:$F1986, F1987, $H$1:$H1986))
</f>
        <v/>
      </c>
      <c r="I1987" s="26"/>
      <c r="J1987" s="26" t="s">
        <v>77</v>
      </c>
      <c r="L1987" s="27" t="s">
        <v>77</v>
      </c>
      <c r="N1987" s="28" t="s">
        <v>77</v>
      </c>
      <c r="Q1987" s="30"/>
    </row>
    <row r="1988">
      <c r="B1988" s="6"/>
      <c r="C1988" s="33" t="str">
        <f t="array" ref="C1988">IF(B1988="", "", XLOOKUP(B1988, Inventory!D:D,Inventory!E:E,"No Name Found"))</f>
        <v/>
      </c>
      <c r="D1988" s="6"/>
      <c r="E1988" s="6"/>
      <c r="F1988" s="6"/>
      <c r="G1988" s="24" t="str">
        <f>IF(F1988="", "", VLOOKUP(F1988, Inventory!A:BZ, 3, FALSE) - SUMIF($F$1:$F1987, F1988, $H$1:$H1987))
</f>
        <v/>
      </c>
      <c r="I1988" s="26"/>
      <c r="J1988" s="26" t="s">
        <v>77</v>
      </c>
      <c r="L1988" s="27" t="s">
        <v>77</v>
      </c>
      <c r="N1988" s="28" t="s">
        <v>77</v>
      </c>
      <c r="Q1988" s="30"/>
    </row>
    <row r="1989">
      <c r="B1989" s="6"/>
      <c r="C1989" s="33" t="str">
        <f t="array" ref="C1989">IF(B1989="", "", XLOOKUP(B1989, Inventory!D:D,Inventory!E:E,"No Name Found"))</f>
        <v/>
      </c>
      <c r="D1989" s="6"/>
      <c r="E1989" s="6"/>
      <c r="F1989" s="6"/>
      <c r="G1989" s="24" t="str">
        <f>IF(F1989="", "", VLOOKUP(F1989, Inventory!A:BZ, 3, FALSE) - SUMIF($F$1:$F1988, F1989, $H$1:$H1988))
</f>
        <v/>
      </c>
      <c r="I1989" s="26"/>
      <c r="J1989" s="26" t="s">
        <v>77</v>
      </c>
      <c r="L1989" s="27" t="s">
        <v>77</v>
      </c>
      <c r="N1989" s="28" t="s">
        <v>77</v>
      </c>
      <c r="Q1989" s="30"/>
    </row>
    <row r="1990">
      <c r="B1990" s="6"/>
      <c r="C1990" s="33" t="str">
        <f t="array" ref="C1990">IF(B1990="", "", XLOOKUP(B1990, Inventory!D:D,Inventory!E:E,"No Name Found"))</f>
        <v/>
      </c>
      <c r="D1990" s="6"/>
      <c r="E1990" s="6"/>
      <c r="F1990" s="6"/>
      <c r="G1990" s="24" t="str">
        <f>IF(F1990="", "", VLOOKUP(F1990, Inventory!A:BZ, 3, FALSE) - SUMIF($F$1:$F1989, F1990, $H$1:$H1989))
</f>
        <v/>
      </c>
      <c r="I1990" s="26"/>
      <c r="J1990" s="26" t="s">
        <v>77</v>
      </c>
      <c r="L1990" s="27" t="s">
        <v>77</v>
      </c>
      <c r="N1990" s="28" t="s">
        <v>77</v>
      </c>
      <c r="Q1990" s="30"/>
    </row>
    <row r="1991">
      <c r="B1991" s="6"/>
      <c r="C1991" s="33" t="str">
        <f t="array" ref="C1991">IF(B1991="", "", XLOOKUP(B1991, Inventory!D:D,Inventory!E:E,"No Name Found"))</f>
        <v/>
      </c>
      <c r="D1991" s="6"/>
      <c r="E1991" s="6"/>
      <c r="F1991" s="6"/>
      <c r="G1991" s="24" t="str">
        <f>IF(F1991="", "", VLOOKUP(F1991, Inventory!A:BZ, 3, FALSE) - SUMIF($F$1:$F1990, F1991, $H$1:$H1990))
</f>
        <v/>
      </c>
      <c r="I1991" s="26"/>
      <c r="J1991" s="26" t="s">
        <v>77</v>
      </c>
      <c r="L1991" s="27" t="s">
        <v>77</v>
      </c>
      <c r="N1991" s="28" t="s">
        <v>77</v>
      </c>
      <c r="Q1991" s="30"/>
    </row>
    <row r="1992">
      <c r="B1992" s="6"/>
      <c r="C1992" s="33" t="str">
        <f t="array" ref="C1992">IF(B1992="", "", XLOOKUP(B1992, Inventory!D:D,Inventory!E:E,"No Name Found"))</f>
        <v/>
      </c>
      <c r="D1992" s="6"/>
      <c r="E1992" s="6"/>
      <c r="F1992" s="6"/>
      <c r="G1992" s="24" t="str">
        <f>IF(F1992="", "", VLOOKUP(F1992, Inventory!A:BZ, 3, FALSE) - SUMIF($F$1:$F1991, F1992, $H$1:$H1991))
</f>
        <v/>
      </c>
      <c r="I1992" s="26"/>
      <c r="J1992" s="26" t="s">
        <v>77</v>
      </c>
      <c r="L1992" s="27" t="s">
        <v>77</v>
      </c>
      <c r="N1992" s="28" t="s">
        <v>77</v>
      </c>
      <c r="Q1992" s="30"/>
    </row>
    <row r="1993">
      <c r="B1993" s="6"/>
      <c r="C1993" s="33" t="str">
        <f t="array" ref="C1993">IF(B1993="", "", XLOOKUP(B1993, Inventory!D:D,Inventory!E:E,"No Name Found"))</f>
        <v/>
      </c>
      <c r="D1993" s="6"/>
      <c r="E1993" s="6"/>
      <c r="F1993" s="6"/>
      <c r="G1993" s="24" t="str">
        <f>IF(F1993="", "", VLOOKUP(F1993, Inventory!A:BZ, 3, FALSE) - SUMIF($F$1:$F1992, F1993, $H$1:$H1992))
</f>
        <v/>
      </c>
      <c r="I1993" s="26"/>
      <c r="J1993" s="26" t="s">
        <v>77</v>
      </c>
      <c r="L1993" s="27" t="s">
        <v>77</v>
      </c>
      <c r="N1993" s="28" t="s">
        <v>77</v>
      </c>
      <c r="Q1993" s="30"/>
    </row>
    <row r="1994">
      <c r="B1994" s="6"/>
      <c r="C1994" s="33" t="str">
        <f t="array" ref="C1994">IF(B1994="", "", XLOOKUP(B1994, Inventory!D:D,Inventory!E:E,"No Name Found"))</f>
        <v/>
      </c>
      <c r="D1994" s="6"/>
      <c r="E1994" s="6"/>
      <c r="F1994" s="6"/>
      <c r="G1994" s="24" t="str">
        <f>IF(F1994="", "", VLOOKUP(F1994, Inventory!A:BZ, 3, FALSE) - SUMIF($F$1:$F1993, F1994, $H$1:$H1993))
</f>
        <v/>
      </c>
      <c r="I1994" s="26"/>
      <c r="J1994" s="26" t="s">
        <v>77</v>
      </c>
      <c r="L1994" s="27" t="s">
        <v>77</v>
      </c>
      <c r="N1994" s="28" t="s">
        <v>77</v>
      </c>
      <c r="Q1994" s="30"/>
    </row>
    <row r="1995">
      <c r="B1995" s="6"/>
      <c r="C1995" s="33" t="str">
        <f t="array" ref="C1995">IF(B1995="", "", XLOOKUP(B1995, Inventory!D:D,Inventory!E:E,"No Name Found"))</f>
        <v/>
      </c>
      <c r="D1995" s="6"/>
      <c r="E1995" s="6"/>
      <c r="F1995" s="6"/>
      <c r="G1995" s="24" t="str">
        <f>IF(F1995="", "", VLOOKUP(F1995, Inventory!A:BZ, 3, FALSE) - SUMIF($F$1:$F1994, F1995, $H$1:$H1994))
</f>
        <v/>
      </c>
      <c r="I1995" s="26"/>
      <c r="J1995" s="26" t="s">
        <v>77</v>
      </c>
      <c r="L1995" s="27" t="s">
        <v>77</v>
      </c>
      <c r="N1995" s="28" t="s">
        <v>77</v>
      </c>
      <c r="Q1995" s="30"/>
    </row>
    <row r="1996">
      <c r="B1996" s="6"/>
      <c r="C1996" s="33" t="str">
        <f t="array" ref="C1996">IF(B1996="", "", XLOOKUP(B1996, Inventory!D:D,Inventory!E:E,"No Name Found"))</f>
        <v/>
      </c>
      <c r="D1996" s="6"/>
      <c r="E1996" s="6"/>
      <c r="F1996" s="6"/>
      <c r="G1996" s="24" t="str">
        <f>IF(F1996="", "", VLOOKUP(F1996, Inventory!A:BZ, 3, FALSE) - SUMIF($F$1:$F1995, F1996, $H$1:$H1995))
</f>
        <v/>
      </c>
      <c r="I1996" s="26"/>
      <c r="J1996" s="26" t="s">
        <v>77</v>
      </c>
      <c r="L1996" s="27" t="s">
        <v>77</v>
      </c>
      <c r="N1996" s="28" t="s">
        <v>77</v>
      </c>
      <c r="Q1996" s="30"/>
    </row>
    <row r="1997">
      <c r="B1997" s="6"/>
      <c r="C1997" s="33" t="str">
        <f t="array" ref="C1997">IF(B1997="", "", XLOOKUP(B1997, Inventory!D:D,Inventory!E:E,"No Name Found"))</f>
        <v/>
      </c>
      <c r="D1997" s="6"/>
      <c r="E1997" s="6"/>
      <c r="F1997" s="6"/>
      <c r="G1997" s="24" t="str">
        <f>IF(F1997="", "", VLOOKUP(F1997, Inventory!A:BZ, 3, FALSE) - SUMIF($F$1:$F1996, F1997, $H$1:$H1996))
</f>
        <v/>
      </c>
      <c r="I1997" s="26"/>
      <c r="J1997" s="26" t="s">
        <v>77</v>
      </c>
      <c r="L1997" s="27" t="s">
        <v>77</v>
      </c>
      <c r="N1997" s="28" t="s">
        <v>77</v>
      </c>
      <c r="Q1997" s="30"/>
    </row>
    <row r="1998">
      <c r="B1998" s="6"/>
      <c r="C1998" s="33" t="str">
        <f t="array" ref="C1998">IF(B1998="", "", XLOOKUP(B1998, Inventory!D:D,Inventory!E:E,"No Name Found"))</f>
        <v/>
      </c>
      <c r="D1998" s="6"/>
      <c r="E1998" s="6"/>
      <c r="F1998" s="6"/>
      <c r="G1998" s="24" t="str">
        <f>IF(F1998="", "", VLOOKUP(F1998, Inventory!A:BZ, 3, FALSE) - SUMIF($F$1:$F1997, F1998, $H$1:$H1997))
</f>
        <v/>
      </c>
      <c r="I1998" s="26"/>
      <c r="J1998" s="26" t="s">
        <v>77</v>
      </c>
      <c r="L1998" s="27" t="s">
        <v>77</v>
      </c>
      <c r="N1998" s="28" t="s">
        <v>77</v>
      </c>
      <c r="Q1998" s="30"/>
    </row>
    <row r="1999">
      <c r="B1999" s="6"/>
      <c r="C1999" s="33" t="str">
        <f t="array" ref="C1999">IF(B1999="", "", XLOOKUP(B1999, Inventory!D:D,Inventory!E:E,"No Name Found"))</f>
        <v/>
      </c>
      <c r="D1999" s="6"/>
      <c r="E1999" s="6"/>
      <c r="F1999" s="6"/>
      <c r="G1999" s="24" t="str">
        <f>IF(F1999="", "", VLOOKUP(F1999, Inventory!A:BZ, 3, FALSE) - SUMIF($F$1:$F1998, F1999, $H$1:$H1998))
</f>
        <v/>
      </c>
      <c r="I1999" s="26"/>
      <c r="J1999" s="26" t="s">
        <v>77</v>
      </c>
      <c r="L1999" s="27" t="s">
        <v>77</v>
      </c>
      <c r="N1999" s="28" t="s">
        <v>77</v>
      </c>
      <c r="Q1999" s="30"/>
    </row>
    <row r="2000">
      <c r="B2000" s="6"/>
      <c r="C2000" s="33" t="str">
        <f t="array" ref="C2000">IF(B2000="", "", XLOOKUP(B2000, Inventory!D:D,Inventory!E:E,"No Name Found"))</f>
        <v/>
      </c>
      <c r="D2000" s="6"/>
      <c r="E2000" s="6"/>
      <c r="F2000" s="6"/>
      <c r="G2000" s="24" t="str">
        <f>IF(F2000="", "", VLOOKUP(F2000, Inventory!A:BZ, 3, FALSE) - SUMIF($F$1:$F1999, F2000, $H$1:$H1999))
</f>
        <v/>
      </c>
      <c r="I2000" s="26"/>
      <c r="J2000" s="26" t="s">
        <v>77</v>
      </c>
      <c r="L2000" s="27" t="s">
        <v>77</v>
      </c>
      <c r="N2000" s="28" t="s">
        <v>77</v>
      </c>
      <c r="Q2000" s="30"/>
    </row>
    <row r="2001">
      <c r="B2001" s="6"/>
      <c r="C2001" s="33" t="str">
        <f t="array" ref="C2001">IF(B2001="", "", XLOOKUP(B2001, Inventory!D:D,Inventory!E:E,"No Name Found"))</f>
        <v/>
      </c>
      <c r="D2001" s="6"/>
      <c r="E2001" s="6"/>
      <c r="F2001" s="6"/>
      <c r="G2001" s="24" t="str">
        <f>IF(F2001="", "", VLOOKUP(F2001, Inventory!A:BZ, 3, FALSE) - SUMIF($F$1:$F2000, F2001, $H$1:$H2000))
</f>
        <v/>
      </c>
      <c r="I2001" s="26"/>
      <c r="J2001" s="26" t="s">
        <v>77</v>
      </c>
      <c r="L2001" s="27" t="s">
        <v>77</v>
      </c>
      <c r="N2001" s="28" t="s">
        <v>77</v>
      </c>
      <c r="Q2001" s="30"/>
    </row>
    <row r="2002">
      <c r="B2002" s="6"/>
      <c r="C2002" s="33" t="str">
        <f t="array" ref="C2002">IF(B2002="", "", XLOOKUP(B2002, Inventory!D:D,Inventory!E:E,"No Name Found"))</f>
        <v/>
      </c>
      <c r="D2002" s="6"/>
      <c r="E2002" s="6"/>
      <c r="F2002" s="6"/>
      <c r="G2002" s="24" t="str">
        <f>IF(F2002="", "", VLOOKUP(F2002, Inventory!A:BZ, 3, FALSE) - SUMIF($F$1:$F2001, F2002, $H$1:$H2001))
</f>
        <v/>
      </c>
      <c r="I2002" s="26"/>
      <c r="J2002" s="26" t="s">
        <v>77</v>
      </c>
      <c r="L2002" s="27" t="s">
        <v>77</v>
      </c>
      <c r="N2002" s="28" t="s">
        <v>77</v>
      </c>
      <c r="Q2002" s="30"/>
    </row>
    <row r="2003">
      <c r="B2003" s="6"/>
      <c r="C2003" s="33" t="str">
        <f t="array" ref="C2003">IF(B2003="", "", XLOOKUP(B2003, Inventory!D:D,Inventory!E:E,"No Name Found"))</f>
        <v/>
      </c>
      <c r="D2003" s="6"/>
      <c r="E2003" s="6"/>
      <c r="F2003" s="6"/>
      <c r="G2003" s="24" t="str">
        <f>IF(F2003="", "", VLOOKUP(F2003, Inventory!A:BZ, 3, FALSE) - SUMIF($F$1:$F2002, F2003, $H$1:$H2002))
</f>
        <v/>
      </c>
      <c r="I2003" s="26"/>
      <c r="J2003" s="26" t="s">
        <v>77</v>
      </c>
      <c r="L2003" s="27" t="s">
        <v>77</v>
      </c>
      <c r="N2003" s="28" t="s">
        <v>77</v>
      </c>
      <c r="Q2003" s="30"/>
    </row>
    <row r="2004">
      <c r="B2004" s="6"/>
      <c r="C2004" s="33" t="str">
        <f t="array" ref="C2004">IF(B2004="", "", XLOOKUP(B2004, Inventory!D:D,Inventory!E:E,"No Name Found"))</f>
        <v/>
      </c>
      <c r="D2004" s="6"/>
      <c r="E2004" s="6"/>
      <c r="F2004" s="6"/>
      <c r="G2004" s="24" t="str">
        <f>IF(F2004="", "", VLOOKUP(F2004, Inventory!A:BZ, 3, FALSE) - SUMIF($F$1:$F2003, F2004, $H$1:$H2003))
</f>
        <v/>
      </c>
      <c r="I2004" s="26"/>
      <c r="J2004" s="26" t="s">
        <v>77</v>
      </c>
      <c r="L2004" s="27" t="s">
        <v>77</v>
      </c>
      <c r="N2004" s="28" t="s">
        <v>77</v>
      </c>
      <c r="Q2004" s="30"/>
    </row>
    <row r="2005">
      <c r="B2005" s="6"/>
      <c r="C2005" s="33" t="str">
        <f t="array" ref="C2005">IF(B2005="", "", XLOOKUP(B2005, Inventory!D:D,Inventory!E:E,"No Name Found"))</f>
        <v/>
      </c>
      <c r="D2005" s="6"/>
      <c r="E2005" s="6"/>
      <c r="F2005" s="6"/>
      <c r="G2005" s="24" t="str">
        <f>IF(F2005="", "", VLOOKUP(F2005, Inventory!A:BZ, 3, FALSE) - SUMIF($F$1:$F2004, F2005, $H$1:$H2004))
</f>
        <v/>
      </c>
      <c r="I2005" s="26"/>
      <c r="J2005" s="26" t="s">
        <v>77</v>
      </c>
      <c r="L2005" s="27" t="s">
        <v>77</v>
      </c>
      <c r="N2005" s="28" t="s">
        <v>77</v>
      </c>
      <c r="Q2005" s="30"/>
    </row>
    <row r="2006">
      <c r="B2006" s="6"/>
      <c r="C2006" s="33" t="str">
        <f t="array" ref="C2006">IF(B2006="", "", XLOOKUP(B2006, Inventory!D:D,Inventory!E:E,"No Name Found"))</f>
        <v/>
      </c>
      <c r="D2006" s="6"/>
      <c r="E2006" s="6"/>
      <c r="F2006" s="6"/>
      <c r="G2006" s="24" t="str">
        <f>IF(F2006="", "", VLOOKUP(F2006, Inventory!A:BZ, 3, FALSE) - SUMIF($F$1:$F2005, F2006, $H$1:$H2005))
</f>
        <v/>
      </c>
      <c r="I2006" s="26"/>
      <c r="J2006" s="26" t="s">
        <v>77</v>
      </c>
      <c r="L2006" s="27" t="s">
        <v>77</v>
      </c>
      <c r="N2006" s="28" t="s">
        <v>77</v>
      </c>
      <c r="Q2006" s="30"/>
    </row>
    <row r="2007">
      <c r="B2007" s="6"/>
      <c r="C2007" s="33" t="str">
        <f t="array" ref="C2007">IF(B2007="", "", XLOOKUP(B2007, Inventory!D:D,Inventory!E:E,"No Name Found"))</f>
        <v/>
      </c>
      <c r="D2007" s="6"/>
      <c r="E2007" s="6"/>
      <c r="F2007" s="6"/>
      <c r="G2007" s="24" t="str">
        <f>IF(F2007="", "", VLOOKUP(F2007, Inventory!A:BZ, 3, FALSE) - SUMIF($F$1:$F2006, F2007, $H$1:$H2006))
</f>
        <v/>
      </c>
      <c r="I2007" s="26"/>
      <c r="J2007" s="26" t="s">
        <v>77</v>
      </c>
      <c r="L2007" s="27" t="s">
        <v>77</v>
      </c>
      <c r="N2007" s="28" t="s">
        <v>77</v>
      </c>
      <c r="Q2007" s="30"/>
    </row>
    <row r="2008">
      <c r="B2008" s="6"/>
      <c r="C2008" s="33" t="str">
        <f t="array" ref="C2008">IF(B2008="", "", XLOOKUP(B2008, Inventory!D:D,Inventory!E:E,"No Name Found"))</f>
        <v/>
      </c>
      <c r="D2008" s="6"/>
      <c r="E2008" s="6"/>
      <c r="F2008" s="6"/>
      <c r="G2008" s="24" t="str">
        <f>IF(F2008="", "", VLOOKUP(F2008, Inventory!A:BZ, 3, FALSE) - SUMIF($F$1:$F2007, F2008, $H$1:$H2007))
</f>
        <v/>
      </c>
      <c r="I2008" s="26"/>
      <c r="J2008" s="26" t="s">
        <v>77</v>
      </c>
      <c r="L2008" s="27" t="s">
        <v>77</v>
      </c>
      <c r="N2008" s="28" t="s">
        <v>77</v>
      </c>
      <c r="Q2008" s="30"/>
    </row>
    <row r="2009">
      <c r="B2009" s="6"/>
      <c r="C2009" s="33" t="str">
        <f t="array" ref="C2009">IF(B2009="", "", XLOOKUP(B2009, Inventory!D:D,Inventory!E:E,"No Name Found"))</f>
        <v/>
      </c>
      <c r="D2009" s="6"/>
      <c r="E2009" s="6"/>
      <c r="F2009" s="6"/>
      <c r="G2009" s="24" t="str">
        <f>IF(F2009="", "", VLOOKUP(F2009, Inventory!A:BZ, 3, FALSE) - SUMIF($F$1:$F2008, F2009, $H$1:$H2008))
</f>
        <v/>
      </c>
      <c r="I2009" s="26"/>
      <c r="J2009" s="26" t="s">
        <v>77</v>
      </c>
      <c r="L2009" s="27" t="s">
        <v>77</v>
      </c>
      <c r="N2009" s="28" t="s">
        <v>77</v>
      </c>
      <c r="Q2009" s="30"/>
    </row>
    <row r="2010">
      <c r="B2010" s="6"/>
      <c r="C2010" s="33" t="str">
        <f t="array" ref="C2010">IF(B2010="", "", XLOOKUP(B2010, Inventory!D:D,Inventory!E:E,"No Name Found"))</f>
        <v/>
      </c>
      <c r="D2010" s="6"/>
      <c r="E2010" s="6"/>
      <c r="F2010" s="6"/>
      <c r="G2010" s="24" t="str">
        <f>IF(F2010="", "", VLOOKUP(F2010, Inventory!A:BZ, 3, FALSE) - SUMIF($F$1:$F2009, F2010, $H$1:$H2009))
</f>
        <v/>
      </c>
      <c r="I2010" s="26"/>
      <c r="J2010" s="26" t="s">
        <v>77</v>
      </c>
      <c r="L2010" s="27" t="s">
        <v>77</v>
      </c>
      <c r="N2010" s="28" t="s">
        <v>77</v>
      </c>
      <c r="Q2010" s="30"/>
    </row>
    <row r="2011">
      <c r="B2011" s="6"/>
      <c r="C2011" s="33" t="str">
        <f t="array" ref="C2011">IF(B2011="", "", XLOOKUP(B2011, Inventory!D:D,Inventory!E:E,"No Name Found"))</f>
        <v/>
      </c>
      <c r="D2011" s="6"/>
      <c r="E2011" s="6"/>
      <c r="F2011" s="6"/>
      <c r="G2011" s="24" t="str">
        <f>IF(F2011="", "", VLOOKUP(F2011, Inventory!A:BZ, 3, FALSE) - SUMIF($F$1:$F2010, F2011, $H$1:$H2010))
</f>
        <v/>
      </c>
      <c r="I2011" s="26"/>
      <c r="J2011" s="26" t="s">
        <v>77</v>
      </c>
      <c r="L2011" s="27" t="s">
        <v>77</v>
      </c>
      <c r="N2011" s="28" t="s">
        <v>77</v>
      </c>
      <c r="Q2011" s="30"/>
    </row>
    <row r="2012">
      <c r="B2012" s="6"/>
      <c r="C2012" s="33" t="str">
        <f t="array" ref="C2012">IF(B2012="", "", XLOOKUP(B2012, Inventory!D:D,Inventory!E:E,"No Name Found"))</f>
        <v/>
      </c>
      <c r="D2012" s="6"/>
      <c r="E2012" s="6"/>
      <c r="F2012" s="6"/>
      <c r="G2012" s="24" t="str">
        <f>IF(F2012="", "", VLOOKUP(F2012, Inventory!A:BZ, 3, FALSE) - SUMIF($F$1:$F2011, F2012, $H$1:$H2011))
</f>
        <v/>
      </c>
      <c r="I2012" s="26"/>
      <c r="J2012" s="26" t="s">
        <v>77</v>
      </c>
      <c r="L2012" s="27" t="s">
        <v>77</v>
      </c>
      <c r="N2012" s="28" t="s">
        <v>77</v>
      </c>
      <c r="Q2012" s="30"/>
    </row>
    <row r="2013">
      <c r="B2013" s="6"/>
      <c r="C2013" s="33" t="str">
        <f t="array" ref="C2013">IF(B2013="", "", XLOOKUP(B2013, Inventory!D:D,Inventory!E:E,"No Name Found"))</f>
        <v/>
      </c>
      <c r="D2013" s="6"/>
      <c r="E2013" s="6"/>
      <c r="F2013" s="6"/>
      <c r="G2013" s="24" t="str">
        <f>IF(F2013="", "", VLOOKUP(F2013, Inventory!A:BZ, 3, FALSE) - SUMIF($F$1:$F2012, F2013, $H$1:$H2012))
</f>
        <v/>
      </c>
      <c r="I2013" s="26"/>
      <c r="J2013" s="26" t="s">
        <v>77</v>
      </c>
      <c r="L2013" s="27" t="s">
        <v>77</v>
      </c>
      <c r="N2013" s="28" t="s">
        <v>77</v>
      </c>
      <c r="Q2013" s="30"/>
    </row>
    <row r="2014">
      <c r="B2014" s="6"/>
      <c r="C2014" s="33" t="str">
        <f t="array" ref="C2014">IF(B2014="", "", XLOOKUP(B2014, Inventory!D:D,Inventory!E:E,"No Name Found"))</f>
        <v/>
      </c>
      <c r="D2014" s="6"/>
      <c r="E2014" s="6"/>
      <c r="F2014" s="6"/>
      <c r="G2014" s="24" t="str">
        <f>IF(F2014="", "", VLOOKUP(F2014, Inventory!A:BZ, 3, FALSE) - SUMIF($F$1:$F2013, F2014, $H$1:$H2013))
</f>
        <v/>
      </c>
      <c r="I2014" s="26"/>
      <c r="J2014" s="26" t="s">
        <v>77</v>
      </c>
      <c r="L2014" s="27" t="s">
        <v>77</v>
      </c>
      <c r="N2014" s="28" t="s">
        <v>77</v>
      </c>
      <c r="Q2014" s="30"/>
    </row>
    <row r="2015">
      <c r="B2015" s="6"/>
      <c r="C2015" s="33" t="str">
        <f t="array" ref="C2015">IF(B2015="", "", XLOOKUP(B2015, Inventory!D:D,Inventory!E:E,"No Name Found"))</f>
        <v/>
      </c>
      <c r="D2015" s="6"/>
      <c r="E2015" s="6"/>
      <c r="F2015" s="6"/>
      <c r="G2015" s="24" t="str">
        <f>IF(F2015="", "", VLOOKUP(F2015, Inventory!A:BZ, 3, FALSE) - SUMIF($F$1:$F2014, F2015, $H$1:$H2014))
</f>
        <v/>
      </c>
      <c r="I2015" s="26"/>
      <c r="J2015" s="26" t="s">
        <v>77</v>
      </c>
      <c r="L2015" s="27" t="s">
        <v>77</v>
      </c>
      <c r="N2015" s="28" t="s">
        <v>77</v>
      </c>
      <c r="Q2015" s="30"/>
    </row>
    <row r="2016">
      <c r="B2016" s="6"/>
      <c r="C2016" s="33" t="str">
        <f t="array" ref="C2016">IF(B2016="", "", XLOOKUP(B2016, Inventory!D:D,Inventory!E:E,"No Name Found"))</f>
        <v/>
      </c>
      <c r="D2016" s="6"/>
      <c r="E2016" s="6"/>
      <c r="F2016" s="6"/>
      <c r="G2016" s="24" t="str">
        <f>IF(F2016="", "", VLOOKUP(F2016, Inventory!A:BZ, 3, FALSE) - SUMIF($F$1:$F2015, F2016, $H$1:$H2015))
</f>
        <v/>
      </c>
      <c r="I2016" s="26"/>
      <c r="J2016" s="26" t="s">
        <v>77</v>
      </c>
      <c r="L2016" s="27" t="s">
        <v>77</v>
      </c>
      <c r="N2016" s="28" t="s">
        <v>77</v>
      </c>
      <c r="Q2016" s="30"/>
    </row>
    <row r="2017">
      <c r="B2017" s="6"/>
      <c r="C2017" s="33" t="str">
        <f t="array" ref="C2017">IF(B2017="", "", XLOOKUP(B2017, Inventory!D:D,Inventory!E:E,"No Name Found"))</f>
        <v/>
      </c>
      <c r="D2017" s="6"/>
      <c r="E2017" s="6"/>
      <c r="F2017" s="6"/>
      <c r="G2017" s="24" t="str">
        <f>IF(F2017="", "", VLOOKUP(F2017, Inventory!A:BZ, 3, FALSE) - SUMIF($F$1:$F2016, F2017, $H$1:$H2016))
</f>
        <v/>
      </c>
      <c r="I2017" s="26"/>
      <c r="J2017" s="26" t="s">
        <v>77</v>
      </c>
      <c r="L2017" s="27" t="s">
        <v>77</v>
      </c>
      <c r="N2017" s="28" t="s">
        <v>77</v>
      </c>
      <c r="Q2017" s="30"/>
    </row>
    <row r="2018">
      <c r="B2018" s="6"/>
      <c r="C2018" s="33" t="str">
        <f t="array" ref="C2018">IF(B2018="", "", XLOOKUP(B2018, Inventory!D:D,Inventory!E:E,"No Name Found"))</f>
        <v/>
      </c>
      <c r="D2018" s="6"/>
      <c r="E2018" s="6"/>
      <c r="F2018" s="6"/>
      <c r="G2018" s="24" t="str">
        <f>IF(F2018="", "", VLOOKUP(F2018, Inventory!A:BZ, 3, FALSE) - SUMIF($F$1:$F2017, F2018, $H$1:$H2017))
</f>
        <v/>
      </c>
      <c r="I2018" s="26"/>
      <c r="J2018" s="26" t="s">
        <v>77</v>
      </c>
      <c r="L2018" s="27" t="s">
        <v>77</v>
      </c>
      <c r="N2018" s="28" t="s">
        <v>77</v>
      </c>
      <c r="Q2018" s="30"/>
    </row>
    <row r="2019">
      <c r="B2019" s="6"/>
      <c r="C2019" s="33" t="str">
        <f t="array" ref="C2019">IF(B2019="", "", XLOOKUP(B2019, Inventory!D:D,Inventory!E:E,"No Name Found"))</f>
        <v/>
      </c>
      <c r="D2019" s="6"/>
      <c r="E2019" s="6"/>
      <c r="F2019" s="6"/>
      <c r="G2019" s="24" t="str">
        <f>IF(F2019="", "", VLOOKUP(F2019, Inventory!A:BZ, 3, FALSE) - SUMIF($F$1:$F2018, F2019, $H$1:$H2018))
</f>
        <v/>
      </c>
      <c r="I2019" s="26"/>
      <c r="J2019" s="26" t="s">
        <v>77</v>
      </c>
      <c r="L2019" s="27" t="s">
        <v>77</v>
      </c>
      <c r="N2019" s="28" t="s">
        <v>77</v>
      </c>
      <c r="Q2019" s="30"/>
    </row>
    <row r="2020">
      <c r="B2020" s="6"/>
      <c r="C2020" s="33" t="str">
        <f t="array" ref="C2020">IF(B2020="", "", XLOOKUP(B2020, Inventory!D:D,Inventory!E:E,"No Name Found"))</f>
        <v/>
      </c>
      <c r="D2020" s="6"/>
      <c r="E2020" s="6"/>
      <c r="F2020" s="6"/>
      <c r="G2020" s="24" t="str">
        <f>IF(F2020="", "", VLOOKUP(F2020, Inventory!A:BZ, 3, FALSE) - SUMIF($F$1:$F2019, F2020, $H$1:$H2019))
</f>
        <v/>
      </c>
      <c r="I2020" s="26"/>
      <c r="J2020" s="26" t="s">
        <v>77</v>
      </c>
      <c r="L2020" s="27" t="s">
        <v>77</v>
      </c>
      <c r="N2020" s="28" t="s">
        <v>77</v>
      </c>
      <c r="Q2020" s="30"/>
    </row>
    <row r="2021">
      <c r="B2021" s="6"/>
      <c r="C2021" s="33" t="str">
        <f t="array" ref="C2021">IF(B2021="", "", XLOOKUP(B2021, Inventory!D:D,Inventory!E:E,"No Name Found"))</f>
        <v/>
      </c>
      <c r="D2021" s="6"/>
      <c r="E2021" s="6"/>
      <c r="F2021" s="6"/>
      <c r="G2021" s="24" t="str">
        <f>IF(F2021="", "", VLOOKUP(F2021, Inventory!A:BZ, 3, FALSE) - SUMIF($F$1:$F2020, F2021, $H$1:$H2020))
</f>
        <v/>
      </c>
      <c r="I2021" s="26"/>
      <c r="J2021" s="26" t="s">
        <v>77</v>
      </c>
      <c r="L2021" s="27" t="s">
        <v>77</v>
      </c>
      <c r="N2021" s="28" t="s">
        <v>77</v>
      </c>
      <c r="Q2021" s="30"/>
    </row>
    <row r="2022">
      <c r="B2022" s="6"/>
      <c r="C2022" s="33" t="str">
        <f t="array" ref="C2022">IF(B2022="", "", XLOOKUP(B2022, Inventory!D:D,Inventory!E:E,"No Name Found"))</f>
        <v/>
      </c>
      <c r="D2022" s="6"/>
      <c r="E2022" s="6"/>
      <c r="F2022" s="6"/>
      <c r="G2022" s="24" t="str">
        <f>IF(F2022="", "", VLOOKUP(F2022, Inventory!A:BZ, 3, FALSE) - SUMIF($F$1:$F2021, F2022, $H$1:$H2021))
</f>
        <v/>
      </c>
      <c r="I2022" s="26"/>
      <c r="J2022" s="26" t="s">
        <v>77</v>
      </c>
      <c r="L2022" s="27" t="s">
        <v>77</v>
      </c>
      <c r="N2022" s="28" t="s">
        <v>77</v>
      </c>
      <c r="Q2022" s="30"/>
    </row>
    <row r="2023">
      <c r="B2023" s="6"/>
      <c r="C2023" s="33" t="str">
        <f t="array" ref="C2023">IF(B2023="", "", XLOOKUP(B2023, Inventory!D:D,Inventory!E:E,"No Name Found"))</f>
        <v/>
      </c>
      <c r="D2023" s="6"/>
      <c r="E2023" s="6"/>
      <c r="F2023" s="6"/>
      <c r="G2023" s="24" t="str">
        <f>IF(F2023="", "", VLOOKUP(F2023, Inventory!A:BZ, 3, FALSE) - SUMIF($F$1:$F2022, F2023, $H$1:$H2022))
</f>
        <v/>
      </c>
      <c r="I2023" s="26"/>
      <c r="J2023" s="26" t="s">
        <v>77</v>
      </c>
      <c r="L2023" s="27" t="s">
        <v>77</v>
      </c>
      <c r="N2023" s="28" t="s">
        <v>77</v>
      </c>
      <c r="Q2023" s="30"/>
    </row>
    <row r="2024">
      <c r="B2024" s="6"/>
      <c r="C2024" s="33" t="str">
        <f t="array" ref="C2024">IF(B2024="", "", XLOOKUP(B2024, Inventory!D:D,Inventory!E:E,"No Name Found"))</f>
        <v/>
      </c>
      <c r="D2024" s="6"/>
      <c r="E2024" s="6"/>
      <c r="F2024" s="6"/>
      <c r="G2024" s="24" t="str">
        <f>IF(F2024="", "", VLOOKUP(F2024, Inventory!A:BZ, 3, FALSE) - SUMIF($F$1:$F2023, F2024, $H$1:$H2023))
</f>
        <v/>
      </c>
      <c r="I2024" s="26"/>
      <c r="J2024" s="26" t="s">
        <v>77</v>
      </c>
      <c r="L2024" s="27" t="s">
        <v>77</v>
      </c>
      <c r="N2024" s="28" t="s">
        <v>77</v>
      </c>
      <c r="Q2024" s="30"/>
    </row>
    <row r="2025">
      <c r="B2025" s="6"/>
      <c r="C2025" s="33" t="str">
        <f t="array" ref="C2025">IF(B2025="", "", XLOOKUP(B2025, Inventory!D:D,Inventory!E:E,"No Name Found"))</f>
        <v/>
      </c>
      <c r="D2025" s="6"/>
      <c r="E2025" s="6"/>
      <c r="F2025" s="6"/>
      <c r="G2025" s="24" t="str">
        <f>IF(F2025="", "", VLOOKUP(F2025, Inventory!A:BZ, 3, FALSE) - SUMIF($F$1:$F2024, F2025, $H$1:$H2024))
</f>
        <v/>
      </c>
      <c r="I2025" s="26"/>
      <c r="J2025" s="26" t="s">
        <v>77</v>
      </c>
      <c r="L2025" s="27" t="s">
        <v>77</v>
      </c>
      <c r="N2025" s="28" t="s">
        <v>77</v>
      </c>
      <c r="Q2025" s="30"/>
    </row>
    <row r="2026">
      <c r="B2026" s="6"/>
      <c r="C2026" s="33" t="str">
        <f t="array" ref="C2026">IF(B2026="", "", XLOOKUP(B2026, Inventory!D:D,Inventory!E:E,"No Name Found"))</f>
        <v/>
      </c>
      <c r="D2026" s="6"/>
      <c r="E2026" s="6"/>
      <c r="F2026" s="6"/>
      <c r="G2026" s="24" t="str">
        <f>IF(F2026="", "", VLOOKUP(F2026, Inventory!A:BZ, 3, FALSE) - SUMIF($F$1:$F2025, F2026, $H$1:$H2025))
</f>
        <v/>
      </c>
      <c r="I2026" s="26"/>
      <c r="J2026" s="26" t="s">
        <v>77</v>
      </c>
      <c r="L2026" s="27" t="s">
        <v>77</v>
      </c>
      <c r="N2026" s="28" t="s">
        <v>77</v>
      </c>
      <c r="Q2026" s="30"/>
    </row>
    <row r="2027">
      <c r="B2027" s="6"/>
      <c r="C2027" s="33" t="str">
        <f t="array" ref="C2027">IF(B2027="", "", XLOOKUP(B2027, Inventory!D:D,Inventory!E:E,"No Name Found"))</f>
        <v/>
      </c>
      <c r="D2027" s="6"/>
      <c r="E2027" s="6"/>
      <c r="F2027" s="6"/>
      <c r="G2027" s="24" t="str">
        <f>IF(F2027="", "", VLOOKUP(F2027, Inventory!A:BZ, 3, FALSE) - SUMIF($F$1:$F2026, F2027, $H$1:$H2026))
</f>
        <v/>
      </c>
      <c r="I2027" s="26"/>
      <c r="J2027" s="26" t="s">
        <v>77</v>
      </c>
      <c r="L2027" s="27" t="s">
        <v>77</v>
      </c>
      <c r="N2027" s="28" t="s">
        <v>77</v>
      </c>
      <c r="Q2027" s="30"/>
    </row>
    <row r="2028">
      <c r="B2028" s="6"/>
      <c r="C2028" s="33" t="str">
        <f t="array" ref="C2028">IF(B2028="", "", XLOOKUP(B2028, Inventory!D:D,Inventory!E:E,"No Name Found"))</f>
        <v/>
      </c>
      <c r="D2028" s="6"/>
      <c r="E2028" s="6"/>
      <c r="F2028" s="6"/>
      <c r="G2028" s="24" t="str">
        <f>IF(F2028="", "", VLOOKUP(F2028, Inventory!A:BZ, 3, FALSE) - SUMIF($F$1:$F2027, F2028, $H$1:$H2027))
</f>
        <v/>
      </c>
      <c r="I2028" s="26"/>
      <c r="J2028" s="26" t="s">
        <v>77</v>
      </c>
      <c r="L2028" s="27" t="s">
        <v>77</v>
      </c>
      <c r="N2028" s="28" t="s">
        <v>77</v>
      </c>
      <c r="Q2028" s="30"/>
    </row>
    <row r="2029">
      <c r="B2029" s="6"/>
      <c r="C2029" s="33" t="str">
        <f t="array" ref="C2029">IF(B2029="", "", XLOOKUP(B2029, Inventory!D:D,Inventory!E:E,"No Name Found"))</f>
        <v/>
      </c>
      <c r="D2029" s="6"/>
      <c r="E2029" s="6"/>
      <c r="F2029" s="6"/>
      <c r="G2029" s="24" t="str">
        <f>IF(F2029="", "", VLOOKUP(F2029, Inventory!A:BZ, 3, FALSE) - SUMIF($F$1:$F2028, F2029, $H$1:$H2028))
</f>
        <v/>
      </c>
      <c r="I2029" s="26"/>
      <c r="J2029" s="26" t="s">
        <v>77</v>
      </c>
      <c r="L2029" s="27" t="s">
        <v>77</v>
      </c>
      <c r="N2029" s="28" t="s">
        <v>77</v>
      </c>
      <c r="Q2029" s="30"/>
    </row>
    <row r="2030">
      <c r="B2030" s="6"/>
      <c r="C2030" s="33" t="str">
        <f t="array" ref="C2030">IF(B2030="", "", XLOOKUP(B2030, Inventory!D:D,Inventory!E:E,"No Name Found"))</f>
        <v/>
      </c>
      <c r="D2030" s="6"/>
      <c r="E2030" s="6"/>
      <c r="F2030" s="6"/>
      <c r="G2030" s="24" t="str">
        <f>IF(F2030="", "", VLOOKUP(F2030, Inventory!A:BZ, 3, FALSE) - SUMIF($F$1:$F2029, F2030, $H$1:$H2029))
</f>
        <v/>
      </c>
      <c r="I2030" s="26"/>
      <c r="J2030" s="26" t="s">
        <v>77</v>
      </c>
      <c r="L2030" s="27" t="s">
        <v>77</v>
      </c>
      <c r="N2030" s="28" t="s">
        <v>77</v>
      </c>
      <c r="Q2030" s="30"/>
    </row>
    <row r="2031">
      <c r="B2031" s="6"/>
      <c r="C2031" s="33" t="str">
        <f t="array" ref="C2031">IF(B2031="", "", XLOOKUP(B2031, Inventory!D:D,Inventory!E:E,"No Name Found"))</f>
        <v/>
      </c>
      <c r="D2031" s="6"/>
      <c r="E2031" s="6"/>
      <c r="F2031" s="6"/>
      <c r="G2031" s="24" t="str">
        <f>IF(F2031="", "", VLOOKUP(F2031, Inventory!A:BZ, 3, FALSE) - SUMIF($F$1:$F2030, F2031, $H$1:$H2030))
</f>
        <v/>
      </c>
      <c r="I2031" s="26"/>
      <c r="J2031" s="26" t="s">
        <v>77</v>
      </c>
      <c r="L2031" s="27" t="s">
        <v>77</v>
      </c>
      <c r="N2031" s="28" t="s">
        <v>77</v>
      </c>
      <c r="Q2031" s="30"/>
    </row>
    <row r="2032">
      <c r="B2032" s="6"/>
      <c r="C2032" s="33" t="str">
        <f t="array" ref="C2032">IF(B2032="", "", XLOOKUP(B2032, Inventory!D:D,Inventory!E:E,"No Name Found"))</f>
        <v/>
      </c>
      <c r="D2032" s="6"/>
      <c r="E2032" s="6"/>
      <c r="F2032" s="6"/>
      <c r="G2032" s="24" t="str">
        <f>IF(F2032="", "", VLOOKUP(F2032, Inventory!A:BZ, 3, FALSE) - SUMIF($F$1:$F2031, F2032, $H$1:$H2031))
</f>
        <v/>
      </c>
      <c r="I2032" s="26"/>
      <c r="J2032" s="26" t="s">
        <v>77</v>
      </c>
      <c r="L2032" s="27" t="s">
        <v>77</v>
      </c>
      <c r="N2032" s="28" t="s">
        <v>77</v>
      </c>
      <c r="Q2032" s="30"/>
    </row>
    <row r="2033">
      <c r="B2033" s="6"/>
      <c r="C2033" s="33" t="str">
        <f t="array" ref="C2033">IF(B2033="", "", XLOOKUP(B2033, Inventory!D:D,Inventory!E:E,"No Name Found"))</f>
        <v/>
      </c>
      <c r="D2033" s="6"/>
      <c r="E2033" s="6"/>
      <c r="F2033" s="6"/>
      <c r="G2033" s="24" t="str">
        <f>IF(F2033="", "", VLOOKUP(F2033, Inventory!A:BZ, 3, FALSE) - SUMIF($F$1:$F2032, F2033, $H$1:$H2032))
</f>
        <v/>
      </c>
      <c r="I2033" s="26"/>
      <c r="J2033" s="26" t="s">
        <v>77</v>
      </c>
      <c r="L2033" s="27" t="s">
        <v>77</v>
      </c>
      <c r="N2033" s="28" t="s">
        <v>77</v>
      </c>
      <c r="Q2033" s="30"/>
    </row>
    <row r="2034">
      <c r="B2034" s="6"/>
      <c r="C2034" s="33" t="str">
        <f t="array" ref="C2034">IF(B2034="", "", XLOOKUP(B2034, Inventory!D:D,Inventory!E:E,"No Name Found"))</f>
        <v/>
      </c>
      <c r="D2034" s="6"/>
      <c r="E2034" s="6"/>
      <c r="F2034" s="6"/>
      <c r="G2034" s="24" t="str">
        <f>IF(F2034="", "", VLOOKUP(F2034, Inventory!A:BZ, 3, FALSE) - SUMIF($F$1:$F2033, F2034, $H$1:$H2033))
</f>
        <v/>
      </c>
      <c r="I2034" s="26"/>
      <c r="J2034" s="26" t="s">
        <v>77</v>
      </c>
      <c r="L2034" s="27" t="s">
        <v>77</v>
      </c>
      <c r="N2034" s="28" t="s">
        <v>77</v>
      </c>
      <c r="Q2034" s="30"/>
    </row>
    <row r="2035">
      <c r="B2035" s="6"/>
      <c r="C2035" s="33" t="str">
        <f t="array" ref="C2035">IF(B2035="", "", XLOOKUP(B2035, Inventory!D:D,Inventory!E:E,"No Name Found"))</f>
        <v/>
      </c>
      <c r="D2035" s="6"/>
      <c r="E2035" s="6"/>
      <c r="F2035" s="6"/>
      <c r="G2035" s="24" t="str">
        <f>IF(F2035="", "", VLOOKUP(F2035, Inventory!A:BZ, 3, FALSE) - SUMIF($F$1:$F2034, F2035, $H$1:$H2034))
</f>
        <v/>
      </c>
      <c r="I2035" s="26"/>
      <c r="J2035" s="26" t="s">
        <v>77</v>
      </c>
      <c r="L2035" s="27" t="s">
        <v>77</v>
      </c>
      <c r="N2035" s="28" t="s">
        <v>77</v>
      </c>
      <c r="Q2035" s="30"/>
    </row>
    <row r="2036">
      <c r="B2036" s="6"/>
      <c r="C2036" s="33" t="str">
        <f t="array" ref="C2036">IF(B2036="", "", XLOOKUP(B2036, Inventory!D:D,Inventory!E:E,"No Name Found"))</f>
        <v/>
      </c>
      <c r="D2036" s="6"/>
      <c r="E2036" s="6"/>
      <c r="F2036" s="6"/>
      <c r="G2036" s="24" t="str">
        <f>IF(F2036="", "", VLOOKUP(F2036, Inventory!A:BZ, 3, FALSE) - SUMIF($F$1:$F2035, F2036, $H$1:$H2035))
</f>
        <v/>
      </c>
      <c r="I2036" s="26"/>
      <c r="J2036" s="26" t="s">
        <v>77</v>
      </c>
      <c r="L2036" s="27" t="s">
        <v>77</v>
      </c>
      <c r="N2036" s="28" t="s">
        <v>77</v>
      </c>
      <c r="Q2036" s="30"/>
    </row>
    <row r="2037">
      <c r="B2037" s="6"/>
      <c r="C2037" s="33" t="str">
        <f t="array" ref="C2037">IF(B2037="", "", XLOOKUP(B2037, Inventory!D:D,Inventory!E:E,"No Name Found"))</f>
        <v/>
      </c>
      <c r="D2037" s="6"/>
      <c r="E2037" s="6"/>
      <c r="F2037" s="6"/>
      <c r="G2037" s="24" t="str">
        <f>IF(F2037="", "", VLOOKUP(F2037, Inventory!A:BZ, 3, FALSE) - SUMIF($F$1:$F2036, F2037, $H$1:$H2036))
</f>
        <v/>
      </c>
      <c r="I2037" s="26"/>
      <c r="J2037" s="26" t="s">
        <v>77</v>
      </c>
      <c r="L2037" s="27" t="s">
        <v>77</v>
      </c>
      <c r="N2037" s="28" t="s">
        <v>77</v>
      </c>
      <c r="Q2037" s="30"/>
    </row>
    <row r="2038">
      <c r="B2038" s="6"/>
      <c r="C2038" s="33" t="str">
        <f t="array" ref="C2038">IF(B2038="", "", XLOOKUP(B2038, Inventory!D:D,Inventory!E:E,"No Name Found"))</f>
        <v/>
      </c>
      <c r="D2038" s="6"/>
      <c r="E2038" s="6"/>
      <c r="F2038" s="6"/>
      <c r="G2038" s="24" t="str">
        <f>IF(F2038="", "", VLOOKUP(F2038, Inventory!A:BZ, 3, FALSE) - SUMIF($F$1:$F2037, F2038, $H$1:$H2037))
</f>
        <v/>
      </c>
      <c r="I2038" s="26"/>
      <c r="J2038" s="26" t="s">
        <v>77</v>
      </c>
      <c r="L2038" s="27" t="s">
        <v>77</v>
      </c>
      <c r="N2038" s="28" t="s">
        <v>77</v>
      </c>
      <c r="Q2038" s="30"/>
    </row>
    <row r="2039">
      <c r="B2039" s="6"/>
      <c r="C2039" s="33" t="str">
        <f t="array" ref="C2039">IF(B2039="", "", XLOOKUP(B2039, Inventory!D:D,Inventory!E:E,"No Name Found"))</f>
        <v/>
      </c>
      <c r="D2039" s="6"/>
      <c r="E2039" s="6"/>
      <c r="F2039" s="6"/>
      <c r="G2039" s="24" t="str">
        <f>IF(F2039="", "", VLOOKUP(F2039, Inventory!A:BZ, 3, FALSE) - SUMIF($F$1:$F2038, F2039, $H$1:$H2038))
</f>
        <v/>
      </c>
      <c r="I2039" s="26"/>
      <c r="J2039" s="26" t="s">
        <v>77</v>
      </c>
      <c r="L2039" s="27" t="s">
        <v>77</v>
      </c>
      <c r="N2039" s="28" t="s">
        <v>77</v>
      </c>
      <c r="Q2039" s="30"/>
    </row>
    <row r="2040">
      <c r="B2040" s="6"/>
      <c r="C2040" s="33" t="str">
        <f t="array" ref="C2040">IF(B2040="", "", XLOOKUP(B2040, Inventory!D:D,Inventory!E:E,"No Name Found"))</f>
        <v/>
      </c>
      <c r="D2040" s="6"/>
      <c r="E2040" s="6"/>
      <c r="F2040" s="6"/>
      <c r="G2040" s="24" t="str">
        <f>IF(F2040="", "", VLOOKUP(F2040, Inventory!A:BZ, 3, FALSE) - SUMIF($F$1:$F2039, F2040, $H$1:$H2039))
</f>
        <v/>
      </c>
      <c r="I2040" s="26"/>
      <c r="J2040" s="26" t="s">
        <v>77</v>
      </c>
      <c r="L2040" s="27" t="s">
        <v>77</v>
      </c>
      <c r="N2040" s="28" t="s">
        <v>77</v>
      </c>
      <c r="Q2040" s="30"/>
    </row>
    <row r="2041">
      <c r="B2041" s="6"/>
      <c r="C2041" s="33" t="str">
        <f t="array" ref="C2041">IF(B2041="", "", XLOOKUP(B2041, Inventory!D:D,Inventory!E:E,"No Name Found"))</f>
        <v/>
      </c>
      <c r="D2041" s="6"/>
      <c r="E2041" s="6"/>
      <c r="F2041" s="6"/>
      <c r="G2041" s="24" t="str">
        <f>IF(F2041="", "", VLOOKUP(F2041, Inventory!A:BZ, 3, FALSE) - SUMIF($F$1:$F2040, F2041, $H$1:$H2040))
</f>
        <v/>
      </c>
      <c r="I2041" s="26"/>
      <c r="J2041" s="26" t="s">
        <v>77</v>
      </c>
      <c r="L2041" s="27" t="s">
        <v>77</v>
      </c>
      <c r="N2041" s="28" t="s">
        <v>77</v>
      </c>
      <c r="Q2041" s="30"/>
    </row>
    <row r="2042">
      <c r="B2042" s="6"/>
      <c r="C2042" s="33" t="str">
        <f t="array" ref="C2042">IF(B2042="", "", XLOOKUP(B2042, Inventory!D:D,Inventory!E:E,"No Name Found"))</f>
        <v/>
      </c>
      <c r="D2042" s="6"/>
      <c r="E2042" s="6"/>
      <c r="F2042" s="6"/>
      <c r="G2042" s="24" t="str">
        <f>IF(F2042="", "", VLOOKUP(F2042, Inventory!A:BZ, 3, FALSE) - SUMIF($F$1:$F2041, F2042, $H$1:$H2041))
</f>
        <v/>
      </c>
      <c r="I2042" s="26"/>
      <c r="J2042" s="26" t="s">
        <v>77</v>
      </c>
      <c r="L2042" s="27" t="s">
        <v>77</v>
      </c>
      <c r="N2042" s="28" t="s">
        <v>77</v>
      </c>
      <c r="Q2042" s="30"/>
    </row>
    <row r="2043">
      <c r="B2043" s="6"/>
      <c r="C2043" s="33" t="str">
        <f t="array" ref="C2043">IF(B2043="", "", XLOOKUP(B2043, Inventory!D:D,Inventory!E:E,"No Name Found"))</f>
        <v/>
      </c>
      <c r="D2043" s="6"/>
      <c r="E2043" s="6"/>
      <c r="F2043" s="6"/>
      <c r="G2043" s="24" t="str">
        <f>IF(F2043="", "", VLOOKUP(F2043, Inventory!A:BZ, 3, FALSE) - SUMIF($F$1:$F2042, F2043, $H$1:$H2042))
</f>
        <v/>
      </c>
      <c r="I2043" s="26"/>
      <c r="J2043" s="26" t="s">
        <v>77</v>
      </c>
      <c r="L2043" s="27" t="s">
        <v>77</v>
      </c>
      <c r="N2043" s="28" t="s">
        <v>77</v>
      </c>
      <c r="Q2043" s="30"/>
    </row>
    <row r="2044">
      <c r="B2044" s="6"/>
      <c r="C2044" s="33" t="str">
        <f t="array" ref="C2044">IF(B2044="", "", XLOOKUP(B2044, Inventory!D:D,Inventory!E:E,"No Name Found"))</f>
        <v/>
      </c>
      <c r="D2044" s="6"/>
      <c r="E2044" s="6"/>
      <c r="F2044" s="6"/>
      <c r="G2044" s="24" t="str">
        <f>IF(F2044="", "", VLOOKUP(F2044, Inventory!A:BZ, 3, FALSE) - SUMIF($F$1:$F2043, F2044, $H$1:$H2043))
</f>
        <v/>
      </c>
      <c r="I2044" s="26"/>
      <c r="J2044" s="26" t="s">
        <v>77</v>
      </c>
      <c r="L2044" s="27" t="s">
        <v>77</v>
      </c>
      <c r="N2044" s="28" t="s">
        <v>77</v>
      </c>
      <c r="Q2044" s="30"/>
    </row>
    <row r="2045">
      <c r="B2045" s="6"/>
      <c r="C2045" s="33" t="str">
        <f t="array" ref="C2045">IF(B2045="", "", XLOOKUP(B2045, Inventory!D:D,Inventory!E:E,"No Name Found"))</f>
        <v/>
      </c>
      <c r="D2045" s="6"/>
      <c r="E2045" s="6"/>
      <c r="F2045" s="6"/>
      <c r="G2045" s="24" t="str">
        <f>IF(F2045="", "", VLOOKUP(F2045, Inventory!A:BZ, 3, FALSE) - SUMIF($F$1:$F2044, F2045, $H$1:$H2044))
</f>
        <v/>
      </c>
      <c r="I2045" s="26"/>
      <c r="J2045" s="26" t="s">
        <v>77</v>
      </c>
      <c r="L2045" s="27" t="s">
        <v>77</v>
      </c>
      <c r="N2045" s="28" t="s">
        <v>77</v>
      </c>
      <c r="Q2045" s="30"/>
    </row>
    <row r="2046">
      <c r="B2046" s="6"/>
      <c r="C2046" s="33" t="str">
        <f t="array" ref="C2046">IF(B2046="", "", XLOOKUP(B2046, Inventory!D:D,Inventory!E:E,"No Name Found"))</f>
        <v/>
      </c>
      <c r="D2046" s="6"/>
      <c r="E2046" s="6"/>
      <c r="F2046" s="6"/>
      <c r="G2046" s="24" t="str">
        <f>IF(F2046="", "", VLOOKUP(F2046, Inventory!A:BZ, 3, FALSE) - SUMIF($F$1:$F2045, F2046, $H$1:$H2045))
</f>
        <v/>
      </c>
      <c r="I2046" s="26"/>
      <c r="J2046" s="26" t="s">
        <v>77</v>
      </c>
      <c r="L2046" s="27" t="s">
        <v>77</v>
      </c>
      <c r="N2046" s="28" t="s">
        <v>77</v>
      </c>
      <c r="Q2046" s="30"/>
    </row>
    <row r="2047">
      <c r="B2047" s="6"/>
      <c r="C2047" s="33" t="str">
        <f t="array" ref="C2047">IF(B2047="", "", XLOOKUP(B2047, Inventory!D:D,Inventory!E:E,"No Name Found"))</f>
        <v/>
      </c>
      <c r="D2047" s="6"/>
      <c r="E2047" s="6"/>
      <c r="F2047" s="6"/>
      <c r="G2047" s="24" t="str">
        <f>IF(F2047="", "", VLOOKUP(F2047, Inventory!A:BZ, 3, FALSE) - SUMIF($F$1:$F2046, F2047, $H$1:$H2046))
</f>
        <v/>
      </c>
      <c r="I2047" s="26"/>
      <c r="J2047" s="26" t="s">
        <v>77</v>
      </c>
      <c r="L2047" s="27" t="s">
        <v>77</v>
      </c>
      <c r="N2047" s="28" t="s">
        <v>77</v>
      </c>
      <c r="Q2047" s="30"/>
    </row>
    <row r="2048">
      <c r="B2048" s="6"/>
      <c r="C2048" s="33" t="str">
        <f t="array" ref="C2048">IF(B2048="", "", XLOOKUP(B2048, Inventory!D:D,Inventory!E:E,"No Name Found"))</f>
        <v/>
      </c>
      <c r="D2048" s="6"/>
      <c r="E2048" s="6"/>
      <c r="F2048" s="6"/>
      <c r="G2048" s="24" t="str">
        <f>IF(F2048="", "", VLOOKUP(F2048, Inventory!A:BZ, 3, FALSE) - SUMIF($F$1:$F2047, F2048, $H$1:$H2047))
</f>
        <v/>
      </c>
      <c r="I2048" s="26"/>
      <c r="J2048" s="26" t="s">
        <v>77</v>
      </c>
      <c r="L2048" s="27" t="s">
        <v>77</v>
      </c>
      <c r="N2048" s="28" t="s">
        <v>77</v>
      </c>
      <c r="Q2048" s="30"/>
    </row>
    <row r="2049">
      <c r="B2049" s="6"/>
      <c r="C2049" s="33" t="str">
        <f t="array" ref="C2049">IF(B2049="", "", XLOOKUP(B2049, Inventory!D:D,Inventory!E:E,"No Name Found"))</f>
        <v/>
      </c>
      <c r="D2049" s="6"/>
      <c r="E2049" s="6"/>
      <c r="F2049" s="6"/>
      <c r="G2049" s="24" t="str">
        <f>IF(F2049="", "", VLOOKUP(F2049, Inventory!A:BZ, 3, FALSE) - SUMIF($F$1:$F2048, F2049, $H$1:$H2048))
</f>
        <v/>
      </c>
      <c r="I2049" s="26"/>
      <c r="J2049" s="26" t="s">
        <v>77</v>
      </c>
      <c r="L2049" s="27" t="s">
        <v>77</v>
      </c>
      <c r="N2049" s="28" t="s">
        <v>77</v>
      </c>
      <c r="Q2049" s="30"/>
    </row>
    <row r="2050">
      <c r="B2050" s="6"/>
      <c r="C2050" s="33" t="str">
        <f t="array" ref="C2050">IF(B2050="", "", XLOOKUP(B2050, Inventory!D:D,Inventory!E:E,"No Name Found"))</f>
        <v/>
      </c>
      <c r="D2050" s="6"/>
      <c r="E2050" s="6"/>
      <c r="F2050" s="6"/>
      <c r="G2050" s="24" t="str">
        <f>IF(F2050="", "", VLOOKUP(F2050, Inventory!A:BZ, 3, FALSE) - SUMIF($F$1:$F2049, F2050, $H$1:$H2049))
</f>
        <v/>
      </c>
      <c r="I2050" s="26"/>
      <c r="J2050" s="26" t="s">
        <v>77</v>
      </c>
      <c r="L2050" s="27" t="s">
        <v>77</v>
      </c>
      <c r="N2050" s="28" t="s">
        <v>77</v>
      </c>
      <c r="Q2050" s="30"/>
    </row>
    <row r="2051">
      <c r="B2051" s="6"/>
      <c r="C2051" s="33" t="str">
        <f t="array" ref="C2051">IF(B2051="", "", XLOOKUP(B2051, Inventory!D:D,Inventory!E:E,"No Name Found"))</f>
        <v/>
      </c>
      <c r="D2051" s="6"/>
      <c r="E2051" s="6"/>
      <c r="F2051" s="6"/>
      <c r="G2051" s="24" t="str">
        <f>IF(F2051="", "", VLOOKUP(F2051, Inventory!A:BZ, 3, FALSE) - SUMIF($F$1:$F2050, F2051, $H$1:$H2050))
</f>
        <v/>
      </c>
      <c r="I2051" s="26"/>
      <c r="J2051" s="26" t="s">
        <v>77</v>
      </c>
      <c r="L2051" s="27" t="s">
        <v>77</v>
      </c>
      <c r="N2051" s="28" t="s">
        <v>77</v>
      </c>
      <c r="Q2051" s="30"/>
    </row>
    <row r="2052">
      <c r="B2052" s="6"/>
      <c r="C2052" s="33" t="str">
        <f t="array" ref="C2052">IF(B2052="", "", XLOOKUP(B2052, Inventory!D:D,Inventory!E:E,"No Name Found"))</f>
        <v/>
      </c>
      <c r="D2052" s="6"/>
      <c r="E2052" s="6"/>
      <c r="F2052" s="6"/>
      <c r="G2052" s="24" t="str">
        <f>IF(F2052="", "", VLOOKUP(F2052, Inventory!A:BZ, 3, FALSE) - SUMIF($F$1:$F2051, F2052, $H$1:$H2051))
</f>
        <v/>
      </c>
      <c r="I2052" s="26"/>
      <c r="J2052" s="26" t="s">
        <v>77</v>
      </c>
      <c r="L2052" s="27" t="s">
        <v>77</v>
      </c>
      <c r="N2052" s="28" t="s">
        <v>77</v>
      </c>
      <c r="Q2052" s="30"/>
    </row>
    <row r="2053">
      <c r="B2053" s="6"/>
      <c r="C2053" s="33" t="str">
        <f t="array" ref="C2053">IF(B2053="", "", XLOOKUP(B2053, Inventory!D:D,Inventory!E:E,"No Name Found"))</f>
        <v/>
      </c>
      <c r="D2053" s="6"/>
      <c r="E2053" s="6"/>
      <c r="F2053" s="6"/>
      <c r="G2053" s="24" t="str">
        <f>IF(F2053="", "", VLOOKUP(F2053, Inventory!A:BZ, 3, FALSE) - SUMIF($F$1:$F2052, F2053, $H$1:$H2052))
</f>
        <v/>
      </c>
      <c r="I2053" s="26"/>
      <c r="J2053" s="26" t="s">
        <v>77</v>
      </c>
      <c r="L2053" s="27" t="s">
        <v>77</v>
      </c>
      <c r="N2053" s="28" t="s">
        <v>77</v>
      </c>
      <c r="Q2053" s="30"/>
    </row>
    <row r="2054">
      <c r="B2054" s="6"/>
      <c r="C2054" s="33" t="str">
        <f t="array" ref="C2054">IF(B2054="", "", XLOOKUP(B2054, Inventory!D:D,Inventory!E:E,"No Name Found"))</f>
        <v/>
      </c>
      <c r="D2054" s="6"/>
      <c r="E2054" s="6"/>
      <c r="F2054" s="6"/>
      <c r="G2054" s="24" t="str">
        <f>IF(F2054="", "", VLOOKUP(F2054, Inventory!A:BZ, 3, FALSE) - SUMIF($F$1:$F2053, F2054, $H$1:$H2053))
</f>
        <v/>
      </c>
      <c r="I2054" s="26"/>
      <c r="J2054" s="26" t="s">
        <v>77</v>
      </c>
      <c r="L2054" s="27" t="s">
        <v>77</v>
      </c>
      <c r="N2054" s="28" t="s">
        <v>77</v>
      </c>
      <c r="Q2054" s="30"/>
    </row>
    <row r="2055">
      <c r="B2055" s="6"/>
      <c r="C2055" s="33" t="str">
        <f t="array" ref="C2055">IF(B2055="", "", XLOOKUP(B2055, Inventory!D:D,Inventory!E:E,"No Name Found"))</f>
        <v/>
      </c>
      <c r="D2055" s="6"/>
      <c r="E2055" s="6"/>
      <c r="F2055" s="6"/>
      <c r="G2055" s="24" t="str">
        <f>IF(F2055="", "", VLOOKUP(F2055, Inventory!A:BZ, 3, FALSE) - SUMIF($F$1:$F2054, F2055, $H$1:$H2054))
</f>
        <v/>
      </c>
      <c r="I2055" s="26"/>
      <c r="J2055" s="26" t="s">
        <v>77</v>
      </c>
      <c r="L2055" s="27" t="s">
        <v>77</v>
      </c>
      <c r="N2055" s="28" t="s">
        <v>77</v>
      </c>
      <c r="Q2055" s="30"/>
    </row>
    <row r="2056">
      <c r="B2056" s="6"/>
      <c r="C2056" s="33" t="str">
        <f t="array" ref="C2056">IF(B2056="", "", XLOOKUP(B2056, Inventory!D:D,Inventory!E:E,"No Name Found"))</f>
        <v/>
      </c>
      <c r="D2056" s="6"/>
      <c r="E2056" s="6"/>
      <c r="F2056" s="6"/>
      <c r="G2056" s="24" t="str">
        <f>IF(F2056="", "", VLOOKUP(F2056, Inventory!A:BZ, 3, FALSE) - SUMIF($F$1:$F2055, F2056, $H$1:$H2055))
</f>
        <v/>
      </c>
      <c r="I2056" s="26"/>
      <c r="J2056" s="26" t="s">
        <v>77</v>
      </c>
      <c r="L2056" s="27" t="s">
        <v>77</v>
      </c>
      <c r="N2056" s="28" t="s">
        <v>77</v>
      </c>
      <c r="Q2056" s="30"/>
    </row>
    <row r="2057">
      <c r="B2057" s="6"/>
      <c r="C2057" s="33" t="str">
        <f t="array" ref="C2057">IF(B2057="", "", XLOOKUP(B2057, Inventory!D:D,Inventory!E:E,"No Name Found"))</f>
        <v/>
      </c>
      <c r="D2057" s="6"/>
      <c r="E2057" s="6"/>
      <c r="F2057" s="6"/>
      <c r="G2057" s="24" t="str">
        <f>IF(F2057="", "", VLOOKUP(F2057, Inventory!A:BZ, 3, FALSE) - SUMIF($F$1:$F2056, F2057, $H$1:$H2056))
</f>
        <v/>
      </c>
      <c r="I2057" s="26"/>
      <c r="J2057" s="26" t="s">
        <v>77</v>
      </c>
      <c r="L2057" s="27" t="s">
        <v>77</v>
      </c>
      <c r="N2057" s="28" t="s">
        <v>77</v>
      </c>
      <c r="Q2057" s="30"/>
    </row>
    <row r="2058">
      <c r="B2058" s="6"/>
      <c r="C2058" s="33" t="str">
        <f t="array" ref="C2058">IF(B2058="", "", XLOOKUP(B2058, Inventory!D:D,Inventory!E:E,"No Name Found"))</f>
        <v/>
      </c>
      <c r="D2058" s="6"/>
      <c r="E2058" s="6"/>
      <c r="F2058" s="6"/>
      <c r="G2058" s="24" t="str">
        <f>IF(F2058="", "", VLOOKUP(F2058, Inventory!A:BZ, 3, FALSE) - SUMIF($F$1:$F2057, F2058, $H$1:$H2057))
</f>
        <v/>
      </c>
      <c r="I2058" s="26"/>
      <c r="J2058" s="26" t="s">
        <v>77</v>
      </c>
      <c r="L2058" s="27" t="s">
        <v>77</v>
      </c>
      <c r="N2058" s="28" t="s">
        <v>77</v>
      </c>
      <c r="Q2058" s="30"/>
    </row>
    <row r="2059">
      <c r="B2059" s="6"/>
      <c r="C2059" s="33" t="str">
        <f t="array" ref="C2059">IF(B2059="", "", XLOOKUP(B2059, Inventory!D:D,Inventory!E:E,"No Name Found"))</f>
        <v/>
      </c>
      <c r="D2059" s="6"/>
      <c r="E2059" s="6"/>
      <c r="F2059" s="6"/>
      <c r="G2059" s="24" t="str">
        <f>IF(F2059="", "", VLOOKUP(F2059, Inventory!A:BZ, 3, FALSE) - SUMIF($F$1:$F2058, F2059, $H$1:$H2058))
</f>
        <v/>
      </c>
      <c r="I2059" s="26"/>
      <c r="J2059" s="26" t="s">
        <v>77</v>
      </c>
      <c r="L2059" s="27" t="s">
        <v>77</v>
      </c>
      <c r="N2059" s="28" t="s">
        <v>77</v>
      </c>
      <c r="Q2059" s="30"/>
    </row>
    <row r="2060">
      <c r="B2060" s="6"/>
      <c r="C2060" s="33" t="str">
        <f t="array" ref="C2060">IF(B2060="", "", XLOOKUP(B2060, Inventory!D:D,Inventory!E:E,"No Name Found"))</f>
        <v/>
      </c>
      <c r="D2060" s="6"/>
      <c r="E2060" s="6"/>
      <c r="F2060" s="6"/>
      <c r="G2060" s="24" t="str">
        <f>IF(F2060="", "", VLOOKUP(F2060, Inventory!A:BZ, 3, FALSE) - SUMIF($F$1:$F2059, F2060, $H$1:$H2059))
</f>
        <v/>
      </c>
      <c r="I2060" s="26"/>
      <c r="J2060" s="26" t="s">
        <v>77</v>
      </c>
      <c r="L2060" s="27" t="s">
        <v>77</v>
      </c>
      <c r="N2060" s="28" t="s">
        <v>77</v>
      </c>
      <c r="Q2060" s="30"/>
    </row>
    <row r="2061">
      <c r="B2061" s="6"/>
      <c r="C2061" s="33" t="str">
        <f t="array" ref="C2061">IF(B2061="", "", XLOOKUP(B2061, Inventory!D:D,Inventory!E:E,"No Name Found"))</f>
        <v/>
      </c>
      <c r="D2061" s="6"/>
      <c r="E2061" s="6"/>
      <c r="F2061" s="6"/>
      <c r="G2061" s="24" t="str">
        <f>IF(F2061="", "", VLOOKUP(F2061, Inventory!A:BZ, 3, FALSE) - SUMIF($F$1:$F2060, F2061, $H$1:$H2060))
</f>
        <v/>
      </c>
      <c r="I2061" s="26"/>
      <c r="J2061" s="26" t="s">
        <v>77</v>
      </c>
      <c r="L2061" s="27" t="s">
        <v>77</v>
      </c>
      <c r="N2061" s="28" t="s">
        <v>77</v>
      </c>
      <c r="Q2061" s="30"/>
    </row>
    <row r="2062">
      <c r="B2062" s="6"/>
      <c r="C2062" s="33" t="str">
        <f t="array" ref="C2062">IF(B2062="", "", XLOOKUP(B2062, Inventory!D:D,Inventory!E:E,"No Name Found"))</f>
        <v/>
      </c>
      <c r="D2062" s="6"/>
      <c r="E2062" s="6"/>
      <c r="F2062" s="6"/>
      <c r="G2062" s="24" t="str">
        <f>IF(F2062="", "", VLOOKUP(F2062, Inventory!A:BZ, 3, FALSE) - SUMIF($F$1:$F2061, F2062, $H$1:$H2061))
</f>
        <v/>
      </c>
      <c r="I2062" s="26"/>
      <c r="J2062" s="26" t="s">
        <v>77</v>
      </c>
      <c r="L2062" s="27" t="s">
        <v>77</v>
      </c>
      <c r="N2062" s="28" t="s">
        <v>77</v>
      </c>
      <c r="Q2062" s="30"/>
    </row>
    <row r="2063">
      <c r="B2063" s="6"/>
      <c r="C2063" s="33" t="str">
        <f t="array" ref="C2063">IF(B2063="", "", XLOOKUP(B2063, Inventory!D:D,Inventory!E:E,"No Name Found"))</f>
        <v/>
      </c>
      <c r="D2063" s="6"/>
      <c r="E2063" s="6"/>
      <c r="F2063" s="6"/>
      <c r="G2063" s="24" t="str">
        <f>IF(F2063="", "", VLOOKUP(F2063, Inventory!A:BZ, 3, FALSE) - SUMIF($F$1:$F2062, F2063, $H$1:$H2062))
</f>
        <v/>
      </c>
      <c r="I2063" s="26"/>
      <c r="J2063" s="26" t="s">
        <v>77</v>
      </c>
      <c r="L2063" s="27" t="s">
        <v>77</v>
      </c>
      <c r="N2063" s="28" t="s">
        <v>77</v>
      </c>
      <c r="Q2063" s="30"/>
    </row>
    <row r="2064">
      <c r="B2064" s="6"/>
      <c r="C2064" s="33" t="str">
        <f t="array" ref="C2064">IF(B2064="", "", XLOOKUP(B2064, Inventory!D:D,Inventory!E:E,"No Name Found"))</f>
        <v/>
      </c>
      <c r="D2064" s="6"/>
      <c r="E2064" s="6"/>
      <c r="F2064" s="6"/>
      <c r="G2064" s="24" t="str">
        <f>IF(F2064="", "", VLOOKUP(F2064, Inventory!A:BZ, 3, FALSE) - SUMIF($F$1:$F2063, F2064, $H$1:$H2063))
</f>
        <v/>
      </c>
      <c r="I2064" s="26"/>
      <c r="J2064" s="26" t="s">
        <v>77</v>
      </c>
      <c r="L2064" s="27" t="s">
        <v>77</v>
      </c>
      <c r="N2064" s="28" t="s">
        <v>77</v>
      </c>
      <c r="Q2064" s="30"/>
    </row>
    <row r="2065">
      <c r="B2065" s="6"/>
      <c r="C2065" s="33" t="str">
        <f t="array" ref="C2065">IF(B2065="", "", XLOOKUP(B2065, Inventory!D:D,Inventory!E:E,"No Name Found"))</f>
        <v/>
      </c>
      <c r="D2065" s="6"/>
      <c r="E2065" s="6"/>
      <c r="F2065" s="6"/>
      <c r="G2065" s="24" t="str">
        <f>IF(F2065="", "", VLOOKUP(F2065, Inventory!A:BZ, 3, FALSE) - SUMIF($F$1:$F2064, F2065, $H$1:$H2064))
</f>
        <v/>
      </c>
      <c r="I2065" s="26"/>
      <c r="J2065" s="26" t="s">
        <v>77</v>
      </c>
      <c r="L2065" s="27" t="s">
        <v>77</v>
      </c>
      <c r="N2065" s="28" t="s">
        <v>77</v>
      </c>
      <c r="Q2065" s="30"/>
    </row>
    <row r="2066">
      <c r="B2066" s="6"/>
      <c r="C2066" s="33" t="str">
        <f t="array" ref="C2066">IF(B2066="", "", XLOOKUP(B2066, Inventory!D:D,Inventory!E:E,"No Name Found"))</f>
        <v/>
      </c>
      <c r="D2066" s="6"/>
      <c r="E2066" s="6"/>
      <c r="F2066" s="6"/>
      <c r="G2066" s="24" t="str">
        <f>IF(F2066="", "", VLOOKUP(F2066, Inventory!A:BZ, 3, FALSE) - SUMIF($F$1:$F2065, F2066, $H$1:$H2065))
</f>
        <v/>
      </c>
      <c r="I2066" s="26"/>
      <c r="J2066" s="26" t="s">
        <v>77</v>
      </c>
      <c r="L2066" s="27" t="s">
        <v>77</v>
      </c>
      <c r="N2066" s="28" t="s">
        <v>77</v>
      </c>
      <c r="Q2066" s="30"/>
    </row>
    <row r="2067">
      <c r="B2067" s="6"/>
      <c r="C2067" s="33" t="str">
        <f t="array" ref="C2067">IF(B2067="", "", XLOOKUP(B2067, Inventory!D:D,Inventory!E:E,"No Name Found"))</f>
        <v/>
      </c>
      <c r="D2067" s="6"/>
      <c r="E2067" s="6"/>
      <c r="F2067" s="6"/>
      <c r="G2067" s="24" t="str">
        <f>IF(F2067="", "", VLOOKUP(F2067, Inventory!A:BZ, 3, FALSE) - SUMIF($F$1:$F2066, F2067, $H$1:$H2066))
</f>
        <v/>
      </c>
      <c r="I2067" s="26"/>
      <c r="J2067" s="26" t="s">
        <v>77</v>
      </c>
      <c r="L2067" s="27" t="s">
        <v>77</v>
      </c>
      <c r="N2067" s="28" t="s">
        <v>77</v>
      </c>
      <c r="Q2067" s="30"/>
    </row>
    <row r="2068">
      <c r="B2068" s="6"/>
      <c r="C2068" s="33" t="str">
        <f t="array" ref="C2068">IF(B2068="", "", XLOOKUP(B2068, Inventory!D:D,Inventory!E:E,"No Name Found"))</f>
        <v/>
      </c>
      <c r="D2068" s="6"/>
      <c r="E2068" s="6"/>
      <c r="F2068" s="6"/>
      <c r="G2068" s="24" t="str">
        <f>IF(F2068="", "", VLOOKUP(F2068, Inventory!A:BZ, 3, FALSE) - SUMIF($F$1:$F2067, F2068, $H$1:$H2067))
</f>
        <v/>
      </c>
      <c r="I2068" s="26"/>
      <c r="J2068" s="26" t="s">
        <v>77</v>
      </c>
      <c r="L2068" s="27" t="s">
        <v>77</v>
      </c>
      <c r="N2068" s="28" t="s">
        <v>77</v>
      </c>
      <c r="Q2068" s="30"/>
    </row>
    <row r="2069">
      <c r="B2069" s="6"/>
      <c r="C2069" s="33" t="str">
        <f t="array" ref="C2069">IF(B2069="", "", XLOOKUP(B2069, Inventory!D:D,Inventory!E:E,"No Name Found"))</f>
        <v/>
      </c>
      <c r="D2069" s="6"/>
      <c r="E2069" s="6"/>
      <c r="F2069" s="6"/>
      <c r="G2069" s="24" t="str">
        <f>IF(F2069="", "", VLOOKUP(F2069, Inventory!A:BZ, 3, FALSE) - SUMIF($F$1:$F2068, F2069, $H$1:$H2068))
</f>
        <v/>
      </c>
      <c r="I2069" s="26"/>
      <c r="J2069" s="26" t="s">
        <v>77</v>
      </c>
      <c r="L2069" s="27" t="s">
        <v>77</v>
      </c>
      <c r="N2069" s="28" t="s">
        <v>77</v>
      </c>
      <c r="Q2069" s="30"/>
    </row>
    <row r="2070">
      <c r="B2070" s="6"/>
      <c r="C2070" s="33" t="str">
        <f t="array" ref="C2070">IF(B2070="", "", XLOOKUP(B2070, Inventory!D:D,Inventory!E:E,"No Name Found"))</f>
        <v/>
      </c>
      <c r="D2070" s="6"/>
      <c r="E2070" s="6"/>
      <c r="F2070" s="6"/>
      <c r="G2070" s="24" t="str">
        <f>IF(F2070="", "", VLOOKUP(F2070, Inventory!A:BZ, 3, FALSE) - SUMIF($F$1:$F2069, F2070, $H$1:$H2069))
</f>
        <v/>
      </c>
      <c r="I2070" s="26"/>
      <c r="J2070" s="26" t="s">
        <v>77</v>
      </c>
      <c r="L2070" s="27" t="s">
        <v>77</v>
      </c>
      <c r="N2070" s="28" t="s">
        <v>77</v>
      </c>
      <c r="Q2070" s="30"/>
    </row>
    <row r="2071">
      <c r="B2071" s="6"/>
      <c r="C2071" s="33" t="str">
        <f t="array" ref="C2071">IF(B2071="", "", XLOOKUP(B2071, Inventory!D:D,Inventory!E:E,"No Name Found"))</f>
        <v/>
      </c>
      <c r="D2071" s="6"/>
      <c r="E2071" s="6"/>
      <c r="F2071" s="6"/>
      <c r="G2071" s="24" t="str">
        <f>IF(F2071="", "", VLOOKUP(F2071, Inventory!A:BZ, 3, FALSE) - SUMIF($F$1:$F2070, F2071, $H$1:$H2070))
</f>
        <v/>
      </c>
      <c r="I2071" s="26"/>
      <c r="J2071" s="26" t="s">
        <v>77</v>
      </c>
      <c r="L2071" s="27" t="s">
        <v>77</v>
      </c>
      <c r="N2071" s="28" t="s">
        <v>77</v>
      </c>
      <c r="Q2071" s="30"/>
    </row>
    <row r="2072">
      <c r="B2072" s="6"/>
      <c r="C2072" s="33" t="str">
        <f t="array" ref="C2072">IF(B2072="", "", XLOOKUP(B2072, Inventory!D:D,Inventory!E:E,"No Name Found"))</f>
        <v/>
      </c>
      <c r="D2072" s="6"/>
      <c r="E2072" s="6"/>
      <c r="F2072" s="6"/>
      <c r="G2072" s="24" t="str">
        <f>IF(F2072="", "", VLOOKUP(F2072, Inventory!A:BZ, 3, FALSE) - SUMIF($F$1:$F2071, F2072, $H$1:$H2071))
</f>
        <v/>
      </c>
      <c r="I2072" s="26"/>
      <c r="J2072" s="26" t="s">
        <v>77</v>
      </c>
      <c r="L2072" s="27" t="s">
        <v>77</v>
      </c>
      <c r="N2072" s="28" t="s">
        <v>77</v>
      </c>
      <c r="Q2072" s="30"/>
    </row>
    <row r="2073">
      <c r="B2073" s="6"/>
      <c r="C2073" s="33" t="str">
        <f t="array" ref="C2073">IF(B2073="", "", XLOOKUP(B2073, Inventory!D:D,Inventory!E:E,"No Name Found"))</f>
        <v/>
      </c>
      <c r="D2073" s="6"/>
      <c r="E2073" s="6"/>
      <c r="F2073" s="6"/>
      <c r="G2073" s="24" t="str">
        <f>IF(F2073="", "", VLOOKUP(F2073, Inventory!A:BZ, 3, FALSE) - SUMIF($F$1:$F2072, F2073, $H$1:$H2072))
</f>
        <v/>
      </c>
      <c r="I2073" s="26"/>
      <c r="J2073" s="26" t="s">
        <v>77</v>
      </c>
      <c r="L2073" s="27" t="s">
        <v>77</v>
      </c>
      <c r="N2073" s="28" t="s">
        <v>77</v>
      </c>
      <c r="Q2073" s="30"/>
    </row>
    <row r="2074">
      <c r="B2074" s="6"/>
      <c r="C2074" s="33" t="str">
        <f t="array" ref="C2074">IF(B2074="", "", XLOOKUP(B2074, Inventory!D:D,Inventory!E:E,"No Name Found"))</f>
        <v/>
      </c>
      <c r="D2074" s="6"/>
      <c r="E2074" s="6"/>
      <c r="F2074" s="6"/>
      <c r="G2074" s="24" t="str">
        <f>IF(F2074="", "", VLOOKUP(F2074, Inventory!A:BZ, 3, FALSE) - SUMIF($F$1:$F2073, F2074, $H$1:$H2073))
</f>
        <v/>
      </c>
      <c r="I2074" s="26"/>
      <c r="J2074" s="26" t="s">
        <v>77</v>
      </c>
      <c r="L2074" s="27" t="s">
        <v>77</v>
      </c>
      <c r="N2074" s="28" t="s">
        <v>77</v>
      </c>
      <c r="Q2074" s="30"/>
    </row>
    <row r="2075">
      <c r="B2075" s="6"/>
      <c r="C2075" s="33" t="str">
        <f t="array" ref="C2075">IF(B2075="", "", XLOOKUP(B2075, Inventory!D:D,Inventory!E:E,"No Name Found"))</f>
        <v/>
      </c>
      <c r="D2075" s="6"/>
      <c r="E2075" s="6"/>
      <c r="F2075" s="6"/>
      <c r="G2075" s="24" t="str">
        <f>IF(F2075="", "", VLOOKUP(F2075, Inventory!A:BZ, 3, FALSE) - SUMIF($F$1:$F2074, F2075, $H$1:$H2074))
</f>
        <v/>
      </c>
      <c r="I2075" s="26"/>
      <c r="J2075" s="26" t="s">
        <v>77</v>
      </c>
      <c r="L2075" s="27" t="s">
        <v>77</v>
      </c>
      <c r="N2075" s="28" t="s">
        <v>77</v>
      </c>
      <c r="Q2075" s="30"/>
    </row>
    <row r="2076">
      <c r="B2076" s="6"/>
      <c r="C2076" s="33" t="str">
        <f t="array" ref="C2076">IF(B2076="", "", XLOOKUP(B2076, Inventory!D:D,Inventory!E:E,"No Name Found"))</f>
        <v/>
      </c>
      <c r="D2076" s="6"/>
      <c r="E2076" s="6"/>
      <c r="F2076" s="6"/>
      <c r="G2076" s="24" t="str">
        <f>IF(F2076="", "", VLOOKUP(F2076, Inventory!A:BZ, 3, FALSE) - SUMIF($F$1:$F2075, F2076, $H$1:$H2075))
</f>
        <v/>
      </c>
      <c r="I2076" s="26"/>
      <c r="J2076" s="26" t="s">
        <v>77</v>
      </c>
      <c r="L2076" s="27" t="s">
        <v>77</v>
      </c>
      <c r="N2076" s="28" t="s">
        <v>77</v>
      </c>
      <c r="Q2076" s="30"/>
    </row>
    <row r="2077">
      <c r="B2077" s="6"/>
      <c r="C2077" s="33" t="str">
        <f t="array" ref="C2077">IF(B2077="", "", XLOOKUP(B2077, Inventory!D:D,Inventory!E:E,"No Name Found"))</f>
        <v/>
      </c>
      <c r="D2077" s="6"/>
      <c r="E2077" s="6"/>
      <c r="F2077" s="6"/>
      <c r="G2077" s="24" t="str">
        <f>IF(F2077="", "", VLOOKUP(F2077, Inventory!A:BZ, 3, FALSE) - SUMIF($F$1:$F2076, F2077, $H$1:$H2076))
</f>
        <v/>
      </c>
      <c r="I2077" s="26"/>
      <c r="J2077" s="26" t="s">
        <v>77</v>
      </c>
      <c r="L2077" s="27" t="s">
        <v>77</v>
      </c>
      <c r="N2077" s="28" t="s">
        <v>77</v>
      </c>
      <c r="Q2077" s="30"/>
    </row>
    <row r="2078">
      <c r="B2078" s="6"/>
      <c r="C2078" s="33" t="str">
        <f t="array" ref="C2078">IF(B2078="", "", XLOOKUP(B2078, Inventory!D:D,Inventory!E:E,"No Name Found"))</f>
        <v/>
      </c>
      <c r="D2078" s="6"/>
      <c r="E2078" s="6"/>
      <c r="F2078" s="6"/>
      <c r="G2078" s="24" t="str">
        <f>IF(F2078="", "", VLOOKUP(F2078, Inventory!A:BZ, 3, FALSE) - SUMIF($F$1:$F2077, F2078, $H$1:$H2077))
</f>
        <v/>
      </c>
      <c r="I2078" s="26"/>
      <c r="J2078" s="26" t="s">
        <v>77</v>
      </c>
      <c r="L2078" s="27" t="s">
        <v>77</v>
      </c>
      <c r="N2078" s="28" t="s">
        <v>77</v>
      </c>
      <c r="Q2078" s="30"/>
    </row>
    <row r="2079">
      <c r="B2079" s="6"/>
      <c r="C2079" s="33" t="str">
        <f t="array" ref="C2079">IF(B2079="", "", XLOOKUP(B2079, Inventory!D:D,Inventory!E:E,"No Name Found"))</f>
        <v/>
      </c>
      <c r="D2079" s="6"/>
      <c r="E2079" s="6"/>
      <c r="F2079" s="6"/>
      <c r="G2079" s="24" t="str">
        <f>IF(F2079="", "", VLOOKUP(F2079, Inventory!A:BZ, 3, FALSE) - SUMIF($F$1:$F2078, F2079, $H$1:$H2078))
</f>
        <v/>
      </c>
      <c r="I2079" s="26"/>
      <c r="J2079" s="26" t="s">
        <v>77</v>
      </c>
      <c r="L2079" s="27" t="s">
        <v>77</v>
      </c>
      <c r="N2079" s="28" t="s">
        <v>77</v>
      </c>
      <c r="Q2079" s="30"/>
    </row>
    <row r="2080">
      <c r="B2080" s="6"/>
      <c r="C2080" s="33" t="str">
        <f t="array" ref="C2080">IF(B2080="", "", XLOOKUP(B2080, Inventory!D:D,Inventory!E:E,"No Name Found"))</f>
        <v/>
      </c>
      <c r="D2080" s="6"/>
      <c r="E2080" s="6"/>
      <c r="F2080" s="6"/>
      <c r="G2080" s="24" t="str">
        <f>IF(F2080="", "", VLOOKUP(F2080, Inventory!A:BZ, 3, FALSE) - SUMIF($F$1:$F2079, F2080, $H$1:$H2079))
</f>
        <v/>
      </c>
      <c r="I2080" s="26"/>
      <c r="J2080" s="26" t="s">
        <v>77</v>
      </c>
      <c r="L2080" s="27" t="s">
        <v>77</v>
      </c>
      <c r="N2080" s="28" t="s">
        <v>77</v>
      </c>
      <c r="Q2080" s="30"/>
    </row>
    <row r="2081">
      <c r="B2081" s="6"/>
      <c r="C2081" s="33" t="str">
        <f t="array" ref="C2081">IF(B2081="", "", XLOOKUP(B2081, Inventory!D:D,Inventory!E:E,"No Name Found"))</f>
        <v/>
      </c>
      <c r="D2081" s="6"/>
      <c r="E2081" s="6"/>
      <c r="F2081" s="6"/>
      <c r="G2081" s="24" t="str">
        <f>IF(F2081="", "", VLOOKUP(F2081, Inventory!A:BZ, 3, FALSE) - SUMIF($F$1:$F2080, F2081, $H$1:$H2080))
</f>
        <v/>
      </c>
      <c r="I2081" s="26"/>
      <c r="J2081" s="26" t="s">
        <v>77</v>
      </c>
      <c r="L2081" s="27" t="s">
        <v>77</v>
      </c>
      <c r="N2081" s="28" t="s">
        <v>77</v>
      </c>
      <c r="Q2081" s="30"/>
    </row>
    <row r="2082">
      <c r="B2082" s="6"/>
      <c r="C2082" s="33" t="str">
        <f t="array" ref="C2082">IF(B2082="", "", XLOOKUP(B2082, Inventory!D:D,Inventory!E:E,"No Name Found"))</f>
        <v/>
      </c>
      <c r="D2082" s="6"/>
      <c r="E2082" s="6"/>
      <c r="F2082" s="6"/>
      <c r="G2082" s="24" t="str">
        <f>IF(F2082="", "", VLOOKUP(F2082, Inventory!A:BZ, 3, FALSE) - SUMIF($F$1:$F2081, F2082, $H$1:$H2081))
</f>
        <v/>
      </c>
      <c r="I2082" s="26"/>
      <c r="J2082" s="26" t="s">
        <v>77</v>
      </c>
      <c r="L2082" s="27" t="s">
        <v>77</v>
      </c>
      <c r="N2082" s="28" t="s">
        <v>77</v>
      </c>
      <c r="Q2082" s="30"/>
    </row>
    <row r="2083">
      <c r="B2083" s="6"/>
      <c r="C2083" s="33" t="str">
        <f t="array" ref="C2083">IF(B2083="", "", XLOOKUP(B2083, Inventory!D:D,Inventory!E:E,"No Name Found"))</f>
        <v/>
      </c>
      <c r="D2083" s="6"/>
      <c r="E2083" s="6"/>
      <c r="F2083" s="6"/>
      <c r="G2083" s="24" t="str">
        <f>IF(F2083="", "", VLOOKUP(F2083, Inventory!A:BZ, 3, FALSE) - SUMIF($F$1:$F2082, F2083, $H$1:$H2082))
</f>
        <v/>
      </c>
      <c r="I2083" s="26"/>
      <c r="J2083" s="26" t="s">
        <v>77</v>
      </c>
      <c r="L2083" s="27" t="s">
        <v>77</v>
      </c>
      <c r="N2083" s="28" t="s">
        <v>77</v>
      </c>
      <c r="Q2083" s="30"/>
    </row>
    <row r="2084">
      <c r="B2084" s="6"/>
      <c r="C2084" s="33" t="str">
        <f t="array" ref="C2084">IF(B2084="", "", XLOOKUP(B2084, Inventory!D:D,Inventory!E:E,"No Name Found"))</f>
        <v/>
      </c>
      <c r="D2084" s="6"/>
      <c r="E2084" s="6"/>
      <c r="F2084" s="6"/>
      <c r="G2084" s="24" t="str">
        <f>IF(F2084="", "", VLOOKUP(F2084, Inventory!A:BZ, 3, FALSE) - SUMIF($F$1:$F2083, F2084, $H$1:$H2083))
</f>
        <v/>
      </c>
      <c r="I2084" s="26"/>
      <c r="J2084" s="26" t="s">
        <v>77</v>
      </c>
      <c r="L2084" s="27" t="s">
        <v>77</v>
      </c>
      <c r="N2084" s="28" t="s">
        <v>77</v>
      </c>
      <c r="Q2084" s="30"/>
    </row>
    <row r="2085">
      <c r="B2085" s="6"/>
      <c r="C2085" s="33" t="str">
        <f t="array" ref="C2085">IF(B2085="", "", XLOOKUP(B2085, Inventory!D:D,Inventory!E:E,"No Name Found"))</f>
        <v/>
      </c>
      <c r="D2085" s="6"/>
      <c r="E2085" s="6"/>
      <c r="F2085" s="6"/>
      <c r="G2085" s="24" t="str">
        <f>IF(F2085="", "", VLOOKUP(F2085, Inventory!A:BZ, 3, FALSE) - SUMIF($F$1:$F2084, F2085, $H$1:$H2084))
</f>
        <v/>
      </c>
      <c r="I2085" s="26"/>
      <c r="J2085" s="26" t="s">
        <v>77</v>
      </c>
      <c r="L2085" s="27" t="s">
        <v>77</v>
      </c>
      <c r="N2085" s="28" t="s">
        <v>77</v>
      </c>
      <c r="Q2085" s="30"/>
    </row>
    <row r="2086">
      <c r="B2086" s="6"/>
      <c r="C2086" s="33" t="str">
        <f t="array" ref="C2086">IF(B2086="", "", XLOOKUP(B2086, Inventory!D:D,Inventory!E:E,"No Name Found"))</f>
        <v/>
      </c>
      <c r="D2086" s="6"/>
      <c r="E2086" s="6"/>
      <c r="F2086" s="6"/>
      <c r="G2086" s="24" t="str">
        <f>IF(F2086="", "", VLOOKUP(F2086, Inventory!A:BZ, 3, FALSE) - SUMIF($F$1:$F2085, F2086, $H$1:$H2085))
</f>
        <v/>
      </c>
      <c r="I2086" s="26"/>
      <c r="J2086" s="26" t="s">
        <v>77</v>
      </c>
      <c r="L2086" s="27" t="s">
        <v>77</v>
      </c>
      <c r="N2086" s="28" t="s">
        <v>77</v>
      </c>
      <c r="Q2086" s="30"/>
    </row>
    <row r="2087">
      <c r="B2087" s="6"/>
      <c r="C2087" s="33" t="str">
        <f t="array" ref="C2087">IF(B2087="", "", XLOOKUP(B2087, Inventory!D:D,Inventory!E:E,"No Name Found"))</f>
        <v/>
      </c>
      <c r="D2087" s="6"/>
      <c r="E2087" s="6"/>
      <c r="F2087" s="6"/>
      <c r="G2087" s="24" t="str">
        <f>IF(F2087="", "", VLOOKUP(F2087, Inventory!A:BZ, 3, FALSE) - SUMIF($F$1:$F2086, F2087, $H$1:$H2086))
</f>
        <v/>
      </c>
      <c r="I2087" s="26"/>
      <c r="J2087" s="26" t="s">
        <v>77</v>
      </c>
      <c r="L2087" s="27" t="s">
        <v>77</v>
      </c>
      <c r="N2087" s="28" t="s">
        <v>77</v>
      </c>
      <c r="Q2087" s="30"/>
    </row>
    <row r="2088">
      <c r="B2088" s="6"/>
      <c r="C2088" s="33" t="str">
        <f t="array" ref="C2088">IF(B2088="", "", XLOOKUP(B2088, Inventory!D:D,Inventory!E:E,"No Name Found"))</f>
        <v/>
      </c>
      <c r="D2088" s="6"/>
      <c r="E2088" s="6"/>
      <c r="F2088" s="6"/>
      <c r="G2088" s="24" t="str">
        <f>IF(F2088="", "", VLOOKUP(F2088, Inventory!A:BZ, 3, FALSE) - SUMIF($F$1:$F2087, F2088, $H$1:$H2087))
</f>
        <v/>
      </c>
      <c r="I2088" s="26"/>
      <c r="J2088" s="26" t="s">
        <v>77</v>
      </c>
      <c r="L2088" s="27" t="s">
        <v>77</v>
      </c>
      <c r="N2088" s="28" t="s">
        <v>77</v>
      </c>
      <c r="Q2088" s="30"/>
    </row>
    <row r="2089">
      <c r="B2089" s="6"/>
      <c r="C2089" s="33" t="str">
        <f t="array" ref="C2089">IF(B2089="", "", XLOOKUP(B2089, Inventory!D:D,Inventory!E:E,"No Name Found"))</f>
        <v/>
      </c>
      <c r="D2089" s="6"/>
      <c r="E2089" s="6"/>
      <c r="F2089" s="6"/>
      <c r="G2089" s="24" t="str">
        <f>IF(F2089="", "", VLOOKUP(F2089, Inventory!A:BZ, 3, FALSE) - SUMIF($F$1:$F2088, F2089, $H$1:$H2088))
</f>
        <v/>
      </c>
      <c r="I2089" s="26"/>
      <c r="J2089" s="26" t="s">
        <v>77</v>
      </c>
      <c r="L2089" s="27" t="s">
        <v>77</v>
      </c>
      <c r="N2089" s="28" t="s">
        <v>77</v>
      </c>
      <c r="Q2089" s="30"/>
    </row>
    <row r="2090">
      <c r="B2090" s="6"/>
      <c r="C2090" s="33" t="str">
        <f t="array" ref="C2090">IF(B2090="", "", XLOOKUP(B2090, Inventory!D:D,Inventory!E:E,"No Name Found"))</f>
        <v/>
      </c>
      <c r="D2090" s="6"/>
      <c r="E2090" s="6"/>
      <c r="F2090" s="6"/>
      <c r="G2090" s="24" t="str">
        <f>IF(F2090="", "", VLOOKUP(F2090, Inventory!A:BZ, 3, FALSE) - SUMIF($F$1:$F2089, F2090, $H$1:$H2089))
</f>
        <v/>
      </c>
      <c r="I2090" s="26"/>
      <c r="J2090" s="26" t="s">
        <v>77</v>
      </c>
      <c r="L2090" s="27" t="s">
        <v>77</v>
      </c>
      <c r="N2090" s="28" t="s">
        <v>77</v>
      </c>
      <c r="Q2090" s="30"/>
    </row>
    <row r="2091">
      <c r="B2091" s="6"/>
      <c r="C2091" s="33" t="str">
        <f t="array" ref="C2091">IF(B2091="", "", XLOOKUP(B2091, Inventory!D:D,Inventory!E:E,"No Name Found"))</f>
        <v/>
      </c>
      <c r="D2091" s="6"/>
      <c r="E2091" s="6"/>
      <c r="F2091" s="6"/>
      <c r="G2091" s="24" t="str">
        <f>IF(F2091="", "", VLOOKUP(F2091, Inventory!A:BZ, 3, FALSE) - SUMIF($F$1:$F2090, F2091, $H$1:$H2090))
</f>
        <v/>
      </c>
      <c r="I2091" s="26"/>
      <c r="J2091" s="26" t="s">
        <v>77</v>
      </c>
      <c r="L2091" s="27" t="s">
        <v>77</v>
      </c>
      <c r="N2091" s="28" t="s">
        <v>77</v>
      </c>
      <c r="Q2091" s="30"/>
    </row>
    <row r="2092">
      <c r="B2092" s="6"/>
      <c r="C2092" s="33" t="str">
        <f t="array" ref="C2092">IF(B2092="", "", XLOOKUP(B2092, Inventory!D:D,Inventory!E:E,"No Name Found"))</f>
        <v/>
      </c>
      <c r="D2092" s="6"/>
      <c r="E2092" s="6"/>
      <c r="F2092" s="6"/>
      <c r="G2092" s="24" t="str">
        <f>IF(F2092="", "", VLOOKUP(F2092, Inventory!A:BZ, 3, FALSE) - SUMIF($F$1:$F2091, F2092, $H$1:$H2091))
</f>
        <v/>
      </c>
      <c r="I2092" s="26"/>
      <c r="J2092" s="26" t="s">
        <v>77</v>
      </c>
      <c r="L2092" s="27" t="s">
        <v>77</v>
      </c>
      <c r="N2092" s="28" t="s">
        <v>77</v>
      </c>
      <c r="Q2092" s="30"/>
    </row>
    <row r="2093">
      <c r="B2093" s="6"/>
      <c r="C2093" s="33" t="str">
        <f t="array" ref="C2093">IF(B2093="", "", XLOOKUP(B2093, Inventory!D:D,Inventory!E:E,"No Name Found"))</f>
        <v/>
      </c>
      <c r="D2093" s="6"/>
      <c r="E2093" s="6"/>
      <c r="F2093" s="6"/>
      <c r="G2093" s="24" t="str">
        <f>IF(F2093="", "", VLOOKUP(F2093, Inventory!A:BZ, 3, FALSE) - SUMIF($F$1:$F2092, F2093, $H$1:$H2092))
</f>
        <v/>
      </c>
      <c r="I2093" s="26"/>
      <c r="J2093" s="26" t="s">
        <v>77</v>
      </c>
      <c r="L2093" s="27" t="s">
        <v>77</v>
      </c>
      <c r="N2093" s="28" t="s">
        <v>77</v>
      </c>
      <c r="Q2093" s="30"/>
    </row>
    <row r="2094">
      <c r="B2094" s="6"/>
      <c r="C2094" s="33" t="str">
        <f t="array" ref="C2094">IF(B2094="", "", XLOOKUP(B2094, Inventory!D:D,Inventory!E:E,"No Name Found"))</f>
        <v/>
      </c>
      <c r="D2094" s="6"/>
      <c r="E2094" s="6"/>
      <c r="F2094" s="6"/>
      <c r="G2094" s="24" t="str">
        <f>IF(F2094="", "", VLOOKUP(F2094, Inventory!A:BZ, 3, FALSE) - SUMIF($F$1:$F2093, F2094, $H$1:$H2093))
</f>
        <v/>
      </c>
      <c r="I2094" s="26"/>
      <c r="J2094" s="26" t="s">
        <v>77</v>
      </c>
      <c r="L2094" s="27" t="s">
        <v>77</v>
      </c>
      <c r="N2094" s="28" t="s">
        <v>77</v>
      </c>
      <c r="Q2094" s="30"/>
    </row>
    <row r="2095">
      <c r="B2095" s="6"/>
      <c r="C2095" s="33" t="str">
        <f t="array" ref="C2095">IF(B2095="", "", XLOOKUP(B2095, Inventory!D:D,Inventory!E:E,"No Name Found"))</f>
        <v/>
      </c>
      <c r="D2095" s="6"/>
      <c r="E2095" s="6"/>
      <c r="F2095" s="6"/>
      <c r="G2095" s="24" t="str">
        <f>IF(F2095="", "", VLOOKUP(F2095, Inventory!A:BZ, 3, FALSE) - SUMIF($F$1:$F2094, F2095, $H$1:$H2094))
</f>
        <v/>
      </c>
      <c r="I2095" s="26"/>
      <c r="J2095" s="26" t="s">
        <v>77</v>
      </c>
      <c r="L2095" s="27" t="s">
        <v>77</v>
      </c>
      <c r="N2095" s="28" t="s">
        <v>77</v>
      </c>
      <c r="Q2095" s="30"/>
    </row>
    <row r="2096">
      <c r="B2096" s="6"/>
      <c r="C2096" s="33" t="str">
        <f t="array" ref="C2096">IF(B2096="", "", XLOOKUP(B2096, Inventory!D:D,Inventory!E:E,"No Name Found"))</f>
        <v/>
      </c>
      <c r="D2096" s="6"/>
      <c r="E2096" s="6"/>
      <c r="F2096" s="6"/>
      <c r="G2096" s="24" t="str">
        <f>IF(F2096="", "", VLOOKUP(F2096, Inventory!A:BZ, 3, FALSE) - SUMIF($F$1:$F2095, F2096, $H$1:$H2095))
</f>
        <v/>
      </c>
      <c r="I2096" s="26"/>
      <c r="J2096" s="26" t="s">
        <v>77</v>
      </c>
      <c r="L2096" s="27" t="s">
        <v>77</v>
      </c>
      <c r="N2096" s="28" t="s">
        <v>77</v>
      </c>
      <c r="Q2096" s="30"/>
    </row>
    <row r="2097">
      <c r="B2097" s="6"/>
      <c r="C2097" s="33" t="str">
        <f t="array" ref="C2097">IF(B2097="", "", XLOOKUP(B2097, Inventory!D:D,Inventory!E:E,"No Name Found"))</f>
        <v/>
      </c>
      <c r="D2097" s="6"/>
      <c r="E2097" s="6"/>
      <c r="F2097" s="6"/>
      <c r="G2097" s="24" t="str">
        <f>IF(F2097="", "", VLOOKUP(F2097, Inventory!A:BZ, 3, FALSE) - SUMIF($F$1:$F2096, F2097, $H$1:$H2096))
</f>
        <v/>
      </c>
      <c r="I2097" s="26"/>
      <c r="J2097" s="26" t="s">
        <v>77</v>
      </c>
      <c r="L2097" s="27" t="s">
        <v>77</v>
      </c>
      <c r="N2097" s="28" t="s">
        <v>77</v>
      </c>
      <c r="Q2097" s="30"/>
    </row>
    <row r="2098">
      <c r="B2098" s="6"/>
      <c r="C2098" s="33" t="str">
        <f t="array" ref="C2098">IF(B2098="", "", XLOOKUP(B2098, Inventory!D:D,Inventory!E:E,"No Name Found"))</f>
        <v/>
      </c>
      <c r="D2098" s="6"/>
      <c r="E2098" s="6"/>
      <c r="F2098" s="6"/>
      <c r="G2098" s="24" t="str">
        <f>IF(F2098="", "", VLOOKUP(F2098, Inventory!A:BZ, 3, FALSE) - SUMIF($F$1:$F2097, F2098, $H$1:$H2097))
</f>
        <v/>
      </c>
      <c r="I2098" s="26"/>
      <c r="J2098" s="26" t="s">
        <v>77</v>
      </c>
      <c r="L2098" s="27" t="s">
        <v>77</v>
      </c>
      <c r="N2098" s="28" t="s">
        <v>77</v>
      </c>
      <c r="Q2098" s="30"/>
    </row>
    <row r="2099">
      <c r="B2099" s="6"/>
      <c r="C2099" s="33" t="str">
        <f t="array" ref="C2099">IF(B2099="", "", XLOOKUP(B2099, Inventory!D:D,Inventory!E:E,"No Name Found"))</f>
        <v/>
      </c>
      <c r="D2099" s="6"/>
      <c r="E2099" s="6"/>
      <c r="F2099" s="6"/>
      <c r="G2099" s="24" t="str">
        <f>IF(F2099="", "", VLOOKUP(F2099, Inventory!A:BZ, 3, FALSE) - SUMIF($F$1:$F2098, F2099, $H$1:$H2098))
</f>
        <v/>
      </c>
      <c r="I2099" s="26"/>
      <c r="J2099" s="26" t="s">
        <v>77</v>
      </c>
      <c r="L2099" s="27" t="s">
        <v>77</v>
      </c>
      <c r="N2099" s="28" t="s">
        <v>77</v>
      </c>
      <c r="Q2099" s="30"/>
    </row>
    <row r="2100">
      <c r="B2100" s="6"/>
      <c r="C2100" s="33" t="str">
        <f t="array" ref="C2100">IF(B2100="", "", XLOOKUP(B2100, Inventory!D:D,Inventory!E:E,"No Name Found"))</f>
        <v/>
      </c>
      <c r="D2100" s="6"/>
      <c r="E2100" s="6"/>
      <c r="F2100" s="6"/>
      <c r="G2100" s="24" t="str">
        <f>IF(F2100="", "", VLOOKUP(F2100, Inventory!A:BZ, 3, FALSE) - SUMIF($F$1:$F2099, F2100, $H$1:$H2099))
</f>
        <v/>
      </c>
      <c r="I2100" s="26"/>
      <c r="J2100" s="26" t="s">
        <v>77</v>
      </c>
      <c r="L2100" s="27" t="s">
        <v>77</v>
      </c>
      <c r="N2100" s="28" t="s">
        <v>77</v>
      </c>
      <c r="Q2100" s="30"/>
    </row>
    <row r="2101">
      <c r="B2101" s="6"/>
      <c r="C2101" s="33" t="str">
        <f t="array" ref="C2101">IF(B2101="", "", XLOOKUP(B2101, Inventory!D:D,Inventory!E:E,"No Name Found"))</f>
        <v/>
      </c>
      <c r="D2101" s="6"/>
      <c r="E2101" s="6"/>
      <c r="F2101" s="6"/>
      <c r="G2101" s="24" t="str">
        <f>IF(F2101="", "", VLOOKUP(F2101, Inventory!A:BZ, 3, FALSE) - SUMIF($F$1:$F2100, F2101, $H$1:$H2100))
</f>
        <v/>
      </c>
      <c r="I2101" s="26"/>
      <c r="J2101" s="26" t="s">
        <v>77</v>
      </c>
      <c r="L2101" s="27" t="s">
        <v>77</v>
      </c>
      <c r="N2101" s="28" t="s">
        <v>77</v>
      </c>
      <c r="Q2101" s="30"/>
    </row>
    <row r="2102">
      <c r="B2102" s="6"/>
      <c r="C2102" s="33" t="str">
        <f t="array" ref="C2102">IF(B2102="", "", XLOOKUP(B2102, Inventory!D:D,Inventory!E:E,"No Name Found"))</f>
        <v/>
      </c>
      <c r="D2102" s="6"/>
      <c r="E2102" s="6"/>
      <c r="F2102" s="6"/>
      <c r="G2102" s="24" t="str">
        <f>IF(F2102="", "", VLOOKUP(F2102, Inventory!A:BZ, 3, FALSE) - SUMIF($F$1:$F2101, F2102, $H$1:$H2101))
</f>
        <v/>
      </c>
      <c r="I2102" s="26"/>
      <c r="J2102" s="26" t="s">
        <v>77</v>
      </c>
      <c r="L2102" s="27" t="s">
        <v>77</v>
      </c>
      <c r="N2102" s="28" t="s">
        <v>77</v>
      </c>
      <c r="Q2102" s="30"/>
    </row>
    <row r="2103">
      <c r="B2103" s="6"/>
      <c r="C2103" s="33" t="str">
        <f t="array" ref="C2103">IF(B2103="", "", XLOOKUP(B2103, Inventory!D:D,Inventory!E:E,"No Name Found"))</f>
        <v/>
      </c>
      <c r="D2103" s="6"/>
      <c r="E2103" s="6"/>
      <c r="F2103" s="6"/>
      <c r="G2103" s="24" t="str">
        <f>IF(F2103="", "", VLOOKUP(F2103, Inventory!A:BZ, 3, FALSE) - SUMIF($F$1:$F2102, F2103, $H$1:$H2102))
</f>
        <v/>
      </c>
      <c r="I2103" s="26"/>
      <c r="J2103" s="26" t="s">
        <v>77</v>
      </c>
      <c r="L2103" s="27" t="s">
        <v>77</v>
      </c>
      <c r="N2103" s="28" t="s">
        <v>77</v>
      </c>
      <c r="Q2103" s="30"/>
    </row>
    <row r="2104">
      <c r="B2104" s="6"/>
      <c r="C2104" s="33" t="str">
        <f t="array" ref="C2104">IF(B2104="", "", XLOOKUP(B2104, Inventory!D:D,Inventory!E:E,"No Name Found"))</f>
        <v/>
      </c>
      <c r="D2104" s="6"/>
      <c r="E2104" s="6"/>
      <c r="F2104" s="6"/>
      <c r="G2104" s="24" t="str">
        <f>IF(F2104="", "", VLOOKUP(F2104, Inventory!A:BZ, 3, FALSE) - SUMIF($F$1:$F2103, F2104, $H$1:$H2103))
</f>
        <v/>
      </c>
      <c r="I2104" s="26"/>
      <c r="J2104" s="26" t="s">
        <v>77</v>
      </c>
      <c r="L2104" s="27" t="s">
        <v>77</v>
      </c>
      <c r="N2104" s="28" t="s">
        <v>77</v>
      </c>
      <c r="Q2104" s="30"/>
    </row>
    <row r="2105">
      <c r="B2105" s="6"/>
      <c r="C2105" s="33" t="str">
        <f t="array" ref="C2105">IF(B2105="", "", XLOOKUP(B2105, Inventory!D:D,Inventory!E:E,"No Name Found"))</f>
        <v/>
      </c>
      <c r="D2105" s="6"/>
      <c r="E2105" s="6"/>
      <c r="F2105" s="6"/>
      <c r="G2105" s="24" t="str">
        <f>IF(F2105="", "", VLOOKUP(F2105, Inventory!A:BZ, 3, FALSE) - SUMIF($F$1:$F2104, F2105, $H$1:$H2104))
</f>
        <v/>
      </c>
      <c r="I2105" s="26"/>
      <c r="J2105" s="26" t="s">
        <v>77</v>
      </c>
      <c r="L2105" s="27" t="s">
        <v>77</v>
      </c>
      <c r="N2105" s="28" t="s">
        <v>77</v>
      </c>
      <c r="Q2105" s="30"/>
    </row>
    <row r="2106">
      <c r="B2106" s="6"/>
      <c r="C2106" s="33" t="str">
        <f t="array" ref="C2106">IF(B2106="", "", XLOOKUP(B2106, Inventory!D:D,Inventory!E:E,"No Name Found"))</f>
        <v/>
      </c>
      <c r="D2106" s="6"/>
      <c r="E2106" s="6"/>
      <c r="F2106" s="6"/>
      <c r="G2106" s="24" t="str">
        <f>IF(F2106="", "", VLOOKUP(F2106, Inventory!A:BZ, 3, FALSE) - SUMIF($F$1:$F2105, F2106, $H$1:$H2105))
</f>
        <v/>
      </c>
      <c r="I2106" s="26"/>
      <c r="J2106" s="26" t="s">
        <v>77</v>
      </c>
      <c r="L2106" s="27" t="s">
        <v>77</v>
      </c>
      <c r="N2106" s="28" t="s">
        <v>77</v>
      </c>
      <c r="Q2106" s="30"/>
    </row>
    <row r="2107">
      <c r="B2107" s="6"/>
      <c r="C2107" s="33" t="str">
        <f t="array" ref="C2107">IF(B2107="", "", XLOOKUP(B2107, Inventory!D:D,Inventory!E:E,"No Name Found"))</f>
        <v/>
      </c>
      <c r="D2107" s="6"/>
      <c r="E2107" s="6"/>
      <c r="F2107" s="6"/>
      <c r="G2107" s="24" t="str">
        <f>IF(F2107="", "", VLOOKUP(F2107, Inventory!A:BZ, 3, FALSE) - SUMIF($F$1:$F2106, F2107, $H$1:$H2106))
</f>
        <v/>
      </c>
      <c r="I2107" s="26"/>
      <c r="J2107" s="26" t="s">
        <v>77</v>
      </c>
      <c r="L2107" s="27" t="s">
        <v>77</v>
      </c>
      <c r="N2107" s="28" t="s">
        <v>77</v>
      </c>
      <c r="Q2107" s="30"/>
    </row>
    <row r="2108">
      <c r="B2108" s="6"/>
      <c r="C2108" s="33" t="str">
        <f t="array" ref="C2108">IF(B2108="", "", XLOOKUP(B2108, Inventory!D:D,Inventory!E:E,"No Name Found"))</f>
        <v/>
      </c>
      <c r="D2108" s="6"/>
      <c r="E2108" s="6"/>
      <c r="F2108" s="6"/>
      <c r="G2108" s="24" t="str">
        <f>IF(F2108="", "", VLOOKUP(F2108, Inventory!A:BZ, 3, FALSE) - SUMIF($F$1:$F2107, F2108, $H$1:$H2107))
</f>
        <v/>
      </c>
      <c r="I2108" s="26"/>
      <c r="J2108" s="26" t="s">
        <v>77</v>
      </c>
      <c r="L2108" s="27" t="s">
        <v>77</v>
      </c>
      <c r="N2108" s="28" t="s">
        <v>77</v>
      </c>
      <c r="Q2108" s="30"/>
    </row>
    <row r="2109">
      <c r="B2109" s="6"/>
      <c r="C2109" s="33" t="str">
        <f t="array" ref="C2109">IF(B2109="", "", XLOOKUP(B2109, Inventory!D:D,Inventory!E:E,"No Name Found"))</f>
        <v/>
      </c>
      <c r="D2109" s="6"/>
      <c r="E2109" s="6"/>
      <c r="F2109" s="6"/>
      <c r="G2109" s="24" t="str">
        <f>IF(F2109="", "", VLOOKUP(F2109, Inventory!A:BZ, 3, FALSE) - SUMIF($F$1:$F2108, F2109, $H$1:$H2108))
</f>
        <v/>
      </c>
      <c r="I2109" s="26"/>
      <c r="J2109" s="26" t="s">
        <v>77</v>
      </c>
      <c r="L2109" s="27" t="s">
        <v>77</v>
      </c>
      <c r="N2109" s="28" t="s">
        <v>77</v>
      </c>
      <c r="Q2109" s="30"/>
    </row>
    <row r="2110">
      <c r="B2110" s="6"/>
      <c r="C2110" s="33" t="str">
        <f t="array" ref="C2110">IF(B2110="", "", XLOOKUP(B2110, Inventory!D:D,Inventory!E:E,"No Name Found"))</f>
        <v/>
      </c>
      <c r="D2110" s="6"/>
      <c r="E2110" s="6"/>
      <c r="F2110" s="6"/>
      <c r="G2110" s="24" t="str">
        <f>IF(F2110="", "", VLOOKUP(F2110, Inventory!A:BZ, 3, FALSE) - SUMIF($F$1:$F2109, F2110, $H$1:$H2109))
</f>
        <v/>
      </c>
      <c r="I2110" s="26"/>
      <c r="J2110" s="26" t="s">
        <v>77</v>
      </c>
      <c r="L2110" s="27" t="s">
        <v>77</v>
      </c>
      <c r="N2110" s="28" t="s">
        <v>77</v>
      </c>
      <c r="Q2110" s="30"/>
    </row>
    <row r="2111">
      <c r="B2111" s="6"/>
      <c r="C2111" s="33" t="str">
        <f t="array" ref="C2111">IF(B2111="", "", XLOOKUP(B2111, Inventory!D:D,Inventory!E:E,"No Name Found"))</f>
        <v/>
      </c>
      <c r="D2111" s="6"/>
      <c r="E2111" s="6"/>
      <c r="F2111" s="6"/>
      <c r="G2111" s="24" t="str">
        <f>IF(F2111="", "", VLOOKUP(F2111, Inventory!A:BZ, 3, FALSE) - SUMIF($F$1:$F2110, F2111, $H$1:$H2110))
</f>
        <v/>
      </c>
      <c r="I2111" s="26"/>
      <c r="J2111" s="26" t="s">
        <v>77</v>
      </c>
      <c r="L2111" s="27" t="s">
        <v>77</v>
      </c>
      <c r="N2111" s="28" t="s">
        <v>77</v>
      </c>
      <c r="Q2111" s="30"/>
    </row>
    <row r="2112">
      <c r="B2112" s="6"/>
      <c r="C2112" s="33" t="str">
        <f t="array" ref="C2112">IF(B2112="", "", XLOOKUP(B2112, Inventory!D:D,Inventory!E:E,"No Name Found"))</f>
        <v/>
      </c>
      <c r="D2112" s="6"/>
      <c r="E2112" s="6"/>
      <c r="F2112" s="6"/>
      <c r="G2112" s="24" t="str">
        <f>IF(F2112="", "", VLOOKUP(F2112, Inventory!A:BZ, 3, FALSE) - SUMIF($F$1:$F2111, F2112, $H$1:$H2111))
</f>
        <v/>
      </c>
      <c r="I2112" s="26"/>
      <c r="J2112" s="26" t="s">
        <v>77</v>
      </c>
      <c r="L2112" s="27" t="s">
        <v>77</v>
      </c>
      <c r="N2112" s="28" t="s">
        <v>77</v>
      </c>
      <c r="Q2112" s="30"/>
    </row>
    <row r="2113">
      <c r="B2113" s="6"/>
      <c r="C2113" s="33" t="str">
        <f t="array" ref="C2113">IF(B2113="", "", XLOOKUP(B2113, Inventory!D:D,Inventory!E:E,"No Name Found"))</f>
        <v/>
      </c>
      <c r="D2113" s="6"/>
      <c r="E2113" s="6"/>
      <c r="F2113" s="6"/>
      <c r="G2113" s="24" t="str">
        <f>IF(F2113="", "", VLOOKUP(F2113, Inventory!A:BZ, 3, FALSE) - SUMIF($F$1:$F2112, F2113, $H$1:$H2112))
</f>
        <v/>
      </c>
      <c r="I2113" s="26"/>
      <c r="J2113" s="26" t="s">
        <v>77</v>
      </c>
      <c r="L2113" s="27" t="s">
        <v>77</v>
      </c>
      <c r="N2113" s="28" t="s">
        <v>77</v>
      </c>
      <c r="Q2113" s="30"/>
    </row>
    <row r="2114">
      <c r="B2114" s="6"/>
      <c r="C2114" s="33" t="str">
        <f t="array" ref="C2114">IF(B2114="", "", XLOOKUP(B2114, Inventory!D:D,Inventory!E:E,"No Name Found"))</f>
        <v/>
      </c>
      <c r="D2114" s="6"/>
      <c r="E2114" s="6"/>
      <c r="F2114" s="6"/>
      <c r="G2114" s="24" t="str">
        <f>IF(F2114="", "", VLOOKUP(F2114, Inventory!A:BZ, 3, FALSE) - SUMIF($F$1:$F2113, F2114, $H$1:$H2113))
</f>
        <v/>
      </c>
      <c r="I2114" s="26"/>
      <c r="J2114" s="26" t="s">
        <v>77</v>
      </c>
      <c r="L2114" s="27" t="s">
        <v>77</v>
      </c>
      <c r="N2114" s="28" t="s">
        <v>77</v>
      </c>
      <c r="Q2114" s="30"/>
    </row>
    <row r="2115">
      <c r="B2115" s="6"/>
      <c r="C2115" s="33" t="str">
        <f t="array" ref="C2115">IF(B2115="", "", XLOOKUP(B2115, Inventory!D:D,Inventory!E:E,"No Name Found"))</f>
        <v/>
      </c>
      <c r="D2115" s="6"/>
      <c r="E2115" s="6"/>
      <c r="F2115" s="6"/>
      <c r="G2115" s="24" t="str">
        <f>IF(F2115="", "", VLOOKUP(F2115, Inventory!A:BZ, 3, FALSE) - SUMIF($F$1:$F2114, F2115, $H$1:$H2114))
</f>
        <v/>
      </c>
      <c r="I2115" s="26"/>
      <c r="J2115" s="26" t="s">
        <v>77</v>
      </c>
      <c r="L2115" s="27" t="s">
        <v>77</v>
      </c>
      <c r="N2115" s="28" t="s">
        <v>77</v>
      </c>
      <c r="Q2115" s="30"/>
    </row>
    <row r="2116">
      <c r="B2116" s="6"/>
      <c r="C2116" s="33" t="str">
        <f t="array" ref="C2116">IF(B2116="", "", XLOOKUP(B2116, Inventory!D:D,Inventory!E:E,"No Name Found"))</f>
        <v/>
      </c>
      <c r="D2116" s="6"/>
      <c r="E2116" s="6"/>
      <c r="F2116" s="6"/>
      <c r="G2116" s="24" t="str">
        <f>IF(F2116="", "", VLOOKUP(F2116, Inventory!A:BZ, 3, FALSE) - SUMIF($F$1:$F2115, F2116, $H$1:$H2115))
</f>
        <v/>
      </c>
      <c r="I2116" s="26"/>
      <c r="J2116" s="26" t="s">
        <v>77</v>
      </c>
      <c r="L2116" s="27" t="s">
        <v>77</v>
      </c>
      <c r="N2116" s="28" t="s">
        <v>77</v>
      </c>
      <c r="Q2116" s="30"/>
    </row>
    <row r="2117">
      <c r="B2117" s="6"/>
      <c r="C2117" s="33" t="str">
        <f t="array" ref="C2117">IF(B2117="", "", XLOOKUP(B2117, Inventory!D:D,Inventory!E:E,"No Name Found"))</f>
        <v/>
      </c>
      <c r="D2117" s="6"/>
      <c r="E2117" s="6"/>
      <c r="F2117" s="6"/>
      <c r="G2117" s="24" t="str">
        <f>IF(F2117="", "", VLOOKUP(F2117, Inventory!A:BZ, 3, FALSE) - SUMIF($F$1:$F2116, F2117, $H$1:$H2116))
</f>
        <v/>
      </c>
      <c r="I2117" s="26"/>
      <c r="J2117" s="26" t="s">
        <v>77</v>
      </c>
      <c r="L2117" s="27" t="s">
        <v>77</v>
      </c>
      <c r="N2117" s="28" t="s">
        <v>77</v>
      </c>
      <c r="Q2117" s="30"/>
    </row>
    <row r="2118">
      <c r="B2118" s="6"/>
      <c r="C2118" s="33" t="str">
        <f t="array" ref="C2118">IF(B2118="", "", XLOOKUP(B2118, Inventory!D:D,Inventory!E:E,"No Name Found"))</f>
        <v/>
      </c>
      <c r="D2118" s="6"/>
      <c r="E2118" s="6"/>
      <c r="F2118" s="6"/>
      <c r="G2118" s="24" t="str">
        <f>IF(F2118="", "", VLOOKUP(F2118, Inventory!A:BZ, 3, FALSE) - SUMIF($F$1:$F2117, F2118, $H$1:$H2117))
</f>
        <v/>
      </c>
      <c r="I2118" s="26"/>
      <c r="J2118" s="26" t="s">
        <v>77</v>
      </c>
      <c r="L2118" s="27" t="s">
        <v>77</v>
      </c>
      <c r="N2118" s="28" t="s">
        <v>77</v>
      </c>
      <c r="Q2118" s="30"/>
    </row>
    <row r="2119">
      <c r="B2119" s="6"/>
      <c r="C2119" s="33" t="str">
        <f t="array" ref="C2119">IF(B2119="", "", XLOOKUP(B2119, Inventory!D:D,Inventory!E:E,"No Name Found"))</f>
        <v/>
      </c>
      <c r="D2119" s="6"/>
      <c r="E2119" s="6"/>
      <c r="F2119" s="6"/>
      <c r="G2119" s="24" t="str">
        <f>IF(F2119="", "", VLOOKUP(F2119, Inventory!A:BZ, 3, FALSE) - SUMIF($F$1:$F2118, F2119, $H$1:$H2118))
</f>
        <v/>
      </c>
      <c r="I2119" s="26"/>
      <c r="J2119" s="26" t="s">
        <v>77</v>
      </c>
      <c r="L2119" s="27" t="s">
        <v>77</v>
      </c>
      <c r="N2119" s="28" t="s">
        <v>77</v>
      </c>
      <c r="Q2119" s="30"/>
    </row>
    <row r="2120">
      <c r="B2120" s="6"/>
      <c r="C2120" s="33" t="str">
        <f t="array" ref="C2120">IF(B2120="", "", XLOOKUP(B2120, Inventory!D:D,Inventory!E:E,"No Name Found"))</f>
        <v/>
      </c>
      <c r="D2120" s="6"/>
      <c r="E2120" s="6"/>
      <c r="F2120" s="6"/>
      <c r="G2120" s="24" t="str">
        <f>IF(F2120="", "", VLOOKUP(F2120, Inventory!A:BZ, 3, FALSE) - SUMIF($F$1:$F2119, F2120, $H$1:$H2119))
</f>
        <v/>
      </c>
      <c r="I2120" s="26"/>
      <c r="J2120" s="26" t="s">
        <v>77</v>
      </c>
      <c r="L2120" s="27" t="s">
        <v>77</v>
      </c>
      <c r="N2120" s="28" t="s">
        <v>77</v>
      </c>
      <c r="Q2120" s="30"/>
    </row>
    <row r="2121">
      <c r="B2121" s="6"/>
      <c r="C2121" s="33" t="str">
        <f t="array" ref="C2121">IF(B2121="", "", XLOOKUP(B2121, Inventory!D:D,Inventory!E:E,"No Name Found"))</f>
        <v/>
      </c>
      <c r="D2121" s="6"/>
      <c r="E2121" s="6"/>
      <c r="F2121" s="6"/>
      <c r="G2121" s="24" t="str">
        <f>IF(F2121="", "", VLOOKUP(F2121, Inventory!A:BZ, 3, FALSE) - SUMIF($F$1:$F2120, F2121, $H$1:$H2120))
</f>
        <v/>
      </c>
      <c r="I2121" s="26"/>
      <c r="J2121" s="26" t="s">
        <v>77</v>
      </c>
      <c r="L2121" s="27" t="s">
        <v>77</v>
      </c>
      <c r="N2121" s="28" t="s">
        <v>77</v>
      </c>
      <c r="Q2121" s="30"/>
    </row>
    <row r="2122">
      <c r="B2122" s="6"/>
      <c r="C2122" s="33" t="str">
        <f t="array" ref="C2122">IF(B2122="", "", XLOOKUP(B2122, Inventory!D:D,Inventory!E:E,"No Name Found"))</f>
        <v/>
      </c>
      <c r="D2122" s="6"/>
      <c r="E2122" s="6"/>
      <c r="F2122" s="6"/>
      <c r="G2122" s="24" t="str">
        <f>IF(F2122="", "", VLOOKUP(F2122, Inventory!A:BZ, 3, FALSE) - SUMIF($F$1:$F2121, F2122, $H$1:$H2121))
</f>
        <v/>
      </c>
      <c r="I2122" s="26"/>
      <c r="J2122" s="26" t="s">
        <v>77</v>
      </c>
      <c r="L2122" s="27" t="s">
        <v>77</v>
      </c>
      <c r="N2122" s="28" t="s">
        <v>77</v>
      </c>
      <c r="Q2122" s="30"/>
    </row>
    <row r="2123">
      <c r="B2123" s="6"/>
      <c r="C2123" s="33" t="str">
        <f t="array" ref="C2123">IF(B2123="", "", XLOOKUP(B2123, Inventory!D:D,Inventory!E:E,"No Name Found"))</f>
        <v/>
      </c>
      <c r="D2123" s="6"/>
      <c r="E2123" s="6"/>
      <c r="F2123" s="6"/>
      <c r="G2123" s="24" t="str">
        <f>IF(F2123="", "", VLOOKUP(F2123, Inventory!A:BZ, 3, FALSE) - SUMIF($F$1:$F2122, F2123, $H$1:$H2122))
</f>
        <v/>
      </c>
      <c r="I2123" s="26"/>
      <c r="J2123" s="26" t="s">
        <v>77</v>
      </c>
      <c r="L2123" s="27" t="s">
        <v>77</v>
      </c>
      <c r="N2123" s="28" t="s">
        <v>77</v>
      </c>
      <c r="Q2123" s="30"/>
    </row>
    <row r="2124">
      <c r="B2124" s="6"/>
      <c r="C2124" s="33" t="str">
        <f t="array" ref="C2124">IF(B2124="", "", XLOOKUP(B2124, Inventory!D:D,Inventory!E:E,"No Name Found"))</f>
        <v/>
      </c>
      <c r="D2124" s="6"/>
      <c r="E2124" s="6"/>
      <c r="F2124" s="6"/>
      <c r="G2124" s="24" t="str">
        <f>IF(F2124="", "", VLOOKUP(F2124, Inventory!A:BZ, 3, FALSE) - SUMIF($F$1:$F2123, F2124, $H$1:$H2123))
</f>
        <v/>
      </c>
      <c r="I2124" s="26"/>
      <c r="J2124" s="26" t="s">
        <v>77</v>
      </c>
      <c r="L2124" s="27" t="s">
        <v>77</v>
      </c>
      <c r="N2124" s="28" t="s">
        <v>77</v>
      </c>
      <c r="Q2124" s="30"/>
    </row>
    <row r="2125">
      <c r="B2125" s="6"/>
      <c r="C2125" s="33" t="str">
        <f t="array" ref="C2125">IF(B2125="", "", XLOOKUP(B2125, Inventory!D:D,Inventory!E:E,"No Name Found"))</f>
        <v/>
      </c>
      <c r="D2125" s="6"/>
      <c r="E2125" s="6"/>
      <c r="F2125" s="6"/>
      <c r="G2125" s="24" t="str">
        <f>IF(F2125="", "", VLOOKUP(F2125, Inventory!A:BZ, 3, FALSE) - SUMIF($F$1:$F2124, F2125, $H$1:$H2124))
</f>
        <v/>
      </c>
      <c r="I2125" s="26"/>
      <c r="J2125" s="26" t="s">
        <v>77</v>
      </c>
      <c r="L2125" s="27" t="s">
        <v>77</v>
      </c>
      <c r="N2125" s="28" t="s">
        <v>77</v>
      </c>
      <c r="Q2125" s="30"/>
    </row>
    <row r="2126">
      <c r="B2126" s="6"/>
      <c r="C2126" s="33" t="str">
        <f t="array" ref="C2126">IF(B2126="", "", XLOOKUP(B2126, Inventory!D:D,Inventory!E:E,"No Name Found"))</f>
        <v/>
      </c>
      <c r="D2126" s="6"/>
      <c r="E2126" s="6"/>
      <c r="F2126" s="6"/>
      <c r="G2126" s="24" t="str">
        <f>IF(F2126="", "", VLOOKUP(F2126, Inventory!A:BZ, 3, FALSE) - SUMIF($F$1:$F2125, F2126, $H$1:$H2125))
</f>
        <v/>
      </c>
      <c r="I2126" s="26"/>
      <c r="J2126" s="26" t="s">
        <v>77</v>
      </c>
      <c r="L2126" s="27" t="s">
        <v>77</v>
      </c>
      <c r="N2126" s="28" t="s">
        <v>77</v>
      </c>
      <c r="Q2126" s="30"/>
    </row>
    <row r="2127">
      <c r="B2127" s="6"/>
      <c r="C2127" s="33" t="str">
        <f t="array" ref="C2127">IF(B2127="", "", XLOOKUP(B2127, Inventory!D:D,Inventory!E:E,"No Name Found"))</f>
        <v/>
      </c>
      <c r="D2127" s="6"/>
      <c r="E2127" s="6"/>
      <c r="F2127" s="6"/>
      <c r="G2127" s="24" t="str">
        <f>IF(F2127="", "", VLOOKUP(F2127, Inventory!A:BZ, 3, FALSE) - SUMIF($F$1:$F2126, F2127, $H$1:$H2126))
</f>
        <v/>
      </c>
      <c r="I2127" s="26"/>
      <c r="J2127" s="26" t="s">
        <v>77</v>
      </c>
      <c r="L2127" s="27" t="s">
        <v>77</v>
      </c>
      <c r="N2127" s="28" t="s">
        <v>77</v>
      </c>
      <c r="Q2127" s="30"/>
    </row>
    <row r="2128">
      <c r="B2128" s="6"/>
      <c r="C2128" s="33" t="str">
        <f t="array" ref="C2128">IF(B2128="", "", XLOOKUP(B2128, Inventory!D:D,Inventory!E:E,"No Name Found"))</f>
        <v/>
      </c>
      <c r="D2128" s="6"/>
      <c r="E2128" s="6"/>
      <c r="F2128" s="6"/>
      <c r="G2128" s="24" t="str">
        <f>IF(F2128="", "", VLOOKUP(F2128, Inventory!A:BZ, 3, FALSE) - SUMIF($F$1:$F2127, F2128, $H$1:$H2127))
</f>
        <v/>
      </c>
      <c r="I2128" s="26"/>
      <c r="J2128" s="26" t="s">
        <v>77</v>
      </c>
      <c r="L2128" s="27" t="s">
        <v>77</v>
      </c>
      <c r="N2128" s="28" t="s">
        <v>77</v>
      </c>
      <c r="Q2128" s="30"/>
    </row>
    <row r="2129">
      <c r="B2129" s="6"/>
      <c r="C2129" s="33" t="str">
        <f t="array" ref="C2129">IF(B2129="", "", XLOOKUP(B2129, Inventory!D:D,Inventory!E:E,"No Name Found"))</f>
        <v/>
      </c>
      <c r="D2129" s="6"/>
      <c r="E2129" s="6"/>
      <c r="F2129" s="6"/>
      <c r="G2129" s="24" t="str">
        <f>IF(F2129="", "", VLOOKUP(F2129, Inventory!A:BZ, 3, FALSE) - SUMIF($F$1:$F2128, F2129, $H$1:$H2128))
</f>
        <v/>
      </c>
      <c r="I2129" s="26"/>
      <c r="J2129" s="26" t="s">
        <v>77</v>
      </c>
      <c r="L2129" s="27" t="s">
        <v>77</v>
      </c>
      <c r="N2129" s="28" t="s">
        <v>77</v>
      </c>
      <c r="Q2129" s="30"/>
    </row>
    <row r="2130">
      <c r="B2130" s="6"/>
      <c r="C2130" s="33" t="str">
        <f t="array" ref="C2130">IF(B2130="", "", XLOOKUP(B2130, Inventory!D:D,Inventory!E:E,"No Name Found"))</f>
        <v/>
      </c>
      <c r="D2130" s="6"/>
      <c r="E2130" s="6"/>
      <c r="F2130" s="6"/>
      <c r="G2130" s="24" t="str">
        <f>IF(F2130="", "", VLOOKUP(F2130, Inventory!A:BZ, 3, FALSE) - SUMIF($F$1:$F2129, F2130, $H$1:$H2129))
</f>
        <v/>
      </c>
      <c r="I2130" s="26"/>
      <c r="J2130" s="26" t="s">
        <v>77</v>
      </c>
      <c r="L2130" s="27" t="s">
        <v>77</v>
      </c>
      <c r="N2130" s="28" t="s">
        <v>77</v>
      </c>
      <c r="Q2130" s="30"/>
    </row>
    <row r="2131">
      <c r="B2131" s="6"/>
      <c r="C2131" s="33" t="str">
        <f t="array" ref="C2131">IF(B2131="", "", XLOOKUP(B2131, Inventory!D:D,Inventory!E:E,"No Name Found"))</f>
        <v/>
      </c>
      <c r="D2131" s="6"/>
      <c r="E2131" s="6"/>
      <c r="F2131" s="6"/>
      <c r="G2131" s="24" t="str">
        <f>IF(F2131="", "", VLOOKUP(F2131, Inventory!A:BZ, 3, FALSE) - SUMIF($F$1:$F2130, F2131, $H$1:$H2130))
</f>
        <v/>
      </c>
      <c r="I2131" s="26"/>
      <c r="J2131" s="26" t="s">
        <v>77</v>
      </c>
      <c r="L2131" s="27" t="s">
        <v>77</v>
      </c>
      <c r="N2131" s="28" t="s">
        <v>77</v>
      </c>
      <c r="Q2131" s="30"/>
    </row>
    <row r="2132">
      <c r="B2132" s="6"/>
      <c r="C2132" s="33" t="str">
        <f t="array" ref="C2132">IF(B2132="", "", XLOOKUP(B2132, Inventory!D:D,Inventory!E:E,"No Name Found"))</f>
        <v/>
      </c>
      <c r="D2132" s="6"/>
      <c r="E2132" s="6"/>
      <c r="F2132" s="6"/>
      <c r="G2132" s="24" t="str">
        <f>IF(F2132="", "", VLOOKUP(F2132, Inventory!A:BZ, 3, FALSE) - SUMIF($F$1:$F2131, F2132, $H$1:$H2131))
</f>
        <v/>
      </c>
      <c r="I2132" s="26"/>
      <c r="J2132" s="26" t="s">
        <v>77</v>
      </c>
      <c r="L2132" s="27" t="s">
        <v>77</v>
      </c>
      <c r="N2132" s="28" t="s">
        <v>77</v>
      </c>
      <c r="Q2132" s="30"/>
    </row>
    <row r="2133">
      <c r="B2133" s="6"/>
      <c r="C2133" s="33" t="str">
        <f t="array" ref="C2133">IF(B2133="", "", XLOOKUP(B2133, Inventory!D:D,Inventory!E:E,"No Name Found"))</f>
        <v/>
      </c>
      <c r="D2133" s="6"/>
      <c r="E2133" s="6"/>
      <c r="F2133" s="6"/>
      <c r="G2133" s="24" t="str">
        <f>IF(F2133="", "", VLOOKUP(F2133, Inventory!A:BZ, 3, FALSE) - SUMIF($F$1:$F2132, F2133, $H$1:$H2132))
</f>
        <v/>
      </c>
      <c r="I2133" s="26"/>
      <c r="J2133" s="26" t="s">
        <v>77</v>
      </c>
      <c r="L2133" s="27" t="s">
        <v>77</v>
      </c>
      <c r="N2133" s="28" t="s">
        <v>77</v>
      </c>
      <c r="Q2133" s="30"/>
    </row>
    <row r="2134">
      <c r="B2134" s="6"/>
      <c r="C2134" s="33" t="str">
        <f t="array" ref="C2134">IF(B2134="", "", XLOOKUP(B2134, Inventory!D:D,Inventory!E:E,"No Name Found"))</f>
        <v/>
      </c>
      <c r="D2134" s="6"/>
      <c r="E2134" s="6"/>
      <c r="F2134" s="6"/>
      <c r="G2134" s="24" t="str">
        <f>IF(F2134="", "", VLOOKUP(F2134, Inventory!A:BZ, 3, FALSE) - SUMIF($F$1:$F2133, F2134, $H$1:$H2133))
</f>
        <v/>
      </c>
      <c r="I2134" s="26"/>
      <c r="J2134" s="26" t="s">
        <v>77</v>
      </c>
      <c r="L2134" s="27" t="s">
        <v>77</v>
      </c>
      <c r="N2134" s="28" t="s">
        <v>77</v>
      </c>
      <c r="Q2134" s="30"/>
    </row>
    <row r="2135">
      <c r="B2135" s="6"/>
      <c r="C2135" s="33" t="str">
        <f t="array" ref="C2135">IF(B2135="", "", XLOOKUP(B2135, Inventory!D:D,Inventory!E:E,"No Name Found"))</f>
        <v/>
      </c>
      <c r="D2135" s="6"/>
      <c r="E2135" s="6"/>
      <c r="F2135" s="6"/>
      <c r="G2135" s="24" t="str">
        <f>IF(F2135="", "", VLOOKUP(F2135, Inventory!A:BZ, 3, FALSE) - SUMIF($F$1:$F2134, F2135, $H$1:$H2134))
</f>
        <v/>
      </c>
      <c r="I2135" s="26"/>
      <c r="J2135" s="26" t="s">
        <v>77</v>
      </c>
      <c r="L2135" s="27" t="s">
        <v>77</v>
      </c>
      <c r="N2135" s="28" t="s">
        <v>77</v>
      </c>
      <c r="Q2135" s="30"/>
    </row>
    <row r="2136">
      <c r="B2136" s="6"/>
      <c r="C2136" s="33" t="str">
        <f t="array" ref="C2136">IF(B2136="", "", XLOOKUP(B2136, Inventory!D:D,Inventory!E:E,"No Name Found"))</f>
        <v/>
      </c>
      <c r="D2136" s="6"/>
      <c r="E2136" s="6"/>
      <c r="F2136" s="6"/>
      <c r="G2136" s="24" t="str">
        <f>IF(F2136="", "", VLOOKUP(F2136, Inventory!A:BZ, 3, FALSE) - SUMIF($F$1:$F2135, F2136, $H$1:$H2135))
</f>
        <v/>
      </c>
      <c r="I2136" s="26"/>
      <c r="J2136" s="26" t="s">
        <v>77</v>
      </c>
      <c r="L2136" s="27" t="s">
        <v>77</v>
      </c>
      <c r="N2136" s="28" t="s">
        <v>77</v>
      </c>
      <c r="Q2136" s="30"/>
    </row>
    <row r="2137">
      <c r="B2137" s="6"/>
      <c r="C2137" s="33" t="str">
        <f t="array" ref="C2137">IF(B2137="", "", XLOOKUP(B2137, Inventory!D:D,Inventory!E:E,"No Name Found"))</f>
        <v/>
      </c>
      <c r="D2137" s="6"/>
      <c r="E2137" s="6"/>
      <c r="F2137" s="6"/>
      <c r="G2137" s="24" t="str">
        <f>IF(F2137="", "", VLOOKUP(F2137, Inventory!A:BZ, 3, FALSE) - SUMIF($F$1:$F2136, F2137, $H$1:$H2136))
</f>
        <v/>
      </c>
      <c r="I2137" s="26"/>
      <c r="J2137" s="26" t="s">
        <v>77</v>
      </c>
      <c r="L2137" s="27" t="s">
        <v>77</v>
      </c>
      <c r="N2137" s="28" t="s">
        <v>77</v>
      </c>
      <c r="Q2137" s="30"/>
    </row>
    <row r="2138">
      <c r="B2138" s="6"/>
      <c r="C2138" s="33" t="str">
        <f t="array" ref="C2138">IF(B2138="", "", XLOOKUP(B2138, Inventory!D:D,Inventory!E:E,"No Name Found"))</f>
        <v/>
      </c>
      <c r="D2138" s="6"/>
      <c r="E2138" s="6"/>
      <c r="F2138" s="6"/>
      <c r="G2138" s="24" t="str">
        <f>IF(F2138="", "", VLOOKUP(F2138, Inventory!A:BZ, 3, FALSE) - SUMIF($F$1:$F2137, F2138, $H$1:$H2137))
</f>
        <v/>
      </c>
      <c r="I2138" s="26"/>
      <c r="J2138" s="26" t="s">
        <v>77</v>
      </c>
      <c r="L2138" s="27" t="s">
        <v>77</v>
      </c>
      <c r="N2138" s="28" t="s">
        <v>77</v>
      </c>
      <c r="Q2138" s="30"/>
    </row>
    <row r="2139">
      <c r="B2139" s="6"/>
      <c r="C2139" s="33" t="str">
        <f t="array" ref="C2139">IF(B2139="", "", XLOOKUP(B2139, Inventory!D:D,Inventory!E:E,"No Name Found"))</f>
        <v/>
      </c>
      <c r="D2139" s="6"/>
      <c r="E2139" s="6"/>
      <c r="F2139" s="6"/>
      <c r="G2139" s="24" t="str">
        <f>IF(F2139="", "", VLOOKUP(F2139, Inventory!A:BZ, 3, FALSE) - SUMIF($F$1:$F2138, F2139, $H$1:$H2138))
</f>
        <v/>
      </c>
      <c r="I2139" s="26"/>
      <c r="J2139" s="26" t="s">
        <v>77</v>
      </c>
      <c r="L2139" s="27" t="s">
        <v>77</v>
      </c>
      <c r="N2139" s="28" t="s">
        <v>77</v>
      </c>
      <c r="Q2139" s="30"/>
    </row>
    <row r="2140">
      <c r="B2140" s="6"/>
      <c r="C2140" s="33" t="str">
        <f t="array" ref="C2140">IF(B2140="", "", XLOOKUP(B2140, Inventory!D:D,Inventory!E:E,"No Name Found"))</f>
        <v/>
      </c>
      <c r="D2140" s="6"/>
      <c r="E2140" s="6"/>
      <c r="F2140" s="6"/>
      <c r="G2140" s="24" t="str">
        <f>IF(F2140="", "", VLOOKUP(F2140, Inventory!A:BZ, 3, FALSE) - SUMIF($F$1:$F2139, F2140, $H$1:$H2139))
</f>
        <v/>
      </c>
      <c r="I2140" s="26"/>
      <c r="J2140" s="26" t="s">
        <v>77</v>
      </c>
      <c r="L2140" s="27" t="s">
        <v>77</v>
      </c>
      <c r="N2140" s="28" t="s">
        <v>77</v>
      </c>
      <c r="Q2140" s="30"/>
    </row>
    <row r="2141">
      <c r="B2141" s="6"/>
      <c r="C2141" s="33" t="str">
        <f t="array" ref="C2141">IF(B2141="", "", XLOOKUP(B2141, Inventory!D:D,Inventory!E:E,"No Name Found"))</f>
        <v/>
      </c>
      <c r="D2141" s="6"/>
      <c r="E2141" s="6"/>
      <c r="F2141" s="6"/>
      <c r="G2141" s="24" t="str">
        <f>IF(F2141="", "", VLOOKUP(F2141, Inventory!A:BZ, 3, FALSE) - SUMIF($F$1:$F2140, F2141, $H$1:$H2140))
</f>
        <v/>
      </c>
      <c r="I2141" s="26"/>
      <c r="J2141" s="26" t="s">
        <v>77</v>
      </c>
      <c r="L2141" s="27" t="s">
        <v>77</v>
      </c>
      <c r="N2141" s="28" t="s">
        <v>77</v>
      </c>
      <c r="Q2141" s="30"/>
    </row>
    <row r="2142">
      <c r="B2142" s="6"/>
      <c r="C2142" s="33" t="str">
        <f t="array" ref="C2142">IF(B2142="", "", XLOOKUP(B2142, Inventory!D:D,Inventory!E:E,"No Name Found"))</f>
        <v/>
      </c>
      <c r="D2142" s="6"/>
      <c r="E2142" s="6"/>
      <c r="F2142" s="6"/>
      <c r="G2142" s="24" t="str">
        <f>IF(F2142="", "", VLOOKUP(F2142, Inventory!A:BZ, 3, FALSE) - SUMIF($F$1:$F2141, F2142, $H$1:$H2141))
</f>
        <v/>
      </c>
      <c r="I2142" s="26"/>
      <c r="J2142" s="26" t="s">
        <v>77</v>
      </c>
      <c r="L2142" s="27" t="s">
        <v>77</v>
      </c>
      <c r="N2142" s="28" t="s">
        <v>77</v>
      </c>
      <c r="Q2142" s="30"/>
    </row>
    <row r="2143">
      <c r="B2143" s="6"/>
      <c r="C2143" s="33" t="str">
        <f t="array" ref="C2143">IF(B2143="", "", XLOOKUP(B2143, Inventory!D:D,Inventory!E:E,"No Name Found"))</f>
        <v/>
      </c>
      <c r="D2143" s="6"/>
      <c r="E2143" s="6"/>
      <c r="F2143" s="6"/>
      <c r="G2143" s="24" t="str">
        <f>IF(F2143="", "", VLOOKUP(F2143, Inventory!A:BZ, 3, FALSE) - SUMIF($F$1:$F2142, F2143, $H$1:$H2142))
</f>
        <v/>
      </c>
      <c r="I2143" s="26"/>
      <c r="J2143" s="26" t="s">
        <v>77</v>
      </c>
      <c r="L2143" s="27" t="s">
        <v>77</v>
      </c>
      <c r="N2143" s="28" t="s">
        <v>77</v>
      </c>
      <c r="Q2143" s="30"/>
    </row>
    <row r="2144">
      <c r="B2144" s="6"/>
      <c r="C2144" s="33" t="str">
        <f t="array" ref="C2144">IF(B2144="", "", XLOOKUP(B2144, Inventory!D:D,Inventory!E:E,"No Name Found"))</f>
        <v/>
      </c>
      <c r="D2144" s="6"/>
      <c r="E2144" s="6"/>
      <c r="F2144" s="6"/>
      <c r="G2144" s="24" t="str">
        <f>IF(F2144="", "", VLOOKUP(F2144, Inventory!A:BZ, 3, FALSE) - SUMIF($F$1:$F2143, F2144, $H$1:$H2143))
</f>
        <v/>
      </c>
      <c r="I2144" s="26"/>
      <c r="J2144" s="26" t="s">
        <v>77</v>
      </c>
      <c r="L2144" s="27" t="s">
        <v>77</v>
      </c>
      <c r="N2144" s="28" t="s">
        <v>77</v>
      </c>
      <c r="Q2144" s="30"/>
    </row>
    <row r="2145">
      <c r="B2145" s="6"/>
      <c r="C2145" s="33" t="str">
        <f t="array" ref="C2145">IF(B2145="", "", XLOOKUP(B2145, Inventory!D:D,Inventory!E:E,"No Name Found"))</f>
        <v/>
      </c>
      <c r="D2145" s="6"/>
      <c r="E2145" s="6"/>
      <c r="F2145" s="6"/>
      <c r="G2145" s="24" t="str">
        <f>IF(F2145="", "", VLOOKUP(F2145, Inventory!A:BZ, 3, FALSE) - SUMIF($F$1:$F2144, F2145, $H$1:$H2144))
</f>
        <v/>
      </c>
      <c r="I2145" s="26"/>
      <c r="J2145" s="26" t="s">
        <v>77</v>
      </c>
      <c r="L2145" s="27" t="s">
        <v>77</v>
      </c>
      <c r="N2145" s="28" t="s">
        <v>77</v>
      </c>
      <c r="Q2145" s="30"/>
    </row>
    <row r="2146">
      <c r="B2146" s="6"/>
      <c r="C2146" s="33" t="str">
        <f t="array" ref="C2146">IF(B2146="", "", XLOOKUP(B2146, Inventory!D:D,Inventory!E:E,"No Name Found"))</f>
        <v/>
      </c>
      <c r="D2146" s="6"/>
      <c r="E2146" s="6"/>
      <c r="F2146" s="6"/>
      <c r="G2146" s="24" t="str">
        <f>IF(F2146="", "", VLOOKUP(F2146, Inventory!A:BZ, 3, FALSE) - SUMIF($F$1:$F2145, F2146, $H$1:$H2145))
</f>
        <v/>
      </c>
      <c r="I2146" s="26"/>
      <c r="J2146" s="26" t="s">
        <v>77</v>
      </c>
      <c r="L2146" s="27" t="s">
        <v>77</v>
      </c>
      <c r="N2146" s="28" t="s">
        <v>77</v>
      </c>
      <c r="Q2146" s="30"/>
    </row>
    <row r="2147">
      <c r="B2147" s="6"/>
      <c r="C2147" s="33" t="str">
        <f t="array" ref="C2147">IF(B2147="", "", XLOOKUP(B2147, Inventory!D:D,Inventory!E:E,"No Name Found"))</f>
        <v/>
      </c>
      <c r="D2147" s="6"/>
      <c r="E2147" s="6"/>
      <c r="F2147" s="6"/>
      <c r="G2147" s="24" t="str">
        <f>IF(F2147="", "", VLOOKUP(F2147, Inventory!A:BZ, 3, FALSE) - SUMIF($F$1:$F2146, F2147, $H$1:$H2146))
</f>
        <v/>
      </c>
      <c r="I2147" s="26"/>
      <c r="J2147" s="26" t="s">
        <v>77</v>
      </c>
      <c r="L2147" s="27" t="s">
        <v>77</v>
      </c>
      <c r="N2147" s="28" t="s">
        <v>77</v>
      </c>
      <c r="Q2147" s="30"/>
    </row>
    <row r="2148">
      <c r="B2148" s="6"/>
      <c r="C2148" s="33" t="str">
        <f t="array" ref="C2148">IF(B2148="", "", XLOOKUP(B2148, Inventory!D:D,Inventory!E:E,"No Name Found"))</f>
        <v/>
      </c>
      <c r="D2148" s="6"/>
      <c r="E2148" s="6"/>
      <c r="F2148" s="6"/>
      <c r="G2148" s="24" t="str">
        <f>IF(F2148="", "", VLOOKUP(F2148, Inventory!A:BZ, 3, FALSE) - SUMIF($F$1:$F2147, F2148, $H$1:$H2147))
</f>
        <v/>
      </c>
      <c r="I2148" s="26"/>
      <c r="J2148" s="26" t="s">
        <v>77</v>
      </c>
      <c r="L2148" s="27" t="s">
        <v>77</v>
      </c>
      <c r="N2148" s="28" t="s">
        <v>77</v>
      </c>
      <c r="Q2148" s="30"/>
    </row>
    <row r="2149">
      <c r="B2149" s="6"/>
      <c r="C2149" s="33" t="str">
        <f t="array" ref="C2149">IF(B2149="", "", XLOOKUP(B2149, Inventory!D:D,Inventory!E:E,"No Name Found"))</f>
        <v/>
      </c>
      <c r="D2149" s="6"/>
      <c r="E2149" s="6"/>
      <c r="F2149" s="6"/>
      <c r="G2149" s="24" t="str">
        <f>IF(F2149="", "", VLOOKUP(F2149, Inventory!A:BZ, 3, FALSE) - SUMIF($F$1:$F2148, F2149, $H$1:$H2148))
</f>
        <v/>
      </c>
      <c r="I2149" s="26"/>
      <c r="J2149" s="26" t="s">
        <v>77</v>
      </c>
      <c r="L2149" s="27" t="s">
        <v>77</v>
      </c>
      <c r="N2149" s="28" t="s">
        <v>77</v>
      </c>
      <c r="Q2149" s="30"/>
    </row>
    <row r="2150">
      <c r="B2150" s="6"/>
      <c r="C2150" s="33" t="str">
        <f t="array" ref="C2150">IF(B2150="", "", XLOOKUP(B2150, Inventory!D:D,Inventory!E:E,"No Name Found"))</f>
        <v/>
      </c>
      <c r="D2150" s="6"/>
      <c r="E2150" s="6"/>
      <c r="F2150" s="6"/>
      <c r="G2150" s="24" t="str">
        <f>IF(F2150="", "", VLOOKUP(F2150, Inventory!A:BZ, 3, FALSE) - SUMIF($F$1:$F2149, F2150, $H$1:$H2149))
</f>
        <v/>
      </c>
      <c r="I2150" s="26"/>
      <c r="J2150" s="26" t="s">
        <v>77</v>
      </c>
      <c r="L2150" s="27" t="s">
        <v>77</v>
      </c>
      <c r="N2150" s="28" t="s">
        <v>77</v>
      </c>
      <c r="Q2150" s="30"/>
    </row>
    <row r="2151">
      <c r="B2151" s="6"/>
      <c r="C2151" s="33" t="str">
        <f t="array" ref="C2151">IF(B2151="", "", XLOOKUP(B2151, Inventory!D:D,Inventory!E:E,"No Name Found"))</f>
        <v/>
      </c>
      <c r="D2151" s="6"/>
      <c r="E2151" s="6"/>
      <c r="F2151" s="6"/>
      <c r="G2151" s="24" t="str">
        <f>IF(F2151="", "", VLOOKUP(F2151, Inventory!A:BZ, 3, FALSE) - SUMIF($F$1:$F2150, F2151, $H$1:$H2150))
</f>
        <v/>
      </c>
      <c r="I2151" s="26"/>
      <c r="J2151" s="26" t="s">
        <v>77</v>
      </c>
      <c r="L2151" s="27" t="s">
        <v>77</v>
      </c>
      <c r="N2151" s="28" t="s">
        <v>77</v>
      </c>
      <c r="Q2151" s="30"/>
    </row>
    <row r="2152">
      <c r="B2152" s="6"/>
      <c r="C2152" s="33" t="str">
        <f t="array" ref="C2152">IF(B2152="", "", XLOOKUP(B2152, Inventory!D:D,Inventory!E:E,"No Name Found"))</f>
        <v/>
      </c>
      <c r="D2152" s="6"/>
      <c r="E2152" s="6"/>
      <c r="F2152" s="6"/>
      <c r="G2152" s="24" t="str">
        <f>IF(F2152="", "", VLOOKUP(F2152, Inventory!A:BZ, 3, FALSE) - SUMIF($F$1:$F2151, F2152, $H$1:$H2151))
</f>
        <v/>
      </c>
      <c r="I2152" s="26"/>
      <c r="J2152" s="26" t="s">
        <v>77</v>
      </c>
      <c r="L2152" s="27" t="s">
        <v>77</v>
      </c>
      <c r="N2152" s="28" t="s">
        <v>77</v>
      </c>
      <c r="Q2152" s="30"/>
    </row>
    <row r="2153">
      <c r="B2153" s="6"/>
      <c r="C2153" s="33" t="str">
        <f t="array" ref="C2153">IF(B2153="", "", XLOOKUP(B2153, Inventory!D:D,Inventory!E:E,"No Name Found"))</f>
        <v/>
      </c>
      <c r="D2153" s="6"/>
      <c r="E2153" s="6"/>
      <c r="F2153" s="6"/>
      <c r="G2153" s="24" t="str">
        <f>IF(F2153="", "", VLOOKUP(F2153, Inventory!A:BZ, 3, FALSE) - SUMIF($F$1:$F2152, F2153, $H$1:$H2152))
</f>
        <v/>
      </c>
      <c r="I2153" s="26"/>
      <c r="J2153" s="26" t="s">
        <v>77</v>
      </c>
      <c r="L2153" s="27" t="s">
        <v>77</v>
      </c>
      <c r="N2153" s="28" t="s">
        <v>77</v>
      </c>
      <c r="Q2153" s="30"/>
    </row>
    <row r="2154">
      <c r="B2154" s="6"/>
      <c r="C2154" s="33" t="str">
        <f t="array" ref="C2154">IF(B2154="", "", XLOOKUP(B2154, Inventory!D:D,Inventory!E:E,"No Name Found"))</f>
        <v/>
      </c>
      <c r="D2154" s="6"/>
      <c r="E2154" s="6"/>
      <c r="F2154" s="6"/>
      <c r="G2154" s="24" t="str">
        <f>IF(F2154="", "", VLOOKUP(F2154, Inventory!A:BZ, 3, FALSE) - SUMIF($F$1:$F2153, F2154, $H$1:$H2153))
</f>
        <v/>
      </c>
      <c r="I2154" s="26"/>
      <c r="J2154" s="26" t="s">
        <v>77</v>
      </c>
      <c r="L2154" s="27" t="s">
        <v>77</v>
      </c>
      <c r="N2154" s="28" t="s">
        <v>77</v>
      </c>
      <c r="Q2154" s="30"/>
    </row>
    <row r="2155">
      <c r="B2155" s="6"/>
      <c r="C2155" s="33" t="str">
        <f t="array" ref="C2155">IF(B2155="", "", XLOOKUP(B2155, Inventory!D:D,Inventory!E:E,"No Name Found"))</f>
        <v/>
      </c>
      <c r="D2155" s="6"/>
      <c r="E2155" s="6"/>
      <c r="F2155" s="6"/>
      <c r="G2155" s="24" t="str">
        <f>IF(F2155="", "", VLOOKUP(F2155, Inventory!A:BZ, 3, FALSE) - SUMIF($F$1:$F2154, F2155, $H$1:$H2154))
</f>
        <v/>
      </c>
      <c r="I2155" s="26"/>
      <c r="J2155" s="26" t="s">
        <v>77</v>
      </c>
      <c r="L2155" s="27" t="s">
        <v>77</v>
      </c>
      <c r="N2155" s="28" t="s">
        <v>77</v>
      </c>
      <c r="Q2155" s="30"/>
    </row>
    <row r="2156">
      <c r="B2156" s="6"/>
      <c r="C2156" s="33" t="str">
        <f t="array" ref="C2156">IF(B2156="", "", XLOOKUP(B2156, Inventory!D:D,Inventory!E:E,"No Name Found"))</f>
        <v/>
      </c>
      <c r="D2156" s="6"/>
      <c r="E2156" s="6"/>
      <c r="F2156" s="6"/>
      <c r="G2156" s="24" t="str">
        <f>IF(F2156="", "", VLOOKUP(F2156, Inventory!A:BZ, 3, FALSE) - SUMIF($F$1:$F2155, F2156, $H$1:$H2155))
</f>
        <v/>
      </c>
      <c r="I2156" s="26"/>
      <c r="J2156" s="26" t="s">
        <v>77</v>
      </c>
      <c r="L2156" s="27" t="s">
        <v>77</v>
      </c>
      <c r="N2156" s="28" t="s">
        <v>77</v>
      </c>
      <c r="Q2156" s="30"/>
    </row>
    <row r="2157">
      <c r="B2157" s="6"/>
      <c r="C2157" s="33" t="str">
        <f t="array" ref="C2157">IF(B2157="", "", XLOOKUP(B2157, Inventory!D:D,Inventory!E:E,"No Name Found"))</f>
        <v/>
      </c>
      <c r="D2157" s="6"/>
      <c r="E2157" s="6"/>
      <c r="F2157" s="6"/>
      <c r="G2157" s="24" t="str">
        <f>IF(F2157="", "", VLOOKUP(F2157, Inventory!A:BZ, 3, FALSE) - SUMIF($F$1:$F2156, F2157, $H$1:$H2156))
</f>
        <v/>
      </c>
      <c r="I2157" s="26"/>
      <c r="J2157" s="26" t="s">
        <v>77</v>
      </c>
      <c r="L2157" s="27" t="s">
        <v>77</v>
      </c>
      <c r="N2157" s="28" t="s">
        <v>77</v>
      </c>
      <c r="Q2157" s="30"/>
    </row>
    <row r="2158">
      <c r="B2158" s="6"/>
      <c r="C2158" s="33" t="str">
        <f t="array" ref="C2158">IF(B2158="", "", XLOOKUP(B2158, Inventory!D:D,Inventory!E:E,"No Name Found"))</f>
        <v/>
      </c>
      <c r="D2158" s="6"/>
      <c r="E2158" s="6"/>
      <c r="F2158" s="6"/>
      <c r="G2158" s="24" t="str">
        <f>IF(F2158="", "", VLOOKUP(F2158, Inventory!A:BZ, 3, FALSE) - SUMIF($F$1:$F2157, F2158, $H$1:$H2157))
</f>
        <v/>
      </c>
      <c r="I2158" s="26"/>
      <c r="J2158" s="26" t="s">
        <v>77</v>
      </c>
      <c r="L2158" s="27" t="s">
        <v>77</v>
      </c>
      <c r="N2158" s="28" t="s">
        <v>77</v>
      </c>
      <c r="Q2158" s="30"/>
    </row>
    <row r="2159">
      <c r="B2159" s="6"/>
      <c r="C2159" s="33" t="str">
        <f t="array" ref="C2159">IF(B2159="", "", XLOOKUP(B2159, Inventory!D:D,Inventory!E:E,"No Name Found"))</f>
        <v/>
      </c>
      <c r="D2159" s="6"/>
      <c r="E2159" s="6"/>
      <c r="F2159" s="6"/>
      <c r="G2159" s="24" t="str">
        <f>IF(F2159="", "", VLOOKUP(F2159, Inventory!A:BZ, 3, FALSE) - SUMIF($F$1:$F2158, F2159, $H$1:$H2158))
</f>
        <v/>
      </c>
      <c r="I2159" s="26"/>
      <c r="J2159" s="26" t="s">
        <v>77</v>
      </c>
      <c r="L2159" s="27" t="s">
        <v>77</v>
      </c>
      <c r="N2159" s="28" t="s">
        <v>77</v>
      </c>
      <c r="Q2159" s="30"/>
    </row>
    <row r="2160">
      <c r="B2160" s="6"/>
      <c r="C2160" s="33" t="str">
        <f t="array" ref="C2160">IF(B2160="", "", XLOOKUP(B2160, Inventory!D:D,Inventory!E:E,"No Name Found"))</f>
        <v/>
      </c>
      <c r="D2160" s="6"/>
      <c r="E2160" s="6"/>
      <c r="F2160" s="6"/>
      <c r="G2160" s="24" t="str">
        <f>IF(F2160="", "", VLOOKUP(F2160, Inventory!A:BZ, 3, FALSE) - SUMIF($F$1:$F2159, F2160, $H$1:$H2159))
</f>
        <v/>
      </c>
      <c r="I2160" s="26"/>
      <c r="J2160" s="26" t="s">
        <v>77</v>
      </c>
      <c r="L2160" s="27" t="s">
        <v>77</v>
      </c>
      <c r="N2160" s="28" t="s">
        <v>77</v>
      </c>
      <c r="Q2160" s="30"/>
    </row>
    <row r="2161">
      <c r="B2161" s="6"/>
      <c r="C2161" s="33" t="str">
        <f t="array" ref="C2161">IF(B2161="", "", XLOOKUP(B2161, Inventory!D:D,Inventory!E:E,"No Name Found"))</f>
        <v/>
      </c>
      <c r="D2161" s="6"/>
      <c r="E2161" s="6"/>
      <c r="F2161" s="6"/>
      <c r="G2161" s="24" t="str">
        <f>IF(F2161="", "", VLOOKUP(F2161, Inventory!A:BZ, 3, FALSE) - SUMIF($F$1:$F2160, F2161, $H$1:$H2160))
</f>
        <v/>
      </c>
      <c r="I2161" s="26"/>
      <c r="J2161" s="26" t="s">
        <v>77</v>
      </c>
      <c r="L2161" s="27" t="s">
        <v>77</v>
      </c>
      <c r="N2161" s="28" t="s">
        <v>77</v>
      </c>
      <c r="Q2161" s="30"/>
    </row>
    <row r="2162">
      <c r="B2162" s="6"/>
      <c r="C2162" s="33" t="str">
        <f t="array" ref="C2162">IF(B2162="", "", XLOOKUP(B2162, Inventory!D:D,Inventory!E:E,"No Name Found"))</f>
        <v/>
      </c>
      <c r="D2162" s="6"/>
      <c r="E2162" s="6"/>
      <c r="F2162" s="6"/>
      <c r="G2162" s="24" t="str">
        <f>IF(F2162="", "", VLOOKUP(F2162, Inventory!A:BZ, 3, FALSE) - SUMIF($F$1:$F2161, F2162, $H$1:$H2161))
</f>
        <v/>
      </c>
      <c r="I2162" s="26"/>
      <c r="J2162" s="26" t="s">
        <v>77</v>
      </c>
      <c r="L2162" s="27" t="s">
        <v>77</v>
      </c>
      <c r="N2162" s="28" t="s">
        <v>77</v>
      </c>
      <c r="Q2162" s="30"/>
    </row>
    <row r="2163">
      <c r="B2163" s="6"/>
      <c r="C2163" s="33" t="str">
        <f t="array" ref="C2163">IF(B2163="", "", XLOOKUP(B2163, Inventory!D:D,Inventory!E:E,"No Name Found"))</f>
        <v/>
      </c>
      <c r="D2163" s="6"/>
      <c r="E2163" s="6"/>
      <c r="F2163" s="6"/>
      <c r="G2163" s="24" t="str">
        <f>IF(F2163="", "", VLOOKUP(F2163, Inventory!A:BZ, 3, FALSE) - SUMIF($F$1:$F2162, F2163, $H$1:$H2162))
</f>
        <v/>
      </c>
      <c r="I2163" s="26"/>
      <c r="J2163" s="26" t="s">
        <v>77</v>
      </c>
      <c r="L2163" s="27" t="s">
        <v>77</v>
      </c>
      <c r="N2163" s="28" t="s">
        <v>77</v>
      </c>
      <c r="Q2163" s="30"/>
    </row>
    <row r="2164">
      <c r="B2164" s="6"/>
      <c r="C2164" s="33" t="str">
        <f t="array" ref="C2164">IF(B2164="", "", XLOOKUP(B2164, Inventory!D:D,Inventory!E:E,"No Name Found"))</f>
        <v/>
      </c>
      <c r="D2164" s="6"/>
      <c r="E2164" s="6"/>
      <c r="F2164" s="6"/>
      <c r="G2164" s="24" t="str">
        <f>IF(F2164="", "", VLOOKUP(F2164, Inventory!A:BZ, 3, FALSE) - SUMIF($F$1:$F2163, F2164, $H$1:$H2163))
</f>
        <v/>
      </c>
      <c r="I2164" s="26"/>
      <c r="J2164" s="26" t="s">
        <v>77</v>
      </c>
      <c r="L2164" s="27" t="s">
        <v>77</v>
      </c>
      <c r="N2164" s="28" t="s">
        <v>77</v>
      </c>
      <c r="Q2164" s="30"/>
    </row>
    <row r="2165">
      <c r="B2165" s="6"/>
      <c r="C2165" s="33" t="str">
        <f t="array" ref="C2165">IF(B2165="", "", XLOOKUP(B2165, Inventory!D:D,Inventory!E:E,"No Name Found"))</f>
        <v/>
      </c>
      <c r="D2165" s="6"/>
      <c r="E2165" s="6"/>
      <c r="F2165" s="6"/>
      <c r="G2165" s="24" t="str">
        <f>IF(F2165="", "", VLOOKUP(F2165, Inventory!A:BZ, 3, FALSE) - SUMIF($F$1:$F2164, F2165, $H$1:$H2164))
</f>
        <v/>
      </c>
      <c r="I2165" s="26"/>
      <c r="J2165" s="26" t="s">
        <v>77</v>
      </c>
      <c r="L2165" s="27" t="s">
        <v>77</v>
      </c>
      <c r="N2165" s="28" t="s">
        <v>77</v>
      </c>
      <c r="Q2165" s="30"/>
    </row>
    <row r="2166">
      <c r="B2166" s="6"/>
      <c r="C2166" s="33" t="str">
        <f t="array" ref="C2166">IF(B2166="", "", XLOOKUP(B2166, Inventory!D:D,Inventory!E:E,"No Name Found"))</f>
        <v/>
      </c>
      <c r="D2166" s="6"/>
      <c r="E2166" s="6"/>
      <c r="F2166" s="6"/>
      <c r="G2166" s="24" t="str">
        <f>IF(F2166="", "", VLOOKUP(F2166, Inventory!A:BZ, 3, FALSE) - SUMIF($F$1:$F2165, F2166, $H$1:$H2165))
</f>
        <v/>
      </c>
      <c r="I2166" s="26"/>
      <c r="J2166" s="26" t="s">
        <v>77</v>
      </c>
      <c r="L2166" s="27" t="s">
        <v>77</v>
      </c>
      <c r="N2166" s="28" t="s">
        <v>77</v>
      </c>
      <c r="Q2166" s="30"/>
    </row>
    <row r="2167">
      <c r="B2167" s="6"/>
      <c r="C2167" s="33" t="str">
        <f t="array" ref="C2167">IF(B2167="", "", XLOOKUP(B2167, Inventory!D:D,Inventory!E:E,"No Name Found"))</f>
        <v/>
      </c>
      <c r="D2167" s="6"/>
      <c r="E2167" s="6"/>
      <c r="F2167" s="6"/>
      <c r="G2167" s="24" t="str">
        <f>IF(F2167="", "", VLOOKUP(F2167, Inventory!A:BZ, 3, FALSE) - SUMIF($F$1:$F2166, F2167, $H$1:$H2166))
</f>
        <v/>
      </c>
      <c r="I2167" s="26"/>
      <c r="J2167" s="26" t="s">
        <v>77</v>
      </c>
      <c r="L2167" s="27" t="s">
        <v>77</v>
      </c>
      <c r="N2167" s="28" t="s">
        <v>77</v>
      </c>
      <c r="Q2167" s="30"/>
    </row>
    <row r="2168">
      <c r="B2168" s="6"/>
      <c r="C2168" s="33" t="str">
        <f t="array" ref="C2168">IF(B2168="", "", XLOOKUP(B2168, Inventory!D:D,Inventory!E:E,"No Name Found"))</f>
        <v/>
      </c>
      <c r="D2168" s="6"/>
      <c r="E2168" s="6"/>
      <c r="F2168" s="6"/>
      <c r="G2168" s="24" t="str">
        <f>IF(F2168="", "", VLOOKUP(F2168, Inventory!A:BZ, 3, FALSE) - SUMIF($F$1:$F2167, F2168, $H$1:$H2167))
</f>
        <v/>
      </c>
      <c r="I2168" s="26"/>
      <c r="J2168" s="26" t="s">
        <v>77</v>
      </c>
      <c r="L2168" s="27" t="s">
        <v>77</v>
      </c>
      <c r="N2168" s="28" t="s">
        <v>77</v>
      </c>
      <c r="Q2168" s="30"/>
    </row>
    <row r="2169">
      <c r="B2169" s="6"/>
      <c r="C2169" s="33" t="str">
        <f t="array" ref="C2169">IF(B2169="", "", XLOOKUP(B2169, Inventory!D:D,Inventory!E:E,"No Name Found"))</f>
        <v/>
      </c>
      <c r="D2169" s="6"/>
      <c r="E2169" s="6"/>
      <c r="F2169" s="6"/>
      <c r="G2169" s="24" t="str">
        <f>IF(F2169="", "", VLOOKUP(F2169, Inventory!A:BZ, 3, FALSE) - SUMIF($F$1:$F2168, F2169, $H$1:$H2168))
</f>
        <v/>
      </c>
      <c r="I2169" s="26"/>
      <c r="J2169" s="26" t="s">
        <v>77</v>
      </c>
      <c r="L2169" s="27" t="s">
        <v>77</v>
      </c>
      <c r="N2169" s="28" t="s">
        <v>77</v>
      </c>
      <c r="Q2169" s="30"/>
    </row>
    <row r="2170">
      <c r="B2170" s="6"/>
      <c r="C2170" s="33" t="str">
        <f t="array" ref="C2170">IF(B2170="", "", XLOOKUP(B2170, Inventory!D:D,Inventory!E:E,"No Name Found"))</f>
        <v/>
      </c>
      <c r="D2170" s="6"/>
      <c r="E2170" s="6"/>
      <c r="F2170" s="6"/>
      <c r="G2170" s="24" t="str">
        <f>IF(F2170="", "", VLOOKUP(F2170, Inventory!A:BZ, 3, FALSE) - SUMIF($F$1:$F2169, F2170, $H$1:$H2169))
</f>
        <v/>
      </c>
      <c r="I2170" s="26"/>
      <c r="J2170" s="26" t="s">
        <v>77</v>
      </c>
      <c r="L2170" s="27" t="s">
        <v>77</v>
      </c>
      <c r="N2170" s="28" t="s">
        <v>77</v>
      </c>
      <c r="Q2170" s="30"/>
    </row>
    <row r="2171">
      <c r="B2171" s="6"/>
      <c r="C2171" s="33" t="str">
        <f t="array" ref="C2171">IF(B2171="", "", XLOOKUP(B2171, Inventory!D:D,Inventory!E:E,"No Name Found"))</f>
        <v/>
      </c>
      <c r="D2171" s="6"/>
      <c r="E2171" s="6"/>
      <c r="F2171" s="6"/>
      <c r="G2171" s="24" t="str">
        <f>IF(F2171="", "", VLOOKUP(F2171, Inventory!A:BZ, 3, FALSE) - SUMIF($F$1:$F2170, F2171, $H$1:$H2170))
</f>
        <v/>
      </c>
      <c r="I2171" s="26"/>
      <c r="J2171" s="26" t="s">
        <v>77</v>
      </c>
      <c r="L2171" s="27" t="s">
        <v>77</v>
      </c>
      <c r="N2171" s="28" t="s">
        <v>77</v>
      </c>
      <c r="Q2171" s="30"/>
    </row>
    <row r="2172">
      <c r="B2172" s="6"/>
      <c r="C2172" s="33" t="str">
        <f t="array" ref="C2172">IF(B2172="", "", XLOOKUP(B2172, Inventory!D:D,Inventory!E:E,"No Name Found"))</f>
        <v/>
      </c>
      <c r="D2172" s="6"/>
      <c r="E2172" s="6"/>
      <c r="F2172" s="6"/>
      <c r="G2172" s="24" t="str">
        <f>IF(F2172="", "", VLOOKUP(F2172, Inventory!A:BZ, 3, FALSE) - SUMIF($F$1:$F2171, F2172, $H$1:$H2171))
</f>
        <v/>
      </c>
      <c r="I2172" s="26"/>
      <c r="J2172" s="26" t="s">
        <v>77</v>
      </c>
      <c r="L2172" s="27" t="s">
        <v>77</v>
      </c>
      <c r="N2172" s="28" t="s">
        <v>77</v>
      </c>
      <c r="Q2172" s="30"/>
    </row>
    <row r="2173">
      <c r="B2173" s="6"/>
      <c r="C2173" s="33" t="str">
        <f t="array" ref="C2173">IF(B2173="", "", XLOOKUP(B2173, Inventory!D:D,Inventory!E:E,"No Name Found"))</f>
        <v/>
      </c>
      <c r="D2173" s="6"/>
      <c r="E2173" s="6"/>
      <c r="F2173" s="6"/>
      <c r="G2173" s="24" t="str">
        <f>IF(F2173="", "", VLOOKUP(F2173, Inventory!A:BZ, 3, FALSE) - SUMIF($F$1:$F2172, F2173, $H$1:$H2172))
</f>
        <v/>
      </c>
      <c r="I2173" s="26"/>
      <c r="J2173" s="26" t="s">
        <v>77</v>
      </c>
      <c r="L2173" s="27" t="s">
        <v>77</v>
      </c>
      <c r="N2173" s="28" t="s">
        <v>77</v>
      </c>
      <c r="Q2173" s="30"/>
    </row>
    <row r="2174">
      <c r="B2174" s="6"/>
      <c r="C2174" s="33" t="str">
        <f t="array" ref="C2174">IF(B2174="", "", XLOOKUP(B2174, Inventory!D:D,Inventory!E:E,"No Name Found"))</f>
        <v/>
      </c>
      <c r="D2174" s="6"/>
      <c r="E2174" s="6"/>
      <c r="F2174" s="6"/>
      <c r="G2174" s="24" t="str">
        <f>IF(F2174="", "", VLOOKUP(F2174, Inventory!A:BZ, 3, FALSE) - SUMIF($F$1:$F2173, F2174, $H$1:$H2173))
</f>
        <v/>
      </c>
      <c r="I2174" s="26"/>
      <c r="J2174" s="26" t="s">
        <v>77</v>
      </c>
      <c r="L2174" s="27" t="s">
        <v>77</v>
      </c>
      <c r="N2174" s="28" t="s">
        <v>77</v>
      </c>
      <c r="Q2174" s="30"/>
    </row>
    <row r="2175">
      <c r="B2175" s="6"/>
      <c r="C2175" s="33" t="str">
        <f t="array" ref="C2175">IF(B2175="", "", XLOOKUP(B2175, Inventory!D:D,Inventory!E:E,"No Name Found"))</f>
        <v/>
      </c>
      <c r="D2175" s="6"/>
      <c r="E2175" s="6"/>
      <c r="F2175" s="6"/>
      <c r="G2175" s="24" t="str">
        <f>IF(F2175="", "", VLOOKUP(F2175, Inventory!A:BZ, 3, FALSE) - SUMIF($F$1:$F2174, F2175, $H$1:$H2174))
</f>
        <v/>
      </c>
      <c r="I2175" s="26"/>
      <c r="J2175" s="26" t="s">
        <v>77</v>
      </c>
      <c r="L2175" s="27" t="s">
        <v>77</v>
      </c>
      <c r="N2175" s="28" t="s">
        <v>77</v>
      </c>
      <c r="Q2175" s="30"/>
    </row>
    <row r="2176">
      <c r="B2176" s="6"/>
      <c r="C2176" s="33" t="str">
        <f t="array" ref="C2176">IF(B2176="", "", XLOOKUP(B2176, Inventory!D:D,Inventory!E:E,"No Name Found"))</f>
        <v/>
      </c>
      <c r="D2176" s="6"/>
      <c r="E2176" s="6"/>
      <c r="F2176" s="6"/>
      <c r="G2176" s="24" t="str">
        <f>IF(F2176="", "", VLOOKUP(F2176, Inventory!A:BZ, 3, FALSE) - SUMIF($F$1:$F2175, F2176, $H$1:$H2175))
</f>
        <v/>
      </c>
      <c r="I2176" s="26"/>
      <c r="J2176" s="26" t="s">
        <v>77</v>
      </c>
      <c r="L2176" s="27" t="s">
        <v>77</v>
      </c>
      <c r="N2176" s="28" t="s">
        <v>77</v>
      </c>
      <c r="Q2176" s="30"/>
    </row>
    <row r="2177">
      <c r="B2177" s="6"/>
      <c r="C2177" s="33" t="str">
        <f t="array" ref="C2177">IF(B2177="", "", XLOOKUP(B2177, Inventory!D:D,Inventory!E:E,"No Name Found"))</f>
        <v/>
      </c>
      <c r="D2177" s="6"/>
      <c r="E2177" s="6"/>
      <c r="F2177" s="6"/>
      <c r="G2177" s="24" t="str">
        <f>IF(F2177="", "", VLOOKUP(F2177, Inventory!A:BZ, 3, FALSE) - SUMIF($F$1:$F2176, F2177, $H$1:$H2176))
</f>
        <v/>
      </c>
      <c r="I2177" s="26"/>
      <c r="J2177" s="26" t="s">
        <v>77</v>
      </c>
      <c r="L2177" s="27" t="s">
        <v>77</v>
      </c>
      <c r="N2177" s="28" t="s">
        <v>77</v>
      </c>
      <c r="Q2177" s="30"/>
    </row>
    <row r="2178">
      <c r="B2178" s="6"/>
      <c r="C2178" s="33" t="str">
        <f t="array" ref="C2178">IF(B2178="", "", XLOOKUP(B2178, Inventory!D:D,Inventory!E:E,"No Name Found"))</f>
        <v/>
      </c>
      <c r="D2178" s="6"/>
      <c r="E2178" s="6"/>
      <c r="F2178" s="6"/>
      <c r="G2178" s="24" t="str">
        <f>IF(F2178="", "", VLOOKUP(F2178, Inventory!A:BZ, 3, FALSE) - SUMIF($F$1:$F2177, F2178, $H$1:$H2177))
</f>
        <v/>
      </c>
      <c r="I2178" s="26"/>
      <c r="J2178" s="26" t="s">
        <v>77</v>
      </c>
      <c r="L2178" s="27" t="s">
        <v>77</v>
      </c>
      <c r="N2178" s="28" t="s">
        <v>77</v>
      </c>
      <c r="Q2178" s="30"/>
    </row>
    <row r="2179">
      <c r="B2179" s="6"/>
      <c r="C2179" s="33" t="str">
        <f t="array" ref="C2179">IF(B2179="", "", XLOOKUP(B2179, Inventory!D:D,Inventory!E:E,"No Name Found"))</f>
        <v/>
      </c>
      <c r="D2179" s="6"/>
      <c r="E2179" s="6"/>
      <c r="F2179" s="6"/>
      <c r="G2179" s="24" t="str">
        <f>IF(F2179="", "", VLOOKUP(F2179, Inventory!A:BZ, 3, FALSE) - SUMIF($F$1:$F2178, F2179, $H$1:$H2178))
</f>
        <v/>
      </c>
      <c r="I2179" s="26"/>
      <c r="J2179" s="26" t="s">
        <v>77</v>
      </c>
      <c r="L2179" s="27" t="s">
        <v>77</v>
      </c>
      <c r="N2179" s="28" t="s">
        <v>77</v>
      </c>
      <c r="Q2179" s="30"/>
    </row>
    <row r="2180">
      <c r="B2180" s="6"/>
      <c r="C2180" s="33" t="str">
        <f t="array" ref="C2180">IF(B2180="", "", XLOOKUP(B2180, Inventory!D:D,Inventory!E:E,"No Name Found"))</f>
        <v/>
      </c>
      <c r="D2180" s="6"/>
      <c r="E2180" s="6"/>
      <c r="F2180" s="6"/>
      <c r="G2180" s="24" t="str">
        <f>IF(F2180="", "", VLOOKUP(F2180, Inventory!A:BZ, 3, FALSE) - SUMIF($F$1:$F2179, F2180, $H$1:$H2179))
</f>
        <v/>
      </c>
      <c r="I2180" s="26"/>
      <c r="J2180" s="26" t="s">
        <v>77</v>
      </c>
      <c r="L2180" s="27" t="s">
        <v>77</v>
      </c>
      <c r="N2180" s="28" t="s">
        <v>77</v>
      </c>
      <c r="Q2180" s="30"/>
    </row>
    <row r="2181">
      <c r="B2181" s="6"/>
      <c r="C2181" s="33" t="str">
        <f t="array" ref="C2181">IF(B2181="", "", XLOOKUP(B2181, Inventory!D:D,Inventory!E:E,"No Name Found"))</f>
        <v/>
      </c>
      <c r="D2181" s="6"/>
      <c r="E2181" s="6"/>
      <c r="F2181" s="6"/>
      <c r="G2181" s="24" t="str">
        <f>IF(F2181="", "", VLOOKUP(F2181, Inventory!A:BZ, 3, FALSE) - SUMIF($F$1:$F2180, F2181, $H$1:$H2180))
</f>
        <v/>
      </c>
      <c r="I2181" s="26"/>
      <c r="J2181" s="26" t="s">
        <v>77</v>
      </c>
      <c r="L2181" s="27" t="s">
        <v>77</v>
      </c>
      <c r="N2181" s="28" t="s">
        <v>77</v>
      </c>
      <c r="Q2181" s="30"/>
    </row>
    <row r="2182">
      <c r="B2182" s="6"/>
      <c r="C2182" s="33" t="str">
        <f t="array" ref="C2182">IF(B2182="", "", XLOOKUP(B2182, Inventory!D:D,Inventory!E:E,"No Name Found"))</f>
        <v/>
      </c>
      <c r="D2182" s="6"/>
      <c r="E2182" s="6"/>
      <c r="F2182" s="6"/>
      <c r="G2182" s="24" t="str">
        <f>IF(F2182="", "", VLOOKUP(F2182, Inventory!A:BZ, 3, FALSE) - SUMIF($F$1:$F2181, F2182, $H$1:$H2181))
</f>
        <v/>
      </c>
      <c r="I2182" s="26"/>
      <c r="J2182" s="26" t="s">
        <v>77</v>
      </c>
      <c r="L2182" s="27" t="s">
        <v>77</v>
      </c>
      <c r="N2182" s="28" t="s">
        <v>77</v>
      </c>
      <c r="Q2182" s="30"/>
    </row>
    <row r="2183">
      <c r="B2183" s="6"/>
      <c r="C2183" s="33" t="str">
        <f t="array" ref="C2183">IF(B2183="", "", XLOOKUP(B2183, Inventory!D:D,Inventory!E:E,"No Name Found"))</f>
        <v/>
      </c>
      <c r="D2183" s="6"/>
      <c r="E2183" s="6"/>
      <c r="F2183" s="6"/>
      <c r="G2183" s="24" t="str">
        <f>IF(F2183="", "", VLOOKUP(F2183, Inventory!A:BZ, 3, FALSE) - SUMIF($F$1:$F2182, F2183, $H$1:$H2182))
</f>
        <v/>
      </c>
      <c r="I2183" s="26"/>
      <c r="J2183" s="26" t="s">
        <v>77</v>
      </c>
      <c r="L2183" s="27" t="s">
        <v>77</v>
      </c>
      <c r="N2183" s="28" t="s">
        <v>77</v>
      </c>
      <c r="Q2183" s="30"/>
    </row>
    <row r="2184">
      <c r="B2184" s="6"/>
      <c r="C2184" s="33" t="str">
        <f t="array" ref="C2184">IF(B2184="", "", XLOOKUP(B2184, Inventory!D:D,Inventory!E:E,"No Name Found"))</f>
        <v/>
      </c>
      <c r="D2184" s="6"/>
      <c r="E2184" s="6"/>
      <c r="F2184" s="6"/>
      <c r="G2184" s="24" t="str">
        <f>IF(F2184="", "", VLOOKUP(F2184, Inventory!A:BZ, 3, FALSE) - SUMIF($F$1:$F2183, F2184, $H$1:$H2183))
</f>
        <v/>
      </c>
      <c r="I2184" s="26"/>
      <c r="J2184" s="26" t="s">
        <v>77</v>
      </c>
      <c r="L2184" s="27" t="s">
        <v>77</v>
      </c>
      <c r="N2184" s="28" t="s">
        <v>77</v>
      </c>
      <c r="Q2184" s="30"/>
    </row>
    <row r="2185">
      <c r="B2185" s="6"/>
      <c r="C2185" s="33" t="str">
        <f t="array" ref="C2185">IF(B2185="", "", XLOOKUP(B2185, Inventory!D:D,Inventory!E:E,"No Name Found"))</f>
        <v/>
      </c>
      <c r="D2185" s="6"/>
      <c r="E2185" s="6"/>
      <c r="F2185" s="6"/>
      <c r="G2185" s="24" t="str">
        <f>IF(F2185="", "", VLOOKUP(F2185, Inventory!A:BZ, 3, FALSE) - SUMIF($F$1:$F2184, F2185, $H$1:$H2184))
</f>
        <v/>
      </c>
      <c r="I2185" s="26"/>
      <c r="J2185" s="26" t="s">
        <v>77</v>
      </c>
      <c r="L2185" s="27" t="s">
        <v>77</v>
      </c>
      <c r="N2185" s="28" t="s">
        <v>77</v>
      </c>
      <c r="Q2185" s="30"/>
    </row>
    <row r="2186">
      <c r="B2186" s="6"/>
      <c r="C2186" s="33" t="str">
        <f t="array" ref="C2186">IF(B2186="", "", XLOOKUP(B2186, Inventory!D:D,Inventory!E:E,"No Name Found"))</f>
        <v/>
      </c>
      <c r="D2186" s="6"/>
      <c r="E2186" s="6"/>
      <c r="F2186" s="6"/>
      <c r="G2186" s="24" t="str">
        <f>IF(F2186="", "", VLOOKUP(F2186, Inventory!A:BZ, 3, FALSE) - SUMIF($F$1:$F2185, F2186, $H$1:$H2185))
</f>
        <v/>
      </c>
      <c r="I2186" s="26"/>
      <c r="J2186" s="26" t="s">
        <v>77</v>
      </c>
      <c r="L2186" s="27" t="s">
        <v>77</v>
      </c>
      <c r="N2186" s="28" t="s">
        <v>77</v>
      </c>
      <c r="Q2186" s="30"/>
    </row>
    <row r="2187">
      <c r="B2187" s="6"/>
      <c r="C2187" s="33" t="str">
        <f t="array" ref="C2187">IF(B2187="", "", XLOOKUP(B2187, Inventory!D:D,Inventory!E:E,"No Name Found"))</f>
        <v/>
      </c>
      <c r="D2187" s="6"/>
      <c r="E2187" s="6"/>
      <c r="F2187" s="6"/>
      <c r="G2187" s="24" t="str">
        <f>IF(F2187="", "", VLOOKUP(F2187, Inventory!A:BZ, 3, FALSE) - SUMIF($F$1:$F2186, F2187, $H$1:$H2186))
</f>
        <v/>
      </c>
      <c r="I2187" s="26"/>
      <c r="J2187" s="26" t="s">
        <v>77</v>
      </c>
      <c r="L2187" s="27" t="s">
        <v>77</v>
      </c>
      <c r="N2187" s="28" t="s">
        <v>77</v>
      </c>
      <c r="Q2187" s="30"/>
    </row>
    <row r="2188">
      <c r="B2188" s="6"/>
      <c r="C2188" s="33" t="str">
        <f t="array" ref="C2188">IF(B2188="", "", XLOOKUP(B2188, Inventory!D:D,Inventory!E:E,"No Name Found"))</f>
        <v/>
      </c>
      <c r="D2188" s="6"/>
      <c r="E2188" s="6"/>
      <c r="F2188" s="6"/>
      <c r="G2188" s="24" t="str">
        <f>IF(F2188="", "", VLOOKUP(F2188, Inventory!A:BZ, 3, FALSE) - SUMIF($F$1:$F2187, F2188, $H$1:$H2187))
</f>
        <v/>
      </c>
      <c r="I2188" s="26"/>
      <c r="J2188" s="26" t="s">
        <v>77</v>
      </c>
      <c r="L2188" s="27" t="s">
        <v>77</v>
      </c>
      <c r="N2188" s="28" t="s">
        <v>77</v>
      </c>
      <c r="Q2188" s="30"/>
    </row>
    <row r="2189">
      <c r="B2189" s="6"/>
      <c r="C2189" s="33" t="str">
        <f t="array" ref="C2189">IF(B2189="", "", XLOOKUP(B2189, Inventory!D:D,Inventory!E:E,"No Name Found"))</f>
        <v/>
      </c>
      <c r="D2189" s="6"/>
      <c r="E2189" s="6"/>
      <c r="F2189" s="6"/>
      <c r="G2189" s="24" t="str">
        <f>IF(F2189="", "", VLOOKUP(F2189, Inventory!A:BZ, 3, FALSE) - SUMIF($F$1:$F2188, F2189, $H$1:$H2188))
</f>
        <v/>
      </c>
      <c r="I2189" s="26"/>
      <c r="J2189" s="26" t="s">
        <v>77</v>
      </c>
      <c r="L2189" s="27" t="s">
        <v>77</v>
      </c>
      <c r="N2189" s="28" t="s">
        <v>77</v>
      </c>
      <c r="Q2189" s="30"/>
    </row>
    <row r="2190">
      <c r="B2190" s="6"/>
      <c r="C2190" s="33" t="str">
        <f t="array" ref="C2190">IF(B2190="", "", XLOOKUP(B2190, Inventory!D:D,Inventory!E:E,"No Name Found"))</f>
        <v/>
      </c>
      <c r="D2190" s="6"/>
      <c r="E2190" s="6"/>
      <c r="F2190" s="6"/>
      <c r="G2190" s="24" t="str">
        <f>IF(F2190="", "", VLOOKUP(F2190, Inventory!A:BZ, 3, FALSE) - SUMIF($F$1:$F2189, F2190, $H$1:$H2189))
</f>
        <v/>
      </c>
      <c r="I2190" s="26"/>
      <c r="J2190" s="26" t="s">
        <v>77</v>
      </c>
      <c r="L2190" s="27" t="s">
        <v>77</v>
      </c>
      <c r="N2190" s="28" t="s">
        <v>77</v>
      </c>
      <c r="Q2190" s="30"/>
    </row>
    <row r="2191">
      <c r="B2191" s="6"/>
      <c r="C2191" s="33" t="str">
        <f t="array" ref="C2191">IF(B2191="", "", XLOOKUP(B2191, Inventory!D:D,Inventory!E:E,"No Name Found"))</f>
        <v/>
      </c>
      <c r="D2191" s="6"/>
      <c r="E2191" s="6"/>
      <c r="F2191" s="6"/>
      <c r="G2191" s="24" t="str">
        <f>IF(F2191="", "", VLOOKUP(F2191, Inventory!A:BZ, 3, FALSE) - SUMIF($F$1:$F2190, F2191, $H$1:$H2190))
</f>
        <v/>
      </c>
      <c r="I2191" s="26"/>
      <c r="J2191" s="26" t="s">
        <v>77</v>
      </c>
      <c r="L2191" s="27" t="s">
        <v>77</v>
      </c>
      <c r="N2191" s="28" t="s">
        <v>77</v>
      </c>
      <c r="Q2191" s="30"/>
    </row>
    <row r="2192">
      <c r="B2192" s="6"/>
      <c r="C2192" s="33" t="str">
        <f t="array" ref="C2192">IF(B2192="", "", XLOOKUP(B2192, Inventory!D:D,Inventory!E:E,"No Name Found"))</f>
        <v/>
      </c>
      <c r="D2192" s="6"/>
      <c r="E2192" s="6"/>
      <c r="F2192" s="6"/>
      <c r="G2192" s="24" t="str">
        <f>IF(F2192="", "", VLOOKUP(F2192, Inventory!A:BZ, 3, FALSE) - SUMIF($F$1:$F2191, F2192, $H$1:$H2191))
</f>
        <v/>
      </c>
      <c r="I2192" s="26"/>
      <c r="J2192" s="26" t="s">
        <v>77</v>
      </c>
      <c r="L2192" s="27" t="s">
        <v>77</v>
      </c>
      <c r="N2192" s="28" t="s">
        <v>77</v>
      </c>
      <c r="Q2192" s="30"/>
    </row>
    <row r="2193">
      <c r="B2193" s="6"/>
      <c r="C2193" s="33" t="str">
        <f t="array" ref="C2193">IF(B2193="", "", XLOOKUP(B2193, Inventory!D:D,Inventory!E:E,"No Name Found"))</f>
        <v/>
      </c>
      <c r="D2193" s="6"/>
      <c r="E2193" s="6"/>
      <c r="F2193" s="6"/>
      <c r="G2193" s="24" t="str">
        <f>IF(F2193="", "", VLOOKUP(F2193, Inventory!A:BZ, 3, FALSE) - SUMIF($F$1:$F2192, F2193, $H$1:$H2192))
</f>
        <v/>
      </c>
      <c r="I2193" s="26"/>
      <c r="J2193" s="26" t="s">
        <v>77</v>
      </c>
      <c r="L2193" s="27" t="s">
        <v>77</v>
      </c>
      <c r="N2193" s="28" t="s">
        <v>77</v>
      </c>
      <c r="Q2193" s="30"/>
    </row>
    <row r="2194">
      <c r="B2194" s="6"/>
      <c r="C2194" s="33" t="str">
        <f t="array" ref="C2194">IF(B2194="", "", XLOOKUP(B2194, Inventory!D:D,Inventory!E:E,"No Name Found"))</f>
        <v/>
      </c>
      <c r="D2194" s="6"/>
      <c r="E2194" s="6"/>
      <c r="F2194" s="6"/>
      <c r="G2194" s="24" t="str">
        <f>IF(F2194="", "", VLOOKUP(F2194, Inventory!A:BZ, 3, FALSE) - SUMIF($F$1:$F2193, F2194, $H$1:$H2193))
</f>
        <v/>
      </c>
      <c r="I2194" s="26"/>
      <c r="J2194" s="26" t="s">
        <v>77</v>
      </c>
      <c r="L2194" s="27" t="s">
        <v>77</v>
      </c>
      <c r="N2194" s="28" t="s">
        <v>77</v>
      </c>
      <c r="Q2194" s="30"/>
    </row>
    <row r="2195">
      <c r="B2195" s="6"/>
      <c r="C2195" s="33" t="str">
        <f t="array" ref="C2195">IF(B2195="", "", XLOOKUP(B2195, Inventory!D:D,Inventory!E:E,"No Name Found"))</f>
        <v/>
      </c>
      <c r="D2195" s="6"/>
      <c r="E2195" s="6"/>
      <c r="F2195" s="6"/>
      <c r="G2195" s="24" t="str">
        <f>IF(F2195="", "", VLOOKUP(F2195, Inventory!A:BZ, 3, FALSE) - SUMIF($F$1:$F2194, F2195, $H$1:$H2194))
</f>
        <v/>
      </c>
      <c r="I2195" s="26"/>
      <c r="J2195" s="26" t="s">
        <v>77</v>
      </c>
      <c r="L2195" s="27" t="s">
        <v>77</v>
      </c>
      <c r="N2195" s="28" t="s">
        <v>77</v>
      </c>
      <c r="Q2195" s="30"/>
    </row>
    <row r="2196">
      <c r="B2196" s="6"/>
      <c r="C2196" s="33" t="str">
        <f t="array" ref="C2196">IF(B2196="", "", XLOOKUP(B2196, Inventory!D:D,Inventory!E:E,"No Name Found"))</f>
        <v/>
      </c>
      <c r="D2196" s="6"/>
      <c r="E2196" s="6"/>
      <c r="F2196" s="6"/>
      <c r="G2196" s="24" t="str">
        <f>IF(F2196="", "", VLOOKUP(F2196, Inventory!A:BZ, 3, FALSE) - SUMIF($F$1:$F2195, F2196, $H$1:$H2195))
</f>
        <v/>
      </c>
      <c r="I2196" s="26"/>
      <c r="J2196" s="26" t="s">
        <v>77</v>
      </c>
      <c r="L2196" s="27" t="s">
        <v>77</v>
      </c>
      <c r="N2196" s="28" t="s">
        <v>77</v>
      </c>
      <c r="Q2196" s="30"/>
    </row>
    <row r="2197">
      <c r="B2197" s="6"/>
      <c r="C2197" s="33" t="str">
        <f t="array" ref="C2197">IF(B2197="", "", XLOOKUP(B2197, Inventory!D:D,Inventory!E:E,"No Name Found"))</f>
        <v/>
      </c>
      <c r="D2197" s="6"/>
      <c r="E2197" s="6"/>
      <c r="F2197" s="6"/>
      <c r="G2197" s="24" t="str">
        <f>IF(F2197="", "", VLOOKUP(F2197, Inventory!A:BZ, 3, FALSE) - SUMIF($F$1:$F2196, F2197, $H$1:$H2196))
</f>
        <v/>
      </c>
      <c r="I2197" s="26"/>
      <c r="J2197" s="26" t="s">
        <v>77</v>
      </c>
      <c r="L2197" s="27" t="s">
        <v>77</v>
      </c>
      <c r="N2197" s="28" t="s">
        <v>77</v>
      </c>
      <c r="Q2197" s="30"/>
    </row>
    <row r="2198">
      <c r="B2198" s="6"/>
      <c r="C2198" s="33" t="str">
        <f t="array" ref="C2198">IF(B2198="", "", XLOOKUP(B2198, Inventory!D:D,Inventory!E:E,"No Name Found"))</f>
        <v/>
      </c>
      <c r="D2198" s="6"/>
      <c r="E2198" s="6"/>
      <c r="F2198" s="6"/>
      <c r="G2198" s="24" t="str">
        <f>IF(F2198="", "", VLOOKUP(F2198, Inventory!A:BZ, 3, FALSE) - SUMIF($F$1:$F2197, F2198, $H$1:$H2197))
</f>
        <v/>
      </c>
      <c r="I2198" s="26"/>
      <c r="J2198" s="26" t="s">
        <v>77</v>
      </c>
      <c r="L2198" s="27" t="s">
        <v>77</v>
      </c>
      <c r="N2198" s="28" t="s">
        <v>77</v>
      </c>
      <c r="Q2198" s="30"/>
    </row>
    <row r="2199">
      <c r="B2199" s="6"/>
      <c r="C2199" s="33" t="str">
        <f t="array" ref="C2199">IF(B2199="", "", XLOOKUP(B2199, Inventory!D:D,Inventory!E:E,"No Name Found"))</f>
        <v/>
      </c>
      <c r="D2199" s="6"/>
      <c r="E2199" s="6"/>
      <c r="F2199" s="6"/>
      <c r="G2199" s="24" t="str">
        <f>IF(F2199="", "", VLOOKUP(F2199, Inventory!A:BZ, 3, FALSE) - SUMIF($F$1:$F2198, F2199, $H$1:$H2198))
</f>
        <v/>
      </c>
      <c r="I2199" s="26"/>
      <c r="J2199" s="26" t="s">
        <v>77</v>
      </c>
      <c r="L2199" s="27" t="s">
        <v>77</v>
      </c>
      <c r="N2199" s="28" t="s">
        <v>77</v>
      </c>
      <c r="Q2199" s="30"/>
    </row>
    <row r="2200">
      <c r="B2200" s="6"/>
      <c r="C2200" s="33" t="str">
        <f t="array" ref="C2200">IF(B2200="", "", XLOOKUP(B2200, Inventory!D:D,Inventory!E:E,"No Name Found"))</f>
        <v/>
      </c>
      <c r="D2200" s="6"/>
      <c r="E2200" s="6"/>
      <c r="F2200" s="6"/>
      <c r="G2200" s="24" t="str">
        <f>IF(F2200="", "", VLOOKUP(F2200, Inventory!A:BZ, 3, FALSE) - SUMIF($F$1:$F2199, F2200, $H$1:$H2199))
</f>
        <v/>
      </c>
      <c r="I2200" s="26"/>
      <c r="J2200" s="26" t="s">
        <v>77</v>
      </c>
      <c r="L2200" s="27" t="s">
        <v>77</v>
      </c>
      <c r="N2200" s="28" t="s">
        <v>77</v>
      </c>
      <c r="Q2200" s="30"/>
    </row>
    <row r="2201">
      <c r="B2201" s="6"/>
      <c r="C2201" s="33" t="str">
        <f t="array" ref="C2201">IF(B2201="", "", XLOOKUP(B2201, Inventory!D:D,Inventory!E:E,"No Name Found"))</f>
        <v/>
      </c>
      <c r="D2201" s="6"/>
      <c r="E2201" s="6"/>
      <c r="F2201" s="6"/>
      <c r="G2201" s="24" t="str">
        <f>IF(F2201="", "", VLOOKUP(F2201, Inventory!A:BZ, 3, FALSE) - SUMIF($F$1:$F2200, F2201, $H$1:$H2200))
</f>
        <v/>
      </c>
      <c r="I2201" s="26"/>
      <c r="J2201" s="26" t="s">
        <v>77</v>
      </c>
      <c r="L2201" s="27" t="s">
        <v>77</v>
      </c>
      <c r="N2201" s="28" t="s">
        <v>77</v>
      </c>
      <c r="Q2201" s="30"/>
    </row>
    <row r="2202">
      <c r="B2202" s="6"/>
      <c r="C2202" s="33" t="str">
        <f t="array" ref="C2202">IF(B2202="", "", XLOOKUP(B2202, Inventory!D:D,Inventory!E:E,"No Name Found"))</f>
        <v/>
      </c>
      <c r="D2202" s="6"/>
      <c r="E2202" s="6"/>
      <c r="F2202" s="6"/>
      <c r="G2202" s="24" t="str">
        <f>IF(F2202="", "", VLOOKUP(F2202, Inventory!A:BZ, 3, FALSE) - SUMIF($F$1:$F2201, F2202, $H$1:$H2201))
</f>
        <v/>
      </c>
      <c r="I2202" s="26"/>
      <c r="J2202" s="26" t="s">
        <v>77</v>
      </c>
      <c r="L2202" s="27" t="s">
        <v>77</v>
      </c>
      <c r="N2202" s="28" t="s">
        <v>77</v>
      </c>
      <c r="Q2202" s="30"/>
    </row>
    <row r="2203">
      <c r="B2203" s="6"/>
      <c r="C2203" s="33" t="str">
        <f t="array" ref="C2203">IF(B2203="", "", XLOOKUP(B2203, Inventory!D:D,Inventory!E:E,"No Name Found"))</f>
        <v/>
      </c>
      <c r="D2203" s="6"/>
      <c r="E2203" s="6"/>
      <c r="F2203" s="6"/>
      <c r="G2203" s="24" t="str">
        <f>IF(F2203="", "", VLOOKUP(F2203, Inventory!A:BZ, 3, FALSE) - SUMIF($F$1:$F2202, F2203, $H$1:$H2202))
</f>
        <v/>
      </c>
      <c r="I2203" s="26"/>
      <c r="J2203" s="26" t="s">
        <v>77</v>
      </c>
      <c r="L2203" s="27" t="s">
        <v>77</v>
      </c>
      <c r="N2203" s="28" t="s">
        <v>77</v>
      </c>
      <c r="Q2203" s="30"/>
    </row>
    <row r="2204">
      <c r="B2204" s="6"/>
      <c r="C2204" s="33" t="str">
        <f t="array" ref="C2204">IF(B2204="", "", XLOOKUP(B2204, Inventory!D:D,Inventory!E:E,"No Name Found"))</f>
        <v/>
      </c>
      <c r="D2204" s="6"/>
      <c r="E2204" s="6"/>
      <c r="F2204" s="6"/>
      <c r="G2204" s="24" t="str">
        <f>IF(F2204="", "", VLOOKUP(F2204, Inventory!A:BZ, 3, FALSE) - SUMIF($F$1:$F2203, F2204, $H$1:$H2203))
</f>
        <v/>
      </c>
      <c r="I2204" s="26"/>
      <c r="J2204" s="26" t="s">
        <v>77</v>
      </c>
      <c r="L2204" s="27" t="s">
        <v>77</v>
      </c>
      <c r="N2204" s="28" t="s">
        <v>77</v>
      </c>
      <c r="Q2204" s="30"/>
    </row>
    <row r="2205">
      <c r="B2205" s="6"/>
      <c r="C2205" s="33" t="str">
        <f t="array" ref="C2205">IF(B2205="", "", XLOOKUP(B2205, Inventory!D:D,Inventory!E:E,"No Name Found"))</f>
        <v/>
      </c>
      <c r="D2205" s="6"/>
      <c r="E2205" s="6"/>
      <c r="F2205" s="6"/>
      <c r="G2205" s="24" t="str">
        <f>IF(F2205="", "", VLOOKUP(F2205, Inventory!A:BZ, 3, FALSE) - SUMIF($F$1:$F2204, F2205, $H$1:$H2204))
</f>
        <v/>
      </c>
      <c r="I2205" s="26"/>
      <c r="J2205" s="26" t="s">
        <v>77</v>
      </c>
      <c r="L2205" s="27" t="s">
        <v>77</v>
      </c>
      <c r="N2205" s="28" t="s">
        <v>77</v>
      </c>
      <c r="Q2205" s="30"/>
    </row>
    <row r="2206">
      <c r="B2206" s="6"/>
      <c r="C2206" s="33" t="str">
        <f t="array" ref="C2206">IF(B2206="", "", XLOOKUP(B2206, Inventory!D:D,Inventory!E:E,"No Name Found"))</f>
        <v/>
      </c>
      <c r="D2206" s="6"/>
      <c r="E2206" s="6"/>
      <c r="F2206" s="6"/>
      <c r="G2206" s="24" t="str">
        <f>IF(F2206="", "", VLOOKUP(F2206, Inventory!A:BZ, 3, FALSE) - SUMIF($F$1:$F2205, F2206, $H$1:$H2205))
</f>
        <v/>
      </c>
      <c r="I2206" s="26"/>
      <c r="J2206" s="26" t="s">
        <v>77</v>
      </c>
      <c r="L2206" s="27" t="s">
        <v>77</v>
      </c>
      <c r="N2206" s="28" t="s">
        <v>77</v>
      </c>
      <c r="Q2206" s="30"/>
    </row>
    <row r="2207">
      <c r="B2207" s="6"/>
      <c r="C2207" s="33" t="str">
        <f t="array" ref="C2207">IF(B2207="", "", XLOOKUP(B2207, Inventory!D:D,Inventory!E:E,"No Name Found"))</f>
        <v/>
      </c>
      <c r="D2207" s="6"/>
      <c r="E2207" s="6"/>
      <c r="F2207" s="6"/>
      <c r="G2207" s="24" t="str">
        <f>IF(F2207="", "", VLOOKUP(F2207, Inventory!A:BZ, 3, FALSE) - SUMIF($F$1:$F2206, F2207, $H$1:$H2206))
</f>
        <v/>
      </c>
      <c r="I2207" s="26"/>
      <c r="J2207" s="26" t="s">
        <v>77</v>
      </c>
      <c r="L2207" s="27" t="s">
        <v>77</v>
      </c>
      <c r="N2207" s="28" t="s">
        <v>77</v>
      </c>
      <c r="Q2207" s="30"/>
    </row>
    <row r="2208">
      <c r="B2208" s="6"/>
      <c r="C2208" s="33" t="str">
        <f t="array" ref="C2208">IF(B2208="", "", XLOOKUP(B2208, Inventory!D:D,Inventory!E:E,"No Name Found"))</f>
        <v/>
      </c>
      <c r="D2208" s="6"/>
      <c r="E2208" s="6"/>
      <c r="F2208" s="6"/>
      <c r="G2208" s="24" t="str">
        <f>IF(F2208="", "", VLOOKUP(F2208, Inventory!A:BZ, 3, FALSE) - SUMIF($F$1:$F2207, F2208, $H$1:$H2207))
</f>
        <v/>
      </c>
      <c r="I2208" s="26"/>
      <c r="J2208" s="26" t="s">
        <v>77</v>
      </c>
      <c r="L2208" s="27" t="s">
        <v>77</v>
      </c>
      <c r="N2208" s="28" t="s">
        <v>77</v>
      </c>
      <c r="Q2208" s="30"/>
    </row>
    <row r="2209">
      <c r="B2209" s="6"/>
      <c r="C2209" s="33" t="str">
        <f t="array" ref="C2209">IF(B2209="", "", XLOOKUP(B2209, Inventory!D:D,Inventory!E:E,"No Name Found"))</f>
        <v/>
      </c>
      <c r="D2209" s="6"/>
      <c r="E2209" s="6"/>
      <c r="F2209" s="6"/>
      <c r="G2209" s="24" t="str">
        <f>IF(F2209="", "", VLOOKUP(F2209, Inventory!A:BZ, 3, FALSE) - SUMIF($F$1:$F2208, F2209, $H$1:$H2208))
</f>
        <v/>
      </c>
      <c r="I2209" s="26"/>
      <c r="J2209" s="26" t="s">
        <v>77</v>
      </c>
      <c r="L2209" s="27" t="s">
        <v>77</v>
      </c>
      <c r="N2209" s="28" t="s">
        <v>77</v>
      </c>
      <c r="Q2209" s="30"/>
    </row>
    <row r="2210">
      <c r="B2210" s="6"/>
      <c r="C2210" s="33" t="str">
        <f t="array" ref="C2210">IF(B2210="", "", XLOOKUP(B2210, Inventory!D:D,Inventory!E:E,"No Name Found"))</f>
        <v/>
      </c>
      <c r="D2210" s="6"/>
      <c r="E2210" s="6"/>
      <c r="F2210" s="6"/>
      <c r="G2210" s="24" t="str">
        <f>IF(F2210="", "", VLOOKUP(F2210, Inventory!A:BZ, 3, FALSE) - SUMIF($F$1:$F2209, F2210, $H$1:$H2209))
</f>
        <v/>
      </c>
      <c r="I2210" s="26"/>
      <c r="J2210" s="26" t="s">
        <v>77</v>
      </c>
      <c r="L2210" s="27" t="s">
        <v>77</v>
      </c>
      <c r="N2210" s="28" t="s">
        <v>77</v>
      </c>
      <c r="Q2210" s="30"/>
    </row>
    <row r="2211">
      <c r="B2211" s="6"/>
      <c r="C2211" s="33" t="str">
        <f t="array" ref="C2211">IF(B2211="", "", XLOOKUP(B2211, Inventory!D:D,Inventory!E:E,"No Name Found"))</f>
        <v/>
      </c>
      <c r="D2211" s="6"/>
      <c r="E2211" s="6"/>
      <c r="F2211" s="6"/>
      <c r="G2211" s="24" t="str">
        <f>IF(F2211="", "", VLOOKUP(F2211, Inventory!A:BZ, 3, FALSE) - SUMIF($F$1:$F2210, F2211, $H$1:$H2210))
</f>
        <v/>
      </c>
      <c r="I2211" s="26"/>
      <c r="J2211" s="26" t="s">
        <v>77</v>
      </c>
      <c r="L2211" s="27" t="s">
        <v>77</v>
      </c>
      <c r="N2211" s="28" t="s">
        <v>77</v>
      </c>
      <c r="Q2211" s="30"/>
    </row>
    <row r="2212">
      <c r="B2212" s="6"/>
      <c r="C2212" s="33" t="str">
        <f t="array" ref="C2212">IF(B2212="", "", XLOOKUP(B2212, Inventory!D:D,Inventory!E:E,"No Name Found"))</f>
        <v/>
      </c>
      <c r="D2212" s="6"/>
      <c r="E2212" s="6"/>
      <c r="F2212" s="6"/>
      <c r="G2212" s="24" t="str">
        <f>IF(F2212="", "", VLOOKUP(F2212, Inventory!A:BZ, 3, FALSE) - SUMIF($F$1:$F2211, F2212, $H$1:$H2211))
</f>
        <v/>
      </c>
      <c r="I2212" s="26"/>
      <c r="J2212" s="26" t="s">
        <v>77</v>
      </c>
      <c r="L2212" s="27" t="s">
        <v>77</v>
      </c>
      <c r="N2212" s="28" t="s">
        <v>77</v>
      </c>
      <c r="Q2212" s="30"/>
    </row>
    <row r="2213">
      <c r="B2213" s="6"/>
      <c r="C2213" s="33" t="str">
        <f t="array" ref="C2213">IF(B2213="", "", XLOOKUP(B2213, Inventory!D:D,Inventory!E:E,"No Name Found"))</f>
        <v/>
      </c>
      <c r="D2213" s="6"/>
      <c r="E2213" s="6"/>
      <c r="F2213" s="6"/>
      <c r="G2213" s="24" t="str">
        <f>IF(F2213="", "", VLOOKUP(F2213, Inventory!A:BZ, 3, FALSE) - SUMIF($F$1:$F2212, F2213, $H$1:$H2212))
</f>
        <v/>
      </c>
      <c r="I2213" s="26"/>
      <c r="J2213" s="26" t="s">
        <v>77</v>
      </c>
      <c r="L2213" s="27" t="s">
        <v>77</v>
      </c>
      <c r="N2213" s="28" t="s">
        <v>77</v>
      </c>
      <c r="Q2213" s="30"/>
    </row>
    <row r="2214">
      <c r="B2214" s="6"/>
      <c r="C2214" s="33" t="str">
        <f t="array" ref="C2214">IF(B2214="", "", XLOOKUP(B2214, Inventory!D:D,Inventory!E:E,"No Name Found"))</f>
        <v/>
      </c>
      <c r="D2214" s="6"/>
      <c r="E2214" s="6"/>
      <c r="F2214" s="6"/>
      <c r="G2214" s="24" t="str">
        <f>IF(F2214="", "", VLOOKUP(F2214, Inventory!A:BZ, 3, FALSE) - SUMIF($F$1:$F2213, F2214, $H$1:$H2213))
</f>
        <v/>
      </c>
      <c r="I2214" s="26"/>
      <c r="J2214" s="26" t="s">
        <v>77</v>
      </c>
      <c r="L2214" s="27" t="s">
        <v>77</v>
      </c>
      <c r="N2214" s="28" t="s">
        <v>77</v>
      </c>
      <c r="Q2214" s="30"/>
    </row>
    <row r="2215">
      <c r="B2215" s="6"/>
      <c r="C2215" s="33" t="str">
        <f t="array" ref="C2215">IF(B2215="", "", XLOOKUP(B2215, Inventory!D:D,Inventory!E:E,"No Name Found"))</f>
        <v/>
      </c>
      <c r="D2215" s="6"/>
      <c r="E2215" s="6"/>
      <c r="F2215" s="6"/>
      <c r="G2215" s="24" t="str">
        <f>IF(F2215="", "", VLOOKUP(F2215, Inventory!A:BZ, 3, FALSE) - SUMIF($F$1:$F2214, F2215, $H$1:$H2214))
</f>
        <v/>
      </c>
      <c r="I2215" s="26"/>
      <c r="J2215" s="26" t="s">
        <v>77</v>
      </c>
      <c r="L2215" s="27" t="s">
        <v>77</v>
      </c>
      <c r="N2215" s="28" t="s">
        <v>77</v>
      </c>
      <c r="Q2215" s="30"/>
    </row>
    <row r="2216">
      <c r="B2216" s="6"/>
      <c r="C2216" s="33" t="str">
        <f t="array" ref="C2216">IF(B2216="", "", XLOOKUP(B2216, Inventory!D:D,Inventory!E:E,"No Name Found"))</f>
        <v/>
      </c>
      <c r="D2216" s="6"/>
      <c r="E2216" s="6"/>
      <c r="F2216" s="6"/>
      <c r="G2216" s="24" t="str">
        <f>IF(F2216="", "", VLOOKUP(F2216, Inventory!A:BZ, 3, FALSE) - SUMIF($F$1:$F2215, F2216, $H$1:$H2215))
</f>
        <v/>
      </c>
      <c r="I2216" s="26"/>
      <c r="J2216" s="26" t="s">
        <v>77</v>
      </c>
      <c r="L2216" s="27" t="s">
        <v>77</v>
      </c>
      <c r="N2216" s="28" t="s">
        <v>77</v>
      </c>
      <c r="Q2216" s="30"/>
    </row>
    <row r="2217">
      <c r="B2217" s="6"/>
      <c r="C2217" s="33" t="str">
        <f t="array" ref="C2217">IF(B2217="", "", XLOOKUP(B2217, Inventory!D:D,Inventory!E:E,"No Name Found"))</f>
        <v/>
      </c>
      <c r="D2217" s="6"/>
      <c r="E2217" s="6"/>
      <c r="F2217" s="6"/>
      <c r="G2217" s="24" t="str">
        <f>IF(F2217="", "", VLOOKUP(F2217, Inventory!A:BZ, 3, FALSE) - SUMIF($F$1:$F2216, F2217, $H$1:$H2216))
</f>
        <v/>
      </c>
      <c r="I2217" s="26"/>
      <c r="J2217" s="26" t="s">
        <v>77</v>
      </c>
      <c r="L2217" s="27" t="s">
        <v>77</v>
      </c>
      <c r="N2217" s="28" t="s">
        <v>77</v>
      </c>
      <c r="Q2217" s="30"/>
    </row>
    <row r="2218">
      <c r="B2218" s="6"/>
      <c r="C2218" s="33" t="str">
        <f t="array" ref="C2218">IF(B2218="", "", XLOOKUP(B2218, Inventory!D:D,Inventory!E:E,"No Name Found"))</f>
        <v/>
      </c>
      <c r="D2218" s="6"/>
      <c r="E2218" s="6"/>
      <c r="F2218" s="6"/>
      <c r="G2218" s="24" t="str">
        <f>IF(F2218="", "", VLOOKUP(F2218, Inventory!A:BZ, 3, FALSE) - SUMIF($F$1:$F2217, F2218, $H$1:$H2217))
</f>
        <v/>
      </c>
      <c r="I2218" s="26"/>
      <c r="J2218" s="26" t="s">
        <v>77</v>
      </c>
      <c r="L2218" s="27" t="s">
        <v>77</v>
      </c>
      <c r="N2218" s="28" t="s">
        <v>77</v>
      </c>
      <c r="Q2218" s="30"/>
    </row>
    <row r="2219">
      <c r="B2219" s="6"/>
      <c r="C2219" s="33" t="str">
        <f t="array" ref="C2219">IF(B2219="", "", XLOOKUP(B2219, Inventory!D:D,Inventory!E:E,"No Name Found"))</f>
        <v/>
      </c>
      <c r="D2219" s="6"/>
      <c r="E2219" s="6"/>
      <c r="F2219" s="6"/>
      <c r="G2219" s="24" t="str">
        <f>IF(F2219="", "", VLOOKUP(F2219, Inventory!A:BZ, 3, FALSE) - SUMIF($F$1:$F2218, F2219, $H$1:$H2218))
</f>
        <v/>
      </c>
      <c r="I2219" s="26"/>
      <c r="J2219" s="26" t="s">
        <v>77</v>
      </c>
      <c r="L2219" s="27" t="s">
        <v>77</v>
      </c>
      <c r="N2219" s="28" t="s">
        <v>77</v>
      </c>
      <c r="Q2219" s="30"/>
    </row>
    <row r="2220">
      <c r="B2220" s="6"/>
      <c r="C2220" s="33" t="str">
        <f t="array" ref="C2220">IF(B2220="", "", XLOOKUP(B2220, Inventory!D:D,Inventory!E:E,"No Name Found"))</f>
        <v/>
      </c>
      <c r="D2220" s="6"/>
      <c r="E2220" s="6"/>
      <c r="F2220" s="6"/>
      <c r="G2220" s="24" t="str">
        <f>IF(F2220="", "", VLOOKUP(F2220, Inventory!A:BZ, 3, FALSE) - SUMIF($F$1:$F2219, F2220, $H$1:$H2219))
</f>
        <v/>
      </c>
      <c r="I2220" s="26"/>
      <c r="J2220" s="26" t="s">
        <v>77</v>
      </c>
      <c r="L2220" s="27" t="s">
        <v>77</v>
      </c>
      <c r="N2220" s="28" t="s">
        <v>77</v>
      </c>
      <c r="Q2220" s="30"/>
    </row>
    <row r="2221">
      <c r="B2221" s="6"/>
      <c r="C2221" s="33" t="str">
        <f t="array" ref="C2221">IF(B2221="", "", XLOOKUP(B2221, Inventory!D:D,Inventory!E:E,"No Name Found"))</f>
        <v/>
      </c>
      <c r="D2221" s="6"/>
      <c r="E2221" s="6"/>
      <c r="F2221" s="6"/>
      <c r="G2221" s="24" t="str">
        <f>IF(F2221="", "", VLOOKUP(F2221, Inventory!A:BZ, 3, FALSE) - SUMIF($F$1:$F2220, F2221, $H$1:$H2220))
</f>
        <v/>
      </c>
      <c r="I2221" s="26"/>
      <c r="J2221" s="26" t="s">
        <v>77</v>
      </c>
      <c r="L2221" s="27" t="s">
        <v>77</v>
      </c>
      <c r="N2221" s="28" t="s">
        <v>77</v>
      </c>
      <c r="Q2221" s="30"/>
    </row>
    <row r="2222">
      <c r="B2222" s="6"/>
      <c r="C2222" s="33" t="str">
        <f t="array" ref="C2222">IF(B2222="", "", XLOOKUP(B2222, Inventory!D:D,Inventory!E:E,"No Name Found"))</f>
        <v/>
      </c>
      <c r="D2222" s="6"/>
      <c r="E2222" s="6"/>
      <c r="F2222" s="6"/>
      <c r="G2222" s="24" t="str">
        <f>IF(F2222="", "", VLOOKUP(F2222, Inventory!A:BZ, 3, FALSE) - SUMIF($F$1:$F2221, F2222, $H$1:$H2221))
</f>
        <v/>
      </c>
      <c r="I2222" s="26"/>
      <c r="J2222" s="26" t="s">
        <v>77</v>
      </c>
      <c r="L2222" s="27" t="s">
        <v>77</v>
      </c>
      <c r="N2222" s="28" t="s">
        <v>77</v>
      </c>
      <c r="Q2222" s="30"/>
    </row>
    <row r="2223">
      <c r="B2223" s="6"/>
      <c r="C2223" s="33" t="str">
        <f t="array" ref="C2223">IF(B2223="", "", XLOOKUP(B2223, Inventory!D:D,Inventory!E:E,"No Name Found"))</f>
        <v/>
      </c>
      <c r="D2223" s="6"/>
      <c r="E2223" s="6"/>
      <c r="F2223" s="6"/>
      <c r="G2223" s="24" t="str">
        <f>IF(F2223="", "", VLOOKUP(F2223, Inventory!A:BZ, 3, FALSE) - SUMIF($F$1:$F2222, F2223, $H$1:$H2222))
</f>
        <v/>
      </c>
      <c r="I2223" s="26"/>
      <c r="J2223" s="26" t="s">
        <v>77</v>
      </c>
      <c r="L2223" s="27" t="s">
        <v>77</v>
      </c>
      <c r="N2223" s="28" t="s">
        <v>77</v>
      </c>
      <c r="Q2223" s="30"/>
    </row>
    <row r="2224">
      <c r="B2224" s="6"/>
      <c r="C2224" s="33" t="str">
        <f t="array" ref="C2224">IF(B2224="", "", XLOOKUP(B2224, Inventory!D:D,Inventory!E:E,"No Name Found"))</f>
        <v/>
      </c>
      <c r="D2224" s="6"/>
      <c r="E2224" s="6"/>
      <c r="F2224" s="6"/>
      <c r="G2224" s="24" t="str">
        <f>IF(F2224="", "", VLOOKUP(F2224, Inventory!A:BZ, 3, FALSE) - SUMIF($F$1:$F2223, F2224, $H$1:$H2223))
</f>
        <v/>
      </c>
      <c r="I2224" s="26"/>
      <c r="J2224" s="26" t="s">
        <v>77</v>
      </c>
      <c r="L2224" s="27" t="s">
        <v>77</v>
      </c>
      <c r="N2224" s="28" t="s">
        <v>77</v>
      </c>
      <c r="Q2224" s="30"/>
    </row>
    <row r="2225">
      <c r="B2225" s="6"/>
      <c r="C2225" s="33" t="str">
        <f t="array" ref="C2225">IF(B2225="", "", XLOOKUP(B2225, Inventory!D:D,Inventory!E:E,"No Name Found"))</f>
        <v/>
      </c>
      <c r="D2225" s="6"/>
      <c r="E2225" s="6"/>
      <c r="F2225" s="6"/>
      <c r="G2225" s="24" t="str">
        <f>IF(F2225="", "", VLOOKUP(F2225, Inventory!A:BZ, 3, FALSE) - SUMIF($F$1:$F2224, F2225, $H$1:$H2224))
</f>
        <v/>
      </c>
      <c r="I2225" s="26"/>
      <c r="J2225" s="26" t="s">
        <v>77</v>
      </c>
      <c r="L2225" s="27" t="s">
        <v>77</v>
      </c>
      <c r="N2225" s="28" t="s">
        <v>77</v>
      </c>
      <c r="Q2225" s="30"/>
    </row>
    <row r="2226">
      <c r="B2226" s="6"/>
      <c r="C2226" s="33" t="str">
        <f t="array" ref="C2226">IF(B2226="", "", XLOOKUP(B2226, Inventory!D:D,Inventory!E:E,"No Name Found"))</f>
        <v/>
      </c>
      <c r="D2226" s="6"/>
      <c r="E2226" s="6"/>
      <c r="F2226" s="6"/>
      <c r="G2226" s="24" t="str">
        <f>IF(F2226="", "", VLOOKUP(F2226, Inventory!A:BZ, 3, FALSE) - SUMIF($F$1:$F2225, F2226, $H$1:$H2225))
</f>
        <v/>
      </c>
      <c r="I2226" s="26"/>
      <c r="J2226" s="26" t="s">
        <v>77</v>
      </c>
      <c r="L2226" s="27" t="s">
        <v>77</v>
      </c>
      <c r="N2226" s="28" t="s">
        <v>77</v>
      </c>
      <c r="Q2226" s="30"/>
    </row>
    <row r="2227">
      <c r="B2227" s="6"/>
      <c r="C2227" s="33" t="str">
        <f t="array" ref="C2227">IF(B2227="", "", XLOOKUP(B2227, Inventory!D:D,Inventory!E:E,"No Name Found"))</f>
        <v/>
      </c>
      <c r="D2227" s="6"/>
      <c r="E2227" s="6"/>
      <c r="F2227" s="6"/>
      <c r="G2227" s="24" t="str">
        <f>IF(F2227="", "", VLOOKUP(F2227, Inventory!A:BZ, 3, FALSE) - SUMIF($F$1:$F2226, F2227, $H$1:$H2226))
</f>
        <v/>
      </c>
      <c r="I2227" s="26"/>
      <c r="J2227" s="26" t="s">
        <v>77</v>
      </c>
      <c r="L2227" s="27" t="s">
        <v>77</v>
      </c>
      <c r="N2227" s="28" t="s">
        <v>77</v>
      </c>
      <c r="Q2227" s="30"/>
    </row>
    <row r="2228">
      <c r="B2228" s="6"/>
      <c r="C2228" s="33" t="str">
        <f t="array" ref="C2228">IF(B2228="", "", XLOOKUP(B2228, Inventory!D:D,Inventory!E:E,"No Name Found"))</f>
        <v/>
      </c>
      <c r="D2228" s="6"/>
      <c r="E2228" s="6"/>
      <c r="F2228" s="6"/>
      <c r="G2228" s="24" t="str">
        <f>IF(F2228="", "", VLOOKUP(F2228, Inventory!A:BZ, 3, FALSE) - SUMIF($F$1:$F2227, F2228, $H$1:$H2227))
</f>
        <v/>
      </c>
      <c r="I2228" s="26"/>
      <c r="J2228" s="26" t="s">
        <v>77</v>
      </c>
      <c r="L2228" s="27" t="s">
        <v>77</v>
      </c>
      <c r="N2228" s="28" t="s">
        <v>77</v>
      </c>
      <c r="Q2228" s="30"/>
    </row>
    <row r="2229">
      <c r="B2229" s="6"/>
      <c r="C2229" s="33" t="str">
        <f t="array" ref="C2229">IF(B2229="", "", XLOOKUP(B2229, Inventory!D:D,Inventory!E:E,"No Name Found"))</f>
        <v/>
      </c>
      <c r="D2229" s="6"/>
      <c r="E2229" s="6"/>
      <c r="F2229" s="6"/>
      <c r="G2229" s="24" t="str">
        <f>IF(F2229="", "", VLOOKUP(F2229, Inventory!A:BZ, 3, FALSE) - SUMIF($F$1:$F2228, F2229, $H$1:$H2228))
</f>
        <v/>
      </c>
      <c r="I2229" s="26"/>
      <c r="J2229" s="26" t="s">
        <v>77</v>
      </c>
      <c r="L2229" s="27" t="s">
        <v>77</v>
      </c>
      <c r="N2229" s="28" t="s">
        <v>77</v>
      </c>
      <c r="Q2229" s="30"/>
    </row>
    <row r="2230">
      <c r="B2230" s="6"/>
      <c r="C2230" s="33" t="str">
        <f t="array" ref="C2230">IF(B2230="", "", XLOOKUP(B2230, Inventory!D:D,Inventory!E:E,"No Name Found"))</f>
        <v/>
      </c>
      <c r="D2230" s="6"/>
      <c r="E2230" s="6"/>
      <c r="F2230" s="6"/>
      <c r="G2230" s="24" t="str">
        <f>IF(F2230="", "", VLOOKUP(F2230, Inventory!A:BZ, 3, FALSE) - SUMIF($F$1:$F2229, F2230, $H$1:$H2229))
</f>
        <v/>
      </c>
      <c r="I2230" s="26"/>
      <c r="J2230" s="26" t="s">
        <v>77</v>
      </c>
      <c r="L2230" s="27" t="s">
        <v>77</v>
      </c>
      <c r="N2230" s="28" t="s">
        <v>77</v>
      </c>
      <c r="Q2230" s="30"/>
    </row>
    <row r="2231">
      <c r="B2231" s="6"/>
      <c r="C2231" s="33" t="str">
        <f t="array" ref="C2231">IF(B2231="", "", XLOOKUP(B2231, Inventory!D:D,Inventory!E:E,"No Name Found"))</f>
        <v/>
      </c>
      <c r="D2231" s="6"/>
      <c r="E2231" s="6"/>
      <c r="F2231" s="6"/>
      <c r="G2231" s="24" t="str">
        <f>IF(F2231="", "", VLOOKUP(F2231, Inventory!A:BZ, 3, FALSE) - SUMIF($F$1:$F2230, F2231, $H$1:$H2230))
</f>
        <v/>
      </c>
      <c r="I2231" s="26"/>
      <c r="J2231" s="26" t="s">
        <v>77</v>
      </c>
      <c r="L2231" s="27" t="s">
        <v>77</v>
      </c>
      <c r="N2231" s="28" t="s">
        <v>77</v>
      </c>
      <c r="Q2231" s="30"/>
    </row>
    <row r="2232">
      <c r="B2232" s="6"/>
      <c r="C2232" s="33" t="str">
        <f t="array" ref="C2232">IF(B2232="", "", XLOOKUP(B2232, Inventory!D:D,Inventory!E:E,"No Name Found"))</f>
        <v/>
      </c>
      <c r="D2232" s="6"/>
      <c r="E2232" s="6"/>
      <c r="F2232" s="6"/>
      <c r="G2232" s="24" t="str">
        <f>IF(F2232="", "", VLOOKUP(F2232, Inventory!A:BZ, 3, FALSE) - SUMIF($F$1:$F2231, F2232, $H$1:$H2231))
</f>
        <v/>
      </c>
      <c r="I2232" s="26"/>
      <c r="J2232" s="26" t="s">
        <v>77</v>
      </c>
      <c r="L2232" s="27" t="s">
        <v>77</v>
      </c>
      <c r="N2232" s="28" t="s">
        <v>77</v>
      </c>
      <c r="Q2232" s="30"/>
    </row>
    <row r="2233">
      <c r="B2233" s="6"/>
      <c r="C2233" s="33" t="str">
        <f t="array" ref="C2233">IF(B2233="", "", XLOOKUP(B2233, Inventory!D:D,Inventory!E:E,"No Name Found"))</f>
        <v/>
      </c>
      <c r="D2233" s="6"/>
      <c r="E2233" s="6"/>
      <c r="F2233" s="6"/>
      <c r="G2233" s="24" t="str">
        <f>IF(F2233="", "", VLOOKUP(F2233, Inventory!A:BZ, 3, FALSE) - SUMIF($F$1:$F2232, F2233, $H$1:$H2232))
</f>
        <v/>
      </c>
      <c r="I2233" s="26"/>
      <c r="J2233" s="26" t="s">
        <v>77</v>
      </c>
      <c r="L2233" s="27" t="s">
        <v>77</v>
      </c>
      <c r="N2233" s="28" t="s">
        <v>77</v>
      </c>
      <c r="Q2233" s="30"/>
    </row>
    <row r="2234">
      <c r="B2234" s="6"/>
      <c r="C2234" s="33" t="str">
        <f t="array" ref="C2234">IF(B2234="", "", XLOOKUP(B2234, Inventory!D:D,Inventory!E:E,"No Name Found"))</f>
        <v/>
      </c>
      <c r="D2234" s="6"/>
      <c r="E2234" s="6"/>
      <c r="F2234" s="6"/>
      <c r="G2234" s="24" t="str">
        <f>IF(F2234="", "", VLOOKUP(F2234, Inventory!A:BZ, 3, FALSE) - SUMIF($F$1:$F2233, F2234, $H$1:$H2233))
</f>
        <v/>
      </c>
      <c r="I2234" s="26"/>
      <c r="J2234" s="26" t="s">
        <v>77</v>
      </c>
      <c r="L2234" s="27" t="s">
        <v>77</v>
      </c>
      <c r="N2234" s="28" t="s">
        <v>77</v>
      </c>
      <c r="Q2234" s="30"/>
    </row>
    <row r="2235">
      <c r="B2235" s="6"/>
      <c r="C2235" s="33" t="str">
        <f t="array" ref="C2235">IF(B2235="", "", XLOOKUP(B2235, Inventory!D:D,Inventory!E:E,"No Name Found"))</f>
        <v/>
      </c>
      <c r="D2235" s="6"/>
      <c r="E2235" s="6"/>
      <c r="F2235" s="6"/>
      <c r="G2235" s="24" t="str">
        <f>IF(F2235="", "", VLOOKUP(F2235, Inventory!A:BZ, 3, FALSE) - SUMIF($F$1:$F2234, F2235, $H$1:$H2234))
</f>
        <v/>
      </c>
      <c r="I2235" s="26"/>
      <c r="J2235" s="26" t="s">
        <v>77</v>
      </c>
      <c r="L2235" s="27" t="s">
        <v>77</v>
      </c>
      <c r="N2235" s="28" t="s">
        <v>77</v>
      </c>
      <c r="Q2235" s="30"/>
    </row>
    <row r="2236">
      <c r="B2236" s="6"/>
      <c r="C2236" s="33" t="str">
        <f t="array" ref="C2236">IF(B2236="", "", XLOOKUP(B2236, Inventory!D:D,Inventory!E:E,"No Name Found"))</f>
        <v/>
      </c>
      <c r="D2236" s="6"/>
      <c r="E2236" s="6"/>
      <c r="F2236" s="6"/>
      <c r="G2236" s="24" t="str">
        <f>IF(F2236="", "", VLOOKUP(F2236, Inventory!A:BZ, 3, FALSE) - SUMIF($F$1:$F2235, F2236, $H$1:$H2235))
</f>
        <v/>
      </c>
      <c r="I2236" s="26"/>
      <c r="J2236" s="26" t="s">
        <v>77</v>
      </c>
      <c r="L2236" s="27" t="s">
        <v>77</v>
      </c>
      <c r="N2236" s="28" t="s">
        <v>77</v>
      </c>
      <c r="Q2236" s="30"/>
    </row>
    <row r="2237">
      <c r="B2237" s="6"/>
      <c r="C2237" s="33" t="str">
        <f t="array" ref="C2237">IF(B2237="", "", XLOOKUP(B2237, Inventory!D:D,Inventory!E:E,"No Name Found"))</f>
        <v/>
      </c>
      <c r="D2237" s="6"/>
      <c r="E2237" s="6"/>
      <c r="F2237" s="6"/>
      <c r="G2237" s="24" t="str">
        <f>IF(F2237="", "", VLOOKUP(F2237, Inventory!A:BZ, 3, FALSE) - SUMIF($F$1:$F2236, F2237, $H$1:$H2236))
</f>
        <v/>
      </c>
      <c r="I2237" s="26"/>
      <c r="J2237" s="26" t="s">
        <v>77</v>
      </c>
      <c r="L2237" s="27" t="s">
        <v>77</v>
      </c>
      <c r="N2237" s="28" t="s">
        <v>77</v>
      </c>
      <c r="Q2237" s="30"/>
    </row>
    <row r="2238">
      <c r="B2238" s="6"/>
      <c r="C2238" s="33" t="str">
        <f t="array" ref="C2238">IF(B2238="", "", XLOOKUP(B2238, Inventory!D:D,Inventory!E:E,"No Name Found"))</f>
        <v/>
      </c>
      <c r="D2238" s="6"/>
      <c r="E2238" s="6"/>
      <c r="F2238" s="6"/>
      <c r="G2238" s="24" t="str">
        <f>IF(F2238="", "", VLOOKUP(F2238, Inventory!A:BZ, 3, FALSE) - SUMIF($F$1:$F2237, F2238, $H$1:$H2237))
</f>
        <v/>
      </c>
      <c r="I2238" s="26"/>
      <c r="J2238" s="26" t="s">
        <v>77</v>
      </c>
      <c r="L2238" s="27" t="s">
        <v>77</v>
      </c>
      <c r="N2238" s="28" t="s">
        <v>77</v>
      </c>
      <c r="Q2238" s="30"/>
    </row>
    <row r="2239">
      <c r="B2239" s="6"/>
      <c r="C2239" s="33" t="str">
        <f t="array" ref="C2239">IF(B2239="", "", XLOOKUP(B2239, Inventory!D:D,Inventory!E:E,"No Name Found"))</f>
        <v/>
      </c>
      <c r="D2239" s="6"/>
      <c r="E2239" s="6"/>
      <c r="F2239" s="6"/>
      <c r="G2239" s="24" t="str">
        <f>IF(F2239="", "", VLOOKUP(F2239, Inventory!A:BZ, 3, FALSE) - SUMIF($F$1:$F2238, F2239, $H$1:$H2238))
</f>
        <v/>
      </c>
      <c r="I2239" s="26"/>
      <c r="J2239" s="26" t="s">
        <v>77</v>
      </c>
      <c r="L2239" s="27" t="s">
        <v>77</v>
      </c>
      <c r="N2239" s="28" t="s">
        <v>77</v>
      </c>
      <c r="Q2239" s="30"/>
    </row>
    <row r="2240">
      <c r="B2240" s="6"/>
      <c r="C2240" s="33" t="str">
        <f t="array" ref="C2240">IF(B2240="", "", XLOOKUP(B2240, Inventory!D:D,Inventory!E:E,"No Name Found"))</f>
        <v/>
      </c>
      <c r="D2240" s="6"/>
      <c r="E2240" s="6"/>
      <c r="F2240" s="6"/>
      <c r="G2240" s="24" t="str">
        <f>IF(F2240="", "", VLOOKUP(F2240, Inventory!A:BZ, 3, FALSE) - SUMIF($F$1:$F2239, F2240, $H$1:$H2239))
</f>
        <v/>
      </c>
      <c r="I2240" s="26"/>
      <c r="J2240" s="26" t="s">
        <v>77</v>
      </c>
      <c r="L2240" s="27" t="s">
        <v>77</v>
      </c>
      <c r="N2240" s="28" t="s">
        <v>77</v>
      </c>
      <c r="Q2240" s="30"/>
    </row>
    <row r="2241">
      <c r="B2241" s="6"/>
      <c r="C2241" s="33" t="str">
        <f t="array" ref="C2241">IF(B2241="", "", XLOOKUP(B2241, Inventory!D:D,Inventory!E:E,"No Name Found"))</f>
        <v/>
      </c>
      <c r="D2241" s="6"/>
      <c r="E2241" s="6"/>
      <c r="F2241" s="6"/>
      <c r="G2241" s="24" t="str">
        <f>IF(F2241="", "", VLOOKUP(F2241, Inventory!A:BZ, 3, FALSE) - SUMIF($F$1:$F2240, F2241, $H$1:$H2240))
</f>
        <v/>
      </c>
      <c r="I2241" s="26"/>
      <c r="J2241" s="26" t="s">
        <v>77</v>
      </c>
      <c r="L2241" s="27" t="s">
        <v>77</v>
      </c>
      <c r="N2241" s="28" t="s">
        <v>77</v>
      </c>
      <c r="Q2241" s="30"/>
    </row>
    <row r="2242">
      <c r="B2242" s="6"/>
      <c r="C2242" s="33" t="str">
        <f t="array" ref="C2242">IF(B2242="", "", XLOOKUP(B2242, Inventory!D:D,Inventory!E:E,"No Name Found"))</f>
        <v/>
      </c>
      <c r="D2242" s="6"/>
      <c r="E2242" s="6"/>
      <c r="F2242" s="6"/>
      <c r="G2242" s="24" t="str">
        <f>IF(F2242="", "", VLOOKUP(F2242, Inventory!A:BZ, 3, FALSE) - SUMIF($F$1:$F2241, F2242, $H$1:$H2241))
</f>
        <v/>
      </c>
      <c r="I2242" s="26"/>
      <c r="J2242" s="26" t="s">
        <v>77</v>
      </c>
      <c r="L2242" s="27" t="s">
        <v>77</v>
      </c>
      <c r="N2242" s="28" t="s">
        <v>77</v>
      </c>
      <c r="Q2242" s="30"/>
    </row>
    <row r="2243">
      <c r="B2243" s="6"/>
      <c r="C2243" s="33" t="str">
        <f t="array" ref="C2243">IF(B2243="", "", XLOOKUP(B2243, Inventory!D:D,Inventory!E:E,"No Name Found"))</f>
        <v/>
      </c>
      <c r="D2243" s="6"/>
      <c r="E2243" s="6"/>
      <c r="F2243" s="6"/>
      <c r="G2243" s="24" t="str">
        <f>IF(F2243="", "", VLOOKUP(F2243, Inventory!A:BZ, 3, FALSE) - SUMIF($F$1:$F2242, F2243, $H$1:$H2242))
</f>
        <v/>
      </c>
      <c r="I2243" s="26"/>
      <c r="J2243" s="26" t="s">
        <v>77</v>
      </c>
      <c r="L2243" s="27" t="s">
        <v>77</v>
      </c>
      <c r="N2243" s="28" t="s">
        <v>77</v>
      </c>
      <c r="Q2243" s="30"/>
    </row>
    <row r="2244">
      <c r="B2244" s="6"/>
      <c r="C2244" s="33" t="str">
        <f t="array" ref="C2244">IF(B2244="", "", XLOOKUP(B2244, Inventory!D:D,Inventory!E:E,"No Name Found"))</f>
        <v/>
      </c>
      <c r="D2244" s="6"/>
      <c r="E2244" s="6"/>
      <c r="F2244" s="6"/>
      <c r="G2244" s="24" t="str">
        <f>IF(F2244="", "", VLOOKUP(F2244, Inventory!A:BZ, 3, FALSE) - SUMIF($F$1:$F2243, F2244, $H$1:$H2243))
</f>
        <v/>
      </c>
      <c r="I2244" s="26"/>
      <c r="J2244" s="26" t="s">
        <v>77</v>
      </c>
      <c r="L2244" s="27" t="s">
        <v>77</v>
      </c>
      <c r="N2244" s="28" t="s">
        <v>77</v>
      </c>
      <c r="Q2244" s="30"/>
    </row>
    <row r="2245">
      <c r="B2245" s="6"/>
      <c r="C2245" s="33" t="str">
        <f t="array" ref="C2245">IF(B2245="", "", XLOOKUP(B2245, Inventory!D:D,Inventory!E:E,"No Name Found"))</f>
        <v/>
      </c>
      <c r="D2245" s="6"/>
      <c r="E2245" s="6"/>
      <c r="F2245" s="6"/>
      <c r="G2245" s="24" t="str">
        <f>IF(F2245="", "", VLOOKUP(F2245, Inventory!A:BZ, 3, FALSE) - SUMIF($F$1:$F2244, F2245, $H$1:$H2244))
</f>
        <v/>
      </c>
      <c r="I2245" s="26"/>
      <c r="J2245" s="26" t="s">
        <v>77</v>
      </c>
      <c r="L2245" s="27" t="s">
        <v>77</v>
      </c>
      <c r="N2245" s="28" t="s">
        <v>77</v>
      </c>
      <c r="Q2245" s="30"/>
    </row>
    <row r="2246">
      <c r="B2246" s="6"/>
      <c r="C2246" s="33" t="str">
        <f t="array" ref="C2246">IF(B2246="", "", XLOOKUP(B2246, Inventory!D:D,Inventory!E:E,"No Name Found"))</f>
        <v/>
      </c>
      <c r="D2246" s="6"/>
      <c r="E2246" s="6"/>
      <c r="F2246" s="6"/>
      <c r="G2246" s="24" t="str">
        <f>IF(F2246="", "", VLOOKUP(F2246, Inventory!A:BZ, 3, FALSE) - SUMIF($F$1:$F2245, F2246, $H$1:$H2245))
</f>
        <v/>
      </c>
      <c r="I2246" s="26"/>
      <c r="J2246" s="26" t="s">
        <v>77</v>
      </c>
      <c r="L2246" s="27" t="s">
        <v>77</v>
      </c>
      <c r="N2246" s="28" t="s">
        <v>77</v>
      </c>
      <c r="Q2246" s="30"/>
    </row>
    <row r="2247">
      <c r="B2247" s="6"/>
      <c r="C2247" s="33" t="str">
        <f t="array" ref="C2247">IF(B2247="", "", XLOOKUP(B2247, Inventory!D:D,Inventory!E:E,"No Name Found"))</f>
        <v/>
      </c>
      <c r="D2247" s="6"/>
      <c r="E2247" s="6"/>
      <c r="F2247" s="6"/>
      <c r="G2247" s="24" t="str">
        <f>IF(F2247="", "", VLOOKUP(F2247, Inventory!A:BZ, 3, FALSE) - SUMIF($F$1:$F2246, F2247, $H$1:$H2246))
</f>
        <v/>
      </c>
      <c r="I2247" s="26"/>
      <c r="J2247" s="26" t="s">
        <v>77</v>
      </c>
      <c r="L2247" s="27" t="s">
        <v>77</v>
      </c>
      <c r="N2247" s="28" t="s">
        <v>77</v>
      </c>
      <c r="Q2247" s="30"/>
    </row>
    <row r="2248">
      <c r="B2248" s="6"/>
      <c r="C2248" s="33" t="str">
        <f t="array" ref="C2248">IF(B2248="", "", XLOOKUP(B2248, Inventory!D:D,Inventory!E:E,"No Name Found"))</f>
        <v/>
      </c>
      <c r="D2248" s="6"/>
      <c r="E2248" s="6"/>
      <c r="F2248" s="6"/>
      <c r="G2248" s="24" t="str">
        <f>IF(F2248="", "", VLOOKUP(F2248, Inventory!A:BZ, 3, FALSE) - SUMIF($F$1:$F2247, F2248, $H$1:$H2247))
</f>
        <v/>
      </c>
      <c r="I2248" s="26"/>
      <c r="J2248" s="26" t="s">
        <v>77</v>
      </c>
      <c r="L2248" s="27" t="s">
        <v>77</v>
      </c>
      <c r="N2248" s="28" t="s">
        <v>77</v>
      </c>
      <c r="Q2248" s="30"/>
    </row>
    <row r="2249">
      <c r="B2249" s="6"/>
      <c r="C2249" s="33" t="str">
        <f t="array" ref="C2249">IF(B2249="", "", XLOOKUP(B2249, Inventory!D:D,Inventory!E:E,"No Name Found"))</f>
        <v/>
      </c>
      <c r="D2249" s="6"/>
      <c r="E2249" s="6"/>
      <c r="F2249" s="6"/>
      <c r="G2249" s="24" t="str">
        <f>IF(F2249="", "", VLOOKUP(F2249, Inventory!A:BZ, 3, FALSE) - SUMIF($F$1:$F2248, F2249, $H$1:$H2248))
</f>
        <v/>
      </c>
      <c r="I2249" s="26"/>
      <c r="J2249" s="26" t="s">
        <v>77</v>
      </c>
      <c r="L2249" s="27" t="s">
        <v>77</v>
      </c>
      <c r="N2249" s="28" t="s">
        <v>77</v>
      </c>
      <c r="Q2249" s="30"/>
    </row>
    <row r="2250">
      <c r="B2250" s="6"/>
      <c r="C2250" s="33" t="str">
        <f t="array" ref="C2250">IF(B2250="", "", XLOOKUP(B2250, Inventory!D:D,Inventory!E:E,"No Name Found"))</f>
        <v/>
      </c>
      <c r="D2250" s="6"/>
      <c r="E2250" s="6"/>
      <c r="F2250" s="6"/>
      <c r="G2250" s="24" t="str">
        <f>IF(F2250="", "", VLOOKUP(F2250, Inventory!A:BZ, 3, FALSE) - SUMIF($F$1:$F2249, F2250, $H$1:$H2249))
</f>
        <v/>
      </c>
      <c r="I2250" s="26"/>
      <c r="J2250" s="26" t="s">
        <v>77</v>
      </c>
      <c r="L2250" s="27" t="s">
        <v>77</v>
      </c>
      <c r="N2250" s="28" t="s">
        <v>77</v>
      </c>
      <c r="Q2250" s="30"/>
    </row>
    <row r="2251">
      <c r="B2251" s="6"/>
      <c r="C2251" s="33" t="str">
        <f t="array" ref="C2251">IF(B2251="", "", XLOOKUP(B2251, Inventory!D:D,Inventory!E:E,"No Name Found"))</f>
        <v/>
      </c>
      <c r="D2251" s="6"/>
      <c r="E2251" s="6"/>
      <c r="F2251" s="6"/>
      <c r="G2251" s="24" t="str">
        <f>IF(F2251="", "", VLOOKUP(F2251, Inventory!A:BZ, 3, FALSE) - SUMIF($F$1:$F2250, F2251, $H$1:$H2250))
</f>
        <v/>
      </c>
      <c r="I2251" s="26"/>
      <c r="J2251" s="26" t="s">
        <v>77</v>
      </c>
      <c r="L2251" s="27" t="s">
        <v>77</v>
      </c>
      <c r="N2251" s="28" t="s">
        <v>77</v>
      </c>
      <c r="Q2251" s="30"/>
    </row>
    <row r="2252">
      <c r="B2252" s="6"/>
      <c r="C2252" s="33" t="str">
        <f t="array" ref="C2252">IF(B2252="", "", XLOOKUP(B2252, Inventory!D:D,Inventory!E:E,"No Name Found"))</f>
        <v/>
      </c>
      <c r="D2252" s="6"/>
      <c r="E2252" s="6"/>
      <c r="F2252" s="6"/>
      <c r="G2252" s="24" t="str">
        <f>IF(F2252="", "", VLOOKUP(F2252, Inventory!A:BZ, 3, FALSE) - SUMIF($F$1:$F2251, F2252, $H$1:$H2251))
</f>
        <v/>
      </c>
      <c r="I2252" s="26"/>
      <c r="J2252" s="26" t="s">
        <v>77</v>
      </c>
      <c r="L2252" s="27" t="s">
        <v>77</v>
      </c>
      <c r="N2252" s="28" t="s">
        <v>77</v>
      </c>
      <c r="Q2252" s="30"/>
    </row>
    <row r="2253">
      <c r="B2253" s="6"/>
      <c r="C2253" s="33" t="str">
        <f t="array" ref="C2253">IF(B2253="", "", XLOOKUP(B2253, Inventory!D:D,Inventory!E:E,"No Name Found"))</f>
        <v/>
      </c>
      <c r="D2253" s="6"/>
      <c r="E2253" s="6"/>
      <c r="F2253" s="6"/>
      <c r="G2253" s="24" t="str">
        <f>IF(F2253="", "", VLOOKUP(F2253, Inventory!A:BZ, 3, FALSE) - SUMIF($F$1:$F2252, F2253, $H$1:$H2252))
</f>
        <v/>
      </c>
      <c r="I2253" s="26"/>
      <c r="J2253" s="26" t="s">
        <v>77</v>
      </c>
      <c r="L2253" s="27" t="s">
        <v>77</v>
      </c>
      <c r="N2253" s="28" t="s">
        <v>77</v>
      </c>
      <c r="Q2253" s="30"/>
    </row>
    <row r="2254">
      <c r="B2254" s="6"/>
      <c r="C2254" s="33" t="str">
        <f t="array" ref="C2254">IF(B2254="", "", XLOOKUP(B2254, Inventory!D:D,Inventory!E:E,"No Name Found"))</f>
        <v/>
      </c>
      <c r="D2254" s="6"/>
      <c r="E2254" s="6"/>
      <c r="F2254" s="6"/>
      <c r="G2254" s="24" t="str">
        <f>IF(F2254="", "", VLOOKUP(F2254, Inventory!A:BZ, 3, FALSE) - SUMIF($F$1:$F2253, F2254, $H$1:$H2253))
</f>
        <v/>
      </c>
      <c r="I2254" s="26"/>
      <c r="J2254" s="26" t="s">
        <v>77</v>
      </c>
      <c r="L2254" s="27" t="s">
        <v>77</v>
      </c>
      <c r="N2254" s="28" t="s">
        <v>77</v>
      </c>
      <c r="Q2254" s="30"/>
    </row>
    <row r="2255">
      <c r="B2255" s="6"/>
      <c r="C2255" s="33" t="str">
        <f t="array" ref="C2255">IF(B2255="", "", XLOOKUP(B2255, Inventory!D:D,Inventory!E:E,"No Name Found"))</f>
        <v/>
      </c>
      <c r="D2255" s="6"/>
      <c r="E2255" s="6"/>
      <c r="F2255" s="6"/>
      <c r="G2255" s="24" t="str">
        <f>IF(F2255="", "", VLOOKUP(F2255, Inventory!A:BZ, 3, FALSE) - SUMIF($F$1:$F2254, F2255, $H$1:$H2254))
</f>
        <v/>
      </c>
      <c r="I2255" s="26"/>
      <c r="J2255" s="26" t="s">
        <v>77</v>
      </c>
      <c r="L2255" s="27" t="s">
        <v>77</v>
      </c>
      <c r="N2255" s="28" t="s">
        <v>77</v>
      </c>
      <c r="Q2255" s="30"/>
    </row>
    <row r="2256">
      <c r="B2256" s="6"/>
      <c r="C2256" s="33" t="str">
        <f t="array" ref="C2256">IF(B2256="", "", XLOOKUP(B2256, Inventory!D:D,Inventory!E:E,"No Name Found"))</f>
        <v/>
      </c>
      <c r="D2256" s="6"/>
      <c r="E2256" s="6"/>
      <c r="F2256" s="6"/>
      <c r="G2256" s="24" t="str">
        <f>IF(F2256="", "", VLOOKUP(F2256, Inventory!A:BZ, 3, FALSE) - SUMIF($F$1:$F2255, F2256, $H$1:$H2255))
</f>
        <v/>
      </c>
      <c r="I2256" s="26"/>
      <c r="J2256" s="26" t="s">
        <v>77</v>
      </c>
      <c r="L2256" s="27" t="s">
        <v>77</v>
      </c>
      <c r="N2256" s="28" t="s">
        <v>77</v>
      </c>
      <c r="Q2256" s="30"/>
    </row>
    <row r="2257">
      <c r="B2257" s="6"/>
      <c r="C2257" s="33" t="str">
        <f t="array" ref="C2257">IF(B2257="", "", XLOOKUP(B2257, Inventory!D:D,Inventory!E:E,"No Name Found"))</f>
        <v/>
      </c>
      <c r="D2257" s="6"/>
      <c r="E2257" s="6"/>
      <c r="F2257" s="6"/>
      <c r="G2257" s="24" t="str">
        <f>IF(F2257="", "", VLOOKUP(F2257, Inventory!A:BZ, 3, FALSE) - SUMIF($F$1:$F2256, F2257, $H$1:$H2256))
</f>
        <v/>
      </c>
      <c r="I2257" s="26"/>
      <c r="J2257" s="26" t="s">
        <v>77</v>
      </c>
      <c r="L2257" s="27" t="s">
        <v>77</v>
      </c>
      <c r="N2257" s="28" t="s">
        <v>77</v>
      </c>
      <c r="Q2257" s="30"/>
    </row>
    <row r="2258">
      <c r="B2258" s="6"/>
      <c r="C2258" s="33" t="str">
        <f t="array" ref="C2258">IF(B2258="", "", XLOOKUP(B2258, Inventory!D:D,Inventory!E:E,"No Name Found"))</f>
        <v/>
      </c>
      <c r="D2258" s="6"/>
      <c r="E2258" s="6"/>
      <c r="F2258" s="6"/>
      <c r="G2258" s="24" t="str">
        <f>IF(F2258="", "", VLOOKUP(F2258, Inventory!A:BZ, 3, FALSE) - SUMIF($F$1:$F2257, F2258, $H$1:$H2257))
</f>
        <v/>
      </c>
      <c r="I2258" s="26"/>
      <c r="J2258" s="26" t="s">
        <v>77</v>
      </c>
      <c r="L2258" s="27" t="s">
        <v>77</v>
      </c>
      <c r="N2258" s="28" t="s">
        <v>77</v>
      </c>
      <c r="Q2258" s="30"/>
    </row>
    <row r="2259">
      <c r="B2259" s="6"/>
      <c r="C2259" s="33" t="str">
        <f t="array" ref="C2259">IF(B2259="", "", XLOOKUP(B2259, Inventory!D:D,Inventory!E:E,"No Name Found"))</f>
        <v/>
      </c>
      <c r="D2259" s="6"/>
      <c r="E2259" s="6"/>
      <c r="F2259" s="6"/>
      <c r="G2259" s="24" t="str">
        <f>IF(F2259="", "", VLOOKUP(F2259, Inventory!A:BZ, 3, FALSE) - SUMIF($F$1:$F2258, F2259, $H$1:$H2258))
</f>
        <v/>
      </c>
      <c r="I2259" s="26"/>
      <c r="J2259" s="26" t="s">
        <v>77</v>
      </c>
      <c r="L2259" s="27" t="s">
        <v>77</v>
      </c>
      <c r="N2259" s="28" t="s">
        <v>77</v>
      </c>
      <c r="Q2259" s="30"/>
    </row>
    <row r="2260">
      <c r="B2260" s="6"/>
      <c r="C2260" s="33" t="str">
        <f t="array" ref="C2260">IF(B2260="", "", XLOOKUP(B2260, Inventory!D:D,Inventory!E:E,"No Name Found"))</f>
        <v/>
      </c>
      <c r="D2260" s="6"/>
      <c r="E2260" s="6"/>
      <c r="F2260" s="6"/>
      <c r="G2260" s="24" t="str">
        <f>IF(F2260="", "", VLOOKUP(F2260, Inventory!A:BZ, 3, FALSE) - SUMIF($F$1:$F2259, F2260, $H$1:$H2259))
</f>
        <v/>
      </c>
      <c r="I2260" s="26"/>
      <c r="J2260" s="26" t="s">
        <v>77</v>
      </c>
      <c r="L2260" s="27" t="s">
        <v>77</v>
      </c>
      <c r="N2260" s="28" t="s">
        <v>77</v>
      </c>
      <c r="Q2260" s="30"/>
    </row>
    <row r="2261">
      <c r="B2261" s="6"/>
      <c r="C2261" s="33" t="str">
        <f t="array" ref="C2261">IF(B2261="", "", XLOOKUP(B2261, Inventory!D:D,Inventory!E:E,"No Name Found"))</f>
        <v/>
      </c>
      <c r="D2261" s="6"/>
      <c r="E2261" s="6"/>
      <c r="F2261" s="6"/>
      <c r="G2261" s="24" t="str">
        <f>IF(F2261="", "", VLOOKUP(F2261, Inventory!A:BZ, 3, FALSE) - SUMIF($F$1:$F2260, F2261, $H$1:$H2260))
</f>
        <v/>
      </c>
      <c r="I2261" s="26"/>
      <c r="J2261" s="26" t="s">
        <v>77</v>
      </c>
      <c r="L2261" s="27" t="s">
        <v>77</v>
      </c>
      <c r="N2261" s="28" t="s">
        <v>77</v>
      </c>
      <c r="Q2261" s="30"/>
    </row>
    <row r="2262">
      <c r="B2262" s="6"/>
      <c r="C2262" s="33" t="str">
        <f t="array" ref="C2262">IF(B2262="", "", XLOOKUP(B2262, Inventory!D:D,Inventory!E:E,"No Name Found"))</f>
        <v/>
      </c>
      <c r="D2262" s="6"/>
      <c r="E2262" s="6"/>
      <c r="F2262" s="6"/>
      <c r="G2262" s="24" t="str">
        <f>IF(F2262="", "", VLOOKUP(F2262, Inventory!A:BZ, 3, FALSE) - SUMIF($F$1:$F2261, F2262, $H$1:$H2261))
</f>
        <v/>
      </c>
      <c r="I2262" s="26"/>
      <c r="J2262" s="26" t="s">
        <v>77</v>
      </c>
      <c r="L2262" s="27" t="s">
        <v>77</v>
      </c>
      <c r="N2262" s="28" t="s">
        <v>77</v>
      </c>
      <c r="Q2262" s="30"/>
    </row>
    <row r="2263">
      <c r="B2263" s="6"/>
      <c r="C2263" s="33" t="str">
        <f t="array" ref="C2263">IF(B2263="", "", XLOOKUP(B2263, Inventory!D:D,Inventory!E:E,"No Name Found"))</f>
        <v/>
      </c>
      <c r="D2263" s="6"/>
      <c r="E2263" s="6"/>
      <c r="F2263" s="6"/>
      <c r="G2263" s="24" t="str">
        <f>IF(F2263="", "", VLOOKUP(F2263, Inventory!A:BZ, 3, FALSE) - SUMIF($F$1:$F2262, F2263, $H$1:$H2262))
</f>
        <v/>
      </c>
      <c r="I2263" s="26"/>
      <c r="J2263" s="26" t="s">
        <v>77</v>
      </c>
      <c r="L2263" s="27" t="s">
        <v>77</v>
      </c>
      <c r="N2263" s="28" t="s">
        <v>77</v>
      </c>
      <c r="Q2263" s="30"/>
    </row>
    <row r="2264">
      <c r="B2264" s="6"/>
      <c r="C2264" s="33" t="str">
        <f t="array" ref="C2264">IF(B2264="", "", XLOOKUP(B2264, Inventory!D:D,Inventory!E:E,"No Name Found"))</f>
        <v/>
      </c>
      <c r="D2264" s="6"/>
      <c r="E2264" s="6"/>
      <c r="F2264" s="6"/>
      <c r="G2264" s="24" t="str">
        <f>IF(F2264="", "", VLOOKUP(F2264, Inventory!A:BZ, 3, FALSE) - SUMIF($F$1:$F2263, F2264, $H$1:$H2263))
</f>
        <v/>
      </c>
      <c r="I2264" s="26"/>
      <c r="J2264" s="26" t="s">
        <v>77</v>
      </c>
      <c r="L2264" s="27" t="s">
        <v>77</v>
      </c>
      <c r="N2264" s="28" t="s">
        <v>77</v>
      </c>
      <c r="Q2264" s="30"/>
    </row>
    <row r="2265">
      <c r="B2265" s="6"/>
      <c r="C2265" s="33" t="str">
        <f t="array" ref="C2265">IF(B2265="", "", XLOOKUP(B2265, Inventory!D:D,Inventory!E:E,"No Name Found"))</f>
        <v/>
      </c>
      <c r="D2265" s="6"/>
      <c r="E2265" s="6"/>
      <c r="F2265" s="6"/>
      <c r="G2265" s="24" t="str">
        <f>IF(F2265="", "", VLOOKUP(F2265, Inventory!A:BZ, 3, FALSE) - SUMIF($F$1:$F2264, F2265, $H$1:$H2264))
</f>
        <v/>
      </c>
      <c r="I2265" s="26"/>
      <c r="J2265" s="26" t="s">
        <v>77</v>
      </c>
      <c r="L2265" s="27" t="s">
        <v>77</v>
      </c>
      <c r="N2265" s="28" t="s">
        <v>77</v>
      </c>
      <c r="Q2265" s="30"/>
    </row>
    <row r="2266">
      <c r="B2266" s="6"/>
      <c r="C2266" s="33" t="str">
        <f t="array" ref="C2266">IF(B2266="", "", XLOOKUP(B2266, Inventory!D:D,Inventory!E:E,"No Name Found"))</f>
        <v/>
      </c>
      <c r="D2266" s="6"/>
      <c r="E2266" s="6"/>
      <c r="F2266" s="6"/>
      <c r="G2266" s="24" t="str">
        <f>IF(F2266="", "", VLOOKUP(F2266, Inventory!A:BZ, 3, FALSE) - SUMIF($F$1:$F2265, F2266, $H$1:$H2265))
</f>
        <v/>
      </c>
      <c r="I2266" s="26"/>
      <c r="J2266" s="26" t="s">
        <v>77</v>
      </c>
      <c r="L2266" s="27" t="s">
        <v>77</v>
      </c>
      <c r="N2266" s="28" t="s">
        <v>77</v>
      </c>
      <c r="Q2266" s="30"/>
    </row>
    <row r="2267">
      <c r="B2267" s="6"/>
      <c r="C2267" s="33" t="str">
        <f t="array" ref="C2267">IF(B2267="", "", XLOOKUP(B2267, Inventory!D:D,Inventory!E:E,"No Name Found"))</f>
        <v/>
      </c>
      <c r="D2267" s="6"/>
      <c r="E2267" s="6"/>
      <c r="F2267" s="6"/>
      <c r="G2267" s="24" t="str">
        <f>IF(F2267="", "", VLOOKUP(F2267, Inventory!A:BZ, 3, FALSE) - SUMIF($F$1:$F2266, F2267, $H$1:$H2266))
</f>
        <v/>
      </c>
      <c r="I2267" s="26"/>
      <c r="J2267" s="26" t="s">
        <v>77</v>
      </c>
      <c r="L2267" s="27" t="s">
        <v>77</v>
      </c>
      <c r="N2267" s="28" t="s">
        <v>77</v>
      </c>
      <c r="Q2267" s="30"/>
    </row>
    <row r="2268">
      <c r="B2268" s="6"/>
      <c r="C2268" s="33" t="str">
        <f t="array" ref="C2268">IF(B2268="", "", XLOOKUP(B2268, Inventory!D:D,Inventory!E:E,"No Name Found"))</f>
        <v/>
      </c>
      <c r="D2268" s="6"/>
      <c r="E2268" s="6"/>
      <c r="F2268" s="6"/>
      <c r="G2268" s="24" t="str">
        <f>IF(F2268="", "", VLOOKUP(F2268, Inventory!A:BZ, 3, FALSE) - SUMIF($F$1:$F2267, F2268, $H$1:$H2267))
</f>
        <v/>
      </c>
      <c r="I2268" s="26"/>
      <c r="J2268" s="26" t="s">
        <v>77</v>
      </c>
      <c r="L2268" s="27" t="s">
        <v>77</v>
      </c>
      <c r="N2268" s="28" t="s">
        <v>77</v>
      </c>
      <c r="Q2268" s="30"/>
    </row>
    <row r="2269">
      <c r="B2269" s="6"/>
      <c r="C2269" s="33" t="str">
        <f t="array" ref="C2269">IF(B2269="", "", XLOOKUP(B2269, Inventory!D:D,Inventory!E:E,"No Name Found"))</f>
        <v/>
      </c>
      <c r="D2269" s="6"/>
      <c r="E2269" s="6"/>
      <c r="F2269" s="6"/>
      <c r="G2269" s="24" t="str">
        <f>IF(F2269="", "", VLOOKUP(F2269, Inventory!A:BZ, 3, FALSE) - SUMIF($F$1:$F2268, F2269, $H$1:$H2268))
</f>
        <v/>
      </c>
      <c r="I2269" s="26"/>
      <c r="J2269" s="26" t="s">
        <v>77</v>
      </c>
      <c r="L2269" s="27" t="s">
        <v>77</v>
      </c>
      <c r="N2269" s="28" t="s">
        <v>77</v>
      </c>
      <c r="Q2269" s="30"/>
    </row>
    <row r="2270">
      <c r="B2270" s="6"/>
      <c r="C2270" s="33" t="str">
        <f t="array" ref="C2270">IF(B2270="", "", XLOOKUP(B2270, Inventory!D:D,Inventory!E:E,"No Name Found"))</f>
        <v/>
      </c>
      <c r="D2270" s="6"/>
      <c r="E2270" s="6"/>
      <c r="F2270" s="6"/>
      <c r="G2270" s="24" t="str">
        <f>IF(F2270="", "", VLOOKUP(F2270, Inventory!A:BZ, 3, FALSE) - SUMIF($F$1:$F2269, F2270, $H$1:$H2269))
</f>
        <v/>
      </c>
      <c r="I2270" s="26"/>
      <c r="J2270" s="26" t="s">
        <v>77</v>
      </c>
      <c r="L2270" s="27" t="s">
        <v>77</v>
      </c>
      <c r="N2270" s="28" t="s">
        <v>77</v>
      </c>
      <c r="Q2270" s="30"/>
    </row>
    <row r="2271">
      <c r="B2271" s="6"/>
      <c r="C2271" s="33" t="str">
        <f t="array" ref="C2271">IF(B2271="", "", XLOOKUP(B2271, Inventory!D:D,Inventory!E:E,"No Name Found"))</f>
        <v/>
      </c>
      <c r="D2271" s="6"/>
      <c r="E2271" s="6"/>
      <c r="F2271" s="6"/>
      <c r="G2271" s="24" t="str">
        <f>IF(F2271="", "", VLOOKUP(F2271, Inventory!A:BZ, 3, FALSE) - SUMIF($F$1:$F2270, F2271, $H$1:$H2270))
</f>
        <v/>
      </c>
      <c r="I2271" s="26"/>
      <c r="J2271" s="26" t="s">
        <v>77</v>
      </c>
      <c r="L2271" s="27" t="s">
        <v>77</v>
      </c>
      <c r="N2271" s="28" t="s">
        <v>77</v>
      </c>
      <c r="Q2271" s="30"/>
    </row>
    <row r="2272">
      <c r="B2272" s="6"/>
      <c r="C2272" s="33" t="str">
        <f t="array" ref="C2272">IF(B2272="", "", XLOOKUP(B2272, Inventory!D:D,Inventory!E:E,"No Name Found"))</f>
        <v/>
      </c>
      <c r="D2272" s="6"/>
      <c r="E2272" s="6"/>
      <c r="F2272" s="6"/>
      <c r="G2272" s="24" t="str">
        <f>IF(F2272="", "", VLOOKUP(F2272, Inventory!A:BZ, 3, FALSE) - SUMIF($F$1:$F2271, F2272, $H$1:$H2271))
</f>
        <v/>
      </c>
      <c r="I2272" s="26"/>
      <c r="J2272" s="26" t="s">
        <v>77</v>
      </c>
      <c r="L2272" s="27" t="s">
        <v>77</v>
      </c>
      <c r="N2272" s="28" t="s">
        <v>77</v>
      </c>
      <c r="Q2272" s="30"/>
    </row>
    <row r="2273">
      <c r="B2273" s="6"/>
      <c r="C2273" s="33" t="str">
        <f t="array" ref="C2273">IF(B2273="", "", XLOOKUP(B2273, Inventory!D:D,Inventory!E:E,"No Name Found"))</f>
        <v/>
      </c>
      <c r="D2273" s="6"/>
      <c r="E2273" s="6"/>
      <c r="F2273" s="6"/>
      <c r="G2273" s="24" t="str">
        <f>IF(F2273="", "", VLOOKUP(F2273, Inventory!A:BZ, 3, FALSE) - SUMIF($F$1:$F2272, F2273, $H$1:$H2272))
</f>
        <v/>
      </c>
      <c r="I2273" s="26"/>
      <c r="J2273" s="26" t="s">
        <v>77</v>
      </c>
      <c r="L2273" s="27" t="s">
        <v>77</v>
      </c>
      <c r="N2273" s="28" t="s">
        <v>77</v>
      </c>
      <c r="Q2273" s="30"/>
    </row>
    <row r="2274">
      <c r="B2274" s="6"/>
      <c r="C2274" s="33" t="str">
        <f t="array" ref="C2274">IF(B2274="", "", XLOOKUP(B2274, Inventory!D:D,Inventory!E:E,"No Name Found"))</f>
        <v/>
      </c>
      <c r="D2274" s="6"/>
      <c r="E2274" s="6"/>
      <c r="F2274" s="6"/>
      <c r="G2274" s="24" t="str">
        <f>IF(F2274="", "", VLOOKUP(F2274, Inventory!A:BZ, 3, FALSE) - SUMIF($F$1:$F2273, F2274, $H$1:$H2273))
</f>
        <v/>
      </c>
      <c r="I2274" s="26"/>
      <c r="J2274" s="26" t="s">
        <v>77</v>
      </c>
      <c r="L2274" s="27" t="s">
        <v>77</v>
      </c>
      <c r="N2274" s="28" t="s">
        <v>77</v>
      </c>
      <c r="Q2274" s="30"/>
    </row>
    <row r="2275">
      <c r="B2275" s="6"/>
      <c r="C2275" s="33" t="str">
        <f t="array" ref="C2275">IF(B2275="", "", XLOOKUP(B2275, Inventory!D:D,Inventory!E:E,"No Name Found"))</f>
        <v/>
      </c>
      <c r="D2275" s="6"/>
      <c r="E2275" s="6"/>
      <c r="F2275" s="6"/>
      <c r="G2275" s="24" t="str">
        <f>IF(F2275="", "", VLOOKUP(F2275, Inventory!A:BZ, 3, FALSE) - SUMIF($F$1:$F2274, F2275, $H$1:$H2274))
</f>
        <v/>
      </c>
      <c r="I2275" s="26"/>
      <c r="J2275" s="26" t="s">
        <v>77</v>
      </c>
      <c r="L2275" s="27" t="s">
        <v>77</v>
      </c>
      <c r="N2275" s="28" t="s">
        <v>77</v>
      </c>
      <c r="Q2275" s="30"/>
    </row>
    <row r="2276">
      <c r="B2276" s="6"/>
      <c r="C2276" s="33" t="str">
        <f t="array" ref="C2276">IF(B2276="", "", XLOOKUP(B2276, Inventory!D:D,Inventory!E:E,"No Name Found"))</f>
        <v/>
      </c>
      <c r="D2276" s="6"/>
      <c r="E2276" s="6"/>
      <c r="F2276" s="6"/>
      <c r="G2276" s="24" t="str">
        <f>IF(F2276="", "", VLOOKUP(F2276, Inventory!A:BZ, 3, FALSE) - SUMIF($F$1:$F2275, F2276, $H$1:$H2275))
</f>
        <v/>
      </c>
      <c r="I2276" s="26"/>
      <c r="J2276" s="26" t="s">
        <v>77</v>
      </c>
      <c r="L2276" s="27" t="s">
        <v>77</v>
      </c>
      <c r="N2276" s="28" t="s">
        <v>77</v>
      </c>
      <c r="Q2276" s="30"/>
    </row>
    <row r="2277">
      <c r="B2277" s="6"/>
      <c r="C2277" s="33" t="str">
        <f t="array" ref="C2277">IF(B2277="", "", XLOOKUP(B2277, Inventory!D:D,Inventory!E:E,"No Name Found"))</f>
        <v/>
      </c>
      <c r="D2277" s="6"/>
      <c r="E2277" s="6"/>
      <c r="F2277" s="6"/>
      <c r="G2277" s="24" t="str">
        <f>IF(F2277="", "", VLOOKUP(F2277, Inventory!A:BZ, 3, FALSE) - SUMIF($F$1:$F2276, F2277, $H$1:$H2276))
</f>
        <v/>
      </c>
      <c r="I2277" s="26"/>
      <c r="J2277" s="26" t="s">
        <v>77</v>
      </c>
      <c r="L2277" s="27" t="s">
        <v>77</v>
      </c>
      <c r="N2277" s="28" t="s">
        <v>77</v>
      </c>
      <c r="Q2277" s="30"/>
    </row>
    <row r="2278">
      <c r="B2278" s="6"/>
      <c r="C2278" s="33" t="str">
        <f t="array" ref="C2278">IF(B2278="", "", XLOOKUP(B2278, Inventory!D:D,Inventory!E:E,"No Name Found"))</f>
        <v/>
      </c>
      <c r="D2278" s="6"/>
      <c r="E2278" s="6"/>
      <c r="F2278" s="6"/>
      <c r="G2278" s="24" t="str">
        <f>IF(F2278="", "", VLOOKUP(F2278, Inventory!A:BZ, 3, FALSE) - SUMIF($F$1:$F2277, F2278, $H$1:$H2277))
</f>
        <v/>
      </c>
      <c r="I2278" s="26"/>
      <c r="J2278" s="26" t="s">
        <v>77</v>
      </c>
      <c r="L2278" s="27" t="s">
        <v>77</v>
      </c>
      <c r="N2278" s="28" t="s">
        <v>77</v>
      </c>
      <c r="Q2278" s="30"/>
    </row>
    <row r="2279">
      <c r="B2279" s="6"/>
      <c r="C2279" s="33" t="str">
        <f t="array" ref="C2279">IF(B2279="", "", XLOOKUP(B2279, Inventory!D:D,Inventory!E:E,"No Name Found"))</f>
        <v/>
      </c>
      <c r="D2279" s="6"/>
      <c r="E2279" s="6"/>
      <c r="F2279" s="6"/>
      <c r="G2279" s="24" t="str">
        <f>IF(F2279="", "", VLOOKUP(F2279, Inventory!A:BZ, 3, FALSE) - SUMIF($F$1:$F2278, F2279, $H$1:$H2278))
</f>
        <v/>
      </c>
      <c r="I2279" s="26"/>
      <c r="J2279" s="26" t="s">
        <v>77</v>
      </c>
      <c r="L2279" s="27" t="s">
        <v>77</v>
      </c>
      <c r="N2279" s="28" t="s">
        <v>77</v>
      </c>
      <c r="Q2279" s="30"/>
    </row>
    <row r="2280">
      <c r="B2280" s="6"/>
      <c r="C2280" s="33" t="str">
        <f t="array" ref="C2280">IF(B2280="", "", XLOOKUP(B2280, Inventory!D:D,Inventory!E:E,"No Name Found"))</f>
        <v/>
      </c>
      <c r="D2280" s="6"/>
      <c r="E2280" s="6"/>
      <c r="F2280" s="6"/>
      <c r="G2280" s="24" t="str">
        <f>IF(F2280="", "", VLOOKUP(F2280, Inventory!A:BZ, 3, FALSE) - SUMIF($F$1:$F2279, F2280, $H$1:$H2279))
</f>
        <v/>
      </c>
      <c r="I2280" s="26"/>
      <c r="J2280" s="26" t="s">
        <v>77</v>
      </c>
      <c r="L2280" s="27" t="s">
        <v>77</v>
      </c>
      <c r="N2280" s="28" t="s">
        <v>77</v>
      </c>
      <c r="Q2280" s="30"/>
    </row>
    <row r="2281">
      <c r="B2281" s="6"/>
      <c r="C2281" s="33" t="str">
        <f t="array" ref="C2281">IF(B2281="", "", XLOOKUP(B2281, Inventory!D:D,Inventory!E:E,"No Name Found"))</f>
        <v/>
      </c>
      <c r="D2281" s="6"/>
      <c r="E2281" s="6"/>
      <c r="F2281" s="6"/>
      <c r="G2281" s="24" t="str">
        <f>IF(F2281="", "", VLOOKUP(F2281, Inventory!A:BZ, 3, FALSE) - SUMIF($F$1:$F2280, F2281, $H$1:$H2280))
</f>
        <v/>
      </c>
      <c r="I2281" s="26"/>
      <c r="J2281" s="26" t="s">
        <v>77</v>
      </c>
      <c r="L2281" s="27" t="s">
        <v>77</v>
      </c>
      <c r="N2281" s="28" t="s">
        <v>77</v>
      </c>
      <c r="Q2281" s="30"/>
    </row>
    <row r="2282">
      <c r="B2282" s="6"/>
      <c r="C2282" s="33" t="str">
        <f t="array" ref="C2282">IF(B2282="", "", XLOOKUP(B2282, Inventory!D:D,Inventory!E:E,"No Name Found"))</f>
        <v/>
      </c>
      <c r="D2282" s="6"/>
      <c r="E2282" s="6"/>
      <c r="F2282" s="6"/>
      <c r="G2282" s="24" t="str">
        <f>IF(F2282="", "", VLOOKUP(F2282, Inventory!A:BZ, 3, FALSE) - SUMIF($F$1:$F2281, F2282, $H$1:$H2281))
</f>
        <v/>
      </c>
      <c r="I2282" s="26"/>
      <c r="J2282" s="26" t="s">
        <v>77</v>
      </c>
      <c r="L2282" s="27" t="s">
        <v>77</v>
      </c>
      <c r="N2282" s="28" t="s">
        <v>77</v>
      </c>
      <c r="Q2282" s="30"/>
    </row>
    <row r="2283">
      <c r="B2283" s="6"/>
      <c r="C2283" s="33" t="str">
        <f t="array" ref="C2283">IF(B2283="", "", XLOOKUP(B2283, Inventory!D:D,Inventory!E:E,"No Name Found"))</f>
        <v/>
      </c>
      <c r="D2283" s="6"/>
      <c r="E2283" s="6"/>
      <c r="F2283" s="6"/>
      <c r="G2283" s="24" t="str">
        <f>IF(F2283="", "", VLOOKUP(F2283, Inventory!A:BZ, 3, FALSE) - SUMIF($F$1:$F2282, F2283, $H$1:$H2282))
</f>
        <v/>
      </c>
      <c r="I2283" s="26"/>
      <c r="J2283" s="26" t="s">
        <v>77</v>
      </c>
      <c r="L2283" s="27" t="s">
        <v>77</v>
      </c>
      <c r="N2283" s="28" t="s">
        <v>77</v>
      </c>
      <c r="Q2283" s="30"/>
    </row>
    <row r="2284">
      <c r="B2284" s="6"/>
      <c r="C2284" s="33" t="str">
        <f t="array" ref="C2284">IF(B2284="", "", XLOOKUP(B2284, Inventory!D:D,Inventory!E:E,"No Name Found"))</f>
        <v/>
      </c>
      <c r="D2284" s="6"/>
      <c r="E2284" s="6"/>
      <c r="F2284" s="6"/>
      <c r="G2284" s="24" t="str">
        <f>IF(F2284="", "", VLOOKUP(F2284, Inventory!A:BZ, 3, FALSE) - SUMIF($F$1:$F2283, F2284, $H$1:$H2283))
</f>
        <v/>
      </c>
      <c r="I2284" s="26"/>
      <c r="J2284" s="26" t="s">
        <v>77</v>
      </c>
      <c r="L2284" s="27" t="s">
        <v>77</v>
      </c>
      <c r="N2284" s="28" t="s">
        <v>77</v>
      </c>
      <c r="Q2284" s="30"/>
    </row>
    <row r="2285">
      <c r="B2285" s="6"/>
      <c r="C2285" s="33" t="str">
        <f t="array" ref="C2285">IF(B2285="", "", XLOOKUP(B2285, Inventory!D:D,Inventory!E:E,"No Name Found"))</f>
        <v/>
      </c>
      <c r="D2285" s="6"/>
      <c r="E2285" s="6"/>
      <c r="F2285" s="6"/>
      <c r="G2285" s="24" t="str">
        <f>IF(F2285="", "", VLOOKUP(F2285, Inventory!A:BZ, 3, FALSE) - SUMIF($F$1:$F2284, F2285, $H$1:$H2284))
</f>
        <v/>
      </c>
      <c r="I2285" s="26"/>
      <c r="J2285" s="26" t="s">
        <v>77</v>
      </c>
      <c r="L2285" s="27" t="s">
        <v>77</v>
      </c>
      <c r="N2285" s="28" t="s">
        <v>77</v>
      </c>
      <c r="Q2285" s="30"/>
    </row>
    <row r="2286">
      <c r="B2286" s="6"/>
      <c r="C2286" s="33" t="str">
        <f t="array" ref="C2286">IF(B2286="", "", XLOOKUP(B2286, Inventory!D:D,Inventory!E:E,"No Name Found"))</f>
        <v/>
      </c>
      <c r="D2286" s="6"/>
      <c r="E2286" s="6"/>
      <c r="F2286" s="6"/>
      <c r="G2286" s="24" t="str">
        <f>IF(F2286="", "", VLOOKUP(F2286, Inventory!A:BZ, 3, FALSE) - SUMIF($F$1:$F2285, F2286, $H$1:$H2285))
</f>
        <v/>
      </c>
      <c r="I2286" s="26"/>
      <c r="J2286" s="26" t="s">
        <v>77</v>
      </c>
      <c r="L2286" s="27" t="s">
        <v>77</v>
      </c>
      <c r="N2286" s="28" t="s">
        <v>77</v>
      </c>
      <c r="Q2286" s="30"/>
    </row>
    <row r="2287">
      <c r="B2287" s="6"/>
      <c r="C2287" s="33" t="str">
        <f t="array" ref="C2287">IF(B2287="", "", XLOOKUP(B2287, Inventory!D:D,Inventory!E:E,"No Name Found"))</f>
        <v/>
      </c>
      <c r="D2287" s="6"/>
      <c r="E2287" s="6"/>
      <c r="F2287" s="6"/>
      <c r="G2287" s="24" t="str">
        <f>IF(F2287="", "", VLOOKUP(F2287, Inventory!A:BZ, 3, FALSE) - SUMIF($F$1:$F2286, F2287, $H$1:$H2286))
</f>
        <v/>
      </c>
      <c r="I2287" s="26"/>
      <c r="J2287" s="26" t="s">
        <v>77</v>
      </c>
      <c r="L2287" s="27" t="s">
        <v>77</v>
      </c>
      <c r="N2287" s="28" t="s">
        <v>77</v>
      </c>
      <c r="Q2287" s="30"/>
    </row>
    <row r="2288">
      <c r="B2288" s="6"/>
      <c r="C2288" s="33" t="str">
        <f t="array" ref="C2288">IF(B2288="", "", XLOOKUP(B2288, Inventory!D:D,Inventory!E:E,"No Name Found"))</f>
        <v/>
      </c>
      <c r="D2288" s="6"/>
      <c r="E2288" s="6"/>
      <c r="F2288" s="6"/>
      <c r="G2288" s="24" t="str">
        <f>IF(F2288="", "", VLOOKUP(F2288, Inventory!A:BZ, 3, FALSE) - SUMIF($F$1:$F2287, F2288, $H$1:$H2287))
</f>
        <v/>
      </c>
      <c r="I2288" s="26"/>
      <c r="J2288" s="26" t="s">
        <v>77</v>
      </c>
      <c r="L2288" s="27" t="s">
        <v>77</v>
      </c>
      <c r="N2288" s="28" t="s">
        <v>77</v>
      </c>
      <c r="Q2288" s="30"/>
    </row>
    <row r="2289">
      <c r="B2289" s="6"/>
      <c r="C2289" s="33" t="str">
        <f t="array" ref="C2289">IF(B2289="", "", XLOOKUP(B2289, Inventory!D:D,Inventory!E:E,"No Name Found"))</f>
        <v/>
      </c>
      <c r="D2289" s="6"/>
      <c r="E2289" s="6"/>
      <c r="F2289" s="6"/>
      <c r="G2289" s="24" t="str">
        <f>IF(F2289="", "", VLOOKUP(F2289, Inventory!A:BZ, 3, FALSE) - SUMIF($F$1:$F2288, F2289, $H$1:$H2288))
</f>
        <v/>
      </c>
      <c r="I2289" s="26"/>
      <c r="J2289" s="26" t="s">
        <v>77</v>
      </c>
      <c r="L2289" s="27" t="s">
        <v>77</v>
      </c>
      <c r="N2289" s="28" t="s">
        <v>77</v>
      </c>
      <c r="Q2289" s="30"/>
    </row>
    <row r="2290">
      <c r="B2290" s="6"/>
      <c r="C2290" s="33" t="str">
        <f t="array" ref="C2290">IF(B2290="", "", XLOOKUP(B2290, Inventory!D:D,Inventory!E:E,"No Name Found"))</f>
        <v/>
      </c>
      <c r="D2290" s="6"/>
      <c r="E2290" s="6"/>
      <c r="F2290" s="6"/>
      <c r="G2290" s="24" t="str">
        <f>IF(F2290="", "", VLOOKUP(F2290, Inventory!A:BZ, 3, FALSE) - SUMIF($F$1:$F2289, F2290, $H$1:$H2289))
</f>
        <v/>
      </c>
      <c r="I2290" s="26"/>
      <c r="J2290" s="26" t="s">
        <v>77</v>
      </c>
      <c r="L2290" s="27" t="s">
        <v>77</v>
      </c>
      <c r="N2290" s="28" t="s">
        <v>77</v>
      </c>
      <c r="Q2290" s="30"/>
    </row>
    <row r="2291">
      <c r="B2291" s="6"/>
      <c r="C2291" s="33" t="str">
        <f t="array" ref="C2291">IF(B2291="", "", XLOOKUP(B2291, Inventory!D:D,Inventory!E:E,"No Name Found"))</f>
        <v/>
      </c>
      <c r="D2291" s="6"/>
      <c r="E2291" s="6"/>
      <c r="F2291" s="6"/>
      <c r="G2291" s="24" t="str">
        <f>IF(F2291="", "", VLOOKUP(F2291, Inventory!A:BZ, 3, FALSE) - SUMIF($F$1:$F2290, F2291, $H$1:$H2290))
</f>
        <v/>
      </c>
      <c r="I2291" s="26"/>
      <c r="J2291" s="26" t="s">
        <v>77</v>
      </c>
      <c r="L2291" s="27" t="s">
        <v>77</v>
      </c>
      <c r="N2291" s="28" t="s">
        <v>77</v>
      </c>
      <c r="Q2291" s="30"/>
    </row>
    <row r="2292">
      <c r="B2292" s="6"/>
      <c r="C2292" s="33" t="str">
        <f t="array" ref="C2292">IF(B2292="", "", XLOOKUP(B2292, Inventory!D:D,Inventory!E:E,"No Name Found"))</f>
        <v/>
      </c>
      <c r="D2292" s="6"/>
      <c r="E2292" s="6"/>
      <c r="F2292" s="6"/>
      <c r="G2292" s="24" t="str">
        <f>IF(F2292="", "", VLOOKUP(F2292, Inventory!A:BZ, 3, FALSE) - SUMIF($F$1:$F2291, F2292, $H$1:$H2291))
</f>
        <v/>
      </c>
      <c r="I2292" s="26"/>
      <c r="J2292" s="26" t="s">
        <v>77</v>
      </c>
      <c r="L2292" s="27" t="s">
        <v>77</v>
      </c>
      <c r="N2292" s="28" t="s">
        <v>77</v>
      </c>
      <c r="Q2292" s="30"/>
    </row>
    <row r="2293">
      <c r="B2293" s="6"/>
      <c r="C2293" s="33" t="str">
        <f t="array" ref="C2293">IF(B2293="", "", XLOOKUP(B2293, Inventory!D:D,Inventory!E:E,"No Name Found"))</f>
        <v/>
      </c>
      <c r="D2293" s="6"/>
      <c r="E2293" s="6"/>
      <c r="F2293" s="6"/>
      <c r="G2293" s="24" t="str">
        <f>IF(F2293="", "", VLOOKUP(F2293, Inventory!A:BZ, 3, FALSE) - SUMIF($F$1:$F2292, F2293, $H$1:$H2292))
</f>
        <v/>
      </c>
      <c r="I2293" s="26"/>
      <c r="J2293" s="26" t="s">
        <v>77</v>
      </c>
      <c r="L2293" s="27" t="s">
        <v>77</v>
      </c>
      <c r="N2293" s="28" t="s">
        <v>77</v>
      </c>
      <c r="Q2293" s="30"/>
    </row>
    <row r="2294">
      <c r="B2294" s="6"/>
      <c r="C2294" s="33" t="str">
        <f t="array" ref="C2294">IF(B2294="", "", XLOOKUP(B2294, Inventory!D:D,Inventory!E:E,"No Name Found"))</f>
        <v/>
      </c>
      <c r="D2294" s="6"/>
      <c r="E2294" s="6"/>
      <c r="F2294" s="6"/>
      <c r="G2294" s="24" t="str">
        <f>IF(F2294="", "", VLOOKUP(F2294, Inventory!A:BZ, 3, FALSE) - SUMIF($F$1:$F2293, F2294, $H$1:$H2293))
</f>
        <v/>
      </c>
      <c r="I2294" s="26"/>
      <c r="J2294" s="26" t="s">
        <v>77</v>
      </c>
      <c r="L2294" s="27" t="s">
        <v>77</v>
      </c>
      <c r="N2294" s="28" t="s">
        <v>77</v>
      </c>
      <c r="Q2294" s="30"/>
    </row>
    <row r="2295">
      <c r="B2295" s="6"/>
      <c r="C2295" s="33" t="str">
        <f t="array" ref="C2295">IF(B2295="", "", XLOOKUP(B2295, Inventory!D:D,Inventory!E:E,"No Name Found"))</f>
        <v/>
      </c>
      <c r="D2295" s="6"/>
      <c r="E2295" s="6"/>
      <c r="F2295" s="6"/>
      <c r="G2295" s="24" t="str">
        <f>IF(F2295="", "", VLOOKUP(F2295, Inventory!A:BZ, 3, FALSE) - SUMIF($F$1:$F2294, F2295, $H$1:$H2294))
</f>
        <v/>
      </c>
      <c r="I2295" s="26"/>
      <c r="J2295" s="26" t="s">
        <v>77</v>
      </c>
      <c r="L2295" s="27" t="s">
        <v>77</v>
      </c>
      <c r="N2295" s="28" t="s">
        <v>77</v>
      </c>
      <c r="Q2295" s="30"/>
    </row>
    <row r="2296">
      <c r="B2296" s="6"/>
      <c r="C2296" s="33" t="str">
        <f t="array" ref="C2296">IF(B2296="", "", XLOOKUP(B2296, Inventory!D:D,Inventory!E:E,"No Name Found"))</f>
        <v/>
      </c>
      <c r="D2296" s="6"/>
      <c r="E2296" s="6"/>
      <c r="F2296" s="6"/>
      <c r="G2296" s="24" t="str">
        <f>IF(F2296="", "", VLOOKUP(F2296, Inventory!A:BZ, 3, FALSE) - SUMIF($F$1:$F2295, F2296, $H$1:$H2295))
</f>
        <v/>
      </c>
      <c r="I2296" s="26"/>
      <c r="J2296" s="26" t="s">
        <v>77</v>
      </c>
      <c r="L2296" s="27" t="s">
        <v>77</v>
      </c>
      <c r="N2296" s="28" t="s">
        <v>77</v>
      </c>
      <c r="Q2296" s="30"/>
    </row>
    <row r="2297">
      <c r="B2297" s="6"/>
      <c r="C2297" s="33" t="str">
        <f t="array" ref="C2297">IF(B2297="", "", XLOOKUP(B2297, Inventory!D:D,Inventory!E:E,"No Name Found"))</f>
        <v/>
      </c>
      <c r="D2297" s="6"/>
      <c r="E2297" s="6"/>
      <c r="F2297" s="6"/>
      <c r="G2297" s="24" t="str">
        <f>IF(F2297="", "", VLOOKUP(F2297, Inventory!A:BZ, 3, FALSE) - SUMIF($F$1:$F2296, F2297, $H$1:$H2296))
</f>
        <v/>
      </c>
      <c r="I2297" s="26"/>
      <c r="J2297" s="26" t="s">
        <v>77</v>
      </c>
      <c r="L2297" s="27" t="s">
        <v>77</v>
      </c>
      <c r="N2297" s="28" t="s">
        <v>77</v>
      </c>
      <c r="Q2297" s="30"/>
    </row>
    <row r="2298">
      <c r="B2298" s="6"/>
      <c r="C2298" s="33" t="str">
        <f t="array" ref="C2298">IF(B2298="", "", XLOOKUP(B2298, Inventory!D:D,Inventory!E:E,"No Name Found"))</f>
        <v/>
      </c>
      <c r="D2298" s="6"/>
      <c r="E2298" s="6"/>
      <c r="F2298" s="6"/>
      <c r="G2298" s="24" t="str">
        <f>IF(F2298="", "", VLOOKUP(F2298, Inventory!A:BZ, 3, FALSE) - SUMIF($F$1:$F2297, F2298, $H$1:$H2297))
</f>
        <v/>
      </c>
      <c r="I2298" s="26"/>
      <c r="J2298" s="26" t="s">
        <v>77</v>
      </c>
      <c r="L2298" s="27" t="s">
        <v>77</v>
      </c>
      <c r="N2298" s="28" t="s">
        <v>77</v>
      </c>
      <c r="Q2298" s="30"/>
    </row>
    <row r="2299">
      <c r="B2299" s="6"/>
      <c r="C2299" s="33" t="str">
        <f t="array" ref="C2299">IF(B2299="", "", XLOOKUP(B2299, Inventory!D:D,Inventory!E:E,"No Name Found"))</f>
        <v/>
      </c>
      <c r="D2299" s="6"/>
      <c r="E2299" s="6"/>
      <c r="F2299" s="6"/>
      <c r="G2299" s="24" t="str">
        <f>IF(F2299="", "", VLOOKUP(F2299, Inventory!A:BZ, 3, FALSE) - SUMIF($F$1:$F2298, F2299, $H$1:$H2298))
</f>
        <v/>
      </c>
      <c r="I2299" s="26"/>
      <c r="J2299" s="26" t="s">
        <v>77</v>
      </c>
      <c r="L2299" s="27" t="s">
        <v>77</v>
      </c>
      <c r="N2299" s="28" t="s">
        <v>77</v>
      </c>
      <c r="Q2299" s="30"/>
    </row>
    <row r="2300">
      <c r="B2300" s="6"/>
      <c r="C2300" s="33" t="str">
        <f t="array" ref="C2300">IF(B2300="", "", XLOOKUP(B2300, Inventory!D:D,Inventory!E:E,"No Name Found"))</f>
        <v/>
      </c>
      <c r="D2300" s="6"/>
      <c r="E2300" s="6"/>
      <c r="F2300" s="6"/>
      <c r="G2300" s="24" t="str">
        <f>IF(F2300="", "", VLOOKUP(F2300, Inventory!A:BZ, 3, FALSE) - SUMIF($F$1:$F2299, F2300, $H$1:$H2299))
</f>
        <v/>
      </c>
      <c r="I2300" s="26"/>
      <c r="J2300" s="26" t="s">
        <v>77</v>
      </c>
      <c r="L2300" s="27" t="s">
        <v>77</v>
      </c>
      <c r="N2300" s="28" t="s">
        <v>77</v>
      </c>
      <c r="Q2300" s="30"/>
    </row>
    <row r="2301">
      <c r="B2301" s="6"/>
      <c r="C2301" s="33" t="str">
        <f t="array" ref="C2301">IF(B2301="", "", XLOOKUP(B2301, Inventory!D:D,Inventory!E:E,"No Name Found"))</f>
        <v/>
      </c>
      <c r="D2301" s="6"/>
      <c r="E2301" s="6"/>
      <c r="F2301" s="6"/>
      <c r="G2301" s="24" t="str">
        <f>IF(F2301="", "", VLOOKUP(F2301, Inventory!A:BZ, 3, FALSE) - SUMIF($F$1:$F2300, F2301, $H$1:$H2300))
</f>
        <v/>
      </c>
      <c r="I2301" s="26"/>
      <c r="J2301" s="26" t="s">
        <v>77</v>
      </c>
      <c r="L2301" s="27" t="s">
        <v>77</v>
      </c>
      <c r="N2301" s="28" t="s">
        <v>77</v>
      </c>
      <c r="Q2301" s="30"/>
    </row>
    <row r="2302">
      <c r="B2302" s="6"/>
      <c r="C2302" s="33" t="str">
        <f t="array" ref="C2302">IF(B2302="", "", XLOOKUP(B2302, Inventory!D:D,Inventory!E:E,"No Name Found"))</f>
        <v/>
      </c>
      <c r="D2302" s="6"/>
      <c r="E2302" s="6"/>
      <c r="F2302" s="6"/>
      <c r="G2302" s="24" t="str">
        <f>IF(F2302="", "", VLOOKUP(F2302, Inventory!A:BZ, 3, FALSE) - SUMIF($F$1:$F2301, F2302, $H$1:$H2301))
</f>
        <v/>
      </c>
      <c r="I2302" s="26"/>
      <c r="J2302" s="26" t="s">
        <v>77</v>
      </c>
      <c r="L2302" s="27" t="s">
        <v>77</v>
      </c>
      <c r="N2302" s="28" t="s">
        <v>77</v>
      </c>
      <c r="Q2302" s="30"/>
    </row>
    <row r="2303">
      <c r="B2303" s="6"/>
      <c r="C2303" s="33" t="str">
        <f t="array" ref="C2303">IF(B2303="", "", XLOOKUP(B2303, Inventory!D:D,Inventory!E:E,"No Name Found"))</f>
        <v/>
      </c>
      <c r="D2303" s="6"/>
      <c r="E2303" s="6"/>
      <c r="F2303" s="6"/>
      <c r="G2303" s="24" t="str">
        <f>IF(F2303="", "", VLOOKUP(F2303, Inventory!A:BZ, 3, FALSE) - SUMIF($F$1:$F2302, F2303, $H$1:$H2302))
</f>
        <v/>
      </c>
      <c r="I2303" s="26"/>
      <c r="J2303" s="26" t="s">
        <v>77</v>
      </c>
      <c r="L2303" s="27" t="s">
        <v>77</v>
      </c>
      <c r="N2303" s="28" t="s">
        <v>77</v>
      </c>
      <c r="Q2303" s="30"/>
    </row>
    <row r="2304">
      <c r="B2304" s="6"/>
      <c r="C2304" s="33" t="str">
        <f t="array" ref="C2304">IF(B2304="", "", XLOOKUP(B2304, Inventory!D:D,Inventory!E:E,"No Name Found"))</f>
        <v/>
      </c>
      <c r="D2304" s="6"/>
      <c r="E2304" s="6"/>
      <c r="F2304" s="6"/>
      <c r="G2304" s="24" t="str">
        <f>IF(F2304="", "", VLOOKUP(F2304, Inventory!A:BZ, 3, FALSE) - SUMIF($F$1:$F2303, F2304, $H$1:$H2303))
</f>
        <v/>
      </c>
      <c r="I2304" s="26"/>
      <c r="J2304" s="26" t="s">
        <v>77</v>
      </c>
      <c r="L2304" s="27" t="s">
        <v>77</v>
      </c>
      <c r="N2304" s="28" t="s">
        <v>77</v>
      </c>
      <c r="Q2304" s="30"/>
    </row>
    <row r="2305">
      <c r="B2305" s="6"/>
      <c r="C2305" s="33" t="str">
        <f t="array" ref="C2305">IF(B2305="", "", XLOOKUP(B2305, Inventory!D:D,Inventory!E:E,"No Name Found"))</f>
        <v/>
      </c>
      <c r="D2305" s="6"/>
      <c r="E2305" s="6"/>
      <c r="F2305" s="6"/>
      <c r="G2305" s="24" t="str">
        <f>IF(F2305="", "", VLOOKUP(F2305, Inventory!A:BZ, 3, FALSE) - SUMIF($F$1:$F2304, F2305, $H$1:$H2304))
</f>
        <v/>
      </c>
      <c r="I2305" s="26"/>
      <c r="J2305" s="26" t="s">
        <v>77</v>
      </c>
      <c r="L2305" s="27" t="s">
        <v>77</v>
      </c>
      <c r="N2305" s="28" t="s">
        <v>77</v>
      </c>
      <c r="Q2305" s="30"/>
    </row>
    <row r="2306">
      <c r="B2306" s="6"/>
      <c r="C2306" s="33" t="str">
        <f t="array" ref="C2306">IF(B2306="", "", XLOOKUP(B2306, Inventory!D:D,Inventory!E:E,"No Name Found"))</f>
        <v/>
      </c>
      <c r="D2306" s="6"/>
      <c r="E2306" s="6"/>
      <c r="F2306" s="6"/>
      <c r="G2306" s="24" t="str">
        <f>IF(F2306="", "", VLOOKUP(F2306, Inventory!A:BZ, 3, FALSE) - SUMIF($F$1:$F2305, F2306, $H$1:$H2305))
</f>
        <v/>
      </c>
      <c r="I2306" s="26"/>
      <c r="J2306" s="26" t="s">
        <v>77</v>
      </c>
      <c r="L2306" s="27" t="s">
        <v>77</v>
      </c>
      <c r="N2306" s="28" t="s">
        <v>77</v>
      </c>
      <c r="Q2306" s="30"/>
    </row>
    <row r="2307">
      <c r="B2307" s="6"/>
      <c r="C2307" s="33" t="str">
        <f t="array" ref="C2307">IF(B2307="", "", XLOOKUP(B2307, Inventory!D:D,Inventory!E:E,"No Name Found"))</f>
        <v/>
      </c>
      <c r="D2307" s="6"/>
      <c r="E2307" s="6"/>
      <c r="F2307" s="6"/>
      <c r="G2307" s="24" t="str">
        <f>IF(F2307="", "", VLOOKUP(F2307, Inventory!A:BZ, 3, FALSE) - SUMIF($F$1:$F2306, F2307, $H$1:$H2306))
</f>
        <v/>
      </c>
      <c r="I2307" s="26"/>
      <c r="J2307" s="26" t="s">
        <v>77</v>
      </c>
      <c r="L2307" s="27" t="s">
        <v>77</v>
      </c>
      <c r="N2307" s="28" t="s">
        <v>77</v>
      </c>
      <c r="Q2307" s="30"/>
    </row>
    <row r="2308">
      <c r="B2308" s="6"/>
      <c r="C2308" s="33" t="str">
        <f t="array" ref="C2308">IF(B2308="", "", XLOOKUP(B2308, Inventory!D:D,Inventory!E:E,"No Name Found"))</f>
        <v/>
      </c>
      <c r="D2308" s="6"/>
      <c r="E2308" s="6"/>
      <c r="F2308" s="6"/>
      <c r="G2308" s="24" t="str">
        <f>IF(F2308="", "", VLOOKUP(F2308, Inventory!A:BZ, 3, FALSE) - SUMIF($F$1:$F2307, F2308, $H$1:$H2307))
</f>
        <v/>
      </c>
      <c r="I2308" s="26"/>
      <c r="J2308" s="26" t="s">
        <v>77</v>
      </c>
      <c r="L2308" s="27" t="s">
        <v>77</v>
      </c>
      <c r="N2308" s="28" t="s">
        <v>77</v>
      </c>
      <c r="Q2308" s="30"/>
    </row>
    <row r="2309">
      <c r="B2309" s="6"/>
      <c r="C2309" s="33" t="str">
        <f t="array" ref="C2309">IF(B2309="", "", XLOOKUP(B2309, Inventory!D:D,Inventory!E:E,"No Name Found"))</f>
        <v/>
      </c>
      <c r="D2309" s="6"/>
      <c r="E2309" s="6"/>
      <c r="F2309" s="6"/>
      <c r="G2309" s="24" t="str">
        <f>IF(F2309="", "", VLOOKUP(F2309, Inventory!A:BZ, 3, FALSE) - SUMIF($F$1:$F2308, F2309, $H$1:$H2308))
</f>
        <v/>
      </c>
      <c r="I2309" s="26"/>
      <c r="J2309" s="26" t="s">
        <v>77</v>
      </c>
      <c r="L2309" s="27" t="s">
        <v>77</v>
      </c>
      <c r="N2309" s="28" t="s">
        <v>77</v>
      </c>
      <c r="Q2309" s="30"/>
    </row>
    <row r="2310">
      <c r="B2310" s="6"/>
      <c r="C2310" s="33" t="str">
        <f t="array" ref="C2310">IF(B2310="", "", XLOOKUP(B2310, Inventory!D:D,Inventory!E:E,"No Name Found"))</f>
        <v/>
      </c>
      <c r="D2310" s="6"/>
      <c r="E2310" s="6"/>
      <c r="F2310" s="6"/>
      <c r="G2310" s="24" t="str">
        <f>IF(F2310="", "", VLOOKUP(F2310, Inventory!A:BZ, 3, FALSE) - SUMIF($F$1:$F2309, F2310, $H$1:$H2309))
</f>
        <v/>
      </c>
      <c r="I2310" s="26"/>
      <c r="J2310" s="26" t="s">
        <v>77</v>
      </c>
      <c r="L2310" s="27" t="s">
        <v>77</v>
      </c>
      <c r="N2310" s="28" t="s">
        <v>77</v>
      </c>
      <c r="Q2310" s="30"/>
    </row>
    <row r="2311">
      <c r="B2311" s="6"/>
      <c r="C2311" s="33" t="str">
        <f t="array" ref="C2311">IF(B2311="", "", XLOOKUP(B2311, Inventory!D:D,Inventory!E:E,"No Name Found"))</f>
        <v/>
      </c>
      <c r="D2311" s="6"/>
      <c r="E2311" s="6"/>
      <c r="F2311" s="6"/>
      <c r="G2311" s="24" t="str">
        <f>IF(F2311="", "", VLOOKUP(F2311, Inventory!A:BZ, 3, FALSE) - SUMIF($F$1:$F2310, F2311, $H$1:$H2310))
</f>
        <v/>
      </c>
      <c r="I2311" s="26"/>
      <c r="J2311" s="26" t="s">
        <v>77</v>
      </c>
      <c r="L2311" s="27" t="s">
        <v>77</v>
      </c>
      <c r="N2311" s="28" t="s">
        <v>77</v>
      </c>
      <c r="Q2311" s="30"/>
    </row>
    <row r="2312">
      <c r="B2312" s="6"/>
      <c r="C2312" s="33" t="str">
        <f t="array" ref="C2312">IF(B2312="", "", XLOOKUP(B2312, Inventory!D:D,Inventory!E:E,"No Name Found"))</f>
        <v/>
      </c>
      <c r="D2312" s="6"/>
      <c r="E2312" s="6"/>
      <c r="F2312" s="6"/>
      <c r="G2312" s="24" t="str">
        <f>IF(F2312="", "", VLOOKUP(F2312, Inventory!A:BZ, 3, FALSE) - SUMIF($F$1:$F2311, F2312, $H$1:$H2311))
</f>
        <v/>
      </c>
      <c r="I2312" s="26"/>
      <c r="J2312" s="26" t="s">
        <v>77</v>
      </c>
      <c r="L2312" s="27" t="s">
        <v>77</v>
      </c>
      <c r="N2312" s="28" t="s">
        <v>77</v>
      </c>
      <c r="Q2312" s="30"/>
    </row>
    <row r="2313">
      <c r="B2313" s="6"/>
      <c r="C2313" s="33" t="str">
        <f t="array" ref="C2313">IF(B2313="", "", XLOOKUP(B2313, Inventory!D:D,Inventory!E:E,"No Name Found"))</f>
        <v/>
      </c>
      <c r="D2313" s="6"/>
      <c r="E2313" s="6"/>
      <c r="F2313" s="6"/>
      <c r="G2313" s="24" t="str">
        <f>IF(F2313="", "", VLOOKUP(F2313, Inventory!A:BZ, 3, FALSE) - SUMIF($F$1:$F2312, F2313, $H$1:$H2312))
</f>
        <v/>
      </c>
      <c r="I2313" s="26"/>
      <c r="J2313" s="26" t="s">
        <v>77</v>
      </c>
      <c r="L2313" s="27" t="s">
        <v>77</v>
      </c>
      <c r="N2313" s="28" t="s">
        <v>77</v>
      </c>
      <c r="Q2313" s="30"/>
    </row>
    <row r="2314">
      <c r="B2314" s="6"/>
      <c r="C2314" s="33" t="str">
        <f t="array" ref="C2314">IF(B2314="", "", XLOOKUP(B2314, Inventory!D:D,Inventory!E:E,"No Name Found"))</f>
        <v/>
      </c>
      <c r="D2314" s="6"/>
      <c r="E2314" s="6"/>
      <c r="F2314" s="6"/>
      <c r="G2314" s="24" t="str">
        <f>IF(F2314="", "", VLOOKUP(F2314, Inventory!A:BZ, 3, FALSE) - SUMIF($F$1:$F2313, F2314, $H$1:$H2313))
</f>
        <v/>
      </c>
      <c r="I2314" s="26"/>
      <c r="J2314" s="26" t="s">
        <v>77</v>
      </c>
      <c r="L2314" s="27" t="s">
        <v>77</v>
      </c>
      <c r="N2314" s="28" t="s">
        <v>77</v>
      </c>
      <c r="Q2314" s="30"/>
    </row>
    <row r="2315">
      <c r="B2315" s="6"/>
      <c r="C2315" s="33" t="str">
        <f t="array" ref="C2315">IF(B2315="", "", XLOOKUP(B2315, Inventory!D:D,Inventory!E:E,"No Name Found"))</f>
        <v/>
      </c>
      <c r="D2315" s="6"/>
      <c r="E2315" s="6"/>
      <c r="F2315" s="6"/>
      <c r="G2315" s="24" t="str">
        <f>IF(F2315="", "", VLOOKUP(F2315, Inventory!A:BZ, 3, FALSE) - SUMIF($F$1:$F2314, F2315, $H$1:$H2314))
</f>
        <v/>
      </c>
      <c r="I2315" s="26"/>
      <c r="J2315" s="26" t="s">
        <v>77</v>
      </c>
      <c r="L2315" s="27" t="s">
        <v>77</v>
      </c>
      <c r="N2315" s="28" t="s">
        <v>77</v>
      </c>
      <c r="Q2315" s="30"/>
    </row>
    <row r="2316">
      <c r="B2316" s="6"/>
      <c r="C2316" s="33" t="str">
        <f t="array" ref="C2316">IF(B2316="", "", XLOOKUP(B2316, Inventory!D:D,Inventory!E:E,"No Name Found"))</f>
        <v/>
      </c>
      <c r="D2316" s="6"/>
      <c r="E2316" s="6"/>
      <c r="F2316" s="6"/>
      <c r="G2316" s="24" t="str">
        <f>IF(F2316="", "", VLOOKUP(F2316, Inventory!A:BZ, 3, FALSE) - SUMIF($F$1:$F2315, F2316, $H$1:$H2315))
</f>
        <v/>
      </c>
      <c r="I2316" s="26"/>
      <c r="J2316" s="26" t="s">
        <v>77</v>
      </c>
      <c r="L2316" s="27" t="s">
        <v>77</v>
      </c>
      <c r="N2316" s="28" t="s">
        <v>77</v>
      </c>
      <c r="Q2316" s="30"/>
    </row>
    <row r="2317">
      <c r="B2317" s="6"/>
      <c r="C2317" s="33" t="str">
        <f t="array" ref="C2317">IF(B2317="", "", XLOOKUP(B2317, Inventory!D:D,Inventory!E:E,"No Name Found"))</f>
        <v/>
      </c>
      <c r="D2317" s="6"/>
      <c r="E2317" s="6"/>
      <c r="F2317" s="6"/>
      <c r="G2317" s="24" t="str">
        <f>IF(F2317="", "", VLOOKUP(F2317, Inventory!A:BZ, 3, FALSE) - SUMIF($F$1:$F2316, F2317, $H$1:$H2316))
</f>
        <v/>
      </c>
      <c r="I2317" s="26"/>
      <c r="J2317" s="26" t="s">
        <v>77</v>
      </c>
      <c r="L2317" s="27" t="s">
        <v>77</v>
      </c>
      <c r="N2317" s="28" t="s">
        <v>77</v>
      </c>
      <c r="Q2317" s="30"/>
    </row>
    <row r="2318">
      <c r="B2318" s="6"/>
      <c r="C2318" s="33" t="str">
        <f t="array" ref="C2318">IF(B2318="", "", XLOOKUP(B2318, Inventory!D:D,Inventory!E:E,"No Name Found"))</f>
        <v/>
      </c>
      <c r="D2318" s="6"/>
      <c r="E2318" s="6"/>
      <c r="F2318" s="6"/>
      <c r="G2318" s="24" t="str">
        <f>IF(F2318="", "", VLOOKUP(F2318, Inventory!A:BZ, 3, FALSE) - SUMIF($F$1:$F2317, F2318, $H$1:$H2317))
</f>
        <v/>
      </c>
      <c r="I2318" s="26"/>
      <c r="J2318" s="26" t="s">
        <v>77</v>
      </c>
      <c r="L2318" s="27" t="s">
        <v>77</v>
      </c>
      <c r="N2318" s="28" t="s">
        <v>77</v>
      </c>
      <c r="Q2318" s="30"/>
    </row>
    <row r="2319">
      <c r="B2319" s="6"/>
      <c r="C2319" s="33" t="str">
        <f t="array" ref="C2319">IF(B2319="", "", XLOOKUP(B2319, Inventory!D:D,Inventory!E:E,"No Name Found"))</f>
        <v/>
      </c>
      <c r="D2319" s="6"/>
      <c r="E2319" s="6"/>
      <c r="F2319" s="6"/>
      <c r="G2319" s="24" t="str">
        <f>IF(F2319="", "", VLOOKUP(F2319, Inventory!A:BZ, 3, FALSE) - SUMIF($F$1:$F2318, F2319, $H$1:$H2318))
</f>
        <v/>
      </c>
      <c r="I2319" s="26"/>
      <c r="J2319" s="26" t="s">
        <v>77</v>
      </c>
      <c r="L2319" s="27" t="s">
        <v>77</v>
      </c>
      <c r="N2319" s="28" t="s">
        <v>77</v>
      </c>
      <c r="Q2319" s="30"/>
    </row>
    <row r="2320">
      <c r="B2320" s="6"/>
      <c r="C2320" s="33" t="str">
        <f t="array" ref="C2320">IF(B2320="", "", XLOOKUP(B2320, Inventory!D:D,Inventory!E:E,"No Name Found"))</f>
        <v/>
      </c>
      <c r="D2320" s="6"/>
      <c r="E2320" s="6"/>
      <c r="F2320" s="6"/>
      <c r="G2320" s="24" t="str">
        <f>IF(F2320="", "", VLOOKUP(F2320, Inventory!A:BZ, 3, FALSE) - SUMIF($F$1:$F2319, F2320, $H$1:$H2319))
</f>
        <v/>
      </c>
      <c r="I2320" s="26"/>
      <c r="J2320" s="26" t="s">
        <v>77</v>
      </c>
      <c r="L2320" s="27" t="s">
        <v>77</v>
      </c>
      <c r="N2320" s="28" t="s">
        <v>77</v>
      </c>
      <c r="Q2320" s="30"/>
    </row>
    <row r="2321">
      <c r="B2321" s="6"/>
      <c r="C2321" s="33" t="str">
        <f t="array" ref="C2321">IF(B2321="", "", XLOOKUP(B2321, Inventory!D:D,Inventory!E:E,"No Name Found"))</f>
        <v/>
      </c>
      <c r="D2321" s="6"/>
      <c r="E2321" s="6"/>
      <c r="F2321" s="6"/>
      <c r="G2321" s="24" t="str">
        <f>IF(F2321="", "", VLOOKUP(F2321, Inventory!A:BZ, 3, FALSE) - SUMIF($F$1:$F2320, F2321, $H$1:$H2320))
</f>
        <v/>
      </c>
      <c r="I2321" s="26"/>
      <c r="J2321" s="26" t="s">
        <v>77</v>
      </c>
      <c r="L2321" s="27" t="s">
        <v>77</v>
      </c>
      <c r="N2321" s="28" t="s">
        <v>77</v>
      </c>
      <c r="Q2321" s="30"/>
    </row>
    <row r="2322">
      <c r="B2322" s="6"/>
      <c r="C2322" s="33" t="str">
        <f t="array" ref="C2322">IF(B2322="", "", XLOOKUP(B2322, Inventory!D:D,Inventory!E:E,"No Name Found"))</f>
        <v/>
      </c>
      <c r="D2322" s="6"/>
      <c r="E2322" s="6"/>
      <c r="F2322" s="6"/>
      <c r="G2322" s="24" t="str">
        <f>IF(F2322="", "", VLOOKUP(F2322, Inventory!A:BZ, 3, FALSE) - SUMIF($F$1:$F2321, F2322, $H$1:$H2321))
</f>
        <v/>
      </c>
      <c r="I2322" s="26"/>
      <c r="J2322" s="26" t="s">
        <v>77</v>
      </c>
      <c r="L2322" s="27" t="s">
        <v>77</v>
      </c>
      <c r="N2322" s="28" t="s">
        <v>77</v>
      </c>
      <c r="Q2322" s="30"/>
    </row>
    <row r="2323">
      <c r="B2323" s="6"/>
      <c r="C2323" s="33" t="str">
        <f t="array" ref="C2323">IF(B2323="", "", XLOOKUP(B2323, Inventory!D:D,Inventory!E:E,"No Name Found"))</f>
        <v/>
      </c>
      <c r="D2323" s="6"/>
      <c r="E2323" s="6"/>
      <c r="F2323" s="6"/>
      <c r="G2323" s="24" t="str">
        <f>IF(F2323="", "", VLOOKUP(F2323, Inventory!A:BZ, 3, FALSE) - SUMIF($F$1:$F2322, F2323, $H$1:$H2322))
</f>
        <v/>
      </c>
      <c r="I2323" s="26"/>
      <c r="J2323" s="26" t="s">
        <v>77</v>
      </c>
      <c r="L2323" s="27" t="s">
        <v>77</v>
      </c>
      <c r="N2323" s="28" t="s">
        <v>77</v>
      </c>
      <c r="Q2323" s="30"/>
    </row>
    <row r="2324">
      <c r="B2324" s="6"/>
      <c r="C2324" s="33" t="str">
        <f t="array" ref="C2324">IF(B2324="", "", XLOOKUP(B2324, Inventory!D:D,Inventory!E:E,"No Name Found"))</f>
        <v/>
      </c>
      <c r="D2324" s="6"/>
      <c r="E2324" s="6"/>
      <c r="F2324" s="6"/>
      <c r="G2324" s="24" t="str">
        <f>IF(F2324="", "", VLOOKUP(F2324, Inventory!A:BZ, 3, FALSE) - SUMIF($F$1:$F2323, F2324, $H$1:$H2323))
</f>
        <v/>
      </c>
      <c r="I2324" s="26"/>
      <c r="J2324" s="26" t="s">
        <v>77</v>
      </c>
      <c r="L2324" s="27" t="s">
        <v>77</v>
      </c>
      <c r="N2324" s="28" t="s">
        <v>77</v>
      </c>
      <c r="Q2324" s="30"/>
    </row>
    <row r="2325">
      <c r="B2325" s="6"/>
      <c r="C2325" s="33" t="str">
        <f t="array" ref="C2325">IF(B2325="", "", XLOOKUP(B2325, Inventory!D:D,Inventory!E:E,"No Name Found"))</f>
        <v/>
      </c>
      <c r="D2325" s="6"/>
      <c r="E2325" s="6"/>
      <c r="F2325" s="6"/>
      <c r="G2325" s="24" t="str">
        <f>IF(F2325="", "", VLOOKUP(F2325, Inventory!A:BZ, 3, FALSE) - SUMIF($F$1:$F2324, F2325, $H$1:$H2324))
</f>
        <v/>
      </c>
      <c r="I2325" s="26"/>
      <c r="J2325" s="26" t="s">
        <v>77</v>
      </c>
      <c r="L2325" s="27" t="s">
        <v>77</v>
      </c>
      <c r="N2325" s="28" t="s">
        <v>77</v>
      </c>
      <c r="Q2325" s="30"/>
    </row>
    <row r="2326">
      <c r="B2326" s="6"/>
      <c r="C2326" s="33" t="str">
        <f t="array" ref="C2326">IF(B2326="", "", XLOOKUP(B2326, Inventory!D:D,Inventory!E:E,"No Name Found"))</f>
        <v/>
      </c>
      <c r="D2326" s="6"/>
      <c r="E2326" s="6"/>
      <c r="F2326" s="6"/>
      <c r="G2326" s="24" t="str">
        <f>IF(F2326="", "", VLOOKUP(F2326, Inventory!A:BZ, 3, FALSE) - SUMIF($F$1:$F2325, F2326, $H$1:$H2325))
</f>
        <v/>
      </c>
      <c r="I2326" s="26"/>
      <c r="J2326" s="26" t="s">
        <v>77</v>
      </c>
      <c r="L2326" s="27" t="s">
        <v>77</v>
      </c>
      <c r="N2326" s="28" t="s">
        <v>77</v>
      </c>
      <c r="Q2326" s="30"/>
    </row>
    <row r="2327">
      <c r="B2327" s="6"/>
      <c r="C2327" s="33" t="str">
        <f t="array" ref="C2327">IF(B2327="", "", XLOOKUP(B2327, Inventory!D:D,Inventory!E:E,"No Name Found"))</f>
        <v/>
      </c>
      <c r="D2327" s="6"/>
      <c r="E2327" s="6"/>
      <c r="F2327" s="6"/>
      <c r="G2327" s="24" t="str">
        <f>IF(F2327="", "", VLOOKUP(F2327, Inventory!A:BZ, 3, FALSE) - SUMIF($F$1:$F2326, F2327, $H$1:$H2326))
</f>
        <v/>
      </c>
      <c r="I2327" s="26"/>
      <c r="J2327" s="26" t="s">
        <v>77</v>
      </c>
      <c r="L2327" s="27" t="s">
        <v>77</v>
      </c>
      <c r="N2327" s="28" t="s">
        <v>77</v>
      </c>
      <c r="Q2327" s="30"/>
    </row>
    <row r="2328">
      <c r="B2328" s="6"/>
      <c r="C2328" s="33" t="str">
        <f t="array" ref="C2328">IF(B2328="", "", XLOOKUP(B2328, Inventory!D:D,Inventory!E:E,"No Name Found"))</f>
        <v/>
      </c>
      <c r="D2328" s="6"/>
      <c r="E2328" s="6"/>
      <c r="F2328" s="6"/>
      <c r="G2328" s="24" t="str">
        <f>IF(F2328="", "", VLOOKUP(F2328, Inventory!A:BZ, 3, FALSE) - SUMIF($F$1:$F2327, F2328, $H$1:$H2327))
</f>
        <v/>
      </c>
      <c r="I2328" s="26"/>
      <c r="J2328" s="26" t="s">
        <v>77</v>
      </c>
      <c r="L2328" s="27" t="s">
        <v>77</v>
      </c>
      <c r="N2328" s="28" t="s">
        <v>77</v>
      </c>
      <c r="Q2328" s="30"/>
    </row>
    <row r="2329">
      <c r="B2329" s="6"/>
      <c r="C2329" s="33" t="str">
        <f t="array" ref="C2329">IF(B2329="", "", XLOOKUP(B2329, Inventory!D:D,Inventory!E:E,"No Name Found"))</f>
        <v/>
      </c>
      <c r="D2329" s="6"/>
      <c r="E2329" s="6"/>
      <c r="F2329" s="6"/>
      <c r="G2329" s="24" t="str">
        <f>IF(F2329="", "", VLOOKUP(F2329, Inventory!A:BZ, 3, FALSE) - SUMIF($F$1:$F2328, F2329, $H$1:$H2328))
</f>
        <v/>
      </c>
      <c r="I2329" s="26"/>
      <c r="J2329" s="26" t="s">
        <v>77</v>
      </c>
      <c r="L2329" s="27" t="s">
        <v>77</v>
      </c>
      <c r="N2329" s="28" t="s">
        <v>77</v>
      </c>
      <c r="Q2329" s="30"/>
    </row>
    <row r="2330">
      <c r="B2330" s="6"/>
      <c r="C2330" s="33" t="str">
        <f t="array" ref="C2330">IF(B2330="", "", XLOOKUP(B2330, Inventory!D:D,Inventory!E:E,"No Name Found"))</f>
        <v/>
      </c>
      <c r="D2330" s="6"/>
      <c r="E2330" s="6"/>
      <c r="F2330" s="6"/>
      <c r="G2330" s="24" t="str">
        <f>IF(F2330="", "", VLOOKUP(F2330, Inventory!A:BZ, 3, FALSE) - SUMIF($F$1:$F2329, F2330, $H$1:$H2329))
</f>
        <v/>
      </c>
      <c r="I2330" s="26"/>
      <c r="J2330" s="26" t="s">
        <v>77</v>
      </c>
      <c r="L2330" s="27" t="s">
        <v>77</v>
      </c>
      <c r="N2330" s="28" t="s">
        <v>77</v>
      </c>
      <c r="Q2330" s="30"/>
    </row>
    <row r="2331">
      <c r="B2331" s="6"/>
      <c r="C2331" s="33" t="str">
        <f t="array" ref="C2331">IF(B2331="", "", XLOOKUP(B2331, Inventory!D:D,Inventory!E:E,"No Name Found"))</f>
        <v/>
      </c>
      <c r="D2331" s="6"/>
      <c r="E2331" s="6"/>
      <c r="F2331" s="6"/>
      <c r="G2331" s="24" t="str">
        <f>IF(F2331="", "", VLOOKUP(F2331, Inventory!A:BZ, 3, FALSE) - SUMIF($F$1:$F2330, F2331, $H$1:$H2330))
</f>
        <v/>
      </c>
      <c r="I2331" s="26"/>
      <c r="J2331" s="26" t="s">
        <v>77</v>
      </c>
      <c r="L2331" s="27" t="s">
        <v>77</v>
      </c>
      <c r="N2331" s="28" t="s">
        <v>77</v>
      </c>
      <c r="Q2331" s="30"/>
    </row>
    <row r="2332">
      <c r="B2332" s="6"/>
      <c r="C2332" s="33" t="str">
        <f t="array" ref="C2332">IF(B2332="", "", XLOOKUP(B2332, Inventory!D:D,Inventory!E:E,"No Name Found"))</f>
        <v/>
      </c>
      <c r="D2332" s="6"/>
      <c r="E2332" s="6"/>
      <c r="F2332" s="6"/>
      <c r="G2332" s="24" t="str">
        <f>IF(F2332="", "", VLOOKUP(F2332, Inventory!A:BZ, 3, FALSE) - SUMIF($F$1:$F2331, F2332, $H$1:$H2331))
</f>
        <v/>
      </c>
      <c r="I2332" s="26"/>
      <c r="J2332" s="26" t="s">
        <v>77</v>
      </c>
      <c r="L2332" s="27" t="s">
        <v>77</v>
      </c>
      <c r="N2332" s="28" t="s">
        <v>77</v>
      </c>
      <c r="Q2332" s="30"/>
    </row>
    <row r="2333">
      <c r="B2333" s="6"/>
      <c r="C2333" s="33" t="str">
        <f t="array" ref="C2333">IF(B2333="", "", XLOOKUP(B2333, Inventory!D:D,Inventory!E:E,"No Name Found"))</f>
        <v/>
      </c>
      <c r="D2333" s="6"/>
      <c r="E2333" s="6"/>
      <c r="F2333" s="6"/>
      <c r="G2333" s="24" t="str">
        <f>IF(F2333="", "", VLOOKUP(F2333, Inventory!A:BZ, 3, FALSE) - SUMIF($F$1:$F2332, F2333, $H$1:$H2332))
</f>
        <v/>
      </c>
      <c r="I2333" s="26"/>
      <c r="J2333" s="26" t="s">
        <v>77</v>
      </c>
      <c r="L2333" s="27" t="s">
        <v>77</v>
      </c>
      <c r="N2333" s="28" t="s">
        <v>77</v>
      </c>
      <c r="Q2333" s="30"/>
    </row>
    <row r="2334">
      <c r="B2334" s="6"/>
      <c r="C2334" s="33" t="str">
        <f t="array" ref="C2334">IF(B2334="", "", XLOOKUP(B2334, Inventory!D:D,Inventory!E:E,"No Name Found"))</f>
        <v/>
      </c>
      <c r="D2334" s="6"/>
      <c r="E2334" s="6"/>
      <c r="F2334" s="6"/>
      <c r="G2334" s="24" t="str">
        <f>IF(F2334="", "", VLOOKUP(F2334, Inventory!A:BZ, 3, FALSE) - SUMIF($F$1:$F2333, F2334, $H$1:$H2333))
</f>
        <v/>
      </c>
      <c r="I2334" s="26"/>
      <c r="J2334" s="26" t="s">
        <v>77</v>
      </c>
      <c r="L2334" s="27" t="s">
        <v>77</v>
      </c>
      <c r="N2334" s="28" t="s">
        <v>77</v>
      </c>
      <c r="Q2334" s="30"/>
    </row>
    <row r="2335">
      <c r="B2335" s="6"/>
      <c r="C2335" s="33" t="str">
        <f t="array" ref="C2335">IF(B2335="", "", XLOOKUP(B2335, Inventory!D:D,Inventory!E:E,"No Name Found"))</f>
        <v/>
      </c>
      <c r="D2335" s="6"/>
      <c r="E2335" s="6"/>
      <c r="F2335" s="6"/>
      <c r="G2335" s="24" t="str">
        <f>IF(F2335="", "", VLOOKUP(F2335, Inventory!A:BZ, 3, FALSE) - SUMIF($F$1:$F2334, F2335, $H$1:$H2334))
</f>
        <v/>
      </c>
      <c r="I2335" s="26"/>
      <c r="J2335" s="26" t="s">
        <v>77</v>
      </c>
      <c r="L2335" s="27" t="s">
        <v>77</v>
      </c>
      <c r="N2335" s="28" t="s">
        <v>77</v>
      </c>
      <c r="Q2335" s="30"/>
    </row>
    <row r="2336">
      <c r="B2336" s="6"/>
      <c r="C2336" s="33" t="str">
        <f t="array" ref="C2336">IF(B2336="", "", XLOOKUP(B2336, Inventory!D:D,Inventory!E:E,"No Name Found"))</f>
        <v/>
      </c>
      <c r="D2336" s="6"/>
      <c r="E2336" s="6"/>
      <c r="F2336" s="6"/>
      <c r="G2336" s="24" t="str">
        <f>IF(F2336="", "", VLOOKUP(F2336, Inventory!A:BZ, 3, FALSE) - SUMIF($F$1:$F2335, F2336, $H$1:$H2335))
</f>
        <v/>
      </c>
      <c r="I2336" s="26"/>
      <c r="J2336" s="26" t="s">
        <v>77</v>
      </c>
      <c r="L2336" s="27" t="s">
        <v>77</v>
      </c>
      <c r="N2336" s="28" t="s">
        <v>77</v>
      </c>
      <c r="Q2336" s="30"/>
    </row>
    <row r="2337">
      <c r="B2337" s="6"/>
      <c r="C2337" s="33" t="str">
        <f t="array" ref="C2337">IF(B2337="", "", XLOOKUP(B2337, Inventory!D:D,Inventory!E:E,"No Name Found"))</f>
        <v/>
      </c>
      <c r="D2337" s="6"/>
      <c r="E2337" s="6"/>
      <c r="F2337" s="6"/>
      <c r="G2337" s="24" t="str">
        <f>IF(F2337="", "", VLOOKUP(F2337, Inventory!A:BZ, 3, FALSE) - SUMIF($F$1:$F2336, F2337, $H$1:$H2336))
</f>
        <v/>
      </c>
      <c r="I2337" s="26"/>
      <c r="J2337" s="26" t="s">
        <v>77</v>
      </c>
      <c r="L2337" s="27" t="s">
        <v>77</v>
      </c>
      <c r="N2337" s="28" t="s">
        <v>77</v>
      </c>
      <c r="Q2337" s="30"/>
    </row>
    <row r="2338">
      <c r="B2338" s="6"/>
      <c r="C2338" s="33" t="str">
        <f t="array" ref="C2338">IF(B2338="", "", XLOOKUP(B2338, Inventory!D:D,Inventory!E:E,"No Name Found"))</f>
        <v/>
      </c>
      <c r="D2338" s="6"/>
      <c r="E2338" s="6"/>
      <c r="F2338" s="6"/>
      <c r="G2338" s="24" t="str">
        <f>IF(F2338="", "", VLOOKUP(F2338, Inventory!A:BZ, 3, FALSE) - SUMIF($F$1:$F2337, F2338, $H$1:$H2337))
</f>
        <v/>
      </c>
      <c r="I2338" s="26"/>
      <c r="J2338" s="26" t="s">
        <v>77</v>
      </c>
      <c r="L2338" s="27" t="s">
        <v>77</v>
      </c>
      <c r="N2338" s="28" t="s">
        <v>77</v>
      </c>
      <c r="Q2338" s="30"/>
    </row>
    <row r="2339">
      <c r="B2339" s="6"/>
      <c r="C2339" s="33" t="str">
        <f t="array" ref="C2339">IF(B2339="", "", XLOOKUP(B2339, Inventory!D:D,Inventory!E:E,"No Name Found"))</f>
        <v/>
      </c>
      <c r="D2339" s="6"/>
      <c r="E2339" s="6"/>
      <c r="F2339" s="6"/>
      <c r="G2339" s="24" t="str">
        <f>IF(F2339="", "", VLOOKUP(F2339, Inventory!A:BZ, 3, FALSE) - SUMIF($F$1:$F2338, F2339, $H$1:$H2338))
</f>
        <v/>
      </c>
      <c r="I2339" s="26"/>
      <c r="J2339" s="26" t="s">
        <v>77</v>
      </c>
      <c r="L2339" s="27" t="s">
        <v>77</v>
      </c>
      <c r="N2339" s="28" t="s">
        <v>77</v>
      </c>
      <c r="Q2339" s="30"/>
    </row>
    <row r="2340">
      <c r="B2340" s="6"/>
      <c r="C2340" s="33" t="str">
        <f t="array" ref="C2340">IF(B2340="", "", XLOOKUP(B2340, Inventory!D:D,Inventory!E:E,"No Name Found"))</f>
        <v/>
      </c>
      <c r="D2340" s="6"/>
      <c r="E2340" s="6"/>
      <c r="F2340" s="6"/>
      <c r="G2340" s="24" t="str">
        <f>IF(F2340="", "", VLOOKUP(F2340, Inventory!A:BZ, 3, FALSE) - SUMIF($F$1:$F2339, F2340, $H$1:$H2339))
</f>
        <v/>
      </c>
      <c r="I2340" s="26"/>
      <c r="J2340" s="26" t="s">
        <v>77</v>
      </c>
      <c r="L2340" s="27" t="s">
        <v>77</v>
      </c>
      <c r="N2340" s="28" t="s">
        <v>77</v>
      </c>
      <c r="Q2340" s="30"/>
    </row>
    <row r="2341">
      <c r="B2341" s="6"/>
      <c r="C2341" s="33" t="str">
        <f t="array" ref="C2341">IF(B2341="", "", XLOOKUP(B2341, Inventory!D:D,Inventory!E:E,"No Name Found"))</f>
        <v/>
      </c>
      <c r="D2341" s="6"/>
      <c r="E2341" s="6"/>
      <c r="F2341" s="6"/>
      <c r="G2341" s="24" t="str">
        <f>IF(F2341="", "", VLOOKUP(F2341, Inventory!A:BZ, 3, FALSE) - SUMIF($F$1:$F2340, F2341, $H$1:$H2340))
</f>
        <v/>
      </c>
      <c r="I2341" s="26"/>
      <c r="J2341" s="26" t="s">
        <v>77</v>
      </c>
      <c r="L2341" s="27" t="s">
        <v>77</v>
      </c>
      <c r="N2341" s="28" t="s">
        <v>77</v>
      </c>
      <c r="Q2341" s="30"/>
    </row>
    <row r="2342">
      <c r="B2342" s="6"/>
      <c r="C2342" s="33" t="str">
        <f t="array" ref="C2342">IF(B2342="", "", XLOOKUP(B2342, Inventory!D:D,Inventory!E:E,"No Name Found"))</f>
        <v/>
      </c>
      <c r="D2342" s="6"/>
      <c r="E2342" s="6"/>
      <c r="F2342" s="6"/>
      <c r="G2342" s="24" t="str">
        <f>IF(F2342="", "", VLOOKUP(F2342, Inventory!A:BZ, 3, FALSE) - SUMIF($F$1:$F2341, F2342, $H$1:$H2341))
</f>
        <v/>
      </c>
      <c r="I2342" s="26"/>
      <c r="J2342" s="26" t="s">
        <v>77</v>
      </c>
      <c r="L2342" s="27" t="s">
        <v>77</v>
      </c>
      <c r="N2342" s="28" t="s">
        <v>77</v>
      </c>
      <c r="Q2342" s="30"/>
    </row>
    <row r="2343">
      <c r="B2343" s="6"/>
      <c r="C2343" s="33" t="str">
        <f t="array" ref="C2343">IF(B2343="", "", XLOOKUP(B2343, Inventory!D:D,Inventory!E:E,"No Name Found"))</f>
        <v/>
      </c>
      <c r="D2343" s="6"/>
      <c r="E2343" s="6"/>
      <c r="F2343" s="6"/>
      <c r="G2343" s="24" t="str">
        <f>IF(F2343="", "", VLOOKUP(F2343, Inventory!A:BZ, 3, FALSE) - SUMIF($F$1:$F2342, F2343, $H$1:$H2342))
</f>
        <v/>
      </c>
      <c r="I2343" s="26"/>
      <c r="J2343" s="26" t="s">
        <v>77</v>
      </c>
      <c r="L2343" s="27" t="s">
        <v>77</v>
      </c>
      <c r="N2343" s="28" t="s">
        <v>77</v>
      </c>
      <c r="Q2343" s="30"/>
    </row>
    <row r="2344">
      <c r="B2344" s="6"/>
      <c r="C2344" s="33" t="str">
        <f t="array" ref="C2344">IF(B2344="", "", XLOOKUP(B2344, Inventory!D:D,Inventory!E:E,"No Name Found"))</f>
        <v/>
      </c>
      <c r="D2344" s="6"/>
      <c r="E2344" s="6"/>
      <c r="F2344" s="6"/>
      <c r="G2344" s="24" t="str">
        <f>IF(F2344="", "", VLOOKUP(F2344, Inventory!A:BZ, 3, FALSE) - SUMIF($F$1:$F2343, F2344, $H$1:$H2343))
</f>
        <v/>
      </c>
      <c r="I2344" s="26"/>
      <c r="J2344" s="26" t="s">
        <v>77</v>
      </c>
      <c r="L2344" s="27" t="s">
        <v>77</v>
      </c>
      <c r="N2344" s="28" t="s">
        <v>77</v>
      </c>
      <c r="Q2344" s="30"/>
    </row>
    <row r="2345">
      <c r="B2345" s="6"/>
      <c r="C2345" s="33" t="str">
        <f t="array" ref="C2345">IF(B2345="", "", XLOOKUP(B2345, Inventory!D:D,Inventory!E:E,"No Name Found"))</f>
        <v/>
      </c>
      <c r="D2345" s="6"/>
      <c r="E2345" s="6"/>
      <c r="F2345" s="6"/>
      <c r="G2345" s="24" t="str">
        <f>IF(F2345="", "", VLOOKUP(F2345, Inventory!A:BZ, 3, FALSE) - SUMIF($F$1:$F2344, F2345, $H$1:$H2344))
</f>
        <v/>
      </c>
      <c r="I2345" s="26"/>
      <c r="J2345" s="26" t="s">
        <v>77</v>
      </c>
      <c r="L2345" s="27" t="s">
        <v>77</v>
      </c>
      <c r="N2345" s="28" t="s">
        <v>77</v>
      </c>
      <c r="Q2345" s="30"/>
    </row>
    <row r="2346">
      <c r="B2346" s="6"/>
      <c r="C2346" s="33" t="str">
        <f t="array" ref="C2346">IF(B2346="", "", XLOOKUP(B2346, Inventory!D:D,Inventory!E:E,"No Name Found"))</f>
        <v/>
      </c>
      <c r="D2346" s="6"/>
      <c r="E2346" s="6"/>
      <c r="F2346" s="6"/>
      <c r="G2346" s="24" t="str">
        <f>IF(F2346="", "", VLOOKUP(F2346, Inventory!A:BZ, 3, FALSE) - SUMIF($F$1:$F2345, F2346, $H$1:$H2345))
</f>
        <v/>
      </c>
      <c r="I2346" s="26"/>
      <c r="J2346" s="26" t="s">
        <v>77</v>
      </c>
      <c r="L2346" s="27" t="s">
        <v>77</v>
      </c>
      <c r="N2346" s="28" t="s">
        <v>77</v>
      </c>
      <c r="Q2346" s="30"/>
    </row>
    <row r="2347">
      <c r="B2347" s="6"/>
      <c r="C2347" s="33" t="str">
        <f t="array" ref="C2347">IF(B2347="", "", XLOOKUP(B2347, Inventory!D:D,Inventory!E:E,"No Name Found"))</f>
        <v/>
      </c>
      <c r="D2347" s="6"/>
      <c r="E2347" s="6"/>
      <c r="F2347" s="6"/>
      <c r="G2347" s="24" t="str">
        <f>IF(F2347="", "", VLOOKUP(F2347, Inventory!A:BZ, 3, FALSE) - SUMIF($F$1:$F2346, F2347, $H$1:$H2346))
</f>
        <v/>
      </c>
      <c r="I2347" s="26"/>
      <c r="J2347" s="26" t="s">
        <v>77</v>
      </c>
      <c r="L2347" s="27" t="s">
        <v>77</v>
      </c>
      <c r="N2347" s="28" t="s">
        <v>77</v>
      </c>
      <c r="Q2347" s="30"/>
    </row>
    <row r="2348">
      <c r="B2348" s="6"/>
      <c r="C2348" s="33" t="str">
        <f t="array" ref="C2348">IF(B2348="", "", XLOOKUP(B2348, Inventory!D:D,Inventory!E:E,"No Name Found"))</f>
        <v/>
      </c>
      <c r="D2348" s="6"/>
      <c r="E2348" s="6"/>
      <c r="F2348" s="6"/>
      <c r="G2348" s="24" t="str">
        <f>IF(F2348="", "", VLOOKUP(F2348, Inventory!A:BZ, 3, FALSE) - SUMIF($F$1:$F2347, F2348, $H$1:$H2347))
</f>
        <v/>
      </c>
      <c r="I2348" s="26"/>
      <c r="J2348" s="26" t="s">
        <v>77</v>
      </c>
      <c r="L2348" s="27" t="s">
        <v>77</v>
      </c>
      <c r="N2348" s="28" t="s">
        <v>77</v>
      </c>
      <c r="Q2348" s="30"/>
    </row>
    <row r="2349">
      <c r="B2349" s="6"/>
      <c r="C2349" s="33" t="str">
        <f t="array" ref="C2349">IF(B2349="", "", XLOOKUP(B2349, Inventory!D:D,Inventory!E:E,"No Name Found"))</f>
        <v/>
      </c>
      <c r="D2349" s="6"/>
      <c r="E2349" s="6"/>
      <c r="F2349" s="6"/>
      <c r="G2349" s="24" t="str">
        <f>IF(F2349="", "", VLOOKUP(F2349, Inventory!A:BZ, 3, FALSE) - SUMIF($F$1:$F2348, F2349, $H$1:$H2348))
</f>
        <v/>
      </c>
      <c r="I2349" s="26"/>
      <c r="J2349" s="26" t="s">
        <v>77</v>
      </c>
      <c r="L2349" s="27" t="s">
        <v>77</v>
      </c>
      <c r="N2349" s="28" t="s">
        <v>77</v>
      </c>
      <c r="Q2349" s="30"/>
    </row>
    <row r="2350">
      <c r="B2350" s="6"/>
      <c r="C2350" s="33" t="str">
        <f t="array" ref="C2350">IF(B2350="", "", XLOOKUP(B2350, Inventory!D:D,Inventory!E:E,"No Name Found"))</f>
        <v/>
      </c>
      <c r="D2350" s="6"/>
      <c r="E2350" s="6"/>
      <c r="F2350" s="6"/>
      <c r="G2350" s="24" t="str">
        <f>IF(F2350="", "", VLOOKUP(F2350, Inventory!A:BZ, 3, FALSE) - SUMIF($F$1:$F2349, F2350, $H$1:$H2349))
</f>
        <v/>
      </c>
      <c r="I2350" s="26"/>
      <c r="J2350" s="26" t="s">
        <v>77</v>
      </c>
      <c r="L2350" s="27" t="s">
        <v>77</v>
      </c>
      <c r="N2350" s="28" t="s">
        <v>77</v>
      </c>
      <c r="Q2350" s="30"/>
    </row>
    <row r="2351">
      <c r="B2351" s="6"/>
      <c r="C2351" s="33" t="str">
        <f t="array" ref="C2351">IF(B2351="", "", XLOOKUP(B2351, Inventory!D:D,Inventory!E:E,"No Name Found"))</f>
        <v/>
      </c>
      <c r="D2351" s="6"/>
      <c r="E2351" s="6"/>
      <c r="F2351" s="6"/>
      <c r="G2351" s="24" t="str">
        <f>IF(F2351="", "", VLOOKUP(F2351, Inventory!A:BZ, 3, FALSE) - SUMIF($F$1:$F2350, F2351, $H$1:$H2350))
</f>
        <v/>
      </c>
      <c r="I2351" s="26"/>
      <c r="J2351" s="26" t="s">
        <v>77</v>
      </c>
      <c r="L2351" s="27" t="s">
        <v>77</v>
      </c>
      <c r="N2351" s="28" t="s">
        <v>77</v>
      </c>
      <c r="Q2351" s="30"/>
    </row>
    <row r="2352">
      <c r="B2352" s="6"/>
      <c r="C2352" s="33" t="str">
        <f t="array" ref="C2352">IF(B2352="", "", XLOOKUP(B2352, Inventory!D:D,Inventory!E:E,"No Name Found"))</f>
        <v/>
      </c>
      <c r="D2352" s="6"/>
      <c r="E2352" s="6"/>
      <c r="F2352" s="6"/>
      <c r="G2352" s="24" t="str">
        <f>IF(F2352="", "", VLOOKUP(F2352, Inventory!A:BZ, 3, FALSE) - SUMIF($F$1:$F2351, F2352, $H$1:$H2351))
</f>
        <v/>
      </c>
      <c r="I2352" s="26"/>
      <c r="J2352" s="26" t="s">
        <v>77</v>
      </c>
      <c r="L2352" s="27" t="s">
        <v>77</v>
      </c>
      <c r="N2352" s="28" t="s">
        <v>77</v>
      </c>
      <c r="Q2352" s="30"/>
    </row>
    <row r="2353">
      <c r="B2353" s="6"/>
      <c r="C2353" s="33" t="str">
        <f t="array" ref="C2353">IF(B2353="", "", XLOOKUP(B2353, Inventory!D:D,Inventory!E:E,"No Name Found"))</f>
        <v/>
      </c>
      <c r="D2353" s="6"/>
      <c r="E2353" s="6"/>
      <c r="F2353" s="6"/>
      <c r="G2353" s="24" t="str">
        <f>IF(F2353="", "", VLOOKUP(F2353, Inventory!A:BZ, 3, FALSE) - SUMIF($F$1:$F2352, F2353, $H$1:$H2352))
</f>
        <v/>
      </c>
      <c r="I2353" s="26"/>
      <c r="J2353" s="26" t="s">
        <v>77</v>
      </c>
      <c r="L2353" s="27" t="s">
        <v>77</v>
      </c>
      <c r="N2353" s="28" t="s">
        <v>77</v>
      </c>
      <c r="Q2353" s="30"/>
    </row>
    <row r="2354">
      <c r="B2354" s="6"/>
      <c r="C2354" s="33" t="str">
        <f t="array" ref="C2354">IF(B2354="", "", XLOOKUP(B2354, Inventory!D:D,Inventory!E:E,"No Name Found"))</f>
        <v/>
      </c>
      <c r="D2354" s="6"/>
      <c r="E2354" s="6"/>
      <c r="F2354" s="6"/>
      <c r="G2354" s="24" t="str">
        <f>IF(F2354="", "", VLOOKUP(F2354, Inventory!A:BZ, 3, FALSE) - SUMIF($F$1:$F2353, F2354, $H$1:$H2353))
</f>
        <v/>
      </c>
      <c r="I2354" s="26"/>
      <c r="J2354" s="26" t="s">
        <v>77</v>
      </c>
      <c r="L2354" s="27" t="s">
        <v>77</v>
      </c>
      <c r="N2354" s="28" t="s">
        <v>77</v>
      </c>
      <c r="Q2354" s="30"/>
    </row>
    <row r="2355">
      <c r="B2355" s="6"/>
      <c r="C2355" s="33" t="str">
        <f t="array" ref="C2355">IF(B2355="", "", XLOOKUP(B2355, Inventory!D:D,Inventory!E:E,"No Name Found"))</f>
        <v/>
      </c>
      <c r="D2355" s="6"/>
      <c r="E2355" s="6"/>
      <c r="F2355" s="6"/>
      <c r="G2355" s="24" t="str">
        <f>IF(F2355="", "", VLOOKUP(F2355, Inventory!A:BZ, 3, FALSE) - SUMIF($F$1:$F2354, F2355, $H$1:$H2354))
</f>
        <v/>
      </c>
      <c r="I2355" s="26"/>
      <c r="J2355" s="26" t="s">
        <v>77</v>
      </c>
      <c r="L2355" s="27" t="s">
        <v>77</v>
      </c>
      <c r="N2355" s="28" t="s">
        <v>77</v>
      </c>
      <c r="Q2355" s="30"/>
    </row>
    <row r="2356">
      <c r="B2356" s="6"/>
      <c r="C2356" s="33" t="str">
        <f t="array" ref="C2356">IF(B2356="", "", XLOOKUP(B2356, Inventory!D:D,Inventory!E:E,"No Name Found"))</f>
        <v/>
      </c>
      <c r="D2356" s="6"/>
      <c r="E2356" s="6"/>
      <c r="F2356" s="6"/>
      <c r="G2356" s="24" t="str">
        <f>IF(F2356="", "", VLOOKUP(F2356, Inventory!A:BZ, 3, FALSE) - SUMIF($F$1:$F2355, F2356, $H$1:$H2355))
</f>
        <v/>
      </c>
      <c r="I2356" s="26"/>
      <c r="J2356" s="26" t="s">
        <v>77</v>
      </c>
      <c r="L2356" s="27" t="s">
        <v>77</v>
      </c>
      <c r="N2356" s="28" t="s">
        <v>77</v>
      </c>
      <c r="Q2356" s="30"/>
    </row>
    <row r="2357">
      <c r="B2357" s="6"/>
      <c r="C2357" s="33" t="str">
        <f t="array" ref="C2357">IF(B2357="", "", XLOOKUP(B2357, Inventory!D:D,Inventory!E:E,"No Name Found"))</f>
        <v/>
      </c>
      <c r="D2357" s="6"/>
      <c r="E2357" s="6"/>
      <c r="F2357" s="6"/>
      <c r="G2357" s="24" t="str">
        <f>IF(F2357="", "", VLOOKUP(F2357, Inventory!A:BZ, 3, FALSE) - SUMIF($F$1:$F2356, F2357, $H$1:$H2356))
</f>
        <v/>
      </c>
      <c r="I2357" s="26"/>
      <c r="J2357" s="26" t="s">
        <v>77</v>
      </c>
      <c r="L2357" s="27" t="s">
        <v>77</v>
      </c>
      <c r="N2357" s="28" t="s">
        <v>77</v>
      </c>
      <c r="Q2357" s="30"/>
    </row>
    <row r="2358">
      <c r="B2358" s="6"/>
      <c r="C2358" s="33" t="str">
        <f t="array" ref="C2358">IF(B2358="", "", XLOOKUP(B2358, Inventory!D:D,Inventory!E:E,"No Name Found"))</f>
        <v/>
      </c>
      <c r="D2358" s="6"/>
      <c r="E2358" s="6"/>
      <c r="F2358" s="6"/>
      <c r="G2358" s="24" t="str">
        <f>IF(F2358="", "", VLOOKUP(F2358, Inventory!A:BZ, 3, FALSE) - SUMIF($F$1:$F2357, F2358, $H$1:$H2357))
</f>
        <v/>
      </c>
      <c r="I2358" s="26"/>
      <c r="J2358" s="26" t="s">
        <v>77</v>
      </c>
      <c r="L2358" s="27" t="s">
        <v>77</v>
      </c>
      <c r="N2358" s="28" t="s">
        <v>77</v>
      </c>
      <c r="Q2358" s="30"/>
    </row>
    <row r="2359">
      <c r="B2359" s="6"/>
      <c r="C2359" s="33" t="str">
        <f t="array" ref="C2359">IF(B2359="", "", XLOOKUP(B2359, Inventory!D:D,Inventory!E:E,"No Name Found"))</f>
        <v/>
      </c>
      <c r="D2359" s="6"/>
      <c r="E2359" s="6"/>
      <c r="F2359" s="6"/>
      <c r="G2359" s="24" t="str">
        <f>IF(F2359="", "", VLOOKUP(F2359, Inventory!A:BZ, 3, FALSE) - SUMIF($F$1:$F2358, F2359, $H$1:$H2358))
</f>
        <v/>
      </c>
      <c r="I2359" s="26"/>
      <c r="J2359" s="26" t="s">
        <v>77</v>
      </c>
      <c r="L2359" s="27" t="s">
        <v>77</v>
      </c>
      <c r="N2359" s="28" t="s">
        <v>77</v>
      </c>
      <c r="Q2359" s="30"/>
    </row>
    <row r="2360">
      <c r="B2360" s="6"/>
      <c r="C2360" s="33" t="str">
        <f t="array" ref="C2360">IF(B2360="", "", XLOOKUP(B2360, Inventory!D:D,Inventory!E:E,"No Name Found"))</f>
        <v/>
      </c>
      <c r="D2360" s="6"/>
      <c r="E2360" s="6"/>
      <c r="F2360" s="6"/>
      <c r="G2360" s="24" t="str">
        <f>IF(F2360="", "", VLOOKUP(F2360, Inventory!A:BZ, 3, FALSE) - SUMIF($F$1:$F2359, F2360, $H$1:$H2359))
</f>
        <v/>
      </c>
      <c r="I2360" s="26"/>
      <c r="J2360" s="26" t="s">
        <v>77</v>
      </c>
      <c r="L2360" s="27" t="s">
        <v>77</v>
      </c>
      <c r="N2360" s="28" t="s">
        <v>77</v>
      </c>
      <c r="Q2360" s="30"/>
    </row>
    <row r="2361">
      <c r="B2361" s="6"/>
      <c r="C2361" s="33" t="str">
        <f t="array" ref="C2361">IF(B2361="", "", XLOOKUP(B2361, Inventory!D:D,Inventory!E:E,"No Name Found"))</f>
        <v/>
      </c>
      <c r="D2361" s="6"/>
      <c r="E2361" s="6"/>
      <c r="F2361" s="6"/>
      <c r="G2361" s="24" t="str">
        <f>IF(F2361="", "", VLOOKUP(F2361, Inventory!A:BZ, 3, FALSE) - SUMIF($F$1:$F2360, F2361, $H$1:$H2360))
</f>
        <v/>
      </c>
      <c r="I2361" s="26"/>
      <c r="J2361" s="26" t="s">
        <v>77</v>
      </c>
      <c r="L2361" s="27" t="s">
        <v>77</v>
      </c>
      <c r="N2361" s="28" t="s">
        <v>77</v>
      </c>
      <c r="Q2361" s="30"/>
    </row>
    <row r="2362">
      <c r="B2362" s="6"/>
      <c r="C2362" s="33" t="str">
        <f t="array" ref="C2362">IF(B2362="", "", XLOOKUP(B2362, Inventory!D:D,Inventory!E:E,"No Name Found"))</f>
        <v/>
      </c>
      <c r="D2362" s="6"/>
      <c r="E2362" s="6"/>
      <c r="F2362" s="6"/>
      <c r="G2362" s="24" t="str">
        <f>IF(F2362="", "", VLOOKUP(F2362, Inventory!A:BZ, 3, FALSE) - SUMIF($F$1:$F2361, F2362, $H$1:$H2361))
</f>
        <v/>
      </c>
      <c r="I2362" s="26"/>
      <c r="J2362" s="26" t="s">
        <v>77</v>
      </c>
      <c r="L2362" s="27" t="s">
        <v>77</v>
      </c>
      <c r="N2362" s="28" t="s">
        <v>77</v>
      </c>
      <c r="Q2362" s="30"/>
    </row>
    <row r="2363">
      <c r="B2363" s="6"/>
      <c r="C2363" s="33" t="str">
        <f t="array" ref="C2363">IF(B2363="", "", XLOOKUP(B2363, Inventory!D:D,Inventory!E:E,"No Name Found"))</f>
        <v/>
      </c>
      <c r="D2363" s="6"/>
      <c r="E2363" s="6"/>
      <c r="F2363" s="6"/>
      <c r="G2363" s="24" t="str">
        <f>IF(F2363="", "", VLOOKUP(F2363, Inventory!A:BZ, 3, FALSE) - SUMIF($F$1:$F2362, F2363, $H$1:$H2362))
</f>
        <v/>
      </c>
      <c r="I2363" s="26"/>
      <c r="J2363" s="26" t="s">
        <v>77</v>
      </c>
      <c r="L2363" s="27" t="s">
        <v>77</v>
      </c>
      <c r="N2363" s="28" t="s">
        <v>77</v>
      </c>
      <c r="Q2363" s="30"/>
    </row>
    <row r="2364">
      <c r="B2364" s="6"/>
      <c r="C2364" s="33" t="str">
        <f t="array" ref="C2364">IF(B2364="", "", XLOOKUP(B2364, Inventory!D:D,Inventory!E:E,"No Name Found"))</f>
        <v/>
      </c>
      <c r="D2364" s="6"/>
      <c r="E2364" s="6"/>
      <c r="F2364" s="6"/>
      <c r="G2364" s="24" t="str">
        <f>IF(F2364="", "", VLOOKUP(F2364, Inventory!A:BZ, 3, FALSE) - SUMIF($F$1:$F2363, F2364, $H$1:$H2363))
</f>
        <v/>
      </c>
      <c r="I2364" s="26"/>
      <c r="J2364" s="26" t="s">
        <v>77</v>
      </c>
      <c r="L2364" s="27" t="s">
        <v>77</v>
      </c>
      <c r="N2364" s="28" t="s">
        <v>77</v>
      </c>
      <c r="Q2364" s="30"/>
    </row>
    <row r="2365">
      <c r="B2365" s="6"/>
      <c r="C2365" s="33" t="str">
        <f t="array" ref="C2365">IF(B2365="", "", XLOOKUP(B2365, Inventory!D:D,Inventory!E:E,"No Name Found"))</f>
        <v/>
      </c>
      <c r="D2365" s="6"/>
      <c r="E2365" s="6"/>
      <c r="F2365" s="6"/>
      <c r="G2365" s="24" t="str">
        <f>IF(F2365="", "", VLOOKUP(F2365, Inventory!A:BZ, 3, FALSE) - SUMIF($F$1:$F2364, F2365, $H$1:$H2364))
</f>
        <v/>
      </c>
      <c r="I2365" s="26"/>
      <c r="J2365" s="26" t="s">
        <v>77</v>
      </c>
      <c r="L2365" s="27" t="s">
        <v>77</v>
      </c>
      <c r="N2365" s="28" t="s">
        <v>77</v>
      </c>
      <c r="Q2365" s="30"/>
    </row>
    <row r="2366">
      <c r="B2366" s="6"/>
      <c r="C2366" s="33" t="str">
        <f t="array" ref="C2366">IF(B2366="", "", XLOOKUP(B2366, Inventory!D:D,Inventory!E:E,"No Name Found"))</f>
        <v/>
      </c>
      <c r="D2366" s="6"/>
      <c r="E2366" s="6"/>
      <c r="F2366" s="6"/>
      <c r="G2366" s="24" t="str">
        <f>IF(F2366="", "", VLOOKUP(F2366, Inventory!A:BZ, 3, FALSE) - SUMIF($F$1:$F2365, F2366, $H$1:$H2365))
</f>
        <v/>
      </c>
      <c r="I2366" s="26"/>
      <c r="J2366" s="26" t="s">
        <v>77</v>
      </c>
      <c r="L2366" s="27" t="s">
        <v>77</v>
      </c>
      <c r="N2366" s="28" t="s">
        <v>77</v>
      </c>
      <c r="Q2366" s="30"/>
    </row>
    <row r="2367">
      <c r="B2367" s="6"/>
      <c r="C2367" s="33" t="str">
        <f t="array" ref="C2367">IF(B2367="", "", XLOOKUP(B2367, Inventory!D:D,Inventory!E:E,"No Name Found"))</f>
        <v/>
      </c>
      <c r="D2367" s="6"/>
      <c r="E2367" s="6"/>
      <c r="F2367" s="6"/>
      <c r="G2367" s="24" t="str">
        <f>IF(F2367="", "", VLOOKUP(F2367, Inventory!A:BZ, 3, FALSE) - SUMIF($F$1:$F2366, F2367, $H$1:$H2366))
</f>
        <v/>
      </c>
      <c r="I2367" s="26"/>
      <c r="J2367" s="26" t="s">
        <v>77</v>
      </c>
      <c r="L2367" s="27" t="s">
        <v>77</v>
      </c>
      <c r="N2367" s="28" t="s">
        <v>77</v>
      </c>
      <c r="Q2367" s="30"/>
    </row>
    <row r="2368">
      <c r="B2368" s="6"/>
      <c r="C2368" s="33" t="str">
        <f t="array" ref="C2368">IF(B2368="", "", XLOOKUP(B2368, Inventory!D:D,Inventory!E:E,"No Name Found"))</f>
        <v/>
      </c>
      <c r="D2368" s="6"/>
      <c r="E2368" s="6"/>
      <c r="F2368" s="6"/>
      <c r="G2368" s="24" t="str">
        <f>IF(F2368="", "", VLOOKUP(F2368, Inventory!A:BZ, 3, FALSE) - SUMIF($F$1:$F2367, F2368, $H$1:$H2367))
</f>
        <v/>
      </c>
      <c r="I2368" s="26"/>
      <c r="J2368" s="26" t="s">
        <v>77</v>
      </c>
      <c r="L2368" s="27" t="s">
        <v>77</v>
      </c>
      <c r="N2368" s="28" t="s">
        <v>77</v>
      </c>
      <c r="Q2368" s="30"/>
    </row>
    <row r="2369">
      <c r="B2369" s="6"/>
      <c r="C2369" s="33" t="str">
        <f t="array" ref="C2369">IF(B2369="", "", XLOOKUP(B2369, Inventory!D:D,Inventory!E:E,"No Name Found"))</f>
        <v/>
      </c>
      <c r="D2369" s="6"/>
      <c r="E2369" s="6"/>
      <c r="F2369" s="6"/>
      <c r="G2369" s="24" t="str">
        <f>IF(F2369="", "", VLOOKUP(F2369, Inventory!A:BZ, 3, FALSE) - SUMIF($F$1:$F2368, F2369, $H$1:$H2368))
</f>
        <v/>
      </c>
      <c r="I2369" s="26"/>
      <c r="J2369" s="26" t="s">
        <v>77</v>
      </c>
      <c r="L2369" s="27" t="s">
        <v>77</v>
      </c>
      <c r="N2369" s="28" t="s">
        <v>77</v>
      </c>
      <c r="Q2369" s="30"/>
    </row>
    <row r="2370">
      <c r="B2370" s="6"/>
      <c r="C2370" s="33" t="str">
        <f t="array" ref="C2370">IF(B2370="", "", XLOOKUP(B2370, Inventory!D:D,Inventory!E:E,"No Name Found"))</f>
        <v/>
      </c>
      <c r="D2370" s="6"/>
      <c r="E2370" s="6"/>
      <c r="F2370" s="6"/>
      <c r="G2370" s="24" t="str">
        <f>IF(F2370="", "", VLOOKUP(F2370, Inventory!A:BZ, 3, FALSE) - SUMIF($F$1:$F2369, F2370, $H$1:$H2369))
</f>
        <v/>
      </c>
      <c r="I2370" s="26"/>
      <c r="J2370" s="26" t="s">
        <v>77</v>
      </c>
      <c r="L2370" s="27" t="s">
        <v>77</v>
      </c>
      <c r="N2370" s="28" t="s">
        <v>77</v>
      </c>
      <c r="Q2370" s="30"/>
    </row>
    <row r="2371">
      <c r="B2371" s="6"/>
      <c r="C2371" s="33" t="str">
        <f t="array" ref="C2371">IF(B2371="", "", XLOOKUP(B2371, Inventory!D:D,Inventory!E:E,"No Name Found"))</f>
        <v/>
      </c>
      <c r="D2371" s="6"/>
      <c r="E2371" s="6"/>
      <c r="F2371" s="6"/>
      <c r="G2371" s="24" t="str">
        <f>IF(F2371="", "", VLOOKUP(F2371, Inventory!A:BZ, 3, FALSE) - SUMIF($F$1:$F2370, F2371, $H$1:$H2370))
</f>
        <v/>
      </c>
      <c r="I2371" s="26"/>
      <c r="J2371" s="26" t="s">
        <v>77</v>
      </c>
      <c r="L2371" s="27" t="s">
        <v>77</v>
      </c>
      <c r="N2371" s="28" t="s">
        <v>77</v>
      </c>
      <c r="Q2371" s="30"/>
    </row>
    <row r="2372">
      <c r="B2372" s="6"/>
      <c r="C2372" s="33" t="str">
        <f t="array" ref="C2372">IF(B2372="", "", XLOOKUP(B2372, Inventory!D:D,Inventory!E:E,"No Name Found"))</f>
        <v/>
      </c>
      <c r="D2372" s="6"/>
      <c r="E2372" s="6"/>
      <c r="F2372" s="6"/>
      <c r="G2372" s="24" t="str">
        <f>IF(F2372="", "", VLOOKUP(F2372, Inventory!A:BZ, 3, FALSE) - SUMIF($F$1:$F2371, F2372, $H$1:$H2371))
</f>
        <v/>
      </c>
      <c r="I2372" s="26"/>
      <c r="J2372" s="26" t="s">
        <v>77</v>
      </c>
      <c r="L2372" s="27" t="s">
        <v>77</v>
      </c>
      <c r="N2372" s="28" t="s">
        <v>77</v>
      </c>
      <c r="Q2372" s="30"/>
    </row>
    <row r="2373">
      <c r="B2373" s="6"/>
      <c r="C2373" s="33" t="str">
        <f t="array" ref="C2373">IF(B2373="", "", XLOOKUP(B2373, Inventory!D:D,Inventory!E:E,"No Name Found"))</f>
        <v/>
      </c>
      <c r="D2373" s="6"/>
      <c r="E2373" s="6"/>
      <c r="F2373" s="6"/>
      <c r="G2373" s="24" t="str">
        <f>IF(F2373="", "", VLOOKUP(F2373, Inventory!A:BZ, 3, FALSE) - SUMIF($F$1:$F2372, F2373, $H$1:$H2372))
</f>
        <v/>
      </c>
      <c r="I2373" s="26"/>
      <c r="J2373" s="26" t="s">
        <v>77</v>
      </c>
      <c r="L2373" s="27" t="s">
        <v>77</v>
      </c>
      <c r="N2373" s="28" t="s">
        <v>77</v>
      </c>
      <c r="Q2373" s="30"/>
    </row>
    <row r="2374">
      <c r="B2374" s="6"/>
      <c r="C2374" s="33" t="str">
        <f t="array" ref="C2374">IF(B2374="", "", XLOOKUP(B2374, Inventory!D:D,Inventory!E:E,"No Name Found"))</f>
        <v/>
      </c>
      <c r="D2374" s="6"/>
      <c r="E2374" s="6"/>
      <c r="F2374" s="6"/>
      <c r="G2374" s="24" t="str">
        <f>IF(F2374="", "", VLOOKUP(F2374, Inventory!A:BZ, 3, FALSE) - SUMIF($F$1:$F2373, F2374, $H$1:$H2373))
</f>
        <v/>
      </c>
      <c r="I2374" s="26"/>
      <c r="J2374" s="26" t="s">
        <v>77</v>
      </c>
      <c r="L2374" s="27" t="s">
        <v>77</v>
      </c>
      <c r="N2374" s="28" t="s">
        <v>77</v>
      </c>
      <c r="Q2374" s="30"/>
    </row>
    <row r="2375">
      <c r="B2375" s="6"/>
      <c r="C2375" s="33" t="str">
        <f t="array" ref="C2375">IF(B2375="", "", XLOOKUP(B2375, Inventory!D:D,Inventory!E:E,"No Name Found"))</f>
        <v/>
      </c>
      <c r="D2375" s="6"/>
      <c r="E2375" s="6"/>
      <c r="F2375" s="6"/>
      <c r="G2375" s="24" t="str">
        <f>IF(F2375="", "", VLOOKUP(F2375, Inventory!A:BZ, 3, FALSE) - SUMIF($F$1:$F2374, F2375, $H$1:$H2374))
</f>
        <v/>
      </c>
      <c r="I2375" s="26"/>
      <c r="J2375" s="26" t="s">
        <v>77</v>
      </c>
      <c r="L2375" s="27" t="s">
        <v>77</v>
      </c>
      <c r="N2375" s="28" t="s">
        <v>77</v>
      </c>
      <c r="Q2375" s="30"/>
    </row>
    <row r="2376">
      <c r="B2376" s="6"/>
      <c r="C2376" s="33" t="str">
        <f t="array" ref="C2376">IF(B2376="", "", XLOOKUP(B2376, Inventory!D:D,Inventory!E:E,"No Name Found"))</f>
        <v/>
      </c>
      <c r="D2376" s="6"/>
      <c r="E2376" s="6"/>
      <c r="F2376" s="6"/>
      <c r="G2376" s="24" t="str">
        <f>IF(F2376="", "", VLOOKUP(F2376, Inventory!A:BZ, 3, FALSE) - SUMIF($F$1:$F2375, F2376, $H$1:$H2375))
</f>
        <v/>
      </c>
      <c r="I2376" s="26"/>
      <c r="J2376" s="26" t="s">
        <v>77</v>
      </c>
      <c r="L2376" s="27" t="s">
        <v>77</v>
      </c>
      <c r="N2376" s="28" t="s">
        <v>77</v>
      </c>
      <c r="Q2376" s="30"/>
    </row>
    <row r="2377">
      <c r="B2377" s="6"/>
      <c r="C2377" s="33" t="str">
        <f t="array" ref="C2377">IF(B2377="", "", XLOOKUP(B2377, Inventory!D:D,Inventory!E:E,"No Name Found"))</f>
        <v/>
      </c>
      <c r="D2377" s="6"/>
      <c r="E2377" s="6"/>
      <c r="F2377" s="6"/>
      <c r="G2377" s="24" t="str">
        <f>IF(F2377="", "", VLOOKUP(F2377, Inventory!A:BZ, 3, FALSE) - SUMIF($F$1:$F2376, F2377, $H$1:$H2376))
</f>
        <v/>
      </c>
      <c r="I2377" s="26"/>
      <c r="J2377" s="26" t="s">
        <v>77</v>
      </c>
      <c r="L2377" s="27" t="s">
        <v>77</v>
      </c>
      <c r="N2377" s="28" t="s">
        <v>77</v>
      </c>
      <c r="Q2377" s="30"/>
    </row>
    <row r="2378">
      <c r="B2378" s="6"/>
      <c r="C2378" s="33" t="str">
        <f t="array" ref="C2378">IF(B2378="", "", XLOOKUP(B2378, Inventory!D:D,Inventory!E:E,"No Name Found"))</f>
        <v/>
      </c>
      <c r="D2378" s="6"/>
      <c r="E2378" s="6"/>
      <c r="F2378" s="6"/>
      <c r="G2378" s="24" t="str">
        <f>IF(F2378="", "", VLOOKUP(F2378, Inventory!A:BZ, 3, FALSE) - SUMIF($F$1:$F2377, F2378, $H$1:$H2377))
</f>
        <v/>
      </c>
      <c r="I2378" s="26"/>
      <c r="J2378" s="26" t="s">
        <v>77</v>
      </c>
      <c r="L2378" s="27" t="s">
        <v>77</v>
      </c>
      <c r="N2378" s="28" t="s">
        <v>77</v>
      </c>
      <c r="Q2378" s="30"/>
    </row>
    <row r="2379">
      <c r="B2379" s="6"/>
      <c r="C2379" s="33" t="str">
        <f t="array" ref="C2379">IF(B2379="", "", XLOOKUP(B2379, Inventory!D:D,Inventory!E:E,"No Name Found"))</f>
        <v/>
      </c>
      <c r="D2379" s="6"/>
      <c r="E2379" s="6"/>
      <c r="F2379" s="6"/>
      <c r="G2379" s="24" t="str">
        <f>IF(F2379="", "", VLOOKUP(F2379, Inventory!A:BZ, 3, FALSE) - SUMIF($F$1:$F2378, F2379, $H$1:$H2378))
</f>
        <v/>
      </c>
      <c r="I2379" s="26"/>
      <c r="J2379" s="26" t="s">
        <v>77</v>
      </c>
      <c r="L2379" s="27" t="s">
        <v>77</v>
      </c>
      <c r="N2379" s="28" t="s">
        <v>77</v>
      </c>
      <c r="Q2379" s="30"/>
    </row>
    <row r="2380">
      <c r="B2380" s="6"/>
      <c r="C2380" s="33" t="str">
        <f t="array" ref="C2380">IF(B2380="", "", XLOOKUP(B2380, Inventory!D:D,Inventory!E:E,"No Name Found"))</f>
        <v/>
      </c>
      <c r="D2380" s="6"/>
      <c r="E2380" s="6"/>
      <c r="F2380" s="6"/>
      <c r="G2380" s="24" t="str">
        <f>IF(F2380="", "", VLOOKUP(F2380, Inventory!A:BZ, 3, FALSE) - SUMIF($F$1:$F2379, F2380, $H$1:$H2379))
</f>
        <v/>
      </c>
      <c r="I2380" s="26"/>
      <c r="J2380" s="26" t="s">
        <v>77</v>
      </c>
      <c r="L2380" s="27" t="s">
        <v>77</v>
      </c>
      <c r="N2380" s="28" t="s">
        <v>77</v>
      </c>
      <c r="Q2380" s="30"/>
    </row>
    <row r="2381">
      <c r="B2381" s="6"/>
      <c r="C2381" s="33" t="str">
        <f t="array" ref="C2381">IF(B2381="", "", XLOOKUP(B2381, Inventory!D:D,Inventory!E:E,"No Name Found"))</f>
        <v/>
      </c>
      <c r="D2381" s="6"/>
      <c r="E2381" s="6"/>
      <c r="F2381" s="6"/>
      <c r="G2381" s="24" t="str">
        <f>IF(F2381="", "", VLOOKUP(F2381, Inventory!A:BZ, 3, FALSE) - SUMIF($F$1:$F2380, F2381, $H$1:$H2380))
</f>
        <v/>
      </c>
      <c r="I2381" s="26"/>
      <c r="J2381" s="26" t="s">
        <v>77</v>
      </c>
      <c r="L2381" s="27" t="s">
        <v>77</v>
      </c>
      <c r="N2381" s="28" t="s">
        <v>77</v>
      </c>
      <c r="Q2381" s="30"/>
    </row>
    <row r="2382">
      <c r="B2382" s="6"/>
      <c r="C2382" s="33" t="str">
        <f t="array" ref="C2382">IF(B2382="", "", XLOOKUP(B2382, Inventory!D:D,Inventory!E:E,"No Name Found"))</f>
        <v/>
      </c>
      <c r="D2382" s="6"/>
      <c r="E2382" s="6"/>
      <c r="F2382" s="6"/>
      <c r="G2382" s="24" t="str">
        <f>IF(F2382="", "", VLOOKUP(F2382, Inventory!A:BZ, 3, FALSE) - SUMIF($F$1:$F2381, F2382, $H$1:$H2381))
</f>
        <v/>
      </c>
      <c r="I2382" s="26"/>
      <c r="J2382" s="26" t="s">
        <v>77</v>
      </c>
      <c r="L2382" s="27" t="s">
        <v>77</v>
      </c>
      <c r="N2382" s="28" t="s">
        <v>77</v>
      </c>
      <c r="Q2382" s="30"/>
    </row>
    <row r="2383">
      <c r="B2383" s="6"/>
      <c r="C2383" s="33" t="str">
        <f t="array" ref="C2383">IF(B2383="", "", XLOOKUP(B2383, Inventory!D:D,Inventory!E:E,"No Name Found"))</f>
        <v/>
      </c>
      <c r="D2383" s="6"/>
      <c r="E2383" s="6"/>
      <c r="F2383" s="6"/>
      <c r="G2383" s="24" t="str">
        <f>IF(F2383="", "", VLOOKUP(F2383, Inventory!A:BZ, 3, FALSE) - SUMIF($F$1:$F2382, F2383, $H$1:$H2382))
</f>
        <v/>
      </c>
      <c r="I2383" s="26"/>
      <c r="J2383" s="26" t="s">
        <v>77</v>
      </c>
      <c r="L2383" s="27" t="s">
        <v>77</v>
      </c>
      <c r="N2383" s="28" t="s">
        <v>77</v>
      </c>
      <c r="Q2383" s="30"/>
    </row>
    <row r="2384">
      <c r="B2384" s="6"/>
      <c r="C2384" s="33" t="str">
        <f t="array" ref="C2384">IF(B2384="", "", XLOOKUP(B2384, Inventory!D:D,Inventory!E:E,"No Name Found"))</f>
        <v/>
      </c>
      <c r="D2384" s="6"/>
      <c r="E2384" s="6"/>
      <c r="F2384" s="6"/>
      <c r="G2384" s="24" t="str">
        <f>IF(F2384="", "", VLOOKUP(F2384, Inventory!A:BZ, 3, FALSE) - SUMIF($F$1:$F2383, F2384, $H$1:$H2383))
</f>
        <v/>
      </c>
      <c r="I2384" s="26"/>
      <c r="J2384" s="26" t="s">
        <v>77</v>
      </c>
      <c r="L2384" s="27" t="s">
        <v>77</v>
      </c>
      <c r="N2384" s="28" t="s">
        <v>77</v>
      </c>
      <c r="Q2384" s="30"/>
    </row>
    <row r="2385">
      <c r="B2385" s="6"/>
      <c r="C2385" s="33" t="str">
        <f t="array" ref="C2385">IF(B2385="", "", XLOOKUP(B2385, Inventory!D:D,Inventory!E:E,"No Name Found"))</f>
        <v/>
      </c>
      <c r="D2385" s="6"/>
      <c r="E2385" s="6"/>
      <c r="F2385" s="6"/>
      <c r="G2385" s="24" t="str">
        <f>IF(F2385="", "", VLOOKUP(F2385, Inventory!A:BZ, 3, FALSE) - SUMIF($F$1:$F2384, F2385, $H$1:$H2384))
</f>
        <v/>
      </c>
      <c r="I2385" s="26"/>
      <c r="J2385" s="26" t="s">
        <v>77</v>
      </c>
      <c r="L2385" s="27" t="s">
        <v>77</v>
      </c>
      <c r="N2385" s="28" t="s">
        <v>77</v>
      </c>
      <c r="Q2385" s="30"/>
    </row>
    <row r="2386">
      <c r="B2386" s="6"/>
      <c r="C2386" s="33" t="str">
        <f t="array" ref="C2386">IF(B2386="", "", XLOOKUP(B2386, Inventory!D:D,Inventory!E:E,"No Name Found"))</f>
        <v/>
      </c>
      <c r="D2386" s="6"/>
      <c r="E2386" s="6"/>
      <c r="F2386" s="6"/>
      <c r="G2386" s="24" t="str">
        <f>IF(F2386="", "", VLOOKUP(F2386, Inventory!A:BZ, 3, FALSE) - SUMIF($F$1:$F2385, F2386, $H$1:$H2385))
</f>
        <v/>
      </c>
      <c r="I2386" s="26"/>
      <c r="J2386" s="26" t="s">
        <v>77</v>
      </c>
      <c r="L2386" s="27" t="s">
        <v>77</v>
      </c>
      <c r="N2386" s="28" t="s">
        <v>77</v>
      </c>
      <c r="Q2386" s="30"/>
    </row>
    <row r="2387">
      <c r="B2387" s="6"/>
      <c r="C2387" s="33" t="str">
        <f t="array" ref="C2387">IF(B2387="", "", XLOOKUP(B2387, Inventory!D:D,Inventory!E:E,"No Name Found"))</f>
        <v/>
      </c>
      <c r="D2387" s="6"/>
      <c r="E2387" s="6"/>
      <c r="F2387" s="6"/>
      <c r="G2387" s="24" t="str">
        <f>IF(F2387="", "", VLOOKUP(F2387, Inventory!A:BZ, 3, FALSE) - SUMIF($F$1:$F2386, F2387, $H$1:$H2386))
</f>
        <v/>
      </c>
      <c r="I2387" s="26"/>
      <c r="J2387" s="26" t="s">
        <v>77</v>
      </c>
      <c r="L2387" s="27" t="s">
        <v>77</v>
      </c>
      <c r="N2387" s="28" t="s">
        <v>77</v>
      </c>
      <c r="Q2387" s="30"/>
    </row>
    <row r="2388">
      <c r="B2388" s="6"/>
      <c r="C2388" s="33" t="str">
        <f t="array" ref="C2388">IF(B2388="", "", XLOOKUP(B2388, Inventory!D:D,Inventory!E:E,"No Name Found"))</f>
        <v/>
      </c>
      <c r="D2388" s="6"/>
      <c r="E2388" s="6"/>
      <c r="F2388" s="6"/>
      <c r="G2388" s="24" t="str">
        <f>IF(F2388="", "", VLOOKUP(F2388, Inventory!A:BZ, 3, FALSE) - SUMIF($F$1:$F2387, F2388, $H$1:$H2387))
</f>
        <v/>
      </c>
      <c r="I2388" s="26"/>
      <c r="J2388" s="26" t="s">
        <v>77</v>
      </c>
      <c r="L2388" s="27" t="s">
        <v>77</v>
      </c>
      <c r="N2388" s="28" t="s">
        <v>77</v>
      </c>
      <c r="Q2388" s="30"/>
    </row>
    <row r="2389">
      <c r="B2389" s="6"/>
      <c r="C2389" s="33" t="str">
        <f t="array" ref="C2389">IF(B2389="", "", XLOOKUP(B2389, Inventory!D:D,Inventory!E:E,"No Name Found"))</f>
        <v/>
      </c>
      <c r="D2389" s="6"/>
      <c r="E2389" s="6"/>
      <c r="F2389" s="6"/>
      <c r="G2389" s="24" t="str">
        <f>IF(F2389="", "", VLOOKUP(F2389, Inventory!A:BZ, 3, FALSE) - SUMIF($F$1:$F2388, F2389, $H$1:$H2388))
</f>
        <v/>
      </c>
      <c r="I2389" s="26"/>
      <c r="J2389" s="26" t="s">
        <v>77</v>
      </c>
      <c r="L2389" s="27" t="s">
        <v>77</v>
      </c>
      <c r="N2389" s="28" t="s">
        <v>77</v>
      </c>
      <c r="Q2389" s="30"/>
    </row>
    <row r="2390">
      <c r="B2390" s="6"/>
      <c r="C2390" s="33" t="str">
        <f t="array" ref="C2390">IF(B2390="", "", XLOOKUP(B2390, Inventory!D:D,Inventory!E:E,"No Name Found"))</f>
        <v/>
      </c>
      <c r="D2390" s="6"/>
      <c r="E2390" s="6"/>
      <c r="F2390" s="6"/>
      <c r="G2390" s="24" t="str">
        <f>IF(F2390="", "", VLOOKUP(F2390, Inventory!A:BZ, 3, FALSE) - SUMIF($F$1:$F2389, F2390, $H$1:$H2389))
</f>
        <v/>
      </c>
      <c r="I2390" s="26"/>
      <c r="J2390" s="26" t="s">
        <v>77</v>
      </c>
      <c r="L2390" s="27" t="s">
        <v>77</v>
      </c>
      <c r="N2390" s="28" t="s">
        <v>77</v>
      </c>
      <c r="Q2390" s="30"/>
    </row>
    <row r="2391">
      <c r="B2391" s="6"/>
      <c r="C2391" s="33" t="str">
        <f t="array" ref="C2391">IF(B2391="", "", XLOOKUP(B2391, Inventory!D:D,Inventory!E:E,"No Name Found"))</f>
        <v/>
      </c>
      <c r="D2391" s="6"/>
      <c r="E2391" s="6"/>
      <c r="F2391" s="6"/>
      <c r="G2391" s="24" t="str">
        <f>IF(F2391="", "", VLOOKUP(F2391, Inventory!A:BZ, 3, FALSE) - SUMIF($F$1:$F2390, F2391, $H$1:$H2390))
</f>
        <v/>
      </c>
      <c r="I2391" s="26"/>
      <c r="J2391" s="26" t="s">
        <v>77</v>
      </c>
      <c r="L2391" s="27" t="s">
        <v>77</v>
      </c>
      <c r="N2391" s="28" t="s">
        <v>77</v>
      </c>
      <c r="Q2391" s="30"/>
    </row>
    <row r="2392">
      <c r="B2392" s="6"/>
      <c r="C2392" s="33" t="str">
        <f t="array" ref="C2392">IF(B2392="", "", XLOOKUP(B2392, Inventory!D:D,Inventory!E:E,"No Name Found"))</f>
        <v/>
      </c>
      <c r="D2392" s="6"/>
      <c r="E2392" s="6"/>
      <c r="F2392" s="6"/>
      <c r="G2392" s="24" t="str">
        <f>IF(F2392="", "", VLOOKUP(F2392, Inventory!A:BZ, 3, FALSE) - SUMIF($F$1:$F2391, F2392, $H$1:$H2391))
</f>
        <v/>
      </c>
      <c r="I2392" s="26"/>
      <c r="J2392" s="26" t="s">
        <v>77</v>
      </c>
      <c r="L2392" s="27" t="s">
        <v>77</v>
      </c>
      <c r="N2392" s="28" t="s">
        <v>77</v>
      </c>
      <c r="Q2392" s="30"/>
    </row>
    <row r="2393">
      <c r="B2393" s="6"/>
      <c r="C2393" s="33" t="str">
        <f t="array" ref="C2393">IF(B2393="", "", XLOOKUP(B2393, Inventory!D:D,Inventory!E:E,"No Name Found"))</f>
        <v/>
      </c>
      <c r="D2393" s="6"/>
      <c r="E2393" s="6"/>
      <c r="F2393" s="6"/>
      <c r="G2393" s="24" t="str">
        <f>IF(F2393="", "", VLOOKUP(F2393, Inventory!A:BZ, 3, FALSE) - SUMIF($F$1:$F2392, F2393, $H$1:$H2392))
</f>
        <v/>
      </c>
      <c r="I2393" s="26"/>
      <c r="J2393" s="26" t="s">
        <v>77</v>
      </c>
      <c r="L2393" s="27" t="s">
        <v>77</v>
      </c>
      <c r="N2393" s="28" t="s">
        <v>77</v>
      </c>
      <c r="Q2393" s="30"/>
    </row>
    <row r="2394">
      <c r="B2394" s="6"/>
      <c r="C2394" s="33" t="str">
        <f t="array" ref="C2394">IF(B2394="", "", XLOOKUP(B2394, Inventory!D:D,Inventory!E:E,"No Name Found"))</f>
        <v/>
      </c>
      <c r="D2394" s="6"/>
      <c r="E2394" s="6"/>
      <c r="F2394" s="6"/>
      <c r="G2394" s="24" t="str">
        <f>IF(F2394="", "", VLOOKUP(F2394, Inventory!A:BZ, 3, FALSE) - SUMIF($F$1:$F2393, F2394, $H$1:$H2393))
</f>
        <v/>
      </c>
      <c r="I2394" s="26"/>
      <c r="J2394" s="26" t="s">
        <v>77</v>
      </c>
      <c r="L2394" s="27" t="s">
        <v>77</v>
      </c>
      <c r="N2394" s="28" t="s">
        <v>77</v>
      </c>
      <c r="Q2394" s="30"/>
    </row>
    <row r="2395">
      <c r="B2395" s="6"/>
      <c r="C2395" s="33" t="str">
        <f t="array" ref="C2395">IF(B2395="", "", XLOOKUP(B2395, Inventory!D:D,Inventory!E:E,"No Name Found"))</f>
        <v/>
      </c>
      <c r="D2395" s="6"/>
      <c r="E2395" s="6"/>
      <c r="F2395" s="6"/>
      <c r="G2395" s="24" t="str">
        <f>IF(F2395="", "", VLOOKUP(F2395, Inventory!A:BZ, 3, FALSE) - SUMIF($F$1:$F2394, F2395, $H$1:$H2394))
</f>
        <v/>
      </c>
      <c r="I2395" s="26"/>
      <c r="J2395" s="26" t="s">
        <v>77</v>
      </c>
      <c r="L2395" s="27" t="s">
        <v>77</v>
      </c>
      <c r="N2395" s="28" t="s">
        <v>77</v>
      </c>
      <c r="Q2395" s="30"/>
    </row>
    <row r="2396">
      <c r="B2396" s="6"/>
      <c r="C2396" s="33" t="str">
        <f t="array" ref="C2396">IF(B2396="", "", XLOOKUP(B2396, Inventory!D:D,Inventory!E:E,"No Name Found"))</f>
        <v/>
      </c>
      <c r="D2396" s="6"/>
      <c r="E2396" s="6"/>
      <c r="F2396" s="6"/>
      <c r="G2396" s="24" t="str">
        <f>IF(F2396="", "", VLOOKUP(F2396, Inventory!A:BZ, 3, FALSE) - SUMIF($F$1:$F2395, F2396, $H$1:$H2395))
</f>
        <v/>
      </c>
      <c r="I2396" s="26"/>
      <c r="J2396" s="26" t="s">
        <v>77</v>
      </c>
      <c r="L2396" s="27" t="s">
        <v>77</v>
      </c>
      <c r="N2396" s="28" t="s">
        <v>77</v>
      </c>
      <c r="Q2396" s="30"/>
    </row>
    <row r="2397">
      <c r="B2397" s="6"/>
      <c r="C2397" s="33" t="str">
        <f t="array" ref="C2397">IF(B2397="", "", XLOOKUP(B2397, Inventory!D:D,Inventory!E:E,"No Name Found"))</f>
        <v/>
      </c>
      <c r="D2397" s="6"/>
      <c r="E2397" s="6"/>
      <c r="F2397" s="6"/>
      <c r="G2397" s="24" t="str">
        <f>IF(F2397="", "", VLOOKUP(F2397, Inventory!A:BZ, 3, FALSE) - SUMIF($F$1:$F2396, F2397, $H$1:$H2396))
</f>
        <v/>
      </c>
      <c r="I2397" s="26"/>
      <c r="J2397" s="26" t="s">
        <v>77</v>
      </c>
      <c r="L2397" s="27" t="s">
        <v>77</v>
      </c>
      <c r="N2397" s="28" t="s">
        <v>77</v>
      </c>
      <c r="Q2397" s="30"/>
    </row>
    <row r="2398">
      <c r="B2398" s="6"/>
      <c r="C2398" s="33" t="str">
        <f t="array" ref="C2398">IF(B2398="", "", XLOOKUP(B2398, Inventory!D:D,Inventory!E:E,"No Name Found"))</f>
        <v/>
      </c>
      <c r="D2398" s="6"/>
      <c r="E2398" s="6"/>
      <c r="F2398" s="6"/>
      <c r="G2398" s="24" t="str">
        <f>IF(F2398="", "", VLOOKUP(F2398, Inventory!A:BZ, 3, FALSE) - SUMIF($F$1:$F2397, F2398, $H$1:$H2397))
</f>
        <v/>
      </c>
      <c r="I2398" s="26"/>
      <c r="J2398" s="26" t="s">
        <v>77</v>
      </c>
      <c r="L2398" s="27" t="s">
        <v>77</v>
      </c>
      <c r="N2398" s="28" t="s">
        <v>77</v>
      </c>
      <c r="Q2398" s="30"/>
    </row>
    <row r="2399">
      <c r="B2399" s="6"/>
      <c r="C2399" s="33" t="str">
        <f t="array" ref="C2399">IF(B2399="", "", XLOOKUP(B2399, Inventory!D:D,Inventory!E:E,"No Name Found"))</f>
        <v/>
      </c>
      <c r="D2399" s="6"/>
      <c r="E2399" s="6"/>
      <c r="F2399" s="6"/>
      <c r="G2399" s="24" t="str">
        <f>IF(F2399="", "", VLOOKUP(F2399, Inventory!A:BZ, 3, FALSE) - SUMIF($F$1:$F2398, F2399, $H$1:$H2398))
</f>
        <v/>
      </c>
      <c r="I2399" s="26"/>
      <c r="J2399" s="26" t="s">
        <v>77</v>
      </c>
      <c r="L2399" s="27" t="s">
        <v>77</v>
      </c>
      <c r="N2399" s="28" t="s">
        <v>77</v>
      </c>
      <c r="Q2399" s="30"/>
    </row>
    <row r="2400">
      <c r="B2400" s="6"/>
      <c r="C2400" s="33" t="str">
        <f t="array" ref="C2400">IF(B2400="", "", XLOOKUP(B2400, Inventory!D:D,Inventory!E:E,"No Name Found"))</f>
        <v/>
      </c>
      <c r="D2400" s="6"/>
      <c r="E2400" s="6"/>
      <c r="F2400" s="6"/>
      <c r="G2400" s="24" t="str">
        <f>IF(F2400="", "", VLOOKUP(F2400, Inventory!A:BZ, 3, FALSE) - SUMIF($F$1:$F2399, F2400, $H$1:$H2399))
</f>
        <v/>
      </c>
      <c r="I2400" s="26"/>
      <c r="J2400" s="26" t="s">
        <v>77</v>
      </c>
      <c r="L2400" s="27" t="s">
        <v>77</v>
      </c>
      <c r="N2400" s="28" t="s">
        <v>77</v>
      </c>
      <c r="Q2400" s="30"/>
    </row>
    <row r="2401">
      <c r="B2401" s="6"/>
      <c r="C2401" s="33" t="str">
        <f t="array" ref="C2401">IF(B2401="", "", XLOOKUP(B2401, Inventory!D:D,Inventory!E:E,"No Name Found"))</f>
        <v/>
      </c>
      <c r="D2401" s="6"/>
      <c r="E2401" s="6"/>
      <c r="F2401" s="6"/>
      <c r="G2401" s="24" t="str">
        <f>IF(F2401="", "", VLOOKUP(F2401, Inventory!A:BZ, 3, FALSE) - SUMIF($F$1:$F2400, F2401, $H$1:$H2400))
</f>
        <v/>
      </c>
      <c r="I2401" s="26"/>
      <c r="J2401" s="26" t="s">
        <v>77</v>
      </c>
      <c r="L2401" s="27" t="s">
        <v>77</v>
      </c>
      <c r="N2401" s="28" t="s">
        <v>77</v>
      </c>
      <c r="Q2401" s="30"/>
    </row>
    <row r="2402">
      <c r="B2402" s="6"/>
      <c r="C2402" s="33" t="str">
        <f t="array" ref="C2402">IF(B2402="", "", XLOOKUP(B2402, Inventory!D:D,Inventory!E:E,"No Name Found"))</f>
        <v/>
      </c>
      <c r="D2402" s="6"/>
      <c r="E2402" s="6"/>
      <c r="F2402" s="6"/>
      <c r="G2402" s="24" t="str">
        <f>IF(F2402="", "", VLOOKUP(F2402, Inventory!A:BZ, 3, FALSE) - SUMIF($F$1:$F2401, F2402, $H$1:$H2401))
</f>
        <v/>
      </c>
      <c r="I2402" s="26"/>
      <c r="J2402" s="26" t="s">
        <v>77</v>
      </c>
      <c r="L2402" s="27" t="s">
        <v>77</v>
      </c>
      <c r="N2402" s="28" t="s">
        <v>77</v>
      </c>
      <c r="Q2402" s="30"/>
    </row>
    <row r="2403">
      <c r="B2403" s="6"/>
      <c r="C2403" s="33" t="str">
        <f t="array" ref="C2403">IF(B2403="", "", XLOOKUP(B2403, Inventory!D:D,Inventory!E:E,"No Name Found"))</f>
        <v/>
      </c>
      <c r="D2403" s="6"/>
      <c r="E2403" s="6"/>
      <c r="F2403" s="6"/>
      <c r="G2403" s="24" t="str">
        <f>IF(F2403="", "", VLOOKUP(F2403, Inventory!A:BZ, 3, FALSE) - SUMIF($F$1:$F2402, F2403, $H$1:$H2402))
</f>
        <v/>
      </c>
      <c r="I2403" s="26"/>
      <c r="J2403" s="26" t="s">
        <v>77</v>
      </c>
      <c r="L2403" s="27" t="s">
        <v>77</v>
      </c>
      <c r="N2403" s="28" t="s">
        <v>77</v>
      </c>
      <c r="Q2403" s="30"/>
    </row>
    <row r="2404">
      <c r="B2404" s="6"/>
      <c r="C2404" s="33" t="str">
        <f t="array" ref="C2404">IF(B2404="", "", XLOOKUP(B2404, Inventory!D:D,Inventory!E:E,"No Name Found"))</f>
        <v/>
      </c>
      <c r="D2404" s="6"/>
      <c r="E2404" s="6"/>
      <c r="F2404" s="6"/>
      <c r="G2404" s="24" t="str">
        <f>IF(F2404="", "", VLOOKUP(F2404, Inventory!A:BZ, 3, FALSE) - SUMIF($F$1:$F2403, F2404, $H$1:$H2403))
</f>
        <v/>
      </c>
      <c r="I2404" s="26"/>
      <c r="J2404" s="26" t="s">
        <v>77</v>
      </c>
      <c r="L2404" s="27" t="s">
        <v>77</v>
      </c>
      <c r="N2404" s="28" t="s">
        <v>77</v>
      </c>
      <c r="Q2404" s="30"/>
    </row>
    <row r="2405">
      <c r="B2405" s="6"/>
      <c r="C2405" s="33" t="str">
        <f t="array" ref="C2405">IF(B2405="", "", XLOOKUP(B2405, Inventory!D:D,Inventory!E:E,"No Name Found"))</f>
        <v/>
      </c>
      <c r="D2405" s="6"/>
      <c r="E2405" s="6"/>
      <c r="F2405" s="6"/>
      <c r="G2405" s="24" t="str">
        <f>IF(F2405="", "", VLOOKUP(F2405, Inventory!A:BZ, 3, FALSE) - SUMIF($F$1:$F2404, F2405, $H$1:$H2404))
</f>
        <v/>
      </c>
      <c r="I2405" s="26"/>
      <c r="J2405" s="26" t="s">
        <v>77</v>
      </c>
      <c r="L2405" s="27" t="s">
        <v>77</v>
      </c>
      <c r="N2405" s="28" t="s">
        <v>77</v>
      </c>
      <c r="Q2405" s="30"/>
    </row>
    <row r="2406">
      <c r="B2406" s="6"/>
      <c r="C2406" s="33" t="str">
        <f t="array" ref="C2406">IF(B2406="", "", XLOOKUP(B2406, Inventory!D:D,Inventory!E:E,"No Name Found"))</f>
        <v/>
      </c>
      <c r="D2406" s="6"/>
      <c r="E2406" s="6"/>
      <c r="F2406" s="6"/>
      <c r="G2406" s="24" t="str">
        <f>IF(F2406="", "", VLOOKUP(F2406, Inventory!A:BZ, 3, FALSE) - SUMIF($F$1:$F2405, F2406, $H$1:$H2405))
</f>
        <v/>
      </c>
      <c r="I2406" s="26"/>
      <c r="J2406" s="26" t="s">
        <v>77</v>
      </c>
      <c r="L2406" s="27" t="s">
        <v>77</v>
      </c>
      <c r="N2406" s="28" t="s">
        <v>77</v>
      </c>
      <c r="Q2406" s="30"/>
    </row>
    <row r="2407">
      <c r="B2407" s="6"/>
      <c r="C2407" s="33" t="str">
        <f t="array" ref="C2407">IF(B2407="", "", XLOOKUP(B2407, Inventory!D:D,Inventory!E:E,"No Name Found"))</f>
        <v/>
      </c>
      <c r="D2407" s="6"/>
      <c r="E2407" s="6"/>
      <c r="F2407" s="6"/>
      <c r="G2407" s="24" t="str">
        <f>IF(F2407="", "", VLOOKUP(F2407, Inventory!A:BZ, 3, FALSE) - SUMIF($F$1:$F2406, F2407, $H$1:$H2406))
</f>
        <v/>
      </c>
      <c r="I2407" s="26"/>
      <c r="J2407" s="26" t="s">
        <v>77</v>
      </c>
      <c r="L2407" s="27" t="s">
        <v>77</v>
      </c>
      <c r="N2407" s="28" t="s">
        <v>77</v>
      </c>
      <c r="Q2407" s="30"/>
    </row>
    <row r="2408">
      <c r="B2408" s="6"/>
      <c r="C2408" s="33" t="str">
        <f t="array" ref="C2408">IF(B2408="", "", XLOOKUP(B2408, Inventory!D:D,Inventory!E:E,"No Name Found"))</f>
        <v/>
      </c>
      <c r="D2408" s="6"/>
      <c r="E2408" s="6"/>
      <c r="F2408" s="6"/>
      <c r="G2408" s="24" t="str">
        <f>IF(F2408="", "", VLOOKUP(F2408, Inventory!A:BZ, 3, FALSE) - SUMIF($F$1:$F2407, F2408, $H$1:$H2407))
</f>
        <v/>
      </c>
      <c r="I2408" s="26"/>
      <c r="J2408" s="26" t="s">
        <v>77</v>
      </c>
      <c r="L2408" s="27" t="s">
        <v>77</v>
      </c>
      <c r="N2408" s="28" t="s">
        <v>77</v>
      </c>
      <c r="Q2408" s="30"/>
    </row>
    <row r="2409">
      <c r="B2409" s="6"/>
      <c r="C2409" s="33" t="str">
        <f t="array" ref="C2409">IF(B2409="", "", XLOOKUP(B2409, Inventory!D:D,Inventory!E:E,"No Name Found"))</f>
        <v/>
      </c>
      <c r="D2409" s="6"/>
      <c r="E2409" s="6"/>
      <c r="F2409" s="6"/>
      <c r="G2409" s="24" t="str">
        <f>IF(F2409="", "", VLOOKUP(F2409, Inventory!A:BZ, 3, FALSE) - SUMIF($F$1:$F2408, F2409, $H$1:$H2408))
</f>
        <v/>
      </c>
      <c r="I2409" s="26"/>
      <c r="J2409" s="26" t="s">
        <v>77</v>
      </c>
      <c r="L2409" s="27" t="s">
        <v>77</v>
      </c>
      <c r="N2409" s="28" t="s">
        <v>77</v>
      </c>
      <c r="Q2409" s="30"/>
    </row>
    <row r="2410">
      <c r="B2410" s="6"/>
      <c r="C2410" s="33" t="str">
        <f t="array" ref="C2410">IF(B2410="", "", XLOOKUP(B2410, Inventory!D:D,Inventory!E:E,"No Name Found"))</f>
        <v/>
      </c>
      <c r="D2410" s="6"/>
      <c r="E2410" s="6"/>
      <c r="F2410" s="6"/>
      <c r="G2410" s="24" t="str">
        <f>IF(F2410="", "", VLOOKUP(F2410, Inventory!A:BZ, 3, FALSE) - SUMIF($F$1:$F2409, F2410, $H$1:$H2409))
</f>
        <v/>
      </c>
      <c r="I2410" s="26"/>
      <c r="J2410" s="26" t="s">
        <v>77</v>
      </c>
      <c r="L2410" s="27" t="s">
        <v>77</v>
      </c>
      <c r="N2410" s="28" t="s">
        <v>77</v>
      </c>
      <c r="Q2410" s="30"/>
    </row>
    <row r="2411">
      <c r="B2411" s="6"/>
      <c r="C2411" s="33" t="str">
        <f t="array" ref="C2411">IF(B2411="", "", XLOOKUP(B2411, Inventory!D:D,Inventory!E:E,"No Name Found"))</f>
        <v/>
      </c>
      <c r="D2411" s="6"/>
      <c r="E2411" s="6"/>
      <c r="F2411" s="6"/>
      <c r="G2411" s="24" t="str">
        <f>IF(F2411="", "", VLOOKUP(F2411, Inventory!A:BZ, 3, FALSE) - SUMIF($F$1:$F2410, F2411, $H$1:$H2410))
</f>
        <v/>
      </c>
      <c r="I2411" s="26"/>
      <c r="J2411" s="26" t="s">
        <v>77</v>
      </c>
      <c r="L2411" s="27" t="s">
        <v>77</v>
      </c>
      <c r="N2411" s="28" t="s">
        <v>77</v>
      </c>
      <c r="Q2411" s="30"/>
    </row>
    <row r="2412">
      <c r="B2412" s="6"/>
      <c r="C2412" s="33" t="str">
        <f t="array" ref="C2412">IF(B2412="", "", XLOOKUP(B2412, Inventory!D:D,Inventory!E:E,"No Name Found"))</f>
        <v/>
      </c>
      <c r="D2412" s="6"/>
      <c r="E2412" s="6"/>
      <c r="F2412" s="6"/>
      <c r="G2412" s="24" t="str">
        <f>IF(F2412="", "", VLOOKUP(F2412, Inventory!A:BZ, 3, FALSE) - SUMIF($F$1:$F2411, F2412, $H$1:$H2411))
</f>
        <v/>
      </c>
      <c r="I2412" s="26"/>
      <c r="J2412" s="26" t="s">
        <v>77</v>
      </c>
      <c r="L2412" s="27" t="s">
        <v>77</v>
      </c>
      <c r="N2412" s="28" t="s">
        <v>77</v>
      </c>
      <c r="Q2412" s="30"/>
    </row>
    <row r="2413">
      <c r="B2413" s="6"/>
      <c r="C2413" s="33" t="str">
        <f t="array" ref="C2413">IF(B2413="", "", XLOOKUP(B2413, Inventory!D:D,Inventory!E:E,"No Name Found"))</f>
        <v/>
      </c>
      <c r="D2413" s="6"/>
      <c r="E2413" s="6"/>
      <c r="F2413" s="6"/>
      <c r="G2413" s="24" t="str">
        <f>IF(F2413="", "", VLOOKUP(F2413, Inventory!A:BZ, 3, FALSE) - SUMIF($F$1:$F2412, F2413, $H$1:$H2412))
</f>
        <v/>
      </c>
      <c r="I2413" s="26"/>
      <c r="J2413" s="26" t="s">
        <v>77</v>
      </c>
      <c r="L2413" s="27" t="s">
        <v>77</v>
      </c>
      <c r="N2413" s="28" t="s">
        <v>77</v>
      </c>
      <c r="Q2413" s="30"/>
    </row>
    <row r="2414">
      <c r="B2414" s="6"/>
      <c r="C2414" s="33" t="str">
        <f t="array" ref="C2414">IF(B2414="", "", XLOOKUP(B2414, Inventory!D:D,Inventory!E:E,"No Name Found"))</f>
        <v/>
      </c>
      <c r="D2414" s="6"/>
      <c r="E2414" s="6"/>
      <c r="F2414" s="6"/>
      <c r="G2414" s="24" t="str">
        <f>IF(F2414="", "", VLOOKUP(F2414, Inventory!A:BZ, 3, FALSE) - SUMIF($F$1:$F2413, F2414, $H$1:$H2413))
</f>
        <v/>
      </c>
      <c r="I2414" s="26"/>
      <c r="J2414" s="26" t="s">
        <v>77</v>
      </c>
      <c r="L2414" s="27" t="s">
        <v>77</v>
      </c>
      <c r="N2414" s="28" t="s">
        <v>77</v>
      </c>
      <c r="Q2414" s="30"/>
    </row>
    <row r="2415">
      <c r="B2415" s="6"/>
      <c r="C2415" s="33" t="str">
        <f t="array" ref="C2415">IF(B2415="", "", XLOOKUP(B2415, Inventory!D:D,Inventory!E:E,"No Name Found"))</f>
        <v/>
      </c>
      <c r="D2415" s="6"/>
      <c r="E2415" s="6"/>
      <c r="F2415" s="6"/>
      <c r="G2415" s="24" t="str">
        <f>IF(F2415="", "", VLOOKUP(F2415, Inventory!A:BZ, 3, FALSE) - SUMIF($F$1:$F2414, F2415, $H$1:$H2414))
</f>
        <v/>
      </c>
      <c r="I2415" s="26"/>
      <c r="J2415" s="26" t="s">
        <v>77</v>
      </c>
      <c r="L2415" s="27" t="s">
        <v>77</v>
      </c>
      <c r="N2415" s="28" t="s">
        <v>77</v>
      </c>
      <c r="Q2415" s="30"/>
    </row>
    <row r="2416">
      <c r="B2416" s="6"/>
      <c r="C2416" s="33" t="str">
        <f t="array" ref="C2416">IF(B2416="", "", XLOOKUP(B2416, Inventory!D:D,Inventory!E:E,"No Name Found"))</f>
        <v/>
      </c>
      <c r="D2416" s="6"/>
      <c r="E2416" s="6"/>
      <c r="F2416" s="6"/>
      <c r="G2416" s="24" t="str">
        <f>IF(F2416="", "", VLOOKUP(F2416, Inventory!A:BZ, 3, FALSE) - SUMIF($F$1:$F2415, F2416, $H$1:$H2415))
</f>
        <v/>
      </c>
      <c r="I2416" s="26"/>
      <c r="J2416" s="26" t="s">
        <v>77</v>
      </c>
      <c r="L2416" s="27" t="s">
        <v>77</v>
      </c>
      <c r="N2416" s="28" t="s">
        <v>77</v>
      </c>
      <c r="Q2416" s="30"/>
    </row>
    <row r="2417">
      <c r="B2417" s="6"/>
      <c r="C2417" s="33" t="str">
        <f t="array" ref="C2417">IF(B2417="", "", XLOOKUP(B2417, Inventory!D:D,Inventory!E:E,"No Name Found"))</f>
        <v/>
      </c>
      <c r="D2417" s="6"/>
      <c r="E2417" s="6"/>
      <c r="F2417" s="6"/>
      <c r="G2417" s="24" t="str">
        <f>IF(F2417="", "", VLOOKUP(F2417, Inventory!A:BZ, 3, FALSE) - SUMIF($F$1:$F2416, F2417, $H$1:$H2416))
</f>
        <v/>
      </c>
      <c r="I2417" s="26"/>
      <c r="J2417" s="26" t="s">
        <v>77</v>
      </c>
      <c r="L2417" s="27" t="s">
        <v>77</v>
      </c>
      <c r="N2417" s="28" t="s">
        <v>77</v>
      </c>
      <c r="Q2417" s="30"/>
    </row>
    <row r="2418">
      <c r="B2418" s="6"/>
      <c r="C2418" s="33" t="str">
        <f t="array" ref="C2418">IF(B2418="", "", XLOOKUP(B2418, Inventory!D:D,Inventory!E:E,"No Name Found"))</f>
        <v/>
      </c>
      <c r="D2418" s="6"/>
      <c r="E2418" s="6"/>
      <c r="F2418" s="6"/>
      <c r="G2418" s="24" t="str">
        <f>IF(F2418="", "", VLOOKUP(F2418, Inventory!A:BZ, 3, FALSE) - SUMIF($F$1:$F2417, F2418, $H$1:$H2417))
</f>
        <v/>
      </c>
      <c r="I2418" s="26"/>
      <c r="J2418" s="26" t="s">
        <v>77</v>
      </c>
      <c r="L2418" s="27" t="s">
        <v>77</v>
      </c>
      <c r="N2418" s="28" t="s">
        <v>77</v>
      </c>
      <c r="Q2418" s="30"/>
    </row>
    <row r="2419">
      <c r="B2419" s="6"/>
      <c r="C2419" s="33" t="str">
        <f t="array" ref="C2419">IF(B2419="", "", XLOOKUP(B2419, Inventory!D:D,Inventory!E:E,"No Name Found"))</f>
        <v/>
      </c>
      <c r="D2419" s="6"/>
      <c r="E2419" s="6"/>
      <c r="F2419" s="6"/>
      <c r="G2419" s="24" t="str">
        <f>IF(F2419="", "", VLOOKUP(F2419, Inventory!A:BZ, 3, FALSE) - SUMIF($F$1:$F2418, F2419, $H$1:$H2418))
</f>
        <v/>
      </c>
      <c r="I2419" s="26"/>
      <c r="J2419" s="26" t="s">
        <v>77</v>
      </c>
      <c r="L2419" s="27" t="s">
        <v>77</v>
      </c>
      <c r="N2419" s="28" t="s">
        <v>77</v>
      </c>
      <c r="Q2419" s="30"/>
    </row>
    <row r="2420">
      <c r="B2420" s="6"/>
      <c r="C2420" s="33" t="str">
        <f t="array" ref="C2420">IF(B2420="", "", XLOOKUP(B2420, Inventory!D:D,Inventory!E:E,"No Name Found"))</f>
        <v/>
      </c>
      <c r="D2420" s="6"/>
      <c r="E2420" s="6"/>
      <c r="F2420" s="6"/>
      <c r="G2420" s="24" t="str">
        <f>IF(F2420="", "", VLOOKUP(F2420, Inventory!A:BZ, 3, FALSE) - SUMIF($F$1:$F2419, F2420, $H$1:$H2419))
</f>
        <v/>
      </c>
      <c r="I2420" s="26"/>
      <c r="J2420" s="26" t="s">
        <v>77</v>
      </c>
      <c r="L2420" s="27" t="s">
        <v>77</v>
      </c>
      <c r="N2420" s="28" t="s">
        <v>77</v>
      </c>
      <c r="Q2420" s="30"/>
    </row>
    <row r="2421">
      <c r="B2421" s="6"/>
      <c r="C2421" s="33" t="str">
        <f t="array" ref="C2421">IF(B2421="", "", XLOOKUP(B2421, Inventory!D:D,Inventory!E:E,"No Name Found"))</f>
        <v/>
      </c>
      <c r="D2421" s="6"/>
      <c r="E2421" s="6"/>
      <c r="F2421" s="6"/>
      <c r="G2421" s="24" t="str">
        <f>IF(F2421="", "", VLOOKUP(F2421, Inventory!A:BZ, 3, FALSE) - SUMIF($F$1:$F2420, F2421, $H$1:$H2420))
</f>
        <v/>
      </c>
      <c r="I2421" s="26"/>
      <c r="J2421" s="26" t="s">
        <v>77</v>
      </c>
      <c r="L2421" s="27" t="s">
        <v>77</v>
      </c>
      <c r="N2421" s="28" t="s">
        <v>77</v>
      </c>
      <c r="Q2421" s="30"/>
    </row>
    <row r="2422">
      <c r="B2422" s="6"/>
      <c r="C2422" s="33" t="str">
        <f t="array" ref="C2422">IF(B2422="", "", XLOOKUP(B2422, Inventory!D:D,Inventory!E:E,"No Name Found"))</f>
        <v/>
      </c>
      <c r="D2422" s="6"/>
      <c r="E2422" s="6"/>
      <c r="F2422" s="6"/>
      <c r="G2422" s="24" t="str">
        <f>IF(F2422="", "", VLOOKUP(F2422, Inventory!A:BZ, 3, FALSE) - SUMIF($F$1:$F2421, F2422, $H$1:$H2421))
</f>
        <v/>
      </c>
      <c r="I2422" s="26"/>
      <c r="J2422" s="26" t="s">
        <v>77</v>
      </c>
      <c r="L2422" s="27" t="s">
        <v>77</v>
      </c>
      <c r="N2422" s="28" t="s">
        <v>77</v>
      </c>
      <c r="Q2422" s="30"/>
    </row>
    <row r="2423">
      <c r="B2423" s="6"/>
      <c r="C2423" s="33" t="str">
        <f t="array" ref="C2423">IF(B2423="", "", XLOOKUP(B2423, Inventory!D:D,Inventory!E:E,"No Name Found"))</f>
        <v/>
      </c>
      <c r="D2423" s="6"/>
      <c r="E2423" s="6"/>
      <c r="F2423" s="6"/>
      <c r="G2423" s="24" t="str">
        <f>IF(F2423="", "", VLOOKUP(F2423, Inventory!A:BZ, 3, FALSE) - SUMIF($F$1:$F2422, F2423, $H$1:$H2422))
</f>
        <v/>
      </c>
      <c r="I2423" s="26"/>
      <c r="J2423" s="26" t="s">
        <v>77</v>
      </c>
      <c r="L2423" s="27" t="s">
        <v>77</v>
      </c>
      <c r="N2423" s="28" t="s">
        <v>77</v>
      </c>
      <c r="Q2423" s="30"/>
    </row>
    <row r="2424">
      <c r="B2424" s="6"/>
      <c r="C2424" s="33" t="str">
        <f t="array" ref="C2424">IF(B2424="", "", XLOOKUP(B2424, Inventory!D:D,Inventory!E:E,"No Name Found"))</f>
        <v/>
      </c>
      <c r="D2424" s="6"/>
      <c r="E2424" s="6"/>
      <c r="F2424" s="6"/>
      <c r="G2424" s="24" t="str">
        <f>IF(F2424="", "", VLOOKUP(F2424, Inventory!A:BZ, 3, FALSE) - SUMIF($F$1:$F2423, F2424, $H$1:$H2423))
</f>
        <v/>
      </c>
      <c r="I2424" s="26"/>
      <c r="J2424" s="26" t="s">
        <v>77</v>
      </c>
      <c r="L2424" s="27" t="s">
        <v>77</v>
      </c>
      <c r="N2424" s="28" t="s">
        <v>77</v>
      </c>
      <c r="Q2424" s="30"/>
    </row>
    <row r="2425">
      <c r="B2425" s="6"/>
      <c r="C2425" s="33" t="str">
        <f t="array" ref="C2425">IF(B2425="", "", XLOOKUP(B2425, Inventory!D:D,Inventory!E:E,"No Name Found"))</f>
        <v/>
      </c>
      <c r="D2425" s="6"/>
      <c r="E2425" s="6"/>
      <c r="F2425" s="6"/>
      <c r="G2425" s="24" t="str">
        <f>IF(F2425="", "", VLOOKUP(F2425, Inventory!A:BZ, 3, FALSE) - SUMIF($F$1:$F2424, F2425, $H$1:$H2424))
</f>
        <v/>
      </c>
      <c r="I2425" s="26"/>
      <c r="J2425" s="26" t="s">
        <v>77</v>
      </c>
      <c r="L2425" s="27" t="s">
        <v>77</v>
      </c>
      <c r="N2425" s="28" t="s">
        <v>77</v>
      </c>
      <c r="Q2425" s="30"/>
    </row>
    <row r="2426">
      <c r="B2426" s="6"/>
      <c r="C2426" s="33" t="str">
        <f t="array" ref="C2426">IF(B2426="", "", XLOOKUP(B2426, Inventory!D:D,Inventory!E:E,"No Name Found"))</f>
        <v/>
      </c>
      <c r="D2426" s="6"/>
      <c r="E2426" s="6"/>
      <c r="F2426" s="6"/>
      <c r="G2426" s="24" t="str">
        <f>IF(F2426="", "", VLOOKUP(F2426, Inventory!A:BZ, 3, FALSE) - SUMIF($F$1:$F2425, F2426, $H$1:$H2425))
</f>
        <v/>
      </c>
      <c r="I2426" s="26"/>
      <c r="J2426" s="26" t="s">
        <v>77</v>
      </c>
      <c r="L2426" s="27" t="s">
        <v>77</v>
      </c>
      <c r="N2426" s="28" t="s">
        <v>77</v>
      </c>
      <c r="Q2426" s="30"/>
    </row>
    <row r="2427">
      <c r="B2427" s="6"/>
      <c r="C2427" s="33" t="str">
        <f t="array" ref="C2427">IF(B2427="", "", XLOOKUP(B2427, Inventory!D:D,Inventory!E:E,"No Name Found"))</f>
        <v/>
      </c>
      <c r="D2427" s="6"/>
      <c r="E2427" s="6"/>
      <c r="F2427" s="6"/>
      <c r="G2427" s="24" t="str">
        <f>IF(F2427="", "", VLOOKUP(F2427, Inventory!A:BZ, 3, FALSE) - SUMIF($F$1:$F2426, F2427, $H$1:$H2426))
</f>
        <v/>
      </c>
      <c r="I2427" s="26"/>
      <c r="J2427" s="26" t="s">
        <v>77</v>
      </c>
      <c r="L2427" s="27" t="s">
        <v>77</v>
      </c>
      <c r="N2427" s="28" t="s">
        <v>77</v>
      </c>
      <c r="Q2427" s="30"/>
    </row>
    <row r="2428">
      <c r="B2428" s="6"/>
      <c r="C2428" s="33" t="str">
        <f t="array" ref="C2428">IF(B2428="", "", XLOOKUP(B2428, Inventory!D:D,Inventory!E:E,"No Name Found"))</f>
        <v/>
      </c>
      <c r="D2428" s="6"/>
      <c r="E2428" s="6"/>
      <c r="F2428" s="6"/>
      <c r="G2428" s="24" t="str">
        <f>IF(F2428="", "", VLOOKUP(F2428, Inventory!A:BZ, 3, FALSE) - SUMIF($F$1:$F2427, F2428, $H$1:$H2427))
</f>
        <v/>
      </c>
      <c r="I2428" s="26"/>
      <c r="J2428" s="26" t="s">
        <v>77</v>
      </c>
      <c r="L2428" s="27" t="s">
        <v>77</v>
      </c>
      <c r="N2428" s="28" t="s">
        <v>77</v>
      </c>
      <c r="Q2428" s="30"/>
    </row>
    <row r="2429">
      <c r="B2429" s="6"/>
      <c r="C2429" s="33" t="str">
        <f t="array" ref="C2429">IF(B2429="", "", XLOOKUP(B2429, Inventory!D:D,Inventory!E:E,"No Name Found"))</f>
        <v/>
      </c>
      <c r="D2429" s="6"/>
      <c r="E2429" s="6"/>
      <c r="F2429" s="6"/>
      <c r="G2429" s="24" t="str">
        <f>IF(F2429="", "", VLOOKUP(F2429, Inventory!A:BZ, 3, FALSE) - SUMIF($F$1:$F2428, F2429, $H$1:$H2428))
</f>
        <v/>
      </c>
      <c r="I2429" s="26"/>
      <c r="J2429" s="26" t="s">
        <v>77</v>
      </c>
      <c r="L2429" s="27" t="s">
        <v>77</v>
      </c>
      <c r="N2429" s="28" t="s">
        <v>77</v>
      </c>
      <c r="Q2429" s="30"/>
    </row>
    <row r="2430">
      <c r="B2430" s="6"/>
      <c r="C2430" s="33" t="str">
        <f t="array" ref="C2430">IF(B2430="", "", XLOOKUP(B2430, Inventory!D:D,Inventory!E:E,"No Name Found"))</f>
        <v/>
      </c>
      <c r="D2430" s="6"/>
      <c r="E2430" s="6"/>
      <c r="F2430" s="6"/>
      <c r="G2430" s="24" t="str">
        <f>IF(F2430="", "", VLOOKUP(F2430, Inventory!A:BZ, 3, FALSE) - SUMIF($F$1:$F2429, F2430, $H$1:$H2429))
</f>
        <v/>
      </c>
      <c r="I2430" s="26"/>
      <c r="J2430" s="26" t="s">
        <v>77</v>
      </c>
      <c r="L2430" s="27" t="s">
        <v>77</v>
      </c>
      <c r="N2430" s="28" t="s">
        <v>77</v>
      </c>
      <c r="Q2430" s="30"/>
    </row>
    <row r="2431">
      <c r="B2431" s="6"/>
      <c r="C2431" s="33" t="str">
        <f t="array" ref="C2431">IF(B2431="", "", XLOOKUP(B2431, Inventory!D:D,Inventory!E:E,"No Name Found"))</f>
        <v/>
      </c>
      <c r="D2431" s="6"/>
      <c r="E2431" s="6"/>
      <c r="F2431" s="6"/>
      <c r="G2431" s="24" t="str">
        <f>IF(F2431="", "", VLOOKUP(F2431, Inventory!A:BZ, 3, FALSE) - SUMIF($F$1:$F2430, F2431, $H$1:$H2430))
</f>
        <v/>
      </c>
      <c r="I2431" s="26"/>
      <c r="J2431" s="26" t="s">
        <v>77</v>
      </c>
      <c r="L2431" s="27" t="s">
        <v>77</v>
      </c>
      <c r="N2431" s="28" t="s">
        <v>77</v>
      </c>
      <c r="Q2431" s="30"/>
    </row>
    <row r="2432">
      <c r="B2432" s="6"/>
      <c r="C2432" s="33" t="str">
        <f t="array" ref="C2432">IF(B2432="", "", XLOOKUP(B2432, Inventory!D:D,Inventory!E:E,"No Name Found"))</f>
        <v/>
      </c>
      <c r="D2432" s="6"/>
      <c r="E2432" s="6"/>
      <c r="F2432" s="6"/>
      <c r="G2432" s="24" t="str">
        <f>IF(F2432="", "", VLOOKUP(F2432, Inventory!A:BZ, 3, FALSE) - SUMIF($F$1:$F2431, F2432, $H$1:$H2431))
</f>
        <v/>
      </c>
      <c r="I2432" s="26"/>
      <c r="J2432" s="26" t="s">
        <v>77</v>
      </c>
      <c r="L2432" s="27" t="s">
        <v>77</v>
      </c>
      <c r="N2432" s="28" t="s">
        <v>77</v>
      </c>
      <c r="Q2432" s="30"/>
    </row>
    <row r="2433">
      <c r="B2433" s="6"/>
      <c r="C2433" s="33" t="str">
        <f t="array" ref="C2433">IF(B2433="", "", XLOOKUP(B2433, Inventory!D:D,Inventory!E:E,"No Name Found"))</f>
        <v/>
      </c>
      <c r="D2433" s="6"/>
      <c r="E2433" s="6"/>
      <c r="F2433" s="6"/>
      <c r="G2433" s="24" t="str">
        <f>IF(F2433="", "", VLOOKUP(F2433, Inventory!A:BZ, 3, FALSE) - SUMIF($F$1:$F2432, F2433, $H$1:$H2432))
</f>
        <v/>
      </c>
      <c r="I2433" s="26"/>
      <c r="J2433" s="26" t="s">
        <v>77</v>
      </c>
      <c r="L2433" s="27" t="s">
        <v>77</v>
      </c>
      <c r="N2433" s="28" t="s">
        <v>77</v>
      </c>
      <c r="Q2433" s="30"/>
    </row>
    <row r="2434">
      <c r="B2434" s="6"/>
      <c r="C2434" s="33" t="str">
        <f t="array" ref="C2434">IF(B2434="", "", XLOOKUP(B2434, Inventory!D:D,Inventory!E:E,"No Name Found"))</f>
        <v/>
      </c>
      <c r="D2434" s="6"/>
      <c r="E2434" s="6"/>
      <c r="F2434" s="6"/>
      <c r="G2434" s="24" t="str">
        <f>IF(F2434="", "", VLOOKUP(F2434, Inventory!A:BZ, 3, FALSE) - SUMIF($F$1:$F2433, F2434, $H$1:$H2433))
</f>
        <v/>
      </c>
      <c r="I2434" s="26"/>
      <c r="J2434" s="26" t="s">
        <v>77</v>
      </c>
      <c r="L2434" s="27" t="s">
        <v>77</v>
      </c>
      <c r="N2434" s="28" t="s">
        <v>77</v>
      </c>
      <c r="Q2434" s="30"/>
    </row>
    <row r="2435">
      <c r="B2435" s="6"/>
      <c r="C2435" s="33" t="str">
        <f t="array" ref="C2435">IF(B2435="", "", XLOOKUP(B2435, Inventory!D:D,Inventory!E:E,"No Name Found"))</f>
        <v/>
      </c>
      <c r="D2435" s="6"/>
      <c r="E2435" s="6"/>
      <c r="F2435" s="6"/>
      <c r="G2435" s="24" t="str">
        <f>IF(F2435="", "", VLOOKUP(F2435, Inventory!A:BZ, 3, FALSE) - SUMIF($F$1:$F2434, F2435, $H$1:$H2434))
</f>
        <v/>
      </c>
      <c r="I2435" s="26"/>
      <c r="J2435" s="26" t="s">
        <v>77</v>
      </c>
      <c r="L2435" s="27" t="s">
        <v>77</v>
      </c>
      <c r="N2435" s="28" t="s">
        <v>77</v>
      </c>
      <c r="Q2435" s="30"/>
    </row>
    <row r="2436">
      <c r="B2436" s="6"/>
      <c r="C2436" s="33" t="str">
        <f t="array" ref="C2436">IF(B2436="", "", XLOOKUP(B2436, Inventory!D:D,Inventory!E:E,"No Name Found"))</f>
        <v/>
      </c>
      <c r="D2436" s="6"/>
      <c r="E2436" s="6"/>
      <c r="F2436" s="6"/>
      <c r="G2436" s="24" t="str">
        <f>IF(F2436="", "", VLOOKUP(F2436, Inventory!A:BZ, 3, FALSE) - SUMIF($F$1:$F2435, F2436, $H$1:$H2435))
</f>
        <v/>
      </c>
      <c r="I2436" s="26"/>
      <c r="J2436" s="26" t="s">
        <v>77</v>
      </c>
      <c r="L2436" s="27" t="s">
        <v>77</v>
      </c>
      <c r="N2436" s="28" t="s">
        <v>77</v>
      </c>
      <c r="Q2436" s="30"/>
    </row>
    <row r="2437">
      <c r="B2437" s="6"/>
      <c r="C2437" s="33" t="str">
        <f t="array" ref="C2437">IF(B2437="", "", XLOOKUP(B2437, Inventory!D:D,Inventory!E:E,"No Name Found"))</f>
        <v/>
      </c>
      <c r="D2437" s="6"/>
      <c r="E2437" s="6"/>
      <c r="F2437" s="6"/>
      <c r="G2437" s="24" t="str">
        <f>IF(F2437="", "", VLOOKUP(F2437, Inventory!A:BZ, 3, FALSE) - SUMIF($F$1:$F2436, F2437, $H$1:$H2436))
</f>
        <v/>
      </c>
      <c r="I2437" s="26"/>
      <c r="J2437" s="26" t="s">
        <v>77</v>
      </c>
      <c r="L2437" s="27" t="s">
        <v>77</v>
      </c>
      <c r="N2437" s="28" t="s">
        <v>77</v>
      </c>
      <c r="Q2437" s="30"/>
    </row>
    <row r="2438">
      <c r="B2438" s="6"/>
      <c r="C2438" s="33" t="str">
        <f t="array" ref="C2438">IF(B2438="", "", XLOOKUP(B2438, Inventory!D:D,Inventory!E:E,"No Name Found"))</f>
        <v/>
      </c>
      <c r="D2438" s="6"/>
      <c r="E2438" s="6"/>
      <c r="F2438" s="6"/>
      <c r="G2438" s="24" t="str">
        <f>IF(F2438="", "", VLOOKUP(F2438, Inventory!A:BZ, 3, FALSE) - SUMIF($F$1:$F2437, F2438, $H$1:$H2437))
</f>
        <v/>
      </c>
      <c r="I2438" s="26"/>
      <c r="J2438" s="26" t="s">
        <v>77</v>
      </c>
      <c r="L2438" s="27" t="s">
        <v>77</v>
      </c>
      <c r="N2438" s="28" t="s">
        <v>77</v>
      </c>
      <c r="Q2438" s="30"/>
    </row>
    <row r="2439">
      <c r="B2439" s="6"/>
      <c r="C2439" s="33" t="str">
        <f t="array" ref="C2439">IF(B2439="", "", XLOOKUP(B2439, Inventory!D:D,Inventory!E:E,"No Name Found"))</f>
        <v/>
      </c>
      <c r="D2439" s="6"/>
      <c r="E2439" s="6"/>
      <c r="F2439" s="6"/>
      <c r="G2439" s="24" t="str">
        <f>IF(F2439="", "", VLOOKUP(F2439, Inventory!A:BZ, 3, FALSE) - SUMIF($F$1:$F2438, F2439, $H$1:$H2438))
</f>
        <v/>
      </c>
      <c r="I2439" s="26"/>
      <c r="J2439" s="26" t="s">
        <v>77</v>
      </c>
      <c r="L2439" s="27" t="s">
        <v>77</v>
      </c>
      <c r="N2439" s="28" t="s">
        <v>77</v>
      </c>
      <c r="Q2439" s="30"/>
    </row>
    <row r="2440">
      <c r="B2440" s="6"/>
      <c r="C2440" s="33" t="str">
        <f t="array" ref="C2440">IF(B2440="", "", XLOOKUP(B2440, Inventory!D:D,Inventory!E:E,"No Name Found"))</f>
        <v/>
      </c>
      <c r="D2440" s="6"/>
      <c r="E2440" s="6"/>
      <c r="F2440" s="6"/>
      <c r="G2440" s="24" t="str">
        <f>IF(F2440="", "", VLOOKUP(F2440, Inventory!A:BZ, 3, FALSE) - SUMIF($F$1:$F2439, F2440, $H$1:$H2439))
</f>
        <v/>
      </c>
      <c r="I2440" s="26"/>
      <c r="J2440" s="26" t="s">
        <v>77</v>
      </c>
      <c r="L2440" s="27" t="s">
        <v>77</v>
      </c>
      <c r="N2440" s="28" t="s">
        <v>77</v>
      </c>
      <c r="Q2440" s="30"/>
    </row>
    <row r="2441">
      <c r="B2441" s="6"/>
      <c r="C2441" s="33" t="str">
        <f t="array" ref="C2441">IF(B2441="", "", XLOOKUP(B2441, Inventory!D:D,Inventory!E:E,"No Name Found"))</f>
        <v/>
      </c>
      <c r="D2441" s="6"/>
      <c r="E2441" s="6"/>
      <c r="F2441" s="6"/>
      <c r="G2441" s="24" t="str">
        <f>IF(F2441="", "", VLOOKUP(F2441, Inventory!A:BZ, 3, FALSE) - SUMIF($F$1:$F2440, F2441, $H$1:$H2440))
</f>
        <v/>
      </c>
      <c r="I2441" s="26"/>
      <c r="J2441" s="26" t="s">
        <v>77</v>
      </c>
      <c r="L2441" s="27" t="s">
        <v>77</v>
      </c>
      <c r="N2441" s="28" t="s">
        <v>77</v>
      </c>
      <c r="Q2441" s="30"/>
    </row>
    <row r="2442">
      <c r="B2442" s="6"/>
      <c r="C2442" s="33" t="str">
        <f t="array" ref="C2442">IF(B2442="", "", XLOOKUP(B2442, Inventory!D:D,Inventory!E:E,"No Name Found"))</f>
        <v/>
      </c>
      <c r="D2442" s="6"/>
      <c r="E2442" s="6"/>
      <c r="F2442" s="6"/>
      <c r="G2442" s="24" t="str">
        <f>IF(F2442="", "", VLOOKUP(F2442, Inventory!A:BZ, 3, FALSE) - SUMIF($F$1:$F2441, F2442, $H$1:$H2441))
</f>
        <v/>
      </c>
      <c r="I2442" s="26"/>
      <c r="J2442" s="26" t="s">
        <v>77</v>
      </c>
      <c r="L2442" s="27" t="s">
        <v>77</v>
      </c>
      <c r="N2442" s="28" t="s">
        <v>77</v>
      </c>
      <c r="Q2442" s="30"/>
    </row>
    <row r="2443">
      <c r="B2443" s="6"/>
      <c r="C2443" s="33" t="str">
        <f t="array" ref="C2443">IF(B2443="", "", XLOOKUP(B2443, Inventory!D:D,Inventory!E:E,"No Name Found"))</f>
        <v/>
      </c>
      <c r="D2443" s="6"/>
      <c r="E2443" s="6"/>
      <c r="F2443" s="6"/>
      <c r="G2443" s="24" t="str">
        <f>IF(F2443="", "", VLOOKUP(F2443, Inventory!A:BZ, 3, FALSE) - SUMIF($F$1:$F2442, F2443, $H$1:$H2442))
</f>
        <v/>
      </c>
      <c r="I2443" s="26"/>
      <c r="J2443" s="26" t="s">
        <v>77</v>
      </c>
      <c r="L2443" s="27" t="s">
        <v>77</v>
      </c>
      <c r="N2443" s="28" t="s">
        <v>77</v>
      </c>
      <c r="Q2443" s="30"/>
    </row>
    <row r="2444">
      <c r="B2444" s="6"/>
      <c r="C2444" s="33" t="str">
        <f t="array" ref="C2444">IF(B2444="", "", XLOOKUP(B2444, Inventory!D:D,Inventory!E:E,"No Name Found"))</f>
        <v/>
      </c>
      <c r="D2444" s="6"/>
      <c r="E2444" s="6"/>
      <c r="F2444" s="6"/>
      <c r="G2444" s="24" t="str">
        <f>IF(F2444="", "", VLOOKUP(F2444, Inventory!A:BZ, 3, FALSE) - SUMIF($F$1:$F2443, F2444, $H$1:$H2443))
</f>
        <v/>
      </c>
      <c r="I2444" s="26"/>
      <c r="J2444" s="26" t="s">
        <v>77</v>
      </c>
      <c r="L2444" s="27" t="s">
        <v>77</v>
      </c>
      <c r="N2444" s="28" t="s">
        <v>77</v>
      </c>
      <c r="Q2444" s="30"/>
    </row>
    <row r="2445">
      <c r="B2445" s="6"/>
      <c r="C2445" s="33" t="str">
        <f t="array" ref="C2445">IF(B2445="", "", XLOOKUP(B2445, Inventory!D:D,Inventory!E:E,"No Name Found"))</f>
        <v/>
      </c>
      <c r="D2445" s="6"/>
      <c r="E2445" s="6"/>
      <c r="F2445" s="6"/>
      <c r="G2445" s="24" t="str">
        <f>IF(F2445="", "", VLOOKUP(F2445, Inventory!A:BZ, 3, FALSE) - SUMIF($F$1:$F2444, F2445, $H$1:$H2444))
</f>
        <v/>
      </c>
      <c r="I2445" s="26"/>
      <c r="J2445" s="26" t="s">
        <v>77</v>
      </c>
      <c r="L2445" s="27" t="s">
        <v>77</v>
      </c>
      <c r="N2445" s="28" t="s">
        <v>77</v>
      </c>
      <c r="Q2445" s="30"/>
    </row>
    <row r="2446">
      <c r="B2446" s="6"/>
      <c r="C2446" s="33" t="str">
        <f t="array" ref="C2446">IF(B2446="", "", XLOOKUP(B2446, Inventory!D:D,Inventory!E:E,"No Name Found"))</f>
        <v/>
      </c>
      <c r="D2446" s="6"/>
      <c r="E2446" s="6"/>
      <c r="F2446" s="6"/>
      <c r="G2446" s="24" t="str">
        <f>IF(F2446="", "", VLOOKUP(F2446, Inventory!A:BZ, 3, FALSE) - SUMIF($F$1:$F2445, F2446, $H$1:$H2445))
</f>
        <v/>
      </c>
      <c r="I2446" s="26"/>
      <c r="J2446" s="26" t="s">
        <v>77</v>
      </c>
      <c r="L2446" s="27" t="s">
        <v>77</v>
      </c>
      <c r="N2446" s="28" t="s">
        <v>77</v>
      </c>
      <c r="Q2446" s="30"/>
    </row>
    <row r="2447">
      <c r="B2447" s="6"/>
      <c r="C2447" s="33" t="str">
        <f t="array" ref="C2447">IF(B2447="", "", XLOOKUP(B2447, Inventory!D:D,Inventory!E:E,"No Name Found"))</f>
        <v/>
      </c>
      <c r="D2447" s="6"/>
      <c r="E2447" s="6"/>
      <c r="F2447" s="6"/>
      <c r="G2447" s="24" t="str">
        <f>IF(F2447="", "", VLOOKUP(F2447, Inventory!A:BZ, 3, FALSE) - SUMIF($F$1:$F2446, F2447, $H$1:$H2446))
</f>
        <v/>
      </c>
      <c r="I2447" s="26"/>
      <c r="J2447" s="26" t="s">
        <v>77</v>
      </c>
      <c r="L2447" s="27" t="s">
        <v>77</v>
      </c>
      <c r="N2447" s="28" t="s">
        <v>77</v>
      </c>
      <c r="Q2447" s="30"/>
    </row>
    <row r="2448">
      <c r="B2448" s="6"/>
      <c r="C2448" s="33" t="str">
        <f t="array" ref="C2448">IF(B2448="", "", XLOOKUP(B2448, Inventory!D:D,Inventory!E:E,"No Name Found"))</f>
        <v/>
      </c>
      <c r="D2448" s="6"/>
      <c r="E2448" s="6"/>
      <c r="F2448" s="6"/>
      <c r="G2448" s="24" t="str">
        <f>IF(F2448="", "", VLOOKUP(F2448, Inventory!A:BZ, 3, FALSE) - SUMIF($F$1:$F2447, F2448, $H$1:$H2447))
</f>
        <v/>
      </c>
      <c r="I2448" s="26"/>
      <c r="J2448" s="26" t="s">
        <v>77</v>
      </c>
      <c r="L2448" s="27" t="s">
        <v>77</v>
      </c>
      <c r="N2448" s="28" t="s">
        <v>77</v>
      </c>
      <c r="Q2448" s="30"/>
    </row>
    <row r="2449">
      <c r="B2449" s="6"/>
      <c r="C2449" s="33" t="str">
        <f t="array" ref="C2449">IF(B2449="", "", XLOOKUP(B2449, Inventory!D:D,Inventory!E:E,"No Name Found"))</f>
        <v/>
      </c>
      <c r="D2449" s="6"/>
      <c r="E2449" s="6"/>
      <c r="F2449" s="6"/>
      <c r="G2449" s="24" t="str">
        <f>IF(F2449="", "", VLOOKUP(F2449, Inventory!A:BZ, 3, FALSE) - SUMIF($F$1:$F2448, F2449, $H$1:$H2448))
</f>
        <v/>
      </c>
      <c r="I2449" s="26"/>
      <c r="J2449" s="26" t="s">
        <v>77</v>
      </c>
      <c r="L2449" s="27" t="s">
        <v>77</v>
      </c>
      <c r="N2449" s="28" t="s">
        <v>77</v>
      </c>
      <c r="Q2449" s="30"/>
    </row>
    <row r="2450">
      <c r="B2450" s="6"/>
      <c r="C2450" s="33" t="str">
        <f t="array" ref="C2450">IF(B2450="", "", XLOOKUP(B2450, Inventory!D:D,Inventory!E:E,"No Name Found"))</f>
        <v/>
      </c>
      <c r="D2450" s="6"/>
      <c r="E2450" s="6"/>
      <c r="F2450" s="6"/>
      <c r="G2450" s="24" t="str">
        <f>IF(F2450="", "", VLOOKUP(F2450, Inventory!A:BZ, 3, FALSE) - SUMIF($F$1:$F2449, F2450, $H$1:$H2449))
</f>
        <v/>
      </c>
      <c r="I2450" s="26"/>
      <c r="J2450" s="26" t="s">
        <v>77</v>
      </c>
      <c r="L2450" s="27" t="s">
        <v>77</v>
      </c>
      <c r="N2450" s="28" t="s">
        <v>77</v>
      </c>
      <c r="Q2450" s="30"/>
    </row>
    <row r="2451">
      <c r="B2451" s="6"/>
      <c r="C2451" s="33" t="str">
        <f t="array" ref="C2451">IF(B2451="", "", XLOOKUP(B2451, Inventory!D:D,Inventory!E:E,"No Name Found"))</f>
        <v/>
      </c>
      <c r="D2451" s="6"/>
      <c r="E2451" s="6"/>
      <c r="F2451" s="6"/>
      <c r="G2451" s="24" t="str">
        <f>IF(F2451="", "", VLOOKUP(F2451, Inventory!A:BZ, 3, FALSE) - SUMIF($F$1:$F2450, F2451, $H$1:$H2450))
</f>
        <v/>
      </c>
      <c r="I2451" s="26"/>
      <c r="J2451" s="26" t="s">
        <v>77</v>
      </c>
      <c r="L2451" s="27" t="s">
        <v>77</v>
      </c>
      <c r="N2451" s="28" t="s">
        <v>77</v>
      </c>
      <c r="Q2451" s="30"/>
    </row>
    <row r="2452">
      <c r="B2452" s="6"/>
      <c r="C2452" s="33" t="str">
        <f t="array" ref="C2452">IF(B2452="", "", XLOOKUP(B2452, Inventory!D:D,Inventory!E:E,"No Name Found"))</f>
        <v/>
      </c>
      <c r="D2452" s="6"/>
      <c r="E2452" s="6"/>
      <c r="F2452" s="6"/>
      <c r="G2452" s="24" t="str">
        <f>IF(F2452="", "", VLOOKUP(F2452, Inventory!A:BZ, 3, FALSE) - SUMIF($F$1:$F2451, F2452, $H$1:$H2451))
</f>
        <v/>
      </c>
      <c r="I2452" s="26"/>
      <c r="J2452" s="26" t="s">
        <v>77</v>
      </c>
      <c r="L2452" s="27" t="s">
        <v>77</v>
      </c>
      <c r="N2452" s="28" t="s">
        <v>77</v>
      </c>
      <c r="Q2452" s="30"/>
    </row>
    <row r="2453">
      <c r="B2453" s="6"/>
      <c r="C2453" s="33" t="str">
        <f t="array" ref="C2453">IF(B2453="", "", XLOOKUP(B2453, Inventory!D:D,Inventory!E:E,"No Name Found"))</f>
        <v/>
      </c>
      <c r="D2453" s="6"/>
      <c r="E2453" s="6"/>
      <c r="F2453" s="6"/>
      <c r="G2453" s="24" t="str">
        <f>IF(F2453="", "", VLOOKUP(F2453, Inventory!A:BZ, 3, FALSE) - SUMIF($F$1:$F2452, F2453, $H$1:$H2452))
</f>
        <v/>
      </c>
      <c r="I2453" s="26"/>
      <c r="J2453" s="26" t="s">
        <v>77</v>
      </c>
      <c r="L2453" s="27" t="s">
        <v>77</v>
      </c>
      <c r="N2453" s="28" t="s">
        <v>77</v>
      </c>
      <c r="Q2453" s="30"/>
    </row>
    <row r="2454">
      <c r="B2454" s="6"/>
      <c r="C2454" s="33" t="str">
        <f t="array" ref="C2454">IF(B2454="", "", XLOOKUP(B2454, Inventory!D:D,Inventory!E:E,"No Name Found"))</f>
        <v/>
      </c>
      <c r="D2454" s="6"/>
      <c r="E2454" s="6"/>
      <c r="F2454" s="6"/>
      <c r="G2454" s="24" t="str">
        <f>IF(F2454="", "", VLOOKUP(F2454, Inventory!A:BZ, 3, FALSE) - SUMIF($F$1:$F2453, F2454, $H$1:$H2453))
</f>
        <v/>
      </c>
      <c r="I2454" s="26"/>
      <c r="J2454" s="26" t="s">
        <v>77</v>
      </c>
      <c r="L2454" s="27" t="s">
        <v>77</v>
      </c>
      <c r="N2454" s="28" t="s">
        <v>77</v>
      </c>
      <c r="Q2454" s="30"/>
    </row>
    <row r="2455">
      <c r="B2455" s="6"/>
      <c r="C2455" s="33" t="str">
        <f t="array" ref="C2455">IF(B2455="", "", XLOOKUP(B2455, Inventory!D:D,Inventory!E:E,"No Name Found"))</f>
        <v/>
      </c>
      <c r="D2455" s="6"/>
      <c r="E2455" s="6"/>
      <c r="F2455" s="6"/>
      <c r="G2455" s="24" t="str">
        <f>IF(F2455="", "", VLOOKUP(F2455, Inventory!A:BZ, 3, FALSE) - SUMIF($F$1:$F2454, F2455, $H$1:$H2454))
</f>
        <v/>
      </c>
      <c r="I2455" s="26"/>
      <c r="J2455" s="26" t="s">
        <v>77</v>
      </c>
      <c r="L2455" s="27" t="s">
        <v>77</v>
      </c>
      <c r="N2455" s="28" t="s">
        <v>77</v>
      </c>
      <c r="Q2455" s="30"/>
    </row>
    <row r="2456">
      <c r="B2456" s="6"/>
      <c r="C2456" s="33" t="str">
        <f t="array" ref="C2456">IF(B2456="", "", XLOOKUP(B2456, Inventory!D:D,Inventory!E:E,"No Name Found"))</f>
        <v/>
      </c>
      <c r="D2456" s="6"/>
      <c r="E2456" s="6"/>
      <c r="F2456" s="6"/>
      <c r="G2456" s="24" t="str">
        <f>IF(F2456="", "", VLOOKUP(F2456, Inventory!A:BZ, 3, FALSE) - SUMIF($F$1:$F2455, F2456, $H$1:$H2455))
</f>
        <v/>
      </c>
      <c r="I2456" s="26"/>
      <c r="J2456" s="26" t="s">
        <v>77</v>
      </c>
      <c r="L2456" s="27" t="s">
        <v>77</v>
      </c>
      <c r="N2456" s="28" t="s">
        <v>77</v>
      </c>
      <c r="Q2456" s="30"/>
    </row>
    <row r="2457">
      <c r="B2457" s="6"/>
      <c r="C2457" s="33" t="str">
        <f t="array" ref="C2457">IF(B2457="", "", XLOOKUP(B2457, Inventory!D:D,Inventory!E:E,"No Name Found"))</f>
        <v/>
      </c>
      <c r="D2457" s="6"/>
      <c r="E2457" s="6"/>
      <c r="F2457" s="6"/>
      <c r="G2457" s="24" t="str">
        <f>IF(F2457="", "", VLOOKUP(F2457, Inventory!A:BZ, 3, FALSE) - SUMIF($F$1:$F2456, F2457, $H$1:$H2456))
</f>
        <v/>
      </c>
      <c r="I2457" s="26"/>
      <c r="J2457" s="26" t="s">
        <v>77</v>
      </c>
      <c r="L2457" s="27" t="s">
        <v>77</v>
      </c>
      <c r="N2457" s="28" t="s">
        <v>77</v>
      </c>
      <c r="Q2457" s="30"/>
    </row>
    <row r="2458">
      <c r="B2458" s="6"/>
      <c r="C2458" s="33" t="str">
        <f t="array" ref="C2458">IF(B2458="", "", XLOOKUP(B2458, Inventory!D:D,Inventory!E:E,"No Name Found"))</f>
        <v/>
      </c>
      <c r="D2458" s="6"/>
      <c r="E2458" s="6"/>
      <c r="F2458" s="6"/>
      <c r="G2458" s="24" t="str">
        <f>IF(F2458="", "", VLOOKUP(F2458, Inventory!A:BZ, 3, FALSE) - SUMIF($F$1:$F2457, F2458, $H$1:$H2457))
</f>
        <v/>
      </c>
      <c r="I2458" s="26"/>
      <c r="J2458" s="26" t="s">
        <v>77</v>
      </c>
      <c r="L2458" s="27" t="s">
        <v>77</v>
      </c>
      <c r="N2458" s="28" t="s">
        <v>77</v>
      </c>
      <c r="Q2458" s="30"/>
    </row>
    <row r="2459">
      <c r="B2459" s="6"/>
      <c r="C2459" s="33" t="str">
        <f t="array" ref="C2459">IF(B2459="", "", XLOOKUP(B2459, Inventory!D:D,Inventory!E:E,"No Name Found"))</f>
        <v/>
      </c>
      <c r="D2459" s="6"/>
      <c r="E2459" s="6"/>
      <c r="F2459" s="6"/>
      <c r="G2459" s="24" t="str">
        <f>IF(F2459="", "", VLOOKUP(F2459, Inventory!A:BZ, 3, FALSE) - SUMIF($F$1:$F2458, F2459, $H$1:$H2458))
</f>
        <v/>
      </c>
      <c r="I2459" s="26"/>
      <c r="J2459" s="26" t="s">
        <v>77</v>
      </c>
      <c r="L2459" s="27" t="s">
        <v>77</v>
      </c>
      <c r="N2459" s="28" t="s">
        <v>77</v>
      </c>
      <c r="Q2459" s="30"/>
    </row>
    <row r="2460">
      <c r="B2460" s="6"/>
      <c r="C2460" s="33" t="str">
        <f t="array" ref="C2460">IF(B2460="", "", XLOOKUP(B2460, Inventory!D:D,Inventory!E:E,"No Name Found"))</f>
        <v/>
      </c>
      <c r="D2460" s="6"/>
      <c r="E2460" s="6"/>
      <c r="F2460" s="6"/>
      <c r="G2460" s="24" t="str">
        <f>IF(F2460="", "", VLOOKUP(F2460, Inventory!A:BZ, 3, FALSE) - SUMIF($F$1:$F2459, F2460, $H$1:$H2459))
</f>
        <v/>
      </c>
      <c r="I2460" s="26"/>
      <c r="J2460" s="26" t="s">
        <v>77</v>
      </c>
      <c r="L2460" s="27" t="s">
        <v>77</v>
      </c>
      <c r="N2460" s="28" t="s">
        <v>77</v>
      </c>
      <c r="Q2460" s="30"/>
    </row>
    <row r="2461">
      <c r="B2461" s="6"/>
      <c r="C2461" s="33" t="str">
        <f t="array" ref="C2461">IF(B2461="", "", XLOOKUP(B2461, Inventory!D:D,Inventory!E:E,"No Name Found"))</f>
        <v/>
      </c>
      <c r="D2461" s="6"/>
      <c r="E2461" s="6"/>
      <c r="F2461" s="6"/>
      <c r="G2461" s="24" t="str">
        <f>IF(F2461="", "", VLOOKUP(F2461, Inventory!A:BZ, 3, FALSE) - SUMIF($F$1:$F2460, F2461, $H$1:$H2460))
</f>
        <v/>
      </c>
      <c r="I2461" s="26"/>
      <c r="J2461" s="26" t="s">
        <v>77</v>
      </c>
      <c r="L2461" s="27" t="s">
        <v>77</v>
      </c>
      <c r="N2461" s="28" t="s">
        <v>77</v>
      </c>
      <c r="Q2461" s="30"/>
    </row>
    <row r="2462">
      <c r="B2462" s="6"/>
      <c r="C2462" s="33" t="str">
        <f t="array" ref="C2462">IF(B2462="", "", XLOOKUP(B2462, Inventory!D:D,Inventory!E:E,"No Name Found"))</f>
        <v/>
      </c>
      <c r="D2462" s="6"/>
      <c r="E2462" s="6"/>
      <c r="F2462" s="6"/>
      <c r="G2462" s="24" t="str">
        <f>IF(F2462="", "", VLOOKUP(F2462, Inventory!A:BZ, 3, FALSE) - SUMIF($F$1:$F2461, F2462, $H$1:$H2461))
</f>
        <v/>
      </c>
      <c r="I2462" s="26"/>
      <c r="J2462" s="26" t="s">
        <v>77</v>
      </c>
      <c r="L2462" s="27" t="s">
        <v>77</v>
      </c>
      <c r="N2462" s="28" t="s">
        <v>77</v>
      </c>
      <c r="Q2462" s="30"/>
    </row>
    <row r="2463">
      <c r="B2463" s="6"/>
      <c r="C2463" s="33" t="str">
        <f t="array" ref="C2463">IF(B2463="", "", XLOOKUP(B2463, Inventory!D:D,Inventory!E:E,"No Name Found"))</f>
        <v/>
      </c>
      <c r="D2463" s="6"/>
      <c r="E2463" s="6"/>
      <c r="F2463" s="6"/>
      <c r="G2463" s="24" t="str">
        <f>IF(F2463="", "", VLOOKUP(F2463, Inventory!A:BZ, 3, FALSE) - SUMIF($F$1:$F2462, F2463, $H$1:$H2462))
</f>
        <v/>
      </c>
      <c r="I2463" s="26"/>
      <c r="J2463" s="26" t="s">
        <v>77</v>
      </c>
      <c r="L2463" s="27" t="s">
        <v>77</v>
      </c>
      <c r="N2463" s="28" t="s">
        <v>77</v>
      </c>
      <c r="Q2463" s="30"/>
    </row>
    <row r="2464">
      <c r="B2464" s="6"/>
      <c r="C2464" s="33" t="str">
        <f t="array" ref="C2464">IF(B2464="", "", XLOOKUP(B2464, Inventory!D:D,Inventory!E:E,"No Name Found"))</f>
        <v/>
      </c>
      <c r="D2464" s="6"/>
      <c r="E2464" s="6"/>
      <c r="F2464" s="6"/>
      <c r="G2464" s="24" t="str">
        <f>IF(F2464="", "", VLOOKUP(F2464, Inventory!A:BZ, 3, FALSE) - SUMIF($F$1:$F2463, F2464, $H$1:$H2463))
</f>
        <v/>
      </c>
      <c r="I2464" s="26"/>
      <c r="J2464" s="26" t="s">
        <v>77</v>
      </c>
      <c r="L2464" s="27" t="s">
        <v>77</v>
      </c>
      <c r="N2464" s="28" t="s">
        <v>77</v>
      </c>
      <c r="Q2464" s="30"/>
    </row>
    <row r="2465">
      <c r="B2465" s="6"/>
      <c r="C2465" s="33" t="str">
        <f t="array" ref="C2465">IF(B2465="", "", XLOOKUP(B2465, Inventory!D:D,Inventory!E:E,"No Name Found"))</f>
        <v/>
      </c>
      <c r="D2465" s="6"/>
      <c r="E2465" s="6"/>
      <c r="F2465" s="6"/>
      <c r="G2465" s="24" t="str">
        <f>IF(F2465="", "", VLOOKUP(F2465, Inventory!A:BZ, 3, FALSE) - SUMIF($F$1:$F2464, F2465, $H$1:$H2464))
</f>
        <v/>
      </c>
      <c r="I2465" s="26"/>
      <c r="J2465" s="26" t="s">
        <v>77</v>
      </c>
      <c r="L2465" s="27" t="s">
        <v>77</v>
      </c>
      <c r="N2465" s="28" t="s">
        <v>77</v>
      </c>
      <c r="Q2465" s="30"/>
    </row>
    <row r="2466">
      <c r="B2466" s="6"/>
      <c r="C2466" s="33" t="str">
        <f t="array" ref="C2466">IF(B2466="", "", XLOOKUP(B2466, Inventory!D:D,Inventory!E:E,"No Name Found"))</f>
        <v/>
      </c>
      <c r="D2466" s="6"/>
      <c r="E2466" s="6"/>
      <c r="F2466" s="6"/>
      <c r="G2466" s="24" t="str">
        <f>IF(F2466="", "", VLOOKUP(F2466, Inventory!A:BZ, 3, FALSE) - SUMIF($F$1:$F2465, F2466, $H$1:$H2465))
</f>
        <v/>
      </c>
      <c r="I2466" s="26"/>
      <c r="J2466" s="26" t="s">
        <v>77</v>
      </c>
      <c r="L2466" s="27" t="s">
        <v>77</v>
      </c>
      <c r="N2466" s="28" t="s">
        <v>77</v>
      </c>
      <c r="Q2466" s="30"/>
    </row>
    <row r="2467">
      <c r="B2467" s="6"/>
      <c r="C2467" s="33" t="str">
        <f t="array" ref="C2467">IF(B2467="", "", XLOOKUP(B2467, Inventory!D:D,Inventory!E:E,"No Name Found"))</f>
        <v/>
      </c>
      <c r="D2467" s="6"/>
      <c r="E2467" s="6"/>
      <c r="F2467" s="6"/>
      <c r="G2467" s="24" t="str">
        <f>IF(F2467="", "", VLOOKUP(F2467, Inventory!A:BZ, 3, FALSE) - SUMIF($F$1:$F2466, F2467, $H$1:$H2466))
</f>
        <v/>
      </c>
      <c r="I2467" s="26"/>
      <c r="J2467" s="26" t="s">
        <v>77</v>
      </c>
      <c r="L2467" s="27" t="s">
        <v>77</v>
      </c>
      <c r="N2467" s="28" t="s">
        <v>77</v>
      </c>
      <c r="Q2467" s="30"/>
    </row>
    <row r="2468">
      <c r="B2468" s="6"/>
      <c r="C2468" s="33" t="str">
        <f t="array" ref="C2468">IF(B2468="", "", XLOOKUP(B2468, Inventory!D:D,Inventory!E:E,"No Name Found"))</f>
        <v/>
      </c>
      <c r="D2468" s="6"/>
      <c r="E2468" s="6"/>
      <c r="F2468" s="6"/>
      <c r="G2468" s="24" t="str">
        <f>IF(F2468="", "", VLOOKUP(F2468, Inventory!A:BZ, 3, FALSE) - SUMIF($F$1:$F2467, F2468, $H$1:$H2467))
</f>
        <v/>
      </c>
      <c r="I2468" s="26"/>
      <c r="J2468" s="26" t="s">
        <v>77</v>
      </c>
      <c r="L2468" s="27" t="s">
        <v>77</v>
      </c>
      <c r="N2468" s="28" t="s">
        <v>77</v>
      </c>
      <c r="Q2468" s="30"/>
    </row>
    <row r="2469">
      <c r="B2469" s="6"/>
      <c r="C2469" s="33" t="str">
        <f t="array" ref="C2469">IF(B2469="", "", XLOOKUP(B2469, Inventory!D:D,Inventory!E:E,"No Name Found"))</f>
        <v/>
      </c>
      <c r="D2469" s="6"/>
      <c r="E2469" s="6"/>
      <c r="F2469" s="6"/>
      <c r="G2469" s="24" t="str">
        <f>IF(F2469="", "", VLOOKUP(F2469, Inventory!A:BZ, 3, FALSE) - SUMIF($F$1:$F2468, F2469, $H$1:$H2468))
</f>
        <v/>
      </c>
      <c r="I2469" s="26"/>
      <c r="J2469" s="26" t="s">
        <v>77</v>
      </c>
      <c r="L2469" s="27" t="s">
        <v>77</v>
      </c>
      <c r="N2469" s="28" t="s">
        <v>77</v>
      </c>
      <c r="Q2469" s="30"/>
    </row>
    <row r="2470">
      <c r="B2470" s="6"/>
      <c r="C2470" s="33" t="str">
        <f t="array" ref="C2470">IF(B2470="", "", XLOOKUP(B2470, Inventory!D:D,Inventory!E:E,"No Name Found"))</f>
        <v/>
      </c>
      <c r="D2470" s="6"/>
      <c r="E2470" s="6"/>
      <c r="F2470" s="6"/>
      <c r="G2470" s="24" t="str">
        <f>IF(F2470="", "", VLOOKUP(F2470, Inventory!A:BZ, 3, FALSE) - SUMIF($F$1:$F2469, F2470, $H$1:$H2469))
</f>
        <v/>
      </c>
      <c r="I2470" s="26"/>
      <c r="J2470" s="26" t="s">
        <v>77</v>
      </c>
      <c r="L2470" s="27" t="s">
        <v>77</v>
      </c>
      <c r="N2470" s="28" t="s">
        <v>77</v>
      </c>
      <c r="Q2470" s="30"/>
    </row>
    <row r="2471">
      <c r="B2471" s="6"/>
      <c r="C2471" s="33" t="str">
        <f t="array" ref="C2471">IF(B2471="", "", XLOOKUP(B2471, Inventory!D:D,Inventory!E:E,"No Name Found"))</f>
        <v/>
      </c>
      <c r="D2471" s="6"/>
      <c r="E2471" s="6"/>
      <c r="F2471" s="6"/>
      <c r="G2471" s="24" t="str">
        <f>IF(F2471="", "", VLOOKUP(F2471, Inventory!A:BZ, 3, FALSE) - SUMIF($F$1:$F2470, F2471, $H$1:$H2470))
</f>
        <v/>
      </c>
      <c r="I2471" s="26"/>
      <c r="J2471" s="26" t="s">
        <v>77</v>
      </c>
      <c r="L2471" s="27" t="s">
        <v>77</v>
      </c>
      <c r="N2471" s="28" t="s">
        <v>77</v>
      </c>
      <c r="Q2471" s="30"/>
    </row>
    <row r="2472">
      <c r="B2472" s="6"/>
      <c r="C2472" s="33" t="str">
        <f t="array" ref="C2472">IF(B2472="", "", XLOOKUP(B2472, Inventory!D:D,Inventory!E:E,"No Name Found"))</f>
        <v/>
      </c>
      <c r="D2472" s="6"/>
      <c r="E2472" s="6"/>
      <c r="F2472" s="6"/>
      <c r="G2472" s="24" t="str">
        <f>IF(F2472="", "", VLOOKUP(F2472, Inventory!A:BZ, 3, FALSE) - SUMIF($F$1:$F2471, F2472, $H$1:$H2471))
</f>
        <v/>
      </c>
      <c r="I2472" s="26"/>
      <c r="J2472" s="26" t="s">
        <v>77</v>
      </c>
      <c r="L2472" s="27" t="s">
        <v>77</v>
      </c>
      <c r="N2472" s="28" t="s">
        <v>77</v>
      </c>
      <c r="Q2472" s="30"/>
    </row>
    <row r="2473">
      <c r="B2473" s="6"/>
      <c r="C2473" s="33" t="str">
        <f t="array" ref="C2473">IF(B2473="", "", XLOOKUP(B2473, Inventory!D:D,Inventory!E:E,"No Name Found"))</f>
        <v/>
      </c>
      <c r="D2473" s="6"/>
      <c r="E2473" s="6"/>
      <c r="F2473" s="6"/>
      <c r="G2473" s="24" t="str">
        <f>IF(F2473="", "", VLOOKUP(F2473, Inventory!A:BZ, 3, FALSE) - SUMIF($F$1:$F2472, F2473, $H$1:$H2472))
</f>
        <v/>
      </c>
      <c r="I2473" s="26"/>
      <c r="J2473" s="26" t="s">
        <v>77</v>
      </c>
      <c r="L2473" s="27" t="s">
        <v>77</v>
      </c>
      <c r="N2473" s="28" t="s">
        <v>77</v>
      </c>
      <c r="Q2473" s="30"/>
    </row>
    <row r="2474">
      <c r="B2474" s="6"/>
      <c r="C2474" s="33" t="str">
        <f t="array" ref="C2474">IF(B2474="", "", XLOOKUP(B2474, Inventory!D:D,Inventory!E:E,"No Name Found"))</f>
        <v/>
      </c>
      <c r="D2474" s="6"/>
      <c r="E2474" s="6"/>
      <c r="F2474" s="6"/>
      <c r="G2474" s="24" t="str">
        <f>IF(F2474="", "", VLOOKUP(F2474, Inventory!A:BZ, 3, FALSE) - SUMIF($F$1:$F2473, F2474, $H$1:$H2473))
</f>
        <v/>
      </c>
      <c r="I2474" s="26"/>
      <c r="J2474" s="26" t="s">
        <v>77</v>
      </c>
      <c r="L2474" s="27" t="s">
        <v>77</v>
      </c>
      <c r="N2474" s="28" t="s">
        <v>77</v>
      </c>
      <c r="Q2474" s="30"/>
    </row>
    <row r="2475">
      <c r="B2475" s="6"/>
      <c r="C2475" s="33" t="str">
        <f t="array" ref="C2475">IF(B2475="", "", XLOOKUP(B2475, Inventory!D:D,Inventory!E:E,"No Name Found"))</f>
        <v/>
      </c>
      <c r="D2475" s="6"/>
      <c r="E2475" s="6"/>
      <c r="F2475" s="6"/>
      <c r="G2475" s="24" t="str">
        <f>IF(F2475="", "", VLOOKUP(F2475, Inventory!A:BZ, 3, FALSE) - SUMIF($F$1:$F2474, F2475, $H$1:$H2474))
</f>
        <v/>
      </c>
      <c r="I2475" s="26"/>
      <c r="J2475" s="26" t="s">
        <v>77</v>
      </c>
      <c r="L2475" s="27" t="s">
        <v>77</v>
      </c>
      <c r="N2475" s="28" t="s">
        <v>77</v>
      </c>
      <c r="Q2475" s="30"/>
    </row>
    <row r="2476">
      <c r="B2476" s="6"/>
      <c r="C2476" s="33" t="str">
        <f t="array" ref="C2476">IF(B2476="", "", XLOOKUP(B2476, Inventory!D:D,Inventory!E:E,"No Name Found"))</f>
        <v/>
      </c>
      <c r="D2476" s="6"/>
      <c r="E2476" s="6"/>
      <c r="F2476" s="6"/>
      <c r="G2476" s="24" t="str">
        <f>IF(F2476="", "", VLOOKUP(F2476, Inventory!A:BZ, 3, FALSE) - SUMIF($F$1:$F2475, F2476, $H$1:$H2475))
</f>
        <v/>
      </c>
      <c r="I2476" s="26"/>
      <c r="J2476" s="26" t="s">
        <v>77</v>
      </c>
      <c r="L2476" s="27" t="s">
        <v>77</v>
      </c>
      <c r="N2476" s="28" t="s">
        <v>77</v>
      </c>
      <c r="Q2476" s="30"/>
    </row>
    <row r="2477">
      <c r="B2477" s="6"/>
      <c r="C2477" s="33" t="str">
        <f t="array" ref="C2477">IF(B2477="", "", XLOOKUP(B2477, Inventory!D:D,Inventory!E:E,"No Name Found"))</f>
        <v/>
      </c>
      <c r="D2477" s="6"/>
      <c r="E2477" s="6"/>
      <c r="F2477" s="6"/>
      <c r="G2477" s="24" t="str">
        <f>IF(F2477="", "", VLOOKUP(F2477, Inventory!A:BZ, 3, FALSE) - SUMIF($F$1:$F2476, F2477, $H$1:$H2476))
</f>
        <v/>
      </c>
      <c r="I2477" s="26"/>
      <c r="J2477" s="26" t="s">
        <v>77</v>
      </c>
      <c r="L2477" s="27" t="s">
        <v>77</v>
      </c>
      <c r="N2477" s="28" t="s">
        <v>77</v>
      </c>
      <c r="Q2477" s="30"/>
    </row>
    <row r="2478">
      <c r="B2478" s="6"/>
      <c r="C2478" s="33" t="str">
        <f t="array" ref="C2478">IF(B2478="", "", XLOOKUP(B2478, Inventory!D:D,Inventory!E:E,"No Name Found"))</f>
        <v/>
      </c>
      <c r="D2478" s="6"/>
      <c r="E2478" s="6"/>
      <c r="F2478" s="6"/>
      <c r="G2478" s="24" t="str">
        <f>IF(F2478="", "", VLOOKUP(F2478, Inventory!A:BZ, 3, FALSE) - SUMIF($F$1:$F2477, F2478, $H$1:$H2477))
</f>
        <v/>
      </c>
      <c r="I2478" s="26"/>
      <c r="J2478" s="26" t="s">
        <v>77</v>
      </c>
      <c r="L2478" s="27" t="s">
        <v>77</v>
      </c>
      <c r="N2478" s="28" t="s">
        <v>77</v>
      </c>
      <c r="Q2478" s="30"/>
    </row>
    <row r="2479">
      <c r="B2479" s="6"/>
      <c r="C2479" s="33" t="str">
        <f t="array" ref="C2479">IF(B2479="", "", XLOOKUP(B2479, Inventory!D:D,Inventory!E:E,"No Name Found"))</f>
        <v/>
      </c>
      <c r="D2479" s="6"/>
      <c r="E2479" s="6"/>
      <c r="F2479" s="6"/>
      <c r="G2479" s="24" t="str">
        <f>IF(F2479="", "", VLOOKUP(F2479, Inventory!A:BZ, 3, FALSE) - SUMIF($F$1:$F2478, F2479, $H$1:$H2478))
</f>
        <v/>
      </c>
      <c r="I2479" s="26"/>
      <c r="J2479" s="26" t="s">
        <v>77</v>
      </c>
      <c r="L2479" s="27" t="s">
        <v>77</v>
      </c>
      <c r="N2479" s="28" t="s">
        <v>77</v>
      </c>
      <c r="Q2479" s="30"/>
    </row>
    <row r="2480">
      <c r="B2480" s="6"/>
      <c r="C2480" s="33" t="str">
        <f t="array" ref="C2480">IF(B2480="", "", XLOOKUP(B2480, Inventory!D:D,Inventory!E:E,"No Name Found"))</f>
        <v/>
      </c>
      <c r="D2480" s="6"/>
      <c r="E2480" s="6"/>
      <c r="F2480" s="6"/>
      <c r="G2480" s="24" t="str">
        <f>IF(F2480="", "", VLOOKUP(F2480, Inventory!A:BZ, 3, FALSE) - SUMIF($F$1:$F2479, F2480, $H$1:$H2479))
</f>
        <v/>
      </c>
      <c r="I2480" s="26"/>
      <c r="J2480" s="26" t="s">
        <v>77</v>
      </c>
      <c r="L2480" s="27" t="s">
        <v>77</v>
      </c>
      <c r="N2480" s="28" t="s">
        <v>77</v>
      </c>
      <c r="Q2480" s="30"/>
    </row>
    <row r="2481">
      <c r="B2481" s="6"/>
      <c r="C2481" s="33" t="str">
        <f t="array" ref="C2481">IF(B2481="", "", XLOOKUP(B2481, Inventory!D:D,Inventory!E:E,"No Name Found"))</f>
        <v/>
      </c>
      <c r="D2481" s="6"/>
      <c r="E2481" s="6"/>
      <c r="F2481" s="6"/>
      <c r="G2481" s="24" t="str">
        <f>IF(F2481="", "", VLOOKUP(F2481, Inventory!A:BZ, 3, FALSE) - SUMIF($F$1:$F2480, F2481, $H$1:$H2480))
</f>
        <v/>
      </c>
      <c r="I2481" s="26"/>
      <c r="J2481" s="26" t="s">
        <v>77</v>
      </c>
      <c r="L2481" s="27" t="s">
        <v>77</v>
      </c>
      <c r="N2481" s="28" t="s">
        <v>77</v>
      </c>
      <c r="Q2481" s="30"/>
    </row>
    <row r="2482">
      <c r="B2482" s="6"/>
      <c r="C2482" s="33" t="str">
        <f t="array" ref="C2482">IF(B2482="", "", XLOOKUP(B2482, Inventory!D:D,Inventory!E:E,"No Name Found"))</f>
        <v/>
      </c>
      <c r="D2482" s="6"/>
      <c r="E2482" s="6"/>
      <c r="F2482" s="6"/>
      <c r="G2482" s="24" t="str">
        <f>IF(F2482="", "", VLOOKUP(F2482, Inventory!A:BZ, 3, FALSE) - SUMIF($F$1:$F2481, F2482, $H$1:$H2481))
</f>
        <v/>
      </c>
      <c r="I2482" s="26"/>
      <c r="J2482" s="26" t="s">
        <v>77</v>
      </c>
      <c r="L2482" s="27" t="s">
        <v>77</v>
      </c>
      <c r="N2482" s="28" t="s">
        <v>77</v>
      </c>
      <c r="Q2482" s="30"/>
    </row>
    <row r="2483">
      <c r="B2483" s="6"/>
      <c r="C2483" s="33" t="str">
        <f t="array" ref="C2483">IF(B2483="", "", XLOOKUP(B2483, Inventory!D:D,Inventory!E:E,"No Name Found"))</f>
        <v/>
      </c>
      <c r="D2483" s="6"/>
      <c r="E2483" s="6"/>
      <c r="F2483" s="6"/>
      <c r="G2483" s="24" t="str">
        <f>IF(F2483="", "", VLOOKUP(F2483, Inventory!A:BZ, 3, FALSE) - SUMIF($F$1:$F2482, F2483, $H$1:$H2482))
</f>
        <v/>
      </c>
      <c r="I2483" s="26"/>
      <c r="J2483" s="26" t="s">
        <v>77</v>
      </c>
      <c r="L2483" s="27" t="s">
        <v>77</v>
      </c>
      <c r="N2483" s="28" t="s">
        <v>77</v>
      </c>
      <c r="Q2483" s="30"/>
    </row>
    <row r="2484">
      <c r="B2484" s="6"/>
      <c r="C2484" s="33" t="str">
        <f t="array" ref="C2484">IF(B2484="", "", XLOOKUP(B2484, Inventory!D:D,Inventory!E:E,"No Name Found"))</f>
        <v/>
      </c>
      <c r="D2484" s="6"/>
      <c r="E2484" s="6"/>
      <c r="F2484" s="6"/>
      <c r="G2484" s="24" t="str">
        <f>IF(F2484="", "", VLOOKUP(F2484, Inventory!A:BZ, 3, FALSE) - SUMIF($F$1:$F2483, F2484, $H$1:$H2483))
</f>
        <v/>
      </c>
      <c r="I2484" s="26"/>
      <c r="J2484" s="26" t="s">
        <v>77</v>
      </c>
      <c r="L2484" s="27" t="s">
        <v>77</v>
      </c>
      <c r="N2484" s="28" t="s">
        <v>77</v>
      </c>
      <c r="Q2484" s="30"/>
    </row>
    <row r="2485">
      <c r="B2485" s="6"/>
      <c r="C2485" s="33" t="str">
        <f t="array" ref="C2485">IF(B2485="", "", XLOOKUP(B2485, Inventory!D:D,Inventory!E:E,"No Name Found"))</f>
        <v/>
      </c>
      <c r="D2485" s="6"/>
      <c r="E2485" s="6"/>
      <c r="F2485" s="6"/>
      <c r="G2485" s="24" t="str">
        <f>IF(F2485="", "", VLOOKUP(F2485, Inventory!A:BZ, 3, FALSE) - SUMIF($F$1:$F2484, F2485, $H$1:$H2484))
</f>
        <v/>
      </c>
      <c r="I2485" s="26"/>
      <c r="J2485" s="26" t="s">
        <v>77</v>
      </c>
      <c r="L2485" s="27" t="s">
        <v>77</v>
      </c>
      <c r="N2485" s="28" t="s">
        <v>77</v>
      </c>
      <c r="Q2485" s="30"/>
    </row>
    <row r="2486">
      <c r="B2486" s="6"/>
      <c r="C2486" s="33" t="str">
        <f t="array" ref="C2486">IF(B2486="", "", XLOOKUP(B2486, Inventory!D:D,Inventory!E:E,"No Name Found"))</f>
        <v/>
      </c>
      <c r="D2486" s="6"/>
      <c r="E2486" s="6"/>
      <c r="F2486" s="6"/>
      <c r="G2486" s="24" t="str">
        <f>IF(F2486="", "", VLOOKUP(F2486, Inventory!A:BZ, 3, FALSE) - SUMIF($F$1:$F2485, F2486, $H$1:$H2485))
</f>
        <v/>
      </c>
      <c r="I2486" s="26"/>
      <c r="J2486" s="26" t="s">
        <v>77</v>
      </c>
      <c r="L2486" s="27" t="s">
        <v>77</v>
      </c>
      <c r="N2486" s="28" t="s">
        <v>77</v>
      </c>
      <c r="Q2486" s="30"/>
    </row>
    <row r="2487">
      <c r="B2487" s="6"/>
      <c r="C2487" s="33" t="str">
        <f t="array" ref="C2487">IF(B2487="", "", XLOOKUP(B2487, Inventory!D:D,Inventory!E:E,"No Name Found"))</f>
        <v/>
      </c>
      <c r="D2487" s="6"/>
      <c r="E2487" s="6"/>
      <c r="F2487" s="6"/>
      <c r="G2487" s="24" t="str">
        <f>IF(F2487="", "", VLOOKUP(F2487, Inventory!A:BZ, 3, FALSE) - SUMIF($F$1:$F2486, F2487, $H$1:$H2486))
</f>
        <v/>
      </c>
      <c r="I2487" s="26"/>
      <c r="J2487" s="26" t="s">
        <v>77</v>
      </c>
      <c r="L2487" s="27" t="s">
        <v>77</v>
      </c>
      <c r="N2487" s="28" t="s">
        <v>77</v>
      </c>
      <c r="Q2487" s="30"/>
    </row>
    <row r="2488">
      <c r="B2488" s="6"/>
      <c r="C2488" s="33" t="str">
        <f t="array" ref="C2488">IF(B2488="", "", XLOOKUP(B2488, Inventory!D:D,Inventory!E:E,"No Name Found"))</f>
        <v/>
      </c>
      <c r="D2488" s="6"/>
      <c r="E2488" s="6"/>
      <c r="F2488" s="6"/>
      <c r="G2488" s="24" t="str">
        <f>IF(F2488="", "", VLOOKUP(F2488, Inventory!A:BZ, 3, FALSE) - SUMIF($F$1:$F2487, F2488, $H$1:$H2487))
</f>
        <v/>
      </c>
      <c r="I2488" s="26"/>
      <c r="J2488" s="26" t="s">
        <v>77</v>
      </c>
      <c r="L2488" s="27" t="s">
        <v>77</v>
      </c>
      <c r="N2488" s="28" t="s">
        <v>77</v>
      </c>
      <c r="Q2488" s="30"/>
    </row>
    <row r="2489">
      <c r="B2489" s="6"/>
      <c r="C2489" s="33" t="str">
        <f t="array" ref="C2489">IF(B2489="", "", XLOOKUP(B2489, Inventory!D:D,Inventory!E:E,"No Name Found"))</f>
        <v/>
      </c>
      <c r="D2489" s="6"/>
      <c r="E2489" s="6"/>
      <c r="F2489" s="6"/>
      <c r="G2489" s="24" t="str">
        <f>IF(F2489="", "", VLOOKUP(F2489, Inventory!A:BZ, 3, FALSE) - SUMIF($F$1:$F2488, F2489, $H$1:$H2488))
</f>
        <v/>
      </c>
      <c r="I2489" s="26"/>
      <c r="J2489" s="26" t="s">
        <v>77</v>
      </c>
      <c r="L2489" s="27" t="s">
        <v>77</v>
      </c>
      <c r="N2489" s="28" t="s">
        <v>77</v>
      </c>
      <c r="Q2489" s="30"/>
    </row>
    <row r="2490">
      <c r="B2490" s="6"/>
      <c r="C2490" s="33" t="str">
        <f t="array" ref="C2490">IF(B2490="", "", XLOOKUP(B2490, Inventory!D:D,Inventory!E:E,"No Name Found"))</f>
        <v/>
      </c>
      <c r="D2490" s="6"/>
      <c r="E2490" s="6"/>
      <c r="F2490" s="6"/>
      <c r="G2490" s="24" t="str">
        <f>IF(F2490="", "", VLOOKUP(F2490, Inventory!A:BZ, 3, FALSE) - SUMIF($F$1:$F2489, F2490, $H$1:$H2489))
</f>
        <v/>
      </c>
      <c r="I2490" s="26"/>
      <c r="J2490" s="26" t="s">
        <v>77</v>
      </c>
      <c r="L2490" s="27" t="s">
        <v>77</v>
      </c>
      <c r="N2490" s="28" t="s">
        <v>77</v>
      </c>
      <c r="Q2490" s="30"/>
    </row>
    <row r="2491">
      <c r="B2491" s="6"/>
      <c r="C2491" s="33" t="str">
        <f t="array" ref="C2491">IF(B2491="", "", XLOOKUP(B2491, Inventory!D:D,Inventory!E:E,"No Name Found"))</f>
        <v/>
      </c>
      <c r="D2491" s="6"/>
      <c r="E2491" s="6"/>
      <c r="F2491" s="6"/>
      <c r="G2491" s="24" t="str">
        <f>IF(F2491="", "", VLOOKUP(F2491, Inventory!A:BZ, 3, FALSE) - SUMIF($F$1:$F2490, F2491, $H$1:$H2490))
</f>
        <v/>
      </c>
      <c r="I2491" s="26"/>
      <c r="J2491" s="26" t="s">
        <v>77</v>
      </c>
      <c r="L2491" s="27" t="s">
        <v>77</v>
      </c>
      <c r="N2491" s="28" t="s">
        <v>77</v>
      </c>
      <c r="Q2491" s="30"/>
    </row>
    <row r="2492">
      <c r="B2492" s="6"/>
      <c r="C2492" s="33" t="str">
        <f t="array" ref="C2492">IF(B2492="", "", XLOOKUP(B2492, Inventory!D:D,Inventory!E:E,"No Name Found"))</f>
        <v/>
      </c>
      <c r="D2492" s="6"/>
      <c r="E2492" s="6"/>
      <c r="F2492" s="6"/>
      <c r="G2492" s="24" t="str">
        <f>IF(F2492="", "", VLOOKUP(F2492, Inventory!A:BZ, 3, FALSE) - SUMIF($F$1:$F2491, F2492, $H$1:$H2491))
</f>
        <v/>
      </c>
      <c r="I2492" s="26"/>
      <c r="J2492" s="26" t="s">
        <v>77</v>
      </c>
      <c r="L2492" s="27" t="s">
        <v>77</v>
      </c>
      <c r="N2492" s="28" t="s">
        <v>77</v>
      </c>
      <c r="Q2492" s="30"/>
    </row>
    <row r="2493">
      <c r="B2493" s="6"/>
      <c r="C2493" s="33" t="str">
        <f t="array" ref="C2493">IF(B2493="", "", XLOOKUP(B2493, Inventory!D:D,Inventory!E:E,"No Name Found"))</f>
        <v/>
      </c>
      <c r="D2493" s="6"/>
      <c r="E2493" s="6"/>
      <c r="F2493" s="6"/>
      <c r="G2493" s="24" t="str">
        <f>IF(F2493="", "", VLOOKUP(F2493, Inventory!A:BZ, 3, FALSE) - SUMIF($F$1:$F2492, F2493, $H$1:$H2492))
</f>
        <v/>
      </c>
      <c r="I2493" s="26"/>
      <c r="J2493" s="26" t="s">
        <v>77</v>
      </c>
      <c r="L2493" s="27" t="s">
        <v>77</v>
      </c>
      <c r="N2493" s="28" t="s">
        <v>77</v>
      </c>
      <c r="Q2493" s="30"/>
    </row>
    <row r="2494">
      <c r="B2494" s="6"/>
      <c r="C2494" s="33" t="str">
        <f t="array" ref="C2494">IF(B2494="", "", XLOOKUP(B2494, Inventory!D:D,Inventory!E:E,"No Name Found"))</f>
        <v/>
      </c>
      <c r="D2494" s="6"/>
      <c r="E2494" s="6"/>
      <c r="F2494" s="6"/>
      <c r="G2494" s="24" t="str">
        <f>IF(F2494="", "", VLOOKUP(F2494, Inventory!A:BZ, 3, FALSE) - SUMIF($F$1:$F2493, F2494, $H$1:$H2493))
</f>
        <v/>
      </c>
      <c r="I2494" s="26"/>
      <c r="J2494" s="26" t="s">
        <v>77</v>
      </c>
      <c r="L2494" s="27" t="s">
        <v>77</v>
      </c>
      <c r="N2494" s="28" t="s">
        <v>77</v>
      </c>
      <c r="Q2494" s="30"/>
    </row>
    <row r="2495">
      <c r="B2495" s="6"/>
      <c r="C2495" s="33" t="str">
        <f t="array" ref="C2495">IF(B2495="", "", XLOOKUP(B2495, Inventory!D:D,Inventory!E:E,"No Name Found"))</f>
        <v/>
      </c>
      <c r="D2495" s="6"/>
      <c r="E2495" s="6"/>
      <c r="F2495" s="6"/>
      <c r="G2495" s="24" t="str">
        <f>IF(F2495="", "", VLOOKUP(F2495, Inventory!A:BZ, 3, FALSE) - SUMIF($F$1:$F2494, F2495, $H$1:$H2494))
</f>
        <v/>
      </c>
      <c r="I2495" s="26"/>
      <c r="J2495" s="26" t="s">
        <v>77</v>
      </c>
      <c r="L2495" s="27" t="s">
        <v>77</v>
      </c>
      <c r="N2495" s="28" t="s">
        <v>77</v>
      </c>
      <c r="Q2495" s="30"/>
    </row>
    <row r="2496">
      <c r="B2496" s="6"/>
      <c r="C2496" s="33" t="str">
        <f t="array" ref="C2496">IF(B2496="", "", XLOOKUP(B2496, Inventory!D:D,Inventory!E:E,"No Name Found"))</f>
        <v/>
      </c>
      <c r="D2496" s="6"/>
      <c r="E2496" s="6"/>
      <c r="F2496" s="6"/>
      <c r="G2496" s="24" t="str">
        <f>IF(F2496="", "", VLOOKUP(F2496, Inventory!A:BZ, 3, FALSE) - SUMIF($F$1:$F2495, F2496, $H$1:$H2495))
</f>
        <v/>
      </c>
      <c r="I2496" s="26"/>
      <c r="J2496" s="26" t="s">
        <v>77</v>
      </c>
      <c r="L2496" s="27" t="s">
        <v>77</v>
      </c>
      <c r="N2496" s="28" t="s">
        <v>77</v>
      </c>
      <c r="Q2496" s="30"/>
    </row>
    <row r="2497">
      <c r="B2497" s="6"/>
      <c r="C2497" s="33" t="str">
        <f t="array" ref="C2497">IF(B2497="", "", XLOOKUP(B2497, Inventory!D:D,Inventory!E:E,"No Name Found"))</f>
        <v/>
      </c>
      <c r="D2497" s="6"/>
      <c r="E2497" s="6"/>
      <c r="F2497" s="6"/>
      <c r="G2497" s="24" t="str">
        <f>IF(F2497="", "", VLOOKUP(F2497, Inventory!A:BZ, 3, FALSE) - SUMIF($F$1:$F2496, F2497, $H$1:$H2496))
</f>
        <v/>
      </c>
      <c r="I2497" s="26"/>
      <c r="J2497" s="26" t="s">
        <v>77</v>
      </c>
      <c r="L2497" s="27" t="s">
        <v>77</v>
      </c>
      <c r="N2497" s="28" t="s">
        <v>77</v>
      </c>
      <c r="Q2497" s="30"/>
    </row>
    <row r="2498">
      <c r="B2498" s="6"/>
      <c r="C2498" s="33" t="str">
        <f t="array" ref="C2498">IF(B2498="", "", XLOOKUP(B2498, Inventory!D:D,Inventory!E:E,"No Name Found"))</f>
        <v/>
      </c>
      <c r="D2498" s="6"/>
      <c r="E2498" s="6"/>
      <c r="F2498" s="6"/>
      <c r="G2498" s="24" t="str">
        <f>IF(F2498="", "", VLOOKUP(F2498, Inventory!A:BZ, 3, FALSE) - SUMIF($F$1:$F2497, F2498, $H$1:$H2497))
</f>
        <v/>
      </c>
      <c r="I2498" s="26"/>
      <c r="J2498" s="26" t="s">
        <v>77</v>
      </c>
      <c r="L2498" s="27" t="s">
        <v>77</v>
      </c>
      <c r="N2498" s="28" t="s">
        <v>77</v>
      </c>
      <c r="Q2498" s="30"/>
    </row>
    <row r="2499">
      <c r="B2499" s="6"/>
      <c r="C2499" s="33" t="str">
        <f t="array" ref="C2499">IF(B2499="", "", XLOOKUP(B2499, Inventory!D:D,Inventory!E:E,"No Name Found"))</f>
        <v/>
      </c>
      <c r="D2499" s="6"/>
      <c r="E2499" s="6"/>
      <c r="F2499" s="6"/>
      <c r="G2499" s="24" t="str">
        <f>IF(F2499="", "", VLOOKUP(F2499, Inventory!A:BZ, 3, FALSE) - SUMIF($F$1:$F2498, F2499, $H$1:$H2498))
</f>
        <v/>
      </c>
      <c r="I2499" s="26"/>
      <c r="J2499" s="26" t="s">
        <v>77</v>
      </c>
      <c r="L2499" s="27" t="s">
        <v>77</v>
      </c>
      <c r="N2499" s="28" t="s">
        <v>77</v>
      </c>
      <c r="Q2499" s="30"/>
    </row>
    <row r="2500">
      <c r="B2500" s="6"/>
      <c r="C2500" s="33" t="str">
        <f t="array" ref="C2500">IF(B2500="", "", XLOOKUP(B2500, Inventory!D:D,Inventory!E:E,"No Name Found"))</f>
        <v/>
      </c>
      <c r="D2500" s="6"/>
      <c r="E2500" s="6"/>
      <c r="F2500" s="6"/>
      <c r="G2500" s="24" t="str">
        <f>IF(F2500="", "", VLOOKUP(F2500, Inventory!A:BZ, 3, FALSE) - SUMIF($F$1:$F2499, F2500, $H$1:$H2499))
</f>
        <v/>
      </c>
      <c r="I2500" s="26"/>
      <c r="J2500" s="26" t="s">
        <v>77</v>
      </c>
      <c r="L2500" s="27" t="s">
        <v>77</v>
      </c>
      <c r="N2500" s="28" t="s">
        <v>77</v>
      </c>
      <c r="Q2500" s="30"/>
    </row>
    <row r="2501">
      <c r="B2501" s="6"/>
      <c r="C2501" s="33" t="str">
        <f t="array" ref="C2501">IF(B2501="", "", XLOOKUP(B2501, Inventory!D:D,Inventory!E:E,"No Name Found"))</f>
        <v/>
      </c>
      <c r="D2501" s="6"/>
      <c r="E2501" s="6"/>
      <c r="F2501" s="6"/>
      <c r="G2501" s="24" t="str">
        <f>IF(F2501="", "", VLOOKUP(F2501, Inventory!A:BZ, 3, FALSE) - SUMIF($F$1:$F2500, F2501, $H$1:$H2500))
</f>
        <v/>
      </c>
      <c r="I2501" s="26"/>
      <c r="J2501" s="26" t="s">
        <v>77</v>
      </c>
      <c r="L2501" s="27" t="s">
        <v>77</v>
      </c>
      <c r="N2501" s="28" t="s">
        <v>77</v>
      </c>
      <c r="Q2501" s="30"/>
    </row>
    <row r="2502">
      <c r="B2502" s="6"/>
      <c r="C2502" s="33" t="str">
        <f t="array" ref="C2502">IF(B2502="", "", XLOOKUP(B2502, Inventory!D:D,Inventory!E:E,"No Name Found"))</f>
        <v/>
      </c>
      <c r="D2502" s="6"/>
      <c r="E2502" s="6"/>
      <c r="F2502" s="6"/>
      <c r="G2502" s="24" t="str">
        <f>IF(F2502="", "", VLOOKUP(F2502, Inventory!A:BZ, 3, FALSE) - SUMIF($F$1:$F2501, F2502, $H$1:$H2501))
</f>
        <v/>
      </c>
      <c r="I2502" s="26"/>
      <c r="J2502" s="26" t="s">
        <v>77</v>
      </c>
      <c r="L2502" s="27" t="s">
        <v>77</v>
      </c>
      <c r="N2502" s="28" t="s">
        <v>77</v>
      </c>
      <c r="Q2502" s="30"/>
    </row>
    <row r="2503">
      <c r="B2503" s="6"/>
      <c r="C2503" s="33" t="str">
        <f t="array" ref="C2503">IF(B2503="", "", XLOOKUP(B2503, Inventory!D:D,Inventory!E:E,"No Name Found"))</f>
        <v/>
      </c>
      <c r="D2503" s="6"/>
      <c r="E2503" s="6"/>
      <c r="F2503" s="6"/>
      <c r="G2503" s="24" t="str">
        <f>IF(F2503="", "", VLOOKUP(F2503, Inventory!A:BZ, 3, FALSE) - SUMIF($F$1:$F2502, F2503, $H$1:$H2502))
</f>
        <v/>
      </c>
      <c r="I2503" s="26"/>
      <c r="J2503" s="26" t="s">
        <v>77</v>
      </c>
      <c r="L2503" s="27" t="s">
        <v>77</v>
      </c>
      <c r="N2503" s="28" t="s">
        <v>77</v>
      </c>
      <c r="Q2503" s="30"/>
    </row>
    <row r="2504">
      <c r="B2504" s="6"/>
      <c r="C2504" s="33" t="str">
        <f t="array" ref="C2504">IF(B2504="", "", XLOOKUP(B2504, Inventory!D:D,Inventory!E:E,"No Name Found"))</f>
        <v/>
      </c>
      <c r="D2504" s="6"/>
      <c r="E2504" s="6"/>
      <c r="F2504" s="6"/>
      <c r="G2504" s="24" t="str">
        <f>IF(F2504="", "", VLOOKUP(F2504, Inventory!A:BZ, 3, FALSE) - SUMIF($F$1:$F2503, F2504, $H$1:$H2503))
</f>
        <v/>
      </c>
      <c r="I2504" s="26"/>
      <c r="J2504" s="26" t="s">
        <v>77</v>
      </c>
      <c r="L2504" s="27" t="s">
        <v>77</v>
      </c>
      <c r="N2504" s="28" t="s">
        <v>77</v>
      </c>
      <c r="Q2504" s="30"/>
    </row>
    <row r="2505">
      <c r="B2505" s="6"/>
      <c r="C2505" s="33" t="str">
        <f t="array" ref="C2505">IF(B2505="", "", XLOOKUP(B2505, Inventory!D:D,Inventory!E:E,"No Name Found"))</f>
        <v/>
      </c>
      <c r="D2505" s="6"/>
      <c r="E2505" s="6"/>
      <c r="F2505" s="6"/>
      <c r="G2505" s="24" t="str">
        <f>IF(F2505="", "", VLOOKUP(F2505, Inventory!A:BZ, 3, FALSE) - SUMIF($F$1:$F2504, F2505, $H$1:$H2504))
</f>
        <v/>
      </c>
      <c r="I2505" s="26"/>
      <c r="J2505" s="26" t="s">
        <v>77</v>
      </c>
      <c r="L2505" s="27" t="s">
        <v>77</v>
      </c>
      <c r="N2505" s="28" t="s">
        <v>77</v>
      </c>
      <c r="Q2505" s="30"/>
    </row>
    <row r="2506">
      <c r="B2506" s="6"/>
      <c r="C2506" s="33" t="str">
        <f t="array" ref="C2506">IF(B2506="", "", XLOOKUP(B2506, Inventory!D:D,Inventory!E:E,"No Name Found"))</f>
        <v/>
      </c>
      <c r="D2506" s="6"/>
      <c r="E2506" s="6"/>
      <c r="F2506" s="6"/>
      <c r="G2506" s="24" t="str">
        <f>IF(F2506="", "", VLOOKUP(F2506, Inventory!A:BZ, 3, FALSE) - SUMIF($F$1:$F2505, F2506, $H$1:$H2505))
</f>
        <v/>
      </c>
      <c r="I2506" s="26"/>
      <c r="J2506" s="26" t="s">
        <v>77</v>
      </c>
      <c r="L2506" s="27" t="s">
        <v>77</v>
      </c>
      <c r="N2506" s="28" t="s">
        <v>77</v>
      </c>
      <c r="Q2506" s="30"/>
    </row>
    <row r="2507">
      <c r="B2507" s="6"/>
      <c r="C2507" s="33" t="str">
        <f t="array" ref="C2507">IF(B2507="", "", XLOOKUP(B2507, Inventory!D:D,Inventory!E:E,"No Name Found"))</f>
        <v/>
      </c>
      <c r="D2507" s="6"/>
      <c r="E2507" s="6"/>
      <c r="F2507" s="6"/>
      <c r="G2507" s="24" t="str">
        <f>IF(F2507="", "", VLOOKUP(F2507, Inventory!A:BZ, 3, FALSE) - SUMIF($F$1:$F2506, F2507, $H$1:$H2506))
</f>
        <v/>
      </c>
      <c r="I2507" s="26"/>
      <c r="J2507" s="26" t="s">
        <v>77</v>
      </c>
      <c r="L2507" s="27" t="s">
        <v>77</v>
      </c>
      <c r="N2507" s="28" t="s">
        <v>77</v>
      </c>
      <c r="Q2507" s="30"/>
    </row>
    <row r="2508">
      <c r="B2508" s="6"/>
      <c r="C2508" s="33" t="str">
        <f t="array" ref="C2508">IF(B2508="", "", XLOOKUP(B2508, Inventory!D:D,Inventory!E:E,"No Name Found"))</f>
        <v/>
      </c>
      <c r="D2508" s="6"/>
      <c r="E2508" s="6"/>
      <c r="F2508" s="6"/>
      <c r="G2508" s="24" t="str">
        <f>IF(F2508="", "", VLOOKUP(F2508, Inventory!A:BZ, 3, FALSE) - SUMIF($F$1:$F2507, F2508, $H$1:$H2507))
</f>
        <v/>
      </c>
      <c r="I2508" s="26"/>
      <c r="J2508" s="26" t="s">
        <v>77</v>
      </c>
      <c r="L2508" s="27" t="s">
        <v>77</v>
      </c>
      <c r="N2508" s="28" t="s">
        <v>77</v>
      </c>
      <c r="Q2508" s="30"/>
    </row>
    <row r="2509">
      <c r="B2509" s="6"/>
      <c r="C2509" s="33" t="str">
        <f t="array" ref="C2509">IF(B2509="", "", XLOOKUP(B2509, Inventory!D:D,Inventory!E:E,"No Name Found"))</f>
        <v/>
      </c>
      <c r="D2509" s="6"/>
      <c r="E2509" s="6"/>
      <c r="F2509" s="6"/>
      <c r="G2509" s="24" t="str">
        <f>IF(F2509="", "", VLOOKUP(F2509, Inventory!A:BZ, 3, FALSE) - SUMIF($F$1:$F2508, F2509, $H$1:$H2508))
</f>
        <v/>
      </c>
      <c r="I2509" s="26"/>
      <c r="J2509" s="26" t="s">
        <v>77</v>
      </c>
      <c r="L2509" s="27" t="s">
        <v>77</v>
      </c>
      <c r="N2509" s="28" t="s">
        <v>77</v>
      </c>
      <c r="Q2509" s="30"/>
    </row>
    <row r="2510">
      <c r="B2510" s="6"/>
      <c r="C2510" s="33" t="str">
        <f t="array" ref="C2510">IF(B2510="", "", XLOOKUP(B2510, Inventory!D:D,Inventory!E:E,"No Name Found"))</f>
        <v/>
      </c>
      <c r="D2510" s="6"/>
      <c r="E2510" s="6"/>
      <c r="F2510" s="6"/>
      <c r="G2510" s="24" t="str">
        <f>IF(F2510="", "", VLOOKUP(F2510, Inventory!A:BZ, 3, FALSE) - SUMIF($F$1:$F2509, F2510, $H$1:$H2509))
</f>
        <v/>
      </c>
      <c r="I2510" s="26"/>
      <c r="J2510" s="26" t="s">
        <v>77</v>
      </c>
      <c r="L2510" s="27" t="s">
        <v>77</v>
      </c>
      <c r="N2510" s="28" t="s">
        <v>77</v>
      </c>
      <c r="Q2510" s="30"/>
    </row>
    <row r="2511">
      <c r="B2511" s="6"/>
      <c r="C2511" s="33" t="str">
        <f t="array" ref="C2511">IF(B2511="", "", XLOOKUP(B2511, Inventory!D:D,Inventory!E:E,"No Name Found"))</f>
        <v/>
      </c>
      <c r="D2511" s="6"/>
      <c r="E2511" s="6"/>
      <c r="F2511" s="6"/>
      <c r="G2511" s="24" t="str">
        <f>IF(F2511="", "", VLOOKUP(F2511, Inventory!A:BZ, 3, FALSE) - SUMIF($F$1:$F2510, F2511, $H$1:$H2510))
</f>
        <v/>
      </c>
      <c r="I2511" s="26"/>
      <c r="J2511" s="26" t="s">
        <v>77</v>
      </c>
      <c r="L2511" s="27" t="s">
        <v>77</v>
      </c>
      <c r="N2511" s="28" t="s">
        <v>77</v>
      </c>
      <c r="Q2511" s="30"/>
    </row>
    <row r="2512">
      <c r="B2512" s="6"/>
      <c r="C2512" s="33" t="str">
        <f t="array" ref="C2512">IF(B2512="", "", XLOOKUP(B2512, Inventory!D:D,Inventory!E:E,"No Name Found"))</f>
        <v/>
      </c>
      <c r="D2512" s="6"/>
      <c r="E2512" s="6"/>
      <c r="F2512" s="6"/>
      <c r="G2512" s="24" t="str">
        <f>IF(F2512="", "", VLOOKUP(F2512, Inventory!A:BZ, 3, FALSE) - SUMIF($F$1:$F2511, F2512, $H$1:$H2511))
</f>
        <v/>
      </c>
      <c r="I2512" s="26"/>
      <c r="J2512" s="26" t="s">
        <v>77</v>
      </c>
      <c r="L2512" s="27" t="s">
        <v>77</v>
      </c>
      <c r="N2512" s="28" t="s">
        <v>77</v>
      </c>
      <c r="Q2512" s="30"/>
    </row>
    <row r="2513">
      <c r="B2513" s="6"/>
      <c r="C2513" s="33" t="str">
        <f t="array" ref="C2513">IF(B2513="", "", XLOOKUP(B2513, Inventory!D:D,Inventory!E:E,"No Name Found"))</f>
        <v/>
      </c>
      <c r="D2513" s="6"/>
      <c r="E2513" s="6"/>
      <c r="F2513" s="6"/>
      <c r="G2513" s="24" t="str">
        <f>IF(F2513="", "", VLOOKUP(F2513, Inventory!A:BZ, 3, FALSE) - SUMIF($F$1:$F2512, F2513, $H$1:$H2512))
</f>
        <v/>
      </c>
      <c r="I2513" s="26"/>
      <c r="J2513" s="26" t="s">
        <v>77</v>
      </c>
      <c r="L2513" s="27" t="s">
        <v>77</v>
      </c>
      <c r="N2513" s="28" t="s">
        <v>77</v>
      </c>
      <c r="Q2513" s="30"/>
    </row>
    <row r="2514">
      <c r="B2514" s="6"/>
      <c r="C2514" s="33" t="str">
        <f t="array" ref="C2514">IF(B2514="", "", XLOOKUP(B2514, Inventory!D:D,Inventory!E:E,"No Name Found"))</f>
        <v/>
      </c>
      <c r="D2514" s="6"/>
      <c r="E2514" s="6"/>
      <c r="F2514" s="6"/>
      <c r="G2514" s="24" t="str">
        <f>IF(F2514="", "", VLOOKUP(F2514, Inventory!A:BZ, 3, FALSE) - SUMIF($F$1:$F2513, F2514, $H$1:$H2513))
</f>
        <v/>
      </c>
      <c r="I2514" s="26"/>
      <c r="J2514" s="26" t="s">
        <v>77</v>
      </c>
      <c r="L2514" s="27" t="s">
        <v>77</v>
      </c>
      <c r="N2514" s="28" t="s">
        <v>77</v>
      </c>
      <c r="Q2514" s="30"/>
    </row>
    <row r="2515">
      <c r="B2515" s="6"/>
      <c r="C2515" s="33" t="str">
        <f t="array" ref="C2515">IF(B2515="", "", XLOOKUP(B2515, Inventory!D:D,Inventory!E:E,"No Name Found"))</f>
        <v/>
      </c>
      <c r="D2515" s="6"/>
      <c r="E2515" s="6"/>
      <c r="F2515" s="6"/>
      <c r="G2515" s="24" t="str">
        <f>IF(F2515="", "", VLOOKUP(F2515, Inventory!A:BZ, 3, FALSE) - SUMIF($F$1:$F2514, F2515, $H$1:$H2514))
</f>
        <v/>
      </c>
      <c r="I2515" s="26"/>
      <c r="J2515" s="26" t="s">
        <v>77</v>
      </c>
      <c r="L2515" s="27" t="s">
        <v>77</v>
      </c>
      <c r="N2515" s="28" t="s">
        <v>77</v>
      </c>
      <c r="Q2515" s="30"/>
    </row>
    <row r="2516">
      <c r="B2516" s="6"/>
      <c r="C2516" s="33" t="str">
        <f t="array" ref="C2516">IF(B2516="", "", XLOOKUP(B2516, Inventory!D:D,Inventory!E:E,"No Name Found"))</f>
        <v/>
      </c>
      <c r="D2516" s="6"/>
      <c r="E2516" s="6"/>
      <c r="F2516" s="6"/>
      <c r="G2516" s="24" t="str">
        <f>IF(F2516="", "", VLOOKUP(F2516, Inventory!A:BZ, 3, FALSE) - SUMIF($F$1:$F2515, F2516, $H$1:$H2515))
</f>
        <v/>
      </c>
      <c r="I2516" s="26"/>
      <c r="J2516" s="26" t="s">
        <v>77</v>
      </c>
      <c r="L2516" s="27" t="s">
        <v>77</v>
      </c>
      <c r="N2516" s="28" t="s">
        <v>77</v>
      </c>
      <c r="Q2516" s="30"/>
    </row>
    <row r="2517">
      <c r="B2517" s="6"/>
      <c r="C2517" s="33" t="str">
        <f t="array" ref="C2517">IF(B2517="", "", XLOOKUP(B2517, Inventory!D:D,Inventory!E:E,"No Name Found"))</f>
        <v/>
      </c>
      <c r="D2517" s="6"/>
      <c r="E2517" s="6"/>
      <c r="F2517" s="6"/>
      <c r="G2517" s="24" t="str">
        <f>IF(F2517="", "", VLOOKUP(F2517, Inventory!A:BZ, 3, FALSE) - SUMIF($F$1:$F2516, F2517, $H$1:$H2516))
</f>
        <v/>
      </c>
      <c r="I2517" s="26"/>
      <c r="J2517" s="26" t="s">
        <v>77</v>
      </c>
      <c r="L2517" s="27" t="s">
        <v>77</v>
      </c>
      <c r="N2517" s="28" t="s">
        <v>77</v>
      </c>
      <c r="Q2517" s="30"/>
    </row>
    <row r="2518">
      <c r="B2518" s="6"/>
      <c r="C2518" s="33" t="str">
        <f t="array" ref="C2518">IF(B2518="", "", XLOOKUP(B2518, Inventory!D:D,Inventory!E:E,"No Name Found"))</f>
        <v/>
      </c>
      <c r="D2518" s="6"/>
      <c r="E2518" s="6"/>
      <c r="F2518" s="6"/>
      <c r="G2518" s="24" t="str">
        <f>IF(F2518="", "", VLOOKUP(F2518, Inventory!A:BZ, 3, FALSE) - SUMIF($F$1:$F2517, F2518, $H$1:$H2517))
</f>
        <v/>
      </c>
      <c r="I2518" s="26"/>
      <c r="J2518" s="26" t="s">
        <v>77</v>
      </c>
      <c r="L2518" s="27" t="s">
        <v>77</v>
      </c>
      <c r="N2518" s="28" t="s">
        <v>77</v>
      </c>
      <c r="Q2518" s="30"/>
    </row>
    <row r="2519">
      <c r="B2519" s="6"/>
      <c r="C2519" s="33" t="str">
        <f t="array" ref="C2519">IF(B2519="", "", XLOOKUP(B2519, Inventory!D:D,Inventory!E:E,"No Name Found"))</f>
        <v/>
      </c>
      <c r="D2519" s="6"/>
      <c r="E2519" s="6"/>
      <c r="F2519" s="6"/>
      <c r="G2519" s="24" t="str">
        <f>IF(F2519="", "", VLOOKUP(F2519, Inventory!A:BZ, 3, FALSE) - SUMIF($F$1:$F2518, F2519, $H$1:$H2518))
</f>
        <v/>
      </c>
      <c r="I2519" s="26"/>
      <c r="J2519" s="26" t="s">
        <v>77</v>
      </c>
      <c r="L2519" s="27" t="s">
        <v>77</v>
      </c>
      <c r="N2519" s="28" t="s">
        <v>77</v>
      </c>
      <c r="Q2519" s="30"/>
    </row>
    <row r="2520">
      <c r="B2520" s="6"/>
      <c r="C2520" s="33" t="str">
        <f t="array" ref="C2520">IF(B2520="", "", XLOOKUP(B2520, Inventory!D:D,Inventory!E:E,"No Name Found"))</f>
        <v/>
      </c>
      <c r="D2520" s="6"/>
      <c r="E2520" s="6"/>
      <c r="F2520" s="6"/>
      <c r="G2520" s="24" t="str">
        <f>IF(F2520="", "", VLOOKUP(F2520, Inventory!A:BZ, 3, FALSE) - SUMIF($F$1:$F2519, F2520, $H$1:$H2519))
</f>
        <v/>
      </c>
      <c r="I2520" s="26"/>
      <c r="J2520" s="26" t="s">
        <v>77</v>
      </c>
      <c r="L2520" s="27" t="s">
        <v>77</v>
      </c>
      <c r="N2520" s="28" t="s">
        <v>77</v>
      </c>
      <c r="Q2520" s="30"/>
    </row>
    <row r="2521">
      <c r="B2521" s="6"/>
      <c r="C2521" s="33" t="str">
        <f t="array" ref="C2521">IF(B2521="", "", XLOOKUP(B2521, Inventory!D:D,Inventory!E:E,"No Name Found"))</f>
        <v/>
      </c>
      <c r="D2521" s="6"/>
      <c r="E2521" s="6"/>
      <c r="F2521" s="6"/>
      <c r="G2521" s="24" t="str">
        <f>IF(F2521="", "", VLOOKUP(F2521, Inventory!A:BZ, 3, FALSE) - SUMIF($F$1:$F2520, F2521, $H$1:$H2520))
</f>
        <v/>
      </c>
      <c r="I2521" s="26"/>
      <c r="J2521" s="26" t="s">
        <v>77</v>
      </c>
      <c r="L2521" s="27" t="s">
        <v>77</v>
      </c>
      <c r="N2521" s="28" t="s">
        <v>77</v>
      </c>
      <c r="Q2521" s="30"/>
    </row>
    <row r="2522">
      <c r="B2522" s="6"/>
      <c r="C2522" s="33" t="str">
        <f t="array" ref="C2522">IF(B2522="", "", XLOOKUP(B2522, Inventory!D:D,Inventory!E:E,"No Name Found"))</f>
        <v/>
      </c>
      <c r="D2522" s="6"/>
      <c r="E2522" s="6"/>
      <c r="F2522" s="6"/>
      <c r="G2522" s="24" t="str">
        <f>IF(F2522="", "", VLOOKUP(F2522, Inventory!A:BZ, 3, FALSE) - SUMIF($F$1:$F2521, F2522, $H$1:$H2521))
</f>
        <v/>
      </c>
      <c r="I2522" s="26"/>
      <c r="J2522" s="26" t="s">
        <v>77</v>
      </c>
      <c r="L2522" s="27" t="s">
        <v>77</v>
      </c>
      <c r="N2522" s="28" t="s">
        <v>77</v>
      </c>
      <c r="Q2522" s="30"/>
    </row>
    <row r="2523">
      <c r="B2523" s="6"/>
      <c r="C2523" s="33" t="str">
        <f t="array" ref="C2523">IF(B2523="", "", XLOOKUP(B2523, Inventory!D:D,Inventory!E:E,"No Name Found"))</f>
        <v/>
      </c>
      <c r="D2523" s="6"/>
      <c r="E2523" s="6"/>
      <c r="F2523" s="6"/>
      <c r="G2523" s="24" t="str">
        <f>IF(F2523="", "", VLOOKUP(F2523, Inventory!A:BZ, 3, FALSE) - SUMIF($F$1:$F2522, F2523, $H$1:$H2522))
</f>
        <v/>
      </c>
      <c r="I2523" s="26"/>
      <c r="J2523" s="26" t="s">
        <v>77</v>
      </c>
      <c r="L2523" s="27" t="s">
        <v>77</v>
      </c>
      <c r="N2523" s="28" t="s">
        <v>77</v>
      </c>
      <c r="Q2523" s="30"/>
    </row>
    <row r="2524">
      <c r="B2524" s="6"/>
      <c r="C2524" s="33" t="str">
        <f t="array" ref="C2524">IF(B2524="", "", XLOOKUP(B2524, Inventory!D:D,Inventory!E:E,"No Name Found"))</f>
        <v/>
      </c>
      <c r="D2524" s="6"/>
      <c r="E2524" s="6"/>
      <c r="F2524" s="6"/>
      <c r="G2524" s="24" t="str">
        <f>IF(F2524="", "", VLOOKUP(F2524, Inventory!A:BZ, 3, FALSE) - SUMIF($F$1:$F2523, F2524, $H$1:$H2523))
</f>
        <v/>
      </c>
      <c r="I2524" s="26"/>
      <c r="J2524" s="26" t="s">
        <v>77</v>
      </c>
      <c r="L2524" s="27" t="s">
        <v>77</v>
      </c>
      <c r="N2524" s="28" t="s">
        <v>77</v>
      </c>
      <c r="Q2524" s="30"/>
    </row>
    <row r="2525">
      <c r="B2525" s="6"/>
      <c r="C2525" s="33" t="str">
        <f t="array" ref="C2525">IF(B2525="", "", XLOOKUP(B2525, Inventory!D:D,Inventory!E:E,"No Name Found"))</f>
        <v/>
      </c>
      <c r="D2525" s="6"/>
      <c r="E2525" s="6"/>
      <c r="F2525" s="6"/>
      <c r="G2525" s="24" t="str">
        <f>IF(F2525="", "", VLOOKUP(F2525, Inventory!A:BZ, 3, FALSE) - SUMIF($F$1:$F2524, F2525, $H$1:$H2524))
</f>
        <v/>
      </c>
      <c r="I2525" s="26"/>
      <c r="J2525" s="26" t="s">
        <v>77</v>
      </c>
      <c r="L2525" s="27" t="s">
        <v>77</v>
      </c>
      <c r="N2525" s="28" t="s">
        <v>77</v>
      </c>
      <c r="Q2525" s="30"/>
    </row>
    <row r="2526">
      <c r="B2526" s="6"/>
      <c r="C2526" s="33" t="str">
        <f t="array" ref="C2526">IF(B2526="", "", XLOOKUP(B2526, Inventory!D:D,Inventory!E:E,"No Name Found"))</f>
        <v/>
      </c>
      <c r="D2526" s="6"/>
      <c r="E2526" s="6"/>
      <c r="F2526" s="6"/>
      <c r="G2526" s="24" t="str">
        <f>IF(F2526="", "", VLOOKUP(F2526, Inventory!A:BZ, 3, FALSE) - SUMIF($F$1:$F2525, F2526, $H$1:$H2525))
</f>
        <v/>
      </c>
      <c r="I2526" s="26"/>
      <c r="J2526" s="26" t="s">
        <v>77</v>
      </c>
      <c r="L2526" s="27" t="s">
        <v>77</v>
      </c>
      <c r="N2526" s="28" t="s">
        <v>77</v>
      </c>
      <c r="Q2526" s="30"/>
    </row>
    <row r="2527">
      <c r="B2527" s="6"/>
      <c r="C2527" s="33" t="str">
        <f t="array" ref="C2527">IF(B2527="", "", XLOOKUP(B2527, Inventory!D:D,Inventory!E:E,"No Name Found"))</f>
        <v/>
      </c>
      <c r="D2527" s="6"/>
      <c r="E2527" s="6"/>
      <c r="F2527" s="6"/>
      <c r="G2527" s="24" t="str">
        <f>IF(F2527="", "", VLOOKUP(F2527, Inventory!A:BZ, 3, FALSE) - SUMIF($F$1:$F2526, F2527, $H$1:$H2526))
</f>
        <v/>
      </c>
      <c r="I2527" s="26"/>
      <c r="J2527" s="26" t="s">
        <v>77</v>
      </c>
      <c r="L2527" s="27" t="s">
        <v>77</v>
      </c>
      <c r="N2527" s="28" t="s">
        <v>77</v>
      </c>
      <c r="Q2527" s="30"/>
    </row>
    <row r="2528">
      <c r="B2528" s="6"/>
      <c r="C2528" s="33" t="str">
        <f t="array" ref="C2528">IF(B2528="", "", XLOOKUP(B2528, Inventory!D:D,Inventory!E:E,"No Name Found"))</f>
        <v/>
      </c>
      <c r="D2528" s="6"/>
      <c r="E2528" s="6"/>
      <c r="F2528" s="6"/>
      <c r="G2528" s="24" t="str">
        <f>IF(F2528="", "", VLOOKUP(F2528, Inventory!A:BZ, 3, FALSE) - SUMIF($F$1:$F2527, F2528, $H$1:$H2527))
</f>
        <v/>
      </c>
      <c r="I2528" s="26"/>
      <c r="J2528" s="26" t="s">
        <v>77</v>
      </c>
      <c r="L2528" s="27" t="s">
        <v>77</v>
      </c>
      <c r="N2528" s="28" t="s">
        <v>77</v>
      </c>
      <c r="Q2528" s="30"/>
    </row>
    <row r="2529">
      <c r="B2529" s="6"/>
      <c r="C2529" s="33" t="str">
        <f t="array" ref="C2529">IF(B2529="", "", XLOOKUP(B2529, Inventory!D:D,Inventory!E:E,"No Name Found"))</f>
        <v/>
      </c>
      <c r="D2529" s="6"/>
      <c r="E2529" s="6"/>
      <c r="F2529" s="6"/>
      <c r="G2529" s="24" t="str">
        <f>IF(F2529="", "", VLOOKUP(F2529, Inventory!A:BZ, 3, FALSE) - SUMIF($F$1:$F2528, F2529, $H$1:$H2528))
</f>
        <v/>
      </c>
      <c r="I2529" s="26"/>
      <c r="J2529" s="26" t="s">
        <v>77</v>
      </c>
      <c r="L2529" s="27" t="s">
        <v>77</v>
      </c>
      <c r="N2529" s="28" t="s">
        <v>77</v>
      </c>
      <c r="Q2529" s="30"/>
    </row>
    <row r="2530">
      <c r="B2530" s="6"/>
      <c r="C2530" s="33" t="str">
        <f t="array" ref="C2530">IF(B2530="", "", XLOOKUP(B2530, Inventory!D:D,Inventory!E:E,"No Name Found"))</f>
        <v/>
      </c>
      <c r="D2530" s="6"/>
      <c r="E2530" s="6"/>
      <c r="F2530" s="6"/>
      <c r="G2530" s="24" t="str">
        <f>IF(F2530="", "", VLOOKUP(F2530, Inventory!A:BZ, 3, FALSE) - SUMIF($F$1:$F2529, F2530, $H$1:$H2529))
</f>
        <v/>
      </c>
      <c r="I2530" s="26"/>
      <c r="J2530" s="26" t="s">
        <v>77</v>
      </c>
      <c r="L2530" s="27" t="s">
        <v>77</v>
      </c>
      <c r="N2530" s="28" t="s">
        <v>77</v>
      </c>
      <c r="Q2530" s="30"/>
    </row>
    <row r="2531">
      <c r="B2531" s="6"/>
      <c r="C2531" s="33" t="str">
        <f t="array" ref="C2531">IF(B2531="", "", XLOOKUP(B2531, Inventory!D:D,Inventory!E:E,"No Name Found"))</f>
        <v/>
      </c>
      <c r="D2531" s="6"/>
      <c r="E2531" s="6"/>
      <c r="F2531" s="6"/>
      <c r="G2531" s="24" t="str">
        <f>IF(F2531="", "", VLOOKUP(F2531, Inventory!A:BZ, 3, FALSE) - SUMIF($F$1:$F2530, F2531, $H$1:$H2530))
</f>
        <v/>
      </c>
      <c r="I2531" s="26"/>
      <c r="J2531" s="26" t="s">
        <v>77</v>
      </c>
      <c r="L2531" s="27" t="s">
        <v>77</v>
      </c>
      <c r="N2531" s="28" t="s">
        <v>77</v>
      </c>
      <c r="Q2531" s="30"/>
    </row>
    <row r="2532">
      <c r="B2532" s="6"/>
      <c r="C2532" s="33" t="str">
        <f t="array" ref="C2532">IF(B2532="", "", XLOOKUP(B2532, Inventory!D:D,Inventory!E:E,"No Name Found"))</f>
        <v/>
      </c>
      <c r="D2532" s="6"/>
      <c r="E2532" s="6"/>
      <c r="F2532" s="6"/>
      <c r="G2532" s="24" t="str">
        <f>IF(F2532="", "", VLOOKUP(F2532, Inventory!A:BZ, 3, FALSE) - SUMIF($F$1:$F2531, F2532, $H$1:$H2531))
</f>
        <v/>
      </c>
      <c r="I2532" s="26"/>
      <c r="J2532" s="26" t="s">
        <v>77</v>
      </c>
      <c r="L2532" s="27" t="s">
        <v>77</v>
      </c>
      <c r="N2532" s="28" t="s">
        <v>77</v>
      </c>
      <c r="Q2532" s="30"/>
    </row>
    <row r="2533">
      <c r="B2533" s="6"/>
      <c r="C2533" s="33" t="str">
        <f t="array" ref="C2533">IF(B2533="", "", XLOOKUP(B2533, Inventory!D:D,Inventory!E:E,"No Name Found"))</f>
        <v/>
      </c>
      <c r="D2533" s="6"/>
      <c r="E2533" s="6"/>
      <c r="F2533" s="6"/>
      <c r="G2533" s="24" t="str">
        <f>IF(F2533="", "", VLOOKUP(F2533, Inventory!A:BZ, 3, FALSE) - SUMIF($F$1:$F2532, F2533, $H$1:$H2532))
</f>
        <v/>
      </c>
      <c r="I2533" s="26"/>
      <c r="J2533" s="26" t="s">
        <v>77</v>
      </c>
      <c r="L2533" s="27" t="s">
        <v>77</v>
      </c>
      <c r="N2533" s="28" t="s">
        <v>77</v>
      </c>
      <c r="Q2533" s="30"/>
    </row>
    <row r="2534">
      <c r="B2534" s="6"/>
      <c r="C2534" s="33" t="str">
        <f t="array" ref="C2534">IF(B2534="", "", XLOOKUP(B2534, Inventory!D:D,Inventory!E:E,"No Name Found"))</f>
        <v/>
      </c>
      <c r="D2534" s="6"/>
      <c r="E2534" s="6"/>
      <c r="F2534" s="6"/>
      <c r="G2534" s="24" t="str">
        <f>IF(F2534="", "", VLOOKUP(F2534, Inventory!A:BZ, 3, FALSE) - SUMIF($F$1:$F2533, F2534, $H$1:$H2533))
</f>
        <v/>
      </c>
      <c r="I2534" s="26"/>
      <c r="J2534" s="26" t="s">
        <v>77</v>
      </c>
      <c r="L2534" s="27" t="s">
        <v>77</v>
      </c>
      <c r="N2534" s="28" t="s">
        <v>77</v>
      </c>
      <c r="Q2534" s="30"/>
    </row>
    <row r="2535">
      <c r="B2535" s="6"/>
      <c r="C2535" s="33" t="str">
        <f t="array" ref="C2535">IF(B2535="", "", XLOOKUP(B2535, Inventory!D:D,Inventory!E:E,"No Name Found"))</f>
        <v/>
      </c>
      <c r="D2535" s="6"/>
      <c r="E2535" s="6"/>
      <c r="F2535" s="6"/>
      <c r="G2535" s="24" t="str">
        <f>IF(F2535="", "", VLOOKUP(F2535, Inventory!A:BZ, 3, FALSE) - SUMIF($F$1:$F2534, F2535, $H$1:$H2534))
</f>
        <v/>
      </c>
      <c r="I2535" s="26"/>
      <c r="J2535" s="26" t="s">
        <v>77</v>
      </c>
      <c r="L2535" s="27" t="s">
        <v>77</v>
      </c>
      <c r="N2535" s="28" t="s">
        <v>77</v>
      </c>
      <c r="Q2535" s="30"/>
    </row>
    <row r="2536">
      <c r="B2536" s="6"/>
      <c r="C2536" s="33" t="str">
        <f t="array" ref="C2536">IF(B2536="", "", XLOOKUP(B2536, Inventory!D:D,Inventory!E:E,"No Name Found"))</f>
        <v/>
      </c>
      <c r="D2536" s="6"/>
      <c r="E2536" s="6"/>
      <c r="F2536" s="6"/>
      <c r="G2536" s="24" t="str">
        <f>IF(F2536="", "", VLOOKUP(F2536, Inventory!A:BZ, 3, FALSE) - SUMIF($F$1:$F2535, F2536, $H$1:$H2535))
</f>
        <v/>
      </c>
      <c r="I2536" s="26"/>
      <c r="J2536" s="26" t="s">
        <v>77</v>
      </c>
      <c r="L2536" s="27" t="s">
        <v>77</v>
      </c>
      <c r="N2536" s="28" t="s">
        <v>77</v>
      </c>
      <c r="Q2536" s="30"/>
    </row>
    <row r="2537">
      <c r="B2537" s="6"/>
      <c r="C2537" s="33" t="str">
        <f t="array" ref="C2537">IF(B2537="", "", XLOOKUP(B2537, Inventory!D:D,Inventory!E:E,"No Name Found"))</f>
        <v/>
      </c>
      <c r="D2537" s="6"/>
      <c r="E2537" s="6"/>
      <c r="F2537" s="6"/>
      <c r="G2537" s="24" t="str">
        <f>IF(F2537="", "", VLOOKUP(F2537, Inventory!A:BZ, 3, FALSE) - SUMIF($F$1:$F2536, F2537, $H$1:$H2536))
</f>
        <v/>
      </c>
      <c r="I2537" s="26"/>
      <c r="J2537" s="26" t="s">
        <v>77</v>
      </c>
      <c r="L2537" s="27" t="s">
        <v>77</v>
      </c>
      <c r="N2537" s="28" t="s">
        <v>77</v>
      </c>
      <c r="Q2537" s="30"/>
    </row>
    <row r="2538">
      <c r="B2538" s="6"/>
      <c r="C2538" s="33" t="str">
        <f t="array" ref="C2538">IF(B2538="", "", XLOOKUP(B2538, Inventory!D:D,Inventory!E:E,"No Name Found"))</f>
        <v/>
      </c>
      <c r="D2538" s="6"/>
      <c r="E2538" s="6"/>
      <c r="F2538" s="6"/>
      <c r="G2538" s="24" t="str">
        <f>IF(F2538="", "", VLOOKUP(F2538, Inventory!A:BZ, 3, FALSE) - SUMIF($F$1:$F2537, F2538, $H$1:$H2537))
</f>
        <v/>
      </c>
      <c r="I2538" s="26"/>
      <c r="J2538" s="26" t="s">
        <v>77</v>
      </c>
      <c r="L2538" s="27" t="s">
        <v>77</v>
      </c>
      <c r="N2538" s="28" t="s">
        <v>77</v>
      </c>
      <c r="Q2538" s="30"/>
    </row>
    <row r="2539">
      <c r="B2539" s="6"/>
      <c r="C2539" s="33" t="str">
        <f t="array" ref="C2539">IF(B2539="", "", XLOOKUP(B2539, Inventory!D:D,Inventory!E:E,"No Name Found"))</f>
        <v/>
      </c>
      <c r="D2539" s="6"/>
      <c r="E2539" s="6"/>
      <c r="F2539" s="6"/>
      <c r="G2539" s="24" t="str">
        <f>IF(F2539="", "", VLOOKUP(F2539, Inventory!A:BZ, 3, FALSE) - SUMIF($F$1:$F2538, F2539, $H$1:$H2538))
</f>
        <v/>
      </c>
      <c r="I2539" s="26"/>
      <c r="J2539" s="26" t="s">
        <v>77</v>
      </c>
      <c r="L2539" s="27" t="s">
        <v>77</v>
      </c>
      <c r="N2539" s="28" t="s">
        <v>77</v>
      </c>
      <c r="Q2539" s="30"/>
    </row>
    <row r="2540">
      <c r="B2540" s="6"/>
      <c r="C2540" s="33" t="str">
        <f t="array" ref="C2540">IF(B2540="", "", XLOOKUP(B2540, Inventory!D:D,Inventory!E:E,"No Name Found"))</f>
        <v/>
      </c>
      <c r="D2540" s="6"/>
      <c r="E2540" s="6"/>
      <c r="F2540" s="6"/>
      <c r="G2540" s="24" t="str">
        <f>IF(F2540="", "", VLOOKUP(F2540, Inventory!A:BZ, 3, FALSE) - SUMIF($F$1:$F2539, F2540, $H$1:$H2539))
</f>
        <v/>
      </c>
      <c r="I2540" s="26"/>
      <c r="J2540" s="26" t="s">
        <v>77</v>
      </c>
      <c r="L2540" s="27" t="s">
        <v>77</v>
      </c>
      <c r="N2540" s="28" t="s">
        <v>77</v>
      </c>
      <c r="Q2540" s="30"/>
    </row>
    <row r="2541">
      <c r="B2541" s="6"/>
      <c r="C2541" s="33" t="str">
        <f t="array" ref="C2541">IF(B2541="", "", XLOOKUP(B2541, Inventory!D:D,Inventory!E:E,"No Name Found"))</f>
        <v/>
      </c>
      <c r="D2541" s="6"/>
      <c r="E2541" s="6"/>
      <c r="F2541" s="6"/>
      <c r="G2541" s="24" t="str">
        <f>IF(F2541="", "", VLOOKUP(F2541, Inventory!A:BZ, 3, FALSE) - SUMIF($F$1:$F2540, F2541, $H$1:$H2540))
</f>
        <v/>
      </c>
      <c r="I2541" s="26"/>
      <c r="J2541" s="26" t="s">
        <v>77</v>
      </c>
      <c r="L2541" s="27" t="s">
        <v>77</v>
      </c>
      <c r="N2541" s="28" t="s">
        <v>77</v>
      </c>
      <c r="Q2541" s="30"/>
    </row>
    <row r="2542">
      <c r="B2542" s="6"/>
      <c r="C2542" s="33" t="str">
        <f t="array" ref="C2542">IF(B2542="", "", XLOOKUP(B2542, Inventory!D:D,Inventory!E:E,"No Name Found"))</f>
        <v/>
      </c>
      <c r="D2542" s="6"/>
      <c r="E2542" s="6"/>
      <c r="F2542" s="6"/>
      <c r="G2542" s="24" t="str">
        <f>IF(F2542="", "", VLOOKUP(F2542, Inventory!A:BZ, 3, FALSE) - SUMIF($F$1:$F2541, F2542, $H$1:$H2541))
</f>
        <v/>
      </c>
      <c r="I2542" s="26"/>
      <c r="J2542" s="26" t="s">
        <v>77</v>
      </c>
      <c r="L2542" s="27" t="s">
        <v>77</v>
      </c>
      <c r="N2542" s="28" t="s">
        <v>77</v>
      </c>
      <c r="Q2542" s="30"/>
    </row>
    <row r="2543">
      <c r="B2543" s="6"/>
      <c r="C2543" s="33" t="str">
        <f t="array" ref="C2543">IF(B2543="", "", XLOOKUP(B2543, Inventory!D:D,Inventory!E:E,"No Name Found"))</f>
        <v/>
      </c>
      <c r="D2543" s="6"/>
      <c r="E2543" s="6"/>
      <c r="F2543" s="6"/>
      <c r="G2543" s="24" t="str">
        <f>IF(F2543="", "", VLOOKUP(F2543, Inventory!A:BZ, 3, FALSE) - SUMIF($F$1:$F2542, F2543, $H$1:$H2542))
</f>
        <v/>
      </c>
      <c r="I2543" s="26"/>
      <c r="J2543" s="26" t="s">
        <v>77</v>
      </c>
      <c r="L2543" s="27" t="s">
        <v>77</v>
      </c>
      <c r="N2543" s="28" t="s">
        <v>77</v>
      </c>
      <c r="Q2543" s="30"/>
    </row>
    <row r="2544">
      <c r="B2544" s="6"/>
      <c r="C2544" s="33" t="str">
        <f t="array" ref="C2544">IF(B2544="", "", XLOOKUP(B2544, Inventory!D:D,Inventory!E:E,"No Name Found"))</f>
        <v/>
      </c>
      <c r="D2544" s="6"/>
      <c r="E2544" s="6"/>
      <c r="F2544" s="6"/>
      <c r="G2544" s="24" t="str">
        <f>IF(F2544="", "", VLOOKUP(F2544, Inventory!A:BZ, 3, FALSE) - SUMIF($F$1:$F2543, F2544, $H$1:$H2543))
</f>
        <v/>
      </c>
      <c r="I2544" s="26"/>
      <c r="J2544" s="26" t="s">
        <v>77</v>
      </c>
      <c r="L2544" s="27" t="s">
        <v>77</v>
      </c>
      <c r="N2544" s="28" t="s">
        <v>77</v>
      </c>
      <c r="Q2544" s="30"/>
    </row>
    <row r="2545">
      <c r="B2545" s="6"/>
      <c r="C2545" s="33" t="str">
        <f t="array" ref="C2545">IF(B2545="", "", XLOOKUP(B2545, Inventory!D:D,Inventory!E:E,"No Name Found"))</f>
        <v/>
      </c>
      <c r="D2545" s="6"/>
      <c r="E2545" s="6"/>
      <c r="F2545" s="6"/>
      <c r="G2545" s="24" t="str">
        <f>IF(F2545="", "", VLOOKUP(F2545, Inventory!A:BZ, 3, FALSE) - SUMIF($F$1:$F2544, F2545, $H$1:$H2544))
</f>
        <v/>
      </c>
      <c r="I2545" s="26"/>
      <c r="J2545" s="26" t="s">
        <v>77</v>
      </c>
      <c r="L2545" s="27" t="s">
        <v>77</v>
      </c>
      <c r="N2545" s="28" t="s">
        <v>77</v>
      </c>
      <c r="Q2545" s="30"/>
    </row>
    <row r="2546">
      <c r="B2546" s="6"/>
      <c r="C2546" s="33" t="str">
        <f t="array" ref="C2546">IF(B2546="", "", XLOOKUP(B2546, Inventory!D:D,Inventory!E:E,"No Name Found"))</f>
        <v/>
      </c>
      <c r="D2546" s="6"/>
      <c r="E2546" s="6"/>
      <c r="F2546" s="6"/>
      <c r="G2546" s="24" t="str">
        <f>IF(F2546="", "", VLOOKUP(F2546, Inventory!A:BZ, 3, FALSE) - SUMIF($F$1:$F2545, F2546, $H$1:$H2545))
</f>
        <v/>
      </c>
      <c r="I2546" s="26"/>
      <c r="J2546" s="26" t="s">
        <v>77</v>
      </c>
      <c r="L2546" s="27" t="s">
        <v>77</v>
      </c>
      <c r="N2546" s="28" t="s">
        <v>77</v>
      </c>
      <c r="Q2546" s="30"/>
    </row>
    <row r="2547">
      <c r="B2547" s="6"/>
      <c r="C2547" s="33" t="str">
        <f t="array" ref="C2547">IF(B2547="", "", XLOOKUP(B2547, Inventory!D:D,Inventory!E:E,"No Name Found"))</f>
        <v/>
      </c>
      <c r="D2547" s="6"/>
      <c r="E2547" s="6"/>
      <c r="F2547" s="6"/>
      <c r="G2547" s="24" t="str">
        <f>IF(F2547="", "", VLOOKUP(F2547, Inventory!A:BZ, 3, FALSE) - SUMIF($F$1:$F2546, F2547, $H$1:$H2546))
</f>
        <v/>
      </c>
      <c r="I2547" s="26"/>
      <c r="J2547" s="26" t="s">
        <v>77</v>
      </c>
      <c r="L2547" s="27" t="s">
        <v>77</v>
      </c>
      <c r="N2547" s="28" t="s">
        <v>77</v>
      </c>
      <c r="Q2547" s="30"/>
    </row>
    <row r="2548">
      <c r="B2548" s="6"/>
      <c r="C2548" s="33" t="str">
        <f t="array" ref="C2548">IF(B2548="", "", XLOOKUP(B2548, Inventory!D:D,Inventory!E:E,"No Name Found"))</f>
        <v/>
      </c>
      <c r="D2548" s="6"/>
      <c r="E2548" s="6"/>
      <c r="F2548" s="6"/>
      <c r="G2548" s="24" t="str">
        <f>IF(F2548="", "", VLOOKUP(F2548, Inventory!A:BZ, 3, FALSE) - SUMIF($F$1:$F2547, F2548, $H$1:$H2547))
</f>
        <v/>
      </c>
      <c r="I2548" s="26"/>
      <c r="J2548" s="26" t="s">
        <v>77</v>
      </c>
      <c r="L2548" s="27" t="s">
        <v>77</v>
      </c>
      <c r="N2548" s="28" t="s">
        <v>77</v>
      </c>
      <c r="Q2548" s="30"/>
    </row>
    <row r="2549">
      <c r="B2549" s="6"/>
      <c r="C2549" s="33" t="str">
        <f t="array" ref="C2549">IF(B2549="", "", XLOOKUP(B2549, Inventory!D:D,Inventory!E:E,"No Name Found"))</f>
        <v/>
      </c>
      <c r="D2549" s="6"/>
      <c r="E2549" s="6"/>
      <c r="F2549" s="6"/>
      <c r="G2549" s="24" t="str">
        <f>IF(F2549="", "", VLOOKUP(F2549, Inventory!A:BZ, 3, FALSE) - SUMIF($F$1:$F2548, F2549, $H$1:$H2548))
</f>
        <v/>
      </c>
      <c r="I2549" s="26"/>
      <c r="J2549" s="26" t="s">
        <v>77</v>
      </c>
      <c r="L2549" s="27" t="s">
        <v>77</v>
      </c>
      <c r="N2549" s="28" t="s">
        <v>77</v>
      </c>
      <c r="Q2549" s="30"/>
    </row>
    <row r="2550">
      <c r="B2550" s="6"/>
      <c r="C2550" s="33" t="str">
        <f t="array" ref="C2550">IF(B2550="", "", XLOOKUP(B2550, Inventory!D:D,Inventory!E:E,"No Name Found"))</f>
        <v/>
      </c>
      <c r="D2550" s="6"/>
      <c r="E2550" s="6"/>
      <c r="F2550" s="6"/>
      <c r="G2550" s="24" t="str">
        <f>IF(F2550="", "", VLOOKUP(F2550, Inventory!A:BZ, 3, FALSE) - SUMIF($F$1:$F2549, F2550, $H$1:$H2549))
</f>
        <v/>
      </c>
      <c r="I2550" s="26"/>
      <c r="J2550" s="26" t="s">
        <v>77</v>
      </c>
      <c r="L2550" s="27" t="s">
        <v>77</v>
      </c>
      <c r="N2550" s="28" t="s">
        <v>77</v>
      </c>
      <c r="Q2550" s="30"/>
    </row>
    <row r="2551">
      <c r="B2551" s="6"/>
      <c r="C2551" s="33" t="str">
        <f t="array" ref="C2551">IF(B2551="", "", XLOOKUP(B2551, Inventory!D:D,Inventory!E:E,"No Name Found"))</f>
        <v/>
      </c>
      <c r="D2551" s="6"/>
      <c r="E2551" s="6"/>
      <c r="F2551" s="6"/>
      <c r="G2551" s="24" t="str">
        <f>IF(F2551="", "", VLOOKUP(F2551, Inventory!A:BZ, 3, FALSE) - SUMIF($F$1:$F2550, F2551, $H$1:$H2550))
</f>
        <v/>
      </c>
      <c r="I2551" s="26"/>
      <c r="J2551" s="26" t="s">
        <v>77</v>
      </c>
      <c r="L2551" s="27" t="s">
        <v>77</v>
      </c>
      <c r="N2551" s="28" t="s">
        <v>77</v>
      </c>
      <c r="Q2551" s="30"/>
    </row>
    <row r="2552">
      <c r="B2552" s="6"/>
      <c r="C2552" s="33" t="str">
        <f t="array" ref="C2552">IF(B2552="", "", XLOOKUP(B2552, Inventory!D:D,Inventory!E:E,"No Name Found"))</f>
        <v/>
      </c>
      <c r="D2552" s="6"/>
      <c r="E2552" s="6"/>
      <c r="F2552" s="6"/>
      <c r="G2552" s="24" t="str">
        <f>IF(F2552="", "", VLOOKUP(F2552, Inventory!A:BZ, 3, FALSE) - SUMIF($F$1:$F2551, F2552, $H$1:$H2551))
</f>
        <v/>
      </c>
      <c r="I2552" s="26"/>
      <c r="J2552" s="26" t="s">
        <v>77</v>
      </c>
      <c r="L2552" s="27" t="s">
        <v>77</v>
      </c>
      <c r="N2552" s="28" t="s">
        <v>77</v>
      </c>
      <c r="Q2552" s="30"/>
    </row>
    <row r="2553">
      <c r="B2553" s="6"/>
      <c r="C2553" s="33" t="str">
        <f t="array" ref="C2553">IF(B2553="", "", XLOOKUP(B2553, Inventory!D:D,Inventory!E:E,"No Name Found"))</f>
        <v/>
      </c>
      <c r="D2553" s="6"/>
      <c r="E2553" s="6"/>
      <c r="F2553" s="6"/>
      <c r="G2553" s="24" t="str">
        <f>IF(F2553="", "", VLOOKUP(F2553, Inventory!A:BZ, 3, FALSE) - SUMIF($F$1:$F2552, F2553, $H$1:$H2552))
</f>
        <v/>
      </c>
      <c r="I2553" s="26"/>
      <c r="J2553" s="26" t="s">
        <v>77</v>
      </c>
      <c r="L2553" s="27" t="s">
        <v>77</v>
      </c>
      <c r="N2553" s="28" t="s">
        <v>77</v>
      </c>
      <c r="Q2553" s="30"/>
    </row>
    <row r="2554">
      <c r="B2554" s="6"/>
      <c r="C2554" s="33" t="str">
        <f t="array" ref="C2554">IF(B2554="", "", XLOOKUP(B2554, Inventory!D:D,Inventory!E:E,"No Name Found"))</f>
        <v/>
      </c>
      <c r="D2554" s="6"/>
      <c r="E2554" s="6"/>
      <c r="F2554" s="6"/>
      <c r="G2554" s="24" t="str">
        <f>IF(F2554="", "", VLOOKUP(F2554, Inventory!A:BZ, 3, FALSE) - SUMIF($F$1:$F2553, F2554, $H$1:$H2553))
</f>
        <v/>
      </c>
      <c r="I2554" s="26"/>
      <c r="J2554" s="26" t="s">
        <v>77</v>
      </c>
      <c r="L2554" s="27" t="s">
        <v>77</v>
      </c>
      <c r="N2554" s="28" t="s">
        <v>77</v>
      </c>
      <c r="Q2554" s="30"/>
    </row>
    <row r="2555">
      <c r="B2555" s="6"/>
      <c r="C2555" s="33" t="str">
        <f t="array" ref="C2555">IF(B2555="", "", XLOOKUP(B2555, Inventory!D:D,Inventory!E:E,"No Name Found"))</f>
        <v/>
      </c>
      <c r="D2555" s="6"/>
      <c r="E2555" s="6"/>
      <c r="F2555" s="6"/>
      <c r="G2555" s="24" t="str">
        <f>IF(F2555="", "", VLOOKUP(F2555, Inventory!A:BZ, 3, FALSE) - SUMIF($F$1:$F2554, F2555, $H$1:$H2554))
</f>
        <v/>
      </c>
      <c r="I2555" s="26"/>
      <c r="J2555" s="26" t="s">
        <v>77</v>
      </c>
      <c r="L2555" s="27" t="s">
        <v>77</v>
      </c>
      <c r="N2555" s="28" t="s">
        <v>77</v>
      </c>
      <c r="Q2555" s="30"/>
    </row>
    <row r="2556">
      <c r="B2556" s="6"/>
      <c r="C2556" s="33" t="str">
        <f t="array" ref="C2556">IF(B2556="", "", XLOOKUP(B2556, Inventory!D:D,Inventory!E:E,"No Name Found"))</f>
        <v/>
      </c>
      <c r="D2556" s="6"/>
      <c r="E2556" s="6"/>
      <c r="F2556" s="6"/>
      <c r="G2556" s="24" t="str">
        <f>IF(F2556="", "", VLOOKUP(F2556, Inventory!A:BZ, 3, FALSE) - SUMIF($F$1:$F2555, F2556, $H$1:$H2555))
</f>
        <v/>
      </c>
      <c r="I2556" s="26"/>
      <c r="J2556" s="26" t="s">
        <v>77</v>
      </c>
      <c r="L2556" s="27" t="s">
        <v>77</v>
      </c>
      <c r="N2556" s="28" t="s">
        <v>77</v>
      </c>
      <c r="Q2556" s="30"/>
    </row>
    <row r="2557">
      <c r="B2557" s="6"/>
      <c r="C2557" s="33" t="str">
        <f t="array" ref="C2557">IF(B2557="", "", XLOOKUP(B2557, Inventory!D:D,Inventory!E:E,"No Name Found"))</f>
        <v/>
      </c>
      <c r="D2557" s="6"/>
      <c r="E2557" s="6"/>
      <c r="F2557" s="6"/>
      <c r="G2557" s="24" t="str">
        <f>IF(F2557="", "", VLOOKUP(F2557, Inventory!A:BZ, 3, FALSE) - SUMIF($F$1:$F2556, F2557, $H$1:$H2556))
</f>
        <v/>
      </c>
      <c r="I2557" s="26"/>
      <c r="J2557" s="26" t="s">
        <v>77</v>
      </c>
      <c r="L2557" s="27" t="s">
        <v>77</v>
      </c>
      <c r="N2557" s="28" t="s">
        <v>77</v>
      </c>
      <c r="Q2557" s="30"/>
    </row>
    <row r="2558">
      <c r="B2558" s="6"/>
      <c r="C2558" s="33" t="str">
        <f t="array" ref="C2558">IF(B2558="", "", XLOOKUP(B2558, Inventory!D:D,Inventory!E:E,"No Name Found"))</f>
        <v/>
      </c>
      <c r="D2558" s="6"/>
      <c r="E2558" s="6"/>
      <c r="F2558" s="6"/>
      <c r="G2558" s="24" t="str">
        <f>IF(F2558="", "", VLOOKUP(F2558, Inventory!A:BZ, 3, FALSE) - SUMIF($F$1:$F2557, F2558, $H$1:$H2557))
</f>
        <v/>
      </c>
      <c r="I2558" s="26"/>
      <c r="J2558" s="26" t="s">
        <v>77</v>
      </c>
      <c r="L2558" s="27" t="s">
        <v>77</v>
      </c>
      <c r="N2558" s="28" t="s">
        <v>77</v>
      </c>
      <c r="Q2558" s="30"/>
    </row>
    <row r="2559">
      <c r="B2559" s="6"/>
      <c r="C2559" s="33" t="str">
        <f t="array" ref="C2559">IF(B2559="", "", XLOOKUP(B2559, Inventory!D:D,Inventory!E:E,"No Name Found"))</f>
        <v/>
      </c>
      <c r="D2559" s="6"/>
      <c r="E2559" s="6"/>
      <c r="F2559" s="6"/>
      <c r="G2559" s="24" t="str">
        <f>IF(F2559="", "", VLOOKUP(F2559, Inventory!A:BZ, 3, FALSE) - SUMIF($F$1:$F2558, F2559, $H$1:$H2558))
</f>
        <v/>
      </c>
      <c r="I2559" s="26"/>
      <c r="J2559" s="26" t="s">
        <v>77</v>
      </c>
      <c r="L2559" s="27" t="s">
        <v>77</v>
      </c>
      <c r="N2559" s="28" t="s">
        <v>77</v>
      </c>
      <c r="Q2559" s="30"/>
    </row>
    <row r="2560">
      <c r="B2560" s="6"/>
      <c r="C2560" s="33" t="str">
        <f t="array" ref="C2560">IF(B2560="", "", XLOOKUP(B2560, Inventory!D:D,Inventory!E:E,"No Name Found"))</f>
        <v/>
      </c>
      <c r="D2560" s="6"/>
      <c r="E2560" s="6"/>
      <c r="F2560" s="6"/>
      <c r="G2560" s="24" t="str">
        <f>IF(F2560="", "", VLOOKUP(F2560, Inventory!A:BZ, 3, FALSE) - SUMIF($F$1:$F2559, F2560, $H$1:$H2559))
</f>
        <v/>
      </c>
      <c r="I2560" s="26"/>
      <c r="J2560" s="26" t="s">
        <v>77</v>
      </c>
      <c r="L2560" s="27" t="s">
        <v>77</v>
      </c>
      <c r="N2560" s="28" t="s">
        <v>77</v>
      </c>
      <c r="Q2560" s="30"/>
    </row>
    <row r="2561">
      <c r="B2561" s="6"/>
      <c r="C2561" s="33" t="str">
        <f t="array" ref="C2561">IF(B2561="", "", XLOOKUP(B2561, Inventory!D:D,Inventory!E:E,"No Name Found"))</f>
        <v/>
      </c>
      <c r="D2561" s="6"/>
      <c r="E2561" s="6"/>
      <c r="F2561" s="6"/>
      <c r="G2561" s="24" t="str">
        <f>IF(F2561="", "", VLOOKUP(F2561, Inventory!A:BZ, 3, FALSE) - SUMIF($F$1:$F2560, F2561, $H$1:$H2560))
</f>
        <v/>
      </c>
      <c r="I2561" s="26"/>
      <c r="J2561" s="26" t="s">
        <v>77</v>
      </c>
      <c r="L2561" s="27" t="s">
        <v>77</v>
      </c>
      <c r="N2561" s="28" t="s">
        <v>77</v>
      </c>
      <c r="Q2561" s="30"/>
    </row>
    <row r="2562">
      <c r="B2562" s="6"/>
      <c r="C2562" s="33" t="str">
        <f t="array" ref="C2562">IF(B2562="", "", XLOOKUP(B2562, Inventory!D:D,Inventory!E:E,"No Name Found"))</f>
        <v/>
      </c>
      <c r="D2562" s="6"/>
      <c r="E2562" s="6"/>
      <c r="F2562" s="6"/>
      <c r="G2562" s="24" t="str">
        <f>IF(F2562="", "", VLOOKUP(F2562, Inventory!A:BZ, 3, FALSE) - SUMIF($F$1:$F2561, F2562, $H$1:$H2561))
</f>
        <v/>
      </c>
      <c r="I2562" s="26"/>
      <c r="J2562" s="26" t="s">
        <v>77</v>
      </c>
      <c r="L2562" s="27" t="s">
        <v>77</v>
      </c>
      <c r="N2562" s="28" t="s">
        <v>77</v>
      </c>
      <c r="Q2562" s="30"/>
    </row>
    <row r="2563">
      <c r="B2563" s="6"/>
      <c r="C2563" s="33" t="str">
        <f t="array" ref="C2563">IF(B2563="", "", XLOOKUP(B2563, Inventory!D:D,Inventory!E:E,"No Name Found"))</f>
        <v/>
      </c>
      <c r="D2563" s="6"/>
      <c r="E2563" s="6"/>
      <c r="F2563" s="6"/>
      <c r="G2563" s="24" t="str">
        <f>IF(F2563="", "", VLOOKUP(F2563, Inventory!A:BZ, 3, FALSE) - SUMIF($F$1:$F2562, F2563, $H$1:$H2562))
</f>
        <v/>
      </c>
      <c r="I2563" s="26"/>
      <c r="J2563" s="26" t="s">
        <v>77</v>
      </c>
      <c r="L2563" s="27" t="s">
        <v>77</v>
      </c>
      <c r="N2563" s="28" t="s">
        <v>77</v>
      </c>
      <c r="Q2563" s="30"/>
    </row>
    <row r="2564">
      <c r="B2564" s="6"/>
      <c r="C2564" s="33" t="str">
        <f t="array" ref="C2564">IF(B2564="", "", XLOOKUP(B2564, Inventory!D:D,Inventory!E:E,"No Name Found"))</f>
        <v/>
      </c>
      <c r="D2564" s="6"/>
      <c r="E2564" s="6"/>
      <c r="F2564" s="6"/>
      <c r="G2564" s="24" t="str">
        <f>IF(F2564="", "", VLOOKUP(F2564, Inventory!A:BZ, 3, FALSE) - SUMIF($F$1:$F2563, F2564, $H$1:$H2563))
</f>
        <v/>
      </c>
      <c r="I2564" s="26"/>
      <c r="J2564" s="26" t="s">
        <v>77</v>
      </c>
      <c r="L2564" s="27" t="s">
        <v>77</v>
      </c>
      <c r="N2564" s="28" t="s">
        <v>77</v>
      </c>
      <c r="Q2564" s="30"/>
    </row>
    <row r="2565">
      <c r="B2565" s="6"/>
      <c r="C2565" s="33" t="str">
        <f t="array" ref="C2565">IF(B2565="", "", XLOOKUP(B2565, Inventory!D:D,Inventory!E:E,"No Name Found"))</f>
        <v/>
      </c>
      <c r="D2565" s="6"/>
      <c r="E2565" s="6"/>
      <c r="F2565" s="6"/>
      <c r="G2565" s="24" t="str">
        <f>IF(F2565="", "", VLOOKUP(F2565, Inventory!A:BZ, 3, FALSE) - SUMIF($F$1:$F2564, F2565, $H$1:$H2564))
</f>
        <v/>
      </c>
      <c r="I2565" s="26"/>
      <c r="J2565" s="26" t="s">
        <v>77</v>
      </c>
      <c r="L2565" s="27" t="s">
        <v>77</v>
      </c>
      <c r="N2565" s="28" t="s">
        <v>77</v>
      </c>
      <c r="Q2565" s="30"/>
    </row>
    <row r="2566">
      <c r="B2566" s="6"/>
      <c r="C2566" s="33" t="str">
        <f t="array" ref="C2566">IF(B2566="", "", XLOOKUP(B2566, Inventory!D:D,Inventory!E:E,"No Name Found"))</f>
        <v/>
      </c>
      <c r="D2566" s="6"/>
      <c r="E2566" s="6"/>
      <c r="F2566" s="6"/>
      <c r="G2566" s="24" t="str">
        <f>IF(F2566="", "", VLOOKUP(F2566, Inventory!A:BZ, 3, FALSE) - SUMIF($F$1:$F2565, F2566, $H$1:$H2565))
</f>
        <v/>
      </c>
      <c r="I2566" s="26"/>
      <c r="J2566" s="26" t="s">
        <v>77</v>
      </c>
      <c r="L2566" s="27" t="s">
        <v>77</v>
      </c>
      <c r="N2566" s="28" t="s">
        <v>77</v>
      </c>
      <c r="Q2566" s="30"/>
    </row>
    <row r="2567">
      <c r="B2567" s="6"/>
      <c r="C2567" s="33" t="str">
        <f t="array" ref="C2567">IF(B2567="", "", XLOOKUP(B2567, Inventory!D:D,Inventory!E:E,"No Name Found"))</f>
        <v/>
      </c>
      <c r="D2567" s="6"/>
      <c r="E2567" s="6"/>
      <c r="F2567" s="6"/>
      <c r="G2567" s="24" t="str">
        <f>IF(F2567="", "", VLOOKUP(F2567, Inventory!A:BZ, 3, FALSE) - SUMIF($F$1:$F2566, F2567, $H$1:$H2566))
</f>
        <v/>
      </c>
      <c r="I2567" s="26"/>
      <c r="J2567" s="26" t="s">
        <v>77</v>
      </c>
      <c r="L2567" s="27" t="s">
        <v>77</v>
      </c>
      <c r="N2567" s="28" t="s">
        <v>77</v>
      </c>
      <c r="Q2567" s="30"/>
    </row>
    <row r="2568">
      <c r="B2568" s="6"/>
      <c r="C2568" s="33" t="str">
        <f t="array" ref="C2568">IF(B2568="", "", XLOOKUP(B2568, Inventory!D:D,Inventory!E:E,"No Name Found"))</f>
        <v/>
      </c>
      <c r="D2568" s="6"/>
      <c r="E2568" s="6"/>
      <c r="F2568" s="6"/>
      <c r="G2568" s="24" t="str">
        <f>IF(F2568="", "", VLOOKUP(F2568, Inventory!A:BZ, 3, FALSE) - SUMIF($F$1:$F2567, F2568, $H$1:$H2567))
</f>
        <v/>
      </c>
      <c r="I2568" s="26"/>
      <c r="J2568" s="26" t="s">
        <v>77</v>
      </c>
      <c r="L2568" s="27" t="s">
        <v>77</v>
      </c>
      <c r="N2568" s="28" t="s">
        <v>77</v>
      </c>
      <c r="Q2568" s="30"/>
    </row>
    <row r="2569">
      <c r="B2569" s="6"/>
      <c r="C2569" s="33" t="str">
        <f t="array" ref="C2569">IF(B2569="", "", XLOOKUP(B2569, Inventory!D:D,Inventory!E:E,"No Name Found"))</f>
        <v/>
      </c>
      <c r="D2569" s="6"/>
      <c r="E2569" s="6"/>
      <c r="F2569" s="6"/>
      <c r="G2569" s="24" t="str">
        <f>IF(F2569="", "", VLOOKUP(F2569, Inventory!A:BZ, 3, FALSE) - SUMIF($F$1:$F2568, F2569, $H$1:$H2568))
</f>
        <v/>
      </c>
      <c r="I2569" s="26"/>
      <c r="J2569" s="26" t="s">
        <v>77</v>
      </c>
      <c r="L2569" s="27" t="s">
        <v>77</v>
      </c>
      <c r="N2569" s="28" t="s">
        <v>77</v>
      </c>
      <c r="Q2569" s="30"/>
    </row>
    <row r="2570">
      <c r="B2570" s="6"/>
      <c r="C2570" s="33" t="str">
        <f t="array" ref="C2570">IF(B2570="", "", XLOOKUP(B2570, Inventory!D:D,Inventory!E:E,"No Name Found"))</f>
        <v/>
      </c>
      <c r="D2570" s="6"/>
      <c r="E2570" s="6"/>
      <c r="F2570" s="6"/>
      <c r="G2570" s="24" t="str">
        <f>IF(F2570="", "", VLOOKUP(F2570, Inventory!A:BZ, 3, FALSE) - SUMIF($F$1:$F2569, F2570, $H$1:$H2569))
</f>
        <v/>
      </c>
      <c r="I2570" s="26"/>
      <c r="J2570" s="26" t="s">
        <v>77</v>
      </c>
      <c r="L2570" s="27" t="s">
        <v>77</v>
      </c>
      <c r="N2570" s="28" t="s">
        <v>77</v>
      </c>
      <c r="Q2570" s="30"/>
    </row>
    <row r="2571">
      <c r="B2571" s="6"/>
      <c r="C2571" s="33" t="str">
        <f t="array" ref="C2571">IF(B2571="", "", XLOOKUP(B2571, Inventory!D:D,Inventory!E:E,"No Name Found"))</f>
        <v/>
      </c>
      <c r="D2571" s="6"/>
      <c r="E2571" s="6"/>
      <c r="F2571" s="6"/>
      <c r="G2571" s="24" t="str">
        <f>IF(F2571="", "", VLOOKUP(F2571, Inventory!A:BZ, 3, FALSE) - SUMIF($F$1:$F2570, F2571, $H$1:$H2570))
</f>
        <v/>
      </c>
      <c r="I2571" s="26"/>
      <c r="J2571" s="26" t="s">
        <v>77</v>
      </c>
      <c r="L2571" s="27" t="s">
        <v>77</v>
      </c>
      <c r="N2571" s="28" t="s">
        <v>77</v>
      </c>
      <c r="Q2571" s="30"/>
    </row>
    <row r="2572">
      <c r="B2572" s="6"/>
      <c r="C2572" s="33" t="str">
        <f t="array" ref="C2572">IF(B2572="", "", XLOOKUP(B2572, Inventory!D:D,Inventory!E:E,"No Name Found"))</f>
        <v/>
      </c>
      <c r="D2572" s="6"/>
      <c r="E2572" s="6"/>
      <c r="F2572" s="6"/>
      <c r="G2572" s="24" t="str">
        <f>IF(F2572="", "", VLOOKUP(F2572, Inventory!A:BZ, 3, FALSE) - SUMIF($F$1:$F2571, F2572, $H$1:$H2571))
</f>
        <v/>
      </c>
      <c r="I2572" s="26"/>
      <c r="J2572" s="26" t="s">
        <v>77</v>
      </c>
      <c r="L2572" s="27" t="s">
        <v>77</v>
      </c>
      <c r="N2572" s="28" t="s">
        <v>77</v>
      </c>
      <c r="Q2572" s="30"/>
    </row>
    <row r="2573">
      <c r="B2573" s="6"/>
      <c r="C2573" s="33" t="str">
        <f t="array" ref="C2573">IF(B2573="", "", XLOOKUP(B2573, Inventory!D:D,Inventory!E:E,"No Name Found"))</f>
        <v/>
      </c>
      <c r="D2573" s="6"/>
      <c r="E2573" s="6"/>
      <c r="F2573" s="6"/>
      <c r="G2573" s="24" t="str">
        <f>IF(F2573="", "", VLOOKUP(F2573, Inventory!A:BZ, 3, FALSE) - SUMIF($F$1:$F2572, F2573, $H$1:$H2572))
</f>
        <v/>
      </c>
      <c r="I2573" s="26"/>
      <c r="J2573" s="26" t="s">
        <v>77</v>
      </c>
      <c r="L2573" s="27" t="s">
        <v>77</v>
      </c>
      <c r="N2573" s="28" t="s">
        <v>77</v>
      </c>
      <c r="Q2573" s="30"/>
    </row>
    <row r="2574">
      <c r="B2574" s="6"/>
      <c r="C2574" s="33" t="str">
        <f t="array" ref="C2574">IF(B2574="", "", XLOOKUP(B2574, Inventory!D:D,Inventory!E:E,"No Name Found"))</f>
        <v/>
      </c>
      <c r="D2574" s="6"/>
      <c r="E2574" s="6"/>
      <c r="F2574" s="6"/>
      <c r="G2574" s="24" t="str">
        <f>IF(F2574="", "", VLOOKUP(F2574, Inventory!A:BZ, 3, FALSE) - SUMIF($F$1:$F2573, F2574, $H$1:$H2573))
</f>
        <v/>
      </c>
      <c r="I2574" s="26"/>
      <c r="J2574" s="26" t="s">
        <v>77</v>
      </c>
      <c r="L2574" s="27" t="s">
        <v>77</v>
      </c>
      <c r="N2574" s="28" t="s">
        <v>77</v>
      </c>
      <c r="Q2574" s="30"/>
    </row>
    <row r="2575">
      <c r="B2575" s="6"/>
      <c r="C2575" s="33" t="str">
        <f t="array" ref="C2575">IF(B2575="", "", XLOOKUP(B2575, Inventory!D:D,Inventory!E:E,"No Name Found"))</f>
        <v/>
      </c>
      <c r="D2575" s="6"/>
      <c r="E2575" s="6"/>
      <c r="F2575" s="6"/>
      <c r="G2575" s="24" t="str">
        <f>IF(F2575="", "", VLOOKUP(F2575, Inventory!A:BZ, 3, FALSE) - SUMIF($F$1:$F2574, F2575, $H$1:$H2574))
</f>
        <v/>
      </c>
      <c r="I2575" s="26"/>
      <c r="J2575" s="26" t="s">
        <v>77</v>
      </c>
      <c r="L2575" s="27" t="s">
        <v>77</v>
      </c>
      <c r="N2575" s="28" t="s">
        <v>77</v>
      </c>
      <c r="Q2575" s="30"/>
    </row>
    <row r="2576">
      <c r="B2576" s="6"/>
      <c r="C2576" s="33" t="str">
        <f t="array" ref="C2576">IF(B2576="", "", XLOOKUP(B2576, Inventory!D:D,Inventory!E:E,"No Name Found"))</f>
        <v/>
      </c>
      <c r="D2576" s="6"/>
      <c r="E2576" s="6"/>
      <c r="F2576" s="6"/>
      <c r="G2576" s="24" t="str">
        <f>IF(F2576="", "", VLOOKUP(F2576, Inventory!A:BZ, 3, FALSE) - SUMIF($F$1:$F2575, F2576, $H$1:$H2575))
</f>
        <v/>
      </c>
      <c r="I2576" s="26"/>
      <c r="J2576" s="26" t="s">
        <v>77</v>
      </c>
      <c r="L2576" s="27" t="s">
        <v>77</v>
      </c>
      <c r="N2576" s="28" t="s">
        <v>77</v>
      </c>
      <c r="Q2576" s="30"/>
    </row>
    <row r="2577">
      <c r="B2577" s="6"/>
      <c r="C2577" s="33" t="str">
        <f t="array" ref="C2577">IF(B2577="", "", XLOOKUP(B2577, Inventory!D:D,Inventory!E:E,"No Name Found"))</f>
        <v/>
      </c>
      <c r="D2577" s="6"/>
      <c r="E2577" s="6"/>
      <c r="F2577" s="6"/>
      <c r="G2577" s="24" t="str">
        <f>IF(F2577="", "", VLOOKUP(F2577, Inventory!A:BZ, 3, FALSE) - SUMIF($F$1:$F2576, F2577, $H$1:$H2576))
</f>
        <v/>
      </c>
      <c r="I2577" s="26"/>
      <c r="J2577" s="26" t="s">
        <v>77</v>
      </c>
      <c r="L2577" s="27" t="s">
        <v>77</v>
      </c>
      <c r="N2577" s="28" t="s">
        <v>77</v>
      </c>
      <c r="Q2577" s="30"/>
    </row>
    <row r="2578">
      <c r="B2578" s="6"/>
      <c r="C2578" s="33" t="str">
        <f t="array" ref="C2578">IF(B2578="", "", XLOOKUP(B2578, Inventory!D:D,Inventory!E:E,"No Name Found"))</f>
        <v/>
      </c>
      <c r="D2578" s="6"/>
      <c r="E2578" s="6"/>
      <c r="F2578" s="6"/>
      <c r="G2578" s="24" t="str">
        <f>IF(F2578="", "", VLOOKUP(F2578, Inventory!A:BZ, 3, FALSE) - SUMIF($F$1:$F2577, F2578, $H$1:$H2577))
</f>
        <v/>
      </c>
      <c r="I2578" s="26"/>
      <c r="J2578" s="26" t="s">
        <v>77</v>
      </c>
      <c r="L2578" s="27" t="s">
        <v>77</v>
      </c>
      <c r="N2578" s="28" t="s">
        <v>77</v>
      </c>
      <c r="Q2578" s="30"/>
    </row>
    <row r="2579">
      <c r="B2579" s="6"/>
      <c r="C2579" s="33" t="str">
        <f t="array" ref="C2579">IF(B2579="", "", XLOOKUP(B2579, Inventory!D:D,Inventory!E:E,"No Name Found"))</f>
        <v/>
      </c>
      <c r="D2579" s="6"/>
      <c r="E2579" s="6"/>
      <c r="F2579" s="6"/>
      <c r="G2579" s="24" t="str">
        <f>IF(F2579="", "", VLOOKUP(F2579, Inventory!A:BZ, 3, FALSE) - SUMIF($F$1:$F2578, F2579, $H$1:$H2578))
</f>
        <v/>
      </c>
      <c r="I2579" s="26"/>
      <c r="J2579" s="26" t="s">
        <v>77</v>
      </c>
      <c r="L2579" s="27" t="s">
        <v>77</v>
      </c>
      <c r="N2579" s="28" t="s">
        <v>77</v>
      </c>
      <c r="Q2579" s="30"/>
    </row>
    <row r="2580">
      <c r="B2580" s="6"/>
      <c r="C2580" s="33" t="str">
        <f t="array" ref="C2580">IF(B2580="", "", XLOOKUP(B2580, Inventory!D:D,Inventory!E:E,"No Name Found"))</f>
        <v/>
      </c>
      <c r="D2580" s="6"/>
      <c r="E2580" s="6"/>
      <c r="F2580" s="6"/>
      <c r="G2580" s="24" t="str">
        <f>IF(F2580="", "", VLOOKUP(F2580, Inventory!A:BZ, 3, FALSE) - SUMIF($F$1:$F2579, F2580, $H$1:$H2579))
</f>
        <v/>
      </c>
      <c r="I2580" s="26"/>
      <c r="J2580" s="26" t="s">
        <v>77</v>
      </c>
      <c r="L2580" s="27" t="s">
        <v>77</v>
      </c>
      <c r="N2580" s="28" t="s">
        <v>77</v>
      </c>
      <c r="Q2580" s="30"/>
    </row>
    <row r="2581">
      <c r="B2581" s="6"/>
      <c r="C2581" s="33" t="str">
        <f t="array" ref="C2581">IF(B2581="", "", XLOOKUP(B2581, Inventory!D:D,Inventory!E:E,"No Name Found"))</f>
        <v/>
      </c>
      <c r="D2581" s="6"/>
      <c r="E2581" s="6"/>
      <c r="F2581" s="6"/>
      <c r="G2581" s="24" t="str">
        <f>IF(F2581="", "", VLOOKUP(F2581, Inventory!A:BZ, 3, FALSE) - SUMIF($F$1:$F2580, F2581, $H$1:$H2580))
</f>
        <v/>
      </c>
      <c r="I2581" s="26"/>
      <c r="J2581" s="26" t="s">
        <v>77</v>
      </c>
      <c r="L2581" s="27" t="s">
        <v>77</v>
      </c>
      <c r="N2581" s="28" t="s">
        <v>77</v>
      </c>
      <c r="Q2581" s="30"/>
    </row>
    <row r="2582">
      <c r="B2582" s="6"/>
      <c r="C2582" s="33" t="str">
        <f t="array" ref="C2582">IF(B2582="", "", XLOOKUP(B2582, Inventory!D:D,Inventory!E:E,"No Name Found"))</f>
        <v/>
      </c>
      <c r="D2582" s="6"/>
      <c r="E2582" s="6"/>
      <c r="F2582" s="6"/>
      <c r="G2582" s="24" t="str">
        <f>IF(F2582="", "", VLOOKUP(F2582, Inventory!A:BZ, 3, FALSE) - SUMIF($F$1:$F2581, F2582, $H$1:$H2581))
</f>
        <v/>
      </c>
      <c r="I2582" s="26"/>
      <c r="J2582" s="26" t="s">
        <v>77</v>
      </c>
      <c r="L2582" s="27" t="s">
        <v>77</v>
      </c>
      <c r="N2582" s="28" t="s">
        <v>77</v>
      </c>
      <c r="Q2582" s="30"/>
    </row>
    <row r="2583">
      <c r="B2583" s="6"/>
      <c r="C2583" s="33" t="str">
        <f t="array" ref="C2583">IF(B2583="", "", XLOOKUP(B2583, Inventory!D:D,Inventory!E:E,"No Name Found"))</f>
        <v/>
      </c>
      <c r="D2583" s="6"/>
      <c r="E2583" s="6"/>
      <c r="F2583" s="6"/>
      <c r="G2583" s="24" t="str">
        <f>IF(F2583="", "", VLOOKUP(F2583, Inventory!A:BZ, 3, FALSE) - SUMIF($F$1:$F2582, F2583, $H$1:$H2582))
</f>
        <v/>
      </c>
      <c r="I2583" s="26"/>
      <c r="J2583" s="26" t="s">
        <v>77</v>
      </c>
      <c r="L2583" s="27" t="s">
        <v>77</v>
      </c>
      <c r="N2583" s="28" t="s">
        <v>77</v>
      </c>
      <c r="Q2583" s="30"/>
    </row>
    <row r="2584">
      <c r="B2584" s="6"/>
      <c r="C2584" s="33" t="str">
        <f t="array" ref="C2584">IF(B2584="", "", XLOOKUP(B2584, Inventory!D:D,Inventory!E:E,"No Name Found"))</f>
        <v/>
      </c>
      <c r="D2584" s="6"/>
      <c r="E2584" s="6"/>
      <c r="F2584" s="6"/>
      <c r="G2584" s="24" t="str">
        <f>IF(F2584="", "", VLOOKUP(F2584, Inventory!A:BZ, 3, FALSE) - SUMIF($F$1:$F2583, F2584, $H$1:$H2583))
</f>
        <v/>
      </c>
      <c r="I2584" s="26"/>
      <c r="J2584" s="26" t="s">
        <v>77</v>
      </c>
      <c r="L2584" s="27" t="s">
        <v>77</v>
      </c>
      <c r="N2584" s="28" t="s">
        <v>77</v>
      </c>
      <c r="Q2584" s="30"/>
    </row>
    <row r="2585">
      <c r="B2585" s="6"/>
      <c r="C2585" s="33" t="str">
        <f t="array" ref="C2585">IF(B2585="", "", XLOOKUP(B2585, Inventory!D:D,Inventory!E:E,"No Name Found"))</f>
        <v/>
      </c>
      <c r="D2585" s="6"/>
      <c r="E2585" s="6"/>
      <c r="F2585" s="6"/>
      <c r="G2585" s="24" t="str">
        <f>IF(F2585="", "", VLOOKUP(F2585, Inventory!A:BZ, 3, FALSE) - SUMIF($F$1:$F2584, F2585, $H$1:$H2584))
</f>
        <v/>
      </c>
      <c r="I2585" s="26"/>
      <c r="J2585" s="26" t="s">
        <v>77</v>
      </c>
      <c r="L2585" s="27" t="s">
        <v>77</v>
      </c>
      <c r="N2585" s="28" t="s">
        <v>77</v>
      </c>
      <c r="Q2585" s="30"/>
    </row>
    <row r="2586">
      <c r="B2586" s="6"/>
      <c r="C2586" s="33" t="str">
        <f t="array" ref="C2586">IF(B2586="", "", XLOOKUP(B2586, Inventory!D:D,Inventory!E:E,"No Name Found"))</f>
        <v/>
      </c>
      <c r="D2586" s="6"/>
      <c r="E2586" s="6"/>
      <c r="F2586" s="6"/>
      <c r="G2586" s="24" t="str">
        <f>IF(F2586="", "", VLOOKUP(F2586, Inventory!A:BZ, 3, FALSE) - SUMIF($F$1:$F2585, F2586, $H$1:$H2585))
</f>
        <v/>
      </c>
      <c r="I2586" s="26"/>
      <c r="J2586" s="26" t="s">
        <v>77</v>
      </c>
      <c r="L2586" s="27" t="s">
        <v>77</v>
      </c>
      <c r="N2586" s="28" t="s">
        <v>77</v>
      </c>
      <c r="Q2586" s="30"/>
    </row>
    <row r="2587">
      <c r="B2587" s="6"/>
      <c r="C2587" s="33" t="str">
        <f t="array" ref="C2587">IF(B2587="", "", XLOOKUP(B2587, Inventory!D:D,Inventory!E:E,"No Name Found"))</f>
        <v/>
      </c>
      <c r="D2587" s="6"/>
      <c r="E2587" s="6"/>
      <c r="F2587" s="6"/>
      <c r="G2587" s="24" t="str">
        <f>IF(F2587="", "", VLOOKUP(F2587, Inventory!A:BZ, 3, FALSE) - SUMIF($F$1:$F2586, F2587, $H$1:$H2586))
</f>
        <v/>
      </c>
      <c r="I2587" s="26"/>
      <c r="J2587" s="26" t="s">
        <v>77</v>
      </c>
      <c r="L2587" s="27" t="s">
        <v>77</v>
      </c>
      <c r="N2587" s="28" t="s">
        <v>77</v>
      </c>
      <c r="Q2587" s="30"/>
    </row>
    <row r="2588">
      <c r="B2588" s="6"/>
      <c r="C2588" s="33" t="str">
        <f t="array" ref="C2588">IF(B2588="", "", XLOOKUP(B2588, Inventory!D:D,Inventory!E:E,"No Name Found"))</f>
        <v/>
      </c>
      <c r="D2588" s="6"/>
      <c r="E2588" s="6"/>
      <c r="F2588" s="6"/>
      <c r="G2588" s="24" t="str">
        <f>IF(F2588="", "", VLOOKUP(F2588, Inventory!A:BZ, 3, FALSE) - SUMIF($F$1:$F2587, F2588, $H$1:$H2587))
</f>
        <v/>
      </c>
      <c r="I2588" s="26"/>
      <c r="J2588" s="26" t="s">
        <v>77</v>
      </c>
      <c r="L2588" s="27" t="s">
        <v>77</v>
      </c>
      <c r="N2588" s="28" t="s">
        <v>77</v>
      </c>
      <c r="Q2588" s="30"/>
    </row>
    <row r="2589">
      <c r="B2589" s="6"/>
      <c r="C2589" s="33" t="str">
        <f t="array" ref="C2589">IF(B2589="", "", XLOOKUP(B2589, Inventory!D:D,Inventory!E:E,"No Name Found"))</f>
        <v/>
      </c>
      <c r="D2589" s="6"/>
      <c r="E2589" s="6"/>
      <c r="F2589" s="6"/>
      <c r="G2589" s="24" t="str">
        <f>IF(F2589="", "", VLOOKUP(F2589, Inventory!A:BZ, 3, FALSE) - SUMIF($F$1:$F2588, F2589, $H$1:$H2588))
</f>
        <v/>
      </c>
      <c r="I2589" s="26"/>
      <c r="J2589" s="26" t="s">
        <v>77</v>
      </c>
      <c r="L2589" s="27" t="s">
        <v>77</v>
      </c>
      <c r="N2589" s="28" t="s">
        <v>77</v>
      </c>
      <c r="Q2589" s="30"/>
    </row>
    <row r="2590">
      <c r="B2590" s="6"/>
      <c r="C2590" s="33" t="str">
        <f t="array" ref="C2590">IF(B2590="", "", XLOOKUP(B2590, Inventory!D:D,Inventory!E:E,"No Name Found"))</f>
        <v/>
      </c>
      <c r="D2590" s="6"/>
      <c r="E2590" s="6"/>
      <c r="F2590" s="6"/>
      <c r="G2590" s="24" t="str">
        <f>IF(F2590="", "", VLOOKUP(F2590, Inventory!A:BZ, 3, FALSE) - SUMIF($F$1:$F2589, F2590, $H$1:$H2589))
</f>
        <v/>
      </c>
      <c r="I2590" s="26"/>
      <c r="J2590" s="26" t="s">
        <v>77</v>
      </c>
      <c r="L2590" s="27" t="s">
        <v>77</v>
      </c>
      <c r="N2590" s="28" t="s">
        <v>77</v>
      </c>
      <c r="Q2590" s="30"/>
    </row>
    <row r="2591">
      <c r="B2591" s="6"/>
      <c r="C2591" s="33" t="str">
        <f t="array" ref="C2591">IF(B2591="", "", XLOOKUP(B2591, Inventory!D:D,Inventory!E:E,"No Name Found"))</f>
        <v/>
      </c>
      <c r="D2591" s="6"/>
      <c r="E2591" s="6"/>
      <c r="F2591" s="6"/>
      <c r="G2591" s="24" t="str">
        <f>IF(F2591="", "", VLOOKUP(F2591, Inventory!A:BZ, 3, FALSE) - SUMIF($F$1:$F2590, F2591, $H$1:$H2590))
</f>
        <v/>
      </c>
      <c r="I2591" s="26"/>
      <c r="J2591" s="26" t="s">
        <v>77</v>
      </c>
      <c r="L2591" s="27" t="s">
        <v>77</v>
      </c>
      <c r="N2591" s="28" t="s">
        <v>77</v>
      </c>
      <c r="Q2591" s="30"/>
    </row>
    <row r="2592">
      <c r="B2592" s="6"/>
      <c r="C2592" s="33" t="str">
        <f t="array" ref="C2592">IF(B2592="", "", XLOOKUP(B2592, Inventory!D:D,Inventory!E:E,"No Name Found"))</f>
        <v/>
      </c>
      <c r="D2592" s="6"/>
      <c r="E2592" s="6"/>
      <c r="F2592" s="6"/>
      <c r="G2592" s="24" t="str">
        <f>IF(F2592="", "", VLOOKUP(F2592, Inventory!A:BZ, 3, FALSE) - SUMIF($F$1:$F2591, F2592, $H$1:$H2591))
</f>
        <v/>
      </c>
      <c r="I2592" s="26"/>
      <c r="J2592" s="26" t="s">
        <v>77</v>
      </c>
      <c r="L2592" s="27" t="s">
        <v>77</v>
      </c>
      <c r="N2592" s="28" t="s">
        <v>77</v>
      </c>
      <c r="Q2592" s="30"/>
    </row>
    <row r="2593">
      <c r="B2593" s="6"/>
      <c r="C2593" s="33" t="str">
        <f t="array" ref="C2593">IF(B2593="", "", XLOOKUP(B2593, Inventory!D:D,Inventory!E:E,"No Name Found"))</f>
        <v/>
      </c>
      <c r="D2593" s="6"/>
      <c r="E2593" s="6"/>
      <c r="F2593" s="6"/>
      <c r="G2593" s="24" t="str">
        <f>IF(F2593="", "", VLOOKUP(F2593, Inventory!A:BZ, 3, FALSE) - SUMIF($F$1:$F2592, F2593, $H$1:$H2592))
</f>
        <v/>
      </c>
      <c r="I2593" s="26"/>
      <c r="J2593" s="26" t="s">
        <v>77</v>
      </c>
      <c r="L2593" s="27" t="s">
        <v>77</v>
      </c>
      <c r="N2593" s="28" t="s">
        <v>77</v>
      </c>
      <c r="Q2593" s="30"/>
    </row>
    <row r="2594">
      <c r="B2594" s="6"/>
      <c r="C2594" s="33" t="str">
        <f t="array" ref="C2594">IF(B2594="", "", XLOOKUP(B2594, Inventory!D:D,Inventory!E:E,"No Name Found"))</f>
        <v/>
      </c>
      <c r="D2594" s="6"/>
      <c r="E2594" s="6"/>
      <c r="F2594" s="6"/>
      <c r="G2594" s="24" t="str">
        <f>IF(F2594="", "", VLOOKUP(F2594, Inventory!A:BZ, 3, FALSE) - SUMIF($F$1:$F2593, F2594, $H$1:$H2593))
</f>
        <v/>
      </c>
      <c r="I2594" s="26"/>
      <c r="J2594" s="26" t="s">
        <v>77</v>
      </c>
      <c r="L2594" s="27" t="s">
        <v>77</v>
      </c>
      <c r="N2594" s="28" t="s">
        <v>77</v>
      </c>
      <c r="Q2594" s="30"/>
    </row>
    <row r="2595">
      <c r="B2595" s="6"/>
      <c r="C2595" s="33" t="str">
        <f t="array" ref="C2595">IF(B2595="", "", XLOOKUP(B2595, Inventory!D:D,Inventory!E:E,"No Name Found"))</f>
        <v/>
      </c>
      <c r="D2595" s="6"/>
      <c r="E2595" s="6"/>
      <c r="F2595" s="6"/>
      <c r="G2595" s="24" t="str">
        <f>IF(F2595="", "", VLOOKUP(F2595, Inventory!A:BZ, 3, FALSE) - SUMIF($F$1:$F2594, F2595, $H$1:$H2594))
</f>
        <v/>
      </c>
      <c r="I2595" s="26"/>
      <c r="J2595" s="26" t="s">
        <v>77</v>
      </c>
      <c r="L2595" s="27" t="s">
        <v>77</v>
      </c>
      <c r="N2595" s="28" t="s">
        <v>77</v>
      </c>
      <c r="Q2595" s="30"/>
    </row>
    <row r="2596">
      <c r="B2596" s="6"/>
      <c r="C2596" s="33" t="str">
        <f t="array" ref="C2596">IF(B2596="", "", XLOOKUP(B2596, Inventory!D:D,Inventory!E:E,"No Name Found"))</f>
        <v/>
      </c>
      <c r="D2596" s="6"/>
      <c r="E2596" s="6"/>
      <c r="F2596" s="6"/>
      <c r="G2596" s="24" t="str">
        <f>IF(F2596="", "", VLOOKUP(F2596, Inventory!A:BZ, 3, FALSE) - SUMIF($F$1:$F2595, F2596, $H$1:$H2595))
</f>
        <v/>
      </c>
      <c r="I2596" s="26"/>
      <c r="J2596" s="26" t="s">
        <v>77</v>
      </c>
      <c r="L2596" s="27" t="s">
        <v>77</v>
      </c>
      <c r="N2596" s="28" t="s">
        <v>77</v>
      </c>
      <c r="Q2596" s="30"/>
    </row>
    <row r="2597">
      <c r="B2597" s="6"/>
      <c r="C2597" s="33" t="str">
        <f t="array" ref="C2597">IF(B2597="", "", XLOOKUP(B2597, Inventory!D:D,Inventory!E:E,"No Name Found"))</f>
        <v/>
      </c>
      <c r="D2597" s="6"/>
      <c r="E2597" s="6"/>
      <c r="F2597" s="6"/>
      <c r="G2597" s="24" t="str">
        <f>IF(F2597="", "", VLOOKUP(F2597, Inventory!A:BZ, 3, FALSE) - SUMIF($F$1:$F2596, F2597, $H$1:$H2596))
</f>
        <v/>
      </c>
      <c r="I2597" s="26"/>
      <c r="J2597" s="26" t="s">
        <v>77</v>
      </c>
      <c r="L2597" s="27" t="s">
        <v>77</v>
      </c>
      <c r="N2597" s="28" t="s">
        <v>77</v>
      </c>
      <c r="Q2597" s="30"/>
    </row>
    <row r="2598">
      <c r="B2598" s="6"/>
      <c r="C2598" s="33" t="str">
        <f t="array" ref="C2598">IF(B2598="", "", XLOOKUP(B2598, Inventory!D:D,Inventory!E:E,"No Name Found"))</f>
        <v/>
      </c>
      <c r="D2598" s="6"/>
      <c r="E2598" s="6"/>
      <c r="F2598" s="6"/>
      <c r="G2598" s="24" t="str">
        <f>IF(F2598="", "", VLOOKUP(F2598, Inventory!A:BZ, 3, FALSE) - SUMIF($F$1:$F2597, F2598, $H$1:$H2597))
</f>
        <v/>
      </c>
      <c r="I2598" s="26"/>
      <c r="J2598" s="26" t="s">
        <v>77</v>
      </c>
      <c r="L2598" s="27" t="s">
        <v>77</v>
      </c>
      <c r="N2598" s="28" t="s">
        <v>77</v>
      </c>
      <c r="Q2598" s="30"/>
    </row>
    <row r="2599">
      <c r="B2599" s="6"/>
      <c r="C2599" s="33" t="str">
        <f t="array" ref="C2599">IF(B2599="", "", XLOOKUP(B2599, Inventory!D:D,Inventory!E:E,"No Name Found"))</f>
        <v/>
      </c>
      <c r="D2599" s="6"/>
      <c r="E2599" s="6"/>
      <c r="F2599" s="6"/>
      <c r="G2599" s="24" t="str">
        <f>IF(F2599="", "", VLOOKUP(F2599, Inventory!A:BZ, 3, FALSE) - SUMIF($F$1:$F2598, F2599, $H$1:$H2598))
</f>
        <v/>
      </c>
      <c r="I2599" s="26"/>
      <c r="J2599" s="26" t="s">
        <v>77</v>
      </c>
      <c r="L2599" s="27" t="s">
        <v>77</v>
      </c>
      <c r="N2599" s="28" t="s">
        <v>77</v>
      </c>
      <c r="Q2599" s="30"/>
    </row>
    <row r="2600">
      <c r="B2600" s="6"/>
      <c r="C2600" s="33" t="str">
        <f t="array" ref="C2600">IF(B2600="", "", XLOOKUP(B2600, Inventory!D:D,Inventory!E:E,"No Name Found"))</f>
        <v/>
      </c>
      <c r="D2600" s="6"/>
      <c r="E2600" s="6"/>
      <c r="F2600" s="6"/>
      <c r="G2600" s="24" t="str">
        <f>IF(F2600="", "", VLOOKUP(F2600, Inventory!A:BZ, 3, FALSE) - SUMIF($F$1:$F2599, F2600, $H$1:$H2599))
</f>
        <v/>
      </c>
      <c r="I2600" s="26"/>
      <c r="J2600" s="26" t="s">
        <v>77</v>
      </c>
      <c r="L2600" s="27" t="s">
        <v>77</v>
      </c>
      <c r="N2600" s="28" t="s">
        <v>77</v>
      </c>
      <c r="Q2600" s="30"/>
    </row>
    <row r="2601">
      <c r="B2601" s="6"/>
      <c r="C2601" s="33" t="str">
        <f t="array" ref="C2601">IF(B2601="", "", XLOOKUP(B2601, Inventory!D:D,Inventory!E:E,"No Name Found"))</f>
        <v/>
      </c>
      <c r="D2601" s="6"/>
      <c r="E2601" s="6"/>
      <c r="F2601" s="6"/>
      <c r="G2601" s="24" t="str">
        <f>IF(F2601="", "", VLOOKUP(F2601, Inventory!A:BZ, 3, FALSE) - SUMIF($F$1:$F2600, F2601, $H$1:$H2600))
</f>
        <v/>
      </c>
      <c r="I2601" s="26"/>
      <c r="J2601" s="26" t="s">
        <v>77</v>
      </c>
      <c r="L2601" s="27" t="s">
        <v>77</v>
      </c>
      <c r="N2601" s="28" t="s">
        <v>77</v>
      </c>
      <c r="Q2601" s="30"/>
    </row>
    <row r="2602">
      <c r="B2602" s="6"/>
      <c r="C2602" s="33" t="str">
        <f t="array" ref="C2602">IF(B2602="", "", XLOOKUP(B2602, Inventory!D:D,Inventory!E:E,"No Name Found"))</f>
        <v/>
      </c>
      <c r="D2602" s="6"/>
      <c r="E2602" s="6"/>
      <c r="F2602" s="6"/>
      <c r="G2602" s="24" t="str">
        <f>IF(F2602="", "", VLOOKUP(F2602, Inventory!A:BZ, 3, FALSE) - SUMIF($F$1:$F2601, F2602, $H$1:$H2601))
</f>
        <v/>
      </c>
      <c r="I2602" s="26"/>
      <c r="J2602" s="26" t="s">
        <v>77</v>
      </c>
      <c r="L2602" s="27" t="s">
        <v>77</v>
      </c>
      <c r="N2602" s="28" t="s">
        <v>77</v>
      </c>
      <c r="Q2602" s="30"/>
    </row>
    <row r="2603">
      <c r="B2603" s="6"/>
      <c r="C2603" s="33" t="str">
        <f t="array" ref="C2603">IF(B2603="", "", XLOOKUP(B2603, Inventory!D:D,Inventory!E:E,"No Name Found"))</f>
        <v/>
      </c>
      <c r="D2603" s="6"/>
      <c r="E2603" s="6"/>
      <c r="F2603" s="6"/>
      <c r="G2603" s="24" t="str">
        <f>IF(F2603="", "", VLOOKUP(F2603, Inventory!A:BZ, 3, FALSE) - SUMIF($F$1:$F2602, F2603, $H$1:$H2602))
</f>
        <v/>
      </c>
      <c r="I2603" s="26"/>
      <c r="J2603" s="26" t="s">
        <v>77</v>
      </c>
      <c r="L2603" s="27" t="s">
        <v>77</v>
      </c>
      <c r="N2603" s="28" t="s">
        <v>77</v>
      </c>
      <c r="Q2603" s="30"/>
    </row>
    <row r="2604">
      <c r="B2604" s="6"/>
      <c r="C2604" s="33" t="str">
        <f t="array" ref="C2604">IF(B2604="", "", XLOOKUP(B2604, Inventory!D:D,Inventory!E:E,"No Name Found"))</f>
        <v/>
      </c>
      <c r="D2604" s="6"/>
      <c r="E2604" s="6"/>
      <c r="F2604" s="6"/>
      <c r="G2604" s="24" t="str">
        <f>IF(F2604="", "", VLOOKUP(F2604, Inventory!A:BZ, 3, FALSE) - SUMIF($F$1:$F2603, F2604, $H$1:$H2603))
</f>
        <v/>
      </c>
      <c r="I2604" s="26"/>
      <c r="J2604" s="26" t="s">
        <v>77</v>
      </c>
      <c r="L2604" s="27" t="s">
        <v>77</v>
      </c>
      <c r="N2604" s="28" t="s">
        <v>77</v>
      </c>
      <c r="Q2604" s="30"/>
    </row>
    <row r="2605">
      <c r="B2605" s="6"/>
      <c r="C2605" s="33" t="str">
        <f t="array" ref="C2605">IF(B2605="", "", XLOOKUP(B2605, Inventory!D:D,Inventory!E:E,"No Name Found"))</f>
        <v/>
      </c>
      <c r="D2605" s="6"/>
      <c r="E2605" s="6"/>
      <c r="F2605" s="6"/>
      <c r="G2605" s="24" t="str">
        <f>IF(F2605="", "", VLOOKUP(F2605, Inventory!A:BZ, 3, FALSE) - SUMIF($F$1:$F2604, F2605, $H$1:$H2604))
</f>
        <v/>
      </c>
      <c r="I2605" s="26"/>
      <c r="J2605" s="26" t="s">
        <v>77</v>
      </c>
      <c r="L2605" s="27" t="s">
        <v>77</v>
      </c>
      <c r="N2605" s="28" t="s">
        <v>77</v>
      </c>
      <c r="Q2605" s="30"/>
    </row>
    <row r="2606">
      <c r="B2606" s="6"/>
      <c r="C2606" s="33" t="str">
        <f t="array" ref="C2606">IF(B2606="", "", XLOOKUP(B2606, Inventory!D:D,Inventory!E:E,"No Name Found"))</f>
        <v/>
      </c>
      <c r="D2606" s="6"/>
      <c r="E2606" s="6"/>
      <c r="F2606" s="6"/>
      <c r="G2606" s="24" t="str">
        <f>IF(F2606="", "", VLOOKUP(F2606, Inventory!A:BZ, 3, FALSE) - SUMIF($F$1:$F2605, F2606, $H$1:$H2605))
</f>
        <v/>
      </c>
      <c r="I2606" s="26"/>
      <c r="J2606" s="26" t="s">
        <v>77</v>
      </c>
      <c r="L2606" s="27" t="s">
        <v>77</v>
      </c>
      <c r="N2606" s="28" t="s">
        <v>77</v>
      </c>
      <c r="Q2606" s="30"/>
    </row>
    <row r="2607">
      <c r="B2607" s="6"/>
      <c r="C2607" s="33" t="str">
        <f t="array" ref="C2607">IF(B2607="", "", XLOOKUP(B2607, Inventory!D:D,Inventory!E:E,"No Name Found"))</f>
        <v/>
      </c>
      <c r="D2607" s="6"/>
      <c r="E2607" s="6"/>
      <c r="F2607" s="6"/>
      <c r="G2607" s="24" t="str">
        <f>IF(F2607="", "", VLOOKUP(F2607, Inventory!A:BZ, 3, FALSE) - SUMIF($F$1:$F2606, F2607, $H$1:$H2606))
</f>
        <v/>
      </c>
      <c r="I2607" s="26"/>
      <c r="J2607" s="26" t="s">
        <v>77</v>
      </c>
      <c r="L2607" s="27" t="s">
        <v>77</v>
      </c>
      <c r="N2607" s="28" t="s">
        <v>77</v>
      </c>
      <c r="Q2607" s="30"/>
    </row>
    <row r="2608">
      <c r="B2608" s="6"/>
      <c r="C2608" s="33" t="str">
        <f t="array" ref="C2608">IF(B2608="", "", XLOOKUP(B2608, Inventory!D:D,Inventory!E:E,"No Name Found"))</f>
        <v/>
      </c>
      <c r="D2608" s="6"/>
      <c r="E2608" s="6"/>
      <c r="F2608" s="6"/>
      <c r="G2608" s="24" t="str">
        <f>IF(F2608="", "", VLOOKUP(F2608, Inventory!A:BZ, 3, FALSE) - SUMIF($F$1:$F2607, F2608, $H$1:$H2607))
</f>
        <v/>
      </c>
      <c r="I2608" s="26"/>
      <c r="J2608" s="26" t="s">
        <v>77</v>
      </c>
      <c r="L2608" s="27" t="s">
        <v>77</v>
      </c>
      <c r="N2608" s="28" t="s">
        <v>77</v>
      </c>
      <c r="Q2608" s="30"/>
    </row>
    <row r="2609">
      <c r="B2609" s="6"/>
      <c r="C2609" s="33" t="str">
        <f t="array" ref="C2609">IF(B2609="", "", XLOOKUP(B2609, Inventory!D:D,Inventory!E:E,"No Name Found"))</f>
        <v/>
      </c>
      <c r="D2609" s="6"/>
      <c r="E2609" s="6"/>
      <c r="F2609" s="6"/>
      <c r="G2609" s="24" t="str">
        <f>IF(F2609="", "", VLOOKUP(F2609, Inventory!A:BZ, 3, FALSE) - SUMIF($F$1:$F2608, F2609, $H$1:$H2608))
</f>
        <v/>
      </c>
      <c r="I2609" s="26"/>
      <c r="J2609" s="26" t="s">
        <v>77</v>
      </c>
      <c r="L2609" s="27" t="s">
        <v>77</v>
      </c>
      <c r="N2609" s="28" t="s">
        <v>77</v>
      </c>
      <c r="Q2609" s="30"/>
    </row>
    <row r="2610">
      <c r="B2610" s="6"/>
      <c r="C2610" s="33" t="str">
        <f t="array" ref="C2610">IF(B2610="", "", XLOOKUP(B2610, Inventory!D:D,Inventory!E:E,"No Name Found"))</f>
        <v/>
      </c>
      <c r="D2610" s="6"/>
      <c r="E2610" s="6"/>
      <c r="F2610" s="6"/>
      <c r="G2610" s="24" t="str">
        <f>IF(F2610="", "", VLOOKUP(F2610, Inventory!A:BZ, 3, FALSE) - SUMIF($F$1:$F2609, F2610, $H$1:$H2609))
</f>
        <v/>
      </c>
      <c r="I2610" s="26"/>
      <c r="J2610" s="26" t="s">
        <v>77</v>
      </c>
      <c r="L2610" s="27" t="s">
        <v>77</v>
      </c>
      <c r="N2610" s="28" t="s">
        <v>77</v>
      </c>
      <c r="Q2610" s="30"/>
    </row>
    <row r="2611">
      <c r="B2611" s="6"/>
      <c r="C2611" s="33" t="str">
        <f t="array" ref="C2611">IF(B2611="", "", XLOOKUP(B2611, Inventory!D:D,Inventory!E:E,"No Name Found"))</f>
        <v/>
      </c>
      <c r="D2611" s="6"/>
      <c r="E2611" s="6"/>
      <c r="F2611" s="6"/>
      <c r="G2611" s="24" t="str">
        <f>IF(F2611="", "", VLOOKUP(F2611, Inventory!A:BZ, 3, FALSE) - SUMIF($F$1:$F2610, F2611, $H$1:$H2610))
</f>
        <v/>
      </c>
      <c r="I2611" s="26"/>
      <c r="J2611" s="26" t="s">
        <v>77</v>
      </c>
      <c r="L2611" s="27" t="s">
        <v>77</v>
      </c>
      <c r="N2611" s="28" t="s">
        <v>77</v>
      </c>
      <c r="Q2611" s="30"/>
    </row>
    <row r="2612">
      <c r="B2612" s="6"/>
      <c r="C2612" s="33" t="str">
        <f t="array" ref="C2612">IF(B2612="", "", XLOOKUP(B2612, Inventory!D:D,Inventory!E:E,"No Name Found"))</f>
        <v/>
      </c>
      <c r="D2612" s="6"/>
      <c r="E2612" s="6"/>
      <c r="F2612" s="6"/>
      <c r="G2612" s="24" t="str">
        <f>IF(F2612="", "", VLOOKUP(F2612, Inventory!A:BZ, 3, FALSE) - SUMIF($F$1:$F2611, F2612, $H$1:$H2611))
</f>
        <v/>
      </c>
      <c r="I2612" s="26"/>
      <c r="J2612" s="26" t="s">
        <v>77</v>
      </c>
      <c r="L2612" s="27" t="s">
        <v>77</v>
      </c>
      <c r="N2612" s="28" t="s">
        <v>77</v>
      </c>
      <c r="Q2612" s="30"/>
    </row>
    <row r="2613">
      <c r="B2613" s="6"/>
      <c r="C2613" s="33" t="str">
        <f t="array" ref="C2613">IF(B2613="", "", XLOOKUP(B2613, Inventory!D:D,Inventory!E:E,"No Name Found"))</f>
        <v/>
      </c>
      <c r="D2613" s="6"/>
      <c r="E2613" s="6"/>
      <c r="F2613" s="6"/>
      <c r="G2613" s="24" t="str">
        <f>IF(F2613="", "", VLOOKUP(F2613, Inventory!A:BZ, 3, FALSE) - SUMIF($F$1:$F2612, F2613, $H$1:$H2612))
</f>
        <v/>
      </c>
      <c r="I2613" s="26"/>
      <c r="J2613" s="26" t="s">
        <v>77</v>
      </c>
      <c r="L2613" s="27" t="s">
        <v>77</v>
      </c>
      <c r="N2613" s="28" t="s">
        <v>77</v>
      </c>
      <c r="Q2613" s="30"/>
    </row>
    <row r="2614">
      <c r="B2614" s="6"/>
      <c r="C2614" s="33" t="str">
        <f t="array" ref="C2614">IF(B2614="", "", XLOOKUP(B2614, Inventory!D:D,Inventory!E:E,"No Name Found"))</f>
        <v/>
      </c>
      <c r="D2614" s="6"/>
      <c r="E2614" s="6"/>
      <c r="F2614" s="6"/>
      <c r="G2614" s="24" t="str">
        <f>IF(F2614="", "", VLOOKUP(F2614, Inventory!A:BZ, 3, FALSE) - SUMIF($F$1:$F2613, F2614, $H$1:$H2613))
</f>
        <v/>
      </c>
      <c r="I2614" s="26"/>
      <c r="J2614" s="26" t="s">
        <v>77</v>
      </c>
      <c r="L2614" s="27" t="s">
        <v>77</v>
      </c>
      <c r="N2614" s="28" t="s">
        <v>77</v>
      </c>
      <c r="Q2614" s="30"/>
    </row>
    <row r="2615">
      <c r="B2615" s="6"/>
      <c r="C2615" s="33" t="str">
        <f t="array" ref="C2615">IF(B2615="", "", XLOOKUP(B2615, Inventory!D:D,Inventory!E:E,"No Name Found"))</f>
        <v/>
      </c>
      <c r="D2615" s="6"/>
      <c r="E2615" s="6"/>
      <c r="F2615" s="6"/>
      <c r="G2615" s="24" t="str">
        <f>IF(F2615="", "", VLOOKUP(F2615, Inventory!A:BZ, 3, FALSE) - SUMIF($F$1:$F2614, F2615, $H$1:$H2614))
</f>
        <v/>
      </c>
      <c r="I2615" s="26"/>
      <c r="J2615" s="26" t="s">
        <v>77</v>
      </c>
      <c r="L2615" s="27" t="s">
        <v>77</v>
      </c>
      <c r="N2615" s="28" t="s">
        <v>77</v>
      </c>
      <c r="Q2615" s="30"/>
    </row>
    <row r="2616">
      <c r="B2616" s="6"/>
      <c r="C2616" s="33" t="str">
        <f t="array" ref="C2616">IF(B2616="", "", XLOOKUP(B2616, Inventory!D:D,Inventory!E:E,"No Name Found"))</f>
        <v/>
      </c>
      <c r="D2616" s="6"/>
      <c r="E2616" s="6"/>
      <c r="F2616" s="6"/>
      <c r="G2616" s="24" t="str">
        <f>IF(F2616="", "", VLOOKUP(F2616, Inventory!A:BZ, 3, FALSE) - SUMIF($F$1:$F2615, F2616, $H$1:$H2615))
</f>
        <v/>
      </c>
      <c r="I2616" s="26"/>
      <c r="J2616" s="26" t="s">
        <v>77</v>
      </c>
      <c r="L2616" s="27" t="s">
        <v>77</v>
      </c>
      <c r="N2616" s="28" t="s">
        <v>77</v>
      </c>
      <c r="Q2616" s="30"/>
    </row>
    <row r="2617">
      <c r="B2617" s="6"/>
      <c r="C2617" s="33" t="str">
        <f t="array" ref="C2617">IF(B2617="", "", XLOOKUP(B2617, Inventory!D:D,Inventory!E:E,"No Name Found"))</f>
        <v/>
      </c>
      <c r="D2617" s="6"/>
      <c r="E2617" s="6"/>
      <c r="F2617" s="6"/>
      <c r="G2617" s="24" t="str">
        <f>IF(F2617="", "", VLOOKUP(F2617, Inventory!A:BZ, 3, FALSE) - SUMIF($F$1:$F2616, F2617, $H$1:$H2616))
</f>
        <v/>
      </c>
      <c r="I2617" s="26"/>
      <c r="J2617" s="26" t="s">
        <v>77</v>
      </c>
      <c r="L2617" s="27" t="s">
        <v>77</v>
      </c>
      <c r="N2617" s="28" t="s">
        <v>77</v>
      </c>
      <c r="Q2617" s="30"/>
    </row>
    <row r="2618">
      <c r="B2618" s="6"/>
      <c r="C2618" s="33" t="str">
        <f t="array" ref="C2618">IF(B2618="", "", XLOOKUP(B2618, Inventory!D:D,Inventory!E:E,"No Name Found"))</f>
        <v/>
      </c>
      <c r="D2618" s="6"/>
      <c r="E2618" s="6"/>
      <c r="F2618" s="6"/>
      <c r="G2618" s="24" t="str">
        <f>IF(F2618="", "", VLOOKUP(F2618, Inventory!A:BZ, 3, FALSE) - SUMIF($F$1:$F2617, F2618, $H$1:$H2617))
</f>
        <v/>
      </c>
      <c r="I2618" s="26"/>
      <c r="J2618" s="26" t="s">
        <v>77</v>
      </c>
      <c r="L2618" s="27" t="s">
        <v>77</v>
      </c>
      <c r="N2618" s="28" t="s">
        <v>77</v>
      </c>
      <c r="Q2618" s="30"/>
    </row>
    <row r="2619">
      <c r="B2619" s="6"/>
      <c r="C2619" s="33" t="str">
        <f t="array" ref="C2619">IF(B2619="", "", XLOOKUP(B2619, Inventory!D:D,Inventory!E:E,"No Name Found"))</f>
        <v/>
      </c>
      <c r="D2619" s="6"/>
      <c r="E2619" s="6"/>
      <c r="F2619" s="6"/>
      <c r="G2619" s="24" t="str">
        <f>IF(F2619="", "", VLOOKUP(F2619, Inventory!A:BZ, 3, FALSE) - SUMIF($F$1:$F2618, F2619, $H$1:$H2618))
</f>
        <v/>
      </c>
      <c r="I2619" s="26"/>
      <c r="J2619" s="26" t="s">
        <v>77</v>
      </c>
      <c r="L2619" s="27" t="s">
        <v>77</v>
      </c>
      <c r="N2619" s="28" t="s">
        <v>77</v>
      </c>
      <c r="Q2619" s="30"/>
    </row>
    <row r="2620">
      <c r="B2620" s="6"/>
      <c r="C2620" s="33" t="str">
        <f t="array" ref="C2620">IF(B2620="", "", XLOOKUP(B2620, Inventory!D:D,Inventory!E:E,"No Name Found"))</f>
        <v/>
      </c>
      <c r="D2620" s="6"/>
      <c r="E2620" s="6"/>
      <c r="F2620" s="6"/>
      <c r="G2620" s="24" t="str">
        <f>IF(F2620="", "", VLOOKUP(F2620, Inventory!A:BZ, 3, FALSE) - SUMIF($F$1:$F2619, F2620, $H$1:$H2619))
</f>
        <v/>
      </c>
      <c r="I2620" s="26"/>
      <c r="J2620" s="26" t="s">
        <v>77</v>
      </c>
      <c r="L2620" s="27" t="s">
        <v>77</v>
      </c>
      <c r="N2620" s="28" t="s">
        <v>77</v>
      </c>
      <c r="Q2620" s="30"/>
    </row>
    <row r="2621">
      <c r="B2621" s="6"/>
      <c r="C2621" s="33" t="str">
        <f t="array" ref="C2621">IF(B2621="", "", XLOOKUP(B2621, Inventory!D:D,Inventory!E:E,"No Name Found"))</f>
        <v/>
      </c>
      <c r="D2621" s="6"/>
      <c r="E2621" s="6"/>
      <c r="F2621" s="6"/>
      <c r="G2621" s="24" t="str">
        <f>IF(F2621="", "", VLOOKUP(F2621, Inventory!A:BZ, 3, FALSE) - SUMIF($F$1:$F2620, F2621, $H$1:$H2620))
</f>
        <v/>
      </c>
      <c r="I2621" s="26"/>
      <c r="J2621" s="26" t="s">
        <v>77</v>
      </c>
      <c r="L2621" s="27" t="s">
        <v>77</v>
      </c>
      <c r="N2621" s="28" t="s">
        <v>77</v>
      </c>
      <c r="Q2621" s="30"/>
    </row>
    <row r="2622">
      <c r="B2622" s="6"/>
      <c r="C2622" s="33" t="str">
        <f t="array" ref="C2622">IF(B2622="", "", XLOOKUP(B2622, Inventory!D:D,Inventory!E:E,"No Name Found"))</f>
        <v/>
      </c>
      <c r="D2622" s="6"/>
      <c r="E2622" s="6"/>
      <c r="F2622" s="6"/>
      <c r="G2622" s="24" t="str">
        <f>IF(F2622="", "", VLOOKUP(F2622, Inventory!A:BZ, 3, FALSE) - SUMIF($F$1:$F2621, F2622, $H$1:$H2621))
</f>
        <v/>
      </c>
      <c r="I2622" s="26"/>
      <c r="J2622" s="26" t="s">
        <v>77</v>
      </c>
      <c r="L2622" s="27" t="s">
        <v>77</v>
      </c>
      <c r="N2622" s="28" t="s">
        <v>77</v>
      </c>
      <c r="Q2622" s="30"/>
    </row>
    <row r="2623">
      <c r="B2623" s="6"/>
      <c r="C2623" s="33" t="str">
        <f t="array" ref="C2623">IF(B2623="", "", XLOOKUP(B2623, Inventory!D:D,Inventory!E:E,"No Name Found"))</f>
        <v/>
      </c>
      <c r="D2623" s="6"/>
      <c r="E2623" s="6"/>
      <c r="F2623" s="6"/>
      <c r="G2623" s="24" t="str">
        <f>IF(F2623="", "", VLOOKUP(F2623, Inventory!A:BZ, 3, FALSE) - SUMIF($F$1:$F2622, F2623, $H$1:$H2622))
</f>
        <v/>
      </c>
      <c r="I2623" s="26"/>
      <c r="J2623" s="26" t="s">
        <v>77</v>
      </c>
      <c r="L2623" s="27" t="s">
        <v>77</v>
      </c>
      <c r="N2623" s="28" t="s">
        <v>77</v>
      </c>
      <c r="Q2623" s="30"/>
    </row>
    <row r="2624">
      <c r="B2624" s="6"/>
      <c r="C2624" s="33" t="str">
        <f t="array" ref="C2624">IF(B2624="", "", XLOOKUP(B2624, Inventory!D:D,Inventory!E:E,"No Name Found"))</f>
        <v/>
      </c>
      <c r="D2624" s="6"/>
      <c r="E2624" s="6"/>
      <c r="F2624" s="6"/>
      <c r="G2624" s="24" t="str">
        <f>IF(F2624="", "", VLOOKUP(F2624, Inventory!A:BZ, 3, FALSE) - SUMIF($F$1:$F2623, F2624, $H$1:$H2623))
</f>
        <v/>
      </c>
      <c r="I2624" s="26"/>
      <c r="J2624" s="26" t="s">
        <v>77</v>
      </c>
      <c r="L2624" s="27" t="s">
        <v>77</v>
      </c>
      <c r="N2624" s="28" t="s">
        <v>77</v>
      </c>
      <c r="Q2624" s="30"/>
    </row>
    <row r="2625">
      <c r="B2625" s="6"/>
      <c r="C2625" s="33" t="str">
        <f t="array" ref="C2625">IF(B2625="", "", XLOOKUP(B2625, Inventory!D:D,Inventory!E:E,"No Name Found"))</f>
        <v/>
      </c>
      <c r="D2625" s="6"/>
      <c r="E2625" s="6"/>
      <c r="F2625" s="6"/>
      <c r="G2625" s="24" t="str">
        <f>IF(F2625="", "", VLOOKUP(F2625, Inventory!A:BZ, 3, FALSE) - SUMIF($F$1:$F2624, F2625, $H$1:$H2624))
</f>
        <v/>
      </c>
      <c r="I2625" s="26"/>
      <c r="J2625" s="26" t="s">
        <v>77</v>
      </c>
      <c r="L2625" s="27" t="s">
        <v>77</v>
      </c>
      <c r="N2625" s="28" t="s">
        <v>77</v>
      </c>
      <c r="Q2625" s="30"/>
    </row>
    <row r="2626">
      <c r="B2626" s="6"/>
      <c r="C2626" s="33" t="str">
        <f t="array" ref="C2626">IF(B2626="", "", XLOOKUP(B2626, Inventory!D:D,Inventory!E:E,"No Name Found"))</f>
        <v/>
      </c>
      <c r="D2626" s="6"/>
      <c r="E2626" s="6"/>
      <c r="F2626" s="6"/>
      <c r="G2626" s="24" t="str">
        <f>IF(F2626="", "", VLOOKUP(F2626, Inventory!A:BZ, 3, FALSE) - SUMIF($F$1:$F2625, F2626, $H$1:$H2625))
</f>
        <v/>
      </c>
      <c r="I2626" s="26"/>
      <c r="J2626" s="26" t="s">
        <v>77</v>
      </c>
      <c r="L2626" s="27" t="s">
        <v>77</v>
      </c>
      <c r="N2626" s="28" t="s">
        <v>77</v>
      </c>
      <c r="Q2626" s="30"/>
    </row>
    <row r="2627">
      <c r="B2627" s="6"/>
      <c r="C2627" s="33" t="str">
        <f t="array" ref="C2627">IF(B2627="", "", XLOOKUP(B2627, Inventory!D:D,Inventory!E:E,"No Name Found"))</f>
        <v/>
      </c>
      <c r="D2627" s="6"/>
      <c r="E2627" s="6"/>
      <c r="F2627" s="6"/>
      <c r="G2627" s="24" t="str">
        <f>IF(F2627="", "", VLOOKUP(F2627, Inventory!A:BZ, 3, FALSE) - SUMIF($F$1:$F2626, F2627, $H$1:$H2626))
</f>
        <v/>
      </c>
      <c r="I2627" s="26"/>
      <c r="J2627" s="26" t="s">
        <v>77</v>
      </c>
      <c r="L2627" s="27" t="s">
        <v>77</v>
      </c>
      <c r="N2627" s="28" t="s">
        <v>77</v>
      </c>
      <c r="Q2627" s="30"/>
    </row>
    <row r="2628">
      <c r="B2628" s="6"/>
      <c r="C2628" s="33" t="str">
        <f t="array" ref="C2628">IF(B2628="", "", XLOOKUP(B2628, Inventory!D:D,Inventory!E:E,"No Name Found"))</f>
        <v/>
      </c>
      <c r="D2628" s="6"/>
      <c r="E2628" s="6"/>
      <c r="F2628" s="6"/>
      <c r="G2628" s="24" t="str">
        <f>IF(F2628="", "", VLOOKUP(F2628, Inventory!A:BZ, 3, FALSE) - SUMIF($F$1:$F2627, F2628, $H$1:$H2627))
</f>
        <v/>
      </c>
      <c r="I2628" s="26"/>
      <c r="J2628" s="26" t="s">
        <v>77</v>
      </c>
      <c r="L2628" s="27" t="s">
        <v>77</v>
      </c>
      <c r="N2628" s="28" t="s">
        <v>77</v>
      </c>
      <c r="Q2628" s="30"/>
    </row>
    <row r="2629">
      <c r="B2629" s="6"/>
      <c r="C2629" s="33" t="str">
        <f t="array" ref="C2629">IF(B2629="", "", XLOOKUP(B2629, Inventory!D:D,Inventory!E:E,"No Name Found"))</f>
        <v/>
      </c>
      <c r="D2629" s="6"/>
      <c r="E2629" s="6"/>
      <c r="F2629" s="6"/>
      <c r="G2629" s="24" t="str">
        <f>IF(F2629="", "", VLOOKUP(F2629, Inventory!A:BZ, 3, FALSE) - SUMIF($F$1:$F2628, F2629, $H$1:$H2628))
</f>
        <v/>
      </c>
      <c r="I2629" s="26"/>
      <c r="J2629" s="26" t="s">
        <v>77</v>
      </c>
      <c r="L2629" s="27" t="s">
        <v>77</v>
      </c>
      <c r="N2629" s="28" t="s">
        <v>77</v>
      </c>
      <c r="Q2629" s="30"/>
    </row>
    <row r="2630">
      <c r="B2630" s="6"/>
      <c r="C2630" s="33" t="str">
        <f t="array" ref="C2630">IF(B2630="", "", XLOOKUP(B2630, Inventory!D:D,Inventory!E:E,"No Name Found"))</f>
        <v/>
      </c>
      <c r="D2630" s="6"/>
      <c r="E2630" s="6"/>
      <c r="F2630" s="6"/>
      <c r="G2630" s="24" t="str">
        <f>IF(F2630="", "", VLOOKUP(F2630, Inventory!A:BZ, 3, FALSE) - SUMIF($F$1:$F2629, F2630, $H$1:$H2629))
</f>
        <v/>
      </c>
      <c r="I2630" s="26"/>
      <c r="J2630" s="26" t="s">
        <v>77</v>
      </c>
      <c r="L2630" s="27" t="s">
        <v>77</v>
      </c>
      <c r="N2630" s="28" t="s">
        <v>77</v>
      </c>
      <c r="Q2630" s="30"/>
    </row>
    <row r="2631">
      <c r="B2631" s="6"/>
      <c r="C2631" s="33" t="str">
        <f t="array" ref="C2631">IF(B2631="", "", XLOOKUP(B2631, Inventory!D:D,Inventory!E:E,"No Name Found"))</f>
        <v/>
      </c>
      <c r="D2631" s="6"/>
      <c r="E2631" s="6"/>
      <c r="F2631" s="6"/>
      <c r="G2631" s="24" t="str">
        <f>IF(F2631="", "", VLOOKUP(F2631, Inventory!A:BZ, 3, FALSE) - SUMIF($F$1:$F2630, F2631, $H$1:$H2630))
</f>
        <v/>
      </c>
      <c r="I2631" s="26"/>
      <c r="J2631" s="26" t="s">
        <v>77</v>
      </c>
      <c r="L2631" s="27" t="s">
        <v>77</v>
      </c>
      <c r="N2631" s="28" t="s">
        <v>77</v>
      </c>
      <c r="Q2631" s="30"/>
    </row>
    <row r="2632">
      <c r="B2632" s="6"/>
      <c r="C2632" s="33" t="str">
        <f t="array" ref="C2632">IF(B2632="", "", XLOOKUP(B2632, Inventory!D:D,Inventory!E:E,"No Name Found"))</f>
        <v/>
      </c>
      <c r="D2632" s="6"/>
      <c r="E2632" s="6"/>
      <c r="F2632" s="6"/>
      <c r="G2632" s="24" t="str">
        <f>IF(F2632="", "", VLOOKUP(F2632, Inventory!A:BZ, 3, FALSE) - SUMIF($F$1:$F2631, F2632, $H$1:$H2631))
</f>
        <v/>
      </c>
      <c r="I2632" s="26"/>
      <c r="J2632" s="26" t="s">
        <v>77</v>
      </c>
      <c r="L2632" s="27" t="s">
        <v>77</v>
      </c>
      <c r="N2632" s="28" t="s">
        <v>77</v>
      </c>
      <c r="Q2632" s="30"/>
    </row>
    <row r="2633">
      <c r="B2633" s="6"/>
      <c r="C2633" s="33" t="str">
        <f t="array" ref="C2633">IF(B2633="", "", XLOOKUP(B2633, Inventory!D:D,Inventory!E:E,"No Name Found"))</f>
        <v/>
      </c>
      <c r="D2633" s="6"/>
      <c r="E2633" s="6"/>
      <c r="F2633" s="6"/>
      <c r="G2633" s="24" t="str">
        <f>IF(F2633="", "", VLOOKUP(F2633, Inventory!A:BZ, 3, FALSE) - SUMIF($F$1:$F2632, F2633, $H$1:$H2632))
</f>
        <v/>
      </c>
      <c r="I2633" s="26"/>
      <c r="J2633" s="26" t="s">
        <v>77</v>
      </c>
      <c r="L2633" s="27" t="s">
        <v>77</v>
      </c>
      <c r="N2633" s="28" t="s">
        <v>77</v>
      </c>
      <c r="Q2633" s="30"/>
    </row>
    <row r="2634">
      <c r="B2634" s="6"/>
      <c r="C2634" s="33" t="str">
        <f t="array" ref="C2634">IF(B2634="", "", XLOOKUP(B2634, Inventory!D:D,Inventory!E:E,"No Name Found"))</f>
        <v/>
      </c>
      <c r="D2634" s="6"/>
      <c r="E2634" s="6"/>
      <c r="F2634" s="6"/>
      <c r="G2634" s="24" t="str">
        <f>IF(F2634="", "", VLOOKUP(F2634, Inventory!A:BZ, 3, FALSE) - SUMIF($F$1:$F2633, F2634, $H$1:$H2633))
</f>
        <v/>
      </c>
      <c r="I2634" s="26"/>
      <c r="J2634" s="26" t="s">
        <v>77</v>
      </c>
      <c r="L2634" s="27" t="s">
        <v>77</v>
      </c>
      <c r="N2634" s="28" t="s">
        <v>77</v>
      </c>
      <c r="Q2634" s="30"/>
    </row>
    <row r="2635">
      <c r="B2635" s="6"/>
      <c r="C2635" s="33" t="str">
        <f t="array" ref="C2635">IF(B2635="", "", XLOOKUP(B2635, Inventory!D:D,Inventory!E:E,"No Name Found"))</f>
        <v/>
      </c>
      <c r="D2635" s="6"/>
      <c r="E2635" s="6"/>
      <c r="F2635" s="6"/>
      <c r="G2635" s="24" t="str">
        <f>IF(F2635="", "", VLOOKUP(F2635, Inventory!A:BZ, 3, FALSE) - SUMIF($F$1:$F2634, F2635, $H$1:$H2634))
</f>
        <v/>
      </c>
      <c r="I2635" s="26"/>
      <c r="J2635" s="26" t="s">
        <v>77</v>
      </c>
      <c r="L2635" s="27" t="s">
        <v>77</v>
      </c>
      <c r="N2635" s="28" t="s">
        <v>77</v>
      </c>
      <c r="Q2635" s="30"/>
    </row>
    <row r="2636">
      <c r="B2636" s="6"/>
      <c r="C2636" s="33" t="str">
        <f t="array" ref="C2636">IF(B2636="", "", XLOOKUP(B2636, Inventory!D:D,Inventory!E:E,"No Name Found"))</f>
        <v/>
      </c>
      <c r="D2636" s="6"/>
      <c r="E2636" s="6"/>
      <c r="F2636" s="6"/>
      <c r="G2636" s="24" t="str">
        <f>IF(F2636="", "", VLOOKUP(F2636, Inventory!A:BZ, 3, FALSE) - SUMIF($F$1:$F2635, F2636, $H$1:$H2635))
</f>
        <v/>
      </c>
      <c r="I2636" s="26"/>
      <c r="J2636" s="26" t="s">
        <v>77</v>
      </c>
      <c r="L2636" s="27" t="s">
        <v>77</v>
      </c>
      <c r="N2636" s="28" t="s">
        <v>77</v>
      </c>
      <c r="Q2636" s="30"/>
    </row>
    <row r="2637">
      <c r="B2637" s="6"/>
      <c r="C2637" s="33" t="str">
        <f t="array" ref="C2637">IF(B2637="", "", XLOOKUP(B2637, Inventory!D:D,Inventory!E:E,"No Name Found"))</f>
        <v/>
      </c>
      <c r="D2637" s="6"/>
      <c r="E2637" s="6"/>
      <c r="F2637" s="6"/>
      <c r="G2637" s="24" t="str">
        <f>IF(F2637="", "", VLOOKUP(F2637, Inventory!A:BZ, 3, FALSE) - SUMIF($F$1:$F2636, F2637, $H$1:$H2636))
</f>
        <v/>
      </c>
      <c r="I2637" s="26"/>
      <c r="J2637" s="26" t="s">
        <v>77</v>
      </c>
      <c r="L2637" s="27" t="s">
        <v>77</v>
      </c>
      <c r="N2637" s="28" t="s">
        <v>77</v>
      </c>
      <c r="Q2637" s="30"/>
    </row>
    <row r="2638">
      <c r="B2638" s="6"/>
      <c r="C2638" s="33" t="str">
        <f t="array" ref="C2638">IF(B2638="", "", XLOOKUP(B2638, Inventory!D:D,Inventory!E:E,"No Name Found"))</f>
        <v/>
      </c>
      <c r="D2638" s="6"/>
      <c r="E2638" s="6"/>
      <c r="F2638" s="6"/>
      <c r="G2638" s="24" t="str">
        <f>IF(F2638="", "", VLOOKUP(F2638, Inventory!A:BZ, 3, FALSE) - SUMIF($F$1:$F2637, F2638, $H$1:$H2637))
</f>
        <v/>
      </c>
      <c r="I2638" s="26"/>
      <c r="J2638" s="26" t="s">
        <v>77</v>
      </c>
      <c r="L2638" s="27" t="s">
        <v>77</v>
      </c>
      <c r="N2638" s="28" t="s">
        <v>77</v>
      </c>
      <c r="Q2638" s="30"/>
    </row>
    <row r="2639">
      <c r="B2639" s="6"/>
      <c r="C2639" s="33" t="str">
        <f t="array" ref="C2639">IF(B2639="", "", XLOOKUP(B2639, Inventory!D:D,Inventory!E:E,"No Name Found"))</f>
        <v/>
      </c>
      <c r="D2639" s="6"/>
      <c r="E2639" s="6"/>
      <c r="F2639" s="6"/>
      <c r="G2639" s="24" t="str">
        <f>IF(F2639="", "", VLOOKUP(F2639, Inventory!A:BZ, 3, FALSE) - SUMIF($F$1:$F2638, F2639, $H$1:$H2638))
</f>
        <v/>
      </c>
      <c r="I2639" s="26"/>
      <c r="J2639" s="26" t="s">
        <v>77</v>
      </c>
      <c r="L2639" s="27" t="s">
        <v>77</v>
      </c>
      <c r="N2639" s="28" t="s">
        <v>77</v>
      </c>
      <c r="Q2639" s="30"/>
    </row>
    <row r="2640">
      <c r="B2640" s="6"/>
      <c r="C2640" s="33" t="str">
        <f t="array" ref="C2640">IF(B2640="", "", XLOOKUP(B2640, Inventory!D:D,Inventory!E:E,"No Name Found"))</f>
        <v/>
      </c>
      <c r="D2640" s="6"/>
      <c r="E2640" s="6"/>
      <c r="F2640" s="6"/>
      <c r="G2640" s="24" t="str">
        <f>IF(F2640="", "", VLOOKUP(F2640, Inventory!A:BZ, 3, FALSE) - SUMIF($F$1:$F2639, F2640, $H$1:$H2639))
</f>
        <v/>
      </c>
      <c r="I2640" s="26"/>
      <c r="J2640" s="26" t="s">
        <v>77</v>
      </c>
      <c r="L2640" s="27" t="s">
        <v>77</v>
      </c>
      <c r="N2640" s="28" t="s">
        <v>77</v>
      </c>
      <c r="Q2640" s="30"/>
    </row>
    <row r="2641">
      <c r="B2641" s="6"/>
      <c r="C2641" s="33" t="str">
        <f t="array" ref="C2641">IF(B2641="", "", XLOOKUP(B2641, Inventory!D:D,Inventory!E:E,"No Name Found"))</f>
        <v/>
      </c>
      <c r="D2641" s="6"/>
      <c r="E2641" s="6"/>
      <c r="F2641" s="6"/>
      <c r="G2641" s="24" t="str">
        <f>IF(F2641="", "", VLOOKUP(F2641, Inventory!A:BZ, 3, FALSE) - SUMIF($F$1:$F2640, F2641, $H$1:$H2640))
</f>
        <v/>
      </c>
      <c r="I2641" s="26"/>
      <c r="J2641" s="26" t="s">
        <v>77</v>
      </c>
      <c r="L2641" s="27" t="s">
        <v>77</v>
      </c>
      <c r="N2641" s="28" t="s">
        <v>77</v>
      </c>
      <c r="Q2641" s="30"/>
    </row>
    <row r="2642">
      <c r="B2642" s="6"/>
      <c r="C2642" s="33" t="str">
        <f t="array" ref="C2642">IF(B2642="", "", XLOOKUP(B2642, Inventory!D:D,Inventory!E:E,"No Name Found"))</f>
        <v/>
      </c>
      <c r="D2642" s="6"/>
      <c r="E2642" s="6"/>
      <c r="F2642" s="6"/>
      <c r="G2642" s="24" t="str">
        <f>IF(F2642="", "", VLOOKUP(F2642, Inventory!A:BZ, 3, FALSE) - SUMIF($F$1:$F2641, F2642, $H$1:$H2641))
</f>
        <v/>
      </c>
      <c r="I2642" s="26"/>
      <c r="J2642" s="26" t="s">
        <v>77</v>
      </c>
      <c r="L2642" s="27" t="s">
        <v>77</v>
      </c>
      <c r="N2642" s="28" t="s">
        <v>77</v>
      </c>
      <c r="Q2642" s="30"/>
    </row>
    <row r="2643">
      <c r="B2643" s="6"/>
      <c r="C2643" s="33" t="str">
        <f t="array" ref="C2643">IF(B2643="", "", XLOOKUP(B2643, Inventory!D:D,Inventory!E:E,"No Name Found"))</f>
        <v/>
      </c>
      <c r="D2643" s="6"/>
      <c r="E2643" s="6"/>
      <c r="F2643" s="6"/>
      <c r="G2643" s="24" t="str">
        <f>IF(F2643="", "", VLOOKUP(F2643, Inventory!A:BZ, 3, FALSE) - SUMIF($F$1:$F2642, F2643, $H$1:$H2642))
</f>
        <v/>
      </c>
      <c r="I2643" s="26"/>
      <c r="J2643" s="26" t="s">
        <v>77</v>
      </c>
      <c r="L2643" s="27" t="s">
        <v>77</v>
      </c>
      <c r="N2643" s="28" t="s">
        <v>77</v>
      </c>
      <c r="Q2643" s="30"/>
    </row>
    <row r="2644">
      <c r="B2644" s="6"/>
      <c r="C2644" s="33" t="str">
        <f t="array" ref="C2644">IF(B2644="", "", XLOOKUP(B2644, Inventory!D:D,Inventory!E:E,"No Name Found"))</f>
        <v/>
      </c>
      <c r="D2644" s="6"/>
      <c r="E2644" s="6"/>
      <c r="F2644" s="6"/>
      <c r="G2644" s="24" t="str">
        <f>IF(F2644="", "", VLOOKUP(F2644, Inventory!A:BZ, 3, FALSE) - SUMIF($F$1:$F2643, F2644, $H$1:$H2643))
</f>
        <v/>
      </c>
      <c r="I2644" s="26"/>
      <c r="J2644" s="26" t="s">
        <v>77</v>
      </c>
      <c r="L2644" s="27" t="s">
        <v>77</v>
      </c>
      <c r="N2644" s="28" t="s">
        <v>77</v>
      </c>
      <c r="Q2644" s="30"/>
    </row>
    <row r="2645">
      <c r="B2645" s="6"/>
      <c r="C2645" s="33" t="str">
        <f t="array" ref="C2645">IF(B2645="", "", XLOOKUP(B2645, Inventory!D:D,Inventory!E:E,"No Name Found"))</f>
        <v/>
      </c>
      <c r="D2645" s="6"/>
      <c r="E2645" s="6"/>
      <c r="F2645" s="6"/>
      <c r="G2645" s="24" t="str">
        <f>IF(F2645="", "", VLOOKUP(F2645, Inventory!A:BZ, 3, FALSE) - SUMIF($F$1:$F2644, F2645, $H$1:$H2644))
</f>
        <v/>
      </c>
      <c r="I2645" s="26"/>
      <c r="J2645" s="26" t="s">
        <v>77</v>
      </c>
      <c r="L2645" s="27" t="s">
        <v>77</v>
      </c>
      <c r="N2645" s="28" t="s">
        <v>77</v>
      </c>
      <c r="Q2645" s="30"/>
    </row>
    <row r="2646">
      <c r="B2646" s="6"/>
      <c r="C2646" s="33" t="str">
        <f t="array" ref="C2646">IF(B2646="", "", XLOOKUP(B2646, Inventory!D:D,Inventory!E:E,"No Name Found"))</f>
        <v/>
      </c>
      <c r="D2646" s="6"/>
      <c r="E2646" s="6"/>
      <c r="F2646" s="6"/>
      <c r="G2646" s="24" t="str">
        <f>IF(F2646="", "", VLOOKUP(F2646, Inventory!A:BZ, 3, FALSE) - SUMIF($F$1:$F2645, F2646, $H$1:$H2645))
</f>
        <v/>
      </c>
      <c r="I2646" s="26"/>
      <c r="J2646" s="26" t="s">
        <v>77</v>
      </c>
      <c r="L2646" s="27" t="s">
        <v>77</v>
      </c>
      <c r="N2646" s="28" t="s">
        <v>77</v>
      </c>
      <c r="Q2646" s="30"/>
    </row>
    <row r="2647">
      <c r="B2647" s="6"/>
      <c r="C2647" s="33" t="str">
        <f t="array" ref="C2647">IF(B2647="", "", XLOOKUP(B2647, Inventory!D:D,Inventory!E:E,"No Name Found"))</f>
        <v/>
      </c>
      <c r="D2647" s="6"/>
      <c r="E2647" s="6"/>
      <c r="F2647" s="6"/>
      <c r="G2647" s="24" t="str">
        <f>IF(F2647="", "", VLOOKUP(F2647, Inventory!A:BZ, 3, FALSE) - SUMIF($F$1:$F2646, F2647, $H$1:$H2646))
</f>
        <v/>
      </c>
      <c r="I2647" s="26"/>
      <c r="J2647" s="26" t="s">
        <v>77</v>
      </c>
      <c r="L2647" s="27" t="s">
        <v>77</v>
      </c>
      <c r="N2647" s="28" t="s">
        <v>77</v>
      </c>
      <c r="Q2647" s="30"/>
    </row>
    <row r="2648">
      <c r="B2648" s="6"/>
      <c r="C2648" s="33" t="str">
        <f t="array" ref="C2648">IF(B2648="", "", XLOOKUP(B2648, Inventory!D:D,Inventory!E:E,"No Name Found"))</f>
        <v/>
      </c>
      <c r="D2648" s="6"/>
      <c r="E2648" s="6"/>
      <c r="F2648" s="6"/>
      <c r="G2648" s="24" t="str">
        <f>IF(F2648="", "", VLOOKUP(F2648, Inventory!A:BZ, 3, FALSE) - SUMIF($F$1:$F2647, F2648, $H$1:$H2647))
</f>
        <v/>
      </c>
      <c r="I2648" s="26"/>
      <c r="J2648" s="26" t="s">
        <v>77</v>
      </c>
      <c r="L2648" s="27" t="s">
        <v>77</v>
      </c>
      <c r="N2648" s="28" t="s">
        <v>77</v>
      </c>
      <c r="Q2648" s="30"/>
    </row>
    <row r="2649">
      <c r="B2649" s="6"/>
      <c r="C2649" s="33" t="str">
        <f t="array" ref="C2649">IF(B2649="", "", XLOOKUP(B2649, Inventory!D:D,Inventory!E:E,"No Name Found"))</f>
        <v/>
      </c>
      <c r="D2649" s="6"/>
      <c r="E2649" s="6"/>
      <c r="F2649" s="6"/>
      <c r="G2649" s="24" t="str">
        <f>IF(F2649="", "", VLOOKUP(F2649, Inventory!A:BZ, 3, FALSE) - SUMIF($F$1:$F2648, F2649, $H$1:$H2648))
</f>
        <v/>
      </c>
      <c r="I2649" s="26"/>
      <c r="J2649" s="26" t="s">
        <v>77</v>
      </c>
      <c r="L2649" s="27" t="s">
        <v>77</v>
      </c>
      <c r="N2649" s="28" t="s">
        <v>77</v>
      </c>
      <c r="Q2649" s="30"/>
    </row>
    <row r="2650">
      <c r="B2650" s="6"/>
      <c r="C2650" s="33" t="str">
        <f t="array" ref="C2650">IF(B2650="", "", XLOOKUP(B2650, Inventory!D:D,Inventory!E:E,"No Name Found"))</f>
        <v/>
      </c>
      <c r="D2650" s="6"/>
      <c r="E2650" s="6"/>
      <c r="F2650" s="6"/>
      <c r="G2650" s="24" t="str">
        <f>IF(F2650="", "", VLOOKUP(F2650, Inventory!A:BZ, 3, FALSE) - SUMIF($F$1:$F2649, F2650, $H$1:$H2649))
</f>
        <v/>
      </c>
      <c r="I2650" s="26"/>
      <c r="J2650" s="26" t="s">
        <v>77</v>
      </c>
      <c r="L2650" s="27" t="s">
        <v>77</v>
      </c>
      <c r="N2650" s="28" t="s">
        <v>77</v>
      </c>
      <c r="Q2650" s="30"/>
    </row>
    <row r="2651">
      <c r="B2651" s="6"/>
      <c r="C2651" s="33" t="str">
        <f t="array" ref="C2651">IF(B2651="", "", XLOOKUP(B2651, Inventory!D:D,Inventory!E:E,"No Name Found"))</f>
        <v/>
      </c>
      <c r="D2651" s="6"/>
      <c r="E2651" s="6"/>
      <c r="F2651" s="6"/>
      <c r="G2651" s="24" t="str">
        <f>IF(F2651="", "", VLOOKUP(F2651, Inventory!A:BZ, 3, FALSE) - SUMIF($F$1:$F2650, F2651, $H$1:$H2650))
</f>
        <v/>
      </c>
      <c r="I2651" s="26"/>
      <c r="J2651" s="26" t="s">
        <v>77</v>
      </c>
      <c r="L2651" s="27" t="s">
        <v>77</v>
      </c>
      <c r="N2651" s="28" t="s">
        <v>77</v>
      </c>
      <c r="Q2651" s="30"/>
    </row>
    <row r="2652">
      <c r="B2652" s="6"/>
      <c r="C2652" s="33" t="str">
        <f t="array" ref="C2652">IF(B2652="", "", XLOOKUP(B2652, Inventory!D:D,Inventory!E:E,"No Name Found"))</f>
        <v/>
      </c>
      <c r="D2652" s="6"/>
      <c r="E2652" s="6"/>
      <c r="F2652" s="6"/>
      <c r="G2652" s="24" t="str">
        <f>IF(F2652="", "", VLOOKUP(F2652, Inventory!A:BZ, 3, FALSE) - SUMIF($F$1:$F2651, F2652, $H$1:$H2651))
</f>
        <v/>
      </c>
      <c r="I2652" s="26"/>
      <c r="J2652" s="26" t="s">
        <v>77</v>
      </c>
      <c r="L2652" s="27" t="s">
        <v>77</v>
      </c>
      <c r="N2652" s="28" t="s">
        <v>77</v>
      </c>
      <c r="Q2652" s="30"/>
    </row>
    <row r="2653">
      <c r="B2653" s="6"/>
      <c r="C2653" s="33" t="str">
        <f t="array" ref="C2653">IF(B2653="", "", XLOOKUP(B2653, Inventory!D:D,Inventory!E:E,"No Name Found"))</f>
        <v/>
      </c>
      <c r="D2653" s="6"/>
      <c r="E2653" s="6"/>
      <c r="F2653" s="6"/>
      <c r="G2653" s="24" t="str">
        <f>IF(F2653="", "", VLOOKUP(F2653, Inventory!A:BZ, 3, FALSE) - SUMIF($F$1:$F2652, F2653, $H$1:$H2652))
</f>
        <v/>
      </c>
      <c r="I2653" s="26"/>
      <c r="J2653" s="26" t="s">
        <v>77</v>
      </c>
      <c r="L2653" s="27" t="s">
        <v>77</v>
      </c>
      <c r="N2653" s="28" t="s">
        <v>77</v>
      </c>
      <c r="Q2653" s="30"/>
    </row>
    <row r="2654">
      <c r="B2654" s="6"/>
      <c r="C2654" s="33" t="str">
        <f t="array" ref="C2654">IF(B2654="", "", XLOOKUP(B2654, Inventory!D:D,Inventory!E:E,"No Name Found"))</f>
        <v/>
      </c>
      <c r="D2654" s="6"/>
      <c r="E2654" s="6"/>
      <c r="F2654" s="6"/>
      <c r="G2654" s="24" t="str">
        <f>IF(F2654="", "", VLOOKUP(F2654, Inventory!A:BZ, 3, FALSE) - SUMIF($F$1:$F2653, F2654, $H$1:$H2653))
</f>
        <v/>
      </c>
      <c r="I2654" s="26"/>
      <c r="J2654" s="26" t="s">
        <v>77</v>
      </c>
      <c r="L2654" s="27" t="s">
        <v>77</v>
      </c>
      <c r="N2654" s="28" t="s">
        <v>77</v>
      </c>
      <c r="Q2654" s="30"/>
    </row>
    <row r="2655">
      <c r="B2655" s="6"/>
      <c r="C2655" s="33" t="str">
        <f t="array" ref="C2655">IF(B2655="", "", XLOOKUP(B2655, Inventory!D:D,Inventory!E:E,"No Name Found"))</f>
        <v/>
      </c>
      <c r="D2655" s="6"/>
      <c r="E2655" s="6"/>
      <c r="F2655" s="6"/>
      <c r="G2655" s="24" t="str">
        <f>IF(F2655="", "", VLOOKUP(F2655, Inventory!A:BZ, 3, FALSE) - SUMIF($F$1:$F2654, F2655, $H$1:$H2654))
</f>
        <v/>
      </c>
      <c r="I2655" s="26"/>
      <c r="J2655" s="26" t="s">
        <v>77</v>
      </c>
      <c r="L2655" s="27" t="s">
        <v>77</v>
      </c>
      <c r="N2655" s="28" t="s">
        <v>77</v>
      </c>
      <c r="Q2655" s="30"/>
    </row>
    <row r="2656">
      <c r="B2656" s="6"/>
      <c r="C2656" s="33" t="str">
        <f t="array" ref="C2656">IF(B2656="", "", XLOOKUP(B2656, Inventory!D:D,Inventory!E:E,"No Name Found"))</f>
        <v/>
      </c>
      <c r="D2656" s="6"/>
      <c r="E2656" s="6"/>
      <c r="F2656" s="6"/>
      <c r="G2656" s="24" t="str">
        <f>IF(F2656="", "", VLOOKUP(F2656, Inventory!A:BZ, 3, FALSE) - SUMIF($F$1:$F2655, F2656, $H$1:$H2655))
</f>
        <v/>
      </c>
      <c r="I2656" s="26"/>
      <c r="J2656" s="26" t="s">
        <v>77</v>
      </c>
      <c r="L2656" s="27" t="s">
        <v>77</v>
      </c>
      <c r="N2656" s="28" t="s">
        <v>77</v>
      </c>
      <c r="Q2656" s="30"/>
    </row>
    <row r="2657">
      <c r="B2657" s="6"/>
      <c r="C2657" s="33" t="str">
        <f t="array" ref="C2657">IF(B2657="", "", XLOOKUP(B2657, Inventory!D:D,Inventory!E:E,"No Name Found"))</f>
        <v/>
      </c>
      <c r="D2657" s="6"/>
      <c r="E2657" s="6"/>
      <c r="F2657" s="6"/>
      <c r="G2657" s="24" t="str">
        <f>IF(F2657="", "", VLOOKUP(F2657, Inventory!A:BZ, 3, FALSE) - SUMIF($F$1:$F2656, F2657, $H$1:$H2656))
</f>
        <v/>
      </c>
      <c r="I2657" s="26"/>
      <c r="J2657" s="26" t="s">
        <v>77</v>
      </c>
      <c r="L2657" s="27" t="s">
        <v>77</v>
      </c>
      <c r="N2657" s="28" t="s">
        <v>77</v>
      </c>
      <c r="Q2657" s="30"/>
    </row>
    <row r="2658">
      <c r="B2658" s="6"/>
      <c r="C2658" s="33" t="str">
        <f t="array" ref="C2658">IF(B2658="", "", XLOOKUP(B2658, Inventory!D:D,Inventory!E:E,"No Name Found"))</f>
        <v/>
      </c>
      <c r="D2658" s="6"/>
      <c r="E2658" s="6"/>
      <c r="F2658" s="6"/>
      <c r="G2658" s="24" t="str">
        <f>IF(F2658="", "", VLOOKUP(F2658, Inventory!A:BZ, 3, FALSE) - SUMIF($F$1:$F2657, F2658, $H$1:$H2657))
</f>
        <v/>
      </c>
      <c r="I2658" s="26"/>
      <c r="J2658" s="26" t="s">
        <v>77</v>
      </c>
      <c r="L2658" s="27" t="s">
        <v>77</v>
      </c>
      <c r="N2658" s="28" t="s">
        <v>77</v>
      </c>
      <c r="Q2658" s="30"/>
    </row>
    <row r="2659">
      <c r="B2659" s="6"/>
      <c r="C2659" s="33" t="str">
        <f t="array" ref="C2659">IF(B2659="", "", XLOOKUP(B2659, Inventory!D:D,Inventory!E:E,"No Name Found"))</f>
        <v/>
      </c>
      <c r="D2659" s="6"/>
      <c r="E2659" s="6"/>
      <c r="F2659" s="6"/>
      <c r="G2659" s="24" t="str">
        <f>IF(F2659="", "", VLOOKUP(F2659, Inventory!A:BZ, 3, FALSE) - SUMIF($F$1:$F2658, F2659, $H$1:$H2658))
</f>
        <v/>
      </c>
      <c r="I2659" s="26"/>
      <c r="J2659" s="26" t="s">
        <v>77</v>
      </c>
      <c r="L2659" s="27" t="s">
        <v>77</v>
      </c>
      <c r="N2659" s="28" t="s">
        <v>77</v>
      </c>
      <c r="Q2659" s="30"/>
    </row>
    <row r="2660">
      <c r="B2660" s="6"/>
      <c r="C2660" s="33" t="str">
        <f t="array" ref="C2660">IF(B2660="", "", XLOOKUP(B2660, Inventory!D:D,Inventory!E:E,"No Name Found"))</f>
        <v/>
      </c>
      <c r="D2660" s="6"/>
      <c r="E2660" s="6"/>
      <c r="F2660" s="6"/>
      <c r="G2660" s="24" t="str">
        <f>IF(F2660="", "", VLOOKUP(F2660, Inventory!A:BZ, 3, FALSE) - SUMIF($F$1:$F2659, F2660, $H$1:$H2659))
</f>
        <v/>
      </c>
      <c r="I2660" s="26"/>
      <c r="J2660" s="26" t="s">
        <v>77</v>
      </c>
      <c r="L2660" s="27" t="s">
        <v>77</v>
      </c>
      <c r="N2660" s="28" t="s">
        <v>77</v>
      </c>
      <c r="Q2660" s="30"/>
    </row>
    <row r="2661">
      <c r="B2661" s="6"/>
      <c r="C2661" s="33" t="str">
        <f t="array" ref="C2661">IF(B2661="", "", XLOOKUP(B2661, Inventory!D:D,Inventory!E:E,"No Name Found"))</f>
        <v/>
      </c>
      <c r="D2661" s="6"/>
      <c r="E2661" s="6"/>
      <c r="F2661" s="6"/>
      <c r="G2661" s="24" t="str">
        <f>IF(F2661="", "", VLOOKUP(F2661, Inventory!A:BZ, 3, FALSE) - SUMIF($F$1:$F2660, F2661, $H$1:$H2660))
</f>
        <v/>
      </c>
      <c r="I2661" s="26"/>
      <c r="J2661" s="26" t="s">
        <v>77</v>
      </c>
      <c r="L2661" s="27" t="s">
        <v>77</v>
      </c>
      <c r="N2661" s="28" t="s">
        <v>77</v>
      </c>
      <c r="Q2661" s="30"/>
    </row>
    <row r="2662">
      <c r="B2662" s="6"/>
      <c r="C2662" s="33" t="str">
        <f t="array" ref="C2662">IF(B2662="", "", XLOOKUP(B2662, Inventory!D:D,Inventory!E:E,"No Name Found"))</f>
        <v/>
      </c>
      <c r="D2662" s="6"/>
      <c r="E2662" s="6"/>
      <c r="F2662" s="6"/>
      <c r="G2662" s="24" t="str">
        <f>IF(F2662="", "", VLOOKUP(F2662, Inventory!A:BZ, 3, FALSE) - SUMIF($F$1:$F2661, F2662, $H$1:$H2661))
</f>
        <v/>
      </c>
      <c r="I2662" s="26"/>
      <c r="J2662" s="26" t="s">
        <v>77</v>
      </c>
      <c r="L2662" s="27" t="s">
        <v>77</v>
      </c>
      <c r="N2662" s="28" t="s">
        <v>77</v>
      </c>
      <c r="Q2662" s="30"/>
    </row>
    <row r="2663">
      <c r="B2663" s="6"/>
      <c r="C2663" s="33" t="str">
        <f t="array" ref="C2663">IF(B2663="", "", XLOOKUP(B2663, Inventory!D:D,Inventory!E:E,"No Name Found"))</f>
        <v/>
      </c>
      <c r="D2663" s="6"/>
      <c r="E2663" s="6"/>
      <c r="F2663" s="6"/>
      <c r="G2663" s="24" t="str">
        <f>IF(F2663="", "", VLOOKUP(F2663, Inventory!A:BZ, 3, FALSE) - SUMIF($F$1:$F2662, F2663, $H$1:$H2662))
</f>
        <v/>
      </c>
      <c r="I2663" s="26"/>
      <c r="J2663" s="26" t="s">
        <v>77</v>
      </c>
      <c r="L2663" s="27" t="s">
        <v>77</v>
      </c>
      <c r="N2663" s="28" t="s">
        <v>77</v>
      </c>
      <c r="Q2663" s="30"/>
    </row>
    <row r="2664">
      <c r="B2664" s="6"/>
      <c r="C2664" s="33" t="str">
        <f t="array" ref="C2664">IF(B2664="", "", XLOOKUP(B2664, Inventory!D:D,Inventory!E:E,"No Name Found"))</f>
        <v/>
      </c>
      <c r="D2664" s="6"/>
      <c r="E2664" s="6"/>
      <c r="F2664" s="6"/>
      <c r="G2664" s="24" t="str">
        <f>IF(F2664="", "", VLOOKUP(F2664, Inventory!A:BZ, 3, FALSE) - SUMIF($F$1:$F2663, F2664, $H$1:$H2663))
</f>
        <v/>
      </c>
      <c r="I2664" s="26"/>
      <c r="J2664" s="26" t="s">
        <v>77</v>
      </c>
      <c r="L2664" s="27" t="s">
        <v>77</v>
      </c>
      <c r="N2664" s="28" t="s">
        <v>77</v>
      </c>
      <c r="Q2664" s="30"/>
    </row>
    <row r="2665">
      <c r="B2665" s="6"/>
      <c r="C2665" s="33" t="str">
        <f t="array" ref="C2665">IF(B2665="", "", XLOOKUP(B2665, Inventory!D:D,Inventory!E:E,"No Name Found"))</f>
        <v/>
      </c>
      <c r="D2665" s="6"/>
      <c r="E2665" s="6"/>
      <c r="F2665" s="6"/>
      <c r="G2665" s="24" t="str">
        <f>IF(F2665="", "", VLOOKUP(F2665, Inventory!A:BZ, 3, FALSE) - SUMIF($F$1:$F2664, F2665, $H$1:$H2664))
</f>
        <v/>
      </c>
      <c r="I2665" s="26"/>
      <c r="J2665" s="26" t="s">
        <v>77</v>
      </c>
      <c r="L2665" s="27" t="s">
        <v>77</v>
      </c>
      <c r="N2665" s="28" t="s">
        <v>77</v>
      </c>
      <c r="Q2665" s="30"/>
    </row>
    <row r="2666">
      <c r="B2666" s="6"/>
      <c r="C2666" s="33" t="str">
        <f t="array" ref="C2666">IF(B2666="", "", XLOOKUP(B2666, Inventory!D:D,Inventory!E:E,"No Name Found"))</f>
        <v/>
      </c>
      <c r="D2666" s="6"/>
      <c r="E2666" s="6"/>
      <c r="F2666" s="6"/>
      <c r="G2666" s="24" t="str">
        <f>IF(F2666="", "", VLOOKUP(F2666, Inventory!A:BZ, 3, FALSE) - SUMIF($F$1:$F2665, F2666, $H$1:$H2665))
</f>
        <v/>
      </c>
      <c r="I2666" s="26"/>
      <c r="J2666" s="26" t="s">
        <v>77</v>
      </c>
      <c r="L2666" s="27" t="s">
        <v>77</v>
      </c>
      <c r="N2666" s="28" t="s">
        <v>77</v>
      </c>
      <c r="Q2666" s="30"/>
    </row>
    <row r="2667">
      <c r="B2667" s="6"/>
      <c r="C2667" s="33" t="str">
        <f t="array" ref="C2667">IF(B2667="", "", XLOOKUP(B2667, Inventory!D:D,Inventory!E:E,"No Name Found"))</f>
        <v/>
      </c>
      <c r="D2667" s="6"/>
      <c r="E2667" s="6"/>
      <c r="F2667" s="6"/>
      <c r="G2667" s="24" t="str">
        <f>IF(F2667="", "", VLOOKUP(F2667, Inventory!A:BZ, 3, FALSE) - SUMIF($F$1:$F2666, F2667, $H$1:$H2666))
</f>
        <v/>
      </c>
      <c r="I2667" s="26"/>
      <c r="J2667" s="26" t="s">
        <v>77</v>
      </c>
      <c r="L2667" s="27" t="s">
        <v>77</v>
      </c>
      <c r="N2667" s="28" t="s">
        <v>77</v>
      </c>
      <c r="Q2667" s="30"/>
    </row>
    <row r="2668">
      <c r="B2668" s="6"/>
      <c r="C2668" s="33" t="str">
        <f t="array" ref="C2668">IF(B2668="", "", XLOOKUP(B2668, Inventory!D:D,Inventory!E:E,"No Name Found"))</f>
        <v/>
      </c>
      <c r="D2668" s="6"/>
      <c r="E2668" s="6"/>
      <c r="F2668" s="6"/>
      <c r="G2668" s="24" t="str">
        <f>IF(F2668="", "", VLOOKUP(F2668, Inventory!A:BZ, 3, FALSE) - SUMIF($F$1:$F2667, F2668, $H$1:$H2667))
</f>
        <v/>
      </c>
      <c r="I2668" s="26"/>
      <c r="J2668" s="26" t="s">
        <v>77</v>
      </c>
      <c r="L2668" s="27" t="s">
        <v>77</v>
      </c>
      <c r="N2668" s="28" t="s">
        <v>77</v>
      </c>
      <c r="Q2668" s="30"/>
    </row>
    <row r="2669">
      <c r="B2669" s="6"/>
      <c r="C2669" s="33" t="str">
        <f t="array" ref="C2669">IF(B2669="", "", XLOOKUP(B2669, Inventory!D:D,Inventory!E:E,"No Name Found"))</f>
        <v/>
      </c>
      <c r="D2669" s="6"/>
      <c r="E2669" s="6"/>
      <c r="F2669" s="6"/>
      <c r="G2669" s="24" t="str">
        <f>IF(F2669="", "", VLOOKUP(F2669, Inventory!A:BZ, 3, FALSE) - SUMIF($F$1:$F2668, F2669, $H$1:$H2668))
</f>
        <v/>
      </c>
      <c r="I2669" s="26"/>
      <c r="J2669" s="26" t="s">
        <v>77</v>
      </c>
      <c r="L2669" s="27" t="s">
        <v>77</v>
      </c>
      <c r="N2669" s="28" t="s">
        <v>77</v>
      </c>
      <c r="Q2669" s="30"/>
    </row>
    <row r="2670">
      <c r="B2670" s="6"/>
      <c r="C2670" s="33" t="str">
        <f t="array" ref="C2670">IF(B2670="", "", XLOOKUP(B2670, Inventory!D:D,Inventory!E:E,"No Name Found"))</f>
        <v/>
      </c>
      <c r="D2670" s="6"/>
      <c r="E2670" s="6"/>
      <c r="F2670" s="6"/>
      <c r="G2670" s="24" t="str">
        <f>IF(F2670="", "", VLOOKUP(F2670, Inventory!A:BZ, 3, FALSE) - SUMIF($F$1:$F2669, F2670, $H$1:$H2669))
</f>
        <v/>
      </c>
      <c r="I2670" s="26"/>
      <c r="J2670" s="26" t="s">
        <v>77</v>
      </c>
      <c r="L2670" s="27" t="s">
        <v>77</v>
      </c>
      <c r="N2670" s="28" t="s">
        <v>77</v>
      </c>
      <c r="Q2670" s="30"/>
    </row>
    <row r="2671">
      <c r="B2671" s="6"/>
      <c r="C2671" s="33" t="str">
        <f t="array" ref="C2671">IF(B2671="", "", XLOOKUP(B2671, Inventory!D:D,Inventory!E:E,"No Name Found"))</f>
        <v/>
      </c>
      <c r="D2671" s="6"/>
      <c r="E2671" s="6"/>
      <c r="F2671" s="6"/>
      <c r="G2671" s="24" t="str">
        <f>IF(F2671="", "", VLOOKUP(F2671, Inventory!A:BZ, 3, FALSE) - SUMIF($F$1:$F2670, F2671, $H$1:$H2670))
</f>
        <v/>
      </c>
      <c r="I2671" s="26"/>
      <c r="J2671" s="26" t="s">
        <v>77</v>
      </c>
      <c r="L2671" s="27" t="s">
        <v>77</v>
      </c>
      <c r="N2671" s="28" t="s">
        <v>77</v>
      </c>
      <c r="Q2671" s="30"/>
    </row>
    <row r="2672">
      <c r="B2672" s="6"/>
      <c r="C2672" s="33" t="str">
        <f t="array" ref="C2672">IF(B2672="", "", XLOOKUP(B2672, Inventory!D:D,Inventory!E:E,"No Name Found"))</f>
        <v/>
      </c>
      <c r="D2672" s="6"/>
      <c r="E2672" s="6"/>
      <c r="F2672" s="6"/>
      <c r="G2672" s="24" t="str">
        <f>IF(F2672="", "", VLOOKUP(F2672, Inventory!A:BZ, 3, FALSE) - SUMIF($F$1:$F2671, F2672, $H$1:$H2671))
</f>
        <v/>
      </c>
      <c r="I2672" s="26"/>
      <c r="J2672" s="26" t="s">
        <v>77</v>
      </c>
      <c r="L2672" s="27" t="s">
        <v>77</v>
      </c>
      <c r="N2672" s="28" t="s">
        <v>77</v>
      </c>
      <c r="Q2672" s="30"/>
    </row>
    <row r="2673">
      <c r="B2673" s="6"/>
      <c r="C2673" s="33" t="str">
        <f t="array" ref="C2673">IF(B2673="", "", XLOOKUP(B2673, Inventory!D:D,Inventory!E:E,"No Name Found"))</f>
        <v/>
      </c>
      <c r="D2673" s="6"/>
      <c r="E2673" s="6"/>
      <c r="F2673" s="6"/>
      <c r="G2673" s="24" t="str">
        <f>IF(F2673="", "", VLOOKUP(F2673, Inventory!A:BZ, 3, FALSE) - SUMIF($F$1:$F2672, F2673, $H$1:$H2672))
</f>
        <v/>
      </c>
      <c r="I2673" s="26"/>
      <c r="J2673" s="26" t="s">
        <v>77</v>
      </c>
      <c r="L2673" s="27" t="s">
        <v>77</v>
      </c>
      <c r="N2673" s="28" t="s">
        <v>77</v>
      </c>
      <c r="Q2673" s="30"/>
    </row>
    <row r="2674">
      <c r="B2674" s="6"/>
      <c r="C2674" s="33" t="str">
        <f t="array" ref="C2674">IF(B2674="", "", XLOOKUP(B2674, Inventory!D:D,Inventory!E:E,"No Name Found"))</f>
        <v/>
      </c>
      <c r="D2674" s="6"/>
      <c r="E2674" s="6"/>
      <c r="F2674" s="6"/>
      <c r="G2674" s="24" t="str">
        <f>IF(F2674="", "", VLOOKUP(F2674, Inventory!A:BZ, 3, FALSE) - SUMIF($F$1:$F2673, F2674, $H$1:$H2673))
</f>
        <v/>
      </c>
      <c r="I2674" s="26"/>
      <c r="J2674" s="26" t="s">
        <v>77</v>
      </c>
      <c r="L2674" s="27" t="s">
        <v>77</v>
      </c>
      <c r="N2674" s="28" t="s">
        <v>77</v>
      </c>
      <c r="Q2674" s="30"/>
    </row>
    <row r="2675">
      <c r="B2675" s="6"/>
      <c r="C2675" s="33" t="str">
        <f t="array" ref="C2675">IF(B2675="", "", XLOOKUP(B2675, Inventory!D:D,Inventory!E:E,"No Name Found"))</f>
        <v/>
      </c>
      <c r="D2675" s="6"/>
      <c r="E2675" s="6"/>
      <c r="F2675" s="6"/>
      <c r="G2675" s="24" t="str">
        <f>IF(F2675="", "", VLOOKUP(F2675, Inventory!A:BZ, 3, FALSE) - SUMIF($F$1:$F2674, F2675, $H$1:$H2674))
</f>
        <v/>
      </c>
      <c r="I2675" s="26"/>
      <c r="J2675" s="26" t="s">
        <v>77</v>
      </c>
      <c r="L2675" s="27" t="s">
        <v>77</v>
      </c>
      <c r="N2675" s="28" t="s">
        <v>77</v>
      </c>
      <c r="Q2675" s="30"/>
    </row>
    <row r="2676">
      <c r="B2676" s="6"/>
      <c r="C2676" s="33" t="str">
        <f t="array" ref="C2676">IF(B2676="", "", XLOOKUP(B2676, Inventory!D:D,Inventory!E:E,"No Name Found"))</f>
        <v/>
      </c>
      <c r="D2676" s="6"/>
      <c r="E2676" s="6"/>
      <c r="F2676" s="6"/>
      <c r="G2676" s="24" t="str">
        <f>IF(F2676="", "", VLOOKUP(F2676, Inventory!A:BZ, 3, FALSE) - SUMIF($F$1:$F2675, F2676, $H$1:$H2675))
</f>
        <v/>
      </c>
      <c r="I2676" s="26"/>
      <c r="J2676" s="26" t="s">
        <v>77</v>
      </c>
      <c r="L2676" s="27" t="s">
        <v>77</v>
      </c>
      <c r="N2676" s="28" t="s">
        <v>77</v>
      </c>
      <c r="Q2676" s="30"/>
    </row>
    <row r="2677">
      <c r="B2677" s="6"/>
      <c r="C2677" s="33" t="str">
        <f t="array" ref="C2677">IF(B2677="", "", XLOOKUP(B2677, Inventory!D:D,Inventory!E:E,"No Name Found"))</f>
        <v/>
      </c>
      <c r="D2677" s="6"/>
      <c r="E2677" s="6"/>
      <c r="F2677" s="6"/>
      <c r="G2677" s="24" t="str">
        <f>IF(F2677="", "", VLOOKUP(F2677, Inventory!A:BZ, 3, FALSE) - SUMIF($F$1:$F2676, F2677, $H$1:$H2676))
</f>
        <v/>
      </c>
      <c r="I2677" s="26"/>
      <c r="J2677" s="26" t="s">
        <v>77</v>
      </c>
      <c r="L2677" s="27" t="s">
        <v>77</v>
      </c>
      <c r="N2677" s="28" t="s">
        <v>77</v>
      </c>
      <c r="Q2677" s="30"/>
    </row>
    <row r="2678">
      <c r="B2678" s="6"/>
      <c r="C2678" s="33" t="str">
        <f t="array" ref="C2678">IF(B2678="", "", XLOOKUP(B2678, Inventory!D:D,Inventory!E:E,"No Name Found"))</f>
        <v/>
      </c>
      <c r="D2678" s="6"/>
      <c r="E2678" s="6"/>
      <c r="F2678" s="6"/>
      <c r="G2678" s="24" t="str">
        <f>IF(F2678="", "", VLOOKUP(F2678, Inventory!A:BZ, 3, FALSE) - SUMIF($F$1:$F2677, F2678, $H$1:$H2677))
</f>
        <v/>
      </c>
      <c r="I2678" s="26"/>
      <c r="J2678" s="26" t="s">
        <v>77</v>
      </c>
      <c r="L2678" s="27" t="s">
        <v>77</v>
      </c>
      <c r="N2678" s="28" t="s">
        <v>77</v>
      </c>
      <c r="Q2678" s="30"/>
    </row>
    <row r="2679">
      <c r="B2679" s="6"/>
      <c r="C2679" s="33" t="str">
        <f t="array" ref="C2679">IF(B2679="", "", XLOOKUP(B2679, Inventory!D:D,Inventory!E:E,"No Name Found"))</f>
        <v/>
      </c>
      <c r="D2679" s="6"/>
      <c r="E2679" s="6"/>
      <c r="F2679" s="6"/>
      <c r="G2679" s="24" t="str">
        <f>IF(F2679="", "", VLOOKUP(F2679, Inventory!A:BZ, 3, FALSE) - SUMIF($F$1:$F2678, F2679, $H$1:$H2678))
</f>
        <v/>
      </c>
      <c r="I2679" s="26"/>
      <c r="J2679" s="26" t="s">
        <v>77</v>
      </c>
      <c r="L2679" s="27" t="s">
        <v>77</v>
      </c>
      <c r="N2679" s="28" t="s">
        <v>77</v>
      </c>
      <c r="Q2679" s="30"/>
    </row>
    <row r="2680">
      <c r="B2680" s="6"/>
      <c r="C2680" s="33" t="str">
        <f t="array" ref="C2680">IF(B2680="", "", XLOOKUP(B2680, Inventory!D:D,Inventory!E:E,"No Name Found"))</f>
        <v/>
      </c>
      <c r="D2680" s="6"/>
      <c r="E2680" s="6"/>
      <c r="F2680" s="6"/>
      <c r="G2680" s="24" t="str">
        <f>IF(F2680="", "", VLOOKUP(F2680, Inventory!A:BZ, 3, FALSE) - SUMIF($F$1:$F2679, F2680, $H$1:$H2679))
</f>
        <v/>
      </c>
      <c r="I2680" s="26"/>
      <c r="J2680" s="26" t="s">
        <v>77</v>
      </c>
      <c r="L2680" s="27" t="s">
        <v>77</v>
      </c>
      <c r="N2680" s="28" t="s">
        <v>77</v>
      </c>
      <c r="Q2680" s="30"/>
    </row>
    <row r="2681">
      <c r="B2681" s="6"/>
      <c r="C2681" s="33" t="str">
        <f t="array" ref="C2681">IF(B2681="", "", XLOOKUP(B2681, Inventory!D:D,Inventory!E:E,"No Name Found"))</f>
        <v/>
      </c>
      <c r="D2681" s="6"/>
      <c r="E2681" s="6"/>
      <c r="F2681" s="6"/>
      <c r="G2681" s="24" t="str">
        <f>IF(F2681="", "", VLOOKUP(F2681, Inventory!A:BZ, 3, FALSE) - SUMIF($F$1:$F2680, F2681, $H$1:$H2680))
</f>
        <v/>
      </c>
      <c r="I2681" s="26"/>
      <c r="J2681" s="26" t="s">
        <v>77</v>
      </c>
      <c r="L2681" s="27" t="s">
        <v>77</v>
      </c>
      <c r="N2681" s="28" t="s">
        <v>77</v>
      </c>
      <c r="Q2681" s="30"/>
    </row>
    <row r="2682">
      <c r="B2682" s="6"/>
      <c r="C2682" s="33" t="str">
        <f t="array" ref="C2682">IF(B2682="", "", XLOOKUP(B2682, Inventory!D:D,Inventory!E:E,"No Name Found"))</f>
        <v/>
      </c>
      <c r="D2682" s="6"/>
      <c r="E2682" s="6"/>
      <c r="F2682" s="6"/>
      <c r="G2682" s="24" t="str">
        <f>IF(F2682="", "", VLOOKUP(F2682, Inventory!A:BZ, 3, FALSE) - SUMIF($F$1:$F2681, F2682, $H$1:$H2681))
</f>
        <v/>
      </c>
      <c r="I2682" s="26"/>
      <c r="J2682" s="26" t="s">
        <v>77</v>
      </c>
      <c r="L2682" s="27" t="s">
        <v>77</v>
      </c>
      <c r="N2682" s="28" t="s">
        <v>77</v>
      </c>
      <c r="Q2682" s="30"/>
    </row>
    <row r="2683">
      <c r="B2683" s="6"/>
      <c r="C2683" s="33" t="str">
        <f t="array" ref="C2683">IF(B2683="", "", XLOOKUP(B2683, Inventory!D:D,Inventory!E:E,"No Name Found"))</f>
        <v/>
      </c>
      <c r="D2683" s="6"/>
      <c r="E2683" s="6"/>
      <c r="F2683" s="6"/>
      <c r="G2683" s="24" t="str">
        <f>IF(F2683="", "", VLOOKUP(F2683, Inventory!A:BZ, 3, FALSE) - SUMIF($F$1:$F2682, F2683, $H$1:$H2682))
</f>
        <v/>
      </c>
      <c r="I2683" s="26"/>
      <c r="J2683" s="26" t="s">
        <v>77</v>
      </c>
      <c r="L2683" s="27" t="s">
        <v>77</v>
      </c>
      <c r="N2683" s="28" t="s">
        <v>77</v>
      </c>
      <c r="Q2683" s="30"/>
    </row>
    <row r="2684">
      <c r="B2684" s="6"/>
      <c r="C2684" s="33" t="str">
        <f t="array" ref="C2684">IF(B2684="", "", XLOOKUP(B2684, Inventory!D:D,Inventory!E:E,"No Name Found"))</f>
        <v/>
      </c>
      <c r="D2684" s="6"/>
      <c r="E2684" s="6"/>
      <c r="F2684" s="6"/>
      <c r="G2684" s="24" t="str">
        <f>IF(F2684="", "", VLOOKUP(F2684, Inventory!A:BZ, 3, FALSE) - SUMIF($F$1:$F2683, F2684, $H$1:$H2683))
</f>
        <v/>
      </c>
      <c r="I2684" s="26"/>
      <c r="J2684" s="26" t="s">
        <v>77</v>
      </c>
      <c r="L2684" s="27" t="s">
        <v>77</v>
      </c>
      <c r="N2684" s="28" t="s">
        <v>77</v>
      </c>
      <c r="Q2684" s="30"/>
    </row>
    <row r="2685">
      <c r="B2685" s="6"/>
      <c r="C2685" s="33" t="str">
        <f t="array" ref="C2685">IF(B2685="", "", XLOOKUP(B2685, Inventory!D:D,Inventory!E:E,"No Name Found"))</f>
        <v/>
      </c>
      <c r="D2685" s="6"/>
      <c r="E2685" s="6"/>
      <c r="F2685" s="6"/>
      <c r="G2685" s="24" t="str">
        <f>IF(F2685="", "", VLOOKUP(F2685, Inventory!A:BZ, 3, FALSE) - SUMIF($F$1:$F2684, F2685, $H$1:$H2684))
</f>
        <v/>
      </c>
      <c r="I2685" s="26"/>
      <c r="J2685" s="26" t="s">
        <v>77</v>
      </c>
      <c r="L2685" s="27" t="s">
        <v>77</v>
      </c>
      <c r="N2685" s="28" t="s">
        <v>77</v>
      </c>
      <c r="Q2685" s="30"/>
    </row>
    <row r="2686">
      <c r="B2686" s="6"/>
      <c r="C2686" s="33" t="str">
        <f t="array" ref="C2686">IF(B2686="", "", XLOOKUP(B2686, Inventory!D:D,Inventory!E:E,"No Name Found"))</f>
        <v/>
      </c>
      <c r="D2686" s="6"/>
      <c r="E2686" s="6"/>
      <c r="F2686" s="6"/>
      <c r="G2686" s="24" t="str">
        <f>IF(F2686="", "", VLOOKUP(F2686, Inventory!A:BZ, 3, FALSE) - SUMIF($F$1:$F2685, F2686, $H$1:$H2685))
</f>
        <v/>
      </c>
      <c r="I2686" s="26"/>
      <c r="J2686" s="26" t="s">
        <v>77</v>
      </c>
      <c r="L2686" s="27" t="s">
        <v>77</v>
      </c>
      <c r="N2686" s="28" t="s">
        <v>77</v>
      </c>
      <c r="Q2686" s="30"/>
    </row>
    <row r="2687">
      <c r="B2687" s="6"/>
      <c r="C2687" s="33" t="str">
        <f t="array" ref="C2687">IF(B2687="", "", XLOOKUP(B2687, Inventory!D:D,Inventory!E:E,"No Name Found"))</f>
        <v/>
      </c>
      <c r="D2687" s="6"/>
      <c r="E2687" s="6"/>
      <c r="F2687" s="6"/>
      <c r="G2687" s="24" t="str">
        <f>IF(F2687="", "", VLOOKUP(F2687, Inventory!A:BZ, 3, FALSE) - SUMIF($F$1:$F2686, F2687, $H$1:$H2686))
</f>
        <v/>
      </c>
      <c r="I2687" s="26"/>
      <c r="J2687" s="26" t="s">
        <v>77</v>
      </c>
      <c r="L2687" s="27" t="s">
        <v>77</v>
      </c>
      <c r="N2687" s="28" t="s">
        <v>77</v>
      </c>
      <c r="Q2687" s="30"/>
    </row>
    <row r="2688">
      <c r="B2688" s="6"/>
      <c r="C2688" s="33" t="str">
        <f t="array" ref="C2688">IF(B2688="", "", XLOOKUP(B2688, Inventory!D:D,Inventory!E:E,"No Name Found"))</f>
        <v/>
      </c>
      <c r="D2688" s="6"/>
      <c r="E2688" s="6"/>
      <c r="F2688" s="6"/>
      <c r="G2688" s="24" t="str">
        <f>IF(F2688="", "", VLOOKUP(F2688, Inventory!A:BZ, 3, FALSE) - SUMIF($F$1:$F2687, F2688, $H$1:$H2687))
</f>
        <v/>
      </c>
      <c r="I2688" s="26"/>
      <c r="J2688" s="26" t="s">
        <v>77</v>
      </c>
      <c r="L2688" s="27" t="s">
        <v>77</v>
      </c>
      <c r="N2688" s="28" t="s">
        <v>77</v>
      </c>
      <c r="Q2688" s="30"/>
    </row>
    <row r="2689">
      <c r="B2689" s="6"/>
      <c r="C2689" s="33" t="str">
        <f t="array" ref="C2689">IF(B2689="", "", XLOOKUP(B2689, Inventory!D:D,Inventory!E:E,"No Name Found"))</f>
        <v/>
      </c>
      <c r="D2689" s="6"/>
      <c r="E2689" s="6"/>
      <c r="F2689" s="6"/>
      <c r="G2689" s="24" t="str">
        <f>IF(F2689="", "", VLOOKUP(F2689, Inventory!A:BZ, 3, FALSE) - SUMIF($F$1:$F2688, F2689, $H$1:$H2688))
</f>
        <v/>
      </c>
      <c r="I2689" s="26"/>
      <c r="J2689" s="26" t="s">
        <v>77</v>
      </c>
      <c r="L2689" s="27" t="s">
        <v>77</v>
      </c>
      <c r="N2689" s="28" t="s">
        <v>77</v>
      </c>
      <c r="Q2689" s="30"/>
    </row>
    <row r="2690">
      <c r="B2690" s="6"/>
      <c r="C2690" s="33" t="str">
        <f t="array" ref="C2690">IF(B2690="", "", XLOOKUP(B2690, Inventory!D:D,Inventory!E:E,"No Name Found"))</f>
        <v/>
      </c>
      <c r="D2690" s="6"/>
      <c r="E2690" s="6"/>
      <c r="F2690" s="6"/>
      <c r="G2690" s="24" t="str">
        <f>IF(F2690="", "", VLOOKUP(F2690, Inventory!A:BZ, 3, FALSE) - SUMIF($F$1:$F2689, F2690, $H$1:$H2689))
</f>
        <v/>
      </c>
      <c r="I2690" s="26"/>
      <c r="J2690" s="26" t="s">
        <v>77</v>
      </c>
      <c r="L2690" s="27" t="s">
        <v>77</v>
      </c>
      <c r="N2690" s="28" t="s">
        <v>77</v>
      </c>
      <c r="Q2690" s="30"/>
    </row>
    <row r="2691">
      <c r="B2691" s="6"/>
      <c r="C2691" s="33" t="str">
        <f t="array" ref="C2691">IF(B2691="", "", XLOOKUP(B2691, Inventory!D:D,Inventory!E:E,"No Name Found"))</f>
        <v/>
      </c>
      <c r="D2691" s="6"/>
      <c r="E2691" s="6"/>
      <c r="F2691" s="6"/>
      <c r="G2691" s="24" t="str">
        <f>IF(F2691="", "", VLOOKUP(F2691, Inventory!A:BZ, 3, FALSE) - SUMIF($F$1:$F2690, F2691, $H$1:$H2690))
</f>
        <v/>
      </c>
      <c r="I2691" s="26"/>
      <c r="J2691" s="26" t="s">
        <v>77</v>
      </c>
      <c r="L2691" s="27" t="s">
        <v>77</v>
      </c>
      <c r="N2691" s="28" t="s">
        <v>77</v>
      </c>
      <c r="Q2691" s="30"/>
    </row>
    <row r="2692">
      <c r="B2692" s="6"/>
      <c r="C2692" s="33" t="str">
        <f t="array" ref="C2692">IF(B2692="", "", XLOOKUP(B2692, Inventory!D:D,Inventory!E:E,"No Name Found"))</f>
        <v/>
      </c>
      <c r="D2692" s="6"/>
      <c r="E2692" s="6"/>
      <c r="F2692" s="6"/>
      <c r="G2692" s="24" t="str">
        <f>IF(F2692="", "", VLOOKUP(F2692, Inventory!A:BZ, 3, FALSE) - SUMIF($F$1:$F2691, F2692, $H$1:$H2691))
</f>
        <v/>
      </c>
      <c r="I2692" s="26"/>
      <c r="J2692" s="26" t="s">
        <v>77</v>
      </c>
      <c r="L2692" s="27" t="s">
        <v>77</v>
      </c>
      <c r="N2692" s="28" t="s">
        <v>77</v>
      </c>
      <c r="Q2692" s="30"/>
    </row>
    <row r="2693">
      <c r="B2693" s="6"/>
      <c r="C2693" s="33" t="str">
        <f t="array" ref="C2693">IF(B2693="", "", XLOOKUP(B2693, Inventory!D:D,Inventory!E:E,"No Name Found"))</f>
        <v/>
      </c>
      <c r="D2693" s="6"/>
      <c r="E2693" s="6"/>
      <c r="F2693" s="6"/>
      <c r="G2693" s="24" t="str">
        <f>IF(F2693="", "", VLOOKUP(F2693, Inventory!A:BZ, 3, FALSE) - SUMIF($F$1:$F2692, F2693, $H$1:$H2692))
</f>
        <v/>
      </c>
      <c r="I2693" s="26"/>
      <c r="J2693" s="26" t="s">
        <v>77</v>
      </c>
      <c r="L2693" s="27" t="s">
        <v>77</v>
      </c>
      <c r="N2693" s="28" t="s">
        <v>77</v>
      </c>
      <c r="Q2693" s="30"/>
    </row>
    <row r="2694">
      <c r="B2694" s="6"/>
      <c r="C2694" s="33" t="str">
        <f t="array" ref="C2694">IF(B2694="", "", XLOOKUP(B2694, Inventory!D:D,Inventory!E:E,"No Name Found"))</f>
        <v/>
      </c>
      <c r="D2694" s="6"/>
      <c r="E2694" s="6"/>
      <c r="F2694" s="6"/>
      <c r="G2694" s="24" t="str">
        <f>IF(F2694="", "", VLOOKUP(F2694, Inventory!A:BZ, 3, FALSE) - SUMIF($F$1:$F2693, F2694, $H$1:$H2693))
</f>
        <v/>
      </c>
      <c r="I2694" s="26"/>
      <c r="J2694" s="26" t="s">
        <v>77</v>
      </c>
      <c r="L2694" s="27" t="s">
        <v>77</v>
      </c>
      <c r="N2694" s="28" t="s">
        <v>77</v>
      </c>
      <c r="Q2694" s="30"/>
    </row>
    <row r="2695">
      <c r="B2695" s="6"/>
      <c r="C2695" s="33" t="str">
        <f t="array" ref="C2695">IF(B2695="", "", XLOOKUP(B2695, Inventory!D:D,Inventory!E:E,"No Name Found"))</f>
        <v/>
      </c>
      <c r="D2695" s="6"/>
      <c r="E2695" s="6"/>
      <c r="F2695" s="6"/>
      <c r="G2695" s="24" t="str">
        <f>IF(F2695="", "", VLOOKUP(F2695, Inventory!A:BZ, 3, FALSE) - SUMIF($F$1:$F2694, F2695, $H$1:$H2694))
</f>
        <v/>
      </c>
      <c r="I2695" s="26"/>
      <c r="J2695" s="26" t="s">
        <v>77</v>
      </c>
      <c r="L2695" s="27" t="s">
        <v>77</v>
      </c>
      <c r="N2695" s="28" t="s">
        <v>77</v>
      </c>
      <c r="Q2695" s="30"/>
    </row>
    <row r="2696">
      <c r="B2696" s="6"/>
      <c r="C2696" s="33" t="str">
        <f t="array" ref="C2696">IF(B2696="", "", XLOOKUP(B2696, Inventory!D:D,Inventory!E:E,"No Name Found"))</f>
        <v/>
      </c>
      <c r="D2696" s="6"/>
      <c r="E2696" s="6"/>
      <c r="F2696" s="6"/>
      <c r="G2696" s="24" t="str">
        <f>IF(F2696="", "", VLOOKUP(F2696, Inventory!A:BZ, 3, FALSE) - SUMIF($F$1:$F2695, F2696, $H$1:$H2695))
</f>
        <v/>
      </c>
      <c r="I2696" s="26"/>
      <c r="J2696" s="26" t="s">
        <v>77</v>
      </c>
      <c r="L2696" s="27" t="s">
        <v>77</v>
      </c>
      <c r="N2696" s="28" t="s">
        <v>77</v>
      </c>
      <c r="Q2696" s="30"/>
    </row>
    <row r="2697">
      <c r="B2697" s="6"/>
      <c r="C2697" s="33" t="str">
        <f t="array" ref="C2697">IF(B2697="", "", XLOOKUP(B2697, Inventory!D:D,Inventory!E:E,"No Name Found"))</f>
        <v/>
      </c>
      <c r="D2697" s="6"/>
      <c r="E2697" s="6"/>
      <c r="F2697" s="6"/>
      <c r="G2697" s="24" t="str">
        <f>IF(F2697="", "", VLOOKUP(F2697, Inventory!A:BZ, 3, FALSE) - SUMIF($F$1:$F2696, F2697, $H$1:$H2696))
</f>
        <v/>
      </c>
      <c r="I2697" s="26"/>
      <c r="J2697" s="26" t="s">
        <v>77</v>
      </c>
      <c r="L2697" s="27" t="s">
        <v>77</v>
      </c>
      <c r="N2697" s="28" t="s">
        <v>77</v>
      </c>
      <c r="Q2697" s="30"/>
    </row>
    <row r="2698">
      <c r="B2698" s="6"/>
      <c r="C2698" s="33" t="str">
        <f t="array" ref="C2698">IF(B2698="", "", XLOOKUP(B2698, Inventory!D:D,Inventory!E:E,"No Name Found"))</f>
        <v/>
      </c>
      <c r="D2698" s="6"/>
      <c r="E2698" s="6"/>
      <c r="F2698" s="6"/>
      <c r="G2698" s="24" t="str">
        <f>IF(F2698="", "", VLOOKUP(F2698, Inventory!A:BZ, 3, FALSE) - SUMIF($F$1:$F2697, F2698, $H$1:$H2697))
</f>
        <v/>
      </c>
      <c r="I2698" s="26"/>
      <c r="J2698" s="26" t="s">
        <v>77</v>
      </c>
      <c r="L2698" s="27" t="s">
        <v>77</v>
      </c>
      <c r="N2698" s="28" t="s">
        <v>77</v>
      </c>
      <c r="Q2698" s="30"/>
    </row>
    <row r="2699">
      <c r="B2699" s="6"/>
      <c r="C2699" s="33" t="str">
        <f t="array" ref="C2699">IF(B2699="", "", XLOOKUP(B2699, Inventory!D:D,Inventory!E:E,"No Name Found"))</f>
        <v/>
      </c>
      <c r="D2699" s="6"/>
      <c r="E2699" s="6"/>
      <c r="F2699" s="6"/>
      <c r="G2699" s="24" t="str">
        <f>IF(F2699="", "", VLOOKUP(F2699, Inventory!A:BZ, 3, FALSE) - SUMIF($F$1:$F2698, F2699, $H$1:$H2698))
</f>
        <v/>
      </c>
      <c r="I2699" s="26"/>
      <c r="J2699" s="26" t="s">
        <v>77</v>
      </c>
      <c r="L2699" s="27" t="s">
        <v>77</v>
      </c>
      <c r="N2699" s="28" t="s">
        <v>77</v>
      </c>
      <c r="Q2699" s="30"/>
    </row>
    <row r="2700">
      <c r="B2700" s="6"/>
      <c r="C2700" s="33" t="str">
        <f t="array" ref="C2700">IF(B2700="", "", XLOOKUP(B2700, Inventory!D:D,Inventory!E:E,"No Name Found"))</f>
        <v/>
      </c>
      <c r="D2700" s="6"/>
      <c r="E2700" s="6"/>
      <c r="F2700" s="6"/>
      <c r="G2700" s="24" t="str">
        <f>IF(F2700="", "", VLOOKUP(F2700, Inventory!A:BZ, 3, FALSE) - SUMIF($F$1:$F2699, F2700, $H$1:$H2699))
</f>
        <v/>
      </c>
      <c r="I2700" s="26"/>
      <c r="J2700" s="26" t="s">
        <v>77</v>
      </c>
      <c r="L2700" s="27" t="s">
        <v>77</v>
      </c>
      <c r="N2700" s="28" t="s">
        <v>77</v>
      </c>
      <c r="Q2700" s="30"/>
    </row>
    <row r="2701">
      <c r="B2701" s="6"/>
      <c r="C2701" s="33" t="str">
        <f t="array" ref="C2701">IF(B2701="", "", XLOOKUP(B2701, Inventory!D:D,Inventory!E:E,"No Name Found"))</f>
        <v/>
      </c>
      <c r="D2701" s="6"/>
      <c r="E2701" s="6"/>
      <c r="F2701" s="6"/>
      <c r="G2701" s="24" t="str">
        <f>IF(F2701="", "", VLOOKUP(F2701, Inventory!A:BZ, 3, FALSE) - SUMIF($F$1:$F2700, F2701, $H$1:$H2700))
</f>
        <v/>
      </c>
      <c r="I2701" s="26"/>
      <c r="J2701" s="26" t="s">
        <v>77</v>
      </c>
      <c r="L2701" s="27" t="s">
        <v>77</v>
      </c>
      <c r="N2701" s="28" t="s">
        <v>77</v>
      </c>
      <c r="Q2701" s="30"/>
    </row>
    <row r="2702">
      <c r="B2702" s="6"/>
      <c r="C2702" s="33" t="str">
        <f t="array" ref="C2702">IF(B2702="", "", XLOOKUP(B2702, Inventory!D:D,Inventory!E:E,"No Name Found"))</f>
        <v/>
      </c>
      <c r="D2702" s="6"/>
      <c r="E2702" s="6"/>
      <c r="F2702" s="6"/>
      <c r="G2702" s="24" t="str">
        <f>IF(F2702="", "", VLOOKUP(F2702, Inventory!A:BZ, 3, FALSE) - SUMIF($F$1:$F2701, F2702, $H$1:$H2701))
</f>
        <v/>
      </c>
      <c r="I2702" s="26"/>
      <c r="J2702" s="26" t="s">
        <v>77</v>
      </c>
      <c r="L2702" s="27" t="s">
        <v>77</v>
      </c>
      <c r="N2702" s="28" t="s">
        <v>77</v>
      </c>
      <c r="Q2702" s="30"/>
    </row>
    <row r="2703">
      <c r="B2703" s="6"/>
      <c r="C2703" s="33" t="str">
        <f t="array" ref="C2703">IF(B2703="", "", XLOOKUP(B2703, Inventory!D:D,Inventory!E:E,"No Name Found"))</f>
        <v/>
      </c>
      <c r="D2703" s="6"/>
      <c r="E2703" s="6"/>
      <c r="F2703" s="6"/>
      <c r="G2703" s="24" t="str">
        <f>IF(F2703="", "", VLOOKUP(F2703, Inventory!A:BZ, 3, FALSE) - SUMIF($F$1:$F2702, F2703, $H$1:$H2702))
</f>
        <v/>
      </c>
      <c r="I2703" s="26"/>
      <c r="J2703" s="26" t="s">
        <v>77</v>
      </c>
      <c r="L2703" s="27" t="s">
        <v>77</v>
      </c>
      <c r="N2703" s="28" t="s">
        <v>77</v>
      </c>
      <c r="Q2703" s="30"/>
    </row>
    <row r="2704">
      <c r="B2704" s="6"/>
      <c r="C2704" s="33" t="str">
        <f t="array" ref="C2704">IF(B2704="", "", XLOOKUP(B2704, Inventory!D:D,Inventory!E:E,"No Name Found"))</f>
        <v/>
      </c>
      <c r="D2704" s="6"/>
      <c r="E2704" s="6"/>
      <c r="F2704" s="6"/>
      <c r="G2704" s="24" t="str">
        <f>IF(F2704="", "", VLOOKUP(F2704, Inventory!A:BZ, 3, FALSE) - SUMIF($F$1:$F2703, F2704, $H$1:$H2703))
</f>
        <v/>
      </c>
      <c r="I2704" s="26"/>
      <c r="J2704" s="26" t="s">
        <v>77</v>
      </c>
      <c r="L2704" s="27" t="s">
        <v>77</v>
      </c>
      <c r="N2704" s="28" t="s">
        <v>77</v>
      </c>
      <c r="Q2704" s="30"/>
    </row>
    <row r="2705">
      <c r="B2705" s="6"/>
      <c r="C2705" s="33" t="str">
        <f t="array" ref="C2705">IF(B2705="", "", XLOOKUP(B2705, Inventory!D:D,Inventory!E:E,"No Name Found"))</f>
        <v/>
      </c>
      <c r="D2705" s="6"/>
      <c r="E2705" s="6"/>
      <c r="F2705" s="6"/>
      <c r="G2705" s="24" t="str">
        <f>IF(F2705="", "", VLOOKUP(F2705, Inventory!A:BZ, 3, FALSE) - SUMIF($F$1:$F2704, F2705, $H$1:$H2704))
</f>
        <v/>
      </c>
      <c r="I2705" s="26"/>
      <c r="J2705" s="26" t="s">
        <v>77</v>
      </c>
      <c r="L2705" s="27" t="s">
        <v>77</v>
      </c>
      <c r="N2705" s="28" t="s">
        <v>77</v>
      </c>
      <c r="Q2705" s="30"/>
    </row>
    <row r="2706">
      <c r="B2706" s="6"/>
      <c r="C2706" s="33" t="str">
        <f t="array" ref="C2706">IF(B2706="", "", XLOOKUP(B2706, Inventory!D:D,Inventory!E:E,"No Name Found"))</f>
        <v/>
      </c>
      <c r="D2706" s="6"/>
      <c r="E2706" s="6"/>
      <c r="F2706" s="6"/>
      <c r="G2706" s="24" t="str">
        <f>IF(F2706="", "", VLOOKUP(F2706, Inventory!A:BZ, 3, FALSE) - SUMIF($F$1:$F2705, F2706, $H$1:$H2705))
</f>
        <v/>
      </c>
      <c r="I2706" s="26"/>
      <c r="J2706" s="26" t="s">
        <v>77</v>
      </c>
      <c r="L2706" s="27" t="s">
        <v>77</v>
      </c>
      <c r="N2706" s="28" t="s">
        <v>77</v>
      </c>
      <c r="Q2706" s="30"/>
    </row>
    <row r="2707">
      <c r="B2707" s="6"/>
      <c r="C2707" s="33" t="str">
        <f t="array" ref="C2707">IF(B2707="", "", XLOOKUP(B2707, Inventory!D:D,Inventory!E:E,"No Name Found"))</f>
        <v/>
      </c>
      <c r="D2707" s="6"/>
      <c r="E2707" s="6"/>
      <c r="F2707" s="6"/>
      <c r="G2707" s="24" t="str">
        <f>IF(F2707="", "", VLOOKUP(F2707, Inventory!A:BZ, 3, FALSE) - SUMIF($F$1:$F2706, F2707, $H$1:$H2706))
</f>
        <v/>
      </c>
      <c r="I2707" s="26"/>
      <c r="J2707" s="26" t="s">
        <v>77</v>
      </c>
      <c r="L2707" s="27" t="s">
        <v>77</v>
      </c>
      <c r="N2707" s="28" t="s">
        <v>77</v>
      </c>
      <c r="Q2707" s="30"/>
    </row>
    <row r="2708">
      <c r="B2708" s="6"/>
      <c r="C2708" s="33" t="str">
        <f t="array" ref="C2708">IF(B2708="", "", XLOOKUP(B2708, Inventory!D:D,Inventory!E:E,"No Name Found"))</f>
        <v/>
      </c>
      <c r="D2708" s="6"/>
      <c r="E2708" s="6"/>
      <c r="F2708" s="6"/>
      <c r="G2708" s="24" t="str">
        <f>IF(F2708="", "", VLOOKUP(F2708, Inventory!A:BZ, 3, FALSE) - SUMIF($F$1:$F2707, F2708, $H$1:$H2707))
</f>
        <v/>
      </c>
      <c r="I2708" s="26"/>
      <c r="J2708" s="26" t="s">
        <v>77</v>
      </c>
      <c r="L2708" s="27" t="s">
        <v>77</v>
      </c>
      <c r="N2708" s="28" t="s">
        <v>77</v>
      </c>
      <c r="Q2708" s="30"/>
    </row>
    <row r="2709">
      <c r="B2709" s="6"/>
      <c r="C2709" s="33" t="str">
        <f t="array" ref="C2709">IF(B2709="", "", XLOOKUP(B2709, Inventory!D:D,Inventory!E:E,"No Name Found"))</f>
        <v/>
      </c>
      <c r="D2709" s="6"/>
      <c r="E2709" s="6"/>
      <c r="F2709" s="6"/>
      <c r="G2709" s="24" t="str">
        <f>IF(F2709="", "", VLOOKUP(F2709, Inventory!A:BZ, 3, FALSE) - SUMIF($F$1:$F2708, F2709, $H$1:$H2708))
</f>
        <v/>
      </c>
      <c r="I2709" s="26"/>
      <c r="J2709" s="26" t="s">
        <v>77</v>
      </c>
      <c r="L2709" s="27" t="s">
        <v>77</v>
      </c>
      <c r="N2709" s="28" t="s">
        <v>77</v>
      </c>
      <c r="Q2709" s="30"/>
    </row>
    <row r="2710">
      <c r="B2710" s="6"/>
      <c r="C2710" s="33" t="str">
        <f t="array" ref="C2710">IF(B2710="", "", XLOOKUP(B2710, Inventory!D:D,Inventory!E:E,"No Name Found"))</f>
        <v/>
      </c>
      <c r="D2710" s="6"/>
      <c r="E2710" s="6"/>
      <c r="F2710" s="6"/>
      <c r="G2710" s="24" t="str">
        <f>IF(F2710="", "", VLOOKUP(F2710, Inventory!A:BZ, 3, FALSE) - SUMIF($F$1:$F2709, F2710, $H$1:$H2709))
</f>
        <v/>
      </c>
      <c r="I2710" s="26"/>
      <c r="J2710" s="26" t="s">
        <v>77</v>
      </c>
      <c r="L2710" s="27" t="s">
        <v>77</v>
      </c>
      <c r="N2710" s="28" t="s">
        <v>77</v>
      </c>
      <c r="Q2710" s="30"/>
    </row>
    <row r="2711">
      <c r="B2711" s="6"/>
      <c r="C2711" s="33" t="str">
        <f t="array" ref="C2711">IF(B2711="", "", XLOOKUP(B2711, Inventory!D:D,Inventory!E:E,"No Name Found"))</f>
        <v/>
      </c>
      <c r="D2711" s="6"/>
      <c r="E2711" s="6"/>
      <c r="F2711" s="6"/>
      <c r="G2711" s="24" t="str">
        <f>IF(F2711="", "", VLOOKUP(F2711, Inventory!A:BZ, 3, FALSE) - SUMIF($F$1:$F2710, F2711, $H$1:$H2710))
</f>
        <v/>
      </c>
      <c r="I2711" s="26"/>
      <c r="J2711" s="26" t="s">
        <v>77</v>
      </c>
      <c r="L2711" s="27" t="s">
        <v>77</v>
      </c>
      <c r="N2711" s="28" t="s">
        <v>77</v>
      </c>
      <c r="Q2711" s="30"/>
    </row>
    <row r="2712">
      <c r="B2712" s="6"/>
      <c r="C2712" s="33" t="str">
        <f t="array" ref="C2712">IF(B2712="", "", XLOOKUP(B2712, Inventory!D:D,Inventory!E:E,"No Name Found"))</f>
        <v/>
      </c>
      <c r="D2712" s="6"/>
      <c r="E2712" s="6"/>
      <c r="F2712" s="6"/>
      <c r="G2712" s="24" t="str">
        <f>IF(F2712="", "", VLOOKUP(F2712, Inventory!A:BZ, 3, FALSE) - SUMIF($F$1:$F2711, F2712, $H$1:$H2711))
</f>
        <v/>
      </c>
      <c r="I2712" s="26"/>
      <c r="J2712" s="26" t="s">
        <v>77</v>
      </c>
      <c r="L2712" s="27" t="s">
        <v>77</v>
      </c>
      <c r="N2712" s="28" t="s">
        <v>77</v>
      </c>
      <c r="Q2712" s="30"/>
    </row>
    <row r="2713">
      <c r="B2713" s="6"/>
      <c r="C2713" s="33" t="str">
        <f t="array" ref="C2713">IF(B2713="", "", XLOOKUP(B2713, Inventory!D:D,Inventory!E:E,"No Name Found"))</f>
        <v/>
      </c>
      <c r="D2713" s="6"/>
      <c r="E2713" s="6"/>
      <c r="F2713" s="6"/>
      <c r="G2713" s="24" t="str">
        <f>IF(F2713="", "", VLOOKUP(F2713, Inventory!A:BZ, 3, FALSE) - SUMIF($F$1:$F2712, F2713, $H$1:$H2712))
</f>
        <v/>
      </c>
      <c r="I2713" s="26"/>
      <c r="J2713" s="26" t="s">
        <v>77</v>
      </c>
      <c r="L2713" s="27" t="s">
        <v>77</v>
      </c>
      <c r="N2713" s="28" t="s">
        <v>77</v>
      </c>
      <c r="Q2713" s="30"/>
    </row>
    <row r="2714">
      <c r="B2714" s="6"/>
      <c r="C2714" s="33" t="str">
        <f t="array" ref="C2714">IF(B2714="", "", XLOOKUP(B2714, Inventory!D:D,Inventory!E:E,"No Name Found"))</f>
        <v/>
      </c>
      <c r="D2714" s="6"/>
      <c r="E2714" s="6"/>
      <c r="F2714" s="6"/>
      <c r="G2714" s="24" t="str">
        <f>IF(F2714="", "", VLOOKUP(F2714, Inventory!A:BZ, 3, FALSE) - SUMIF($F$1:$F2713, F2714, $H$1:$H2713))
</f>
        <v/>
      </c>
      <c r="I2714" s="26"/>
      <c r="J2714" s="26" t="s">
        <v>77</v>
      </c>
      <c r="L2714" s="27" t="s">
        <v>77</v>
      </c>
      <c r="N2714" s="28" t="s">
        <v>77</v>
      </c>
      <c r="Q2714" s="30"/>
    </row>
    <row r="2715">
      <c r="B2715" s="6"/>
      <c r="C2715" s="33" t="str">
        <f t="array" ref="C2715">IF(B2715="", "", XLOOKUP(B2715, Inventory!D:D,Inventory!E:E,"No Name Found"))</f>
        <v/>
      </c>
      <c r="D2715" s="6"/>
      <c r="E2715" s="6"/>
      <c r="F2715" s="6"/>
      <c r="G2715" s="24" t="str">
        <f>IF(F2715="", "", VLOOKUP(F2715, Inventory!A:BZ, 3, FALSE) - SUMIF($F$1:$F2714, F2715, $H$1:$H2714))
</f>
        <v/>
      </c>
      <c r="I2715" s="26"/>
      <c r="J2715" s="26" t="s">
        <v>77</v>
      </c>
      <c r="L2715" s="27" t="s">
        <v>77</v>
      </c>
      <c r="N2715" s="28" t="s">
        <v>77</v>
      </c>
      <c r="Q2715" s="30"/>
    </row>
    <row r="2716">
      <c r="B2716" s="6"/>
      <c r="C2716" s="33" t="str">
        <f t="array" ref="C2716">IF(B2716="", "", XLOOKUP(B2716, Inventory!D:D,Inventory!E:E,"No Name Found"))</f>
        <v/>
      </c>
      <c r="D2716" s="6"/>
      <c r="E2716" s="6"/>
      <c r="F2716" s="6"/>
      <c r="G2716" s="24" t="str">
        <f>IF(F2716="", "", VLOOKUP(F2716, Inventory!A:BZ, 3, FALSE) - SUMIF($F$1:$F2715, F2716, $H$1:$H2715))
</f>
        <v/>
      </c>
      <c r="I2716" s="26"/>
      <c r="J2716" s="26" t="s">
        <v>77</v>
      </c>
      <c r="L2716" s="27" t="s">
        <v>77</v>
      </c>
      <c r="N2716" s="28" t="s">
        <v>77</v>
      </c>
      <c r="Q2716" s="30"/>
    </row>
    <row r="2717">
      <c r="B2717" s="6"/>
      <c r="C2717" s="33" t="str">
        <f t="array" ref="C2717">IF(B2717="", "", XLOOKUP(B2717, Inventory!D:D,Inventory!E:E,"No Name Found"))</f>
        <v/>
      </c>
      <c r="D2717" s="6"/>
      <c r="E2717" s="6"/>
      <c r="F2717" s="6"/>
      <c r="G2717" s="24" t="str">
        <f>IF(F2717="", "", VLOOKUP(F2717, Inventory!A:BZ, 3, FALSE) - SUMIF($F$1:$F2716, F2717, $H$1:$H2716))
</f>
        <v/>
      </c>
      <c r="I2717" s="26"/>
      <c r="J2717" s="26" t="s">
        <v>77</v>
      </c>
      <c r="L2717" s="27" t="s">
        <v>77</v>
      </c>
      <c r="N2717" s="28" t="s">
        <v>77</v>
      </c>
      <c r="Q2717" s="30"/>
    </row>
    <row r="2718">
      <c r="B2718" s="6"/>
      <c r="C2718" s="33" t="str">
        <f t="array" ref="C2718">IF(B2718="", "", XLOOKUP(B2718, Inventory!D:D,Inventory!E:E,"No Name Found"))</f>
        <v/>
      </c>
      <c r="D2718" s="6"/>
      <c r="E2718" s="6"/>
      <c r="F2718" s="6"/>
      <c r="G2718" s="24" t="str">
        <f>IF(F2718="", "", VLOOKUP(F2718, Inventory!A:BZ, 3, FALSE) - SUMIF($F$1:$F2717, F2718, $H$1:$H2717))
</f>
        <v/>
      </c>
      <c r="I2718" s="26"/>
      <c r="J2718" s="26" t="s">
        <v>77</v>
      </c>
      <c r="L2718" s="27" t="s">
        <v>77</v>
      </c>
      <c r="N2718" s="28" t="s">
        <v>77</v>
      </c>
      <c r="Q2718" s="30"/>
    </row>
    <row r="2719">
      <c r="B2719" s="6"/>
      <c r="C2719" s="33" t="str">
        <f t="array" ref="C2719">IF(B2719="", "", XLOOKUP(B2719, Inventory!D:D,Inventory!E:E,"No Name Found"))</f>
        <v/>
      </c>
      <c r="D2719" s="6"/>
      <c r="E2719" s="6"/>
      <c r="F2719" s="6"/>
      <c r="G2719" s="24" t="str">
        <f>IF(F2719="", "", VLOOKUP(F2719, Inventory!A:BZ, 3, FALSE) - SUMIF($F$1:$F2718, F2719, $H$1:$H2718))
</f>
        <v/>
      </c>
      <c r="I2719" s="26"/>
      <c r="J2719" s="26" t="s">
        <v>77</v>
      </c>
      <c r="L2719" s="27" t="s">
        <v>77</v>
      </c>
      <c r="N2719" s="28" t="s">
        <v>77</v>
      </c>
      <c r="Q2719" s="30"/>
    </row>
    <row r="2720">
      <c r="B2720" s="6"/>
      <c r="C2720" s="33" t="str">
        <f t="array" ref="C2720">IF(B2720="", "", XLOOKUP(B2720, Inventory!D:D,Inventory!E:E,"No Name Found"))</f>
        <v/>
      </c>
      <c r="D2720" s="6"/>
      <c r="E2720" s="6"/>
      <c r="F2720" s="6"/>
      <c r="G2720" s="24" t="str">
        <f>IF(F2720="", "", VLOOKUP(F2720, Inventory!A:BZ, 3, FALSE) - SUMIF($F$1:$F2719, F2720, $H$1:$H2719))
</f>
        <v/>
      </c>
      <c r="I2720" s="26"/>
      <c r="J2720" s="26" t="s">
        <v>77</v>
      </c>
      <c r="L2720" s="27" t="s">
        <v>77</v>
      </c>
      <c r="N2720" s="28" t="s">
        <v>77</v>
      </c>
      <c r="Q2720" s="30"/>
    </row>
    <row r="2721">
      <c r="B2721" s="6"/>
      <c r="C2721" s="33" t="str">
        <f t="array" ref="C2721">IF(B2721="", "", XLOOKUP(B2721, Inventory!D:D,Inventory!E:E,"No Name Found"))</f>
        <v/>
      </c>
      <c r="D2721" s="6"/>
      <c r="E2721" s="6"/>
      <c r="F2721" s="6"/>
      <c r="G2721" s="24" t="str">
        <f>IF(F2721="", "", VLOOKUP(F2721, Inventory!A:BZ, 3, FALSE) - SUMIF($F$1:$F2720, F2721, $H$1:$H2720))
</f>
        <v/>
      </c>
      <c r="I2721" s="26"/>
      <c r="J2721" s="26" t="s">
        <v>77</v>
      </c>
      <c r="L2721" s="27" t="s">
        <v>77</v>
      </c>
      <c r="N2721" s="28" t="s">
        <v>77</v>
      </c>
      <c r="Q2721" s="30"/>
    </row>
    <row r="2722">
      <c r="B2722" s="6"/>
      <c r="C2722" s="33" t="str">
        <f t="array" ref="C2722">IF(B2722="", "", XLOOKUP(B2722, Inventory!D:D,Inventory!E:E,"No Name Found"))</f>
        <v/>
      </c>
      <c r="D2722" s="6"/>
      <c r="E2722" s="6"/>
      <c r="F2722" s="6"/>
      <c r="G2722" s="24" t="str">
        <f>IF(F2722="", "", VLOOKUP(F2722, Inventory!A:BZ, 3, FALSE) - SUMIF($F$1:$F2721, F2722, $H$1:$H2721))
</f>
        <v/>
      </c>
      <c r="I2722" s="26"/>
      <c r="J2722" s="26" t="s">
        <v>77</v>
      </c>
      <c r="L2722" s="27" t="s">
        <v>77</v>
      </c>
      <c r="N2722" s="28" t="s">
        <v>77</v>
      </c>
      <c r="Q2722" s="30"/>
    </row>
    <row r="2723">
      <c r="B2723" s="6"/>
      <c r="C2723" s="33" t="str">
        <f t="array" ref="C2723">IF(B2723="", "", XLOOKUP(B2723, Inventory!D:D,Inventory!E:E,"No Name Found"))</f>
        <v/>
      </c>
      <c r="D2723" s="6"/>
      <c r="E2723" s="6"/>
      <c r="F2723" s="6"/>
      <c r="G2723" s="24" t="str">
        <f>IF(F2723="", "", VLOOKUP(F2723, Inventory!A:BZ, 3, FALSE) - SUMIF($F$1:$F2722, F2723, $H$1:$H2722))
</f>
        <v/>
      </c>
      <c r="I2723" s="26"/>
      <c r="J2723" s="26" t="s">
        <v>77</v>
      </c>
      <c r="L2723" s="27" t="s">
        <v>77</v>
      </c>
      <c r="N2723" s="28" t="s">
        <v>77</v>
      </c>
      <c r="Q2723" s="30"/>
    </row>
    <row r="2724">
      <c r="B2724" s="6"/>
      <c r="C2724" s="33" t="str">
        <f t="array" ref="C2724">IF(B2724="", "", XLOOKUP(B2724, Inventory!D:D,Inventory!E:E,"No Name Found"))</f>
        <v/>
      </c>
      <c r="D2724" s="6"/>
      <c r="E2724" s="6"/>
      <c r="F2724" s="6"/>
      <c r="G2724" s="24" t="str">
        <f>IF(F2724="", "", VLOOKUP(F2724, Inventory!A:BZ, 3, FALSE) - SUMIF($F$1:$F2723, F2724, $H$1:$H2723))
</f>
        <v/>
      </c>
      <c r="I2724" s="26"/>
      <c r="J2724" s="26" t="s">
        <v>77</v>
      </c>
      <c r="L2724" s="27" t="s">
        <v>77</v>
      </c>
      <c r="N2724" s="28" t="s">
        <v>77</v>
      </c>
      <c r="Q2724" s="30"/>
    </row>
    <row r="2725">
      <c r="B2725" s="6"/>
      <c r="C2725" s="33" t="str">
        <f t="array" ref="C2725">IF(B2725="", "", XLOOKUP(B2725, Inventory!D:D,Inventory!E:E,"No Name Found"))</f>
        <v/>
      </c>
      <c r="D2725" s="6"/>
      <c r="E2725" s="6"/>
      <c r="F2725" s="6"/>
      <c r="G2725" s="24" t="str">
        <f>IF(F2725="", "", VLOOKUP(F2725, Inventory!A:BZ, 3, FALSE) - SUMIF($F$1:$F2724, F2725, $H$1:$H2724))
</f>
        <v/>
      </c>
      <c r="I2725" s="26"/>
      <c r="J2725" s="26" t="s">
        <v>77</v>
      </c>
      <c r="L2725" s="27" t="s">
        <v>77</v>
      </c>
      <c r="N2725" s="28" t="s">
        <v>77</v>
      </c>
      <c r="Q2725" s="30"/>
    </row>
    <row r="2726">
      <c r="B2726" s="6"/>
      <c r="C2726" s="33" t="str">
        <f t="array" ref="C2726">IF(B2726="", "", XLOOKUP(B2726, Inventory!D:D,Inventory!E:E,"No Name Found"))</f>
        <v/>
      </c>
      <c r="D2726" s="6"/>
      <c r="E2726" s="6"/>
      <c r="F2726" s="6"/>
      <c r="G2726" s="24" t="str">
        <f>IF(F2726="", "", VLOOKUP(F2726, Inventory!A:BZ, 3, FALSE) - SUMIF($F$1:$F2725, F2726, $H$1:$H2725))
</f>
        <v/>
      </c>
      <c r="I2726" s="26"/>
      <c r="J2726" s="26" t="s">
        <v>77</v>
      </c>
      <c r="L2726" s="27" t="s">
        <v>77</v>
      </c>
      <c r="N2726" s="28" t="s">
        <v>77</v>
      </c>
      <c r="Q2726" s="30"/>
    </row>
    <row r="2727">
      <c r="B2727" s="6"/>
      <c r="C2727" s="33" t="str">
        <f t="array" ref="C2727">IF(B2727="", "", XLOOKUP(B2727, Inventory!D:D,Inventory!E:E,"No Name Found"))</f>
        <v/>
      </c>
      <c r="D2727" s="6"/>
      <c r="E2727" s="6"/>
      <c r="F2727" s="6"/>
      <c r="G2727" s="24" t="str">
        <f>IF(F2727="", "", VLOOKUP(F2727, Inventory!A:BZ, 3, FALSE) - SUMIF($F$1:$F2726, F2727, $H$1:$H2726))
</f>
        <v/>
      </c>
      <c r="I2727" s="26"/>
      <c r="J2727" s="26" t="s">
        <v>77</v>
      </c>
      <c r="L2727" s="27" t="s">
        <v>77</v>
      </c>
      <c r="N2727" s="28" t="s">
        <v>77</v>
      </c>
      <c r="Q2727" s="30"/>
    </row>
    <row r="2728">
      <c r="B2728" s="6"/>
      <c r="C2728" s="33" t="str">
        <f t="array" ref="C2728">IF(B2728="", "", XLOOKUP(B2728, Inventory!D:D,Inventory!E:E,"No Name Found"))</f>
        <v/>
      </c>
      <c r="D2728" s="6"/>
      <c r="E2728" s="6"/>
      <c r="F2728" s="6"/>
      <c r="G2728" s="24" t="str">
        <f>IF(F2728="", "", VLOOKUP(F2728, Inventory!A:BZ, 3, FALSE) - SUMIF($F$1:$F2727, F2728, $H$1:$H2727))
</f>
        <v/>
      </c>
      <c r="I2728" s="26"/>
      <c r="J2728" s="26" t="s">
        <v>77</v>
      </c>
      <c r="L2728" s="27" t="s">
        <v>77</v>
      </c>
      <c r="N2728" s="28" t="s">
        <v>77</v>
      </c>
      <c r="Q2728" s="30"/>
    </row>
    <row r="2729">
      <c r="B2729" s="6"/>
      <c r="C2729" s="33" t="str">
        <f t="array" ref="C2729">IF(B2729="", "", XLOOKUP(B2729, Inventory!D:D,Inventory!E:E,"No Name Found"))</f>
        <v/>
      </c>
      <c r="D2729" s="6"/>
      <c r="E2729" s="6"/>
      <c r="F2729" s="6"/>
      <c r="G2729" s="24" t="str">
        <f>IF(F2729="", "", VLOOKUP(F2729, Inventory!A:BZ, 3, FALSE) - SUMIF($F$1:$F2728, F2729, $H$1:$H2728))
</f>
        <v/>
      </c>
      <c r="I2729" s="26"/>
      <c r="J2729" s="26" t="s">
        <v>77</v>
      </c>
      <c r="L2729" s="27" t="s">
        <v>77</v>
      </c>
      <c r="N2729" s="28" t="s">
        <v>77</v>
      </c>
      <c r="Q2729" s="30"/>
    </row>
    <row r="2730">
      <c r="B2730" s="6"/>
      <c r="C2730" s="33" t="str">
        <f t="array" ref="C2730">IF(B2730="", "", XLOOKUP(B2730, Inventory!D:D,Inventory!E:E,"No Name Found"))</f>
        <v/>
      </c>
      <c r="D2730" s="6"/>
      <c r="E2730" s="6"/>
      <c r="F2730" s="6"/>
      <c r="G2730" s="24" t="str">
        <f>IF(F2730="", "", VLOOKUP(F2730, Inventory!A:BZ, 3, FALSE) - SUMIF($F$1:$F2729, F2730, $H$1:$H2729))
</f>
        <v/>
      </c>
      <c r="I2730" s="26"/>
      <c r="J2730" s="26" t="s">
        <v>77</v>
      </c>
      <c r="L2730" s="27" t="s">
        <v>77</v>
      </c>
      <c r="N2730" s="28" t="s">
        <v>77</v>
      </c>
      <c r="Q2730" s="30"/>
    </row>
    <row r="2731">
      <c r="B2731" s="6"/>
      <c r="C2731" s="33" t="str">
        <f t="array" ref="C2731">IF(B2731="", "", XLOOKUP(B2731, Inventory!D:D,Inventory!E:E,"No Name Found"))</f>
        <v/>
      </c>
      <c r="D2731" s="6"/>
      <c r="E2731" s="6"/>
      <c r="F2731" s="6"/>
      <c r="G2731" s="24" t="str">
        <f>IF(F2731="", "", VLOOKUP(F2731, Inventory!A:BZ, 3, FALSE) - SUMIF($F$1:$F2730, F2731, $H$1:$H2730))
</f>
        <v/>
      </c>
      <c r="I2731" s="26"/>
      <c r="J2731" s="26" t="s">
        <v>77</v>
      </c>
      <c r="L2731" s="27" t="s">
        <v>77</v>
      </c>
      <c r="N2731" s="28" t="s">
        <v>77</v>
      </c>
      <c r="Q2731" s="30"/>
    </row>
    <row r="2732">
      <c r="B2732" s="6"/>
      <c r="C2732" s="33" t="str">
        <f t="array" ref="C2732">IF(B2732="", "", XLOOKUP(B2732, Inventory!D:D,Inventory!E:E,"No Name Found"))</f>
        <v/>
      </c>
      <c r="D2732" s="6"/>
      <c r="E2732" s="6"/>
      <c r="F2732" s="6"/>
      <c r="G2732" s="24" t="str">
        <f>IF(F2732="", "", VLOOKUP(F2732, Inventory!A:BZ, 3, FALSE) - SUMIF($F$1:$F2731, F2732, $H$1:$H2731))
</f>
        <v/>
      </c>
      <c r="I2732" s="26"/>
      <c r="J2732" s="26" t="s">
        <v>77</v>
      </c>
      <c r="L2732" s="27" t="s">
        <v>77</v>
      </c>
      <c r="N2732" s="28" t="s">
        <v>77</v>
      </c>
      <c r="Q2732" s="30"/>
    </row>
    <row r="2733">
      <c r="B2733" s="6"/>
      <c r="C2733" s="33" t="str">
        <f t="array" ref="C2733">IF(B2733="", "", XLOOKUP(B2733, Inventory!D:D,Inventory!E:E,"No Name Found"))</f>
        <v/>
      </c>
      <c r="D2733" s="6"/>
      <c r="E2733" s="6"/>
      <c r="F2733" s="6"/>
      <c r="G2733" s="24" t="str">
        <f>IF(F2733="", "", VLOOKUP(F2733, Inventory!A:BZ, 3, FALSE) - SUMIF($F$1:$F2732, F2733, $H$1:$H2732))
</f>
        <v/>
      </c>
      <c r="I2733" s="26"/>
      <c r="J2733" s="26" t="s">
        <v>77</v>
      </c>
      <c r="L2733" s="27" t="s">
        <v>77</v>
      </c>
      <c r="N2733" s="28" t="s">
        <v>77</v>
      </c>
      <c r="Q2733" s="30"/>
    </row>
    <row r="2734">
      <c r="B2734" s="6"/>
      <c r="C2734" s="33" t="str">
        <f t="array" ref="C2734">IF(B2734="", "", XLOOKUP(B2734, Inventory!D:D,Inventory!E:E,"No Name Found"))</f>
        <v/>
      </c>
      <c r="D2734" s="6"/>
      <c r="E2734" s="6"/>
      <c r="F2734" s="6"/>
      <c r="G2734" s="24" t="str">
        <f>IF(F2734="", "", VLOOKUP(F2734, Inventory!A:BZ, 3, FALSE) - SUMIF($F$1:$F2733, F2734, $H$1:$H2733))
</f>
        <v/>
      </c>
      <c r="I2734" s="26"/>
      <c r="J2734" s="26" t="s">
        <v>77</v>
      </c>
      <c r="L2734" s="27" t="s">
        <v>77</v>
      </c>
      <c r="N2734" s="28" t="s">
        <v>77</v>
      </c>
      <c r="Q2734" s="30"/>
    </row>
    <row r="2735">
      <c r="B2735" s="6"/>
      <c r="C2735" s="33" t="str">
        <f t="array" ref="C2735">IF(B2735="", "", XLOOKUP(B2735, Inventory!D:D,Inventory!E:E,"No Name Found"))</f>
        <v/>
      </c>
      <c r="D2735" s="6"/>
      <c r="E2735" s="6"/>
      <c r="F2735" s="6"/>
      <c r="G2735" s="24" t="str">
        <f>IF(F2735="", "", VLOOKUP(F2735, Inventory!A:BZ, 3, FALSE) - SUMIF($F$1:$F2734, F2735, $H$1:$H2734))
</f>
        <v/>
      </c>
      <c r="I2735" s="26"/>
      <c r="J2735" s="26" t="s">
        <v>77</v>
      </c>
      <c r="L2735" s="27" t="s">
        <v>77</v>
      </c>
      <c r="N2735" s="28" t="s">
        <v>77</v>
      </c>
      <c r="Q2735" s="30"/>
    </row>
    <row r="2736">
      <c r="B2736" s="6"/>
      <c r="C2736" s="33" t="str">
        <f t="array" ref="C2736">IF(B2736="", "", XLOOKUP(B2736, Inventory!D:D,Inventory!E:E,"No Name Found"))</f>
        <v/>
      </c>
      <c r="D2736" s="6"/>
      <c r="E2736" s="6"/>
      <c r="F2736" s="6"/>
      <c r="G2736" s="24" t="str">
        <f>IF(F2736="", "", VLOOKUP(F2736, Inventory!A:BZ, 3, FALSE) - SUMIF($F$1:$F2735, F2736, $H$1:$H2735))
</f>
        <v/>
      </c>
      <c r="I2736" s="26"/>
      <c r="J2736" s="26" t="s">
        <v>77</v>
      </c>
      <c r="L2736" s="27" t="s">
        <v>77</v>
      </c>
      <c r="N2736" s="28" t="s">
        <v>77</v>
      </c>
      <c r="Q2736" s="30"/>
    </row>
    <row r="2737">
      <c r="B2737" s="6"/>
      <c r="C2737" s="33" t="str">
        <f t="array" ref="C2737">IF(B2737="", "", XLOOKUP(B2737, Inventory!D:D,Inventory!E:E,"No Name Found"))</f>
        <v/>
      </c>
      <c r="D2737" s="6"/>
      <c r="E2737" s="6"/>
      <c r="F2737" s="6"/>
      <c r="G2737" s="24" t="str">
        <f>IF(F2737="", "", VLOOKUP(F2737, Inventory!A:BZ, 3, FALSE) - SUMIF($F$1:$F2736, F2737, $H$1:$H2736))
</f>
        <v/>
      </c>
      <c r="I2737" s="26"/>
      <c r="J2737" s="26" t="s">
        <v>77</v>
      </c>
      <c r="L2737" s="27" t="s">
        <v>77</v>
      </c>
      <c r="N2737" s="28" t="s">
        <v>77</v>
      </c>
      <c r="Q2737" s="30"/>
    </row>
    <row r="2738">
      <c r="B2738" s="6"/>
      <c r="C2738" s="33" t="str">
        <f t="array" ref="C2738">IF(B2738="", "", XLOOKUP(B2738, Inventory!D:D,Inventory!E:E,"No Name Found"))</f>
        <v/>
      </c>
      <c r="D2738" s="6"/>
      <c r="E2738" s="6"/>
      <c r="F2738" s="6"/>
      <c r="G2738" s="24" t="str">
        <f>IF(F2738="", "", VLOOKUP(F2738, Inventory!A:BZ, 3, FALSE) - SUMIF($F$1:$F2737, F2738, $H$1:$H2737))
</f>
        <v/>
      </c>
      <c r="I2738" s="26"/>
      <c r="J2738" s="26" t="s">
        <v>77</v>
      </c>
      <c r="L2738" s="27" t="s">
        <v>77</v>
      </c>
      <c r="N2738" s="28" t="s">
        <v>77</v>
      </c>
      <c r="Q2738" s="30"/>
    </row>
    <row r="2739">
      <c r="B2739" s="6"/>
      <c r="C2739" s="33" t="str">
        <f t="array" ref="C2739">IF(B2739="", "", XLOOKUP(B2739, Inventory!D:D,Inventory!E:E,"No Name Found"))</f>
        <v/>
      </c>
      <c r="D2739" s="6"/>
      <c r="E2739" s="6"/>
      <c r="F2739" s="6"/>
      <c r="G2739" s="24" t="str">
        <f>IF(F2739="", "", VLOOKUP(F2739, Inventory!A:BZ, 3, FALSE) - SUMIF($F$1:$F2738, F2739, $H$1:$H2738))
</f>
        <v/>
      </c>
      <c r="I2739" s="26"/>
      <c r="J2739" s="26" t="s">
        <v>77</v>
      </c>
      <c r="L2739" s="27" t="s">
        <v>77</v>
      </c>
      <c r="N2739" s="28" t="s">
        <v>77</v>
      </c>
      <c r="Q2739" s="30"/>
    </row>
    <row r="2740">
      <c r="B2740" s="6"/>
      <c r="C2740" s="33" t="str">
        <f t="array" ref="C2740">IF(B2740="", "", XLOOKUP(B2740, Inventory!D:D,Inventory!E:E,"No Name Found"))</f>
        <v/>
      </c>
      <c r="D2740" s="6"/>
      <c r="E2740" s="6"/>
      <c r="F2740" s="6"/>
      <c r="G2740" s="24" t="str">
        <f>IF(F2740="", "", VLOOKUP(F2740, Inventory!A:BZ, 3, FALSE) - SUMIF($F$1:$F2739, F2740, $H$1:$H2739))
</f>
        <v/>
      </c>
      <c r="I2740" s="26"/>
      <c r="J2740" s="26" t="s">
        <v>77</v>
      </c>
      <c r="L2740" s="27" t="s">
        <v>77</v>
      </c>
      <c r="N2740" s="28" t="s">
        <v>77</v>
      </c>
      <c r="Q2740" s="30"/>
    </row>
    <row r="2741">
      <c r="B2741" s="6"/>
      <c r="C2741" s="33" t="str">
        <f t="array" ref="C2741">IF(B2741="", "", XLOOKUP(B2741, Inventory!D:D,Inventory!E:E,"No Name Found"))</f>
        <v/>
      </c>
      <c r="D2741" s="6"/>
      <c r="E2741" s="6"/>
      <c r="F2741" s="6"/>
      <c r="G2741" s="24" t="str">
        <f>IF(F2741="", "", VLOOKUP(F2741, Inventory!A:BZ, 3, FALSE) - SUMIF($F$1:$F2740, F2741, $H$1:$H2740))
</f>
        <v/>
      </c>
      <c r="I2741" s="26"/>
      <c r="J2741" s="26" t="s">
        <v>77</v>
      </c>
      <c r="L2741" s="27" t="s">
        <v>77</v>
      </c>
      <c r="N2741" s="28" t="s">
        <v>77</v>
      </c>
      <c r="Q2741" s="30"/>
    </row>
    <row r="2742">
      <c r="B2742" s="6"/>
      <c r="C2742" s="33" t="str">
        <f t="array" ref="C2742">IF(B2742="", "", XLOOKUP(B2742, Inventory!D:D,Inventory!E:E,"No Name Found"))</f>
        <v/>
      </c>
      <c r="D2742" s="6"/>
      <c r="E2742" s="6"/>
      <c r="F2742" s="6"/>
      <c r="G2742" s="24" t="str">
        <f>IF(F2742="", "", VLOOKUP(F2742, Inventory!A:BZ, 3, FALSE) - SUMIF($F$1:$F2741, F2742, $H$1:$H2741))
</f>
        <v/>
      </c>
      <c r="I2742" s="26"/>
      <c r="J2742" s="26" t="s">
        <v>77</v>
      </c>
      <c r="L2742" s="27" t="s">
        <v>77</v>
      </c>
      <c r="N2742" s="28" t="s">
        <v>77</v>
      </c>
      <c r="Q2742" s="30"/>
    </row>
    <row r="2743">
      <c r="B2743" s="6"/>
      <c r="C2743" s="33" t="str">
        <f t="array" ref="C2743">IF(B2743="", "", XLOOKUP(B2743, Inventory!D:D,Inventory!E:E,"No Name Found"))</f>
        <v/>
      </c>
      <c r="D2743" s="6"/>
      <c r="E2743" s="6"/>
      <c r="F2743" s="6"/>
      <c r="G2743" s="24" t="str">
        <f>IF(F2743="", "", VLOOKUP(F2743, Inventory!A:BZ, 3, FALSE) - SUMIF($F$1:$F2742, F2743, $H$1:$H2742))
</f>
        <v/>
      </c>
      <c r="I2743" s="26"/>
      <c r="J2743" s="26" t="s">
        <v>77</v>
      </c>
      <c r="L2743" s="27" t="s">
        <v>77</v>
      </c>
      <c r="N2743" s="28" t="s">
        <v>77</v>
      </c>
      <c r="Q2743" s="30"/>
    </row>
    <row r="2744">
      <c r="B2744" s="6"/>
      <c r="C2744" s="33" t="str">
        <f t="array" ref="C2744">IF(B2744="", "", XLOOKUP(B2744, Inventory!D:D,Inventory!E:E,"No Name Found"))</f>
        <v/>
      </c>
      <c r="D2744" s="6"/>
      <c r="E2744" s="6"/>
      <c r="F2744" s="6"/>
      <c r="G2744" s="24" t="str">
        <f>IF(F2744="", "", VLOOKUP(F2744, Inventory!A:BZ, 3, FALSE) - SUMIF($F$1:$F2743, F2744, $H$1:$H2743))
</f>
        <v/>
      </c>
      <c r="I2744" s="26"/>
      <c r="J2744" s="26" t="s">
        <v>77</v>
      </c>
      <c r="L2744" s="27" t="s">
        <v>77</v>
      </c>
      <c r="N2744" s="28" t="s">
        <v>77</v>
      </c>
      <c r="Q2744" s="30"/>
    </row>
    <row r="2745">
      <c r="B2745" s="6"/>
      <c r="C2745" s="33" t="str">
        <f t="array" ref="C2745">IF(B2745="", "", XLOOKUP(B2745, Inventory!D:D,Inventory!E:E,"No Name Found"))</f>
        <v/>
      </c>
      <c r="D2745" s="6"/>
      <c r="E2745" s="6"/>
      <c r="F2745" s="6"/>
      <c r="G2745" s="24" t="str">
        <f>IF(F2745="", "", VLOOKUP(F2745, Inventory!A:BZ, 3, FALSE) - SUMIF($F$1:$F2744, F2745, $H$1:$H2744))
</f>
        <v/>
      </c>
      <c r="I2745" s="26"/>
      <c r="J2745" s="26" t="s">
        <v>77</v>
      </c>
      <c r="L2745" s="27" t="s">
        <v>77</v>
      </c>
      <c r="N2745" s="28" t="s">
        <v>77</v>
      </c>
      <c r="Q2745" s="30"/>
    </row>
    <row r="2746">
      <c r="B2746" s="6"/>
      <c r="C2746" s="33" t="str">
        <f t="array" ref="C2746">IF(B2746="", "", XLOOKUP(B2746, Inventory!D:D,Inventory!E:E,"No Name Found"))</f>
        <v/>
      </c>
      <c r="D2746" s="6"/>
      <c r="E2746" s="6"/>
      <c r="F2746" s="6"/>
      <c r="G2746" s="24" t="str">
        <f>IF(F2746="", "", VLOOKUP(F2746, Inventory!A:BZ, 3, FALSE) - SUMIF($F$1:$F2745, F2746, $H$1:$H2745))
</f>
        <v/>
      </c>
      <c r="I2746" s="26"/>
      <c r="J2746" s="26" t="s">
        <v>77</v>
      </c>
      <c r="L2746" s="27" t="s">
        <v>77</v>
      </c>
      <c r="N2746" s="28" t="s">
        <v>77</v>
      </c>
      <c r="Q2746" s="30"/>
    </row>
    <row r="2747">
      <c r="B2747" s="6"/>
      <c r="C2747" s="33" t="str">
        <f t="array" ref="C2747">IF(B2747="", "", XLOOKUP(B2747, Inventory!D:D,Inventory!E:E,"No Name Found"))</f>
        <v/>
      </c>
      <c r="D2747" s="6"/>
      <c r="E2747" s="6"/>
      <c r="F2747" s="6"/>
      <c r="G2747" s="24" t="str">
        <f>IF(F2747="", "", VLOOKUP(F2747, Inventory!A:BZ, 3, FALSE) - SUMIF($F$1:$F2746, F2747, $H$1:$H2746))
</f>
        <v/>
      </c>
      <c r="I2747" s="26"/>
      <c r="J2747" s="26" t="s">
        <v>77</v>
      </c>
      <c r="L2747" s="27" t="s">
        <v>77</v>
      </c>
      <c r="N2747" s="28" t="s">
        <v>77</v>
      </c>
      <c r="Q2747" s="30"/>
    </row>
    <row r="2748">
      <c r="B2748" s="6"/>
      <c r="C2748" s="33" t="str">
        <f t="array" ref="C2748">IF(B2748="", "", XLOOKUP(B2748, Inventory!D:D,Inventory!E:E,"No Name Found"))</f>
        <v/>
      </c>
      <c r="D2748" s="6"/>
      <c r="E2748" s="6"/>
      <c r="F2748" s="6"/>
      <c r="G2748" s="24" t="str">
        <f>IF(F2748="", "", VLOOKUP(F2748, Inventory!A:BZ, 3, FALSE) - SUMIF($F$1:$F2747, F2748, $H$1:$H2747))
</f>
        <v/>
      </c>
      <c r="I2748" s="26"/>
      <c r="J2748" s="26" t="s">
        <v>77</v>
      </c>
      <c r="L2748" s="27" t="s">
        <v>77</v>
      </c>
      <c r="N2748" s="28" t="s">
        <v>77</v>
      </c>
      <c r="Q2748" s="30"/>
    </row>
    <row r="2749">
      <c r="B2749" s="6"/>
      <c r="C2749" s="33" t="str">
        <f t="array" ref="C2749">IF(B2749="", "", XLOOKUP(B2749, Inventory!D:D,Inventory!E:E,"No Name Found"))</f>
        <v/>
      </c>
      <c r="D2749" s="6"/>
      <c r="E2749" s="6"/>
      <c r="F2749" s="6"/>
      <c r="G2749" s="24" t="str">
        <f>IF(F2749="", "", VLOOKUP(F2749, Inventory!A:BZ, 3, FALSE) - SUMIF($F$1:$F2748, F2749, $H$1:$H2748))
</f>
        <v/>
      </c>
      <c r="I2749" s="26"/>
      <c r="J2749" s="26" t="s">
        <v>77</v>
      </c>
      <c r="L2749" s="27" t="s">
        <v>77</v>
      </c>
      <c r="N2749" s="28" t="s">
        <v>77</v>
      </c>
      <c r="Q2749" s="30"/>
    </row>
    <row r="2750">
      <c r="B2750" s="6"/>
      <c r="C2750" s="33" t="str">
        <f t="array" ref="C2750">IF(B2750="", "", XLOOKUP(B2750, Inventory!D:D,Inventory!E:E,"No Name Found"))</f>
        <v/>
      </c>
      <c r="D2750" s="6"/>
      <c r="E2750" s="6"/>
      <c r="F2750" s="6"/>
      <c r="G2750" s="24" t="str">
        <f>IF(F2750="", "", VLOOKUP(F2750, Inventory!A:BZ, 3, FALSE) - SUMIF($F$1:$F2749, F2750, $H$1:$H2749))
</f>
        <v/>
      </c>
      <c r="I2750" s="26"/>
      <c r="J2750" s="26" t="s">
        <v>77</v>
      </c>
      <c r="L2750" s="27" t="s">
        <v>77</v>
      </c>
      <c r="N2750" s="28" t="s">
        <v>77</v>
      </c>
      <c r="Q2750" s="30"/>
    </row>
    <row r="2751">
      <c r="B2751" s="6"/>
      <c r="C2751" s="33" t="str">
        <f t="array" ref="C2751">IF(B2751="", "", XLOOKUP(B2751, Inventory!D:D,Inventory!E:E,"No Name Found"))</f>
        <v/>
      </c>
      <c r="D2751" s="6"/>
      <c r="E2751" s="6"/>
      <c r="F2751" s="6"/>
      <c r="G2751" s="24" t="str">
        <f>IF(F2751="", "", VLOOKUP(F2751, Inventory!A:BZ, 3, FALSE) - SUMIF($F$1:$F2750, F2751, $H$1:$H2750))
</f>
        <v/>
      </c>
      <c r="I2751" s="26"/>
      <c r="J2751" s="26" t="s">
        <v>77</v>
      </c>
      <c r="L2751" s="27" t="s">
        <v>77</v>
      </c>
      <c r="N2751" s="28" t="s">
        <v>77</v>
      </c>
      <c r="Q2751" s="30"/>
    </row>
    <row r="2752">
      <c r="B2752" s="6"/>
      <c r="C2752" s="33" t="str">
        <f t="array" ref="C2752">IF(B2752="", "", XLOOKUP(B2752, Inventory!D:D,Inventory!E:E,"No Name Found"))</f>
        <v/>
      </c>
      <c r="D2752" s="6"/>
      <c r="E2752" s="6"/>
      <c r="F2752" s="6"/>
      <c r="G2752" s="24" t="str">
        <f>IF(F2752="", "", VLOOKUP(F2752, Inventory!A:BZ, 3, FALSE) - SUMIF($F$1:$F2751, F2752, $H$1:$H2751))
</f>
        <v/>
      </c>
      <c r="I2752" s="26"/>
      <c r="J2752" s="26" t="s">
        <v>77</v>
      </c>
      <c r="L2752" s="27" t="s">
        <v>77</v>
      </c>
      <c r="N2752" s="28" t="s">
        <v>77</v>
      </c>
      <c r="Q2752" s="30"/>
    </row>
    <row r="2753">
      <c r="B2753" s="6"/>
      <c r="C2753" s="33" t="str">
        <f t="array" ref="C2753">IF(B2753="", "", XLOOKUP(B2753, Inventory!D:D,Inventory!E:E,"No Name Found"))</f>
        <v/>
      </c>
      <c r="D2753" s="6"/>
      <c r="E2753" s="6"/>
      <c r="F2753" s="6"/>
      <c r="G2753" s="24" t="str">
        <f>IF(F2753="", "", VLOOKUP(F2753, Inventory!A:BZ, 3, FALSE) - SUMIF($F$1:$F2752, F2753, $H$1:$H2752))
</f>
        <v/>
      </c>
      <c r="I2753" s="26"/>
      <c r="J2753" s="26" t="s">
        <v>77</v>
      </c>
      <c r="L2753" s="27" t="s">
        <v>77</v>
      </c>
      <c r="N2753" s="28" t="s">
        <v>77</v>
      </c>
      <c r="Q2753" s="30"/>
    </row>
    <row r="2754">
      <c r="B2754" s="6"/>
      <c r="C2754" s="33" t="str">
        <f t="array" ref="C2754">IF(B2754="", "", XLOOKUP(B2754, Inventory!D:D,Inventory!E:E,"No Name Found"))</f>
        <v/>
      </c>
      <c r="D2754" s="6"/>
      <c r="E2754" s="6"/>
      <c r="F2754" s="6"/>
      <c r="G2754" s="24" t="str">
        <f>IF(F2754="", "", VLOOKUP(F2754, Inventory!A:BZ, 3, FALSE) - SUMIF($F$1:$F2753, F2754, $H$1:$H2753))
</f>
        <v/>
      </c>
      <c r="I2754" s="26"/>
      <c r="J2754" s="26" t="s">
        <v>77</v>
      </c>
      <c r="L2754" s="27" t="s">
        <v>77</v>
      </c>
      <c r="N2754" s="28" t="s">
        <v>77</v>
      </c>
      <c r="Q2754" s="30"/>
    </row>
    <row r="2755">
      <c r="B2755" s="6"/>
      <c r="C2755" s="33" t="str">
        <f t="array" ref="C2755">IF(B2755="", "", XLOOKUP(B2755, Inventory!D:D,Inventory!E:E,"No Name Found"))</f>
        <v/>
      </c>
      <c r="D2755" s="6"/>
      <c r="E2755" s="6"/>
      <c r="F2755" s="6"/>
      <c r="G2755" s="24" t="str">
        <f>IF(F2755="", "", VLOOKUP(F2755, Inventory!A:BZ, 3, FALSE) - SUMIF($F$1:$F2754, F2755, $H$1:$H2754))
</f>
        <v/>
      </c>
      <c r="I2755" s="26"/>
      <c r="J2755" s="26" t="s">
        <v>77</v>
      </c>
      <c r="L2755" s="27" t="s">
        <v>77</v>
      </c>
      <c r="N2755" s="28" t="s">
        <v>77</v>
      </c>
      <c r="Q2755" s="30"/>
    </row>
    <row r="2756">
      <c r="B2756" s="6"/>
      <c r="C2756" s="33" t="str">
        <f t="array" ref="C2756">IF(B2756="", "", XLOOKUP(B2756, Inventory!D:D,Inventory!E:E,"No Name Found"))</f>
        <v/>
      </c>
      <c r="D2756" s="6"/>
      <c r="E2756" s="6"/>
      <c r="F2756" s="6"/>
      <c r="G2756" s="24" t="str">
        <f>IF(F2756="", "", VLOOKUP(F2756, Inventory!A:BZ, 3, FALSE) - SUMIF($F$1:$F2755, F2756, $H$1:$H2755))
</f>
        <v/>
      </c>
      <c r="I2756" s="26"/>
      <c r="J2756" s="26" t="s">
        <v>77</v>
      </c>
      <c r="L2756" s="27" t="s">
        <v>77</v>
      </c>
      <c r="N2756" s="28" t="s">
        <v>77</v>
      </c>
      <c r="Q2756" s="30"/>
    </row>
    <row r="2757">
      <c r="B2757" s="6"/>
      <c r="C2757" s="33" t="str">
        <f t="array" ref="C2757">IF(B2757="", "", XLOOKUP(B2757, Inventory!D:D,Inventory!E:E,"No Name Found"))</f>
        <v/>
      </c>
      <c r="D2757" s="6"/>
      <c r="E2757" s="6"/>
      <c r="F2757" s="6"/>
      <c r="G2757" s="24" t="str">
        <f>IF(F2757="", "", VLOOKUP(F2757, Inventory!A:BZ, 3, FALSE) - SUMIF($F$1:$F2756, F2757, $H$1:$H2756))
</f>
        <v/>
      </c>
      <c r="I2757" s="26"/>
      <c r="J2757" s="26" t="s">
        <v>77</v>
      </c>
      <c r="L2757" s="27" t="s">
        <v>77</v>
      </c>
      <c r="N2757" s="28" t="s">
        <v>77</v>
      </c>
      <c r="Q2757" s="30"/>
    </row>
    <row r="2758">
      <c r="B2758" s="6"/>
      <c r="C2758" s="33" t="str">
        <f t="array" ref="C2758">IF(B2758="", "", XLOOKUP(B2758, Inventory!D:D,Inventory!E:E,"No Name Found"))</f>
        <v/>
      </c>
      <c r="D2758" s="6"/>
      <c r="E2758" s="6"/>
      <c r="F2758" s="6"/>
      <c r="G2758" s="24" t="str">
        <f>IF(F2758="", "", VLOOKUP(F2758, Inventory!A:BZ, 3, FALSE) - SUMIF($F$1:$F2757, F2758, $H$1:$H2757))
</f>
        <v/>
      </c>
      <c r="I2758" s="26"/>
      <c r="J2758" s="26" t="s">
        <v>77</v>
      </c>
      <c r="L2758" s="27" t="s">
        <v>77</v>
      </c>
      <c r="N2758" s="28" t="s">
        <v>77</v>
      </c>
      <c r="Q2758" s="30"/>
    </row>
    <row r="2759">
      <c r="B2759" s="6"/>
      <c r="C2759" s="33" t="str">
        <f t="array" ref="C2759">IF(B2759="", "", XLOOKUP(B2759, Inventory!D:D,Inventory!E:E,"No Name Found"))</f>
        <v/>
      </c>
      <c r="D2759" s="6"/>
      <c r="E2759" s="6"/>
      <c r="F2759" s="6"/>
      <c r="G2759" s="24" t="str">
        <f>IF(F2759="", "", VLOOKUP(F2759, Inventory!A:BZ, 3, FALSE) - SUMIF($F$1:$F2758, F2759, $H$1:$H2758))
</f>
        <v/>
      </c>
      <c r="I2759" s="26"/>
      <c r="J2759" s="26" t="s">
        <v>77</v>
      </c>
      <c r="L2759" s="27" t="s">
        <v>77</v>
      </c>
      <c r="N2759" s="28" t="s">
        <v>77</v>
      </c>
      <c r="Q2759" s="30"/>
    </row>
    <row r="2760">
      <c r="B2760" s="6"/>
      <c r="C2760" s="33" t="str">
        <f t="array" ref="C2760">IF(B2760="", "", XLOOKUP(B2760, Inventory!D:D,Inventory!E:E,"No Name Found"))</f>
        <v/>
      </c>
      <c r="D2760" s="6"/>
      <c r="E2760" s="6"/>
      <c r="F2760" s="6"/>
      <c r="G2760" s="24" t="str">
        <f>IF(F2760="", "", VLOOKUP(F2760, Inventory!A:BZ, 3, FALSE) - SUMIF($F$1:$F2759, F2760, $H$1:$H2759))
</f>
        <v/>
      </c>
      <c r="I2760" s="26"/>
      <c r="J2760" s="26" t="s">
        <v>77</v>
      </c>
      <c r="L2760" s="27" t="s">
        <v>77</v>
      </c>
      <c r="N2760" s="28" t="s">
        <v>77</v>
      </c>
      <c r="Q2760" s="30"/>
    </row>
    <row r="2761">
      <c r="B2761" s="6"/>
      <c r="C2761" s="33" t="str">
        <f t="array" ref="C2761">IF(B2761="", "", XLOOKUP(B2761, Inventory!D:D,Inventory!E:E,"No Name Found"))</f>
        <v/>
      </c>
      <c r="D2761" s="6"/>
      <c r="E2761" s="6"/>
      <c r="F2761" s="6"/>
      <c r="G2761" s="24" t="str">
        <f>IF(F2761="", "", VLOOKUP(F2761, Inventory!A:BZ, 3, FALSE) - SUMIF($F$1:$F2760, F2761, $H$1:$H2760))
</f>
        <v/>
      </c>
      <c r="I2761" s="26"/>
      <c r="J2761" s="26" t="s">
        <v>77</v>
      </c>
      <c r="L2761" s="27" t="s">
        <v>77</v>
      </c>
      <c r="N2761" s="28" t="s">
        <v>77</v>
      </c>
      <c r="Q2761" s="30"/>
    </row>
    <row r="2762">
      <c r="B2762" s="6"/>
      <c r="C2762" s="33" t="str">
        <f t="array" ref="C2762">IF(B2762="", "", XLOOKUP(B2762, Inventory!D:D,Inventory!E:E,"No Name Found"))</f>
        <v/>
      </c>
      <c r="D2762" s="6"/>
      <c r="E2762" s="6"/>
      <c r="F2762" s="6"/>
      <c r="G2762" s="24" t="str">
        <f>IF(F2762="", "", VLOOKUP(F2762, Inventory!A:BZ, 3, FALSE) - SUMIF($F$1:$F2761, F2762, $H$1:$H2761))
</f>
        <v/>
      </c>
      <c r="I2762" s="26"/>
      <c r="J2762" s="26" t="s">
        <v>77</v>
      </c>
      <c r="L2762" s="27" t="s">
        <v>77</v>
      </c>
      <c r="N2762" s="28" t="s">
        <v>77</v>
      </c>
      <c r="Q2762" s="30"/>
    </row>
    <row r="2763">
      <c r="B2763" s="6"/>
      <c r="C2763" s="33" t="str">
        <f t="array" ref="C2763">IF(B2763="", "", XLOOKUP(B2763, Inventory!D:D,Inventory!E:E,"No Name Found"))</f>
        <v/>
      </c>
      <c r="D2763" s="6"/>
      <c r="E2763" s="6"/>
      <c r="F2763" s="6"/>
      <c r="G2763" s="24" t="str">
        <f>IF(F2763="", "", VLOOKUP(F2763, Inventory!A:BZ, 3, FALSE) - SUMIF($F$1:$F2762, F2763, $H$1:$H2762))
</f>
        <v/>
      </c>
      <c r="I2763" s="26"/>
      <c r="J2763" s="26" t="s">
        <v>77</v>
      </c>
      <c r="L2763" s="27" t="s">
        <v>77</v>
      </c>
      <c r="N2763" s="28" t="s">
        <v>77</v>
      </c>
      <c r="Q2763" s="30"/>
    </row>
    <row r="2764">
      <c r="B2764" s="6"/>
      <c r="C2764" s="33" t="str">
        <f t="array" ref="C2764">IF(B2764="", "", XLOOKUP(B2764, Inventory!D:D,Inventory!E:E,"No Name Found"))</f>
        <v/>
      </c>
      <c r="D2764" s="6"/>
      <c r="E2764" s="6"/>
      <c r="F2764" s="6"/>
      <c r="G2764" s="24" t="str">
        <f>IF(F2764="", "", VLOOKUP(F2764, Inventory!A:BZ, 3, FALSE) - SUMIF($F$1:$F2763, F2764, $H$1:$H2763))
</f>
        <v/>
      </c>
      <c r="I2764" s="26"/>
      <c r="J2764" s="26" t="s">
        <v>77</v>
      </c>
      <c r="L2764" s="27" t="s">
        <v>77</v>
      </c>
      <c r="N2764" s="28" t="s">
        <v>77</v>
      </c>
      <c r="Q2764" s="30"/>
    </row>
    <row r="2765">
      <c r="B2765" s="6"/>
      <c r="C2765" s="33" t="str">
        <f t="array" ref="C2765">IF(B2765="", "", XLOOKUP(B2765, Inventory!D:D,Inventory!E:E,"No Name Found"))</f>
        <v/>
      </c>
      <c r="D2765" s="6"/>
      <c r="E2765" s="6"/>
      <c r="F2765" s="6"/>
      <c r="G2765" s="24" t="str">
        <f>IF(F2765="", "", VLOOKUP(F2765, Inventory!A:BZ, 3, FALSE) - SUMIF($F$1:$F2764, F2765, $H$1:$H2764))
</f>
        <v/>
      </c>
      <c r="I2765" s="26"/>
      <c r="J2765" s="26" t="s">
        <v>77</v>
      </c>
      <c r="L2765" s="27" t="s">
        <v>77</v>
      </c>
      <c r="N2765" s="28" t="s">
        <v>77</v>
      </c>
      <c r="Q2765" s="30"/>
    </row>
    <row r="2766">
      <c r="B2766" s="6"/>
      <c r="C2766" s="33" t="str">
        <f t="array" ref="C2766">IF(B2766="", "", XLOOKUP(B2766, Inventory!D:D,Inventory!E:E,"No Name Found"))</f>
        <v/>
      </c>
      <c r="D2766" s="6"/>
      <c r="E2766" s="6"/>
      <c r="F2766" s="6"/>
      <c r="G2766" s="24" t="str">
        <f>IF(F2766="", "", VLOOKUP(F2766, Inventory!A:BZ, 3, FALSE) - SUMIF($F$1:$F2765, F2766, $H$1:$H2765))
</f>
        <v/>
      </c>
      <c r="I2766" s="26"/>
      <c r="J2766" s="26" t="s">
        <v>77</v>
      </c>
      <c r="L2766" s="27" t="s">
        <v>77</v>
      </c>
      <c r="N2766" s="28" t="s">
        <v>77</v>
      </c>
      <c r="Q2766" s="30"/>
    </row>
    <row r="2767">
      <c r="B2767" s="6"/>
      <c r="C2767" s="33" t="str">
        <f t="array" ref="C2767">IF(B2767="", "", XLOOKUP(B2767, Inventory!D:D,Inventory!E:E,"No Name Found"))</f>
        <v/>
      </c>
      <c r="D2767" s="6"/>
      <c r="E2767" s="6"/>
      <c r="F2767" s="6"/>
      <c r="G2767" s="24" t="str">
        <f>IF(F2767="", "", VLOOKUP(F2767, Inventory!A:BZ, 3, FALSE) - SUMIF($F$1:$F2766, F2767, $H$1:$H2766))
</f>
        <v/>
      </c>
      <c r="I2767" s="26"/>
      <c r="J2767" s="26" t="s">
        <v>77</v>
      </c>
      <c r="L2767" s="27" t="s">
        <v>77</v>
      </c>
      <c r="N2767" s="28" t="s">
        <v>77</v>
      </c>
      <c r="Q2767" s="30"/>
    </row>
    <row r="2768">
      <c r="B2768" s="6"/>
      <c r="C2768" s="33" t="str">
        <f t="array" ref="C2768">IF(B2768="", "", XLOOKUP(B2768, Inventory!D:D,Inventory!E:E,"No Name Found"))</f>
        <v/>
      </c>
      <c r="D2768" s="6"/>
      <c r="E2768" s="6"/>
      <c r="F2768" s="6"/>
      <c r="G2768" s="24" t="str">
        <f>IF(F2768="", "", VLOOKUP(F2768, Inventory!A:BZ, 3, FALSE) - SUMIF($F$1:$F2767, F2768, $H$1:$H2767))
</f>
        <v/>
      </c>
      <c r="I2768" s="26"/>
      <c r="J2768" s="26" t="s">
        <v>77</v>
      </c>
      <c r="L2768" s="27" t="s">
        <v>77</v>
      </c>
      <c r="N2768" s="28" t="s">
        <v>77</v>
      </c>
      <c r="Q2768" s="30"/>
    </row>
    <row r="2769">
      <c r="B2769" s="6"/>
      <c r="C2769" s="33" t="str">
        <f t="array" ref="C2769">IF(B2769="", "", XLOOKUP(B2769, Inventory!D:D,Inventory!E:E,"No Name Found"))</f>
        <v/>
      </c>
      <c r="D2769" s="6"/>
      <c r="E2769" s="6"/>
      <c r="F2769" s="6"/>
      <c r="G2769" s="24" t="str">
        <f>IF(F2769="", "", VLOOKUP(F2769, Inventory!A:BZ, 3, FALSE) - SUMIF($F$1:$F2768, F2769, $H$1:$H2768))
</f>
        <v/>
      </c>
      <c r="I2769" s="26"/>
      <c r="J2769" s="26" t="s">
        <v>77</v>
      </c>
      <c r="L2769" s="27" t="s">
        <v>77</v>
      </c>
      <c r="N2769" s="28" t="s">
        <v>77</v>
      </c>
      <c r="Q2769" s="30"/>
    </row>
    <row r="2770">
      <c r="B2770" s="6"/>
      <c r="C2770" s="33" t="str">
        <f t="array" ref="C2770">IF(B2770="", "", XLOOKUP(B2770, Inventory!D:D,Inventory!E:E,"No Name Found"))</f>
        <v/>
      </c>
      <c r="D2770" s="6"/>
      <c r="E2770" s="6"/>
      <c r="F2770" s="6"/>
      <c r="G2770" s="24" t="str">
        <f>IF(F2770="", "", VLOOKUP(F2770, Inventory!A:BZ, 3, FALSE) - SUMIF($F$1:$F2769, F2770, $H$1:$H2769))
</f>
        <v/>
      </c>
      <c r="I2770" s="26"/>
      <c r="J2770" s="26" t="s">
        <v>77</v>
      </c>
      <c r="L2770" s="27" t="s">
        <v>77</v>
      </c>
      <c r="N2770" s="28" t="s">
        <v>77</v>
      </c>
      <c r="Q2770" s="30"/>
    </row>
    <row r="2771">
      <c r="B2771" s="6"/>
      <c r="C2771" s="33" t="str">
        <f t="array" ref="C2771">IF(B2771="", "", XLOOKUP(B2771, Inventory!D:D,Inventory!E:E,"No Name Found"))</f>
        <v/>
      </c>
      <c r="D2771" s="6"/>
      <c r="E2771" s="6"/>
      <c r="F2771" s="6"/>
      <c r="G2771" s="24" t="str">
        <f>IF(F2771="", "", VLOOKUP(F2771, Inventory!A:BZ, 3, FALSE) - SUMIF($F$1:$F2770, F2771, $H$1:$H2770))
</f>
        <v/>
      </c>
      <c r="I2771" s="26"/>
      <c r="J2771" s="26" t="s">
        <v>77</v>
      </c>
      <c r="L2771" s="27" t="s">
        <v>77</v>
      </c>
      <c r="N2771" s="28" t="s">
        <v>77</v>
      </c>
      <c r="Q2771" s="30"/>
    </row>
    <row r="2772">
      <c r="B2772" s="6"/>
      <c r="C2772" s="33" t="str">
        <f t="array" ref="C2772">IF(B2772="", "", XLOOKUP(B2772, Inventory!D:D,Inventory!E:E,"No Name Found"))</f>
        <v/>
      </c>
      <c r="D2772" s="6"/>
      <c r="E2772" s="6"/>
      <c r="F2772" s="6"/>
      <c r="G2772" s="24" t="str">
        <f>IF(F2772="", "", VLOOKUP(F2772, Inventory!A:BZ, 3, FALSE) - SUMIF($F$1:$F2771, F2772, $H$1:$H2771))
</f>
        <v/>
      </c>
      <c r="I2772" s="26"/>
      <c r="J2772" s="26" t="s">
        <v>77</v>
      </c>
      <c r="L2772" s="27" t="s">
        <v>77</v>
      </c>
      <c r="N2772" s="28" t="s">
        <v>77</v>
      </c>
      <c r="Q2772" s="30"/>
    </row>
    <row r="2773">
      <c r="B2773" s="6"/>
      <c r="C2773" s="33" t="str">
        <f t="array" ref="C2773">IF(B2773="", "", XLOOKUP(B2773, Inventory!D:D,Inventory!E:E,"No Name Found"))</f>
        <v/>
      </c>
      <c r="D2773" s="6"/>
      <c r="E2773" s="6"/>
      <c r="F2773" s="6"/>
      <c r="G2773" s="24" t="str">
        <f>IF(F2773="", "", VLOOKUP(F2773, Inventory!A:BZ, 3, FALSE) - SUMIF($F$1:$F2772, F2773, $H$1:$H2772))
</f>
        <v/>
      </c>
      <c r="I2773" s="26"/>
      <c r="J2773" s="26" t="s">
        <v>77</v>
      </c>
      <c r="L2773" s="27" t="s">
        <v>77</v>
      </c>
      <c r="N2773" s="28" t="s">
        <v>77</v>
      </c>
      <c r="Q2773" s="30"/>
    </row>
    <row r="2774">
      <c r="B2774" s="6"/>
      <c r="C2774" s="33" t="str">
        <f t="array" ref="C2774">IF(B2774="", "", XLOOKUP(B2774, Inventory!D:D,Inventory!E:E,"No Name Found"))</f>
        <v/>
      </c>
      <c r="D2774" s="6"/>
      <c r="E2774" s="6"/>
      <c r="F2774" s="6"/>
      <c r="G2774" s="24" t="str">
        <f>IF(F2774="", "", VLOOKUP(F2774, Inventory!A:BZ, 3, FALSE) - SUMIF($F$1:$F2773, F2774, $H$1:$H2773))
</f>
        <v/>
      </c>
      <c r="I2774" s="26"/>
      <c r="J2774" s="26" t="s">
        <v>77</v>
      </c>
      <c r="L2774" s="27" t="s">
        <v>77</v>
      </c>
      <c r="N2774" s="28" t="s">
        <v>77</v>
      </c>
      <c r="Q2774" s="30"/>
    </row>
    <row r="2775">
      <c r="B2775" s="6"/>
      <c r="C2775" s="33" t="str">
        <f t="array" ref="C2775">IF(B2775="", "", XLOOKUP(B2775, Inventory!D:D,Inventory!E:E,"No Name Found"))</f>
        <v/>
      </c>
      <c r="D2775" s="6"/>
      <c r="E2775" s="6"/>
      <c r="F2775" s="6"/>
      <c r="G2775" s="24" t="str">
        <f>IF(F2775="", "", VLOOKUP(F2775, Inventory!A:BZ, 3, FALSE) - SUMIF($F$1:$F2774, F2775, $H$1:$H2774))
</f>
        <v/>
      </c>
      <c r="I2775" s="26"/>
      <c r="J2775" s="26" t="s">
        <v>77</v>
      </c>
      <c r="L2775" s="27" t="s">
        <v>77</v>
      </c>
      <c r="N2775" s="28" t="s">
        <v>77</v>
      </c>
      <c r="Q2775" s="30"/>
    </row>
    <row r="2776">
      <c r="B2776" s="6"/>
      <c r="C2776" s="33" t="str">
        <f t="array" ref="C2776">IF(B2776="", "", XLOOKUP(B2776, Inventory!D:D,Inventory!E:E,"No Name Found"))</f>
        <v/>
      </c>
      <c r="D2776" s="6"/>
      <c r="E2776" s="6"/>
      <c r="F2776" s="6"/>
      <c r="G2776" s="24" t="str">
        <f>IF(F2776="", "", VLOOKUP(F2776, Inventory!A:BZ, 3, FALSE) - SUMIF($F$1:$F2775, F2776, $H$1:$H2775))
</f>
        <v/>
      </c>
      <c r="I2776" s="26"/>
      <c r="J2776" s="26" t="s">
        <v>77</v>
      </c>
      <c r="L2776" s="27" t="s">
        <v>77</v>
      </c>
      <c r="N2776" s="28" t="s">
        <v>77</v>
      </c>
      <c r="Q2776" s="30"/>
    </row>
    <row r="2777">
      <c r="B2777" s="6"/>
      <c r="C2777" s="33" t="str">
        <f t="array" ref="C2777">IF(B2777="", "", XLOOKUP(B2777, Inventory!D:D,Inventory!E:E,"No Name Found"))</f>
        <v/>
      </c>
      <c r="D2777" s="6"/>
      <c r="E2777" s="6"/>
      <c r="F2777" s="6"/>
      <c r="G2777" s="24" t="str">
        <f>IF(F2777="", "", VLOOKUP(F2777, Inventory!A:BZ, 3, FALSE) - SUMIF($F$1:$F2776, F2777, $H$1:$H2776))
</f>
        <v/>
      </c>
      <c r="I2777" s="26"/>
      <c r="J2777" s="26" t="s">
        <v>77</v>
      </c>
      <c r="L2777" s="27" t="s">
        <v>77</v>
      </c>
      <c r="N2777" s="28" t="s">
        <v>77</v>
      </c>
      <c r="Q2777" s="30"/>
    </row>
    <row r="2778">
      <c r="B2778" s="6"/>
      <c r="C2778" s="33" t="str">
        <f t="array" ref="C2778">IF(B2778="", "", XLOOKUP(B2778, Inventory!D:D,Inventory!E:E,"No Name Found"))</f>
        <v/>
      </c>
      <c r="D2778" s="6"/>
      <c r="E2778" s="6"/>
      <c r="F2778" s="6"/>
      <c r="G2778" s="24" t="str">
        <f>IF(F2778="", "", VLOOKUP(F2778, Inventory!A:BZ, 3, FALSE) - SUMIF($F$1:$F2777, F2778, $H$1:$H2777))
</f>
        <v/>
      </c>
      <c r="I2778" s="26"/>
      <c r="J2778" s="26" t="s">
        <v>77</v>
      </c>
      <c r="L2778" s="27" t="s">
        <v>77</v>
      </c>
      <c r="N2778" s="28" t="s">
        <v>77</v>
      </c>
      <c r="Q2778" s="30"/>
    </row>
    <row r="2779">
      <c r="B2779" s="6"/>
      <c r="C2779" s="33" t="str">
        <f t="array" ref="C2779">IF(B2779="", "", XLOOKUP(B2779, Inventory!D:D,Inventory!E:E,"No Name Found"))</f>
        <v/>
      </c>
      <c r="D2779" s="6"/>
      <c r="E2779" s="6"/>
      <c r="F2779" s="6"/>
      <c r="G2779" s="24" t="str">
        <f>IF(F2779="", "", VLOOKUP(F2779, Inventory!A:BZ, 3, FALSE) - SUMIF($F$1:$F2778, F2779, $H$1:$H2778))
</f>
        <v/>
      </c>
      <c r="I2779" s="26"/>
      <c r="J2779" s="26" t="s">
        <v>77</v>
      </c>
      <c r="L2779" s="27" t="s">
        <v>77</v>
      </c>
      <c r="N2779" s="28" t="s">
        <v>77</v>
      </c>
      <c r="Q2779" s="30"/>
    </row>
    <row r="2780">
      <c r="B2780" s="6"/>
      <c r="C2780" s="33" t="str">
        <f t="array" ref="C2780">IF(B2780="", "", XLOOKUP(B2780, Inventory!D:D,Inventory!E:E,"No Name Found"))</f>
        <v/>
      </c>
      <c r="D2780" s="6"/>
      <c r="E2780" s="6"/>
      <c r="F2780" s="6"/>
      <c r="G2780" s="24" t="str">
        <f>IF(F2780="", "", VLOOKUP(F2780, Inventory!A:BZ, 3, FALSE) - SUMIF($F$1:$F2779, F2780, $H$1:$H2779))
</f>
        <v/>
      </c>
      <c r="I2780" s="26"/>
      <c r="J2780" s="26" t="s">
        <v>77</v>
      </c>
      <c r="L2780" s="27" t="s">
        <v>77</v>
      </c>
      <c r="N2780" s="28" t="s">
        <v>77</v>
      </c>
      <c r="Q2780" s="30"/>
    </row>
    <row r="2781">
      <c r="B2781" s="6"/>
      <c r="C2781" s="33" t="str">
        <f t="array" ref="C2781">IF(B2781="", "", XLOOKUP(B2781, Inventory!D:D,Inventory!E:E,"No Name Found"))</f>
        <v/>
      </c>
      <c r="D2781" s="6"/>
      <c r="E2781" s="6"/>
      <c r="F2781" s="6"/>
      <c r="G2781" s="24" t="str">
        <f>IF(F2781="", "", VLOOKUP(F2781, Inventory!A:BZ, 3, FALSE) - SUMIF($F$1:$F2780, F2781, $H$1:$H2780))
</f>
        <v/>
      </c>
      <c r="I2781" s="26"/>
      <c r="J2781" s="26" t="s">
        <v>77</v>
      </c>
      <c r="L2781" s="27" t="s">
        <v>77</v>
      </c>
      <c r="N2781" s="28" t="s">
        <v>77</v>
      </c>
      <c r="Q2781" s="30"/>
    </row>
    <row r="2782">
      <c r="B2782" s="6"/>
      <c r="C2782" s="33" t="str">
        <f t="array" ref="C2782">IF(B2782="", "", XLOOKUP(B2782, Inventory!D:D,Inventory!E:E,"No Name Found"))</f>
        <v/>
      </c>
      <c r="D2782" s="6"/>
      <c r="E2782" s="6"/>
      <c r="F2782" s="6"/>
      <c r="G2782" s="24" t="str">
        <f>IF(F2782="", "", VLOOKUP(F2782, Inventory!A:BZ, 3, FALSE) - SUMIF($F$1:$F2781, F2782, $H$1:$H2781))
</f>
        <v/>
      </c>
      <c r="I2782" s="26"/>
      <c r="J2782" s="26" t="s">
        <v>77</v>
      </c>
      <c r="L2782" s="27" t="s">
        <v>77</v>
      </c>
      <c r="N2782" s="28" t="s">
        <v>77</v>
      </c>
      <c r="Q2782" s="30"/>
    </row>
    <row r="2783">
      <c r="B2783" s="6"/>
      <c r="C2783" s="33" t="str">
        <f t="array" ref="C2783">IF(B2783="", "", XLOOKUP(B2783, Inventory!D:D,Inventory!E:E,"No Name Found"))</f>
        <v/>
      </c>
      <c r="D2783" s="6"/>
      <c r="E2783" s="6"/>
      <c r="F2783" s="6"/>
      <c r="G2783" s="24" t="str">
        <f>IF(F2783="", "", VLOOKUP(F2783, Inventory!A:BZ, 3, FALSE) - SUMIF($F$1:$F2782, F2783, $H$1:$H2782))
</f>
        <v/>
      </c>
      <c r="I2783" s="26"/>
      <c r="J2783" s="26" t="s">
        <v>77</v>
      </c>
      <c r="L2783" s="27" t="s">
        <v>77</v>
      </c>
      <c r="N2783" s="28" t="s">
        <v>77</v>
      </c>
      <c r="Q2783" s="30"/>
    </row>
    <row r="2784">
      <c r="B2784" s="6"/>
      <c r="C2784" s="33" t="str">
        <f t="array" ref="C2784">IF(B2784="", "", XLOOKUP(B2784, Inventory!D:D,Inventory!E:E,"No Name Found"))</f>
        <v/>
      </c>
      <c r="D2784" s="6"/>
      <c r="E2784" s="6"/>
      <c r="F2784" s="6"/>
      <c r="G2784" s="24" t="str">
        <f>IF(F2784="", "", VLOOKUP(F2784, Inventory!A:BZ, 3, FALSE) - SUMIF($F$1:$F2783, F2784, $H$1:$H2783))
</f>
        <v/>
      </c>
      <c r="I2784" s="26"/>
      <c r="J2784" s="26" t="s">
        <v>77</v>
      </c>
      <c r="L2784" s="27" t="s">
        <v>77</v>
      </c>
      <c r="N2784" s="28" t="s">
        <v>77</v>
      </c>
      <c r="Q2784" s="30"/>
    </row>
    <row r="2785">
      <c r="B2785" s="6"/>
      <c r="C2785" s="33" t="str">
        <f t="array" ref="C2785">IF(B2785="", "", XLOOKUP(B2785, Inventory!D:D,Inventory!E:E,"No Name Found"))</f>
        <v/>
      </c>
      <c r="D2785" s="6"/>
      <c r="E2785" s="6"/>
      <c r="F2785" s="6"/>
      <c r="G2785" s="24" t="str">
        <f>IF(F2785="", "", VLOOKUP(F2785, Inventory!A:BZ, 3, FALSE) - SUMIF($F$1:$F2784, F2785, $H$1:$H2784))
</f>
        <v/>
      </c>
      <c r="I2785" s="26"/>
      <c r="J2785" s="26" t="s">
        <v>77</v>
      </c>
      <c r="L2785" s="27" t="s">
        <v>77</v>
      </c>
      <c r="N2785" s="28" t="s">
        <v>77</v>
      </c>
      <c r="Q2785" s="30"/>
    </row>
    <row r="2786">
      <c r="B2786" s="6"/>
      <c r="C2786" s="33" t="str">
        <f t="array" ref="C2786">IF(B2786="", "", XLOOKUP(B2786, Inventory!D:D,Inventory!E:E,"No Name Found"))</f>
        <v/>
      </c>
      <c r="D2786" s="6"/>
      <c r="E2786" s="6"/>
      <c r="F2786" s="6"/>
      <c r="G2786" s="24" t="str">
        <f>IF(F2786="", "", VLOOKUP(F2786, Inventory!A:BZ, 3, FALSE) - SUMIF($F$1:$F2785, F2786, $H$1:$H2785))
</f>
        <v/>
      </c>
      <c r="I2786" s="26"/>
      <c r="J2786" s="26" t="s">
        <v>77</v>
      </c>
      <c r="L2786" s="27" t="s">
        <v>77</v>
      </c>
      <c r="N2786" s="28" t="s">
        <v>77</v>
      </c>
      <c r="Q2786" s="30"/>
    </row>
    <row r="2787">
      <c r="B2787" s="6"/>
      <c r="C2787" s="33" t="str">
        <f t="array" ref="C2787">IF(B2787="", "", XLOOKUP(B2787, Inventory!D:D,Inventory!E:E,"No Name Found"))</f>
        <v/>
      </c>
      <c r="D2787" s="6"/>
      <c r="E2787" s="6"/>
      <c r="F2787" s="6"/>
      <c r="G2787" s="24" t="str">
        <f>IF(F2787="", "", VLOOKUP(F2787, Inventory!A:BZ, 3, FALSE) - SUMIF($F$1:$F2786, F2787, $H$1:$H2786))
</f>
        <v/>
      </c>
      <c r="I2787" s="26"/>
      <c r="J2787" s="26" t="s">
        <v>77</v>
      </c>
      <c r="L2787" s="27" t="s">
        <v>77</v>
      </c>
      <c r="N2787" s="28" t="s">
        <v>77</v>
      </c>
      <c r="Q2787" s="30"/>
    </row>
    <row r="2788">
      <c r="B2788" s="6"/>
      <c r="C2788" s="33" t="str">
        <f t="array" ref="C2788">IF(B2788="", "", XLOOKUP(B2788, Inventory!D:D,Inventory!E:E,"No Name Found"))</f>
        <v/>
      </c>
      <c r="D2788" s="6"/>
      <c r="E2788" s="6"/>
      <c r="F2788" s="6"/>
      <c r="G2788" s="24" t="str">
        <f>IF(F2788="", "", VLOOKUP(F2788, Inventory!A:BZ, 3, FALSE) - SUMIF($F$1:$F2787, F2788, $H$1:$H2787))
</f>
        <v/>
      </c>
      <c r="I2788" s="26"/>
      <c r="J2788" s="26" t="s">
        <v>77</v>
      </c>
      <c r="L2788" s="27" t="s">
        <v>77</v>
      </c>
      <c r="N2788" s="28" t="s">
        <v>77</v>
      </c>
      <c r="Q2788" s="30"/>
    </row>
    <row r="2789">
      <c r="B2789" s="6"/>
      <c r="C2789" s="33" t="str">
        <f t="array" ref="C2789">IF(B2789="", "", XLOOKUP(B2789, Inventory!D:D,Inventory!E:E,"No Name Found"))</f>
        <v/>
      </c>
      <c r="D2789" s="6"/>
      <c r="E2789" s="6"/>
      <c r="F2789" s="6"/>
      <c r="G2789" s="24" t="str">
        <f>IF(F2789="", "", VLOOKUP(F2789, Inventory!A:BZ, 3, FALSE) - SUMIF($F$1:$F2788, F2789, $H$1:$H2788))
</f>
        <v/>
      </c>
      <c r="I2789" s="26"/>
      <c r="J2789" s="26" t="s">
        <v>77</v>
      </c>
      <c r="L2789" s="27" t="s">
        <v>77</v>
      </c>
      <c r="N2789" s="28" t="s">
        <v>77</v>
      </c>
      <c r="Q2789" s="30"/>
    </row>
    <row r="2790">
      <c r="B2790" s="6"/>
      <c r="C2790" s="33" t="str">
        <f t="array" ref="C2790">IF(B2790="", "", XLOOKUP(B2790, Inventory!D:D,Inventory!E:E,"No Name Found"))</f>
        <v/>
      </c>
      <c r="D2790" s="6"/>
      <c r="E2790" s="6"/>
      <c r="F2790" s="6"/>
      <c r="G2790" s="24" t="str">
        <f>IF(F2790="", "", VLOOKUP(F2790, Inventory!A:BZ, 3, FALSE) - SUMIF($F$1:$F2789, F2790, $H$1:$H2789))
</f>
        <v/>
      </c>
      <c r="I2790" s="26"/>
      <c r="J2790" s="26" t="s">
        <v>77</v>
      </c>
      <c r="L2790" s="27" t="s">
        <v>77</v>
      </c>
      <c r="N2790" s="28" t="s">
        <v>77</v>
      </c>
      <c r="Q2790" s="30"/>
    </row>
    <row r="2791">
      <c r="B2791" s="6"/>
      <c r="C2791" s="33" t="str">
        <f t="array" ref="C2791">IF(B2791="", "", XLOOKUP(B2791, Inventory!D:D,Inventory!E:E,"No Name Found"))</f>
        <v/>
      </c>
      <c r="D2791" s="6"/>
      <c r="E2791" s="6"/>
      <c r="F2791" s="6"/>
      <c r="G2791" s="24" t="str">
        <f>IF(F2791="", "", VLOOKUP(F2791, Inventory!A:BZ, 3, FALSE) - SUMIF($F$1:$F2790, F2791, $H$1:$H2790))
</f>
        <v/>
      </c>
      <c r="I2791" s="26"/>
      <c r="J2791" s="26" t="s">
        <v>77</v>
      </c>
      <c r="L2791" s="27" t="s">
        <v>77</v>
      </c>
      <c r="N2791" s="28" t="s">
        <v>77</v>
      </c>
      <c r="Q2791" s="30"/>
    </row>
    <row r="2792">
      <c r="B2792" s="6"/>
      <c r="C2792" s="33" t="str">
        <f t="array" ref="C2792">IF(B2792="", "", XLOOKUP(B2792, Inventory!D:D,Inventory!E:E,"No Name Found"))</f>
        <v/>
      </c>
      <c r="D2792" s="6"/>
      <c r="E2792" s="6"/>
      <c r="F2792" s="6"/>
      <c r="G2792" s="24" t="str">
        <f>IF(F2792="", "", VLOOKUP(F2792, Inventory!A:BZ, 3, FALSE) - SUMIF($F$1:$F2791, F2792, $H$1:$H2791))
</f>
        <v/>
      </c>
      <c r="I2792" s="26"/>
      <c r="J2792" s="26" t="s">
        <v>77</v>
      </c>
      <c r="L2792" s="27" t="s">
        <v>77</v>
      </c>
      <c r="N2792" s="28" t="s">
        <v>77</v>
      </c>
      <c r="Q2792" s="30"/>
    </row>
    <row r="2793">
      <c r="B2793" s="6"/>
      <c r="C2793" s="33" t="str">
        <f t="array" ref="C2793">IF(B2793="", "", XLOOKUP(B2793, Inventory!D:D,Inventory!E:E,"No Name Found"))</f>
        <v/>
      </c>
      <c r="D2793" s="6"/>
      <c r="E2793" s="6"/>
      <c r="F2793" s="6"/>
      <c r="G2793" s="24" t="str">
        <f>IF(F2793="", "", VLOOKUP(F2793, Inventory!A:BZ, 3, FALSE) - SUMIF($F$1:$F2792, F2793, $H$1:$H2792))
</f>
        <v/>
      </c>
      <c r="I2793" s="26"/>
      <c r="J2793" s="26" t="s">
        <v>77</v>
      </c>
      <c r="L2793" s="27" t="s">
        <v>77</v>
      </c>
      <c r="N2793" s="28" t="s">
        <v>77</v>
      </c>
      <c r="Q2793" s="30"/>
    </row>
    <row r="2794">
      <c r="B2794" s="6"/>
      <c r="C2794" s="33" t="str">
        <f t="array" ref="C2794">IF(B2794="", "", XLOOKUP(B2794, Inventory!D:D,Inventory!E:E,"No Name Found"))</f>
        <v/>
      </c>
      <c r="D2794" s="6"/>
      <c r="E2794" s="6"/>
      <c r="F2794" s="6"/>
      <c r="G2794" s="24" t="str">
        <f>IF(F2794="", "", VLOOKUP(F2794, Inventory!A:BZ, 3, FALSE) - SUMIF($F$1:$F2793, F2794, $H$1:$H2793))
</f>
        <v/>
      </c>
      <c r="I2794" s="26"/>
      <c r="J2794" s="26" t="s">
        <v>77</v>
      </c>
      <c r="L2794" s="27" t="s">
        <v>77</v>
      </c>
      <c r="N2794" s="28" t="s">
        <v>77</v>
      </c>
      <c r="Q2794" s="30"/>
    </row>
    <row r="2795">
      <c r="B2795" s="6"/>
      <c r="C2795" s="33" t="str">
        <f t="array" ref="C2795">IF(B2795="", "", XLOOKUP(B2795, Inventory!D:D,Inventory!E:E,"No Name Found"))</f>
        <v/>
      </c>
      <c r="D2795" s="6"/>
      <c r="E2795" s="6"/>
      <c r="F2795" s="6"/>
      <c r="G2795" s="24" t="str">
        <f>IF(F2795="", "", VLOOKUP(F2795, Inventory!A:BZ, 3, FALSE) - SUMIF($F$1:$F2794, F2795, $H$1:$H2794))
</f>
        <v/>
      </c>
      <c r="I2795" s="26"/>
      <c r="J2795" s="26" t="s">
        <v>77</v>
      </c>
      <c r="L2795" s="27" t="s">
        <v>77</v>
      </c>
      <c r="N2795" s="28" t="s">
        <v>77</v>
      </c>
      <c r="Q2795" s="30"/>
    </row>
    <row r="2796">
      <c r="B2796" s="6"/>
      <c r="C2796" s="33" t="str">
        <f t="array" ref="C2796">IF(B2796="", "", XLOOKUP(B2796, Inventory!D:D,Inventory!E:E,"No Name Found"))</f>
        <v/>
      </c>
      <c r="D2796" s="6"/>
      <c r="E2796" s="6"/>
      <c r="F2796" s="6"/>
      <c r="G2796" s="24" t="str">
        <f>IF(F2796="", "", VLOOKUP(F2796, Inventory!A:BZ, 3, FALSE) - SUMIF($F$1:$F2795, F2796, $H$1:$H2795))
</f>
        <v/>
      </c>
      <c r="I2796" s="26"/>
      <c r="J2796" s="26" t="s">
        <v>77</v>
      </c>
      <c r="L2796" s="27" t="s">
        <v>77</v>
      </c>
      <c r="N2796" s="28" t="s">
        <v>77</v>
      </c>
      <c r="Q2796" s="30"/>
    </row>
    <row r="2797">
      <c r="B2797" s="6"/>
      <c r="C2797" s="33" t="str">
        <f t="array" ref="C2797">IF(B2797="", "", XLOOKUP(B2797, Inventory!D:D,Inventory!E:E,"No Name Found"))</f>
        <v/>
      </c>
      <c r="D2797" s="6"/>
      <c r="E2797" s="6"/>
      <c r="F2797" s="6"/>
      <c r="G2797" s="24" t="str">
        <f>IF(F2797="", "", VLOOKUP(F2797, Inventory!A:BZ, 3, FALSE) - SUMIF($F$1:$F2796, F2797, $H$1:$H2796))
</f>
        <v/>
      </c>
      <c r="I2797" s="26"/>
      <c r="J2797" s="26" t="s">
        <v>77</v>
      </c>
      <c r="L2797" s="27" t="s">
        <v>77</v>
      </c>
      <c r="N2797" s="28" t="s">
        <v>77</v>
      </c>
      <c r="Q2797" s="30"/>
    </row>
    <row r="2798">
      <c r="B2798" s="6"/>
      <c r="C2798" s="33" t="str">
        <f t="array" ref="C2798">IF(B2798="", "", XLOOKUP(B2798, Inventory!D:D,Inventory!E:E,"No Name Found"))</f>
        <v/>
      </c>
      <c r="D2798" s="6"/>
      <c r="E2798" s="6"/>
      <c r="F2798" s="6"/>
      <c r="G2798" s="24" t="str">
        <f>IF(F2798="", "", VLOOKUP(F2798, Inventory!A:BZ, 3, FALSE) - SUMIF($F$1:$F2797, F2798, $H$1:$H2797))
</f>
        <v/>
      </c>
      <c r="I2798" s="26"/>
      <c r="J2798" s="26" t="s">
        <v>77</v>
      </c>
      <c r="L2798" s="27" t="s">
        <v>77</v>
      </c>
      <c r="N2798" s="28" t="s">
        <v>77</v>
      </c>
      <c r="Q2798" s="30"/>
    </row>
    <row r="2799">
      <c r="B2799" s="6"/>
      <c r="C2799" s="33" t="str">
        <f t="array" ref="C2799">IF(B2799="", "", XLOOKUP(B2799, Inventory!D:D,Inventory!E:E,"No Name Found"))</f>
        <v/>
      </c>
      <c r="D2799" s="6"/>
      <c r="E2799" s="6"/>
      <c r="F2799" s="6"/>
      <c r="G2799" s="24" t="str">
        <f>IF(F2799="", "", VLOOKUP(F2799, Inventory!A:BZ, 3, FALSE) - SUMIF($F$1:$F2798, F2799, $H$1:$H2798))
</f>
        <v/>
      </c>
      <c r="I2799" s="26"/>
      <c r="J2799" s="26" t="s">
        <v>77</v>
      </c>
      <c r="L2799" s="27" t="s">
        <v>77</v>
      </c>
      <c r="N2799" s="28" t="s">
        <v>77</v>
      </c>
      <c r="Q2799" s="30"/>
    </row>
    <row r="2800">
      <c r="B2800" s="6"/>
      <c r="C2800" s="33" t="str">
        <f t="array" ref="C2800">IF(B2800="", "", XLOOKUP(B2800, Inventory!D:D,Inventory!E:E,"No Name Found"))</f>
        <v/>
      </c>
      <c r="D2800" s="6"/>
      <c r="E2800" s="6"/>
      <c r="F2800" s="6"/>
      <c r="G2800" s="24" t="str">
        <f>IF(F2800="", "", VLOOKUP(F2800, Inventory!A:BZ, 3, FALSE) - SUMIF($F$1:$F2799, F2800, $H$1:$H2799))
</f>
        <v/>
      </c>
      <c r="I2800" s="26"/>
      <c r="J2800" s="26" t="s">
        <v>77</v>
      </c>
      <c r="L2800" s="27" t="s">
        <v>77</v>
      </c>
      <c r="N2800" s="28" t="s">
        <v>77</v>
      </c>
      <c r="Q2800" s="30"/>
    </row>
    <row r="2801">
      <c r="B2801" s="6"/>
      <c r="C2801" s="33" t="str">
        <f t="array" ref="C2801">IF(B2801="", "", XLOOKUP(B2801, Inventory!D:D,Inventory!E:E,"No Name Found"))</f>
        <v/>
      </c>
      <c r="D2801" s="6"/>
      <c r="E2801" s="6"/>
      <c r="F2801" s="6"/>
      <c r="G2801" s="24" t="str">
        <f>IF(F2801="", "", VLOOKUP(F2801, Inventory!A:BZ, 3, FALSE) - SUMIF($F$1:$F2800, F2801, $H$1:$H2800))
</f>
        <v/>
      </c>
      <c r="I2801" s="26"/>
      <c r="J2801" s="26" t="s">
        <v>77</v>
      </c>
      <c r="L2801" s="27" t="s">
        <v>77</v>
      </c>
      <c r="N2801" s="28" t="s">
        <v>77</v>
      </c>
      <c r="Q2801" s="30"/>
    </row>
    <row r="2802">
      <c r="B2802" s="6"/>
      <c r="C2802" s="33" t="str">
        <f t="array" ref="C2802">IF(B2802="", "", XLOOKUP(B2802, Inventory!D:D,Inventory!E:E,"No Name Found"))</f>
        <v/>
      </c>
      <c r="D2802" s="6"/>
      <c r="E2802" s="6"/>
      <c r="F2802" s="6"/>
      <c r="G2802" s="24" t="str">
        <f>IF(F2802="", "", VLOOKUP(F2802, Inventory!A:BZ, 3, FALSE) - SUMIF($F$1:$F2801, F2802, $H$1:$H2801))
</f>
        <v/>
      </c>
      <c r="I2802" s="26"/>
      <c r="J2802" s="26" t="s">
        <v>77</v>
      </c>
      <c r="L2802" s="27" t="s">
        <v>77</v>
      </c>
      <c r="N2802" s="28" t="s">
        <v>77</v>
      </c>
      <c r="Q2802" s="30"/>
    </row>
    <row r="2803">
      <c r="B2803" s="6"/>
      <c r="C2803" s="33" t="str">
        <f t="array" ref="C2803">IF(B2803="", "", XLOOKUP(B2803, Inventory!D:D,Inventory!E:E,"No Name Found"))</f>
        <v/>
      </c>
      <c r="D2803" s="6"/>
      <c r="E2803" s="6"/>
      <c r="F2803" s="6"/>
      <c r="G2803" s="24" t="str">
        <f>IF(F2803="", "", VLOOKUP(F2803, Inventory!A:BZ, 3, FALSE) - SUMIF($F$1:$F2802, F2803, $H$1:$H2802))
</f>
        <v/>
      </c>
      <c r="I2803" s="26"/>
      <c r="J2803" s="26" t="s">
        <v>77</v>
      </c>
      <c r="L2803" s="27" t="s">
        <v>77</v>
      </c>
      <c r="N2803" s="28" t="s">
        <v>77</v>
      </c>
      <c r="Q2803" s="30"/>
    </row>
    <row r="2804">
      <c r="B2804" s="6"/>
      <c r="C2804" s="33" t="str">
        <f t="array" ref="C2804">IF(B2804="", "", XLOOKUP(B2804, Inventory!D:D,Inventory!E:E,"No Name Found"))</f>
        <v/>
      </c>
      <c r="D2804" s="6"/>
      <c r="E2804" s="6"/>
      <c r="F2804" s="6"/>
      <c r="G2804" s="24" t="str">
        <f>IF(F2804="", "", VLOOKUP(F2804, Inventory!A:BZ, 3, FALSE) - SUMIF($F$1:$F2803, F2804, $H$1:$H2803))
</f>
        <v/>
      </c>
      <c r="I2804" s="26"/>
      <c r="J2804" s="26" t="s">
        <v>77</v>
      </c>
      <c r="L2804" s="27" t="s">
        <v>77</v>
      </c>
      <c r="N2804" s="28" t="s">
        <v>77</v>
      </c>
      <c r="Q2804" s="30"/>
    </row>
    <row r="2805">
      <c r="B2805" s="6"/>
      <c r="C2805" s="33" t="str">
        <f t="array" ref="C2805">IF(B2805="", "", XLOOKUP(B2805, Inventory!D:D,Inventory!E:E,"No Name Found"))</f>
        <v/>
      </c>
      <c r="D2805" s="6"/>
      <c r="E2805" s="6"/>
      <c r="F2805" s="6"/>
      <c r="G2805" s="24" t="str">
        <f>IF(F2805="", "", VLOOKUP(F2805, Inventory!A:BZ, 3, FALSE) - SUMIF($F$1:$F2804, F2805, $H$1:$H2804))
</f>
        <v/>
      </c>
      <c r="I2805" s="26"/>
      <c r="J2805" s="26" t="s">
        <v>77</v>
      </c>
      <c r="L2805" s="27" t="s">
        <v>77</v>
      </c>
      <c r="N2805" s="28" t="s">
        <v>77</v>
      </c>
      <c r="Q2805" s="30"/>
    </row>
    <row r="2806">
      <c r="B2806" s="6"/>
      <c r="C2806" s="33" t="str">
        <f t="array" ref="C2806">IF(B2806="", "", XLOOKUP(B2806, Inventory!D:D,Inventory!E:E,"No Name Found"))</f>
        <v/>
      </c>
      <c r="D2806" s="6"/>
      <c r="E2806" s="6"/>
      <c r="F2806" s="6"/>
      <c r="G2806" s="24" t="str">
        <f>IF(F2806="", "", VLOOKUP(F2806, Inventory!A:BZ, 3, FALSE) - SUMIF($F$1:$F2805, F2806, $H$1:$H2805))
</f>
        <v/>
      </c>
      <c r="I2806" s="26"/>
      <c r="J2806" s="26" t="s">
        <v>77</v>
      </c>
      <c r="L2806" s="27" t="s">
        <v>77</v>
      </c>
      <c r="N2806" s="28" t="s">
        <v>77</v>
      </c>
      <c r="Q2806" s="30"/>
    </row>
    <row r="2807">
      <c r="B2807" s="6"/>
      <c r="C2807" s="33" t="str">
        <f t="array" ref="C2807">IF(B2807="", "", XLOOKUP(B2807, Inventory!D:D,Inventory!E:E,"No Name Found"))</f>
        <v/>
      </c>
      <c r="D2807" s="6"/>
      <c r="E2807" s="6"/>
      <c r="F2807" s="6"/>
      <c r="G2807" s="24" t="str">
        <f>IF(F2807="", "", VLOOKUP(F2807, Inventory!A:BZ, 3, FALSE) - SUMIF($F$1:$F2806, F2807, $H$1:$H2806))
</f>
        <v/>
      </c>
      <c r="I2807" s="26"/>
      <c r="J2807" s="26" t="s">
        <v>77</v>
      </c>
      <c r="L2807" s="27" t="s">
        <v>77</v>
      </c>
      <c r="N2807" s="28" t="s">
        <v>77</v>
      </c>
      <c r="Q2807" s="30"/>
    </row>
    <row r="2808">
      <c r="B2808" s="6"/>
      <c r="C2808" s="33" t="str">
        <f t="array" ref="C2808">IF(B2808="", "", XLOOKUP(B2808, Inventory!D:D,Inventory!E:E,"No Name Found"))</f>
        <v/>
      </c>
      <c r="D2808" s="6"/>
      <c r="E2808" s="6"/>
      <c r="F2808" s="6"/>
      <c r="G2808" s="24" t="str">
        <f>IF(F2808="", "", VLOOKUP(F2808, Inventory!A:BZ, 3, FALSE) - SUMIF($F$1:$F2807, F2808, $H$1:$H2807))
</f>
        <v/>
      </c>
      <c r="I2808" s="26"/>
      <c r="J2808" s="26" t="s">
        <v>77</v>
      </c>
      <c r="L2808" s="27" t="s">
        <v>77</v>
      </c>
      <c r="N2808" s="28" t="s">
        <v>77</v>
      </c>
      <c r="Q2808" s="30"/>
    </row>
    <row r="2809">
      <c r="B2809" s="6"/>
      <c r="C2809" s="33" t="str">
        <f t="array" ref="C2809">IF(B2809="", "", XLOOKUP(B2809, Inventory!D:D,Inventory!E:E,"No Name Found"))</f>
        <v/>
      </c>
      <c r="D2809" s="6"/>
      <c r="E2809" s="6"/>
      <c r="F2809" s="6"/>
      <c r="G2809" s="24" t="str">
        <f>IF(F2809="", "", VLOOKUP(F2809, Inventory!A:BZ, 3, FALSE) - SUMIF($F$1:$F2808, F2809, $H$1:$H2808))
</f>
        <v/>
      </c>
      <c r="I2809" s="26"/>
      <c r="J2809" s="26" t="s">
        <v>77</v>
      </c>
      <c r="L2809" s="27" t="s">
        <v>77</v>
      </c>
      <c r="N2809" s="28" t="s">
        <v>77</v>
      </c>
      <c r="Q2809" s="30"/>
    </row>
    <row r="2810">
      <c r="B2810" s="6"/>
      <c r="C2810" s="33" t="str">
        <f t="array" ref="C2810">IF(B2810="", "", XLOOKUP(B2810, Inventory!D:D,Inventory!E:E,"No Name Found"))</f>
        <v/>
      </c>
      <c r="D2810" s="6"/>
      <c r="E2810" s="6"/>
      <c r="F2810" s="6"/>
      <c r="G2810" s="24" t="str">
        <f>IF(F2810="", "", VLOOKUP(F2810, Inventory!A:BZ, 3, FALSE) - SUMIF($F$1:$F2809, F2810, $H$1:$H2809))
</f>
        <v/>
      </c>
      <c r="I2810" s="26"/>
      <c r="J2810" s="26" t="s">
        <v>77</v>
      </c>
      <c r="L2810" s="27" t="s">
        <v>77</v>
      </c>
      <c r="N2810" s="28" t="s">
        <v>77</v>
      </c>
      <c r="Q2810" s="30"/>
    </row>
    <row r="2811">
      <c r="B2811" s="6"/>
      <c r="C2811" s="33" t="str">
        <f t="array" ref="C2811">IF(B2811="", "", XLOOKUP(B2811, Inventory!D:D,Inventory!E:E,"No Name Found"))</f>
        <v/>
      </c>
      <c r="D2811" s="6"/>
      <c r="E2811" s="6"/>
      <c r="F2811" s="6"/>
      <c r="G2811" s="24" t="str">
        <f>IF(F2811="", "", VLOOKUP(F2811, Inventory!A:BZ, 3, FALSE) - SUMIF($F$1:$F2810, F2811, $H$1:$H2810))
</f>
        <v/>
      </c>
      <c r="I2811" s="26"/>
      <c r="J2811" s="26" t="s">
        <v>77</v>
      </c>
      <c r="L2811" s="27" t="s">
        <v>77</v>
      </c>
      <c r="N2811" s="28" t="s">
        <v>77</v>
      </c>
      <c r="Q2811" s="30"/>
    </row>
    <row r="2812">
      <c r="B2812" s="6"/>
      <c r="C2812" s="33" t="str">
        <f t="array" ref="C2812">IF(B2812="", "", XLOOKUP(B2812, Inventory!D:D,Inventory!E:E,"No Name Found"))</f>
        <v/>
      </c>
      <c r="D2812" s="6"/>
      <c r="E2812" s="6"/>
      <c r="F2812" s="6"/>
      <c r="G2812" s="24" t="str">
        <f>IF(F2812="", "", VLOOKUP(F2812, Inventory!A:BZ, 3, FALSE) - SUMIF($F$1:$F2811, F2812, $H$1:$H2811))
</f>
        <v/>
      </c>
      <c r="I2812" s="26"/>
      <c r="J2812" s="26" t="s">
        <v>77</v>
      </c>
      <c r="L2812" s="27" t="s">
        <v>77</v>
      </c>
      <c r="N2812" s="28" t="s">
        <v>77</v>
      </c>
      <c r="Q2812" s="30"/>
    </row>
    <row r="2813">
      <c r="B2813" s="6"/>
      <c r="C2813" s="33" t="str">
        <f t="array" ref="C2813">IF(B2813="", "", XLOOKUP(B2813, Inventory!D:D,Inventory!E:E,"No Name Found"))</f>
        <v/>
      </c>
      <c r="D2813" s="6"/>
      <c r="E2813" s="6"/>
      <c r="F2813" s="6"/>
      <c r="G2813" s="24" t="str">
        <f>IF(F2813="", "", VLOOKUP(F2813, Inventory!A:BZ, 3, FALSE) - SUMIF($F$1:$F2812, F2813, $H$1:$H2812))
</f>
        <v/>
      </c>
      <c r="I2813" s="26"/>
      <c r="J2813" s="26" t="s">
        <v>77</v>
      </c>
      <c r="L2813" s="27" t="s">
        <v>77</v>
      </c>
      <c r="N2813" s="28" t="s">
        <v>77</v>
      </c>
      <c r="Q2813" s="30"/>
    </row>
    <row r="2814">
      <c r="B2814" s="6"/>
      <c r="C2814" s="33" t="str">
        <f t="array" ref="C2814">IF(B2814="", "", XLOOKUP(B2814, Inventory!D:D,Inventory!E:E,"No Name Found"))</f>
        <v/>
      </c>
      <c r="D2814" s="6"/>
      <c r="E2814" s="6"/>
      <c r="F2814" s="6"/>
      <c r="G2814" s="24" t="str">
        <f>IF(F2814="", "", VLOOKUP(F2814, Inventory!A:BZ, 3, FALSE) - SUMIF($F$1:$F2813, F2814, $H$1:$H2813))
</f>
        <v/>
      </c>
      <c r="I2814" s="26"/>
      <c r="J2814" s="26" t="s">
        <v>77</v>
      </c>
      <c r="L2814" s="27" t="s">
        <v>77</v>
      </c>
      <c r="N2814" s="28" t="s">
        <v>77</v>
      </c>
      <c r="Q2814" s="30"/>
    </row>
    <row r="2815">
      <c r="B2815" s="6"/>
      <c r="C2815" s="33" t="str">
        <f t="array" ref="C2815">IF(B2815="", "", XLOOKUP(B2815, Inventory!D:D,Inventory!E:E,"No Name Found"))</f>
        <v/>
      </c>
      <c r="D2815" s="6"/>
      <c r="E2815" s="6"/>
      <c r="F2815" s="6"/>
      <c r="G2815" s="24" t="str">
        <f>IF(F2815="", "", VLOOKUP(F2815, Inventory!A:BZ, 3, FALSE) - SUMIF($F$1:$F2814, F2815, $H$1:$H2814))
</f>
        <v/>
      </c>
      <c r="I2815" s="26"/>
      <c r="J2815" s="26" t="s">
        <v>77</v>
      </c>
      <c r="L2815" s="27" t="s">
        <v>77</v>
      </c>
      <c r="N2815" s="28" t="s">
        <v>77</v>
      </c>
      <c r="Q2815" s="30"/>
    </row>
    <row r="2816">
      <c r="B2816" s="6"/>
      <c r="C2816" s="33" t="str">
        <f t="array" ref="C2816">IF(B2816="", "", XLOOKUP(B2816, Inventory!D:D,Inventory!E:E,"No Name Found"))</f>
        <v/>
      </c>
      <c r="D2816" s="6"/>
      <c r="E2816" s="6"/>
      <c r="F2816" s="6"/>
      <c r="G2816" s="24" t="str">
        <f>IF(F2816="", "", VLOOKUP(F2816, Inventory!A:BZ, 3, FALSE) - SUMIF($F$1:$F2815, F2816, $H$1:$H2815))
</f>
        <v/>
      </c>
      <c r="I2816" s="26"/>
      <c r="J2816" s="26" t="s">
        <v>77</v>
      </c>
      <c r="L2816" s="27" t="s">
        <v>77</v>
      </c>
      <c r="N2816" s="28" t="s">
        <v>77</v>
      </c>
      <c r="Q2816" s="30"/>
    </row>
    <row r="2817">
      <c r="B2817" s="6"/>
      <c r="C2817" s="33" t="str">
        <f t="array" ref="C2817">IF(B2817="", "", XLOOKUP(B2817, Inventory!D:D,Inventory!E:E,"No Name Found"))</f>
        <v/>
      </c>
      <c r="D2817" s="6"/>
      <c r="E2817" s="6"/>
      <c r="F2817" s="6"/>
      <c r="G2817" s="24" t="str">
        <f>IF(F2817="", "", VLOOKUP(F2817, Inventory!A:BZ, 3, FALSE) - SUMIF($F$1:$F2816, F2817, $H$1:$H2816))
</f>
        <v/>
      </c>
      <c r="I2817" s="26"/>
      <c r="J2817" s="26" t="s">
        <v>77</v>
      </c>
      <c r="L2817" s="27" t="s">
        <v>77</v>
      </c>
      <c r="N2817" s="28" t="s">
        <v>77</v>
      </c>
      <c r="Q2817" s="30"/>
    </row>
    <row r="2818">
      <c r="B2818" s="6"/>
      <c r="C2818" s="33" t="str">
        <f t="array" ref="C2818">IF(B2818="", "", XLOOKUP(B2818, Inventory!D:D,Inventory!E:E,"No Name Found"))</f>
        <v/>
      </c>
      <c r="D2818" s="6"/>
      <c r="E2818" s="6"/>
      <c r="F2818" s="6"/>
      <c r="G2818" s="24" t="str">
        <f>IF(F2818="", "", VLOOKUP(F2818, Inventory!A:BZ, 3, FALSE) - SUMIF($F$1:$F2817, F2818, $H$1:$H2817))
</f>
        <v/>
      </c>
      <c r="I2818" s="26"/>
      <c r="J2818" s="26" t="s">
        <v>77</v>
      </c>
      <c r="L2818" s="27" t="s">
        <v>77</v>
      </c>
      <c r="N2818" s="28" t="s">
        <v>77</v>
      </c>
      <c r="Q2818" s="30"/>
    </row>
    <row r="2819">
      <c r="B2819" s="6"/>
      <c r="C2819" s="33" t="str">
        <f t="array" ref="C2819">IF(B2819="", "", XLOOKUP(B2819, Inventory!D:D,Inventory!E:E,"No Name Found"))</f>
        <v/>
      </c>
      <c r="D2819" s="6"/>
      <c r="E2819" s="6"/>
      <c r="F2819" s="6"/>
      <c r="G2819" s="24" t="str">
        <f>IF(F2819="", "", VLOOKUP(F2819, Inventory!A:BZ, 3, FALSE) - SUMIF($F$1:$F2818, F2819, $H$1:$H2818))
</f>
        <v/>
      </c>
      <c r="I2819" s="26"/>
      <c r="J2819" s="26" t="s">
        <v>77</v>
      </c>
      <c r="L2819" s="27" t="s">
        <v>77</v>
      </c>
      <c r="N2819" s="28" t="s">
        <v>77</v>
      </c>
      <c r="Q2819" s="30"/>
    </row>
    <row r="2820">
      <c r="B2820" s="6"/>
      <c r="C2820" s="33" t="str">
        <f t="array" ref="C2820">IF(B2820="", "", XLOOKUP(B2820, Inventory!D:D,Inventory!E:E,"No Name Found"))</f>
        <v/>
      </c>
      <c r="D2820" s="6"/>
      <c r="E2820" s="6"/>
      <c r="F2820" s="6"/>
      <c r="G2820" s="24" t="str">
        <f>IF(F2820="", "", VLOOKUP(F2820, Inventory!A:BZ, 3, FALSE) - SUMIF($F$1:$F2819, F2820, $H$1:$H2819))
</f>
        <v/>
      </c>
      <c r="I2820" s="26"/>
      <c r="J2820" s="26" t="s">
        <v>77</v>
      </c>
      <c r="L2820" s="27" t="s">
        <v>77</v>
      </c>
      <c r="N2820" s="28" t="s">
        <v>77</v>
      </c>
      <c r="Q2820" s="30"/>
    </row>
    <row r="2821">
      <c r="B2821" s="6"/>
      <c r="C2821" s="33" t="str">
        <f t="array" ref="C2821">IF(B2821="", "", XLOOKUP(B2821, Inventory!D:D,Inventory!E:E,"No Name Found"))</f>
        <v/>
      </c>
      <c r="D2821" s="6"/>
      <c r="E2821" s="6"/>
      <c r="F2821" s="6"/>
      <c r="G2821" s="24" t="str">
        <f>IF(F2821="", "", VLOOKUP(F2821, Inventory!A:BZ, 3, FALSE) - SUMIF($F$1:$F2820, F2821, $H$1:$H2820))
</f>
        <v/>
      </c>
      <c r="I2821" s="26"/>
      <c r="J2821" s="26" t="s">
        <v>77</v>
      </c>
      <c r="L2821" s="27" t="s">
        <v>77</v>
      </c>
      <c r="N2821" s="28" t="s">
        <v>77</v>
      </c>
      <c r="Q2821" s="30"/>
    </row>
    <row r="2822">
      <c r="B2822" s="6"/>
      <c r="C2822" s="33" t="str">
        <f t="array" ref="C2822">IF(B2822="", "", XLOOKUP(B2822, Inventory!D:D,Inventory!E:E,"No Name Found"))</f>
        <v/>
      </c>
      <c r="D2822" s="6"/>
      <c r="E2822" s="6"/>
      <c r="F2822" s="6"/>
      <c r="G2822" s="24" t="str">
        <f>IF(F2822="", "", VLOOKUP(F2822, Inventory!A:BZ, 3, FALSE) - SUMIF($F$1:$F2821, F2822, $H$1:$H2821))
</f>
        <v/>
      </c>
      <c r="I2822" s="26"/>
      <c r="J2822" s="26" t="s">
        <v>77</v>
      </c>
      <c r="L2822" s="27" t="s">
        <v>77</v>
      </c>
      <c r="N2822" s="28" t="s">
        <v>77</v>
      </c>
      <c r="Q2822" s="30"/>
    </row>
    <row r="2823">
      <c r="B2823" s="6"/>
      <c r="C2823" s="33" t="str">
        <f t="array" ref="C2823">IF(B2823="", "", XLOOKUP(B2823, Inventory!D:D,Inventory!E:E,"No Name Found"))</f>
        <v/>
      </c>
      <c r="D2823" s="6"/>
      <c r="E2823" s="6"/>
      <c r="F2823" s="6"/>
      <c r="G2823" s="24" t="str">
        <f>IF(F2823="", "", VLOOKUP(F2823, Inventory!A:BZ, 3, FALSE) - SUMIF($F$1:$F2822, F2823, $H$1:$H2822))
</f>
        <v/>
      </c>
      <c r="I2823" s="26"/>
      <c r="J2823" s="26" t="s">
        <v>77</v>
      </c>
      <c r="L2823" s="27" t="s">
        <v>77</v>
      </c>
      <c r="N2823" s="28" t="s">
        <v>77</v>
      </c>
      <c r="Q2823" s="30"/>
    </row>
    <row r="2824">
      <c r="B2824" s="6"/>
      <c r="C2824" s="33" t="str">
        <f t="array" ref="C2824">IF(B2824="", "", XLOOKUP(B2824, Inventory!D:D,Inventory!E:E,"No Name Found"))</f>
        <v/>
      </c>
      <c r="D2824" s="6"/>
      <c r="E2824" s="6"/>
      <c r="F2824" s="6"/>
      <c r="G2824" s="24" t="str">
        <f>IF(F2824="", "", VLOOKUP(F2824, Inventory!A:BZ, 3, FALSE) - SUMIF($F$1:$F2823, F2824, $H$1:$H2823))
</f>
        <v/>
      </c>
      <c r="I2824" s="26"/>
      <c r="J2824" s="26" t="s">
        <v>77</v>
      </c>
      <c r="L2824" s="27" t="s">
        <v>77</v>
      </c>
      <c r="N2824" s="28" t="s">
        <v>77</v>
      </c>
      <c r="Q2824" s="30"/>
    </row>
    <row r="2825">
      <c r="B2825" s="6"/>
      <c r="C2825" s="33" t="str">
        <f t="array" ref="C2825">IF(B2825="", "", XLOOKUP(B2825, Inventory!D:D,Inventory!E:E,"No Name Found"))</f>
        <v/>
      </c>
      <c r="D2825" s="6"/>
      <c r="E2825" s="6"/>
      <c r="F2825" s="6"/>
      <c r="G2825" s="24" t="str">
        <f>IF(F2825="", "", VLOOKUP(F2825, Inventory!A:BZ, 3, FALSE) - SUMIF($F$1:$F2824, F2825, $H$1:$H2824))
</f>
        <v/>
      </c>
      <c r="I2825" s="26"/>
      <c r="J2825" s="26" t="s">
        <v>77</v>
      </c>
      <c r="L2825" s="27" t="s">
        <v>77</v>
      </c>
      <c r="N2825" s="28" t="s">
        <v>77</v>
      </c>
      <c r="Q2825" s="30"/>
    </row>
    <row r="2826">
      <c r="B2826" s="6"/>
      <c r="C2826" s="33" t="str">
        <f t="array" ref="C2826">IF(B2826="", "", XLOOKUP(B2826, Inventory!D:D,Inventory!E:E,"No Name Found"))</f>
        <v/>
      </c>
      <c r="D2826" s="6"/>
      <c r="E2826" s="6"/>
      <c r="F2826" s="6"/>
      <c r="G2826" s="24" t="str">
        <f>IF(F2826="", "", VLOOKUP(F2826, Inventory!A:BZ, 3, FALSE) - SUMIF($F$1:$F2825, F2826, $H$1:$H2825))
</f>
        <v/>
      </c>
      <c r="I2826" s="26"/>
      <c r="J2826" s="26" t="s">
        <v>77</v>
      </c>
      <c r="L2826" s="27" t="s">
        <v>77</v>
      </c>
      <c r="N2826" s="28" t="s">
        <v>77</v>
      </c>
      <c r="Q2826" s="30"/>
    </row>
    <row r="2827">
      <c r="B2827" s="6"/>
      <c r="C2827" s="33" t="str">
        <f t="array" ref="C2827">IF(B2827="", "", XLOOKUP(B2827, Inventory!D:D,Inventory!E:E,"No Name Found"))</f>
        <v/>
      </c>
      <c r="D2827" s="6"/>
      <c r="E2827" s="6"/>
      <c r="F2827" s="6"/>
      <c r="G2827" s="24" t="str">
        <f>IF(F2827="", "", VLOOKUP(F2827, Inventory!A:BZ, 3, FALSE) - SUMIF($F$1:$F2826, F2827, $H$1:$H2826))
</f>
        <v/>
      </c>
      <c r="I2827" s="26"/>
      <c r="J2827" s="26" t="s">
        <v>77</v>
      </c>
      <c r="L2827" s="27" t="s">
        <v>77</v>
      </c>
      <c r="N2827" s="28" t="s">
        <v>77</v>
      </c>
      <c r="Q2827" s="30"/>
    </row>
    <row r="2828">
      <c r="B2828" s="6"/>
      <c r="C2828" s="33" t="str">
        <f t="array" ref="C2828">IF(B2828="", "", XLOOKUP(B2828, Inventory!D:D,Inventory!E:E,"No Name Found"))</f>
        <v/>
      </c>
      <c r="D2828" s="6"/>
      <c r="E2828" s="6"/>
      <c r="F2828" s="6"/>
      <c r="G2828" s="24" t="str">
        <f>IF(F2828="", "", VLOOKUP(F2828, Inventory!A:BZ, 3, FALSE) - SUMIF($F$1:$F2827, F2828, $H$1:$H2827))
</f>
        <v/>
      </c>
      <c r="I2828" s="26"/>
      <c r="J2828" s="26" t="s">
        <v>77</v>
      </c>
      <c r="L2828" s="27" t="s">
        <v>77</v>
      </c>
      <c r="N2828" s="28" t="s">
        <v>77</v>
      </c>
      <c r="Q2828" s="30"/>
    </row>
    <row r="2829">
      <c r="B2829" s="6"/>
      <c r="C2829" s="33" t="str">
        <f t="array" ref="C2829">IF(B2829="", "", XLOOKUP(B2829, Inventory!D:D,Inventory!E:E,"No Name Found"))</f>
        <v/>
      </c>
      <c r="D2829" s="6"/>
      <c r="E2829" s="6"/>
      <c r="F2829" s="6"/>
      <c r="G2829" s="24" t="str">
        <f>IF(F2829="", "", VLOOKUP(F2829, Inventory!A:BZ, 3, FALSE) - SUMIF($F$1:$F2828, F2829, $H$1:$H2828))
</f>
        <v/>
      </c>
      <c r="I2829" s="26"/>
      <c r="J2829" s="26" t="s">
        <v>77</v>
      </c>
      <c r="L2829" s="27" t="s">
        <v>77</v>
      </c>
      <c r="N2829" s="28" t="s">
        <v>77</v>
      </c>
      <c r="Q2829" s="30"/>
    </row>
    <row r="2830">
      <c r="B2830" s="6"/>
      <c r="C2830" s="33" t="str">
        <f t="array" ref="C2830">IF(B2830="", "", XLOOKUP(B2830, Inventory!D:D,Inventory!E:E,"No Name Found"))</f>
        <v/>
      </c>
      <c r="D2830" s="6"/>
      <c r="E2830" s="6"/>
      <c r="F2830" s="6"/>
      <c r="G2830" s="24" t="str">
        <f>IF(F2830="", "", VLOOKUP(F2830, Inventory!A:BZ, 3, FALSE) - SUMIF($F$1:$F2829, F2830, $H$1:$H2829))
</f>
        <v/>
      </c>
      <c r="I2830" s="26"/>
      <c r="J2830" s="26" t="s">
        <v>77</v>
      </c>
      <c r="L2830" s="27" t="s">
        <v>77</v>
      </c>
      <c r="N2830" s="28" t="s">
        <v>77</v>
      </c>
      <c r="Q2830" s="30"/>
    </row>
    <row r="2831">
      <c r="B2831" s="6"/>
      <c r="C2831" s="33" t="str">
        <f t="array" ref="C2831">IF(B2831="", "", XLOOKUP(B2831, Inventory!D:D,Inventory!E:E,"No Name Found"))</f>
        <v/>
      </c>
      <c r="D2831" s="6"/>
      <c r="E2831" s="6"/>
      <c r="F2831" s="6"/>
      <c r="G2831" s="24" t="str">
        <f>IF(F2831="", "", VLOOKUP(F2831, Inventory!A:BZ, 3, FALSE) - SUMIF($F$1:$F2830, F2831, $H$1:$H2830))
</f>
        <v/>
      </c>
      <c r="I2831" s="26"/>
      <c r="J2831" s="26" t="s">
        <v>77</v>
      </c>
      <c r="L2831" s="27" t="s">
        <v>77</v>
      </c>
      <c r="N2831" s="28" t="s">
        <v>77</v>
      </c>
      <c r="Q2831" s="30"/>
    </row>
    <row r="2832">
      <c r="B2832" s="6"/>
      <c r="C2832" s="33" t="str">
        <f t="array" ref="C2832">IF(B2832="", "", XLOOKUP(B2832, Inventory!D:D,Inventory!E:E,"No Name Found"))</f>
        <v/>
      </c>
      <c r="D2832" s="6"/>
      <c r="E2832" s="6"/>
      <c r="F2832" s="6"/>
      <c r="G2832" s="24" t="str">
        <f>IF(F2832="", "", VLOOKUP(F2832, Inventory!A:BZ, 3, FALSE) - SUMIF($F$1:$F2831, F2832, $H$1:$H2831))
</f>
        <v/>
      </c>
      <c r="I2832" s="26"/>
      <c r="J2832" s="26" t="s">
        <v>77</v>
      </c>
      <c r="L2832" s="27" t="s">
        <v>77</v>
      </c>
      <c r="N2832" s="28" t="s">
        <v>77</v>
      </c>
      <c r="Q2832" s="30"/>
    </row>
    <row r="2833">
      <c r="B2833" s="6"/>
      <c r="C2833" s="33" t="str">
        <f t="array" ref="C2833">IF(B2833="", "", XLOOKUP(B2833, Inventory!D:D,Inventory!E:E,"No Name Found"))</f>
        <v/>
      </c>
      <c r="D2833" s="6"/>
      <c r="E2833" s="6"/>
      <c r="F2833" s="6"/>
      <c r="G2833" s="24" t="str">
        <f>IF(F2833="", "", VLOOKUP(F2833, Inventory!A:BZ, 3, FALSE) - SUMIF($F$1:$F2832, F2833, $H$1:$H2832))
</f>
        <v/>
      </c>
      <c r="I2833" s="26"/>
      <c r="J2833" s="26" t="s">
        <v>77</v>
      </c>
      <c r="L2833" s="27" t="s">
        <v>77</v>
      </c>
      <c r="N2833" s="28" t="s">
        <v>77</v>
      </c>
      <c r="Q2833" s="30"/>
    </row>
    <row r="2834">
      <c r="B2834" s="6"/>
      <c r="C2834" s="33" t="str">
        <f t="array" ref="C2834">IF(B2834="", "", XLOOKUP(B2834, Inventory!D:D,Inventory!E:E,"No Name Found"))</f>
        <v/>
      </c>
      <c r="D2834" s="6"/>
      <c r="E2834" s="6"/>
      <c r="F2834" s="6"/>
      <c r="G2834" s="24" t="str">
        <f>IF(F2834="", "", VLOOKUP(F2834, Inventory!A:BZ, 3, FALSE) - SUMIF($F$1:$F2833, F2834, $H$1:$H2833))
</f>
        <v/>
      </c>
      <c r="I2834" s="26"/>
      <c r="J2834" s="26" t="s">
        <v>77</v>
      </c>
      <c r="L2834" s="27" t="s">
        <v>77</v>
      </c>
      <c r="N2834" s="28" t="s">
        <v>77</v>
      </c>
      <c r="Q2834" s="30"/>
    </row>
    <row r="2835">
      <c r="B2835" s="6"/>
      <c r="C2835" s="33" t="str">
        <f t="array" ref="C2835">IF(B2835="", "", XLOOKUP(B2835, Inventory!D:D,Inventory!E:E,"No Name Found"))</f>
        <v/>
      </c>
      <c r="D2835" s="6"/>
      <c r="E2835" s="6"/>
      <c r="F2835" s="6"/>
      <c r="G2835" s="24" t="str">
        <f>IF(F2835="", "", VLOOKUP(F2835, Inventory!A:BZ, 3, FALSE) - SUMIF($F$1:$F2834, F2835, $H$1:$H2834))
</f>
        <v/>
      </c>
      <c r="I2835" s="26"/>
      <c r="J2835" s="26" t="s">
        <v>77</v>
      </c>
      <c r="L2835" s="27" t="s">
        <v>77</v>
      </c>
      <c r="N2835" s="28" t="s">
        <v>77</v>
      </c>
      <c r="Q2835" s="30"/>
    </row>
    <row r="2836">
      <c r="B2836" s="6"/>
      <c r="C2836" s="33" t="str">
        <f t="array" ref="C2836">IF(B2836="", "", XLOOKUP(B2836, Inventory!D:D,Inventory!E:E,"No Name Found"))</f>
        <v/>
      </c>
      <c r="D2836" s="6"/>
      <c r="E2836" s="6"/>
      <c r="F2836" s="6"/>
      <c r="G2836" s="24" t="str">
        <f>IF(F2836="", "", VLOOKUP(F2836, Inventory!A:BZ, 3, FALSE) - SUMIF($F$1:$F2835, F2836, $H$1:$H2835))
</f>
        <v/>
      </c>
      <c r="I2836" s="26"/>
      <c r="J2836" s="26" t="s">
        <v>77</v>
      </c>
      <c r="L2836" s="27" t="s">
        <v>77</v>
      </c>
      <c r="N2836" s="28" t="s">
        <v>77</v>
      </c>
      <c r="Q2836" s="30"/>
    </row>
    <row r="2837">
      <c r="B2837" s="6"/>
      <c r="C2837" s="33" t="str">
        <f t="array" ref="C2837">IF(B2837="", "", XLOOKUP(B2837, Inventory!D:D,Inventory!E:E,"No Name Found"))</f>
        <v/>
      </c>
      <c r="D2837" s="6"/>
      <c r="E2837" s="6"/>
      <c r="F2837" s="6"/>
      <c r="G2837" s="24" t="str">
        <f>IF(F2837="", "", VLOOKUP(F2837, Inventory!A:BZ, 3, FALSE) - SUMIF($F$1:$F2836, F2837, $H$1:$H2836))
</f>
        <v/>
      </c>
      <c r="I2837" s="26"/>
      <c r="J2837" s="26" t="s">
        <v>77</v>
      </c>
      <c r="L2837" s="27" t="s">
        <v>77</v>
      </c>
      <c r="N2837" s="28" t="s">
        <v>77</v>
      </c>
      <c r="Q2837" s="30"/>
    </row>
    <row r="2838">
      <c r="B2838" s="6"/>
      <c r="C2838" s="33" t="str">
        <f t="array" ref="C2838">IF(B2838="", "", XLOOKUP(B2838, Inventory!D:D,Inventory!E:E,"No Name Found"))</f>
        <v/>
      </c>
      <c r="D2838" s="6"/>
      <c r="E2838" s="6"/>
      <c r="F2838" s="6"/>
      <c r="G2838" s="24" t="str">
        <f>IF(F2838="", "", VLOOKUP(F2838, Inventory!A:BZ, 3, FALSE) - SUMIF($F$1:$F2837, F2838, $H$1:$H2837))
</f>
        <v/>
      </c>
      <c r="I2838" s="26"/>
      <c r="J2838" s="26" t="s">
        <v>77</v>
      </c>
      <c r="L2838" s="27" t="s">
        <v>77</v>
      </c>
      <c r="N2838" s="28" t="s">
        <v>77</v>
      </c>
      <c r="Q2838" s="30"/>
    </row>
    <row r="2839">
      <c r="B2839" s="6"/>
      <c r="C2839" s="33" t="str">
        <f t="array" ref="C2839">IF(B2839="", "", XLOOKUP(B2839, Inventory!D:D,Inventory!E:E,"No Name Found"))</f>
        <v/>
      </c>
      <c r="D2839" s="6"/>
      <c r="E2839" s="6"/>
      <c r="F2839" s="6"/>
      <c r="G2839" s="24" t="str">
        <f>IF(F2839="", "", VLOOKUP(F2839, Inventory!A:BZ, 3, FALSE) - SUMIF($F$1:$F2838, F2839, $H$1:$H2838))
</f>
        <v/>
      </c>
      <c r="I2839" s="26"/>
      <c r="J2839" s="26" t="s">
        <v>77</v>
      </c>
      <c r="L2839" s="27" t="s">
        <v>77</v>
      </c>
      <c r="N2839" s="28" t="s">
        <v>77</v>
      </c>
      <c r="Q2839" s="30"/>
    </row>
    <row r="2840">
      <c r="B2840" s="6"/>
      <c r="C2840" s="33" t="str">
        <f t="array" ref="C2840">IF(B2840="", "", XLOOKUP(B2840, Inventory!D:D,Inventory!E:E,"No Name Found"))</f>
        <v/>
      </c>
      <c r="D2840" s="6"/>
      <c r="E2840" s="6"/>
      <c r="F2840" s="6"/>
      <c r="G2840" s="24" t="str">
        <f>IF(F2840="", "", VLOOKUP(F2840, Inventory!A:BZ, 3, FALSE) - SUMIF($F$1:$F2839, F2840, $H$1:$H2839))
</f>
        <v/>
      </c>
      <c r="I2840" s="26"/>
      <c r="J2840" s="26" t="s">
        <v>77</v>
      </c>
      <c r="L2840" s="27" t="s">
        <v>77</v>
      </c>
      <c r="N2840" s="28" t="s">
        <v>77</v>
      </c>
      <c r="Q2840" s="30"/>
    </row>
    <row r="2841">
      <c r="B2841" s="6"/>
      <c r="C2841" s="33" t="str">
        <f t="array" ref="C2841">IF(B2841="", "", XLOOKUP(B2841, Inventory!D:D,Inventory!E:E,"No Name Found"))</f>
        <v/>
      </c>
      <c r="D2841" s="6"/>
      <c r="E2841" s="6"/>
      <c r="F2841" s="6"/>
      <c r="G2841" s="24" t="str">
        <f>IF(F2841="", "", VLOOKUP(F2841, Inventory!A:BZ, 3, FALSE) - SUMIF($F$1:$F2840, F2841, $H$1:$H2840))
</f>
        <v/>
      </c>
      <c r="I2841" s="26"/>
      <c r="J2841" s="26" t="s">
        <v>77</v>
      </c>
      <c r="L2841" s="27" t="s">
        <v>77</v>
      </c>
      <c r="N2841" s="28" t="s">
        <v>77</v>
      </c>
      <c r="Q2841" s="30"/>
    </row>
    <row r="2842">
      <c r="B2842" s="6"/>
      <c r="C2842" s="33" t="str">
        <f t="array" ref="C2842">IF(B2842="", "", XLOOKUP(B2842, Inventory!D:D,Inventory!E:E,"No Name Found"))</f>
        <v/>
      </c>
      <c r="D2842" s="6"/>
      <c r="E2842" s="6"/>
      <c r="F2842" s="6"/>
      <c r="G2842" s="24" t="str">
        <f>IF(F2842="", "", VLOOKUP(F2842, Inventory!A:BZ, 3, FALSE) - SUMIF($F$1:$F2841, F2842, $H$1:$H2841))
</f>
        <v/>
      </c>
      <c r="I2842" s="26"/>
      <c r="J2842" s="26" t="s">
        <v>77</v>
      </c>
      <c r="L2842" s="27" t="s">
        <v>77</v>
      </c>
      <c r="N2842" s="28" t="s">
        <v>77</v>
      </c>
      <c r="Q2842" s="30"/>
    </row>
    <row r="2843">
      <c r="B2843" s="6"/>
      <c r="C2843" s="33" t="str">
        <f t="array" ref="C2843">IF(B2843="", "", XLOOKUP(B2843, Inventory!D:D,Inventory!E:E,"No Name Found"))</f>
        <v/>
      </c>
      <c r="D2843" s="6"/>
      <c r="E2843" s="6"/>
      <c r="F2843" s="6"/>
      <c r="G2843" s="24" t="str">
        <f>IF(F2843="", "", VLOOKUP(F2843, Inventory!A:BZ, 3, FALSE) - SUMIF($F$1:$F2842, F2843, $H$1:$H2842))
</f>
        <v/>
      </c>
      <c r="I2843" s="26"/>
      <c r="J2843" s="26" t="s">
        <v>77</v>
      </c>
      <c r="L2843" s="27" t="s">
        <v>77</v>
      </c>
      <c r="N2843" s="28" t="s">
        <v>77</v>
      </c>
      <c r="Q2843" s="30"/>
    </row>
    <row r="2844">
      <c r="B2844" s="6"/>
      <c r="C2844" s="33" t="str">
        <f t="array" ref="C2844">IF(B2844="", "", XLOOKUP(B2844, Inventory!D:D,Inventory!E:E,"No Name Found"))</f>
        <v/>
      </c>
      <c r="D2844" s="6"/>
      <c r="E2844" s="6"/>
      <c r="F2844" s="6"/>
      <c r="G2844" s="24" t="str">
        <f>IF(F2844="", "", VLOOKUP(F2844, Inventory!A:BZ, 3, FALSE) - SUMIF($F$1:$F2843, F2844, $H$1:$H2843))
</f>
        <v/>
      </c>
      <c r="I2844" s="26"/>
      <c r="J2844" s="26" t="s">
        <v>77</v>
      </c>
      <c r="L2844" s="27" t="s">
        <v>77</v>
      </c>
      <c r="N2844" s="28" t="s">
        <v>77</v>
      </c>
      <c r="Q2844" s="30"/>
    </row>
    <row r="2845">
      <c r="B2845" s="6"/>
      <c r="C2845" s="33" t="str">
        <f t="array" ref="C2845">IF(B2845="", "", XLOOKUP(B2845, Inventory!D:D,Inventory!E:E,"No Name Found"))</f>
        <v/>
      </c>
      <c r="D2845" s="6"/>
      <c r="E2845" s="6"/>
      <c r="F2845" s="6"/>
      <c r="G2845" s="24" t="str">
        <f>IF(F2845="", "", VLOOKUP(F2845, Inventory!A:BZ, 3, FALSE) - SUMIF($F$1:$F2844, F2845, $H$1:$H2844))
</f>
        <v/>
      </c>
      <c r="I2845" s="26"/>
      <c r="J2845" s="26" t="s">
        <v>77</v>
      </c>
      <c r="L2845" s="27" t="s">
        <v>77</v>
      </c>
      <c r="N2845" s="28" t="s">
        <v>77</v>
      </c>
      <c r="Q2845" s="30"/>
    </row>
    <row r="2846">
      <c r="B2846" s="6"/>
      <c r="C2846" s="33" t="str">
        <f t="array" ref="C2846">IF(B2846="", "", XLOOKUP(B2846, Inventory!D:D,Inventory!E:E,"No Name Found"))</f>
        <v/>
      </c>
      <c r="D2846" s="6"/>
      <c r="E2846" s="6"/>
      <c r="F2846" s="6"/>
      <c r="G2846" s="24" t="str">
        <f>IF(F2846="", "", VLOOKUP(F2846, Inventory!A:BZ, 3, FALSE) - SUMIF($F$1:$F2845, F2846, $H$1:$H2845))
</f>
        <v/>
      </c>
      <c r="I2846" s="26"/>
      <c r="J2846" s="26" t="s">
        <v>77</v>
      </c>
      <c r="L2846" s="27" t="s">
        <v>77</v>
      </c>
      <c r="N2846" s="28" t="s">
        <v>77</v>
      </c>
      <c r="Q2846" s="30"/>
    </row>
    <row r="2847">
      <c r="B2847" s="6"/>
      <c r="C2847" s="33" t="str">
        <f t="array" ref="C2847">IF(B2847="", "", XLOOKUP(B2847, Inventory!D:D,Inventory!E:E,"No Name Found"))</f>
        <v/>
      </c>
      <c r="D2847" s="6"/>
      <c r="E2847" s="6"/>
      <c r="F2847" s="6"/>
      <c r="G2847" s="24" t="str">
        <f>IF(F2847="", "", VLOOKUP(F2847, Inventory!A:BZ, 3, FALSE) - SUMIF($F$1:$F2846, F2847, $H$1:$H2846))
</f>
        <v/>
      </c>
      <c r="I2847" s="26"/>
      <c r="J2847" s="26" t="s">
        <v>77</v>
      </c>
      <c r="L2847" s="27" t="s">
        <v>77</v>
      </c>
      <c r="N2847" s="28" t="s">
        <v>77</v>
      </c>
      <c r="Q2847" s="30"/>
    </row>
    <row r="2848">
      <c r="B2848" s="6"/>
      <c r="C2848" s="33" t="str">
        <f t="array" ref="C2848">IF(B2848="", "", XLOOKUP(B2848, Inventory!D:D,Inventory!E:E,"No Name Found"))</f>
        <v/>
      </c>
      <c r="D2848" s="6"/>
      <c r="E2848" s="6"/>
      <c r="F2848" s="6"/>
      <c r="G2848" s="24" t="str">
        <f>IF(F2848="", "", VLOOKUP(F2848, Inventory!A:BZ, 3, FALSE) - SUMIF($F$1:$F2847, F2848, $H$1:$H2847))
</f>
        <v/>
      </c>
      <c r="I2848" s="26"/>
      <c r="J2848" s="26" t="s">
        <v>77</v>
      </c>
      <c r="L2848" s="27" t="s">
        <v>77</v>
      </c>
      <c r="N2848" s="28" t="s">
        <v>77</v>
      </c>
      <c r="Q2848" s="30"/>
    </row>
    <row r="2849">
      <c r="B2849" s="6"/>
      <c r="C2849" s="33" t="str">
        <f t="array" ref="C2849">IF(B2849="", "", XLOOKUP(B2849, Inventory!D:D,Inventory!E:E,"No Name Found"))</f>
        <v/>
      </c>
      <c r="D2849" s="6"/>
      <c r="E2849" s="6"/>
      <c r="F2849" s="6"/>
      <c r="G2849" s="24" t="str">
        <f>IF(F2849="", "", VLOOKUP(F2849, Inventory!A:BZ, 3, FALSE) - SUMIF($F$1:$F2848, F2849, $H$1:$H2848))
</f>
        <v/>
      </c>
      <c r="I2849" s="26"/>
      <c r="J2849" s="26" t="s">
        <v>77</v>
      </c>
      <c r="L2849" s="27" t="s">
        <v>77</v>
      </c>
      <c r="N2849" s="28" t="s">
        <v>77</v>
      </c>
      <c r="Q2849" s="30"/>
    </row>
    <row r="2850">
      <c r="B2850" s="6"/>
      <c r="C2850" s="33" t="str">
        <f t="array" ref="C2850">IF(B2850="", "", XLOOKUP(B2850, Inventory!D:D,Inventory!E:E,"No Name Found"))</f>
        <v/>
      </c>
      <c r="D2850" s="6"/>
      <c r="E2850" s="6"/>
      <c r="F2850" s="6"/>
      <c r="G2850" s="24" t="str">
        <f>IF(F2850="", "", VLOOKUP(F2850, Inventory!A:BZ, 3, FALSE) - SUMIF($F$1:$F2849, F2850, $H$1:$H2849))
</f>
        <v/>
      </c>
      <c r="I2850" s="26"/>
      <c r="J2850" s="26" t="s">
        <v>77</v>
      </c>
      <c r="L2850" s="27" t="s">
        <v>77</v>
      </c>
      <c r="N2850" s="28" t="s">
        <v>77</v>
      </c>
      <c r="Q2850" s="30"/>
    </row>
    <row r="2851">
      <c r="B2851" s="6"/>
      <c r="C2851" s="33" t="str">
        <f t="array" ref="C2851">IF(B2851="", "", XLOOKUP(B2851, Inventory!D:D,Inventory!E:E,"No Name Found"))</f>
        <v/>
      </c>
      <c r="D2851" s="6"/>
      <c r="E2851" s="6"/>
      <c r="F2851" s="6"/>
      <c r="G2851" s="24" t="str">
        <f>IF(F2851="", "", VLOOKUP(F2851, Inventory!A:BZ, 3, FALSE) - SUMIF($F$1:$F2850, F2851, $H$1:$H2850))
</f>
        <v/>
      </c>
      <c r="I2851" s="26"/>
      <c r="J2851" s="26" t="s">
        <v>77</v>
      </c>
      <c r="L2851" s="27" t="s">
        <v>77</v>
      </c>
      <c r="N2851" s="28" t="s">
        <v>77</v>
      </c>
      <c r="Q2851" s="30"/>
    </row>
    <row r="2852">
      <c r="B2852" s="6"/>
      <c r="C2852" s="33" t="str">
        <f t="array" ref="C2852">IF(B2852="", "", XLOOKUP(B2852, Inventory!D:D,Inventory!E:E,"No Name Found"))</f>
        <v/>
      </c>
      <c r="D2852" s="6"/>
      <c r="E2852" s="6"/>
      <c r="F2852" s="6"/>
      <c r="G2852" s="24" t="str">
        <f>IF(F2852="", "", VLOOKUP(F2852, Inventory!A:BZ, 3, FALSE) - SUMIF($F$1:$F2851, F2852, $H$1:$H2851))
</f>
        <v/>
      </c>
      <c r="I2852" s="26"/>
      <c r="J2852" s="26" t="s">
        <v>77</v>
      </c>
      <c r="L2852" s="27" t="s">
        <v>77</v>
      </c>
      <c r="N2852" s="28" t="s">
        <v>77</v>
      </c>
      <c r="Q2852" s="30"/>
    </row>
    <row r="2853">
      <c r="B2853" s="6"/>
      <c r="C2853" s="33" t="str">
        <f t="array" ref="C2853">IF(B2853="", "", XLOOKUP(B2853, Inventory!D:D,Inventory!E:E,"No Name Found"))</f>
        <v/>
      </c>
      <c r="D2853" s="6"/>
      <c r="E2853" s="6"/>
      <c r="F2853" s="6"/>
      <c r="G2853" s="24" t="str">
        <f>IF(F2853="", "", VLOOKUP(F2853, Inventory!A:BZ, 3, FALSE) - SUMIF($F$1:$F2852, F2853, $H$1:$H2852))
</f>
        <v/>
      </c>
      <c r="I2853" s="26"/>
      <c r="J2853" s="26" t="s">
        <v>77</v>
      </c>
      <c r="L2853" s="27" t="s">
        <v>77</v>
      </c>
      <c r="N2853" s="28" t="s">
        <v>77</v>
      </c>
      <c r="Q2853" s="30"/>
    </row>
    <row r="2854">
      <c r="B2854" s="6"/>
      <c r="C2854" s="33" t="str">
        <f t="array" ref="C2854">IF(B2854="", "", XLOOKUP(B2854, Inventory!D:D,Inventory!E:E,"No Name Found"))</f>
        <v/>
      </c>
      <c r="D2854" s="6"/>
      <c r="E2854" s="6"/>
      <c r="F2854" s="6"/>
      <c r="G2854" s="24" t="str">
        <f>IF(F2854="", "", VLOOKUP(F2854, Inventory!A:BZ, 3, FALSE) - SUMIF($F$1:$F2853, F2854, $H$1:$H2853))
</f>
        <v/>
      </c>
      <c r="I2854" s="26"/>
      <c r="J2854" s="26" t="s">
        <v>77</v>
      </c>
      <c r="L2854" s="27" t="s">
        <v>77</v>
      </c>
      <c r="N2854" s="28" t="s">
        <v>77</v>
      </c>
      <c r="Q2854" s="30"/>
    </row>
    <row r="2855">
      <c r="B2855" s="6"/>
      <c r="C2855" s="33" t="str">
        <f t="array" ref="C2855">IF(B2855="", "", XLOOKUP(B2855, Inventory!D:D,Inventory!E:E,"No Name Found"))</f>
        <v/>
      </c>
      <c r="D2855" s="6"/>
      <c r="E2855" s="6"/>
      <c r="F2855" s="6"/>
      <c r="G2855" s="24" t="str">
        <f>IF(F2855="", "", VLOOKUP(F2855, Inventory!A:BZ, 3, FALSE) - SUMIF($F$1:$F2854, F2855, $H$1:$H2854))
</f>
        <v/>
      </c>
      <c r="I2855" s="26"/>
      <c r="J2855" s="26" t="s">
        <v>77</v>
      </c>
      <c r="L2855" s="27" t="s">
        <v>77</v>
      </c>
      <c r="N2855" s="28" t="s">
        <v>77</v>
      </c>
      <c r="Q2855" s="30"/>
    </row>
    <row r="2856">
      <c r="B2856" s="6"/>
      <c r="C2856" s="33" t="str">
        <f t="array" ref="C2856">IF(B2856="", "", XLOOKUP(B2856, Inventory!D:D,Inventory!E:E,"No Name Found"))</f>
        <v/>
      </c>
      <c r="D2856" s="6"/>
      <c r="E2856" s="6"/>
      <c r="F2856" s="6"/>
      <c r="G2856" s="24" t="str">
        <f>IF(F2856="", "", VLOOKUP(F2856, Inventory!A:BZ, 3, FALSE) - SUMIF($F$1:$F2855, F2856, $H$1:$H2855))
</f>
        <v/>
      </c>
      <c r="I2856" s="26"/>
      <c r="J2856" s="26" t="s">
        <v>77</v>
      </c>
      <c r="L2856" s="27" t="s">
        <v>77</v>
      </c>
      <c r="N2856" s="28" t="s">
        <v>77</v>
      </c>
      <c r="Q2856" s="30"/>
    </row>
    <row r="2857">
      <c r="B2857" s="6"/>
      <c r="C2857" s="33" t="str">
        <f t="array" ref="C2857">IF(B2857="", "", XLOOKUP(B2857, Inventory!D:D,Inventory!E:E,"No Name Found"))</f>
        <v/>
      </c>
      <c r="D2857" s="6"/>
      <c r="E2857" s="6"/>
      <c r="F2857" s="6"/>
      <c r="G2857" s="24" t="str">
        <f>IF(F2857="", "", VLOOKUP(F2857, Inventory!A:BZ, 3, FALSE) - SUMIF($F$1:$F2856, F2857, $H$1:$H2856))
</f>
        <v/>
      </c>
      <c r="I2857" s="26"/>
      <c r="J2857" s="26" t="s">
        <v>77</v>
      </c>
      <c r="L2857" s="27" t="s">
        <v>77</v>
      </c>
      <c r="N2857" s="28" t="s">
        <v>77</v>
      </c>
      <c r="Q2857" s="30"/>
    </row>
    <row r="2858">
      <c r="B2858" s="6"/>
      <c r="C2858" s="33" t="str">
        <f t="array" ref="C2858">IF(B2858="", "", XLOOKUP(B2858, Inventory!D:D,Inventory!E:E,"No Name Found"))</f>
        <v/>
      </c>
      <c r="D2858" s="6"/>
      <c r="E2858" s="6"/>
      <c r="F2858" s="6"/>
      <c r="G2858" s="24" t="str">
        <f>IF(F2858="", "", VLOOKUP(F2858, Inventory!A:BZ, 3, FALSE) - SUMIF($F$1:$F2857, F2858, $H$1:$H2857))
</f>
        <v/>
      </c>
      <c r="I2858" s="26"/>
      <c r="J2858" s="26" t="s">
        <v>77</v>
      </c>
      <c r="L2858" s="27" t="s">
        <v>77</v>
      </c>
      <c r="N2858" s="28" t="s">
        <v>77</v>
      </c>
      <c r="Q2858" s="30"/>
    </row>
    <row r="2859">
      <c r="B2859" s="6"/>
      <c r="C2859" s="33" t="str">
        <f t="array" ref="C2859">IF(B2859="", "", XLOOKUP(B2859, Inventory!D:D,Inventory!E:E,"No Name Found"))</f>
        <v/>
      </c>
      <c r="D2859" s="6"/>
      <c r="E2859" s="6"/>
      <c r="F2859" s="6"/>
      <c r="G2859" s="24" t="str">
        <f>IF(F2859="", "", VLOOKUP(F2859, Inventory!A:BZ, 3, FALSE) - SUMIF($F$1:$F2858, F2859, $H$1:$H2858))
</f>
        <v/>
      </c>
      <c r="I2859" s="26"/>
      <c r="J2859" s="26" t="s">
        <v>77</v>
      </c>
      <c r="L2859" s="27" t="s">
        <v>77</v>
      </c>
      <c r="N2859" s="28" t="s">
        <v>77</v>
      </c>
      <c r="Q2859" s="30"/>
    </row>
    <row r="2860">
      <c r="B2860" s="6"/>
      <c r="C2860" s="33" t="str">
        <f t="array" ref="C2860">IF(B2860="", "", XLOOKUP(B2860, Inventory!D:D,Inventory!E:E,"No Name Found"))</f>
        <v/>
      </c>
      <c r="D2860" s="6"/>
      <c r="E2860" s="6"/>
      <c r="F2860" s="6"/>
      <c r="G2860" s="24" t="str">
        <f>IF(F2860="", "", VLOOKUP(F2860, Inventory!A:BZ, 3, FALSE) - SUMIF($F$1:$F2859, F2860, $H$1:$H2859))
</f>
        <v/>
      </c>
      <c r="I2860" s="26"/>
      <c r="J2860" s="26" t="s">
        <v>77</v>
      </c>
      <c r="L2860" s="27" t="s">
        <v>77</v>
      </c>
      <c r="N2860" s="28" t="s">
        <v>77</v>
      </c>
      <c r="Q2860" s="30"/>
    </row>
    <row r="2861">
      <c r="B2861" s="6"/>
      <c r="C2861" s="33" t="str">
        <f t="array" ref="C2861">IF(B2861="", "", XLOOKUP(B2861, Inventory!D:D,Inventory!E:E,"No Name Found"))</f>
        <v/>
      </c>
      <c r="D2861" s="6"/>
      <c r="E2861" s="6"/>
      <c r="F2861" s="6"/>
      <c r="G2861" s="24" t="str">
        <f>IF(F2861="", "", VLOOKUP(F2861, Inventory!A:BZ, 3, FALSE) - SUMIF($F$1:$F2860, F2861, $H$1:$H2860))
</f>
        <v/>
      </c>
      <c r="I2861" s="26"/>
      <c r="J2861" s="26" t="s">
        <v>77</v>
      </c>
      <c r="L2861" s="27" t="s">
        <v>77</v>
      </c>
      <c r="N2861" s="28" t="s">
        <v>77</v>
      </c>
      <c r="Q2861" s="30"/>
    </row>
    <row r="2862">
      <c r="B2862" s="6"/>
      <c r="C2862" s="33" t="str">
        <f t="array" ref="C2862">IF(B2862="", "", XLOOKUP(B2862, Inventory!D:D,Inventory!E:E,"No Name Found"))</f>
        <v/>
      </c>
      <c r="D2862" s="6"/>
      <c r="E2862" s="6"/>
      <c r="F2862" s="6"/>
      <c r="G2862" s="24" t="str">
        <f>IF(F2862="", "", VLOOKUP(F2862, Inventory!A:BZ, 3, FALSE) - SUMIF($F$1:$F2861, F2862, $H$1:$H2861))
</f>
        <v/>
      </c>
      <c r="I2862" s="26"/>
      <c r="J2862" s="26" t="s">
        <v>77</v>
      </c>
      <c r="L2862" s="27" t="s">
        <v>77</v>
      </c>
      <c r="N2862" s="28" t="s">
        <v>77</v>
      </c>
      <c r="Q2862" s="30"/>
    </row>
    <row r="2863">
      <c r="B2863" s="6"/>
      <c r="C2863" s="33" t="str">
        <f t="array" ref="C2863">IF(B2863="", "", XLOOKUP(B2863, Inventory!D:D,Inventory!E:E,"No Name Found"))</f>
        <v/>
      </c>
      <c r="D2863" s="6"/>
      <c r="E2863" s="6"/>
      <c r="F2863" s="6"/>
      <c r="G2863" s="24" t="str">
        <f>IF(F2863="", "", VLOOKUP(F2863, Inventory!A:BZ, 3, FALSE) - SUMIF($F$1:$F2862, F2863, $H$1:$H2862))
</f>
        <v/>
      </c>
      <c r="I2863" s="26"/>
      <c r="J2863" s="26" t="s">
        <v>77</v>
      </c>
      <c r="L2863" s="27" t="s">
        <v>77</v>
      </c>
      <c r="N2863" s="28" t="s">
        <v>77</v>
      </c>
      <c r="Q2863" s="30"/>
    </row>
    <row r="2864">
      <c r="B2864" s="6"/>
      <c r="C2864" s="33" t="str">
        <f t="array" ref="C2864">IF(B2864="", "", XLOOKUP(B2864, Inventory!D:D,Inventory!E:E,"No Name Found"))</f>
        <v/>
      </c>
      <c r="D2864" s="6"/>
      <c r="E2864" s="6"/>
      <c r="F2864" s="6"/>
      <c r="G2864" s="24" t="str">
        <f>IF(F2864="", "", VLOOKUP(F2864, Inventory!A:BZ, 3, FALSE) - SUMIF($F$1:$F2863, F2864, $H$1:$H2863))
</f>
        <v/>
      </c>
      <c r="I2864" s="26"/>
      <c r="J2864" s="26" t="s">
        <v>77</v>
      </c>
      <c r="L2864" s="27" t="s">
        <v>77</v>
      </c>
      <c r="N2864" s="28" t="s">
        <v>77</v>
      </c>
      <c r="Q2864" s="30"/>
    </row>
    <row r="2865">
      <c r="B2865" s="6"/>
      <c r="C2865" s="33" t="str">
        <f t="array" ref="C2865">IF(B2865="", "", XLOOKUP(B2865, Inventory!D:D,Inventory!E:E,"No Name Found"))</f>
        <v/>
      </c>
      <c r="D2865" s="6"/>
      <c r="E2865" s="6"/>
      <c r="F2865" s="6"/>
      <c r="G2865" s="24" t="str">
        <f>IF(F2865="", "", VLOOKUP(F2865, Inventory!A:BZ, 3, FALSE) - SUMIF($F$1:$F2864, F2865, $H$1:$H2864))
</f>
        <v/>
      </c>
      <c r="I2865" s="26"/>
      <c r="J2865" s="26" t="s">
        <v>77</v>
      </c>
      <c r="L2865" s="27" t="s">
        <v>77</v>
      </c>
      <c r="N2865" s="28" t="s">
        <v>77</v>
      </c>
      <c r="Q2865" s="30"/>
    </row>
    <row r="2866">
      <c r="B2866" s="6"/>
      <c r="C2866" s="33" t="str">
        <f t="array" ref="C2866">IF(B2866="", "", XLOOKUP(B2866, Inventory!D:D,Inventory!E:E,"No Name Found"))</f>
        <v/>
      </c>
      <c r="D2866" s="6"/>
      <c r="E2866" s="6"/>
      <c r="F2866" s="6"/>
      <c r="G2866" s="24" t="str">
        <f>IF(F2866="", "", VLOOKUP(F2866, Inventory!A:BZ, 3, FALSE) - SUMIF($F$1:$F2865, F2866, $H$1:$H2865))
</f>
        <v/>
      </c>
      <c r="I2866" s="26"/>
      <c r="J2866" s="26" t="s">
        <v>77</v>
      </c>
      <c r="L2866" s="27" t="s">
        <v>77</v>
      </c>
      <c r="N2866" s="28" t="s">
        <v>77</v>
      </c>
      <c r="Q2866" s="30"/>
    </row>
    <row r="2867">
      <c r="B2867" s="6"/>
      <c r="C2867" s="33" t="str">
        <f t="array" ref="C2867">IF(B2867="", "", XLOOKUP(B2867, Inventory!D:D,Inventory!E:E,"No Name Found"))</f>
        <v/>
      </c>
      <c r="D2867" s="6"/>
      <c r="E2867" s="6"/>
      <c r="F2867" s="6"/>
      <c r="G2867" s="24" t="str">
        <f>IF(F2867="", "", VLOOKUP(F2867, Inventory!A:BZ, 3, FALSE) - SUMIF($F$1:$F2866, F2867, $H$1:$H2866))
</f>
        <v/>
      </c>
      <c r="I2867" s="26"/>
      <c r="J2867" s="26" t="s">
        <v>77</v>
      </c>
      <c r="L2867" s="27" t="s">
        <v>77</v>
      </c>
      <c r="N2867" s="28" t="s">
        <v>77</v>
      </c>
      <c r="Q2867" s="30"/>
    </row>
    <row r="2868">
      <c r="B2868" s="6"/>
      <c r="C2868" s="33" t="str">
        <f t="array" ref="C2868">IF(B2868="", "", XLOOKUP(B2868, Inventory!D:D,Inventory!E:E,"No Name Found"))</f>
        <v/>
      </c>
      <c r="D2868" s="6"/>
      <c r="E2868" s="6"/>
      <c r="F2868" s="6"/>
      <c r="G2868" s="24" t="str">
        <f>IF(F2868="", "", VLOOKUP(F2868, Inventory!A:BZ, 3, FALSE) - SUMIF($F$1:$F2867, F2868, $H$1:$H2867))
</f>
        <v/>
      </c>
      <c r="I2868" s="26"/>
      <c r="J2868" s="26" t="s">
        <v>77</v>
      </c>
      <c r="L2868" s="27" t="s">
        <v>77</v>
      </c>
      <c r="N2868" s="28" t="s">
        <v>77</v>
      </c>
      <c r="Q2868" s="30"/>
    </row>
    <row r="2869">
      <c r="B2869" s="6"/>
      <c r="C2869" s="33" t="str">
        <f t="array" ref="C2869">IF(B2869="", "", XLOOKUP(B2869, Inventory!D:D,Inventory!E:E,"No Name Found"))</f>
        <v/>
      </c>
      <c r="D2869" s="6"/>
      <c r="E2869" s="6"/>
      <c r="F2869" s="6"/>
      <c r="G2869" s="24" t="str">
        <f>IF(F2869="", "", VLOOKUP(F2869, Inventory!A:BZ, 3, FALSE) - SUMIF($F$1:$F2868, F2869, $H$1:$H2868))
</f>
        <v/>
      </c>
      <c r="I2869" s="26"/>
      <c r="J2869" s="26" t="s">
        <v>77</v>
      </c>
      <c r="L2869" s="27" t="s">
        <v>77</v>
      </c>
      <c r="N2869" s="28" t="s">
        <v>77</v>
      </c>
      <c r="Q2869" s="30"/>
    </row>
    <row r="2870">
      <c r="B2870" s="6"/>
      <c r="C2870" s="33" t="str">
        <f t="array" ref="C2870">IF(B2870="", "", XLOOKUP(B2870, Inventory!D:D,Inventory!E:E,"No Name Found"))</f>
        <v/>
      </c>
      <c r="D2870" s="6"/>
      <c r="E2870" s="6"/>
      <c r="F2870" s="6"/>
      <c r="G2870" s="24" t="str">
        <f>IF(F2870="", "", VLOOKUP(F2870, Inventory!A:BZ, 3, FALSE) - SUMIF($F$1:$F2869, F2870, $H$1:$H2869))
</f>
        <v/>
      </c>
      <c r="I2870" s="26"/>
      <c r="J2870" s="26" t="s">
        <v>77</v>
      </c>
      <c r="L2870" s="27" t="s">
        <v>77</v>
      </c>
      <c r="N2870" s="28" t="s">
        <v>77</v>
      </c>
      <c r="Q2870" s="30"/>
    </row>
    <row r="2871">
      <c r="B2871" s="6"/>
      <c r="C2871" s="33" t="str">
        <f t="array" ref="C2871">IF(B2871="", "", XLOOKUP(B2871, Inventory!D:D,Inventory!E:E,"No Name Found"))</f>
        <v/>
      </c>
      <c r="D2871" s="6"/>
      <c r="E2871" s="6"/>
      <c r="F2871" s="6"/>
      <c r="G2871" s="24" t="str">
        <f>IF(F2871="", "", VLOOKUP(F2871, Inventory!A:BZ, 3, FALSE) - SUMIF($F$1:$F2870, F2871, $H$1:$H2870))
</f>
        <v/>
      </c>
      <c r="I2871" s="26"/>
      <c r="J2871" s="26" t="s">
        <v>77</v>
      </c>
      <c r="L2871" s="27" t="s">
        <v>77</v>
      </c>
      <c r="N2871" s="28" t="s">
        <v>77</v>
      </c>
      <c r="Q2871" s="30"/>
    </row>
    <row r="2872">
      <c r="B2872" s="6"/>
      <c r="C2872" s="33" t="str">
        <f t="array" ref="C2872">IF(B2872="", "", XLOOKUP(B2872, Inventory!D:D,Inventory!E:E,"No Name Found"))</f>
        <v/>
      </c>
      <c r="D2872" s="6"/>
      <c r="E2872" s="6"/>
      <c r="F2872" s="6"/>
      <c r="G2872" s="24" t="str">
        <f>IF(F2872="", "", VLOOKUP(F2872, Inventory!A:BZ, 3, FALSE) - SUMIF($F$1:$F2871, F2872, $H$1:$H2871))
</f>
        <v/>
      </c>
      <c r="I2872" s="26"/>
      <c r="J2872" s="26" t="s">
        <v>77</v>
      </c>
      <c r="L2872" s="27" t="s">
        <v>77</v>
      </c>
      <c r="N2872" s="28" t="s">
        <v>77</v>
      </c>
      <c r="Q2872" s="30"/>
    </row>
    <row r="2873">
      <c r="B2873" s="6"/>
      <c r="C2873" s="33" t="str">
        <f t="array" ref="C2873">IF(B2873="", "", XLOOKUP(B2873, Inventory!D:D,Inventory!E:E,"No Name Found"))</f>
        <v/>
      </c>
      <c r="D2873" s="6"/>
      <c r="E2873" s="6"/>
      <c r="F2873" s="6"/>
      <c r="G2873" s="24" t="str">
        <f>IF(F2873="", "", VLOOKUP(F2873, Inventory!A:BZ, 3, FALSE) - SUMIF($F$1:$F2872, F2873, $H$1:$H2872))
</f>
        <v/>
      </c>
      <c r="I2873" s="26"/>
      <c r="J2873" s="26" t="s">
        <v>77</v>
      </c>
      <c r="L2873" s="27" t="s">
        <v>77</v>
      </c>
      <c r="N2873" s="28" t="s">
        <v>77</v>
      </c>
      <c r="Q2873" s="30"/>
    </row>
    <row r="2874">
      <c r="B2874" s="6"/>
      <c r="C2874" s="33" t="str">
        <f t="array" ref="C2874">IF(B2874="", "", XLOOKUP(B2874, Inventory!D:D,Inventory!E:E,"No Name Found"))</f>
        <v/>
      </c>
      <c r="D2874" s="6"/>
      <c r="E2874" s="6"/>
      <c r="F2874" s="6"/>
      <c r="G2874" s="24" t="str">
        <f>IF(F2874="", "", VLOOKUP(F2874, Inventory!A:BZ, 3, FALSE) - SUMIF($F$1:$F2873, F2874, $H$1:$H2873))
</f>
        <v/>
      </c>
      <c r="I2874" s="26"/>
      <c r="J2874" s="26" t="s">
        <v>77</v>
      </c>
      <c r="L2874" s="27" t="s">
        <v>77</v>
      </c>
      <c r="N2874" s="28" t="s">
        <v>77</v>
      </c>
      <c r="Q2874" s="30"/>
    </row>
    <row r="2875">
      <c r="B2875" s="6"/>
      <c r="C2875" s="33" t="str">
        <f t="array" ref="C2875">IF(B2875="", "", XLOOKUP(B2875, Inventory!D:D,Inventory!E:E,"No Name Found"))</f>
        <v/>
      </c>
      <c r="D2875" s="6"/>
      <c r="E2875" s="6"/>
      <c r="F2875" s="6"/>
      <c r="G2875" s="24" t="str">
        <f>IF(F2875="", "", VLOOKUP(F2875, Inventory!A:BZ, 3, FALSE) - SUMIF($F$1:$F2874, F2875, $H$1:$H2874))
</f>
        <v/>
      </c>
      <c r="I2875" s="26"/>
      <c r="J2875" s="26" t="s">
        <v>77</v>
      </c>
      <c r="L2875" s="27" t="s">
        <v>77</v>
      </c>
      <c r="N2875" s="28" t="s">
        <v>77</v>
      </c>
      <c r="Q2875" s="30"/>
    </row>
    <row r="2876">
      <c r="B2876" s="6"/>
      <c r="C2876" s="33" t="str">
        <f t="array" ref="C2876">IF(B2876="", "", XLOOKUP(B2876, Inventory!D:D,Inventory!E:E,"No Name Found"))</f>
        <v/>
      </c>
      <c r="D2876" s="6"/>
      <c r="E2876" s="6"/>
      <c r="F2876" s="6"/>
      <c r="G2876" s="24" t="str">
        <f>IF(F2876="", "", VLOOKUP(F2876, Inventory!A:BZ, 3, FALSE) - SUMIF($F$1:$F2875, F2876, $H$1:$H2875))
</f>
        <v/>
      </c>
      <c r="I2876" s="26"/>
      <c r="J2876" s="26" t="s">
        <v>77</v>
      </c>
      <c r="L2876" s="27" t="s">
        <v>77</v>
      </c>
      <c r="N2876" s="28" t="s">
        <v>77</v>
      </c>
      <c r="Q2876" s="30"/>
    </row>
    <row r="2877">
      <c r="B2877" s="6"/>
      <c r="C2877" s="33" t="str">
        <f t="array" ref="C2877">IF(B2877="", "", XLOOKUP(B2877, Inventory!D:D,Inventory!E:E,"No Name Found"))</f>
        <v/>
      </c>
      <c r="D2877" s="6"/>
      <c r="E2877" s="6"/>
      <c r="F2877" s="6"/>
      <c r="G2877" s="24" t="str">
        <f>IF(F2877="", "", VLOOKUP(F2877, Inventory!A:BZ, 3, FALSE) - SUMIF($F$1:$F2876, F2877, $H$1:$H2876))
</f>
        <v/>
      </c>
      <c r="I2877" s="26"/>
      <c r="J2877" s="26" t="s">
        <v>77</v>
      </c>
      <c r="L2877" s="27" t="s">
        <v>77</v>
      </c>
      <c r="N2877" s="28" t="s">
        <v>77</v>
      </c>
      <c r="Q2877" s="30"/>
    </row>
    <row r="2878">
      <c r="B2878" s="6"/>
      <c r="C2878" s="33" t="str">
        <f t="array" ref="C2878">IF(B2878="", "", XLOOKUP(B2878, Inventory!D:D,Inventory!E:E,"No Name Found"))</f>
        <v/>
      </c>
      <c r="D2878" s="6"/>
      <c r="E2878" s="6"/>
      <c r="F2878" s="6"/>
      <c r="G2878" s="24" t="str">
        <f>IF(F2878="", "", VLOOKUP(F2878, Inventory!A:BZ, 3, FALSE) - SUMIF($F$1:$F2877, F2878, $H$1:$H2877))
</f>
        <v/>
      </c>
      <c r="I2878" s="26"/>
      <c r="J2878" s="26" t="s">
        <v>77</v>
      </c>
      <c r="L2878" s="27" t="s">
        <v>77</v>
      </c>
      <c r="N2878" s="28" t="s">
        <v>77</v>
      </c>
      <c r="Q2878" s="30"/>
    </row>
    <row r="2879">
      <c r="B2879" s="6"/>
      <c r="C2879" s="33" t="str">
        <f t="array" ref="C2879">IF(B2879="", "", XLOOKUP(B2879, Inventory!D:D,Inventory!E:E,"No Name Found"))</f>
        <v/>
      </c>
      <c r="D2879" s="6"/>
      <c r="E2879" s="6"/>
      <c r="F2879" s="6"/>
      <c r="G2879" s="24" t="str">
        <f>IF(F2879="", "", VLOOKUP(F2879, Inventory!A:BZ, 3, FALSE) - SUMIF($F$1:$F2878, F2879, $H$1:$H2878))
</f>
        <v/>
      </c>
      <c r="I2879" s="26"/>
      <c r="J2879" s="26" t="s">
        <v>77</v>
      </c>
      <c r="L2879" s="27" t="s">
        <v>77</v>
      </c>
      <c r="N2879" s="28" t="s">
        <v>77</v>
      </c>
      <c r="Q2879" s="30"/>
    </row>
    <row r="2880">
      <c r="B2880" s="6"/>
      <c r="C2880" s="33" t="str">
        <f t="array" ref="C2880">IF(B2880="", "", XLOOKUP(B2880, Inventory!D:D,Inventory!E:E,"No Name Found"))</f>
        <v/>
      </c>
      <c r="D2880" s="6"/>
      <c r="E2880" s="6"/>
      <c r="F2880" s="6"/>
      <c r="G2880" s="24" t="str">
        <f>IF(F2880="", "", VLOOKUP(F2880, Inventory!A:BZ, 3, FALSE) - SUMIF($F$1:$F2879, F2880, $H$1:$H2879))
</f>
        <v/>
      </c>
      <c r="I2880" s="26"/>
      <c r="J2880" s="26" t="s">
        <v>77</v>
      </c>
      <c r="L2880" s="27" t="s">
        <v>77</v>
      </c>
      <c r="N2880" s="28" t="s">
        <v>77</v>
      </c>
      <c r="Q2880" s="30"/>
    </row>
    <row r="2881">
      <c r="B2881" s="6"/>
      <c r="C2881" s="33" t="str">
        <f t="array" ref="C2881">IF(B2881="", "", XLOOKUP(B2881, Inventory!D:D,Inventory!E:E,"No Name Found"))</f>
        <v/>
      </c>
      <c r="D2881" s="6"/>
      <c r="E2881" s="6"/>
      <c r="F2881" s="6"/>
      <c r="G2881" s="24" t="str">
        <f>IF(F2881="", "", VLOOKUP(F2881, Inventory!A:BZ, 3, FALSE) - SUMIF($F$1:$F2880, F2881, $H$1:$H2880))
</f>
        <v/>
      </c>
      <c r="I2881" s="26"/>
      <c r="J2881" s="26" t="s">
        <v>77</v>
      </c>
      <c r="L2881" s="27" t="s">
        <v>77</v>
      </c>
      <c r="N2881" s="28" t="s">
        <v>77</v>
      </c>
      <c r="Q2881" s="30"/>
    </row>
    <row r="2882">
      <c r="B2882" s="6"/>
      <c r="C2882" s="33" t="str">
        <f t="array" ref="C2882">IF(B2882="", "", XLOOKUP(B2882, Inventory!D:D,Inventory!E:E,"No Name Found"))</f>
        <v/>
      </c>
      <c r="D2882" s="6"/>
      <c r="E2882" s="6"/>
      <c r="F2882" s="6"/>
      <c r="G2882" s="24" t="str">
        <f>IF(F2882="", "", VLOOKUP(F2882, Inventory!A:BZ, 3, FALSE) - SUMIF($F$1:$F2881, F2882, $H$1:$H2881))
</f>
        <v/>
      </c>
      <c r="I2882" s="26"/>
      <c r="J2882" s="26" t="s">
        <v>77</v>
      </c>
      <c r="L2882" s="27" t="s">
        <v>77</v>
      </c>
      <c r="N2882" s="28" t="s">
        <v>77</v>
      </c>
      <c r="Q2882" s="30"/>
    </row>
    <row r="2883">
      <c r="B2883" s="6"/>
      <c r="C2883" s="33" t="str">
        <f t="array" ref="C2883">IF(B2883="", "", XLOOKUP(B2883, Inventory!D:D,Inventory!E:E,"No Name Found"))</f>
        <v/>
      </c>
      <c r="D2883" s="6"/>
      <c r="E2883" s="6"/>
      <c r="F2883" s="6"/>
      <c r="G2883" s="24" t="str">
        <f>IF(F2883="", "", VLOOKUP(F2883, Inventory!A:BZ, 3, FALSE) - SUMIF($F$1:$F2882, F2883, $H$1:$H2882))
</f>
        <v/>
      </c>
      <c r="I2883" s="26"/>
      <c r="J2883" s="26" t="s">
        <v>77</v>
      </c>
      <c r="L2883" s="27" t="s">
        <v>77</v>
      </c>
      <c r="N2883" s="28" t="s">
        <v>77</v>
      </c>
      <c r="Q2883" s="30"/>
    </row>
    <row r="2884">
      <c r="B2884" s="6"/>
      <c r="C2884" s="33" t="str">
        <f t="array" ref="C2884">IF(B2884="", "", XLOOKUP(B2884, Inventory!D:D,Inventory!E:E,"No Name Found"))</f>
        <v/>
      </c>
      <c r="D2884" s="6"/>
      <c r="E2884" s="6"/>
      <c r="F2884" s="6"/>
      <c r="G2884" s="24" t="str">
        <f>IF(F2884="", "", VLOOKUP(F2884, Inventory!A:BZ, 3, FALSE) - SUMIF($F$1:$F2883, F2884, $H$1:$H2883))
</f>
        <v/>
      </c>
      <c r="I2884" s="26"/>
      <c r="J2884" s="26" t="s">
        <v>77</v>
      </c>
      <c r="L2884" s="27" t="s">
        <v>77</v>
      </c>
      <c r="N2884" s="28" t="s">
        <v>77</v>
      </c>
      <c r="Q2884" s="30"/>
    </row>
    <row r="2885">
      <c r="B2885" s="6"/>
      <c r="C2885" s="33" t="str">
        <f t="array" ref="C2885">IF(B2885="", "", XLOOKUP(B2885, Inventory!D:D,Inventory!E:E,"No Name Found"))</f>
        <v/>
      </c>
      <c r="D2885" s="6"/>
      <c r="E2885" s="6"/>
      <c r="F2885" s="6"/>
      <c r="G2885" s="24" t="str">
        <f>IF(F2885="", "", VLOOKUP(F2885, Inventory!A:BZ, 3, FALSE) - SUMIF($F$1:$F2884, F2885, $H$1:$H2884))
</f>
        <v/>
      </c>
      <c r="I2885" s="26"/>
      <c r="J2885" s="26" t="s">
        <v>77</v>
      </c>
      <c r="L2885" s="27" t="s">
        <v>77</v>
      </c>
      <c r="N2885" s="28" t="s">
        <v>77</v>
      </c>
      <c r="Q2885" s="30"/>
    </row>
    <row r="2886">
      <c r="B2886" s="6"/>
      <c r="C2886" s="33" t="str">
        <f t="array" ref="C2886">IF(B2886="", "", XLOOKUP(B2886, Inventory!D:D,Inventory!E:E,"No Name Found"))</f>
        <v/>
      </c>
      <c r="D2886" s="6"/>
      <c r="E2886" s="6"/>
      <c r="F2886" s="6"/>
      <c r="G2886" s="24" t="str">
        <f>IF(F2886="", "", VLOOKUP(F2886, Inventory!A:BZ, 3, FALSE) - SUMIF($F$1:$F2885, F2886, $H$1:$H2885))
</f>
        <v/>
      </c>
      <c r="I2886" s="26"/>
      <c r="J2886" s="26" t="s">
        <v>77</v>
      </c>
      <c r="L2886" s="27" t="s">
        <v>77</v>
      </c>
      <c r="N2886" s="28" t="s">
        <v>77</v>
      </c>
      <c r="Q2886" s="30"/>
    </row>
    <row r="2887">
      <c r="B2887" s="6"/>
      <c r="C2887" s="33" t="str">
        <f t="array" ref="C2887">IF(B2887="", "", XLOOKUP(B2887, Inventory!D:D,Inventory!E:E,"No Name Found"))</f>
        <v/>
      </c>
      <c r="D2887" s="6"/>
      <c r="E2887" s="6"/>
      <c r="F2887" s="6"/>
      <c r="G2887" s="24" t="str">
        <f>IF(F2887="", "", VLOOKUP(F2887, Inventory!A:BZ, 3, FALSE) - SUMIF($F$1:$F2886, F2887, $H$1:$H2886))
</f>
        <v/>
      </c>
      <c r="I2887" s="26"/>
      <c r="J2887" s="26" t="s">
        <v>77</v>
      </c>
      <c r="L2887" s="27" t="s">
        <v>77</v>
      </c>
      <c r="N2887" s="28" t="s">
        <v>77</v>
      </c>
      <c r="Q2887" s="30"/>
    </row>
    <row r="2888">
      <c r="B2888" s="6"/>
      <c r="C2888" s="33" t="str">
        <f t="array" ref="C2888">IF(B2888="", "", XLOOKUP(B2888, Inventory!D:D,Inventory!E:E,"No Name Found"))</f>
        <v/>
      </c>
      <c r="D2888" s="6"/>
      <c r="E2888" s="6"/>
      <c r="F2888" s="6"/>
      <c r="G2888" s="24" t="str">
        <f>IF(F2888="", "", VLOOKUP(F2888, Inventory!A:BZ, 3, FALSE) - SUMIF($F$1:$F2887, F2888, $H$1:$H2887))
</f>
        <v/>
      </c>
      <c r="I2888" s="26"/>
      <c r="J2888" s="26" t="s">
        <v>77</v>
      </c>
      <c r="L2888" s="27" t="s">
        <v>77</v>
      </c>
      <c r="N2888" s="28" t="s">
        <v>77</v>
      </c>
      <c r="Q2888" s="30"/>
    </row>
    <row r="2889">
      <c r="B2889" s="6"/>
      <c r="C2889" s="33" t="str">
        <f t="array" ref="C2889">IF(B2889="", "", XLOOKUP(B2889, Inventory!D:D,Inventory!E:E,"No Name Found"))</f>
        <v/>
      </c>
      <c r="D2889" s="6"/>
      <c r="E2889" s="6"/>
      <c r="F2889" s="6"/>
      <c r="G2889" s="24" t="str">
        <f>IF(F2889="", "", VLOOKUP(F2889, Inventory!A:BZ, 3, FALSE) - SUMIF($F$1:$F2888, F2889, $H$1:$H2888))
</f>
        <v/>
      </c>
      <c r="I2889" s="26"/>
      <c r="J2889" s="26" t="s">
        <v>77</v>
      </c>
      <c r="L2889" s="27" t="s">
        <v>77</v>
      </c>
      <c r="N2889" s="28" t="s">
        <v>77</v>
      </c>
      <c r="Q2889" s="30"/>
    </row>
    <row r="2890">
      <c r="B2890" s="6"/>
      <c r="C2890" s="33" t="str">
        <f t="array" ref="C2890">IF(B2890="", "", XLOOKUP(B2890, Inventory!D:D,Inventory!E:E,"No Name Found"))</f>
        <v/>
      </c>
      <c r="D2890" s="6"/>
      <c r="E2890" s="6"/>
      <c r="F2890" s="6"/>
      <c r="G2890" s="24" t="str">
        <f>IF(F2890="", "", VLOOKUP(F2890, Inventory!A:BZ, 3, FALSE) - SUMIF($F$1:$F2889, F2890, $H$1:$H2889))
</f>
        <v/>
      </c>
      <c r="I2890" s="26"/>
      <c r="J2890" s="26" t="s">
        <v>77</v>
      </c>
      <c r="L2890" s="27" t="s">
        <v>77</v>
      </c>
      <c r="N2890" s="28" t="s">
        <v>77</v>
      </c>
      <c r="Q2890" s="30"/>
    </row>
    <row r="2891">
      <c r="B2891" s="6"/>
      <c r="C2891" s="33" t="str">
        <f t="array" ref="C2891">IF(B2891="", "", XLOOKUP(B2891, Inventory!D:D,Inventory!E:E,"No Name Found"))</f>
        <v/>
      </c>
      <c r="D2891" s="6"/>
      <c r="E2891" s="6"/>
      <c r="F2891" s="6"/>
      <c r="G2891" s="24" t="str">
        <f>IF(F2891="", "", VLOOKUP(F2891, Inventory!A:BZ, 3, FALSE) - SUMIF($F$1:$F2890, F2891, $H$1:$H2890))
</f>
        <v/>
      </c>
      <c r="I2891" s="26"/>
      <c r="J2891" s="26" t="s">
        <v>77</v>
      </c>
      <c r="L2891" s="27" t="s">
        <v>77</v>
      </c>
      <c r="N2891" s="28" t="s">
        <v>77</v>
      </c>
      <c r="Q2891" s="30"/>
    </row>
    <row r="2892">
      <c r="B2892" s="6"/>
      <c r="C2892" s="33" t="str">
        <f t="array" ref="C2892">IF(B2892="", "", XLOOKUP(B2892, Inventory!D:D,Inventory!E:E,"No Name Found"))</f>
        <v/>
      </c>
      <c r="D2892" s="6"/>
      <c r="E2892" s="6"/>
      <c r="F2892" s="6"/>
      <c r="G2892" s="24" t="str">
        <f>IF(F2892="", "", VLOOKUP(F2892, Inventory!A:BZ, 3, FALSE) - SUMIF($F$1:$F2891, F2892, $H$1:$H2891))
</f>
        <v/>
      </c>
      <c r="I2892" s="26"/>
      <c r="J2892" s="26" t="s">
        <v>77</v>
      </c>
      <c r="L2892" s="27" t="s">
        <v>77</v>
      </c>
      <c r="N2892" s="28" t="s">
        <v>77</v>
      </c>
      <c r="Q2892" s="30"/>
    </row>
    <row r="2893">
      <c r="B2893" s="6"/>
      <c r="C2893" s="33" t="str">
        <f t="array" ref="C2893">IF(B2893="", "", XLOOKUP(B2893, Inventory!D:D,Inventory!E:E,"No Name Found"))</f>
        <v/>
      </c>
      <c r="D2893" s="6"/>
      <c r="E2893" s="6"/>
      <c r="F2893" s="6"/>
      <c r="G2893" s="24" t="str">
        <f>IF(F2893="", "", VLOOKUP(F2893, Inventory!A:BZ, 3, FALSE) - SUMIF($F$1:$F2892, F2893, $H$1:$H2892))
</f>
        <v/>
      </c>
      <c r="I2893" s="26"/>
      <c r="J2893" s="26" t="s">
        <v>77</v>
      </c>
      <c r="L2893" s="27" t="s">
        <v>77</v>
      </c>
      <c r="N2893" s="28" t="s">
        <v>77</v>
      </c>
      <c r="Q2893" s="30"/>
    </row>
    <row r="2894">
      <c r="B2894" s="6"/>
      <c r="C2894" s="33" t="str">
        <f t="array" ref="C2894">IF(B2894="", "", XLOOKUP(B2894, Inventory!D:D,Inventory!E:E,"No Name Found"))</f>
        <v/>
      </c>
      <c r="D2894" s="6"/>
      <c r="E2894" s="6"/>
      <c r="F2894" s="6"/>
      <c r="G2894" s="24" t="str">
        <f>IF(F2894="", "", VLOOKUP(F2894, Inventory!A:BZ, 3, FALSE) - SUMIF($F$1:$F2893, F2894, $H$1:$H2893))
</f>
        <v/>
      </c>
      <c r="I2894" s="26"/>
      <c r="J2894" s="26" t="s">
        <v>77</v>
      </c>
      <c r="L2894" s="27" t="s">
        <v>77</v>
      </c>
      <c r="N2894" s="28" t="s">
        <v>77</v>
      </c>
      <c r="Q2894" s="30"/>
    </row>
    <row r="2895">
      <c r="B2895" s="6"/>
      <c r="C2895" s="33" t="str">
        <f t="array" ref="C2895">IF(B2895="", "", XLOOKUP(B2895, Inventory!D:D,Inventory!E:E,"No Name Found"))</f>
        <v/>
      </c>
      <c r="D2895" s="6"/>
      <c r="E2895" s="6"/>
      <c r="F2895" s="6"/>
      <c r="G2895" s="24" t="str">
        <f>IF(F2895="", "", VLOOKUP(F2895, Inventory!A:BZ, 3, FALSE) - SUMIF($F$1:$F2894, F2895, $H$1:$H2894))
</f>
        <v/>
      </c>
      <c r="I2895" s="26"/>
      <c r="J2895" s="26" t="s">
        <v>77</v>
      </c>
      <c r="L2895" s="27" t="s">
        <v>77</v>
      </c>
      <c r="N2895" s="28" t="s">
        <v>77</v>
      </c>
      <c r="Q2895" s="30"/>
    </row>
    <row r="2896">
      <c r="B2896" s="6"/>
      <c r="C2896" s="33" t="str">
        <f t="array" ref="C2896">IF(B2896="", "", XLOOKUP(B2896, Inventory!D:D,Inventory!E:E,"No Name Found"))</f>
        <v/>
      </c>
      <c r="D2896" s="6"/>
      <c r="E2896" s="6"/>
      <c r="F2896" s="6"/>
      <c r="G2896" s="24" t="str">
        <f>IF(F2896="", "", VLOOKUP(F2896, Inventory!A:BZ, 3, FALSE) - SUMIF($F$1:$F2895, F2896, $H$1:$H2895))
</f>
        <v/>
      </c>
      <c r="I2896" s="26"/>
      <c r="J2896" s="26" t="s">
        <v>77</v>
      </c>
      <c r="L2896" s="27" t="s">
        <v>77</v>
      </c>
      <c r="N2896" s="28" t="s">
        <v>77</v>
      </c>
      <c r="Q2896" s="30"/>
    </row>
    <row r="2897">
      <c r="B2897" s="6"/>
      <c r="C2897" s="33" t="str">
        <f t="array" ref="C2897">IF(B2897="", "", XLOOKUP(B2897, Inventory!D:D,Inventory!E:E,"No Name Found"))</f>
        <v/>
      </c>
      <c r="D2897" s="6"/>
      <c r="E2897" s="6"/>
      <c r="F2897" s="6"/>
      <c r="G2897" s="24" t="str">
        <f>IF(F2897="", "", VLOOKUP(F2897, Inventory!A:BZ, 3, FALSE) - SUMIF($F$1:$F2896, F2897, $H$1:$H2896))
</f>
        <v/>
      </c>
      <c r="I2897" s="26"/>
      <c r="J2897" s="26" t="s">
        <v>77</v>
      </c>
      <c r="L2897" s="27" t="s">
        <v>77</v>
      </c>
      <c r="N2897" s="28" t="s">
        <v>77</v>
      </c>
      <c r="Q2897" s="30"/>
    </row>
    <row r="2898">
      <c r="B2898" s="6"/>
      <c r="C2898" s="33" t="str">
        <f t="array" ref="C2898">IF(B2898="", "", XLOOKUP(B2898, Inventory!D:D,Inventory!E:E,"No Name Found"))</f>
        <v/>
      </c>
      <c r="D2898" s="6"/>
      <c r="E2898" s="6"/>
      <c r="F2898" s="6"/>
      <c r="G2898" s="24" t="str">
        <f>IF(F2898="", "", VLOOKUP(F2898, Inventory!A:BZ, 3, FALSE) - SUMIF($F$1:$F2897, F2898, $H$1:$H2897))
</f>
        <v/>
      </c>
      <c r="I2898" s="26"/>
      <c r="J2898" s="26" t="s">
        <v>77</v>
      </c>
      <c r="L2898" s="27" t="s">
        <v>77</v>
      </c>
      <c r="N2898" s="28" t="s">
        <v>77</v>
      </c>
      <c r="Q2898" s="30"/>
    </row>
    <row r="2899">
      <c r="B2899" s="6"/>
      <c r="C2899" s="33" t="str">
        <f t="array" ref="C2899">IF(B2899="", "", XLOOKUP(B2899, Inventory!D:D,Inventory!E:E,"No Name Found"))</f>
        <v/>
      </c>
      <c r="D2899" s="6"/>
      <c r="E2899" s="6"/>
      <c r="F2899" s="6"/>
      <c r="G2899" s="24" t="str">
        <f>IF(F2899="", "", VLOOKUP(F2899, Inventory!A:BZ, 3, FALSE) - SUMIF($F$1:$F2898, F2899, $H$1:$H2898))
</f>
        <v/>
      </c>
      <c r="I2899" s="26"/>
      <c r="J2899" s="26" t="s">
        <v>77</v>
      </c>
      <c r="L2899" s="27" t="s">
        <v>77</v>
      </c>
      <c r="N2899" s="28" t="s">
        <v>77</v>
      </c>
      <c r="Q2899" s="30"/>
    </row>
    <row r="2900">
      <c r="B2900" s="6"/>
      <c r="C2900" s="33" t="str">
        <f t="array" ref="C2900">IF(B2900="", "", XLOOKUP(B2900, Inventory!D:D,Inventory!E:E,"No Name Found"))</f>
        <v/>
      </c>
      <c r="D2900" s="6"/>
      <c r="E2900" s="6"/>
      <c r="F2900" s="6"/>
      <c r="G2900" s="24" t="str">
        <f>IF(F2900="", "", VLOOKUP(F2900, Inventory!A:BZ, 3, FALSE) - SUMIF($F$1:$F2899, F2900, $H$1:$H2899))
</f>
        <v/>
      </c>
      <c r="I2900" s="26"/>
      <c r="J2900" s="26" t="s">
        <v>77</v>
      </c>
      <c r="L2900" s="27" t="s">
        <v>77</v>
      </c>
      <c r="N2900" s="28" t="s">
        <v>77</v>
      </c>
      <c r="Q2900" s="30"/>
    </row>
    <row r="2901">
      <c r="B2901" s="6"/>
      <c r="C2901" s="33" t="str">
        <f t="array" ref="C2901">IF(B2901="", "", XLOOKUP(B2901, Inventory!D:D,Inventory!E:E,"No Name Found"))</f>
        <v/>
      </c>
      <c r="D2901" s="6"/>
      <c r="E2901" s="6"/>
      <c r="F2901" s="6"/>
      <c r="G2901" s="24" t="str">
        <f>IF(F2901="", "", VLOOKUP(F2901, Inventory!A:BZ, 3, FALSE) - SUMIF($F$1:$F2900, F2901, $H$1:$H2900))
</f>
        <v/>
      </c>
      <c r="I2901" s="26"/>
      <c r="J2901" s="26" t="s">
        <v>77</v>
      </c>
      <c r="L2901" s="27" t="s">
        <v>77</v>
      </c>
      <c r="N2901" s="28" t="s">
        <v>77</v>
      </c>
      <c r="Q2901" s="30"/>
    </row>
    <row r="2902">
      <c r="B2902" s="6"/>
      <c r="C2902" s="33" t="str">
        <f t="array" ref="C2902">IF(B2902="", "", XLOOKUP(B2902, Inventory!D:D,Inventory!E:E,"No Name Found"))</f>
        <v/>
      </c>
      <c r="D2902" s="6"/>
      <c r="E2902" s="6"/>
      <c r="F2902" s="6"/>
      <c r="G2902" s="24" t="str">
        <f>IF(F2902="", "", VLOOKUP(F2902, Inventory!A:BZ, 3, FALSE) - SUMIF($F$1:$F2901, F2902, $H$1:$H2901))
</f>
        <v/>
      </c>
      <c r="I2902" s="26"/>
      <c r="J2902" s="26" t="s">
        <v>77</v>
      </c>
      <c r="L2902" s="27" t="s">
        <v>77</v>
      </c>
      <c r="N2902" s="28" t="s">
        <v>77</v>
      </c>
      <c r="Q2902" s="30"/>
    </row>
    <row r="2903">
      <c r="B2903" s="6"/>
      <c r="C2903" s="33" t="str">
        <f t="array" ref="C2903">IF(B2903="", "", XLOOKUP(B2903, Inventory!D:D,Inventory!E:E,"No Name Found"))</f>
        <v/>
      </c>
      <c r="D2903" s="6"/>
      <c r="E2903" s="6"/>
      <c r="F2903" s="6"/>
      <c r="G2903" s="24" t="str">
        <f>IF(F2903="", "", VLOOKUP(F2903, Inventory!A:BZ, 3, FALSE) - SUMIF($F$1:$F2902, F2903, $H$1:$H2902))
</f>
        <v/>
      </c>
      <c r="I2903" s="26"/>
      <c r="J2903" s="26" t="s">
        <v>77</v>
      </c>
      <c r="L2903" s="27" t="s">
        <v>77</v>
      </c>
      <c r="N2903" s="28" t="s">
        <v>77</v>
      </c>
      <c r="Q2903" s="30"/>
    </row>
    <row r="2904">
      <c r="B2904" s="6"/>
      <c r="C2904" s="33" t="str">
        <f t="array" ref="C2904">IF(B2904="", "", XLOOKUP(B2904, Inventory!D:D,Inventory!E:E,"No Name Found"))</f>
        <v/>
      </c>
      <c r="D2904" s="6"/>
      <c r="E2904" s="6"/>
      <c r="F2904" s="6"/>
      <c r="G2904" s="24" t="str">
        <f>IF(F2904="", "", VLOOKUP(F2904, Inventory!A:BZ, 3, FALSE) - SUMIF($F$1:$F2903, F2904, $H$1:$H2903))
</f>
        <v/>
      </c>
      <c r="I2904" s="26"/>
      <c r="J2904" s="26" t="s">
        <v>77</v>
      </c>
      <c r="L2904" s="27" t="s">
        <v>77</v>
      </c>
      <c r="N2904" s="28" t="s">
        <v>77</v>
      </c>
      <c r="Q2904" s="30"/>
    </row>
    <row r="2905">
      <c r="B2905" s="6"/>
      <c r="C2905" s="33" t="str">
        <f t="array" ref="C2905">IF(B2905="", "", XLOOKUP(B2905, Inventory!D:D,Inventory!E:E,"No Name Found"))</f>
        <v/>
      </c>
      <c r="D2905" s="6"/>
      <c r="E2905" s="6"/>
      <c r="F2905" s="6"/>
      <c r="G2905" s="24" t="str">
        <f>IF(F2905="", "", VLOOKUP(F2905, Inventory!A:BZ, 3, FALSE) - SUMIF($F$1:$F2904, F2905, $H$1:$H2904))
</f>
        <v/>
      </c>
      <c r="I2905" s="26"/>
      <c r="J2905" s="26" t="s">
        <v>77</v>
      </c>
      <c r="L2905" s="27" t="s">
        <v>77</v>
      </c>
      <c r="N2905" s="28" t="s">
        <v>77</v>
      </c>
      <c r="Q2905" s="30"/>
    </row>
    <row r="2906">
      <c r="B2906" s="6"/>
      <c r="C2906" s="33" t="str">
        <f t="array" ref="C2906">IF(B2906="", "", XLOOKUP(B2906, Inventory!D:D,Inventory!E:E,"No Name Found"))</f>
        <v/>
      </c>
      <c r="D2906" s="6"/>
      <c r="E2906" s="6"/>
      <c r="F2906" s="6"/>
      <c r="G2906" s="24" t="str">
        <f>IF(F2906="", "", VLOOKUP(F2906, Inventory!A:BZ, 3, FALSE) - SUMIF($F$1:$F2905, F2906, $H$1:$H2905))
</f>
        <v/>
      </c>
      <c r="I2906" s="26"/>
      <c r="J2906" s="26" t="s">
        <v>77</v>
      </c>
      <c r="L2906" s="27" t="s">
        <v>77</v>
      </c>
      <c r="N2906" s="28" t="s">
        <v>77</v>
      </c>
      <c r="Q2906" s="30"/>
    </row>
    <row r="2907">
      <c r="B2907" s="6"/>
      <c r="C2907" s="33" t="str">
        <f t="array" ref="C2907">IF(B2907="", "", XLOOKUP(B2907, Inventory!D:D,Inventory!E:E,"No Name Found"))</f>
        <v/>
      </c>
      <c r="D2907" s="6"/>
      <c r="E2907" s="6"/>
      <c r="F2907" s="6"/>
      <c r="G2907" s="24" t="str">
        <f>IF(F2907="", "", VLOOKUP(F2907, Inventory!A:BZ, 3, FALSE) - SUMIF($F$1:$F2906, F2907, $H$1:$H2906))
</f>
        <v/>
      </c>
      <c r="I2907" s="26"/>
      <c r="J2907" s="26" t="s">
        <v>77</v>
      </c>
      <c r="L2907" s="27" t="s">
        <v>77</v>
      </c>
      <c r="N2907" s="28" t="s">
        <v>77</v>
      </c>
      <c r="Q2907" s="30"/>
    </row>
    <row r="2908">
      <c r="B2908" s="6"/>
      <c r="C2908" s="33" t="str">
        <f t="array" ref="C2908">IF(B2908="", "", XLOOKUP(B2908, Inventory!D:D,Inventory!E:E,"No Name Found"))</f>
        <v/>
      </c>
      <c r="D2908" s="6"/>
      <c r="E2908" s="6"/>
      <c r="F2908" s="6"/>
      <c r="G2908" s="24" t="str">
        <f>IF(F2908="", "", VLOOKUP(F2908, Inventory!A:BZ, 3, FALSE) - SUMIF($F$1:$F2907, F2908, $H$1:$H2907))
</f>
        <v/>
      </c>
      <c r="I2908" s="26"/>
      <c r="J2908" s="26" t="s">
        <v>77</v>
      </c>
      <c r="L2908" s="27" t="s">
        <v>77</v>
      </c>
      <c r="N2908" s="28" t="s">
        <v>77</v>
      </c>
      <c r="Q2908" s="30"/>
    </row>
    <row r="2909">
      <c r="B2909" s="6"/>
      <c r="C2909" s="33" t="str">
        <f t="array" ref="C2909">IF(B2909="", "", XLOOKUP(B2909, Inventory!D:D,Inventory!E:E,"No Name Found"))</f>
        <v/>
      </c>
      <c r="D2909" s="6"/>
      <c r="E2909" s="6"/>
      <c r="F2909" s="6"/>
      <c r="G2909" s="24" t="str">
        <f>IF(F2909="", "", VLOOKUP(F2909, Inventory!A:BZ, 3, FALSE) - SUMIF($F$1:$F2908, F2909, $H$1:$H2908))
</f>
        <v/>
      </c>
      <c r="I2909" s="26"/>
      <c r="J2909" s="26" t="s">
        <v>77</v>
      </c>
      <c r="L2909" s="27" t="s">
        <v>77</v>
      </c>
      <c r="N2909" s="28" t="s">
        <v>77</v>
      </c>
      <c r="Q2909" s="30"/>
    </row>
    <row r="2910">
      <c r="B2910" s="6"/>
      <c r="C2910" s="33" t="str">
        <f t="array" ref="C2910">IF(B2910="", "", XLOOKUP(B2910, Inventory!D:D,Inventory!E:E,"No Name Found"))</f>
        <v/>
      </c>
      <c r="D2910" s="6"/>
      <c r="E2910" s="6"/>
      <c r="F2910" s="6"/>
      <c r="G2910" s="24" t="str">
        <f>IF(F2910="", "", VLOOKUP(F2910, Inventory!A:BZ, 3, FALSE) - SUMIF($F$1:$F2909, F2910, $H$1:$H2909))
</f>
        <v/>
      </c>
      <c r="I2910" s="26"/>
      <c r="J2910" s="26" t="s">
        <v>77</v>
      </c>
      <c r="L2910" s="27" t="s">
        <v>77</v>
      </c>
      <c r="N2910" s="28" t="s">
        <v>77</v>
      </c>
      <c r="Q2910" s="30"/>
    </row>
    <row r="2911">
      <c r="B2911" s="6"/>
      <c r="C2911" s="33" t="str">
        <f t="array" ref="C2911">IF(B2911="", "", XLOOKUP(B2911, Inventory!D:D,Inventory!E:E,"No Name Found"))</f>
        <v/>
      </c>
      <c r="D2911" s="6"/>
      <c r="E2911" s="6"/>
      <c r="F2911" s="6"/>
      <c r="G2911" s="24" t="str">
        <f>IF(F2911="", "", VLOOKUP(F2911, Inventory!A:BZ, 3, FALSE) - SUMIF($F$1:$F2910, F2911, $H$1:$H2910))
</f>
        <v/>
      </c>
      <c r="I2911" s="26"/>
      <c r="J2911" s="26" t="s">
        <v>77</v>
      </c>
      <c r="L2911" s="27" t="s">
        <v>77</v>
      </c>
      <c r="N2911" s="28" t="s">
        <v>77</v>
      </c>
      <c r="Q2911" s="30"/>
    </row>
    <row r="2912">
      <c r="B2912" s="6"/>
      <c r="C2912" s="33" t="str">
        <f t="array" ref="C2912">IF(B2912="", "", XLOOKUP(B2912, Inventory!D:D,Inventory!E:E,"No Name Found"))</f>
        <v/>
      </c>
      <c r="D2912" s="6"/>
      <c r="E2912" s="6"/>
      <c r="F2912" s="6"/>
      <c r="G2912" s="24" t="str">
        <f>IF(F2912="", "", VLOOKUP(F2912, Inventory!A:BZ, 3, FALSE) - SUMIF($F$1:$F2911, F2912, $H$1:$H2911))
</f>
        <v/>
      </c>
      <c r="I2912" s="26"/>
      <c r="J2912" s="26" t="s">
        <v>77</v>
      </c>
      <c r="L2912" s="27" t="s">
        <v>77</v>
      </c>
      <c r="N2912" s="28" t="s">
        <v>77</v>
      </c>
      <c r="Q2912" s="30"/>
    </row>
    <row r="2913">
      <c r="B2913" s="6"/>
      <c r="C2913" s="33" t="str">
        <f t="array" ref="C2913">IF(B2913="", "", XLOOKUP(B2913, Inventory!D:D,Inventory!E:E,"No Name Found"))</f>
        <v/>
      </c>
      <c r="D2913" s="6"/>
      <c r="E2913" s="6"/>
      <c r="F2913" s="6"/>
      <c r="G2913" s="24" t="str">
        <f>IF(F2913="", "", VLOOKUP(F2913, Inventory!A:BZ, 3, FALSE) - SUMIF($F$1:$F2912, F2913, $H$1:$H2912))
</f>
        <v/>
      </c>
      <c r="I2913" s="26"/>
      <c r="J2913" s="26" t="s">
        <v>77</v>
      </c>
      <c r="L2913" s="27" t="s">
        <v>77</v>
      </c>
      <c r="N2913" s="28" t="s">
        <v>77</v>
      </c>
      <c r="Q2913" s="30"/>
    </row>
    <row r="2914">
      <c r="B2914" s="6"/>
      <c r="C2914" s="33" t="str">
        <f t="array" ref="C2914">IF(B2914="", "", XLOOKUP(B2914, Inventory!D:D,Inventory!E:E,"No Name Found"))</f>
        <v/>
      </c>
      <c r="D2914" s="6"/>
      <c r="E2914" s="6"/>
      <c r="F2914" s="6"/>
      <c r="G2914" s="24" t="str">
        <f>IF(F2914="", "", VLOOKUP(F2914, Inventory!A:BZ, 3, FALSE) - SUMIF($F$1:$F2913, F2914, $H$1:$H2913))
</f>
        <v/>
      </c>
      <c r="I2914" s="26"/>
      <c r="J2914" s="26" t="s">
        <v>77</v>
      </c>
      <c r="L2914" s="27" t="s">
        <v>77</v>
      </c>
      <c r="N2914" s="28" t="s">
        <v>77</v>
      </c>
      <c r="Q2914" s="30"/>
    </row>
    <row r="2915">
      <c r="B2915" s="6"/>
      <c r="C2915" s="33" t="str">
        <f t="array" ref="C2915">IF(B2915="", "", XLOOKUP(B2915, Inventory!D:D,Inventory!E:E,"No Name Found"))</f>
        <v/>
      </c>
      <c r="D2915" s="6"/>
      <c r="E2915" s="6"/>
      <c r="F2915" s="6"/>
      <c r="G2915" s="24" t="str">
        <f>IF(F2915="", "", VLOOKUP(F2915, Inventory!A:BZ, 3, FALSE) - SUMIF($F$1:$F2914, F2915, $H$1:$H2914))
</f>
        <v/>
      </c>
      <c r="I2915" s="26"/>
      <c r="J2915" s="26" t="s">
        <v>77</v>
      </c>
      <c r="L2915" s="27" t="s">
        <v>77</v>
      </c>
      <c r="N2915" s="28" t="s">
        <v>77</v>
      </c>
      <c r="Q2915" s="30"/>
    </row>
    <row r="2916">
      <c r="B2916" s="6"/>
      <c r="C2916" s="33" t="str">
        <f t="array" ref="C2916">IF(B2916="", "", XLOOKUP(B2916, Inventory!D:D,Inventory!E:E,"No Name Found"))</f>
        <v/>
      </c>
      <c r="D2916" s="6"/>
      <c r="E2916" s="6"/>
      <c r="F2916" s="6"/>
      <c r="G2916" s="24" t="str">
        <f>IF(F2916="", "", VLOOKUP(F2916, Inventory!A:BZ, 3, FALSE) - SUMIF($F$1:$F2915, F2916, $H$1:$H2915))
</f>
        <v/>
      </c>
      <c r="I2916" s="26"/>
      <c r="J2916" s="26" t="s">
        <v>77</v>
      </c>
      <c r="L2916" s="27" t="s">
        <v>77</v>
      </c>
      <c r="N2916" s="28" t="s">
        <v>77</v>
      </c>
      <c r="Q2916" s="30"/>
    </row>
    <row r="2917">
      <c r="B2917" s="6"/>
      <c r="C2917" s="33" t="str">
        <f t="array" ref="C2917">IF(B2917="", "", XLOOKUP(B2917, Inventory!D:D,Inventory!E:E,"No Name Found"))</f>
        <v/>
      </c>
      <c r="D2917" s="6"/>
      <c r="E2917" s="6"/>
      <c r="F2917" s="6"/>
      <c r="G2917" s="24" t="str">
        <f>IF(F2917="", "", VLOOKUP(F2917, Inventory!A:BZ, 3, FALSE) - SUMIF($F$1:$F2916, F2917, $H$1:$H2916))
</f>
        <v/>
      </c>
      <c r="I2917" s="26"/>
      <c r="J2917" s="26" t="s">
        <v>77</v>
      </c>
      <c r="L2917" s="27" t="s">
        <v>77</v>
      </c>
      <c r="N2917" s="28" t="s">
        <v>77</v>
      </c>
      <c r="Q2917" s="30"/>
    </row>
    <row r="2918">
      <c r="B2918" s="6"/>
      <c r="C2918" s="33" t="str">
        <f t="array" ref="C2918">IF(B2918="", "", XLOOKUP(B2918, Inventory!D:D,Inventory!E:E,"No Name Found"))</f>
        <v/>
      </c>
      <c r="D2918" s="6"/>
      <c r="E2918" s="6"/>
      <c r="F2918" s="6"/>
      <c r="G2918" s="24" t="str">
        <f>IF(F2918="", "", VLOOKUP(F2918, Inventory!A:BZ, 3, FALSE) - SUMIF($F$1:$F2917, F2918, $H$1:$H2917))
</f>
        <v/>
      </c>
      <c r="I2918" s="26"/>
      <c r="J2918" s="26" t="s">
        <v>77</v>
      </c>
      <c r="L2918" s="27" t="s">
        <v>77</v>
      </c>
      <c r="N2918" s="28" t="s">
        <v>77</v>
      </c>
      <c r="Q2918" s="30"/>
    </row>
    <row r="2919">
      <c r="B2919" s="6"/>
      <c r="C2919" s="33" t="str">
        <f t="array" ref="C2919">IF(B2919="", "", XLOOKUP(B2919, Inventory!D:D,Inventory!E:E,"No Name Found"))</f>
        <v/>
      </c>
      <c r="D2919" s="6"/>
      <c r="E2919" s="6"/>
      <c r="F2919" s="6"/>
      <c r="G2919" s="24" t="str">
        <f>IF(F2919="", "", VLOOKUP(F2919, Inventory!A:BZ, 3, FALSE) - SUMIF($F$1:$F2918, F2919, $H$1:$H2918))
</f>
        <v/>
      </c>
      <c r="I2919" s="26"/>
      <c r="J2919" s="26" t="s">
        <v>77</v>
      </c>
      <c r="L2919" s="27" t="s">
        <v>77</v>
      </c>
      <c r="N2919" s="28" t="s">
        <v>77</v>
      </c>
      <c r="Q2919" s="30"/>
    </row>
    <row r="2920">
      <c r="B2920" s="6"/>
      <c r="C2920" s="33" t="str">
        <f t="array" ref="C2920">IF(B2920="", "", XLOOKUP(B2920, Inventory!D:D,Inventory!E:E,"No Name Found"))</f>
        <v/>
      </c>
      <c r="D2920" s="6"/>
      <c r="E2920" s="6"/>
      <c r="F2920" s="6"/>
      <c r="G2920" s="24" t="str">
        <f>IF(F2920="", "", VLOOKUP(F2920, Inventory!A:BZ, 3, FALSE) - SUMIF($F$1:$F2919, F2920, $H$1:$H2919))
</f>
        <v/>
      </c>
      <c r="I2920" s="26"/>
      <c r="J2920" s="26" t="s">
        <v>77</v>
      </c>
      <c r="L2920" s="27" t="s">
        <v>77</v>
      </c>
      <c r="N2920" s="28" t="s">
        <v>77</v>
      </c>
      <c r="Q2920" s="30"/>
    </row>
    <row r="2921">
      <c r="B2921" s="6"/>
      <c r="C2921" s="33" t="str">
        <f t="array" ref="C2921">IF(B2921="", "", XLOOKUP(B2921, Inventory!D:D,Inventory!E:E,"No Name Found"))</f>
        <v/>
      </c>
      <c r="D2921" s="6"/>
      <c r="E2921" s="6"/>
      <c r="F2921" s="6"/>
      <c r="G2921" s="24" t="str">
        <f>IF(F2921="", "", VLOOKUP(F2921, Inventory!A:BZ, 3, FALSE) - SUMIF($F$1:$F2920, F2921, $H$1:$H2920))
</f>
        <v/>
      </c>
      <c r="I2921" s="26"/>
      <c r="J2921" s="26" t="s">
        <v>77</v>
      </c>
      <c r="L2921" s="27" t="s">
        <v>77</v>
      </c>
      <c r="N2921" s="28" t="s">
        <v>77</v>
      </c>
      <c r="Q2921" s="30"/>
    </row>
    <row r="2922">
      <c r="B2922" s="6"/>
      <c r="C2922" s="33" t="str">
        <f t="array" ref="C2922">IF(B2922="", "", XLOOKUP(B2922, Inventory!D:D,Inventory!E:E,"No Name Found"))</f>
        <v/>
      </c>
      <c r="D2922" s="6"/>
      <c r="E2922" s="6"/>
      <c r="F2922" s="6"/>
      <c r="G2922" s="24" t="str">
        <f>IF(F2922="", "", VLOOKUP(F2922, Inventory!A:BZ, 3, FALSE) - SUMIF($F$1:$F2921, F2922, $H$1:$H2921))
</f>
        <v/>
      </c>
      <c r="I2922" s="26"/>
      <c r="J2922" s="26" t="s">
        <v>77</v>
      </c>
      <c r="L2922" s="27" t="s">
        <v>77</v>
      </c>
      <c r="N2922" s="28" t="s">
        <v>77</v>
      </c>
      <c r="Q2922" s="30"/>
    </row>
    <row r="2923">
      <c r="B2923" s="6"/>
      <c r="C2923" s="33" t="str">
        <f t="array" ref="C2923">IF(B2923="", "", XLOOKUP(B2923, Inventory!D:D,Inventory!E:E,"No Name Found"))</f>
        <v/>
      </c>
      <c r="D2923" s="6"/>
      <c r="E2923" s="6"/>
      <c r="F2923" s="6"/>
      <c r="G2923" s="24" t="str">
        <f>IF(F2923="", "", VLOOKUP(F2923, Inventory!A:BZ, 3, FALSE) - SUMIF($F$1:$F2922, F2923, $H$1:$H2922))
</f>
        <v/>
      </c>
      <c r="I2923" s="26"/>
      <c r="J2923" s="26" t="s">
        <v>77</v>
      </c>
      <c r="L2923" s="27" t="s">
        <v>77</v>
      </c>
      <c r="N2923" s="28" t="s">
        <v>77</v>
      </c>
      <c r="Q2923" s="30"/>
    </row>
    <row r="2924">
      <c r="B2924" s="6"/>
      <c r="C2924" s="33" t="str">
        <f t="array" ref="C2924">IF(B2924="", "", XLOOKUP(B2924, Inventory!D:D,Inventory!E:E,"No Name Found"))</f>
        <v/>
      </c>
      <c r="D2924" s="6"/>
      <c r="E2924" s="6"/>
      <c r="F2924" s="6"/>
      <c r="G2924" s="24" t="str">
        <f>IF(F2924="", "", VLOOKUP(F2924, Inventory!A:BZ, 3, FALSE) - SUMIF($F$1:$F2923, F2924, $H$1:$H2923))
</f>
        <v/>
      </c>
      <c r="I2924" s="26"/>
      <c r="J2924" s="26" t="s">
        <v>77</v>
      </c>
      <c r="L2924" s="27" t="s">
        <v>77</v>
      </c>
      <c r="N2924" s="28" t="s">
        <v>77</v>
      </c>
      <c r="Q2924" s="30"/>
    </row>
    <row r="2925">
      <c r="B2925" s="6"/>
      <c r="C2925" s="33" t="str">
        <f t="array" ref="C2925">IF(B2925="", "", XLOOKUP(B2925, Inventory!D:D,Inventory!E:E,"No Name Found"))</f>
        <v/>
      </c>
      <c r="D2925" s="6"/>
      <c r="E2925" s="6"/>
      <c r="F2925" s="6"/>
      <c r="G2925" s="24" t="str">
        <f>IF(F2925="", "", VLOOKUP(F2925, Inventory!A:BZ, 3, FALSE) - SUMIF($F$1:$F2924, F2925, $H$1:$H2924))
</f>
        <v/>
      </c>
      <c r="I2925" s="26"/>
      <c r="J2925" s="26" t="s">
        <v>77</v>
      </c>
      <c r="L2925" s="27" t="s">
        <v>77</v>
      </c>
      <c r="N2925" s="28" t="s">
        <v>77</v>
      </c>
      <c r="Q2925" s="30"/>
    </row>
    <row r="2926">
      <c r="B2926" s="6"/>
      <c r="C2926" s="33" t="str">
        <f t="array" ref="C2926">IF(B2926="", "", XLOOKUP(B2926, Inventory!D:D,Inventory!E:E,"No Name Found"))</f>
        <v/>
      </c>
      <c r="D2926" s="6"/>
      <c r="E2926" s="6"/>
      <c r="F2926" s="6"/>
      <c r="G2926" s="24" t="str">
        <f>IF(F2926="", "", VLOOKUP(F2926, Inventory!A:BZ, 3, FALSE) - SUMIF($F$1:$F2925, F2926, $H$1:$H2925))
</f>
        <v/>
      </c>
      <c r="I2926" s="26"/>
      <c r="J2926" s="26" t="s">
        <v>77</v>
      </c>
      <c r="L2926" s="27" t="s">
        <v>77</v>
      </c>
      <c r="N2926" s="28" t="s">
        <v>77</v>
      </c>
      <c r="Q2926" s="30"/>
    </row>
    <row r="2927">
      <c r="B2927" s="6"/>
      <c r="C2927" s="33" t="str">
        <f t="array" ref="C2927">IF(B2927="", "", XLOOKUP(B2927, Inventory!D:D,Inventory!E:E,"No Name Found"))</f>
        <v/>
      </c>
      <c r="D2927" s="6"/>
      <c r="E2927" s="6"/>
      <c r="F2927" s="6"/>
      <c r="G2927" s="24" t="str">
        <f>IF(F2927="", "", VLOOKUP(F2927, Inventory!A:BZ, 3, FALSE) - SUMIF($F$1:$F2926, F2927, $H$1:$H2926))
</f>
        <v/>
      </c>
      <c r="I2927" s="26"/>
      <c r="J2927" s="26" t="s">
        <v>77</v>
      </c>
      <c r="L2927" s="27" t="s">
        <v>77</v>
      </c>
      <c r="N2927" s="28" t="s">
        <v>77</v>
      </c>
      <c r="Q2927" s="30"/>
    </row>
    <row r="2928">
      <c r="B2928" s="6"/>
      <c r="C2928" s="33" t="str">
        <f t="array" ref="C2928">IF(B2928="", "", XLOOKUP(B2928, Inventory!D:D,Inventory!E:E,"No Name Found"))</f>
        <v/>
      </c>
      <c r="D2928" s="6"/>
      <c r="E2928" s="6"/>
      <c r="F2928" s="6"/>
      <c r="G2928" s="24" t="str">
        <f>IF(F2928="", "", VLOOKUP(F2928, Inventory!A:BZ, 3, FALSE) - SUMIF($F$1:$F2927, F2928, $H$1:$H2927))
</f>
        <v/>
      </c>
      <c r="I2928" s="26"/>
      <c r="J2928" s="26" t="s">
        <v>77</v>
      </c>
      <c r="L2928" s="27" t="s">
        <v>77</v>
      </c>
      <c r="N2928" s="28" t="s">
        <v>77</v>
      </c>
      <c r="Q2928" s="30"/>
    </row>
    <row r="2929">
      <c r="B2929" s="6"/>
      <c r="C2929" s="33" t="str">
        <f t="array" ref="C2929">IF(B2929="", "", XLOOKUP(B2929, Inventory!D:D,Inventory!E:E,"No Name Found"))</f>
        <v/>
      </c>
      <c r="D2929" s="6"/>
      <c r="E2929" s="6"/>
      <c r="F2929" s="6"/>
      <c r="G2929" s="24" t="str">
        <f>IF(F2929="", "", VLOOKUP(F2929, Inventory!A:BZ, 3, FALSE) - SUMIF($F$1:$F2928, F2929, $H$1:$H2928))
</f>
        <v/>
      </c>
      <c r="I2929" s="26"/>
      <c r="J2929" s="26" t="s">
        <v>77</v>
      </c>
      <c r="L2929" s="27" t="s">
        <v>77</v>
      </c>
      <c r="N2929" s="28" t="s">
        <v>77</v>
      </c>
      <c r="Q2929" s="30"/>
    </row>
    <row r="2930">
      <c r="B2930" s="6"/>
      <c r="C2930" s="33" t="str">
        <f t="array" ref="C2930">IF(B2930="", "", XLOOKUP(B2930, Inventory!D:D,Inventory!E:E,"No Name Found"))</f>
        <v/>
      </c>
      <c r="D2930" s="6"/>
      <c r="E2930" s="6"/>
      <c r="F2930" s="6"/>
      <c r="G2930" s="24" t="str">
        <f>IF(F2930="", "", VLOOKUP(F2930, Inventory!A:BZ, 3, FALSE) - SUMIF($F$1:$F2929, F2930, $H$1:$H2929))
</f>
        <v/>
      </c>
      <c r="I2930" s="26"/>
      <c r="J2930" s="26" t="s">
        <v>77</v>
      </c>
      <c r="L2930" s="27" t="s">
        <v>77</v>
      </c>
      <c r="N2930" s="28" t="s">
        <v>77</v>
      </c>
      <c r="Q2930" s="30"/>
    </row>
    <row r="2931">
      <c r="B2931" s="6"/>
      <c r="C2931" s="33" t="str">
        <f t="array" ref="C2931">IF(B2931="", "", XLOOKUP(B2931, Inventory!D:D,Inventory!E:E,"No Name Found"))</f>
        <v/>
      </c>
      <c r="D2931" s="6"/>
      <c r="E2931" s="6"/>
      <c r="F2931" s="6"/>
      <c r="G2931" s="24" t="str">
        <f>IF(F2931="", "", VLOOKUP(F2931, Inventory!A:BZ, 3, FALSE) - SUMIF($F$1:$F2930, F2931, $H$1:$H2930))
</f>
        <v/>
      </c>
      <c r="I2931" s="26"/>
      <c r="J2931" s="26" t="s">
        <v>77</v>
      </c>
      <c r="L2931" s="27" t="s">
        <v>77</v>
      </c>
      <c r="N2931" s="28" t="s">
        <v>77</v>
      </c>
      <c r="Q2931" s="30"/>
    </row>
    <row r="2932">
      <c r="B2932" s="6"/>
      <c r="C2932" s="33" t="str">
        <f t="array" ref="C2932">IF(B2932="", "", XLOOKUP(B2932, Inventory!D:D,Inventory!E:E,"No Name Found"))</f>
        <v/>
      </c>
      <c r="D2932" s="6"/>
      <c r="E2932" s="6"/>
      <c r="F2932" s="6"/>
      <c r="G2932" s="24" t="str">
        <f>IF(F2932="", "", VLOOKUP(F2932, Inventory!A:BZ, 3, FALSE) - SUMIF($F$1:$F2931, F2932, $H$1:$H2931))
</f>
        <v/>
      </c>
      <c r="I2932" s="26"/>
      <c r="J2932" s="26" t="s">
        <v>77</v>
      </c>
      <c r="L2932" s="27" t="s">
        <v>77</v>
      </c>
      <c r="N2932" s="28" t="s">
        <v>77</v>
      </c>
      <c r="Q2932" s="30"/>
    </row>
    <row r="2933">
      <c r="B2933" s="6"/>
      <c r="C2933" s="33" t="str">
        <f t="array" ref="C2933">IF(B2933="", "", XLOOKUP(B2933, Inventory!D:D,Inventory!E:E,"No Name Found"))</f>
        <v/>
      </c>
      <c r="D2933" s="6"/>
      <c r="E2933" s="6"/>
      <c r="F2933" s="6"/>
      <c r="G2933" s="24" t="str">
        <f>IF(F2933="", "", VLOOKUP(F2933, Inventory!A:BZ, 3, FALSE) - SUMIF($F$1:$F2932, F2933, $H$1:$H2932))
</f>
        <v/>
      </c>
      <c r="I2933" s="26"/>
      <c r="J2933" s="26" t="s">
        <v>77</v>
      </c>
      <c r="L2933" s="27" t="s">
        <v>77</v>
      </c>
      <c r="N2933" s="28" t="s">
        <v>77</v>
      </c>
      <c r="Q2933" s="30"/>
    </row>
    <row r="2934">
      <c r="B2934" s="6"/>
      <c r="C2934" s="33" t="str">
        <f t="array" ref="C2934">IF(B2934="", "", XLOOKUP(B2934, Inventory!D:D,Inventory!E:E,"No Name Found"))</f>
        <v/>
      </c>
      <c r="D2934" s="6"/>
      <c r="E2934" s="6"/>
      <c r="F2934" s="6"/>
      <c r="G2934" s="24" t="str">
        <f>IF(F2934="", "", VLOOKUP(F2934, Inventory!A:BZ, 3, FALSE) - SUMIF($F$1:$F2933, F2934, $H$1:$H2933))
</f>
        <v/>
      </c>
      <c r="I2934" s="26"/>
      <c r="J2934" s="26" t="s">
        <v>77</v>
      </c>
      <c r="L2934" s="27" t="s">
        <v>77</v>
      </c>
      <c r="N2934" s="28" t="s">
        <v>77</v>
      </c>
      <c r="Q2934" s="30"/>
    </row>
    <row r="2935">
      <c r="B2935" s="6"/>
      <c r="C2935" s="33" t="str">
        <f t="array" ref="C2935">IF(B2935="", "", XLOOKUP(B2935, Inventory!D:D,Inventory!E:E,"No Name Found"))</f>
        <v/>
      </c>
      <c r="D2935" s="6"/>
      <c r="E2935" s="6"/>
      <c r="F2935" s="6"/>
      <c r="G2935" s="24" t="str">
        <f>IF(F2935="", "", VLOOKUP(F2935, Inventory!A:BZ, 3, FALSE) - SUMIF($F$1:$F2934, F2935, $H$1:$H2934))
</f>
        <v/>
      </c>
      <c r="I2935" s="26"/>
      <c r="J2935" s="26" t="s">
        <v>77</v>
      </c>
      <c r="L2935" s="27" t="s">
        <v>77</v>
      </c>
      <c r="N2935" s="28" t="s">
        <v>77</v>
      </c>
      <c r="Q2935" s="30"/>
    </row>
    <row r="2936">
      <c r="B2936" s="6"/>
      <c r="C2936" s="33" t="str">
        <f t="array" ref="C2936">IF(B2936="", "", XLOOKUP(B2936, Inventory!D:D,Inventory!E:E,"No Name Found"))</f>
        <v/>
      </c>
      <c r="D2936" s="6"/>
      <c r="E2936" s="6"/>
      <c r="F2936" s="6"/>
      <c r="G2936" s="24" t="str">
        <f>IF(F2936="", "", VLOOKUP(F2936, Inventory!A:BZ, 3, FALSE) - SUMIF($F$1:$F2935, F2936, $H$1:$H2935))
</f>
        <v/>
      </c>
      <c r="I2936" s="26"/>
      <c r="J2936" s="26" t="s">
        <v>77</v>
      </c>
      <c r="L2936" s="27" t="s">
        <v>77</v>
      </c>
      <c r="N2936" s="28" t="s">
        <v>77</v>
      </c>
      <c r="Q2936" s="30"/>
    </row>
    <row r="2937">
      <c r="B2937" s="6"/>
      <c r="C2937" s="33" t="str">
        <f t="array" ref="C2937">IF(B2937="", "", XLOOKUP(B2937, Inventory!D:D,Inventory!E:E,"No Name Found"))</f>
        <v/>
      </c>
      <c r="D2937" s="6"/>
      <c r="E2937" s="6"/>
      <c r="F2937" s="6"/>
      <c r="G2937" s="24" t="str">
        <f>IF(F2937="", "", VLOOKUP(F2937, Inventory!A:BZ, 3, FALSE) - SUMIF($F$1:$F2936, F2937, $H$1:$H2936))
</f>
        <v/>
      </c>
      <c r="I2937" s="26"/>
      <c r="J2937" s="26" t="s">
        <v>77</v>
      </c>
      <c r="L2937" s="27" t="s">
        <v>77</v>
      </c>
      <c r="N2937" s="28" t="s">
        <v>77</v>
      </c>
      <c r="Q2937" s="30"/>
    </row>
    <row r="2938">
      <c r="B2938" s="6"/>
      <c r="C2938" s="33" t="str">
        <f t="array" ref="C2938">IF(B2938="", "", XLOOKUP(B2938, Inventory!D:D,Inventory!E:E,"No Name Found"))</f>
        <v/>
      </c>
      <c r="D2938" s="6"/>
      <c r="E2938" s="6"/>
      <c r="F2938" s="6"/>
      <c r="G2938" s="24" t="str">
        <f>IF(F2938="", "", VLOOKUP(F2938, Inventory!A:BZ, 3, FALSE) - SUMIF($F$1:$F2937, F2938, $H$1:$H2937))
</f>
        <v/>
      </c>
      <c r="I2938" s="26"/>
      <c r="J2938" s="26" t="s">
        <v>77</v>
      </c>
      <c r="L2938" s="27" t="s">
        <v>77</v>
      </c>
      <c r="N2938" s="28" t="s">
        <v>77</v>
      </c>
      <c r="Q2938" s="30"/>
    </row>
    <row r="2939">
      <c r="B2939" s="6"/>
      <c r="C2939" s="33" t="str">
        <f t="array" ref="C2939">IF(B2939="", "", XLOOKUP(B2939, Inventory!D:D,Inventory!E:E,"No Name Found"))</f>
        <v/>
      </c>
      <c r="D2939" s="6"/>
      <c r="E2939" s="6"/>
      <c r="F2939" s="6"/>
      <c r="G2939" s="24" t="str">
        <f>IF(F2939="", "", VLOOKUP(F2939, Inventory!A:BZ, 3, FALSE) - SUMIF($F$1:$F2938, F2939, $H$1:$H2938))
</f>
        <v/>
      </c>
      <c r="I2939" s="26"/>
      <c r="J2939" s="26" t="s">
        <v>77</v>
      </c>
      <c r="L2939" s="27" t="s">
        <v>77</v>
      </c>
      <c r="N2939" s="28" t="s">
        <v>77</v>
      </c>
      <c r="Q2939" s="30"/>
    </row>
    <row r="2940">
      <c r="B2940" s="6"/>
      <c r="C2940" s="33" t="str">
        <f t="array" ref="C2940">IF(B2940="", "", XLOOKUP(B2940, Inventory!D:D,Inventory!E:E,"No Name Found"))</f>
        <v/>
      </c>
      <c r="D2940" s="6"/>
      <c r="E2940" s="6"/>
      <c r="F2940" s="6"/>
      <c r="G2940" s="24" t="str">
        <f>IF(F2940="", "", VLOOKUP(F2940, Inventory!A:BZ, 3, FALSE) - SUMIF($F$1:$F2939, F2940, $H$1:$H2939))
</f>
        <v/>
      </c>
      <c r="I2940" s="26"/>
      <c r="J2940" s="26" t="s">
        <v>77</v>
      </c>
      <c r="L2940" s="27" t="s">
        <v>77</v>
      </c>
      <c r="N2940" s="28" t="s">
        <v>77</v>
      </c>
      <c r="Q2940" s="30"/>
    </row>
    <row r="2941">
      <c r="B2941" s="6"/>
      <c r="C2941" s="33" t="str">
        <f t="array" ref="C2941">IF(B2941="", "", XLOOKUP(B2941, Inventory!D:D,Inventory!E:E,"No Name Found"))</f>
        <v/>
      </c>
      <c r="D2941" s="6"/>
      <c r="E2941" s="6"/>
      <c r="F2941" s="6"/>
      <c r="G2941" s="24" t="str">
        <f>IF(F2941="", "", VLOOKUP(F2941, Inventory!A:BZ, 3, FALSE) - SUMIF($F$1:$F2940, F2941, $H$1:$H2940))
</f>
        <v/>
      </c>
      <c r="I2941" s="26"/>
      <c r="J2941" s="26" t="s">
        <v>77</v>
      </c>
      <c r="L2941" s="27" t="s">
        <v>77</v>
      </c>
      <c r="N2941" s="28" t="s">
        <v>77</v>
      </c>
      <c r="Q2941" s="30"/>
    </row>
    <row r="2942">
      <c r="B2942" s="6"/>
      <c r="C2942" s="33" t="str">
        <f t="array" ref="C2942">IF(B2942="", "", XLOOKUP(B2942, Inventory!D:D,Inventory!E:E,"No Name Found"))</f>
        <v/>
      </c>
      <c r="D2942" s="6"/>
      <c r="E2942" s="6"/>
      <c r="F2942" s="6"/>
      <c r="G2942" s="24" t="str">
        <f>IF(F2942="", "", VLOOKUP(F2942, Inventory!A:BZ, 3, FALSE) - SUMIF($F$1:$F2941, F2942, $H$1:$H2941))
</f>
        <v/>
      </c>
      <c r="I2942" s="26"/>
      <c r="J2942" s="26" t="s">
        <v>77</v>
      </c>
      <c r="L2942" s="27" t="s">
        <v>77</v>
      </c>
      <c r="N2942" s="28" t="s">
        <v>77</v>
      </c>
      <c r="Q2942" s="30"/>
    </row>
    <row r="2943">
      <c r="B2943" s="6"/>
      <c r="C2943" s="33" t="str">
        <f t="array" ref="C2943">IF(B2943="", "", XLOOKUP(B2943, Inventory!D:D,Inventory!E:E,"No Name Found"))</f>
        <v/>
      </c>
      <c r="D2943" s="6"/>
      <c r="E2943" s="6"/>
      <c r="F2943" s="6"/>
      <c r="G2943" s="24" t="str">
        <f>IF(F2943="", "", VLOOKUP(F2943, Inventory!A:BZ, 3, FALSE) - SUMIF($F$1:$F2942, F2943, $H$1:$H2942))
</f>
        <v/>
      </c>
      <c r="I2943" s="26"/>
      <c r="J2943" s="26" t="s">
        <v>77</v>
      </c>
      <c r="L2943" s="27" t="s">
        <v>77</v>
      </c>
      <c r="N2943" s="28" t="s">
        <v>77</v>
      </c>
      <c r="Q2943" s="30"/>
    </row>
    <row r="2944">
      <c r="B2944" s="6"/>
      <c r="C2944" s="33" t="str">
        <f t="array" ref="C2944">IF(B2944="", "", XLOOKUP(B2944, Inventory!D:D,Inventory!E:E,"No Name Found"))</f>
        <v/>
      </c>
      <c r="D2944" s="6"/>
      <c r="E2944" s="6"/>
      <c r="F2944" s="6"/>
      <c r="G2944" s="24" t="str">
        <f>IF(F2944="", "", VLOOKUP(F2944, Inventory!A:BZ, 3, FALSE) - SUMIF($F$1:$F2943, F2944, $H$1:$H2943))
</f>
        <v/>
      </c>
      <c r="I2944" s="26"/>
      <c r="J2944" s="26" t="s">
        <v>77</v>
      </c>
      <c r="L2944" s="27" t="s">
        <v>77</v>
      </c>
      <c r="N2944" s="28" t="s">
        <v>77</v>
      </c>
      <c r="Q2944" s="30"/>
    </row>
    <row r="2945">
      <c r="B2945" s="6"/>
      <c r="C2945" s="33" t="str">
        <f t="array" ref="C2945">IF(B2945="", "", XLOOKUP(B2945, Inventory!D:D,Inventory!E:E,"No Name Found"))</f>
        <v/>
      </c>
      <c r="D2945" s="6"/>
      <c r="E2945" s="6"/>
      <c r="F2945" s="6"/>
      <c r="G2945" s="24" t="str">
        <f>IF(F2945="", "", VLOOKUP(F2945, Inventory!A:BZ, 3, FALSE) - SUMIF($F$1:$F2944, F2945, $H$1:$H2944))
</f>
        <v/>
      </c>
      <c r="I2945" s="26"/>
      <c r="J2945" s="26" t="s">
        <v>77</v>
      </c>
      <c r="L2945" s="27" t="s">
        <v>77</v>
      </c>
      <c r="N2945" s="28" t="s">
        <v>77</v>
      </c>
      <c r="Q2945" s="30"/>
    </row>
    <row r="2946">
      <c r="B2946" s="6"/>
      <c r="C2946" s="33" t="str">
        <f t="array" ref="C2946">IF(B2946="", "", XLOOKUP(B2946, Inventory!D:D,Inventory!E:E,"No Name Found"))</f>
        <v/>
      </c>
      <c r="D2946" s="6"/>
      <c r="E2946" s="6"/>
      <c r="F2946" s="6"/>
      <c r="G2946" s="24" t="str">
        <f>IF(F2946="", "", VLOOKUP(F2946, Inventory!A:BZ, 3, FALSE) - SUMIF($F$1:$F2945, F2946, $H$1:$H2945))
</f>
        <v/>
      </c>
      <c r="I2946" s="26"/>
      <c r="J2946" s="26" t="s">
        <v>77</v>
      </c>
      <c r="L2946" s="27" t="s">
        <v>77</v>
      </c>
      <c r="N2946" s="28" t="s">
        <v>77</v>
      </c>
      <c r="Q2946" s="30"/>
    </row>
    <row r="2947">
      <c r="B2947" s="6"/>
      <c r="C2947" s="33" t="str">
        <f t="array" ref="C2947">IF(B2947="", "", XLOOKUP(B2947, Inventory!D:D,Inventory!E:E,"No Name Found"))</f>
        <v/>
      </c>
      <c r="D2947" s="6"/>
      <c r="E2947" s="6"/>
      <c r="F2947" s="6"/>
      <c r="G2947" s="24" t="str">
        <f>IF(F2947="", "", VLOOKUP(F2947, Inventory!A:BZ, 3, FALSE) - SUMIF($F$1:$F2946, F2947, $H$1:$H2946))
</f>
        <v/>
      </c>
      <c r="I2947" s="26"/>
      <c r="J2947" s="26" t="s">
        <v>77</v>
      </c>
      <c r="L2947" s="27" t="s">
        <v>77</v>
      </c>
      <c r="N2947" s="28" t="s">
        <v>77</v>
      </c>
      <c r="Q2947" s="30"/>
    </row>
    <row r="2948">
      <c r="B2948" s="6"/>
      <c r="C2948" s="33" t="str">
        <f t="array" ref="C2948">IF(B2948="", "", XLOOKUP(B2948, Inventory!D:D,Inventory!E:E,"No Name Found"))</f>
        <v/>
      </c>
      <c r="D2948" s="6"/>
      <c r="E2948" s="6"/>
      <c r="F2948" s="6"/>
      <c r="G2948" s="24" t="str">
        <f>IF(F2948="", "", VLOOKUP(F2948, Inventory!A:BZ, 3, FALSE) - SUMIF($F$1:$F2947, F2948, $H$1:$H2947))
</f>
        <v/>
      </c>
      <c r="I2948" s="26"/>
      <c r="J2948" s="26" t="s">
        <v>77</v>
      </c>
      <c r="L2948" s="27" t="s">
        <v>77</v>
      </c>
      <c r="N2948" s="28" t="s">
        <v>77</v>
      </c>
      <c r="Q2948" s="30"/>
    </row>
    <row r="2949">
      <c r="B2949" s="6"/>
      <c r="C2949" s="33" t="str">
        <f t="array" ref="C2949">IF(B2949="", "", XLOOKUP(B2949, Inventory!D:D,Inventory!E:E,"No Name Found"))</f>
        <v/>
      </c>
      <c r="D2949" s="6"/>
      <c r="E2949" s="6"/>
      <c r="F2949" s="6"/>
      <c r="G2949" s="24" t="str">
        <f>IF(F2949="", "", VLOOKUP(F2949, Inventory!A:BZ, 3, FALSE) - SUMIF($F$1:$F2948, F2949, $H$1:$H2948))
</f>
        <v/>
      </c>
      <c r="I2949" s="26"/>
      <c r="J2949" s="26" t="s">
        <v>77</v>
      </c>
      <c r="L2949" s="27" t="s">
        <v>77</v>
      </c>
      <c r="N2949" s="28" t="s">
        <v>77</v>
      </c>
      <c r="Q2949" s="30"/>
    </row>
    <row r="2950">
      <c r="B2950" s="6"/>
      <c r="C2950" s="33" t="str">
        <f t="array" ref="C2950">IF(B2950="", "", XLOOKUP(B2950, Inventory!D:D,Inventory!E:E,"No Name Found"))</f>
        <v/>
      </c>
      <c r="D2950" s="6"/>
      <c r="E2950" s="6"/>
      <c r="F2950" s="6"/>
      <c r="G2950" s="24" t="str">
        <f>IF(F2950="", "", VLOOKUP(F2950, Inventory!A:BZ, 3, FALSE) - SUMIF($F$1:$F2949, F2950, $H$1:$H2949))
</f>
        <v/>
      </c>
      <c r="I2950" s="26"/>
      <c r="J2950" s="26" t="s">
        <v>77</v>
      </c>
      <c r="L2950" s="27" t="s">
        <v>77</v>
      </c>
      <c r="N2950" s="28" t="s">
        <v>77</v>
      </c>
      <c r="Q2950" s="30"/>
    </row>
    <row r="2951">
      <c r="B2951" s="6"/>
      <c r="C2951" s="33" t="str">
        <f t="array" ref="C2951">IF(B2951="", "", XLOOKUP(B2951, Inventory!D:D,Inventory!E:E,"No Name Found"))</f>
        <v/>
      </c>
      <c r="D2951" s="6"/>
      <c r="E2951" s="6"/>
      <c r="F2951" s="6"/>
      <c r="G2951" s="24" t="str">
        <f>IF(F2951="", "", VLOOKUP(F2951, Inventory!A:BZ, 3, FALSE) - SUMIF($F$1:$F2950, F2951, $H$1:$H2950))
</f>
        <v/>
      </c>
      <c r="I2951" s="26"/>
      <c r="J2951" s="26" t="s">
        <v>77</v>
      </c>
      <c r="L2951" s="27" t="s">
        <v>77</v>
      </c>
      <c r="N2951" s="28" t="s">
        <v>77</v>
      </c>
      <c r="Q2951" s="30"/>
    </row>
    <row r="2952">
      <c r="B2952" s="6"/>
      <c r="C2952" s="33" t="str">
        <f t="array" ref="C2952">IF(B2952="", "", XLOOKUP(B2952, Inventory!D:D,Inventory!E:E,"No Name Found"))</f>
        <v/>
      </c>
      <c r="D2952" s="6"/>
      <c r="E2952" s="6"/>
      <c r="F2952" s="6"/>
      <c r="G2952" s="24" t="str">
        <f>IF(F2952="", "", VLOOKUP(F2952, Inventory!A:BZ, 3, FALSE) - SUMIF($F$1:$F2951, F2952, $H$1:$H2951))
</f>
        <v/>
      </c>
      <c r="I2952" s="26"/>
      <c r="J2952" s="26" t="s">
        <v>77</v>
      </c>
      <c r="L2952" s="27" t="s">
        <v>77</v>
      </c>
      <c r="N2952" s="28" t="s">
        <v>77</v>
      </c>
      <c r="Q2952" s="30"/>
    </row>
    <row r="2953">
      <c r="B2953" s="6"/>
      <c r="C2953" s="33" t="str">
        <f t="array" ref="C2953">IF(B2953="", "", XLOOKUP(B2953, Inventory!D:D,Inventory!E:E,"No Name Found"))</f>
        <v/>
      </c>
      <c r="D2953" s="6"/>
      <c r="E2953" s="6"/>
      <c r="F2953" s="6"/>
      <c r="G2953" s="24" t="str">
        <f>IF(F2953="", "", VLOOKUP(F2953, Inventory!A:BZ, 3, FALSE) - SUMIF($F$1:$F2952, F2953, $H$1:$H2952))
</f>
        <v/>
      </c>
      <c r="I2953" s="26"/>
      <c r="J2953" s="26" t="s">
        <v>77</v>
      </c>
      <c r="L2953" s="27" t="s">
        <v>77</v>
      </c>
      <c r="N2953" s="28" t="s">
        <v>77</v>
      </c>
      <c r="Q2953" s="30"/>
    </row>
    <row r="2954">
      <c r="B2954" s="6"/>
      <c r="C2954" s="33" t="str">
        <f t="array" ref="C2954">IF(B2954="", "", XLOOKUP(B2954, Inventory!D:D,Inventory!E:E,"No Name Found"))</f>
        <v/>
      </c>
      <c r="D2954" s="6"/>
      <c r="E2954" s="6"/>
      <c r="F2954" s="6"/>
      <c r="G2954" s="24" t="str">
        <f>IF(F2954="", "", VLOOKUP(F2954, Inventory!A:BZ, 3, FALSE) - SUMIF($F$1:$F2953, F2954, $H$1:$H2953))
</f>
        <v/>
      </c>
      <c r="I2954" s="26"/>
      <c r="J2954" s="26" t="s">
        <v>77</v>
      </c>
      <c r="L2954" s="27" t="s">
        <v>77</v>
      </c>
      <c r="N2954" s="28" t="s">
        <v>77</v>
      </c>
      <c r="Q2954" s="30"/>
    </row>
    <row r="2955">
      <c r="B2955" s="6"/>
      <c r="C2955" s="33" t="str">
        <f t="array" ref="C2955">IF(B2955="", "", XLOOKUP(B2955, Inventory!D:D,Inventory!E:E,"No Name Found"))</f>
        <v/>
      </c>
      <c r="D2955" s="6"/>
      <c r="E2955" s="6"/>
      <c r="F2955" s="6"/>
      <c r="G2955" s="24" t="str">
        <f>IF(F2955="", "", VLOOKUP(F2955, Inventory!A:BZ, 3, FALSE) - SUMIF($F$1:$F2954, F2955, $H$1:$H2954))
</f>
        <v/>
      </c>
      <c r="I2955" s="26"/>
      <c r="J2955" s="26" t="s">
        <v>77</v>
      </c>
      <c r="L2955" s="27" t="s">
        <v>77</v>
      </c>
      <c r="N2955" s="28" t="s">
        <v>77</v>
      </c>
      <c r="Q2955" s="30"/>
    </row>
    <row r="2956">
      <c r="B2956" s="6"/>
      <c r="C2956" s="33" t="str">
        <f t="array" ref="C2956">IF(B2956="", "", XLOOKUP(B2956, Inventory!D:D,Inventory!E:E,"No Name Found"))</f>
        <v/>
      </c>
      <c r="D2956" s="6"/>
      <c r="E2956" s="6"/>
      <c r="F2956" s="6"/>
      <c r="G2956" s="24" t="str">
        <f>IF(F2956="", "", VLOOKUP(F2956, Inventory!A:BZ, 3, FALSE) - SUMIF($F$1:$F2955, F2956, $H$1:$H2955))
</f>
        <v/>
      </c>
      <c r="I2956" s="26"/>
      <c r="J2956" s="26" t="s">
        <v>77</v>
      </c>
      <c r="L2956" s="27" t="s">
        <v>77</v>
      </c>
      <c r="N2956" s="28" t="s">
        <v>77</v>
      </c>
      <c r="Q2956" s="30"/>
    </row>
    <row r="2957">
      <c r="B2957" s="6"/>
      <c r="C2957" s="33" t="str">
        <f t="array" ref="C2957">IF(B2957="", "", XLOOKUP(B2957, Inventory!D:D,Inventory!E:E,"No Name Found"))</f>
        <v/>
      </c>
      <c r="D2957" s="6"/>
      <c r="E2957" s="6"/>
      <c r="F2957" s="6"/>
      <c r="G2957" s="24" t="str">
        <f>IF(F2957="", "", VLOOKUP(F2957, Inventory!A:BZ, 3, FALSE) - SUMIF($F$1:$F2956, F2957, $H$1:$H2956))
</f>
        <v/>
      </c>
      <c r="I2957" s="26"/>
      <c r="J2957" s="26" t="s">
        <v>77</v>
      </c>
      <c r="L2957" s="27" t="s">
        <v>77</v>
      </c>
      <c r="N2957" s="28" t="s">
        <v>77</v>
      </c>
      <c r="Q2957" s="30"/>
    </row>
    <row r="2958">
      <c r="B2958" s="6"/>
      <c r="C2958" s="33" t="str">
        <f t="array" ref="C2958">IF(B2958="", "", XLOOKUP(B2958, Inventory!D:D,Inventory!E:E,"No Name Found"))</f>
        <v/>
      </c>
      <c r="D2958" s="6"/>
      <c r="E2958" s="6"/>
      <c r="F2958" s="6"/>
      <c r="G2958" s="24" t="str">
        <f>IF(F2958="", "", VLOOKUP(F2958, Inventory!A:BZ, 3, FALSE) - SUMIF($F$1:$F2957, F2958, $H$1:$H2957))
</f>
        <v/>
      </c>
      <c r="I2958" s="26"/>
      <c r="J2958" s="26" t="s">
        <v>77</v>
      </c>
      <c r="L2958" s="27" t="s">
        <v>77</v>
      </c>
      <c r="N2958" s="28" t="s">
        <v>77</v>
      </c>
      <c r="Q2958" s="30"/>
    </row>
    <row r="2959">
      <c r="B2959" s="6"/>
      <c r="C2959" s="33" t="str">
        <f t="array" ref="C2959">IF(B2959="", "", XLOOKUP(B2959, Inventory!D:D,Inventory!E:E,"No Name Found"))</f>
        <v/>
      </c>
      <c r="D2959" s="6"/>
      <c r="E2959" s="6"/>
      <c r="F2959" s="6"/>
      <c r="G2959" s="24" t="str">
        <f>IF(F2959="", "", VLOOKUP(F2959, Inventory!A:BZ, 3, FALSE) - SUMIF($F$1:$F2958, F2959, $H$1:$H2958))
</f>
        <v/>
      </c>
      <c r="I2959" s="26"/>
      <c r="J2959" s="26" t="s">
        <v>77</v>
      </c>
      <c r="L2959" s="27" t="s">
        <v>77</v>
      </c>
      <c r="N2959" s="28" t="s">
        <v>77</v>
      </c>
      <c r="Q2959" s="30"/>
    </row>
    <row r="2960">
      <c r="B2960" s="6"/>
      <c r="C2960" s="33" t="str">
        <f t="array" ref="C2960">IF(B2960="", "", XLOOKUP(B2960, Inventory!D:D,Inventory!E:E,"No Name Found"))</f>
        <v/>
      </c>
      <c r="D2960" s="6"/>
      <c r="E2960" s="6"/>
      <c r="F2960" s="6"/>
      <c r="G2960" s="24" t="str">
        <f>IF(F2960="", "", VLOOKUP(F2960, Inventory!A:BZ, 3, FALSE) - SUMIF($F$1:$F2959, F2960, $H$1:$H2959))
</f>
        <v/>
      </c>
      <c r="I2960" s="26"/>
      <c r="J2960" s="26" t="s">
        <v>77</v>
      </c>
      <c r="L2960" s="27" t="s">
        <v>77</v>
      </c>
      <c r="N2960" s="28" t="s">
        <v>77</v>
      </c>
      <c r="Q2960" s="30"/>
    </row>
    <row r="2961">
      <c r="B2961" s="6"/>
      <c r="C2961" s="33" t="str">
        <f t="array" ref="C2961">IF(B2961="", "", XLOOKUP(B2961, Inventory!D:D,Inventory!E:E,"No Name Found"))</f>
        <v/>
      </c>
      <c r="D2961" s="6"/>
      <c r="E2961" s="6"/>
      <c r="F2961" s="6"/>
      <c r="G2961" s="24" t="str">
        <f>IF(F2961="", "", VLOOKUP(F2961, Inventory!A:BZ, 3, FALSE) - SUMIF($F$1:$F2960, F2961, $H$1:$H2960))
</f>
        <v/>
      </c>
      <c r="I2961" s="26"/>
      <c r="J2961" s="26" t="s">
        <v>77</v>
      </c>
      <c r="L2961" s="27" t="s">
        <v>77</v>
      </c>
      <c r="N2961" s="28" t="s">
        <v>77</v>
      </c>
      <c r="Q2961" s="30"/>
    </row>
    <row r="2962">
      <c r="B2962" s="6"/>
      <c r="C2962" s="33" t="str">
        <f t="array" ref="C2962">IF(B2962="", "", XLOOKUP(B2962, Inventory!D:D,Inventory!E:E,"No Name Found"))</f>
        <v/>
      </c>
      <c r="D2962" s="6"/>
      <c r="E2962" s="6"/>
      <c r="F2962" s="6"/>
      <c r="G2962" s="24" t="str">
        <f>IF(F2962="", "", VLOOKUP(F2962, Inventory!A:BZ, 3, FALSE) - SUMIF($F$1:$F2961, F2962, $H$1:$H2961))
</f>
        <v/>
      </c>
      <c r="I2962" s="26"/>
      <c r="J2962" s="26" t="s">
        <v>77</v>
      </c>
      <c r="L2962" s="27" t="s">
        <v>77</v>
      </c>
      <c r="N2962" s="28" t="s">
        <v>77</v>
      </c>
      <c r="Q2962" s="30"/>
    </row>
    <row r="2963">
      <c r="B2963" s="6"/>
      <c r="C2963" s="33" t="str">
        <f t="array" ref="C2963">IF(B2963="", "", XLOOKUP(B2963, Inventory!D:D,Inventory!E:E,"No Name Found"))</f>
        <v/>
      </c>
      <c r="D2963" s="6"/>
      <c r="E2963" s="6"/>
      <c r="F2963" s="6"/>
      <c r="G2963" s="24" t="str">
        <f>IF(F2963="", "", VLOOKUP(F2963, Inventory!A:BZ, 3, FALSE) - SUMIF($F$1:$F2962, F2963, $H$1:$H2962))
</f>
        <v/>
      </c>
      <c r="I2963" s="26"/>
      <c r="J2963" s="26" t="s">
        <v>77</v>
      </c>
      <c r="L2963" s="27" t="s">
        <v>77</v>
      </c>
      <c r="N2963" s="28" t="s">
        <v>77</v>
      </c>
      <c r="Q2963" s="30"/>
    </row>
    <row r="2964">
      <c r="B2964" s="6"/>
      <c r="C2964" s="33" t="str">
        <f t="array" ref="C2964">IF(B2964="", "", XLOOKUP(B2964, Inventory!D:D,Inventory!E:E,"No Name Found"))</f>
        <v/>
      </c>
      <c r="D2964" s="6"/>
      <c r="E2964" s="6"/>
      <c r="F2964" s="6"/>
      <c r="G2964" s="24" t="str">
        <f>IF(F2964="", "", VLOOKUP(F2964, Inventory!A:BZ, 3, FALSE) - SUMIF($F$1:$F2963, F2964, $H$1:$H2963))
</f>
        <v/>
      </c>
      <c r="I2964" s="26"/>
      <c r="J2964" s="26" t="s">
        <v>77</v>
      </c>
      <c r="L2964" s="27" t="s">
        <v>77</v>
      </c>
      <c r="N2964" s="28" t="s">
        <v>77</v>
      </c>
      <c r="Q2964" s="30"/>
    </row>
    <row r="2965">
      <c r="B2965" s="6"/>
      <c r="C2965" s="33" t="str">
        <f t="array" ref="C2965">IF(B2965="", "", XLOOKUP(B2965, Inventory!D:D,Inventory!E:E,"No Name Found"))</f>
        <v/>
      </c>
      <c r="D2965" s="6"/>
      <c r="E2965" s="6"/>
      <c r="F2965" s="6"/>
      <c r="G2965" s="24" t="str">
        <f>IF(F2965="", "", VLOOKUP(F2965, Inventory!A:BZ, 3, FALSE) - SUMIF($F$1:$F2964, F2965, $H$1:$H2964))
</f>
        <v/>
      </c>
      <c r="I2965" s="26"/>
      <c r="J2965" s="26" t="s">
        <v>77</v>
      </c>
      <c r="L2965" s="27" t="s">
        <v>77</v>
      </c>
      <c r="N2965" s="28" t="s">
        <v>77</v>
      </c>
      <c r="Q2965" s="30"/>
    </row>
    <row r="2966">
      <c r="B2966" s="6"/>
      <c r="C2966" s="33" t="str">
        <f t="array" ref="C2966">IF(B2966="", "", XLOOKUP(B2966, Inventory!D:D,Inventory!E:E,"No Name Found"))</f>
        <v/>
      </c>
      <c r="D2966" s="6"/>
      <c r="E2966" s="6"/>
      <c r="F2966" s="6"/>
      <c r="G2966" s="24" t="str">
        <f>IF(F2966="", "", VLOOKUP(F2966, Inventory!A:BZ, 3, FALSE) - SUMIF($F$1:$F2965, F2966, $H$1:$H2965))
</f>
        <v/>
      </c>
      <c r="I2966" s="26"/>
      <c r="J2966" s="26" t="s">
        <v>77</v>
      </c>
      <c r="L2966" s="27" t="s">
        <v>77</v>
      </c>
      <c r="N2966" s="28" t="s">
        <v>77</v>
      </c>
      <c r="Q2966" s="30"/>
    </row>
    <row r="2967">
      <c r="B2967" s="6"/>
      <c r="C2967" s="33" t="str">
        <f t="array" ref="C2967">IF(B2967="", "", XLOOKUP(B2967, Inventory!D:D,Inventory!E:E,"No Name Found"))</f>
        <v/>
      </c>
      <c r="D2967" s="6"/>
      <c r="E2967" s="6"/>
      <c r="F2967" s="6"/>
      <c r="G2967" s="24" t="str">
        <f>IF(F2967="", "", VLOOKUP(F2967, Inventory!A:BZ, 3, FALSE) - SUMIF($F$1:$F2966, F2967, $H$1:$H2966))
</f>
        <v/>
      </c>
      <c r="I2967" s="26"/>
      <c r="J2967" s="26" t="s">
        <v>77</v>
      </c>
      <c r="L2967" s="27" t="s">
        <v>77</v>
      </c>
      <c r="N2967" s="28" t="s">
        <v>77</v>
      </c>
      <c r="Q2967" s="30"/>
    </row>
    <row r="2968">
      <c r="B2968" s="6"/>
      <c r="C2968" s="33" t="str">
        <f t="array" ref="C2968">IF(B2968="", "", XLOOKUP(B2968, Inventory!D:D,Inventory!E:E,"No Name Found"))</f>
        <v/>
      </c>
      <c r="D2968" s="6"/>
      <c r="E2968" s="6"/>
      <c r="F2968" s="6"/>
      <c r="G2968" s="24" t="str">
        <f>IF(F2968="", "", VLOOKUP(F2968, Inventory!A:BZ, 3, FALSE) - SUMIF($F$1:$F2967, F2968, $H$1:$H2967))
</f>
        <v/>
      </c>
      <c r="I2968" s="26"/>
      <c r="J2968" s="26" t="s">
        <v>77</v>
      </c>
      <c r="L2968" s="27" t="s">
        <v>77</v>
      </c>
      <c r="N2968" s="28" t="s">
        <v>77</v>
      </c>
      <c r="Q2968" s="30"/>
    </row>
    <row r="2969">
      <c r="B2969" s="6"/>
      <c r="C2969" s="33" t="str">
        <f t="array" ref="C2969">IF(B2969="", "", XLOOKUP(B2969, Inventory!D:D,Inventory!E:E,"No Name Found"))</f>
        <v/>
      </c>
      <c r="D2969" s="6"/>
      <c r="E2969" s="6"/>
      <c r="F2969" s="6"/>
      <c r="G2969" s="24" t="str">
        <f>IF(F2969="", "", VLOOKUP(F2969, Inventory!A:BZ, 3, FALSE) - SUMIF($F$1:$F2968, F2969, $H$1:$H2968))
</f>
        <v/>
      </c>
      <c r="I2969" s="26"/>
      <c r="J2969" s="26" t="s">
        <v>77</v>
      </c>
      <c r="L2969" s="27" t="s">
        <v>77</v>
      </c>
      <c r="N2969" s="28" t="s">
        <v>77</v>
      </c>
      <c r="Q2969" s="30"/>
    </row>
    <row r="2970">
      <c r="B2970" s="6"/>
      <c r="C2970" s="33" t="str">
        <f t="array" ref="C2970">IF(B2970="", "", XLOOKUP(B2970, Inventory!D:D,Inventory!E:E,"No Name Found"))</f>
        <v/>
      </c>
      <c r="D2970" s="6"/>
      <c r="E2970" s="6"/>
      <c r="F2970" s="6"/>
      <c r="G2970" s="24" t="str">
        <f>IF(F2970="", "", VLOOKUP(F2970, Inventory!A:BZ, 3, FALSE) - SUMIF($F$1:$F2969, F2970, $H$1:$H2969))
</f>
        <v/>
      </c>
      <c r="I2970" s="26"/>
      <c r="J2970" s="26" t="s">
        <v>77</v>
      </c>
      <c r="L2970" s="27" t="s">
        <v>77</v>
      </c>
      <c r="N2970" s="28" t="s">
        <v>77</v>
      </c>
      <c r="Q2970" s="30"/>
    </row>
    <row r="2971">
      <c r="B2971" s="6"/>
      <c r="C2971" s="33" t="str">
        <f t="array" ref="C2971">IF(B2971="", "", XLOOKUP(B2971, Inventory!D:D,Inventory!E:E,"No Name Found"))</f>
        <v/>
      </c>
      <c r="D2971" s="6"/>
      <c r="E2971" s="6"/>
      <c r="F2971" s="6"/>
      <c r="G2971" s="24" t="str">
        <f>IF(F2971="", "", VLOOKUP(F2971, Inventory!A:BZ, 3, FALSE) - SUMIF($F$1:$F2970, F2971, $H$1:$H2970))
</f>
        <v/>
      </c>
      <c r="I2971" s="26"/>
      <c r="J2971" s="26" t="s">
        <v>77</v>
      </c>
      <c r="L2971" s="27" t="s">
        <v>77</v>
      </c>
      <c r="N2971" s="28" t="s">
        <v>77</v>
      </c>
      <c r="Q2971" s="30"/>
    </row>
    <row r="2972">
      <c r="B2972" s="6"/>
      <c r="C2972" s="33" t="str">
        <f t="array" ref="C2972">IF(B2972="", "", XLOOKUP(B2972, Inventory!D:D,Inventory!E:E,"No Name Found"))</f>
        <v/>
      </c>
      <c r="D2972" s="6"/>
      <c r="E2972" s="6"/>
      <c r="F2972" s="6"/>
      <c r="G2972" s="24" t="str">
        <f>IF(F2972="", "", VLOOKUP(F2972, Inventory!A:BZ, 3, FALSE) - SUMIF($F$1:$F2971, F2972, $H$1:$H2971))
</f>
        <v/>
      </c>
      <c r="I2972" s="26"/>
      <c r="J2972" s="26" t="s">
        <v>77</v>
      </c>
      <c r="L2972" s="27" t="s">
        <v>77</v>
      </c>
      <c r="N2972" s="28" t="s">
        <v>77</v>
      </c>
      <c r="Q2972" s="30"/>
    </row>
    <row r="2973">
      <c r="B2973" s="6"/>
      <c r="C2973" s="33" t="str">
        <f t="array" ref="C2973">IF(B2973="", "", XLOOKUP(B2973, Inventory!D:D,Inventory!E:E,"No Name Found"))</f>
        <v/>
      </c>
      <c r="D2973" s="6"/>
      <c r="E2973" s="6"/>
      <c r="F2973" s="6"/>
      <c r="G2973" s="24" t="str">
        <f>IF(F2973="", "", VLOOKUP(F2973, Inventory!A:BZ, 3, FALSE) - SUMIF($F$1:$F2972, F2973, $H$1:$H2972))
</f>
        <v/>
      </c>
      <c r="I2973" s="26"/>
      <c r="J2973" s="26" t="s">
        <v>77</v>
      </c>
      <c r="L2973" s="27" t="s">
        <v>77</v>
      </c>
      <c r="N2973" s="28" t="s">
        <v>77</v>
      </c>
      <c r="Q2973" s="30"/>
    </row>
    <row r="2974">
      <c r="B2974" s="6"/>
      <c r="C2974" s="33" t="str">
        <f t="array" ref="C2974">IF(B2974="", "", XLOOKUP(B2974, Inventory!D:D,Inventory!E:E,"No Name Found"))</f>
        <v/>
      </c>
      <c r="D2974" s="6"/>
      <c r="E2974" s="6"/>
      <c r="F2974" s="6"/>
      <c r="G2974" s="24" t="str">
        <f>IF(F2974="", "", VLOOKUP(F2974, Inventory!A:BZ, 3, FALSE) - SUMIF($F$1:$F2973, F2974, $H$1:$H2973))
</f>
        <v/>
      </c>
      <c r="I2974" s="26"/>
      <c r="J2974" s="26" t="s">
        <v>77</v>
      </c>
      <c r="L2974" s="27" t="s">
        <v>77</v>
      </c>
      <c r="N2974" s="28" t="s">
        <v>77</v>
      </c>
      <c r="Q2974" s="30"/>
    </row>
    <row r="2975">
      <c r="B2975" s="6"/>
      <c r="C2975" s="33" t="str">
        <f t="array" ref="C2975">IF(B2975="", "", XLOOKUP(B2975, Inventory!D:D,Inventory!E:E,"No Name Found"))</f>
        <v/>
      </c>
      <c r="D2975" s="6"/>
      <c r="E2975" s="6"/>
      <c r="F2975" s="6"/>
      <c r="G2975" s="24" t="str">
        <f>IF(F2975="", "", VLOOKUP(F2975, Inventory!A:BZ, 3, FALSE) - SUMIF($F$1:$F2974, F2975, $H$1:$H2974))
</f>
        <v/>
      </c>
      <c r="I2975" s="26"/>
      <c r="J2975" s="26" t="s">
        <v>77</v>
      </c>
      <c r="L2975" s="27" t="s">
        <v>77</v>
      </c>
      <c r="N2975" s="28" t="s">
        <v>77</v>
      </c>
      <c r="Q2975" s="30"/>
    </row>
    <row r="2976">
      <c r="B2976" s="6"/>
      <c r="C2976" s="33" t="str">
        <f t="array" ref="C2976">IF(B2976="", "", XLOOKUP(B2976, Inventory!D:D,Inventory!E:E,"No Name Found"))</f>
        <v/>
      </c>
      <c r="D2976" s="6"/>
      <c r="E2976" s="6"/>
      <c r="F2976" s="6"/>
      <c r="G2976" s="24" t="str">
        <f>IF(F2976="", "", VLOOKUP(F2976, Inventory!A:BZ, 3, FALSE) - SUMIF($F$1:$F2975, F2976, $H$1:$H2975))
</f>
        <v/>
      </c>
      <c r="I2976" s="26"/>
      <c r="J2976" s="26" t="s">
        <v>77</v>
      </c>
      <c r="L2976" s="27" t="s">
        <v>77</v>
      </c>
      <c r="N2976" s="28" t="s">
        <v>77</v>
      </c>
      <c r="Q2976" s="30"/>
    </row>
    <row r="2977">
      <c r="B2977" s="6"/>
      <c r="C2977" s="33" t="str">
        <f t="array" ref="C2977">IF(B2977="", "", XLOOKUP(B2977, Inventory!D:D,Inventory!E:E,"No Name Found"))</f>
        <v/>
      </c>
      <c r="D2977" s="6"/>
      <c r="E2977" s="6"/>
      <c r="F2977" s="6"/>
      <c r="G2977" s="24" t="str">
        <f>IF(F2977="", "", VLOOKUP(F2977, Inventory!A:BZ, 3, FALSE) - SUMIF($F$1:$F2976, F2977, $H$1:$H2976))
</f>
        <v/>
      </c>
      <c r="I2977" s="26"/>
      <c r="J2977" s="26" t="s">
        <v>77</v>
      </c>
      <c r="L2977" s="27" t="s">
        <v>77</v>
      </c>
      <c r="N2977" s="28" t="s">
        <v>77</v>
      </c>
      <c r="Q2977" s="30"/>
    </row>
    <row r="2978">
      <c r="B2978" s="6"/>
      <c r="C2978" s="33" t="str">
        <f t="array" ref="C2978">IF(B2978="", "", XLOOKUP(B2978, Inventory!D:D,Inventory!E:E,"No Name Found"))</f>
        <v/>
      </c>
      <c r="D2978" s="6"/>
      <c r="E2978" s="6"/>
      <c r="F2978" s="6"/>
      <c r="G2978" s="24" t="str">
        <f>IF(F2978="", "", VLOOKUP(F2978, Inventory!A:BZ, 3, FALSE) - SUMIF($F$1:$F2977, F2978, $H$1:$H2977))
</f>
        <v/>
      </c>
      <c r="I2978" s="26"/>
      <c r="J2978" s="26" t="s">
        <v>77</v>
      </c>
      <c r="L2978" s="27" t="s">
        <v>77</v>
      </c>
      <c r="N2978" s="28" t="s">
        <v>77</v>
      </c>
      <c r="Q2978" s="30"/>
    </row>
    <row r="2979">
      <c r="B2979" s="6"/>
      <c r="C2979" s="33" t="str">
        <f t="array" ref="C2979">IF(B2979="", "", XLOOKUP(B2979, Inventory!D:D,Inventory!E:E,"No Name Found"))</f>
        <v/>
      </c>
      <c r="D2979" s="6"/>
      <c r="E2979" s="6"/>
      <c r="F2979" s="6"/>
      <c r="G2979" s="24" t="str">
        <f>IF(F2979="", "", VLOOKUP(F2979, Inventory!A:BZ, 3, FALSE) - SUMIF($F$1:$F2978, F2979, $H$1:$H2978))
</f>
        <v/>
      </c>
      <c r="I2979" s="26"/>
      <c r="J2979" s="26" t="s">
        <v>77</v>
      </c>
      <c r="L2979" s="27" t="s">
        <v>77</v>
      </c>
      <c r="N2979" s="28" t="s">
        <v>77</v>
      </c>
      <c r="Q2979" s="30"/>
    </row>
    <row r="2980">
      <c r="B2980" s="6"/>
      <c r="C2980" s="33" t="str">
        <f t="array" ref="C2980">IF(B2980="", "", XLOOKUP(B2980, Inventory!D:D,Inventory!E:E,"No Name Found"))</f>
        <v/>
      </c>
      <c r="D2980" s="6"/>
      <c r="E2980" s="6"/>
      <c r="F2980" s="6"/>
      <c r="G2980" s="24" t="str">
        <f>IF(F2980="", "", VLOOKUP(F2980, Inventory!A:BZ, 3, FALSE) - SUMIF($F$1:$F2979, F2980, $H$1:$H2979))
</f>
        <v/>
      </c>
      <c r="I2980" s="26"/>
      <c r="J2980" s="26" t="s">
        <v>77</v>
      </c>
      <c r="L2980" s="27" t="s">
        <v>77</v>
      </c>
      <c r="N2980" s="28" t="s">
        <v>77</v>
      </c>
      <c r="Q2980" s="30"/>
    </row>
    <row r="2981">
      <c r="B2981" s="6"/>
      <c r="C2981" s="33" t="str">
        <f t="array" ref="C2981">IF(B2981="", "", XLOOKUP(B2981, Inventory!D:D,Inventory!E:E,"No Name Found"))</f>
        <v/>
      </c>
      <c r="D2981" s="6"/>
      <c r="E2981" s="6"/>
      <c r="F2981" s="6"/>
      <c r="G2981" s="24" t="str">
        <f>IF(F2981="", "", VLOOKUP(F2981, Inventory!A:BZ, 3, FALSE) - SUMIF($F$1:$F2980, F2981, $H$1:$H2980))
</f>
        <v/>
      </c>
      <c r="I2981" s="26"/>
      <c r="J2981" s="26" t="s">
        <v>77</v>
      </c>
      <c r="L2981" s="27" t="s">
        <v>77</v>
      </c>
      <c r="N2981" s="28" t="s">
        <v>77</v>
      </c>
      <c r="Q2981" s="30"/>
    </row>
    <row r="2982">
      <c r="B2982" s="6"/>
      <c r="C2982" s="33" t="str">
        <f t="array" ref="C2982">IF(B2982="", "", XLOOKUP(B2982, Inventory!D:D,Inventory!E:E,"No Name Found"))</f>
        <v/>
      </c>
      <c r="D2982" s="6"/>
      <c r="E2982" s="6"/>
      <c r="F2982" s="6"/>
      <c r="G2982" s="24" t="str">
        <f>IF(F2982="", "", VLOOKUP(F2982, Inventory!A:BZ, 3, FALSE) - SUMIF($F$1:$F2981, F2982, $H$1:$H2981))
</f>
        <v/>
      </c>
      <c r="I2982" s="26"/>
      <c r="J2982" s="26" t="s">
        <v>77</v>
      </c>
      <c r="L2982" s="27" t="s">
        <v>77</v>
      </c>
      <c r="N2982" s="28" t="s">
        <v>77</v>
      </c>
      <c r="Q2982" s="30"/>
    </row>
    <row r="2983">
      <c r="B2983" s="6"/>
      <c r="C2983" s="33" t="str">
        <f t="array" ref="C2983">IF(B2983="", "", XLOOKUP(B2983, Inventory!D:D,Inventory!E:E,"No Name Found"))</f>
        <v/>
      </c>
      <c r="D2983" s="6"/>
      <c r="E2983" s="6"/>
      <c r="F2983" s="6"/>
      <c r="G2983" s="24" t="str">
        <f>IF(F2983="", "", VLOOKUP(F2983, Inventory!A:BZ, 3, FALSE) - SUMIF($F$1:$F2982, F2983, $H$1:$H2982))
</f>
        <v/>
      </c>
      <c r="I2983" s="26"/>
      <c r="J2983" s="26" t="s">
        <v>77</v>
      </c>
      <c r="L2983" s="27" t="s">
        <v>77</v>
      </c>
      <c r="N2983" s="28" t="s">
        <v>77</v>
      </c>
      <c r="Q2983" s="30"/>
    </row>
    <row r="2984">
      <c r="B2984" s="6"/>
      <c r="C2984" s="33" t="str">
        <f t="array" ref="C2984">IF(B2984="", "", XLOOKUP(B2984, Inventory!D:D,Inventory!E:E,"No Name Found"))</f>
        <v/>
      </c>
      <c r="D2984" s="6"/>
      <c r="E2984" s="6"/>
      <c r="F2984" s="6"/>
      <c r="G2984" s="24" t="str">
        <f>IF(F2984="", "", VLOOKUP(F2984, Inventory!A:BZ, 3, FALSE) - SUMIF($F$1:$F2983, F2984, $H$1:$H2983))
</f>
        <v/>
      </c>
      <c r="I2984" s="26"/>
      <c r="J2984" s="26" t="s">
        <v>77</v>
      </c>
      <c r="L2984" s="27" t="s">
        <v>77</v>
      </c>
      <c r="N2984" s="28" t="s">
        <v>77</v>
      </c>
      <c r="Q2984" s="30"/>
    </row>
    <row r="2985">
      <c r="B2985" s="6"/>
      <c r="C2985" s="33" t="str">
        <f t="array" ref="C2985">IF(B2985="", "", XLOOKUP(B2985, Inventory!D:D,Inventory!E:E,"No Name Found"))</f>
        <v/>
      </c>
      <c r="D2985" s="6"/>
      <c r="E2985" s="6"/>
      <c r="F2985" s="6"/>
      <c r="G2985" s="24" t="str">
        <f>IF(F2985="", "", VLOOKUP(F2985, Inventory!A:BZ, 3, FALSE) - SUMIF($F$1:$F2984, F2985, $H$1:$H2984))
</f>
        <v/>
      </c>
      <c r="I2985" s="26"/>
      <c r="J2985" s="26" t="s">
        <v>77</v>
      </c>
      <c r="L2985" s="27" t="s">
        <v>77</v>
      </c>
      <c r="N2985" s="28" t="s">
        <v>77</v>
      </c>
      <c r="Q2985" s="30"/>
    </row>
    <row r="2986">
      <c r="B2986" s="6"/>
      <c r="C2986" s="33" t="str">
        <f t="array" ref="C2986">IF(B2986="", "", XLOOKUP(B2986, Inventory!D:D,Inventory!E:E,"No Name Found"))</f>
        <v/>
      </c>
      <c r="D2986" s="6"/>
      <c r="E2986" s="6"/>
      <c r="F2986" s="6"/>
      <c r="G2986" s="24" t="str">
        <f>IF(F2986="", "", VLOOKUP(F2986, Inventory!A:BZ, 3, FALSE) - SUMIF($F$1:$F2985, F2986, $H$1:$H2985))
</f>
        <v/>
      </c>
      <c r="I2986" s="26"/>
      <c r="J2986" s="26" t="s">
        <v>77</v>
      </c>
      <c r="L2986" s="27" t="s">
        <v>77</v>
      </c>
      <c r="N2986" s="28" t="s">
        <v>77</v>
      </c>
      <c r="Q2986" s="30"/>
    </row>
    <row r="2987">
      <c r="B2987" s="6"/>
      <c r="C2987" s="33" t="str">
        <f t="array" ref="C2987">IF(B2987="", "", XLOOKUP(B2987, Inventory!D:D,Inventory!E:E,"No Name Found"))</f>
        <v/>
      </c>
      <c r="D2987" s="6"/>
      <c r="E2987" s="6"/>
      <c r="F2987" s="6"/>
      <c r="G2987" s="24" t="str">
        <f>IF(F2987="", "", VLOOKUP(F2987, Inventory!A:BZ, 3, FALSE) - SUMIF($F$1:$F2986, F2987, $H$1:$H2986))
</f>
        <v/>
      </c>
      <c r="I2987" s="26"/>
      <c r="J2987" s="26" t="s">
        <v>77</v>
      </c>
      <c r="L2987" s="27" t="s">
        <v>77</v>
      </c>
      <c r="N2987" s="28" t="s">
        <v>77</v>
      </c>
      <c r="Q2987" s="30"/>
    </row>
    <row r="2988">
      <c r="B2988" s="6"/>
      <c r="C2988" s="33" t="str">
        <f t="array" ref="C2988">IF(B2988="", "", XLOOKUP(B2988, Inventory!D:D,Inventory!E:E,"No Name Found"))</f>
        <v/>
      </c>
      <c r="D2988" s="6"/>
      <c r="E2988" s="6"/>
      <c r="F2988" s="6"/>
      <c r="G2988" s="24" t="str">
        <f>IF(F2988="", "", VLOOKUP(F2988, Inventory!A:BZ, 3, FALSE) - SUMIF($F$1:$F2987, F2988, $H$1:$H2987))
</f>
        <v/>
      </c>
      <c r="I2988" s="26"/>
      <c r="J2988" s="26" t="s">
        <v>77</v>
      </c>
      <c r="L2988" s="27" t="s">
        <v>77</v>
      </c>
      <c r="N2988" s="28" t="s">
        <v>77</v>
      </c>
      <c r="Q2988" s="30"/>
    </row>
    <row r="2989">
      <c r="B2989" s="6"/>
      <c r="C2989" s="33" t="str">
        <f t="array" ref="C2989">IF(B2989="", "", XLOOKUP(B2989, Inventory!D:D,Inventory!E:E,"No Name Found"))</f>
        <v/>
      </c>
      <c r="D2989" s="6"/>
      <c r="E2989" s="6"/>
      <c r="F2989" s="6"/>
      <c r="G2989" s="24" t="str">
        <f>IF(F2989="", "", VLOOKUP(F2989, Inventory!A:BZ, 3, FALSE) - SUMIF($F$1:$F2988, F2989, $H$1:$H2988))
</f>
        <v/>
      </c>
      <c r="I2989" s="26"/>
      <c r="J2989" s="26" t="s">
        <v>77</v>
      </c>
      <c r="L2989" s="27" t="s">
        <v>77</v>
      </c>
      <c r="N2989" s="28" t="s">
        <v>77</v>
      </c>
      <c r="Q2989" s="30"/>
    </row>
    <row r="2990">
      <c r="B2990" s="6"/>
      <c r="C2990" s="33" t="str">
        <f t="array" ref="C2990">IF(B2990="", "", XLOOKUP(B2990, Inventory!D:D,Inventory!E:E,"No Name Found"))</f>
        <v/>
      </c>
      <c r="D2990" s="6"/>
      <c r="E2990" s="6"/>
      <c r="F2990" s="6"/>
      <c r="G2990" s="24" t="str">
        <f>IF(F2990="", "", VLOOKUP(F2990, Inventory!A:BZ, 3, FALSE) - SUMIF($F$1:$F2989, F2990, $H$1:$H2989))
</f>
        <v/>
      </c>
      <c r="I2990" s="26"/>
      <c r="J2990" s="26" t="s">
        <v>77</v>
      </c>
      <c r="L2990" s="27" t="s">
        <v>77</v>
      </c>
      <c r="N2990" s="28" t="s">
        <v>77</v>
      </c>
      <c r="Q2990" s="30"/>
    </row>
    <row r="2991">
      <c r="B2991" s="6"/>
      <c r="C2991" s="33" t="str">
        <f t="array" ref="C2991">IF(B2991="", "", XLOOKUP(B2991, Inventory!D:D,Inventory!E:E,"No Name Found"))</f>
        <v/>
      </c>
      <c r="D2991" s="6"/>
      <c r="E2991" s="6"/>
      <c r="F2991" s="6"/>
      <c r="G2991" s="24" t="str">
        <f>IF(F2991="", "", VLOOKUP(F2991, Inventory!A:BZ, 3, FALSE) - SUMIF($F$1:$F2990, F2991, $H$1:$H2990))
</f>
        <v/>
      </c>
      <c r="I2991" s="26"/>
      <c r="J2991" s="26" t="s">
        <v>77</v>
      </c>
      <c r="L2991" s="27" t="s">
        <v>77</v>
      </c>
      <c r="N2991" s="28" t="s">
        <v>77</v>
      </c>
      <c r="Q2991" s="30"/>
    </row>
    <row r="2992">
      <c r="B2992" s="6"/>
      <c r="C2992" s="33" t="str">
        <f t="array" ref="C2992">IF(B2992="", "", XLOOKUP(B2992, Inventory!D:D,Inventory!E:E,"No Name Found"))</f>
        <v/>
      </c>
      <c r="D2992" s="6"/>
      <c r="E2992" s="6"/>
      <c r="F2992" s="6"/>
      <c r="G2992" s="24" t="str">
        <f>IF(F2992="", "", VLOOKUP(F2992, Inventory!A:BZ, 3, FALSE) - SUMIF($F$1:$F2991, F2992, $H$1:$H2991))
</f>
        <v/>
      </c>
      <c r="I2992" s="26"/>
      <c r="J2992" s="26" t="s">
        <v>77</v>
      </c>
      <c r="L2992" s="27" t="s">
        <v>77</v>
      </c>
      <c r="N2992" s="28" t="s">
        <v>77</v>
      </c>
      <c r="Q2992" s="30"/>
    </row>
    <row r="2993">
      <c r="B2993" s="6"/>
      <c r="C2993" s="33" t="str">
        <f t="array" ref="C2993">IF(B2993="", "", XLOOKUP(B2993, Inventory!D:D,Inventory!E:E,"No Name Found"))</f>
        <v/>
      </c>
      <c r="D2993" s="6"/>
      <c r="E2993" s="6"/>
      <c r="F2993" s="6"/>
      <c r="G2993" s="24" t="str">
        <f>IF(F2993="", "", VLOOKUP(F2993, Inventory!A:BZ, 3, FALSE) - SUMIF($F$1:$F2992, F2993, $H$1:$H2992))
</f>
        <v/>
      </c>
      <c r="I2993" s="26"/>
      <c r="J2993" s="26" t="s">
        <v>77</v>
      </c>
      <c r="L2993" s="27" t="s">
        <v>77</v>
      </c>
      <c r="N2993" s="28" t="s">
        <v>77</v>
      </c>
      <c r="Q2993" s="30"/>
    </row>
    <row r="2994">
      <c r="B2994" s="6"/>
      <c r="C2994" s="33" t="str">
        <f t="array" ref="C2994">IF(B2994="", "", XLOOKUP(B2994, Inventory!D:D,Inventory!E:E,"No Name Found"))</f>
        <v/>
      </c>
      <c r="D2994" s="6"/>
      <c r="E2994" s="6"/>
      <c r="F2994" s="6"/>
      <c r="G2994" s="24" t="str">
        <f>IF(F2994="", "", VLOOKUP(F2994, Inventory!A:BZ, 3, FALSE) - SUMIF($F$1:$F2993, F2994, $H$1:$H2993))
</f>
        <v/>
      </c>
      <c r="I2994" s="26"/>
      <c r="J2994" s="26" t="s">
        <v>77</v>
      </c>
      <c r="L2994" s="27" t="s">
        <v>77</v>
      </c>
      <c r="N2994" s="28" t="s">
        <v>77</v>
      </c>
      <c r="Q2994" s="30"/>
    </row>
    <row r="2995">
      <c r="B2995" s="6"/>
      <c r="C2995" s="33" t="str">
        <f t="array" ref="C2995">IF(B2995="", "", XLOOKUP(B2995, Inventory!D:D,Inventory!E:E,"No Name Found"))</f>
        <v/>
      </c>
      <c r="D2995" s="6"/>
      <c r="E2995" s="6"/>
      <c r="F2995" s="6"/>
      <c r="G2995" s="24" t="str">
        <f>IF(F2995="", "", VLOOKUP(F2995, Inventory!A:BZ, 3, FALSE) - SUMIF($F$1:$F2994, F2995, $H$1:$H2994))
</f>
        <v/>
      </c>
      <c r="I2995" s="26"/>
      <c r="J2995" s="26" t="s">
        <v>77</v>
      </c>
      <c r="L2995" s="27" t="s">
        <v>77</v>
      </c>
      <c r="N2995" s="28" t="s">
        <v>77</v>
      </c>
      <c r="Q2995" s="30"/>
    </row>
    <row r="2996">
      <c r="B2996" s="6"/>
      <c r="C2996" s="33" t="str">
        <f t="array" ref="C2996">IF(B2996="", "", XLOOKUP(B2996, Inventory!D:D,Inventory!E:E,"No Name Found"))</f>
        <v/>
      </c>
      <c r="D2996" s="6"/>
      <c r="E2996" s="6"/>
      <c r="F2996" s="6"/>
      <c r="G2996" s="24" t="str">
        <f>IF(F2996="", "", VLOOKUP(F2996, Inventory!A:BZ, 3, FALSE) - SUMIF($F$1:$F2995, F2996, $H$1:$H2995))
</f>
        <v/>
      </c>
      <c r="I2996" s="26"/>
      <c r="J2996" s="26" t="s">
        <v>77</v>
      </c>
      <c r="L2996" s="27" t="s">
        <v>77</v>
      </c>
      <c r="N2996" s="28" t="s">
        <v>77</v>
      </c>
      <c r="Q2996" s="30"/>
    </row>
    <row r="2997">
      <c r="B2997" s="6"/>
      <c r="C2997" s="33" t="str">
        <f t="array" ref="C2997">IF(B2997="", "", XLOOKUP(B2997, Inventory!D:D,Inventory!E:E,"No Name Found"))</f>
        <v/>
      </c>
      <c r="D2997" s="6"/>
      <c r="E2997" s="6"/>
      <c r="F2997" s="6"/>
      <c r="G2997" s="24" t="str">
        <f>IF(F2997="", "", VLOOKUP(F2997, Inventory!A:BZ, 3, FALSE) - SUMIF($F$1:$F2996, F2997, $H$1:$H2996))
</f>
        <v/>
      </c>
      <c r="I2997" s="26"/>
      <c r="J2997" s="26" t="s">
        <v>77</v>
      </c>
      <c r="L2997" s="27" t="s">
        <v>77</v>
      </c>
      <c r="N2997" s="28" t="s">
        <v>77</v>
      </c>
      <c r="Q2997" s="30"/>
    </row>
    <row r="2998">
      <c r="B2998" s="6"/>
      <c r="C2998" s="33" t="str">
        <f t="array" ref="C2998">IF(B2998="", "", XLOOKUP(B2998, Inventory!D:D,Inventory!E:E,"No Name Found"))</f>
        <v/>
      </c>
      <c r="D2998" s="6"/>
      <c r="E2998" s="6"/>
      <c r="F2998" s="6"/>
      <c r="G2998" s="24" t="str">
        <f>IF(F2998="", "", VLOOKUP(F2998, Inventory!A:BZ, 3, FALSE) - SUMIF($F$1:$F2997, F2998, $H$1:$H2997))
</f>
        <v/>
      </c>
      <c r="I2998" s="26"/>
      <c r="J2998" s="26" t="s">
        <v>77</v>
      </c>
      <c r="L2998" s="27" t="s">
        <v>77</v>
      </c>
      <c r="N2998" s="28" t="s">
        <v>77</v>
      </c>
      <c r="Q2998" s="30"/>
    </row>
    <row r="2999">
      <c r="B2999" s="6"/>
      <c r="C2999" s="33" t="str">
        <f t="array" ref="C2999">IF(B2999="", "", XLOOKUP(B2999, Inventory!D:D,Inventory!E:E,"No Name Found"))</f>
        <v/>
      </c>
      <c r="D2999" s="6"/>
      <c r="E2999" s="6"/>
      <c r="F2999" s="6"/>
      <c r="G2999" s="24" t="str">
        <f>IF(F2999="", "", VLOOKUP(F2999, Inventory!A:BZ, 3, FALSE) - SUMIF($F$1:$F2998, F2999, $H$1:$H2998))
</f>
        <v/>
      </c>
      <c r="I2999" s="26"/>
      <c r="J2999" s="26" t="s">
        <v>77</v>
      </c>
      <c r="L2999" s="27" t="s">
        <v>77</v>
      </c>
      <c r="N2999" s="28" t="s">
        <v>77</v>
      </c>
      <c r="Q2999" s="30"/>
    </row>
    <row r="3000">
      <c r="B3000" s="6"/>
      <c r="C3000" s="33" t="str">
        <f t="array" ref="C3000">IF(B3000="", "", XLOOKUP(B3000, Inventory!D:D,Inventory!E:E,"No Name Found"))</f>
        <v/>
      </c>
      <c r="D3000" s="6"/>
      <c r="E3000" s="6"/>
      <c r="F3000" s="6"/>
      <c r="G3000" s="24" t="str">
        <f>IF(F3000="", "", VLOOKUP(F3000, Inventory!A:BZ, 3, FALSE) - SUMIF($F$1:$F2999, F3000, $H$1:$H2999))
</f>
        <v/>
      </c>
      <c r="I3000" s="26"/>
      <c r="J3000" s="26" t="s">
        <v>77</v>
      </c>
      <c r="L3000" s="27" t="s">
        <v>77</v>
      </c>
      <c r="N3000" s="28" t="s">
        <v>77</v>
      </c>
      <c r="Q3000" s="30"/>
    </row>
    <row r="3001">
      <c r="B3001" s="6"/>
      <c r="C3001" s="33" t="str">
        <f t="array" ref="C3001">IF(B3001="", "", XLOOKUP(B3001, Inventory!D:D,Inventory!E:E,"No Name Found"))</f>
        <v/>
      </c>
      <c r="D3001" s="6"/>
      <c r="E3001" s="6"/>
      <c r="F3001" s="6"/>
      <c r="G3001" s="24" t="str">
        <f>IF(F3001="", "", VLOOKUP(F3001, Inventory!A:BZ, 3, FALSE) - SUMIF($F$1:$F3000, F3001, $H$1:$H3000))
</f>
        <v/>
      </c>
      <c r="I3001" s="26"/>
      <c r="J3001" s="26" t="s">
        <v>77</v>
      </c>
      <c r="L3001" s="27" t="s">
        <v>77</v>
      </c>
      <c r="N3001" s="28" t="s">
        <v>77</v>
      </c>
      <c r="Q3001" s="30"/>
    </row>
    <row r="3002">
      <c r="B3002" s="6"/>
      <c r="C3002" s="33" t="str">
        <f t="array" ref="C3002">IF(B3002="", "", XLOOKUP(B3002, Inventory!D:D,Inventory!E:E,"No Name Found"))</f>
        <v/>
      </c>
      <c r="D3002" s="6"/>
      <c r="E3002" s="6"/>
      <c r="F3002" s="6"/>
      <c r="G3002" s="24" t="str">
        <f>IF(F3002="", "", VLOOKUP(F3002, Inventory!A:BZ, 3, FALSE) - SUMIF($F$1:$F3001, F3002, $H$1:$H3001))
</f>
        <v/>
      </c>
      <c r="I3002" s="26"/>
      <c r="J3002" s="26" t="s">
        <v>77</v>
      </c>
      <c r="L3002" s="27" t="s">
        <v>77</v>
      </c>
      <c r="N3002" s="28" t="s">
        <v>77</v>
      </c>
      <c r="Q3002" s="30"/>
    </row>
    <row r="3003">
      <c r="B3003" s="6"/>
      <c r="C3003" s="33" t="str">
        <f t="array" ref="C3003">IF(B3003="", "", XLOOKUP(B3003, Inventory!D:D,Inventory!E:E,"No Name Found"))</f>
        <v/>
      </c>
      <c r="D3003" s="6"/>
      <c r="E3003" s="6"/>
      <c r="F3003" s="6"/>
      <c r="G3003" s="24" t="str">
        <f>IF(F3003="", "", VLOOKUP(F3003, Inventory!A:BZ, 3, FALSE) - SUMIF($F$1:$F3002, F3003, $H$1:$H3002))
</f>
        <v/>
      </c>
      <c r="I3003" s="26"/>
      <c r="J3003" s="26" t="s">
        <v>77</v>
      </c>
      <c r="L3003" s="27" t="s">
        <v>77</v>
      </c>
      <c r="N3003" s="28" t="s">
        <v>77</v>
      </c>
      <c r="Q3003" s="30"/>
    </row>
    <row r="3004">
      <c r="B3004" s="6"/>
      <c r="C3004" s="33" t="str">
        <f t="array" ref="C3004">IF(B3004="", "", XLOOKUP(B3004, Inventory!D:D,Inventory!E:E,"No Name Found"))</f>
        <v/>
      </c>
      <c r="D3004" s="6"/>
      <c r="E3004" s="6"/>
      <c r="F3004" s="6"/>
      <c r="G3004" s="24" t="str">
        <f>IF(F3004="", "", VLOOKUP(F3004, Inventory!A:BZ, 3, FALSE) - SUMIF($F$1:$F3003, F3004, $H$1:$H3003))
</f>
        <v/>
      </c>
      <c r="I3004" s="26"/>
      <c r="J3004" s="26" t="s">
        <v>77</v>
      </c>
      <c r="L3004" s="27" t="s">
        <v>77</v>
      </c>
      <c r="N3004" s="28" t="s">
        <v>77</v>
      </c>
      <c r="Q3004" s="30"/>
    </row>
    <row r="3005">
      <c r="B3005" s="6"/>
      <c r="C3005" s="33" t="str">
        <f t="array" ref="C3005">IF(B3005="", "", XLOOKUP(B3005, Inventory!D:D,Inventory!E:E,"No Name Found"))</f>
        <v/>
      </c>
      <c r="D3005" s="6"/>
      <c r="E3005" s="6"/>
      <c r="F3005" s="6"/>
      <c r="G3005" s="24" t="str">
        <f>IF(F3005="", "", VLOOKUP(F3005, Inventory!A:BZ, 3, FALSE) - SUMIF($F$1:$F3004, F3005, $H$1:$H3004))
</f>
        <v/>
      </c>
      <c r="I3005" s="26"/>
      <c r="J3005" s="26" t="s">
        <v>77</v>
      </c>
      <c r="L3005" s="27" t="s">
        <v>77</v>
      </c>
      <c r="N3005" s="28" t="s">
        <v>77</v>
      </c>
      <c r="Q3005" s="30"/>
    </row>
    <row r="3006">
      <c r="B3006" s="6"/>
      <c r="C3006" s="33" t="str">
        <f t="array" ref="C3006">IF(B3006="", "", XLOOKUP(B3006, Inventory!D:D,Inventory!E:E,"No Name Found"))</f>
        <v/>
      </c>
      <c r="D3006" s="6"/>
      <c r="E3006" s="6"/>
      <c r="F3006" s="6"/>
      <c r="G3006" s="24" t="str">
        <f>IF(F3006="", "", VLOOKUP(F3006, Inventory!A:BZ, 3, FALSE) - SUMIF($F$1:$F3005, F3006, $H$1:$H3005))
</f>
        <v/>
      </c>
      <c r="I3006" s="26"/>
      <c r="J3006" s="26" t="s">
        <v>77</v>
      </c>
      <c r="L3006" s="27" t="s">
        <v>77</v>
      </c>
      <c r="N3006" s="28" t="s">
        <v>77</v>
      </c>
      <c r="Q3006" s="30"/>
    </row>
    <row r="3007">
      <c r="B3007" s="6"/>
      <c r="C3007" s="33" t="str">
        <f t="array" ref="C3007">IF(B3007="", "", XLOOKUP(B3007, Inventory!D:D,Inventory!E:E,"No Name Found"))</f>
        <v/>
      </c>
      <c r="D3007" s="6"/>
      <c r="E3007" s="6"/>
      <c r="F3007" s="6"/>
      <c r="G3007" s="24" t="str">
        <f>IF(F3007="", "", VLOOKUP(F3007, Inventory!A:BZ, 3, FALSE) - SUMIF($F$1:$F3006, F3007, $H$1:$H3006))
</f>
        <v/>
      </c>
      <c r="I3007" s="26"/>
      <c r="J3007" s="26" t="s">
        <v>77</v>
      </c>
      <c r="L3007" s="27" t="s">
        <v>77</v>
      </c>
      <c r="N3007" s="28" t="s">
        <v>77</v>
      </c>
      <c r="Q3007" s="30"/>
    </row>
    <row r="3008">
      <c r="B3008" s="6"/>
      <c r="C3008" s="33" t="str">
        <f t="array" ref="C3008">IF(B3008="", "", XLOOKUP(B3008, Inventory!D:D,Inventory!E:E,"No Name Found"))</f>
        <v/>
      </c>
      <c r="D3008" s="6"/>
      <c r="E3008" s="6"/>
      <c r="F3008" s="6"/>
      <c r="G3008" s="24" t="str">
        <f>IF(F3008="", "", VLOOKUP(F3008, Inventory!A:BZ, 3, FALSE) - SUMIF($F$1:$F3007, F3008, $H$1:$H3007))
</f>
        <v/>
      </c>
      <c r="I3008" s="26"/>
      <c r="J3008" s="26" t="s">
        <v>77</v>
      </c>
      <c r="L3008" s="27" t="s">
        <v>77</v>
      </c>
      <c r="N3008" s="28" t="s">
        <v>77</v>
      </c>
      <c r="Q3008" s="30"/>
    </row>
    <row r="3009">
      <c r="B3009" s="6"/>
      <c r="C3009" s="33" t="str">
        <f t="array" ref="C3009">IF(B3009="", "", XLOOKUP(B3009, Inventory!D:D,Inventory!E:E,"No Name Found"))</f>
        <v/>
      </c>
      <c r="D3009" s="6"/>
      <c r="E3009" s="6"/>
      <c r="F3009" s="6"/>
      <c r="G3009" s="24" t="str">
        <f>IF(F3009="", "", VLOOKUP(F3009, Inventory!A:BZ, 3, FALSE) - SUMIF($F$1:$F3008, F3009, $H$1:$H3008))
</f>
        <v/>
      </c>
      <c r="I3009" s="26"/>
      <c r="J3009" s="26" t="s">
        <v>77</v>
      </c>
      <c r="L3009" s="27" t="s">
        <v>77</v>
      </c>
      <c r="N3009" s="28" t="s">
        <v>77</v>
      </c>
      <c r="Q3009" s="30"/>
    </row>
    <row r="3010">
      <c r="B3010" s="6"/>
      <c r="C3010" s="33" t="str">
        <f t="array" ref="C3010">IF(B3010="", "", XLOOKUP(B3010, Inventory!D:D,Inventory!E:E,"No Name Found"))</f>
        <v/>
      </c>
      <c r="D3010" s="6"/>
      <c r="E3010" s="6"/>
      <c r="F3010" s="6"/>
      <c r="G3010" s="24" t="str">
        <f>IF(F3010="", "", VLOOKUP(F3010, Inventory!A:BZ, 3, FALSE) - SUMIF($F$1:$F3009, F3010, $H$1:$H3009))
</f>
        <v/>
      </c>
      <c r="I3010" s="26"/>
      <c r="J3010" s="26" t="s">
        <v>77</v>
      </c>
      <c r="L3010" s="27" t="s">
        <v>77</v>
      </c>
      <c r="N3010" s="28" t="s">
        <v>77</v>
      </c>
      <c r="Q3010" s="30"/>
    </row>
    <row r="3011">
      <c r="B3011" s="6"/>
      <c r="C3011" s="33" t="str">
        <f t="array" ref="C3011">IF(B3011="", "", XLOOKUP(B3011, Inventory!D:D,Inventory!E:E,"No Name Found"))</f>
        <v/>
      </c>
      <c r="D3011" s="6"/>
      <c r="E3011" s="6"/>
      <c r="F3011" s="6"/>
      <c r="G3011" s="24" t="str">
        <f>IF(F3011="", "", VLOOKUP(F3011, Inventory!A:BZ, 3, FALSE) - SUMIF($F$1:$F3010, F3011, $H$1:$H3010))
</f>
        <v/>
      </c>
      <c r="I3011" s="26"/>
      <c r="J3011" s="26" t="s">
        <v>77</v>
      </c>
      <c r="L3011" s="27" t="s">
        <v>77</v>
      </c>
      <c r="N3011" s="28" t="s">
        <v>77</v>
      </c>
      <c r="Q3011" s="30"/>
    </row>
    <row r="3012">
      <c r="B3012" s="6"/>
      <c r="C3012" s="33" t="str">
        <f t="array" ref="C3012">IF(B3012="", "", XLOOKUP(B3012, Inventory!D:D,Inventory!E:E,"No Name Found"))</f>
        <v/>
      </c>
      <c r="D3012" s="6"/>
      <c r="E3012" s="6"/>
      <c r="F3012" s="6"/>
      <c r="G3012" s="24" t="str">
        <f>IF(F3012="", "", VLOOKUP(F3012, Inventory!A:BZ, 3, FALSE) - SUMIF($F$1:$F3011, F3012, $H$1:$H3011))
</f>
        <v/>
      </c>
      <c r="I3012" s="26"/>
      <c r="J3012" s="26" t="s">
        <v>77</v>
      </c>
      <c r="L3012" s="27" t="s">
        <v>77</v>
      </c>
      <c r="N3012" s="28" t="s">
        <v>77</v>
      </c>
      <c r="Q3012" s="30"/>
    </row>
    <row r="3013">
      <c r="B3013" s="6"/>
      <c r="C3013" s="33" t="str">
        <f t="array" ref="C3013">IF(B3013="", "", XLOOKUP(B3013, Inventory!D:D,Inventory!E:E,"No Name Found"))</f>
        <v/>
      </c>
      <c r="D3013" s="6"/>
      <c r="E3013" s="6"/>
      <c r="F3013" s="6"/>
      <c r="G3013" s="24" t="str">
        <f>IF(F3013="", "", VLOOKUP(F3013, Inventory!A:BZ, 3, FALSE) - SUMIF($F$1:$F3012, F3013, $H$1:$H3012))
</f>
        <v/>
      </c>
      <c r="I3013" s="26"/>
      <c r="J3013" s="26" t="s">
        <v>77</v>
      </c>
      <c r="L3013" s="27" t="s">
        <v>77</v>
      </c>
      <c r="N3013" s="28" t="s">
        <v>77</v>
      </c>
      <c r="Q3013" s="30"/>
    </row>
    <row r="3014">
      <c r="B3014" s="6"/>
      <c r="C3014" s="33" t="str">
        <f t="array" ref="C3014">IF(B3014="", "", XLOOKUP(B3014, Inventory!D:D,Inventory!E:E,"No Name Found"))</f>
        <v/>
      </c>
      <c r="D3014" s="6"/>
      <c r="E3014" s="6"/>
      <c r="F3014" s="6"/>
      <c r="G3014" s="24" t="str">
        <f>IF(F3014="", "", VLOOKUP(F3014, Inventory!A:BZ, 3, FALSE) - SUMIF($F$1:$F3013, F3014, $H$1:$H3013))
</f>
        <v/>
      </c>
      <c r="I3014" s="26"/>
      <c r="J3014" s="26" t="s">
        <v>77</v>
      </c>
      <c r="L3014" s="27" t="s">
        <v>77</v>
      </c>
      <c r="N3014" s="28" t="s">
        <v>77</v>
      </c>
      <c r="Q3014" s="30"/>
    </row>
    <row r="3015">
      <c r="B3015" s="6"/>
      <c r="C3015" s="33" t="str">
        <f t="array" ref="C3015">IF(B3015="", "", XLOOKUP(B3015, Inventory!D:D,Inventory!E:E,"No Name Found"))</f>
        <v/>
      </c>
      <c r="D3015" s="6"/>
      <c r="E3015" s="6"/>
      <c r="F3015" s="6"/>
      <c r="G3015" s="24" t="str">
        <f>IF(F3015="", "", VLOOKUP(F3015, Inventory!A:BZ, 3, FALSE) - SUMIF($F$1:$F3014, F3015, $H$1:$H3014))
</f>
        <v/>
      </c>
      <c r="I3015" s="26"/>
      <c r="J3015" s="26" t="s">
        <v>77</v>
      </c>
      <c r="L3015" s="27" t="s">
        <v>77</v>
      </c>
      <c r="N3015" s="28" t="s">
        <v>77</v>
      </c>
      <c r="Q3015" s="30"/>
    </row>
    <row r="3016">
      <c r="B3016" s="6"/>
      <c r="C3016" s="33" t="str">
        <f t="array" ref="C3016">IF(B3016="", "", XLOOKUP(B3016, Inventory!D:D,Inventory!E:E,"No Name Found"))</f>
        <v/>
      </c>
      <c r="D3016" s="6"/>
      <c r="E3016" s="6"/>
      <c r="F3016" s="6"/>
      <c r="G3016" s="24" t="str">
        <f>IF(F3016="", "", VLOOKUP(F3016, Inventory!A:BZ, 3, FALSE) - SUMIF($F$1:$F3015, F3016, $H$1:$H3015))
</f>
        <v/>
      </c>
      <c r="I3016" s="26"/>
      <c r="J3016" s="26" t="s">
        <v>77</v>
      </c>
      <c r="L3016" s="27" t="s">
        <v>77</v>
      </c>
      <c r="N3016" s="28" t="s">
        <v>77</v>
      </c>
      <c r="Q3016" s="30"/>
    </row>
    <row r="3017">
      <c r="B3017" s="6"/>
      <c r="C3017" s="33" t="str">
        <f t="array" ref="C3017">IF(B3017="", "", XLOOKUP(B3017, Inventory!D:D,Inventory!E:E,"No Name Found"))</f>
        <v/>
      </c>
      <c r="D3017" s="6"/>
      <c r="E3017" s="6"/>
      <c r="F3017" s="6"/>
      <c r="G3017" s="24" t="str">
        <f>IF(F3017="", "", VLOOKUP(F3017, Inventory!A:BZ, 3, FALSE) - SUMIF($F$1:$F3016, F3017, $H$1:$H3016))
</f>
        <v/>
      </c>
      <c r="I3017" s="26"/>
      <c r="J3017" s="26" t="s">
        <v>77</v>
      </c>
      <c r="L3017" s="27" t="s">
        <v>77</v>
      </c>
      <c r="N3017" s="28" t="s">
        <v>77</v>
      </c>
      <c r="Q3017" s="30"/>
    </row>
    <row r="3018">
      <c r="B3018" s="6"/>
      <c r="C3018" s="33" t="str">
        <f t="array" ref="C3018">IF(B3018="", "", XLOOKUP(B3018, Inventory!D:D,Inventory!E:E,"No Name Found"))</f>
        <v/>
      </c>
      <c r="D3018" s="6"/>
      <c r="E3018" s="6"/>
      <c r="F3018" s="6"/>
      <c r="G3018" s="24" t="str">
        <f>IF(F3018="", "", VLOOKUP(F3018, Inventory!A:BZ, 3, FALSE) - SUMIF($F$1:$F3017, F3018, $H$1:$H3017))
</f>
        <v/>
      </c>
      <c r="I3018" s="26"/>
      <c r="J3018" s="26" t="s">
        <v>77</v>
      </c>
      <c r="L3018" s="27" t="s">
        <v>77</v>
      </c>
      <c r="N3018" s="28" t="s">
        <v>77</v>
      </c>
      <c r="Q3018" s="30"/>
    </row>
    <row r="3019">
      <c r="B3019" s="6"/>
      <c r="C3019" s="33" t="str">
        <f t="array" ref="C3019">IF(B3019="", "", XLOOKUP(B3019, Inventory!D:D,Inventory!E:E,"No Name Found"))</f>
        <v/>
      </c>
      <c r="D3019" s="6"/>
      <c r="E3019" s="6"/>
      <c r="F3019" s="6"/>
      <c r="G3019" s="24" t="str">
        <f>IF(F3019="", "", VLOOKUP(F3019, Inventory!A:BZ, 3, FALSE) - SUMIF($F$1:$F3018, F3019, $H$1:$H3018))
</f>
        <v/>
      </c>
      <c r="I3019" s="26"/>
      <c r="J3019" s="26" t="s">
        <v>77</v>
      </c>
      <c r="L3019" s="27" t="s">
        <v>77</v>
      </c>
      <c r="N3019" s="28" t="s">
        <v>77</v>
      </c>
      <c r="Q3019" s="30"/>
    </row>
    <row r="3020">
      <c r="B3020" s="6"/>
      <c r="C3020" s="33" t="str">
        <f t="array" ref="C3020">IF(B3020="", "", XLOOKUP(B3020, Inventory!D:D,Inventory!E:E,"No Name Found"))</f>
        <v/>
      </c>
      <c r="D3020" s="6"/>
      <c r="E3020" s="6"/>
      <c r="F3020" s="6"/>
      <c r="G3020" s="24" t="str">
        <f>IF(F3020="", "", VLOOKUP(F3020, Inventory!A:BZ, 3, FALSE) - SUMIF($F$1:$F3019, F3020, $H$1:$H3019))
</f>
        <v/>
      </c>
      <c r="I3020" s="26"/>
      <c r="J3020" s="26" t="s">
        <v>77</v>
      </c>
      <c r="L3020" s="27" t="s">
        <v>77</v>
      </c>
      <c r="N3020" s="28" t="s">
        <v>77</v>
      </c>
      <c r="Q3020" s="30"/>
    </row>
    <row r="3021">
      <c r="B3021" s="6"/>
      <c r="C3021" s="33" t="str">
        <f t="array" ref="C3021">IF(B3021="", "", XLOOKUP(B3021, Inventory!D:D,Inventory!E:E,"No Name Found"))</f>
        <v/>
      </c>
      <c r="D3021" s="6"/>
      <c r="E3021" s="6"/>
      <c r="F3021" s="6"/>
      <c r="G3021" s="24" t="str">
        <f>IF(F3021="", "", VLOOKUP(F3021, Inventory!A:BZ, 3, FALSE) - SUMIF($F$1:$F3020, F3021, $H$1:$H3020))
</f>
        <v/>
      </c>
      <c r="I3021" s="26"/>
      <c r="J3021" s="26" t="s">
        <v>77</v>
      </c>
      <c r="L3021" s="27" t="s">
        <v>77</v>
      </c>
      <c r="N3021" s="28" t="s">
        <v>77</v>
      </c>
      <c r="Q3021" s="30"/>
    </row>
    <row r="3022">
      <c r="B3022" s="6"/>
      <c r="C3022" s="33" t="str">
        <f t="array" ref="C3022">IF(B3022="", "", XLOOKUP(B3022, Inventory!D:D,Inventory!E:E,"No Name Found"))</f>
        <v/>
      </c>
      <c r="D3022" s="6"/>
      <c r="E3022" s="6"/>
      <c r="F3022" s="6"/>
      <c r="G3022" s="24" t="str">
        <f>IF(F3022="", "", VLOOKUP(F3022, Inventory!A:BZ, 3, FALSE) - SUMIF($F$1:$F3021, F3022, $H$1:$H3021))
</f>
        <v/>
      </c>
      <c r="I3022" s="26"/>
      <c r="J3022" s="26" t="s">
        <v>77</v>
      </c>
      <c r="L3022" s="27" t="s">
        <v>77</v>
      </c>
      <c r="N3022" s="28" t="s">
        <v>77</v>
      </c>
      <c r="Q3022" s="30"/>
    </row>
    <row r="3023">
      <c r="B3023" s="6"/>
      <c r="C3023" s="33" t="str">
        <f t="array" ref="C3023">IF(B3023="", "", XLOOKUP(B3023, Inventory!D:D,Inventory!E:E,"No Name Found"))</f>
        <v/>
      </c>
      <c r="D3023" s="6"/>
      <c r="E3023" s="6"/>
      <c r="F3023" s="6"/>
      <c r="G3023" s="24" t="str">
        <f>IF(F3023="", "", VLOOKUP(F3023, Inventory!A:BZ, 3, FALSE) - SUMIF($F$1:$F3022, F3023, $H$1:$H3022))
</f>
        <v/>
      </c>
      <c r="I3023" s="26"/>
      <c r="J3023" s="26" t="s">
        <v>77</v>
      </c>
      <c r="L3023" s="27" t="s">
        <v>77</v>
      </c>
      <c r="N3023" s="28" t="s">
        <v>77</v>
      </c>
      <c r="Q3023" s="30"/>
    </row>
    <row r="3024">
      <c r="B3024" s="6"/>
      <c r="C3024" s="33" t="str">
        <f t="array" ref="C3024">IF(B3024="", "", XLOOKUP(B3024, Inventory!D:D,Inventory!E:E,"No Name Found"))</f>
        <v/>
      </c>
      <c r="D3024" s="6"/>
      <c r="E3024" s="6"/>
      <c r="F3024" s="6"/>
      <c r="G3024" s="24" t="str">
        <f>IF(F3024="", "", VLOOKUP(F3024, Inventory!A:BZ, 3, FALSE) - SUMIF($F$1:$F3023, F3024, $H$1:$H3023))
</f>
        <v/>
      </c>
      <c r="I3024" s="26"/>
      <c r="J3024" s="26" t="s">
        <v>77</v>
      </c>
      <c r="L3024" s="27" t="s">
        <v>77</v>
      </c>
      <c r="N3024" s="28" t="s">
        <v>77</v>
      </c>
      <c r="Q3024" s="30"/>
    </row>
    <row r="3025">
      <c r="B3025" s="6"/>
      <c r="C3025" s="33" t="str">
        <f t="array" ref="C3025">IF(B3025="", "", XLOOKUP(B3025, Inventory!D:D,Inventory!E:E,"No Name Found"))</f>
        <v/>
      </c>
      <c r="D3025" s="6"/>
      <c r="E3025" s="6"/>
      <c r="F3025" s="6"/>
      <c r="G3025" s="24" t="str">
        <f>IF(F3025="", "", VLOOKUP(F3025, Inventory!A:BZ, 3, FALSE) - SUMIF($F$1:$F3024, F3025, $H$1:$H3024))
</f>
        <v/>
      </c>
      <c r="I3025" s="26"/>
      <c r="J3025" s="26" t="s">
        <v>77</v>
      </c>
      <c r="L3025" s="27" t="s">
        <v>77</v>
      </c>
      <c r="N3025" s="28" t="s">
        <v>77</v>
      </c>
      <c r="Q3025" s="30"/>
    </row>
    <row r="3026">
      <c r="B3026" s="6"/>
      <c r="C3026" s="33" t="str">
        <f t="array" ref="C3026">IF(B3026="", "", XLOOKUP(B3026, Inventory!D:D,Inventory!E:E,"No Name Found"))</f>
        <v/>
      </c>
      <c r="D3026" s="6"/>
      <c r="E3026" s="6"/>
      <c r="F3026" s="6"/>
      <c r="G3026" s="24" t="str">
        <f>IF(F3026="", "", VLOOKUP(F3026, Inventory!A:BZ, 3, FALSE) - SUMIF($F$1:$F3025, F3026, $H$1:$H3025))
</f>
        <v/>
      </c>
      <c r="I3026" s="26"/>
      <c r="J3026" s="26" t="s">
        <v>77</v>
      </c>
      <c r="L3026" s="27" t="s">
        <v>77</v>
      </c>
      <c r="N3026" s="28" t="s">
        <v>77</v>
      </c>
      <c r="Q3026" s="30"/>
    </row>
    <row r="3027">
      <c r="B3027" s="6"/>
      <c r="C3027" s="33" t="str">
        <f t="array" ref="C3027">IF(B3027="", "", XLOOKUP(B3027, Inventory!D:D,Inventory!E:E,"No Name Found"))</f>
        <v/>
      </c>
      <c r="D3027" s="6"/>
      <c r="E3027" s="6"/>
      <c r="F3027" s="6"/>
      <c r="G3027" s="24" t="str">
        <f>IF(F3027="", "", VLOOKUP(F3027, Inventory!A:BZ, 3, FALSE) - SUMIF($F$1:$F3026, F3027, $H$1:$H3026))
</f>
        <v/>
      </c>
      <c r="I3027" s="26"/>
      <c r="J3027" s="26" t="s">
        <v>77</v>
      </c>
      <c r="L3027" s="27" t="s">
        <v>77</v>
      </c>
      <c r="N3027" s="28" t="s">
        <v>77</v>
      </c>
      <c r="Q3027" s="30"/>
    </row>
    <row r="3028">
      <c r="B3028" s="6"/>
      <c r="C3028" s="33" t="str">
        <f t="array" ref="C3028">IF(B3028="", "", XLOOKUP(B3028, Inventory!D:D,Inventory!E:E,"No Name Found"))</f>
        <v/>
      </c>
      <c r="D3028" s="6"/>
      <c r="E3028" s="6"/>
      <c r="F3028" s="6"/>
      <c r="G3028" s="24" t="str">
        <f>IF(F3028="", "", VLOOKUP(F3028, Inventory!A:BZ, 3, FALSE) - SUMIF($F$1:$F3027, F3028, $H$1:$H3027))
</f>
        <v/>
      </c>
      <c r="I3028" s="26"/>
      <c r="J3028" s="26" t="s">
        <v>77</v>
      </c>
      <c r="L3028" s="27" t="s">
        <v>77</v>
      </c>
      <c r="N3028" s="28" t="s">
        <v>77</v>
      </c>
      <c r="Q3028" s="30"/>
    </row>
    <row r="3029">
      <c r="B3029" s="6"/>
      <c r="C3029" s="33" t="str">
        <f t="array" ref="C3029">IF(B3029="", "", XLOOKUP(B3029, Inventory!D:D,Inventory!E:E,"No Name Found"))</f>
        <v/>
      </c>
      <c r="D3029" s="6"/>
      <c r="E3029" s="6"/>
      <c r="F3029" s="6"/>
      <c r="G3029" s="24" t="str">
        <f>IF(F3029="", "", VLOOKUP(F3029, Inventory!A:BZ, 3, FALSE) - SUMIF($F$1:$F3028, F3029, $H$1:$H3028))
</f>
        <v/>
      </c>
      <c r="I3029" s="26"/>
      <c r="J3029" s="26" t="s">
        <v>77</v>
      </c>
      <c r="L3029" s="27" t="s">
        <v>77</v>
      </c>
      <c r="N3029" s="28" t="s">
        <v>77</v>
      </c>
      <c r="Q3029" s="30"/>
    </row>
    <row r="3030">
      <c r="B3030" s="6"/>
      <c r="C3030" s="33" t="str">
        <f t="array" ref="C3030">IF(B3030="", "", XLOOKUP(B3030, Inventory!D:D,Inventory!E:E,"No Name Found"))</f>
        <v/>
      </c>
      <c r="D3030" s="6"/>
      <c r="E3030" s="6"/>
      <c r="F3030" s="6"/>
      <c r="G3030" s="24" t="str">
        <f>IF(F3030="", "", VLOOKUP(F3030, Inventory!A:BZ, 3, FALSE) - SUMIF($F$1:$F3029, F3030, $H$1:$H3029))
</f>
        <v/>
      </c>
      <c r="I3030" s="26"/>
      <c r="J3030" s="26" t="s">
        <v>77</v>
      </c>
      <c r="L3030" s="27" t="s">
        <v>77</v>
      </c>
      <c r="N3030" s="28" t="s">
        <v>77</v>
      </c>
      <c r="Q3030" s="30"/>
    </row>
    <row r="3031">
      <c r="B3031" s="6"/>
      <c r="C3031" s="33" t="str">
        <f t="array" ref="C3031">IF(B3031="", "", XLOOKUP(B3031, Inventory!D:D,Inventory!E:E,"No Name Found"))</f>
        <v/>
      </c>
      <c r="D3031" s="6"/>
      <c r="E3031" s="6"/>
      <c r="F3031" s="6"/>
      <c r="G3031" s="24" t="str">
        <f>IF(F3031="", "", VLOOKUP(F3031, Inventory!A:BZ, 3, FALSE) - SUMIF($F$1:$F3030, F3031, $H$1:$H3030))
</f>
        <v/>
      </c>
      <c r="I3031" s="26"/>
      <c r="J3031" s="26" t="s">
        <v>77</v>
      </c>
      <c r="L3031" s="27" t="s">
        <v>77</v>
      </c>
      <c r="N3031" s="28" t="s">
        <v>77</v>
      </c>
      <c r="Q3031" s="30"/>
    </row>
    <row r="3032">
      <c r="B3032" s="6"/>
      <c r="C3032" s="33" t="str">
        <f t="array" ref="C3032">IF(B3032="", "", XLOOKUP(B3032, Inventory!D:D,Inventory!E:E,"No Name Found"))</f>
        <v/>
      </c>
      <c r="D3032" s="6"/>
      <c r="E3032" s="6"/>
      <c r="F3032" s="6"/>
      <c r="G3032" s="24" t="str">
        <f>IF(F3032="", "", VLOOKUP(F3032, Inventory!A:BZ, 3, FALSE) - SUMIF($F$1:$F3031, F3032, $H$1:$H3031))
</f>
        <v/>
      </c>
      <c r="I3032" s="26"/>
      <c r="J3032" s="26" t="s">
        <v>77</v>
      </c>
      <c r="L3032" s="27" t="s">
        <v>77</v>
      </c>
      <c r="N3032" s="28" t="s">
        <v>77</v>
      </c>
      <c r="Q3032" s="30"/>
    </row>
    <row r="3033">
      <c r="B3033" s="6"/>
      <c r="C3033" s="33" t="str">
        <f t="array" ref="C3033">IF(B3033="", "", XLOOKUP(B3033, Inventory!D:D,Inventory!E:E,"No Name Found"))</f>
        <v/>
      </c>
      <c r="D3033" s="6"/>
      <c r="E3033" s="6"/>
      <c r="F3033" s="6"/>
      <c r="G3033" s="24" t="str">
        <f>IF(F3033="", "", VLOOKUP(F3033, Inventory!A:BZ, 3, FALSE) - SUMIF($F$1:$F3032, F3033, $H$1:$H3032))
</f>
        <v/>
      </c>
      <c r="I3033" s="26"/>
      <c r="J3033" s="26" t="s">
        <v>77</v>
      </c>
      <c r="L3033" s="27" t="s">
        <v>77</v>
      </c>
      <c r="N3033" s="28" t="s">
        <v>77</v>
      </c>
      <c r="Q3033" s="30"/>
    </row>
    <row r="3034">
      <c r="B3034" s="6"/>
      <c r="C3034" s="33" t="str">
        <f t="array" ref="C3034">IF(B3034="", "", XLOOKUP(B3034, Inventory!D:D,Inventory!E:E,"No Name Found"))</f>
        <v/>
      </c>
      <c r="D3034" s="6"/>
      <c r="E3034" s="6"/>
      <c r="F3034" s="6"/>
      <c r="G3034" s="24" t="str">
        <f>IF(F3034="", "", VLOOKUP(F3034, Inventory!A:BZ, 3, FALSE) - SUMIF($F$1:$F3033, F3034, $H$1:$H3033))
</f>
        <v/>
      </c>
      <c r="I3034" s="26"/>
      <c r="J3034" s="26" t="s">
        <v>77</v>
      </c>
      <c r="L3034" s="27" t="s">
        <v>77</v>
      </c>
      <c r="N3034" s="28" t="s">
        <v>77</v>
      </c>
      <c r="Q3034" s="30"/>
    </row>
    <row r="3035">
      <c r="B3035" s="6"/>
      <c r="C3035" s="33" t="str">
        <f t="array" ref="C3035">IF(B3035="", "", XLOOKUP(B3035, Inventory!D:D,Inventory!E:E,"No Name Found"))</f>
        <v/>
      </c>
      <c r="D3035" s="6"/>
      <c r="E3035" s="6"/>
      <c r="F3035" s="6"/>
      <c r="G3035" s="24" t="str">
        <f>IF(F3035="", "", VLOOKUP(F3035, Inventory!A:BZ, 3, FALSE) - SUMIF($F$1:$F3034, F3035, $H$1:$H3034))
</f>
        <v/>
      </c>
      <c r="I3035" s="26"/>
      <c r="J3035" s="26" t="s">
        <v>77</v>
      </c>
      <c r="L3035" s="27" t="s">
        <v>77</v>
      </c>
      <c r="N3035" s="28" t="s">
        <v>77</v>
      </c>
      <c r="Q3035" s="30"/>
    </row>
    <row r="3036">
      <c r="B3036" s="6"/>
      <c r="C3036" s="33" t="str">
        <f t="array" ref="C3036">IF(B3036="", "", XLOOKUP(B3036, Inventory!D:D,Inventory!E:E,"No Name Found"))</f>
        <v/>
      </c>
      <c r="D3036" s="6"/>
      <c r="E3036" s="6"/>
      <c r="F3036" s="6"/>
      <c r="G3036" s="24" t="str">
        <f>IF(F3036="", "", VLOOKUP(F3036, Inventory!A:BZ, 3, FALSE) - SUMIF($F$1:$F3035, F3036, $H$1:$H3035))
</f>
        <v/>
      </c>
      <c r="I3036" s="26"/>
      <c r="J3036" s="26" t="s">
        <v>77</v>
      </c>
      <c r="L3036" s="27" t="s">
        <v>77</v>
      </c>
      <c r="N3036" s="28" t="s">
        <v>77</v>
      </c>
      <c r="Q3036" s="30"/>
    </row>
    <row r="3037">
      <c r="B3037" s="6"/>
      <c r="C3037" s="33" t="str">
        <f t="array" ref="C3037">IF(B3037="", "", XLOOKUP(B3037, Inventory!D:D,Inventory!E:E,"No Name Found"))</f>
        <v/>
      </c>
      <c r="D3037" s="6"/>
      <c r="E3037" s="6"/>
      <c r="F3037" s="6"/>
      <c r="G3037" s="24" t="str">
        <f>IF(F3037="", "", VLOOKUP(F3037, Inventory!A:BZ, 3, FALSE) - SUMIF($F$1:$F3036, F3037, $H$1:$H3036))
</f>
        <v/>
      </c>
      <c r="I3037" s="26"/>
      <c r="J3037" s="26" t="s">
        <v>77</v>
      </c>
      <c r="L3037" s="27" t="s">
        <v>77</v>
      </c>
      <c r="N3037" s="28" t="s">
        <v>77</v>
      </c>
      <c r="Q3037" s="30"/>
    </row>
    <row r="3038">
      <c r="B3038" s="6"/>
      <c r="C3038" s="33" t="str">
        <f t="array" ref="C3038">IF(B3038="", "", XLOOKUP(B3038, Inventory!D:D,Inventory!E:E,"No Name Found"))</f>
        <v/>
      </c>
      <c r="D3038" s="6"/>
      <c r="E3038" s="6"/>
      <c r="F3038" s="6"/>
      <c r="G3038" s="24" t="str">
        <f>IF(F3038="", "", VLOOKUP(F3038, Inventory!A:BZ, 3, FALSE) - SUMIF($F$1:$F3037, F3038, $H$1:$H3037))
</f>
        <v/>
      </c>
      <c r="I3038" s="26"/>
      <c r="J3038" s="26" t="s">
        <v>77</v>
      </c>
      <c r="L3038" s="27" t="s">
        <v>77</v>
      </c>
      <c r="N3038" s="28" t="s">
        <v>77</v>
      </c>
      <c r="Q3038" s="30"/>
    </row>
    <row r="3039">
      <c r="B3039" s="6"/>
      <c r="C3039" s="33" t="str">
        <f t="array" ref="C3039">IF(B3039="", "", XLOOKUP(B3039, Inventory!D:D,Inventory!E:E,"No Name Found"))</f>
        <v/>
      </c>
      <c r="D3039" s="6"/>
      <c r="E3039" s="6"/>
      <c r="F3039" s="6"/>
      <c r="G3039" s="24" t="str">
        <f>IF(F3039="", "", VLOOKUP(F3039, Inventory!A:BZ, 3, FALSE) - SUMIF($F$1:$F3038, F3039, $H$1:$H3038))
</f>
        <v/>
      </c>
      <c r="I3039" s="26"/>
      <c r="J3039" s="26" t="s">
        <v>77</v>
      </c>
      <c r="L3039" s="27" t="s">
        <v>77</v>
      </c>
      <c r="N3039" s="28" t="s">
        <v>77</v>
      </c>
      <c r="Q3039" s="30"/>
    </row>
    <row r="3040">
      <c r="B3040" s="6"/>
      <c r="C3040" s="33" t="str">
        <f t="array" ref="C3040">IF(B3040="", "", XLOOKUP(B3040, Inventory!D:D,Inventory!E:E,"No Name Found"))</f>
        <v/>
      </c>
      <c r="D3040" s="6"/>
      <c r="E3040" s="6"/>
      <c r="F3040" s="6"/>
      <c r="G3040" s="24" t="str">
        <f>IF(F3040="", "", VLOOKUP(F3040, Inventory!A:BZ, 3, FALSE) - SUMIF($F$1:$F3039, F3040, $H$1:$H3039))
</f>
        <v/>
      </c>
      <c r="I3040" s="26"/>
      <c r="J3040" s="26" t="s">
        <v>77</v>
      </c>
      <c r="L3040" s="27" t="s">
        <v>77</v>
      </c>
      <c r="N3040" s="28" t="s">
        <v>77</v>
      </c>
      <c r="Q3040" s="30"/>
    </row>
    <row r="3041">
      <c r="B3041" s="6"/>
      <c r="C3041" s="33" t="str">
        <f t="array" ref="C3041">IF(B3041="", "", XLOOKUP(B3041, Inventory!D:D,Inventory!E:E,"No Name Found"))</f>
        <v/>
      </c>
      <c r="D3041" s="6"/>
      <c r="E3041" s="6"/>
      <c r="F3041" s="6"/>
      <c r="G3041" s="24" t="str">
        <f>IF(F3041="", "", VLOOKUP(F3041, Inventory!A:BZ, 3, FALSE) - SUMIF($F$1:$F3040, F3041, $H$1:$H3040))
</f>
        <v/>
      </c>
      <c r="I3041" s="26"/>
      <c r="J3041" s="26" t="s">
        <v>77</v>
      </c>
      <c r="L3041" s="27" t="s">
        <v>77</v>
      </c>
      <c r="N3041" s="28" t="s">
        <v>77</v>
      </c>
      <c r="Q3041" s="30"/>
    </row>
    <row r="3042">
      <c r="B3042" s="6"/>
      <c r="C3042" s="33" t="str">
        <f t="array" ref="C3042">IF(B3042="", "", XLOOKUP(B3042, Inventory!D:D,Inventory!E:E,"No Name Found"))</f>
        <v/>
      </c>
      <c r="D3042" s="6"/>
      <c r="E3042" s="6"/>
      <c r="F3042" s="6"/>
      <c r="G3042" s="24" t="str">
        <f>IF(F3042="", "", VLOOKUP(F3042, Inventory!A:BZ, 3, FALSE) - SUMIF($F$1:$F3041, F3042, $H$1:$H3041))
</f>
        <v/>
      </c>
      <c r="I3042" s="26"/>
      <c r="J3042" s="26" t="s">
        <v>77</v>
      </c>
      <c r="L3042" s="27" t="s">
        <v>77</v>
      </c>
      <c r="N3042" s="28" t="s">
        <v>77</v>
      </c>
      <c r="Q3042" s="30"/>
    </row>
    <row r="3043">
      <c r="B3043" s="6"/>
      <c r="C3043" s="33" t="str">
        <f t="array" ref="C3043">IF(B3043="", "", XLOOKUP(B3043, Inventory!D:D,Inventory!E:E,"No Name Found"))</f>
        <v/>
      </c>
      <c r="D3043" s="6"/>
      <c r="E3043" s="6"/>
      <c r="F3043" s="6"/>
      <c r="G3043" s="24" t="str">
        <f>IF(F3043="", "", VLOOKUP(F3043, Inventory!A:BZ, 3, FALSE) - SUMIF($F$1:$F3042, F3043, $H$1:$H3042))
</f>
        <v/>
      </c>
      <c r="I3043" s="26"/>
      <c r="J3043" s="26" t="s">
        <v>77</v>
      </c>
      <c r="L3043" s="27" t="s">
        <v>77</v>
      </c>
      <c r="N3043" s="28" t="s">
        <v>77</v>
      </c>
      <c r="Q3043" s="30"/>
    </row>
    <row r="3044">
      <c r="B3044" s="6"/>
      <c r="C3044" s="33" t="str">
        <f t="array" ref="C3044">IF(B3044="", "", XLOOKUP(B3044, Inventory!D:D,Inventory!E:E,"No Name Found"))</f>
        <v/>
      </c>
      <c r="D3044" s="6"/>
      <c r="E3044" s="6"/>
      <c r="F3044" s="6"/>
      <c r="G3044" s="24" t="str">
        <f>IF(F3044="", "", VLOOKUP(F3044, Inventory!A:BZ, 3, FALSE) - SUMIF($F$1:$F3043, F3044, $H$1:$H3043))
</f>
        <v/>
      </c>
      <c r="I3044" s="26"/>
      <c r="J3044" s="26" t="s">
        <v>77</v>
      </c>
      <c r="L3044" s="27" t="s">
        <v>77</v>
      </c>
      <c r="N3044" s="28" t="s">
        <v>77</v>
      </c>
      <c r="Q3044" s="30"/>
    </row>
    <row r="3045">
      <c r="B3045" s="6"/>
      <c r="C3045" s="33" t="str">
        <f t="array" ref="C3045">IF(B3045="", "", XLOOKUP(B3045, Inventory!D:D,Inventory!E:E,"No Name Found"))</f>
        <v/>
      </c>
      <c r="D3045" s="6"/>
      <c r="E3045" s="6"/>
      <c r="F3045" s="6"/>
      <c r="G3045" s="24" t="str">
        <f>IF(F3045="", "", VLOOKUP(F3045, Inventory!A:BZ, 3, FALSE) - SUMIF($F$1:$F3044, F3045, $H$1:$H3044))
</f>
        <v/>
      </c>
      <c r="I3045" s="26"/>
      <c r="J3045" s="26" t="s">
        <v>77</v>
      </c>
      <c r="L3045" s="27" t="s">
        <v>77</v>
      </c>
      <c r="N3045" s="28" t="s">
        <v>77</v>
      </c>
      <c r="Q3045" s="30"/>
    </row>
    <row r="3046">
      <c r="B3046" s="6"/>
      <c r="C3046" s="33" t="str">
        <f t="array" ref="C3046">IF(B3046="", "", XLOOKUP(B3046, Inventory!D:D,Inventory!E:E,"No Name Found"))</f>
        <v/>
      </c>
      <c r="D3046" s="6"/>
      <c r="E3046" s="6"/>
      <c r="F3046" s="6"/>
      <c r="G3046" s="24" t="str">
        <f>IF(F3046="", "", VLOOKUP(F3046, Inventory!A:BZ, 3, FALSE) - SUMIF($F$1:$F3045, F3046, $H$1:$H3045))
</f>
        <v/>
      </c>
      <c r="I3046" s="26"/>
      <c r="J3046" s="26" t="s">
        <v>77</v>
      </c>
      <c r="L3046" s="27" t="s">
        <v>77</v>
      </c>
      <c r="N3046" s="28" t="s">
        <v>77</v>
      </c>
      <c r="Q3046" s="30"/>
    </row>
    <row r="3047">
      <c r="B3047" s="6"/>
      <c r="C3047" s="33" t="str">
        <f t="array" ref="C3047">IF(B3047="", "", XLOOKUP(B3047, Inventory!D:D,Inventory!E:E,"No Name Found"))</f>
        <v/>
      </c>
      <c r="D3047" s="6"/>
      <c r="E3047" s="6"/>
      <c r="F3047" s="6"/>
      <c r="G3047" s="24" t="str">
        <f>IF(F3047="", "", VLOOKUP(F3047, Inventory!A:BZ, 3, FALSE) - SUMIF($F$1:$F3046, F3047, $H$1:$H3046))
</f>
        <v/>
      </c>
      <c r="I3047" s="26"/>
      <c r="J3047" s="26" t="s">
        <v>77</v>
      </c>
      <c r="L3047" s="27" t="s">
        <v>77</v>
      </c>
      <c r="N3047" s="28" t="s">
        <v>77</v>
      </c>
      <c r="Q3047" s="30"/>
    </row>
    <row r="3048">
      <c r="B3048" s="6"/>
      <c r="C3048" s="33" t="str">
        <f t="array" ref="C3048">IF(B3048="", "", XLOOKUP(B3048, Inventory!D:D,Inventory!E:E,"No Name Found"))</f>
        <v/>
      </c>
      <c r="D3048" s="6"/>
      <c r="E3048" s="6"/>
      <c r="F3048" s="6"/>
      <c r="G3048" s="24" t="str">
        <f>IF(F3048="", "", VLOOKUP(F3048, Inventory!A:BZ, 3, FALSE) - SUMIF($F$1:$F3047, F3048, $H$1:$H3047))
</f>
        <v/>
      </c>
      <c r="I3048" s="26"/>
      <c r="J3048" s="26" t="s">
        <v>77</v>
      </c>
      <c r="L3048" s="27" t="s">
        <v>77</v>
      </c>
      <c r="N3048" s="28" t="s">
        <v>77</v>
      </c>
      <c r="Q3048" s="30"/>
    </row>
    <row r="3049">
      <c r="B3049" s="6"/>
      <c r="C3049" s="33" t="str">
        <f t="array" ref="C3049">IF(B3049="", "", XLOOKUP(B3049, Inventory!D:D,Inventory!E:E,"No Name Found"))</f>
        <v/>
      </c>
      <c r="D3049" s="6"/>
      <c r="E3049" s="6"/>
      <c r="F3049" s="6"/>
      <c r="G3049" s="24" t="str">
        <f>IF(F3049="", "", VLOOKUP(F3049, Inventory!A:BZ, 3, FALSE) - SUMIF($F$1:$F3048, F3049, $H$1:$H3048))
</f>
        <v/>
      </c>
      <c r="I3049" s="26"/>
      <c r="J3049" s="26" t="s">
        <v>77</v>
      </c>
      <c r="L3049" s="27" t="s">
        <v>77</v>
      </c>
      <c r="N3049" s="28" t="s">
        <v>77</v>
      </c>
      <c r="Q3049" s="30"/>
    </row>
    <row r="3050">
      <c r="B3050" s="6"/>
      <c r="C3050" s="33" t="str">
        <f t="array" ref="C3050">IF(B3050="", "", XLOOKUP(B3050, Inventory!D:D,Inventory!E:E,"No Name Found"))</f>
        <v/>
      </c>
      <c r="D3050" s="6"/>
      <c r="E3050" s="6"/>
      <c r="F3050" s="6"/>
      <c r="G3050" s="24" t="str">
        <f>IF(F3050="", "", VLOOKUP(F3050, Inventory!A:BZ, 3, FALSE) - SUMIF($F$1:$F3049, F3050, $H$1:$H3049))
</f>
        <v/>
      </c>
      <c r="I3050" s="26"/>
      <c r="J3050" s="26" t="s">
        <v>77</v>
      </c>
      <c r="L3050" s="27" t="s">
        <v>77</v>
      </c>
      <c r="N3050" s="28" t="s">
        <v>77</v>
      </c>
      <c r="Q3050" s="30"/>
    </row>
    <row r="3051">
      <c r="B3051" s="6"/>
      <c r="C3051" s="33" t="str">
        <f t="array" ref="C3051">IF(B3051="", "", XLOOKUP(B3051, Inventory!D:D,Inventory!E:E,"No Name Found"))</f>
        <v/>
      </c>
      <c r="D3051" s="6"/>
      <c r="E3051" s="6"/>
      <c r="F3051" s="6"/>
      <c r="G3051" s="24" t="str">
        <f>IF(F3051="", "", VLOOKUP(F3051, Inventory!A:BZ, 3, FALSE) - SUMIF($F$1:$F3050, F3051, $H$1:$H3050))
</f>
        <v/>
      </c>
      <c r="I3051" s="26"/>
      <c r="J3051" s="26" t="s">
        <v>77</v>
      </c>
      <c r="L3051" s="27" t="s">
        <v>77</v>
      </c>
      <c r="N3051" s="28" t="s">
        <v>77</v>
      </c>
      <c r="Q3051" s="30"/>
    </row>
    <row r="3052">
      <c r="B3052" s="6"/>
      <c r="C3052" s="33" t="str">
        <f t="array" ref="C3052">IF(B3052="", "", XLOOKUP(B3052, Inventory!D:D,Inventory!E:E,"No Name Found"))</f>
        <v/>
      </c>
      <c r="D3052" s="6"/>
      <c r="E3052" s="6"/>
      <c r="F3052" s="6"/>
      <c r="G3052" s="24" t="str">
        <f>IF(F3052="", "", VLOOKUP(F3052, Inventory!A:BZ, 3, FALSE) - SUMIF($F$1:$F3051, F3052, $H$1:$H3051))
</f>
        <v/>
      </c>
      <c r="I3052" s="26"/>
      <c r="J3052" s="26" t="s">
        <v>77</v>
      </c>
      <c r="L3052" s="27" t="s">
        <v>77</v>
      </c>
      <c r="N3052" s="28" t="s">
        <v>77</v>
      </c>
      <c r="Q3052" s="30"/>
    </row>
    <row r="3053">
      <c r="B3053" s="6"/>
      <c r="C3053" s="33" t="str">
        <f t="array" ref="C3053">IF(B3053="", "", XLOOKUP(B3053, Inventory!D:D,Inventory!E:E,"No Name Found"))</f>
        <v/>
      </c>
      <c r="D3053" s="6"/>
      <c r="E3053" s="6"/>
      <c r="F3053" s="6"/>
      <c r="G3053" s="24" t="str">
        <f>IF(F3053="", "", VLOOKUP(F3053, Inventory!A:BZ, 3, FALSE) - SUMIF($F$1:$F3052, F3053, $H$1:$H3052))
</f>
        <v/>
      </c>
      <c r="I3053" s="26"/>
      <c r="J3053" s="26" t="s">
        <v>77</v>
      </c>
      <c r="L3053" s="27" t="s">
        <v>77</v>
      </c>
      <c r="N3053" s="28" t="s">
        <v>77</v>
      </c>
      <c r="Q3053" s="30"/>
    </row>
    <row r="3054">
      <c r="B3054" s="6"/>
      <c r="C3054" s="33" t="str">
        <f t="array" ref="C3054">IF(B3054="", "", XLOOKUP(B3054, Inventory!D:D,Inventory!E:E,"No Name Found"))</f>
        <v/>
      </c>
      <c r="D3054" s="6"/>
      <c r="E3054" s="6"/>
      <c r="F3054" s="6"/>
      <c r="G3054" s="24" t="str">
        <f>IF(F3054="", "", VLOOKUP(F3054, Inventory!A:BZ, 3, FALSE) - SUMIF($F$1:$F3053, F3054, $H$1:$H3053))
</f>
        <v/>
      </c>
      <c r="I3054" s="26"/>
      <c r="J3054" s="26" t="s">
        <v>77</v>
      </c>
      <c r="L3054" s="27" t="s">
        <v>77</v>
      </c>
      <c r="N3054" s="28" t="s">
        <v>77</v>
      </c>
      <c r="Q3054" s="30"/>
    </row>
    <row r="3055">
      <c r="B3055" s="6"/>
      <c r="C3055" s="33" t="str">
        <f t="array" ref="C3055">IF(B3055="", "", XLOOKUP(B3055, Inventory!D:D,Inventory!E:E,"No Name Found"))</f>
        <v/>
      </c>
      <c r="D3055" s="6"/>
      <c r="E3055" s="6"/>
      <c r="F3055" s="6"/>
      <c r="G3055" s="24" t="str">
        <f>IF(F3055="", "", VLOOKUP(F3055, Inventory!A:BZ, 3, FALSE) - SUMIF($F$1:$F3054, F3055, $H$1:$H3054))
</f>
        <v/>
      </c>
      <c r="I3055" s="26"/>
      <c r="J3055" s="26" t="s">
        <v>77</v>
      </c>
      <c r="L3055" s="27" t="s">
        <v>77</v>
      </c>
      <c r="N3055" s="28" t="s">
        <v>77</v>
      </c>
      <c r="Q3055" s="30"/>
    </row>
    <row r="3056">
      <c r="B3056" s="6"/>
      <c r="C3056" s="33" t="str">
        <f t="array" ref="C3056">IF(B3056="", "", XLOOKUP(B3056, Inventory!D:D,Inventory!E:E,"No Name Found"))</f>
        <v/>
      </c>
      <c r="D3056" s="6"/>
      <c r="E3056" s="6"/>
      <c r="F3056" s="6"/>
      <c r="G3056" s="24" t="str">
        <f>IF(F3056="", "", VLOOKUP(F3056, Inventory!A:BZ, 3, FALSE) - SUMIF($F$1:$F3055, F3056, $H$1:$H3055))
</f>
        <v/>
      </c>
      <c r="I3056" s="26"/>
      <c r="J3056" s="26" t="s">
        <v>77</v>
      </c>
      <c r="L3056" s="27" t="s">
        <v>77</v>
      </c>
      <c r="N3056" s="28" t="s">
        <v>77</v>
      </c>
      <c r="Q3056" s="30"/>
    </row>
    <row r="3057">
      <c r="B3057" s="6"/>
      <c r="C3057" s="33" t="str">
        <f t="array" ref="C3057">IF(B3057="", "", XLOOKUP(B3057, Inventory!D:D,Inventory!E:E,"No Name Found"))</f>
        <v/>
      </c>
      <c r="D3057" s="6"/>
      <c r="E3057" s="6"/>
      <c r="F3057" s="6"/>
      <c r="G3057" s="24" t="str">
        <f>IF(F3057="", "", VLOOKUP(F3057, Inventory!A:BZ, 3, FALSE) - SUMIF($F$1:$F3056, F3057, $H$1:$H3056))
</f>
        <v/>
      </c>
      <c r="I3057" s="26"/>
      <c r="J3057" s="26" t="s">
        <v>77</v>
      </c>
      <c r="L3057" s="27" t="s">
        <v>77</v>
      </c>
      <c r="N3057" s="28" t="s">
        <v>77</v>
      </c>
      <c r="Q3057" s="30"/>
    </row>
    <row r="3058">
      <c r="B3058" s="6"/>
      <c r="C3058" s="33" t="str">
        <f t="array" ref="C3058">IF(B3058="", "", XLOOKUP(B3058, Inventory!D:D,Inventory!E:E,"No Name Found"))</f>
        <v/>
      </c>
      <c r="D3058" s="6"/>
      <c r="E3058" s="6"/>
      <c r="F3058" s="6"/>
      <c r="G3058" s="24" t="str">
        <f>IF(F3058="", "", VLOOKUP(F3058, Inventory!A:BZ, 3, FALSE) - SUMIF($F$1:$F3057, F3058, $H$1:$H3057))
</f>
        <v/>
      </c>
      <c r="I3058" s="26"/>
      <c r="J3058" s="26" t="s">
        <v>77</v>
      </c>
      <c r="L3058" s="27" t="s">
        <v>77</v>
      </c>
      <c r="N3058" s="28" t="s">
        <v>77</v>
      </c>
      <c r="Q3058" s="30"/>
    </row>
    <row r="3059">
      <c r="B3059" s="6"/>
      <c r="C3059" s="33" t="str">
        <f t="array" ref="C3059">IF(B3059="", "", XLOOKUP(B3059, Inventory!D:D,Inventory!E:E,"No Name Found"))</f>
        <v/>
      </c>
      <c r="D3059" s="6"/>
      <c r="E3059" s="6"/>
      <c r="F3059" s="6"/>
      <c r="G3059" s="24" t="str">
        <f>IF(F3059="", "", VLOOKUP(F3059, Inventory!A:BZ, 3, FALSE) - SUMIF($F$1:$F3058, F3059, $H$1:$H3058))
</f>
        <v/>
      </c>
      <c r="I3059" s="26"/>
      <c r="J3059" s="26" t="s">
        <v>77</v>
      </c>
      <c r="L3059" s="27" t="s">
        <v>77</v>
      </c>
      <c r="N3059" s="28" t="s">
        <v>77</v>
      </c>
      <c r="Q3059" s="30"/>
    </row>
    <row r="3060">
      <c r="B3060" s="6"/>
      <c r="C3060" s="33" t="str">
        <f t="array" ref="C3060">IF(B3060="", "", XLOOKUP(B3060, Inventory!D:D,Inventory!E:E,"No Name Found"))</f>
        <v/>
      </c>
      <c r="D3060" s="6"/>
      <c r="E3060" s="6"/>
      <c r="F3060" s="6"/>
      <c r="G3060" s="24" t="str">
        <f>IF(F3060="", "", VLOOKUP(F3060, Inventory!A:BZ, 3, FALSE) - SUMIF($F$1:$F3059, F3060, $H$1:$H3059))
</f>
        <v/>
      </c>
      <c r="I3060" s="26"/>
      <c r="J3060" s="26" t="s">
        <v>77</v>
      </c>
      <c r="L3060" s="27" t="s">
        <v>77</v>
      </c>
      <c r="N3060" s="28" t="s">
        <v>77</v>
      </c>
      <c r="Q3060" s="30"/>
    </row>
    <row r="3061">
      <c r="B3061" s="6"/>
      <c r="C3061" s="33" t="str">
        <f t="array" ref="C3061">IF(B3061="", "", XLOOKUP(B3061, Inventory!D:D,Inventory!E:E,"No Name Found"))</f>
        <v/>
      </c>
      <c r="D3061" s="6"/>
      <c r="E3061" s="6"/>
      <c r="F3061" s="6"/>
      <c r="G3061" s="24" t="str">
        <f>IF(F3061="", "", VLOOKUP(F3061, Inventory!A:BZ, 3, FALSE) - SUMIF($F$1:$F3060, F3061, $H$1:$H3060))
</f>
        <v/>
      </c>
      <c r="I3061" s="26"/>
      <c r="J3061" s="26" t="s">
        <v>77</v>
      </c>
      <c r="L3061" s="27" t="s">
        <v>77</v>
      </c>
      <c r="N3061" s="28" t="s">
        <v>77</v>
      </c>
      <c r="Q3061" s="30"/>
    </row>
    <row r="3062">
      <c r="B3062" s="6"/>
      <c r="C3062" s="33" t="str">
        <f t="array" ref="C3062">IF(B3062="", "", XLOOKUP(B3062, Inventory!D:D,Inventory!E:E,"No Name Found"))</f>
        <v/>
      </c>
      <c r="D3062" s="6"/>
      <c r="E3062" s="6"/>
      <c r="F3062" s="6"/>
      <c r="G3062" s="24" t="str">
        <f>IF(F3062="", "", VLOOKUP(F3062, Inventory!A:BZ, 3, FALSE) - SUMIF($F$1:$F3061, F3062, $H$1:$H3061))
</f>
        <v/>
      </c>
      <c r="I3062" s="26"/>
      <c r="J3062" s="26" t="s">
        <v>77</v>
      </c>
      <c r="L3062" s="27" t="s">
        <v>77</v>
      </c>
      <c r="N3062" s="28" t="s">
        <v>77</v>
      </c>
      <c r="Q3062" s="30"/>
    </row>
    <row r="3063">
      <c r="B3063" s="6"/>
      <c r="C3063" s="33" t="str">
        <f t="array" ref="C3063">IF(B3063="", "", XLOOKUP(B3063, Inventory!D:D,Inventory!E:E,"No Name Found"))</f>
        <v/>
      </c>
      <c r="D3063" s="6"/>
      <c r="E3063" s="6"/>
      <c r="F3063" s="6"/>
      <c r="G3063" s="24" t="str">
        <f>IF(F3063="", "", VLOOKUP(F3063, Inventory!A:BZ, 3, FALSE) - SUMIF($F$1:$F3062, F3063, $H$1:$H3062))
</f>
        <v/>
      </c>
      <c r="I3063" s="26"/>
      <c r="J3063" s="26" t="s">
        <v>77</v>
      </c>
      <c r="L3063" s="27" t="s">
        <v>77</v>
      </c>
      <c r="N3063" s="28" t="s">
        <v>77</v>
      </c>
      <c r="Q3063" s="30"/>
    </row>
    <row r="3064">
      <c r="B3064" s="6"/>
      <c r="C3064" s="33" t="str">
        <f t="array" ref="C3064">IF(B3064="", "", XLOOKUP(B3064, Inventory!D:D,Inventory!E:E,"No Name Found"))</f>
        <v/>
      </c>
      <c r="D3064" s="6"/>
      <c r="E3064" s="6"/>
      <c r="F3064" s="6"/>
      <c r="G3064" s="24" t="str">
        <f>IF(F3064="", "", VLOOKUP(F3064, Inventory!A:BZ, 3, FALSE) - SUMIF($F$1:$F3063, F3064, $H$1:$H3063))
</f>
        <v/>
      </c>
      <c r="I3064" s="26"/>
      <c r="J3064" s="26" t="s">
        <v>77</v>
      </c>
      <c r="L3064" s="27" t="s">
        <v>77</v>
      </c>
      <c r="N3064" s="28" t="s">
        <v>77</v>
      </c>
      <c r="Q3064" s="30"/>
    </row>
    <row r="3065">
      <c r="B3065" s="6"/>
      <c r="C3065" s="33" t="str">
        <f t="array" ref="C3065">IF(B3065="", "", XLOOKUP(B3065, Inventory!D:D,Inventory!E:E,"No Name Found"))</f>
        <v/>
      </c>
      <c r="D3065" s="6"/>
      <c r="E3065" s="6"/>
      <c r="F3065" s="6"/>
      <c r="G3065" s="24" t="str">
        <f>IF(F3065="", "", VLOOKUP(F3065, Inventory!A:BZ, 3, FALSE) - SUMIF($F$1:$F3064, F3065, $H$1:$H3064))
</f>
        <v/>
      </c>
      <c r="I3065" s="26"/>
      <c r="J3065" s="26" t="s">
        <v>77</v>
      </c>
      <c r="L3065" s="27" t="s">
        <v>77</v>
      </c>
      <c r="N3065" s="28" t="s">
        <v>77</v>
      </c>
      <c r="Q3065" s="30"/>
    </row>
    <row r="3066">
      <c r="B3066" s="6"/>
      <c r="C3066" s="33" t="str">
        <f t="array" ref="C3066">IF(B3066="", "", XLOOKUP(B3066, Inventory!D:D,Inventory!E:E,"No Name Found"))</f>
        <v/>
      </c>
      <c r="D3066" s="6"/>
      <c r="E3066" s="6"/>
      <c r="F3066" s="6"/>
      <c r="G3066" s="24" t="str">
        <f>IF(F3066="", "", VLOOKUP(F3066, Inventory!A:BZ, 3, FALSE) - SUMIF($F$1:$F3065, F3066, $H$1:$H3065))
</f>
        <v/>
      </c>
      <c r="I3066" s="26"/>
      <c r="J3066" s="26" t="s">
        <v>77</v>
      </c>
      <c r="L3066" s="27" t="s">
        <v>77</v>
      </c>
      <c r="N3066" s="28" t="s">
        <v>77</v>
      </c>
      <c r="Q3066" s="30"/>
    </row>
    <row r="3067">
      <c r="B3067" s="6"/>
      <c r="C3067" s="33" t="str">
        <f t="array" ref="C3067">IF(B3067="", "", XLOOKUP(B3067, Inventory!D:D,Inventory!E:E,"No Name Found"))</f>
        <v/>
      </c>
      <c r="D3067" s="6"/>
      <c r="E3067" s="6"/>
      <c r="F3067" s="6"/>
      <c r="G3067" s="24" t="str">
        <f>IF(F3067="", "", VLOOKUP(F3067, Inventory!A:BZ, 3, FALSE) - SUMIF($F$1:$F3066, F3067, $H$1:$H3066))
</f>
        <v/>
      </c>
      <c r="I3067" s="26"/>
      <c r="J3067" s="26" t="s">
        <v>77</v>
      </c>
      <c r="L3067" s="27" t="s">
        <v>77</v>
      </c>
      <c r="N3067" s="28" t="s">
        <v>77</v>
      </c>
      <c r="Q3067" s="30"/>
    </row>
    <row r="3068">
      <c r="B3068" s="6"/>
      <c r="C3068" s="33" t="str">
        <f t="array" ref="C3068">IF(B3068="", "", XLOOKUP(B3068, Inventory!D:D,Inventory!E:E,"No Name Found"))</f>
        <v/>
      </c>
      <c r="D3068" s="6"/>
      <c r="E3068" s="6"/>
      <c r="F3068" s="6"/>
      <c r="G3068" s="24" t="str">
        <f>IF(F3068="", "", VLOOKUP(F3068, Inventory!A:BZ, 3, FALSE) - SUMIF($F$1:$F3067, F3068, $H$1:$H3067))
</f>
        <v/>
      </c>
      <c r="I3068" s="26"/>
      <c r="J3068" s="26" t="s">
        <v>77</v>
      </c>
      <c r="L3068" s="27" t="s">
        <v>77</v>
      </c>
      <c r="N3068" s="28" t="s">
        <v>77</v>
      </c>
      <c r="Q3068" s="30"/>
    </row>
    <row r="3069">
      <c r="B3069" s="6"/>
      <c r="C3069" s="33" t="str">
        <f t="array" ref="C3069">IF(B3069="", "", XLOOKUP(B3069, Inventory!D:D,Inventory!E:E,"No Name Found"))</f>
        <v/>
      </c>
      <c r="D3069" s="6"/>
      <c r="E3069" s="6"/>
      <c r="F3069" s="6"/>
      <c r="G3069" s="24" t="str">
        <f>IF(F3069="", "", VLOOKUP(F3069, Inventory!A:BZ, 3, FALSE) - SUMIF($F$1:$F3068, F3069, $H$1:$H3068))
</f>
        <v/>
      </c>
      <c r="I3069" s="26"/>
      <c r="J3069" s="26" t="s">
        <v>77</v>
      </c>
      <c r="L3069" s="27" t="s">
        <v>77</v>
      </c>
      <c r="N3069" s="28" t="s">
        <v>77</v>
      </c>
      <c r="Q3069" s="30"/>
    </row>
    <row r="3070">
      <c r="B3070" s="6"/>
      <c r="C3070" s="33" t="str">
        <f t="array" ref="C3070">IF(B3070="", "", XLOOKUP(B3070, Inventory!D:D,Inventory!E:E,"No Name Found"))</f>
        <v/>
      </c>
      <c r="D3070" s="6"/>
      <c r="E3070" s="6"/>
      <c r="F3070" s="6"/>
      <c r="G3070" s="24" t="str">
        <f>IF(F3070="", "", VLOOKUP(F3070, Inventory!A:BZ, 3, FALSE) - SUMIF($F$1:$F3069, F3070, $H$1:$H3069))
</f>
        <v/>
      </c>
      <c r="I3070" s="26"/>
      <c r="J3070" s="26" t="s">
        <v>77</v>
      </c>
      <c r="L3070" s="27" t="s">
        <v>77</v>
      </c>
      <c r="N3070" s="28" t="s">
        <v>77</v>
      </c>
      <c r="Q3070" s="30"/>
    </row>
    <row r="3071">
      <c r="B3071" s="6"/>
      <c r="C3071" s="33" t="str">
        <f t="array" ref="C3071">IF(B3071="", "", XLOOKUP(B3071, Inventory!D:D,Inventory!E:E,"No Name Found"))</f>
        <v/>
      </c>
      <c r="D3071" s="6"/>
      <c r="E3071" s="6"/>
      <c r="F3071" s="6"/>
      <c r="G3071" s="24" t="str">
        <f>IF(F3071="", "", VLOOKUP(F3071, Inventory!A:BZ, 3, FALSE) - SUMIF($F$1:$F3070, F3071, $H$1:$H3070))
</f>
        <v/>
      </c>
      <c r="I3071" s="26"/>
      <c r="J3071" s="26" t="s">
        <v>77</v>
      </c>
      <c r="L3071" s="27" t="s">
        <v>77</v>
      </c>
      <c r="N3071" s="28" t="s">
        <v>77</v>
      </c>
      <c r="Q3071" s="30"/>
    </row>
    <row r="3072">
      <c r="B3072" s="6"/>
      <c r="C3072" s="33" t="str">
        <f t="array" ref="C3072">IF(B3072="", "", XLOOKUP(B3072, Inventory!D:D,Inventory!E:E,"No Name Found"))</f>
        <v/>
      </c>
      <c r="D3072" s="6"/>
      <c r="E3072" s="6"/>
      <c r="F3072" s="6"/>
      <c r="G3072" s="24" t="str">
        <f>IF(F3072="", "", VLOOKUP(F3072, Inventory!A:BZ, 3, FALSE) - SUMIF($F$1:$F3071, F3072, $H$1:$H3071))
</f>
        <v/>
      </c>
      <c r="I3072" s="26"/>
      <c r="J3072" s="26" t="s">
        <v>77</v>
      </c>
      <c r="L3072" s="27" t="s">
        <v>77</v>
      </c>
      <c r="N3072" s="28" t="s">
        <v>77</v>
      </c>
      <c r="Q3072" s="30"/>
    </row>
    <row r="3073">
      <c r="B3073" s="6"/>
      <c r="C3073" s="33" t="str">
        <f t="array" ref="C3073">IF(B3073="", "", XLOOKUP(B3073, Inventory!D:D,Inventory!E:E,"No Name Found"))</f>
        <v/>
      </c>
      <c r="D3073" s="6"/>
      <c r="E3073" s="6"/>
      <c r="F3073" s="6"/>
      <c r="G3073" s="24" t="str">
        <f>IF(F3073="", "", VLOOKUP(F3073, Inventory!A:BZ, 3, FALSE) - SUMIF($F$1:$F3072, F3073, $H$1:$H3072))
</f>
        <v/>
      </c>
      <c r="I3073" s="26"/>
      <c r="J3073" s="26" t="s">
        <v>77</v>
      </c>
      <c r="L3073" s="27" t="s">
        <v>77</v>
      </c>
      <c r="N3073" s="28" t="s">
        <v>77</v>
      </c>
      <c r="Q3073" s="30"/>
    </row>
    <row r="3074">
      <c r="B3074" s="6"/>
      <c r="C3074" s="33" t="str">
        <f t="array" ref="C3074">IF(B3074="", "", XLOOKUP(B3074, Inventory!D:D,Inventory!E:E,"No Name Found"))</f>
        <v/>
      </c>
      <c r="D3074" s="6"/>
      <c r="E3074" s="6"/>
      <c r="F3074" s="6"/>
      <c r="G3074" s="24" t="str">
        <f>IF(F3074="", "", VLOOKUP(F3074, Inventory!A:BZ, 3, FALSE) - SUMIF($F$1:$F3073, F3074, $H$1:$H3073))
</f>
        <v/>
      </c>
      <c r="I3074" s="26"/>
      <c r="J3074" s="26" t="s">
        <v>77</v>
      </c>
      <c r="L3074" s="27" t="s">
        <v>77</v>
      </c>
      <c r="N3074" s="28" t="s">
        <v>77</v>
      </c>
      <c r="Q3074" s="30"/>
    </row>
    <row r="3075">
      <c r="B3075" s="6"/>
      <c r="C3075" s="33" t="str">
        <f t="array" ref="C3075">IF(B3075="", "", XLOOKUP(B3075, Inventory!D:D,Inventory!E:E,"No Name Found"))</f>
        <v/>
      </c>
      <c r="D3075" s="6"/>
      <c r="E3075" s="6"/>
      <c r="F3075" s="6"/>
      <c r="G3075" s="24" t="str">
        <f>IF(F3075="", "", VLOOKUP(F3075, Inventory!A:BZ, 3, FALSE) - SUMIF($F$1:$F3074, F3075, $H$1:$H3074))
</f>
        <v/>
      </c>
      <c r="I3075" s="26"/>
      <c r="J3075" s="26" t="s">
        <v>77</v>
      </c>
      <c r="L3075" s="27" t="s">
        <v>77</v>
      </c>
      <c r="N3075" s="28" t="s">
        <v>77</v>
      </c>
      <c r="Q3075" s="30"/>
    </row>
    <row r="3076">
      <c r="B3076" s="6"/>
      <c r="C3076" s="33" t="str">
        <f t="array" ref="C3076">IF(B3076="", "", XLOOKUP(B3076, Inventory!D:D,Inventory!E:E,"No Name Found"))</f>
        <v/>
      </c>
      <c r="D3076" s="6"/>
      <c r="E3076" s="6"/>
      <c r="F3076" s="6"/>
      <c r="G3076" s="24" t="str">
        <f>IF(F3076="", "", VLOOKUP(F3076, Inventory!A:BZ, 3, FALSE) - SUMIF($F$1:$F3075, F3076, $H$1:$H3075))
</f>
        <v/>
      </c>
      <c r="I3076" s="26"/>
      <c r="J3076" s="26" t="s">
        <v>77</v>
      </c>
      <c r="L3076" s="27" t="s">
        <v>77</v>
      </c>
      <c r="N3076" s="28" t="s">
        <v>77</v>
      </c>
      <c r="Q3076" s="30"/>
    </row>
    <row r="3077">
      <c r="B3077" s="6"/>
      <c r="C3077" s="33" t="str">
        <f t="array" ref="C3077">IF(B3077="", "", XLOOKUP(B3077, Inventory!D:D,Inventory!E:E,"No Name Found"))</f>
        <v/>
      </c>
      <c r="D3077" s="6"/>
      <c r="E3077" s="6"/>
      <c r="F3077" s="6"/>
      <c r="G3077" s="24" t="str">
        <f>IF(F3077="", "", VLOOKUP(F3077, Inventory!A:BZ, 3, FALSE) - SUMIF($F$1:$F3076, F3077, $H$1:$H3076))
</f>
        <v/>
      </c>
      <c r="I3077" s="26"/>
      <c r="J3077" s="26" t="s">
        <v>77</v>
      </c>
      <c r="L3077" s="27" t="s">
        <v>77</v>
      </c>
      <c r="N3077" s="28" t="s">
        <v>77</v>
      </c>
      <c r="Q3077" s="30"/>
    </row>
    <row r="3078">
      <c r="B3078" s="6"/>
      <c r="C3078" s="33" t="str">
        <f t="array" ref="C3078">IF(B3078="", "", XLOOKUP(B3078, Inventory!D:D,Inventory!E:E,"No Name Found"))</f>
        <v/>
      </c>
      <c r="D3078" s="6"/>
      <c r="E3078" s="6"/>
      <c r="F3078" s="6"/>
      <c r="G3078" s="24" t="str">
        <f>IF(F3078="", "", VLOOKUP(F3078, Inventory!A:BZ, 3, FALSE) - SUMIF($F$1:$F3077, F3078, $H$1:$H3077))
</f>
        <v/>
      </c>
      <c r="I3078" s="26"/>
      <c r="J3078" s="26" t="s">
        <v>77</v>
      </c>
      <c r="L3078" s="27" t="s">
        <v>77</v>
      </c>
      <c r="N3078" s="28" t="s">
        <v>77</v>
      </c>
      <c r="Q3078" s="30"/>
    </row>
    <row r="3079">
      <c r="B3079" s="6"/>
      <c r="C3079" s="33" t="str">
        <f t="array" ref="C3079">IF(B3079="", "", XLOOKUP(B3079, Inventory!D:D,Inventory!E:E,"No Name Found"))</f>
        <v/>
      </c>
      <c r="D3079" s="6"/>
      <c r="E3079" s="6"/>
      <c r="F3079" s="6"/>
      <c r="G3079" s="24" t="str">
        <f>IF(F3079="", "", VLOOKUP(F3079, Inventory!A:BZ, 3, FALSE) - SUMIF($F$1:$F3078, F3079, $H$1:$H3078))
</f>
        <v/>
      </c>
      <c r="I3079" s="26"/>
      <c r="J3079" s="26" t="s">
        <v>77</v>
      </c>
      <c r="L3079" s="27" t="s">
        <v>77</v>
      </c>
      <c r="N3079" s="28" t="s">
        <v>77</v>
      </c>
      <c r="Q3079" s="30"/>
    </row>
    <row r="3080">
      <c r="B3080" s="6"/>
      <c r="C3080" s="33" t="str">
        <f t="array" ref="C3080">IF(B3080="", "", XLOOKUP(B3080, Inventory!D:D,Inventory!E:E,"No Name Found"))</f>
        <v/>
      </c>
      <c r="D3080" s="6"/>
      <c r="E3080" s="6"/>
      <c r="F3080" s="6"/>
      <c r="G3080" s="24" t="str">
        <f>IF(F3080="", "", VLOOKUP(F3080, Inventory!A:BZ, 3, FALSE) - SUMIF($F$1:$F3079, F3080, $H$1:$H3079))
</f>
        <v/>
      </c>
      <c r="I3080" s="26"/>
      <c r="J3080" s="26" t="s">
        <v>77</v>
      </c>
      <c r="L3080" s="27" t="s">
        <v>77</v>
      </c>
      <c r="N3080" s="28" t="s">
        <v>77</v>
      </c>
      <c r="Q3080" s="30"/>
    </row>
    <row r="3081">
      <c r="B3081" s="6"/>
      <c r="C3081" s="33" t="str">
        <f t="array" ref="C3081">IF(B3081="", "", XLOOKUP(B3081, Inventory!D:D,Inventory!E:E,"No Name Found"))</f>
        <v/>
      </c>
      <c r="D3081" s="6"/>
      <c r="E3081" s="6"/>
      <c r="F3081" s="6"/>
      <c r="G3081" s="24" t="str">
        <f>IF(F3081="", "", VLOOKUP(F3081, Inventory!A:BZ, 3, FALSE) - SUMIF($F$1:$F3080, F3081, $H$1:$H3080))
</f>
        <v/>
      </c>
      <c r="I3081" s="26"/>
      <c r="J3081" s="26" t="s">
        <v>77</v>
      </c>
      <c r="L3081" s="27" t="s">
        <v>77</v>
      </c>
      <c r="N3081" s="28" t="s">
        <v>77</v>
      </c>
      <c r="Q3081" s="30"/>
    </row>
    <row r="3082">
      <c r="B3082" s="6"/>
      <c r="C3082" s="33" t="str">
        <f t="array" ref="C3082">IF(B3082="", "", XLOOKUP(B3082, Inventory!D:D,Inventory!E:E,"No Name Found"))</f>
        <v/>
      </c>
      <c r="D3082" s="6"/>
      <c r="E3082" s="6"/>
      <c r="F3082" s="6"/>
      <c r="G3082" s="24" t="str">
        <f>IF(F3082="", "", VLOOKUP(F3082, Inventory!A:BZ, 3, FALSE) - SUMIF($F$1:$F3081, F3082, $H$1:$H3081))
</f>
        <v/>
      </c>
      <c r="I3082" s="26"/>
      <c r="J3082" s="26" t="s">
        <v>77</v>
      </c>
      <c r="L3082" s="27" t="s">
        <v>77</v>
      </c>
      <c r="N3082" s="28" t="s">
        <v>77</v>
      </c>
      <c r="Q3082" s="30"/>
    </row>
    <row r="3083">
      <c r="B3083" s="6"/>
      <c r="C3083" s="33" t="str">
        <f t="array" ref="C3083">IF(B3083="", "", XLOOKUP(B3083, Inventory!D:D,Inventory!E:E,"No Name Found"))</f>
        <v/>
      </c>
      <c r="D3083" s="6"/>
      <c r="E3083" s="6"/>
      <c r="F3083" s="6"/>
      <c r="G3083" s="24" t="str">
        <f>IF(F3083="", "", VLOOKUP(F3083, Inventory!A:BZ, 3, FALSE) - SUMIF($F$1:$F3082, F3083, $H$1:$H3082))
</f>
        <v/>
      </c>
      <c r="I3083" s="26"/>
      <c r="J3083" s="26" t="s">
        <v>77</v>
      </c>
      <c r="L3083" s="27" t="s">
        <v>77</v>
      </c>
      <c r="N3083" s="28" t="s">
        <v>77</v>
      </c>
      <c r="Q3083" s="30"/>
    </row>
    <row r="3084">
      <c r="B3084" s="6"/>
      <c r="C3084" s="33" t="str">
        <f t="array" ref="C3084">IF(B3084="", "", XLOOKUP(B3084, Inventory!D:D,Inventory!E:E,"No Name Found"))</f>
        <v/>
      </c>
      <c r="D3084" s="6"/>
      <c r="E3084" s="6"/>
      <c r="F3084" s="6"/>
      <c r="G3084" s="24" t="str">
        <f>IF(F3084="", "", VLOOKUP(F3084, Inventory!A:BZ, 3, FALSE) - SUMIF($F$1:$F3083, F3084, $H$1:$H3083))
</f>
        <v/>
      </c>
      <c r="I3084" s="26"/>
      <c r="J3084" s="26" t="s">
        <v>77</v>
      </c>
      <c r="L3084" s="27" t="s">
        <v>77</v>
      </c>
      <c r="N3084" s="28" t="s">
        <v>77</v>
      </c>
      <c r="Q3084" s="30"/>
    </row>
    <row r="3085">
      <c r="B3085" s="6"/>
      <c r="C3085" s="33" t="str">
        <f t="array" ref="C3085">IF(B3085="", "", XLOOKUP(B3085, Inventory!D:D,Inventory!E:E,"No Name Found"))</f>
        <v/>
      </c>
      <c r="D3085" s="6"/>
      <c r="E3085" s="6"/>
      <c r="F3085" s="6"/>
      <c r="G3085" s="24" t="str">
        <f>IF(F3085="", "", VLOOKUP(F3085, Inventory!A:BZ, 3, FALSE) - SUMIF($F$1:$F3084, F3085, $H$1:$H3084))
</f>
        <v/>
      </c>
      <c r="I3085" s="26"/>
      <c r="J3085" s="26" t="s">
        <v>77</v>
      </c>
      <c r="L3085" s="27" t="s">
        <v>77</v>
      </c>
      <c r="N3085" s="28" t="s">
        <v>77</v>
      </c>
      <c r="Q3085" s="30"/>
    </row>
    <row r="3086">
      <c r="B3086" s="6"/>
      <c r="C3086" s="33" t="str">
        <f t="array" ref="C3086">IF(B3086="", "", XLOOKUP(B3086, Inventory!D:D,Inventory!E:E,"No Name Found"))</f>
        <v/>
      </c>
      <c r="D3086" s="6"/>
      <c r="E3086" s="6"/>
      <c r="F3086" s="6"/>
      <c r="G3086" s="24" t="str">
        <f>IF(F3086="", "", VLOOKUP(F3086, Inventory!A:BZ, 3, FALSE) - SUMIF($F$1:$F3085, F3086, $H$1:$H3085))
</f>
        <v/>
      </c>
      <c r="I3086" s="26"/>
      <c r="J3086" s="26" t="s">
        <v>77</v>
      </c>
      <c r="L3086" s="27" t="s">
        <v>77</v>
      </c>
      <c r="N3086" s="28" t="s">
        <v>77</v>
      </c>
      <c r="Q3086" s="30"/>
    </row>
    <row r="3087">
      <c r="B3087" s="6"/>
      <c r="C3087" s="33" t="str">
        <f t="array" ref="C3087">IF(B3087="", "", XLOOKUP(B3087, Inventory!D:D,Inventory!E:E,"No Name Found"))</f>
        <v/>
      </c>
      <c r="D3087" s="6"/>
      <c r="E3087" s="6"/>
      <c r="F3087" s="6"/>
      <c r="G3087" s="24" t="str">
        <f>IF(F3087="", "", VLOOKUP(F3087, Inventory!A:BZ, 3, FALSE) - SUMIF($F$1:$F3086, F3087, $H$1:$H3086))
</f>
        <v/>
      </c>
      <c r="I3087" s="26"/>
      <c r="J3087" s="26" t="s">
        <v>77</v>
      </c>
      <c r="L3087" s="27" t="s">
        <v>77</v>
      </c>
      <c r="N3087" s="28" t="s">
        <v>77</v>
      </c>
      <c r="Q3087" s="30"/>
    </row>
    <row r="3088">
      <c r="B3088" s="6"/>
      <c r="C3088" s="33" t="str">
        <f t="array" ref="C3088">IF(B3088="", "", XLOOKUP(B3088, Inventory!D:D,Inventory!E:E,"No Name Found"))</f>
        <v/>
      </c>
      <c r="D3088" s="6"/>
      <c r="E3088" s="6"/>
      <c r="F3088" s="6"/>
      <c r="G3088" s="24" t="str">
        <f>IF(F3088="", "", VLOOKUP(F3088, Inventory!A:BZ, 3, FALSE) - SUMIF($F$1:$F3087, F3088, $H$1:$H3087))
</f>
        <v/>
      </c>
      <c r="I3088" s="26"/>
      <c r="J3088" s="26" t="s">
        <v>77</v>
      </c>
      <c r="L3088" s="27" t="s">
        <v>77</v>
      </c>
      <c r="N3088" s="28" t="s">
        <v>77</v>
      </c>
      <c r="Q3088" s="30"/>
    </row>
    <row r="3089">
      <c r="B3089" s="6"/>
      <c r="C3089" s="33" t="str">
        <f t="array" ref="C3089">IF(B3089="", "", XLOOKUP(B3089, Inventory!D:D,Inventory!E:E,"No Name Found"))</f>
        <v/>
      </c>
      <c r="D3089" s="6"/>
      <c r="E3089" s="6"/>
      <c r="F3089" s="6"/>
      <c r="G3089" s="24" t="str">
        <f>IF(F3089="", "", VLOOKUP(F3089, Inventory!A:BZ, 3, FALSE) - SUMIF($F$1:$F3088, F3089, $H$1:$H3088))
</f>
        <v/>
      </c>
      <c r="I3089" s="26"/>
      <c r="J3089" s="26" t="s">
        <v>77</v>
      </c>
      <c r="L3089" s="27" t="s">
        <v>77</v>
      </c>
      <c r="N3089" s="28" t="s">
        <v>77</v>
      </c>
      <c r="Q3089" s="30"/>
    </row>
    <row r="3090">
      <c r="B3090" s="6"/>
      <c r="C3090" s="33" t="str">
        <f t="array" ref="C3090">IF(B3090="", "", XLOOKUP(B3090, Inventory!D:D,Inventory!E:E,"No Name Found"))</f>
        <v/>
      </c>
      <c r="D3090" s="6"/>
      <c r="E3090" s="6"/>
      <c r="F3090" s="6"/>
      <c r="G3090" s="24" t="str">
        <f>IF(F3090="", "", VLOOKUP(F3090, Inventory!A:BZ, 3, FALSE) - SUMIF($F$1:$F3089, F3090, $H$1:$H3089))
</f>
        <v/>
      </c>
      <c r="I3090" s="26"/>
      <c r="J3090" s="26" t="s">
        <v>77</v>
      </c>
      <c r="L3090" s="27" t="s">
        <v>77</v>
      </c>
      <c r="N3090" s="28" t="s">
        <v>77</v>
      </c>
      <c r="Q3090" s="30"/>
    </row>
    <row r="3091">
      <c r="B3091" s="6"/>
      <c r="C3091" s="33" t="str">
        <f t="array" ref="C3091">IF(B3091="", "", XLOOKUP(B3091, Inventory!D:D,Inventory!E:E,"No Name Found"))</f>
        <v/>
      </c>
      <c r="D3091" s="6"/>
      <c r="E3091" s="6"/>
      <c r="F3091" s="6"/>
      <c r="G3091" s="24" t="str">
        <f>IF(F3091="", "", VLOOKUP(F3091, Inventory!A:BZ, 3, FALSE) - SUMIF($F$1:$F3090, F3091, $H$1:$H3090))
</f>
        <v/>
      </c>
      <c r="I3091" s="26"/>
      <c r="J3091" s="26" t="s">
        <v>77</v>
      </c>
      <c r="L3091" s="27" t="s">
        <v>77</v>
      </c>
      <c r="N3091" s="28" t="s">
        <v>77</v>
      </c>
      <c r="Q3091" s="30"/>
    </row>
    <row r="3092">
      <c r="B3092" s="6"/>
      <c r="C3092" s="33" t="str">
        <f t="array" ref="C3092">IF(B3092="", "", XLOOKUP(B3092, Inventory!D:D,Inventory!E:E,"No Name Found"))</f>
        <v/>
      </c>
      <c r="D3092" s="6"/>
      <c r="E3092" s="6"/>
      <c r="F3092" s="6"/>
      <c r="G3092" s="24" t="str">
        <f>IF(F3092="", "", VLOOKUP(F3092, Inventory!A:BZ, 3, FALSE) - SUMIF($F$1:$F3091, F3092, $H$1:$H3091))
</f>
        <v/>
      </c>
      <c r="I3092" s="26"/>
      <c r="J3092" s="26" t="s">
        <v>77</v>
      </c>
      <c r="L3092" s="27" t="s">
        <v>77</v>
      </c>
      <c r="N3092" s="28" t="s">
        <v>77</v>
      </c>
      <c r="Q3092" s="30"/>
    </row>
    <row r="3093">
      <c r="B3093" s="6"/>
      <c r="C3093" s="33" t="str">
        <f t="array" ref="C3093">IF(B3093="", "", XLOOKUP(B3093, Inventory!D:D,Inventory!E:E,"No Name Found"))</f>
        <v/>
      </c>
      <c r="D3093" s="6"/>
      <c r="E3093" s="6"/>
      <c r="F3093" s="6"/>
      <c r="G3093" s="24" t="str">
        <f>IF(F3093="", "", VLOOKUP(F3093, Inventory!A:BZ, 3, FALSE) - SUMIF($F$1:$F3092, F3093, $H$1:$H3092))
</f>
        <v/>
      </c>
      <c r="I3093" s="26"/>
      <c r="J3093" s="26" t="s">
        <v>77</v>
      </c>
      <c r="L3093" s="27" t="s">
        <v>77</v>
      </c>
      <c r="N3093" s="28" t="s">
        <v>77</v>
      </c>
      <c r="Q3093" s="30"/>
    </row>
    <row r="3094">
      <c r="B3094" s="6"/>
      <c r="C3094" s="33" t="str">
        <f t="array" ref="C3094">IF(B3094="", "", XLOOKUP(B3094, Inventory!D:D,Inventory!E:E,"No Name Found"))</f>
        <v/>
      </c>
      <c r="D3094" s="6"/>
      <c r="E3094" s="6"/>
      <c r="F3094" s="6"/>
      <c r="G3094" s="24" t="str">
        <f>IF(F3094="", "", VLOOKUP(F3094, Inventory!A:BZ, 3, FALSE) - SUMIF($F$1:$F3093, F3094, $H$1:$H3093))
</f>
        <v/>
      </c>
      <c r="I3094" s="26"/>
      <c r="J3094" s="26" t="s">
        <v>77</v>
      </c>
      <c r="L3094" s="27" t="s">
        <v>77</v>
      </c>
      <c r="N3094" s="28" t="s">
        <v>77</v>
      </c>
      <c r="Q3094" s="30"/>
    </row>
    <row r="3095">
      <c r="B3095" s="6"/>
      <c r="C3095" s="33" t="str">
        <f t="array" ref="C3095">IF(B3095="", "", XLOOKUP(B3095, Inventory!D:D,Inventory!E:E,"No Name Found"))</f>
        <v/>
      </c>
      <c r="D3095" s="6"/>
      <c r="E3095" s="6"/>
      <c r="F3095" s="6"/>
      <c r="G3095" s="24" t="str">
        <f>IF(F3095="", "", VLOOKUP(F3095, Inventory!A:BZ, 3, FALSE) - SUMIF($F$1:$F3094, F3095, $H$1:$H3094))
</f>
        <v/>
      </c>
      <c r="I3095" s="26"/>
      <c r="J3095" s="26" t="s">
        <v>77</v>
      </c>
      <c r="L3095" s="27" t="s">
        <v>77</v>
      </c>
      <c r="N3095" s="28" t="s">
        <v>77</v>
      </c>
      <c r="Q3095" s="30"/>
    </row>
    <row r="3096">
      <c r="B3096" s="6"/>
      <c r="C3096" s="33" t="str">
        <f t="array" ref="C3096">IF(B3096="", "", XLOOKUP(B3096, Inventory!D:D,Inventory!E:E,"No Name Found"))</f>
        <v/>
      </c>
      <c r="D3096" s="6"/>
      <c r="E3096" s="6"/>
      <c r="F3096" s="6"/>
      <c r="G3096" s="24" t="str">
        <f>IF(F3096="", "", VLOOKUP(F3096, Inventory!A:BZ, 3, FALSE) - SUMIF($F$1:$F3095, F3096, $H$1:$H3095))
</f>
        <v/>
      </c>
      <c r="I3096" s="26"/>
      <c r="J3096" s="26" t="s">
        <v>77</v>
      </c>
      <c r="L3096" s="27" t="s">
        <v>77</v>
      </c>
      <c r="N3096" s="28" t="s">
        <v>77</v>
      </c>
      <c r="Q3096" s="30"/>
    </row>
    <row r="3097">
      <c r="B3097" s="6"/>
      <c r="C3097" s="33" t="str">
        <f t="array" ref="C3097">IF(B3097="", "", XLOOKUP(B3097, Inventory!D:D,Inventory!E:E,"No Name Found"))</f>
        <v/>
      </c>
      <c r="D3097" s="6"/>
      <c r="E3097" s="6"/>
      <c r="F3097" s="6"/>
      <c r="G3097" s="24" t="str">
        <f>IF(F3097="", "", VLOOKUP(F3097, Inventory!A:BZ, 3, FALSE) - SUMIF($F$1:$F3096, F3097, $H$1:$H3096))
</f>
        <v/>
      </c>
      <c r="I3097" s="26"/>
      <c r="J3097" s="26" t="s">
        <v>77</v>
      </c>
      <c r="L3097" s="27" t="s">
        <v>77</v>
      </c>
      <c r="N3097" s="28" t="s">
        <v>77</v>
      </c>
      <c r="Q3097" s="30"/>
    </row>
    <row r="3098">
      <c r="B3098" s="6"/>
      <c r="C3098" s="33" t="str">
        <f t="array" ref="C3098">IF(B3098="", "", XLOOKUP(B3098, Inventory!D:D,Inventory!E:E,"No Name Found"))</f>
        <v/>
      </c>
      <c r="D3098" s="6"/>
      <c r="E3098" s="6"/>
      <c r="F3098" s="6"/>
      <c r="G3098" s="24" t="str">
        <f>IF(F3098="", "", VLOOKUP(F3098, Inventory!A:BZ, 3, FALSE) - SUMIF($F$1:$F3097, F3098, $H$1:$H3097))
</f>
        <v/>
      </c>
      <c r="I3098" s="26"/>
      <c r="J3098" s="26" t="s">
        <v>77</v>
      </c>
      <c r="L3098" s="27" t="s">
        <v>77</v>
      </c>
      <c r="N3098" s="28" t="s">
        <v>77</v>
      </c>
      <c r="Q3098" s="30"/>
    </row>
    <row r="3099">
      <c r="B3099" s="6"/>
      <c r="C3099" s="33" t="str">
        <f t="array" ref="C3099">IF(B3099="", "", XLOOKUP(B3099, Inventory!D:D,Inventory!E:E,"No Name Found"))</f>
        <v/>
      </c>
      <c r="D3099" s="6"/>
      <c r="E3099" s="6"/>
      <c r="F3099" s="6"/>
      <c r="G3099" s="24" t="str">
        <f>IF(F3099="", "", VLOOKUP(F3099, Inventory!A:BZ, 3, FALSE) - SUMIF($F$1:$F3098, F3099, $H$1:$H3098))
</f>
        <v/>
      </c>
      <c r="I3099" s="26"/>
      <c r="J3099" s="26" t="s">
        <v>77</v>
      </c>
      <c r="L3099" s="27" t="s">
        <v>77</v>
      </c>
      <c r="N3099" s="28" t="s">
        <v>77</v>
      </c>
      <c r="Q3099" s="30"/>
    </row>
    <row r="3100">
      <c r="B3100" s="6"/>
      <c r="C3100" s="33" t="str">
        <f t="array" ref="C3100">IF(B3100="", "", XLOOKUP(B3100, Inventory!D:D,Inventory!E:E,"No Name Found"))</f>
        <v/>
      </c>
      <c r="D3100" s="6"/>
      <c r="E3100" s="6"/>
      <c r="F3100" s="6"/>
      <c r="G3100" s="24" t="str">
        <f>IF(F3100="", "", VLOOKUP(F3100, Inventory!A:BZ, 3, FALSE) - SUMIF($F$1:$F3099, F3100, $H$1:$H3099))
</f>
        <v/>
      </c>
      <c r="I3100" s="26"/>
      <c r="J3100" s="26" t="s">
        <v>77</v>
      </c>
      <c r="L3100" s="27" t="s">
        <v>77</v>
      </c>
      <c r="N3100" s="28" t="s">
        <v>77</v>
      </c>
      <c r="Q3100" s="30"/>
    </row>
    <row r="3101">
      <c r="B3101" s="6"/>
      <c r="C3101" s="33" t="str">
        <f t="array" ref="C3101">IF(B3101="", "", XLOOKUP(B3101, Inventory!D:D,Inventory!E:E,"No Name Found"))</f>
        <v/>
      </c>
      <c r="D3101" s="6"/>
      <c r="E3101" s="6"/>
      <c r="F3101" s="6"/>
      <c r="G3101" s="24" t="str">
        <f>IF(F3101="", "", VLOOKUP(F3101, Inventory!A:BZ, 3, FALSE) - SUMIF($F$1:$F3100, F3101, $H$1:$H3100))
</f>
        <v/>
      </c>
      <c r="I3101" s="26"/>
      <c r="J3101" s="26" t="s">
        <v>77</v>
      </c>
      <c r="L3101" s="27" t="s">
        <v>77</v>
      </c>
      <c r="N3101" s="28" t="s">
        <v>77</v>
      </c>
      <c r="Q3101" s="30"/>
    </row>
    <row r="3102">
      <c r="B3102" s="6"/>
      <c r="C3102" s="33" t="str">
        <f t="array" ref="C3102">IF(B3102="", "", XLOOKUP(B3102, Inventory!D:D,Inventory!E:E,"No Name Found"))</f>
        <v/>
      </c>
      <c r="D3102" s="6"/>
      <c r="E3102" s="6"/>
      <c r="F3102" s="6"/>
      <c r="G3102" s="24" t="str">
        <f>IF(F3102="", "", VLOOKUP(F3102, Inventory!A:BZ, 3, FALSE) - SUMIF($F$1:$F3101, F3102, $H$1:$H3101))
</f>
        <v/>
      </c>
      <c r="I3102" s="26"/>
      <c r="J3102" s="26" t="s">
        <v>77</v>
      </c>
      <c r="L3102" s="27" t="s">
        <v>77</v>
      </c>
      <c r="N3102" s="28" t="s">
        <v>77</v>
      </c>
      <c r="Q3102" s="30"/>
    </row>
    <row r="3103">
      <c r="B3103" s="6"/>
      <c r="C3103" s="33" t="str">
        <f t="array" ref="C3103">IF(B3103="", "", XLOOKUP(B3103, Inventory!D:D,Inventory!E:E,"No Name Found"))</f>
        <v/>
      </c>
      <c r="D3103" s="6"/>
      <c r="E3103" s="6"/>
      <c r="F3103" s="6"/>
      <c r="G3103" s="24" t="str">
        <f>IF(F3103="", "", VLOOKUP(F3103, Inventory!A:BZ, 3, FALSE) - SUMIF($F$1:$F3102, F3103, $H$1:$H3102))
</f>
        <v/>
      </c>
      <c r="I3103" s="26"/>
      <c r="J3103" s="26" t="s">
        <v>77</v>
      </c>
      <c r="L3103" s="27" t="s">
        <v>77</v>
      </c>
      <c r="N3103" s="28" t="s">
        <v>77</v>
      </c>
      <c r="Q3103" s="30"/>
    </row>
    <row r="3104">
      <c r="B3104" s="6"/>
      <c r="C3104" s="33" t="str">
        <f t="array" ref="C3104">IF(B3104="", "", XLOOKUP(B3104, Inventory!D:D,Inventory!E:E,"No Name Found"))</f>
        <v/>
      </c>
      <c r="D3104" s="6"/>
      <c r="E3104" s="6"/>
      <c r="F3104" s="6"/>
      <c r="G3104" s="24" t="str">
        <f>IF(F3104="", "", VLOOKUP(F3104, Inventory!A:BZ, 3, FALSE) - SUMIF($F$1:$F3103, F3104, $H$1:$H3103))
</f>
        <v/>
      </c>
      <c r="I3104" s="26"/>
      <c r="J3104" s="26" t="s">
        <v>77</v>
      </c>
      <c r="L3104" s="27" t="s">
        <v>77</v>
      </c>
      <c r="N3104" s="28" t="s">
        <v>77</v>
      </c>
      <c r="Q3104" s="30"/>
    </row>
    <row r="3105">
      <c r="B3105" s="6"/>
      <c r="C3105" s="33" t="str">
        <f t="array" ref="C3105">IF(B3105="", "", XLOOKUP(B3105, Inventory!D:D,Inventory!E:E,"No Name Found"))</f>
        <v/>
      </c>
      <c r="D3105" s="6"/>
      <c r="E3105" s="6"/>
      <c r="F3105" s="6"/>
      <c r="G3105" s="24" t="str">
        <f>IF(F3105="", "", VLOOKUP(F3105, Inventory!A:BZ, 3, FALSE) - SUMIF($F$1:$F3104, F3105, $H$1:$H3104))
</f>
        <v/>
      </c>
      <c r="I3105" s="26"/>
      <c r="J3105" s="26" t="s">
        <v>77</v>
      </c>
      <c r="L3105" s="27" t="s">
        <v>77</v>
      </c>
      <c r="N3105" s="28" t="s">
        <v>77</v>
      </c>
      <c r="Q3105" s="30"/>
    </row>
    <row r="3106">
      <c r="B3106" s="6"/>
      <c r="C3106" s="33" t="str">
        <f t="array" ref="C3106">IF(B3106="", "", XLOOKUP(B3106, Inventory!D:D,Inventory!E:E,"No Name Found"))</f>
        <v/>
      </c>
      <c r="D3106" s="6"/>
      <c r="E3106" s="6"/>
      <c r="F3106" s="6"/>
      <c r="G3106" s="24" t="str">
        <f>IF(F3106="", "", VLOOKUP(F3106, Inventory!A:BZ, 3, FALSE) - SUMIF($F$1:$F3105, F3106, $H$1:$H3105))
</f>
        <v/>
      </c>
      <c r="I3106" s="26"/>
      <c r="J3106" s="26" t="s">
        <v>77</v>
      </c>
      <c r="L3106" s="27" t="s">
        <v>77</v>
      </c>
      <c r="N3106" s="28" t="s">
        <v>77</v>
      </c>
      <c r="Q3106" s="30"/>
    </row>
    <row r="3107">
      <c r="B3107" s="6"/>
      <c r="C3107" s="33" t="str">
        <f t="array" ref="C3107">IF(B3107="", "", XLOOKUP(B3107, Inventory!D:D,Inventory!E:E,"No Name Found"))</f>
        <v/>
      </c>
      <c r="D3107" s="6"/>
      <c r="E3107" s="6"/>
      <c r="F3107" s="6"/>
      <c r="G3107" s="24" t="str">
        <f>IF(F3107="", "", VLOOKUP(F3107, Inventory!A:BZ, 3, FALSE) - SUMIF($F$1:$F3106, F3107, $H$1:$H3106))
</f>
        <v/>
      </c>
      <c r="I3107" s="26"/>
      <c r="J3107" s="26" t="s">
        <v>77</v>
      </c>
      <c r="L3107" s="27" t="s">
        <v>77</v>
      </c>
      <c r="N3107" s="28" t="s">
        <v>77</v>
      </c>
      <c r="Q3107" s="30"/>
    </row>
    <row r="3108">
      <c r="B3108" s="6"/>
      <c r="C3108" s="33" t="str">
        <f t="array" ref="C3108">IF(B3108="", "", XLOOKUP(B3108, Inventory!D:D,Inventory!E:E,"No Name Found"))</f>
        <v/>
      </c>
      <c r="D3108" s="6"/>
      <c r="E3108" s="6"/>
      <c r="F3108" s="6"/>
      <c r="G3108" s="24" t="str">
        <f>IF(F3108="", "", VLOOKUP(F3108, Inventory!A:BZ, 3, FALSE) - SUMIF($F$1:$F3107, F3108, $H$1:$H3107))
</f>
        <v/>
      </c>
      <c r="I3108" s="26"/>
      <c r="J3108" s="26" t="s">
        <v>77</v>
      </c>
      <c r="L3108" s="27" t="s">
        <v>77</v>
      </c>
      <c r="N3108" s="28" t="s">
        <v>77</v>
      </c>
      <c r="Q3108" s="30"/>
    </row>
    <row r="3109">
      <c r="B3109" s="6"/>
      <c r="C3109" s="33" t="str">
        <f t="array" ref="C3109">IF(B3109="", "", XLOOKUP(B3109, Inventory!D:D,Inventory!E:E,"No Name Found"))</f>
        <v/>
      </c>
      <c r="D3109" s="6"/>
      <c r="E3109" s="6"/>
      <c r="F3109" s="6"/>
      <c r="G3109" s="24" t="str">
        <f>IF(F3109="", "", VLOOKUP(F3109, Inventory!A:BZ, 3, FALSE) - SUMIF($F$1:$F3108, F3109, $H$1:$H3108))
</f>
        <v/>
      </c>
      <c r="I3109" s="26"/>
      <c r="J3109" s="26" t="s">
        <v>77</v>
      </c>
      <c r="L3109" s="27" t="s">
        <v>77</v>
      </c>
      <c r="N3109" s="28" t="s">
        <v>77</v>
      </c>
      <c r="Q3109" s="30"/>
    </row>
    <row r="3110">
      <c r="B3110" s="6"/>
      <c r="C3110" s="33" t="str">
        <f t="array" ref="C3110">IF(B3110="", "", XLOOKUP(B3110, Inventory!D:D,Inventory!E:E,"No Name Found"))</f>
        <v/>
      </c>
      <c r="D3110" s="6"/>
      <c r="E3110" s="6"/>
      <c r="F3110" s="6"/>
      <c r="G3110" s="24" t="str">
        <f>IF(F3110="", "", VLOOKUP(F3110, Inventory!A:BZ, 3, FALSE) - SUMIF($F$1:$F3109, F3110, $H$1:$H3109))
</f>
        <v/>
      </c>
      <c r="I3110" s="26"/>
      <c r="J3110" s="26" t="s">
        <v>77</v>
      </c>
      <c r="L3110" s="27" t="s">
        <v>77</v>
      </c>
      <c r="N3110" s="28" t="s">
        <v>77</v>
      </c>
      <c r="Q3110" s="30"/>
    </row>
    <row r="3111">
      <c r="B3111" s="6"/>
      <c r="C3111" s="33" t="str">
        <f t="array" ref="C3111">IF(B3111="", "", XLOOKUP(B3111, Inventory!D:D,Inventory!E:E,"No Name Found"))</f>
        <v/>
      </c>
      <c r="D3111" s="6"/>
      <c r="E3111" s="6"/>
      <c r="F3111" s="6"/>
      <c r="G3111" s="24" t="str">
        <f>IF(F3111="", "", VLOOKUP(F3111, Inventory!A:BZ, 3, FALSE) - SUMIF($F$1:$F3110, F3111, $H$1:$H3110))
</f>
        <v/>
      </c>
      <c r="I3111" s="26"/>
      <c r="J3111" s="26" t="s">
        <v>77</v>
      </c>
      <c r="L3111" s="27" t="s">
        <v>77</v>
      </c>
      <c r="N3111" s="28" t="s">
        <v>77</v>
      </c>
      <c r="Q3111" s="30"/>
    </row>
    <row r="3112">
      <c r="B3112" s="6"/>
      <c r="C3112" s="33" t="str">
        <f t="array" ref="C3112">IF(B3112="", "", XLOOKUP(B3112, Inventory!D:D,Inventory!E:E,"No Name Found"))</f>
        <v/>
      </c>
      <c r="D3112" s="6"/>
      <c r="E3112" s="6"/>
      <c r="F3112" s="6"/>
      <c r="G3112" s="24" t="str">
        <f>IF(F3112="", "", VLOOKUP(F3112, Inventory!A:BZ, 3, FALSE) - SUMIF($F$1:$F3111, F3112, $H$1:$H3111))
</f>
        <v/>
      </c>
      <c r="I3112" s="26"/>
      <c r="J3112" s="26" t="s">
        <v>77</v>
      </c>
      <c r="L3112" s="27" t="s">
        <v>77</v>
      </c>
      <c r="N3112" s="28" t="s">
        <v>77</v>
      </c>
      <c r="Q3112" s="30"/>
    </row>
    <row r="3113">
      <c r="B3113" s="6"/>
      <c r="C3113" s="33" t="str">
        <f t="array" ref="C3113">IF(B3113="", "", XLOOKUP(B3113, Inventory!D:D,Inventory!E:E,"No Name Found"))</f>
        <v/>
      </c>
      <c r="D3113" s="6"/>
      <c r="E3113" s="6"/>
      <c r="F3113" s="6"/>
      <c r="G3113" s="24" t="str">
        <f>IF(F3113="", "", VLOOKUP(F3113, Inventory!A:BZ, 3, FALSE) - SUMIF($F$1:$F3112, F3113, $H$1:$H3112))
</f>
        <v/>
      </c>
      <c r="I3113" s="26"/>
      <c r="J3113" s="26" t="s">
        <v>77</v>
      </c>
      <c r="L3113" s="27" t="s">
        <v>77</v>
      </c>
      <c r="N3113" s="28" t="s">
        <v>77</v>
      </c>
      <c r="Q3113" s="30"/>
    </row>
    <row r="3114">
      <c r="B3114" s="6"/>
      <c r="C3114" s="33" t="str">
        <f t="array" ref="C3114">IF(B3114="", "", XLOOKUP(B3114, Inventory!D:D,Inventory!E:E,"No Name Found"))</f>
        <v/>
      </c>
      <c r="D3114" s="6"/>
      <c r="E3114" s="6"/>
      <c r="F3114" s="6"/>
      <c r="G3114" s="24" t="str">
        <f>IF(F3114="", "", VLOOKUP(F3114, Inventory!A:BZ, 3, FALSE) - SUMIF($F$1:$F3113, F3114, $H$1:$H3113))
</f>
        <v/>
      </c>
      <c r="I3114" s="26"/>
      <c r="J3114" s="26" t="s">
        <v>77</v>
      </c>
      <c r="L3114" s="27" t="s">
        <v>77</v>
      </c>
      <c r="N3114" s="28" t="s">
        <v>77</v>
      </c>
      <c r="Q3114" s="30"/>
    </row>
    <row r="3115">
      <c r="B3115" s="6"/>
      <c r="C3115" s="33" t="str">
        <f t="array" ref="C3115">IF(B3115="", "", XLOOKUP(B3115, Inventory!D:D,Inventory!E:E,"No Name Found"))</f>
        <v/>
      </c>
      <c r="D3115" s="6"/>
      <c r="E3115" s="6"/>
      <c r="F3115" s="6"/>
      <c r="G3115" s="24" t="str">
        <f>IF(F3115="", "", VLOOKUP(F3115, Inventory!A:BZ, 3, FALSE) - SUMIF($F$1:$F3114, F3115, $H$1:$H3114))
</f>
        <v/>
      </c>
      <c r="I3115" s="26"/>
      <c r="J3115" s="26" t="s">
        <v>77</v>
      </c>
      <c r="L3115" s="27" t="s">
        <v>77</v>
      </c>
      <c r="N3115" s="28" t="s">
        <v>77</v>
      </c>
      <c r="Q3115" s="30"/>
    </row>
    <row r="3116">
      <c r="B3116" s="6"/>
      <c r="C3116" s="33" t="str">
        <f t="array" ref="C3116">IF(B3116="", "", XLOOKUP(B3116, Inventory!D:D,Inventory!E:E,"No Name Found"))</f>
        <v/>
      </c>
      <c r="D3116" s="6"/>
      <c r="E3116" s="6"/>
      <c r="F3116" s="6"/>
      <c r="G3116" s="24" t="str">
        <f>IF(F3116="", "", VLOOKUP(F3116, Inventory!A:BZ, 3, FALSE) - SUMIF($F$1:$F3115, F3116, $H$1:$H3115))
</f>
        <v/>
      </c>
      <c r="I3116" s="26"/>
      <c r="J3116" s="26" t="s">
        <v>77</v>
      </c>
      <c r="L3116" s="27" t="s">
        <v>77</v>
      </c>
      <c r="N3116" s="28" t="s">
        <v>77</v>
      </c>
      <c r="Q3116" s="30"/>
    </row>
    <row r="3117">
      <c r="B3117" s="6"/>
      <c r="C3117" s="33" t="str">
        <f t="array" ref="C3117">IF(B3117="", "", XLOOKUP(B3117, Inventory!D:D,Inventory!E:E,"No Name Found"))</f>
        <v/>
      </c>
      <c r="D3117" s="6"/>
      <c r="E3117" s="6"/>
      <c r="F3117" s="6"/>
      <c r="G3117" s="24" t="str">
        <f>IF(F3117="", "", VLOOKUP(F3117, Inventory!A:BZ, 3, FALSE) - SUMIF($F$1:$F3116, F3117, $H$1:$H3116))
</f>
        <v/>
      </c>
      <c r="I3117" s="26"/>
      <c r="J3117" s="26" t="s">
        <v>77</v>
      </c>
      <c r="L3117" s="27" t="s">
        <v>77</v>
      </c>
      <c r="N3117" s="28" t="s">
        <v>77</v>
      </c>
      <c r="Q3117" s="30"/>
    </row>
    <row r="3118">
      <c r="B3118" s="6"/>
      <c r="C3118" s="33" t="str">
        <f t="array" ref="C3118">IF(B3118="", "", XLOOKUP(B3118, Inventory!D:D,Inventory!E:E,"No Name Found"))</f>
        <v/>
      </c>
      <c r="D3118" s="6"/>
      <c r="E3118" s="6"/>
      <c r="F3118" s="6"/>
      <c r="G3118" s="24" t="str">
        <f>IF(F3118="", "", VLOOKUP(F3118, Inventory!A:BZ, 3, FALSE) - SUMIF($F$1:$F3117, F3118, $H$1:$H3117))
</f>
        <v/>
      </c>
      <c r="I3118" s="26"/>
      <c r="J3118" s="26" t="s">
        <v>77</v>
      </c>
      <c r="L3118" s="27" t="s">
        <v>77</v>
      </c>
      <c r="N3118" s="28" t="s">
        <v>77</v>
      </c>
      <c r="Q3118" s="30"/>
    </row>
    <row r="3119">
      <c r="B3119" s="6"/>
      <c r="C3119" s="33" t="str">
        <f t="array" ref="C3119">IF(B3119="", "", XLOOKUP(B3119, Inventory!D:D,Inventory!E:E,"No Name Found"))</f>
        <v/>
      </c>
      <c r="D3119" s="6"/>
      <c r="E3119" s="6"/>
      <c r="F3119" s="6"/>
      <c r="G3119" s="24" t="str">
        <f>IF(F3119="", "", VLOOKUP(F3119, Inventory!A:BZ, 3, FALSE) - SUMIF($F$1:$F3118, F3119, $H$1:$H3118))
</f>
        <v/>
      </c>
      <c r="I3119" s="26"/>
      <c r="J3119" s="26" t="s">
        <v>77</v>
      </c>
      <c r="L3119" s="27" t="s">
        <v>77</v>
      </c>
      <c r="N3119" s="28" t="s">
        <v>77</v>
      </c>
      <c r="Q3119" s="30"/>
    </row>
    <row r="3120">
      <c r="B3120" s="6"/>
      <c r="C3120" s="33" t="str">
        <f t="array" ref="C3120">IF(B3120="", "", XLOOKUP(B3120, Inventory!D:D,Inventory!E:E,"No Name Found"))</f>
        <v/>
      </c>
      <c r="D3120" s="6"/>
      <c r="E3120" s="6"/>
      <c r="F3120" s="6"/>
      <c r="G3120" s="24" t="str">
        <f>IF(F3120="", "", VLOOKUP(F3120, Inventory!A:BZ, 3, FALSE) - SUMIF($F$1:$F3119, F3120, $H$1:$H3119))
</f>
        <v/>
      </c>
      <c r="I3120" s="26"/>
      <c r="J3120" s="26" t="s">
        <v>77</v>
      </c>
      <c r="L3120" s="27" t="s">
        <v>77</v>
      </c>
      <c r="N3120" s="28" t="s">
        <v>77</v>
      </c>
      <c r="Q3120" s="30"/>
    </row>
    <row r="3121">
      <c r="B3121" s="6"/>
      <c r="C3121" s="33" t="str">
        <f t="array" ref="C3121">IF(B3121="", "", XLOOKUP(B3121, Inventory!D:D,Inventory!E:E,"No Name Found"))</f>
        <v/>
      </c>
      <c r="D3121" s="6"/>
      <c r="E3121" s="6"/>
      <c r="F3121" s="6"/>
      <c r="G3121" s="24" t="str">
        <f>IF(F3121="", "", VLOOKUP(F3121, Inventory!A:BZ, 3, FALSE) - SUMIF($F$1:$F3120, F3121, $H$1:$H3120))
</f>
        <v/>
      </c>
      <c r="I3121" s="26"/>
      <c r="J3121" s="26" t="s">
        <v>77</v>
      </c>
      <c r="L3121" s="27" t="s">
        <v>77</v>
      </c>
      <c r="N3121" s="28" t="s">
        <v>77</v>
      </c>
      <c r="Q3121" s="30"/>
    </row>
    <row r="3122">
      <c r="B3122" s="6"/>
      <c r="C3122" s="33" t="str">
        <f t="array" ref="C3122">IF(B3122="", "", XLOOKUP(B3122, Inventory!D:D,Inventory!E:E,"No Name Found"))</f>
        <v/>
      </c>
      <c r="D3122" s="6"/>
      <c r="E3122" s="6"/>
      <c r="F3122" s="6"/>
      <c r="G3122" s="24" t="str">
        <f>IF(F3122="", "", VLOOKUP(F3122, Inventory!A:BZ, 3, FALSE) - SUMIF($F$1:$F3121, F3122, $H$1:$H3121))
</f>
        <v/>
      </c>
      <c r="I3122" s="26"/>
      <c r="J3122" s="26" t="s">
        <v>77</v>
      </c>
      <c r="L3122" s="27" t="s">
        <v>77</v>
      </c>
      <c r="N3122" s="28" t="s">
        <v>77</v>
      </c>
      <c r="Q3122" s="30"/>
    </row>
    <row r="3123">
      <c r="B3123" s="6"/>
      <c r="C3123" s="33" t="str">
        <f t="array" ref="C3123">IF(B3123="", "", XLOOKUP(B3123, Inventory!D:D,Inventory!E:E,"No Name Found"))</f>
        <v/>
      </c>
      <c r="D3123" s="6"/>
      <c r="E3123" s="6"/>
      <c r="F3123" s="6"/>
      <c r="G3123" s="24" t="str">
        <f>IF(F3123="", "", VLOOKUP(F3123, Inventory!A:BZ, 3, FALSE) - SUMIF($F$1:$F3122, F3123, $H$1:$H3122))
</f>
        <v/>
      </c>
      <c r="I3123" s="26"/>
      <c r="J3123" s="26" t="s">
        <v>77</v>
      </c>
      <c r="L3123" s="27" t="s">
        <v>77</v>
      </c>
      <c r="N3123" s="28" t="s">
        <v>77</v>
      </c>
      <c r="Q3123" s="30"/>
    </row>
    <row r="3124">
      <c r="B3124" s="6"/>
      <c r="C3124" s="33" t="str">
        <f t="array" ref="C3124">IF(B3124="", "", XLOOKUP(B3124, Inventory!D:D,Inventory!E:E,"No Name Found"))</f>
        <v/>
      </c>
      <c r="D3124" s="6"/>
      <c r="E3124" s="6"/>
      <c r="F3124" s="6"/>
      <c r="G3124" s="24" t="str">
        <f>IF(F3124="", "", VLOOKUP(F3124, Inventory!A:BZ, 3, FALSE) - SUMIF($F$1:$F3123, F3124, $H$1:$H3123))
</f>
        <v/>
      </c>
      <c r="I3124" s="26"/>
      <c r="J3124" s="26" t="s">
        <v>77</v>
      </c>
      <c r="L3124" s="27" t="s">
        <v>77</v>
      </c>
      <c r="N3124" s="28" t="s">
        <v>77</v>
      </c>
      <c r="Q3124" s="30"/>
    </row>
    <row r="3125">
      <c r="B3125" s="6"/>
      <c r="C3125" s="33" t="str">
        <f t="array" ref="C3125">IF(B3125="", "", XLOOKUP(B3125, Inventory!D:D,Inventory!E:E,"No Name Found"))</f>
        <v/>
      </c>
      <c r="D3125" s="6"/>
      <c r="E3125" s="6"/>
      <c r="F3125" s="6"/>
      <c r="G3125" s="24" t="str">
        <f>IF(F3125="", "", VLOOKUP(F3125, Inventory!A:BZ, 3, FALSE) - SUMIF($F$1:$F3124, F3125, $H$1:$H3124))
</f>
        <v/>
      </c>
      <c r="I3125" s="26"/>
      <c r="J3125" s="26" t="s">
        <v>77</v>
      </c>
      <c r="L3125" s="27" t="s">
        <v>77</v>
      </c>
      <c r="N3125" s="28" t="s">
        <v>77</v>
      </c>
      <c r="Q3125" s="30"/>
    </row>
    <row r="3126">
      <c r="B3126" s="6"/>
      <c r="C3126" s="33" t="str">
        <f t="array" ref="C3126">IF(B3126="", "", XLOOKUP(B3126, Inventory!D:D,Inventory!E:E,"No Name Found"))</f>
        <v/>
      </c>
      <c r="D3126" s="6"/>
      <c r="E3126" s="6"/>
      <c r="F3126" s="6"/>
      <c r="G3126" s="24" t="str">
        <f>IF(F3126="", "", VLOOKUP(F3126, Inventory!A:BZ, 3, FALSE) - SUMIF($F$1:$F3125, F3126, $H$1:$H3125))
</f>
        <v/>
      </c>
      <c r="I3126" s="26"/>
      <c r="J3126" s="26" t="s">
        <v>77</v>
      </c>
      <c r="L3126" s="27" t="s">
        <v>77</v>
      </c>
      <c r="N3126" s="28" t="s">
        <v>77</v>
      </c>
      <c r="Q3126" s="30"/>
    </row>
    <row r="3127">
      <c r="B3127" s="6"/>
      <c r="C3127" s="33" t="str">
        <f t="array" ref="C3127">IF(B3127="", "", XLOOKUP(B3127, Inventory!D:D,Inventory!E:E,"No Name Found"))</f>
        <v/>
      </c>
      <c r="D3127" s="6"/>
      <c r="E3127" s="6"/>
      <c r="F3127" s="6"/>
      <c r="G3127" s="24" t="str">
        <f>IF(F3127="", "", VLOOKUP(F3127, Inventory!A:BZ, 3, FALSE) - SUMIF($F$1:$F3126, F3127, $H$1:$H3126))
</f>
        <v/>
      </c>
      <c r="I3127" s="26"/>
      <c r="J3127" s="26" t="s">
        <v>77</v>
      </c>
      <c r="L3127" s="27" t="s">
        <v>77</v>
      </c>
      <c r="N3127" s="28" t="s">
        <v>77</v>
      </c>
      <c r="Q3127" s="30"/>
    </row>
    <row r="3128">
      <c r="B3128" s="6"/>
      <c r="C3128" s="33" t="str">
        <f t="array" ref="C3128">IF(B3128="", "", XLOOKUP(B3128, Inventory!D:D,Inventory!E:E,"No Name Found"))</f>
        <v/>
      </c>
      <c r="D3128" s="6"/>
      <c r="E3128" s="6"/>
      <c r="F3128" s="6"/>
      <c r="G3128" s="24" t="str">
        <f>IF(F3128="", "", VLOOKUP(F3128, Inventory!A:BZ, 3, FALSE) - SUMIF($F$1:$F3127, F3128, $H$1:$H3127))
</f>
        <v/>
      </c>
      <c r="I3128" s="26"/>
      <c r="J3128" s="26" t="s">
        <v>77</v>
      </c>
      <c r="L3128" s="27" t="s">
        <v>77</v>
      </c>
      <c r="N3128" s="28" t="s">
        <v>77</v>
      </c>
      <c r="Q3128" s="30"/>
    </row>
    <row r="3129">
      <c r="B3129" s="6"/>
      <c r="C3129" s="33" t="str">
        <f t="array" ref="C3129">IF(B3129="", "", XLOOKUP(B3129, Inventory!D:D,Inventory!E:E,"No Name Found"))</f>
        <v/>
      </c>
      <c r="D3129" s="6"/>
      <c r="E3129" s="6"/>
      <c r="F3129" s="6"/>
      <c r="G3129" s="24" t="str">
        <f>IF(F3129="", "", VLOOKUP(F3129, Inventory!A:BZ, 3, FALSE) - SUMIF($F$1:$F3128, F3129, $H$1:$H3128))
</f>
        <v/>
      </c>
      <c r="I3129" s="26"/>
      <c r="J3129" s="26" t="s">
        <v>77</v>
      </c>
      <c r="L3129" s="27" t="s">
        <v>77</v>
      </c>
      <c r="N3129" s="28" t="s">
        <v>77</v>
      </c>
      <c r="Q3129" s="30"/>
    </row>
    <row r="3130">
      <c r="B3130" s="6"/>
      <c r="C3130" s="33" t="str">
        <f t="array" ref="C3130">IF(B3130="", "", XLOOKUP(B3130, Inventory!D:D,Inventory!E:E,"No Name Found"))</f>
        <v/>
      </c>
      <c r="D3130" s="6"/>
      <c r="E3130" s="6"/>
      <c r="F3130" s="6"/>
      <c r="G3130" s="24" t="str">
        <f>IF(F3130="", "", VLOOKUP(F3130, Inventory!A:BZ, 3, FALSE) - SUMIF($F$1:$F3129, F3130, $H$1:$H3129))
</f>
        <v/>
      </c>
      <c r="I3130" s="26"/>
      <c r="J3130" s="26" t="s">
        <v>77</v>
      </c>
      <c r="L3130" s="27" t="s">
        <v>77</v>
      </c>
      <c r="N3130" s="28" t="s">
        <v>77</v>
      </c>
      <c r="Q3130" s="30"/>
    </row>
    <row r="3131">
      <c r="B3131" s="6"/>
      <c r="C3131" s="33" t="str">
        <f t="array" ref="C3131">IF(B3131="", "", XLOOKUP(B3131, Inventory!D:D,Inventory!E:E,"No Name Found"))</f>
        <v/>
      </c>
      <c r="D3131" s="6"/>
      <c r="E3131" s="6"/>
      <c r="F3131" s="6"/>
      <c r="G3131" s="24" t="str">
        <f>IF(F3131="", "", VLOOKUP(F3131, Inventory!A:BZ, 3, FALSE) - SUMIF($F$1:$F3130, F3131, $H$1:$H3130))
</f>
        <v/>
      </c>
      <c r="I3131" s="26"/>
      <c r="J3131" s="26" t="s">
        <v>77</v>
      </c>
      <c r="L3131" s="27" t="s">
        <v>77</v>
      </c>
      <c r="N3131" s="28" t="s">
        <v>77</v>
      </c>
      <c r="Q3131" s="30"/>
    </row>
    <row r="3132">
      <c r="B3132" s="6"/>
      <c r="C3132" s="33" t="str">
        <f t="array" ref="C3132">IF(B3132="", "", XLOOKUP(B3132, Inventory!D:D,Inventory!E:E,"No Name Found"))</f>
        <v/>
      </c>
      <c r="D3132" s="6"/>
      <c r="E3132" s="6"/>
      <c r="F3132" s="6"/>
      <c r="G3132" s="24" t="str">
        <f>IF(F3132="", "", VLOOKUP(F3132, Inventory!A:BZ, 3, FALSE) - SUMIF($F$1:$F3131, F3132, $H$1:$H3131))
</f>
        <v/>
      </c>
      <c r="I3132" s="26"/>
      <c r="J3132" s="26" t="s">
        <v>77</v>
      </c>
      <c r="L3132" s="27" t="s">
        <v>77</v>
      </c>
      <c r="N3132" s="28" t="s">
        <v>77</v>
      </c>
      <c r="Q3132" s="30"/>
    </row>
    <row r="3133">
      <c r="B3133" s="6"/>
      <c r="C3133" s="33" t="str">
        <f t="array" ref="C3133">IF(B3133="", "", XLOOKUP(B3133, Inventory!D:D,Inventory!E:E,"No Name Found"))</f>
        <v/>
      </c>
      <c r="D3133" s="6"/>
      <c r="E3133" s="6"/>
      <c r="F3133" s="6"/>
      <c r="G3133" s="24" t="str">
        <f>IF(F3133="", "", VLOOKUP(F3133, Inventory!A:BZ, 3, FALSE) - SUMIF($F$1:$F3132, F3133, $H$1:$H3132))
</f>
        <v/>
      </c>
      <c r="I3133" s="26"/>
      <c r="J3133" s="26" t="s">
        <v>77</v>
      </c>
      <c r="L3133" s="27" t="s">
        <v>77</v>
      </c>
      <c r="N3133" s="28" t="s">
        <v>77</v>
      </c>
      <c r="Q3133" s="30"/>
    </row>
    <row r="3134">
      <c r="B3134" s="6"/>
      <c r="C3134" s="33" t="str">
        <f t="array" ref="C3134">IF(B3134="", "", XLOOKUP(B3134, Inventory!D:D,Inventory!E:E,"No Name Found"))</f>
        <v/>
      </c>
      <c r="D3134" s="6"/>
      <c r="E3134" s="6"/>
      <c r="F3134" s="6"/>
      <c r="G3134" s="24" t="str">
        <f>IF(F3134="", "", VLOOKUP(F3134, Inventory!A:BZ, 3, FALSE) - SUMIF($F$1:$F3133, F3134, $H$1:$H3133))
</f>
        <v/>
      </c>
      <c r="I3134" s="26"/>
      <c r="J3134" s="26" t="s">
        <v>77</v>
      </c>
      <c r="L3134" s="27" t="s">
        <v>77</v>
      </c>
      <c r="N3134" s="28" t="s">
        <v>77</v>
      </c>
      <c r="Q3134" s="30"/>
    </row>
    <row r="3135">
      <c r="B3135" s="6"/>
      <c r="C3135" s="33" t="str">
        <f t="array" ref="C3135">IF(B3135="", "", XLOOKUP(B3135, Inventory!D:D,Inventory!E:E,"No Name Found"))</f>
        <v/>
      </c>
      <c r="D3135" s="6"/>
      <c r="E3135" s="6"/>
      <c r="F3135" s="6"/>
      <c r="G3135" s="24" t="str">
        <f>IF(F3135="", "", VLOOKUP(F3135, Inventory!A:BZ, 3, FALSE) - SUMIF($F$1:$F3134, F3135, $H$1:$H3134))
</f>
        <v/>
      </c>
      <c r="I3135" s="26"/>
      <c r="J3135" s="26" t="s">
        <v>77</v>
      </c>
      <c r="L3135" s="27" t="s">
        <v>77</v>
      </c>
      <c r="N3135" s="28" t="s">
        <v>77</v>
      </c>
      <c r="Q3135" s="30"/>
    </row>
    <row r="3136">
      <c r="B3136" s="6"/>
      <c r="C3136" s="33" t="str">
        <f t="array" ref="C3136">IF(B3136="", "", XLOOKUP(B3136, Inventory!D:D,Inventory!E:E,"No Name Found"))</f>
        <v/>
      </c>
      <c r="D3136" s="6"/>
      <c r="E3136" s="6"/>
      <c r="F3136" s="6"/>
      <c r="G3136" s="24" t="str">
        <f>IF(F3136="", "", VLOOKUP(F3136, Inventory!A:BZ, 3, FALSE) - SUMIF($F$1:$F3135, F3136, $H$1:$H3135))
</f>
        <v/>
      </c>
      <c r="I3136" s="26"/>
      <c r="J3136" s="26" t="s">
        <v>77</v>
      </c>
      <c r="L3136" s="27" t="s">
        <v>77</v>
      </c>
      <c r="N3136" s="28" t="s">
        <v>77</v>
      </c>
      <c r="Q3136" s="30"/>
    </row>
    <row r="3137">
      <c r="B3137" s="6"/>
      <c r="C3137" s="33" t="str">
        <f t="array" ref="C3137">IF(B3137="", "", XLOOKUP(B3137, Inventory!D:D,Inventory!E:E,"No Name Found"))</f>
        <v/>
      </c>
      <c r="D3137" s="6"/>
      <c r="E3137" s="6"/>
      <c r="F3137" s="6"/>
      <c r="G3137" s="24" t="str">
        <f>IF(F3137="", "", VLOOKUP(F3137, Inventory!A:BZ, 3, FALSE) - SUMIF($F$1:$F3136, F3137, $H$1:$H3136))
</f>
        <v/>
      </c>
      <c r="I3137" s="26"/>
      <c r="J3137" s="26" t="s">
        <v>77</v>
      </c>
      <c r="L3137" s="27" t="s">
        <v>77</v>
      </c>
      <c r="N3137" s="28" t="s">
        <v>77</v>
      </c>
      <c r="Q3137" s="30"/>
    </row>
    <row r="3138">
      <c r="B3138" s="6"/>
      <c r="C3138" s="33" t="str">
        <f t="array" ref="C3138">IF(B3138="", "", XLOOKUP(B3138, Inventory!D:D,Inventory!E:E,"No Name Found"))</f>
        <v/>
      </c>
      <c r="D3138" s="6"/>
      <c r="E3138" s="6"/>
      <c r="F3138" s="6"/>
      <c r="G3138" s="24" t="str">
        <f>IF(F3138="", "", VLOOKUP(F3138, Inventory!A:BZ, 3, FALSE) - SUMIF($F$1:$F3137, F3138, $H$1:$H3137))
</f>
        <v/>
      </c>
      <c r="I3138" s="26"/>
      <c r="J3138" s="26" t="s">
        <v>77</v>
      </c>
      <c r="L3138" s="27" t="s">
        <v>77</v>
      </c>
      <c r="N3138" s="28" t="s">
        <v>77</v>
      </c>
      <c r="Q3138" s="30"/>
    </row>
    <row r="3139">
      <c r="B3139" s="6"/>
      <c r="C3139" s="33" t="str">
        <f t="array" ref="C3139">IF(B3139="", "", XLOOKUP(B3139, Inventory!D:D,Inventory!E:E,"No Name Found"))</f>
        <v/>
      </c>
      <c r="D3139" s="6"/>
      <c r="E3139" s="6"/>
      <c r="F3139" s="6"/>
      <c r="G3139" s="24" t="str">
        <f>IF(F3139="", "", VLOOKUP(F3139, Inventory!A:BZ, 3, FALSE) - SUMIF($F$1:$F3138, F3139, $H$1:$H3138))
</f>
        <v/>
      </c>
      <c r="I3139" s="26"/>
      <c r="J3139" s="26" t="s">
        <v>77</v>
      </c>
      <c r="L3139" s="27" t="s">
        <v>77</v>
      </c>
      <c r="N3139" s="28" t="s">
        <v>77</v>
      </c>
      <c r="Q3139" s="30"/>
    </row>
    <row r="3140">
      <c r="B3140" s="6"/>
      <c r="C3140" s="33" t="str">
        <f t="array" ref="C3140">IF(B3140="", "", XLOOKUP(B3140, Inventory!D:D,Inventory!E:E,"No Name Found"))</f>
        <v/>
      </c>
      <c r="D3140" s="6"/>
      <c r="E3140" s="6"/>
      <c r="F3140" s="6"/>
      <c r="G3140" s="24" t="str">
        <f>IF(F3140="", "", VLOOKUP(F3140, Inventory!A:BZ, 3, FALSE) - SUMIF($F$1:$F3139, F3140, $H$1:$H3139))
</f>
        <v/>
      </c>
      <c r="I3140" s="26"/>
      <c r="J3140" s="26" t="s">
        <v>77</v>
      </c>
      <c r="L3140" s="27" t="s">
        <v>77</v>
      </c>
      <c r="N3140" s="28" t="s">
        <v>77</v>
      </c>
      <c r="Q3140" s="30"/>
    </row>
    <row r="3141">
      <c r="B3141" s="6"/>
      <c r="C3141" s="33" t="str">
        <f t="array" ref="C3141">IF(B3141="", "", XLOOKUP(B3141, Inventory!D:D,Inventory!E:E,"No Name Found"))</f>
        <v/>
      </c>
      <c r="D3141" s="6"/>
      <c r="E3141" s="6"/>
      <c r="F3141" s="6"/>
      <c r="G3141" s="24" t="str">
        <f>IF(F3141="", "", VLOOKUP(F3141, Inventory!A:BZ, 3, FALSE) - SUMIF($F$1:$F3140, F3141, $H$1:$H3140))
</f>
        <v/>
      </c>
      <c r="I3141" s="26"/>
      <c r="J3141" s="26" t="s">
        <v>77</v>
      </c>
      <c r="L3141" s="27" t="s">
        <v>77</v>
      </c>
      <c r="N3141" s="28" t="s">
        <v>77</v>
      </c>
      <c r="Q3141" s="30"/>
    </row>
    <row r="3142">
      <c r="B3142" s="6"/>
      <c r="C3142" s="33" t="str">
        <f t="array" ref="C3142">IF(B3142="", "", XLOOKUP(B3142, Inventory!D:D,Inventory!E:E,"No Name Found"))</f>
        <v/>
      </c>
      <c r="D3142" s="6"/>
      <c r="E3142" s="6"/>
      <c r="F3142" s="6"/>
      <c r="G3142" s="24" t="str">
        <f>IF(F3142="", "", VLOOKUP(F3142, Inventory!A:BZ, 3, FALSE) - SUMIF($F$1:$F3141, F3142, $H$1:$H3141))
</f>
        <v/>
      </c>
      <c r="I3142" s="26"/>
      <c r="J3142" s="26" t="s">
        <v>77</v>
      </c>
      <c r="L3142" s="27" t="s">
        <v>77</v>
      </c>
      <c r="N3142" s="28" t="s">
        <v>77</v>
      </c>
      <c r="Q3142" s="30"/>
    </row>
    <row r="3143">
      <c r="B3143" s="6"/>
      <c r="C3143" s="33" t="str">
        <f t="array" ref="C3143">IF(B3143="", "", XLOOKUP(B3143, Inventory!D:D,Inventory!E:E,"No Name Found"))</f>
        <v/>
      </c>
      <c r="D3143" s="6"/>
      <c r="E3143" s="6"/>
      <c r="F3143" s="6"/>
      <c r="G3143" s="24" t="str">
        <f>IF(F3143="", "", VLOOKUP(F3143, Inventory!A:BZ, 3, FALSE) - SUMIF($F$1:$F3142, F3143, $H$1:$H3142))
</f>
        <v/>
      </c>
      <c r="I3143" s="26"/>
      <c r="J3143" s="26" t="s">
        <v>77</v>
      </c>
      <c r="L3143" s="27" t="s">
        <v>77</v>
      </c>
      <c r="N3143" s="28" t="s">
        <v>77</v>
      </c>
      <c r="Q3143" s="30"/>
    </row>
    <row r="3144">
      <c r="B3144" s="6"/>
      <c r="C3144" s="33" t="str">
        <f t="array" ref="C3144">IF(B3144="", "", XLOOKUP(B3144, Inventory!D:D,Inventory!E:E,"No Name Found"))</f>
        <v/>
      </c>
      <c r="D3144" s="6"/>
      <c r="E3144" s="6"/>
      <c r="F3144" s="6"/>
      <c r="G3144" s="24" t="str">
        <f>IF(F3144="", "", VLOOKUP(F3144, Inventory!A:BZ, 3, FALSE) - SUMIF($F$1:$F3143, F3144, $H$1:$H3143))
</f>
        <v/>
      </c>
      <c r="I3144" s="26"/>
      <c r="J3144" s="26" t="s">
        <v>77</v>
      </c>
      <c r="L3144" s="27" t="s">
        <v>77</v>
      </c>
      <c r="N3144" s="28" t="s">
        <v>77</v>
      </c>
      <c r="Q3144" s="30"/>
    </row>
    <row r="3145">
      <c r="B3145" s="6"/>
      <c r="C3145" s="33" t="str">
        <f t="array" ref="C3145">IF(B3145="", "", XLOOKUP(B3145, Inventory!D:D,Inventory!E:E,"No Name Found"))</f>
        <v/>
      </c>
      <c r="D3145" s="6"/>
      <c r="E3145" s="6"/>
      <c r="F3145" s="6"/>
      <c r="G3145" s="24" t="str">
        <f>IF(F3145="", "", VLOOKUP(F3145, Inventory!A:BZ, 3, FALSE) - SUMIF($F$1:$F3144, F3145, $H$1:$H3144))
</f>
        <v/>
      </c>
      <c r="I3145" s="26"/>
      <c r="J3145" s="26" t="s">
        <v>77</v>
      </c>
      <c r="L3145" s="27" t="s">
        <v>77</v>
      </c>
      <c r="N3145" s="28" t="s">
        <v>77</v>
      </c>
      <c r="Q3145" s="30"/>
    </row>
    <row r="3146">
      <c r="B3146" s="6"/>
      <c r="C3146" s="33" t="str">
        <f t="array" ref="C3146">IF(B3146="", "", XLOOKUP(B3146, Inventory!D:D,Inventory!E:E,"No Name Found"))</f>
        <v/>
      </c>
      <c r="D3146" s="6"/>
      <c r="E3146" s="6"/>
      <c r="F3146" s="6"/>
      <c r="G3146" s="24" t="str">
        <f>IF(F3146="", "", VLOOKUP(F3146, Inventory!A:BZ, 3, FALSE) - SUMIF($F$1:$F3145, F3146, $H$1:$H3145))
</f>
        <v/>
      </c>
      <c r="I3146" s="26"/>
      <c r="J3146" s="26" t="s">
        <v>77</v>
      </c>
      <c r="L3146" s="27" t="s">
        <v>77</v>
      </c>
      <c r="N3146" s="28" t="s">
        <v>77</v>
      </c>
      <c r="Q3146" s="30"/>
    </row>
    <row r="3147">
      <c r="B3147" s="6"/>
      <c r="C3147" s="33" t="str">
        <f t="array" ref="C3147">IF(B3147="", "", XLOOKUP(B3147, Inventory!D:D,Inventory!E:E,"No Name Found"))</f>
        <v/>
      </c>
      <c r="D3147" s="6"/>
      <c r="E3147" s="6"/>
      <c r="F3147" s="6"/>
      <c r="G3147" s="24" t="str">
        <f>IF(F3147="", "", VLOOKUP(F3147, Inventory!A:BZ, 3, FALSE) - SUMIF($F$1:$F3146, F3147, $H$1:$H3146))
</f>
        <v/>
      </c>
      <c r="I3147" s="26"/>
      <c r="J3147" s="26" t="s">
        <v>77</v>
      </c>
      <c r="L3147" s="27" t="s">
        <v>77</v>
      </c>
      <c r="N3147" s="28" t="s">
        <v>77</v>
      </c>
      <c r="Q3147" s="30"/>
    </row>
    <row r="3148">
      <c r="B3148" s="6"/>
      <c r="C3148" s="33" t="str">
        <f t="array" ref="C3148">IF(B3148="", "", XLOOKUP(B3148, Inventory!D:D,Inventory!E:E,"No Name Found"))</f>
        <v/>
      </c>
      <c r="D3148" s="6"/>
      <c r="E3148" s="6"/>
      <c r="F3148" s="6"/>
      <c r="G3148" s="24" t="str">
        <f>IF(F3148="", "", VLOOKUP(F3148, Inventory!A:BZ, 3, FALSE) - SUMIF($F$1:$F3147, F3148, $H$1:$H3147))
</f>
        <v/>
      </c>
      <c r="I3148" s="26"/>
      <c r="J3148" s="26" t="s">
        <v>77</v>
      </c>
      <c r="L3148" s="27" t="s">
        <v>77</v>
      </c>
      <c r="N3148" s="28" t="s">
        <v>77</v>
      </c>
      <c r="Q3148" s="30"/>
    </row>
    <row r="3149">
      <c r="B3149" s="6"/>
      <c r="C3149" s="33" t="str">
        <f t="array" ref="C3149">IF(B3149="", "", XLOOKUP(B3149, Inventory!D:D,Inventory!E:E,"No Name Found"))</f>
        <v/>
      </c>
      <c r="D3149" s="6"/>
      <c r="E3149" s="6"/>
      <c r="F3149" s="6"/>
      <c r="G3149" s="24" t="str">
        <f>IF(F3149="", "", VLOOKUP(F3149, Inventory!A:BZ, 3, FALSE) - SUMIF($F$1:$F3148, F3149, $H$1:$H3148))
</f>
        <v/>
      </c>
      <c r="I3149" s="26"/>
      <c r="J3149" s="26" t="s">
        <v>77</v>
      </c>
      <c r="L3149" s="27" t="s">
        <v>77</v>
      </c>
      <c r="N3149" s="28" t="s">
        <v>77</v>
      </c>
      <c r="Q3149" s="30"/>
    </row>
    <row r="3150">
      <c r="B3150" s="6"/>
      <c r="C3150" s="33" t="str">
        <f t="array" ref="C3150">IF(B3150="", "", XLOOKUP(B3150, Inventory!D:D,Inventory!E:E,"No Name Found"))</f>
        <v/>
      </c>
      <c r="D3150" s="6"/>
      <c r="E3150" s="6"/>
      <c r="F3150" s="6"/>
      <c r="G3150" s="24" t="str">
        <f>IF(F3150="", "", VLOOKUP(F3150, Inventory!A:BZ, 3, FALSE) - SUMIF($F$1:$F3149, F3150, $H$1:$H3149))
</f>
        <v/>
      </c>
      <c r="I3150" s="26"/>
      <c r="J3150" s="26" t="s">
        <v>77</v>
      </c>
      <c r="L3150" s="27" t="s">
        <v>77</v>
      </c>
      <c r="N3150" s="28" t="s">
        <v>77</v>
      </c>
      <c r="Q3150" s="30"/>
    </row>
    <row r="3151">
      <c r="B3151" s="6"/>
      <c r="C3151" s="33" t="str">
        <f t="array" ref="C3151">IF(B3151="", "", XLOOKUP(B3151, Inventory!D:D,Inventory!E:E,"No Name Found"))</f>
        <v/>
      </c>
      <c r="D3151" s="6"/>
      <c r="E3151" s="6"/>
      <c r="F3151" s="6"/>
      <c r="G3151" s="24" t="str">
        <f>IF(F3151="", "", VLOOKUP(F3151, Inventory!A:BZ, 3, FALSE) - SUMIF($F$1:$F3150, F3151, $H$1:$H3150))
</f>
        <v/>
      </c>
      <c r="I3151" s="26"/>
      <c r="J3151" s="26" t="s">
        <v>77</v>
      </c>
      <c r="L3151" s="27" t="s">
        <v>77</v>
      </c>
      <c r="N3151" s="28" t="s">
        <v>77</v>
      </c>
      <c r="Q3151" s="30"/>
    </row>
    <row r="3152">
      <c r="B3152" s="6"/>
      <c r="C3152" s="33" t="str">
        <f t="array" ref="C3152">IF(B3152="", "", XLOOKUP(B3152, Inventory!D:D,Inventory!E:E,"No Name Found"))</f>
        <v/>
      </c>
      <c r="D3152" s="6"/>
      <c r="E3152" s="6"/>
      <c r="F3152" s="6"/>
      <c r="G3152" s="24" t="str">
        <f>IF(F3152="", "", VLOOKUP(F3152, Inventory!A:BZ, 3, FALSE) - SUMIF($F$1:$F3151, F3152, $H$1:$H3151))
</f>
        <v/>
      </c>
      <c r="I3152" s="26"/>
      <c r="J3152" s="26" t="s">
        <v>77</v>
      </c>
      <c r="L3152" s="27" t="s">
        <v>77</v>
      </c>
      <c r="N3152" s="28" t="s">
        <v>77</v>
      </c>
      <c r="Q3152" s="30"/>
    </row>
    <row r="3153">
      <c r="B3153" s="6"/>
      <c r="C3153" s="33" t="str">
        <f t="array" ref="C3153">IF(B3153="", "", XLOOKUP(B3153, Inventory!D:D,Inventory!E:E,"No Name Found"))</f>
        <v/>
      </c>
      <c r="D3153" s="6"/>
      <c r="E3153" s="6"/>
      <c r="F3153" s="6"/>
      <c r="G3153" s="24" t="str">
        <f>IF(F3153="", "", VLOOKUP(F3153, Inventory!A:BZ, 3, FALSE) - SUMIF($F$1:$F3152, F3153, $H$1:$H3152))
</f>
        <v/>
      </c>
      <c r="I3153" s="26"/>
      <c r="J3153" s="26" t="s">
        <v>77</v>
      </c>
      <c r="L3153" s="27" t="s">
        <v>77</v>
      </c>
      <c r="N3153" s="28" t="s">
        <v>77</v>
      </c>
      <c r="Q3153" s="30"/>
    </row>
    <row r="3154">
      <c r="B3154" s="6"/>
      <c r="C3154" s="33" t="str">
        <f t="array" ref="C3154">IF(B3154="", "", XLOOKUP(B3154, Inventory!D:D,Inventory!E:E,"No Name Found"))</f>
        <v/>
      </c>
      <c r="D3154" s="6"/>
      <c r="E3154" s="6"/>
      <c r="F3154" s="6"/>
      <c r="G3154" s="24" t="str">
        <f>IF(F3154="", "", VLOOKUP(F3154, Inventory!A:BZ, 3, FALSE) - SUMIF($F$1:$F3153, F3154, $H$1:$H3153))
</f>
        <v/>
      </c>
      <c r="I3154" s="26"/>
      <c r="J3154" s="26" t="s">
        <v>77</v>
      </c>
      <c r="L3154" s="27" t="s">
        <v>77</v>
      </c>
      <c r="N3154" s="28" t="s">
        <v>77</v>
      </c>
      <c r="Q3154" s="30"/>
    </row>
    <row r="3155">
      <c r="B3155" s="6"/>
      <c r="C3155" s="33" t="str">
        <f t="array" ref="C3155">IF(B3155="", "", XLOOKUP(B3155, Inventory!D:D,Inventory!E:E,"No Name Found"))</f>
        <v/>
      </c>
      <c r="D3155" s="6"/>
      <c r="E3155" s="6"/>
      <c r="F3155" s="6"/>
      <c r="G3155" s="24" t="str">
        <f>IF(F3155="", "", VLOOKUP(F3155, Inventory!A:BZ, 3, FALSE) - SUMIF($F$1:$F3154, F3155, $H$1:$H3154))
</f>
        <v/>
      </c>
      <c r="I3155" s="26"/>
      <c r="J3155" s="26" t="s">
        <v>77</v>
      </c>
      <c r="L3155" s="27" t="s">
        <v>77</v>
      </c>
      <c r="N3155" s="28" t="s">
        <v>77</v>
      </c>
      <c r="Q3155" s="30"/>
    </row>
    <row r="3156">
      <c r="B3156" s="6"/>
      <c r="C3156" s="33" t="str">
        <f t="array" ref="C3156">IF(B3156="", "", XLOOKUP(B3156, Inventory!D:D,Inventory!E:E,"No Name Found"))</f>
        <v/>
      </c>
      <c r="D3156" s="6"/>
      <c r="E3156" s="6"/>
      <c r="F3156" s="6"/>
      <c r="G3156" s="24" t="str">
        <f>IF(F3156="", "", VLOOKUP(F3156, Inventory!A:BZ, 3, FALSE) - SUMIF($F$1:$F3155, F3156, $H$1:$H3155))
</f>
        <v/>
      </c>
      <c r="I3156" s="26"/>
      <c r="J3156" s="26" t="s">
        <v>77</v>
      </c>
      <c r="L3156" s="27" t="s">
        <v>77</v>
      </c>
      <c r="N3156" s="28" t="s">
        <v>77</v>
      </c>
      <c r="Q3156" s="30"/>
    </row>
    <row r="3157">
      <c r="B3157" s="6"/>
      <c r="C3157" s="33" t="str">
        <f t="array" ref="C3157">IF(B3157="", "", XLOOKUP(B3157, Inventory!D:D,Inventory!E:E,"No Name Found"))</f>
        <v/>
      </c>
      <c r="D3157" s="6"/>
      <c r="E3157" s="6"/>
      <c r="F3157" s="6"/>
      <c r="G3157" s="24" t="str">
        <f>IF(F3157="", "", VLOOKUP(F3157, Inventory!A:BZ, 3, FALSE) - SUMIF($F$1:$F3156, F3157, $H$1:$H3156))
</f>
        <v/>
      </c>
      <c r="I3157" s="26"/>
      <c r="J3157" s="26" t="s">
        <v>77</v>
      </c>
      <c r="L3157" s="27" t="s">
        <v>77</v>
      </c>
      <c r="N3157" s="28" t="s">
        <v>77</v>
      </c>
      <c r="Q3157" s="30"/>
    </row>
    <row r="3158">
      <c r="B3158" s="6"/>
      <c r="C3158" s="33" t="str">
        <f t="array" ref="C3158">IF(B3158="", "", XLOOKUP(B3158, Inventory!D:D,Inventory!E:E,"No Name Found"))</f>
        <v/>
      </c>
      <c r="D3158" s="6"/>
      <c r="E3158" s="6"/>
      <c r="F3158" s="6"/>
      <c r="G3158" s="24" t="str">
        <f>IF(F3158="", "", VLOOKUP(F3158, Inventory!A:BZ, 3, FALSE) - SUMIF($F$1:$F3157, F3158, $H$1:$H3157))
</f>
        <v/>
      </c>
      <c r="I3158" s="26"/>
      <c r="J3158" s="26" t="s">
        <v>77</v>
      </c>
      <c r="L3158" s="27" t="s">
        <v>77</v>
      </c>
      <c r="N3158" s="28" t="s">
        <v>77</v>
      </c>
      <c r="Q3158" s="30"/>
    </row>
    <row r="3159">
      <c r="B3159" s="6"/>
      <c r="C3159" s="33" t="str">
        <f t="array" ref="C3159">IF(B3159="", "", XLOOKUP(B3159, Inventory!D:D,Inventory!E:E,"No Name Found"))</f>
        <v/>
      </c>
      <c r="D3159" s="6"/>
      <c r="E3159" s="6"/>
      <c r="F3159" s="6"/>
      <c r="G3159" s="24" t="str">
        <f>IF(F3159="", "", VLOOKUP(F3159, Inventory!A:BZ, 3, FALSE) - SUMIF($F$1:$F3158, F3159, $H$1:$H3158))
</f>
        <v/>
      </c>
      <c r="I3159" s="26"/>
      <c r="J3159" s="26" t="s">
        <v>77</v>
      </c>
      <c r="L3159" s="27" t="s">
        <v>77</v>
      </c>
      <c r="N3159" s="28" t="s">
        <v>77</v>
      </c>
      <c r="Q3159" s="30"/>
    </row>
    <row r="3160">
      <c r="B3160" s="6"/>
      <c r="C3160" s="33" t="str">
        <f t="array" ref="C3160">IF(B3160="", "", XLOOKUP(B3160, Inventory!D:D,Inventory!E:E,"No Name Found"))</f>
        <v/>
      </c>
      <c r="D3160" s="6"/>
      <c r="E3160" s="6"/>
      <c r="F3160" s="6"/>
      <c r="G3160" s="24" t="str">
        <f>IF(F3160="", "", VLOOKUP(F3160, Inventory!A:BZ, 3, FALSE) - SUMIF($F$1:$F3159, F3160, $H$1:$H3159))
</f>
        <v/>
      </c>
      <c r="I3160" s="26"/>
      <c r="J3160" s="26" t="s">
        <v>77</v>
      </c>
      <c r="L3160" s="27" t="s">
        <v>77</v>
      </c>
      <c r="N3160" s="28" t="s">
        <v>77</v>
      </c>
      <c r="Q3160" s="30"/>
    </row>
    <row r="3161">
      <c r="B3161" s="6"/>
      <c r="C3161" s="33" t="str">
        <f t="array" ref="C3161">IF(B3161="", "", XLOOKUP(B3161, Inventory!D:D,Inventory!E:E,"No Name Found"))</f>
        <v/>
      </c>
      <c r="D3161" s="6"/>
      <c r="E3161" s="6"/>
      <c r="F3161" s="6"/>
      <c r="G3161" s="24" t="str">
        <f>IF(F3161="", "", VLOOKUP(F3161, Inventory!A:BZ, 3, FALSE) - SUMIF($F$1:$F3160, F3161, $H$1:$H3160))
</f>
        <v/>
      </c>
      <c r="I3161" s="26"/>
      <c r="J3161" s="26" t="s">
        <v>77</v>
      </c>
      <c r="L3161" s="27" t="s">
        <v>77</v>
      </c>
      <c r="N3161" s="28" t="s">
        <v>77</v>
      </c>
      <c r="Q3161" s="30"/>
    </row>
    <row r="3162">
      <c r="B3162" s="6"/>
      <c r="C3162" s="33" t="str">
        <f t="array" ref="C3162">IF(B3162="", "", XLOOKUP(B3162, Inventory!D:D,Inventory!E:E,"No Name Found"))</f>
        <v/>
      </c>
      <c r="D3162" s="6"/>
      <c r="E3162" s="6"/>
      <c r="F3162" s="6"/>
      <c r="G3162" s="24" t="str">
        <f>IF(F3162="", "", VLOOKUP(F3162, Inventory!A:BZ, 3, FALSE) - SUMIF($F$1:$F3161, F3162, $H$1:$H3161))
</f>
        <v/>
      </c>
      <c r="I3162" s="26"/>
      <c r="J3162" s="26" t="s">
        <v>77</v>
      </c>
      <c r="L3162" s="27" t="s">
        <v>77</v>
      </c>
      <c r="N3162" s="28" t="s">
        <v>77</v>
      </c>
      <c r="Q3162" s="30"/>
    </row>
    <row r="3163">
      <c r="B3163" s="6"/>
      <c r="C3163" s="33" t="str">
        <f t="array" ref="C3163">IF(B3163="", "", XLOOKUP(B3163, Inventory!D:D,Inventory!E:E,"No Name Found"))</f>
        <v/>
      </c>
      <c r="D3163" s="6"/>
      <c r="E3163" s="6"/>
      <c r="F3163" s="6"/>
      <c r="G3163" s="24" t="str">
        <f>IF(F3163="", "", VLOOKUP(F3163, Inventory!A:BZ, 3, FALSE) - SUMIF($F$1:$F3162, F3163, $H$1:$H3162))
</f>
        <v/>
      </c>
      <c r="I3163" s="26"/>
      <c r="J3163" s="26" t="s">
        <v>77</v>
      </c>
      <c r="L3163" s="27" t="s">
        <v>77</v>
      </c>
      <c r="N3163" s="28" t="s">
        <v>77</v>
      </c>
      <c r="Q3163" s="30"/>
    </row>
    <row r="3164">
      <c r="B3164" s="6"/>
      <c r="C3164" s="33" t="str">
        <f t="array" ref="C3164">IF(B3164="", "", XLOOKUP(B3164, Inventory!D:D,Inventory!E:E,"No Name Found"))</f>
        <v/>
      </c>
      <c r="D3164" s="6"/>
      <c r="E3164" s="6"/>
      <c r="F3164" s="6"/>
      <c r="G3164" s="24" t="str">
        <f>IF(F3164="", "", VLOOKUP(F3164, Inventory!A:BZ, 3, FALSE) - SUMIF($F$1:$F3163, F3164, $H$1:$H3163))
</f>
        <v/>
      </c>
      <c r="I3164" s="26"/>
      <c r="J3164" s="26" t="s">
        <v>77</v>
      </c>
      <c r="L3164" s="27" t="s">
        <v>77</v>
      </c>
      <c r="N3164" s="28" t="s">
        <v>77</v>
      </c>
      <c r="Q3164" s="30"/>
    </row>
    <row r="3165">
      <c r="B3165" s="6"/>
      <c r="C3165" s="33" t="str">
        <f t="array" ref="C3165">IF(B3165="", "", XLOOKUP(B3165, Inventory!D:D,Inventory!E:E,"No Name Found"))</f>
        <v/>
      </c>
      <c r="D3165" s="6"/>
      <c r="E3165" s="6"/>
      <c r="F3165" s="6"/>
      <c r="G3165" s="24" t="str">
        <f>IF(F3165="", "", VLOOKUP(F3165, Inventory!A:BZ, 3, FALSE) - SUMIF($F$1:$F3164, F3165, $H$1:$H3164))
</f>
        <v/>
      </c>
      <c r="I3165" s="26"/>
      <c r="J3165" s="26" t="s">
        <v>77</v>
      </c>
      <c r="L3165" s="27" t="s">
        <v>77</v>
      </c>
      <c r="N3165" s="28" t="s">
        <v>77</v>
      </c>
      <c r="Q3165" s="30"/>
    </row>
    <row r="3166">
      <c r="B3166" s="6"/>
      <c r="C3166" s="33" t="str">
        <f t="array" ref="C3166">IF(B3166="", "", XLOOKUP(B3166, Inventory!D:D,Inventory!E:E,"No Name Found"))</f>
        <v/>
      </c>
      <c r="D3166" s="6"/>
      <c r="E3166" s="6"/>
      <c r="F3166" s="6"/>
      <c r="G3166" s="24" t="str">
        <f>IF(F3166="", "", VLOOKUP(F3166, Inventory!A:BZ, 3, FALSE) - SUMIF($F$1:$F3165, F3166, $H$1:$H3165))
</f>
        <v/>
      </c>
      <c r="I3166" s="26"/>
      <c r="J3166" s="26" t="s">
        <v>77</v>
      </c>
      <c r="L3166" s="27" t="s">
        <v>77</v>
      </c>
      <c r="N3166" s="28" t="s">
        <v>77</v>
      </c>
      <c r="Q3166" s="30"/>
    </row>
    <row r="3167">
      <c r="B3167" s="6"/>
      <c r="C3167" s="33" t="str">
        <f t="array" ref="C3167">IF(B3167="", "", XLOOKUP(B3167, Inventory!D:D,Inventory!E:E,"No Name Found"))</f>
        <v/>
      </c>
      <c r="D3167" s="6"/>
      <c r="E3167" s="6"/>
      <c r="F3167" s="6"/>
      <c r="G3167" s="24" t="str">
        <f>IF(F3167="", "", VLOOKUP(F3167, Inventory!A:BZ, 3, FALSE) - SUMIF($F$1:$F3166, F3167, $H$1:$H3166))
</f>
        <v/>
      </c>
      <c r="I3167" s="26"/>
      <c r="J3167" s="26" t="s">
        <v>77</v>
      </c>
      <c r="L3167" s="27" t="s">
        <v>77</v>
      </c>
      <c r="N3167" s="28" t="s">
        <v>77</v>
      </c>
      <c r="Q3167" s="30"/>
    </row>
    <row r="3168">
      <c r="B3168" s="6"/>
      <c r="C3168" s="33" t="str">
        <f t="array" ref="C3168">IF(B3168="", "", XLOOKUP(B3168, Inventory!D:D,Inventory!E:E,"No Name Found"))</f>
        <v/>
      </c>
      <c r="D3168" s="6"/>
      <c r="E3168" s="6"/>
      <c r="F3168" s="6"/>
      <c r="G3168" s="24" t="str">
        <f>IF(F3168="", "", VLOOKUP(F3168, Inventory!A:BZ, 3, FALSE) - SUMIF($F$1:$F3167, F3168, $H$1:$H3167))
</f>
        <v/>
      </c>
      <c r="I3168" s="26"/>
      <c r="J3168" s="26" t="s">
        <v>77</v>
      </c>
      <c r="L3168" s="27" t="s">
        <v>77</v>
      </c>
      <c r="N3168" s="28" t="s">
        <v>77</v>
      </c>
      <c r="Q3168" s="30"/>
    </row>
    <row r="3169">
      <c r="B3169" s="6"/>
      <c r="C3169" s="33" t="str">
        <f t="array" ref="C3169">IF(B3169="", "", XLOOKUP(B3169, Inventory!D:D,Inventory!E:E,"No Name Found"))</f>
        <v/>
      </c>
      <c r="D3169" s="6"/>
      <c r="E3169" s="6"/>
      <c r="F3169" s="6"/>
      <c r="G3169" s="24" t="str">
        <f>IF(F3169="", "", VLOOKUP(F3169, Inventory!A:BZ, 3, FALSE) - SUMIF($F$1:$F3168, F3169, $H$1:$H3168))
</f>
        <v/>
      </c>
      <c r="I3169" s="26"/>
      <c r="J3169" s="26" t="s">
        <v>77</v>
      </c>
      <c r="L3169" s="27" t="s">
        <v>77</v>
      </c>
      <c r="N3169" s="28" t="s">
        <v>77</v>
      </c>
      <c r="Q3169" s="30"/>
    </row>
    <row r="3170">
      <c r="B3170" s="6"/>
      <c r="C3170" s="33" t="str">
        <f t="array" ref="C3170">IF(B3170="", "", XLOOKUP(B3170, Inventory!D:D,Inventory!E:E,"No Name Found"))</f>
        <v/>
      </c>
      <c r="D3170" s="6"/>
      <c r="E3170" s="6"/>
      <c r="F3170" s="6"/>
      <c r="G3170" s="24" t="str">
        <f>IF(F3170="", "", VLOOKUP(F3170, Inventory!A:BZ, 3, FALSE) - SUMIF($F$1:$F3169, F3170, $H$1:$H3169))
</f>
        <v/>
      </c>
      <c r="I3170" s="26"/>
      <c r="J3170" s="26" t="s">
        <v>77</v>
      </c>
      <c r="L3170" s="27" t="s">
        <v>77</v>
      </c>
      <c r="N3170" s="28" t="s">
        <v>77</v>
      </c>
      <c r="Q3170" s="30"/>
    </row>
    <row r="3171">
      <c r="B3171" s="6"/>
      <c r="C3171" s="33" t="str">
        <f t="array" ref="C3171">IF(B3171="", "", XLOOKUP(B3171, Inventory!D:D,Inventory!E:E,"No Name Found"))</f>
        <v/>
      </c>
      <c r="D3171" s="6"/>
      <c r="E3171" s="6"/>
      <c r="F3171" s="6"/>
      <c r="G3171" s="24" t="str">
        <f>IF(F3171="", "", VLOOKUP(F3171, Inventory!A:BZ, 3, FALSE) - SUMIF($F$1:$F3170, F3171, $H$1:$H3170))
</f>
        <v/>
      </c>
      <c r="I3171" s="26"/>
      <c r="J3171" s="26" t="s">
        <v>77</v>
      </c>
      <c r="L3171" s="27" t="s">
        <v>77</v>
      </c>
      <c r="N3171" s="28" t="s">
        <v>77</v>
      </c>
      <c r="Q3171" s="30"/>
    </row>
    <row r="3172">
      <c r="B3172" s="6"/>
      <c r="C3172" s="33" t="str">
        <f t="array" ref="C3172">IF(B3172="", "", XLOOKUP(B3172, Inventory!D:D,Inventory!E:E,"No Name Found"))</f>
        <v/>
      </c>
      <c r="D3172" s="6"/>
      <c r="E3172" s="6"/>
      <c r="F3172" s="6"/>
      <c r="G3172" s="24" t="str">
        <f>IF(F3172="", "", VLOOKUP(F3172, Inventory!A:BZ, 3, FALSE) - SUMIF($F$1:$F3171, F3172, $H$1:$H3171))
</f>
        <v/>
      </c>
      <c r="I3172" s="26"/>
      <c r="J3172" s="26" t="s">
        <v>77</v>
      </c>
      <c r="L3172" s="27" t="s">
        <v>77</v>
      </c>
      <c r="N3172" s="28" t="s">
        <v>77</v>
      </c>
      <c r="Q3172" s="30"/>
    </row>
    <row r="3173">
      <c r="B3173" s="6"/>
      <c r="C3173" s="33" t="str">
        <f t="array" ref="C3173">IF(B3173="", "", XLOOKUP(B3173, Inventory!D:D,Inventory!E:E,"No Name Found"))</f>
        <v/>
      </c>
      <c r="D3173" s="6"/>
      <c r="E3173" s="6"/>
      <c r="F3173" s="6"/>
      <c r="G3173" s="24" t="str">
        <f>IF(F3173="", "", VLOOKUP(F3173, Inventory!A:BZ, 3, FALSE) - SUMIF($F$1:$F3172, F3173, $H$1:$H3172))
</f>
        <v/>
      </c>
      <c r="I3173" s="26"/>
      <c r="J3173" s="26" t="s">
        <v>77</v>
      </c>
      <c r="L3173" s="27" t="s">
        <v>77</v>
      </c>
      <c r="N3173" s="28" t="s">
        <v>77</v>
      </c>
      <c r="Q3173" s="30"/>
    </row>
    <row r="3174">
      <c r="B3174" s="6"/>
      <c r="C3174" s="33" t="str">
        <f t="array" ref="C3174">IF(B3174="", "", XLOOKUP(B3174, Inventory!D:D,Inventory!E:E,"No Name Found"))</f>
        <v/>
      </c>
      <c r="D3174" s="6"/>
      <c r="E3174" s="6"/>
      <c r="F3174" s="6"/>
      <c r="G3174" s="24" t="str">
        <f>IF(F3174="", "", VLOOKUP(F3174, Inventory!A:BZ, 3, FALSE) - SUMIF($F$1:$F3173, F3174, $H$1:$H3173))
</f>
        <v/>
      </c>
      <c r="I3174" s="26"/>
      <c r="J3174" s="26" t="s">
        <v>77</v>
      </c>
      <c r="L3174" s="27" t="s">
        <v>77</v>
      </c>
      <c r="N3174" s="28" t="s">
        <v>77</v>
      </c>
      <c r="Q3174" s="30"/>
    </row>
    <row r="3175">
      <c r="B3175" s="6"/>
      <c r="C3175" s="33" t="str">
        <f t="array" ref="C3175">IF(B3175="", "", XLOOKUP(B3175, Inventory!D:D,Inventory!E:E,"No Name Found"))</f>
        <v/>
      </c>
      <c r="D3175" s="6"/>
      <c r="E3175" s="6"/>
      <c r="F3175" s="6"/>
      <c r="G3175" s="24" t="str">
        <f>IF(F3175="", "", VLOOKUP(F3175, Inventory!A:BZ, 3, FALSE) - SUMIF($F$1:$F3174, F3175, $H$1:$H3174))
</f>
        <v/>
      </c>
      <c r="I3175" s="26"/>
      <c r="J3175" s="26" t="s">
        <v>77</v>
      </c>
      <c r="L3175" s="27" t="s">
        <v>77</v>
      </c>
      <c r="N3175" s="28" t="s">
        <v>77</v>
      </c>
      <c r="Q3175" s="30"/>
    </row>
    <row r="3176">
      <c r="B3176" s="6"/>
      <c r="C3176" s="33" t="str">
        <f t="array" ref="C3176">IF(B3176="", "", XLOOKUP(B3176, Inventory!D:D,Inventory!E:E,"No Name Found"))</f>
        <v/>
      </c>
      <c r="D3176" s="6"/>
      <c r="E3176" s="6"/>
      <c r="F3176" s="6"/>
      <c r="G3176" s="24" t="str">
        <f>IF(F3176="", "", VLOOKUP(F3176, Inventory!A:BZ, 3, FALSE) - SUMIF($F$1:$F3175, F3176, $H$1:$H3175))
</f>
        <v/>
      </c>
      <c r="I3176" s="26"/>
      <c r="J3176" s="26" t="s">
        <v>77</v>
      </c>
      <c r="L3176" s="27" t="s">
        <v>77</v>
      </c>
      <c r="N3176" s="28" t="s">
        <v>77</v>
      </c>
      <c r="Q3176" s="30"/>
    </row>
    <row r="3177">
      <c r="B3177" s="6"/>
      <c r="C3177" s="33" t="str">
        <f t="array" ref="C3177">IF(B3177="", "", XLOOKUP(B3177, Inventory!D:D,Inventory!E:E,"No Name Found"))</f>
        <v/>
      </c>
      <c r="D3177" s="6"/>
      <c r="E3177" s="6"/>
      <c r="F3177" s="6"/>
      <c r="G3177" s="24" t="str">
        <f>IF(F3177="", "", VLOOKUP(F3177, Inventory!A:BZ, 3, FALSE) - SUMIF($F$1:$F3176, F3177, $H$1:$H3176))
</f>
        <v/>
      </c>
      <c r="I3177" s="26"/>
      <c r="J3177" s="26" t="s">
        <v>77</v>
      </c>
      <c r="L3177" s="27" t="s">
        <v>77</v>
      </c>
      <c r="N3177" s="28" t="s">
        <v>77</v>
      </c>
      <c r="Q3177" s="30"/>
    </row>
    <row r="3178">
      <c r="B3178" s="6"/>
      <c r="C3178" s="33" t="str">
        <f t="array" ref="C3178">IF(B3178="", "", XLOOKUP(B3178, Inventory!D:D,Inventory!E:E,"No Name Found"))</f>
        <v/>
      </c>
      <c r="D3178" s="6"/>
      <c r="E3178" s="6"/>
      <c r="F3178" s="6"/>
      <c r="G3178" s="24" t="str">
        <f>IF(F3178="", "", VLOOKUP(F3178, Inventory!A:BZ, 3, FALSE) - SUMIF($F$1:$F3177, F3178, $H$1:$H3177))
</f>
        <v/>
      </c>
      <c r="I3178" s="26"/>
      <c r="J3178" s="26" t="s">
        <v>77</v>
      </c>
      <c r="L3178" s="27" t="s">
        <v>77</v>
      </c>
      <c r="N3178" s="28" t="s">
        <v>77</v>
      </c>
      <c r="Q3178" s="30"/>
    </row>
    <row r="3179">
      <c r="B3179" s="6"/>
      <c r="C3179" s="33" t="str">
        <f t="array" ref="C3179">IF(B3179="", "", XLOOKUP(B3179, Inventory!D:D,Inventory!E:E,"No Name Found"))</f>
        <v/>
      </c>
      <c r="D3179" s="6"/>
      <c r="E3179" s="6"/>
      <c r="F3179" s="6"/>
      <c r="G3179" s="24" t="str">
        <f>IF(F3179="", "", VLOOKUP(F3179, Inventory!A:BZ, 3, FALSE) - SUMIF($F$1:$F3178, F3179, $H$1:$H3178))
</f>
        <v/>
      </c>
      <c r="I3179" s="26"/>
      <c r="J3179" s="26" t="s">
        <v>77</v>
      </c>
      <c r="L3179" s="27" t="s">
        <v>77</v>
      </c>
      <c r="N3179" s="28" t="s">
        <v>77</v>
      </c>
      <c r="Q3179" s="30"/>
    </row>
    <row r="3180">
      <c r="B3180" s="6"/>
      <c r="C3180" s="33" t="str">
        <f t="array" ref="C3180">IF(B3180="", "", XLOOKUP(B3180, Inventory!D:D,Inventory!E:E,"No Name Found"))</f>
        <v/>
      </c>
      <c r="D3180" s="6"/>
      <c r="E3180" s="6"/>
      <c r="F3180" s="6"/>
      <c r="G3180" s="24" t="str">
        <f>IF(F3180="", "", VLOOKUP(F3180, Inventory!A:BZ, 3, FALSE) - SUMIF($F$1:$F3179, F3180, $H$1:$H3179))
</f>
        <v/>
      </c>
      <c r="I3180" s="26"/>
      <c r="J3180" s="26" t="s">
        <v>77</v>
      </c>
      <c r="L3180" s="27" t="s">
        <v>77</v>
      </c>
      <c r="N3180" s="28" t="s">
        <v>77</v>
      </c>
      <c r="Q3180" s="30"/>
    </row>
    <row r="3181">
      <c r="B3181" s="6"/>
      <c r="C3181" s="33" t="str">
        <f t="array" ref="C3181">IF(B3181="", "", XLOOKUP(B3181, Inventory!D:D,Inventory!E:E,"No Name Found"))</f>
        <v/>
      </c>
      <c r="D3181" s="6"/>
      <c r="E3181" s="6"/>
      <c r="F3181" s="6"/>
      <c r="G3181" s="24" t="str">
        <f>IF(F3181="", "", VLOOKUP(F3181, Inventory!A:BZ, 3, FALSE) - SUMIF($F$1:$F3180, F3181, $H$1:$H3180))
</f>
        <v/>
      </c>
      <c r="I3181" s="26"/>
      <c r="J3181" s="26" t="s">
        <v>77</v>
      </c>
      <c r="L3181" s="27" t="s">
        <v>77</v>
      </c>
      <c r="N3181" s="28" t="s">
        <v>77</v>
      </c>
      <c r="Q3181" s="30"/>
    </row>
    <row r="3182">
      <c r="B3182" s="6"/>
      <c r="C3182" s="33" t="str">
        <f t="array" ref="C3182">IF(B3182="", "", XLOOKUP(B3182, Inventory!D:D,Inventory!E:E,"No Name Found"))</f>
        <v/>
      </c>
      <c r="D3182" s="6"/>
      <c r="E3182" s="6"/>
      <c r="F3182" s="6"/>
      <c r="G3182" s="24" t="str">
        <f>IF(F3182="", "", VLOOKUP(F3182, Inventory!A:BZ, 3, FALSE) - SUMIF($F$1:$F3181, F3182, $H$1:$H3181))
</f>
        <v/>
      </c>
      <c r="I3182" s="26"/>
      <c r="J3182" s="26" t="s">
        <v>77</v>
      </c>
      <c r="L3182" s="27" t="s">
        <v>77</v>
      </c>
      <c r="N3182" s="28" t="s">
        <v>77</v>
      </c>
      <c r="Q3182" s="30"/>
    </row>
    <row r="3183">
      <c r="B3183" s="6"/>
      <c r="C3183" s="33" t="str">
        <f t="array" ref="C3183">IF(B3183="", "", XLOOKUP(B3183, Inventory!D:D,Inventory!E:E,"No Name Found"))</f>
        <v/>
      </c>
      <c r="D3183" s="6"/>
      <c r="E3183" s="6"/>
      <c r="F3183" s="6"/>
      <c r="G3183" s="24" t="str">
        <f>IF(F3183="", "", VLOOKUP(F3183, Inventory!A:BZ, 3, FALSE) - SUMIF($F$1:$F3182, F3183, $H$1:$H3182))
</f>
        <v/>
      </c>
      <c r="I3183" s="26"/>
      <c r="J3183" s="26" t="s">
        <v>77</v>
      </c>
      <c r="L3183" s="27" t="s">
        <v>77</v>
      </c>
      <c r="N3183" s="28" t="s">
        <v>77</v>
      </c>
      <c r="Q3183" s="30"/>
    </row>
    <row r="3184">
      <c r="B3184" s="6"/>
      <c r="C3184" s="33" t="str">
        <f t="array" ref="C3184">IF(B3184="", "", XLOOKUP(B3184, Inventory!D:D,Inventory!E:E,"No Name Found"))</f>
        <v/>
      </c>
      <c r="D3184" s="6"/>
      <c r="E3184" s="6"/>
      <c r="F3184" s="6"/>
      <c r="G3184" s="24" t="str">
        <f>IF(F3184="", "", VLOOKUP(F3184, Inventory!A:BZ, 3, FALSE) - SUMIF($F$1:$F3183, F3184, $H$1:$H3183))
</f>
        <v/>
      </c>
      <c r="I3184" s="26"/>
      <c r="J3184" s="26" t="s">
        <v>77</v>
      </c>
      <c r="L3184" s="27" t="s">
        <v>77</v>
      </c>
      <c r="N3184" s="28" t="s">
        <v>77</v>
      </c>
      <c r="Q3184" s="30"/>
    </row>
    <row r="3185">
      <c r="B3185" s="6"/>
      <c r="C3185" s="33" t="str">
        <f t="array" ref="C3185">IF(B3185="", "", XLOOKUP(B3185, Inventory!D:D,Inventory!E:E,"No Name Found"))</f>
        <v/>
      </c>
      <c r="D3185" s="6"/>
      <c r="E3185" s="6"/>
      <c r="F3185" s="6"/>
      <c r="G3185" s="24" t="str">
        <f>IF(F3185="", "", VLOOKUP(F3185, Inventory!A:BZ, 3, FALSE) - SUMIF($F$1:$F3184, F3185, $H$1:$H3184))
</f>
        <v/>
      </c>
      <c r="I3185" s="26"/>
      <c r="J3185" s="26" t="s">
        <v>77</v>
      </c>
      <c r="L3185" s="27" t="s">
        <v>77</v>
      </c>
      <c r="N3185" s="28" t="s">
        <v>77</v>
      </c>
      <c r="Q3185" s="30"/>
    </row>
    <row r="3186">
      <c r="B3186" s="6"/>
      <c r="C3186" s="33" t="str">
        <f t="array" ref="C3186">IF(B3186="", "", XLOOKUP(B3186, Inventory!D:D,Inventory!E:E,"No Name Found"))</f>
        <v/>
      </c>
      <c r="D3186" s="6"/>
      <c r="E3186" s="6"/>
      <c r="F3186" s="6"/>
      <c r="G3186" s="24" t="str">
        <f>IF(F3186="", "", VLOOKUP(F3186, Inventory!A:BZ, 3, FALSE) - SUMIF($F$1:$F3185, F3186, $H$1:$H3185))
</f>
        <v/>
      </c>
      <c r="I3186" s="26"/>
      <c r="J3186" s="26" t="s">
        <v>77</v>
      </c>
      <c r="L3186" s="27" t="s">
        <v>77</v>
      </c>
      <c r="N3186" s="28" t="s">
        <v>77</v>
      </c>
      <c r="Q3186" s="30"/>
    </row>
    <row r="3187">
      <c r="B3187" s="6"/>
      <c r="C3187" s="33" t="str">
        <f t="array" ref="C3187">IF(B3187="", "", XLOOKUP(B3187, Inventory!D:D,Inventory!E:E,"No Name Found"))</f>
        <v/>
      </c>
      <c r="D3187" s="6"/>
      <c r="E3187" s="6"/>
      <c r="F3187" s="6"/>
      <c r="G3187" s="24" t="str">
        <f>IF(F3187="", "", VLOOKUP(F3187, Inventory!A:BZ, 3, FALSE) - SUMIF($F$1:$F3186, F3187, $H$1:$H3186))
</f>
        <v/>
      </c>
      <c r="I3187" s="26"/>
      <c r="J3187" s="26" t="s">
        <v>77</v>
      </c>
      <c r="L3187" s="27" t="s">
        <v>77</v>
      </c>
      <c r="N3187" s="28" t="s">
        <v>77</v>
      </c>
      <c r="Q3187" s="30"/>
    </row>
    <row r="3188">
      <c r="B3188" s="6"/>
      <c r="C3188" s="33" t="str">
        <f t="array" ref="C3188">IF(B3188="", "", XLOOKUP(B3188, Inventory!D:D,Inventory!E:E,"No Name Found"))</f>
        <v/>
      </c>
      <c r="D3188" s="6"/>
      <c r="E3188" s="6"/>
      <c r="F3188" s="6"/>
      <c r="G3188" s="24" t="str">
        <f>IF(F3188="", "", VLOOKUP(F3188, Inventory!A:BZ, 3, FALSE) - SUMIF($F$1:$F3187, F3188, $H$1:$H3187))
</f>
        <v/>
      </c>
      <c r="I3188" s="26"/>
      <c r="J3188" s="26" t="s">
        <v>77</v>
      </c>
      <c r="L3188" s="27" t="s">
        <v>77</v>
      </c>
      <c r="N3188" s="28" t="s">
        <v>77</v>
      </c>
      <c r="Q3188" s="30"/>
    </row>
    <row r="3189">
      <c r="B3189" s="6"/>
      <c r="C3189" s="33" t="str">
        <f t="array" ref="C3189">IF(B3189="", "", XLOOKUP(B3189, Inventory!D:D,Inventory!E:E,"No Name Found"))</f>
        <v/>
      </c>
      <c r="D3189" s="6"/>
      <c r="E3189" s="6"/>
      <c r="F3189" s="6"/>
      <c r="G3189" s="24" t="str">
        <f>IF(F3189="", "", VLOOKUP(F3189, Inventory!A:BZ, 3, FALSE) - SUMIF($F$1:$F3188, F3189, $H$1:$H3188))
</f>
        <v/>
      </c>
      <c r="I3189" s="26"/>
      <c r="J3189" s="26" t="s">
        <v>77</v>
      </c>
      <c r="L3189" s="27" t="s">
        <v>77</v>
      </c>
      <c r="N3189" s="28" t="s">
        <v>77</v>
      </c>
      <c r="Q3189" s="30"/>
    </row>
    <row r="3190">
      <c r="B3190" s="6"/>
      <c r="C3190" s="33" t="str">
        <f t="array" ref="C3190">IF(B3190="", "", XLOOKUP(B3190, Inventory!D:D,Inventory!E:E,"No Name Found"))</f>
        <v/>
      </c>
      <c r="D3190" s="6"/>
      <c r="E3190" s="6"/>
      <c r="F3190" s="6"/>
      <c r="G3190" s="24" t="str">
        <f>IF(F3190="", "", VLOOKUP(F3190, Inventory!A:BZ, 3, FALSE) - SUMIF($F$1:$F3189, F3190, $H$1:$H3189))
</f>
        <v/>
      </c>
      <c r="I3190" s="26"/>
      <c r="J3190" s="26" t="s">
        <v>77</v>
      </c>
      <c r="L3190" s="27" t="s">
        <v>77</v>
      </c>
      <c r="N3190" s="28" t="s">
        <v>77</v>
      </c>
      <c r="Q3190" s="30"/>
    </row>
    <row r="3191">
      <c r="B3191" s="6"/>
      <c r="C3191" s="33" t="str">
        <f t="array" ref="C3191">IF(B3191="", "", XLOOKUP(B3191, Inventory!D:D,Inventory!E:E,"No Name Found"))</f>
        <v/>
      </c>
      <c r="D3191" s="6"/>
      <c r="E3191" s="6"/>
      <c r="F3191" s="6"/>
      <c r="G3191" s="24" t="str">
        <f>IF(F3191="", "", VLOOKUP(F3191, Inventory!A:BZ, 3, FALSE) - SUMIF($F$1:$F3190, F3191, $H$1:$H3190))
</f>
        <v/>
      </c>
      <c r="I3191" s="26"/>
      <c r="J3191" s="26" t="s">
        <v>77</v>
      </c>
      <c r="L3191" s="27" t="s">
        <v>77</v>
      </c>
      <c r="N3191" s="28" t="s">
        <v>77</v>
      </c>
      <c r="Q3191" s="30"/>
    </row>
    <row r="3192">
      <c r="B3192" s="6"/>
      <c r="C3192" s="33" t="str">
        <f t="array" ref="C3192">IF(B3192="", "", XLOOKUP(B3192, Inventory!D:D,Inventory!E:E,"No Name Found"))</f>
        <v/>
      </c>
      <c r="D3192" s="6"/>
      <c r="E3192" s="6"/>
      <c r="F3192" s="6"/>
      <c r="G3192" s="24" t="str">
        <f>IF(F3192="", "", VLOOKUP(F3192, Inventory!A:BZ, 3, FALSE) - SUMIF($F$1:$F3191, F3192, $H$1:$H3191))
</f>
        <v/>
      </c>
      <c r="I3192" s="26"/>
      <c r="J3192" s="26" t="s">
        <v>77</v>
      </c>
      <c r="L3192" s="27" t="s">
        <v>77</v>
      </c>
      <c r="N3192" s="28" t="s">
        <v>77</v>
      </c>
      <c r="Q3192" s="30"/>
    </row>
    <row r="3193">
      <c r="B3193" s="6"/>
      <c r="C3193" s="33" t="str">
        <f t="array" ref="C3193">IF(B3193="", "", XLOOKUP(B3193, Inventory!D:D,Inventory!E:E,"No Name Found"))</f>
        <v/>
      </c>
      <c r="D3193" s="6"/>
      <c r="E3193" s="6"/>
      <c r="F3193" s="6"/>
      <c r="G3193" s="24" t="str">
        <f>IF(F3193="", "", VLOOKUP(F3193, Inventory!A:BZ, 3, FALSE) - SUMIF($F$1:$F3192, F3193, $H$1:$H3192))
</f>
        <v/>
      </c>
      <c r="I3193" s="26"/>
      <c r="J3193" s="26" t="s">
        <v>77</v>
      </c>
      <c r="L3193" s="27" t="s">
        <v>77</v>
      </c>
      <c r="N3193" s="28" t="s">
        <v>77</v>
      </c>
      <c r="Q3193" s="30"/>
    </row>
    <row r="3194">
      <c r="B3194" s="6"/>
      <c r="C3194" s="33" t="str">
        <f t="array" ref="C3194">IF(B3194="", "", XLOOKUP(B3194, Inventory!D:D,Inventory!E:E,"No Name Found"))</f>
        <v/>
      </c>
      <c r="D3194" s="6"/>
      <c r="E3194" s="6"/>
      <c r="F3194" s="6"/>
      <c r="G3194" s="24" t="str">
        <f>IF(F3194="", "", VLOOKUP(F3194, Inventory!A:BZ, 3, FALSE) - SUMIF($F$1:$F3193, F3194, $H$1:$H3193))
</f>
        <v/>
      </c>
      <c r="I3194" s="26"/>
      <c r="J3194" s="26" t="s">
        <v>77</v>
      </c>
      <c r="L3194" s="27" t="s">
        <v>77</v>
      </c>
      <c r="N3194" s="28" t="s">
        <v>77</v>
      </c>
      <c r="Q3194" s="30"/>
    </row>
    <row r="3195">
      <c r="B3195" s="6"/>
      <c r="C3195" s="33" t="str">
        <f t="array" ref="C3195">IF(B3195="", "", XLOOKUP(B3195, Inventory!D:D,Inventory!E:E,"No Name Found"))</f>
        <v/>
      </c>
      <c r="D3195" s="6"/>
      <c r="E3195" s="6"/>
      <c r="F3195" s="6"/>
      <c r="G3195" s="24" t="str">
        <f>IF(F3195="", "", VLOOKUP(F3195, Inventory!A:BZ, 3, FALSE) - SUMIF($F$1:$F3194, F3195, $H$1:$H3194))
</f>
        <v/>
      </c>
      <c r="I3195" s="26"/>
      <c r="J3195" s="26" t="s">
        <v>77</v>
      </c>
      <c r="L3195" s="27" t="s">
        <v>77</v>
      </c>
      <c r="N3195" s="28" t="s">
        <v>77</v>
      </c>
      <c r="Q3195" s="30"/>
    </row>
    <row r="3196">
      <c r="B3196" s="6"/>
      <c r="C3196" s="33" t="str">
        <f t="array" ref="C3196">IF(B3196="", "", XLOOKUP(B3196, Inventory!D:D,Inventory!E:E,"No Name Found"))</f>
        <v/>
      </c>
      <c r="D3196" s="6"/>
      <c r="E3196" s="6"/>
      <c r="F3196" s="6"/>
      <c r="G3196" s="24" t="str">
        <f>IF(F3196="", "", VLOOKUP(F3196, Inventory!A:BZ, 3, FALSE) - SUMIF($F$1:$F3195, F3196, $H$1:$H3195))
</f>
        <v/>
      </c>
      <c r="I3196" s="26"/>
      <c r="J3196" s="26" t="s">
        <v>77</v>
      </c>
      <c r="L3196" s="27" t="s">
        <v>77</v>
      </c>
      <c r="N3196" s="28" t="s">
        <v>77</v>
      </c>
      <c r="Q3196" s="30"/>
    </row>
    <row r="3197">
      <c r="B3197" s="6"/>
      <c r="C3197" s="33" t="str">
        <f t="array" ref="C3197">IF(B3197="", "", XLOOKUP(B3197, Inventory!D:D,Inventory!E:E,"No Name Found"))</f>
        <v/>
      </c>
      <c r="D3197" s="6"/>
      <c r="E3197" s="6"/>
      <c r="F3197" s="6"/>
      <c r="G3197" s="24" t="str">
        <f>IF(F3197="", "", VLOOKUP(F3197, Inventory!A:BZ, 3, FALSE) - SUMIF($F$1:$F3196, F3197, $H$1:$H3196))
</f>
        <v/>
      </c>
      <c r="I3197" s="26"/>
      <c r="J3197" s="26" t="s">
        <v>77</v>
      </c>
      <c r="L3197" s="27" t="s">
        <v>77</v>
      </c>
      <c r="N3197" s="28" t="s">
        <v>77</v>
      </c>
      <c r="Q3197" s="30"/>
    </row>
    <row r="3198">
      <c r="B3198" s="6"/>
      <c r="C3198" s="33" t="str">
        <f t="array" ref="C3198">IF(B3198="", "", XLOOKUP(B3198, Inventory!D:D,Inventory!E:E,"No Name Found"))</f>
        <v/>
      </c>
      <c r="D3198" s="6"/>
      <c r="E3198" s="6"/>
      <c r="F3198" s="6"/>
      <c r="G3198" s="24" t="str">
        <f>IF(F3198="", "", VLOOKUP(F3198, Inventory!A:BZ, 3, FALSE) - SUMIF($F$1:$F3197, F3198, $H$1:$H3197))
</f>
        <v/>
      </c>
      <c r="I3198" s="26"/>
      <c r="J3198" s="26" t="s">
        <v>77</v>
      </c>
      <c r="L3198" s="27" t="s">
        <v>77</v>
      </c>
      <c r="N3198" s="28" t="s">
        <v>77</v>
      </c>
      <c r="Q3198" s="30"/>
    </row>
    <row r="3199">
      <c r="B3199" s="6"/>
      <c r="C3199" s="33" t="str">
        <f t="array" ref="C3199">IF(B3199="", "", XLOOKUP(B3199, Inventory!D:D,Inventory!E:E,"No Name Found"))</f>
        <v/>
      </c>
      <c r="D3199" s="6"/>
      <c r="E3199" s="6"/>
      <c r="F3199" s="6"/>
      <c r="G3199" s="24" t="str">
        <f>IF(F3199="", "", VLOOKUP(F3199, Inventory!A:BZ, 3, FALSE) - SUMIF($F$1:$F3198, F3199, $H$1:$H3198))
</f>
        <v/>
      </c>
      <c r="I3199" s="26"/>
      <c r="J3199" s="26" t="s">
        <v>77</v>
      </c>
      <c r="L3199" s="27" t="s">
        <v>77</v>
      </c>
      <c r="N3199" s="28" t="s">
        <v>77</v>
      </c>
      <c r="Q3199" s="30"/>
    </row>
    <row r="3200">
      <c r="B3200" s="6"/>
      <c r="C3200" s="33" t="str">
        <f t="array" ref="C3200">IF(B3200="", "", XLOOKUP(B3200, Inventory!D:D,Inventory!E:E,"No Name Found"))</f>
        <v/>
      </c>
      <c r="D3200" s="6"/>
      <c r="E3200" s="6"/>
      <c r="F3200" s="6"/>
      <c r="G3200" s="24" t="str">
        <f>IF(F3200="", "", VLOOKUP(F3200, Inventory!A:BZ, 3, FALSE) - SUMIF($F$1:$F3199, F3200, $H$1:$H3199))
</f>
        <v/>
      </c>
      <c r="I3200" s="26"/>
      <c r="J3200" s="26" t="s">
        <v>77</v>
      </c>
      <c r="L3200" s="27" t="s">
        <v>77</v>
      </c>
      <c r="N3200" s="28" t="s">
        <v>77</v>
      </c>
      <c r="Q3200" s="30"/>
    </row>
    <row r="3201">
      <c r="B3201" s="6"/>
      <c r="C3201" s="33" t="str">
        <f t="array" ref="C3201">IF(B3201="", "", XLOOKUP(B3201, Inventory!D:D,Inventory!E:E,"No Name Found"))</f>
        <v/>
      </c>
      <c r="D3201" s="6"/>
      <c r="E3201" s="6"/>
      <c r="F3201" s="6"/>
      <c r="G3201" s="24" t="str">
        <f>IF(F3201="", "", VLOOKUP(F3201, Inventory!A:BZ, 3, FALSE) - SUMIF($F$1:$F3200, F3201, $H$1:$H3200))
</f>
        <v/>
      </c>
      <c r="I3201" s="26"/>
      <c r="J3201" s="26" t="s">
        <v>77</v>
      </c>
      <c r="L3201" s="27" t="s">
        <v>77</v>
      </c>
      <c r="N3201" s="28" t="s">
        <v>77</v>
      </c>
      <c r="Q3201" s="30"/>
    </row>
    <row r="3202">
      <c r="B3202" s="6"/>
      <c r="C3202" s="33" t="str">
        <f t="array" ref="C3202">IF(B3202="", "", XLOOKUP(B3202, Inventory!D:D,Inventory!E:E,"No Name Found"))</f>
        <v/>
      </c>
      <c r="D3202" s="6"/>
      <c r="E3202" s="6"/>
      <c r="F3202" s="6"/>
      <c r="G3202" s="24" t="str">
        <f>IF(F3202="", "", VLOOKUP(F3202, Inventory!A:BZ, 3, FALSE) - SUMIF($F$1:$F3201, F3202, $H$1:$H3201))
</f>
        <v/>
      </c>
      <c r="I3202" s="26"/>
      <c r="J3202" s="26" t="s">
        <v>77</v>
      </c>
      <c r="L3202" s="27" t="s">
        <v>77</v>
      </c>
      <c r="N3202" s="28" t="s">
        <v>77</v>
      </c>
      <c r="Q3202" s="30"/>
    </row>
    <row r="3203">
      <c r="B3203" s="6"/>
      <c r="C3203" s="33" t="str">
        <f t="array" ref="C3203">IF(B3203="", "", XLOOKUP(B3203, Inventory!D:D,Inventory!E:E,"No Name Found"))</f>
        <v/>
      </c>
      <c r="D3203" s="6"/>
      <c r="E3203" s="6"/>
      <c r="F3203" s="6"/>
      <c r="G3203" s="24" t="str">
        <f>IF(F3203="", "", VLOOKUP(F3203, Inventory!A:BZ, 3, FALSE) - SUMIF($F$1:$F3202, F3203, $H$1:$H3202))
</f>
        <v/>
      </c>
      <c r="I3203" s="26"/>
      <c r="J3203" s="26" t="s">
        <v>77</v>
      </c>
      <c r="L3203" s="27" t="s">
        <v>77</v>
      </c>
      <c r="N3203" s="28" t="s">
        <v>77</v>
      </c>
      <c r="Q3203" s="30"/>
    </row>
    <row r="3204">
      <c r="B3204" s="6"/>
      <c r="C3204" s="33" t="str">
        <f t="array" ref="C3204">IF(B3204="", "", XLOOKUP(B3204, Inventory!D:D,Inventory!E:E,"No Name Found"))</f>
        <v/>
      </c>
      <c r="D3204" s="6"/>
      <c r="E3204" s="6"/>
      <c r="F3204" s="6"/>
      <c r="G3204" s="24" t="str">
        <f>IF(F3204="", "", VLOOKUP(F3204, Inventory!A:BZ, 3, FALSE) - SUMIF($F$1:$F3203, F3204, $H$1:$H3203))
</f>
        <v/>
      </c>
      <c r="I3204" s="26"/>
      <c r="J3204" s="26" t="s">
        <v>77</v>
      </c>
      <c r="L3204" s="27" t="s">
        <v>77</v>
      </c>
      <c r="N3204" s="28" t="s">
        <v>77</v>
      </c>
      <c r="Q3204" s="30"/>
    </row>
    <row r="3205">
      <c r="B3205" s="6"/>
      <c r="C3205" s="33" t="str">
        <f t="array" ref="C3205">IF(B3205="", "", XLOOKUP(B3205, Inventory!D:D,Inventory!E:E,"No Name Found"))</f>
        <v/>
      </c>
      <c r="D3205" s="6"/>
      <c r="E3205" s="6"/>
      <c r="F3205" s="6"/>
      <c r="G3205" s="24" t="str">
        <f>IF(F3205="", "", VLOOKUP(F3205, Inventory!A:BZ, 3, FALSE) - SUMIF($F$1:$F3204, F3205, $H$1:$H3204))
</f>
        <v/>
      </c>
      <c r="I3205" s="26"/>
      <c r="J3205" s="26" t="s">
        <v>77</v>
      </c>
      <c r="L3205" s="27" t="s">
        <v>77</v>
      </c>
      <c r="N3205" s="28" t="s">
        <v>77</v>
      </c>
      <c r="Q3205" s="30"/>
    </row>
    <row r="3206">
      <c r="B3206" s="6"/>
      <c r="C3206" s="33" t="str">
        <f t="array" ref="C3206">IF(B3206="", "", XLOOKUP(B3206, Inventory!D:D,Inventory!E:E,"No Name Found"))</f>
        <v/>
      </c>
      <c r="D3206" s="6"/>
      <c r="E3206" s="6"/>
      <c r="F3206" s="6"/>
      <c r="G3206" s="24" t="str">
        <f>IF(F3206="", "", VLOOKUP(F3206, Inventory!A:BZ, 3, FALSE) - SUMIF($F$1:$F3205, F3206, $H$1:$H3205))
</f>
        <v/>
      </c>
      <c r="I3206" s="26"/>
      <c r="J3206" s="26" t="s">
        <v>77</v>
      </c>
      <c r="L3206" s="27" t="s">
        <v>77</v>
      </c>
      <c r="N3206" s="28" t="s">
        <v>77</v>
      </c>
      <c r="Q3206" s="30"/>
    </row>
    <row r="3207">
      <c r="B3207" s="6"/>
      <c r="C3207" s="33" t="str">
        <f t="array" ref="C3207">IF(B3207="", "", XLOOKUP(B3207, Inventory!D:D,Inventory!E:E,"No Name Found"))</f>
        <v/>
      </c>
      <c r="D3207" s="6"/>
      <c r="E3207" s="6"/>
      <c r="F3207" s="6"/>
      <c r="G3207" s="24" t="str">
        <f>IF(F3207="", "", VLOOKUP(F3207, Inventory!A:BZ, 3, FALSE) - SUMIF($F$1:$F3206, F3207, $H$1:$H3206))
</f>
        <v/>
      </c>
      <c r="I3207" s="26"/>
      <c r="J3207" s="26" t="s">
        <v>77</v>
      </c>
      <c r="L3207" s="27" t="s">
        <v>77</v>
      </c>
      <c r="N3207" s="28" t="s">
        <v>77</v>
      </c>
      <c r="Q3207" s="30"/>
    </row>
    <row r="3208">
      <c r="B3208" s="6"/>
      <c r="C3208" s="33" t="str">
        <f t="array" ref="C3208">IF(B3208="", "", XLOOKUP(B3208, Inventory!D:D,Inventory!E:E,"No Name Found"))</f>
        <v/>
      </c>
      <c r="D3208" s="6"/>
      <c r="E3208" s="6"/>
      <c r="F3208" s="6"/>
      <c r="G3208" s="24" t="str">
        <f>IF(F3208="", "", VLOOKUP(F3208, Inventory!A:BZ, 3, FALSE) - SUMIF($F$1:$F3207, F3208, $H$1:$H3207))
</f>
        <v/>
      </c>
      <c r="I3208" s="26"/>
      <c r="J3208" s="26" t="s">
        <v>77</v>
      </c>
      <c r="L3208" s="27" t="s">
        <v>77</v>
      </c>
      <c r="N3208" s="28" t="s">
        <v>77</v>
      </c>
      <c r="Q3208" s="30"/>
    </row>
    <row r="3209">
      <c r="B3209" s="6"/>
      <c r="C3209" s="33" t="str">
        <f t="array" ref="C3209">IF(B3209="", "", XLOOKUP(B3209, Inventory!D:D,Inventory!E:E,"No Name Found"))</f>
        <v/>
      </c>
      <c r="D3209" s="6"/>
      <c r="E3209" s="6"/>
      <c r="F3209" s="6"/>
      <c r="G3209" s="24" t="str">
        <f>IF(F3209="", "", VLOOKUP(F3209, Inventory!A:BZ, 3, FALSE) - SUMIF($F$1:$F3208, F3209, $H$1:$H3208))
</f>
        <v/>
      </c>
      <c r="I3209" s="26"/>
      <c r="J3209" s="26" t="s">
        <v>77</v>
      </c>
      <c r="L3209" s="27" t="s">
        <v>77</v>
      </c>
      <c r="N3209" s="28" t="s">
        <v>77</v>
      </c>
      <c r="Q3209" s="30"/>
    </row>
    <row r="3210">
      <c r="B3210" s="6"/>
      <c r="C3210" s="33" t="str">
        <f t="array" ref="C3210">IF(B3210="", "", XLOOKUP(B3210, Inventory!D:D,Inventory!E:E,"No Name Found"))</f>
        <v/>
      </c>
      <c r="D3210" s="6"/>
      <c r="E3210" s="6"/>
      <c r="F3210" s="6"/>
      <c r="G3210" s="24" t="str">
        <f>IF(F3210="", "", VLOOKUP(F3210, Inventory!A:BZ, 3, FALSE) - SUMIF($F$1:$F3209, F3210, $H$1:$H3209))
</f>
        <v/>
      </c>
      <c r="I3210" s="26"/>
      <c r="J3210" s="26" t="s">
        <v>77</v>
      </c>
      <c r="L3210" s="27" t="s">
        <v>77</v>
      </c>
      <c r="N3210" s="28" t="s">
        <v>77</v>
      </c>
      <c r="Q3210" s="30"/>
    </row>
    <row r="3211">
      <c r="B3211" s="6"/>
      <c r="C3211" s="33" t="str">
        <f t="array" ref="C3211">IF(B3211="", "", XLOOKUP(B3211, Inventory!D:D,Inventory!E:E,"No Name Found"))</f>
        <v/>
      </c>
      <c r="D3211" s="6"/>
      <c r="E3211" s="6"/>
      <c r="F3211" s="6"/>
      <c r="G3211" s="24" t="str">
        <f>IF(F3211="", "", VLOOKUP(F3211, Inventory!A:BZ, 3, FALSE) - SUMIF($F$1:$F3210, F3211, $H$1:$H3210))
</f>
        <v/>
      </c>
      <c r="I3211" s="26"/>
      <c r="J3211" s="26" t="s">
        <v>77</v>
      </c>
      <c r="L3211" s="27" t="s">
        <v>77</v>
      </c>
      <c r="N3211" s="28" t="s">
        <v>77</v>
      </c>
      <c r="Q3211" s="30"/>
    </row>
    <row r="3212">
      <c r="B3212" s="6"/>
      <c r="C3212" s="33" t="str">
        <f t="array" ref="C3212">IF(B3212="", "", XLOOKUP(B3212, Inventory!D:D,Inventory!E:E,"No Name Found"))</f>
        <v/>
      </c>
      <c r="D3212" s="6"/>
      <c r="E3212" s="6"/>
      <c r="F3212" s="6"/>
      <c r="G3212" s="24" t="str">
        <f>IF(F3212="", "", VLOOKUP(F3212, Inventory!A:BZ, 3, FALSE) - SUMIF($F$1:$F3211, F3212, $H$1:$H3211))
</f>
        <v/>
      </c>
      <c r="I3212" s="26"/>
      <c r="J3212" s="26" t="s">
        <v>77</v>
      </c>
      <c r="L3212" s="27" t="s">
        <v>77</v>
      </c>
      <c r="N3212" s="28" t="s">
        <v>77</v>
      </c>
      <c r="Q3212" s="30"/>
    </row>
    <row r="3213">
      <c r="B3213" s="6"/>
      <c r="C3213" s="33" t="str">
        <f t="array" ref="C3213">IF(B3213="", "", XLOOKUP(B3213, Inventory!D:D,Inventory!E:E,"No Name Found"))</f>
        <v/>
      </c>
      <c r="D3213" s="6"/>
      <c r="E3213" s="6"/>
      <c r="F3213" s="6"/>
      <c r="G3213" s="24" t="str">
        <f>IF(F3213="", "", VLOOKUP(F3213, Inventory!A:BZ, 3, FALSE) - SUMIF($F$1:$F3212, F3213, $H$1:$H3212))
</f>
        <v/>
      </c>
      <c r="I3213" s="26"/>
      <c r="J3213" s="26" t="s">
        <v>77</v>
      </c>
      <c r="L3213" s="27" t="s">
        <v>77</v>
      </c>
      <c r="N3213" s="28" t="s">
        <v>77</v>
      </c>
      <c r="Q3213" s="30"/>
    </row>
    <row r="3214">
      <c r="B3214" s="6"/>
      <c r="C3214" s="33" t="str">
        <f t="array" ref="C3214">IF(B3214="", "", XLOOKUP(B3214, Inventory!D:D,Inventory!E:E,"No Name Found"))</f>
        <v/>
      </c>
      <c r="D3214" s="6"/>
      <c r="E3214" s="6"/>
      <c r="F3214" s="6"/>
      <c r="G3214" s="24" t="str">
        <f>IF(F3214="", "", VLOOKUP(F3214, Inventory!A:BZ, 3, FALSE) - SUMIF($F$1:$F3213, F3214, $H$1:$H3213))
</f>
        <v/>
      </c>
      <c r="I3214" s="26"/>
      <c r="J3214" s="26" t="s">
        <v>77</v>
      </c>
      <c r="L3214" s="27" t="s">
        <v>77</v>
      </c>
      <c r="N3214" s="28" t="s">
        <v>77</v>
      </c>
      <c r="Q3214" s="30"/>
    </row>
    <row r="3215">
      <c r="B3215" s="6"/>
      <c r="C3215" s="33" t="str">
        <f t="array" ref="C3215">IF(B3215="", "", XLOOKUP(B3215, Inventory!D:D,Inventory!E:E,"No Name Found"))</f>
        <v/>
      </c>
      <c r="D3215" s="6"/>
      <c r="E3215" s="6"/>
      <c r="F3215" s="6"/>
      <c r="G3215" s="24" t="str">
        <f>IF(F3215="", "", VLOOKUP(F3215, Inventory!A:BZ, 3, FALSE) - SUMIF($F$1:$F3214, F3215, $H$1:$H3214))
</f>
        <v/>
      </c>
      <c r="I3215" s="26"/>
      <c r="J3215" s="26" t="s">
        <v>77</v>
      </c>
      <c r="L3215" s="27" t="s">
        <v>77</v>
      </c>
      <c r="N3215" s="28" t="s">
        <v>77</v>
      </c>
      <c r="Q3215" s="30"/>
    </row>
    <row r="3216">
      <c r="B3216" s="6"/>
      <c r="C3216" s="33" t="str">
        <f t="array" ref="C3216">IF(B3216="", "", XLOOKUP(B3216, Inventory!D:D,Inventory!E:E,"No Name Found"))</f>
        <v/>
      </c>
      <c r="D3216" s="6"/>
      <c r="E3216" s="6"/>
      <c r="F3216" s="6"/>
      <c r="G3216" s="24" t="str">
        <f>IF(F3216="", "", VLOOKUP(F3216, Inventory!A:BZ, 3, FALSE) - SUMIF($F$1:$F3215, F3216, $H$1:$H3215))
</f>
        <v/>
      </c>
      <c r="I3216" s="26"/>
      <c r="J3216" s="26" t="s">
        <v>77</v>
      </c>
      <c r="L3216" s="27" t="s">
        <v>77</v>
      </c>
      <c r="N3216" s="28" t="s">
        <v>77</v>
      </c>
      <c r="Q3216" s="30"/>
    </row>
    <row r="3217">
      <c r="B3217" s="6"/>
      <c r="C3217" s="33" t="str">
        <f t="array" ref="C3217">IF(B3217="", "", XLOOKUP(B3217, Inventory!D:D,Inventory!E:E,"No Name Found"))</f>
        <v/>
      </c>
      <c r="D3217" s="6"/>
      <c r="E3217" s="6"/>
      <c r="F3217" s="6"/>
      <c r="G3217" s="24" t="str">
        <f>IF(F3217="", "", VLOOKUP(F3217, Inventory!A:BZ, 3, FALSE) - SUMIF($F$1:$F3216, F3217, $H$1:$H3216))
</f>
        <v/>
      </c>
      <c r="I3217" s="26"/>
      <c r="J3217" s="26" t="s">
        <v>77</v>
      </c>
      <c r="L3217" s="27" t="s">
        <v>77</v>
      </c>
      <c r="N3217" s="28" t="s">
        <v>77</v>
      </c>
      <c r="Q3217" s="30"/>
    </row>
    <row r="3218">
      <c r="B3218" s="6"/>
      <c r="C3218" s="33" t="str">
        <f t="array" ref="C3218">IF(B3218="", "", XLOOKUP(B3218, Inventory!D:D,Inventory!E:E,"No Name Found"))</f>
        <v/>
      </c>
      <c r="D3218" s="6"/>
      <c r="E3218" s="6"/>
      <c r="F3218" s="6"/>
      <c r="G3218" s="24" t="str">
        <f>IF(F3218="", "", VLOOKUP(F3218, Inventory!A:BZ, 3, FALSE) - SUMIF($F$1:$F3217, F3218, $H$1:$H3217))
</f>
        <v/>
      </c>
      <c r="I3218" s="26"/>
      <c r="J3218" s="26" t="s">
        <v>77</v>
      </c>
      <c r="L3218" s="27" t="s">
        <v>77</v>
      </c>
      <c r="N3218" s="28" t="s">
        <v>77</v>
      </c>
      <c r="Q3218" s="30"/>
    </row>
    <row r="3219">
      <c r="B3219" s="6"/>
      <c r="C3219" s="33" t="str">
        <f t="array" ref="C3219">IF(B3219="", "", XLOOKUP(B3219, Inventory!D:D,Inventory!E:E,"No Name Found"))</f>
        <v/>
      </c>
      <c r="D3219" s="6"/>
      <c r="E3219" s="6"/>
      <c r="F3219" s="6"/>
      <c r="G3219" s="24" t="str">
        <f>IF(F3219="", "", VLOOKUP(F3219, Inventory!A:BZ, 3, FALSE) - SUMIF($F$1:$F3218, F3219, $H$1:$H3218))
</f>
        <v/>
      </c>
      <c r="I3219" s="26"/>
      <c r="J3219" s="26" t="s">
        <v>77</v>
      </c>
      <c r="L3219" s="27" t="s">
        <v>77</v>
      </c>
      <c r="N3219" s="28" t="s">
        <v>77</v>
      </c>
      <c r="Q3219" s="30"/>
    </row>
    <row r="3220">
      <c r="B3220" s="6"/>
      <c r="C3220" s="33" t="str">
        <f t="array" ref="C3220">IF(B3220="", "", XLOOKUP(B3220, Inventory!D:D,Inventory!E:E,"No Name Found"))</f>
        <v/>
      </c>
      <c r="D3220" s="6"/>
      <c r="E3220" s="6"/>
      <c r="F3220" s="6"/>
      <c r="G3220" s="24" t="str">
        <f>IF(F3220="", "", VLOOKUP(F3220, Inventory!A:BZ, 3, FALSE) - SUMIF($F$1:$F3219, F3220, $H$1:$H3219))
</f>
        <v/>
      </c>
      <c r="I3220" s="26"/>
      <c r="J3220" s="26" t="s">
        <v>77</v>
      </c>
      <c r="L3220" s="27" t="s">
        <v>77</v>
      </c>
      <c r="N3220" s="28" t="s">
        <v>77</v>
      </c>
      <c r="Q3220" s="30"/>
    </row>
    <row r="3221">
      <c r="B3221" s="6"/>
      <c r="C3221" s="33" t="str">
        <f t="array" ref="C3221">IF(B3221="", "", XLOOKUP(B3221, Inventory!D:D,Inventory!E:E,"No Name Found"))</f>
        <v/>
      </c>
      <c r="D3221" s="6"/>
      <c r="E3221" s="6"/>
      <c r="F3221" s="6"/>
      <c r="G3221" s="24" t="str">
        <f>IF(F3221="", "", VLOOKUP(F3221, Inventory!A:BZ, 3, FALSE) - SUMIF($F$1:$F3220, F3221, $H$1:$H3220))
</f>
        <v/>
      </c>
      <c r="I3221" s="26"/>
      <c r="J3221" s="26" t="s">
        <v>77</v>
      </c>
      <c r="L3221" s="27" t="s">
        <v>77</v>
      </c>
      <c r="N3221" s="28" t="s">
        <v>77</v>
      </c>
      <c r="Q3221" s="30"/>
    </row>
    <row r="3222">
      <c r="B3222" s="6"/>
      <c r="C3222" s="33" t="str">
        <f t="array" ref="C3222">IF(B3222="", "", XLOOKUP(B3222, Inventory!D:D,Inventory!E:E,"No Name Found"))</f>
        <v/>
      </c>
      <c r="D3222" s="6"/>
      <c r="E3222" s="6"/>
      <c r="F3222" s="6"/>
      <c r="G3222" s="24" t="str">
        <f>IF(F3222="", "", VLOOKUP(F3222, Inventory!A:BZ, 3, FALSE) - SUMIF($F$1:$F3221, F3222, $H$1:$H3221))
</f>
        <v/>
      </c>
      <c r="I3222" s="26"/>
      <c r="J3222" s="26" t="s">
        <v>77</v>
      </c>
      <c r="L3222" s="27" t="s">
        <v>77</v>
      </c>
      <c r="N3222" s="28" t="s">
        <v>77</v>
      </c>
      <c r="Q3222" s="30"/>
    </row>
    <row r="3223">
      <c r="B3223" s="6"/>
      <c r="C3223" s="33" t="str">
        <f t="array" ref="C3223">IF(B3223="", "", XLOOKUP(B3223, Inventory!D:D,Inventory!E:E,"No Name Found"))</f>
        <v/>
      </c>
      <c r="D3223" s="6"/>
      <c r="E3223" s="6"/>
      <c r="F3223" s="6"/>
      <c r="G3223" s="24" t="str">
        <f>IF(F3223="", "", VLOOKUP(F3223, Inventory!A:BZ, 3, FALSE) - SUMIF($F$1:$F3222, F3223, $H$1:$H3222))
</f>
        <v/>
      </c>
      <c r="I3223" s="26"/>
      <c r="J3223" s="26" t="s">
        <v>77</v>
      </c>
      <c r="L3223" s="27" t="s">
        <v>77</v>
      </c>
      <c r="N3223" s="28" t="s">
        <v>77</v>
      </c>
      <c r="Q3223" s="30"/>
    </row>
    <row r="3224">
      <c r="B3224" s="6"/>
      <c r="C3224" s="33" t="str">
        <f t="array" ref="C3224">IF(B3224="", "", XLOOKUP(B3224, Inventory!D:D,Inventory!E:E,"No Name Found"))</f>
        <v/>
      </c>
      <c r="D3224" s="6"/>
      <c r="E3224" s="6"/>
      <c r="F3224" s="6"/>
      <c r="G3224" s="24" t="str">
        <f>IF(F3224="", "", VLOOKUP(F3224, Inventory!A:BZ, 3, FALSE) - SUMIF($F$1:$F3223, F3224, $H$1:$H3223))
</f>
        <v/>
      </c>
      <c r="I3224" s="26"/>
      <c r="J3224" s="26" t="s">
        <v>77</v>
      </c>
      <c r="L3224" s="27" t="s">
        <v>77</v>
      </c>
      <c r="N3224" s="28" t="s">
        <v>77</v>
      </c>
      <c r="Q3224" s="30"/>
    </row>
    <row r="3225">
      <c r="B3225" s="6"/>
      <c r="C3225" s="33" t="str">
        <f t="array" ref="C3225">IF(B3225="", "", XLOOKUP(B3225, Inventory!D:D,Inventory!E:E,"No Name Found"))</f>
        <v/>
      </c>
      <c r="D3225" s="6"/>
      <c r="E3225" s="6"/>
      <c r="F3225" s="6"/>
      <c r="G3225" s="24" t="str">
        <f>IF(F3225="", "", VLOOKUP(F3225, Inventory!A:BZ, 3, FALSE) - SUMIF($F$1:$F3224, F3225, $H$1:$H3224))
</f>
        <v/>
      </c>
      <c r="I3225" s="26"/>
      <c r="J3225" s="26" t="s">
        <v>77</v>
      </c>
      <c r="L3225" s="27" t="s">
        <v>77</v>
      </c>
      <c r="N3225" s="28" t="s">
        <v>77</v>
      </c>
      <c r="Q3225" s="30"/>
    </row>
    <row r="3226">
      <c r="B3226" s="6"/>
      <c r="C3226" s="33" t="str">
        <f t="array" ref="C3226">IF(B3226="", "", XLOOKUP(B3226, Inventory!D:D,Inventory!E:E,"No Name Found"))</f>
        <v/>
      </c>
      <c r="D3226" s="6"/>
      <c r="E3226" s="6"/>
      <c r="F3226" s="6"/>
      <c r="G3226" s="24" t="str">
        <f>IF(F3226="", "", VLOOKUP(F3226, Inventory!A:BZ, 3, FALSE) - SUMIF($F$1:$F3225, F3226, $H$1:$H3225))
</f>
        <v/>
      </c>
      <c r="I3226" s="26"/>
      <c r="J3226" s="26" t="s">
        <v>77</v>
      </c>
      <c r="L3226" s="27" t="s">
        <v>77</v>
      </c>
      <c r="N3226" s="28" t="s">
        <v>77</v>
      </c>
      <c r="Q3226" s="30"/>
    </row>
    <row r="3227">
      <c r="B3227" s="6"/>
      <c r="C3227" s="33" t="str">
        <f t="array" ref="C3227">IF(B3227="", "", XLOOKUP(B3227, Inventory!D:D,Inventory!E:E,"No Name Found"))</f>
        <v/>
      </c>
      <c r="D3227" s="6"/>
      <c r="E3227" s="6"/>
      <c r="F3227" s="6"/>
      <c r="G3227" s="24" t="str">
        <f>IF(F3227="", "", VLOOKUP(F3227, Inventory!A:BZ, 3, FALSE) - SUMIF($F$1:$F3226, F3227, $H$1:$H3226))
</f>
        <v/>
      </c>
      <c r="I3227" s="26"/>
      <c r="J3227" s="26" t="s">
        <v>77</v>
      </c>
      <c r="L3227" s="27" t="s">
        <v>77</v>
      </c>
      <c r="N3227" s="28" t="s">
        <v>77</v>
      </c>
      <c r="Q3227" s="30"/>
    </row>
    <row r="3228">
      <c r="B3228" s="6"/>
      <c r="C3228" s="33" t="str">
        <f t="array" ref="C3228">IF(B3228="", "", XLOOKUP(B3228, Inventory!D:D,Inventory!E:E,"No Name Found"))</f>
        <v/>
      </c>
      <c r="D3228" s="6"/>
      <c r="E3228" s="6"/>
      <c r="F3228" s="6"/>
      <c r="G3228" s="24" t="str">
        <f>IF(F3228="", "", VLOOKUP(F3228, Inventory!A:BZ, 3, FALSE) - SUMIF($F$1:$F3227, F3228, $H$1:$H3227))
</f>
        <v/>
      </c>
      <c r="I3228" s="26"/>
      <c r="J3228" s="26" t="s">
        <v>77</v>
      </c>
      <c r="L3228" s="27" t="s">
        <v>77</v>
      </c>
      <c r="N3228" s="28" t="s">
        <v>77</v>
      </c>
      <c r="Q3228" s="30"/>
    </row>
    <row r="3229">
      <c r="B3229" s="6"/>
      <c r="C3229" s="33" t="str">
        <f t="array" ref="C3229">IF(B3229="", "", XLOOKUP(B3229, Inventory!D:D,Inventory!E:E,"No Name Found"))</f>
        <v/>
      </c>
      <c r="D3229" s="6"/>
      <c r="E3229" s="6"/>
      <c r="F3229" s="6"/>
      <c r="G3229" s="24" t="str">
        <f>IF(F3229="", "", VLOOKUP(F3229, Inventory!A:BZ, 3, FALSE) - SUMIF($F$1:$F3228, F3229, $H$1:$H3228))
</f>
        <v/>
      </c>
      <c r="I3229" s="26"/>
      <c r="J3229" s="26" t="s">
        <v>77</v>
      </c>
      <c r="L3229" s="27" t="s">
        <v>77</v>
      </c>
      <c r="N3229" s="28" t="s">
        <v>77</v>
      </c>
      <c r="Q3229" s="30"/>
    </row>
    <row r="3230">
      <c r="B3230" s="6"/>
      <c r="C3230" s="33" t="str">
        <f t="array" ref="C3230">IF(B3230="", "", XLOOKUP(B3230, Inventory!D:D,Inventory!E:E,"No Name Found"))</f>
        <v/>
      </c>
      <c r="D3230" s="6"/>
      <c r="E3230" s="6"/>
      <c r="F3230" s="6"/>
      <c r="G3230" s="24" t="str">
        <f>IF(F3230="", "", VLOOKUP(F3230, Inventory!A:BZ, 3, FALSE) - SUMIF($F$1:$F3229, F3230, $H$1:$H3229))
</f>
        <v/>
      </c>
      <c r="I3230" s="26"/>
      <c r="J3230" s="26" t="s">
        <v>77</v>
      </c>
      <c r="L3230" s="27" t="s">
        <v>77</v>
      </c>
      <c r="N3230" s="28" t="s">
        <v>77</v>
      </c>
      <c r="Q3230" s="30"/>
    </row>
    <row r="3231">
      <c r="B3231" s="6"/>
      <c r="C3231" s="33" t="str">
        <f t="array" ref="C3231">IF(B3231="", "", XLOOKUP(B3231, Inventory!D:D,Inventory!E:E,"No Name Found"))</f>
        <v/>
      </c>
      <c r="D3231" s="6"/>
      <c r="E3231" s="6"/>
      <c r="F3231" s="6"/>
      <c r="G3231" s="24" t="str">
        <f>IF(F3231="", "", VLOOKUP(F3231, Inventory!A:BZ, 3, FALSE) - SUMIF($F$1:$F3230, F3231, $H$1:$H3230))
</f>
        <v/>
      </c>
      <c r="I3231" s="26"/>
      <c r="J3231" s="26" t="s">
        <v>77</v>
      </c>
      <c r="L3231" s="27" t="s">
        <v>77</v>
      </c>
      <c r="N3231" s="28" t="s">
        <v>77</v>
      </c>
      <c r="Q3231" s="30"/>
    </row>
    <row r="3232">
      <c r="B3232" s="6"/>
      <c r="C3232" s="33" t="str">
        <f t="array" ref="C3232">IF(B3232="", "", XLOOKUP(B3232, Inventory!D:D,Inventory!E:E,"No Name Found"))</f>
        <v/>
      </c>
      <c r="D3232" s="6"/>
      <c r="E3232" s="6"/>
      <c r="F3232" s="6"/>
      <c r="G3232" s="24" t="str">
        <f>IF(F3232="", "", VLOOKUP(F3232, Inventory!A:BZ, 3, FALSE) - SUMIF($F$1:$F3231, F3232, $H$1:$H3231))
</f>
        <v/>
      </c>
      <c r="I3232" s="26"/>
      <c r="J3232" s="26" t="s">
        <v>77</v>
      </c>
      <c r="L3232" s="27" t="s">
        <v>77</v>
      </c>
      <c r="N3232" s="28" t="s">
        <v>77</v>
      </c>
      <c r="Q3232" s="30"/>
    </row>
    <row r="3233">
      <c r="B3233" s="6"/>
      <c r="C3233" s="33" t="str">
        <f t="array" ref="C3233">IF(B3233="", "", XLOOKUP(B3233, Inventory!D:D,Inventory!E:E,"No Name Found"))</f>
        <v/>
      </c>
      <c r="D3233" s="6"/>
      <c r="E3233" s="6"/>
      <c r="F3233" s="6"/>
      <c r="G3233" s="24" t="str">
        <f>IF(F3233="", "", VLOOKUP(F3233, Inventory!A:BZ, 3, FALSE) - SUMIF($F$1:$F3232, F3233, $H$1:$H3232))
</f>
        <v/>
      </c>
      <c r="I3233" s="26"/>
      <c r="J3233" s="26" t="s">
        <v>77</v>
      </c>
      <c r="L3233" s="27" t="s">
        <v>77</v>
      </c>
      <c r="N3233" s="28" t="s">
        <v>77</v>
      </c>
      <c r="Q3233" s="30"/>
    </row>
    <row r="3234">
      <c r="B3234" s="6"/>
      <c r="C3234" s="33" t="str">
        <f t="array" ref="C3234">IF(B3234="", "", XLOOKUP(B3234, Inventory!D:D,Inventory!E:E,"No Name Found"))</f>
        <v/>
      </c>
      <c r="D3234" s="6"/>
      <c r="E3234" s="6"/>
      <c r="F3234" s="6"/>
      <c r="G3234" s="24" t="str">
        <f>IF(F3234="", "", VLOOKUP(F3234, Inventory!A:BZ, 3, FALSE) - SUMIF($F$1:$F3233, F3234, $H$1:$H3233))
</f>
        <v/>
      </c>
      <c r="I3234" s="26"/>
      <c r="J3234" s="26" t="s">
        <v>77</v>
      </c>
      <c r="L3234" s="27" t="s">
        <v>77</v>
      </c>
      <c r="N3234" s="28" t="s">
        <v>77</v>
      </c>
      <c r="Q3234" s="30"/>
    </row>
    <row r="3235">
      <c r="B3235" s="6"/>
      <c r="C3235" s="33" t="str">
        <f t="array" ref="C3235">IF(B3235="", "", XLOOKUP(B3235, Inventory!D:D,Inventory!E:E,"No Name Found"))</f>
        <v/>
      </c>
      <c r="D3235" s="6"/>
      <c r="E3235" s="6"/>
      <c r="F3235" s="6"/>
      <c r="G3235" s="24" t="str">
        <f>IF(F3235="", "", VLOOKUP(F3235, Inventory!A:BZ, 3, FALSE) - SUMIF($F$1:$F3234, F3235, $H$1:$H3234))
</f>
        <v/>
      </c>
      <c r="I3235" s="26"/>
      <c r="J3235" s="26" t="s">
        <v>77</v>
      </c>
      <c r="L3235" s="27" t="s">
        <v>77</v>
      </c>
      <c r="N3235" s="28" t="s">
        <v>77</v>
      </c>
      <c r="Q3235" s="30"/>
    </row>
    <row r="3236">
      <c r="B3236" s="6"/>
      <c r="C3236" s="33" t="str">
        <f t="array" ref="C3236">IF(B3236="", "", XLOOKUP(B3236, Inventory!D:D,Inventory!E:E,"No Name Found"))</f>
        <v/>
      </c>
      <c r="D3236" s="6"/>
      <c r="E3236" s="6"/>
      <c r="F3236" s="6"/>
      <c r="G3236" s="24" t="str">
        <f>IF(F3236="", "", VLOOKUP(F3236, Inventory!A:BZ, 3, FALSE) - SUMIF($F$1:$F3235, F3236, $H$1:$H3235))
</f>
        <v/>
      </c>
      <c r="I3236" s="26"/>
      <c r="J3236" s="26" t="s">
        <v>77</v>
      </c>
      <c r="L3236" s="27" t="s">
        <v>77</v>
      </c>
      <c r="N3236" s="28" t="s">
        <v>77</v>
      </c>
      <c r="Q3236" s="30"/>
    </row>
    <row r="3237">
      <c r="B3237" s="6"/>
      <c r="C3237" s="33" t="str">
        <f t="array" ref="C3237">IF(B3237="", "", XLOOKUP(B3237, Inventory!D:D,Inventory!E:E,"No Name Found"))</f>
        <v/>
      </c>
      <c r="D3237" s="6"/>
      <c r="E3237" s="6"/>
      <c r="F3237" s="6"/>
      <c r="G3237" s="24" t="str">
        <f>IF(F3237="", "", VLOOKUP(F3237, Inventory!A:BZ, 3, FALSE) - SUMIF($F$1:$F3236, F3237, $H$1:$H3236))
</f>
        <v/>
      </c>
      <c r="I3237" s="26"/>
      <c r="J3237" s="26" t="s">
        <v>77</v>
      </c>
      <c r="L3237" s="27" t="s">
        <v>77</v>
      </c>
      <c r="N3237" s="28" t="s">
        <v>77</v>
      </c>
      <c r="Q3237" s="30"/>
    </row>
    <row r="3238">
      <c r="B3238" s="6"/>
      <c r="C3238" s="33" t="str">
        <f t="array" ref="C3238">IF(B3238="", "", XLOOKUP(B3238, Inventory!D:D,Inventory!E:E,"No Name Found"))</f>
        <v/>
      </c>
      <c r="D3238" s="6"/>
      <c r="E3238" s="6"/>
      <c r="F3238" s="6"/>
      <c r="G3238" s="24" t="str">
        <f>IF(F3238="", "", VLOOKUP(F3238, Inventory!A:BZ, 3, FALSE) - SUMIF($F$1:$F3237, F3238, $H$1:$H3237))
</f>
        <v/>
      </c>
      <c r="I3238" s="26"/>
      <c r="J3238" s="26" t="s">
        <v>77</v>
      </c>
      <c r="L3238" s="27" t="s">
        <v>77</v>
      </c>
      <c r="N3238" s="28" t="s">
        <v>77</v>
      </c>
      <c r="Q3238" s="30"/>
    </row>
    <row r="3239">
      <c r="B3239" s="6"/>
      <c r="C3239" s="33" t="str">
        <f t="array" ref="C3239">IF(B3239="", "", XLOOKUP(B3239, Inventory!D:D,Inventory!E:E,"No Name Found"))</f>
        <v/>
      </c>
      <c r="D3239" s="6"/>
      <c r="E3239" s="6"/>
      <c r="F3239" s="6"/>
      <c r="G3239" s="24" t="str">
        <f>IF(F3239="", "", VLOOKUP(F3239, Inventory!A:BZ, 3, FALSE) - SUMIF($F$1:$F3238, F3239, $H$1:$H3238))
</f>
        <v/>
      </c>
      <c r="I3239" s="26"/>
      <c r="J3239" s="26" t="s">
        <v>77</v>
      </c>
      <c r="L3239" s="27" t="s">
        <v>77</v>
      </c>
      <c r="N3239" s="28" t="s">
        <v>77</v>
      </c>
      <c r="Q3239" s="30"/>
    </row>
    <row r="3240">
      <c r="B3240" s="6"/>
      <c r="C3240" s="33" t="str">
        <f t="array" ref="C3240">IF(B3240="", "", XLOOKUP(B3240, Inventory!D:D,Inventory!E:E,"No Name Found"))</f>
        <v/>
      </c>
      <c r="D3240" s="6"/>
      <c r="E3240" s="6"/>
      <c r="F3240" s="6"/>
      <c r="G3240" s="24" t="str">
        <f>IF(F3240="", "", VLOOKUP(F3240, Inventory!A:BZ, 3, FALSE) - SUMIF($F$1:$F3239, F3240, $H$1:$H3239))
</f>
        <v/>
      </c>
      <c r="I3240" s="26"/>
      <c r="J3240" s="26" t="s">
        <v>77</v>
      </c>
      <c r="L3240" s="27" t="s">
        <v>77</v>
      </c>
      <c r="N3240" s="28" t="s">
        <v>77</v>
      </c>
      <c r="Q3240" s="30"/>
    </row>
    <row r="3241">
      <c r="B3241" s="6"/>
      <c r="C3241" s="33" t="str">
        <f t="array" ref="C3241">IF(B3241="", "", XLOOKUP(B3241, Inventory!D:D,Inventory!E:E,"No Name Found"))</f>
        <v/>
      </c>
      <c r="D3241" s="6"/>
      <c r="E3241" s="6"/>
      <c r="F3241" s="6"/>
      <c r="G3241" s="24" t="str">
        <f>IF(F3241="", "", VLOOKUP(F3241, Inventory!A:BZ, 3, FALSE) - SUMIF($F$1:$F3240, F3241, $H$1:$H3240))
</f>
        <v/>
      </c>
      <c r="I3241" s="26"/>
      <c r="J3241" s="26" t="s">
        <v>77</v>
      </c>
      <c r="L3241" s="27" t="s">
        <v>77</v>
      </c>
      <c r="N3241" s="28" t="s">
        <v>77</v>
      </c>
      <c r="Q3241" s="30"/>
    </row>
    <row r="3242">
      <c r="B3242" s="6"/>
      <c r="C3242" s="33" t="str">
        <f t="array" ref="C3242">IF(B3242="", "", XLOOKUP(B3242, Inventory!D:D,Inventory!E:E,"No Name Found"))</f>
        <v/>
      </c>
      <c r="D3242" s="6"/>
      <c r="E3242" s="6"/>
      <c r="F3242" s="6"/>
      <c r="G3242" s="24" t="str">
        <f>IF(F3242="", "", VLOOKUP(F3242, Inventory!A:BZ, 3, FALSE) - SUMIF($F$1:$F3241, F3242, $H$1:$H3241))
</f>
        <v/>
      </c>
      <c r="I3242" s="26"/>
      <c r="J3242" s="26" t="s">
        <v>77</v>
      </c>
      <c r="L3242" s="27" t="s">
        <v>77</v>
      </c>
      <c r="N3242" s="28" t="s">
        <v>77</v>
      </c>
      <c r="Q3242" s="30"/>
    </row>
    <row r="3243">
      <c r="B3243" s="6"/>
      <c r="C3243" s="33" t="str">
        <f t="array" ref="C3243">IF(B3243="", "", XLOOKUP(B3243, Inventory!D:D,Inventory!E:E,"No Name Found"))</f>
        <v/>
      </c>
      <c r="D3243" s="6"/>
      <c r="E3243" s="6"/>
      <c r="F3243" s="6"/>
      <c r="G3243" s="24" t="str">
        <f>IF(F3243="", "", VLOOKUP(F3243, Inventory!A:BZ, 3, FALSE) - SUMIF($F$1:$F3242, F3243, $H$1:$H3242))
</f>
        <v/>
      </c>
      <c r="I3243" s="26"/>
      <c r="J3243" s="26" t="s">
        <v>77</v>
      </c>
      <c r="L3243" s="27" t="s">
        <v>77</v>
      </c>
      <c r="N3243" s="28" t="s">
        <v>77</v>
      </c>
      <c r="Q3243" s="30"/>
    </row>
    <row r="3244">
      <c r="B3244" s="6"/>
      <c r="C3244" s="33" t="str">
        <f t="array" ref="C3244">IF(B3244="", "", XLOOKUP(B3244, Inventory!D:D,Inventory!E:E,"No Name Found"))</f>
        <v/>
      </c>
      <c r="D3244" s="6"/>
      <c r="E3244" s="6"/>
      <c r="F3244" s="6"/>
      <c r="G3244" s="24" t="str">
        <f>IF(F3244="", "", VLOOKUP(F3244, Inventory!A:BZ, 3, FALSE) - SUMIF($F$1:$F3243, F3244, $H$1:$H3243))
</f>
        <v/>
      </c>
      <c r="I3244" s="26"/>
      <c r="J3244" s="26" t="s">
        <v>77</v>
      </c>
      <c r="L3244" s="27" t="s">
        <v>77</v>
      </c>
      <c r="N3244" s="28" t="s">
        <v>77</v>
      </c>
      <c r="Q3244" s="30"/>
    </row>
    <row r="3245">
      <c r="B3245" s="6"/>
      <c r="C3245" s="33" t="str">
        <f t="array" ref="C3245">IF(B3245="", "", XLOOKUP(B3245, Inventory!D:D,Inventory!E:E,"No Name Found"))</f>
        <v/>
      </c>
      <c r="D3245" s="6"/>
      <c r="E3245" s="6"/>
      <c r="F3245" s="6"/>
      <c r="G3245" s="24" t="str">
        <f>IF(F3245="", "", VLOOKUP(F3245, Inventory!A:BZ, 3, FALSE) - SUMIF($F$1:$F3244, F3245, $H$1:$H3244))
</f>
        <v/>
      </c>
      <c r="I3245" s="26"/>
      <c r="J3245" s="26" t="s">
        <v>77</v>
      </c>
      <c r="L3245" s="27" t="s">
        <v>77</v>
      </c>
      <c r="N3245" s="28" t="s">
        <v>77</v>
      </c>
      <c r="Q3245" s="30"/>
    </row>
    <row r="3246">
      <c r="B3246" s="6"/>
      <c r="C3246" s="33" t="str">
        <f t="array" ref="C3246">IF(B3246="", "", XLOOKUP(B3246, Inventory!D:D,Inventory!E:E,"No Name Found"))</f>
        <v/>
      </c>
      <c r="D3246" s="6"/>
      <c r="E3246" s="6"/>
      <c r="F3246" s="6"/>
      <c r="G3246" s="24" t="str">
        <f>IF(F3246="", "", VLOOKUP(F3246, Inventory!A:BZ, 3, FALSE) - SUMIF($F$1:$F3245, F3246, $H$1:$H3245))
</f>
        <v/>
      </c>
      <c r="I3246" s="26"/>
      <c r="J3246" s="26" t="s">
        <v>77</v>
      </c>
      <c r="L3246" s="27" t="s">
        <v>77</v>
      </c>
      <c r="N3246" s="28" t="s">
        <v>77</v>
      </c>
      <c r="Q3246" s="30"/>
    </row>
    <row r="3247">
      <c r="B3247" s="6"/>
      <c r="C3247" s="33" t="str">
        <f t="array" ref="C3247">IF(B3247="", "", XLOOKUP(B3247, Inventory!D:D,Inventory!E:E,"No Name Found"))</f>
        <v/>
      </c>
      <c r="D3247" s="6"/>
      <c r="E3247" s="6"/>
      <c r="F3247" s="6"/>
      <c r="G3247" s="24" t="str">
        <f>IF(F3247="", "", VLOOKUP(F3247, Inventory!A:BZ, 3, FALSE) - SUMIF($F$1:$F3246, F3247, $H$1:$H3246))
</f>
        <v/>
      </c>
      <c r="I3247" s="26"/>
      <c r="J3247" s="26" t="s">
        <v>77</v>
      </c>
      <c r="L3247" s="27" t="s">
        <v>77</v>
      </c>
      <c r="N3247" s="28" t="s">
        <v>77</v>
      </c>
      <c r="Q3247" s="30"/>
    </row>
    <row r="3248">
      <c r="B3248" s="6"/>
      <c r="C3248" s="33" t="str">
        <f t="array" ref="C3248">IF(B3248="", "", XLOOKUP(B3248, Inventory!D:D,Inventory!E:E,"No Name Found"))</f>
        <v/>
      </c>
      <c r="D3248" s="6"/>
      <c r="E3248" s="6"/>
      <c r="F3248" s="6"/>
      <c r="G3248" s="24" t="str">
        <f>IF(F3248="", "", VLOOKUP(F3248, Inventory!A:BZ, 3, FALSE) - SUMIF($F$1:$F3247, F3248, $H$1:$H3247))
</f>
        <v/>
      </c>
      <c r="I3248" s="26"/>
      <c r="J3248" s="26" t="s">
        <v>77</v>
      </c>
      <c r="L3248" s="27" t="s">
        <v>77</v>
      </c>
      <c r="N3248" s="28" t="s">
        <v>77</v>
      </c>
      <c r="Q3248" s="30"/>
    </row>
    <row r="3249">
      <c r="B3249" s="6"/>
      <c r="C3249" s="33" t="str">
        <f t="array" ref="C3249">IF(B3249="", "", XLOOKUP(B3249, Inventory!D:D,Inventory!E:E,"No Name Found"))</f>
        <v/>
      </c>
      <c r="D3249" s="6"/>
      <c r="E3249" s="6"/>
      <c r="F3249" s="6"/>
      <c r="G3249" s="24" t="str">
        <f>IF(F3249="", "", VLOOKUP(F3249, Inventory!A:BZ, 3, FALSE) - SUMIF($F$1:$F3248, F3249, $H$1:$H3248))
</f>
        <v/>
      </c>
      <c r="I3249" s="26"/>
      <c r="J3249" s="26" t="s">
        <v>77</v>
      </c>
      <c r="L3249" s="27" t="s">
        <v>77</v>
      </c>
      <c r="N3249" s="28" t="s">
        <v>77</v>
      </c>
      <c r="Q3249" s="30"/>
    </row>
    <row r="3250">
      <c r="B3250" s="6"/>
      <c r="C3250" s="33" t="str">
        <f t="array" ref="C3250">IF(B3250="", "", XLOOKUP(B3250, Inventory!D:D,Inventory!E:E,"No Name Found"))</f>
        <v/>
      </c>
      <c r="D3250" s="6"/>
      <c r="E3250" s="6"/>
      <c r="F3250" s="6"/>
      <c r="G3250" s="24" t="str">
        <f>IF(F3250="", "", VLOOKUP(F3250, Inventory!A:BZ, 3, FALSE) - SUMIF($F$1:$F3249, F3250, $H$1:$H3249))
</f>
        <v/>
      </c>
      <c r="I3250" s="26"/>
      <c r="J3250" s="26" t="s">
        <v>77</v>
      </c>
      <c r="L3250" s="27" t="s">
        <v>77</v>
      </c>
      <c r="N3250" s="28" t="s">
        <v>77</v>
      </c>
      <c r="Q3250" s="30"/>
    </row>
    <row r="3251">
      <c r="B3251" s="6"/>
      <c r="C3251" s="33" t="str">
        <f t="array" ref="C3251">IF(B3251="", "", XLOOKUP(B3251, Inventory!D:D,Inventory!E:E,"No Name Found"))</f>
        <v/>
      </c>
      <c r="D3251" s="6"/>
      <c r="E3251" s="6"/>
      <c r="F3251" s="6"/>
      <c r="G3251" s="24" t="str">
        <f>IF(F3251="", "", VLOOKUP(F3251, Inventory!A:BZ, 3, FALSE) - SUMIF($F$1:$F3250, F3251, $H$1:$H3250))
</f>
        <v/>
      </c>
      <c r="I3251" s="26"/>
      <c r="J3251" s="26" t="s">
        <v>77</v>
      </c>
      <c r="L3251" s="27" t="s">
        <v>77</v>
      </c>
      <c r="N3251" s="28" t="s">
        <v>77</v>
      </c>
      <c r="Q3251" s="30"/>
    </row>
    <row r="3252">
      <c r="B3252" s="6"/>
      <c r="C3252" s="33" t="str">
        <f t="array" ref="C3252">IF(B3252="", "", XLOOKUP(B3252, Inventory!D:D,Inventory!E:E,"No Name Found"))</f>
        <v/>
      </c>
      <c r="D3252" s="6"/>
      <c r="E3252" s="6"/>
      <c r="F3252" s="6"/>
      <c r="G3252" s="24" t="str">
        <f>IF(F3252="", "", VLOOKUP(F3252, Inventory!A:BZ, 3, FALSE) - SUMIF($F$1:$F3251, F3252, $H$1:$H3251))
</f>
        <v/>
      </c>
      <c r="I3252" s="26"/>
      <c r="J3252" s="26" t="s">
        <v>77</v>
      </c>
      <c r="L3252" s="27" t="s">
        <v>77</v>
      </c>
      <c r="N3252" s="28" t="s">
        <v>77</v>
      </c>
      <c r="Q3252" s="30"/>
    </row>
    <row r="3253">
      <c r="B3253" s="6"/>
      <c r="C3253" s="33" t="str">
        <f t="array" ref="C3253">IF(B3253="", "", XLOOKUP(B3253, Inventory!D:D,Inventory!E:E,"No Name Found"))</f>
        <v/>
      </c>
      <c r="D3253" s="6"/>
      <c r="E3253" s="6"/>
      <c r="F3253" s="6"/>
      <c r="G3253" s="24" t="str">
        <f>IF(F3253="", "", VLOOKUP(F3253, Inventory!A:BZ, 3, FALSE) - SUMIF($F$1:$F3252, F3253, $H$1:$H3252))
</f>
        <v/>
      </c>
      <c r="I3253" s="26"/>
      <c r="J3253" s="26" t="s">
        <v>77</v>
      </c>
      <c r="L3253" s="27" t="s">
        <v>77</v>
      </c>
      <c r="N3253" s="28" t="s">
        <v>77</v>
      </c>
      <c r="Q3253" s="30"/>
    </row>
    <row r="3254">
      <c r="B3254" s="6"/>
      <c r="C3254" s="33" t="str">
        <f t="array" ref="C3254">IF(B3254="", "", XLOOKUP(B3254, Inventory!D:D,Inventory!E:E,"No Name Found"))</f>
        <v/>
      </c>
      <c r="D3254" s="6"/>
      <c r="E3254" s="6"/>
      <c r="F3254" s="6"/>
      <c r="G3254" s="24" t="str">
        <f>IF(F3254="", "", VLOOKUP(F3254, Inventory!A:BZ, 3, FALSE) - SUMIF($F$1:$F3253, F3254, $H$1:$H3253))
</f>
        <v/>
      </c>
      <c r="I3254" s="26"/>
      <c r="J3254" s="26" t="s">
        <v>77</v>
      </c>
      <c r="L3254" s="27" t="s">
        <v>77</v>
      </c>
      <c r="N3254" s="28" t="s">
        <v>77</v>
      </c>
      <c r="Q3254" s="30"/>
    </row>
    <row r="3255">
      <c r="B3255" s="6"/>
      <c r="C3255" s="33" t="str">
        <f t="array" ref="C3255">IF(B3255="", "", XLOOKUP(B3255, Inventory!D:D,Inventory!E:E,"No Name Found"))</f>
        <v/>
      </c>
      <c r="D3255" s="6"/>
      <c r="E3255" s="6"/>
      <c r="F3255" s="6"/>
      <c r="G3255" s="24" t="str">
        <f>IF(F3255="", "", VLOOKUP(F3255, Inventory!A:BZ, 3, FALSE) - SUMIF($F$1:$F3254, F3255, $H$1:$H3254))
</f>
        <v/>
      </c>
      <c r="I3255" s="26"/>
      <c r="J3255" s="26" t="s">
        <v>77</v>
      </c>
      <c r="L3255" s="27" t="s">
        <v>77</v>
      </c>
      <c r="N3255" s="28" t="s">
        <v>77</v>
      </c>
      <c r="Q3255" s="30"/>
    </row>
    <row r="3256">
      <c r="B3256" s="6"/>
      <c r="C3256" s="33" t="str">
        <f t="array" ref="C3256">IF(B3256="", "", XLOOKUP(B3256, Inventory!D:D,Inventory!E:E,"No Name Found"))</f>
        <v/>
      </c>
      <c r="D3256" s="6"/>
      <c r="E3256" s="6"/>
      <c r="F3256" s="6"/>
      <c r="G3256" s="24" t="str">
        <f>IF(F3256="", "", VLOOKUP(F3256, Inventory!A:BZ, 3, FALSE) - SUMIF($F$1:$F3255, F3256, $H$1:$H3255))
</f>
        <v/>
      </c>
      <c r="I3256" s="26"/>
      <c r="J3256" s="26" t="s">
        <v>77</v>
      </c>
      <c r="L3256" s="27" t="s">
        <v>77</v>
      </c>
      <c r="N3256" s="28" t="s">
        <v>77</v>
      </c>
      <c r="Q3256" s="30"/>
    </row>
    <row r="3257">
      <c r="B3257" s="6"/>
      <c r="C3257" s="33" t="str">
        <f t="array" ref="C3257">IF(B3257="", "", XLOOKUP(B3257, Inventory!D:D,Inventory!E:E,"No Name Found"))</f>
        <v/>
      </c>
      <c r="D3257" s="6"/>
      <c r="E3257" s="6"/>
      <c r="F3257" s="6"/>
      <c r="G3257" s="24" t="str">
        <f>IF(F3257="", "", VLOOKUP(F3257, Inventory!A:BZ, 3, FALSE) - SUMIF($F$1:$F3256, F3257, $H$1:$H3256))
</f>
        <v/>
      </c>
      <c r="I3257" s="26"/>
      <c r="J3257" s="26" t="s">
        <v>77</v>
      </c>
      <c r="L3257" s="27" t="s">
        <v>77</v>
      </c>
      <c r="N3257" s="28" t="s">
        <v>77</v>
      </c>
      <c r="Q3257" s="30"/>
    </row>
    <row r="3258">
      <c r="B3258" s="6"/>
      <c r="C3258" s="33" t="str">
        <f t="array" ref="C3258">IF(B3258="", "", XLOOKUP(B3258, Inventory!D:D,Inventory!E:E,"No Name Found"))</f>
        <v/>
      </c>
      <c r="D3258" s="6"/>
      <c r="E3258" s="6"/>
      <c r="F3258" s="6"/>
      <c r="G3258" s="24" t="str">
        <f>IF(F3258="", "", VLOOKUP(F3258, Inventory!A:BZ, 3, FALSE) - SUMIF($F$1:$F3257, F3258, $H$1:$H3257))
</f>
        <v/>
      </c>
      <c r="I3258" s="26"/>
      <c r="J3258" s="26" t="s">
        <v>77</v>
      </c>
      <c r="L3258" s="27" t="s">
        <v>77</v>
      </c>
      <c r="N3258" s="28" t="s">
        <v>77</v>
      </c>
      <c r="Q3258" s="30"/>
    </row>
    <row r="3259">
      <c r="B3259" s="6"/>
      <c r="C3259" s="33" t="str">
        <f t="array" ref="C3259">IF(B3259="", "", XLOOKUP(B3259, Inventory!D:D,Inventory!E:E,"No Name Found"))</f>
        <v/>
      </c>
      <c r="D3259" s="6"/>
      <c r="E3259" s="6"/>
      <c r="F3259" s="6"/>
      <c r="G3259" s="24" t="str">
        <f>IF(F3259="", "", VLOOKUP(F3259, Inventory!A:BZ, 3, FALSE) - SUMIF($F$1:$F3258, F3259, $H$1:$H3258))
</f>
        <v/>
      </c>
      <c r="I3259" s="26"/>
      <c r="J3259" s="26" t="s">
        <v>77</v>
      </c>
      <c r="L3259" s="27" t="s">
        <v>77</v>
      </c>
      <c r="N3259" s="28" t="s">
        <v>77</v>
      </c>
      <c r="Q3259" s="30"/>
    </row>
    <row r="3260">
      <c r="B3260" s="6"/>
      <c r="C3260" s="33" t="str">
        <f t="array" ref="C3260">IF(B3260="", "", XLOOKUP(B3260, Inventory!D:D,Inventory!E:E,"No Name Found"))</f>
        <v/>
      </c>
      <c r="D3260" s="6"/>
      <c r="E3260" s="6"/>
      <c r="F3260" s="6"/>
      <c r="G3260" s="24" t="str">
        <f>IF(F3260="", "", VLOOKUP(F3260, Inventory!A:BZ, 3, FALSE) - SUMIF($F$1:$F3259, F3260, $H$1:$H3259))
</f>
        <v/>
      </c>
      <c r="I3260" s="26"/>
      <c r="J3260" s="26" t="s">
        <v>77</v>
      </c>
      <c r="L3260" s="27" t="s">
        <v>77</v>
      </c>
      <c r="N3260" s="28" t="s">
        <v>77</v>
      </c>
      <c r="Q3260" s="30"/>
    </row>
    <row r="3261">
      <c r="B3261" s="6"/>
      <c r="C3261" s="33" t="str">
        <f t="array" ref="C3261">IF(B3261="", "", XLOOKUP(B3261, Inventory!D:D,Inventory!E:E,"No Name Found"))</f>
        <v/>
      </c>
      <c r="D3261" s="6"/>
      <c r="E3261" s="6"/>
      <c r="F3261" s="6"/>
      <c r="G3261" s="24" t="str">
        <f>IF(F3261="", "", VLOOKUP(F3261, Inventory!A:BZ, 3, FALSE) - SUMIF($F$1:$F3260, F3261, $H$1:$H3260))
</f>
        <v/>
      </c>
      <c r="I3261" s="26"/>
      <c r="J3261" s="26" t="s">
        <v>77</v>
      </c>
      <c r="L3261" s="27" t="s">
        <v>77</v>
      </c>
      <c r="N3261" s="28" t="s">
        <v>77</v>
      </c>
      <c r="Q3261" s="30"/>
    </row>
    <row r="3262">
      <c r="B3262" s="6"/>
      <c r="C3262" s="33" t="str">
        <f t="array" ref="C3262">IF(B3262="", "", XLOOKUP(B3262, Inventory!D:D,Inventory!E:E,"No Name Found"))</f>
        <v/>
      </c>
      <c r="D3262" s="6"/>
      <c r="E3262" s="6"/>
      <c r="F3262" s="6"/>
      <c r="G3262" s="24" t="str">
        <f>IF(F3262="", "", VLOOKUP(F3262, Inventory!A:BZ, 3, FALSE) - SUMIF($F$1:$F3261, F3262, $H$1:$H3261))
</f>
        <v/>
      </c>
      <c r="I3262" s="26"/>
      <c r="J3262" s="26" t="s">
        <v>77</v>
      </c>
      <c r="L3262" s="27" t="s">
        <v>77</v>
      </c>
      <c r="N3262" s="28" t="s">
        <v>77</v>
      </c>
      <c r="Q3262" s="30"/>
    </row>
    <row r="3263">
      <c r="B3263" s="6"/>
      <c r="C3263" s="33" t="str">
        <f t="array" ref="C3263">IF(B3263="", "", XLOOKUP(B3263, Inventory!D:D,Inventory!E:E,"No Name Found"))</f>
        <v/>
      </c>
      <c r="D3263" s="6"/>
      <c r="E3263" s="6"/>
      <c r="F3263" s="6"/>
      <c r="G3263" s="24" t="str">
        <f>IF(F3263="", "", VLOOKUP(F3263, Inventory!A:BZ, 3, FALSE) - SUMIF($F$1:$F3262, F3263, $H$1:$H3262))
</f>
        <v/>
      </c>
      <c r="I3263" s="26"/>
      <c r="J3263" s="26" t="s">
        <v>77</v>
      </c>
      <c r="L3263" s="27" t="s">
        <v>77</v>
      </c>
      <c r="N3263" s="28" t="s">
        <v>77</v>
      </c>
      <c r="Q3263" s="30"/>
    </row>
    <row r="3264">
      <c r="B3264" s="6"/>
      <c r="C3264" s="33" t="str">
        <f t="array" ref="C3264">IF(B3264="", "", XLOOKUP(B3264, Inventory!D:D,Inventory!E:E,"No Name Found"))</f>
        <v/>
      </c>
      <c r="D3264" s="6"/>
      <c r="E3264" s="6"/>
      <c r="F3264" s="6"/>
      <c r="G3264" s="24" t="str">
        <f>IF(F3264="", "", VLOOKUP(F3264, Inventory!A:BZ, 3, FALSE) - SUMIF($F$1:$F3263, F3264, $H$1:$H3263))
</f>
        <v/>
      </c>
      <c r="I3264" s="26"/>
      <c r="J3264" s="26" t="s">
        <v>77</v>
      </c>
      <c r="L3264" s="27" t="s">
        <v>77</v>
      </c>
      <c r="N3264" s="28" t="s">
        <v>77</v>
      </c>
      <c r="Q3264" s="30"/>
    </row>
    <row r="3265">
      <c r="B3265" s="6"/>
      <c r="C3265" s="33" t="str">
        <f t="array" ref="C3265">IF(B3265="", "", XLOOKUP(B3265, Inventory!D:D,Inventory!E:E,"No Name Found"))</f>
        <v/>
      </c>
      <c r="D3265" s="6"/>
      <c r="E3265" s="6"/>
      <c r="F3265" s="6"/>
      <c r="G3265" s="24" t="str">
        <f>IF(F3265="", "", VLOOKUP(F3265, Inventory!A:BZ, 3, FALSE) - SUMIF($F$1:$F3264, F3265, $H$1:$H3264))
</f>
        <v/>
      </c>
      <c r="I3265" s="26"/>
      <c r="J3265" s="26" t="s">
        <v>77</v>
      </c>
      <c r="L3265" s="27" t="s">
        <v>77</v>
      </c>
      <c r="N3265" s="28" t="s">
        <v>77</v>
      </c>
      <c r="Q3265" s="30"/>
    </row>
    <row r="3266">
      <c r="B3266" s="6"/>
      <c r="C3266" s="33" t="str">
        <f t="array" ref="C3266">IF(B3266="", "", XLOOKUP(B3266, Inventory!D:D,Inventory!E:E,"No Name Found"))</f>
        <v/>
      </c>
      <c r="D3266" s="6"/>
      <c r="E3266" s="6"/>
      <c r="F3266" s="6"/>
      <c r="G3266" s="24" t="str">
        <f>IF(F3266="", "", VLOOKUP(F3266, Inventory!A:BZ, 3, FALSE) - SUMIF($F$1:$F3265, F3266, $H$1:$H3265))
</f>
        <v/>
      </c>
      <c r="I3266" s="26"/>
      <c r="J3266" s="26" t="s">
        <v>77</v>
      </c>
      <c r="L3266" s="27" t="s">
        <v>77</v>
      </c>
      <c r="N3266" s="28" t="s">
        <v>77</v>
      </c>
      <c r="Q3266" s="30"/>
    </row>
    <row r="3267">
      <c r="B3267" s="6"/>
      <c r="C3267" s="33" t="str">
        <f t="array" ref="C3267">IF(B3267="", "", XLOOKUP(B3267, Inventory!D:D,Inventory!E:E,"No Name Found"))</f>
        <v/>
      </c>
      <c r="D3267" s="6"/>
      <c r="E3267" s="6"/>
      <c r="F3267" s="6"/>
      <c r="G3267" s="24" t="str">
        <f>IF(F3267="", "", VLOOKUP(F3267, Inventory!A:BZ, 3, FALSE) - SUMIF($F$1:$F3266, F3267, $H$1:$H3266))
</f>
        <v/>
      </c>
      <c r="I3267" s="26"/>
      <c r="J3267" s="26" t="s">
        <v>77</v>
      </c>
      <c r="L3267" s="27" t="s">
        <v>77</v>
      </c>
      <c r="N3267" s="28" t="s">
        <v>77</v>
      </c>
      <c r="Q3267" s="30"/>
    </row>
    <row r="3268">
      <c r="B3268" s="6"/>
      <c r="C3268" s="33" t="str">
        <f t="array" ref="C3268">IF(B3268="", "", XLOOKUP(B3268, Inventory!D:D,Inventory!E:E,"No Name Found"))</f>
        <v/>
      </c>
      <c r="D3268" s="6"/>
      <c r="E3268" s="6"/>
      <c r="F3268" s="6"/>
      <c r="G3268" s="24" t="str">
        <f>IF(F3268="", "", VLOOKUP(F3268, Inventory!A:BZ, 3, FALSE) - SUMIF($F$1:$F3267, F3268, $H$1:$H3267))
</f>
        <v/>
      </c>
      <c r="I3268" s="26"/>
      <c r="J3268" s="26" t="s">
        <v>77</v>
      </c>
      <c r="L3268" s="27" t="s">
        <v>77</v>
      </c>
      <c r="N3268" s="28" t="s">
        <v>77</v>
      </c>
      <c r="Q3268" s="30"/>
    </row>
    <row r="3269">
      <c r="B3269" s="6"/>
      <c r="C3269" s="33" t="str">
        <f t="array" ref="C3269">IF(B3269="", "", XLOOKUP(B3269, Inventory!D:D,Inventory!E:E,"No Name Found"))</f>
        <v/>
      </c>
      <c r="D3269" s="6"/>
      <c r="E3269" s="6"/>
      <c r="F3269" s="6"/>
      <c r="G3269" s="24" t="str">
        <f>IF(F3269="", "", VLOOKUP(F3269, Inventory!A:BZ, 3, FALSE) - SUMIF($F$1:$F3268, F3269, $H$1:$H3268))
</f>
        <v/>
      </c>
      <c r="I3269" s="26"/>
      <c r="J3269" s="26" t="s">
        <v>77</v>
      </c>
      <c r="L3269" s="27" t="s">
        <v>77</v>
      </c>
      <c r="N3269" s="28" t="s">
        <v>77</v>
      </c>
      <c r="Q3269" s="30"/>
    </row>
    <row r="3270">
      <c r="B3270" s="6"/>
      <c r="C3270" s="33" t="str">
        <f t="array" ref="C3270">IF(B3270="", "", XLOOKUP(B3270, Inventory!D:D,Inventory!E:E,"No Name Found"))</f>
        <v/>
      </c>
      <c r="D3270" s="6"/>
      <c r="E3270" s="6"/>
      <c r="F3270" s="6"/>
      <c r="G3270" s="24" t="str">
        <f>IF(F3270="", "", VLOOKUP(F3270, Inventory!A:BZ, 3, FALSE) - SUMIF($F$1:$F3269, F3270, $H$1:$H3269))
</f>
        <v/>
      </c>
      <c r="I3270" s="26"/>
      <c r="J3270" s="26" t="s">
        <v>77</v>
      </c>
      <c r="L3270" s="27" t="s">
        <v>77</v>
      </c>
      <c r="N3270" s="28" t="s">
        <v>77</v>
      </c>
      <c r="Q3270" s="30"/>
    </row>
    <row r="3271">
      <c r="B3271" s="6"/>
      <c r="C3271" s="33" t="str">
        <f t="array" ref="C3271">IF(B3271="", "", XLOOKUP(B3271, Inventory!D:D,Inventory!E:E,"No Name Found"))</f>
        <v/>
      </c>
      <c r="D3271" s="6"/>
      <c r="E3271" s="6"/>
      <c r="F3271" s="6"/>
      <c r="G3271" s="24" t="str">
        <f>IF(F3271="", "", VLOOKUP(F3271, Inventory!A:BZ, 3, FALSE) - SUMIF($F$1:$F3270, F3271, $H$1:$H3270))
</f>
        <v/>
      </c>
      <c r="I3271" s="26"/>
      <c r="J3271" s="26" t="s">
        <v>77</v>
      </c>
      <c r="L3271" s="27" t="s">
        <v>77</v>
      </c>
      <c r="N3271" s="28" t="s">
        <v>77</v>
      </c>
      <c r="Q3271" s="30"/>
    </row>
    <row r="3272">
      <c r="B3272" s="6"/>
      <c r="C3272" s="33" t="str">
        <f t="array" ref="C3272">IF(B3272="", "", XLOOKUP(B3272, Inventory!D:D,Inventory!E:E,"No Name Found"))</f>
        <v/>
      </c>
      <c r="D3272" s="6"/>
      <c r="E3272" s="6"/>
      <c r="F3272" s="6"/>
      <c r="G3272" s="24" t="str">
        <f>IF(F3272="", "", VLOOKUP(F3272, Inventory!A:BZ, 3, FALSE) - SUMIF($F$1:$F3271, F3272, $H$1:$H3271))
</f>
        <v/>
      </c>
      <c r="I3272" s="26"/>
      <c r="J3272" s="26" t="s">
        <v>77</v>
      </c>
      <c r="L3272" s="27" t="s">
        <v>77</v>
      </c>
      <c r="N3272" s="28" t="s">
        <v>77</v>
      </c>
      <c r="Q3272" s="30"/>
    </row>
    <row r="3273">
      <c r="B3273" s="6"/>
      <c r="C3273" s="33" t="str">
        <f t="array" ref="C3273">IF(B3273="", "", XLOOKUP(B3273, Inventory!D:D,Inventory!E:E,"No Name Found"))</f>
        <v/>
      </c>
      <c r="D3273" s="6"/>
      <c r="E3273" s="6"/>
      <c r="F3273" s="6"/>
      <c r="G3273" s="24" t="str">
        <f>IF(F3273="", "", VLOOKUP(F3273, Inventory!A:BZ, 3, FALSE) - SUMIF($F$1:$F3272, F3273, $H$1:$H3272))
</f>
        <v/>
      </c>
      <c r="I3273" s="26"/>
      <c r="J3273" s="26" t="s">
        <v>77</v>
      </c>
      <c r="L3273" s="27" t="s">
        <v>77</v>
      </c>
      <c r="N3273" s="28" t="s">
        <v>77</v>
      </c>
      <c r="Q3273" s="30"/>
    </row>
    <row r="3274">
      <c r="B3274" s="6"/>
      <c r="C3274" s="33" t="str">
        <f t="array" ref="C3274">IF(B3274="", "", XLOOKUP(B3274, Inventory!D:D,Inventory!E:E,"No Name Found"))</f>
        <v/>
      </c>
      <c r="D3274" s="6"/>
      <c r="E3274" s="6"/>
      <c r="F3274" s="6"/>
      <c r="G3274" s="24" t="str">
        <f>IF(F3274="", "", VLOOKUP(F3274, Inventory!A:BZ, 3, FALSE) - SUMIF($F$1:$F3273, F3274, $H$1:$H3273))
</f>
        <v/>
      </c>
      <c r="I3274" s="26"/>
      <c r="J3274" s="26" t="s">
        <v>77</v>
      </c>
      <c r="L3274" s="27" t="s">
        <v>77</v>
      </c>
      <c r="N3274" s="28" t="s">
        <v>77</v>
      </c>
      <c r="Q3274" s="30"/>
    </row>
    <row r="3275">
      <c r="B3275" s="6"/>
      <c r="C3275" s="33" t="str">
        <f t="array" ref="C3275">IF(B3275="", "", XLOOKUP(B3275, Inventory!D:D,Inventory!E:E,"No Name Found"))</f>
        <v/>
      </c>
      <c r="D3275" s="6"/>
      <c r="E3275" s="6"/>
      <c r="F3275" s="6"/>
      <c r="G3275" s="24" t="str">
        <f>IF(F3275="", "", VLOOKUP(F3275, Inventory!A:BZ, 3, FALSE) - SUMIF($F$1:$F3274, F3275, $H$1:$H3274))
</f>
        <v/>
      </c>
      <c r="I3275" s="26"/>
      <c r="J3275" s="26" t="s">
        <v>77</v>
      </c>
      <c r="L3275" s="27" t="s">
        <v>77</v>
      </c>
      <c r="N3275" s="28" t="s">
        <v>77</v>
      </c>
      <c r="Q3275" s="30"/>
    </row>
    <row r="3276">
      <c r="B3276" s="6"/>
      <c r="C3276" s="33" t="str">
        <f t="array" ref="C3276">IF(B3276="", "", XLOOKUP(B3276, Inventory!D:D,Inventory!E:E,"No Name Found"))</f>
        <v/>
      </c>
      <c r="D3276" s="6"/>
      <c r="E3276" s="6"/>
      <c r="F3276" s="6"/>
      <c r="G3276" s="24" t="str">
        <f>IF(F3276="", "", VLOOKUP(F3276, Inventory!A:BZ, 3, FALSE) - SUMIF($F$1:$F3275, F3276, $H$1:$H3275))
</f>
        <v/>
      </c>
      <c r="I3276" s="26"/>
      <c r="J3276" s="26" t="s">
        <v>77</v>
      </c>
      <c r="L3276" s="27" t="s">
        <v>77</v>
      </c>
      <c r="N3276" s="28" t="s">
        <v>77</v>
      </c>
      <c r="Q3276" s="30"/>
    </row>
    <row r="3277">
      <c r="B3277" s="6"/>
      <c r="C3277" s="33" t="str">
        <f t="array" ref="C3277">IF(B3277="", "", XLOOKUP(B3277, Inventory!D:D,Inventory!E:E,"No Name Found"))</f>
        <v/>
      </c>
      <c r="D3277" s="6"/>
      <c r="E3277" s="6"/>
      <c r="F3277" s="6"/>
      <c r="G3277" s="24" t="str">
        <f>IF(F3277="", "", VLOOKUP(F3277, Inventory!A:BZ, 3, FALSE) - SUMIF($F$1:$F3276, F3277, $H$1:$H3276))
</f>
        <v/>
      </c>
      <c r="I3277" s="26"/>
      <c r="J3277" s="26" t="s">
        <v>77</v>
      </c>
      <c r="L3277" s="27" t="s">
        <v>77</v>
      </c>
      <c r="N3277" s="28" t="s">
        <v>77</v>
      </c>
      <c r="Q3277" s="30"/>
    </row>
    <row r="3278">
      <c r="B3278" s="6"/>
      <c r="C3278" s="33" t="str">
        <f t="array" ref="C3278">IF(B3278="", "", XLOOKUP(B3278, Inventory!D:D,Inventory!E:E,"No Name Found"))</f>
        <v/>
      </c>
      <c r="D3278" s="6"/>
      <c r="E3278" s="6"/>
      <c r="F3278" s="6"/>
      <c r="G3278" s="24" t="str">
        <f>IF(F3278="", "", VLOOKUP(F3278, Inventory!A:BZ, 3, FALSE) - SUMIF($F$1:$F3277, F3278, $H$1:$H3277))
</f>
        <v/>
      </c>
      <c r="I3278" s="26"/>
      <c r="J3278" s="26" t="s">
        <v>77</v>
      </c>
      <c r="L3278" s="27" t="s">
        <v>77</v>
      </c>
      <c r="N3278" s="28" t="s">
        <v>77</v>
      </c>
      <c r="Q3278" s="30"/>
    </row>
    <row r="3279">
      <c r="B3279" s="6"/>
      <c r="C3279" s="33" t="str">
        <f t="array" ref="C3279">IF(B3279="", "", XLOOKUP(B3279, Inventory!D:D,Inventory!E:E,"No Name Found"))</f>
        <v/>
      </c>
      <c r="D3279" s="6"/>
      <c r="E3279" s="6"/>
      <c r="F3279" s="6"/>
      <c r="G3279" s="24" t="str">
        <f>IF(F3279="", "", VLOOKUP(F3279, Inventory!A:BZ, 3, FALSE) - SUMIF($F$1:$F3278, F3279, $H$1:$H3278))
</f>
        <v/>
      </c>
      <c r="I3279" s="26"/>
      <c r="J3279" s="26" t="s">
        <v>77</v>
      </c>
      <c r="L3279" s="27" t="s">
        <v>77</v>
      </c>
      <c r="N3279" s="28" t="s">
        <v>77</v>
      </c>
      <c r="Q3279" s="30"/>
    </row>
    <row r="3280">
      <c r="B3280" s="6"/>
      <c r="C3280" s="33" t="str">
        <f t="array" ref="C3280">IF(B3280="", "", XLOOKUP(B3280, Inventory!D:D,Inventory!E:E,"No Name Found"))</f>
        <v/>
      </c>
      <c r="D3280" s="6"/>
      <c r="E3280" s="6"/>
      <c r="F3280" s="6"/>
      <c r="G3280" s="24" t="str">
        <f>IF(F3280="", "", VLOOKUP(F3280, Inventory!A:BZ, 3, FALSE) - SUMIF($F$1:$F3279, F3280, $H$1:$H3279))
</f>
        <v/>
      </c>
      <c r="I3280" s="26"/>
      <c r="J3280" s="26" t="s">
        <v>77</v>
      </c>
      <c r="L3280" s="27" t="s">
        <v>77</v>
      </c>
      <c r="N3280" s="28" t="s">
        <v>77</v>
      </c>
      <c r="Q3280" s="30"/>
    </row>
    <row r="3281">
      <c r="B3281" s="6"/>
      <c r="C3281" s="33" t="str">
        <f t="array" ref="C3281">IF(B3281="", "", XLOOKUP(B3281, Inventory!D:D,Inventory!E:E,"No Name Found"))</f>
        <v/>
      </c>
      <c r="D3281" s="6"/>
      <c r="E3281" s="6"/>
      <c r="F3281" s="6"/>
      <c r="G3281" s="24" t="str">
        <f>IF(F3281="", "", VLOOKUP(F3281, Inventory!A:BZ, 3, FALSE) - SUMIF($F$1:$F3280, F3281, $H$1:$H3280))
</f>
        <v/>
      </c>
      <c r="I3281" s="26"/>
      <c r="J3281" s="26" t="s">
        <v>77</v>
      </c>
      <c r="L3281" s="27" t="s">
        <v>77</v>
      </c>
      <c r="N3281" s="28" t="s">
        <v>77</v>
      </c>
      <c r="Q3281" s="30"/>
    </row>
    <row r="3282">
      <c r="B3282" s="6"/>
      <c r="C3282" s="33" t="str">
        <f t="array" ref="C3282">IF(B3282="", "", XLOOKUP(B3282, Inventory!D:D,Inventory!E:E,"No Name Found"))</f>
        <v/>
      </c>
      <c r="D3282" s="6"/>
      <c r="E3282" s="6"/>
      <c r="F3282" s="6"/>
      <c r="G3282" s="24" t="str">
        <f>IF(F3282="", "", VLOOKUP(F3282, Inventory!A:BZ, 3, FALSE) - SUMIF($F$1:$F3281, F3282, $H$1:$H3281))
</f>
        <v/>
      </c>
      <c r="I3282" s="26"/>
      <c r="J3282" s="26" t="s">
        <v>77</v>
      </c>
      <c r="L3282" s="27" t="s">
        <v>77</v>
      </c>
      <c r="N3282" s="28" t="s">
        <v>77</v>
      </c>
      <c r="Q3282" s="30"/>
    </row>
    <row r="3283">
      <c r="B3283" s="6"/>
      <c r="C3283" s="33" t="str">
        <f t="array" ref="C3283">IF(B3283="", "", XLOOKUP(B3283, Inventory!D:D,Inventory!E:E,"No Name Found"))</f>
        <v/>
      </c>
      <c r="D3283" s="6"/>
      <c r="E3283" s="6"/>
      <c r="F3283" s="6"/>
      <c r="G3283" s="24" t="str">
        <f>IF(F3283="", "", VLOOKUP(F3283, Inventory!A:BZ, 3, FALSE) - SUMIF($F$1:$F3282, F3283, $H$1:$H3282))
</f>
        <v/>
      </c>
      <c r="I3283" s="26"/>
      <c r="J3283" s="26" t="s">
        <v>77</v>
      </c>
      <c r="L3283" s="27" t="s">
        <v>77</v>
      </c>
      <c r="N3283" s="28" t="s">
        <v>77</v>
      </c>
      <c r="Q3283" s="30"/>
    </row>
    <row r="3284">
      <c r="B3284" s="6"/>
      <c r="C3284" s="33" t="str">
        <f t="array" ref="C3284">IF(B3284="", "", XLOOKUP(B3284, Inventory!D:D,Inventory!E:E,"No Name Found"))</f>
        <v/>
      </c>
      <c r="D3284" s="6"/>
      <c r="E3284" s="6"/>
      <c r="F3284" s="6"/>
      <c r="G3284" s="24" t="str">
        <f>IF(F3284="", "", VLOOKUP(F3284, Inventory!A:BZ, 3, FALSE) - SUMIF($F$1:$F3283, F3284, $H$1:$H3283))
</f>
        <v/>
      </c>
      <c r="I3284" s="26"/>
      <c r="J3284" s="26" t="s">
        <v>77</v>
      </c>
      <c r="L3284" s="27" t="s">
        <v>77</v>
      </c>
      <c r="N3284" s="28" t="s">
        <v>77</v>
      </c>
      <c r="Q3284" s="30"/>
    </row>
    <row r="3285">
      <c r="B3285" s="6"/>
      <c r="C3285" s="33" t="str">
        <f t="array" ref="C3285">IF(B3285="", "", XLOOKUP(B3285, Inventory!D:D,Inventory!E:E,"No Name Found"))</f>
        <v/>
      </c>
      <c r="D3285" s="6"/>
      <c r="E3285" s="6"/>
      <c r="F3285" s="6"/>
      <c r="G3285" s="24" t="str">
        <f>IF(F3285="", "", VLOOKUP(F3285, Inventory!A:BZ, 3, FALSE) - SUMIF($F$1:$F3284, F3285, $H$1:$H3284))
</f>
        <v/>
      </c>
      <c r="I3285" s="26"/>
      <c r="J3285" s="26" t="s">
        <v>77</v>
      </c>
      <c r="L3285" s="27" t="s">
        <v>77</v>
      </c>
      <c r="N3285" s="28" t="s">
        <v>77</v>
      </c>
      <c r="Q3285" s="30"/>
    </row>
    <row r="3286">
      <c r="B3286" s="6"/>
      <c r="C3286" s="33" t="str">
        <f t="array" ref="C3286">IF(B3286="", "", XLOOKUP(B3286, Inventory!D:D,Inventory!E:E,"No Name Found"))</f>
        <v/>
      </c>
      <c r="D3286" s="6"/>
      <c r="E3286" s="6"/>
      <c r="F3286" s="6"/>
      <c r="G3286" s="24" t="str">
        <f>IF(F3286="", "", VLOOKUP(F3286, Inventory!A:BZ, 3, FALSE) - SUMIF($F$1:$F3285, F3286, $H$1:$H3285))
</f>
        <v/>
      </c>
      <c r="I3286" s="26"/>
      <c r="J3286" s="26" t="s">
        <v>77</v>
      </c>
      <c r="L3286" s="27" t="s">
        <v>77</v>
      </c>
      <c r="N3286" s="28" t="s">
        <v>77</v>
      </c>
      <c r="Q3286" s="30"/>
    </row>
    <row r="3287">
      <c r="B3287" s="6"/>
      <c r="C3287" s="33" t="str">
        <f t="array" ref="C3287">IF(B3287="", "", XLOOKUP(B3287, Inventory!D:D,Inventory!E:E,"No Name Found"))</f>
        <v/>
      </c>
      <c r="D3287" s="6"/>
      <c r="E3287" s="6"/>
      <c r="F3287" s="6"/>
      <c r="G3287" s="24" t="str">
        <f>IF(F3287="", "", VLOOKUP(F3287, Inventory!A:BZ, 3, FALSE) - SUMIF($F$1:$F3286, F3287, $H$1:$H3286))
</f>
        <v/>
      </c>
      <c r="I3287" s="26"/>
      <c r="J3287" s="26" t="s">
        <v>77</v>
      </c>
      <c r="L3287" s="27" t="s">
        <v>77</v>
      </c>
      <c r="N3287" s="28" t="s">
        <v>77</v>
      </c>
      <c r="Q3287" s="30"/>
    </row>
    <row r="3288">
      <c r="B3288" s="6"/>
      <c r="C3288" s="33" t="str">
        <f t="array" ref="C3288">IF(B3288="", "", XLOOKUP(B3288, Inventory!D:D,Inventory!E:E,"No Name Found"))</f>
        <v/>
      </c>
      <c r="D3288" s="6"/>
      <c r="E3288" s="6"/>
      <c r="F3288" s="6"/>
      <c r="G3288" s="24" t="str">
        <f>IF(F3288="", "", VLOOKUP(F3288, Inventory!A:BZ, 3, FALSE) - SUMIF($F$1:$F3287, F3288, $H$1:$H3287))
</f>
        <v/>
      </c>
      <c r="I3288" s="26"/>
      <c r="J3288" s="26" t="s">
        <v>77</v>
      </c>
      <c r="L3288" s="27" t="s">
        <v>77</v>
      </c>
      <c r="N3288" s="28" t="s">
        <v>77</v>
      </c>
      <c r="Q3288" s="30"/>
    </row>
    <row r="3289">
      <c r="B3289" s="6"/>
      <c r="C3289" s="33" t="str">
        <f t="array" ref="C3289">IF(B3289="", "", XLOOKUP(B3289, Inventory!D:D,Inventory!E:E,"No Name Found"))</f>
        <v/>
      </c>
      <c r="D3289" s="6"/>
      <c r="E3289" s="6"/>
      <c r="F3289" s="6"/>
      <c r="G3289" s="24" t="str">
        <f>IF(F3289="", "", VLOOKUP(F3289, Inventory!A:BZ, 3, FALSE) - SUMIF($F$1:$F3288, F3289, $H$1:$H3288))
</f>
        <v/>
      </c>
      <c r="I3289" s="26"/>
      <c r="J3289" s="26" t="s">
        <v>77</v>
      </c>
      <c r="L3289" s="27" t="s">
        <v>77</v>
      </c>
      <c r="N3289" s="28" t="s">
        <v>77</v>
      </c>
      <c r="Q3289" s="30"/>
    </row>
    <row r="3290">
      <c r="B3290" s="6"/>
      <c r="C3290" s="33" t="str">
        <f t="array" ref="C3290">IF(B3290="", "", XLOOKUP(B3290, Inventory!D:D,Inventory!E:E,"No Name Found"))</f>
        <v/>
      </c>
      <c r="D3290" s="6"/>
      <c r="E3290" s="6"/>
      <c r="F3290" s="6"/>
      <c r="G3290" s="24" t="str">
        <f>IF(F3290="", "", VLOOKUP(F3290, Inventory!A:BZ, 3, FALSE) - SUMIF($F$1:$F3289, F3290, $H$1:$H3289))
</f>
        <v/>
      </c>
      <c r="I3290" s="26"/>
      <c r="J3290" s="26" t="s">
        <v>77</v>
      </c>
      <c r="L3290" s="27" t="s">
        <v>77</v>
      </c>
      <c r="N3290" s="28" t="s">
        <v>77</v>
      </c>
      <c r="Q3290" s="30"/>
    </row>
    <row r="3291">
      <c r="B3291" s="6"/>
      <c r="C3291" s="33" t="str">
        <f t="array" ref="C3291">IF(B3291="", "", XLOOKUP(B3291, Inventory!D:D,Inventory!E:E,"No Name Found"))</f>
        <v/>
      </c>
      <c r="D3291" s="6"/>
      <c r="E3291" s="6"/>
      <c r="F3291" s="6"/>
      <c r="G3291" s="24" t="str">
        <f>IF(F3291="", "", VLOOKUP(F3291, Inventory!A:BZ, 3, FALSE) - SUMIF($F$1:$F3290, F3291, $H$1:$H3290))
</f>
        <v/>
      </c>
      <c r="I3291" s="26"/>
      <c r="J3291" s="26" t="s">
        <v>77</v>
      </c>
      <c r="L3291" s="27" t="s">
        <v>77</v>
      </c>
      <c r="N3291" s="28" t="s">
        <v>77</v>
      </c>
      <c r="Q3291" s="30"/>
    </row>
    <row r="3292">
      <c r="B3292" s="6"/>
      <c r="C3292" s="33" t="str">
        <f t="array" ref="C3292">IF(B3292="", "", XLOOKUP(B3292, Inventory!D:D,Inventory!E:E,"No Name Found"))</f>
        <v/>
      </c>
      <c r="D3292" s="6"/>
      <c r="E3292" s="6"/>
      <c r="F3292" s="6"/>
      <c r="G3292" s="24" t="str">
        <f>IF(F3292="", "", VLOOKUP(F3292, Inventory!A:BZ, 3, FALSE) - SUMIF($F$1:$F3291, F3292, $H$1:$H3291))
</f>
        <v/>
      </c>
      <c r="I3292" s="26"/>
      <c r="J3292" s="26" t="s">
        <v>77</v>
      </c>
      <c r="L3292" s="27" t="s">
        <v>77</v>
      </c>
      <c r="N3292" s="28" t="s">
        <v>77</v>
      </c>
      <c r="Q3292" s="30"/>
    </row>
    <row r="3293">
      <c r="B3293" s="6"/>
      <c r="C3293" s="33" t="str">
        <f t="array" ref="C3293">IF(B3293="", "", XLOOKUP(B3293, Inventory!D:D,Inventory!E:E,"No Name Found"))</f>
        <v/>
      </c>
      <c r="D3293" s="6"/>
      <c r="E3293" s="6"/>
      <c r="F3293" s="6"/>
      <c r="G3293" s="24" t="str">
        <f>IF(F3293="", "", VLOOKUP(F3293, Inventory!A:BZ, 3, FALSE) - SUMIF($F$1:$F3292, F3293, $H$1:$H3292))
</f>
        <v/>
      </c>
      <c r="I3293" s="26"/>
      <c r="J3293" s="26" t="s">
        <v>77</v>
      </c>
      <c r="L3293" s="27" t="s">
        <v>77</v>
      </c>
      <c r="N3293" s="28" t="s">
        <v>77</v>
      </c>
      <c r="Q3293" s="30"/>
    </row>
    <row r="3294">
      <c r="B3294" s="6"/>
      <c r="C3294" s="33" t="str">
        <f t="array" ref="C3294">IF(B3294="", "", XLOOKUP(B3294, Inventory!D:D,Inventory!E:E,"No Name Found"))</f>
        <v/>
      </c>
      <c r="D3294" s="6"/>
      <c r="E3294" s="6"/>
      <c r="F3294" s="6"/>
      <c r="G3294" s="24" t="str">
        <f>IF(F3294="", "", VLOOKUP(F3294, Inventory!A:BZ, 3, FALSE) - SUMIF($F$1:$F3293, F3294, $H$1:$H3293))
</f>
        <v/>
      </c>
      <c r="I3294" s="26"/>
      <c r="J3294" s="26" t="s">
        <v>77</v>
      </c>
      <c r="L3294" s="27" t="s">
        <v>77</v>
      </c>
      <c r="N3294" s="28" t="s">
        <v>77</v>
      </c>
      <c r="Q3294" s="30"/>
    </row>
    <row r="3295">
      <c r="B3295" s="6"/>
      <c r="C3295" s="33" t="str">
        <f t="array" ref="C3295">IF(B3295="", "", XLOOKUP(B3295, Inventory!D:D,Inventory!E:E,"No Name Found"))</f>
        <v/>
      </c>
      <c r="D3295" s="6"/>
      <c r="E3295" s="6"/>
      <c r="F3295" s="6"/>
      <c r="G3295" s="24" t="str">
        <f>IF(F3295="", "", VLOOKUP(F3295, Inventory!A:BZ, 3, FALSE) - SUMIF($F$1:$F3294, F3295, $H$1:$H3294))
</f>
        <v/>
      </c>
      <c r="I3295" s="26"/>
      <c r="J3295" s="26" t="s">
        <v>77</v>
      </c>
      <c r="L3295" s="27" t="s">
        <v>77</v>
      </c>
      <c r="N3295" s="28" t="s">
        <v>77</v>
      </c>
      <c r="Q3295" s="30"/>
    </row>
    <row r="3296">
      <c r="B3296" s="6"/>
      <c r="C3296" s="33" t="str">
        <f t="array" ref="C3296">IF(B3296="", "", XLOOKUP(B3296, Inventory!D:D,Inventory!E:E,"No Name Found"))</f>
        <v/>
      </c>
      <c r="D3296" s="6"/>
      <c r="E3296" s="6"/>
      <c r="F3296" s="6"/>
      <c r="G3296" s="24" t="str">
        <f>IF(F3296="", "", VLOOKUP(F3296, Inventory!A:BZ, 3, FALSE) - SUMIF($F$1:$F3295, F3296, $H$1:$H3295))
</f>
        <v/>
      </c>
      <c r="I3296" s="26"/>
      <c r="J3296" s="26" t="s">
        <v>77</v>
      </c>
      <c r="L3296" s="27" t="s">
        <v>77</v>
      </c>
      <c r="N3296" s="28" t="s">
        <v>77</v>
      </c>
      <c r="Q3296" s="30"/>
    </row>
    <row r="3297">
      <c r="B3297" s="6"/>
      <c r="C3297" s="33" t="str">
        <f t="array" ref="C3297">IF(B3297="", "", XLOOKUP(B3297, Inventory!D:D,Inventory!E:E,"No Name Found"))</f>
        <v/>
      </c>
      <c r="D3297" s="6"/>
      <c r="E3297" s="6"/>
      <c r="F3297" s="6"/>
      <c r="G3297" s="24" t="str">
        <f>IF(F3297="", "", VLOOKUP(F3297, Inventory!A:BZ, 3, FALSE) - SUMIF($F$1:$F3296, F3297, $H$1:$H3296))
</f>
        <v/>
      </c>
      <c r="I3297" s="26"/>
      <c r="J3297" s="26" t="s">
        <v>77</v>
      </c>
      <c r="L3297" s="27" t="s">
        <v>77</v>
      </c>
      <c r="N3297" s="28" t="s">
        <v>77</v>
      </c>
      <c r="Q3297" s="30"/>
    </row>
    <row r="3298">
      <c r="B3298" s="6"/>
      <c r="C3298" s="33" t="str">
        <f t="array" ref="C3298">IF(B3298="", "", XLOOKUP(B3298, Inventory!D:D,Inventory!E:E,"No Name Found"))</f>
        <v/>
      </c>
      <c r="D3298" s="6"/>
      <c r="E3298" s="6"/>
      <c r="F3298" s="6"/>
      <c r="G3298" s="24" t="str">
        <f>IF(F3298="", "", VLOOKUP(F3298, Inventory!A:BZ, 3, FALSE) - SUMIF($F$1:$F3297, F3298, $H$1:$H3297))
</f>
        <v/>
      </c>
      <c r="I3298" s="26"/>
      <c r="J3298" s="26" t="s">
        <v>77</v>
      </c>
      <c r="L3298" s="27" t="s">
        <v>77</v>
      </c>
      <c r="N3298" s="28" t="s">
        <v>77</v>
      </c>
      <c r="Q3298" s="30"/>
    </row>
    <row r="3299">
      <c r="B3299" s="6"/>
      <c r="C3299" s="33" t="str">
        <f t="array" ref="C3299">IF(B3299="", "", XLOOKUP(B3299, Inventory!D:D,Inventory!E:E,"No Name Found"))</f>
        <v/>
      </c>
      <c r="D3299" s="6"/>
      <c r="E3299" s="6"/>
      <c r="F3299" s="6"/>
      <c r="G3299" s="24" t="str">
        <f>IF(F3299="", "", VLOOKUP(F3299, Inventory!A:BZ, 3, FALSE) - SUMIF($F$1:$F3298, F3299, $H$1:$H3298))
</f>
        <v/>
      </c>
      <c r="I3299" s="26"/>
      <c r="J3299" s="26" t="s">
        <v>77</v>
      </c>
      <c r="L3299" s="27" t="s">
        <v>77</v>
      </c>
      <c r="N3299" s="28" t="s">
        <v>77</v>
      </c>
      <c r="Q3299" s="30"/>
    </row>
    <row r="3300">
      <c r="B3300" s="6"/>
      <c r="C3300" s="33" t="str">
        <f t="array" ref="C3300">IF(B3300="", "", XLOOKUP(B3300, Inventory!D:D,Inventory!E:E,"No Name Found"))</f>
        <v/>
      </c>
      <c r="D3300" s="6"/>
      <c r="E3300" s="6"/>
      <c r="F3300" s="6"/>
      <c r="G3300" s="24" t="str">
        <f>IF(F3300="", "", VLOOKUP(F3300, Inventory!A:BZ, 3, FALSE) - SUMIF($F$1:$F3299, F3300, $H$1:$H3299))
</f>
        <v/>
      </c>
      <c r="I3300" s="26"/>
      <c r="J3300" s="26" t="s">
        <v>77</v>
      </c>
      <c r="L3300" s="27" t="s">
        <v>77</v>
      </c>
      <c r="N3300" s="28" t="s">
        <v>77</v>
      </c>
      <c r="Q3300" s="30"/>
    </row>
    <row r="3301">
      <c r="B3301" s="6"/>
      <c r="C3301" s="33" t="str">
        <f t="array" ref="C3301">IF(B3301="", "", XLOOKUP(B3301, Inventory!D:D,Inventory!E:E,"No Name Found"))</f>
        <v/>
      </c>
      <c r="D3301" s="6"/>
      <c r="E3301" s="6"/>
      <c r="F3301" s="6"/>
      <c r="G3301" s="24" t="str">
        <f>IF(F3301="", "", VLOOKUP(F3301, Inventory!A:BZ, 3, FALSE) - SUMIF($F$1:$F3300, F3301, $H$1:$H3300))
</f>
        <v/>
      </c>
      <c r="I3301" s="26"/>
      <c r="J3301" s="26" t="s">
        <v>77</v>
      </c>
      <c r="L3301" s="27" t="s">
        <v>77</v>
      </c>
      <c r="N3301" s="28" t="s">
        <v>77</v>
      </c>
      <c r="Q3301" s="30"/>
    </row>
    <row r="3302">
      <c r="B3302" s="6"/>
      <c r="C3302" s="33" t="str">
        <f t="array" ref="C3302">IF(B3302="", "", XLOOKUP(B3302, Inventory!D:D,Inventory!E:E,"No Name Found"))</f>
        <v/>
      </c>
      <c r="D3302" s="6"/>
      <c r="E3302" s="6"/>
      <c r="F3302" s="6"/>
      <c r="G3302" s="24" t="str">
        <f>IF(F3302="", "", VLOOKUP(F3302, Inventory!A:BZ, 3, FALSE) - SUMIF($F$1:$F3301, F3302, $H$1:$H3301))
</f>
        <v/>
      </c>
      <c r="I3302" s="26"/>
      <c r="J3302" s="26" t="s">
        <v>77</v>
      </c>
      <c r="L3302" s="27" t="s">
        <v>77</v>
      </c>
      <c r="N3302" s="28" t="s">
        <v>77</v>
      </c>
      <c r="Q3302" s="30"/>
    </row>
    <row r="3303">
      <c r="B3303" s="6"/>
      <c r="C3303" s="33" t="str">
        <f t="array" ref="C3303">IF(B3303="", "", XLOOKUP(B3303, Inventory!D:D,Inventory!E:E,"No Name Found"))</f>
        <v/>
      </c>
      <c r="D3303" s="6"/>
      <c r="E3303" s="6"/>
      <c r="F3303" s="6"/>
      <c r="G3303" s="24" t="str">
        <f>IF(F3303="", "", VLOOKUP(F3303, Inventory!A:BZ, 3, FALSE) - SUMIF($F$1:$F3302, F3303, $H$1:$H3302))
</f>
        <v/>
      </c>
      <c r="I3303" s="26"/>
      <c r="J3303" s="26" t="s">
        <v>77</v>
      </c>
      <c r="L3303" s="27" t="s">
        <v>77</v>
      </c>
      <c r="N3303" s="28" t="s">
        <v>77</v>
      </c>
      <c r="Q3303" s="30"/>
    </row>
    <row r="3304">
      <c r="B3304" s="6"/>
      <c r="C3304" s="33" t="str">
        <f t="array" ref="C3304">IF(B3304="", "", XLOOKUP(B3304, Inventory!D:D,Inventory!E:E,"No Name Found"))</f>
        <v/>
      </c>
      <c r="D3304" s="6"/>
      <c r="E3304" s="6"/>
      <c r="F3304" s="6"/>
      <c r="G3304" s="24" t="str">
        <f>IF(F3304="", "", VLOOKUP(F3304, Inventory!A:BZ, 3, FALSE) - SUMIF($F$1:$F3303, F3304, $H$1:$H3303))
</f>
        <v/>
      </c>
      <c r="I3304" s="26"/>
      <c r="J3304" s="26" t="s">
        <v>77</v>
      </c>
      <c r="L3304" s="27" t="s">
        <v>77</v>
      </c>
      <c r="N3304" s="28" t="s">
        <v>77</v>
      </c>
      <c r="Q3304" s="30"/>
    </row>
    <row r="3305">
      <c r="B3305" s="6"/>
      <c r="C3305" s="33" t="str">
        <f t="array" ref="C3305">IF(B3305="", "", XLOOKUP(B3305, Inventory!D:D,Inventory!E:E,"No Name Found"))</f>
        <v/>
      </c>
      <c r="D3305" s="6"/>
      <c r="E3305" s="6"/>
      <c r="F3305" s="6"/>
      <c r="G3305" s="24" t="str">
        <f>IF(F3305="", "", VLOOKUP(F3305, Inventory!A:BZ, 3, FALSE) - SUMIF($F$1:$F3304, F3305, $H$1:$H3304))
</f>
        <v/>
      </c>
      <c r="I3305" s="26"/>
      <c r="J3305" s="26" t="s">
        <v>77</v>
      </c>
      <c r="L3305" s="27" t="s">
        <v>77</v>
      </c>
      <c r="N3305" s="28" t="s">
        <v>77</v>
      </c>
      <c r="Q3305" s="30"/>
    </row>
    <row r="3306">
      <c r="B3306" s="6"/>
      <c r="C3306" s="33" t="str">
        <f t="array" ref="C3306">IF(B3306="", "", XLOOKUP(B3306, Inventory!D:D,Inventory!E:E,"No Name Found"))</f>
        <v/>
      </c>
      <c r="D3306" s="6"/>
      <c r="E3306" s="6"/>
      <c r="F3306" s="6"/>
      <c r="G3306" s="24" t="str">
        <f>IF(F3306="", "", VLOOKUP(F3306, Inventory!A:BZ, 3, FALSE) - SUMIF($F$1:$F3305, F3306, $H$1:$H3305))
</f>
        <v/>
      </c>
      <c r="I3306" s="26"/>
      <c r="J3306" s="26" t="s">
        <v>77</v>
      </c>
      <c r="L3306" s="27" t="s">
        <v>77</v>
      </c>
      <c r="N3306" s="28" t="s">
        <v>77</v>
      </c>
      <c r="Q3306" s="30"/>
    </row>
    <row r="3307">
      <c r="B3307" s="6"/>
      <c r="C3307" s="33" t="str">
        <f t="array" ref="C3307">IF(B3307="", "", XLOOKUP(B3307, Inventory!D:D,Inventory!E:E,"No Name Found"))</f>
        <v/>
      </c>
      <c r="D3307" s="6"/>
      <c r="E3307" s="6"/>
      <c r="F3307" s="6"/>
      <c r="G3307" s="24" t="str">
        <f>IF(F3307="", "", VLOOKUP(F3307, Inventory!A:BZ, 3, FALSE) - SUMIF($F$1:$F3306, F3307, $H$1:$H3306))
</f>
        <v/>
      </c>
      <c r="I3307" s="26"/>
      <c r="J3307" s="26" t="s">
        <v>77</v>
      </c>
      <c r="L3307" s="27" t="s">
        <v>77</v>
      </c>
      <c r="N3307" s="28" t="s">
        <v>77</v>
      </c>
      <c r="Q3307" s="30"/>
    </row>
    <row r="3308">
      <c r="B3308" s="6"/>
      <c r="C3308" s="33" t="str">
        <f t="array" ref="C3308">IF(B3308="", "", XLOOKUP(B3308, Inventory!D:D,Inventory!E:E,"No Name Found"))</f>
        <v/>
      </c>
      <c r="D3308" s="6"/>
      <c r="E3308" s="6"/>
      <c r="F3308" s="6"/>
      <c r="G3308" s="24" t="str">
        <f>IF(F3308="", "", VLOOKUP(F3308, Inventory!A:BZ, 3, FALSE) - SUMIF($F$1:$F3307, F3308, $H$1:$H3307))
</f>
        <v/>
      </c>
      <c r="I3308" s="26"/>
      <c r="J3308" s="26" t="s">
        <v>77</v>
      </c>
      <c r="L3308" s="27" t="s">
        <v>77</v>
      </c>
      <c r="N3308" s="28" t="s">
        <v>77</v>
      </c>
      <c r="Q3308" s="30"/>
    </row>
    <row r="3309">
      <c r="B3309" s="6"/>
      <c r="C3309" s="33" t="str">
        <f t="array" ref="C3309">IF(B3309="", "", XLOOKUP(B3309, Inventory!D:D,Inventory!E:E,"No Name Found"))</f>
        <v/>
      </c>
      <c r="D3309" s="6"/>
      <c r="E3309" s="6"/>
      <c r="F3309" s="6"/>
      <c r="G3309" s="24" t="str">
        <f>IF(F3309="", "", VLOOKUP(F3309, Inventory!A:BZ, 3, FALSE) - SUMIF($F$1:$F3308, F3309, $H$1:$H3308))
</f>
        <v/>
      </c>
      <c r="I3309" s="26"/>
      <c r="J3309" s="26" t="s">
        <v>77</v>
      </c>
      <c r="L3309" s="27" t="s">
        <v>77</v>
      </c>
      <c r="N3309" s="28" t="s">
        <v>77</v>
      </c>
      <c r="Q3309" s="30"/>
    </row>
    <row r="3310">
      <c r="B3310" s="6"/>
      <c r="C3310" s="33" t="str">
        <f t="array" ref="C3310">IF(B3310="", "", XLOOKUP(B3310, Inventory!D:D,Inventory!E:E,"No Name Found"))</f>
        <v/>
      </c>
      <c r="D3310" s="6"/>
      <c r="E3310" s="6"/>
      <c r="F3310" s="6"/>
      <c r="G3310" s="24" t="str">
        <f>IF(F3310="", "", VLOOKUP(F3310, Inventory!A:BZ, 3, FALSE) - SUMIF($F$1:$F3309, F3310, $H$1:$H3309))
</f>
        <v/>
      </c>
      <c r="I3310" s="26"/>
      <c r="J3310" s="26" t="s">
        <v>77</v>
      </c>
      <c r="L3310" s="27" t="s">
        <v>77</v>
      </c>
      <c r="N3310" s="28" t="s">
        <v>77</v>
      </c>
      <c r="Q3310" s="30"/>
    </row>
    <row r="3311">
      <c r="B3311" s="6"/>
      <c r="C3311" s="33" t="str">
        <f t="array" ref="C3311">IF(B3311="", "", XLOOKUP(B3311, Inventory!D:D,Inventory!E:E,"No Name Found"))</f>
        <v/>
      </c>
      <c r="D3311" s="6"/>
      <c r="E3311" s="6"/>
      <c r="F3311" s="6"/>
      <c r="G3311" s="24" t="str">
        <f>IF(F3311="", "", VLOOKUP(F3311, Inventory!A:BZ, 3, FALSE) - SUMIF($F$1:$F3310, F3311, $H$1:$H3310))
</f>
        <v/>
      </c>
      <c r="I3311" s="26"/>
      <c r="J3311" s="26" t="s">
        <v>77</v>
      </c>
      <c r="L3311" s="27" t="s">
        <v>77</v>
      </c>
      <c r="N3311" s="28" t="s">
        <v>77</v>
      </c>
      <c r="Q3311" s="30"/>
    </row>
    <row r="3312">
      <c r="B3312" s="6"/>
      <c r="C3312" s="33" t="str">
        <f t="array" ref="C3312">IF(B3312="", "", XLOOKUP(B3312, Inventory!D:D,Inventory!E:E,"No Name Found"))</f>
        <v/>
      </c>
      <c r="D3312" s="6"/>
      <c r="E3312" s="6"/>
      <c r="F3312" s="6"/>
      <c r="G3312" s="24" t="str">
        <f>IF(F3312="", "", VLOOKUP(F3312, Inventory!A:BZ, 3, FALSE) - SUMIF($F$1:$F3311, F3312, $H$1:$H3311))
</f>
        <v/>
      </c>
      <c r="I3312" s="26"/>
      <c r="J3312" s="26" t="s">
        <v>77</v>
      </c>
      <c r="L3312" s="27" t="s">
        <v>77</v>
      </c>
      <c r="N3312" s="28" t="s">
        <v>77</v>
      </c>
      <c r="Q3312" s="30"/>
    </row>
    <row r="3313">
      <c r="B3313" s="6"/>
      <c r="C3313" s="33" t="str">
        <f t="array" ref="C3313">IF(B3313="", "", XLOOKUP(B3313, Inventory!D:D,Inventory!E:E,"No Name Found"))</f>
        <v/>
      </c>
      <c r="D3313" s="6"/>
      <c r="E3313" s="6"/>
      <c r="F3313" s="6"/>
      <c r="G3313" s="24" t="str">
        <f>IF(F3313="", "", VLOOKUP(F3313, Inventory!A:BZ, 3, FALSE) - SUMIF($F$1:$F3312, F3313, $H$1:$H3312))
</f>
        <v/>
      </c>
      <c r="I3313" s="26"/>
      <c r="J3313" s="26" t="s">
        <v>77</v>
      </c>
      <c r="L3313" s="27" t="s">
        <v>77</v>
      </c>
      <c r="N3313" s="28" t="s">
        <v>77</v>
      </c>
      <c r="Q3313" s="30"/>
    </row>
    <row r="3314">
      <c r="B3314" s="6"/>
      <c r="C3314" s="33" t="str">
        <f t="array" ref="C3314">IF(B3314="", "", XLOOKUP(B3314, Inventory!D:D,Inventory!E:E,"No Name Found"))</f>
        <v/>
      </c>
      <c r="D3314" s="6"/>
      <c r="E3314" s="6"/>
      <c r="F3314" s="6"/>
      <c r="G3314" s="24" t="str">
        <f>IF(F3314="", "", VLOOKUP(F3314, Inventory!A:BZ, 3, FALSE) - SUMIF($F$1:$F3313, F3314, $H$1:$H3313))
</f>
        <v/>
      </c>
      <c r="I3314" s="26"/>
      <c r="J3314" s="26" t="s">
        <v>77</v>
      </c>
      <c r="L3314" s="27" t="s">
        <v>77</v>
      </c>
      <c r="N3314" s="28" t="s">
        <v>77</v>
      </c>
      <c r="Q3314" s="30"/>
    </row>
    <row r="3315">
      <c r="B3315" s="6"/>
      <c r="C3315" s="33" t="str">
        <f t="array" ref="C3315">IF(B3315="", "", XLOOKUP(B3315, Inventory!D:D,Inventory!E:E,"No Name Found"))</f>
        <v/>
      </c>
      <c r="D3315" s="6"/>
      <c r="E3315" s="6"/>
      <c r="F3315" s="6"/>
      <c r="G3315" s="24" t="str">
        <f>IF(F3315="", "", VLOOKUP(F3315, Inventory!A:BZ, 3, FALSE) - SUMIF($F$1:$F3314, F3315, $H$1:$H3314))
</f>
        <v/>
      </c>
      <c r="I3315" s="26"/>
      <c r="J3315" s="26" t="s">
        <v>77</v>
      </c>
      <c r="L3315" s="27" t="s">
        <v>77</v>
      </c>
      <c r="N3315" s="28" t="s">
        <v>77</v>
      </c>
      <c r="Q3315" s="30"/>
    </row>
    <row r="3316">
      <c r="B3316" s="6"/>
      <c r="C3316" s="33" t="str">
        <f t="array" ref="C3316">IF(B3316="", "", XLOOKUP(B3316, Inventory!D:D,Inventory!E:E,"No Name Found"))</f>
        <v/>
      </c>
      <c r="D3316" s="6"/>
      <c r="E3316" s="6"/>
      <c r="F3316" s="6"/>
      <c r="G3316" s="24" t="str">
        <f>IF(F3316="", "", VLOOKUP(F3316, Inventory!A:BZ, 3, FALSE) - SUMIF($F$1:$F3315, F3316, $H$1:$H3315))
</f>
        <v/>
      </c>
      <c r="I3316" s="26"/>
      <c r="J3316" s="26" t="s">
        <v>77</v>
      </c>
      <c r="L3316" s="27" t="s">
        <v>77</v>
      </c>
      <c r="N3316" s="28" t="s">
        <v>77</v>
      </c>
      <c r="Q3316" s="30"/>
    </row>
    <row r="3317">
      <c r="B3317" s="6"/>
      <c r="C3317" s="33" t="str">
        <f t="array" ref="C3317">IF(B3317="", "", XLOOKUP(B3317, Inventory!D:D,Inventory!E:E,"No Name Found"))</f>
        <v/>
      </c>
      <c r="D3317" s="6"/>
      <c r="E3317" s="6"/>
      <c r="F3317" s="6"/>
      <c r="G3317" s="24" t="str">
        <f>IF(F3317="", "", VLOOKUP(F3317, Inventory!A:BZ, 3, FALSE) - SUMIF($F$1:$F3316, F3317, $H$1:$H3316))
</f>
        <v/>
      </c>
      <c r="I3317" s="26"/>
      <c r="J3317" s="26" t="s">
        <v>77</v>
      </c>
      <c r="L3317" s="27" t="s">
        <v>77</v>
      </c>
      <c r="N3317" s="28" t="s">
        <v>77</v>
      </c>
      <c r="Q3317" s="30"/>
    </row>
    <row r="3318">
      <c r="B3318" s="6"/>
      <c r="C3318" s="33" t="str">
        <f t="array" ref="C3318">IF(B3318="", "", XLOOKUP(B3318, Inventory!D:D,Inventory!E:E,"No Name Found"))</f>
        <v/>
      </c>
      <c r="D3318" s="6"/>
      <c r="E3318" s="6"/>
      <c r="F3318" s="6"/>
      <c r="G3318" s="24" t="str">
        <f>IF(F3318="", "", VLOOKUP(F3318, Inventory!A:BZ, 3, FALSE) - SUMIF($F$1:$F3317, F3318, $H$1:$H3317))
</f>
        <v/>
      </c>
      <c r="I3318" s="26"/>
      <c r="J3318" s="26" t="s">
        <v>77</v>
      </c>
      <c r="L3318" s="27" t="s">
        <v>77</v>
      </c>
      <c r="N3318" s="28" t="s">
        <v>77</v>
      </c>
      <c r="Q3318" s="30"/>
    </row>
    <row r="3319">
      <c r="B3319" s="6"/>
      <c r="C3319" s="33" t="str">
        <f t="array" ref="C3319">IF(B3319="", "", XLOOKUP(B3319, Inventory!D:D,Inventory!E:E,"No Name Found"))</f>
        <v/>
      </c>
      <c r="D3319" s="6"/>
      <c r="E3319" s="6"/>
      <c r="F3319" s="6"/>
      <c r="G3319" s="24" t="str">
        <f>IF(F3319="", "", VLOOKUP(F3319, Inventory!A:BZ, 3, FALSE) - SUMIF($F$1:$F3318, F3319, $H$1:$H3318))
</f>
        <v/>
      </c>
      <c r="I3319" s="26"/>
      <c r="J3319" s="26" t="s">
        <v>77</v>
      </c>
      <c r="L3319" s="27" t="s">
        <v>77</v>
      </c>
      <c r="N3319" s="28" t="s">
        <v>77</v>
      </c>
      <c r="Q3319" s="30"/>
    </row>
    <row r="3320">
      <c r="B3320" s="6"/>
      <c r="C3320" s="33" t="str">
        <f t="array" ref="C3320">IF(B3320="", "", XLOOKUP(B3320, Inventory!D:D,Inventory!E:E,"No Name Found"))</f>
        <v/>
      </c>
      <c r="D3320" s="6"/>
      <c r="E3320" s="6"/>
      <c r="F3320" s="6"/>
      <c r="G3320" s="24" t="str">
        <f>IF(F3320="", "", VLOOKUP(F3320, Inventory!A:BZ, 3, FALSE) - SUMIF($F$1:$F3319, F3320, $H$1:$H3319))
</f>
        <v/>
      </c>
      <c r="I3320" s="26"/>
      <c r="J3320" s="26" t="s">
        <v>77</v>
      </c>
      <c r="L3320" s="27" t="s">
        <v>77</v>
      </c>
      <c r="N3320" s="28" t="s">
        <v>77</v>
      </c>
      <c r="Q3320" s="30"/>
    </row>
    <row r="3321">
      <c r="B3321" s="6"/>
      <c r="C3321" s="33" t="str">
        <f t="array" ref="C3321">IF(B3321="", "", XLOOKUP(B3321, Inventory!D:D,Inventory!E:E,"No Name Found"))</f>
        <v/>
      </c>
      <c r="D3321" s="6"/>
      <c r="E3321" s="6"/>
      <c r="F3321" s="6"/>
      <c r="G3321" s="24" t="str">
        <f>IF(F3321="", "", VLOOKUP(F3321, Inventory!A:BZ, 3, FALSE) - SUMIF($F$1:$F3320, F3321, $H$1:$H3320))
</f>
        <v/>
      </c>
      <c r="I3321" s="26"/>
      <c r="J3321" s="26" t="s">
        <v>77</v>
      </c>
      <c r="L3321" s="27" t="s">
        <v>77</v>
      </c>
      <c r="N3321" s="28" t="s">
        <v>77</v>
      </c>
      <c r="Q3321" s="30"/>
    </row>
    <row r="3322">
      <c r="B3322" s="6"/>
      <c r="C3322" s="33" t="str">
        <f t="array" ref="C3322">IF(B3322="", "", XLOOKUP(B3322, Inventory!D:D,Inventory!E:E,"No Name Found"))</f>
        <v/>
      </c>
      <c r="D3322" s="6"/>
      <c r="E3322" s="6"/>
      <c r="F3322" s="6"/>
      <c r="G3322" s="24" t="str">
        <f>IF(F3322="", "", VLOOKUP(F3322, Inventory!A:BZ, 3, FALSE) - SUMIF($F$1:$F3321, F3322, $H$1:$H3321))
</f>
        <v/>
      </c>
      <c r="I3322" s="26"/>
      <c r="J3322" s="26" t="s">
        <v>77</v>
      </c>
      <c r="L3322" s="27" t="s">
        <v>77</v>
      </c>
      <c r="N3322" s="28" t="s">
        <v>77</v>
      </c>
      <c r="Q3322" s="30"/>
    </row>
    <row r="3323">
      <c r="B3323" s="6"/>
      <c r="C3323" s="33" t="str">
        <f t="array" ref="C3323">IF(B3323="", "", XLOOKUP(B3323, Inventory!D:D,Inventory!E:E,"No Name Found"))</f>
        <v/>
      </c>
      <c r="D3323" s="6"/>
      <c r="E3323" s="6"/>
      <c r="F3323" s="6"/>
      <c r="G3323" s="24" t="str">
        <f>IF(F3323="", "", VLOOKUP(F3323, Inventory!A:BZ, 3, FALSE) - SUMIF($F$1:$F3322, F3323, $H$1:$H3322))
</f>
        <v/>
      </c>
      <c r="I3323" s="26"/>
      <c r="J3323" s="26" t="s">
        <v>77</v>
      </c>
      <c r="L3323" s="27" t="s">
        <v>77</v>
      </c>
      <c r="N3323" s="28" t="s">
        <v>77</v>
      </c>
      <c r="Q3323" s="30"/>
    </row>
    <row r="3324">
      <c r="B3324" s="6"/>
      <c r="C3324" s="33" t="str">
        <f t="array" ref="C3324">IF(B3324="", "", XLOOKUP(B3324, Inventory!D:D,Inventory!E:E,"No Name Found"))</f>
        <v/>
      </c>
      <c r="D3324" s="6"/>
      <c r="E3324" s="6"/>
      <c r="F3324" s="6"/>
      <c r="G3324" s="24" t="str">
        <f>IF(F3324="", "", VLOOKUP(F3324, Inventory!A:BZ, 3, FALSE) - SUMIF($F$1:$F3323, F3324, $H$1:$H3323))
</f>
        <v/>
      </c>
      <c r="I3324" s="26"/>
      <c r="J3324" s="26" t="s">
        <v>77</v>
      </c>
      <c r="L3324" s="27" t="s">
        <v>77</v>
      </c>
      <c r="N3324" s="28" t="s">
        <v>77</v>
      </c>
      <c r="Q3324" s="30"/>
    </row>
    <row r="3325">
      <c r="B3325" s="6"/>
      <c r="C3325" s="33" t="str">
        <f t="array" ref="C3325">IF(B3325="", "", XLOOKUP(B3325, Inventory!D:D,Inventory!E:E,"No Name Found"))</f>
        <v/>
      </c>
      <c r="D3325" s="6"/>
      <c r="E3325" s="6"/>
      <c r="F3325" s="6"/>
      <c r="G3325" s="24" t="str">
        <f>IF(F3325="", "", VLOOKUP(F3325, Inventory!A:BZ, 3, FALSE) - SUMIF($F$1:$F3324, F3325, $H$1:$H3324))
</f>
        <v/>
      </c>
      <c r="I3325" s="26"/>
      <c r="J3325" s="26" t="s">
        <v>77</v>
      </c>
      <c r="L3325" s="27" t="s">
        <v>77</v>
      </c>
      <c r="N3325" s="28" t="s">
        <v>77</v>
      </c>
      <c r="Q3325" s="30"/>
    </row>
    <row r="3326">
      <c r="B3326" s="6"/>
      <c r="C3326" s="33" t="str">
        <f t="array" ref="C3326">IF(B3326="", "", XLOOKUP(B3326, Inventory!D:D,Inventory!E:E,"No Name Found"))</f>
        <v/>
      </c>
      <c r="D3326" s="6"/>
      <c r="E3326" s="6"/>
      <c r="F3326" s="6"/>
      <c r="G3326" s="24" t="str">
        <f>IF(F3326="", "", VLOOKUP(F3326, Inventory!A:BZ, 3, FALSE) - SUMIF($F$1:$F3325, F3326, $H$1:$H3325))
</f>
        <v/>
      </c>
      <c r="I3326" s="26"/>
      <c r="J3326" s="26" t="s">
        <v>77</v>
      </c>
      <c r="L3326" s="27" t="s">
        <v>77</v>
      </c>
      <c r="N3326" s="28" t="s">
        <v>77</v>
      </c>
      <c r="Q3326" s="30"/>
    </row>
    <row r="3327">
      <c r="B3327" s="6"/>
      <c r="C3327" s="33" t="str">
        <f t="array" ref="C3327">IF(B3327="", "", XLOOKUP(B3327, Inventory!D:D,Inventory!E:E,"No Name Found"))</f>
        <v/>
      </c>
      <c r="D3327" s="6"/>
      <c r="E3327" s="6"/>
      <c r="F3327" s="6"/>
      <c r="G3327" s="24" t="str">
        <f>IF(F3327="", "", VLOOKUP(F3327, Inventory!A:BZ, 3, FALSE) - SUMIF($F$1:$F3326, F3327, $H$1:$H3326))
</f>
        <v/>
      </c>
      <c r="I3327" s="26"/>
      <c r="J3327" s="26" t="s">
        <v>77</v>
      </c>
      <c r="L3327" s="27" t="s">
        <v>77</v>
      </c>
      <c r="N3327" s="28" t="s">
        <v>77</v>
      </c>
      <c r="Q3327" s="30"/>
    </row>
    <row r="3328">
      <c r="B3328" s="6"/>
      <c r="C3328" s="33" t="str">
        <f t="array" ref="C3328">IF(B3328="", "", XLOOKUP(B3328, Inventory!D:D,Inventory!E:E,"No Name Found"))</f>
        <v/>
      </c>
      <c r="D3328" s="6"/>
      <c r="E3328" s="6"/>
      <c r="F3328" s="6"/>
      <c r="G3328" s="24" t="str">
        <f>IF(F3328="", "", VLOOKUP(F3328, Inventory!A:BZ, 3, FALSE) - SUMIF($F$1:$F3327, F3328, $H$1:$H3327))
</f>
        <v/>
      </c>
      <c r="I3328" s="26"/>
      <c r="J3328" s="26" t="s">
        <v>77</v>
      </c>
      <c r="L3328" s="27" t="s">
        <v>77</v>
      </c>
      <c r="N3328" s="28" t="s">
        <v>77</v>
      </c>
      <c r="Q3328" s="30"/>
    </row>
    <row r="3329">
      <c r="B3329" s="6"/>
      <c r="C3329" s="33" t="str">
        <f t="array" ref="C3329">IF(B3329="", "", XLOOKUP(B3329, Inventory!D:D,Inventory!E:E,"No Name Found"))</f>
        <v/>
      </c>
      <c r="D3329" s="6"/>
      <c r="E3329" s="6"/>
      <c r="F3329" s="6"/>
      <c r="G3329" s="24" t="str">
        <f>IF(F3329="", "", VLOOKUP(F3329, Inventory!A:BZ, 3, FALSE) - SUMIF($F$1:$F3328, F3329, $H$1:$H3328))
</f>
        <v/>
      </c>
      <c r="I3329" s="26"/>
      <c r="J3329" s="26" t="s">
        <v>77</v>
      </c>
      <c r="L3329" s="27" t="s">
        <v>77</v>
      </c>
      <c r="N3329" s="28" t="s">
        <v>77</v>
      </c>
      <c r="Q3329" s="30"/>
    </row>
    <row r="3330">
      <c r="B3330" s="6"/>
      <c r="C3330" s="33" t="str">
        <f t="array" ref="C3330">IF(B3330="", "", XLOOKUP(B3330, Inventory!D:D,Inventory!E:E,"No Name Found"))</f>
        <v/>
      </c>
      <c r="D3330" s="6"/>
      <c r="E3330" s="6"/>
      <c r="F3330" s="6"/>
      <c r="G3330" s="24" t="str">
        <f>IF(F3330="", "", VLOOKUP(F3330, Inventory!A:BZ, 3, FALSE) - SUMIF($F$1:$F3329, F3330, $H$1:$H3329))
</f>
        <v/>
      </c>
      <c r="I3330" s="26"/>
      <c r="J3330" s="26" t="s">
        <v>77</v>
      </c>
      <c r="L3330" s="27" t="s">
        <v>77</v>
      </c>
      <c r="N3330" s="28" t="s">
        <v>77</v>
      </c>
      <c r="Q3330" s="30"/>
    </row>
    <row r="3331">
      <c r="B3331" s="6"/>
      <c r="C3331" s="33" t="str">
        <f t="array" ref="C3331">IF(B3331="", "", XLOOKUP(B3331, Inventory!D:D,Inventory!E:E,"No Name Found"))</f>
        <v/>
      </c>
      <c r="D3331" s="6"/>
      <c r="E3331" s="6"/>
      <c r="F3331" s="6"/>
      <c r="G3331" s="24" t="str">
        <f>IF(F3331="", "", VLOOKUP(F3331, Inventory!A:BZ, 3, FALSE) - SUMIF($F$1:$F3330, F3331, $H$1:$H3330))
</f>
        <v/>
      </c>
      <c r="I3331" s="26"/>
      <c r="J3331" s="26" t="s">
        <v>77</v>
      </c>
      <c r="L3331" s="27" t="s">
        <v>77</v>
      </c>
      <c r="N3331" s="28" t="s">
        <v>77</v>
      </c>
      <c r="Q3331" s="30"/>
    </row>
    <row r="3332">
      <c r="B3332" s="6"/>
      <c r="C3332" s="33" t="str">
        <f t="array" ref="C3332">IF(B3332="", "", XLOOKUP(B3332, Inventory!D:D,Inventory!E:E,"No Name Found"))</f>
        <v/>
      </c>
      <c r="D3332" s="6"/>
      <c r="E3332" s="6"/>
      <c r="F3332" s="6"/>
      <c r="G3332" s="24" t="str">
        <f>IF(F3332="", "", VLOOKUP(F3332, Inventory!A:BZ, 3, FALSE) - SUMIF($F$1:$F3331, F3332, $H$1:$H3331))
</f>
        <v/>
      </c>
      <c r="I3332" s="26"/>
      <c r="J3332" s="26" t="s">
        <v>77</v>
      </c>
      <c r="L3332" s="27" t="s">
        <v>77</v>
      </c>
      <c r="N3332" s="28" t="s">
        <v>77</v>
      </c>
      <c r="Q3332" s="30"/>
    </row>
    <row r="3333">
      <c r="B3333" s="6"/>
      <c r="C3333" s="33" t="str">
        <f t="array" ref="C3333">IF(B3333="", "", XLOOKUP(B3333, Inventory!D:D,Inventory!E:E,"No Name Found"))</f>
        <v/>
      </c>
      <c r="D3333" s="6"/>
      <c r="E3333" s="6"/>
      <c r="F3333" s="6"/>
      <c r="G3333" s="24" t="str">
        <f>IF(F3333="", "", VLOOKUP(F3333, Inventory!A:BZ, 3, FALSE) - SUMIF($F$1:$F3332, F3333, $H$1:$H3332))
</f>
        <v/>
      </c>
      <c r="I3333" s="26"/>
      <c r="J3333" s="26" t="s">
        <v>77</v>
      </c>
      <c r="L3333" s="27" t="s">
        <v>77</v>
      </c>
      <c r="N3333" s="28" t="s">
        <v>77</v>
      </c>
      <c r="Q3333" s="30"/>
    </row>
    <row r="3334">
      <c r="B3334" s="6"/>
      <c r="C3334" s="33" t="str">
        <f t="array" ref="C3334">IF(B3334="", "", XLOOKUP(B3334, Inventory!D:D,Inventory!E:E,"No Name Found"))</f>
        <v/>
      </c>
      <c r="D3334" s="6"/>
      <c r="E3334" s="6"/>
      <c r="F3334" s="6"/>
      <c r="G3334" s="24" t="str">
        <f>IF(F3334="", "", VLOOKUP(F3334, Inventory!A:BZ, 3, FALSE) - SUMIF($F$1:$F3333, F3334, $H$1:$H3333))
</f>
        <v/>
      </c>
      <c r="I3334" s="26"/>
      <c r="J3334" s="26" t="s">
        <v>77</v>
      </c>
      <c r="L3334" s="27" t="s">
        <v>77</v>
      </c>
      <c r="N3334" s="28" t="s">
        <v>77</v>
      </c>
      <c r="Q3334" s="30"/>
    </row>
    <row r="3335">
      <c r="B3335" s="6"/>
      <c r="C3335" s="33" t="str">
        <f t="array" ref="C3335">IF(B3335="", "", XLOOKUP(B3335, Inventory!D:D,Inventory!E:E,"No Name Found"))</f>
        <v/>
      </c>
      <c r="D3335" s="6"/>
      <c r="E3335" s="6"/>
      <c r="F3335" s="6"/>
      <c r="G3335" s="24" t="str">
        <f>IF(F3335="", "", VLOOKUP(F3335, Inventory!A:BZ, 3, FALSE) - SUMIF($F$1:$F3334, F3335, $H$1:$H3334))
</f>
        <v/>
      </c>
      <c r="I3335" s="26"/>
      <c r="J3335" s="26" t="s">
        <v>77</v>
      </c>
      <c r="L3335" s="27" t="s">
        <v>77</v>
      </c>
      <c r="N3335" s="28" t="s">
        <v>77</v>
      </c>
      <c r="Q3335" s="30"/>
    </row>
    <row r="3336">
      <c r="B3336" s="6"/>
      <c r="C3336" s="33" t="str">
        <f t="array" ref="C3336">IF(B3336="", "", XLOOKUP(B3336, Inventory!D:D,Inventory!E:E,"No Name Found"))</f>
        <v/>
      </c>
      <c r="D3336" s="6"/>
      <c r="E3336" s="6"/>
      <c r="F3336" s="6"/>
      <c r="G3336" s="24" t="str">
        <f>IF(F3336="", "", VLOOKUP(F3336, Inventory!A:BZ, 3, FALSE) - SUMIF($F$1:$F3335, F3336, $H$1:$H3335))
</f>
        <v/>
      </c>
      <c r="I3336" s="26"/>
      <c r="J3336" s="26" t="s">
        <v>77</v>
      </c>
      <c r="L3336" s="27" t="s">
        <v>77</v>
      </c>
      <c r="N3336" s="28" t="s">
        <v>77</v>
      </c>
      <c r="Q3336" s="30"/>
    </row>
    <row r="3337">
      <c r="B3337" s="6"/>
      <c r="C3337" s="33" t="str">
        <f t="array" ref="C3337">IF(B3337="", "", XLOOKUP(B3337, Inventory!D:D,Inventory!E:E,"No Name Found"))</f>
        <v/>
      </c>
      <c r="D3337" s="6"/>
      <c r="E3337" s="6"/>
      <c r="F3337" s="6"/>
      <c r="G3337" s="24" t="str">
        <f>IF(F3337="", "", VLOOKUP(F3337, Inventory!A:BZ, 3, FALSE) - SUMIF($F$1:$F3336, F3337, $H$1:$H3336))
</f>
        <v/>
      </c>
      <c r="I3337" s="26"/>
      <c r="J3337" s="26" t="s">
        <v>77</v>
      </c>
      <c r="L3337" s="27" t="s">
        <v>77</v>
      </c>
      <c r="N3337" s="28" t="s">
        <v>77</v>
      </c>
      <c r="Q3337" s="30"/>
    </row>
    <row r="3338">
      <c r="B3338" s="6"/>
      <c r="C3338" s="33" t="str">
        <f t="array" ref="C3338">IF(B3338="", "", XLOOKUP(B3338, Inventory!D:D,Inventory!E:E,"No Name Found"))</f>
        <v/>
      </c>
      <c r="D3338" s="6"/>
      <c r="E3338" s="6"/>
      <c r="F3338" s="6"/>
      <c r="G3338" s="24" t="str">
        <f>IF(F3338="", "", VLOOKUP(F3338, Inventory!A:BZ, 3, FALSE) - SUMIF($F$1:$F3337, F3338, $H$1:$H3337))
</f>
        <v/>
      </c>
      <c r="I3338" s="26"/>
      <c r="J3338" s="26" t="s">
        <v>77</v>
      </c>
      <c r="L3338" s="27" t="s">
        <v>77</v>
      </c>
      <c r="N3338" s="28" t="s">
        <v>77</v>
      </c>
      <c r="Q3338" s="30"/>
    </row>
    <row r="3339">
      <c r="B3339" s="6"/>
      <c r="C3339" s="33" t="str">
        <f t="array" ref="C3339">IF(B3339="", "", XLOOKUP(B3339, Inventory!D:D,Inventory!E:E,"No Name Found"))</f>
        <v/>
      </c>
      <c r="D3339" s="6"/>
      <c r="E3339" s="6"/>
      <c r="F3339" s="6"/>
      <c r="G3339" s="24" t="str">
        <f>IF(F3339="", "", VLOOKUP(F3339, Inventory!A:BZ, 3, FALSE) - SUMIF($F$1:$F3338, F3339, $H$1:$H3338))
</f>
        <v/>
      </c>
      <c r="I3339" s="26"/>
      <c r="J3339" s="26" t="s">
        <v>77</v>
      </c>
      <c r="L3339" s="27" t="s">
        <v>77</v>
      </c>
      <c r="N3339" s="28" t="s">
        <v>77</v>
      </c>
      <c r="Q3339" s="30"/>
    </row>
    <row r="3340">
      <c r="B3340" s="6"/>
      <c r="C3340" s="33" t="str">
        <f t="array" ref="C3340">IF(B3340="", "", XLOOKUP(B3340, Inventory!D:D,Inventory!E:E,"No Name Found"))</f>
        <v/>
      </c>
      <c r="D3340" s="6"/>
      <c r="E3340" s="6"/>
      <c r="F3340" s="6"/>
      <c r="G3340" s="24" t="str">
        <f>IF(F3340="", "", VLOOKUP(F3340, Inventory!A:BZ, 3, FALSE) - SUMIF($F$1:$F3339, F3340, $H$1:$H3339))
</f>
        <v/>
      </c>
      <c r="I3340" s="26"/>
      <c r="J3340" s="26" t="s">
        <v>77</v>
      </c>
      <c r="L3340" s="27" t="s">
        <v>77</v>
      </c>
      <c r="N3340" s="28" t="s">
        <v>77</v>
      </c>
      <c r="Q3340" s="30"/>
    </row>
    <row r="3341">
      <c r="B3341" s="6"/>
      <c r="C3341" s="33" t="str">
        <f t="array" ref="C3341">IF(B3341="", "", XLOOKUP(B3341, Inventory!D:D,Inventory!E:E,"No Name Found"))</f>
        <v/>
      </c>
      <c r="D3341" s="6"/>
      <c r="E3341" s="6"/>
      <c r="F3341" s="6"/>
      <c r="G3341" s="24" t="str">
        <f>IF(F3341="", "", VLOOKUP(F3341, Inventory!A:BZ, 3, FALSE) - SUMIF($F$1:$F3340, F3341, $H$1:$H3340))
</f>
        <v/>
      </c>
      <c r="I3341" s="26"/>
      <c r="J3341" s="26" t="s">
        <v>77</v>
      </c>
      <c r="L3341" s="27" t="s">
        <v>77</v>
      </c>
      <c r="N3341" s="28" t="s">
        <v>77</v>
      </c>
      <c r="Q3341" s="30"/>
    </row>
    <row r="3342">
      <c r="B3342" s="6"/>
      <c r="C3342" s="33" t="str">
        <f t="array" ref="C3342">IF(B3342="", "", XLOOKUP(B3342, Inventory!D:D,Inventory!E:E,"No Name Found"))</f>
        <v/>
      </c>
      <c r="D3342" s="6"/>
      <c r="E3342" s="6"/>
      <c r="F3342" s="6"/>
      <c r="G3342" s="24" t="str">
        <f>IF(F3342="", "", VLOOKUP(F3342, Inventory!A:BZ, 3, FALSE) - SUMIF($F$1:$F3341, F3342, $H$1:$H3341))
</f>
        <v/>
      </c>
      <c r="I3342" s="26"/>
      <c r="J3342" s="26" t="s">
        <v>77</v>
      </c>
      <c r="L3342" s="27" t="s">
        <v>77</v>
      </c>
      <c r="N3342" s="28" t="s">
        <v>77</v>
      </c>
      <c r="Q3342" s="30"/>
    </row>
    <row r="3343">
      <c r="B3343" s="6"/>
      <c r="C3343" s="33" t="str">
        <f t="array" ref="C3343">IF(B3343="", "", XLOOKUP(B3343, Inventory!D:D,Inventory!E:E,"No Name Found"))</f>
        <v/>
      </c>
      <c r="D3343" s="6"/>
      <c r="E3343" s="6"/>
      <c r="F3343" s="6"/>
      <c r="G3343" s="24" t="str">
        <f>IF(F3343="", "", VLOOKUP(F3343, Inventory!A:BZ, 3, FALSE) - SUMIF($F$1:$F3342, F3343, $H$1:$H3342))
</f>
        <v/>
      </c>
      <c r="I3343" s="26"/>
      <c r="J3343" s="26" t="s">
        <v>77</v>
      </c>
      <c r="L3343" s="27" t="s">
        <v>77</v>
      </c>
      <c r="N3343" s="28" t="s">
        <v>77</v>
      </c>
      <c r="Q3343" s="30"/>
    </row>
    <row r="3344">
      <c r="B3344" s="6"/>
      <c r="C3344" s="33" t="str">
        <f t="array" ref="C3344">IF(B3344="", "", XLOOKUP(B3344, Inventory!D:D,Inventory!E:E,"No Name Found"))</f>
        <v/>
      </c>
      <c r="D3344" s="6"/>
      <c r="E3344" s="6"/>
      <c r="F3344" s="6"/>
      <c r="G3344" s="24" t="str">
        <f>IF(F3344="", "", VLOOKUP(F3344, Inventory!A:BZ, 3, FALSE) - SUMIF($F$1:$F3343, F3344, $H$1:$H3343))
</f>
        <v/>
      </c>
      <c r="I3344" s="26"/>
      <c r="J3344" s="26" t="s">
        <v>77</v>
      </c>
      <c r="L3344" s="27" t="s">
        <v>77</v>
      </c>
      <c r="N3344" s="28" t="s">
        <v>77</v>
      </c>
      <c r="Q3344" s="30"/>
    </row>
    <row r="3345">
      <c r="B3345" s="6"/>
      <c r="C3345" s="33" t="str">
        <f t="array" ref="C3345">IF(B3345="", "", XLOOKUP(B3345, Inventory!D:D,Inventory!E:E,"No Name Found"))</f>
        <v/>
      </c>
      <c r="D3345" s="6"/>
      <c r="E3345" s="6"/>
      <c r="F3345" s="6"/>
      <c r="G3345" s="24" t="str">
        <f>IF(F3345="", "", VLOOKUP(F3345, Inventory!A:BZ, 3, FALSE) - SUMIF($F$1:$F3344, F3345, $H$1:$H3344))
</f>
        <v/>
      </c>
      <c r="I3345" s="26"/>
      <c r="J3345" s="26" t="s">
        <v>77</v>
      </c>
      <c r="L3345" s="27" t="s">
        <v>77</v>
      </c>
      <c r="N3345" s="28" t="s">
        <v>77</v>
      </c>
      <c r="Q3345" s="30"/>
    </row>
    <row r="3346">
      <c r="B3346" s="6"/>
      <c r="C3346" s="33" t="str">
        <f t="array" ref="C3346">IF(B3346="", "", XLOOKUP(B3346, Inventory!D:D,Inventory!E:E,"No Name Found"))</f>
        <v/>
      </c>
      <c r="D3346" s="6"/>
      <c r="E3346" s="6"/>
      <c r="F3346" s="6"/>
      <c r="G3346" s="24" t="str">
        <f>IF(F3346="", "", VLOOKUP(F3346, Inventory!A:BZ, 3, FALSE) - SUMIF($F$1:$F3345, F3346, $H$1:$H3345))
</f>
        <v/>
      </c>
      <c r="I3346" s="26"/>
      <c r="J3346" s="26" t="s">
        <v>77</v>
      </c>
      <c r="L3346" s="27" t="s">
        <v>77</v>
      </c>
      <c r="N3346" s="28" t="s">
        <v>77</v>
      </c>
      <c r="Q3346" s="30"/>
    </row>
    <row r="3347">
      <c r="B3347" s="6"/>
      <c r="C3347" s="33" t="str">
        <f t="array" ref="C3347">IF(B3347="", "", XLOOKUP(B3347, Inventory!D:D,Inventory!E:E,"No Name Found"))</f>
        <v/>
      </c>
      <c r="D3347" s="6"/>
      <c r="E3347" s="6"/>
      <c r="F3347" s="6"/>
      <c r="G3347" s="24" t="str">
        <f>IF(F3347="", "", VLOOKUP(F3347, Inventory!A:BZ, 3, FALSE) - SUMIF($F$1:$F3346, F3347, $H$1:$H3346))
</f>
        <v/>
      </c>
      <c r="I3347" s="26"/>
      <c r="J3347" s="26" t="s">
        <v>77</v>
      </c>
      <c r="L3347" s="27" t="s">
        <v>77</v>
      </c>
      <c r="N3347" s="28" t="s">
        <v>77</v>
      </c>
      <c r="Q3347" s="30"/>
    </row>
    <row r="3348">
      <c r="B3348" s="6"/>
      <c r="C3348" s="33" t="str">
        <f t="array" ref="C3348">IF(B3348="", "", XLOOKUP(B3348, Inventory!D:D,Inventory!E:E,"No Name Found"))</f>
        <v/>
      </c>
      <c r="D3348" s="6"/>
      <c r="E3348" s="6"/>
      <c r="F3348" s="6"/>
      <c r="G3348" s="24" t="str">
        <f>IF(F3348="", "", VLOOKUP(F3348, Inventory!A:BZ, 3, FALSE) - SUMIF($F$1:$F3347, F3348, $H$1:$H3347))
</f>
        <v/>
      </c>
      <c r="I3348" s="26"/>
      <c r="J3348" s="26" t="s">
        <v>77</v>
      </c>
      <c r="L3348" s="27" t="s">
        <v>77</v>
      </c>
      <c r="N3348" s="28" t="s">
        <v>77</v>
      </c>
      <c r="Q3348" s="30"/>
    </row>
    <row r="3349">
      <c r="B3349" s="6"/>
      <c r="C3349" s="33" t="str">
        <f t="array" ref="C3349">IF(B3349="", "", XLOOKUP(B3349, Inventory!D:D,Inventory!E:E,"No Name Found"))</f>
        <v/>
      </c>
      <c r="D3349" s="6"/>
      <c r="E3349" s="6"/>
      <c r="F3349" s="6"/>
      <c r="G3349" s="24" t="str">
        <f>IF(F3349="", "", VLOOKUP(F3349, Inventory!A:BZ, 3, FALSE) - SUMIF($F$1:$F3348, F3349, $H$1:$H3348))
</f>
        <v/>
      </c>
      <c r="I3349" s="26"/>
      <c r="J3349" s="26" t="s">
        <v>77</v>
      </c>
      <c r="L3349" s="27" t="s">
        <v>77</v>
      </c>
      <c r="N3349" s="28" t="s">
        <v>77</v>
      </c>
      <c r="Q3349" s="30"/>
    </row>
    <row r="3350">
      <c r="B3350" s="6"/>
      <c r="C3350" s="33" t="str">
        <f t="array" ref="C3350">IF(B3350="", "", XLOOKUP(B3350, Inventory!D:D,Inventory!E:E,"No Name Found"))</f>
        <v/>
      </c>
      <c r="D3350" s="6"/>
      <c r="E3350" s="6"/>
      <c r="F3350" s="6"/>
      <c r="G3350" s="24" t="str">
        <f>IF(F3350="", "", VLOOKUP(F3350, Inventory!A:BZ, 3, FALSE) - SUMIF($F$1:$F3349, F3350, $H$1:$H3349))
</f>
        <v/>
      </c>
      <c r="I3350" s="26"/>
      <c r="J3350" s="26" t="s">
        <v>77</v>
      </c>
      <c r="L3350" s="27" t="s">
        <v>77</v>
      </c>
      <c r="N3350" s="28" t="s">
        <v>77</v>
      </c>
      <c r="Q3350" s="30"/>
    </row>
    <row r="3351">
      <c r="B3351" s="6"/>
      <c r="C3351" s="33" t="str">
        <f t="array" ref="C3351">IF(B3351="", "", XLOOKUP(B3351, Inventory!D:D,Inventory!E:E,"No Name Found"))</f>
        <v/>
      </c>
      <c r="D3351" s="6"/>
      <c r="E3351" s="6"/>
      <c r="F3351" s="6"/>
      <c r="G3351" s="24" t="str">
        <f>IF(F3351="", "", VLOOKUP(F3351, Inventory!A:BZ, 3, FALSE) - SUMIF($F$1:$F3350, F3351, $H$1:$H3350))
</f>
        <v/>
      </c>
      <c r="I3351" s="26"/>
      <c r="J3351" s="26" t="s">
        <v>77</v>
      </c>
      <c r="L3351" s="27" t="s">
        <v>77</v>
      </c>
      <c r="N3351" s="28" t="s">
        <v>77</v>
      </c>
      <c r="Q3351" s="30"/>
    </row>
    <row r="3352">
      <c r="B3352" s="6"/>
      <c r="C3352" s="33" t="str">
        <f t="array" ref="C3352">IF(B3352="", "", XLOOKUP(B3352, Inventory!D:D,Inventory!E:E,"No Name Found"))</f>
        <v/>
      </c>
      <c r="D3352" s="6"/>
      <c r="E3352" s="6"/>
      <c r="F3352" s="6"/>
      <c r="G3352" s="24" t="str">
        <f>IF(F3352="", "", VLOOKUP(F3352, Inventory!A:BZ, 3, FALSE) - SUMIF($F$1:$F3351, F3352, $H$1:$H3351))
</f>
        <v/>
      </c>
      <c r="I3352" s="26"/>
      <c r="J3352" s="26" t="s">
        <v>77</v>
      </c>
      <c r="L3352" s="27" t="s">
        <v>77</v>
      </c>
      <c r="N3352" s="28" t="s">
        <v>77</v>
      </c>
      <c r="Q3352" s="30"/>
    </row>
    <row r="3353">
      <c r="B3353" s="6"/>
      <c r="C3353" s="33" t="str">
        <f t="array" ref="C3353">IF(B3353="", "", XLOOKUP(B3353, Inventory!D:D,Inventory!E:E,"No Name Found"))</f>
        <v/>
      </c>
      <c r="D3353" s="6"/>
      <c r="E3353" s="6"/>
      <c r="F3353" s="6"/>
      <c r="G3353" s="24" t="str">
        <f>IF(F3353="", "", VLOOKUP(F3353, Inventory!A:BZ, 3, FALSE) - SUMIF($F$1:$F3352, F3353, $H$1:$H3352))
</f>
        <v/>
      </c>
      <c r="I3353" s="26"/>
      <c r="J3353" s="26" t="s">
        <v>77</v>
      </c>
      <c r="L3353" s="27" t="s">
        <v>77</v>
      </c>
      <c r="N3353" s="28" t="s">
        <v>77</v>
      </c>
      <c r="Q3353" s="30"/>
    </row>
    <row r="3354">
      <c r="B3354" s="6"/>
      <c r="C3354" s="33" t="str">
        <f t="array" ref="C3354">IF(B3354="", "", XLOOKUP(B3354, Inventory!D:D,Inventory!E:E,"No Name Found"))</f>
        <v/>
      </c>
      <c r="D3354" s="6"/>
      <c r="E3354" s="6"/>
      <c r="F3354" s="6"/>
      <c r="G3354" s="24" t="str">
        <f>IF(F3354="", "", VLOOKUP(F3354, Inventory!A:BZ, 3, FALSE) - SUMIF($F$1:$F3353, F3354, $H$1:$H3353))
</f>
        <v/>
      </c>
      <c r="I3354" s="26"/>
      <c r="J3354" s="26" t="s">
        <v>77</v>
      </c>
      <c r="L3354" s="27" t="s">
        <v>77</v>
      </c>
      <c r="N3354" s="28" t="s">
        <v>77</v>
      </c>
      <c r="Q3354" s="30"/>
    </row>
    <row r="3355">
      <c r="B3355" s="6"/>
      <c r="C3355" s="33" t="str">
        <f t="array" ref="C3355">IF(B3355="", "", XLOOKUP(B3355, Inventory!D:D,Inventory!E:E,"No Name Found"))</f>
        <v/>
      </c>
      <c r="D3355" s="6"/>
      <c r="E3355" s="6"/>
      <c r="F3355" s="6"/>
      <c r="G3355" s="24" t="str">
        <f>IF(F3355="", "", VLOOKUP(F3355, Inventory!A:BZ, 3, FALSE) - SUMIF($F$1:$F3354, F3355, $H$1:$H3354))
</f>
        <v/>
      </c>
      <c r="I3355" s="26"/>
      <c r="J3355" s="26" t="s">
        <v>77</v>
      </c>
      <c r="L3355" s="27" t="s">
        <v>77</v>
      </c>
      <c r="N3355" s="28" t="s">
        <v>77</v>
      </c>
      <c r="Q3355" s="30"/>
    </row>
    <row r="3356">
      <c r="B3356" s="6"/>
      <c r="C3356" s="33" t="str">
        <f t="array" ref="C3356">IF(B3356="", "", XLOOKUP(B3356, Inventory!D:D,Inventory!E:E,"No Name Found"))</f>
        <v/>
      </c>
      <c r="D3356" s="6"/>
      <c r="E3356" s="6"/>
      <c r="F3356" s="6"/>
      <c r="G3356" s="24" t="str">
        <f>IF(F3356="", "", VLOOKUP(F3356, Inventory!A:BZ, 3, FALSE) - SUMIF($F$1:$F3355, F3356, $H$1:$H3355))
</f>
        <v/>
      </c>
      <c r="I3356" s="26"/>
      <c r="J3356" s="26" t="s">
        <v>77</v>
      </c>
      <c r="L3356" s="27" t="s">
        <v>77</v>
      </c>
      <c r="N3356" s="28" t="s">
        <v>77</v>
      </c>
      <c r="Q3356" s="30"/>
    </row>
    <row r="3357">
      <c r="B3357" s="6"/>
      <c r="C3357" s="33" t="str">
        <f t="array" ref="C3357">IF(B3357="", "", XLOOKUP(B3357, Inventory!D:D,Inventory!E:E,"No Name Found"))</f>
        <v/>
      </c>
      <c r="D3357" s="6"/>
      <c r="E3357" s="6"/>
      <c r="F3357" s="6"/>
      <c r="G3357" s="24" t="str">
        <f>IF(F3357="", "", VLOOKUP(F3357, Inventory!A:BZ, 3, FALSE) - SUMIF($F$1:$F3356, F3357, $H$1:$H3356))
</f>
        <v/>
      </c>
      <c r="I3357" s="26"/>
      <c r="J3357" s="26" t="s">
        <v>77</v>
      </c>
      <c r="L3357" s="27" t="s">
        <v>77</v>
      </c>
      <c r="N3357" s="28" t="s">
        <v>77</v>
      </c>
      <c r="Q3357" s="30"/>
    </row>
    <row r="3358">
      <c r="B3358" s="6"/>
      <c r="C3358" s="33" t="str">
        <f t="array" ref="C3358">IF(B3358="", "", XLOOKUP(B3358, Inventory!D:D,Inventory!E:E,"No Name Found"))</f>
        <v/>
      </c>
      <c r="D3358" s="6"/>
      <c r="E3358" s="6"/>
      <c r="F3358" s="6"/>
      <c r="G3358" s="24" t="str">
        <f>IF(F3358="", "", VLOOKUP(F3358, Inventory!A:BZ, 3, FALSE) - SUMIF($F$1:$F3357, F3358, $H$1:$H3357))
</f>
        <v/>
      </c>
      <c r="I3358" s="26"/>
      <c r="J3358" s="26" t="s">
        <v>77</v>
      </c>
      <c r="L3358" s="27" t="s">
        <v>77</v>
      </c>
      <c r="N3358" s="28" t="s">
        <v>77</v>
      </c>
      <c r="Q3358" s="30"/>
    </row>
    <row r="3359">
      <c r="B3359" s="6"/>
      <c r="C3359" s="33" t="str">
        <f t="array" ref="C3359">IF(B3359="", "", XLOOKUP(B3359, Inventory!D:D,Inventory!E:E,"No Name Found"))</f>
        <v/>
      </c>
      <c r="D3359" s="6"/>
      <c r="E3359" s="6"/>
      <c r="F3359" s="6"/>
      <c r="G3359" s="24" t="str">
        <f>IF(F3359="", "", VLOOKUP(F3359, Inventory!A:BZ, 3, FALSE) - SUMIF($F$1:$F3358, F3359, $H$1:$H3358))
</f>
        <v/>
      </c>
      <c r="I3359" s="26"/>
      <c r="J3359" s="26" t="s">
        <v>77</v>
      </c>
      <c r="L3359" s="27" t="s">
        <v>77</v>
      </c>
      <c r="N3359" s="28" t="s">
        <v>77</v>
      </c>
      <c r="Q3359" s="30"/>
    </row>
    <row r="3360">
      <c r="B3360" s="6"/>
      <c r="C3360" s="33" t="str">
        <f t="array" ref="C3360">IF(B3360="", "", XLOOKUP(B3360, Inventory!D:D,Inventory!E:E,"No Name Found"))</f>
        <v/>
      </c>
      <c r="D3360" s="6"/>
      <c r="E3360" s="6"/>
      <c r="F3360" s="6"/>
      <c r="G3360" s="24" t="str">
        <f>IF(F3360="", "", VLOOKUP(F3360, Inventory!A:BZ, 3, FALSE) - SUMIF($F$1:$F3359, F3360, $H$1:$H3359))
</f>
        <v/>
      </c>
      <c r="I3360" s="26"/>
      <c r="J3360" s="26" t="s">
        <v>77</v>
      </c>
      <c r="L3360" s="27" t="s">
        <v>77</v>
      </c>
      <c r="N3360" s="28" t="s">
        <v>77</v>
      </c>
      <c r="Q3360" s="30"/>
    </row>
    <row r="3361">
      <c r="B3361" s="6"/>
      <c r="C3361" s="33" t="str">
        <f t="array" ref="C3361">IF(B3361="", "", XLOOKUP(B3361, Inventory!D:D,Inventory!E:E,"No Name Found"))</f>
        <v/>
      </c>
      <c r="D3361" s="6"/>
      <c r="E3361" s="6"/>
      <c r="F3361" s="6"/>
      <c r="G3361" s="24" t="str">
        <f>IF(F3361="", "", VLOOKUP(F3361, Inventory!A:BZ, 3, FALSE) - SUMIF($F$1:$F3360, F3361, $H$1:$H3360))
</f>
        <v/>
      </c>
      <c r="I3361" s="26"/>
      <c r="J3361" s="26" t="s">
        <v>77</v>
      </c>
      <c r="L3361" s="27" t="s">
        <v>77</v>
      </c>
      <c r="N3361" s="28" t="s">
        <v>77</v>
      </c>
      <c r="Q3361" s="30"/>
    </row>
    <row r="3362">
      <c r="B3362" s="6"/>
      <c r="C3362" s="33" t="str">
        <f t="array" ref="C3362">IF(B3362="", "", XLOOKUP(B3362, Inventory!D:D,Inventory!E:E,"No Name Found"))</f>
        <v/>
      </c>
      <c r="D3362" s="6"/>
      <c r="E3362" s="6"/>
      <c r="F3362" s="6"/>
      <c r="G3362" s="24" t="str">
        <f>IF(F3362="", "", VLOOKUP(F3362, Inventory!A:BZ, 3, FALSE) - SUMIF($F$1:$F3361, F3362, $H$1:$H3361))
</f>
        <v/>
      </c>
      <c r="I3362" s="26"/>
      <c r="J3362" s="26" t="s">
        <v>77</v>
      </c>
      <c r="L3362" s="27" t="s">
        <v>77</v>
      </c>
      <c r="N3362" s="28" t="s">
        <v>77</v>
      </c>
      <c r="Q3362" s="30"/>
    </row>
    <row r="3363">
      <c r="B3363" s="6"/>
      <c r="C3363" s="33" t="str">
        <f t="array" ref="C3363">IF(B3363="", "", XLOOKUP(B3363, Inventory!D:D,Inventory!E:E,"No Name Found"))</f>
        <v/>
      </c>
      <c r="D3363" s="6"/>
      <c r="E3363" s="6"/>
      <c r="F3363" s="6"/>
      <c r="G3363" s="24" t="str">
        <f>IF(F3363="", "", VLOOKUP(F3363, Inventory!A:BZ, 3, FALSE) - SUMIF($F$1:$F3362, F3363, $H$1:$H3362))
</f>
        <v/>
      </c>
      <c r="I3363" s="26"/>
      <c r="J3363" s="26" t="s">
        <v>77</v>
      </c>
      <c r="L3363" s="27" t="s">
        <v>77</v>
      </c>
      <c r="N3363" s="28" t="s">
        <v>77</v>
      </c>
      <c r="Q3363" s="30"/>
    </row>
    <row r="3364">
      <c r="B3364" s="6"/>
      <c r="C3364" s="33" t="str">
        <f t="array" ref="C3364">IF(B3364="", "", XLOOKUP(B3364, Inventory!D:D,Inventory!E:E,"No Name Found"))</f>
        <v/>
      </c>
      <c r="D3364" s="6"/>
      <c r="E3364" s="6"/>
      <c r="F3364" s="6"/>
      <c r="G3364" s="24" t="str">
        <f>IF(F3364="", "", VLOOKUP(F3364, Inventory!A:BZ, 3, FALSE) - SUMIF($F$1:$F3363, F3364, $H$1:$H3363))
</f>
        <v/>
      </c>
      <c r="I3364" s="26"/>
      <c r="J3364" s="26" t="s">
        <v>77</v>
      </c>
      <c r="L3364" s="27" t="s">
        <v>77</v>
      </c>
      <c r="N3364" s="28" t="s">
        <v>77</v>
      </c>
      <c r="Q3364" s="30"/>
    </row>
    <row r="3365">
      <c r="B3365" s="6"/>
      <c r="C3365" s="33" t="str">
        <f t="array" ref="C3365">IF(B3365="", "", XLOOKUP(B3365, Inventory!D:D,Inventory!E:E,"No Name Found"))</f>
        <v/>
      </c>
      <c r="D3365" s="6"/>
      <c r="E3365" s="6"/>
      <c r="F3365" s="6"/>
      <c r="G3365" s="24" t="str">
        <f>IF(F3365="", "", VLOOKUP(F3365, Inventory!A:BZ, 3, FALSE) - SUMIF($F$1:$F3364, F3365, $H$1:$H3364))
</f>
        <v/>
      </c>
      <c r="I3365" s="26"/>
      <c r="J3365" s="26" t="s">
        <v>77</v>
      </c>
      <c r="L3365" s="27" t="s">
        <v>77</v>
      </c>
      <c r="N3365" s="28" t="s">
        <v>77</v>
      </c>
      <c r="Q3365" s="30"/>
    </row>
    <row r="3366">
      <c r="B3366" s="6"/>
      <c r="C3366" s="33" t="str">
        <f t="array" ref="C3366">IF(B3366="", "", XLOOKUP(B3366, Inventory!D:D,Inventory!E:E,"No Name Found"))</f>
        <v/>
      </c>
      <c r="D3366" s="6"/>
      <c r="E3366" s="6"/>
      <c r="F3366" s="6"/>
      <c r="G3366" s="24" t="str">
        <f>IF(F3366="", "", VLOOKUP(F3366, Inventory!A:BZ, 3, FALSE) - SUMIF($F$1:$F3365, F3366, $H$1:$H3365))
</f>
        <v/>
      </c>
      <c r="I3366" s="26"/>
      <c r="J3366" s="26" t="s">
        <v>77</v>
      </c>
      <c r="L3366" s="27" t="s">
        <v>77</v>
      </c>
      <c r="N3366" s="28" t="s">
        <v>77</v>
      </c>
      <c r="Q3366" s="30"/>
    </row>
    <row r="3367">
      <c r="B3367" s="6"/>
      <c r="C3367" s="33" t="str">
        <f t="array" ref="C3367">IF(B3367="", "", XLOOKUP(B3367, Inventory!D:D,Inventory!E:E,"No Name Found"))</f>
        <v/>
      </c>
      <c r="D3367" s="6"/>
      <c r="E3367" s="6"/>
      <c r="F3367" s="6"/>
      <c r="G3367" s="24" t="str">
        <f>IF(F3367="", "", VLOOKUP(F3367, Inventory!A:BZ, 3, FALSE) - SUMIF($F$1:$F3366, F3367, $H$1:$H3366))
</f>
        <v/>
      </c>
      <c r="I3367" s="26"/>
      <c r="J3367" s="26" t="s">
        <v>77</v>
      </c>
      <c r="L3367" s="27" t="s">
        <v>77</v>
      </c>
      <c r="N3367" s="28" t="s">
        <v>77</v>
      </c>
      <c r="Q3367" s="30"/>
    </row>
    <row r="3368">
      <c r="B3368" s="6"/>
      <c r="C3368" s="33" t="str">
        <f t="array" ref="C3368">IF(B3368="", "", XLOOKUP(B3368, Inventory!D:D,Inventory!E:E,"No Name Found"))</f>
        <v/>
      </c>
      <c r="D3368" s="6"/>
      <c r="E3368" s="6"/>
      <c r="F3368" s="6"/>
      <c r="G3368" s="24" t="str">
        <f>IF(F3368="", "", VLOOKUP(F3368, Inventory!A:BZ, 3, FALSE) - SUMIF($F$1:$F3367, F3368, $H$1:$H3367))
</f>
        <v/>
      </c>
      <c r="I3368" s="26"/>
      <c r="J3368" s="26" t="s">
        <v>77</v>
      </c>
      <c r="L3368" s="27" t="s">
        <v>77</v>
      </c>
      <c r="N3368" s="28" t="s">
        <v>77</v>
      </c>
      <c r="Q3368" s="30"/>
    </row>
    <row r="3369">
      <c r="B3369" s="6"/>
      <c r="C3369" s="33" t="str">
        <f t="array" ref="C3369">IF(B3369="", "", XLOOKUP(B3369, Inventory!D:D,Inventory!E:E,"No Name Found"))</f>
        <v/>
      </c>
      <c r="D3369" s="6"/>
      <c r="E3369" s="6"/>
      <c r="F3369" s="6"/>
      <c r="G3369" s="24" t="str">
        <f>IF(F3369="", "", VLOOKUP(F3369, Inventory!A:BZ, 3, FALSE) - SUMIF($F$1:$F3368, F3369, $H$1:$H3368))
</f>
        <v/>
      </c>
      <c r="I3369" s="26"/>
      <c r="J3369" s="26" t="s">
        <v>77</v>
      </c>
      <c r="L3369" s="27" t="s">
        <v>77</v>
      </c>
      <c r="N3369" s="28" t="s">
        <v>77</v>
      </c>
      <c r="Q3369" s="30"/>
    </row>
    <row r="3370">
      <c r="B3370" s="6"/>
      <c r="C3370" s="33" t="str">
        <f t="array" ref="C3370">IF(B3370="", "", XLOOKUP(B3370, Inventory!D:D,Inventory!E:E,"No Name Found"))</f>
        <v/>
      </c>
      <c r="D3370" s="6"/>
      <c r="E3370" s="6"/>
      <c r="F3370" s="6"/>
      <c r="G3370" s="24" t="str">
        <f>IF(F3370="", "", VLOOKUP(F3370, Inventory!A:BZ, 3, FALSE) - SUMIF($F$1:$F3369, F3370, $H$1:$H3369))
</f>
        <v/>
      </c>
      <c r="I3370" s="26"/>
      <c r="J3370" s="26" t="s">
        <v>77</v>
      </c>
      <c r="L3370" s="27" t="s">
        <v>77</v>
      </c>
      <c r="N3370" s="28" t="s">
        <v>77</v>
      </c>
      <c r="Q3370" s="30"/>
    </row>
    <row r="3371">
      <c r="B3371" s="6"/>
      <c r="C3371" s="33" t="str">
        <f t="array" ref="C3371">IF(B3371="", "", XLOOKUP(B3371, Inventory!D:D,Inventory!E:E,"No Name Found"))</f>
        <v/>
      </c>
      <c r="D3371" s="6"/>
      <c r="E3371" s="6"/>
      <c r="F3371" s="6"/>
      <c r="G3371" s="24" t="str">
        <f>IF(F3371="", "", VLOOKUP(F3371, Inventory!A:BZ, 3, FALSE) - SUMIF($F$1:$F3370, F3371, $H$1:$H3370))
</f>
        <v/>
      </c>
      <c r="I3371" s="26"/>
      <c r="J3371" s="26" t="s">
        <v>77</v>
      </c>
      <c r="L3371" s="27" t="s">
        <v>77</v>
      </c>
      <c r="N3371" s="28" t="s">
        <v>77</v>
      </c>
      <c r="Q3371" s="30"/>
    </row>
    <row r="3372">
      <c r="B3372" s="6"/>
      <c r="C3372" s="33" t="str">
        <f t="array" ref="C3372">IF(B3372="", "", XLOOKUP(B3372, Inventory!D:D,Inventory!E:E,"No Name Found"))</f>
        <v/>
      </c>
      <c r="D3372" s="6"/>
      <c r="E3372" s="6"/>
      <c r="F3372" s="6"/>
      <c r="G3372" s="24" t="str">
        <f>IF(F3372="", "", VLOOKUP(F3372, Inventory!A:BZ, 3, FALSE) - SUMIF($F$1:$F3371, F3372, $H$1:$H3371))
</f>
        <v/>
      </c>
      <c r="I3372" s="26"/>
      <c r="J3372" s="26" t="s">
        <v>77</v>
      </c>
      <c r="L3372" s="27" t="s">
        <v>77</v>
      </c>
      <c r="N3372" s="28" t="s">
        <v>77</v>
      </c>
      <c r="Q3372" s="30"/>
    </row>
    <row r="3373">
      <c r="B3373" s="6"/>
      <c r="C3373" s="33" t="str">
        <f t="array" ref="C3373">IF(B3373="", "", XLOOKUP(B3373, Inventory!D:D,Inventory!E:E,"No Name Found"))</f>
        <v/>
      </c>
      <c r="D3373" s="6"/>
      <c r="E3373" s="6"/>
      <c r="F3373" s="6"/>
      <c r="G3373" s="24" t="str">
        <f>IF(F3373="", "", VLOOKUP(F3373, Inventory!A:BZ, 3, FALSE) - SUMIF($F$1:$F3372, F3373, $H$1:$H3372))
</f>
        <v/>
      </c>
      <c r="I3373" s="26"/>
      <c r="J3373" s="26" t="s">
        <v>77</v>
      </c>
      <c r="L3373" s="27" t="s">
        <v>77</v>
      </c>
      <c r="N3373" s="28" t="s">
        <v>77</v>
      </c>
      <c r="Q3373" s="30"/>
    </row>
    <row r="3374">
      <c r="B3374" s="6"/>
      <c r="C3374" s="33" t="str">
        <f t="array" ref="C3374">IF(B3374="", "", XLOOKUP(B3374, Inventory!D:D,Inventory!E:E,"No Name Found"))</f>
        <v/>
      </c>
      <c r="D3374" s="6"/>
      <c r="E3374" s="6"/>
      <c r="F3374" s="6"/>
      <c r="G3374" s="24" t="str">
        <f>IF(F3374="", "", VLOOKUP(F3374, Inventory!A:BZ, 3, FALSE) - SUMIF($F$1:$F3373, F3374, $H$1:$H3373))
</f>
        <v/>
      </c>
      <c r="I3374" s="26"/>
      <c r="J3374" s="26" t="s">
        <v>77</v>
      </c>
      <c r="L3374" s="27" t="s">
        <v>77</v>
      </c>
      <c r="N3374" s="28" t="s">
        <v>77</v>
      </c>
      <c r="Q3374" s="30"/>
    </row>
    <row r="3375">
      <c r="B3375" s="6"/>
      <c r="C3375" s="33" t="str">
        <f t="array" ref="C3375">IF(B3375="", "", XLOOKUP(B3375, Inventory!D:D,Inventory!E:E,"No Name Found"))</f>
        <v/>
      </c>
      <c r="D3375" s="6"/>
      <c r="E3375" s="6"/>
      <c r="F3375" s="6"/>
      <c r="G3375" s="24" t="str">
        <f>IF(F3375="", "", VLOOKUP(F3375, Inventory!A:BZ, 3, FALSE) - SUMIF($F$1:$F3374, F3375, $H$1:$H3374))
</f>
        <v/>
      </c>
      <c r="I3375" s="26"/>
      <c r="J3375" s="26" t="s">
        <v>77</v>
      </c>
      <c r="L3375" s="27" t="s">
        <v>77</v>
      </c>
      <c r="N3375" s="28" t="s">
        <v>77</v>
      </c>
      <c r="Q3375" s="30"/>
    </row>
    <row r="3376">
      <c r="B3376" s="6"/>
      <c r="C3376" s="33" t="str">
        <f t="array" ref="C3376">IF(B3376="", "", XLOOKUP(B3376, Inventory!D:D,Inventory!E:E,"No Name Found"))</f>
        <v/>
      </c>
      <c r="D3376" s="6"/>
      <c r="E3376" s="6"/>
      <c r="F3376" s="6"/>
      <c r="G3376" s="24" t="str">
        <f>IF(F3376="", "", VLOOKUP(F3376, Inventory!A:BZ, 3, FALSE) - SUMIF($F$1:$F3375, F3376, $H$1:$H3375))
</f>
        <v/>
      </c>
      <c r="I3376" s="26"/>
      <c r="J3376" s="26" t="s">
        <v>77</v>
      </c>
      <c r="L3376" s="27" t="s">
        <v>77</v>
      </c>
      <c r="N3376" s="28" t="s">
        <v>77</v>
      </c>
      <c r="Q3376" s="30"/>
    </row>
    <row r="3377">
      <c r="B3377" s="6"/>
      <c r="C3377" s="33" t="str">
        <f t="array" ref="C3377">IF(B3377="", "", XLOOKUP(B3377, Inventory!D:D,Inventory!E:E,"No Name Found"))</f>
        <v/>
      </c>
      <c r="D3377" s="6"/>
      <c r="E3377" s="6"/>
      <c r="F3377" s="6"/>
      <c r="G3377" s="24" t="str">
        <f>IF(F3377="", "", VLOOKUP(F3377, Inventory!A:BZ, 3, FALSE) - SUMIF($F$1:$F3376, F3377, $H$1:$H3376))
</f>
        <v/>
      </c>
      <c r="I3377" s="26"/>
      <c r="J3377" s="26" t="s">
        <v>77</v>
      </c>
      <c r="L3377" s="27" t="s">
        <v>77</v>
      </c>
      <c r="N3377" s="28" t="s">
        <v>77</v>
      </c>
      <c r="Q3377" s="30"/>
    </row>
    <row r="3378">
      <c r="B3378" s="6"/>
      <c r="C3378" s="33" t="str">
        <f t="array" ref="C3378">IF(B3378="", "", XLOOKUP(B3378, Inventory!D:D,Inventory!E:E,"No Name Found"))</f>
        <v/>
      </c>
      <c r="D3378" s="6"/>
      <c r="E3378" s="6"/>
      <c r="F3378" s="6"/>
      <c r="G3378" s="24" t="str">
        <f>IF(F3378="", "", VLOOKUP(F3378, Inventory!A:BZ, 3, FALSE) - SUMIF($F$1:$F3377, F3378, $H$1:$H3377))
</f>
        <v/>
      </c>
      <c r="I3378" s="26"/>
      <c r="J3378" s="26" t="s">
        <v>77</v>
      </c>
      <c r="L3378" s="27" t="s">
        <v>77</v>
      </c>
      <c r="N3378" s="28" t="s">
        <v>77</v>
      </c>
      <c r="Q3378" s="30"/>
    </row>
    <row r="3379">
      <c r="B3379" s="6"/>
      <c r="C3379" s="33" t="str">
        <f t="array" ref="C3379">IF(B3379="", "", XLOOKUP(B3379, Inventory!D:D,Inventory!E:E,"No Name Found"))</f>
        <v/>
      </c>
      <c r="D3379" s="6"/>
      <c r="E3379" s="6"/>
      <c r="F3379" s="6"/>
      <c r="G3379" s="24" t="str">
        <f>IF(F3379="", "", VLOOKUP(F3379, Inventory!A:BZ, 3, FALSE) - SUMIF($F$1:$F3378, F3379, $H$1:$H3378))
</f>
        <v/>
      </c>
      <c r="I3379" s="26"/>
      <c r="J3379" s="26" t="s">
        <v>77</v>
      </c>
      <c r="L3379" s="27" t="s">
        <v>77</v>
      </c>
      <c r="N3379" s="28" t="s">
        <v>77</v>
      </c>
      <c r="Q3379" s="30"/>
    </row>
    <row r="3380">
      <c r="B3380" s="6"/>
      <c r="C3380" s="33" t="str">
        <f t="array" ref="C3380">IF(B3380="", "", XLOOKUP(B3380, Inventory!D:D,Inventory!E:E,"No Name Found"))</f>
        <v/>
      </c>
      <c r="D3380" s="6"/>
      <c r="E3380" s="6"/>
      <c r="F3380" s="6"/>
      <c r="G3380" s="24" t="str">
        <f>IF(F3380="", "", VLOOKUP(F3380, Inventory!A:BZ, 3, FALSE) - SUMIF($F$1:$F3379, F3380, $H$1:$H3379))
</f>
        <v/>
      </c>
      <c r="I3380" s="26"/>
      <c r="J3380" s="26" t="s">
        <v>77</v>
      </c>
      <c r="L3380" s="27" t="s">
        <v>77</v>
      </c>
      <c r="N3380" s="28" t="s">
        <v>77</v>
      </c>
      <c r="Q3380" s="30"/>
    </row>
    <row r="3381">
      <c r="B3381" s="6"/>
      <c r="C3381" s="33" t="str">
        <f t="array" ref="C3381">IF(B3381="", "", XLOOKUP(B3381, Inventory!D:D,Inventory!E:E,"No Name Found"))</f>
        <v/>
      </c>
      <c r="D3381" s="6"/>
      <c r="E3381" s="6"/>
      <c r="F3381" s="6"/>
      <c r="G3381" s="24" t="str">
        <f>IF(F3381="", "", VLOOKUP(F3381, Inventory!A:BZ, 3, FALSE) - SUMIF($F$1:$F3380, F3381, $H$1:$H3380))
</f>
        <v/>
      </c>
      <c r="I3381" s="26"/>
      <c r="J3381" s="26" t="s">
        <v>77</v>
      </c>
      <c r="L3381" s="27" t="s">
        <v>77</v>
      </c>
      <c r="N3381" s="28" t="s">
        <v>77</v>
      </c>
      <c r="Q3381" s="30"/>
    </row>
    <row r="3382">
      <c r="B3382" s="6"/>
      <c r="C3382" s="33" t="str">
        <f t="array" ref="C3382">IF(B3382="", "", XLOOKUP(B3382, Inventory!D:D,Inventory!E:E,"No Name Found"))</f>
        <v/>
      </c>
      <c r="D3382" s="6"/>
      <c r="E3382" s="6"/>
      <c r="F3382" s="6"/>
      <c r="G3382" s="24" t="str">
        <f>IF(F3382="", "", VLOOKUP(F3382, Inventory!A:BZ, 3, FALSE) - SUMIF($F$1:$F3381, F3382, $H$1:$H3381))
</f>
        <v/>
      </c>
      <c r="I3382" s="26"/>
      <c r="J3382" s="26" t="s">
        <v>77</v>
      </c>
      <c r="L3382" s="27" t="s">
        <v>77</v>
      </c>
      <c r="N3382" s="28" t="s">
        <v>77</v>
      </c>
      <c r="Q3382" s="30"/>
    </row>
    <row r="3383">
      <c r="B3383" s="6"/>
      <c r="C3383" s="33" t="str">
        <f t="array" ref="C3383">IF(B3383="", "", XLOOKUP(B3383, Inventory!D:D,Inventory!E:E,"No Name Found"))</f>
        <v/>
      </c>
      <c r="D3383" s="6"/>
      <c r="E3383" s="6"/>
      <c r="F3383" s="6"/>
      <c r="G3383" s="24" t="str">
        <f>IF(F3383="", "", VLOOKUP(F3383, Inventory!A:BZ, 3, FALSE) - SUMIF($F$1:$F3382, F3383, $H$1:$H3382))
</f>
        <v/>
      </c>
      <c r="I3383" s="26"/>
      <c r="J3383" s="26" t="s">
        <v>77</v>
      </c>
      <c r="L3383" s="27" t="s">
        <v>77</v>
      </c>
      <c r="N3383" s="28" t="s">
        <v>77</v>
      </c>
      <c r="Q3383" s="30"/>
    </row>
    <row r="3384">
      <c r="B3384" s="6"/>
      <c r="C3384" s="33" t="str">
        <f t="array" ref="C3384">IF(B3384="", "", XLOOKUP(B3384, Inventory!D:D,Inventory!E:E,"No Name Found"))</f>
        <v/>
      </c>
      <c r="D3384" s="6"/>
      <c r="E3384" s="6"/>
      <c r="F3384" s="6"/>
      <c r="G3384" s="24" t="str">
        <f>IF(F3384="", "", VLOOKUP(F3384, Inventory!A:BZ, 3, FALSE) - SUMIF($F$1:$F3383, F3384, $H$1:$H3383))
</f>
        <v/>
      </c>
      <c r="I3384" s="26"/>
      <c r="J3384" s="26" t="s">
        <v>77</v>
      </c>
      <c r="L3384" s="27" t="s">
        <v>77</v>
      </c>
      <c r="N3384" s="28" t="s">
        <v>77</v>
      </c>
      <c r="Q3384" s="30"/>
    </row>
    <row r="3385">
      <c r="B3385" s="6"/>
      <c r="C3385" s="33" t="str">
        <f t="array" ref="C3385">IF(B3385="", "", XLOOKUP(B3385, Inventory!D:D,Inventory!E:E,"No Name Found"))</f>
        <v/>
      </c>
      <c r="D3385" s="6"/>
      <c r="E3385" s="6"/>
      <c r="F3385" s="6"/>
      <c r="G3385" s="24" t="str">
        <f>IF(F3385="", "", VLOOKUP(F3385, Inventory!A:BZ, 3, FALSE) - SUMIF($F$1:$F3384, F3385, $H$1:$H3384))
</f>
        <v/>
      </c>
      <c r="I3385" s="26"/>
      <c r="J3385" s="26" t="s">
        <v>77</v>
      </c>
      <c r="L3385" s="27" t="s">
        <v>77</v>
      </c>
      <c r="N3385" s="28" t="s">
        <v>77</v>
      </c>
      <c r="Q3385" s="30"/>
    </row>
    <row r="3386">
      <c r="B3386" s="6"/>
      <c r="C3386" s="33" t="str">
        <f t="array" ref="C3386">IF(B3386="", "", XLOOKUP(B3386, Inventory!D:D,Inventory!E:E,"No Name Found"))</f>
        <v/>
      </c>
      <c r="D3386" s="6"/>
      <c r="E3386" s="6"/>
      <c r="F3386" s="6"/>
      <c r="G3386" s="24" t="str">
        <f>IF(F3386="", "", VLOOKUP(F3386, Inventory!A:BZ, 3, FALSE) - SUMIF($F$1:$F3385, F3386, $H$1:$H3385))
</f>
        <v/>
      </c>
      <c r="I3386" s="26"/>
      <c r="J3386" s="26" t="s">
        <v>77</v>
      </c>
      <c r="L3386" s="27" t="s">
        <v>77</v>
      </c>
      <c r="N3386" s="28" t="s">
        <v>77</v>
      </c>
      <c r="Q3386" s="30"/>
    </row>
    <row r="3387">
      <c r="B3387" s="6"/>
      <c r="C3387" s="33" t="str">
        <f t="array" ref="C3387">IF(B3387="", "", XLOOKUP(B3387, Inventory!D:D,Inventory!E:E,"No Name Found"))</f>
        <v/>
      </c>
      <c r="D3387" s="6"/>
      <c r="E3387" s="6"/>
      <c r="F3387" s="6"/>
      <c r="G3387" s="24" t="str">
        <f>IF(F3387="", "", VLOOKUP(F3387, Inventory!A:BZ, 3, FALSE) - SUMIF($F$1:$F3386, F3387, $H$1:$H3386))
</f>
        <v/>
      </c>
      <c r="I3387" s="26"/>
      <c r="J3387" s="26" t="s">
        <v>77</v>
      </c>
      <c r="L3387" s="27" t="s">
        <v>77</v>
      </c>
      <c r="N3387" s="28" t="s">
        <v>77</v>
      </c>
      <c r="Q3387" s="30"/>
    </row>
    <row r="3388">
      <c r="B3388" s="6"/>
      <c r="C3388" s="33" t="str">
        <f t="array" ref="C3388">IF(B3388="", "", XLOOKUP(B3388, Inventory!D:D,Inventory!E:E,"No Name Found"))</f>
        <v/>
      </c>
      <c r="D3388" s="6"/>
      <c r="E3388" s="6"/>
      <c r="F3388" s="6"/>
      <c r="G3388" s="24" t="str">
        <f>IF(F3388="", "", VLOOKUP(F3388, Inventory!A:BZ, 3, FALSE) - SUMIF($F$1:$F3387, F3388, $H$1:$H3387))
</f>
        <v/>
      </c>
      <c r="I3388" s="26"/>
      <c r="J3388" s="26" t="s">
        <v>77</v>
      </c>
      <c r="L3388" s="27" t="s">
        <v>77</v>
      </c>
      <c r="N3388" s="28" t="s">
        <v>77</v>
      </c>
      <c r="Q3388" s="30"/>
    </row>
    <row r="3389">
      <c r="B3389" s="6"/>
      <c r="C3389" s="33" t="str">
        <f t="array" ref="C3389">IF(B3389="", "", XLOOKUP(B3389, Inventory!D:D,Inventory!E:E,"No Name Found"))</f>
        <v/>
      </c>
      <c r="D3389" s="6"/>
      <c r="E3389" s="6"/>
      <c r="F3389" s="6"/>
      <c r="G3389" s="24" t="str">
        <f>IF(F3389="", "", VLOOKUP(F3389, Inventory!A:BZ, 3, FALSE) - SUMIF($F$1:$F3388, F3389, $H$1:$H3388))
</f>
        <v/>
      </c>
      <c r="I3389" s="26"/>
      <c r="J3389" s="26" t="s">
        <v>77</v>
      </c>
      <c r="L3389" s="27" t="s">
        <v>77</v>
      </c>
      <c r="N3389" s="28" t="s">
        <v>77</v>
      </c>
      <c r="Q3389" s="30"/>
    </row>
    <row r="3390">
      <c r="B3390" s="6"/>
      <c r="C3390" s="33" t="str">
        <f t="array" ref="C3390">IF(B3390="", "", XLOOKUP(B3390, Inventory!D:D,Inventory!E:E,"No Name Found"))</f>
        <v/>
      </c>
      <c r="D3390" s="6"/>
      <c r="E3390" s="6"/>
      <c r="F3390" s="6"/>
      <c r="G3390" s="24" t="str">
        <f>IF(F3390="", "", VLOOKUP(F3390, Inventory!A:BZ, 3, FALSE) - SUMIF($F$1:$F3389, F3390, $H$1:$H3389))
</f>
        <v/>
      </c>
      <c r="I3390" s="26"/>
      <c r="J3390" s="26" t="s">
        <v>77</v>
      </c>
      <c r="L3390" s="27" t="s">
        <v>77</v>
      </c>
      <c r="N3390" s="28" t="s">
        <v>77</v>
      </c>
      <c r="Q3390" s="30"/>
    </row>
    <row r="3391">
      <c r="B3391" s="6"/>
      <c r="C3391" s="33" t="str">
        <f t="array" ref="C3391">IF(B3391="", "", XLOOKUP(B3391, Inventory!D:D,Inventory!E:E,"No Name Found"))</f>
        <v/>
      </c>
      <c r="D3391" s="6"/>
      <c r="E3391" s="6"/>
      <c r="F3391" s="6"/>
      <c r="G3391" s="24" t="str">
        <f>IF(F3391="", "", VLOOKUP(F3391, Inventory!A:BZ, 3, FALSE) - SUMIF($F$1:$F3390, F3391, $H$1:$H3390))
</f>
        <v/>
      </c>
      <c r="I3391" s="26"/>
      <c r="J3391" s="26" t="s">
        <v>77</v>
      </c>
      <c r="L3391" s="27" t="s">
        <v>77</v>
      </c>
      <c r="N3391" s="28" t="s">
        <v>77</v>
      </c>
      <c r="Q3391" s="30"/>
    </row>
    <row r="3392">
      <c r="B3392" s="6"/>
      <c r="C3392" s="33" t="str">
        <f t="array" ref="C3392">IF(B3392="", "", XLOOKUP(B3392, Inventory!D:D,Inventory!E:E,"No Name Found"))</f>
        <v/>
      </c>
      <c r="D3392" s="6"/>
      <c r="E3392" s="6"/>
      <c r="F3392" s="6"/>
      <c r="G3392" s="24" t="str">
        <f>IF(F3392="", "", VLOOKUP(F3392, Inventory!A:BZ, 3, FALSE) - SUMIF($F$1:$F3391, F3392, $H$1:$H3391))
</f>
        <v/>
      </c>
      <c r="I3392" s="26"/>
      <c r="J3392" s="26" t="s">
        <v>77</v>
      </c>
      <c r="L3392" s="27" t="s">
        <v>77</v>
      </c>
      <c r="N3392" s="28" t="s">
        <v>77</v>
      </c>
      <c r="Q3392" s="30"/>
    </row>
    <row r="3393">
      <c r="B3393" s="6"/>
      <c r="C3393" s="33" t="str">
        <f t="array" ref="C3393">IF(B3393="", "", XLOOKUP(B3393, Inventory!D:D,Inventory!E:E,"No Name Found"))</f>
        <v/>
      </c>
      <c r="D3393" s="6"/>
      <c r="E3393" s="6"/>
      <c r="F3393" s="6"/>
      <c r="G3393" s="24" t="str">
        <f>IF(F3393="", "", VLOOKUP(F3393, Inventory!A:BZ, 3, FALSE) - SUMIF($F$1:$F3392, F3393, $H$1:$H3392))
</f>
        <v/>
      </c>
      <c r="I3393" s="26"/>
      <c r="J3393" s="26" t="s">
        <v>77</v>
      </c>
      <c r="L3393" s="27" t="s">
        <v>77</v>
      </c>
      <c r="N3393" s="28" t="s">
        <v>77</v>
      </c>
      <c r="Q3393" s="30"/>
    </row>
    <row r="3394">
      <c r="B3394" s="6"/>
      <c r="C3394" s="33" t="str">
        <f t="array" ref="C3394">IF(B3394="", "", XLOOKUP(B3394, Inventory!D:D,Inventory!E:E,"No Name Found"))</f>
        <v/>
      </c>
      <c r="D3394" s="6"/>
      <c r="E3394" s="6"/>
      <c r="F3394" s="6"/>
      <c r="G3394" s="24" t="str">
        <f>IF(F3394="", "", VLOOKUP(F3394, Inventory!A:BZ, 3, FALSE) - SUMIF($F$1:$F3393, F3394, $H$1:$H3393))
</f>
        <v/>
      </c>
      <c r="I3394" s="26"/>
      <c r="J3394" s="26" t="s">
        <v>77</v>
      </c>
      <c r="L3394" s="27" t="s">
        <v>77</v>
      </c>
      <c r="N3394" s="28" t="s">
        <v>77</v>
      </c>
      <c r="Q3394" s="30"/>
    </row>
    <row r="3395">
      <c r="B3395" s="6"/>
      <c r="C3395" s="33" t="str">
        <f t="array" ref="C3395">IF(B3395="", "", XLOOKUP(B3395, Inventory!D:D,Inventory!E:E,"No Name Found"))</f>
        <v/>
      </c>
      <c r="D3395" s="6"/>
      <c r="E3395" s="6"/>
      <c r="F3395" s="6"/>
      <c r="G3395" s="24" t="str">
        <f>IF(F3395="", "", VLOOKUP(F3395, Inventory!A:BZ, 3, FALSE) - SUMIF($F$1:$F3394, F3395, $H$1:$H3394))
</f>
        <v/>
      </c>
      <c r="I3395" s="26"/>
      <c r="J3395" s="26" t="s">
        <v>77</v>
      </c>
      <c r="L3395" s="27" t="s">
        <v>77</v>
      </c>
      <c r="N3395" s="28" t="s">
        <v>77</v>
      </c>
      <c r="Q3395" s="30"/>
    </row>
    <row r="3396">
      <c r="B3396" s="6"/>
      <c r="C3396" s="33" t="str">
        <f t="array" ref="C3396">IF(B3396="", "", XLOOKUP(B3396, Inventory!D:D,Inventory!E:E,"No Name Found"))</f>
        <v/>
      </c>
      <c r="D3396" s="6"/>
      <c r="E3396" s="6"/>
      <c r="F3396" s="6"/>
      <c r="G3396" s="24" t="str">
        <f>IF(F3396="", "", VLOOKUP(F3396, Inventory!A:BZ, 3, FALSE) - SUMIF($F$1:$F3395, F3396, $H$1:$H3395))
</f>
        <v/>
      </c>
      <c r="I3396" s="26"/>
      <c r="J3396" s="26" t="s">
        <v>77</v>
      </c>
      <c r="L3396" s="27" t="s">
        <v>77</v>
      </c>
      <c r="N3396" s="28" t="s">
        <v>77</v>
      </c>
      <c r="Q3396" s="30"/>
    </row>
    <row r="3397">
      <c r="B3397" s="6"/>
      <c r="C3397" s="33" t="str">
        <f t="array" ref="C3397">IF(B3397="", "", XLOOKUP(B3397, Inventory!D:D,Inventory!E:E,"No Name Found"))</f>
        <v/>
      </c>
      <c r="D3397" s="6"/>
      <c r="E3397" s="6"/>
      <c r="F3397" s="6"/>
      <c r="G3397" s="24" t="str">
        <f>IF(F3397="", "", VLOOKUP(F3397, Inventory!A:BZ, 3, FALSE) - SUMIF($F$1:$F3396, F3397, $H$1:$H3396))
</f>
        <v/>
      </c>
      <c r="I3397" s="26"/>
      <c r="J3397" s="26" t="s">
        <v>77</v>
      </c>
      <c r="L3397" s="27" t="s">
        <v>77</v>
      </c>
      <c r="N3397" s="28" t="s">
        <v>77</v>
      </c>
      <c r="Q3397" s="30"/>
    </row>
    <row r="3398">
      <c r="B3398" s="6"/>
      <c r="C3398" s="33" t="str">
        <f t="array" ref="C3398">IF(B3398="", "", XLOOKUP(B3398, Inventory!D:D,Inventory!E:E,"No Name Found"))</f>
        <v/>
      </c>
      <c r="D3398" s="6"/>
      <c r="E3398" s="6"/>
      <c r="F3398" s="6"/>
      <c r="G3398" s="24" t="str">
        <f>IF(F3398="", "", VLOOKUP(F3398, Inventory!A:BZ, 3, FALSE) - SUMIF($F$1:$F3397, F3398, $H$1:$H3397))
</f>
        <v/>
      </c>
      <c r="I3398" s="26"/>
      <c r="J3398" s="26" t="s">
        <v>77</v>
      </c>
      <c r="L3398" s="27" t="s">
        <v>77</v>
      </c>
      <c r="N3398" s="28" t="s">
        <v>77</v>
      </c>
      <c r="Q3398" s="30"/>
    </row>
    <row r="3399">
      <c r="B3399" s="6"/>
      <c r="C3399" s="33" t="str">
        <f t="array" ref="C3399">IF(B3399="", "", XLOOKUP(B3399, Inventory!D:D,Inventory!E:E,"No Name Found"))</f>
        <v/>
      </c>
      <c r="D3399" s="6"/>
      <c r="E3399" s="6"/>
      <c r="F3399" s="6"/>
      <c r="G3399" s="24" t="str">
        <f>IF(F3399="", "", VLOOKUP(F3399, Inventory!A:BZ, 3, FALSE) - SUMIF($F$1:$F3398, F3399, $H$1:$H3398))
</f>
        <v/>
      </c>
      <c r="I3399" s="26"/>
      <c r="J3399" s="26" t="s">
        <v>77</v>
      </c>
      <c r="L3399" s="27" t="s">
        <v>77</v>
      </c>
      <c r="N3399" s="28" t="s">
        <v>77</v>
      </c>
      <c r="Q3399" s="30"/>
    </row>
    <row r="3400">
      <c r="B3400" s="6"/>
      <c r="C3400" s="33" t="str">
        <f t="array" ref="C3400">IF(B3400="", "", XLOOKUP(B3400, Inventory!D:D,Inventory!E:E,"No Name Found"))</f>
        <v/>
      </c>
      <c r="D3400" s="6"/>
      <c r="E3400" s="6"/>
      <c r="F3400" s="6"/>
      <c r="G3400" s="24" t="str">
        <f>IF(F3400="", "", VLOOKUP(F3400, Inventory!A:BZ, 3, FALSE) - SUMIF($F$1:$F3399, F3400, $H$1:$H3399))
</f>
        <v/>
      </c>
      <c r="I3400" s="26"/>
      <c r="J3400" s="26" t="s">
        <v>77</v>
      </c>
      <c r="L3400" s="27" t="s">
        <v>77</v>
      </c>
      <c r="N3400" s="28" t="s">
        <v>77</v>
      </c>
      <c r="Q3400" s="30"/>
    </row>
    <row r="3401">
      <c r="B3401" s="6"/>
      <c r="C3401" s="33" t="str">
        <f t="array" ref="C3401">IF(B3401="", "", XLOOKUP(B3401, Inventory!D:D,Inventory!E:E,"No Name Found"))</f>
        <v/>
      </c>
      <c r="D3401" s="6"/>
      <c r="E3401" s="6"/>
      <c r="F3401" s="6"/>
      <c r="G3401" s="24" t="str">
        <f>IF(F3401="", "", VLOOKUP(F3401, Inventory!A:BZ, 3, FALSE) - SUMIF($F$1:$F3400, F3401, $H$1:$H3400))
</f>
        <v/>
      </c>
      <c r="I3401" s="26"/>
      <c r="J3401" s="26" t="s">
        <v>77</v>
      </c>
      <c r="L3401" s="27" t="s">
        <v>77</v>
      </c>
      <c r="N3401" s="28" t="s">
        <v>77</v>
      </c>
      <c r="Q3401" s="30"/>
    </row>
    <row r="3402">
      <c r="B3402" s="6"/>
      <c r="C3402" s="33" t="str">
        <f t="array" ref="C3402">IF(B3402="", "", XLOOKUP(B3402, Inventory!D:D,Inventory!E:E,"No Name Found"))</f>
        <v/>
      </c>
      <c r="D3402" s="6"/>
      <c r="E3402" s="6"/>
      <c r="F3402" s="6"/>
      <c r="G3402" s="24" t="str">
        <f>IF(F3402="", "", VLOOKUP(F3402, Inventory!A:BZ, 3, FALSE) - SUMIF($F$1:$F3401, F3402, $H$1:$H3401))
</f>
        <v/>
      </c>
      <c r="I3402" s="26"/>
      <c r="J3402" s="26" t="s">
        <v>77</v>
      </c>
      <c r="L3402" s="27" t="s">
        <v>77</v>
      </c>
      <c r="N3402" s="28" t="s">
        <v>77</v>
      </c>
      <c r="Q3402" s="30"/>
    </row>
    <row r="3403">
      <c r="B3403" s="6"/>
      <c r="C3403" s="33" t="str">
        <f t="array" ref="C3403">IF(B3403="", "", XLOOKUP(B3403, Inventory!D:D,Inventory!E:E,"No Name Found"))</f>
        <v/>
      </c>
      <c r="D3403" s="6"/>
      <c r="E3403" s="6"/>
      <c r="F3403" s="6"/>
      <c r="G3403" s="24" t="str">
        <f>IF(F3403="", "", VLOOKUP(F3403, Inventory!A:BZ, 3, FALSE) - SUMIF($F$1:$F3402, F3403, $H$1:$H3402))
</f>
        <v/>
      </c>
      <c r="I3403" s="26"/>
      <c r="J3403" s="26" t="s">
        <v>77</v>
      </c>
      <c r="L3403" s="27" t="s">
        <v>77</v>
      </c>
      <c r="N3403" s="28" t="s">
        <v>77</v>
      </c>
      <c r="Q3403" s="30"/>
    </row>
    <row r="3404">
      <c r="B3404" s="6"/>
      <c r="C3404" s="33" t="str">
        <f t="array" ref="C3404">IF(B3404="", "", XLOOKUP(B3404, Inventory!D:D,Inventory!E:E,"No Name Found"))</f>
        <v/>
      </c>
      <c r="D3404" s="6"/>
      <c r="E3404" s="6"/>
      <c r="F3404" s="6"/>
      <c r="G3404" s="24" t="str">
        <f>IF(F3404="", "", VLOOKUP(F3404, Inventory!A:BZ, 3, FALSE) - SUMIF($F$1:$F3403, F3404, $H$1:$H3403))
</f>
        <v/>
      </c>
      <c r="I3404" s="26"/>
      <c r="J3404" s="26" t="s">
        <v>77</v>
      </c>
      <c r="L3404" s="27" t="s">
        <v>77</v>
      </c>
      <c r="N3404" s="28" t="s">
        <v>77</v>
      </c>
      <c r="Q3404" s="30"/>
    </row>
    <row r="3405">
      <c r="B3405" s="6"/>
      <c r="C3405" s="33" t="str">
        <f t="array" ref="C3405">IF(B3405="", "", XLOOKUP(B3405, Inventory!D:D,Inventory!E:E,"No Name Found"))</f>
        <v/>
      </c>
      <c r="D3405" s="6"/>
      <c r="E3405" s="6"/>
      <c r="F3405" s="6"/>
      <c r="G3405" s="24" t="str">
        <f>IF(F3405="", "", VLOOKUP(F3405, Inventory!A:BZ, 3, FALSE) - SUMIF($F$1:$F3404, F3405, $H$1:$H3404))
</f>
        <v/>
      </c>
      <c r="I3405" s="26"/>
      <c r="J3405" s="26" t="s">
        <v>77</v>
      </c>
      <c r="L3405" s="27" t="s">
        <v>77</v>
      </c>
      <c r="N3405" s="28" t="s">
        <v>77</v>
      </c>
      <c r="Q3405" s="30"/>
    </row>
    <row r="3406">
      <c r="B3406" s="6"/>
      <c r="C3406" s="33" t="str">
        <f t="array" ref="C3406">IF(B3406="", "", XLOOKUP(B3406, Inventory!D:D,Inventory!E:E,"No Name Found"))</f>
        <v/>
      </c>
      <c r="D3406" s="6"/>
      <c r="E3406" s="6"/>
      <c r="F3406" s="6"/>
      <c r="G3406" s="24" t="str">
        <f>IF(F3406="", "", VLOOKUP(F3406, Inventory!A:BZ, 3, FALSE) - SUMIF($F$1:$F3405, F3406, $H$1:$H3405))
</f>
        <v/>
      </c>
      <c r="I3406" s="26"/>
      <c r="J3406" s="26" t="s">
        <v>77</v>
      </c>
      <c r="L3406" s="27" t="s">
        <v>77</v>
      </c>
      <c r="N3406" s="28" t="s">
        <v>77</v>
      </c>
      <c r="Q3406" s="30"/>
    </row>
    <row r="3407">
      <c r="B3407" s="6"/>
      <c r="C3407" s="33" t="str">
        <f t="array" ref="C3407">IF(B3407="", "", XLOOKUP(B3407, Inventory!D:D,Inventory!E:E,"No Name Found"))</f>
        <v/>
      </c>
      <c r="D3407" s="6"/>
      <c r="E3407" s="6"/>
      <c r="F3407" s="6"/>
      <c r="G3407" s="24" t="str">
        <f>IF(F3407="", "", VLOOKUP(F3407, Inventory!A:BZ, 3, FALSE) - SUMIF($F$1:$F3406, F3407, $H$1:$H3406))
</f>
        <v/>
      </c>
      <c r="I3407" s="26"/>
      <c r="J3407" s="26" t="s">
        <v>77</v>
      </c>
      <c r="L3407" s="27" t="s">
        <v>77</v>
      </c>
      <c r="N3407" s="28" t="s">
        <v>77</v>
      </c>
      <c r="Q3407" s="30"/>
    </row>
    <row r="3408">
      <c r="B3408" s="6"/>
      <c r="C3408" s="33" t="str">
        <f t="array" ref="C3408">IF(B3408="", "", XLOOKUP(B3408, Inventory!D:D,Inventory!E:E,"No Name Found"))</f>
        <v/>
      </c>
      <c r="D3408" s="6"/>
      <c r="E3408" s="6"/>
      <c r="F3408" s="6"/>
      <c r="G3408" s="24" t="str">
        <f>IF(F3408="", "", VLOOKUP(F3408, Inventory!A:BZ, 3, FALSE) - SUMIF($F$1:$F3407, F3408, $H$1:$H3407))
</f>
        <v/>
      </c>
      <c r="I3408" s="26"/>
      <c r="J3408" s="26" t="s">
        <v>77</v>
      </c>
      <c r="L3408" s="27" t="s">
        <v>77</v>
      </c>
      <c r="N3408" s="28" t="s">
        <v>77</v>
      </c>
      <c r="Q3408" s="30"/>
    </row>
    <row r="3409">
      <c r="B3409" s="6"/>
      <c r="C3409" s="33" t="str">
        <f t="array" ref="C3409">IF(B3409="", "", XLOOKUP(B3409, Inventory!D:D,Inventory!E:E,"No Name Found"))</f>
        <v/>
      </c>
      <c r="D3409" s="6"/>
      <c r="E3409" s="6"/>
      <c r="F3409" s="6"/>
      <c r="G3409" s="24" t="str">
        <f>IF(F3409="", "", VLOOKUP(F3409, Inventory!A:BZ, 3, FALSE) - SUMIF($F$1:$F3408, F3409, $H$1:$H3408))
</f>
        <v/>
      </c>
      <c r="I3409" s="26"/>
      <c r="J3409" s="26" t="s">
        <v>77</v>
      </c>
      <c r="L3409" s="27" t="s">
        <v>77</v>
      </c>
      <c r="N3409" s="28" t="s">
        <v>77</v>
      </c>
      <c r="Q3409" s="30"/>
    </row>
    <row r="3410">
      <c r="B3410" s="6"/>
      <c r="C3410" s="33" t="str">
        <f t="array" ref="C3410">IF(B3410="", "", XLOOKUP(B3410, Inventory!D:D,Inventory!E:E,"No Name Found"))</f>
        <v/>
      </c>
      <c r="D3410" s="6"/>
      <c r="E3410" s="6"/>
      <c r="F3410" s="6"/>
      <c r="G3410" s="24" t="str">
        <f>IF(F3410="", "", VLOOKUP(F3410, Inventory!A:BZ, 3, FALSE) - SUMIF($F$1:$F3409, F3410, $H$1:$H3409))
</f>
        <v/>
      </c>
      <c r="I3410" s="26"/>
      <c r="J3410" s="26" t="s">
        <v>77</v>
      </c>
      <c r="L3410" s="27" t="s">
        <v>77</v>
      </c>
      <c r="N3410" s="28" t="s">
        <v>77</v>
      </c>
      <c r="Q3410" s="30"/>
    </row>
    <row r="3411">
      <c r="B3411" s="6"/>
      <c r="C3411" s="33" t="str">
        <f t="array" ref="C3411">IF(B3411="", "", XLOOKUP(B3411, Inventory!D:D,Inventory!E:E,"No Name Found"))</f>
        <v/>
      </c>
      <c r="D3411" s="6"/>
      <c r="E3411" s="6"/>
      <c r="F3411" s="6"/>
      <c r="G3411" s="24" t="str">
        <f>IF(F3411="", "", VLOOKUP(F3411, Inventory!A:BZ, 3, FALSE) - SUMIF($F$1:$F3410, F3411, $H$1:$H3410))
</f>
        <v/>
      </c>
      <c r="I3411" s="26"/>
      <c r="J3411" s="26" t="s">
        <v>77</v>
      </c>
      <c r="L3411" s="27" t="s">
        <v>77</v>
      </c>
      <c r="N3411" s="28" t="s">
        <v>77</v>
      </c>
      <c r="Q3411" s="30"/>
    </row>
    <row r="3412">
      <c r="B3412" s="6"/>
      <c r="C3412" s="33" t="str">
        <f t="array" ref="C3412">IF(B3412="", "", XLOOKUP(B3412, Inventory!D:D,Inventory!E:E,"No Name Found"))</f>
        <v/>
      </c>
      <c r="D3412" s="6"/>
      <c r="E3412" s="6"/>
      <c r="F3412" s="6"/>
      <c r="G3412" s="24" t="str">
        <f>IF(F3412="", "", VLOOKUP(F3412, Inventory!A:BZ, 3, FALSE) - SUMIF($F$1:$F3411, F3412, $H$1:$H3411))
</f>
        <v/>
      </c>
      <c r="I3412" s="26"/>
      <c r="J3412" s="26" t="s">
        <v>77</v>
      </c>
      <c r="L3412" s="27" t="s">
        <v>77</v>
      </c>
      <c r="N3412" s="28" t="s">
        <v>77</v>
      </c>
      <c r="Q3412" s="30"/>
    </row>
    <row r="3413">
      <c r="B3413" s="6"/>
      <c r="C3413" s="33" t="str">
        <f t="array" ref="C3413">IF(B3413="", "", XLOOKUP(B3413, Inventory!D:D,Inventory!E:E,"No Name Found"))</f>
        <v/>
      </c>
      <c r="D3413" s="6"/>
      <c r="E3413" s="6"/>
      <c r="F3413" s="6"/>
      <c r="G3413" s="24" t="str">
        <f>IF(F3413="", "", VLOOKUP(F3413, Inventory!A:BZ, 3, FALSE) - SUMIF($F$1:$F3412, F3413, $H$1:$H3412))
</f>
        <v/>
      </c>
      <c r="I3413" s="26"/>
      <c r="J3413" s="26" t="s">
        <v>77</v>
      </c>
      <c r="L3413" s="27" t="s">
        <v>77</v>
      </c>
      <c r="N3413" s="28" t="s">
        <v>77</v>
      </c>
      <c r="Q3413" s="30"/>
    </row>
    <row r="3414">
      <c r="B3414" s="6"/>
      <c r="C3414" s="33" t="str">
        <f t="array" ref="C3414">IF(B3414="", "", XLOOKUP(B3414, Inventory!D:D,Inventory!E:E,"No Name Found"))</f>
        <v/>
      </c>
      <c r="D3414" s="6"/>
      <c r="E3414" s="6"/>
      <c r="F3414" s="6"/>
      <c r="G3414" s="24" t="str">
        <f>IF(F3414="", "", VLOOKUP(F3414, Inventory!A:BZ, 3, FALSE) - SUMIF($F$1:$F3413, F3414, $H$1:$H3413))
</f>
        <v/>
      </c>
      <c r="I3414" s="26"/>
      <c r="J3414" s="26" t="s">
        <v>77</v>
      </c>
      <c r="L3414" s="27" t="s">
        <v>77</v>
      </c>
      <c r="N3414" s="28" t="s">
        <v>77</v>
      </c>
      <c r="Q3414" s="30"/>
    </row>
    <row r="3415">
      <c r="B3415" s="6"/>
      <c r="C3415" s="33" t="str">
        <f t="array" ref="C3415">IF(B3415="", "", XLOOKUP(B3415, Inventory!D:D,Inventory!E:E,"No Name Found"))</f>
        <v/>
      </c>
      <c r="D3415" s="6"/>
      <c r="E3415" s="6"/>
      <c r="F3415" s="6"/>
      <c r="G3415" s="24" t="str">
        <f>IF(F3415="", "", VLOOKUP(F3415, Inventory!A:BZ, 3, FALSE) - SUMIF($F$1:$F3414, F3415, $H$1:$H3414))
</f>
        <v/>
      </c>
      <c r="I3415" s="26"/>
      <c r="J3415" s="26" t="s">
        <v>77</v>
      </c>
      <c r="L3415" s="27" t="s">
        <v>77</v>
      </c>
      <c r="N3415" s="28" t="s">
        <v>77</v>
      </c>
      <c r="Q3415" s="30"/>
    </row>
    <row r="3416">
      <c r="B3416" s="6"/>
      <c r="C3416" s="33" t="str">
        <f t="array" ref="C3416">IF(B3416="", "", XLOOKUP(B3416, Inventory!D:D,Inventory!E:E,"No Name Found"))</f>
        <v/>
      </c>
      <c r="D3416" s="6"/>
      <c r="E3416" s="6"/>
      <c r="F3416" s="6"/>
      <c r="G3416" s="24" t="str">
        <f>IF(F3416="", "", VLOOKUP(F3416, Inventory!A:BZ, 3, FALSE) - SUMIF($F$1:$F3415, F3416, $H$1:$H3415))
</f>
        <v/>
      </c>
      <c r="I3416" s="26"/>
      <c r="J3416" s="26" t="s">
        <v>77</v>
      </c>
      <c r="L3416" s="27" t="s">
        <v>77</v>
      </c>
      <c r="N3416" s="28" t="s">
        <v>77</v>
      </c>
      <c r="Q3416" s="30"/>
    </row>
    <row r="3417">
      <c r="B3417" s="6"/>
      <c r="C3417" s="33" t="str">
        <f t="array" ref="C3417">IF(B3417="", "", XLOOKUP(B3417, Inventory!D:D,Inventory!E:E,"No Name Found"))</f>
        <v/>
      </c>
      <c r="D3417" s="6"/>
      <c r="E3417" s="6"/>
      <c r="F3417" s="6"/>
      <c r="G3417" s="24" t="str">
        <f>IF(F3417="", "", VLOOKUP(F3417, Inventory!A:BZ, 3, FALSE) - SUMIF($F$1:$F3416, F3417, $H$1:$H3416))
</f>
        <v/>
      </c>
      <c r="I3417" s="26"/>
      <c r="J3417" s="26" t="s">
        <v>77</v>
      </c>
      <c r="L3417" s="27" t="s">
        <v>77</v>
      </c>
      <c r="N3417" s="28" t="s">
        <v>77</v>
      </c>
      <c r="Q3417" s="30"/>
    </row>
    <row r="3418">
      <c r="B3418" s="6"/>
      <c r="C3418" s="33" t="str">
        <f t="array" ref="C3418">IF(B3418="", "", XLOOKUP(B3418, Inventory!D:D,Inventory!E:E,"No Name Found"))</f>
        <v/>
      </c>
      <c r="D3418" s="6"/>
      <c r="E3418" s="6"/>
      <c r="F3418" s="6"/>
      <c r="G3418" s="24" t="str">
        <f>IF(F3418="", "", VLOOKUP(F3418, Inventory!A:BZ, 3, FALSE) - SUMIF($F$1:$F3417, F3418, $H$1:$H3417))
</f>
        <v/>
      </c>
      <c r="I3418" s="26"/>
      <c r="J3418" s="26" t="s">
        <v>77</v>
      </c>
      <c r="L3418" s="27" t="s">
        <v>77</v>
      </c>
      <c r="N3418" s="28" t="s">
        <v>77</v>
      </c>
      <c r="Q3418" s="30"/>
    </row>
    <row r="3419">
      <c r="B3419" s="6"/>
      <c r="C3419" s="33" t="str">
        <f t="array" ref="C3419">IF(B3419="", "", XLOOKUP(B3419, Inventory!D:D,Inventory!E:E,"No Name Found"))</f>
        <v/>
      </c>
      <c r="D3419" s="6"/>
      <c r="E3419" s="6"/>
      <c r="F3419" s="6"/>
      <c r="G3419" s="24" t="str">
        <f>IF(F3419="", "", VLOOKUP(F3419, Inventory!A:BZ, 3, FALSE) - SUMIF($F$1:$F3418, F3419, $H$1:$H3418))
</f>
        <v/>
      </c>
      <c r="I3419" s="26"/>
      <c r="J3419" s="26" t="s">
        <v>77</v>
      </c>
      <c r="L3419" s="27" t="s">
        <v>77</v>
      </c>
      <c r="N3419" s="28" t="s">
        <v>77</v>
      </c>
      <c r="Q3419" s="30"/>
    </row>
    <row r="3420">
      <c r="B3420" s="6"/>
      <c r="C3420" s="33" t="str">
        <f t="array" ref="C3420">IF(B3420="", "", XLOOKUP(B3420, Inventory!D:D,Inventory!E:E,"No Name Found"))</f>
        <v/>
      </c>
      <c r="D3420" s="6"/>
      <c r="E3420" s="6"/>
      <c r="F3420" s="6"/>
      <c r="G3420" s="24" t="str">
        <f>IF(F3420="", "", VLOOKUP(F3420, Inventory!A:BZ, 3, FALSE) - SUMIF($F$1:$F3419, F3420, $H$1:$H3419))
</f>
        <v/>
      </c>
      <c r="I3420" s="26"/>
      <c r="J3420" s="26" t="s">
        <v>77</v>
      </c>
      <c r="L3420" s="27" t="s">
        <v>77</v>
      </c>
      <c r="N3420" s="28" t="s">
        <v>77</v>
      </c>
      <c r="Q3420" s="30"/>
    </row>
    <row r="3421">
      <c r="B3421" s="6"/>
      <c r="C3421" s="33" t="str">
        <f t="array" ref="C3421">IF(B3421="", "", XLOOKUP(B3421, Inventory!D:D,Inventory!E:E,"No Name Found"))</f>
        <v/>
      </c>
      <c r="D3421" s="6"/>
      <c r="E3421" s="6"/>
      <c r="F3421" s="6"/>
      <c r="G3421" s="24" t="str">
        <f>IF(F3421="", "", VLOOKUP(F3421, Inventory!A:BZ, 3, FALSE) - SUMIF($F$1:$F3420, F3421, $H$1:$H3420))
</f>
        <v/>
      </c>
      <c r="I3421" s="26"/>
      <c r="J3421" s="26" t="s">
        <v>77</v>
      </c>
      <c r="L3421" s="27" t="s">
        <v>77</v>
      </c>
      <c r="N3421" s="28" t="s">
        <v>77</v>
      </c>
      <c r="Q3421" s="30"/>
    </row>
    <row r="3422">
      <c r="B3422" s="6"/>
      <c r="C3422" s="33" t="str">
        <f t="array" ref="C3422">IF(B3422="", "", XLOOKUP(B3422, Inventory!D:D,Inventory!E:E,"No Name Found"))</f>
        <v/>
      </c>
      <c r="D3422" s="6"/>
      <c r="E3422" s="6"/>
      <c r="F3422" s="6"/>
      <c r="G3422" s="24" t="str">
        <f>IF(F3422="", "", VLOOKUP(F3422, Inventory!A:BZ, 3, FALSE) - SUMIF($F$1:$F3421, F3422, $H$1:$H3421))
</f>
        <v/>
      </c>
      <c r="I3422" s="26"/>
      <c r="J3422" s="26" t="s">
        <v>77</v>
      </c>
      <c r="L3422" s="27" t="s">
        <v>77</v>
      </c>
      <c r="N3422" s="28" t="s">
        <v>77</v>
      </c>
      <c r="Q3422" s="30"/>
    </row>
    <row r="3423">
      <c r="B3423" s="6"/>
      <c r="C3423" s="33" t="str">
        <f t="array" ref="C3423">IF(B3423="", "", XLOOKUP(B3423, Inventory!D:D,Inventory!E:E,"No Name Found"))</f>
        <v/>
      </c>
      <c r="D3423" s="6"/>
      <c r="E3423" s="6"/>
      <c r="F3423" s="6"/>
      <c r="G3423" s="24" t="str">
        <f>IF(F3423="", "", VLOOKUP(F3423, Inventory!A:BZ, 3, FALSE) - SUMIF($F$1:$F3422, F3423, $H$1:$H3422))
</f>
        <v/>
      </c>
      <c r="I3423" s="26"/>
      <c r="J3423" s="26" t="s">
        <v>77</v>
      </c>
      <c r="L3423" s="27" t="s">
        <v>77</v>
      </c>
      <c r="N3423" s="28" t="s">
        <v>77</v>
      </c>
      <c r="Q3423" s="30"/>
    </row>
    <row r="3424">
      <c r="B3424" s="6"/>
      <c r="C3424" s="33" t="str">
        <f t="array" ref="C3424">IF(B3424="", "", XLOOKUP(B3424, Inventory!D:D,Inventory!E:E,"No Name Found"))</f>
        <v/>
      </c>
      <c r="D3424" s="6"/>
      <c r="E3424" s="6"/>
      <c r="F3424" s="6"/>
      <c r="G3424" s="24" t="str">
        <f>IF(F3424="", "", VLOOKUP(F3424, Inventory!A:BZ, 3, FALSE) - SUMIF($F$1:$F3423, F3424, $H$1:$H3423))
</f>
        <v/>
      </c>
      <c r="I3424" s="26"/>
      <c r="J3424" s="26" t="s">
        <v>77</v>
      </c>
      <c r="L3424" s="27" t="s">
        <v>77</v>
      </c>
      <c r="N3424" s="28" t="s">
        <v>77</v>
      </c>
      <c r="Q3424" s="30"/>
    </row>
    <row r="3425">
      <c r="B3425" s="6"/>
      <c r="C3425" s="33" t="str">
        <f t="array" ref="C3425">IF(B3425="", "", XLOOKUP(B3425, Inventory!D:D,Inventory!E:E,"No Name Found"))</f>
        <v/>
      </c>
      <c r="D3425" s="6"/>
      <c r="E3425" s="6"/>
      <c r="F3425" s="6"/>
      <c r="G3425" s="24" t="str">
        <f>IF(F3425="", "", VLOOKUP(F3425, Inventory!A:BZ, 3, FALSE) - SUMIF($F$1:$F3424, F3425, $H$1:$H3424))
</f>
        <v/>
      </c>
      <c r="I3425" s="26"/>
      <c r="J3425" s="26" t="s">
        <v>77</v>
      </c>
      <c r="L3425" s="27" t="s">
        <v>77</v>
      </c>
      <c r="N3425" s="28" t="s">
        <v>77</v>
      </c>
      <c r="Q3425" s="30"/>
    </row>
    <row r="3426">
      <c r="B3426" s="6"/>
      <c r="C3426" s="33" t="str">
        <f t="array" ref="C3426">IF(B3426="", "", XLOOKUP(B3426, Inventory!D:D,Inventory!E:E,"No Name Found"))</f>
        <v/>
      </c>
      <c r="D3426" s="6"/>
      <c r="E3426" s="6"/>
      <c r="F3426" s="6"/>
      <c r="G3426" s="24" t="str">
        <f>IF(F3426="", "", VLOOKUP(F3426, Inventory!A:BZ, 3, FALSE) - SUMIF($F$1:$F3425, F3426, $H$1:$H3425))
</f>
        <v/>
      </c>
      <c r="I3426" s="26"/>
      <c r="J3426" s="26" t="s">
        <v>77</v>
      </c>
      <c r="L3426" s="27" t="s">
        <v>77</v>
      </c>
      <c r="N3426" s="28" t="s">
        <v>77</v>
      </c>
      <c r="Q3426" s="30"/>
    </row>
    <row r="3427">
      <c r="B3427" s="6"/>
      <c r="C3427" s="33" t="str">
        <f t="array" ref="C3427">IF(B3427="", "", XLOOKUP(B3427, Inventory!D:D,Inventory!E:E,"No Name Found"))</f>
        <v/>
      </c>
      <c r="D3427" s="6"/>
      <c r="E3427" s="6"/>
      <c r="F3427" s="6"/>
      <c r="G3427" s="24" t="str">
        <f>IF(F3427="", "", VLOOKUP(F3427, Inventory!A:BZ, 3, FALSE) - SUMIF($F$1:$F3426, F3427, $H$1:$H3426))
</f>
        <v/>
      </c>
      <c r="I3427" s="26"/>
      <c r="J3427" s="26" t="s">
        <v>77</v>
      </c>
      <c r="L3427" s="27" t="s">
        <v>77</v>
      </c>
      <c r="N3427" s="28" t="s">
        <v>77</v>
      </c>
      <c r="Q3427" s="30"/>
    </row>
    <row r="3428">
      <c r="B3428" s="6"/>
      <c r="C3428" s="33" t="str">
        <f t="array" ref="C3428">IF(B3428="", "", XLOOKUP(B3428, Inventory!D:D,Inventory!E:E,"No Name Found"))</f>
        <v/>
      </c>
      <c r="D3428" s="6"/>
      <c r="E3428" s="6"/>
      <c r="F3428" s="6"/>
      <c r="G3428" s="24" t="str">
        <f>IF(F3428="", "", VLOOKUP(F3428, Inventory!A:BZ, 3, FALSE) - SUMIF($F$1:$F3427, F3428, $H$1:$H3427))
</f>
        <v/>
      </c>
      <c r="I3428" s="26"/>
      <c r="J3428" s="26" t="s">
        <v>77</v>
      </c>
      <c r="L3428" s="27" t="s">
        <v>77</v>
      </c>
      <c r="N3428" s="28" t="s">
        <v>77</v>
      </c>
      <c r="Q3428" s="30"/>
    </row>
    <row r="3429">
      <c r="B3429" s="6"/>
      <c r="C3429" s="33" t="str">
        <f t="array" ref="C3429">IF(B3429="", "", XLOOKUP(B3429, Inventory!D:D,Inventory!E:E,"No Name Found"))</f>
        <v/>
      </c>
      <c r="D3429" s="6"/>
      <c r="E3429" s="6"/>
      <c r="F3429" s="6"/>
      <c r="G3429" s="24" t="str">
        <f>IF(F3429="", "", VLOOKUP(F3429, Inventory!A:BZ, 3, FALSE) - SUMIF($F$1:$F3428, F3429, $H$1:$H3428))
</f>
        <v/>
      </c>
      <c r="I3429" s="26"/>
      <c r="J3429" s="26" t="s">
        <v>77</v>
      </c>
      <c r="L3429" s="27" t="s">
        <v>77</v>
      </c>
      <c r="N3429" s="28" t="s">
        <v>77</v>
      </c>
      <c r="Q3429" s="30"/>
    </row>
    <row r="3430">
      <c r="B3430" s="6"/>
      <c r="C3430" s="33" t="str">
        <f t="array" ref="C3430">IF(B3430="", "", XLOOKUP(B3430, Inventory!D:D,Inventory!E:E,"No Name Found"))</f>
        <v/>
      </c>
      <c r="D3430" s="6"/>
      <c r="E3430" s="6"/>
      <c r="F3430" s="6"/>
      <c r="G3430" s="24" t="str">
        <f>IF(F3430="", "", VLOOKUP(F3430, Inventory!A:BZ, 3, FALSE) - SUMIF($F$1:$F3429, F3430, $H$1:$H3429))
</f>
        <v/>
      </c>
      <c r="I3430" s="26"/>
      <c r="J3430" s="26" t="s">
        <v>77</v>
      </c>
      <c r="L3430" s="27" t="s">
        <v>77</v>
      </c>
      <c r="N3430" s="28" t="s">
        <v>77</v>
      </c>
      <c r="Q3430" s="30"/>
    </row>
    <row r="3431">
      <c r="B3431" s="6"/>
      <c r="C3431" s="33" t="str">
        <f t="array" ref="C3431">IF(B3431="", "", XLOOKUP(B3431, Inventory!D:D,Inventory!E:E,"No Name Found"))</f>
        <v/>
      </c>
      <c r="D3431" s="6"/>
      <c r="E3431" s="6"/>
      <c r="F3431" s="6"/>
      <c r="G3431" s="24" t="str">
        <f>IF(F3431="", "", VLOOKUP(F3431, Inventory!A:BZ, 3, FALSE) - SUMIF($F$1:$F3430, F3431, $H$1:$H3430))
</f>
        <v/>
      </c>
      <c r="I3431" s="26"/>
      <c r="J3431" s="26" t="s">
        <v>77</v>
      </c>
      <c r="L3431" s="27" t="s">
        <v>77</v>
      </c>
      <c r="N3431" s="28" t="s">
        <v>77</v>
      </c>
      <c r="Q3431" s="30"/>
    </row>
    <row r="3432">
      <c r="B3432" s="6"/>
      <c r="C3432" s="33" t="str">
        <f t="array" ref="C3432">IF(B3432="", "", XLOOKUP(B3432, Inventory!D:D,Inventory!E:E,"No Name Found"))</f>
        <v/>
      </c>
      <c r="D3432" s="6"/>
      <c r="E3432" s="6"/>
      <c r="F3432" s="6"/>
      <c r="G3432" s="24" t="str">
        <f>IF(F3432="", "", VLOOKUP(F3432, Inventory!A:BZ, 3, FALSE) - SUMIF($F$1:$F3431, F3432, $H$1:$H3431))
</f>
        <v/>
      </c>
      <c r="I3432" s="26"/>
      <c r="J3432" s="26" t="s">
        <v>77</v>
      </c>
      <c r="L3432" s="27" t="s">
        <v>77</v>
      </c>
      <c r="N3432" s="28" t="s">
        <v>77</v>
      </c>
      <c r="Q3432" s="30"/>
    </row>
    <row r="3433">
      <c r="B3433" s="6"/>
      <c r="C3433" s="33" t="str">
        <f t="array" ref="C3433">IF(B3433="", "", XLOOKUP(B3433, Inventory!D:D,Inventory!E:E,"No Name Found"))</f>
        <v/>
      </c>
      <c r="D3433" s="6"/>
      <c r="E3433" s="6"/>
      <c r="F3433" s="6"/>
      <c r="G3433" s="24" t="str">
        <f>IF(F3433="", "", VLOOKUP(F3433, Inventory!A:BZ, 3, FALSE) - SUMIF($F$1:$F3432, F3433, $H$1:$H3432))
</f>
        <v/>
      </c>
      <c r="I3433" s="26"/>
      <c r="J3433" s="26" t="s">
        <v>77</v>
      </c>
      <c r="L3433" s="27" t="s">
        <v>77</v>
      </c>
      <c r="N3433" s="28" t="s">
        <v>77</v>
      </c>
      <c r="Q3433" s="30"/>
    </row>
    <row r="3434">
      <c r="B3434" s="6"/>
      <c r="C3434" s="33" t="str">
        <f t="array" ref="C3434">IF(B3434="", "", XLOOKUP(B3434, Inventory!D:D,Inventory!E:E,"No Name Found"))</f>
        <v/>
      </c>
      <c r="D3434" s="6"/>
      <c r="E3434" s="6"/>
      <c r="F3434" s="6"/>
      <c r="G3434" s="24" t="str">
        <f>IF(F3434="", "", VLOOKUP(F3434, Inventory!A:BZ, 3, FALSE) - SUMIF($F$1:$F3433, F3434, $H$1:$H3433))
</f>
        <v/>
      </c>
      <c r="I3434" s="26"/>
      <c r="J3434" s="26" t="s">
        <v>77</v>
      </c>
      <c r="L3434" s="27" t="s">
        <v>77</v>
      </c>
      <c r="N3434" s="28" t="s">
        <v>77</v>
      </c>
      <c r="Q3434" s="30"/>
    </row>
    <row r="3435">
      <c r="B3435" s="6"/>
      <c r="C3435" s="33" t="str">
        <f t="array" ref="C3435">IF(B3435="", "", XLOOKUP(B3435, Inventory!D:D,Inventory!E:E,"No Name Found"))</f>
        <v/>
      </c>
      <c r="D3435" s="6"/>
      <c r="E3435" s="6"/>
      <c r="F3435" s="6"/>
      <c r="G3435" s="24" t="str">
        <f>IF(F3435="", "", VLOOKUP(F3435, Inventory!A:BZ, 3, FALSE) - SUMIF($F$1:$F3434, F3435, $H$1:$H3434))
</f>
        <v/>
      </c>
      <c r="I3435" s="26"/>
      <c r="J3435" s="26" t="s">
        <v>77</v>
      </c>
      <c r="L3435" s="27" t="s">
        <v>77</v>
      </c>
      <c r="N3435" s="28" t="s">
        <v>77</v>
      </c>
      <c r="Q3435" s="30"/>
    </row>
    <row r="3436">
      <c r="B3436" s="6"/>
      <c r="C3436" s="33" t="str">
        <f t="array" ref="C3436">IF(B3436="", "", XLOOKUP(B3436, Inventory!D:D,Inventory!E:E,"No Name Found"))</f>
        <v/>
      </c>
      <c r="D3436" s="6"/>
      <c r="E3436" s="6"/>
      <c r="F3436" s="6"/>
      <c r="G3436" s="24" t="str">
        <f>IF(F3436="", "", VLOOKUP(F3436, Inventory!A:BZ, 3, FALSE) - SUMIF($F$1:$F3435, F3436, $H$1:$H3435))
</f>
        <v/>
      </c>
      <c r="I3436" s="26"/>
      <c r="J3436" s="26" t="s">
        <v>77</v>
      </c>
      <c r="L3436" s="27" t="s">
        <v>77</v>
      </c>
      <c r="N3436" s="28" t="s">
        <v>77</v>
      </c>
      <c r="Q3436" s="30"/>
    </row>
    <row r="3437">
      <c r="B3437" s="6"/>
      <c r="C3437" s="33" t="str">
        <f t="array" ref="C3437">IF(B3437="", "", XLOOKUP(B3437, Inventory!D:D,Inventory!E:E,"No Name Found"))</f>
        <v/>
      </c>
      <c r="D3437" s="6"/>
      <c r="E3437" s="6"/>
      <c r="F3437" s="6"/>
      <c r="G3437" s="24" t="str">
        <f>IF(F3437="", "", VLOOKUP(F3437, Inventory!A:BZ, 3, FALSE) - SUMIF($F$1:$F3436, F3437, $H$1:$H3436))
</f>
        <v/>
      </c>
      <c r="I3437" s="26"/>
      <c r="J3437" s="26" t="s">
        <v>77</v>
      </c>
      <c r="L3437" s="27" t="s">
        <v>77</v>
      </c>
      <c r="N3437" s="28" t="s">
        <v>77</v>
      </c>
      <c r="Q3437" s="30"/>
    </row>
    <row r="3438">
      <c r="B3438" s="6"/>
      <c r="C3438" s="33" t="str">
        <f t="array" ref="C3438">IF(B3438="", "", XLOOKUP(B3438, Inventory!D:D,Inventory!E:E,"No Name Found"))</f>
        <v/>
      </c>
      <c r="D3438" s="6"/>
      <c r="E3438" s="6"/>
      <c r="F3438" s="6"/>
      <c r="G3438" s="24" t="str">
        <f>IF(F3438="", "", VLOOKUP(F3438, Inventory!A:BZ, 3, FALSE) - SUMIF($F$1:$F3437, F3438, $H$1:$H3437))
</f>
        <v/>
      </c>
      <c r="I3438" s="26"/>
      <c r="J3438" s="26" t="s">
        <v>77</v>
      </c>
      <c r="L3438" s="27" t="s">
        <v>77</v>
      </c>
      <c r="N3438" s="28" t="s">
        <v>77</v>
      </c>
      <c r="Q3438" s="30"/>
    </row>
    <row r="3439">
      <c r="B3439" s="6"/>
      <c r="C3439" s="33" t="str">
        <f t="array" ref="C3439">IF(B3439="", "", XLOOKUP(B3439, Inventory!D:D,Inventory!E:E,"No Name Found"))</f>
        <v/>
      </c>
      <c r="D3439" s="6"/>
      <c r="E3439" s="6"/>
      <c r="F3439" s="6"/>
      <c r="G3439" s="24" t="str">
        <f>IF(F3439="", "", VLOOKUP(F3439, Inventory!A:BZ, 3, FALSE) - SUMIF($F$1:$F3438, F3439, $H$1:$H3438))
</f>
        <v/>
      </c>
      <c r="I3439" s="26"/>
      <c r="J3439" s="26" t="s">
        <v>77</v>
      </c>
      <c r="L3439" s="27" t="s">
        <v>77</v>
      </c>
      <c r="N3439" s="28" t="s">
        <v>77</v>
      </c>
      <c r="Q3439" s="30"/>
    </row>
    <row r="3440">
      <c r="B3440" s="6"/>
      <c r="C3440" s="33" t="str">
        <f t="array" ref="C3440">IF(B3440="", "", XLOOKUP(B3440, Inventory!D:D,Inventory!E:E,"No Name Found"))</f>
        <v/>
      </c>
      <c r="D3440" s="6"/>
      <c r="E3440" s="6"/>
      <c r="F3440" s="6"/>
      <c r="G3440" s="24" t="str">
        <f>IF(F3440="", "", VLOOKUP(F3440, Inventory!A:BZ, 3, FALSE) - SUMIF($F$1:$F3439, F3440, $H$1:$H3439))
</f>
        <v/>
      </c>
      <c r="I3440" s="26"/>
      <c r="J3440" s="26" t="s">
        <v>77</v>
      </c>
      <c r="L3440" s="27" t="s">
        <v>77</v>
      </c>
      <c r="N3440" s="28" t="s">
        <v>77</v>
      </c>
      <c r="Q3440" s="30"/>
    </row>
    <row r="3441">
      <c r="B3441" s="6"/>
      <c r="C3441" s="33" t="str">
        <f t="array" ref="C3441">IF(B3441="", "", XLOOKUP(B3441, Inventory!D:D,Inventory!E:E,"No Name Found"))</f>
        <v/>
      </c>
      <c r="D3441" s="6"/>
      <c r="E3441" s="6"/>
      <c r="F3441" s="6"/>
      <c r="G3441" s="24" t="str">
        <f>IF(F3441="", "", VLOOKUP(F3441, Inventory!A:BZ, 3, FALSE) - SUMIF($F$1:$F3440, F3441, $H$1:$H3440))
</f>
        <v/>
      </c>
      <c r="I3441" s="26"/>
      <c r="J3441" s="26" t="s">
        <v>77</v>
      </c>
      <c r="L3441" s="27" t="s">
        <v>77</v>
      </c>
      <c r="N3441" s="28" t="s">
        <v>77</v>
      </c>
      <c r="Q3441" s="30"/>
    </row>
    <row r="3442">
      <c r="B3442" s="6"/>
      <c r="C3442" s="33" t="str">
        <f t="array" ref="C3442">IF(B3442="", "", XLOOKUP(B3442, Inventory!D:D,Inventory!E:E,"No Name Found"))</f>
        <v/>
      </c>
      <c r="D3442" s="6"/>
      <c r="E3442" s="6"/>
      <c r="F3442" s="6"/>
      <c r="G3442" s="24" t="str">
        <f>IF(F3442="", "", VLOOKUP(F3442, Inventory!A:BZ, 3, FALSE) - SUMIF($F$1:$F3441, F3442, $H$1:$H3441))
</f>
        <v/>
      </c>
      <c r="I3442" s="26"/>
      <c r="J3442" s="26" t="s">
        <v>77</v>
      </c>
      <c r="L3442" s="27" t="s">
        <v>77</v>
      </c>
      <c r="N3442" s="28" t="s">
        <v>77</v>
      </c>
      <c r="Q3442" s="30"/>
    </row>
    <row r="3443">
      <c r="B3443" s="6"/>
      <c r="C3443" s="33" t="str">
        <f t="array" ref="C3443">IF(B3443="", "", XLOOKUP(B3443, Inventory!D:D,Inventory!E:E,"No Name Found"))</f>
        <v/>
      </c>
      <c r="D3443" s="6"/>
      <c r="E3443" s="6"/>
      <c r="F3443" s="6"/>
      <c r="G3443" s="24" t="str">
        <f>IF(F3443="", "", VLOOKUP(F3443, Inventory!A:BZ, 3, FALSE) - SUMIF($F$1:$F3442, F3443, $H$1:$H3442))
</f>
        <v/>
      </c>
      <c r="I3443" s="26"/>
      <c r="J3443" s="26" t="s">
        <v>77</v>
      </c>
      <c r="L3443" s="27" t="s">
        <v>77</v>
      </c>
      <c r="N3443" s="28" t="s">
        <v>77</v>
      </c>
      <c r="Q3443" s="30"/>
    </row>
    <row r="3444">
      <c r="B3444" s="6"/>
      <c r="C3444" s="33" t="str">
        <f t="array" ref="C3444">IF(B3444="", "", XLOOKUP(B3444, Inventory!D:D,Inventory!E:E,"No Name Found"))</f>
        <v/>
      </c>
      <c r="D3444" s="6"/>
      <c r="E3444" s="6"/>
      <c r="F3444" s="6"/>
      <c r="G3444" s="24" t="str">
        <f>IF(F3444="", "", VLOOKUP(F3444, Inventory!A:BZ, 3, FALSE) - SUMIF($F$1:$F3443, F3444, $H$1:$H3443))
</f>
        <v/>
      </c>
      <c r="I3444" s="26"/>
      <c r="J3444" s="26" t="s">
        <v>77</v>
      </c>
      <c r="L3444" s="27" t="s">
        <v>77</v>
      </c>
      <c r="N3444" s="28" t="s">
        <v>77</v>
      </c>
      <c r="Q3444" s="30"/>
    </row>
    <row r="3445">
      <c r="B3445" s="6"/>
      <c r="C3445" s="33" t="str">
        <f t="array" ref="C3445">IF(B3445="", "", XLOOKUP(B3445, Inventory!D:D,Inventory!E:E,"No Name Found"))</f>
        <v/>
      </c>
      <c r="D3445" s="6"/>
      <c r="E3445" s="6"/>
      <c r="F3445" s="6"/>
      <c r="G3445" s="24" t="str">
        <f>IF(F3445="", "", VLOOKUP(F3445, Inventory!A:BZ, 3, FALSE) - SUMIF($F$1:$F3444, F3445, $H$1:$H3444))
</f>
        <v/>
      </c>
      <c r="I3445" s="26"/>
      <c r="J3445" s="26" t="s">
        <v>77</v>
      </c>
      <c r="L3445" s="27" t="s">
        <v>77</v>
      </c>
      <c r="N3445" s="28" t="s">
        <v>77</v>
      </c>
      <c r="Q3445" s="30"/>
    </row>
    <row r="3446">
      <c r="B3446" s="6"/>
      <c r="C3446" s="33" t="str">
        <f t="array" ref="C3446">IF(B3446="", "", XLOOKUP(B3446, Inventory!D:D,Inventory!E:E,"No Name Found"))</f>
        <v/>
      </c>
      <c r="D3446" s="6"/>
      <c r="E3446" s="6"/>
      <c r="F3446" s="6"/>
      <c r="G3446" s="24" t="str">
        <f>IF(F3446="", "", VLOOKUP(F3446, Inventory!A:BZ, 3, FALSE) - SUMIF($F$1:$F3445, F3446, $H$1:$H3445))
</f>
        <v/>
      </c>
      <c r="I3446" s="26"/>
      <c r="J3446" s="26" t="s">
        <v>77</v>
      </c>
      <c r="L3446" s="27" t="s">
        <v>77</v>
      </c>
      <c r="N3446" s="28" t="s">
        <v>77</v>
      </c>
      <c r="Q3446" s="30"/>
    </row>
    <row r="3447">
      <c r="B3447" s="6"/>
      <c r="C3447" s="33" t="str">
        <f t="array" ref="C3447">IF(B3447="", "", XLOOKUP(B3447, Inventory!D:D,Inventory!E:E,"No Name Found"))</f>
        <v/>
      </c>
      <c r="D3447" s="6"/>
      <c r="E3447" s="6"/>
      <c r="F3447" s="6"/>
      <c r="G3447" s="24" t="str">
        <f>IF(F3447="", "", VLOOKUP(F3447, Inventory!A:BZ, 3, FALSE) - SUMIF($F$1:$F3446, F3447, $H$1:$H3446))
</f>
        <v/>
      </c>
      <c r="I3447" s="26"/>
      <c r="J3447" s="26" t="s">
        <v>77</v>
      </c>
      <c r="L3447" s="27" t="s">
        <v>77</v>
      </c>
      <c r="N3447" s="28" t="s">
        <v>77</v>
      </c>
      <c r="Q3447" s="30"/>
    </row>
    <row r="3448">
      <c r="B3448" s="6"/>
      <c r="C3448" s="33" t="str">
        <f t="array" ref="C3448">IF(B3448="", "", XLOOKUP(B3448, Inventory!D:D,Inventory!E:E,"No Name Found"))</f>
        <v/>
      </c>
      <c r="D3448" s="6"/>
      <c r="E3448" s="6"/>
      <c r="F3448" s="6"/>
      <c r="G3448" s="24" t="str">
        <f>IF(F3448="", "", VLOOKUP(F3448, Inventory!A:BZ, 3, FALSE) - SUMIF($F$1:$F3447, F3448, $H$1:$H3447))
</f>
        <v/>
      </c>
      <c r="I3448" s="26"/>
      <c r="J3448" s="26" t="s">
        <v>77</v>
      </c>
      <c r="L3448" s="27" t="s">
        <v>77</v>
      </c>
      <c r="N3448" s="28" t="s">
        <v>77</v>
      </c>
      <c r="Q3448" s="30"/>
    </row>
    <row r="3449">
      <c r="B3449" s="6"/>
      <c r="C3449" s="33" t="str">
        <f t="array" ref="C3449">IF(B3449="", "", XLOOKUP(B3449, Inventory!D:D,Inventory!E:E,"No Name Found"))</f>
        <v/>
      </c>
      <c r="D3449" s="6"/>
      <c r="E3449" s="6"/>
      <c r="F3449" s="6"/>
      <c r="G3449" s="24" t="str">
        <f>IF(F3449="", "", VLOOKUP(F3449, Inventory!A:BZ, 3, FALSE) - SUMIF($F$1:$F3448, F3449, $H$1:$H3448))
</f>
        <v/>
      </c>
      <c r="I3449" s="26"/>
      <c r="J3449" s="26" t="s">
        <v>77</v>
      </c>
      <c r="L3449" s="27" t="s">
        <v>77</v>
      </c>
      <c r="N3449" s="28" t="s">
        <v>77</v>
      </c>
      <c r="Q3449" s="30"/>
    </row>
    <row r="3450">
      <c r="B3450" s="6"/>
      <c r="C3450" s="33" t="str">
        <f t="array" ref="C3450">IF(B3450="", "", XLOOKUP(B3450, Inventory!D:D,Inventory!E:E,"No Name Found"))</f>
        <v/>
      </c>
      <c r="D3450" s="6"/>
      <c r="E3450" s="6"/>
      <c r="F3450" s="6"/>
      <c r="G3450" s="24" t="str">
        <f>IF(F3450="", "", VLOOKUP(F3450, Inventory!A:BZ, 3, FALSE) - SUMIF($F$1:$F3449, F3450, $H$1:$H3449))
</f>
        <v/>
      </c>
      <c r="I3450" s="26"/>
      <c r="J3450" s="26" t="s">
        <v>77</v>
      </c>
      <c r="L3450" s="27" t="s">
        <v>77</v>
      </c>
      <c r="N3450" s="28" t="s">
        <v>77</v>
      </c>
      <c r="Q3450" s="30"/>
    </row>
    <row r="3451">
      <c r="B3451" s="6"/>
      <c r="C3451" s="33" t="str">
        <f t="array" ref="C3451">IF(B3451="", "", XLOOKUP(B3451, Inventory!D:D,Inventory!E:E,"No Name Found"))</f>
        <v/>
      </c>
      <c r="D3451" s="6"/>
      <c r="E3451" s="6"/>
      <c r="F3451" s="6"/>
      <c r="G3451" s="24" t="str">
        <f>IF(F3451="", "", VLOOKUP(F3451, Inventory!A:BZ, 3, FALSE) - SUMIF($F$1:$F3450, F3451, $H$1:$H3450))
</f>
        <v/>
      </c>
      <c r="I3451" s="26"/>
      <c r="J3451" s="26" t="s">
        <v>77</v>
      </c>
      <c r="L3451" s="27" t="s">
        <v>77</v>
      </c>
      <c r="N3451" s="28" t="s">
        <v>77</v>
      </c>
      <c r="Q3451" s="30"/>
    </row>
    <row r="3452">
      <c r="B3452" s="6"/>
      <c r="C3452" s="33" t="str">
        <f t="array" ref="C3452">IF(B3452="", "", XLOOKUP(B3452, Inventory!D:D,Inventory!E:E,"No Name Found"))</f>
        <v/>
      </c>
      <c r="D3452" s="6"/>
      <c r="E3452" s="6"/>
      <c r="F3452" s="6"/>
      <c r="G3452" s="24" t="str">
        <f>IF(F3452="", "", VLOOKUP(F3452, Inventory!A:BZ, 3, FALSE) - SUMIF($F$1:$F3451, F3452, $H$1:$H3451))
</f>
        <v/>
      </c>
      <c r="I3452" s="26"/>
      <c r="J3452" s="26" t="s">
        <v>77</v>
      </c>
      <c r="L3452" s="27" t="s">
        <v>77</v>
      </c>
      <c r="N3452" s="28" t="s">
        <v>77</v>
      </c>
      <c r="Q3452" s="30"/>
    </row>
    <row r="3453">
      <c r="B3453" s="6"/>
      <c r="C3453" s="33" t="str">
        <f t="array" ref="C3453">IF(B3453="", "", XLOOKUP(B3453, Inventory!D:D,Inventory!E:E,"No Name Found"))</f>
        <v/>
      </c>
      <c r="D3453" s="6"/>
      <c r="E3453" s="6"/>
      <c r="F3453" s="6"/>
      <c r="G3453" s="24" t="str">
        <f>IF(F3453="", "", VLOOKUP(F3453, Inventory!A:BZ, 3, FALSE) - SUMIF($F$1:$F3452, F3453, $H$1:$H3452))
</f>
        <v/>
      </c>
      <c r="I3453" s="26"/>
      <c r="J3453" s="26" t="s">
        <v>77</v>
      </c>
      <c r="L3453" s="27" t="s">
        <v>77</v>
      </c>
      <c r="N3453" s="28" t="s">
        <v>77</v>
      </c>
      <c r="Q3453" s="30"/>
    </row>
    <row r="3454">
      <c r="B3454" s="6"/>
      <c r="C3454" s="33" t="str">
        <f t="array" ref="C3454">IF(B3454="", "", XLOOKUP(B3454, Inventory!D:D,Inventory!E:E,"No Name Found"))</f>
        <v/>
      </c>
      <c r="D3454" s="6"/>
      <c r="E3454" s="6"/>
      <c r="F3454" s="6"/>
      <c r="G3454" s="24" t="str">
        <f>IF(F3454="", "", VLOOKUP(F3454, Inventory!A:BZ, 3, FALSE) - SUMIF($F$1:$F3453, F3454, $H$1:$H3453))
</f>
        <v/>
      </c>
      <c r="I3454" s="26"/>
      <c r="J3454" s="26" t="s">
        <v>77</v>
      </c>
      <c r="L3454" s="27" t="s">
        <v>77</v>
      </c>
      <c r="N3454" s="28" t="s">
        <v>77</v>
      </c>
      <c r="Q3454" s="30"/>
    </row>
    <row r="3455">
      <c r="B3455" s="6"/>
      <c r="C3455" s="33" t="str">
        <f t="array" ref="C3455">IF(B3455="", "", XLOOKUP(B3455, Inventory!D:D,Inventory!E:E,"No Name Found"))</f>
        <v/>
      </c>
      <c r="D3455" s="6"/>
      <c r="E3455" s="6"/>
      <c r="F3455" s="6"/>
      <c r="G3455" s="24" t="str">
        <f>IF(F3455="", "", VLOOKUP(F3455, Inventory!A:BZ, 3, FALSE) - SUMIF($F$1:$F3454, F3455, $H$1:$H3454))
</f>
        <v/>
      </c>
      <c r="I3455" s="26"/>
      <c r="J3455" s="26" t="s">
        <v>77</v>
      </c>
      <c r="L3455" s="27" t="s">
        <v>77</v>
      </c>
      <c r="N3455" s="28" t="s">
        <v>77</v>
      </c>
      <c r="Q3455" s="30"/>
    </row>
    <row r="3456">
      <c r="B3456" s="6"/>
      <c r="C3456" s="33" t="str">
        <f t="array" ref="C3456">IF(B3456="", "", XLOOKUP(B3456, Inventory!D:D,Inventory!E:E,"No Name Found"))</f>
        <v/>
      </c>
      <c r="D3456" s="6"/>
      <c r="E3456" s="6"/>
      <c r="F3456" s="6"/>
      <c r="G3456" s="24" t="str">
        <f>IF(F3456="", "", VLOOKUP(F3456, Inventory!A:BZ, 3, FALSE) - SUMIF($F$1:$F3455, F3456, $H$1:$H3455))
</f>
        <v/>
      </c>
      <c r="I3456" s="26"/>
      <c r="J3456" s="26" t="s">
        <v>77</v>
      </c>
      <c r="L3456" s="27" t="s">
        <v>77</v>
      </c>
      <c r="N3456" s="28" t="s">
        <v>77</v>
      </c>
      <c r="Q3456" s="30"/>
    </row>
    <row r="3457">
      <c r="B3457" s="6"/>
      <c r="C3457" s="33" t="str">
        <f t="array" ref="C3457">IF(B3457="", "", XLOOKUP(B3457, Inventory!D:D,Inventory!E:E,"No Name Found"))</f>
        <v/>
      </c>
      <c r="D3457" s="6"/>
      <c r="E3457" s="6"/>
      <c r="F3457" s="6"/>
      <c r="G3457" s="24" t="str">
        <f>IF(F3457="", "", VLOOKUP(F3457, Inventory!A:BZ, 3, FALSE) - SUMIF($F$1:$F3456, F3457, $H$1:$H3456))
</f>
        <v/>
      </c>
      <c r="I3457" s="26"/>
      <c r="J3457" s="26" t="s">
        <v>77</v>
      </c>
      <c r="L3457" s="27" t="s">
        <v>77</v>
      </c>
      <c r="N3457" s="28" t="s">
        <v>77</v>
      </c>
      <c r="Q3457" s="30"/>
    </row>
    <row r="3458">
      <c r="B3458" s="6"/>
      <c r="C3458" s="33" t="str">
        <f t="array" ref="C3458">IF(B3458="", "", XLOOKUP(B3458, Inventory!D:D,Inventory!E:E,"No Name Found"))</f>
        <v/>
      </c>
      <c r="D3458" s="6"/>
      <c r="E3458" s="6"/>
      <c r="F3458" s="6"/>
      <c r="G3458" s="24" t="str">
        <f>IF(F3458="", "", VLOOKUP(F3458, Inventory!A:BZ, 3, FALSE) - SUMIF($F$1:$F3457, F3458, $H$1:$H3457))
</f>
        <v/>
      </c>
      <c r="I3458" s="26"/>
      <c r="J3458" s="26" t="s">
        <v>77</v>
      </c>
      <c r="L3458" s="27" t="s">
        <v>77</v>
      </c>
      <c r="N3458" s="28" t="s">
        <v>77</v>
      </c>
      <c r="Q3458" s="30"/>
    </row>
    <row r="3459">
      <c r="B3459" s="6"/>
      <c r="C3459" s="33" t="str">
        <f t="array" ref="C3459">IF(B3459="", "", XLOOKUP(B3459, Inventory!D:D,Inventory!E:E,"No Name Found"))</f>
        <v/>
      </c>
      <c r="D3459" s="6"/>
      <c r="E3459" s="6"/>
      <c r="F3459" s="6"/>
      <c r="G3459" s="24" t="str">
        <f>IF(F3459="", "", VLOOKUP(F3459, Inventory!A:BZ, 3, FALSE) - SUMIF($F$1:$F3458, F3459, $H$1:$H3458))
</f>
        <v/>
      </c>
      <c r="I3459" s="26"/>
      <c r="J3459" s="26" t="s">
        <v>77</v>
      </c>
      <c r="L3459" s="27" t="s">
        <v>77</v>
      </c>
      <c r="N3459" s="28" t="s">
        <v>77</v>
      </c>
      <c r="Q3459" s="30"/>
    </row>
    <row r="3460">
      <c r="B3460" s="6"/>
      <c r="C3460" s="33" t="str">
        <f t="array" ref="C3460">IF(B3460="", "", XLOOKUP(B3460, Inventory!D:D,Inventory!E:E,"No Name Found"))</f>
        <v/>
      </c>
      <c r="D3460" s="6"/>
      <c r="E3460" s="6"/>
      <c r="F3460" s="6"/>
      <c r="G3460" s="24" t="str">
        <f>IF(F3460="", "", VLOOKUP(F3460, Inventory!A:BZ, 3, FALSE) - SUMIF($F$1:$F3459, F3460, $H$1:$H3459))
</f>
        <v/>
      </c>
      <c r="I3460" s="26"/>
      <c r="J3460" s="26" t="s">
        <v>77</v>
      </c>
      <c r="L3460" s="27" t="s">
        <v>77</v>
      </c>
      <c r="N3460" s="28" t="s">
        <v>77</v>
      </c>
      <c r="Q3460" s="30"/>
    </row>
    <row r="3461">
      <c r="B3461" s="6"/>
      <c r="C3461" s="33" t="str">
        <f t="array" ref="C3461">IF(B3461="", "", XLOOKUP(B3461, Inventory!D:D,Inventory!E:E,"No Name Found"))</f>
        <v/>
      </c>
      <c r="D3461" s="6"/>
      <c r="E3461" s="6"/>
      <c r="F3461" s="6"/>
      <c r="G3461" s="24" t="str">
        <f>IF(F3461="", "", VLOOKUP(F3461, Inventory!A:BZ, 3, FALSE) - SUMIF($F$1:$F3460, F3461, $H$1:$H3460))
</f>
        <v/>
      </c>
      <c r="I3461" s="26"/>
      <c r="J3461" s="26" t="s">
        <v>77</v>
      </c>
      <c r="L3461" s="27" t="s">
        <v>77</v>
      </c>
      <c r="N3461" s="28" t="s">
        <v>77</v>
      </c>
      <c r="Q3461" s="30"/>
    </row>
    <row r="3462">
      <c r="B3462" s="6"/>
      <c r="C3462" s="33" t="str">
        <f t="array" ref="C3462">IF(B3462="", "", XLOOKUP(B3462, Inventory!D:D,Inventory!E:E,"No Name Found"))</f>
        <v/>
      </c>
      <c r="D3462" s="6"/>
      <c r="E3462" s="6"/>
      <c r="F3462" s="6"/>
      <c r="G3462" s="24" t="str">
        <f>IF(F3462="", "", VLOOKUP(F3462, Inventory!A:BZ, 3, FALSE) - SUMIF($F$1:$F3461, F3462, $H$1:$H3461))
</f>
        <v/>
      </c>
      <c r="I3462" s="26"/>
      <c r="J3462" s="26" t="s">
        <v>77</v>
      </c>
      <c r="L3462" s="27" t="s">
        <v>77</v>
      </c>
      <c r="N3462" s="28" t="s">
        <v>77</v>
      </c>
      <c r="Q3462" s="30"/>
    </row>
    <row r="3463">
      <c r="B3463" s="6"/>
      <c r="C3463" s="33" t="str">
        <f t="array" ref="C3463">IF(B3463="", "", XLOOKUP(B3463, Inventory!D:D,Inventory!E:E,"No Name Found"))</f>
        <v/>
      </c>
      <c r="D3463" s="6"/>
      <c r="E3463" s="6"/>
      <c r="F3463" s="6"/>
      <c r="G3463" s="24" t="str">
        <f>IF(F3463="", "", VLOOKUP(F3463, Inventory!A:BZ, 3, FALSE) - SUMIF($F$1:$F3462, F3463, $H$1:$H3462))
</f>
        <v/>
      </c>
      <c r="I3463" s="26"/>
      <c r="J3463" s="26" t="s">
        <v>77</v>
      </c>
      <c r="L3463" s="27" t="s">
        <v>77</v>
      </c>
      <c r="N3463" s="28" t="s">
        <v>77</v>
      </c>
      <c r="Q3463" s="30"/>
    </row>
    <row r="3464">
      <c r="B3464" s="6"/>
      <c r="C3464" s="33" t="str">
        <f t="array" ref="C3464">IF(B3464="", "", XLOOKUP(B3464, Inventory!D:D,Inventory!E:E,"No Name Found"))</f>
        <v/>
      </c>
      <c r="D3464" s="6"/>
      <c r="E3464" s="6"/>
      <c r="F3464" s="6"/>
      <c r="G3464" s="24" t="str">
        <f>IF(F3464="", "", VLOOKUP(F3464, Inventory!A:BZ, 3, FALSE) - SUMIF($F$1:$F3463, F3464, $H$1:$H3463))
</f>
        <v/>
      </c>
      <c r="I3464" s="26"/>
      <c r="J3464" s="26" t="s">
        <v>77</v>
      </c>
      <c r="L3464" s="27" t="s">
        <v>77</v>
      </c>
      <c r="N3464" s="28" t="s">
        <v>77</v>
      </c>
      <c r="Q3464" s="30"/>
    </row>
    <row r="3465">
      <c r="B3465" s="6"/>
      <c r="C3465" s="33" t="str">
        <f t="array" ref="C3465">IF(B3465="", "", XLOOKUP(B3465, Inventory!D:D,Inventory!E:E,"No Name Found"))</f>
        <v/>
      </c>
      <c r="D3465" s="6"/>
      <c r="E3465" s="6"/>
      <c r="F3465" s="6"/>
      <c r="G3465" s="24" t="str">
        <f>IF(F3465="", "", VLOOKUP(F3465, Inventory!A:BZ, 3, FALSE) - SUMIF($F$1:$F3464, F3465, $H$1:$H3464))
</f>
        <v/>
      </c>
      <c r="I3465" s="26"/>
      <c r="J3465" s="26" t="s">
        <v>77</v>
      </c>
      <c r="L3465" s="27" t="s">
        <v>77</v>
      </c>
      <c r="N3465" s="28" t="s">
        <v>77</v>
      </c>
      <c r="Q3465" s="30"/>
    </row>
    <row r="3466">
      <c r="B3466" s="6"/>
      <c r="C3466" s="33" t="str">
        <f t="array" ref="C3466">IF(B3466="", "", XLOOKUP(B3466, Inventory!D:D,Inventory!E:E,"No Name Found"))</f>
        <v/>
      </c>
      <c r="D3466" s="6"/>
      <c r="E3466" s="6"/>
      <c r="F3466" s="6"/>
      <c r="G3466" s="24" t="str">
        <f>IF(F3466="", "", VLOOKUP(F3466, Inventory!A:BZ, 3, FALSE) - SUMIF($F$1:$F3465, F3466, $H$1:$H3465))
</f>
        <v/>
      </c>
      <c r="I3466" s="26"/>
      <c r="J3466" s="26" t="s">
        <v>77</v>
      </c>
      <c r="L3466" s="27" t="s">
        <v>77</v>
      </c>
      <c r="N3466" s="28" t="s">
        <v>77</v>
      </c>
      <c r="Q3466" s="30"/>
    </row>
    <row r="3467">
      <c r="B3467" s="6"/>
      <c r="C3467" s="33" t="str">
        <f t="array" ref="C3467">IF(B3467="", "", XLOOKUP(B3467, Inventory!D:D,Inventory!E:E,"No Name Found"))</f>
        <v/>
      </c>
      <c r="D3467" s="6"/>
      <c r="E3467" s="6"/>
      <c r="F3467" s="6"/>
      <c r="G3467" s="24" t="str">
        <f>IF(F3467="", "", VLOOKUP(F3467, Inventory!A:BZ, 3, FALSE) - SUMIF($F$1:$F3466, F3467, $H$1:$H3466))
</f>
        <v/>
      </c>
      <c r="I3467" s="26"/>
      <c r="J3467" s="26" t="s">
        <v>77</v>
      </c>
      <c r="L3467" s="27" t="s">
        <v>77</v>
      </c>
      <c r="N3467" s="28" t="s">
        <v>77</v>
      </c>
      <c r="Q3467" s="30"/>
    </row>
    <row r="3468">
      <c r="B3468" s="6"/>
      <c r="C3468" s="33" t="str">
        <f t="array" ref="C3468">IF(B3468="", "", XLOOKUP(B3468, Inventory!D:D,Inventory!E:E,"No Name Found"))</f>
        <v/>
      </c>
      <c r="D3468" s="6"/>
      <c r="E3468" s="6"/>
      <c r="F3468" s="6"/>
      <c r="G3468" s="24" t="str">
        <f>IF(F3468="", "", VLOOKUP(F3468, Inventory!A:BZ, 3, FALSE) - SUMIF($F$1:$F3467, F3468, $H$1:$H3467))
</f>
        <v/>
      </c>
      <c r="I3468" s="26"/>
      <c r="J3468" s="26" t="s">
        <v>77</v>
      </c>
      <c r="L3468" s="27" t="s">
        <v>77</v>
      </c>
      <c r="N3468" s="28" t="s">
        <v>77</v>
      </c>
      <c r="Q3468" s="30"/>
    </row>
    <row r="3469">
      <c r="B3469" s="6"/>
      <c r="C3469" s="33" t="str">
        <f t="array" ref="C3469">IF(B3469="", "", XLOOKUP(B3469, Inventory!D:D,Inventory!E:E,"No Name Found"))</f>
        <v/>
      </c>
      <c r="D3469" s="6"/>
      <c r="E3469" s="6"/>
      <c r="F3469" s="6"/>
      <c r="G3469" s="24" t="str">
        <f>IF(F3469="", "", VLOOKUP(F3469, Inventory!A:BZ, 3, FALSE) - SUMIF($F$1:$F3468, F3469, $H$1:$H3468))
</f>
        <v/>
      </c>
      <c r="I3469" s="26"/>
      <c r="J3469" s="26" t="s">
        <v>77</v>
      </c>
      <c r="L3469" s="27" t="s">
        <v>77</v>
      </c>
      <c r="N3469" s="28" t="s">
        <v>77</v>
      </c>
      <c r="Q3469" s="30"/>
    </row>
    <row r="3470">
      <c r="B3470" s="6"/>
      <c r="C3470" s="33" t="str">
        <f t="array" ref="C3470">IF(B3470="", "", XLOOKUP(B3470, Inventory!D:D,Inventory!E:E,"No Name Found"))</f>
        <v/>
      </c>
      <c r="D3470" s="6"/>
      <c r="E3470" s="6"/>
      <c r="F3470" s="6"/>
      <c r="G3470" s="24" t="str">
        <f>IF(F3470="", "", VLOOKUP(F3470, Inventory!A:BZ, 3, FALSE) - SUMIF($F$1:$F3469, F3470, $H$1:$H3469))
</f>
        <v/>
      </c>
      <c r="I3470" s="26"/>
      <c r="J3470" s="26" t="s">
        <v>77</v>
      </c>
      <c r="L3470" s="27" t="s">
        <v>77</v>
      </c>
      <c r="N3470" s="28" t="s">
        <v>77</v>
      </c>
      <c r="Q3470" s="30"/>
    </row>
    <row r="3471">
      <c r="B3471" s="6"/>
      <c r="C3471" s="33" t="str">
        <f t="array" ref="C3471">IF(B3471="", "", XLOOKUP(B3471, Inventory!D:D,Inventory!E:E,"No Name Found"))</f>
        <v/>
      </c>
      <c r="D3471" s="6"/>
      <c r="E3471" s="6"/>
      <c r="F3471" s="6"/>
      <c r="G3471" s="24" t="str">
        <f>IF(F3471="", "", VLOOKUP(F3471, Inventory!A:BZ, 3, FALSE) - SUMIF($F$1:$F3470, F3471, $H$1:$H3470))
</f>
        <v/>
      </c>
      <c r="I3471" s="26"/>
      <c r="J3471" s="26" t="s">
        <v>77</v>
      </c>
      <c r="L3471" s="27" t="s">
        <v>77</v>
      </c>
      <c r="N3471" s="28" t="s">
        <v>77</v>
      </c>
      <c r="Q3471" s="30"/>
    </row>
    <row r="3472">
      <c r="B3472" s="6"/>
      <c r="C3472" s="33" t="str">
        <f t="array" ref="C3472">IF(B3472="", "", XLOOKUP(B3472, Inventory!D:D,Inventory!E:E,"No Name Found"))</f>
        <v/>
      </c>
      <c r="D3472" s="6"/>
      <c r="E3472" s="6"/>
      <c r="F3472" s="6"/>
      <c r="G3472" s="24" t="str">
        <f>IF(F3472="", "", VLOOKUP(F3472, Inventory!A:BZ, 3, FALSE) - SUMIF($F$1:$F3471, F3472, $H$1:$H3471))
</f>
        <v/>
      </c>
      <c r="I3472" s="26"/>
      <c r="J3472" s="26" t="s">
        <v>77</v>
      </c>
      <c r="L3472" s="27" t="s">
        <v>77</v>
      </c>
      <c r="N3472" s="28" t="s">
        <v>77</v>
      </c>
      <c r="Q3472" s="30"/>
    </row>
    <row r="3473">
      <c r="B3473" s="6"/>
      <c r="C3473" s="33" t="str">
        <f t="array" ref="C3473">IF(B3473="", "", XLOOKUP(B3473, Inventory!D:D,Inventory!E:E,"No Name Found"))</f>
        <v/>
      </c>
      <c r="D3473" s="6"/>
      <c r="E3473" s="6"/>
      <c r="F3473" s="6"/>
      <c r="G3473" s="24" t="str">
        <f>IF(F3473="", "", VLOOKUP(F3473, Inventory!A:BZ, 3, FALSE) - SUMIF($F$1:$F3472, F3473, $H$1:$H3472))
</f>
        <v/>
      </c>
      <c r="I3473" s="26"/>
      <c r="J3473" s="26" t="s">
        <v>77</v>
      </c>
      <c r="L3473" s="27" t="s">
        <v>77</v>
      </c>
      <c r="N3473" s="28" t="s">
        <v>77</v>
      </c>
      <c r="Q3473" s="30"/>
    </row>
    <row r="3474">
      <c r="B3474" s="6"/>
      <c r="C3474" s="33" t="str">
        <f t="array" ref="C3474">IF(B3474="", "", XLOOKUP(B3474, Inventory!D:D,Inventory!E:E,"No Name Found"))</f>
        <v/>
      </c>
      <c r="D3474" s="6"/>
      <c r="E3474" s="6"/>
      <c r="F3474" s="6"/>
      <c r="G3474" s="24" t="str">
        <f>IF(F3474="", "", VLOOKUP(F3474, Inventory!A:BZ, 3, FALSE) - SUMIF($F$1:$F3473, F3474, $H$1:$H3473))
</f>
        <v/>
      </c>
      <c r="I3474" s="26"/>
      <c r="J3474" s="26" t="s">
        <v>77</v>
      </c>
      <c r="L3474" s="27" t="s">
        <v>77</v>
      </c>
      <c r="N3474" s="28" t="s">
        <v>77</v>
      </c>
      <c r="Q3474" s="30"/>
    </row>
    <row r="3475">
      <c r="B3475" s="6"/>
      <c r="C3475" s="33" t="str">
        <f t="array" ref="C3475">IF(B3475="", "", XLOOKUP(B3475, Inventory!D:D,Inventory!E:E,"No Name Found"))</f>
        <v/>
      </c>
      <c r="D3475" s="6"/>
      <c r="E3475" s="6"/>
      <c r="F3475" s="6"/>
      <c r="G3475" s="24" t="str">
        <f>IF(F3475="", "", VLOOKUP(F3475, Inventory!A:BZ, 3, FALSE) - SUMIF($F$1:$F3474, F3475, $H$1:$H3474))
</f>
        <v/>
      </c>
      <c r="I3475" s="26"/>
      <c r="J3475" s="26" t="s">
        <v>77</v>
      </c>
      <c r="L3475" s="27" t="s">
        <v>77</v>
      </c>
      <c r="N3475" s="28" t="s">
        <v>77</v>
      </c>
      <c r="Q3475" s="30"/>
    </row>
    <row r="3476">
      <c r="B3476" s="6"/>
      <c r="C3476" s="33" t="str">
        <f t="array" ref="C3476">IF(B3476="", "", XLOOKUP(B3476, Inventory!D:D,Inventory!E:E,"No Name Found"))</f>
        <v/>
      </c>
      <c r="D3476" s="6"/>
      <c r="E3476" s="6"/>
      <c r="F3476" s="6"/>
      <c r="G3476" s="24" t="str">
        <f>IF(F3476="", "", VLOOKUP(F3476, Inventory!A:BZ, 3, FALSE) - SUMIF($F$1:$F3475, F3476, $H$1:$H3475))
</f>
        <v/>
      </c>
      <c r="I3476" s="26"/>
      <c r="J3476" s="26" t="s">
        <v>77</v>
      </c>
      <c r="L3476" s="27" t="s">
        <v>77</v>
      </c>
      <c r="N3476" s="28" t="s">
        <v>77</v>
      </c>
      <c r="Q3476" s="30"/>
    </row>
    <row r="3477">
      <c r="B3477" s="6"/>
      <c r="C3477" s="33" t="str">
        <f t="array" ref="C3477">IF(B3477="", "", XLOOKUP(B3477, Inventory!D:D,Inventory!E:E,"No Name Found"))</f>
        <v/>
      </c>
      <c r="D3477" s="6"/>
      <c r="E3477" s="6"/>
      <c r="F3477" s="6"/>
      <c r="G3477" s="24" t="str">
        <f>IF(F3477="", "", VLOOKUP(F3477, Inventory!A:BZ, 3, FALSE) - SUMIF($F$1:$F3476, F3477, $H$1:$H3476))
</f>
        <v/>
      </c>
      <c r="I3477" s="26"/>
      <c r="J3477" s="26" t="s">
        <v>77</v>
      </c>
      <c r="L3477" s="27" t="s">
        <v>77</v>
      </c>
      <c r="N3477" s="28" t="s">
        <v>77</v>
      </c>
      <c r="Q3477" s="30"/>
    </row>
    <row r="3478">
      <c r="B3478" s="6"/>
      <c r="C3478" s="33" t="str">
        <f t="array" ref="C3478">IF(B3478="", "", XLOOKUP(B3478, Inventory!D:D,Inventory!E:E,"No Name Found"))</f>
        <v/>
      </c>
      <c r="D3478" s="6"/>
      <c r="E3478" s="6"/>
      <c r="F3478" s="6"/>
      <c r="G3478" s="24" t="str">
        <f>IF(F3478="", "", VLOOKUP(F3478, Inventory!A:BZ, 3, FALSE) - SUMIF($F$1:$F3477, F3478, $H$1:$H3477))
</f>
        <v/>
      </c>
      <c r="I3478" s="26"/>
      <c r="J3478" s="26" t="s">
        <v>77</v>
      </c>
      <c r="L3478" s="27" t="s">
        <v>77</v>
      </c>
      <c r="N3478" s="28" t="s">
        <v>77</v>
      </c>
      <c r="Q3478" s="30"/>
    </row>
    <row r="3479">
      <c r="B3479" s="6"/>
      <c r="C3479" s="33" t="str">
        <f t="array" ref="C3479">IF(B3479="", "", XLOOKUP(B3479, Inventory!D:D,Inventory!E:E,"No Name Found"))</f>
        <v/>
      </c>
      <c r="D3479" s="6"/>
      <c r="E3479" s="6"/>
      <c r="F3479" s="6"/>
      <c r="G3479" s="24" t="str">
        <f>IF(F3479="", "", VLOOKUP(F3479, Inventory!A:BZ, 3, FALSE) - SUMIF($F$1:$F3478, F3479, $H$1:$H3478))
</f>
        <v/>
      </c>
      <c r="I3479" s="26"/>
      <c r="J3479" s="26" t="s">
        <v>77</v>
      </c>
      <c r="L3479" s="27" t="s">
        <v>77</v>
      </c>
      <c r="N3479" s="28" t="s">
        <v>77</v>
      </c>
      <c r="Q3479" s="30"/>
    </row>
    <row r="3480">
      <c r="B3480" s="6"/>
      <c r="C3480" s="33" t="str">
        <f t="array" ref="C3480">IF(B3480="", "", XLOOKUP(B3480, Inventory!D:D,Inventory!E:E,"No Name Found"))</f>
        <v/>
      </c>
      <c r="D3480" s="6"/>
      <c r="E3480" s="6"/>
      <c r="F3480" s="6"/>
      <c r="G3480" s="24" t="str">
        <f>IF(F3480="", "", VLOOKUP(F3480, Inventory!A:BZ, 3, FALSE) - SUMIF($F$1:$F3479, F3480, $H$1:$H3479))
</f>
        <v/>
      </c>
      <c r="I3480" s="26"/>
      <c r="J3480" s="26" t="s">
        <v>77</v>
      </c>
      <c r="L3480" s="27" t="s">
        <v>77</v>
      </c>
      <c r="N3480" s="28" t="s">
        <v>77</v>
      </c>
      <c r="Q3480" s="30"/>
    </row>
    <row r="3481">
      <c r="B3481" s="6"/>
      <c r="C3481" s="33" t="str">
        <f t="array" ref="C3481">IF(B3481="", "", XLOOKUP(B3481, Inventory!D:D,Inventory!E:E,"No Name Found"))</f>
        <v/>
      </c>
      <c r="D3481" s="6"/>
      <c r="E3481" s="6"/>
      <c r="F3481" s="6"/>
      <c r="G3481" s="24" t="str">
        <f>IF(F3481="", "", VLOOKUP(F3481, Inventory!A:BZ, 3, FALSE) - SUMIF($F$1:$F3480, F3481, $H$1:$H3480))
</f>
        <v/>
      </c>
      <c r="I3481" s="26"/>
      <c r="J3481" s="26" t="s">
        <v>77</v>
      </c>
      <c r="L3481" s="27" t="s">
        <v>77</v>
      </c>
      <c r="N3481" s="28" t="s">
        <v>77</v>
      </c>
      <c r="Q3481" s="30"/>
    </row>
    <row r="3482">
      <c r="B3482" s="6"/>
      <c r="C3482" s="33" t="str">
        <f t="array" ref="C3482">IF(B3482="", "", XLOOKUP(B3482, Inventory!D:D,Inventory!E:E,"No Name Found"))</f>
        <v/>
      </c>
      <c r="D3482" s="6"/>
      <c r="E3482" s="6"/>
      <c r="F3482" s="6"/>
      <c r="G3482" s="24" t="str">
        <f>IF(F3482="", "", VLOOKUP(F3482, Inventory!A:BZ, 3, FALSE) - SUMIF($F$1:$F3481, F3482, $H$1:$H3481))
</f>
        <v/>
      </c>
      <c r="I3482" s="26"/>
      <c r="J3482" s="26" t="s">
        <v>77</v>
      </c>
      <c r="L3482" s="27" t="s">
        <v>77</v>
      </c>
      <c r="N3482" s="28" t="s">
        <v>77</v>
      </c>
      <c r="Q3482" s="30"/>
    </row>
    <row r="3483">
      <c r="B3483" s="6"/>
      <c r="C3483" s="33" t="str">
        <f t="array" ref="C3483">IF(B3483="", "", XLOOKUP(B3483, Inventory!D:D,Inventory!E:E,"No Name Found"))</f>
        <v/>
      </c>
      <c r="D3483" s="6"/>
      <c r="E3483" s="6"/>
      <c r="F3483" s="6"/>
      <c r="G3483" s="24" t="str">
        <f>IF(F3483="", "", VLOOKUP(F3483, Inventory!A:BZ, 3, FALSE) - SUMIF($F$1:$F3482, F3483, $H$1:$H3482))
</f>
        <v/>
      </c>
      <c r="I3483" s="26"/>
      <c r="J3483" s="26" t="s">
        <v>77</v>
      </c>
      <c r="L3483" s="27" t="s">
        <v>77</v>
      </c>
      <c r="N3483" s="28" t="s">
        <v>77</v>
      </c>
      <c r="Q3483" s="30"/>
    </row>
    <row r="3484">
      <c r="B3484" s="6"/>
      <c r="C3484" s="33" t="str">
        <f t="array" ref="C3484">IF(B3484="", "", XLOOKUP(B3484, Inventory!D:D,Inventory!E:E,"No Name Found"))</f>
        <v/>
      </c>
      <c r="D3484" s="6"/>
      <c r="E3484" s="6"/>
      <c r="F3484" s="6"/>
      <c r="G3484" s="24" t="str">
        <f>IF(F3484="", "", VLOOKUP(F3484, Inventory!A:BZ, 3, FALSE) - SUMIF($F$1:$F3483, F3484, $H$1:$H3483))
</f>
        <v/>
      </c>
      <c r="I3484" s="26"/>
      <c r="J3484" s="26" t="s">
        <v>77</v>
      </c>
      <c r="L3484" s="27" t="s">
        <v>77</v>
      </c>
      <c r="N3484" s="28" t="s">
        <v>77</v>
      </c>
      <c r="Q3484" s="30"/>
    </row>
    <row r="3485">
      <c r="B3485" s="6"/>
      <c r="C3485" s="33" t="str">
        <f t="array" ref="C3485">IF(B3485="", "", XLOOKUP(B3485, Inventory!D:D,Inventory!E:E,"No Name Found"))</f>
        <v/>
      </c>
      <c r="D3485" s="6"/>
      <c r="E3485" s="6"/>
      <c r="F3485" s="6"/>
      <c r="G3485" s="24" t="str">
        <f>IF(F3485="", "", VLOOKUP(F3485, Inventory!A:BZ, 3, FALSE) - SUMIF($F$1:$F3484, F3485, $H$1:$H3484))
</f>
        <v/>
      </c>
      <c r="I3485" s="26"/>
      <c r="J3485" s="26" t="s">
        <v>77</v>
      </c>
      <c r="L3485" s="27" t="s">
        <v>77</v>
      </c>
      <c r="N3485" s="28" t="s">
        <v>77</v>
      </c>
      <c r="Q3485" s="30"/>
    </row>
    <row r="3486">
      <c r="B3486" s="6"/>
      <c r="C3486" s="33" t="str">
        <f t="array" ref="C3486">IF(B3486="", "", XLOOKUP(B3486, Inventory!D:D,Inventory!E:E,"No Name Found"))</f>
        <v/>
      </c>
      <c r="D3486" s="6"/>
      <c r="E3486" s="6"/>
      <c r="F3486" s="6"/>
      <c r="G3486" s="24" t="str">
        <f>IF(F3486="", "", VLOOKUP(F3486, Inventory!A:BZ, 3, FALSE) - SUMIF($F$1:$F3485, F3486, $H$1:$H3485))
</f>
        <v/>
      </c>
      <c r="I3486" s="26"/>
      <c r="J3486" s="26" t="s">
        <v>77</v>
      </c>
      <c r="L3486" s="27" t="s">
        <v>77</v>
      </c>
      <c r="N3486" s="28" t="s">
        <v>77</v>
      </c>
      <c r="Q3486" s="30"/>
    </row>
    <row r="3487">
      <c r="B3487" s="6"/>
      <c r="C3487" s="33" t="str">
        <f t="array" ref="C3487">IF(B3487="", "", XLOOKUP(B3487, Inventory!D:D,Inventory!E:E,"No Name Found"))</f>
        <v/>
      </c>
      <c r="D3487" s="6"/>
      <c r="E3487" s="6"/>
      <c r="F3487" s="6"/>
      <c r="G3487" s="24" t="str">
        <f>IF(F3487="", "", VLOOKUP(F3487, Inventory!A:BZ, 3, FALSE) - SUMIF($F$1:$F3486, F3487, $H$1:$H3486))
</f>
        <v/>
      </c>
      <c r="I3487" s="26"/>
      <c r="J3487" s="26" t="s">
        <v>77</v>
      </c>
      <c r="L3487" s="27" t="s">
        <v>77</v>
      </c>
      <c r="N3487" s="28" t="s">
        <v>77</v>
      </c>
      <c r="Q3487" s="30"/>
    </row>
    <row r="3488">
      <c r="B3488" s="6"/>
      <c r="C3488" s="33" t="str">
        <f t="array" ref="C3488">IF(B3488="", "", XLOOKUP(B3488, Inventory!D:D,Inventory!E:E,"No Name Found"))</f>
        <v/>
      </c>
      <c r="D3488" s="6"/>
      <c r="E3488" s="6"/>
      <c r="F3488" s="6"/>
      <c r="G3488" s="24" t="str">
        <f>IF(F3488="", "", VLOOKUP(F3488, Inventory!A:BZ, 3, FALSE) - SUMIF($F$1:$F3487, F3488, $H$1:$H3487))
</f>
        <v/>
      </c>
      <c r="I3488" s="26"/>
      <c r="J3488" s="26" t="s">
        <v>77</v>
      </c>
      <c r="L3488" s="27" t="s">
        <v>77</v>
      </c>
      <c r="N3488" s="28" t="s">
        <v>77</v>
      </c>
      <c r="Q3488" s="30"/>
    </row>
    <row r="3489">
      <c r="B3489" s="6"/>
      <c r="C3489" s="33" t="str">
        <f t="array" ref="C3489">IF(B3489="", "", XLOOKUP(B3489, Inventory!D:D,Inventory!E:E,"No Name Found"))</f>
        <v/>
      </c>
      <c r="D3489" s="6"/>
      <c r="E3489" s="6"/>
      <c r="F3489" s="6"/>
      <c r="G3489" s="24" t="str">
        <f>IF(F3489="", "", VLOOKUP(F3489, Inventory!A:BZ, 3, FALSE) - SUMIF($F$1:$F3488, F3489, $H$1:$H3488))
</f>
        <v/>
      </c>
      <c r="I3489" s="26"/>
      <c r="J3489" s="26" t="s">
        <v>77</v>
      </c>
      <c r="L3489" s="27" t="s">
        <v>77</v>
      </c>
      <c r="N3489" s="28" t="s">
        <v>77</v>
      </c>
      <c r="Q3489" s="30"/>
    </row>
    <row r="3490">
      <c r="B3490" s="6"/>
      <c r="C3490" s="33" t="str">
        <f t="array" ref="C3490">IF(B3490="", "", XLOOKUP(B3490, Inventory!D:D,Inventory!E:E,"No Name Found"))</f>
        <v/>
      </c>
      <c r="D3490" s="6"/>
      <c r="E3490" s="6"/>
      <c r="F3490" s="6"/>
      <c r="G3490" s="24" t="str">
        <f>IF(F3490="", "", VLOOKUP(F3490, Inventory!A:BZ, 3, FALSE) - SUMIF($F$1:$F3489, F3490, $H$1:$H3489))
</f>
        <v/>
      </c>
      <c r="I3490" s="26"/>
      <c r="J3490" s="26" t="s">
        <v>77</v>
      </c>
      <c r="L3490" s="27" t="s">
        <v>77</v>
      </c>
      <c r="N3490" s="28" t="s">
        <v>77</v>
      </c>
      <c r="Q3490" s="30"/>
    </row>
    <row r="3491">
      <c r="B3491" s="6"/>
      <c r="C3491" s="33" t="str">
        <f t="array" ref="C3491">IF(B3491="", "", XLOOKUP(B3491, Inventory!D:D,Inventory!E:E,"No Name Found"))</f>
        <v/>
      </c>
      <c r="D3491" s="6"/>
      <c r="E3491" s="6"/>
      <c r="F3491" s="6"/>
      <c r="G3491" s="24" t="str">
        <f>IF(F3491="", "", VLOOKUP(F3491, Inventory!A:BZ, 3, FALSE) - SUMIF($F$1:$F3490, F3491, $H$1:$H3490))
</f>
        <v/>
      </c>
      <c r="I3491" s="26"/>
      <c r="J3491" s="26" t="s">
        <v>77</v>
      </c>
      <c r="L3491" s="27" t="s">
        <v>77</v>
      </c>
      <c r="N3491" s="28" t="s">
        <v>77</v>
      </c>
      <c r="Q3491" s="30"/>
    </row>
    <row r="3492">
      <c r="B3492" s="6"/>
      <c r="C3492" s="33" t="str">
        <f t="array" ref="C3492">IF(B3492="", "", XLOOKUP(B3492, Inventory!D:D,Inventory!E:E,"No Name Found"))</f>
        <v/>
      </c>
      <c r="D3492" s="6"/>
      <c r="E3492" s="6"/>
      <c r="F3492" s="6"/>
      <c r="G3492" s="24" t="str">
        <f>IF(F3492="", "", VLOOKUP(F3492, Inventory!A:BZ, 3, FALSE) - SUMIF($F$1:$F3491, F3492, $H$1:$H3491))
</f>
        <v/>
      </c>
      <c r="I3492" s="26"/>
      <c r="J3492" s="26" t="s">
        <v>77</v>
      </c>
      <c r="L3492" s="27" t="s">
        <v>77</v>
      </c>
      <c r="N3492" s="28" t="s">
        <v>77</v>
      </c>
      <c r="Q3492" s="30"/>
    </row>
    <row r="3493">
      <c r="B3493" s="6"/>
      <c r="C3493" s="33" t="str">
        <f t="array" ref="C3493">IF(B3493="", "", XLOOKUP(B3493, Inventory!D:D,Inventory!E:E,"No Name Found"))</f>
        <v/>
      </c>
      <c r="D3493" s="6"/>
      <c r="E3493" s="6"/>
      <c r="F3493" s="6"/>
      <c r="G3493" s="24" t="str">
        <f>IF(F3493="", "", VLOOKUP(F3493, Inventory!A:BZ, 3, FALSE) - SUMIF($F$1:$F3492, F3493, $H$1:$H3492))
</f>
        <v/>
      </c>
      <c r="I3493" s="26"/>
      <c r="J3493" s="26" t="s">
        <v>77</v>
      </c>
      <c r="L3493" s="27" t="s">
        <v>77</v>
      </c>
      <c r="N3493" s="28" t="s">
        <v>77</v>
      </c>
      <c r="Q3493" s="30"/>
    </row>
    <row r="3494">
      <c r="B3494" s="6"/>
      <c r="C3494" s="33" t="str">
        <f t="array" ref="C3494">IF(B3494="", "", XLOOKUP(B3494, Inventory!D:D,Inventory!E:E,"No Name Found"))</f>
        <v/>
      </c>
      <c r="D3494" s="6"/>
      <c r="E3494" s="6"/>
      <c r="F3494" s="6"/>
      <c r="G3494" s="24" t="str">
        <f>IF(F3494="", "", VLOOKUP(F3494, Inventory!A:BZ, 3, FALSE) - SUMIF($F$1:$F3493, F3494, $H$1:$H3493))
</f>
        <v/>
      </c>
      <c r="I3494" s="26"/>
      <c r="J3494" s="26" t="s">
        <v>77</v>
      </c>
      <c r="L3494" s="27" t="s">
        <v>77</v>
      </c>
      <c r="N3494" s="28" t="s">
        <v>77</v>
      </c>
      <c r="Q3494" s="30"/>
    </row>
    <row r="3495">
      <c r="B3495" s="6"/>
      <c r="C3495" s="33" t="str">
        <f t="array" ref="C3495">IF(B3495="", "", XLOOKUP(B3495, Inventory!D:D,Inventory!E:E,"No Name Found"))</f>
        <v/>
      </c>
      <c r="D3495" s="6"/>
      <c r="E3495" s="6"/>
      <c r="F3495" s="6"/>
      <c r="G3495" s="24" t="str">
        <f>IF(F3495="", "", VLOOKUP(F3495, Inventory!A:BZ, 3, FALSE) - SUMIF($F$1:$F3494, F3495, $H$1:$H3494))
</f>
        <v/>
      </c>
      <c r="I3495" s="26"/>
      <c r="J3495" s="26" t="s">
        <v>77</v>
      </c>
      <c r="L3495" s="27" t="s">
        <v>77</v>
      </c>
      <c r="N3495" s="28" t="s">
        <v>77</v>
      </c>
      <c r="Q3495" s="30"/>
    </row>
    <row r="3496">
      <c r="B3496" s="6"/>
      <c r="C3496" s="33" t="str">
        <f t="array" ref="C3496">IF(B3496="", "", XLOOKUP(B3496, Inventory!D:D,Inventory!E:E,"No Name Found"))</f>
        <v/>
      </c>
      <c r="D3496" s="6"/>
      <c r="E3496" s="6"/>
      <c r="F3496" s="6"/>
      <c r="G3496" s="24" t="str">
        <f>IF(F3496="", "", VLOOKUP(F3496, Inventory!A:BZ, 3, FALSE) - SUMIF($F$1:$F3495, F3496, $H$1:$H3495))
</f>
        <v/>
      </c>
      <c r="I3496" s="26"/>
      <c r="J3496" s="26" t="s">
        <v>77</v>
      </c>
      <c r="L3496" s="27" t="s">
        <v>77</v>
      </c>
      <c r="N3496" s="28" t="s">
        <v>77</v>
      </c>
      <c r="Q3496" s="30"/>
    </row>
    <row r="3497">
      <c r="B3497" s="6"/>
      <c r="C3497" s="33" t="str">
        <f t="array" ref="C3497">IF(B3497="", "", XLOOKUP(B3497, Inventory!D:D,Inventory!E:E,"No Name Found"))</f>
        <v/>
      </c>
      <c r="D3497" s="6"/>
      <c r="E3497" s="6"/>
      <c r="F3497" s="6"/>
      <c r="G3497" s="24" t="str">
        <f>IF(F3497="", "", VLOOKUP(F3497, Inventory!A:BZ, 3, FALSE) - SUMIF($F$1:$F3496, F3497, $H$1:$H3496))
</f>
        <v/>
      </c>
      <c r="I3497" s="26"/>
      <c r="J3497" s="26" t="s">
        <v>77</v>
      </c>
      <c r="L3497" s="27" t="s">
        <v>77</v>
      </c>
      <c r="N3497" s="28" t="s">
        <v>77</v>
      </c>
      <c r="Q3497" s="30"/>
    </row>
    <row r="3498">
      <c r="B3498" s="6"/>
      <c r="C3498" s="33" t="str">
        <f t="array" ref="C3498">IF(B3498="", "", XLOOKUP(B3498, Inventory!D:D,Inventory!E:E,"No Name Found"))</f>
        <v/>
      </c>
      <c r="D3498" s="6"/>
      <c r="E3498" s="6"/>
      <c r="F3498" s="6"/>
      <c r="G3498" s="24" t="str">
        <f>IF(F3498="", "", VLOOKUP(F3498, Inventory!A:BZ, 3, FALSE) - SUMIF($F$1:$F3497, F3498, $H$1:$H3497))
</f>
        <v/>
      </c>
      <c r="I3498" s="26"/>
      <c r="J3498" s="26" t="s">
        <v>77</v>
      </c>
      <c r="L3498" s="27" t="s">
        <v>77</v>
      </c>
      <c r="N3498" s="28" t="s">
        <v>77</v>
      </c>
      <c r="Q3498" s="30"/>
    </row>
    <row r="3499">
      <c r="B3499" s="6"/>
      <c r="C3499" s="33" t="str">
        <f t="array" ref="C3499">IF(B3499="", "", XLOOKUP(B3499, Inventory!D:D,Inventory!E:E,"No Name Found"))</f>
        <v/>
      </c>
      <c r="D3499" s="6"/>
      <c r="E3499" s="6"/>
      <c r="F3499" s="6"/>
      <c r="G3499" s="24" t="str">
        <f>IF(F3499="", "", VLOOKUP(F3499, Inventory!A:BZ, 3, FALSE) - SUMIF($F$1:$F3498, F3499, $H$1:$H3498))
</f>
        <v/>
      </c>
      <c r="I3499" s="26"/>
      <c r="J3499" s="26" t="s">
        <v>77</v>
      </c>
      <c r="L3499" s="27" t="s">
        <v>77</v>
      </c>
      <c r="N3499" s="28" t="s">
        <v>77</v>
      </c>
      <c r="Q3499" s="30"/>
    </row>
    <row r="3500">
      <c r="B3500" s="6"/>
      <c r="C3500" s="33" t="str">
        <f t="array" ref="C3500">IF(B3500="", "", XLOOKUP(B3500, Inventory!D:D,Inventory!E:E,"No Name Found"))</f>
        <v/>
      </c>
      <c r="D3500" s="6"/>
      <c r="E3500" s="6"/>
      <c r="F3500" s="6"/>
      <c r="G3500" s="24" t="str">
        <f>IF(F3500="", "", VLOOKUP(F3500, Inventory!A:BZ, 3, FALSE) - SUMIF($F$1:$F3499, F3500, $H$1:$H3499))
</f>
        <v/>
      </c>
      <c r="I3500" s="26"/>
      <c r="J3500" s="26" t="s">
        <v>77</v>
      </c>
      <c r="L3500" s="27" t="s">
        <v>77</v>
      </c>
      <c r="N3500" s="28" t="s">
        <v>77</v>
      </c>
      <c r="Q3500" s="30"/>
    </row>
    <row r="3501">
      <c r="B3501" s="6"/>
      <c r="C3501" s="33" t="str">
        <f t="array" ref="C3501">IF(B3501="", "", XLOOKUP(B3501, Inventory!D:D,Inventory!E:E,"No Name Found"))</f>
        <v/>
      </c>
      <c r="D3501" s="6"/>
      <c r="E3501" s="6"/>
      <c r="F3501" s="6"/>
      <c r="G3501" s="24" t="str">
        <f>IF(F3501="", "", VLOOKUP(F3501, Inventory!A:BZ, 3, FALSE) - SUMIF($F$1:$F3500, F3501, $H$1:$H3500))
</f>
        <v/>
      </c>
      <c r="I3501" s="26"/>
      <c r="J3501" s="26" t="s">
        <v>77</v>
      </c>
      <c r="L3501" s="27" t="s">
        <v>77</v>
      </c>
      <c r="N3501" s="28" t="s">
        <v>77</v>
      </c>
      <c r="Q3501" s="30"/>
    </row>
    <row r="3502">
      <c r="B3502" s="6"/>
      <c r="C3502" s="33" t="str">
        <f t="array" ref="C3502">IF(B3502="", "", XLOOKUP(B3502, Inventory!D:D,Inventory!E:E,"No Name Found"))</f>
        <v/>
      </c>
      <c r="D3502" s="6"/>
      <c r="E3502" s="6"/>
      <c r="F3502" s="6"/>
      <c r="G3502" s="24" t="str">
        <f>IF(F3502="", "", VLOOKUP(F3502, Inventory!A:BZ, 3, FALSE) - SUMIF($F$1:$F3501, F3502, $H$1:$H3501))
</f>
        <v/>
      </c>
      <c r="I3502" s="26"/>
      <c r="J3502" s="26" t="s">
        <v>77</v>
      </c>
      <c r="L3502" s="27" t="s">
        <v>77</v>
      </c>
      <c r="N3502" s="28" t="s">
        <v>77</v>
      </c>
      <c r="Q3502" s="30"/>
    </row>
    <row r="3503">
      <c r="B3503" s="6"/>
      <c r="C3503" s="33" t="str">
        <f t="array" ref="C3503">IF(B3503="", "", XLOOKUP(B3503, Inventory!D:D,Inventory!E:E,"No Name Found"))</f>
        <v/>
      </c>
      <c r="D3503" s="6"/>
      <c r="E3503" s="6"/>
      <c r="F3503" s="6"/>
      <c r="G3503" s="24" t="str">
        <f>IF(F3503="", "", VLOOKUP(F3503, Inventory!A:BZ, 3, FALSE) - SUMIF($F$1:$F3502, F3503, $H$1:$H3502))
</f>
        <v/>
      </c>
      <c r="I3503" s="26"/>
      <c r="J3503" s="26" t="s">
        <v>77</v>
      </c>
      <c r="L3503" s="27" t="s">
        <v>77</v>
      </c>
      <c r="N3503" s="28" t="s">
        <v>77</v>
      </c>
      <c r="Q3503" s="30"/>
    </row>
    <row r="3504">
      <c r="B3504" s="6"/>
      <c r="C3504" s="33" t="str">
        <f t="array" ref="C3504">IF(B3504="", "", XLOOKUP(B3504, Inventory!D:D,Inventory!E:E,"No Name Found"))</f>
        <v/>
      </c>
      <c r="D3504" s="6"/>
      <c r="E3504" s="6"/>
      <c r="F3504" s="6"/>
      <c r="G3504" s="24" t="str">
        <f>IF(F3504="", "", VLOOKUP(F3504, Inventory!A:BZ, 3, FALSE) - SUMIF($F$1:$F3503, F3504, $H$1:$H3503))
</f>
        <v/>
      </c>
      <c r="I3504" s="26"/>
      <c r="J3504" s="26" t="s">
        <v>77</v>
      </c>
      <c r="L3504" s="27" t="s">
        <v>77</v>
      </c>
      <c r="N3504" s="28" t="s">
        <v>77</v>
      </c>
      <c r="Q3504" s="30"/>
    </row>
    <row r="3505">
      <c r="B3505" s="6"/>
      <c r="C3505" s="33" t="str">
        <f t="array" ref="C3505">IF(B3505="", "", XLOOKUP(B3505, Inventory!D:D,Inventory!E:E,"No Name Found"))</f>
        <v/>
      </c>
      <c r="D3505" s="6"/>
      <c r="E3505" s="6"/>
      <c r="F3505" s="6"/>
      <c r="G3505" s="24" t="str">
        <f>IF(F3505="", "", VLOOKUP(F3505, Inventory!A:BZ, 3, FALSE) - SUMIF($F$1:$F3504, F3505, $H$1:$H3504))
</f>
        <v/>
      </c>
      <c r="I3505" s="26"/>
      <c r="J3505" s="26" t="s">
        <v>77</v>
      </c>
      <c r="L3505" s="27" t="s">
        <v>77</v>
      </c>
      <c r="N3505" s="28" t="s">
        <v>77</v>
      </c>
      <c r="Q3505" s="30"/>
    </row>
    <row r="3506">
      <c r="B3506" s="6"/>
      <c r="C3506" s="33" t="str">
        <f t="array" ref="C3506">IF(B3506="", "", XLOOKUP(B3506, Inventory!D:D,Inventory!E:E,"No Name Found"))</f>
        <v/>
      </c>
      <c r="D3506" s="6"/>
      <c r="E3506" s="6"/>
      <c r="F3506" s="6"/>
      <c r="G3506" s="24" t="str">
        <f>IF(F3506="", "", VLOOKUP(F3506, Inventory!A:BZ, 3, FALSE) - SUMIF($F$1:$F3505, F3506, $H$1:$H3505))
</f>
        <v/>
      </c>
      <c r="I3506" s="26"/>
      <c r="J3506" s="26" t="s">
        <v>77</v>
      </c>
      <c r="L3506" s="27" t="s">
        <v>77</v>
      </c>
      <c r="N3506" s="28" t="s">
        <v>77</v>
      </c>
      <c r="Q3506" s="30"/>
    </row>
    <row r="3507">
      <c r="B3507" s="6"/>
      <c r="C3507" s="33" t="str">
        <f t="array" ref="C3507">IF(B3507="", "", XLOOKUP(B3507, Inventory!D:D,Inventory!E:E,"No Name Found"))</f>
        <v/>
      </c>
      <c r="D3507" s="6"/>
      <c r="E3507" s="6"/>
      <c r="F3507" s="6"/>
      <c r="G3507" s="24" t="str">
        <f>IF(F3507="", "", VLOOKUP(F3507, Inventory!A:BZ, 3, FALSE) - SUMIF($F$1:$F3506, F3507, $H$1:$H3506))
</f>
        <v/>
      </c>
      <c r="I3507" s="26"/>
      <c r="J3507" s="26" t="s">
        <v>77</v>
      </c>
      <c r="L3507" s="27" t="s">
        <v>77</v>
      </c>
      <c r="N3507" s="28" t="s">
        <v>77</v>
      </c>
      <c r="Q3507" s="30"/>
    </row>
    <row r="3508">
      <c r="B3508" s="6"/>
      <c r="C3508" s="33" t="str">
        <f t="array" ref="C3508">IF(B3508="", "", XLOOKUP(B3508, Inventory!D:D,Inventory!E:E,"No Name Found"))</f>
        <v/>
      </c>
      <c r="D3508" s="6"/>
      <c r="E3508" s="6"/>
      <c r="F3508" s="6"/>
      <c r="G3508" s="24" t="str">
        <f>IF(F3508="", "", VLOOKUP(F3508, Inventory!A:BZ, 3, FALSE) - SUMIF($F$1:$F3507, F3508, $H$1:$H3507))
</f>
        <v/>
      </c>
      <c r="I3508" s="26"/>
      <c r="J3508" s="26" t="s">
        <v>77</v>
      </c>
      <c r="L3508" s="27" t="s">
        <v>77</v>
      </c>
      <c r="N3508" s="28" t="s">
        <v>77</v>
      </c>
      <c r="Q3508" s="30"/>
    </row>
    <row r="3509">
      <c r="B3509" s="6"/>
      <c r="C3509" s="33" t="str">
        <f t="array" ref="C3509">IF(B3509="", "", XLOOKUP(B3509, Inventory!D:D,Inventory!E:E,"No Name Found"))</f>
        <v/>
      </c>
      <c r="D3509" s="6"/>
      <c r="E3509" s="6"/>
      <c r="F3509" s="6"/>
      <c r="G3509" s="24" t="str">
        <f>IF(F3509="", "", VLOOKUP(F3509, Inventory!A:BZ, 3, FALSE) - SUMIF($F$1:$F3508, F3509, $H$1:$H3508))
</f>
        <v/>
      </c>
      <c r="I3509" s="26"/>
      <c r="J3509" s="26" t="s">
        <v>77</v>
      </c>
      <c r="L3509" s="27" t="s">
        <v>77</v>
      </c>
      <c r="N3509" s="28" t="s">
        <v>77</v>
      </c>
      <c r="Q3509" s="30"/>
    </row>
    <row r="3510">
      <c r="B3510" s="6"/>
      <c r="C3510" s="33" t="str">
        <f t="array" ref="C3510">IF(B3510="", "", XLOOKUP(B3510, Inventory!D:D,Inventory!E:E,"No Name Found"))</f>
        <v/>
      </c>
      <c r="D3510" s="6"/>
      <c r="E3510" s="6"/>
      <c r="F3510" s="6"/>
      <c r="G3510" s="24" t="str">
        <f>IF(F3510="", "", VLOOKUP(F3510, Inventory!A:BZ, 3, FALSE) - SUMIF($F$1:$F3509, F3510, $H$1:$H3509))
</f>
        <v/>
      </c>
      <c r="I3510" s="26"/>
      <c r="J3510" s="26" t="s">
        <v>77</v>
      </c>
      <c r="L3510" s="27" t="s">
        <v>77</v>
      </c>
      <c r="N3510" s="28" t="s">
        <v>77</v>
      </c>
      <c r="Q3510" s="30"/>
    </row>
    <row r="3511">
      <c r="B3511" s="6"/>
      <c r="C3511" s="33" t="str">
        <f t="array" ref="C3511">IF(B3511="", "", XLOOKUP(B3511, Inventory!D:D,Inventory!E:E,"No Name Found"))</f>
        <v/>
      </c>
      <c r="D3511" s="6"/>
      <c r="E3511" s="6"/>
      <c r="F3511" s="6"/>
      <c r="G3511" s="24" t="str">
        <f>IF(F3511="", "", VLOOKUP(F3511, Inventory!A:BZ, 3, FALSE) - SUMIF($F$1:$F3510, F3511, $H$1:$H3510))
</f>
        <v/>
      </c>
      <c r="I3511" s="26"/>
      <c r="J3511" s="26" t="s">
        <v>77</v>
      </c>
      <c r="L3511" s="27" t="s">
        <v>77</v>
      </c>
      <c r="N3511" s="28" t="s">
        <v>77</v>
      </c>
      <c r="Q3511" s="30"/>
    </row>
    <row r="3512">
      <c r="B3512" s="6"/>
      <c r="C3512" s="33" t="str">
        <f t="array" ref="C3512">IF(B3512="", "", XLOOKUP(B3512, Inventory!D:D,Inventory!E:E,"No Name Found"))</f>
        <v/>
      </c>
      <c r="D3512" s="6"/>
      <c r="E3512" s="6"/>
      <c r="F3512" s="6"/>
      <c r="G3512" s="24" t="str">
        <f>IF(F3512="", "", VLOOKUP(F3512, Inventory!A:BZ, 3, FALSE) - SUMIF($F$1:$F3511, F3512, $H$1:$H3511))
</f>
        <v/>
      </c>
      <c r="I3512" s="26"/>
      <c r="J3512" s="26" t="s">
        <v>77</v>
      </c>
      <c r="L3512" s="27" t="s">
        <v>77</v>
      </c>
      <c r="N3512" s="28" t="s">
        <v>77</v>
      </c>
      <c r="Q3512" s="30"/>
    </row>
    <row r="3513">
      <c r="B3513" s="6"/>
      <c r="C3513" s="33" t="str">
        <f t="array" ref="C3513">IF(B3513="", "", XLOOKUP(B3513, Inventory!D:D,Inventory!E:E,"No Name Found"))</f>
        <v/>
      </c>
      <c r="D3513" s="6"/>
      <c r="E3513" s="6"/>
      <c r="F3513" s="6"/>
      <c r="G3513" s="24" t="str">
        <f>IF(F3513="", "", VLOOKUP(F3513, Inventory!A:BZ, 3, FALSE) - SUMIF($F$1:$F3512, F3513, $H$1:$H3512))
</f>
        <v/>
      </c>
      <c r="I3513" s="26"/>
      <c r="J3513" s="26" t="s">
        <v>77</v>
      </c>
      <c r="L3513" s="27" t="s">
        <v>77</v>
      </c>
      <c r="N3513" s="28" t="s">
        <v>77</v>
      </c>
      <c r="Q3513" s="30"/>
    </row>
    <row r="3514">
      <c r="B3514" s="6"/>
      <c r="C3514" s="33" t="str">
        <f t="array" ref="C3514">IF(B3514="", "", XLOOKUP(B3514, Inventory!D:D,Inventory!E:E,"No Name Found"))</f>
        <v/>
      </c>
      <c r="D3514" s="6"/>
      <c r="E3514" s="6"/>
      <c r="F3514" s="6"/>
      <c r="G3514" s="24" t="str">
        <f>IF(F3514="", "", VLOOKUP(F3514, Inventory!A:BZ, 3, FALSE) - SUMIF($F$1:$F3513, F3514, $H$1:$H3513))
</f>
        <v/>
      </c>
      <c r="I3514" s="26"/>
      <c r="J3514" s="26" t="s">
        <v>77</v>
      </c>
      <c r="L3514" s="27" t="s">
        <v>77</v>
      </c>
      <c r="N3514" s="28" t="s">
        <v>77</v>
      </c>
      <c r="Q3514" s="30"/>
    </row>
    <row r="3515">
      <c r="B3515" s="6"/>
      <c r="C3515" s="33" t="str">
        <f t="array" ref="C3515">IF(B3515="", "", XLOOKUP(B3515, Inventory!D:D,Inventory!E:E,"No Name Found"))</f>
        <v/>
      </c>
      <c r="D3515" s="6"/>
      <c r="E3515" s="6"/>
      <c r="F3515" s="6"/>
      <c r="G3515" s="24" t="str">
        <f>IF(F3515="", "", VLOOKUP(F3515, Inventory!A:BZ, 3, FALSE) - SUMIF($F$1:$F3514, F3515, $H$1:$H3514))
</f>
        <v/>
      </c>
      <c r="I3515" s="26"/>
      <c r="J3515" s="26" t="s">
        <v>77</v>
      </c>
      <c r="L3515" s="27" t="s">
        <v>77</v>
      </c>
      <c r="N3515" s="28" t="s">
        <v>77</v>
      </c>
      <c r="Q3515" s="30"/>
    </row>
    <row r="3516">
      <c r="B3516" s="6"/>
      <c r="C3516" s="33" t="str">
        <f t="array" ref="C3516">IF(B3516="", "", XLOOKUP(B3516, Inventory!D:D,Inventory!E:E,"No Name Found"))</f>
        <v/>
      </c>
      <c r="D3516" s="6"/>
      <c r="E3516" s="6"/>
      <c r="F3516" s="6"/>
      <c r="G3516" s="24" t="str">
        <f>IF(F3516="", "", VLOOKUP(F3516, Inventory!A:BZ, 3, FALSE) - SUMIF($F$1:$F3515, F3516, $H$1:$H3515))
</f>
        <v/>
      </c>
      <c r="I3516" s="26"/>
      <c r="J3516" s="26" t="s">
        <v>77</v>
      </c>
      <c r="L3516" s="27" t="s">
        <v>77</v>
      </c>
      <c r="N3516" s="28" t="s">
        <v>77</v>
      </c>
      <c r="Q3516" s="30"/>
    </row>
    <row r="3517">
      <c r="B3517" s="6"/>
      <c r="C3517" s="33" t="str">
        <f t="array" ref="C3517">IF(B3517="", "", XLOOKUP(B3517, Inventory!D:D,Inventory!E:E,"No Name Found"))</f>
        <v/>
      </c>
      <c r="D3517" s="6"/>
      <c r="E3517" s="6"/>
      <c r="F3517" s="6"/>
      <c r="G3517" s="24" t="str">
        <f>IF(F3517="", "", VLOOKUP(F3517, Inventory!A:BZ, 3, FALSE) - SUMIF($F$1:$F3516, F3517, $H$1:$H3516))
</f>
        <v/>
      </c>
      <c r="I3517" s="26"/>
      <c r="J3517" s="26" t="s">
        <v>77</v>
      </c>
      <c r="L3517" s="27" t="s">
        <v>77</v>
      </c>
      <c r="N3517" s="28" t="s">
        <v>77</v>
      </c>
      <c r="Q3517" s="30"/>
    </row>
    <row r="3518">
      <c r="B3518" s="6"/>
      <c r="C3518" s="33" t="str">
        <f t="array" ref="C3518">IF(B3518="", "", XLOOKUP(B3518, Inventory!D:D,Inventory!E:E,"No Name Found"))</f>
        <v/>
      </c>
      <c r="D3518" s="6"/>
      <c r="E3518" s="6"/>
      <c r="F3518" s="6"/>
      <c r="G3518" s="24" t="str">
        <f>IF(F3518="", "", VLOOKUP(F3518, Inventory!A:BZ, 3, FALSE) - SUMIF($F$1:$F3517, F3518, $H$1:$H3517))
</f>
        <v/>
      </c>
      <c r="I3518" s="26"/>
      <c r="J3518" s="26" t="s">
        <v>77</v>
      </c>
      <c r="L3518" s="27" t="s">
        <v>77</v>
      </c>
      <c r="N3518" s="28" t="s">
        <v>77</v>
      </c>
      <c r="Q3518" s="30"/>
    </row>
    <row r="3519">
      <c r="B3519" s="6"/>
      <c r="C3519" s="33" t="str">
        <f t="array" ref="C3519">IF(B3519="", "", XLOOKUP(B3519, Inventory!D:D,Inventory!E:E,"No Name Found"))</f>
        <v/>
      </c>
      <c r="D3519" s="6"/>
      <c r="E3519" s="6"/>
      <c r="F3519" s="6"/>
      <c r="G3519" s="24" t="str">
        <f>IF(F3519="", "", VLOOKUP(F3519, Inventory!A:BZ, 3, FALSE) - SUMIF($F$1:$F3518, F3519, $H$1:$H3518))
</f>
        <v/>
      </c>
      <c r="I3519" s="26"/>
      <c r="J3519" s="26" t="s">
        <v>77</v>
      </c>
      <c r="L3519" s="27" t="s">
        <v>77</v>
      </c>
      <c r="N3519" s="28" t="s">
        <v>77</v>
      </c>
      <c r="Q3519" s="30"/>
    </row>
    <row r="3520">
      <c r="B3520" s="6"/>
      <c r="C3520" s="33" t="str">
        <f t="array" ref="C3520">IF(B3520="", "", XLOOKUP(B3520, Inventory!D:D,Inventory!E:E,"No Name Found"))</f>
        <v/>
      </c>
      <c r="D3520" s="6"/>
      <c r="E3520" s="6"/>
      <c r="F3520" s="6"/>
      <c r="G3520" s="24" t="str">
        <f>IF(F3520="", "", VLOOKUP(F3520, Inventory!A:BZ, 3, FALSE) - SUMIF($F$1:$F3519, F3520, $H$1:$H3519))
</f>
        <v/>
      </c>
      <c r="I3520" s="26"/>
      <c r="J3520" s="26" t="s">
        <v>77</v>
      </c>
      <c r="L3520" s="27" t="s">
        <v>77</v>
      </c>
      <c r="N3520" s="28" t="s">
        <v>77</v>
      </c>
      <c r="Q3520" s="30"/>
    </row>
    <row r="3521">
      <c r="B3521" s="6"/>
      <c r="C3521" s="33" t="str">
        <f t="array" ref="C3521">IF(B3521="", "", XLOOKUP(B3521, Inventory!D:D,Inventory!E:E,"No Name Found"))</f>
        <v/>
      </c>
      <c r="D3521" s="6"/>
      <c r="E3521" s="6"/>
      <c r="F3521" s="6"/>
      <c r="G3521" s="24" t="str">
        <f>IF(F3521="", "", VLOOKUP(F3521, Inventory!A:BZ, 3, FALSE) - SUMIF($F$1:$F3520, F3521, $H$1:$H3520))
</f>
        <v/>
      </c>
      <c r="I3521" s="26"/>
      <c r="J3521" s="26" t="s">
        <v>77</v>
      </c>
      <c r="L3521" s="27" t="s">
        <v>77</v>
      </c>
      <c r="N3521" s="28" t="s">
        <v>77</v>
      </c>
      <c r="Q3521" s="30"/>
    </row>
    <row r="3522">
      <c r="B3522" s="6"/>
      <c r="C3522" s="33" t="str">
        <f t="array" ref="C3522">IF(B3522="", "", XLOOKUP(B3522, Inventory!D:D,Inventory!E:E,"No Name Found"))</f>
        <v/>
      </c>
      <c r="D3522" s="6"/>
      <c r="E3522" s="6"/>
      <c r="F3522" s="6"/>
      <c r="G3522" s="24" t="str">
        <f>IF(F3522="", "", VLOOKUP(F3522, Inventory!A:BZ, 3, FALSE) - SUMIF($F$1:$F3521, F3522, $H$1:$H3521))
</f>
        <v/>
      </c>
      <c r="I3522" s="26"/>
      <c r="J3522" s="26" t="s">
        <v>77</v>
      </c>
      <c r="L3522" s="27" t="s">
        <v>77</v>
      </c>
      <c r="N3522" s="28" t="s">
        <v>77</v>
      </c>
      <c r="Q3522" s="30"/>
    </row>
    <row r="3523">
      <c r="B3523" s="6"/>
      <c r="C3523" s="33" t="str">
        <f t="array" ref="C3523">IF(B3523="", "", XLOOKUP(B3523, Inventory!D:D,Inventory!E:E,"No Name Found"))</f>
        <v/>
      </c>
      <c r="D3523" s="6"/>
      <c r="E3523" s="6"/>
      <c r="F3523" s="6"/>
      <c r="G3523" s="24" t="str">
        <f>IF(F3523="", "", VLOOKUP(F3523, Inventory!A:BZ, 3, FALSE) - SUMIF($F$1:$F3522, F3523, $H$1:$H3522))
</f>
        <v/>
      </c>
      <c r="I3523" s="26"/>
      <c r="J3523" s="26" t="s">
        <v>77</v>
      </c>
      <c r="L3523" s="27" t="s">
        <v>77</v>
      </c>
      <c r="N3523" s="28" t="s">
        <v>77</v>
      </c>
      <c r="Q3523" s="30"/>
    </row>
    <row r="3524">
      <c r="B3524" s="6"/>
      <c r="C3524" s="33" t="str">
        <f t="array" ref="C3524">IF(B3524="", "", XLOOKUP(B3524, Inventory!D:D,Inventory!E:E,"No Name Found"))</f>
        <v/>
      </c>
      <c r="D3524" s="6"/>
      <c r="E3524" s="6"/>
      <c r="F3524" s="6"/>
      <c r="G3524" s="24" t="str">
        <f>IF(F3524="", "", VLOOKUP(F3524, Inventory!A:BZ, 3, FALSE) - SUMIF($F$1:$F3523, F3524, $H$1:$H3523))
</f>
        <v/>
      </c>
      <c r="I3524" s="26"/>
      <c r="J3524" s="26" t="s">
        <v>77</v>
      </c>
      <c r="L3524" s="27" t="s">
        <v>77</v>
      </c>
      <c r="N3524" s="28" t="s">
        <v>77</v>
      </c>
      <c r="Q3524" s="30"/>
    </row>
    <row r="3525">
      <c r="B3525" s="6"/>
      <c r="C3525" s="33" t="str">
        <f t="array" ref="C3525">IF(B3525="", "", XLOOKUP(B3525, Inventory!D:D,Inventory!E:E,"No Name Found"))</f>
        <v/>
      </c>
      <c r="D3525" s="6"/>
      <c r="E3525" s="6"/>
      <c r="F3525" s="6"/>
      <c r="G3525" s="24" t="str">
        <f>IF(F3525="", "", VLOOKUP(F3525, Inventory!A:BZ, 3, FALSE) - SUMIF($F$1:$F3524, F3525, $H$1:$H3524))
</f>
        <v/>
      </c>
      <c r="I3525" s="26"/>
      <c r="J3525" s="26" t="s">
        <v>77</v>
      </c>
      <c r="L3525" s="27" t="s">
        <v>77</v>
      </c>
      <c r="N3525" s="28" t="s">
        <v>77</v>
      </c>
      <c r="Q3525" s="30"/>
    </row>
    <row r="3526">
      <c r="B3526" s="6"/>
      <c r="C3526" s="33" t="str">
        <f t="array" ref="C3526">IF(B3526="", "", XLOOKUP(B3526, Inventory!D:D,Inventory!E:E,"No Name Found"))</f>
        <v/>
      </c>
      <c r="D3526" s="6"/>
      <c r="E3526" s="6"/>
      <c r="F3526" s="6"/>
      <c r="G3526" s="24" t="str">
        <f>IF(F3526="", "", VLOOKUP(F3526, Inventory!A:BZ, 3, FALSE) - SUMIF($F$1:$F3525, F3526, $H$1:$H3525))
</f>
        <v/>
      </c>
      <c r="I3526" s="26"/>
      <c r="J3526" s="26" t="s">
        <v>77</v>
      </c>
      <c r="L3526" s="27" t="s">
        <v>77</v>
      </c>
      <c r="N3526" s="28" t="s">
        <v>77</v>
      </c>
      <c r="Q3526" s="30"/>
    </row>
    <row r="3527">
      <c r="B3527" s="6"/>
      <c r="C3527" s="33" t="str">
        <f t="array" ref="C3527">IF(B3527="", "", XLOOKUP(B3527, Inventory!D:D,Inventory!E:E,"No Name Found"))</f>
        <v/>
      </c>
      <c r="D3527" s="6"/>
      <c r="E3527" s="6"/>
      <c r="F3527" s="6"/>
      <c r="G3527" s="24" t="str">
        <f>IF(F3527="", "", VLOOKUP(F3527, Inventory!A:BZ, 3, FALSE) - SUMIF($F$1:$F3526, F3527, $H$1:$H3526))
</f>
        <v/>
      </c>
      <c r="I3527" s="26"/>
      <c r="J3527" s="26" t="s">
        <v>77</v>
      </c>
      <c r="L3527" s="27" t="s">
        <v>77</v>
      </c>
      <c r="N3527" s="28" t="s">
        <v>77</v>
      </c>
      <c r="Q3527" s="30"/>
    </row>
    <row r="3528">
      <c r="B3528" s="6"/>
      <c r="C3528" s="33" t="str">
        <f t="array" ref="C3528">IF(B3528="", "", XLOOKUP(B3528, Inventory!D:D,Inventory!E:E,"No Name Found"))</f>
        <v/>
      </c>
      <c r="D3528" s="6"/>
      <c r="E3528" s="6"/>
      <c r="F3528" s="6"/>
      <c r="G3528" s="24" t="str">
        <f>IF(F3528="", "", VLOOKUP(F3528, Inventory!A:BZ, 3, FALSE) - SUMIF($F$1:$F3527, F3528, $H$1:$H3527))
</f>
        <v/>
      </c>
      <c r="I3528" s="26"/>
      <c r="J3528" s="26" t="s">
        <v>77</v>
      </c>
      <c r="L3528" s="27" t="s">
        <v>77</v>
      </c>
      <c r="N3528" s="28" t="s">
        <v>77</v>
      </c>
      <c r="Q3528" s="30"/>
    </row>
    <row r="3529">
      <c r="B3529" s="6"/>
      <c r="C3529" s="33" t="str">
        <f t="array" ref="C3529">IF(B3529="", "", XLOOKUP(B3529, Inventory!D:D,Inventory!E:E,"No Name Found"))</f>
        <v/>
      </c>
      <c r="D3529" s="6"/>
      <c r="E3529" s="6"/>
      <c r="F3529" s="6"/>
      <c r="G3529" s="24" t="str">
        <f>IF(F3529="", "", VLOOKUP(F3529, Inventory!A:BZ, 3, FALSE) - SUMIF($F$1:$F3528, F3529, $H$1:$H3528))
</f>
        <v/>
      </c>
      <c r="I3529" s="26"/>
      <c r="J3529" s="26" t="s">
        <v>77</v>
      </c>
      <c r="L3529" s="27" t="s">
        <v>77</v>
      </c>
      <c r="N3529" s="28" t="s">
        <v>77</v>
      </c>
      <c r="Q3529" s="30"/>
    </row>
    <row r="3530">
      <c r="B3530" s="6"/>
      <c r="C3530" s="33" t="str">
        <f t="array" ref="C3530">IF(B3530="", "", XLOOKUP(B3530, Inventory!D:D,Inventory!E:E,"No Name Found"))</f>
        <v/>
      </c>
      <c r="D3530" s="6"/>
      <c r="E3530" s="6"/>
      <c r="F3530" s="6"/>
      <c r="G3530" s="24" t="str">
        <f>IF(F3530="", "", VLOOKUP(F3530, Inventory!A:BZ, 3, FALSE) - SUMIF($F$1:$F3529, F3530, $H$1:$H3529))
</f>
        <v/>
      </c>
      <c r="I3530" s="26"/>
      <c r="J3530" s="26" t="s">
        <v>77</v>
      </c>
      <c r="L3530" s="27" t="s">
        <v>77</v>
      </c>
      <c r="N3530" s="28" t="s">
        <v>77</v>
      </c>
      <c r="Q3530" s="30"/>
    </row>
    <row r="3531">
      <c r="B3531" s="6"/>
      <c r="C3531" s="33" t="str">
        <f t="array" ref="C3531">IF(B3531="", "", XLOOKUP(B3531, Inventory!D:D,Inventory!E:E,"No Name Found"))</f>
        <v/>
      </c>
      <c r="D3531" s="6"/>
      <c r="E3531" s="6"/>
      <c r="F3531" s="6"/>
      <c r="G3531" s="24" t="str">
        <f>IF(F3531="", "", VLOOKUP(F3531, Inventory!A:BZ, 3, FALSE) - SUMIF($F$1:$F3530, F3531, $H$1:$H3530))
</f>
        <v/>
      </c>
      <c r="I3531" s="26"/>
      <c r="J3531" s="26" t="s">
        <v>77</v>
      </c>
      <c r="L3531" s="27" t="s">
        <v>77</v>
      </c>
      <c r="N3531" s="28" t="s">
        <v>77</v>
      </c>
      <c r="Q3531" s="30"/>
    </row>
    <row r="3532">
      <c r="B3532" s="6"/>
      <c r="C3532" s="33" t="str">
        <f t="array" ref="C3532">IF(B3532="", "", XLOOKUP(B3532, Inventory!D:D,Inventory!E:E,"No Name Found"))</f>
        <v/>
      </c>
      <c r="D3532" s="6"/>
      <c r="E3532" s="6"/>
      <c r="F3532" s="6"/>
      <c r="G3532" s="24" t="str">
        <f>IF(F3532="", "", VLOOKUP(F3532, Inventory!A:BZ, 3, FALSE) - SUMIF($F$1:$F3531, F3532, $H$1:$H3531))
</f>
        <v/>
      </c>
      <c r="I3532" s="26"/>
      <c r="J3532" s="26" t="s">
        <v>77</v>
      </c>
      <c r="L3532" s="27" t="s">
        <v>77</v>
      </c>
      <c r="N3532" s="28" t="s">
        <v>77</v>
      </c>
      <c r="Q3532" s="30"/>
    </row>
    <row r="3533">
      <c r="B3533" s="6"/>
      <c r="C3533" s="33" t="str">
        <f t="array" ref="C3533">IF(B3533="", "", XLOOKUP(B3533, Inventory!D:D,Inventory!E:E,"No Name Found"))</f>
        <v/>
      </c>
      <c r="D3533" s="6"/>
      <c r="E3533" s="6"/>
      <c r="F3533" s="6"/>
      <c r="G3533" s="24" t="str">
        <f>IF(F3533="", "", VLOOKUP(F3533, Inventory!A:BZ, 3, FALSE) - SUMIF($F$1:$F3532, F3533, $H$1:$H3532))
</f>
        <v/>
      </c>
      <c r="I3533" s="26"/>
      <c r="J3533" s="26" t="s">
        <v>77</v>
      </c>
      <c r="L3533" s="27" t="s">
        <v>77</v>
      </c>
      <c r="N3533" s="28" t="s">
        <v>77</v>
      </c>
      <c r="Q3533" s="30"/>
    </row>
    <row r="3534">
      <c r="B3534" s="6"/>
      <c r="C3534" s="33" t="str">
        <f t="array" ref="C3534">IF(B3534="", "", XLOOKUP(B3534, Inventory!D:D,Inventory!E:E,"No Name Found"))</f>
        <v/>
      </c>
      <c r="D3534" s="6"/>
      <c r="E3534" s="6"/>
      <c r="F3534" s="6"/>
      <c r="G3534" s="24" t="str">
        <f>IF(F3534="", "", VLOOKUP(F3534, Inventory!A:BZ, 3, FALSE) - SUMIF($F$1:$F3533, F3534, $H$1:$H3533))
</f>
        <v/>
      </c>
      <c r="I3534" s="26"/>
      <c r="J3534" s="26" t="s">
        <v>77</v>
      </c>
      <c r="L3534" s="27" t="s">
        <v>77</v>
      </c>
      <c r="N3534" s="28" t="s">
        <v>77</v>
      </c>
      <c r="Q3534" s="30"/>
    </row>
    <row r="3535">
      <c r="B3535" s="6"/>
      <c r="C3535" s="33" t="str">
        <f t="array" ref="C3535">IF(B3535="", "", XLOOKUP(B3535, Inventory!D:D,Inventory!E:E,"No Name Found"))</f>
        <v/>
      </c>
      <c r="D3535" s="6"/>
      <c r="E3535" s="6"/>
      <c r="F3535" s="6"/>
      <c r="G3535" s="24" t="str">
        <f>IF(F3535="", "", VLOOKUP(F3535, Inventory!A:BZ, 3, FALSE) - SUMIF($F$1:$F3534, F3535, $H$1:$H3534))
</f>
        <v/>
      </c>
      <c r="I3535" s="26"/>
      <c r="J3535" s="26" t="s">
        <v>77</v>
      </c>
      <c r="L3535" s="27" t="s">
        <v>77</v>
      </c>
      <c r="N3535" s="28" t="s">
        <v>77</v>
      </c>
      <c r="Q3535" s="30"/>
    </row>
    <row r="3536">
      <c r="B3536" s="6"/>
      <c r="C3536" s="33" t="str">
        <f t="array" ref="C3536">IF(B3536="", "", XLOOKUP(B3536, Inventory!D:D,Inventory!E:E,"No Name Found"))</f>
        <v/>
      </c>
      <c r="D3536" s="6"/>
      <c r="E3536" s="6"/>
      <c r="F3536" s="6"/>
      <c r="G3536" s="24" t="str">
        <f>IF(F3536="", "", VLOOKUP(F3536, Inventory!A:BZ, 3, FALSE) - SUMIF($F$1:$F3535, F3536, $H$1:$H3535))
</f>
        <v/>
      </c>
      <c r="I3536" s="26"/>
      <c r="J3536" s="26" t="s">
        <v>77</v>
      </c>
      <c r="L3536" s="27" t="s">
        <v>77</v>
      </c>
      <c r="N3536" s="28" t="s">
        <v>77</v>
      </c>
      <c r="Q3536" s="30"/>
    </row>
    <row r="3537">
      <c r="B3537" s="6"/>
      <c r="C3537" s="33" t="str">
        <f t="array" ref="C3537">IF(B3537="", "", XLOOKUP(B3537, Inventory!D:D,Inventory!E:E,"No Name Found"))</f>
        <v/>
      </c>
      <c r="D3537" s="6"/>
      <c r="E3537" s="6"/>
      <c r="F3537" s="6"/>
      <c r="G3537" s="24" t="str">
        <f>IF(F3537="", "", VLOOKUP(F3537, Inventory!A:BZ, 3, FALSE) - SUMIF($F$1:$F3536, F3537, $H$1:$H3536))
</f>
        <v/>
      </c>
      <c r="I3537" s="26"/>
      <c r="J3537" s="26" t="s">
        <v>77</v>
      </c>
      <c r="L3537" s="27" t="s">
        <v>77</v>
      </c>
      <c r="N3537" s="28" t="s">
        <v>77</v>
      </c>
      <c r="Q3537" s="30"/>
    </row>
    <row r="3538">
      <c r="B3538" s="6"/>
      <c r="C3538" s="33" t="str">
        <f t="array" ref="C3538">IF(B3538="", "", XLOOKUP(B3538, Inventory!D:D,Inventory!E:E,"No Name Found"))</f>
        <v/>
      </c>
      <c r="D3538" s="6"/>
      <c r="E3538" s="6"/>
      <c r="F3538" s="6"/>
      <c r="G3538" s="24" t="str">
        <f>IF(F3538="", "", VLOOKUP(F3538, Inventory!A:BZ, 3, FALSE) - SUMIF($F$1:$F3537, F3538, $H$1:$H3537))
</f>
        <v/>
      </c>
      <c r="I3538" s="26"/>
      <c r="J3538" s="26" t="s">
        <v>77</v>
      </c>
      <c r="L3538" s="27" t="s">
        <v>77</v>
      </c>
      <c r="N3538" s="28" t="s">
        <v>77</v>
      </c>
      <c r="Q3538" s="30"/>
    </row>
    <row r="3539">
      <c r="B3539" s="6"/>
      <c r="C3539" s="33" t="str">
        <f t="array" ref="C3539">IF(B3539="", "", XLOOKUP(B3539, Inventory!D:D,Inventory!E:E,"No Name Found"))</f>
        <v/>
      </c>
      <c r="D3539" s="6"/>
      <c r="E3539" s="6"/>
      <c r="F3539" s="6"/>
      <c r="G3539" s="24" t="str">
        <f>IF(F3539="", "", VLOOKUP(F3539, Inventory!A:BZ, 3, FALSE) - SUMIF($F$1:$F3538, F3539, $H$1:$H3538))
</f>
        <v/>
      </c>
      <c r="I3539" s="26"/>
      <c r="J3539" s="26" t="s">
        <v>77</v>
      </c>
      <c r="L3539" s="27" t="s">
        <v>77</v>
      </c>
      <c r="N3539" s="28" t="s">
        <v>77</v>
      </c>
      <c r="Q3539" s="30"/>
    </row>
    <row r="3540">
      <c r="B3540" s="6"/>
      <c r="C3540" s="33" t="str">
        <f t="array" ref="C3540">IF(B3540="", "", XLOOKUP(B3540, Inventory!D:D,Inventory!E:E,"No Name Found"))</f>
        <v/>
      </c>
      <c r="D3540" s="6"/>
      <c r="E3540" s="6"/>
      <c r="F3540" s="6"/>
      <c r="G3540" s="24" t="str">
        <f>IF(F3540="", "", VLOOKUP(F3540, Inventory!A:BZ, 3, FALSE) - SUMIF($F$1:$F3539, F3540, $H$1:$H3539))
</f>
        <v/>
      </c>
      <c r="I3540" s="26"/>
      <c r="J3540" s="26" t="s">
        <v>77</v>
      </c>
      <c r="L3540" s="27" t="s">
        <v>77</v>
      </c>
      <c r="N3540" s="28" t="s">
        <v>77</v>
      </c>
      <c r="Q3540" s="30"/>
    </row>
    <row r="3541">
      <c r="B3541" s="6"/>
      <c r="C3541" s="33" t="str">
        <f t="array" ref="C3541">IF(B3541="", "", XLOOKUP(B3541, Inventory!D:D,Inventory!E:E,"No Name Found"))</f>
        <v/>
      </c>
      <c r="D3541" s="6"/>
      <c r="E3541" s="6"/>
      <c r="F3541" s="6"/>
      <c r="G3541" s="24" t="str">
        <f>IF(F3541="", "", VLOOKUP(F3541, Inventory!A:BZ, 3, FALSE) - SUMIF($F$1:$F3540, F3541, $H$1:$H3540))
</f>
        <v/>
      </c>
      <c r="I3541" s="26"/>
      <c r="J3541" s="26" t="s">
        <v>77</v>
      </c>
      <c r="L3541" s="27" t="s">
        <v>77</v>
      </c>
      <c r="N3541" s="28" t="s">
        <v>77</v>
      </c>
      <c r="Q3541" s="30"/>
    </row>
    <row r="3542">
      <c r="B3542" s="6"/>
      <c r="C3542" s="33" t="str">
        <f t="array" ref="C3542">IF(B3542="", "", XLOOKUP(B3542, Inventory!D:D,Inventory!E:E,"No Name Found"))</f>
        <v/>
      </c>
      <c r="D3542" s="6"/>
      <c r="E3542" s="6"/>
      <c r="F3542" s="6"/>
      <c r="G3542" s="24" t="str">
        <f>IF(F3542="", "", VLOOKUP(F3542, Inventory!A:BZ, 3, FALSE) - SUMIF($F$1:$F3541, F3542, $H$1:$H3541))
</f>
        <v/>
      </c>
      <c r="I3542" s="26"/>
      <c r="J3542" s="26" t="s">
        <v>77</v>
      </c>
      <c r="L3542" s="27" t="s">
        <v>77</v>
      </c>
      <c r="N3542" s="28" t="s">
        <v>77</v>
      </c>
      <c r="Q3542" s="30"/>
    </row>
    <row r="3543">
      <c r="B3543" s="6"/>
      <c r="C3543" s="33" t="str">
        <f t="array" ref="C3543">IF(B3543="", "", XLOOKUP(B3543, Inventory!D:D,Inventory!E:E,"No Name Found"))</f>
        <v/>
      </c>
      <c r="D3543" s="6"/>
      <c r="E3543" s="6"/>
      <c r="F3543" s="6"/>
      <c r="G3543" s="24" t="str">
        <f>IF(F3543="", "", VLOOKUP(F3543, Inventory!A:BZ, 3, FALSE) - SUMIF($F$1:$F3542, F3543, $H$1:$H3542))
</f>
        <v/>
      </c>
      <c r="I3543" s="26"/>
      <c r="J3543" s="26" t="s">
        <v>77</v>
      </c>
      <c r="L3543" s="27" t="s">
        <v>77</v>
      </c>
      <c r="N3543" s="28" t="s">
        <v>77</v>
      </c>
      <c r="Q3543" s="30"/>
    </row>
    <row r="3544">
      <c r="B3544" s="6"/>
      <c r="C3544" s="33" t="str">
        <f t="array" ref="C3544">IF(B3544="", "", XLOOKUP(B3544, Inventory!D:D,Inventory!E:E,"No Name Found"))</f>
        <v/>
      </c>
      <c r="D3544" s="6"/>
      <c r="E3544" s="6"/>
      <c r="F3544" s="6"/>
      <c r="G3544" s="24" t="str">
        <f>IF(F3544="", "", VLOOKUP(F3544, Inventory!A:BZ, 3, FALSE) - SUMIF($F$1:$F3543, F3544, $H$1:$H3543))
</f>
        <v/>
      </c>
      <c r="I3544" s="26"/>
      <c r="J3544" s="26" t="s">
        <v>77</v>
      </c>
      <c r="L3544" s="27" t="s">
        <v>77</v>
      </c>
      <c r="N3544" s="28" t="s">
        <v>77</v>
      </c>
      <c r="Q3544" s="30"/>
    </row>
    <row r="3545">
      <c r="B3545" s="6"/>
      <c r="C3545" s="33" t="str">
        <f t="array" ref="C3545">IF(B3545="", "", XLOOKUP(B3545, Inventory!D:D,Inventory!E:E,"No Name Found"))</f>
        <v/>
      </c>
      <c r="D3545" s="6"/>
      <c r="E3545" s="6"/>
      <c r="F3545" s="6"/>
      <c r="G3545" s="24" t="str">
        <f>IF(F3545="", "", VLOOKUP(F3545, Inventory!A:BZ, 3, FALSE) - SUMIF($F$1:$F3544, F3545, $H$1:$H3544))
</f>
        <v/>
      </c>
      <c r="I3545" s="26"/>
      <c r="J3545" s="26" t="s">
        <v>77</v>
      </c>
      <c r="L3545" s="27" t="s">
        <v>77</v>
      </c>
      <c r="N3545" s="28" t="s">
        <v>77</v>
      </c>
      <c r="Q3545" s="30"/>
    </row>
    <row r="3546">
      <c r="B3546" s="6"/>
      <c r="C3546" s="33" t="str">
        <f t="array" ref="C3546">IF(B3546="", "", XLOOKUP(B3546, Inventory!D:D,Inventory!E:E,"No Name Found"))</f>
        <v/>
      </c>
      <c r="D3546" s="6"/>
      <c r="E3546" s="6"/>
      <c r="F3546" s="6"/>
      <c r="G3546" s="24" t="str">
        <f>IF(F3546="", "", VLOOKUP(F3546, Inventory!A:BZ, 3, FALSE) - SUMIF($F$1:$F3545, F3546, $H$1:$H3545))
</f>
        <v/>
      </c>
      <c r="I3546" s="26"/>
      <c r="J3546" s="26" t="s">
        <v>77</v>
      </c>
      <c r="L3546" s="27" t="s">
        <v>77</v>
      </c>
      <c r="N3546" s="28" t="s">
        <v>77</v>
      </c>
      <c r="Q3546" s="30"/>
    </row>
    <row r="3547">
      <c r="B3547" s="6"/>
      <c r="C3547" s="33" t="str">
        <f t="array" ref="C3547">IF(B3547="", "", XLOOKUP(B3547, Inventory!D:D,Inventory!E:E,"No Name Found"))</f>
        <v/>
      </c>
      <c r="D3547" s="6"/>
      <c r="E3547" s="6"/>
      <c r="F3547" s="6"/>
      <c r="G3547" s="24" t="str">
        <f>IF(F3547="", "", VLOOKUP(F3547, Inventory!A:BZ, 3, FALSE) - SUMIF($F$1:$F3546, F3547, $H$1:$H3546))
</f>
        <v/>
      </c>
      <c r="I3547" s="26"/>
      <c r="J3547" s="26" t="s">
        <v>77</v>
      </c>
      <c r="L3547" s="27" t="s">
        <v>77</v>
      </c>
      <c r="N3547" s="28" t="s">
        <v>77</v>
      </c>
      <c r="Q3547" s="30"/>
    </row>
    <row r="3548">
      <c r="B3548" s="6"/>
      <c r="C3548" s="33" t="str">
        <f t="array" ref="C3548">IF(B3548="", "", XLOOKUP(B3548, Inventory!D:D,Inventory!E:E,"No Name Found"))</f>
        <v/>
      </c>
      <c r="D3548" s="6"/>
      <c r="E3548" s="6"/>
      <c r="F3548" s="6"/>
      <c r="G3548" s="24" t="str">
        <f>IF(F3548="", "", VLOOKUP(F3548, Inventory!A:BZ, 3, FALSE) - SUMIF($F$1:$F3547, F3548, $H$1:$H3547))
</f>
        <v/>
      </c>
      <c r="I3548" s="26"/>
      <c r="J3548" s="26" t="s">
        <v>77</v>
      </c>
      <c r="L3548" s="27" t="s">
        <v>77</v>
      </c>
      <c r="N3548" s="28" t="s">
        <v>77</v>
      </c>
      <c r="Q3548" s="30"/>
    </row>
    <row r="3549">
      <c r="B3549" s="6"/>
      <c r="C3549" s="33" t="str">
        <f t="array" ref="C3549">IF(B3549="", "", XLOOKUP(B3549, Inventory!D:D,Inventory!E:E,"No Name Found"))</f>
        <v/>
      </c>
      <c r="D3549" s="6"/>
      <c r="E3549" s="6"/>
      <c r="F3549" s="6"/>
      <c r="G3549" s="24" t="str">
        <f>IF(F3549="", "", VLOOKUP(F3549, Inventory!A:BZ, 3, FALSE) - SUMIF($F$1:$F3548, F3549, $H$1:$H3548))
</f>
        <v/>
      </c>
      <c r="I3549" s="26"/>
      <c r="J3549" s="26" t="s">
        <v>77</v>
      </c>
      <c r="L3549" s="27" t="s">
        <v>77</v>
      </c>
      <c r="N3549" s="28" t="s">
        <v>77</v>
      </c>
      <c r="Q3549" s="30"/>
    </row>
    <row r="3550">
      <c r="B3550" s="6"/>
      <c r="C3550" s="33" t="str">
        <f t="array" ref="C3550">IF(B3550="", "", XLOOKUP(B3550, Inventory!D:D,Inventory!E:E,"No Name Found"))</f>
        <v/>
      </c>
      <c r="D3550" s="6"/>
      <c r="E3550" s="6"/>
      <c r="F3550" s="6"/>
      <c r="G3550" s="24" t="str">
        <f>IF(F3550="", "", VLOOKUP(F3550, Inventory!A:BZ, 3, FALSE) - SUMIF($F$1:$F3549, F3550, $H$1:$H3549))
</f>
        <v/>
      </c>
      <c r="I3550" s="26"/>
      <c r="J3550" s="26" t="s">
        <v>77</v>
      </c>
      <c r="L3550" s="27" t="s">
        <v>77</v>
      </c>
      <c r="N3550" s="28" t="s">
        <v>77</v>
      </c>
      <c r="Q3550" s="30"/>
    </row>
    <row r="3551">
      <c r="B3551" s="6"/>
      <c r="C3551" s="33" t="str">
        <f t="array" ref="C3551">IF(B3551="", "", XLOOKUP(B3551, Inventory!D:D,Inventory!E:E,"No Name Found"))</f>
        <v/>
      </c>
      <c r="D3551" s="6"/>
      <c r="E3551" s="6"/>
      <c r="F3551" s="6"/>
      <c r="G3551" s="24" t="str">
        <f>IF(F3551="", "", VLOOKUP(F3551, Inventory!A:BZ, 3, FALSE) - SUMIF($F$1:$F3550, F3551, $H$1:$H3550))
</f>
        <v/>
      </c>
      <c r="I3551" s="26"/>
      <c r="J3551" s="26" t="s">
        <v>77</v>
      </c>
      <c r="L3551" s="27" t="s">
        <v>77</v>
      </c>
      <c r="N3551" s="28" t="s">
        <v>77</v>
      </c>
      <c r="Q3551" s="30"/>
    </row>
    <row r="3552">
      <c r="B3552" s="6"/>
      <c r="C3552" s="33" t="str">
        <f t="array" ref="C3552">IF(B3552="", "", XLOOKUP(B3552, Inventory!D:D,Inventory!E:E,"No Name Found"))</f>
        <v/>
      </c>
      <c r="D3552" s="6"/>
      <c r="E3552" s="6"/>
      <c r="F3552" s="6"/>
      <c r="G3552" s="24" t="str">
        <f>IF(F3552="", "", VLOOKUP(F3552, Inventory!A:BZ, 3, FALSE) - SUMIF($F$1:$F3551, F3552, $H$1:$H3551))
</f>
        <v/>
      </c>
      <c r="I3552" s="26"/>
      <c r="J3552" s="26" t="s">
        <v>77</v>
      </c>
      <c r="L3552" s="27" t="s">
        <v>77</v>
      </c>
      <c r="N3552" s="28" t="s">
        <v>77</v>
      </c>
      <c r="Q3552" s="30"/>
    </row>
    <row r="3553">
      <c r="B3553" s="6"/>
      <c r="C3553" s="33" t="str">
        <f t="array" ref="C3553">IF(B3553="", "", XLOOKUP(B3553, Inventory!D:D,Inventory!E:E,"No Name Found"))</f>
        <v/>
      </c>
      <c r="D3553" s="6"/>
      <c r="E3553" s="6"/>
      <c r="F3553" s="6"/>
      <c r="G3553" s="24" t="str">
        <f>IF(F3553="", "", VLOOKUP(F3553, Inventory!A:BZ, 3, FALSE) - SUMIF($F$1:$F3552, F3553, $H$1:$H3552))
</f>
        <v/>
      </c>
      <c r="I3553" s="26"/>
      <c r="J3553" s="26" t="s">
        <v>77</v>
      </c>
      <c r="L3553" s="27" t="s">
        <v>77</v>
      </c>
      <c r="N3553" s="28" t="s">
        <v>77</v>
      </c>
      <c r="Q3553" s="30"/>
    </row>
    <row r="3554">
      <c r="B3554" s="6"/>
      <c r="C3554" s="33" t="str">
        <f t="array" ref="C3554">IF(B3554="", "", XLOOKUP(B3554, Inventory!D:D,Inventory!E:E,"No Name Found"))</f>
        <v/>
      </c>
      <c r="D3554" s="6"/>
      <c r="E3554" s="6"/>
      <c r="F3554" s="6"/>
      <c r="G3554" s="24" t="str">
        <f>IF(F3554="", "", VLOOKUP(F3554, Inventory!A:BZ, 3, FALSE) - SUMIF($F$1:$F3553, F3554, $H$1:$H3553))
</f>
        <v/>
      </c>
      <c r="I3554" s="26"/>
      <c r="J3554" s="26" t="s">
        <v>77</v>
      </c>
      <c r="L3554" s="27" t="s">
        <v>77</v>
      </c>
      <c r="N3554" s="28" t="s">
        <v>77</v>
      </c>
      <c r="Q3554" s="30"/>
    </row>
    <row r="3555">
      <c r="B3555" s="6"/>
      <c r="C3555" s="33" t="str">
        <f t="array" ref="C3555">IF(B3555="", "", XLOOKUP(B3555, Inventory!D:D,Inventory!E:E,"No Name Found"))</f>
        <v/>
      </c>
      <c r="D3555" s="6"/>
      <c r="E3555" s="6"/>
      <c r="F3555" s="6"/>
      <c r="G3555" s="24" t="str">
        <f>IF(F3555="", "", VLOOKUP(F3555, Inventory!A:BZ, 3, FALSE) - SUMIF($F$1:$F3554, F3555, $H$1:$H3554))
</f>
        <v/>
      </c>
      <c r="I3555" s="26"/>
      <c r="J3555" s="26" t="s">
        <v>77</v>
      </c>
      <c r="L3555" s="27" t="s">
        <v>77</v>
      </c>
      <c r="N3555" s="28" t="s">
        <v>77</v>
      </c>
      <c r="Q3555" s="30"/>
    </row>
    <row r="3556">
      <c r="B3556" s="6"/>
      <c r="C3556" s="33" t="str">
        <f t="array" ref="C3556">IF(B3556="", "", XLOOKUP(B3556, Inventory!D:D,Inventory!E:E,"No Name Found"))</f>
        <v/>
      </c>
      <c r="D3556" s="6"/>
      <c r="E3556" s="6"/>
      <c r="F3556" s="6"/>
      <c r="G3556" s="24" t="str">
        <f>IF(F3556="", "", VLOOKUP(F3556, Inventory!A:BZ, 3, FALSE) - SUMIF($F$1:$F3555, F3556, $H$1:$H3555))
</f>
        <v/>
      </c>
      <c r="I3556" s="26"/>
      <c r="J3556" s="26" t="s">
        <v>77</v>
      </c>
      <c r="L3556" s="27" t="s">
        <v>77</v>
      </c>
      <c r="N3556" s="28" t="s">
        <v>77</v>
      </c>
      <c r="Q3556" s="30"/>
    </row>
    <row r="3557">
      <c r="B3557" s="6"/>
      <c r="C3557" s="33" t="str">
        <f t="array" ref="C3557">IF(B3557="", "", XLOOKUP(B3557, Inventory!D:D,Inventory!E:E,"No Name Found"))</f>
        <v/>
      </c>
      <c r="D3557" s="6"/>
      <c r="E3557" s="6"/>
      <c r="F3557" s="6"/>
      <c r="G3557" s="24" t="str">
        <f>IF(F3557="", "", VLOOKUP(F3557, Inventory!A:BZ, 3, FALSE) - SUMIF($F$1:$F3556, F3557, $H$1:$H3556))
</f>
        <v/>
      </c>
      <c r="I3557" s="26"/>
      <c r="J3557" s="26" t="s">
        <v>77</v>
      </c>
      <c r="L3557" s="27" t="s">
        <v>77</v>
      </c>
      <c r="N3557" s="28" t="s">
        <v>77</v>
      </c>
      <c r="Q3557" s="30"/>
    </row>
    <row r="3558">
      <c r="B3558" s="6"/>
      <c r="C3558" s="33" t="str">
        <f t="array" ref="C3558">IF(B3558="", "", XLOOKUP(B3558, Inventory!D:D,Inventory!E:E,"No Name Found"))</f>
        <v/>
      </c>
      <c r="D3558" s="6"/>
      <c r="E3558" s="6"/>
      <c r="F3558" s="6"/>
      <c r="G3558" s="24" t="str">
        <f>IF(F3558="", "", VLOOKUP(F3558, Inventory!A:BZ, 3, FALSE) - SUMIF($F$1:$F3557, F3558, $H$1:$H3557))
</f>
        <v/>
      </c>
      <c r="I3558" s="26"/>
      <c r="J3558" s="26" t="s">
        <v>77</v>
      </c>
      <c r="L3558" s="27" t="s">
        <v>77</v>
      </c>
      <c r="N3558" s="28" t="s">
        <v>77</v>
      </c>
      <c r="Q3558" s="30"/>
    </row>
    <row r="3559">
      <c r="B3559" s="6"/>
      <c r="C3559" s="33" t="str">
        <f t="array" ref="C3559">IF(B3559="", "", XLOOKUP(B3559, Inventory!D:D,Inventory!E:E,"No Name Found"))</f>
        <v/>
      </c>
      <c r="D3559" s="6"/>
      <c r="E3559" s="6"/>
      <c r="F3559" s="6"/>
      <c r="G3559" s="24" t="str">
        <f>IF(F3559="", "", VLOOKUP(F3559, Inventory!A:BZ, 3, FALSE) - SUMIF($F$1:$F3558, F3559, $H$1:$H3558))
</f>
        <v/>
      </c>
      <c r="I3559" s="26"/>
      <c r="J3559" s="26" t="s">
        <v>77</v>
      </c>
      <c r="L3559" s="27" t="s">
        <v>77</v>
      </c>
      <c r="N3559" s="28" t="s">
        <v>77</v>
      </c>
      <c r="Q3559" s="30"/>
    </row>
    <row r="3560">
      <c r="B3560" s="6"/>
      <c r="C3560" s="33" t="str">
        <f t="array" ref="C3560">IF(B3560="", "", XLOOKUP(B3560, Inventory!D:D,Inventory!E:E,"No Name Found"))</f>
        <v/>
      </c>
      <c r="D3560" s="6"/>
      <c r="E3560" s="6"/>
      <c r="F3560" s="6"/>
      <c r="G3560" s="24" t="str">
        <f>IF(F3560="", "", VLOOKUP(F3560, Inventory!A:BZ, 3, FALSE) - SUMIF($F$1:$F3559, F3560, $H$1:$H3559))
</f>
        <v/>
      </c>
      <c r="I3560" s="26"/>
      <c r="J3560" s="26" t="s">
        <v>77</v>
      </c>
      <c r="L3560" s="27" t="s">
        <v>77</v>
      </c>
      <c r="N3560" s="28" t="s">
        <v>77</v>
      </c>
      <c r="Q3560" s="30"/>
    </row>
    <row r="3561">
      <c r="B3561" s="6"/>
      <c r="C3561" s="33" t="str">
        <f t="array" ref="C3561">IF(B3561="", "", XLOOKUP(B3561, Inventory!D:D,Inventory!E:E,"No Name Found"))</f>
        <v/>
      </c>
      <c r="D3561" s="6"/>
      <c r="E3561" s="6"/>
      <c r="F3561" s="6"/>
      <c r="G3561" s="24" t="str">
        <f>IF(F3561="", "", VLOOKUP(F3561, Inventory!A:BZ, 3, FALSE) - SUMIF($F$1:$F3560, F3561, $H$1:$H3560))
</f>
        <v/>
      </c>
      <c r="I3561" s="26"/>
      <c r="J3561" s="26" t="s">
        <v>77</v>
      </c>
      <c r="L3561" s="27" t="s">
        <v>77</v>
      </c>
      <c r="N3561" s="28" t="s">
        <v>77</v>
      </c>
      <c r="Q3561" s="30"/>
    </row>
    <row r="3562">
      <c r="B3562" s="6"/>
      <c r="C3562" s="33" t="str">
        <f t="array" ref="C3562">IF(B3562="", "", XLOOKUP(B3562, Inventory!D:D,Inventory!E:E,"No Name Found"))</f>
        <v/>
      </c>
      <c r="D3562" s="6"/>
      <c r="E3562" s="6"/>
      <c r="F3562" s="6"/>
      <c r="G3562" s="24" t="str">
        <f>IF(F3562="", "", VLOOKUP(F3562, Inventory!A:BZ, 3, FALSE) - SUMIF($F$1:$F3561, F3562, $H$1:$H3561))
</f>
        <v/>
      </c>
      <c r="I3562" s="26"/>
      <c r="J3562" s="26" t="s">
        <v>77</v>
      </c>
      <c r="L3562" s="27" t="s">
        <v>77</v>
      </c>
      <c r="N3562" s="28" t="s">
        <v>77</v>
      </c>
      <c r="Q3562" s="30"/>
    </row>
    <row r="3563">
      <c r="B3563" s="6"/>
      <c r="C3563" s="33" t="str">
        <f t="array" ref="C3563">IF(B3563="", "", XLOOKUP(B3563, Inventory!D:D,Inventory!E:E,"No Name Found"))</f>
        <v/>
      </c>
      <c r="D3563" s="6"/>
      <c r="E3563" s="6"/>
      <c r="F3563" s="6"/>
      <c r="G3563" s="24" t="str">
        <f>IF(F3563="", "", VLOOKUP(F3563, Inventory!A:BZ, 3, FALSE) - SUMIF($F$1:$F3562, F3563, $H$1:$H3562))
</f>
        <v/>
      </c>
      <c r="I3563" s="26"/>
      <c r="J3563" s="26" t="s">
        <v>77</v>
      </c>
      <c r="L3563" s="27" t="s">
        <v>77</v>
      </c>
      <c r="N3563" s="28" t="s">
        <v>77</v>
      </c>
      <c r="Q3563" s="30"/>
    </row>
    <row r="3564">
      <c r="B3564" s="6"/>
      <c r="C3564" s="33" t="str">
        <f t="array" ref="C3564">IF(B3564="", "", XLOOKUP(B3564, Inventory!D:D,Inventory!E:E,"No Name Found"))</f>
        <v/>
      </c>
      <c r="D3564" s="6"/>
      <c r="E3564" s="6"/>
      <c r="F3564" s="6"/>
      <c r="G3564" s="24" t="str">
        <f>IF(F3564="", "", VLOOKUP(F3564, Inventory!A:BZ, 3, FALSE) - SUMIF($F$1:$F3563, F3564, $H$1:$H3563))
</f>
        <v/>
      </c>
      <c r="I3564" s="26"/>
      <c r="J3564" s="26" t="s">
        <v>77</v>
      </c>
      <c r="L3564" s="27" t="s">
        <v>77</v>
      </c>
      <c r="N3564" s="28" t="s">
        <v>77</v>
      </c>
      <c r="Q3564" s="30"/>
    </row>
    <row r="3565">
      <c r="B3565" s="6"/>
      <c r="C3565" s="33" t="str">
        <f t="array" ref="C3565">IF(B3565="", "", XLOOKUP(B3565, Inventory!D:D,Inventory!E:E,"No Name Found"))</f>
        <v/>
      </c>
      <c r="D3565" s="6"/>
      <c r="E3565" s="6"/>
      <c r="F3565" s="6"/>
      <c r="G3565" s="24" t="str">
        <f>IF(F3565="", "", VLOOKUP(F3565, Inventory!A:BZ, 3, FALSE) - SUMIF($F$1:$F3564, F3565, $H$1:$H3564))
</f>
        <v/>
      </c>
      <c r="I3565" s="26"/>
      <c r="J3565" s="26" t="s">
        <v>77</v>
      </c>
      <c r="L3565" s="27" t="s">
        <v>77</v>
      </c>
      <c r="N3565" s="28" t="s">
        <v>77</v>
      </c>
      <c r="Q3565" s="30"/>
    </row>
    <row r="3566">
      <c r="B3566" s="6"/>
      <c r="C3566" s="33" t="str">
        <f t="array" ref="C3566">IF(B3566="", "", XLOOKUP(B3566, Inventory!D:D,Inventory!E:E,"No Name Found"))</f>
        <v/>
      </c>
      <c r="D3566" s="6"/>
      <c r="E3566" s="6"/>
      <c r="F3566" s="6"/>
      <c r="G3566" s="24" t="str">
        <f>IF(F3566="", "", VLOOKUP(F3566, Inventory!A:BZ, 3, FALSE) - SUMIF($F$1:$F3565, F3566, $H$1:$H3565))
</f>
        <v/>
      </c>
      <c r="I3566" s="26"/>
      <c r="J3566" s="26" t="s">
        <v>77</v>
      </c>
      <c r="L3566" s="27" t="s">
        <v>77</v>
      </c>
      <c r="N3566" s="28" t="s">
        <v>77</v>
      </c>
      <c r="Q3566" s="30"/>
    </row>
    <row r="3567">
      <c r="B3567" s="6"/>
      <c r="C3567" s="33" t="str">
        <f t="array" ref="C3567">IF(B3567="", "", XLOOKUP(B3567, Inventory!D:D,Inventory!E:E,"No Name Found"))</f>
        <v/>
      </c>
      <c r="D3567" s="6"/>
      <c r="E3567" s="6"/>
      <c r="F3567" s="6"/>
      <c r="G3567" s="24" t="str">
        <f>IF(F3567="", "", VLOOKUP(F3567, Inventory!A:BZ, 3, FALSE) - SUMIF($F$1:$F3566, F3567, $H$1:$H3566))
</f>
        <v/>
      </c>
      <c r="I3567" s="26"/>
      <c r="J3567" s="26" t="s">
        <v>77</v>
      </c>
      <c r="L3567" s="27" t="s">
        <v>77</v>
      </c>
      <c r="N3567" s="28" t="s">
        <v>77</v>
      </c>
      <c r="Q3567" s="30"/>
    </row>
    <row r="3568">
      <c r="B3568" s="6"/>
      <c r="C3568" s="33" t="str">
        <f t="array" ref="C3568">IF(B3568="", "", XLOOKUP(B3568, Inventory!D:D,Inventory!E:E,"No Name Found"))</f>
        <v/>
      </c>
      <c r="D3568" s="6"/>
      <c r="E3568" s="6"/>
      <c r="F3568" s="6"/>
      <c r="G3568" s="24" t="str">
        <f>IF(F3568="", "", VLOOKUP(F3568, Inventory!A:BZ, 3, FALSE) - SUMIF($F$1:$F3567, F3568, $H$1:$H3567))
</f>
        <v/>
      </c>
      <c r="I3568" s="26"/>
      <c r="J3568" s="26" t="s">
        <v>77</v>
      </c>
      <c r="L3568" s="27" t="s">
        <v>77</v>
      </c>
      <c r="N3568" s="28" t="s">
        <v>77</v>
      </c>
      <c r="Q3568" s="30"/>
    </row>
    <row r="3569">
      <c r="B3569" s="6"/>
      <c r="C3569" s="33" t="str">
        <f t="array" ref="C3569">IF(B3569="", "", XLOOKUP(B3569, Inventory!D:D,Inventory!E:E,"No Name Found"))</f>
        <v/>
      </c>
      <c r="D3569" s="6"/>
      <c r="E3569" s="6"/>
      <c r="F3569" s="6"/>
      <c r="G3569" s="24" t="str">
        <f>IF(F3569="", "", VLOOKUP(F3569, Inventory!A:BZ, 3, FALSE) - SUMIF($F$1:$F3568, F3569, $H$1:$H3568))
</f>
        <v/>
      </c>
      <c r="I3569" s="26"/>
      <c r="J3569" s="26" t="s">
        <v>77</v>
      </c>
      <c r="L3569" s="27" t="s">
        <v>77</v>
      </c>
      <c r="N3569" s="28" t="s">
        <v>77</v>
      </c>
      <c r="Q3569" s="30"/>
    </row>
    <row r="3570">
      <c r="B3570" s="6"/>
      <c r="C3570" s="33" t="str">
        <f t="array" ref="C3570">IF(B3570="", "", XLOOKUP(B3570, Inventory!D:D,Inventory!E:E,"No Name Found"))</f>
        <v/>
      </c>
      <c r="D3570" s="6"/>
      <c r="E3570" s="6"/>
      <c r="F3570" s="6"/>
      <c r="G3570" s="24" t="str">
        <f>IF(F3570="", "", VLOOKUP(F3570, Inventory!A:BZ, 3, FALSE) - SUMIF($F$1:$F3569, F3570, $H$1:$H3569))
</f>
        <v/>
      </c>
      <c r="I3570" s="26"/>
      <c r="J3570" s="26" t="s">
        <v>77</v>
      </c>
      <c r="L3570" s="27" t="s">
        <v>77</v>
      </c>
      <c r="N3570" s="28" t="s">
        <v>77</v>
      </c>
      <c r="Q3570" s="30"/>
    </row>
    <row r="3571">
      <c r="B3571" s="6"/>
      <c r="C3571" s="33" t="str">
        <f t="array" ref="C3571">IF(B3571="", "", XLOOKUP(B3571, Inventory!D:D,Inventory!E:E,"No Name Found"))</f>
        <v/>
      </c>
      <c r="D3571" s="6"/>
      <c r="E3571" s="6"/>
      <c r="F3571" s="6"/>
      <c r="G3571" s="24" t="str">
        <f>IF(F3571="", "", VLOOKUP(F3571, Inventory!A:BZ, 3, FALSE) - SUMIF($F$1:$F3570, F3571, $H$1:$H3570))
</f>
        <v/>
      </c>
      <c r="I3571" s="26"/>
      <c r="J3571" s="26" t="s">
        <v>77</v>
      </c>
      <c r="L3571" s="27" t="s">
        <v>77</v>
      </c>
      <c r="N3571" s="28" t="s">
        <v>77</v>
      </c>
      <c r="Q3571" s="30"/>
    </row>
    <row r="3572">
      <c r="B3572" s="6"/>
      <c r="C3572" s="33" t="str">
        <f t="array" ref="C3572">IF(B3572="", "", XLOOKUP(B3572, Inventory!D:D,Inventory!E:E,"No Name Found"))</f>
        <v/>
      </c>
      <c r="D3572" s="6"/>
      <c r="E3572" s="6"/>
      <c r="F3572" s="6"/>
      <c r="G3572" s="24" t="str">
        <f>IF(F3572="", "", VLOOKUP(F3572, Inventory!A:BZ, 3, FALSE) - SUMIF($F$1:$F3571, F3572, $H$1:$H3571))
</f>
        <v/>
      </c>
      <c r="I3572" s="26"/>
      <c r="J3572" s="26" t="s">
        <v>77</v>
      </c>
      <c r="L3572" s="27" t="s">
        <v>77</v>
      </c>
      <c r="N3572" s="28" t="s">
        <v>77</v>
      </c>
      <c r="Q3572" s="30"/>
    </row>
    <row r="3573">
      <c r="B3573" s="6"/>
      <c r="C3573" s="33" t="str">
        <f t="array" ref="C3573">IF(B3573="", "", XLOOKUP(B3573, Inventory!D:D,Inventory!E:E,"No Name Found"))</f>
        <v/>
      </c>
      <c r="D3573" s="6"/>
      <c r="E3573" s="6"/>
      <c r="F3573" s="6"/>
      <c r="G3573" s="24" t="str">
        <f>IF(F3573="", "", VLOOKUP(F3573, Inventory!A:BZ, 3, FALSE) - SUMIF($F$1:$F3572, F3573, $H$1:$H3572))
</f>
        <v/>
      </c>
      <c r="I3573" s="26"/>
      <c r="J3573" s="26" t="s">
        <v>77</v>
      </c>
      <c r="L3573" s="27" t="s">
        <v>77</v>
      </c>
      <c r="N3573" s="28" t="s">
        <v>77</v>
      </c>
      <c r="Q3573" s="30"/>
    </row>
    <row r="3574">
      <c r="B3574" s="6"/>
      <c r="C3574" s="33" t="str">
        <f t="array" ref="C3574">IF(B3574="", "", XLOOKUP(B3574, Inventory!D:D,Inventory!E:E,"No Name Found"))</f>
        <v/>
      </c>
      <c r="D3574" s="6"/>
      <c r="E3574" s="6"/>
      <c r="F3574" s="6"/>
      <c r="G3574" s="24" t="str">
        <f>IF(F3574="", "", VLOOKUP(F3574, Inventory!A:BZ, 3, FALSE) - SUMIF($F$1:$F3573, F3574, $H$1:$H3573))
</f>
        <v/>
      </c>
      <c r="I3574" s="26"/>
      <c r="J3574" s="26" t="s">
        <v>77</v>
      </c>
      <c r="L3574" s="27" t="s">
        <v>77</v>
      </c>
      <c r="N3574" s="28" t="s">
        <v>77</v>
      </c>
      <c r="Q3574" s="30"/>
    </row>
    <row r="3575">
      <c r="B3575" s="6"/>
      <c r="C3575" s="33" t="str">
        <f t="array" ref="C3575">IF(B3575="", "", XLOOKUP(B3575, Inventory!D:D,Inventory!E:E,"No Name Found"))</f>
        <v/>
      </c>
      <c r="D3575" s="6"/>
      <c r="E3575" s="6"/>
      <c r="F3575" s="6"/>
      <c r="G3575" s="24" t="str">
        <f>IF(F3575="", "", VLOOKUP(F3575, Inventory!A:BZ, 3, FALSE) - SUMIF($F$1:$F3574, F3575, $H$1:$H3574))
</f>
        <v/>
      </c>
      <c r="I3575" s="26"/>
      <c r="J3575" s="26" t="s">
        <v>77</v>
      </c>
      <c r="L3575" s="27" t="s">
        <v>77</v>
      </c>
      <c r="N3575" s="28" t="s">
        <v>77</v>
      </c>
      <c r="Q3575" s="30"/>
    </row>
    <row r="3576">
      <c r="B3576" s="6"/>
      <c r="C3576" s="33" t="str">
        <f t="array" ref="C3576">IF(B3576="", "", XLOOKUP(B3576, Inventory!D:D,Inventory!E:E,"No Name Found"))</f>
        <v/>
      </c>
      <c r="D3576" s="6"/>
      <c r="E3576" s="6"/>
      <c r="F3576" s="6"/>
      <c r="G3576" s="24" t="str">
        <f>IF(F3576="", "", VLOOKUP(F3576, Inventory!A:BZ, 3, FALSE) - SUMIF($F$1:$F3575, F3576, $H$1:$H3575))
</f>
        <v/>
      </c>
      <c r="I3576" s="26"/>
      <c r="J3576" s="26" t="s">
        <v>77</v>
      </c>
      <c r="L3576" s="27" t="s">
        <v>77</v>
      </c>
      <c r="N3576" s="28" t="s">
        <v>77</v>
      </c>
      <c r="Q3576" s="30"/>
    </row>
    <row r="3577">
      <c r="B3577" s="6"/>
      <c r="C3577" s="33" t="str">
        <f t="array" ref="C3577">IF(B3577="", "", XLOOKUP(B3577, Inventory!D:D,Inventory!E:E,"No Name Found"))</f>
        <v/>
      </c>
      <c r="D3577" s="6"/>
      <c r="E3577" s="6"/>
      <c r="F3577" s="6"/>
      <c r="G3577" s="24" t="str">
        <f>IF(F3577="", "", VLOOKUP(F3577, Inventory!A:BZ, 3, FALSE) - SUMIF($F$1:$F3576, F3577, $H$1:$H3576))
</f>
        <v/>
      </c>
      <c r="I3577" s="26"/>
      <c r="J3577" s="26" t="s">
        <v>77</v>
      </c>
      <c r="L3577" s="27" t="s">
        <v>77</v>
      </c>
      <c r="N3577" s="28" t="s">
        <v>77</v>
      </c>
      <c r="Q3577" s="30"/>
    </row>
    <row r="3578">
      <c r="B3578" s="6"/>
      <c r="C3578" s="33" t="str">
        <f t="array" ref="C3578">IF(B3578="", "", XLOOKUP(B3578, Inventory!D:D,Inventory!E:E,"No Name Found"))</f>
        <v/>
      </c>
      <c r="D3578" s="6"/>
      <c r="E3578" s="6"/>
      <c r="F3578" s="6"/>
      <c r="G3578" s="24" t="str">
        <f>IF(F3578="", "", VLOOKUP(F3578, Inventory!A:BZ, 3, FALSE) - SUMIF($F$1:$F3577, F3578, $H$1:$H3577))
</f>
        <v/>
      </c>
      <c r="I3578" s="26"/>
      <c r="J3578" s="26" t="s">
        <v>77</v>
      </c>
      <c r="L3578" s="27" t="s">
        <v>77</v>
      </c>
      <c r="N3578" s="28" t="s">
        <v>77</v>
      </c>
      <c r="Q3578" s="30"/>
    </row>
    <row r="3579">
      <c r="B3579" s="6"/>
      <c r="C3579" s="33" t="str">
        <f t="array" ref="C3579">IF(B3579="", "", XLOOKUP(B3579, Inventory!D:D,Inventory!E:E,"No Name Found"))</f>
        <v/>
      </c>
      <c r="D3579" s="6"/>
      <c r="E3579" s="6"/>
      <c r="F3579" s="6"/>
      <c r="G3579" s="24" t="str">
        <f>IF(F3579="", "", VLOOKUP(F3579, Inventory!A:BZ, 3, FALSE) - SUMIF($F$1:$F3578, F3579, $H$1:$H3578))
</f>
        <v/>
      </c>
      <c r="I3579" s="26"/>
      <c r="J3579" s="26" t="s">
        <v>77</v>
      </c>
      <c r="L3579" s="27" t="s">
        <v>77</v>
      </c>
      <c r="N3579" s="28" t="s">
        <v>77</v>
      </c>
      <c r="Q3579" s="30"/>
    </row>
    <row r="3580">
      <c r="B3580" s="6"/>
      <c r="C3580" s="33" t="str">
        <f t="array" ref="C3580">IF(B3580="", "", XLOOKUP(B3580, Inventory!D:D,Inventory!E:E,"No Name Found"))</f>
        <v/>
      </c>
      <c r="D3580" s="6"/>
      <c r="E3580" s="6"/>
      <c r="F3580" s="6"/>
      <c r="G3580" s="24" t="str">
        <f>IF(F3580="", "", VLOOKUP(F3580, Inventory!A:BZ, 3, FALSE) - SUMIF($F$1:$F3579, F3580, $H$1:$H3579))
</f>
        <v/>
      </c>
      <c r="I3580" s="26"/>
      <c r="J3580" s="26" t="s">
        <v>77</v>
      </c>
      <c r="L3580" s="27" t="s">
        <v>77</v>
      </c>
      <c r="N3580" s="28" t="s">
        <v>77</v>
      </c>
      <c r="Q3580" s="30"/>
    </row>
    <row r="3581">
      <c r="B3581" s="6"/>
      <c r="C3581" s="33" t="str">
        <f t="array" ref="C3581">IF(B3581="", "", XLOOKUP(B3581, Inventory!D:D,Inventory!E:E,"No Name Found"))</f>
        <v/>
      </c>
      <c r="D3581" s="6"/>
      <c r="E3581" s="6"/>
      <c r="F3581" s="6"/>
      <c r="G3581" s="24" t="str">
        <f>IF(F3581="", "", VLOOKUP(F3581, Inventory!A:BZ, 3, FALSE) - SUMIF($F$1:$F3580, F3581, $H$1:$H3580))
</f>
        <v/>
      </c>
      <c r="I3581" s="26"/>
      <c r="J3581" s="26" t="s">
        <v>77</v>
      </c>
      <c r="L3581" s="27" t="s">
        <v>77</v>
      </c>
      <c r="N3581" s="28" t="s">
        <v>77</v>
      </c>
      <c r="Q3581" s="30"/>
    </row>
    <row r="3582">
      <c r="B3582" s="6"/>
      <c r="C3582" s="33" t="str">
        <f t="array" ref="C3582">IF(B3582="", "", XLOOKUP(B3582, Inventory!D:D,Inventory!E:E,"No Name Found"))</f>
        <v/>
      </c>
      <c r="D3582" s="6"/>
      <c r="E3582" s="6"/>
      <c r="F3582" s="6"/>
      <c r="G3582" s="24" t="str">
        <f>IF(F3582="", "", VLOOKUP(F3582, Inventory!A:BZ, 3, FALSE) - SUMIF($F$1:$F3581, F3582, $H$1:$H3581))
</f>
        <v/>
      </c>
      <c r="I3582" s="26"/>
      <c r="J3582" s="26" t="s">
        <v>77</v>
      </c>
      <c r="L3582" s="27" t="s">
        <v>77</v>
      </c>
      <c r="N3582" s="28" t="s">
        <v>77</v>
      </c>
      <c r="Q3582" s="30"/>
    </row>
    <row r="3583">
      <c r="B3583" s="6"/>
      <c r="C3583" s="33" t="str">
        <f t="array" ref="C3583">IF(B3583="", "", XLOOKUP(B3583, Inventory!D:D,Inventory!E:E,"No Name Found"))</f>
        <v/>
      </c>
      <c r="D3583" s="6"/>
      <c r="E3583" s="6"/>
      <c r="F3583" s="6"/>
      <c r="G3583" s="24" t="str">
        <f>IF(F3583="", "", VLOOKUP(F3583, Inventory!A:BZ, 3, FALSE) - SUMIF($F$1:$F3582, F3583, $H$1:$H3582))
</f>
        <v/>
      </c>
      <c r="I3583" s="26"/>
      <c r="J3583" s="26" t="s">
        <v>77</v>
      </c>
      <c r="L3583" s="27" t="s">
        <v>77</v>
      </c>
      <c r="N3583" s="28" t="s">
        <v>77</v>
      </c>
      <c r="Q3583" s="30"/>
    </row>
    <row r="3584">
      <c r="B3584" s="6"/>
      <c r="C3584" s="33" t="str">
        <f t="array" ref="C3584">IF(B3584="", "", XLOOKUP(B3584, Inventory!D:D,Inventory!E:E,"No Name Found"))</f>
        <v/>
      </c>
      <c r="D3584" s="6"/>
      <c r="E3584" s="6"/>
      <c r="F3584" s="6"/>
      <c r="G3584" s="24" t="str">
        <f>IF(F3584="", "", VLOOKUP(F3584, Inventory!A:BZ, 3, FALSE) - SUMIF($F$1:$F3583, F3584, $H$1:$H3583))
</f>
        <v/>
      </c>
      <c r="I3584" s="26"/>
      <c r="J3584" s="26" t="s">
        <v>77</v>
      </c>
      <c r="L3584" s="27" t="s">
        <v>77</v>
      </c>
      <c r="N3584" s="28" t="s">
        <v>77</v>
      </c>
      <c r="Q3584" s="30"/>
    </row>
    <row r="3585">
      <c r="B3585" s="6"/>
      <c r="C3585" s="33" t="str">
        <f t="array" ref="C3585">IF(B3585="", "", XLOOKUP(B3585, Inventory!D:D,Inventory!E:E,"No Name Found"))</f>
        <v/>
      </c>
      <c r="D3585" s="6"/>
      <c r="E3585" s="6"/>
      <c r="F3585" s="6"/>
      <c r="G3585" s="24" t="str">
        <f>IF(F3585="", "", VLOOKUP(F3585, Inventory!A:BZ, 3, FALSE) - SUMIF($F$1:$F3584, F3585, $H$1:$H3584))
</f>
        <v/>
      </c>
      <c r="I3585" s="26"/>
      <c r="J3585" s="26" t="s">
        <v>77</v>
      </c>
      <c r="L3585" s="27" t="s">
        <v>77</v>
      </c>
      <c r="N3585" s="28" t="s">
        <v>77</v>
      </c>
      <c r="Q3585" s="30"/>
    </row>
    <row r="3586">
      <c r="B3586" s="6"/>
      <c r="C3586" s="33" t="str">
        <f t="array" ref="C3586">IF(B3586="", "", XLOOKUP(B3586, Inventory!D:D,Inventory!E:E,"No Name Found"))</f>
        <v/>
      </c>
      <c r="D3586" s="6"/>
      <c r="E3586" s="6"/>
      <c r="F3586" s="6"/>
      <c r="G3586" s="24" t="str">
        <f>IF(F3586="", "", VLOOKUP(F3586, Inventory!A:BZ, 3, FALSE) - SUMIF($F$1:$F3585, F3586, $H$1:$H3585))
</f>
        <v/>
      </c>
      <c r="I3586" s="26"/>
      <c r="J3586" s="26" t="s">
        <v>77</v>
      </c>
      <c r="L3586" s="27" t="s">
        <v>77</v>
      </c>
      <c r="N3586" s="28" t="s">
        <v>77</v>
      </c>
      <c r="Q3586" s="30"/>
    </row>
    <row r="3587">
      <c r="B3587" s="6"/>
      <c r="C3587" s="33" t="str">
        <f t="array" ref="C3587">IF(B3587="", "", XLOOKUP(B3587, Inventory!D:D,Inventory!E:E,"No Name Found"))</f>
        <v/>
      </c>
      <c r="D3587" s="6"/>
      <c r="E3587" s="6"/>
      <c r="F3587" s="6"/>
      <c r="G3587" s="24" t="str">
        <f>IF(F3587="", "", VLOOKUP(F3587, Inventory!A:BZ, 3, FALSE) - SUMIF($F$1:$F3586, F3587, $H$1:$H3586))
</f>
        <v/>
      </c>
      <c r="I3587" s="26"/>
      <c r="J3587" s="26" t="s">
        <v>77</v>
      </c>
      <c r="L3587" s="27" t="s">
        <v>77</v>
      </c>
      <c r="N3587" s="28" t="s">
        <v>77</v>
      </c>
      <c r="Q3587" s="30"/>
    </row>
    <row r="3588">
      <c r="B3588" s="6"/>
      <c r="C3588" s="33" t="str">
        <f t="array" ref="C3588">IF(B3588="", "", XLOOKUP(B3588, Inventory!D:D,Inventory!E:E,"No Name Found"))</f>
        <v/>
      </c>
      <c r="D3588" s="6"/>
      <c r="E3588" s="6"/>
      <c r="F3588" s="6"/>
      <c r="G3588" s="24" t="str">
        <f>IF(F3588="", "", VLOOKUP(F3588, Inventory!A:BZ, 3, FALSE) - SUMIF($F$1:$F3587, F3588, $H$1:$H3587))
</f>
        <v/>
      </c>
      <c r="I3588" s="26"/>
      <c r="J3588" s="26" t="s">
        <v>77</v>
      </c>
      <c r="L3588" s="27" t="s">
        <v>77</v>
      </c>
      <c r="N3588" s="28" t="s">
        <v>77</v>
      </c>
      <c r="Q3588" s="30"/>
    </row>
    <row r="3589">
      <c r="B3589" s="6"/>
      <c r="C3589" s="33" t="str">
        <f t="array" ref="C3589">IF(B3589="", "", XLOOKUP(B3589, Inventory!D:D,Inventory!E:E,"No Name Found"))</f>
        <v/>
      </c>
      <c r="D3589" s="6"/>
      <c r="E3589" s="6"/>
      <c r="F3589" s="6"/>
      <c r="G3589" s="24" t="str">
        <f>IF(F3589="", "", VLOOKUP(F3589, Inventory!A:BZ, 3, FALSE) - SUMIF($F$1:$F3588, F3589, $H$1:$H3588))
</f>
        <v/>
      </c>
      <c r="I3589" s="26"/>
      <c r="J3589" s="26" t="s">
        <v>77</v>
      </c>
      <c r="L3589" s="27" t="s">
        <v>77</v>
      </c>
      <c r="N3589" s="28" t="s">
        <v>77</v>
      </c>
      <c r="Q3589" s="30"/>
    </row>
    <row r="3590">
      <c r="B3590" s="6"/>
      <c r="C3590" s="33" t="str">
        <f t="array" ref="C3590">IF(B3590="", "", XLOOKUP(B3590, Inventory!D:D,Inventory!E:E,"No Name Found"))</f>
        <v/>
      </c>
      <c r="D3590" s="6"/>
      <c r="E3590" s="6"/>
      <c r="F3590" s="6"/>
      <c r="G3590" s="24" t="str">
        <f>IF(F3590="", "", VLOOKUP(F3590, Inventory!A:BZ, 3, FALSE) - SUMIF($F$1:$F3589, F3590, $H$1:$H3589))
</f>
        <v/>
      </c>
      <c r="I3590" s="26"/>
      <c r="J3590" s="26" t="s">
        <v>77</v>
      </c>
      <c r="L3590" s="27" t="s">
        <v>77</v>
      </c>
      <c r="N3590" s="28" t="s">
        <v>77</v>
      </c>
      <c r="Q3590" s="30"/>
    </row>
    <row r="3591">
      <c r="B3591" s="6"/>
      <c r="C3591" s="33" t="str">
        <f t="array" ref="C3591">IF(B3591="", "", XLOOKUP(B3591, Inventory!D:D,Inventory!E:E,"No Name Found"))</f>
        <v/>
      </c>
      <c r="D3591" s="6"/>
      <c r="E3591" s="6"/>
      <c r="F3591" s="6"/>
      <c r="G3591" s="24" t="str">
        <f>IF(F3591="", "", VLOOKUP(F3591, Inventory!A:BZ, 3, FALSE) - SUMIF($F$1:$F3590, F3591, $H$1:$H3590))
</f>
        <v/>
      </c>
      <c r="I3591" s="26"/>
      <c r="J3591" s="26" t="s">
        <v>77</v>
      </c>
      <c r="L3591" s="27" t="s">
        <v>77</v>
      </c>
      <c r="N3591" s="28" t="s">
        <v>77</v>
      </c>
      <c r="Q3591" s="30"/>
    </row>
    <row r="3592">
      <c r="B3592" s="6"/>
      <c r="C3592" s="33" t="str">
        <f t="array" ref="C3592">IF(B3592="", "", XLOOKUP(B3592, Inventory!D:D,Inventory!E:E,"No Name Found"))</f>
        <v/>
      </c>
      <c r="D3592" s="6"/>
      <c r="E3592" s="6"/>
      <c r="F3592" s="6"/>
      <c r="G3592" s="24" t="str">
        <f>IF(F3592="", "", VLOOKUP(F3592, Inventory!A:BZ, 3, FALSE) - SUMIF($F$1:$F3591, F3592, $H$1:$H3591))
</f>
        <v/>
      </c>
      <c r="I3592" s="26"/>
      <c r="J3592" s="26" t="s">
        <v>77</v>
      </c>
      <c r="L3592" s="27" t="s">
        <v>77</v>
      </c>
      <c r="N3592" s="28" t="s">
        <v>77</v>
      </c>
      <c r="Q3592" s="30"/>
    </row>
    <row r="3593">
      <c r="B3593" s="6"/>
      <c r="C3593" s="33" t="str">
        <f t="array" ref="C3593">IF(B3593="", "", XLOOKUP(B3593, Inventory!D:D,Inventory!E:E,"No Name Found"))</f>
        <v/>
      </c>
      <c r="D3593" s="6"/>
      <c r="E3593" s="6"/>
      <c r="F3593" s="6"/>
      <c r="G3593" s="24" t="str">
        <f>IF(F3593="", "", VLOOKUP(F3593, Inventory!A:BZ, 3, FALSE) - SUMIF($F$1:$F3592, F3593, $H$1:$H3592))
</f>
        <v/>
      </c>
      <c r="I3593" s="26"/>
      <c r="J3593" s="26" t="s">
        <v>77</v>
      </c>
      <c r="L3593" s="27" t="s">
        <v>77</v>
      </c>
      <c r="N3593" s="28" t="s">
        <v>77</v>
      </c>
      <c r="Q3593" s="30"/>
    </row>
    <row r="3594">
      <c r="B3594" s="6"/>
      <c r="C3594" s="33" t="str">
        <f t="array" ref="C3594">IF(B3594="", "", XLOOKUP(B3594, Inventory!D:D,Inventory!E:E,"No Name Found"))</f>
        <v/>
      </c>
      <c r="D3594" s="6"/>
      <c r="E3594" s="6"/>
      <c r="F3594" s="6"/>
      <c r="G3594" s="24" t="str">
        <f>IF(F3594="", "", VLOOKUP(F3594, Inventory!A:BZ, 3, FALSE) - SUMIF($F$1:$F3593, F3594, $H$1:$H3593))
</f>
        <v/>
      </c>
      <c r="I3594" s="26"/>
      <c r="J3594" s="26" t="s">
        <v>77</v>
      </c>
      <c r="L3594" s="27" t="s">
        <v>77</v>
      </c>
      <c r="N3594" s="28" t="s">
        <v>77</v>
      </c>
      <c r="Q3594" s="30"/>
    </row>
    <row r="3595">
      <c r="B3595" s="6"/>
      <c r="C3595" s="33" t="str">
        <f t="array" ref="C3595">IF(B3595="", "", XLOOKUP(B3595, Inventory!D:D,Inventory!E:E,"No Name Found"))</f>
        <v/>
      </c>
      <c r="D3595" s="6"/>
      <c r="E3595" s="6"/>
      <c r="F3595" s="6"/>
      <c r="G3595" s="24" t="str">
        <f>IF(F3595="", "", VLOOKUP(F3595, Inventory!A:BZ, 3, FALSE) - SUMIF($F$1:$F3594, F3595, $H$1:$H3594))
</f>
        <v/>
      </c>
      <c r="I3595" s="26"/>
      <c r="J3595" s="26" t="s">
        <v>77</v>
      </c>
      <c r="L3595" s="27" t="s">
        <v>77</v>
      </c>
      <c r="N3595" s="28" t="s">
        <v>77</v>
      </c>
      <c r="Q3595" s="30"/>
    </row>
    <row r="3596">
      <c r="B3596" s="6"/>
      <c r="C3596" s="33" t="str">
        <f t="array" ref="C3596">IF(B3596="", "", XLOOKUP(B3596, Inventory!D:D,Inventory!E:E,"No Name Found"))</f>
        <v/>
      </c>
      <c r="D3596" s="6"/>
      <c r="E3596" s="6"/>
      <c r="F3596" s="6"/>
      <c r="G3596" s="24" t="str">
        <f>IF(F3596="", "", VLOOKUP(F3596, Inventory!A:BZ, 3, FALSE) - SUMIF($F$1:$F3595, F3596, $H$1:$H3595))
</f>
        <v/>
      </c>
      <c r="I3596" s="26"/>
      <c r="J3596" s="26" t="s">
        <v>77</v>
      </c>
      <c r="L3596" s="27" t="s">
        <v>77</v>
      </c>
      <c r="N3596" s="28" t="s">
        <v>77</v>
      </c>
      <c r="Q3596" s="30"/>
    </row>
    <row r="3597">
      <c r="B3597" s="6"/>
      <c r="C3597" s="33" t="str">
        <f t="array" ref="C3597">IF(B3597="", "", XLOOKUP(B3597, Inventory!D:D,Inventory!E:E,"No Name Found"))</f>
        <v/>
      </c>
      <c r="D3597" s="6"/>
      <c r="E3597" s="6"/>
      <c r="F3597" s="6"/>
      <c r="G3597" s="24" t="str">
        <f>IF(F3597="", "", VLOOKUP(F3597, Inventory!A:BZ, 3, FALSE) - SUMIF($F$1:$F3596, F3597, $H$1:$H3596))
</f>
        <v/>
      </c>
      <c r="I3597" s="26"/>
      <c r="J3597" s="26" t="s">
        <v>77</v>
      </c>
      <c r="L3597" s="27" t="s">
        <v>77</v>
      </c>
      <c r="N3597" s="28" t="s">
        <v>77</v>
      </c>
      <c r="Q3597" s="30"/>
    </row>
    <row r="3598">
      <c r="B3598" s="6"/>
      <c r="C3598" s="33" t="str">
        <f t="array" ref="C3598">IF(B3598="", "", XLOOKUP(B3598, Inventory!D:D,Inventory!E:E,"No Name Found"))</f>
        <v/>
      </c>
      <c r="D3598" s="6"/>
      <c r="E3598" s="6"/>
      <c r="F3598" s="6"/>
      <c r="G3598" s="24" t="str">
        <f>IF(F3598="", "", VLOOKUP(F3598, Inventory!A:BZ, 3, FALSE) - SUMIF($F$1:$F3597, F3598, $H$1:$H3597))
</f>
        <v/>
      </c>
      <c r="I3598" s="26"/>
      <c r="J3598" s="26" t="s">
        <v>77</v>
      </c>
      <c r="L3598" s="27" t="s">
        <v>77</v>
      </c>
      <c r="N3598" s="28" t="s">
        <v>77</v>
      </c>
      <c r="Q3598" s="30"/>
    </row>
    <row r="3599">
      <c r="B3599" s="6"/>
      <c r="C3599" s="33" t="str">
        <f t="array" ref="C3599">IF(B3599="", "", XLOOKUP(B3599, Inventory!D:D,Inventory!E:E,"No Name Found"))</f>
        <v/>
      </c>
      <c r="D3599" s="6"/>
      <c r="E3599" s="6"/>
      <c r="F3599" s="6"/>
      <c r="G3599" s="24" t="str">
        <f>IF(F3599="", "", VLOOKUP(F3599, Inventory!A:BZ, 3, FALSE) - SUMIF($F$1:$F3598, F3599, $H$1:$H3598))
</f>
        <v/>
      </c>
      <c r="I3599" s="26"/>
      <c r="J3599" s="26" t="s">
        <v>77</v>
      </c>
      <c r="L3599" s="27" t="s">
        <v>77</v>
      </c>
      <c r="N3599" s="28" t="s">
        <v>77</v>
      </c>
      <c r="Q3599" s="30"/>
    </row>
    <row r="3600">
      <c r="B3600" s="6"/>
      <c r="C3600" s="33" t="str">
        <f t="array" ref="C3600">IF(B3600="", "", XLOOKUP(B3600, Inventory!D:D,Inventory!E:E,"No Name Found"))</f>
        <v/>
      </c>
      <c r="D3600" s="6"/>
      <c r="E3600" s="6"/>
      <c r="F3600" s="6"/>
      <c r="G3600" s="24" t="str">
        <f>IF(F3600="", "", VLOOKUP(F3600, Inventory!A:BZ, 3, FALSE) - SUMIF($F$1:$F3599, F3600, $H$1:$H3599))
</f>
        <v/>
      </c>
      <c r="I3600" s="26"/>
      <c r="J3600" s="26" t="s">
        <v>77</v>
      </c>
      <c r="L3600" s="27" t="s">
        <v>77</v>
      </c>
      <c r="N3600" s="28" t="s">
        <v>77</v>
      </c>
      <c r="Q3600" s="30"/>
    </row>
    <row r="3601">
      <c r="B3601" s="6"/>
      <c r="C3601" s="33" t="str">
        <f t="array" ref="C3601">IF(B3601="", "", XLOOKUP(B3601, Inventory!D:D,Inventory!E:E,"No Name Found"))</f>
        <v/>
      </c>
      <c r="D3601" s="6"/>
      <c r="E3601" s="6"/>
      <c r="F3601" s="6"/>
      <c r="G3601" s="24" t="str">
        <f>IF(F3601="", "", VLOOKUP(F3601, Inventory!A:BZ, 3, FALSE) - SUMIF($F$1:$F3600, F3601, $H$1:$H3600))
</f>
        <v/>
      </c>
      <c r="I3601" s="26"/>
      <c r="J3601" s="26" t="s">
        <v>77</v>
      </c>
      <c r="L3601" s="27" t="s">
        <v>77</v>
      </c>
      <c r="N3601" s="28" t="s">
        <v>77</v>
      </c>
      <c r="Q3601" s="30"/>
    </row>
    <row r="3602">
      <c r="B3602" s="6"/>
      <c r="C3602" s="33" t="str">
        <f t="array" ref="C3602">IF(B3602="", "", XLOOKUP(B3602, Inventory!D:D,Inventory!E:E,"No Name Found"))</f>
        <v/>
      </c>
      <c r="D3602" s="6"/>
      <c r="E3602" s="6"/>
      <c r="F3602" s="6"/>
      <c r="G3602" s="24" t="str">
        <f>IF(F3602="", "", VLOOKUP(F3602, Inventory!A:BZ, 3, FALSE) - SUMIF($F$1:$F3601, F3602, $H$1:$H3601))
</f>
        <v/>
      </c>
      <c r="I3602" s="26"/>
      <c r="J3602" s="26" t="s">
        <v>77</v>
      </c>
      <c r="L3602" s="27" t="s">
        <v>77</v>
      </c>
      <c r="N3602" s="28" t="s">
        <v>77</v>
      </c>
      <c r="Q3602" s="30"/>
    </row>
    <row r="3603">
      <c r="B3603" s="6"/>
      <c r="C3603" s="33" t="str">
        <f t="array" ref="C3603">IF(B3603="", "", XLOOKUP(B3603, Inventory!D:D,Inventory!E:E,"No Name Found"))</f>
        <v/>
      </c>
      <c r="D3603" s="6"/>
      <c r="E3603" s="6"/>
      <c r="F3603" s="6"/>
      <c r="G3603" s="24" t="str">
        <f>IF(F3603="", "", VLOOKUP(F3603, Inventory!A:BZ, 3, FALSE) - SUMIF($F$1:$F3602, F3603, $H$1:$H3602))
</f>
        <v/>
      </c>
      <c r="I3603" s="26"/>
      <c r="J3603" s="26" t="s">
        <v>77</v>
      </c>
      <c r="L3603" s="27" t="s">
        <v>77</v>
      </c>
      <c r="N3603" s="28" t="s">
        <v>77</v>
      </c>
      <c r="Q3603" s="30"/>
    </row>
    <row r="3604">
      <c r="B3604" s="6"/>
      <c r="C3604" s="33" t="str">
        <f t="array" ref="C3604">IF(B3604="", "", XLOOKUP(B3604, Inventory!D:D,Inventory!E:E,"No Name Found"))</f>
        <v/>
      </c>
      <c r="D3604" s="6"/>
      <c r="E3604" s="6"/>
      <c r="F3604" s="6"/>
      <c r="G3604" s="24" t="str">
        <f>IF(F3604="", "", VLOOKUP(F3604, Inventory!A:BZ, 3, FALSE) - SUMIF($F$1:$F3603, F3604, $H$1:$H3603))
</f>
        <v/>
      </c>
      <c r="I3604" s="26"/>
      <c r="J3604" s="26" t="s">
        <v>77</v>
      </c>
      <c r="L3604" s="27" t="s">
        <v>77</v>
      </c>
      <c r="N3604" s="28" t="s">
        <v>77</v>
      </c>
      <c r="Q3604" s="30"/>
    </row>
    <row r="3605">
      <c r="B3605" s="6"/>
      <c r="C3605" s="33" t="str">
        <f t="array" ref="C3605">IF(B3605="", "", XLOOKUP(B3605, Inventory!D:D,Inventory!E:E,"No Name Found"))</f>
        <v/>
      </c>
      <c r="D3605" s="6"/>
      <c r="E3605" s="6"/>
      <c r="F3605" s="6"/>
      <c r="G3605" s="24" t="str">
        <f>IF(F3605="", "", VLOOKUP(F3605, Inventory!A:BZ, 3, FALSE) - SUMIF($F$1:$F3604, F3605, $H$1:$H3604))
</f>
        <v/>
      </c>
      <c r="I3605" s="26"/>
      <c r="J3605" s="26" t="s">
        <v>77</v>
      </c>
      <c r="L3605" s="27" t="s">
        <v>77</v>
      </c>
      <c r="N3605" s="28" t="s">
        <v>77</v>
      </c>
      <c r="Q3605" s="30"/>
    </row>
    <row r="3606">
      <c r="B3606" s="6"/>
      <c r="C3606" s="33" t="str">
        <f t="array" ref="C3606">IF(B3606="", "", XLOOKUP(B3606, Inventory!D:D,Inventory!E:E,"No Name Found"))</f>
        <v/>
      </c>
      <c r="D3606" s="6"/>
      <c r="E3606" s="6"/>
      <c r="F3606" s="6"/>
      <c r="G3606" s="24" t="str">
        <f>IF(F3606="", "", VLOOKUP(F3606, Inventory!A:BZ, 3, FALSE) - SUMIF($F$1:$F3605, F3606, $H$1:$H3605))
</f>
        <v/>
      </c>
      <c r="I3606" s="26"/>
      <c r="J3606" s="26" t="s">
        <v>77</v>
      </c>
      <c r="L3606" s="27" t="s">
        <v>77</v>
      </c>
      <c r="N3606" s="28" t="s">
        <v>77</v>
      </c>
      <c r="Q3606" s="30"/>
    </row>
    <row r="3607">
      <c r="B3607" s="6"/>
      <c r="C3607" s="33" t="str">
        <f t="array" ref="C3607">IF(B3607="", "", XLOOKUP(B3607, Inventory!D:D,Inventory!E:E,"No Name Found"))</f>
        <v/>
      </c>
      <c r="D3607" s="6"/>
      <c r="E3607" s="6"/>
      <c r="F3607" s="6"/>
      <c r="G3607" s="24" t="str">
        <f>IF(F3607="", "", VLOOKUP(F3607, Inventory!A:BZ, 3, FALSE) - SUMIF($F$1:$F3606, F3607, $H$1:$H3606))
</f>
        <v/>
      </c>
      <c r="I3607" s="26"/>
      <c r="J3607" s="26" t="s">
        <v>77</v>
      </c>
      <c r="L3607" s="27" t="s">
        <v>77</v>
      </c>
      <c r="N3607" s="28" t="s">
        <v>77</v>
      </c>
      <c r="Q3607" s="30"/>
    </row>
    <row r="3608">
      <c r="B3608" s="6"/>
      <c r="C3608" s="33" t="str">
        <f t="array" ref="C3608">IF(B3608="", "", XLOOKUP(B3608, Inventory!D:D,Inventory!E:E,"No Name Found"))</f>
        <v/>
      </c>
      <c r="D3608" s="6"/>
      <c r="E3608" s="6"/>
      <c r="F3608" s="6"/>
      <c r="G3608" s="24" t="str">
        <f>IF(F3608="", "", VLOOKUP(F3608, Inventory!A:BZ, 3, FALSE) - SUMIF($F$1:$F3607, F3608, $H$1:$H3607))
</f>
        <v/>
      </c>
      <c r="I3608" s="26"/>
      <c r="J3608" s="26" t="s">
        <v>77</v>
      </c>
      <c r="L3608" s="27" t="s">
        <v>77</v>
      </c>
      <c r="N3608" s="28" t="s">
        <v>77</v>
      </c>
      <c r="Q3608" s="30"/>
    </row>
    <row r="3609">
      <c r="B3609" s="6"/>
      <c r="C3609" s="33" t="str">
        <f t="array" ref="C3609">IF(B3609="", "", XLOOKUP(B3609, Inventory!D:D,Inventory!E:E,"No Name Found"))</f>
        <v/>
      </c>
      <c r="D3609" s="6"/>
      <c r="E3609" s="6"/>
      <c r="F3609" s="6"/>
      <c r="G3609" s="24" t="str">
        <f>IF(F3609="", "", VLOOKUP(F3609, Inventory!A:BZ, 3, FALSE) - SUMIF($F$1:$F3608, F3609, $H$1:$H3608))
</f>
        <v/>
      </c>
      <c r="I3609" s="26"/>
      <c r="J3609" s="26" t="s">
        <v>77</v>
      </c>
      <c r="L3609" s="27" t="s">
        <v>77</v>
      </c>
      <c r="N3609" s="28" t="s">
        <v>77</v>
      </c>
      <c r="Q3609" s="30"/>
    </row>
    <row r="3610">
      <c r="B3610" s="6"/>
      <c r="C3610" s="33" t="str">
        <f t="array" ref="C3610">IF(B3610="", "", XLOOKUP(B3610, Inventory!D:D,Inventory!E:E,"No Name Found"))</f>
        <v/>
      </c>
      <c r="D3610" s="6"/>
      <c r="E3610" s="6"/>
      <c r="F3610" s="6"/>
      <c r="G3610" s="24" t="str">
        <f>IF(F3610="", "", VLOOKUP(F3610, Inventory!A:BZ, 3, FALSE) - SUMIF($F$1:$F3609, F3610, $H$1:$H3609))
</f>
        <v/>
      </c>
      <c r="I3610" s="26"/>
      <c r="J3610" s="26" t="s">
        <v>77</v>
      </c>
      <c r="L3610" s="27" t="s">
        <v>77</v>
      </c>
      <c r="N3610" s="28" t="s">
        <v>77</v>
      </c>
      <c r="Q3610" s="30"/>
    </row>
    <row r="3611">
      <c r="B3611" s="6"/>
      <c r="C3611" s="33" t="str">
        <f t="array" ref="C3611">IF(B3611="", "", XLOOKUP(B3611, Inventory!D:D,Inventory!E:E,"No Name Found"))</f>
        <v/>
      </c>
      <c r="D3611" s="6"/>
      <c r="E3611" s="6"/>
      <c r="F3611" s="6"/>
      <c r="G3611" s="24" t="str">
        <f>IF(F3611="", "", VLOOKUP(F3611, Inventory!A:BZ, 3, FALSE) - SUMIF($F$1:$F3610, F3611, $H$1:$H3610))
</f>
        <v/>
      </c>
      <c r="I3611" s="26"/>
      <c r="J3611" s="26" t="s">
        <v>77</v>
      </c>
      <c r="L3611" s="27" t="s">
        <v>77</v>
      </c>
      <c r="N3611" s="28" t="s">
        <v>77</v>
      </c>
      <c r="Q3611" s="30"/>
    </row>
    <row r="3612">
      <c r="B3612" s="6"/>
      <c r="C3612" s="33" t="str">
        <f t="array" ref="C3612">IF(B3612="", "", XLOOKUP(B3612, Inventory!D:D,Inventory!E:E,"No Name Found"))</f>
        <v/>
      </c>
      <c r="D3612" s="6"/>
      <c r="E3612" s="6"/>
      <c r="F3612" s="6"/>
      <c r="G3612" s="24" t="str">
        <f>IF(F3612="", "", VLOOKUP(F3612, Inventory!A:BZ, 3, FALSE) - SUMIF($F$1:$F3611, F3612, $H$1:$H3611))
</f>
        <v/>
      </c>
      <c r="I3612" s="26"/>
      <c r="J3612" s="26" t="s">
        <v>77</v>
      </c>
      <c r="L3612" s="27" t="s">
        <v>77</v>
      </c>
      <c r="N3612" s="28" t="s">
        <v>77</v>
      </c>
      <c r="Q3612" s="30"/>
    </row>
    <row r="3613">
      <c r="B3613" s="6"/>
      <c r="C3613" s="33" t="str">
        <f t="array" ref="C3613">IF(B3613="", "", XLOOKUP(B3613, Inventory!D:D,Inventory!E:E,"No Name Found"))</f>
        <v/>
      </c>
      <c r="D3613" s="6"/>
      <c r="E3613" s="6"/>
      <c r="F3613" s="6"/>
      <c r="G3613" s="24" t="str">
        <f>IF(F3613="", "", VLOOKUP(F3613, Inventory!A:BZ, 3, FALSE) - SUMIF($F$1:$F3612, F3613, $H$1:$H3612))
</f>
        <v/>
      </c>
      <c r="I3613" s="26"/>
      <c r="J3613" s="26" t="s">
        <v>77</v>
      </c>
      <c r="L3613" s="27" t="s">
        <v>77</v>
      </c>
      <c r="N3613" s="28" t="s">
        <v>77</v>
      </c>
      <c r="Q3613" s="30"/>
    </row>
    <row r="3614">
      <c r="B3614" s="6"/>
      <c r="C3614" s="33" t="str">
        <f t="array" ref="C3614">IF(B3614="", "", XLOOKUP(B3614, Inventory!D:D,Inventory!E:E,"No Name Found"))</f>
        <v/>
      </c>
      <c r="D3614" s="6"/>
      <c r="E3614" s="6"/>
      <c r="F3614" s="6"/>
      <c r="G3614" s="24" t="str">
        <f>IF(F3614="", "", VLOOKUP(F3614, Inventory!A:BZ, 3, FALSE) - SUMIF($F$1:$F3613, F3614, $H$1:$H3613))
</f>
        <v/>
      </c>
      <c r="I3614" s="26"/>
      <c r="J3614" s="26" t="s">
        <v>77</v>
      </c>
      <c r="L3614" s="27" t="s">
        <v>77</v>
      </c>
      <c r="N3614" s="28" t="s">
        <v>77</v>
      </c>
      <c r="Q3614" s="30"/>
    </row>
    <row r="3615">
      <c r="B3615" s="6"/>
      <c r="C3615" s="33" t="str">
        <f t="array" ref="C3615">IF(B3615="", "", XLOOKUP(B3615, Inventory!D:D,Inventory!E:E,"No Name Found"))</f>
        <v/>
      </c>
      <c r="D3615" s="6"/>
      <c r="E3615" s="6"/>
      <c r="F3615" s="6"/>
      <c r="G3615" s="24" t="str">
        <f>IF(F3615="", "", VLOOKUP(F3615, Inventory!A:BZ, 3, FALSE) - SUMIF($F$1:$F3614, F3615, $H$1:$H3614))
</f>
        <v/>
      </c>
      <c r="I3615" s="26"/>
      <c r="J3615" s="26" t="s">
        <v>77</v>
      </c>
      <c r="L3615" s="27" t="s">
        <v>77</v>
      </c>
      <c r="N3615" s="28" t="s">
        <v>77</v>
      </c>
      <c r="Q3615" s="30"/>
    </row>
    <row r="3616">
      <c r="B3616" s="6"/>
      <c r="C3616" s="33" t="str">
        <f t="array" ref="C3616">IF(B3616="", "", XLOOKUP(B3616, Inventory!D:D,Inventory!E:E,"No Name Found"))</f>
        <v/>
      </c>
      <c r="D3616" s="6"/>
      <c r="E3616" s="6"/>
      <c r="F3616" s="6"/>
      <c r="G3616" s="24" t="str">
        <f>IF(F3616="", "", VLOOKUP(F3616, Inventory!A:BZ, 3, FALSE) - SUMIF($F$1:$F3615, F3616, $H$1:$H3615))
</f>
        <v/>
      </c>
      <c r="I3616" s="26"/>
      <c r="J3616" s="26" t="s">
        <v>77</v>
      </c>
      <c r="L3616" s="27" t="s">
        <v>77</v>
      </c>
      <c r="N3616" s="28" t="s">
        <v>77</v>
      </c>
      <c r="Q3616" s="30"/>
    </row>
    <row r="3617">
      <c r="B3617" s="6"/>
      <c r="C3617" s="33" t="str">
        <f t="array" ref="C3617">IF(B3617="", "", XLOOKUP(B3617, Inventory!D:D,Inventory!E:E,"No Name Found"))</f>
        <v/>
      </c>
      <c r="D3617" s="6"/>
      <c r="E3617" s="6"/>
      <c r="F3617" s="6"/>
      <c r="G3617" s="24" t="str">
        <f>IF(F3617="", "", VLOOKUP(F3617, Inventory!A:BZ, 3, FALSE) - SUMIF($F$1:$F3616, F3617, $H$1:$H3616))
</f>
        <v/>
      </c>
      <c r="I3617" s="26"/>
      <c r="J3617" s="26" t="s">
        <v>77</v>
      </c>
      <c r="L3617" s="27" t="s">
        <v>77</v>
      </c>
      <c r="N3617" s="28" t="s">
        <v>77</v>
      </c>
      <c r="Q3617" s="30"/>
    </row>
    <row r="3618">
      <c r="B3618" s="6"/>
      <c r="C3618" s="33" t="str">
        <f t="array" ref="C3618">IF(B3618="", "", XLOOKUP(B3618, Inventory!D:D,Inventory!E:E,"No Name Found"))</f>
        <v/>
      </c>
      <c r="D3618" s="6"/>
      <c r="E3618" s="6"/>
      <c r="F3618" s="6"/>
      <c r="G3618" s="24" t="str">
        <f>IF(F3618="", "", VLOOKUP(F3618, Inventory!A:BZ, 3, FALSE) - SUMIF($F$1:$F3617, F3618, $H$1:$H3617))
</f>
        <v/>
      </c>
      <c r="I3618" s="26"/>
      <c r="J3618" s="26" t="s">
        <v>77</v>
      </c>
      <c r="L3618" s="27" t="s">
        <v>77</v>
      </c>
      <c r="N3618" s="28" t="s">
        <v>77</v>
      </c>
      <c r="Q3618" s="30"/>
    </row>
    <row r="3619">
      <c r="B3619" s="6"/>
      <c r="C3619" s="33" t="str">
        <f t="array" ref="C3619">IF(B3619="", "", XLOOKUP(B3619, Inventory!D:D,Inventory!E:E,"No Name Found"))</f>
        <v/>
      </c>
      <c r="D3619" s="6"/>
      <c r="E3619" s="6"/>
      <c r="F3619" s="6"/>
      <c r="G3619" s="24" t="str">
        <f>IF(F3619="", "", VLOOKUP(F3619, Inventory!A:BZ, 3, FALSE) - SUMIF($F$1:$F3618, F3619, $H$1:$H3618))
</f>
        <v/>
      </c>
      <c r="I3619" s="26"/>
      <c r="J3619" s="26" t="s">
        <v>77</v>
      </c>
      <c r="L3619" s="27" t="s">
        <v>77</v>
      </c>
      <c r="N3619" s="28" t="s">
        <v>77</v>
      </c>
      <c r="Q3619" s="30"/>
    </row>
    <row r="3620">
      <c r="B3620" s="6"/>
      <c r="C3620" s="33" t="str">
        <f t="array" ref="C3620">IF(B3620="", "", XLOOKUP(B3620, Inventory!D:D,Inventory!E:E,"No Name Found"))</f>
        <v/>
      </c>
      <c r="D3620" s="6"/>
      <c r="E3620" s="6"/>
      <c r="F3620" s="6"/>
      <c r="G3620" s="24" t="str">
        <f>IF(F3620="", "", VLOOKUP(F3620, Inventory!A:BZ, 3, FALSE) - SUMIF($F$1:$F3619, F3620, $H$1:$H3619))
</f>
        <v/>
      </c>
      <c r="I3620" s="26"/>
      <c r="J3620" s="26" t="s">
        <v>77</v>
      </c>
      <c r="L3620" s="27" t="s">
        <v>77</v>
      </c>
      <c r="N3620" s="28" t="s">
        <v>77</v>
      </c>
      <c r="Q3620" s="30"/>
    </row>
    <row r="3621">
      <c r="B3621" s="6"/>
      <c r="C3621" s="33" t="str">
        <f t="array" ref="C3621">IF(B3621="", "", XLOOKUP(B3621, Inventory!D:D,Inventory!E:E,"No Name Found"))</f>
        <v/>
      </c>
      <c r="D3621" s="6"/>
      <c r="E3621" s="6"/>
      <c r="F3621" s="6"/>
      <c r="G3621" s="24" t="str">
        <f>IF(F3621="", "", VLOOKUP(F3621, Inventory!A:BZ, 3, FALSE) - SUMIF($F$1:$F3620, F3621, $H$1:$H3620))
</f>
        <v/>
      </c>
      <c r="I3621" s="26"/>
      <c r="J3621" s="26" t="s">
        <v>77</v>
      </c>
      <c r="L3621" s="27" t="s">
        <v>77</v>
      </c>
      <c r="N3621" s="28" t="s">
        <v>77</v>
      </c>
      <c r="Q3621" s="30"/>
    </row>
    <row r="3622">
      <c r="B3622" s="6"/>
      <c r="C3622" s="33" t="str">
        <f t="array" ref="C3622">IF(B3622="", "", XLOOKUP(B3622, Inventory!D:D,Inventory!E:E,"No Name Found"))</f>
        <v/>
      </c>
      <c r="D3622" s="6"/>
      <c r="E3622" s="6"/>
      <c r="F3622" s="6"/>
      <c r="G3622" s="24" t="str">
        <f>IF(F3622="", "", VLOOKUP(F3622, Inventory!A:BZ, 3, FALSE) - SUMIF($F$1:$F3621, F3622, $H$1:$H3621))
</f>
        <v/>
      </c>
      <c r="I3622" s="26"/>
      <c r="J3622" s="26" t="s">
        <v>77</v>
      </c>
      <c r="L3622" s="27" t="s">
        <v>77</v>
      </c>
      <c r="N3622" s="28" t="s">
        <v>77</v>
      </c>
      <c r="Q3622" s="30"/>
    </row>
    <row r="3623">
      <c r="B3623" s="6"/>
      <c r="C3623" s="33" t="str">
        <f t="array" ref="C3623">IF(B3623="", "", XLOOKUP(B3623, Inventory!D:D,Inventory!E:E,"No Name Found"))</f>
        <v/>
      </c>
      <c r="D3623" s="6"/>
      <c r="E3623" s="6"/>
      <c r="F3623" s="6"/>
      <c r="G3623" s="24" t="str">
        <f>IF(F3623="", "", VLOOKUP(F3623, Inventory!A:BZ, 3, FALSE) - SUMIF($F$1:$F3622, F3623, $H$1:$H3622))
</f>
        <v/>
      </c>
      <c r="I3623" s="26"/>
      <c r="J3623" s="26" t="s">
        <v>77</v>
      </c>
      <c r="L3623" s="27" t="s">
        <v>77</v>
      </c>
      <c r="N3623" s="28" t="s">
        <v>77</v>
      </c>
      <c r="Q3623" s="30"/>
    </row>
    <row r="3624">
      <c r="B3624" s="6"/>
      <c r="C3624" s="33" t="str">
        <f t="array" ref="C3624">IF(B3624="", "", XLOOKUP(B3624, Inventory!D:D,Inventory!E:E,"No Name Found"))</f>
        <v/>
      </c>
      <c r="D3624" s="6"/>
      <c r="E3624" s="6"/>
      <c r="F3624" s="6"/>
      <c r="G3624" s="24" t="str">
        <f>IF(F3624="", "", VLOOKUP(F3624, Inventory!A:BZ, 3, FALSE) - SUMIF($F$1:$F3623, F3624, $H$1:$H3623))
</f>
        <v/>
      </c>
      <c r="I3624" s="26"/>
      <c r="J3624" s="26" t="s">
        <v>77</v>
      </c>
      <c r="L3624" s="27" t="s">
        <v>77</v>
      </c>
      <c r="N3624" s="28" t="s">
        <v>77</v>
      </c>
      <c r="Q3624" s="30"/>
    </row>
    <row r="3625">
      <c r="B3625" s="6"/>
      <c r="C3625" s="33" t="str">
        <f t="array" ref="C3625">IF(B3625="", "", XLOOKUP(B3625, Inventory!D:D,Inventory!E:E,"No Name Found"))</f>
        <v/>
      </c>
      <c r="D3625" s="6"/>
      <c r="E3625" s="6"/>
      <c r="F3625" s="6"/>
      <c r="G3625" s="24" t="str">
        <f>IF(F3625="", "", VLOOKUP(F3625, Inventory!A:BZ, 3, FALSE) - SUMIF($F$1:$F3624, F3625, $H$1:$H3624))
</f>
        <v/>
      </c>
      <c r="I3625" s="26"/>
      <c r="J3625" s="26" t="s">
        <v>77</v>
      </c>
      <c r="L3625" s="27" t="s">
        <v>77</v>
      </c>
      <c r="N3625" s="28" t="s">
        <v>77</v>
      </c>
      <c r="Q3625" s="30"/>
    </row>
    <row r="3626">
      <c r="B3626" s="6"/>
      <c r="C3626" s="33" t="str">
        <f t="array" ref="C3626">IF(B3626="", "", XLOOKUP(B3626, Inventory!D:D,Inventory!E:E,"No Name Found"))</f>
        <v/>
      </c>
      <c r="D3626" s="6"/>
      <c r="E3626" s="6"/>
      <c r="F3626" s="6"/>
      <c r="G3626" s="24" t="str">
        <f>IF(F3626="", "", VLOOKUP(F3626, Inventory!A:BZ, 3, FALSE) - SUMIF($F$1:$F3625, F3626, $H$1:$H3625))
</f>
        <v/>
      </c>
      <c r="I3626" s="26"/>
      <c r="J3626" s="26" t="s">
        <v>77</v>
      </c>
      <c r="L3626" s="27" t="s">
        <v>77</v>
      </c>
      <c r="N3626" s="28" t="s">
        <v>77</v>
      </c>
      <c r="Q3626" s="30"/>
    </row>
    <row r="3627">
      <c r="B3627" s="6"/>
      <c r="C3627" s="33" t="str">
        <f t="array" ref="C3627">IF(B3627="", "", XLOOKUP(B3627, Inventory!D:D,Inventory!E:E,"No Name Found"))</f>
        <v/>
      </c>
      <c r="D3627" s="6"/>
      <c r="E3627" s="6"/>
      <c r="F3627" s="6"/>
      <c r="G3627" s="24" t="str">
        <f>IF(F3627="", "", VLOOKUP(F3627, Inventory!A:BZ, 3, FALSE) - SUMIF($F$1:$F3626, F3627, $H$1:$H3626))
</f>
        <v/>
      </c>
      <c r="I3627" s="26"/>
      <c r="J3627" s="26" t="s">
        <v>77</v>
      </c>
      <c r="L3627" s="27" t="s">
        <v>77</v>
      </c>
      <c r="N3627" s="28" t="s">
        <v>77</v>
      </c>
      <c r="Q3627" s="30"/>
    </row>
    <row r="3628">
      <c r="B3628" s="6"/>
      <c r="C3628" s="33" t="str">
        <f t="array" ref="C3628">IF(B3628="", "", XLOOKUP(B3628, Inventory!D:D,Inventory!E:E,"No Name Found"))</f>
        <v/>
      </c>
      <c r="D3628" s="6"/>
      <c r="E3628" s="6"/>
      <c r="F3628" s="6"/>
      <c r="G3628" s="24" t="str">
        <f>IF(F3628="", "", VLOOKUP(F3628, Inventory!A:BZ, 3, FALSE) - SUMIF($F$1:$F3627, F3628, $H$1:$H3627))
</f>
        <v/>
      </c>
      <c r="I3628" s="26"/>
      <c r="J3628" s="26" t="s">
        <v>77</v>
      </c>
      <c r="L3628" s="27" t="s">
        <v>77</v>
      </c>
      <c r="N3628" s="28" t="s">
        <v>77</v>
      </c>
      <c r="Q3628" s="30"/>
    </row>
    <row r="3629">
      <c r="B3629" s="6"/>
      <c r="C3629" s="33" t="str">
        <f t="array" ref="C3629">IF(B3629="", "", XLOOKUP(B3629, Inventory!D:D,Inventory!E:E,"No Name Found"))</f>
        <v/>
      </c>
      <c r="D3629" s="6"/>
      <c r="E3629" s="6"/>
      <c r="F3629" s="6"/>
      <c r="G3629" s="24" t="str">
        <f>IF(F3629="", "", VLOOKUP(F3629, Inventory!A:BZ, 3, FALSE) - SUMIF($F$1:$F3628, F3629, $H$1:$H3628))
</f>
        <v/>
      </c>
      <c r="I3629" s="26"/>
      <c r="J3629" s="26" t="s">
        <v>77</v>
      </c>
      <c r="L3629" s="27" t="s">
        <v>77</v>
      </c>
      <c r="N3629" s="28" t="s">
        <v>77</v>
      </c>
      <c r="Q3629" s="30"/>
    </row>
    <row r="3630">
      <c r="B3630" s="6"/>
      <c r="C3630" s="33" t="str">
        <f t="array" ref="C3630">IF(B3630="", "", XLOOKUP(B3630, Inventory!D:D,Inventory!E:E,"No Name Found"))</f>
        <v/>
      </c>
      <c r="D3630" s="6"/>
      <c r="E3630" s="6"/>
      <c r="F3630" s="6"/>
      <c r="G3630" s="24" t="str">
        <f>IF(F3630="", "", VLOOKUP(F3630, Inventory!A:BZ, 3, FALSE) - SUMIF($F$1:$F3629, F3630, $H$1:$H3629))
</f>
        <v/>
      </c>
      <c r="I3630" s="26"/>
      <c r="J3630" s="26" t="s">
        <v>77</v>
      </c>
      <c r="L3630" s="27" t="s">
        <v>77</v>
      </c>
      <c r="N3630" s="28" t="s">
        <v>77</v>
      </c>
      <c r="Q3630" s="30"/>
    </row>
    <row r="3631">
      <c r="B3631" s="6"/>
      <c r="C3631" s="33" t="str">
        <f t="array" ref="C3631">IF(B3631="", "", XLOOKUP(B3631, Inventory!D:D,Inventory!E:E,"No Name Found"))</f>
        <v/>
      </c>
      <c r="D3631" s="6"/>
      <c r="E3631" s="6"/>
      <c r="F3631" s="6"/>
      <c r="G3631" s="24" t="str">
        <f>IF(F3631="", "", VLOOKUP(F3631, Inventory!A:BZ, 3, FALSE) - SUMIF($F$1:$F3630, F3631, $H$1:$H3630))
</f>
        <v/>
      </c>
      <c r="I3631" s="26"/>
      <c r="J3631" s="26" t="s">
        <v>77</v>
      </c>
      <c r="L3631" s="27" t="s">
        <v>77</v>
      </c>
      <c r="N3631" s="28" t="s">
        <v>77</v>
      </c>
      <c r="Q3631" s="30"/>
    </row>
    <row r="3632">
      <c r="B3632" s="6"/>
      <c r="C3632" s="33" t="str">
        <f t="array" ref="C3632">IF(B3632="", "", XLOOKUP(B3632, Inventory!D:D,Inventory!E:E,"No Name Found"))</f>
        <v/>
      </c>
      <c r="D3632" s="6"/>
      <c r="E3632" s="6"/>
      <c r="F3632" s="6"/>
      <c r="G3632" s="24" t="str">
        <f>IF(F3632="", "", VLOOKUP(F3632, Inventory!A:BZ, 3, FALSE) - SUMIF($F$1:$F3631, F3632, $H$1:$H3631))
</f>
        <v/>
      </c>
      <c r="I3632" s="26"/>
      <c r="J3632" s="26" t="s">
        <v>77</v>
      </c>
      <c r="L3632" s="27" t="s">
        <v>77</v>
      </c>
      <c r="N3632" s="28" t="s">
        <v>77</v>
      </c>
      <c r="Q3632" s="30"/>
    </row>
    <row r="3633">
      <c r="B3633" s="6"/>
      <c r="C3633" s="33" t="str">
        <f t="array" ref="C3633">IF(B3633="", "", XLOOKUP(B3633, Inventory!D:D,Inventory!E:E,"No Name Found"))</f>
        <v/>
      </c>
      <c r="D3633" s="6"/>
      <c r="E3633" s="6"/>
      <c r="F3633" s="6"/>
      <c r="G3633" s="24" t="str">
        <f>IF(F3633="", "", VLOOKUP(F3633, Inventory!A:BZ, 3, FALSE) - SUMIF($F$1:$F3632, F3633, $H$1:$H3632))
</f>
        <v/>
      </c>
      <c r="I3633" s="26"/>
      <c r="J3633" s="26" t="s">
        <v>77</v>
      </c>
      <c r="L3633" s="27" t="s">
        <v>77</v>
      </c>
      <c r="N3633" s="28" t="s">
        <v>77</v>
      </c>
      <c r="Q3633" s="30"/>
    </row>
    <row r="3634">
      <c r="B3634" s="6"/>
      <c r="C3634" s="33" t="str">
        <f t="array" ref="C3634">IF(B3634="", "", XLOOKUP(B3634, Inventory!D:D,Inventory!E:E,"No Name Found"))</f>
        <v/>
      </c>
      <c r="D3634" s="6"/>
      <c r="E3634" s="6"/>
      <c r="F3634" s="6"/>
      <c r="G3634" s="24" t="str">
        <f>IF(F3634="", "", VLOOKUP(F3634, Inventory!A:BZ, 3, FALSE) - SUMIF($F$1:$F3633, F3634, $H$1:$H3633))
</f>
        <v/>
      </c>
      <c r="I3634" s="26"/>
      <c r="J3634" s="26" t="s">
        <v>77</v>
      </c>
      <c r="L3634" s="27" t="s">
        <v>77</v>
      </c>
      <c r="N3634" s="28" t="s">
        <v>77</v>
      </c>
      <c r="Q3634" s="30"/>
    </row>
    <row r="3635">
      <c r="B3635" s="6"/>
      <c r="C3635" s="33" t="str">
        <f t="array" ref="C3635">IF(B3635="", "", XLOOKUP(B3635, Inventory!D:D,Inventory!E:E,"No Name Found"))</f>
        <v/>
      </c>
      <c r="D3635" s="6"/>
      <c r="E3635" s="6"/>
      <c r="F3635" s="6"/>
      <c r="G3635" s="24" t="str">
        <f>IF(F3635="", "", VLOOKUP(F3635, Inventory!A:BZ, 3, FALSE) - SUMIF($F$1:$F3634, F3635, $H$1:$H3634))
</f>
        <v/>
      </c>
      <c r="I3635" s="26"/>
      <c r="J3635" s="26" t="s">
        <v>77</v>
      </c>
      <c r="L3635" s="27" t="s">
        <v>77</v>
      </c>
      <c r="N3635" s="28" t="s">
        <v>77</v>
      </c>
      <c r="Q3635" s="30"/>
    </row>
    <row r="3636">
      <c r="B3636" s="6"/>
      <c r="C3636" s="33" t="str">
        <f t="array" ref="C3636">IF(B3636="", "", XLOOKUP(B3636, Inventory!D:D,Inventory!E:E,"No Name Found"))</f>
        <v/>
      </c>
      <c r="D3636" s="6"/>
      <c r="E3636" s="6"/>
      <c r="F3636" s="6"/>
      <c r="G3636" s="24" t="str">
        <f>IF(F3636="", "", VLOOKUP(F3636, Inventory!A:BZ, 3, FALSE) - SUMIF($F$1:$F3635, F3636, $H$1:$H3635))
</f>
        <v/>
      </c>
      <c r="I3636" s="26"/>
      <c r="J3636" s="26" t="s">
        <v>77</v>
      </c>
      <c r="L3636" s="27" t="s">
        <v>77</v>
      </c>
      <c r="N3636" s="28" t="s">
        <v>77</v>
      </c>
      <c r="Q3636" s="30"/>
    </row>
    <row r="3637">
      <c r="B3637" s="6"/>
      <c r="C3637" s="33" t="str">
        <f t="array" ref="C3637">IF(B3637="", "", XLOOKUP(B3637, Inventory!D:D,Inventory!E:E,"No Name Found"))</f>
        <v/>
      </c>
      <c r="D3637" s="6"/>
      <c r="E3637" s="6"/>
      <c r="F3637" s="6"/>
      <c r="G3637" s="24" t="str">
        <f>IF(F3637="", "", VLOOKUP(F3637, Inventory!A:BZ, 3, FALSE) - SUMIF($F$1:$F3636, F3637, $H$1:$H3636))
</f>
        <v/>
      </c>
      <c r="I3637" s="26"/>
      <c r="J3637" s="26" t="s">
        <v>77</v>
      </c>
      <c r="L3637" s="27" t="s">
        <v>77</v>
      </c>
      <c r="N3637" s="28" t="s">
        <v>77</v>
      </c>
      <c r="Q3637" s="30"/>
    </row>
    <row r="3638">
      <c r="B3638" s="6"/>
      <c r="C3638" s="33" t="str">
        <f t="array" ref="C3638">IF(B3638="", "", XLOOKUP(B3638, Inventory!D:D,Inventory!E:E,"No Name Found"))</f>
        <v/>
      </c>
      <c r="D3638" s="6"/>
      <c r="E3638" s="6"/>
      <c r="F3638" s="6"/>
      <c r="G3638" s="24" t="str">
        <f>IF(F3638="", "", VLOOKUP(F3638, Inventory!A:BZ, 3, FALSE) - SUMIF($F$1:$F3637, F3638, $H$1:$H3637))
</f>
        <v/>
      </c>
      <c r="I3638" s="26"/>
      <c r="J3638" s="26" t="s">
        <v>77</v>
      </c>
      <c r="L3638" s="27" t="s">
        <v>77</v>
      </c>
      <c r="N3638" s="28" t="s">
        <v>77</v>
      </c>
      <c r="Q3638" s="30"/>
    </row>
    <row r="3639">
      <c r="B3639" s="6"/>
      <c r="C3639" s="33" t="str">
        <f t="array" ref="C3639">IF(B3639="", "", XLOOKUP(B3639, Inventory!D:D,Inventory!E:E,"No Name Found"))</f>
        <v/>
      </c>
      <c r="D3639" s="6"/>
      <c r="E3639" s="6"/>
      <c r="F3639" s="6"/>
      <c r="G3639" s="24" t="str">
        <f>IF(F3639="", "", VLOOKUP(F3639, Inventory!A:BZ, 3, FALSE) - SUMIF($F$1:$F3638, F3639, $H$1:$H3638))
</f>
        <v/>
      </c>
      <c r="I3639" s="26"/>
      <c r="J3639" s="26" t="s">
        <v>77</v>
      </c>
      <c r="L3639" s="27" t="s">
        <v>77</v>
      </c>
      <c r="N3639" s="28" t="s">
        <v>77</v>
      </c>
      <c r="Q3639" s="30"/>
    </row>
    <row r="3640">
      <c r="B3640" s="6"/>
      <c r="C3640" s="33" t="str">
        <f t="array" ref="C3640">IF(B3640="", "", XLOOKUP(B3640, Inventory!D:D,Inventory!E:E,"No Name Found"))</f>
        <v/>
      </c>
      <c r="D3640" s="6"/>
      <c r="E3640" s="6"/>
      <c r="F3640" s="6"/>
      <c r="G3640" s="24" t="str">
        <f>IF(F3640="", "", VLOOKUP(F3640, Inventory!A:BZ, 3, FALSE) - SUMIF($F$1:$F3639, F3640, $H$1:$H3639))
</f>
        <v/>
      </c>
      <c r="I3640" s="26"/>
      <c r="J3640" s="26" t="s">
        <v>77</v>
      </c>
      <c r="L3640" s="27" t="s">
        <v>77</v>
      </c>
      <c r="N3640" s="28" t="s">
        <v>77</v>
      </c>
      <c r="Q3640" s="30"/>
    </row>
    <row r="3641">
      <c r="B3641" s="6"/>
      <c r="C3641" s="33" t="str">
        <f t="array" ref="C3641">IF(B3641="", "", XLOOKUP(B3641, Inventory!D:D,Inventory!E:E,"No Name Found"))</f>
        <v/>
      </c>
      <c r="D3641" s="6"/>
      <c r="E3641" s="6"/>
      <c r="F3641" s="6"/>
      <c r="G3641" s="24" t="str">
        <f>IF(F3641="", "", VLOOKUP(F3641, Inventory!A:BZ, 3, FALSE) - SUMIF($F$1:$F3640, F3641, $H$1:$H3640))
</f>
        <v/>
      </c>
      <c r="I3641" s="26"/>
      <c r="J3641" s="26" t="s">
        <v>77</v>
      </c>
      <c r="L3641" s="27" t="s">
        <v>77</v>
      </c>
      <c r="N3641" s="28" t="s">
        <v>77</v>
      </c>
      <c r="Q3641" s="30"/>
    </row>
    <row r="3642">
      <c r="B3642" s="6"/>
      <c r="C3642" s="33" t="str">
        <f t="array" ref="C3642">IF(B3642="", "", XLOOKUP(B3642, Inventory!D:D,Inventory!E:E,"No Name Found"))</f>
        <v/>
      </c>
      <c r="D3642" s="6"/>
      <c r="E3642" s="6"/>
      <c r="F3642" s="6"/>
      <c r="G3642" s="24" t="str">
        <f>IF(F3642="", "", VLOOKUP(F3642, Inventory!A:BZ, 3, FALSE) - SUMIF($F$1:$F3641, F3642, $H$1:$H3641))
</f>
        <v/>
      </c>
      <c r="I3642" s="26"/>
      <c r="J3642" s="26" t="s">
        <v>77</v>
      </c>
      <c r="L3642" s="27" t="s">
        <v>77</v>
      </c>
      <c r="N3642" s="28" t="s">
        <v>77</v>
      </c>
      <c r="Q3642" s="30"/>
    </row>
    <row r="3643">
      <c r="B3643" s="6"/>
      <c r="C3643" s="33" t="str">
        <f t="array" ref="C3643">IF(B3643="", "", XLOOKUP(B3643, Inventory!D:D,Inventory!E:E,"No Name Found"))</f>
        <v/>
      </c>
      <c r="D3643" s="6"/>
      <c r="E3643" s="6"/>
      <c r="F3643" s="6"/>
      <c r="G3643" s="24" t="str">
        <f>IF(F3643="", "", VLOOKUP(F3643, Inventory!A:BZ, 3, FALSE) - SUMIF($F$1:$F3642, F3643, $H$1:$H3642))
</f>
        <v/>
      </c>
      <c r="I3643" s="26"/>
      <c r="J3643" s="26" t="s">
        <v>77</v>
      </c>
      <c r="L3643" s="27" t="s">
        <v>77</v>
      </c>
      <c r="N3643" s="28" t="s">
        <v>77</v>
      </c>
      <c r="Q3643" s="30"/>
    </row>
    <row r="3644">
      <c r="B3644" s="6"/>
      <c r="C3644" s="33" t="str">
        <f t="array" ref="C3644">IF(B3644="", "", XLOOKUP(B3644, Inventory!D:D,Inventory!E:E,"No Name Found"))</f>
        <v/>
      </c>
      <c r="D3644" s="6"/>
      <c r="E3644" s="6"/>
      <c r="F3644" s="6"/>
      <c r="G3644" s="24" t="str">
        <f>IF(F3644="", "", VLOOKUP(F3644, Inventory!A:BZ, 3, FALSE) - SUMIF($F$1:$F3643, F3644, $H$1:$H3643))
</f>
        <v/>
      </c>
      <c r="I3644" s="26"/>
      <c r="J3644" s="26" t="s">
        <v>77</v>
      </c>
      <c r="L3644" s="27" t="s">
        <v>77</v>
      </c>
      <c r="N3644" s="28" t="s">
        <v>77</v>
      </c>
      <c r="Q3644" s="30"/>
    </row>
    <row r="3645">
      <c r="B3645" s="6"/>
      <c r="C3645" s="33" t="str">
        <f t="array" ref="C3645">IF(B3645="", "", XLOOKUP(B3645, Inventory!D:D,Inventory!E:E,"No Name Found"))</f>
        <v/>
      </c>
      <c r="D3645" s="6"/>
      <c r="E3645" s="6"/>
      <c r="F3645" s="6"/>
      <c r="G3645" s="24" t="str">
        <f>IF(F3645="", "", VLOOKUP(F3645, Inventory!A:BZ, 3, FALSE) - SUMIF($F$1:$F3644, F3645, $H$1:$H3644))
</f>
        <v/>
      </c>
      <c r="I3645" s="26"/>
      <c r="J3645" s="26" t="s">
        <v>77</v>
      </c>
      <c r="L3645" s="27" t="s">
        <v>77</v>
      </c>
      <c r="N3645" s="28" t="s">
        <v>77</v>
      </c>
      <c r="Q3645" s="30"/>
    </row>
    <row r="3646">
      <c r="B3646" s="6"/>
      <c r="C3646" s="33" t="str">
        <f t="array" ref="C3646">IF(B3646="", "", XLOOKUP(B3646, Inventory!D:D,Inventory!E:E,"No Name Found"))</f>
        <v/>
      </c>
      <c r="D3646" s="6"/>
      <c r="E3646" s="6"/>
      <c r="F3646" s="6"/>
      <c r="G3646" s="24" t="str">
        <f>IF(F3646="", "", VLOOKUP(F3646, Inventory!A:BZ, 3, FALSE) - SUMIF($F$1:$F3645, F3646, $H$1:$H3645))
</f>
        <v/>
      </c>
      <c r="I3646" s="26"/>
      <c r="J3646" s="26" t="s">
        <v>77</v>
      </c>
      <c r="L3646" s="27" t="s">
        <v>77</v>
      </c>
      <c r="N3646" s="28" t="s">
        <v>77</v>
      </c>
      <c r="Q3646" s="30"/>
    </row>
    <row r="3647">
      <c r="B3647" s="6"/>
      <c r="C3647" s="33" t="str">
        <f t="array" ref="C3647">IF(B3647="", "", XLOOKUP(B3647, Inventory!D:D,Inventory!E:E,"No Name Found"))</f>
        <v/>
      </c>
      <c r="D3647" s="6"/>
      <c r="E3647" s="6"/>
      <c r="F3647" s="6"/>
      <c r="G3647" s="24" t="str">
        <f>IF(F3647="", "", VLOOKUP(F3647, Inventory!A:BZ, 3, FALSE) - SUMIF($F$1:$F3646, F3647, $H$1:$H3646))
</f>
        <v/>
      </c>
      <c r="I3647" s="26"/>
      <c r="J3647" s="26" t="s">
        <v>77</v>
      </c>
      <c r="L3647" s="27" t="s">
        <v>77</v>
      </c>
      <c r="N3647" s="28" t="s">
        <v>77</v>
      </c>
      <c r="Q3647" s="30"/>
    </row>
    <row r="3648">
      <c r="B3648" s="6"/>
      <c r="C3648" s="33" t="str">
        <f t="array" ref="C3648">IF(B3648="", "", XLOOKUP(B3648, Inventory!D:D,Inventory!E:E,"No Name Found"))</f>
        <v/>
      </c>
      <c r="D3648" s="6"/>
      <c r="E3648" s="6"/>
      <c r="F3648" s="6"/>
      <c r="G3648" s="24" t="str">
        <f>IF(F3648="", "", VLOOKUP(F3648, Inventory!A:BZ, 3, FALSE) - SUMIF($F$1:$F3647, F3648, $H$1:$H3647))
</f>
        <v/>
      </c>
      <c r="I3648" s="26"/>
      <c r="J3648" s="26" t="s">
        <v>77</v>
      </c>
      <c r="L3648" s="27" t="s">
        <v>77</v>
      </c>
      <c r="N3648" s="28" t="s">
        <v>77</v>
      </c>
      <c r="Q3648" s="30"/>
    </row>
    <row r="3649">
      <c r="B3649" s="6"/>
      <c r="C3649" s="33" t="str">
        <f t="array" ref="C3649">IF(B3649="", "", XLOOKUP(B3649, Inventory!D:D,Inventory!E:E,"No Name Found"))</f>
        <v/>
      </c>
      <c r="D3649" s="6"/>
      <c r="E3649" s="6"/>
      <c r="F3649" s="6"/>
      <c r="G3649" s="24" t="str">
        <f>IF(F3649="", "", VLOOKUP(F3649, Inventory!A:BZ, 3, FALSE) - SUMIF($F$1:$F3648, F3649, $H$1:$H3648))
</f>
        <v/>
      </c>
      <c r="I3649" s="26"/>
      <c r="J3649" s="26" t="s">
        <v>77</v>
      </c>
      <c r="L3649" s="27" t="s">
        <v>77</v>
      </c>
      <c r="N3649" s="28" t="s">
        <v>77</v>
      </c>
      <c r="Q3649" s="30"/>
    </row>
    <row r="3650">
      <c r="B3650" s="6"/>
      <c r="C3650" s="33" t="str">
        <f t="array" ref="C3650">IF(B3650="", "", XLOOKUP(B3650, Inventory!D:D,Inventory!E:E,"No Name Found"))</f>
        <v/>
      </c>
      <c r="D3650" s="6"/>
      <c r="E3650" s="6"/>
      <c r="F3650" s="6"/>
      <c r="G3650" s="24" t="str">
        <f>IF(F3650="", "", VLOOKUP(F3650, Inventory!A:BZ, 3, FALSE) - SUMIF($F$1:$F3649, F3650, $H$1:$H3649))
</f>
        <v/>
      </c>
      <c r="I3650" s="26"/>
      <c r="J3650" s="26" t="s">
        <v>77</v>
      </c>
      <c r="L3650" s="27" t="s">
        <v>77</v>
      </c>
      <c r="N3650" s="28" t="s">
        <v>77</v>
      </c>
      <c r="Q3650" s="30"/>
    </row>
    <row r="3651">
      <c r="B3651" s="6"/>
      <c r="C3651" s="33" t="str">
        <f t="array" ref="C3651">IF(B3651="", "", XLOOKUP(B3651, Inventory!D:D,Inventory!E:E,"No Name Found"))</f>
        <v/>
      </c>
      <c r="D3651" s="6"/>
      <c r="E3651" s="6"/>
      <c r="F3651" s="6"/>
      <c r="G3651" s="24" t="str">
        <f>IF(F3651="", "", VLOOKUP(F3651, Inventory!A:BZ, 3, FALSE) - SUMIF($F$1:$F3650, F3651, $H$1:$H3650))
</f>
        <v/>
      </c>
      <c r="I3651" s="26"/>
      <c r="J3651" s="26" t="s">
        <v>77</v>
      </c>
      <c r="L3651" s="27" t="s">
        <v>77</v>
      </c>
      <c r="N3651" s="28" t="s">
        <v>77</v>
      </c>
      <c r="Q3651" s="30"/>
    </row>
    <row r="3652">
      <c r="B3652" s="6"/>
      <c r="C3652" s="33" t="str">
        <f t="array" ref="C3652">IF(B3652="", "", XLOOKUP(B3652, Inventory!D:D,Inventory!E:E,"No Name Found"))</f>
        <v/>
      </c>
      <c r="D3652" s="6"/>
      <c r="E3652" s="6"/>
      <c r="F3652" s="6"/>
      <c r="G3652" s="24" t="str">
        <f>IF(F3652="", "", VLOOKUP(F3652, Inventory!A:BZ, 3, FALSE) - SUMIF($F$1:$F3651, F3652, $H$1:$H3651))
</f>
        <v/>
      </c>
      <c r="I3652" s="26"/>
      <c r="J3652" s="26" t="s">
        <v>77</v>
      </c>
      <c r="L3652" s="27" t="s">
        <v>77</v>
      </c>
      <c r="N3652" s="28" t="s">
        <v>77</v>
      </c>
      <c r="Q3652" s="30"/>
    </row>
    <row r="3653">
      <c r="B3653" s="6"/>
      <c r="C3653" s="33" t="str">
        <f t="array" ref="C3653">IF(B3653="", "", XLOOKUP(B3653, Inventory!D:D,Inventory!E:E,"No Name Found"))</f>
        <v/>
      </c>
      <c r="D3653" s="6"/>
      <c r="E3653" s="6"/>
      <c r="F3653" s="6"/>
      <c r="G3653" s="24" t="str">
        <f>IF(F3653="", "", VLOOKUP(F3653, Inventory!A:BZ, 3, FALSE) - SUMIF($F$1:$F3652, F3653, $H$1:$H3652))
</f>
        <v/>
      </c>
      <c r="I3653" s="26"/>
      <c r="J3653" s="26" t="s">
        <v>77</v>
      </c>
      <c r="L3653" s="27" t="s">
        <v>77</v>
      </c>
      <c r="N3653" s="28" t="s">
        <v>77</v>
      </c>
      <c r="Q3653" s="30"/>
    </row>
    <row r="3654">
      <c r="B3654" s="6"/>
      <c r="C3654" s="33" t="str">
        <f t="array" ref="C3654">IF(B3654="", "", XLOOKUP(B3654, Inventory!D:D,Inventory!E:E,"No Name Found"))</f>
        <v/>
      </c>
      <c r="D3654" s="6"/>
      <c r="E3654" s="6"/>
      <c r="F3654" s="6"/>
      <c r="G3654" s="24" t="str">
        <f>IF(F3654="", "", VLOOKUP(F3654, Inventory!A:BZ, 3, FALSE) - SUMIF($F$1:$F3653, F3654, $H$1:$H3653))
</f>
        <v/>
      </c>
      <c r="I3654" s="26"/>
      <c r="J3654" s="26" t="s">
        <v>77</v>
      </c>
      <c r="L3654" s="27" t="s">
        <v>77</v>
      </c>
      <c r="N3654" s="28" t="s">
        <v>77</v>
      </c>
      <c r="Q3654" s="30"/>
    </row>
    <row r="3655">
      <c r="B3655" s="6"/>
      <c r="C3655" s="33" t="str">
        <f t="array" ref="C3655">IF(B3655="", "", XLOOKUP(B3655, Inventory!D:D,Inventory!E:E,"No Name Found"))</f>
        <v/>
      </c>
      <c r="D3655" s="6"/>
      <c r="E3655" s="6"/>
      <c r="F3655" s="6"/>
      <c r="G3655" s="24" t="str">
        <f>IF(F3655="", "", VLOOKUP(F3655, Inventory!A:BZ, 3, FALSE) - SUMIF($F$1:$F3654, F3655, $H$1:$H3654))
</f>
        <v/>
      </c>
      <c r="I3655" s="26"/>
      <c r="J3655" s="26" t="s">
        <v>77</v>
      </c>
      <c r="L3655" s="27" t="s">
        <v>77</v>
      </c>
      <c r="N3655" s="28" t="s">
        <v>77</v>
      </c>
      <c r="Q3655" s="30"/>
    </row>
    <row r="3656">
      <c r="B3656" s="6"/>
      <c r="C3656" s="33" t="str">
        <f t="array" ref="C3656">IF(B3656="", "", XLOOKUP(B3656, Inventory!D:D,Inventory!E:E,"No Name Found"))</f>
        <v/>
      </c>
      <c r="D3656" s="6"/>
      <c r="E3656" s="6"/>
      <c r="F3656" s="6"/>
      <c r="G3656" s="24" t="str">
        <f>IF(F3656="", "", VLOOKUP(F3656, Inventory!A:BZ, 3, FALSE) - SUMIF($F$1:$F3655, F3656, $H$1:$H3655))
</f>
        <v/>
      </c>
      <c r="I3656" s="26"/>
      <c r="J3656" s="26" t="s">
        <v>77</v>
      </c>
      <c r="L3656" s="27" t="s">
        <v>77</v>
      </c>
      <c r="N3656" s="28" t="s">
        <v>77</v>
      </c>
      <c r="Q3656" s="30"/>
    </row>
    <row r="3657">
      <c r="B3657" s="6"/>
      <c r="C3657" s="33" t="str">
        <f t="array" ref="C3657">IF(B3657="", "", XLOOKUP(B3657, Inventory!D:D,Inventory!E:E,"No Name Found"))</f>
        <v/>
      </c>
      <c r="D3657" s="6"/>
      <c r="E3657" s="6"/>
      <c r="F3657" s="6"/>
      <c r="G3657" s="24" t="str">
        <f>IF(F3657="", "", VLOOKUP(F3657, Inventory!A:BZ, 3, FALSE) - SUMIF($F$1:$F3656, F3657, $H$1:$H3656))
</f>
        <v/>
      </c>
      <c r="I3657" s="26"/>
      <c r="J3657" s="26" t="s">
        <v>77</v>
      </c>
      <c r="L3657" s="27" t="s">
        <v>77</v>
      </c>
      <c r="N3657" s="28" t="s">
        <v>77</v>
      </c>
      <c r="Q3657" s="30"/>
    </row>
    <row r="3658">
      <c r="B3658" s="6"/>
      <c r="C3658" s="33" t="str">
        <f t="array" ref="C3658">IF(B3658="", "", XLOOKUP(B3658, Inventory!D:D,Inventory!E:E,"No Name Found"))</f>
        <v/>
      </c>
      <c r="D3658" s="6"/>
      <c r="E3658" s="6"/>
      <c r="F3658" s="6"/>
      <c r="G3658" s="24" t="str">
        <f>IF(F3658="", "", VLOOKUP(F3658, Inventory!A:BZ, 3, FALSE) - SUMIF($F$1:$F3657, F3658, $H$1:$H3657))
</f>
        <v/>
      </c>
      <c r="I3658" s="26"/>
      <c r="J3658" s="26" t="s">
        <v>77</v>
      </c>
      <c r="L3658" s="27" t="s">
        <v>77</v>
      </c>
      <c r="N3658" s="28" t="s">
        <v>77</v>
      </c>
      <c r="Q3658" s="30"/>
    </row>
    <row r="3659">
      <c r="B3659" s="6"/>
      <c r="C3659" s="33" t="str">
        <f t="array" ref="C3659">IF(B3659="", "", XLOOKUP(B3659, Inventory!D:D,Inventory!E:E,"No Name Found"))</f>
        <v/>
      </c>
      <c r="D3659" s="6"/>
      <c r="E3659" s="6"/>
      <c r="F3659" s="6"/>
      <c r="G3659" s="24" t="str">
        <f>IF(F3659="", "", VLOOKUP(F3659, Inventory!A:BZ, 3, FALSE) - SUMIF($F$1:$F3658, F3659, $H$1:$H3658))
</f>
        <v/>
      </c>
      <c r="I3659" s="26"/>
      <c r="J3659" s="26" t="s">
        <v>77</v>
      </c>
      <c r="L3659" s="27" t="s">
        <v>77</v>
      </c>
      <c r="N3659" s="28" t="s">
        <v>77</v>
      </c>
      <c r="Q3659" s="30"/>
    </row>
    <row r="3660">
      <c r="B3660" s="6"/>
      <c r="C3660" s="33" t="str">
        <f t="array" ref="C3660">IF(B3660="", "", XLOOKUP(B3660, Inventory!D:D,Inventory!E:E,"No Name Found"))</f>
        <v/>
      </c>
      <c r="D3660" s="6"/>
      <c r="E3660" s="6"/>
      <c r="F3660" s="6"/>
      <c r="G3660" s="24" t="str">
        <f>IF(F3660="", "", VLOOKUP(F3660, Inventory!A:BZ, 3, FALSE) - SUMIF($F$1:$F3659, F3660, $H$1:$H3659))
</f>
        <v/>
      </c>
      <c r="I3660" s="26"/>
      <c r="J3660" s="26" t="s">
        <v>77</v>
      </c>
      <c r="L3660" s="27" t="s">
        <v>77</v>
      </c>
      <c r="N3660" s="28" t="s">
        <v>77</v>
      </c>
      <c r="Q3660" s="30"/>
    </row>
    <row r="3661">
      <c r="B3661" s="6"/>
      <c r="C3661" s="33" t="str">
        <f t="array" ref="C3661">IF(B3661="", "", XLOOKUP(B3661, Inventory!D:D,Inventory!E:E,"No Name Found"))</f>
        <v/>
      </c>
      <c r="D3661" s="6"/>
      <c r="E3661" s="6"/>
      <c r="F3661" s="6"/>
      <c r="G3661" s="24" t="str">
        <f>IF(F3661="", "", VLOOKUP(F3661, Inventory!A:BZ, 3, FALSE) - SUMIF($F$1:$F3660, F3661, $H$1:$H3660))
</f>
        <v/>
      </c>
      <c r="I3661" s="26"/>
      <c r="J3661" s="26" t="s">
        <v>77</v>
      </c>
      <c r="L3661" s="27" t="s">
        <v>77</v>
      </c>
      <c r="N3661" s="28" t="s">
        <v>77</v>
      </c>
      <c r="Q3661" s="30"/>
    </row>
    <row r="3662">
      <c r="B3662" s="6"/>
      <c r="C3662" s="33" t="str">
        <f t="array" ref="C3662">IF(B3662="", "", XLOOKUP(B3662, Inventory!D:D,Inventory!E:E,"No Name Found"))</f>
        <v/>
      </c>
      <c r="D3662" s="6"/>
      <c r="E3662" s="6"/>
      <c r="F3662" s="6"/>
      <c r="G3662" s="24" t="str">
        <f>IF(F3662="", "", VLOOKUP(F3662, Inventory!A:BZ, 3, FALSE) - SUMIF($F$1:$F3661, F3662, $H$1:$H3661))
</f>
        <v/>
      </c>
      <c r="I3662" s="26"/>
      <c r="J3662" s="26" t="s">
        <v>77</v>
      </c>
      <c r="L3662" s="27" t="s">
        <v>77</v>
      </c>
      <c r="N3662" s="28" t="s">
        <v>77</v>
      </c>
      <c r="Q3662" s="30"/>
    </row>
    <row r="3663">
      <c r="B3663" s="6"/>
      <c r="C3663" s="33" t="str">
        <f t="array" ref="C3663">IF(B3663="", "", XLOOKUP(B3663, Inventory!D:D,Inventory!E:E,"No Name Found"))</f>
        <v/>
      </c>
      <c r="D3663" s="6"/>
      <c r="E3663" s="6"/>
      <c r="F3663" s="6"/>
      <c r="G3663" s="24" t="str">
        <f>IF(F3663="", "", VLOOKUP(F3663, Inventory!A:BZ, 3, FALSE) - SUMIF($F$1:$F3662, F3663, $H$1:$H3662))
</f>
        <v/>
      </c>
      <c r="I3663" s="26"/>
      <c r="J3663" s="26" t="s">
        <v>77</v>
      </c>
      <c r="L3663" s="27" t="s">
        <v>77</v>
      </c>
      <c r="N3663" s="28" t="s">
        <v>77</v>
      </c>
      <c r="Q3663" s="30"/>
    </row>
    <row r="3664">
      <c r="B3664" s="6"/>
      <c r="C3664" s="33" t="str">
        <f t="array" ref="C3664">IF(B3664="", "", XLOOKUP(B3664, Inventory!D:D,Inventory!E:E,"No Name Found"))</f>
        <v/>
      </c>
      <c r="D3664" s="6"/>
      <c r="E3664" s="6"/>
      <c r="F3664" s="6"/>
      <c r="G3664" s="24" t="str">
        <f>IF(F3664="", "", VLOOKUP(F3664, Inventory!A:BZ, 3, FALSE) - SUMIF($F$1:$F3663, F3664, $H$1:$H3663))
</f>
        <v/>
      </c>
      <c r="I3664" s="26"/>
      <c r="J3664" s="26" t="s">
        <v>77</v>
      </c>
      <c r="L3664" s="27" t="s">
        <v>77</v>
      </c>
      <c r="N3664" s="28" t="s">
        <v>77</v>
      </c>
      <c r="Q3664" s="30"/>
    </row>
    <row r="3665">
      <c r="B3665" s="6"/>
      <c r="C3665" s="33" t="str">
        <f t="array" ref="C3665">IF(B3665="", "", XLOOKUP(B3665, Inventory!D:D,Inventory!E:E,"No Name Found"))</f>
        <v/>
      </c>
      <c r="D3665" s="6"/>
      <c r="E3665" s="6"/>
      <c r="F3665" s="6"/>
      <c r="G3665" s="24" t="str">
        <f>IF(F3665="", "", VLOOKUP(F3665, Inventory!A:BZ, 3, FALSE) - SUMIF($F$1:$F3664, F3665, $H$1:$H3664))
</f>
        <v/>
      </c>
      <c r="I3665" s="26"/>
      <c r="J3665" s="26" t="s">
        <v>77</v>
      </c>
      <c r="L3665" s="27" t="s">
        <v>77</v>
      </c>
      <c r="N3665" s="28" t="s">
        <v>77</v>
      </c>
      <c r="Q3665" s="30"/>
    </row>
    <row r="3666">
      <c r="B3666" s="6"/>
      <c r="C3666" s="33" t="str">
        <f t="array" ref="C3666">IF(B3666="", "", XLOOKUP(B3666, Inventory!D:D,Inventory!E:E,"No Name Found"))</f>
        <v/>
      </c>
      <c r="D3666" s="6"/>
      <c r="E3666" s="6"/>
      <c r="F3666" s="6"/>
      <c r="G3666" s="24" t="str">
        <f>IF(F3666="", "", VLOOKUP(F3666, Inventory!A:BZ, 3, FALSE) - SUMIF($F$1:$F3665, F3666, $H$1:$H3665))
</f>
        <v/>
      </c>
      <c r="I3666" s="26"/>
      <c r="J3666" s="26" t="s">
        <v>77</v>
      </c>
      <c r="L3666" s="27" t="s">
        <v>77</v>
      </c>
      <c r="N3666" s="28" t="s">
        <v>77</v>
      </c>
      <c r="Q3666" s="30"/>
    </row>
    <row r="3667">
      <c r="B3667" s="6"/>
      <c r="C3667" s="33" t="str">
        <f t="array" ref="C3667">IF(B3667="", "", XLOOKUP(B3667, Inventory!D:D,Inventory!E:E,"No Name Found"))</f>
        <v/>
      </c>
      <c r="D3667" s="6"/>
      <c r="E3667" s="6"/>
      <c r="F3667" s="6"/>
      <c r="G3667" s="24" t="str">
        <f>IF(F3667="", "", VLOOKUP(F3667, Inventory!A:BZ, 3, FALSE) - SUMIF($F$1:$F3666, F3667, $H$1:$H3666))
</f>
        <v/>
      </c>
      <c r="I3667" s="26"/>
      <c r="J3667" s="26" t="s">
        <v>77</v>
      </c>
      <c r="L3667" s="27" t="s">
        <v>77</v>
      </c>
      <c r="N3667" s="28" t="s">
        <v>77</v>
      </c>
      <c r="Q3667" s="30"/>
    </row>
    <row r="3668">
      <c r="B3668" s="6"/>
      <c r="C3668" s="33" t="str">
        <f t="array" ref="C3668">IF(B3668="", "", XLOOKUP(B3668, Inventory!D:D,Inventory!E:E,"No Name Found"))</f>
        <v/>
      </c>
      <c r="D3668" s="6"/>
      <c r="E3668" s="6"/>
      <c r="F3668" s="6"/>
      <c r="G3668" s="24" t="str">
        <f>IF(F3668="", "", VLOOKUP(F3668, Inventory!A:BZ, 3, FALSE) - SUMIF($F$1:$F3667, F3668, $H$1:$H3667))
</f>
        <v/>
      </c>
      <c r="I3668" s="26"/>
      <c r="J3668" s="26" t="s">
        <v>77</v>
      </c>
      <c r="L3668" s="27" t="s">
        <v>77</v>
      </c>
      <c r="N3668" s="28" t="s">
        <v>77</v>
      </c>
      <c r="Q3668" s="30"/>
    </row>
    <row r="3669">
      <c r="B3669" s="6"/>
      <c r="C3669" s="33" t="str">
        <f t="array" ref="C3669">IF(B3669="", "", XLOOKUP(B3669, Inventory!D:D,Inventory!E:E,"No Name Found"))</f>
        <v/>
      </c>
      <c r="D3669" s="6"/>
      <c r="E3669" s="6"/>
      <c r="F3669" s="6"/>
      <c r="G3669" s="24" t="str">
        <f>IF(F3669="", "", VLOOKUP(F3669, Inventory!A:BZ, 3, FALSE) - SUMIF($F$1:$F3668, F3669, $H$1:$H3668))
</f>
        <v/>
      </c>
      <c r="I3669" s="26"/>
      <c r="J3669" s="26" t="s">
        <v>77</v>
      </c>
      <c r="L3669" s="27" t="s">
        <v>77</v>
      </c>
      <c r="N3669" s="28" t="s">
        <v>77</v>
      </c>
      <c r="Q3669" s="30"/>
    </row>
    <row r="3670">
      <c r="B3670" s="6"/>
      <c r="C3670" s="33" t="str">
        <f t="array" ref="C3670">IF(B3670="", "", XLOOKUP(B3670, Inventory!D:D,Inventory!E:E,"No Name Found"))</f>
        <v/>
      </c>
      <c r="D3670" s="6"/>
      <c r="E3670" s="6"/>
      <c r="F3670" s="6"/>
      <c r="G3670" s="24" t="str">
        <f>IF(F3670="", "", VLOOKUP(F3670, Inventory!A:BZ, 3, FALSE) - SUMIF($F$1:$F3669, F3670, $H$1:$H3669))
</f>
        <v/>
      </c>
      <c r="I3670" s="26"/>
      <c r="J3670" s="26" t="s">
        <v>77</v>
      </c>
      <c r="L3670" s="27" t="s">
        <v>77</v>
      </c>
      <c r="N3670" s="28" t="s">
        <v>77</v>
      </c>
      <c r="Q3670" s="30"/>
    </row>
    <row r="3671">
      <c r="B3671" s="6"/>
      <c r="C3671" s="33" t="str">
        <f t="array" ref="C3671">IF(B3671="", "", XLOOKUP(B3671, Inventory!D:D,Inventory!E:E,"No Name Found"))</f>
        <v/>
      </c>
      <c r="D3671" s="6"/>
      <c r="E3671" s="6"/>
      <c r="F3671" s="6"/>
      <c r="G3671" s="24" t="str">
        <f>IF(F3671="", "", VLOOKUP(F3671, Inventory!A:BZ, 3, FALSE) - SUMIF($F$1:$F3670, F3671, $H$1:$H3670))
</f>
        <v/>
      </c>
      <c r="I3671" s="26"/>
      <c r="J3671" s="26" t="s">
        <v>77</v>
      </c>
      <c r="L3671" s="27" t="s">
        <v>77</v>
      </c>
      <c r="N3671" s="28" t="s">
        <v>77</v>
      </c>
      <c r="Q3671" s="30"/>
    </row>
    <row r="3672">
      <c r="B3672" s="6"/>
      <c r="C3672" s="33" t="str">
        <f t="array" ref="C3672">IF(B3672="", "", XLOOKUP(B3672, Inventory!D:D,Inventory!E:E,"No Name Found"))</f>
        <v/>
      </c>
      <c r="D3672" s="6"/>
      <c r="E3672" s="6"/>
      <c r="F3672" s="6"/>
      <c r="G3672" s="24" t="str">
        <f>IF(F3672="", "", VLOOKUP(F3672, Inventory!A:BZ, 3, FALSE) - SUMIF($F$1:$F3671, F3672, $H$1:$H3671))
</f>
        <v/>
      </c>
      <c r="I3672" s="26"/>
      <c r="J3672" s="26" t="s">
        <v>77</v>
      </c>
      <c r="L3672" s="27" t="s">
        <v>77</v>
      </c>
      <c r="N3672" s="28" t="s">
        <v>77</v>
      </c>
      <c r="Q3672" s="30"/>
    </row>
    <row r="3673">
      <c r="B3673" s="6"/>
      <c r="C3673" s="33" t="str">
        <f t="array" ref="C3673">IF(B3673="", "", XLOOKUP(B3673, Inventory!D:D,Inventory!E:E,"No Name Found"))</f>
        <v/>
      </c>
      <c r="D3673" s="6"/>
      <c r="E3673" s="6"/>
      <c r="F3673" s="6"/>
      <c r="G3673" s="24" t="str">
        <f>IF(F3673="", "", VLOOKUP(F3673, Inventory!A:BZ, 3, FALSE) - SUMIF($F$1:$F3672, F3673, $H$1:$H3672))
</f>
        <v/>
      </c>
      <c r="I3673" s="26"/>
      <c r="J3673" s="26" t="s">
        <v>77</v>
      </c>
      <c r="L3673" s="27" t="s">
        <v>77</v>
      </c>
      <c r="N3673" s="28" t="s">
        <v>77</v>
      </c>
      <c r="Q3673" s="30"/>
    </row>
    <row r="3674">
      <c r="B3674" s="6"/>
      <c r="C3674" s="33" t="str">
        <f t="array" ref="C3674">IF(B3674="", "", XLOOKUP(B3674, Inventory!D:D,Inventory!E:E,"No Name Found"))</f>
        <v/>
      </c>
      <c r="D3674" s="6"/>
      <c r="E3674" s="6"/>
      <c r="F3674" s="6"/>
      <c r="G3674" s="24" t="str">
        <f>IF(F3674="", "", VLOOKUP(F3674, Inventory!A:BZ, 3, FALSE) - SUMIF($F$1:$F3673, F3674, $H$1:$H3673))
</f>
        <v/>
      </c>
      <c r="I3674" s="26"/>
      <c r="J3674" s="26" t="s">
        <v>77</v>
      </c>
      <c r="L3674" s="27" t="s">
        <v>77</v>
      </c>
      <c r="N3674" s="28" t="s">
        <v>77</v>
      </c>
      <c r="Q3674" s="30"/>
    </row>
    <row r="3675">
      <c r="B3675" s="6"/>
      <c r="C3675" s="33" t="str">
        <f t="array" ref="C3675">IF(B3675="", "", XLOOKUP(B3675, Inventory!D:D,Inventory!E:E,"No Name Found"))</f>
        <v/>
      </c>
      <c r="D3675" s="6"/>
      <c r="E3675" s="6"/>
      <c r="F3675" s="6"/>
      <c r="G3675" s="24" t="str">
        <f>IF(F3675="", "", VLOOKUP(F3675, Inventory!A:BZ, 3, FALSE) - SUMIF($F$1:$F3674, F3675, $H$1:$H3674))
</f>
        <v/>
      </c>
      <c r="I3675" s="26"/>
      <c r="J3675" s="26" t="s">
        <v>77</v>
      </c>
      <c r="L3675" s="27" t="s">
        <v>77</v>
      </c>
      <c r="N3675" s="28" t="s">
        <v>77</v>
      </c>
      <c r="Q3675" s="30"/>
    </row>
    <row r="3676">
      <c r="B3676" s="6"/>
      <c r="C3676" s="33" t="str">
        <f t="array" ref="C3676">IF(B3676="", "", XLOOKUP(B3676, Inventory!D:D,Inventory!E:E,"No Name Found"))</f>
        <v/>
      </c>
      <c r="D3676" s="6"/>
      <c r="E3676" s="6"/>
      <c r="F3676" s="6"/>
      <c r="G3676" s="24" t="str">
        <f>IF(F3676="", "", VLOOKUP(F3676, Inventory!A:BZ, 3, FALSE) - SUMIF($F$1:$F3675, F3676, $H$1:$H3675))
</f>
        <v/>
      </c>
      <c r="I3676" s="26"/>
      <c r="J3676" s="26" t="s">
        <v>77</v>
      </c>
      <c r="L3676" s="27" t="s">
        <v>77</v>
      </c>
      <c r="N3676" s="28" t="s">
        <v>77</v>
      </c>
      <c r="Q3676" s="30"/>
    </row>
    <row r="3677">
      <c r="B3677" s="6"/>
      <c r="C3677" s="33" t="str">
        <f t="array" ref="C3677">IF(B3677="", "", XLOOKUP(B3677, Inventory!D:D,Inventory!E:E,"No Name Found"))</f>
        <v/>
      </c>
      <c r="D3677" s="6"/>
      <c r="E3677" s="6"/>
      <c r="F3677" s="6"/>
      <c r="G3677" s="24" t="str">
        <f>IF(F3677="", "", VLOOKUP(F3677, Inventory!A:BZ, 3, FALSE) - SUMIF($F$1:$F3676, F3677, $H$1:$H3676))
</f>
        <v/>
      </c>
      <c r="I3677" s="26"/>
      <c r="J3677" s="26" t="s">
        <v>77</v>
      </c>
      <c r="L3677" s="27" t="s">
        <v>77</v>
      </c>
      <c r="N3677" s="28" t="s">
        <v>77</v>
      </c>
      <c r="Q3677" s="30"/>
    </row>
    <row r="3678">
      <c r="B3678" s="6"/>
      <c r="C3678" s="33" t="str">
        <f t="array" ref="C3678">IF(B3678="", "", XLOOKUP(B3678, Inventory!D:D,Inventory!E:E,"No Name Found"))</f>
        <v/>
      </c>
      <c r="D3678" s="6"/>
      <c r="E3678" s="6"/>
      <c r="F3678" s="6"/>
      <c r="G3678" s="24" t="str">
        <f>IF(F3678="", "", VLOOKUP(F3678, Inventory!A:BZ, 3, FALSE) - SUMIF($F$1:$F3677, F3678, $H$1:$H3677))
</f>
        <v/>
      </c>
      <c r="I3678" s="26"/>
      <c r="J3678" s="26" t="s">
        <v>77</v>
      </c>
      <c r="L3678" s="27" t="s">
        <v>77</v>
      </c>
      <c r="N3678" s="28" t="s">
        <v>77</v>
      </c>
      <c r="Q3678" s="30"/>
    </row>
    <row r="3679">
      <c r="B3679" s="6"/>
      <c r="C3679" s="33" t="str">
        <f t="array" ref="C3679">IF(B3679="", "", XLOOKUP(B3679, Inventory!D:D,Inventory!E:E,"No Name Found"))</f>
        <v/>
      </c>
      <c r="D3679" s="6"/>
      <c r="E3679" s="6"/>
      <c r="F3679" s="6"/>
      <c r="G3679" s="24" t="str">
        <f>IF(F3679="", "", VLOOKUP(F3679, Inventory!A:BZ, 3, FALSE) - SUMIF($F$1:$F3678, F3679, $H$1:$H3678))
</f>
        <v/>
      </c>
      <c r="I3679" s="26"/>
      <c r="J3679" s="26" t="s">
        <v>77</v>
      </c>
      <c r="L3679" s="27" t="s">
        <v>77</v>
      </c>
      <c r="N3679" s="28" t="s">
        <v>77</v>
      </c>
      <c r="Q3679" s="30"/>
    </row>
    <row r="3680">
      <c r="B3680" s="6"/>
      <c r="C3680" s="33" t="str">
        <f t="array" ref="C3680">IF(B3680="", "", XLOOKUP(B3680, Inventory!D:D,Inventory!E:E,"No Name Found"))</f>
        <v/>
      </c>
      <c r="D3680" s="6"/>
      <c r="E3680" s="6"/>
      <c r="F3680" s="6"/>
      <c r="G3680" s="24" t="str">
        <f>IF(F3680="", "", VLOOKUP(F3680, Inventory!A:BZ, 3, FALSE) - SUMIF($F$1:$F3679, F3680, $H$1:$H3679))
</f>
        <v/>
      </c>
      <c r="I3680" s="26"/>
      <c r="J3680" s="26" t="s">
        <v>77</v>
      </c>
      <c r="L3680" s="27" t="s">
        <v>77</v>
      </c>
      <c r="N3680" s="28" t="s">
        <v>77</v>
      </c>
      <c r="Q3680" s="30"/>
    </row>
    <row r="3681">
      <c r="B3681" s="6"/>
      <c r="C3681" s="33" t="str">
        <f t="array" ref="C3681">IF(B3681="", "", XLOOKUP(B3681, Inventory!D:D,Inventory!E:E,"No Name Found"))</f>
        <v/>
      </c>
      <c r="D3681" s="6"/>
      <c r="E3681" s="6"/>
      <c r="F3681" s="6"/>
      <c r="G3681" s="24" t="str">
        <f>IF(F3681="", "", VLOOKUP(F3681, Inventory!A:BZ, 3, FALSE) - SUMIF($F$1:$F3680, F3681, $H$1:$H3680))
</f>
        <v/>
      </c>
      <c r="I3681" s="26"/>
      <c r="J3681" s="26" t="s">
        <v>77</v>
      </c>
      <c r="L3681" s="27" t="s">
        <v>77</v>
      </c>
      <c r="N3681" s="28" t="s">
        <v>77</v>
      </c>
      <c r="Q3681" s="30"/>
    </row>
    <row r="3682">
      <c r="B3682" s="6"/>
      <c r="C3682" s="33" t="str">
        <f t="array" ref="C3682">IF(B3682="", "", XLOOKUP(B3682, Inventory!D:D,Inventory!E:E,"No Name Found"))</f>
        <v/>
      </c>
      <c r="D3682" s="6"/>
      <c r="E3682" s="6"/>
      <c r="F3682" s="6"/>
      <c r="G3682" s="24" t="str">
        <f>IF(F3682="", "", VLOOKUP(F3682, Inventory!A:BZ, 3, FALSE) - SUMIF($F$1:$F3681, F3682, $H$1:$H3681))
</f>
        <v/>
      </c>
      <c r="I3682" s="26"/>
      <c r="J3682" s="26" t="s">
        <v>77</v>
      </c>
      <c r="L3682" s="27" t="s">
        <v>77</v>
      </c>
      <c r="N3682" s="28" t="s">
        <v>77</v>
      </c>
      <c r="Q3682" s="30"/>
    </row>
    <row r="3683">
      <c r="B3683" s="6"/>
      <c r="C3683" s="33" t="str">
        <f t="array" ref="C3683">IF(B3683="", "", XLOOKUP(B3683, Inventory!D:D,Inventory!E:E,"No Name Found"))</f>
        <v/>
      </c>
      <c r="D3683" s="6"/>
      <c r="E3683" s="6"/>
      <c r="F3683" s="6"/>
      <c r="G3683" s="24" t="str">
        <f>IF(F3683="", "", VLOOKUP(F3683, Inventory!A:BZ, 3, FALSE) - SUMIF($F$1:$F3682, F3683, $H$1:$H3682))
</f>
        <v/>
      </c>
      <c r="I3683" s="26"/>
      <c r="J3683" s="26" t="s">
        <v>77</v>
      </c>
      <c r="L3683" s="27" t="s">
        <v>77</v>
      </c>
      <c r="N3683" s="28" t="s">
        <v>77</v>
      </c>
      <c r="Q3683" s="30"/>
    </row>
    <row r="3684">
      <c r="B3684" s="6"/>
      <c r="C3684" s="33" t="str">
        <f t="array" ref="C3684">IF(B3684="", "", XLOOKUP(B3684, Inventory!D:D,Inventory!E:E,"No Name Found"))</f>
        <v/>
      </c>
      <c r="D3684" s="6"/>
      <c r="E3684" s="6"/>
      <c r="F3684" s="6"/>
      <c r="G3684" s="24" t="str">
        <f>IF(F3684="", "", VLOOKUP(F3684, Inventory!A:BZ, 3, FALSE) - SUMIF($F$1:$F3683, F3684, $H$1:$H3683))
</f>
        <v/>
      </c>
      <c r="I3684" s="26"/>
      <c r="J3684" s="26" t="s">
        <v>77</v>
      </c>
      <c r="L3684" s="27" t="s">
        <v>77</v>
      </c>
      <c r="N3684" s="28" t="s">
        <v>77</v>
      </c>
      <c r="Q3684" s="30"/>
    </row>
    <row r="3685">
      <c r="B3685" s="6"/>
      <c r="C3685" s="33" t="str">
        <f t="array" ref="C3685">IF(B3685="", "", XLOOKUP(B3685, Inventory!D:D,Inventory!E:E,"No Name Found"))</f>
        <v/>
      </c>
      <c r="D3685" s="6"/>
      <c r="E3685" s="6"/>
      <c r="F3685" s="6"/>
      <c r="G3685" s="24" t="str">
        <f>IF(F3685="", "", VLOOKUP(F3685, Inventory!A:BZ, 3, FALSE) - SUMIF($F$1:$F3684, F3685, $H$1:$H3684))
</f>
        <v/>
      </c>
      <c r="I3685" s="26"/>
      <c r="J3685" s="26" t="s">
        <v>77</v>
      </c>
      <c r="L3685" s="27" t="s">
        <v>77</v>
      </c>
      <c r="N3685" s="28" t="s">
        <v>77</v>
      </c>
      <c r="Q3685" s="30"/>
    </row>
    <row r="3686">
      <c r="B3686" s="6"/>
      <c r="C3686" s="33" t="str">
        <f t="array" ref="C3686">IF(B3686="", "", XLOOKUP(B3686, Inventory!D:D,Inventory!E:E,"No Name Found"))</f>
        <v/>
      </c>
      <c r="D3686" s="6"/>
      <c r="E3686" s="6"/>
      <c r="F3686" s="6"/>
      <c r="G3686" s="24" t="str">
        <f>IF(F3686="", "", VLOOKUP(F3686, Inventory!A:BZ, 3, FALSE) - SUMIF($F$1:$F3685, F3686, $H$1:$H3685))
</f>
        <v/>
      </c>
      <c r="I3686" s="26"/>
      <c r="J3686" s="26" t="s">
        <v>77</v>
      </c>
      <c r="L3686" s="27" t="s">
        <v>77</v>
      </c>
      <c r="N3686" s="28" t="s">
        <v>77</v>
      </c>
      <c r="Q3686" s="30"/>
    </row>
    <row r="3687">
      <c r="B3687" s="6"/>
      <c r="C3687" s="33" t="str">
        <f t="array" ref="C3687">IF(B3687="", "", XLOOKUP(B3687, Inventory!D:D,Inventory!E:E,"No Name Found"))</f>
        <v/>
      </c>
      <c r="D3687" s="6"/>
      <c r="E3687" s="6"/>
      <c r="F3687" s="6"/>
      <c r="G3687" s="24" t="str">
        <f>IF(F3687="", "", VLOOKUP(F3687, Inventory!A:BZ, 3, FALSE) - SUMIF($F$1:$F3686, F3687, $H$1:$H3686))
</f>
        <v/>
      </c>
      <c r="I3687" s="26"/>
      <c r="J3687" s="26" t="s">
        <v>77</v>
      </c>
      <c r="L3687" s="27" t="s">
        <v>77</v>
      </c>
      <c r="N3687" s="28" t="s">
        <v>77</v>
      </c>
      <c r="Q3687" s="30"/>
    </row>
    <row r="3688">
      <c r="B3688" s="6"/>
      <c r="C3688" s="33" t="str">
        <f t="array" ref="C3688">IF(B3688="", "", XLOOKUP(B3688, Inventory!D:D,Inventory!E:E,"No Name Found"))</f>
        <v/>
      </c>
      <c r="D3688" s="6"/>
      <c r="E3688" s="6"/>
      <c r="F3688" s="6"/>
      <c r="G3688" s="24" t="str">
        <f>IF(F3688="", "", VLOOKUP(F3688, Inventory!A:BZ, 3, FALSE) - SUMIF($F$1:$F3687, F3688, $H$1:$H3687))
</f>
        <v/>
      </c>
      <c r="I3688" s="26"/>
      <c r="J3688" s="26" t="s">
        <v>77</v>
      </c>
      <c r="L3688" s="27" t="s">
        <v>77</v>
      </c>
      <c r="N3688" s="28" t="s">
        <v>77</v>
      </c>
      <c r="Q3688" s="30"/>
    </row>
    <row r="3689">
      <c r="B3689" s="6"/>
      <c r="C3689" s="33" t="str">
        <f t="array" ref="C3689">IF(B3689="", "", XLOOKUP(B3689, Inventory!D:D,Inventory!E:E,"No Name Found"))</f>
        <v/>
      </c>
      <c r="D3689" s="6"/>
      <c r="E3689" s="6"/>
      <c r="F3689" s="6"/>
      <c r="G3689" s="24" t="str">
        <f>IF(F3689="", "", VLOOKUP(F3689, Inventory!A:BZ, 3, FALSE) - SUMIF($F$1:$F3688, F3689, $H$1:$H3688))
</f>
        <v/>
      </c>
      <c r="I3689" s="26"/>
      <c r="J3689" s="26" t="s">
        <v>77</v>
      </c>
      <c r="L3689" s="27" t="s">
        <v>77</v>
      </c>
      <c r="N3689" s="28" t="s">
        <v>77</v>
      </c>
      <c r="Q3689" s="30"/>
    </row>
    <row r="3690">
      <c r="B3690" s="6"/>
      <c r="C3690" s="33" t="str">
        <f t="array" ref="C3690">IF(B3690="", "", XLOOKUP(B3690, Inventory!D:D,Inventory!E:E,"No Name Found"))</f>
        <v/>
      </c>
      <c r="D3690" s="6"/>
      <c r="E3690" s="6"/>
      <c r="F3690" s="6"/>
      <c r="G3690" s="24" t="str">
        <f>IF(F3690="", "", VLOOKUP(F3690, Inventory!A:BZ, 3, FALSE) - SUMIF($F$1:$F3689, F3690, $H$1:$H3689))
</f>
        <v/>
      </c>
      <c r="I3690" s="26"/>
      <c r="J3690" s="26" t="s">
        <v>77</v>
      </c>
      <c r="L3690" s="27" t="s">
        <v>77</v>
      </c>
      <c r="N3690" s="28" t="s">
        <v>77</v>
      </c>
      <c r="Q3690" s="30"/>
    </row>
    <row r="3691">
      <c r="B3691" s="6"/>
      <c r="C3691" s="33" t="str">
        <f t="array" ref="C3691">IF(B3691="", "", XLOOKUP(B3691, Inventory!D:D,Inventory!E:E,"No Name Found"))</f>
        <v/>
      </c>
      <c r="D3691" s="6"/>
      <c r="E3691" s="6"/>
      <c r="F3691" s="6"/>
      <c r="G3691" s="24" t="str">
        <f>IF(F3691="", "", VLOOKUP(F3691, Inventory!A:BZ, 3, FALSE) - SUMIF($F$1:$F3690, F3691, $H$1:$H3690))
</f>
        <v/>
      </c>
      <c r="I3691" s="26"/>
      <c r="J3691" s="26" t="s">
        <v>77</v>
      </c>
      <c r="L3691" s="27" t="s">
        <v>77</v>
      </c>
      <c r="N3691" s="28" t="s">
        <v>77</v>
      </c>
      <c r="Q3691" s="30"/>
    </row>
    <row r="3692">
      <c r="B3692" s="6"/>
      <c r="C3692" s="33" t="str">
        <f t="array" ref="C3692">IF(B3692="", "", XLOOKUP(B3692, Inventory!D:D,Inventory!E:E,"No Name Found"))</f>
        <v/>
      </c>
      <c r="D3692" s="6"/>
      <c r="E3692" s="6"/>
      <c r="F3692" s="6"/>
      <c r="G3692" s="24" t="str">
        <f>IF(F3692="", "", VLOOKUP(F3692, Inventory!A:BZ, 3, FALSE) - SUMIF($F$1:$F3691, F3692, $H$1:$H3691))
</f>
        <v/>
      </c>
      <c r="I3692" s="26"/>
      <c r="J3692" s="26" t="s">
        <v>77</v>
      </c>
      <c r="L3692" s="27" t="s">
        <v>77</v>
      </c>
      <c r="N3692" s="28" t="s">
        <v>77</v>
      </c>
      <c r="Q3692" s="30"/>
    </row>
    <row r="3693">
      <c r="B3693" s="6"/>
      <c r="C3693" s="33" t="str">
        <f t="array" ref="C3693">IF(B3693="", "", XLOOKUP(B3693, Inventory!D:D,Inventory!E:E,"No Name Found"))</f>
        <v/>
      </c>
      <c r="D3693" s="6"/>
      <c r="E3693" s="6"/>
      <c r="F3693" s="6"/>
      <c r="G3693" s="24" t="str">
        <f>IF(F3693="", "", VLOOKUP(F3693, Inventory!A:BZ, 3, FALSE) - SUMIF($F$1:$F3692, F3693, $H$1:$H3692))
</f>
        <v/>
      </c>
      <c r="I3693" s="26"/>
      <c r="J3693" s="26" t="s">
        <v>77</v>
      </c>
      <c r="L3693" s="27" t="s">
        <v>77</v>
      </c>
      <c r="N3693" s="28" t="s">
        <v>77</v>
      </c>
      <c r="Q3693" s="30"/>
    </row>
    <row r="3694">
      <c r="B3694" s="6"/>
      <c r="C3694" s="33" t="str">
        <f t="array" ref="C3694">IF(B3694="", "", XLOOKUP(B3694, Inventory!D:D,Inventory!E:E,"No Name Found"))</f>
        <v/>
      </c>
      <c r="D3694" s="6"/>
      <c r="E3694" s="6"/>
      <c r="F3694" s="6"/>
      <c r="G3694" s="24" t="str">
        <f>IF(F3694="", "", VLOOKUP(F3694, Inventory!A:BZ, 3, FALSE) - SUMIF($F$1:$F3693, F3694, $H$1:$H3693))
</f>
        <v/>
      </c>
      <c r="I3694" s="26"/>
      <c r="J3694" s="26" t="s">
        <v>77</v>
      </c>
      <c r="L3694" s="27" t="s">
        <v>77</v>
      </c>
      <c r="N3694" s="28" t="s">
        <v>77</v>
      </c>
      <c r="Q3694" s="30"/>
    </row>
    <row r="3695">
      <c r="B3695" s="6"/>
      <c r="C3695" s="33" t="str">
        <f t="array" ref="C3695">IF(B3695="", "", XLOOKUP(B3695, Inventory!D:D,Inventory!E:E,"No Name Found"))</f>
        <v/>
      </c>
      <c r="D3695" s="6"/>
      <c r="E3695" s="6"/>
      <c r="F3695" s="6"/>
      <c r="G3695" s="24" t="str">
        <f>IF(F3695="", "", VLOOKUP(F3695, Inventory!A:BZ, 3, FALSE) - SUMIF($F$1:$F3694, F3695, $H$1:$H3694))
</f>
        <v/>
      </c>
      <c r="I3695" s="26"/>
      <c r="J3695" s="26" t="s">
        <v>77</v>
      </c>
      <c r="L3695" s="27" t="s">
        <v>77</v>
      </c>
      <c r="N3695" s="28" t="s">
        <v>77</v>
      </c>
      <c r="Q3695" s="30"/>
    </row>
    <row r="3696">
      <c r="B3696" s="6"/>
      <c r="C3696" s="33" t="str">
        <f t="array" ref="C3696">IF(B3696="", "", XLOOKUP(B3696, Inventory!D:D,Inventory!E:E,"No Name Found"))</f>
        <v/>
      </c>
      <c r="D3696" s="6"/>
      <c r="E3696" s="6"/>
      <c r="F3696" s="6"/>
      <c r="G3696" s="24" t="str">
        <f>IF(F3696="", "", VLOOKUP(F3696, Inventory!A:BZ, 3, FALSE) - SUMIF($F$1:$F3695, F3696, $H$1:$H3695))
</f>
        <v/>
      </c>
      <c r="I3696" s="26"/>
      <c r="J3696" s="26" t="s">
        <v>77</v>
      </c>
      <c r="L3696" s="27" t="s">
        <v>77</v>
      </c>
      <c r="N3696" s="28" t="s">
        <v>77</v>
      </c>
      <c r="Q3696" s="30"/>
    </row>
    <row r="3697">
      <c r="B3697" s="6"/>
      <c r="C3697" s="33" t="str">
        <f t="array" ref="C3697">IF(B3697="", "", XLOOKUP(B3697, Inventory!D:D,Inventory!E:E,"No Name Found"))</f>
        <v/>
      </c>
      <c r="D3697" s="6"/>
      <c r="E3697" s="6"/>
      <c r="F3697" s="6"/>
      <c r="G3697" s="24" t="str">
        <f>IF(F3697="", "", VLOOKUP(F3697, Inventory!A:BZ, 3, FALSE) - SUMIF($F$1:$F3696, F3697, $H$1:$H3696))
</f>
        <v/>
      </c>
      <c r="I3697" s="26"/>
      <c r="J3697" s="26" t="s">
        <v>77</v>
      </c>
      <c r="L3697" s="27" t="s">
        <v>77</v>
      </c>
      <c r="N3697" s="28" t="s">
        <v>77</v>
      </c>
      <c r="Q3697" s="30"/>
    </row>
    <row r="3698">
      <c r="B3698" s="6"/>
      <c r="C3698" s="33" t="str">
        <f t="array" ref="C3698">IF(B3698="", "", XLOOKUP(B3698, Inventory!D:D,Inventory!E:E,"No Name Found"))</f>
        <v/>
      </c>
      <c r="D3698" s="6"/>
      <c r="E3698" s="6"/>
      <c r="F3698" s="6"/>
      <c r="G3698" s="24" t="str">
        <f>IF(F3698="", "", VLOOKUP(F3698, Inventory!A:BZ, 3, FALSE) - SUMIF($F$1:$F3697, F3698, $H$1:$H3697))
</f>
        <v/>
      </c>
      <c r="I3698" s="26"/>
      <c r="J3698" s="26" t="s">
        <v>77</v>
      </c>
      <c r="L3698" s="27" t="s">
        <v>77</v>
      </c>
      <c r="N3698" s="28" t="s">
        <v>77</v>
      </c>
      <c r="Q3698" s="30"/>
    </row>
    <row r="3699">
      <c r="B3699" s="6"/>
      <c r="C3699" s="33" t="str">
        <f t="array" ref="C3699">IF(B3699="", "", XLOOKUP(B3699, Inventory!D:D,Inventory!E:E,"No Name Found"))</f>
        <v/>
      </c>
      <c r="D3699" s="6"/>
      <c r="E3699" s="6"/>
      <c r="F3699" s="6"/>
      <c r="G3699" s="24" t="str">
        <f>IF(F3699="", "", VLOOKUP(F3699, Inventory!A:BZ, 3, FALSE) - SUMIF($F$1:$F3698, F3699, $H$1:$H3698))
</f>
        <v/>
      </c>
      <c r="I3699" s="26"/>
      <c r="J3699" s="26" t="s">
        <v>77</v>
      </c>
      <c r="L3699" s="27" t="s">
        <v>77</v>
      </c>
      <c r="N3699" s="28" t="s">
        <v>77</v>
      </c>
      <c r="Q3699" s="30"/>
    </row>
    <row r="3700">
      <c r="B3700" s="6"/>
      <c r="C3700" s="33" t="str">
        <f t="array" ref="C3700">IF(B3700="", "", XLOOKUP(B3700, Inventory!D:D,Inventory!E:E,"No Name Found"))</f>
        <v/>
      </c>
      <c r="D3700" s="6"/>
      <c r="E3700" s="6"/>
      <c r="F3700" s="6"/>
      <c r="G3700" s="24" t="str">
        <f>IF(F3700="", "", VLOOKUP(F3700, Inventory!A:BZ, 3, FALSE) - SUMIF($F$1:$F3699, F3700, $H$1:$H3699))
</f>
        <v/>
      </c>
      <c r="I3700" s="26"/>
      <c r="J3700" s="26" t="s">
        <v>77</v>
      </c>
      <c r="L3700" s="27" t="s">
        <v>77</v>
      </c>
      <c r="N3700" s="28" t="s">
        <v>77</v>
      </c>
      <c r="Q3700" s="30"/>
    </row>
    <row r="3701">
      <c r="B3701" s="6"/>
      <c r="C3701" s="33" t="str">
        <f t="array" ref="C3701">IF(B3701="", "", XLOOKUP(B3701, Inventory!D:D,Inventory!E:E,"No Name Found"))</f>
        <v/>
      </c>
      <c r="D3701" s="6"/>
      <c r="E3701" s="6"/>
      <c r="F3701" s="6"/>
      <c r="G3701" s="24" t="str">
        <f>IF(F3701="", "", VLOOKUP(F3701, Inventory!A:BZ, 3, FALSE) - SUMIF($F$1:$F3700, F3701, $H$1:$H3700))
</f>
        <v/>
      </c>
      <c r="I3701" s="26"/>
      <c r="J3701" s="26" t="s">
        <v>77</v>
      </c>
      <c r="L3701" s="27" t="s">
        <v>77</v>
      </c>
      <c r="N3701" s="28" t="s">
        <v>77</v>
      </c>
      <c r="Q3701" s="30"/>
    </row>
    <row r="3702">
      <c r="B3702" s="6"/>
      <c r="C3702" s="33" t="str">
        <f t="array" ref="C3702">IF(B3702="", "", XLOOKUP(B3702, Inventory!D:D,Inventory!E:E,"No Name Found"))</f>
        <v/>
      </c>
      <c r="D3702" s="6"/>
      <c r="E3702" s="6"/>
      <c r="F3702" s="6"/>
      <c r="G3702" s="24" t="str">
        <f>IF(F3702="", "", VLOOKUP(F3702, Inventory!A:BZ, 3, FALSE) - SUMIF($F$1:$F3701, F3702, $H$1:$H3701))
</f>
        <v/>
      </c>
      <c r="I3702" s="26"/>
      <c r="J3702" s="26" t="s">
        <v>77</v>
      </c>
      <c r="L3702" s="27" t="s">
        <v>77</v>
      </c>
      <c r="N3702" s="28" t="s">
        <v>77</v>
      </c>
      <c r="Q3702" s="30"/>
    </row>
    <row r="3703">
      <c r="B3703" s="6"/>
      <c r="C3703" s="33" t="str">
        <f t="array" ref="C3703">IF(B3703="", "", XLOOKUP(B3703, Inventory!D:D,Inventory!E:E,"No Name Found"))</f>
        <v/>
      </c>
      <c r="D3703" s="6"/>
      <c r="E3703" s="6"/>
      <c r="F3703" s="6"/>
      <c r="G3703" s="24" t="str">
        <f>IF(F3703="", "", VLOOKUP(F3703, Inventory!A:BZ, 3, FALSE) - SUMIF($F$1:$F3702, F3703, $H$1:$H3702))
</f>
        <v/>
      </c>
      <c r="I3703" s="26"/>
      <c r="J3703" s="26" t="s">
        <v>77</v>
      </c>
      <c r="L3703" s="27" t="s">
        <v>77</v>
      </c>
      <c r="N3703" s="28" t="s">
        <v>77</v>
      </c>
      <c r="Q3703" s="30"/>
    </row>
    <row r="3704">
      <c r="B3704" s="6"/>
      <c r="C3704" s="33" t="str">
        <f t="array" ref="C3704">IF(B3704="", "", XLOOKUP(B3704, Inventory!D:D,Inventory!E:E,"No Name Found"))</f>
        <v/>
      </c>
      <c r="D3704" s="6"/>
      <c r="E3704" s="6"/>
      <c r="F3704" s="6"/>
      <c r="G3704" s="24" t="str">
        <f>IF(F3704="", "", VLOOKUP(F3704, Inventory!A:BZ, 3, FALSE) - SUMIF($F$1:$F3703, F3704, $H$1:$H3703))
</f>
        <v/>
      </c>
      <c r="I3704" s="26"/>
      <c r="J3704" s="26" t="s">
        <v>77</v>
      </c>
      <c r="L3704" s="27" t="s">
        <v>77</v>
      </c>
      <c r="N3704" s="28" t="s">
        <v>77</v>
      </c>
      <c r="Q3704" s="30"/>
    </row>
    <row r="3705">
      <c r="B3705" s="6"/>
      <c r="C3705" s="33" t="str">
        <f t="array" ref="C3705">IF(B3705="", "", XLOOKUP(B3705, Inventory!D:D,Inventory!E:E,"No Name Found"))</f>
        <v/>
      </c>
      <c r="D3705" s="6"/>
      <c r="E3705" s="6"/>
      <c r="F3705" s="6"/>
      <c r="G3705" s="24" t="str">
        <f>IF(F3705="", "", VLOOKUP(F3705, Inventory!A:BZ, 3, FALSE) - SUMIF($F$1:$F3704, F3705, $H$1:$H3704))
</f>
        <v/>
      </c>
      <c r="I3705" s="26"/>
      <c r="J3705" s="26" t="s">
        <v>77</v>
      </c>
      <c r="L3705" s="27" t="s">
        <v>77</v>
      </c>
      <c r="N3705" s="28" t="s">
        <v>77</v>
      </c>
      <c r="Q3705" s="30"/>
    </row>
    <row r="3706">
      <c r="B3706" s="6"/>
      <c r="C3706" s="33" t="str">
        <f t="array" ref="C3706">IF(B3706="", "", XLOOKUP(B3706, Inventory!D:D,Inventory!E:E,"No Name Found"))</f>
        <v/>
      </c>
      <c r="D3706" s="6"/>
      <c r="E3706" s="6"/>
      <c r="F3706" s="6"/>
      <c r="G3706" s="24" t="str">
        <f>IF(F3706="", "", VLOOKUP(F3706, Inventory!A:BZ, 3, FALSE) - SUMIF($F$1:$F3705, F3706, $H$1:$H3705))
</f>
        <v/>
      </c>
      <c r="I3706" s="26"/>
      <c r="J3706" s="26" t="s">
        <v>77</v>
      </c>
      <c r="L3706" s="27" t="s">
        <v>77</v>
      </c>
      <c r="N3706" s="28" t="s">
        <v>77</v>
      </c>
      <c r="Q3706" s="30"/>
    </row>
    <row r="3707">
      <c r="B3707" s="6"/>
      <c r="C3707" s="33" t="str">
        <f t="array" ref="C3707">IF(B3707="", "", XLOOKUP(B3707, Inventory!D:D,Inventory!E:E,"No Name Found"))</f>
        <v/>
      </c>
      <c r="D3707" s="6"/>
      <c r="E3707" s="6"/>
      <c r="F3707" s="6"/>
      <c r="G3707" s="24" t="str">
        <f>IF(F3707="", "", VLOOKUP(F3707, Inventory!A:BZ, 3, FALSE) - SUMIF($F$1:$F3706, F3707, $H$1:$H3706))
</f>
        <v/>
      </c>
      <c r="I3707" s="26"/>
      <c r="J3707" s="26" t="s">
        <v>77</v>
      </c>
      <c r="L3707" s="27" t="s">
        <v>77</v>
      </c>
      <c r="N3707" s="28" t="s">
        <v>77</v>
      </c>
      <c r="Q3707" s="30"/>
    </row>
    <row r="3708">
      <c r="B3708" s="6"/>
      <c r="C3708" s="33" t="str">
        <f t="array" ref="C3708">IF(B3708="", "", XLOOKUP(B3708, Inventory!D:D,Inventory!E:E,"No Name Found"))</f>
        <v/>
      </c>
      <c r="D3708" s="6"/>
      <c r="E3708" s="6"/>
      <c r="F3708" s="6"/>
      <c r="G3708" s="24" t="str">
        <f>IF(F3708="", "", VLOOKUP(F3708, Inventory!A:BZ, 3, FALSE) - SUMIF($F$1:$F3707, F3708, $H$1:$H3707))
</f>
        <v/>
      </c>
      <c r="I3708" s="26"/>
      <c r="J3708" s="26" t="s">
        <v>77</v>
      </c>
      <c r="L3708" s="27" t="s">
        <v>77</v>
      </c>
      <c r="N3708" s="28" t="s">
        <v>77</v>
      </c>
      <c r="Q3708" s="30"/>
    </row>
    <row r="3709">
      <c r="B3709" s="6"/>
      <c r="C3709" s="33" t="str">
        <f t="array" ref="C3709">IF(B3709="", "", XLOOKUP(B3709, Inventory!D:D,Inventory!E:E,"No Name Found"))</f>
        <v/>
      </c>
      <c r="D3709" s="6"/>
      <c r="E3709" s="6"/>
      <c r="F3709" s="6"/>
      <c r="G3709" s="24" t="str">
        <f>IF(F3709="", "", VLOOKUP(F3709, Inventory!A:BZ, 3, FALSE) - SUMIF($F$1:$F3708, F3709, $H$1:$H3708))
</f>
        <v/>
      </c>
      <c r="I3709" s="26"/>
      <c r="J3709" s="26" t="s">
        <v>77</v>
      </c>
      <c r="L3709" s="27" t="s">
        <v>77</v>
      </c>
      <c r="N3709" s="28" t="s">
        <v>77</v>
      </c>
      <c r="Q3709" s="30"/>
    </row>
    <row r="3710">
      <c r="B3710" s="6"/>
      <c r="C3710" s="33" t="str">
        <f t="array" ref="C3710">IF(B3710="", "", XLOOKUP(B3710, Inventory!D:D,Inventory!E:E,"No Name Found"))</f>
        <v/>
      </c>
      <c r="D3710" s="6"/>
      <c r="E3710" s="6"/>
      <c r="F3710" s="6"/>
      <c r="G3710" s="24" t="str">
        <f>IF(F3710="", "", VLOOKUP(F3710, Inventory!A:BZ, 3, FALSE) - SUMIF($F$1:$F3709, F3710, $H$1:$H3709))
</f>
        <v/>
      </c>
      <c r="I3710" s="26"/>
      <c r="J3710" s="26" t="s">
        <v>77</v>
      </c>
      <c r="L3710" s="27" t="s">
        <v>77</v>
      </c>
      <c r="N3710" s="28" t="s">
        <v>77</v>
      </c>
      <c r="Q3710" s="30"/>
    </row>
    <row r="3711">
      <c r="B3711" s="6"/>
      <c r="C3711" s="33" t="str">
        <f t="array" ref="C3711">IF(B3711="", "", XLOOKUP(B3711, Inventory!D:D,Inventory!E:E,"No Name Found"))</f>
        <v/>
      </c>
      <c r="D3711" s="6"/>
      <c r="E3711" s="6"/>
      <c r="F3711" s="6"/>
      <c r="G3711" s="24" t="str">
        <f>IF(F3711="", "", VLOOKUP(F3711, Inventory!A:BZ, 3, FALSE) - SUMIF($F$1:$F3710, F3711, $H$1:$H3710))
</f>
        <v/>
      </c>
      <c r="I3711" s="26"/>
      <c r="J3711" s="26" t="s">
        <v>77</v>
      </c>
      <c r="L3711" s="27" t="s">
        <v>77</v>
      </c>
      <c r="N3711" s="28" t="s">
        <v>77</v>
      </c>
      <c r="Q3711" s="30"/>
    </row>
    <row r="3712">
      <c r="B3712" s="6"/>
      <c r="C3712" s="33" t="str">
        <f t="array" ref="C3712">IF(B3712="", "", XLOOKUP(B3712, Inventory!D:D,Inventory!E:E,"No Name Found"))</f>
        <v/>
      </c>
      <c r="D3712" s="6"/>
      <c r="E3712" s="6"/>
      <c r="F3712" s="6"/>
      <c r="G3712" s="24" t="str">
        <f>IF(F3712="", "", VLOOKUP(F3712, Inventory!A:BZ, 3, FALSE) - SUMIF($F$1:$F3711, F3712, $H$1:$H3711))
</f>
        <v/>
      </c>
      <c r="I3712" s="26"/>
      <c r="J3712" s="26" t="s">
        <v>77</v>
      </c>
      <c r="L3712" s="27" t="s">
        <v>77</v>
      </c>
      <c r="N3712" s="28" t="s">
        <v>77</v>
      </c>
      <c r="Q3712" s="30"/>
    </row>
    <row r="3713">
      <c r="B3713" s="6"/>
      <c r="C3713" s="33" t="str">
        <f t="array" ref="C3713">IF(B3713="", "", XLOOKUP(B3713, Inventory!D:D,Inventory!E:E,"No Name Found"))</f>
        <v/>
      </c>
      <c r="D3713" s="6"/>
      <c r="E3713" s="6"/>
      <c r="F3713" s="6"/>
      <c r="G3713" s="24" t="str">
        <f>IF(F3713="", "", VLOOKUP(F3713, Inventory!A:BZ, 3, FALSE) - SUMIF($F$1:$F3712, F3713, $H$1:$H3712))
</f>
        <v/>
      </c>
      <c r="I3713" s="26"/>
      <c r="J3713" s="26" t="s">
        <v>77</v>
      </c>
      <c r="L3713" s="27" t="s">
        <v>77</v>
      </c>
      <c r="N3713" s="28" t="s">
        <v>77</v>
      </c>
      <c r="Q3713" s="30"/>
    </row>
    <row r="3714">
      <c r="B3714" s="6"/>
      <c r="C3714" s="33" t="str">
        <f t="array" ref="C3714">IF(B3714="", "", XLOOKUP(B3714, Inventory!D:D,Inventory!E:E,"No Name Found"))</f>
        <v/>
      </c>
      <c r="D3714" s="6"/>
      <c r="E3714" s="6"/>
      <c r="F3714" s="6"/>
      <c r="G3714" s="24" t="str">
        <f>IF(F3714="", "", VLOOKUP(F3714, Inventory!A:BZ, 3, FALSE) - SUMIF($F$1:$F3713, F3714, $H$1:$H3713))
</f>
        <v/>
      </c>
      <c r="I3714" s="26"/>
      <c r="J3714" s="26" t="s">
        <v>77</v>
      </c>
      <c r="L3714" s="27" t="s">
        <v>77</v>
      </c>
      <c r="N3714" s="28" t="s">
        <v>77</v>
      </c>
      <c r="Q3714" s="30"/>
    </row>
    <row r="3715">
      <c r="B3715" s="6"/>
      <c r="C3715" s="33" t="str">
        <f t="array" ref="C3715">IF(B3715="", "", XLOOKUP(B3715, Inventory!D:D,Inventory!E:E,"No Name Found"))</f>
        <v/>
      </c>
      <c r="D3715" s="6"/>
      <c r="E3715" s="6"/>
      <c r="F3715" s="6"/>
      <c r="G3715" s="24" t="str">
        <f>IF(F3715="", "", VLOOKUP(F3715, Inventory!A:BZ, 3, FALSE) - SUMIF($F$1:$F3714, F3715, $H$1:$H3714))
</f>
        <v/>
      </c>
      <c r="I3715" s="26"/>
      <c r="J3715" s="26" t="s">
        <v>77</v>
      </c>
      <c r="L3715" s="27" t="s">
        <v>77</v>
      </c>
      <c r="N3715" s="28" t="s">
        <v>77</v>
      </c>
      <c r="Q3715" s="30"/>
    </row>
    <row r="3716">
      <c r="B3716" s="6"/>
      <c r="C3716" s="33" t="str">
        <f t="array" ref="C3716">IF(B3716="", "", XLOOKUP(B3716, Inventory!D:D,Inventory!E:E,"No Name Found"))</f>
        <v/>
      </c>
      <c r="D3716" s="6"/>
      <c r="E3716" s="6"/>
      <c r="F3716" s="6"/>
      <c r="G3716" s="24" t="str">
        <f>IF(F3716="", "", VLOOKUP(F3716, Inventory!A:BZ, 3, FALSE) - SUMIF($F$1:$F3715, F3716, $H$1:$H3715))
</f>
        <v/>
      </c>
      <c r="I3716" s="26"/>
      <c r="J3716" s="26" t="s">
        <v>77</v>
      </c>
      <c r="L3716" s="27" t="s">
        <v>77</v>
      </c>
      <c r="N3716" s="28" t="s">
        <v>77</v>
      </c>
      <c r="Q3716" s="30"/>
    </row>
    <row r="3717">
      <c r="B3717" s="6"/>
      <c r="C3717" s="33" t="str">
        <f t="array" ref="C3717">IF(B3717="", "", XLOOKUP(B3717, Inventory!D:D,Inventory!E:E,"No Name Found"))</f>
        <v/>
      </c>
      <c r="D3717" s="6"/>
      <c r="E3717" s="6"/>
      <c r="F3717" s="6"/>
      <c r="G3717" s="24" t="str">
        <f>IF(F3717="", "", VLOOKUP(F3717, Inventory!A:BZ, 3, FALSE) - SUMIF($F$1:$F3716, F3717, $H$1:$H3716))
</f>
        <v/>
      </c>
      <c r="I3717" s="26"/>
      <c r="J3717" s="26" t="s">
        <v>77</v>
      </c>
      <c r="L3717" s="27" t="s">
        <v>77</v>
      </c>
      <c r="N3717" s="28" t="s">
        <v>77</v>
      </c>
      <c r="Q3717" s="30"/>
    </row>
    <row r="3718">
      <c r="B3718" s="6"/>
      <c r="C3718" s="33" t="str">
        <f t="array" ref="C3718">IF(B3718="", "", XLOOKUP(B3718, Inventory!D:D,Inventory!E:E,"No Name Found"))</f>
        <v/>
      </c>
      <c r="D3718" s="6"/>
      <c r="E3718" s="6"/>
      <c r="F3718" s="6"/>
      <c r="G3718" s="24" t="str">
        <f>IF(F3718="", "", VLOOKUP(F3718, Inventory!A:BZ, 3, FALSE) - SUMIF($F$1:$F3717, F3718, $H$1:$H3717))
</f>
        <v/>
      </c>
      <c r="I3718" s="26"/>
      <c r="J3718" s="26" t="s">
        <v>77</v>
      </c>
      <c r="L3718" s="27" t="s">
        <v>77</v>
      </c>
      <c r="N3718" s="28" t="s">
        <v>77</v>
      </c>
      <c r="Q3718" s="30"/>
    </row>
    <row r="3719">
      <c r="B3719" s="6"/>
      <c r="C3719" s="33" t="str">
        <f t="array" ref="C3719">IF(B3719="", "", XLOOKUP(B3719, Inventory!D:D,Inventory!E:E,"No Name Found"))</f>
        <v/>
      </c>
      <c r="D3719" s="6"/>
      <c r="E3719" s="6"/>
      <c r="F3719" s="6"/>
      <c r="G3719" s="24" t="str">
        <f>IF(F3719="", "", VLOOKUP(F3719, Inventory!A:BZ, 3, FALSE) - SUMIF($F$1:$F3718, F3719, $H$1:$H3718))
</f>
        <v/>
      </c>
      <c r="I3719" s="26"/>
      <c r="J3719" s="26" t="s">
        <v>77</v>
      </c>
      <c r="L3719" s="27" t="s">
        <v>77</v>
      </c>
      <c r="N3719" s="28" t="s">
        <v>77</v>
      </c>
      <c r="Q3719" s="30"/>
    </row>
    <row r="3720">
      <c r="B3720" s="6"/>
      <c r="C3720" s="33" t="str">
        <f t="array" ref="C3720">IF(B3720="", "", XLOOKUP(B3720, Inventory!D:D,Inventory!E:E,"No Name Found"))</f>
        <v/>
      </c>
      <c r="D3720" s="6"/>
      <c r="E3720" s="6"/>
      <c r="F3720" s="6"/>
      <c r="G3720" s="24" t="str">
        <f>IF(F3720="", "", VLOOKUP(F3720, Inventory!A:BZ, 3, FALSE) - SUMIF($F$1:$F3719, F3720, $H$1:$H3719))
</f>
        <v/>
      </c>
      <c r="I3720" s="26"/>
      <c r="J3720" s="26" t="s">
        <v>77</v>
      </c>
      <c r="L3720" s="27" t="s">
        <v>77</v>
      </c>
      <c r="N3720" s="28" t="s">
        <v>77</v>
      </c>
      <c r="Q3720" s="30"/>
    </row>
    <row r="3721">
      <c r="B3721" s="6"/>
      <c r="C3721" s="33" t="str">
        <f t="array" ref="C3721">IF(B3721="", "", XLOOKUP(B3721, Inventory!D:D,Inventory!E:E,"No Name Found"))</f>
        <v/>
      </c>
      <c r="D3721" s="6"/>
      <c r="E3721" s="6"/>
      <c r="F3721" s="6"/>
      <c r="G3721" s="24" t="str">
        <f>IF(F3721="", "", VLOOKUP(F3721, Inventory!A:BZ, 3, FALSE) - SUMIF($F$1:$F3720, F3721, $H$1:$H3720))
</f>
        <v/>
      </c>
      <c r="I3721" s="26"/>
      <c r="J3721" s="26" t="s">
        <v>77</v>
      </c>
      <c r="L3721" s="27" t="s">
        <v>77</v>
      </c>
      <c r="N3721" s="28" t="s">
        <v>77</v>
      </c>
      <c r="Q3721" s="30"/>
    </row>
    <row r="3722">
      <c r="B3722" s="6"/>
      <c r="C3722" s="33" t="str">
        <f t="array" ref="C3722">IF(B3722="", "", XLOOKUP(B3722, Inventory!D:D,Inventory!E:E,"No Name Found"))</f>
        <v/>
      </c>
      <c r="D3722" s="6"/>
      <c r="E3722" s="6"/>
      <c r="F3722" s="6"/>
      <c r="G3722" s="24" t="str">
        <f>IF(F3722="", "", VLOOKUP(F3722, Inventory!A:BZ, 3, FALSE) - SUMIF($F$1:$F3721, F3722, $H$1:$H3721))
</f>
        <v/>
      </c>
      <c r="I3722" s="26"/>
      <c r="J3722" s="26" t="s">
        <v>77</v>
      </c>
      <c r="L3722" s="27" t="s">
        <v>77</v>
      </c>
      <c r="N3722" s="28" t="s">
        <v>77</v>
      </c>
      <c r="Q3722" s="30"/>
    </row>
    <row r="3723">
      <c r="B3723" s="6"/>
      <c r="C3723" s="33" t="str">
        <f t="array" ref="C3723">IF(B3723="", "", XLOOKUP(B3723, Inventory!D:D,Inventory!E:E,"No Name Found"))</f>
        <v/>
      </c>
      <c r="D3723" s="6"/>
      <c r="E3723" s="6"/>
      <c r="F3723" s="6"/>
      <c r="G3723" s="24" t="str">
        <f>IF(F3723="", "", VLOOKUP(F3723, Inventory!A:BZ, 3, FALSE) - SUMIF($F$1:$F3722, F3723, $H$1:$H3722))
</f>
        <v/>
      </c>
      <c r="I3723" s="26"/>
      <c r="J3723" s="26" t="s">
        <v>77</v>
      </c>
      <c r="L3723" s="27" t="s">
        <v>77</v>
      </c>
      <c r="N3723" s="28" t="s">
        <v>77</v>
      </c>
      <c r="Q3723" s="30"/>
    </row>
    <row r="3724">
      <c r="B3724" s="6"/>
      <c r="C3724" s="33" t="str">
        <f t="array" ref="C3724">IF(B3724="", "", XLOOKUP(B3724, Inventory!D:D,Inventory!E:E,"No Name Found"))</f>
        <v/>
      </c>
      <c r="D3724" s="6"/>
      <c r="E3724" s="6"/>
      <c r="F3724" s="6"/>
      <c r="G3724" s="24" t="str">
        <f>IF(F3724="", "", VLOOKUP(F3724, Inventory!A:BZ, 3, FALSE) - SUMIF($F$1:$F3723, F3724, $H$1:$H3723))
</f>
        <v/>
      </c>
      <c r="I3724" s="26"/>
      <c r="J3724" s="26" t="s">
        <v>77</v>
      </c>
      <c r="L3724" s="27" t="s">
        <v>77</v>
      </c>
      <c r="N3724" s="28" t="s">
        <v>77</v>
      </c>
      <c r="Q3724" s="30"/>
    </row>
    <row r="3725">
      <c r="B3725" s="6"/>
      <c r="C3725" s="33" t="str">
        <f t="array" ref="C3725">IF(B3725="", "", XLOOKUP(B3725, Inventory!D:D,Inventory!E:E,"No Name Found"))</f>
        <v/>
      </c>
      <c r="D3725" s="6"/>
      <c r="E3725" s="6"/>
      <c r="F3725" s="6"/>
      <c r="G3725" s="24" t="str">
        <f>IF(F3725="", "", VLOOKUP(F3725, Inventory!A:BZ, 3, FALSE) - SUMIF($F$1:$F3724, F3725, $H$1:$H3724))
</f>
        <v/>
      </c>
      <c r="I3725" s="26"/>
      <c r="J3725" s="26" t="s">
        <v>77</v>
      </c>
      <c r="L3725" s="27" t="s">
        <v>77</v>
      </c>
      <c r="N3725" s="28" t="s">
        <v>77</v>
      </c>
      <c r="Q3725" s="30"/>
    </row>
    <row r="3726">
      <c r="B3726" s="6"/>
      <c r="C3726" s="33" t="str">
        <f t="array" ref="C3726">IF(B3726="", "", XLOOKUP(B3726, Inventory!D:D,Inventory!E:E,"No Name Found"))</f>
        <v/>
      </c>
      <c r="D3726" s="6"/>
      <c r="E3726" s="6"/>
      <c r="F3726" s="6"/>
      <c r="G3726" s="24" t="str">
        <f>IF(F3726="", "", VLOOKUP(F3726, Inventory!A:BZ, 3, FALSE) - SUMIF($F$1:$F3725, F3726, $H$1:$H3725))
</f>
        <v/>
      </c>
      <c r="I3726" s="26"/>
      <c r="J3726" s="26" t="s">
        <v>77</v>
      </c>
      <c r="L3726" s="27" t="s">
        <v>77</v>
      </c>
      <c r="N3726" s="28" t="s">
        <v>77</v>
      </c>
      <c r="Q3726" s="30"/>
    </row>
    <row r="3727">
      <c r="B3727" s="6"/>
      <c r="C3727" s="33" t="str">
        <f t="array" ref="C3727">IF(B3727="", "", XLOOKUP(B3727, Inventory!D:D,Inventory!E:E,"No Name Found"))</f>
        <v/>
      </c>
      <c r="D3727" s="6"/>
      <c r="E3727" s="6"/>
      <c r="F3727" s="6"/>
      <c r="G3727" s="24" t="str">
        <f>IF(F3727="", "", VLOOKUP(F3727, Inventory!A:BZ, 3, FALSE) - SUMIF($F$1:$F3726, F3727, $H$1:$H3726))
</f>
        <v/>
      </c>
      <c r="I3727" s="26"/>
      <c r="J3727" s="26" t="s">
        <v>77</v>
      </c>
      <c r="L3727" s="27" t="s">
        <v>77</v>
      </c>
      <c r="N3727" s="28" t="s">
        <v>77</v>
      </c>
      <c r="Q3727" s="30"/>
    </row>
    <row r="3728">
      <c r="B3728" s="6"/>
      <c r="C3728" s="33" t="str">
        <f t="array" ref="C3728">IF(B3728="", "", XLOOKUP(B3728, Inventory!D:D,Inventory!E:E,"No Name Found"))</f>
        <v/>
      </c>
      <c r="D3728" s="6"/>
      <c r="E3728" s="6"/>
      <c r="F3728" s="6"/>
      <c r="G3728" s="24" t="str">
        <f>IF(F3728="", "", VLOOKUP(F3728, Inventory!A:BZ, 3, FALSE) - SUMIF($F$1:$F3727, F3728, $H$1:$H3727))
</f>
        <v/>
      </c>
      <c r="I3728" s="26"/>
      <c r="J3728" s="26" t="s">
        <v>77</v>
      </c>
      <c r="L3728" s="27" t="s">
        <v>77</v>
      </c>
      <c r="N3728" s="28" t="s">
        <v>77</v>
      </c>
      <c r="Q3728" s="30"/>
    </row>
    <row r="3729">
      <c r="B3729" s="6"/>
      <c r="C3729" s="33" t="str">
        <f t="array" ref="C3729">IF(B3729="", "", XLOOKUP(B3729, Inventory!D:D,Inventory!E:E,"No Name Found"))</f>
        <v/>
      </c>
      <c r="D3729" s="6"/>
      <c r="E3729" s="6"/>
      <c r="F3729" s="6"/>
      <c r="G3729" s="24" t="str">
        <f>IF(F3729="", "", VLOOKUP(F3729, Inventory!A:BZ, 3, FALSE) - SUMIF($F$1:$F3728, F3729, $H$1:$H3728))
</f>
        <v/>
      </c>
      <c r="I3729" s="26"/>
      <c r="J3729" s="26" t="s">
        <v>77</v>
      </c>
      <c r="L3729" s="27" t="s">
        <v>77</v>
      </c>
      <c r="N3729" s="28" t="s">
        <v>77</v>
      </c>
      <c r="Q3729" s="30"/>
    </row>
    <row r="3730">
      <c r="B3730" s="6"/>
      <c r="C3730" s="33" t="str">
        <f t="array" ref="C3730">IF(B3730="", "", XLOOKUP(B3730, Inventory!D:D,Inventory!E:E,"No Name Found"))</f>
        <v/>
      </c>
      <c r="D3730" s="6"/>
      <c r="E3730" s="6"/>
      <c r="F3730" s="6"/>
      <c r="G3730" s="24" t="str">
        <f>IF(F3730="", "", VLOOKUP(F3730, Inventory!A:BZ, 3, FALSE) - SUMIF($F$1:$F3729, F3730, $H$1:$H3729))
</f>
        <v/>
      </c>
      <c r="I3730" s="26"/>
      <c r="J3730" s="26" t="s">
        <v>77</v>
      </c>
      <c r="L3730" s="27" t="s">
        <v>77</v>
      </c>
      <c r="N3730" s="28" t="s">
        <v>77</v>
      </c>
      <c r="Q3730" s="30"/>
    </row>
    <row r="3731">
      <c r="B3731" s="6"/>
      <c r="C3731" s="33" t="str">
        <f t="array" ref="C3731">IF(B3731="", "", XLOOKUP(B3731, Inventory!D:D,Inventory!E:E,"No Name Found"))</f>
        <v/>
      </c>
      <c r="D3731" s="6"/>
      <c r="E3731" s="6"/>
      <c r="F3731" s="6"/>
      <c r="G3731" s="24" t="str">
        <f>IF(F3731="", "", VLOOKUP(F3731, Inventory!A:BZ, 3, FALSE) - SUMIF($F$1:$F3730, F3731, $H$1:$H3730))
</f>
        <v/>
      </c>
      <c r="I3731" s="26"/>
      <c r="J3731" s="26" t="s">
        <v>77</v>
      </c>
      <c r="L3731" s="27" t="s">
        <v>77</v>
      </c>
      <c r="N3731" s="28" t="s">
        <v>77</v>
      </c>
      <c r="Q3731" s="30"/>
    </row>
    <row r="3732">
      <c r="B3732" s="6"/>
      <c r="C3732" s="33" t="str">
        <f t="array" ref="C3732">IF(B3732="", "", XLOOKUP(B3732, Inventory!D:D,Inventory!E:E,"No Name Found"))</f>
        <v/>
      </c>
      <c r="D3732" s="6"/>
      <c r="E3732" s="6"/>
      <c r="F3732" s="6"/>
      <c r="G3732" s="24" t="str">
        <f>IF(F3732="", "", VLOOKUP(F3732, Inventory!A:BZ, 3, FALSE) - SUMIF($F$1:$F3731, F3732, $H$1:$H3731))
</f>
        <v/>
      </c>
      <c r="I3732" s="26"/>
      <c r="J3732" s="26" t="s">
        <v>77</v>
      </c>
      <c r="L3732" s="27" t="s">
        <v>77</v>
      </c>
      <c r="N3732" s="28" t="s">
        <v>77</v>
      </c>
      <c r="Q3732" s="30"/>
    </row>
    <row r="3733">
      <c r="B3733" s="6"/>
      <c r="C3733" s="33" t="str">
        <f t="array" ref="C3733">IF(B3733="", "", XLOOKUP(B3733, Inventory!D:D,Inventory!E:E,"No Name Found"))</f>
        <v/>
      </c>
      <c r="D3733" s="6"/>
      <c r="E3733" s="6"/>
      <c r="F3733" s="6"/>
      <c r="G3733" s="24" t="str">
        <f>IF(F3733="", "", VLOOKUP(F3733, Inventory!A:BZ, 3, FALSE) - SUMIF($F$1:$F3732, F3733, $H$1:$H3732))
</f>
        <v/>
      </c>
      <c r="I3733" s="26"/>
      <c r="J3733" s="26" t="s">
        <v>77</v>
      </c>
      <c r="L3733" s="27" t="s">
        <v>77</v>
      </c>
      <c r="N3733" s="28" t="s">
        <v>77</v>
      </c>
      <c r="Q3733" s="30"/>
    </row>
    <row r="3734">
      <c r="B3734" s="6"/>
      <c r="C3734" s="33" t="str">
        <f t="array" ref="C3734">IF(B3734="", "", XLOOKUP(B3734, Inventory!D:D,Inventory!E:E,"No Name Found"))</f>
        <v/>
      </c>
      <c r="D3734" s="6"/>
      <c r="E3734" s="6"/>
      <c r="F3734" s="6"/>
      <c r="G3734" s="24" t="str">
        <f>IF(F3734="", "", VLOOKUP(F3734, Inventory!A:BZ, 3, FALSE) - SUMIF($F$1:$F3733, F3734, $H$1:$H3733))
</f>
        <v/>
      </c>
      <c r="I3734" s="26"/>
      <c r="J3734" s="26" t="s">
        <v>77</v>
      </c>
      <c r="L3734" s="27" t="s">
        <v>77</v>
      </c>
      <c r="N3734" s="28" t="s">
        <v>77</v>
      </c>
      <c r="Q3734" s="30"/>
    </row>
    <row r="3735">
      <c r="B3735" s="6"/>
      <c r="C3735" s="33" t="str">
        <f t="array" ref="C3735">IF(B3735="", "", XLOOKUP(B3735, Inventory!D:D,Inventory!E:E,"No Name Found"))</f>
        <v/>
      </c>
      <c r="D3735" s="6"/>
      <c r="E3735" s="6"/>
      <c r="F3735" s="6"/>
      <c r="G3735" s="24" t="str">
        <f>IF(F3735="", "", VLOOKUP(F3735, Inventory!A:BZ, 3, FALSE) - SUMIF($F$1:$F3734, F3735, $H$1:$H3734))
</f>
        <v/>
      </c>
      <c r="I3735" s="26"/>
      <c r="J3735" s="26" t="s">
        <v>77</v>
      </c>
      <c r="L3735" s="27" t="s">
        <v>77</v>
      </c>
      <c r="N3735" s="28" t="s">
        <v>77</v>
      </c>
      <c r="Q3735" s="30"/>
    </row>
    <row r="3736">
      <c r="B3736" s="6"/>
      <c r="C3736" s="33" t="str">
        <f t="array" ref="C3736">IF(B3736="", "", XLOOKUP(B3736, Inventory!D:D,Inventory!E:E,"No Name Found"))</f>
        <v/>
      </c>
      <c r="D3736" s="6"/>
      <c r="E3736" s="6"/>
      <c r="F3736" s="6"/>
      <c r="G3736" s="24" t="str">
        <f>IF(F3736="", "", VLOOKUP(F3736, Inventory!A:BZ, 3, FALSE) - SUMIF($F$1:$F3735, F3736, $H$1:$H3735))
</f>
        <v/>
      </c>
      <c r="I3736" s="26"/>
      <c r="J3736" s="26" t="s">
        <v>77</v>
      </c>
      <c r="L3736" s="27" t="s">
        <v>77</v>
      </c>
      <c r="N3736" s="28" t="s">
        <v>77</v>
      </c>
      <c r="Q3736" s="30"/>
    </row>
    <row r="3737">
      <c r="B3737" s="6"/>
      <c r="C3737" s="33" t="str">
        <f t="array" ref="C3737">IF(B3737="", "", XLOOKUP(B3737, Inventory!D:D,Inventory!E:E,"No Name Found"))</f>
        <v/>
      </c>
      <c r="D3737" s="6"/>
      <c r="E3737" s="6"/>
      <c r="F3737" s="6"/>
      <c r="G3737" s="24" t="str">
        <f>IF(F3737="", "", VLOOKUP(F3737, Inventory!A:BZ, 3, FALSE) - SUMIF($F$1:$F3736, F3737, $H$1:$H3736))
</f>
        <v/>
      </c>
      <c r="I3737" s="26"/>
      <c r="J3737" s="26" t="s">
        <v>77</v>
      </c>
      <c r="L3737" s="27" t="s">
        <v>77</v>
      </c>
      <c r="N3737" s="28" t="s">
        <v>77</v>
      </c>
      <c r="Q3737" s="30"/>
    </row>
    <row r="3738">
      <c r="B3738" s="6"/>
      <c r="C3738" s="33" t="str">
        <f t="array" ref="C3738">IF(B3738="", "", XLOOKUP(B3738, Inventory!D:D,Inventory!E:E,"No Name Found"))</f>
        <v/>
      </c>
      <c r="D3738" s="6"/>
      <c r="E3738" s="6"/>
      <c r="F3738" s="6"/>
      <c r="G3738" s="24" t="str">
        <f>IF(F3738="", "", VLOOKUP(F3738, Inventory!A:BZ, 3, FALSE) - SUMIF($F$1:$F3737, F3738, $H$1:$H3737))
</f>
        <v/>
      </c>
      <c r="I3738" s="26"/>
      <c r="J3738" s="26" t="s">
        <v>77</v>
      </c>
      <c r="L3738" s="27" t="s">
        <v>77</v>
      </c>
      <c r="N3738" s="28" t="s">
        <v>77</v>
      </c>
      <c r="Q3738" s="30"/>
    </row>
    <row r="3739">
      <c r="B3739" s="6"/>
      <c r="C3739" s="33" t="str">
        <f t="array" ref="C3739">IF(B3739="", "", XLOOKUP(B3739, Inventory!D:D,Inventory!E:E,"No Name Found"))</f>
        <v/>
      </c>
      <c r="D3739" s="6"/>
      <c r="E3739" s="6"/>
      <c r="F3739" s="6"/>
      <c r="G3739" s="24" t="str">
        <f>IF(F3739="", "", VLOOKUP(F3739, Inventory!A:BZ, 3, FALSE) - SUMIF($F$1:$F3738, F3739, $H$1:$H3738))
</f>
        <v/>
      </c>
      <c r="I3739" s="26"/>
      <c r="J3739" s="26" t="s">
        <v>77</v>
      </c>
      <c r="L3739" s="27" t="s">
        <v>77</v>
      </c>
      <c r="N3739" s="28" t="s">
        <v>77</v>
      </c>
      <c r="Q3739" s="30"/>
    </row>
    <row r="3740">
      <c r="B3740" s="6"/>
      <c r="C3740" s="33" t="str">
        <f t="array" ref="C3740">IF(B3740="", "", XLOOKUP(B3740, Inventory!D:D,Inventory!E:E,"No Name Found"))</f>
        <v/>
      </c>
      <c r="D3740" s="6"/>
      <c r="E3740" s="6"/>
      <c r="F3740" s="6"/>
      <c r="G3740" s="24" t="str">
        <f>IF(F3740="", "", VLOOKUP(F3740, Inventory!A:BZ, 3, FALSE) - SUMIF($F$1:$F3739, F3740, $H$1:$H3739))
</f>
        <v/>
      </c>
      <c r="I3740" s="26"/>
      <c r="J3740" s="26" t="s">
        <v>77</v>
      </c>
      <c r="L3740" s="27" t="s">
        <v>77</v>
      </c>
      <c r="N3740" s="28" t="s">
        <v>77</v>
      </c>
      <c r="Q3740" s="30"/>
    </row>
    <row r="3741">
      <c r="B3741" s="6"/>
      <c r="C3741" s="33" t="str">
        <f t="array" ref="C3741">IF(B3741="", "", XLOOKUP(B3741, Inventory!D:D,Inventory!E:E,"No Name Found"))</f>
        <v/>
      </c>
      <c r="D3741" s="6"/>
      <c r="E3741" s="6"/>
      <c r="F3741" s="6"/>
      <c r="G3741" s="24" t="str">
        <f>IF(F3741="", "", VLOOKUP(F3741, Inventory!A:BZ, 3, FALSE) - SUMIF($F$1:$F3740, F3741, $H$1:$H3740))
</f>
        <v/>
      </c>
      <c r="I3741" s="26"/>
      <c r="J3741" s="26" t="s">
        <v>77</v>
      </c>
      <c r="L3741" s="27" t="s">
        <v>77</v>
      </c>
      <c r="N3741" s="28" t="s">
        <v>77</v>
      </c>
      <c r="Q3741" s="30"/>
    </row>
    <row r="3742">
      <c r="B3742" s="6"/>
      <c r="C3742" s="33" t="str">
        <f t="array" ref="C3742">IF(B3742="", "", XLOOKUP(B3742, Inventory!D:D,Inventory!E:E,"No Name Found"))</f>
        <v/>
      </c>
      <c r="D3742" s="6"/>
      <c r="E3742" s="6"/>
      <c r="F3742" s="6"/>
      <c r="G3742" s="24" t="str">
        <f>IF(F3742="", "", VLOOKUP(F3742, Inventory!A:BZ, 3, FALSE) - SUMIF($F$1:$F3741, F3742, $H$1:$H3741))
</f>
        <v/>
      </c>
      <c r="I3742" s="26"/>
      <c r="J3742" s="26" t="s">
        <v>77</v>
      </c>
      <c r="L3742" s="27" t="s">
        <v>77</v>
      </c>
      <c r="N3742" s="28" t="s">
        <v>77</v>
      </c>
      <c r="Q3742" s="30"/>
    </row>
    <row r="3743">
      <c r="B3743" s="6"/>
      <c r="C3743" s="33" t="str">
        <f t="array" ref="C3743">IF(B3743="", "", XLOOKUP(B3743, Inventory!D:D,Inventory!E:E,"No Name Found"))</f>
        <v/>
      </c>
      <c r="D3743" s="6"/>
      <c r="E3743" s="6"/>
      <c r="F3743" s="6"/>
      <c r="G3743" s="24" t="str">
        <f>IF(F3743="", "", VLOOKUP(F3743, Inventory!A:BZ, 3, FALSE) - SUMIF($F$1:$F3742, F3743, $H$1:$H3742))
</f>
        <v/>
      </c>
      <c r="I3743" s="26"/>
      <c r="J3743" s="26" t="s">
        <v>77</v>
      </c>
      <c r="L3743" s="27" t="s">
        <v>77</v>
      </c>
      <c r="N3743" s="28" t="s">
        <v>77</v>
      </c>
      <c r="Q3743" s="30"/>
    </row>
    <row r="3744">
      <c r="B3744" s="6"/>
      <c r="C3744" s="33" t="str">
        <f t="array" ref="C3744">IF(B3744="", "", XLOOKUP(B3744, Inventory!D:D,Inventory!E:E,"No Name Found"))</f>
        <v/>
      </c>
      <c r="D3744" s="6"/>
      <c r="E3744" s="6"/>
      <c r="F3744" s="6"/>
      <c r="G3744" s="24" t="str">
        <f>IF(F3744="", "", VLOOKUP(F3744, Inventory!A:BZ, 3, FALSE) - SUMIF($F$1:$F3743, F3744, $H$1:$H3743))
</f>
        <v/>
      </c>
      <c r="I3744" s="26"/>
      <c r="J3744" s="26" t="s">
        <v>77</v>
      </c>
      <c r="L3744" s="27" t="s">
        <v>77</v>
      </c>
      <c r="N3744" s="28" t="s">
        <v>77</v>
      </c>
      <c r="Q3744" s="30"/>
    </row>
    <row r="3745">
      <c r="B3745" s="6"/>
      <c r="C3745" s="33" t="str">
        <f t="array" ref="C3745">IF(B3745="", "", XLOOKUP(B3745, Inventory!D:D,Inventory!E:E,"No Name Found"))</f>
        <v/>
      </c>
      <c r="D3745" s="6"/>
      <c r="E3745" s="6"/>
      <c r="F3745" s="6"/>
      <c r="G3745" s="24" t="str">
        <f>IF(F3745="", "", VLOOKUP(F3745, Inventory!A:BZ, 3, FALSE) - SUMIF($F$1:$F3744, F3745, $H$1:$H3744))
</f>
        <v/>
      </c>
      <c r="I3745" s="26"/>
      <c r="J3745" s="26" t="s">
        <v>77</v>
      </c>
      <c r="L3745" s="27" t="s">
        <v>77</v>
      </c>
      <c r="N3745" s="28" t="s">
        <v>77</v>
      </c>
      <c r="Q3745" s="30"/>
    </row>
    <row r="3746">
      <c r="B3746" s="6"/>
      <c r="C3746" s="33" t="str">
        <f t="array" ref="C3746">IF(B3746="", "", XLOOKUP(B3746, Inventory!D:D,Inventory!E:E,"No Name Found"))</f>
        <v/>
      </c>
      <c r="D3746" s="6"/>
      <c r="E3746" s="6"/>
      <c r="F3746" s="6"/>
      <c r="G3746" s="24" t="str">
        <f>IF(F3746="", "", VLOOKUP(F3746, Inventory!A:BZ, 3, FALSE) - SUMIF($F$1:$F3745, F3746, $H$1:$H3745))
</f>
        <v/>
      </c>
      <c r="I3746" s="26"/>
      <c r="J3746" s="26" t="s">
        <v>77</v>
      </c>
      <c r="L3746" s="27" t="s">
        <v>77</v>
      </c>
      <c r="N3746" s="28" t="s">
        <v>77</v>
      </c>
      <c r="Q3746" s="30"/>
    </row>
    <row r="3747">
      <c r="B3747" s="6"/>
      <c r="C3747" s="33" t="str">
        <f t="array" ref="C3747">IF(B3747="", "", XLOOKUP(B3747, Inventory!D:D,Inventory!E:E,"No Name Found"))</f>
        <v/>
      </c>
      <c r="D3747" s="6"/>
      <c r="E3747" s="6"/>
      <c r="F3747" s="6"/>
      <c r="G3747" s="24" t="str">
        <f>IF(F3747="", "", VLOOKUP(F3747, Inventory!A:BZ, 3, FALSE) - SUMIF($F$1:$F3746, F3747, $H$1:$H3746))
</f>
        <v/>
      </c>
      <c r="I3747" s="26"/>
      <c r="J3747" s="26" t="s">
        <v>77</v>
      </c>
      <c r="L3747" s="27" t="s">
        <v>77</v>
      </c>
      <c r="N3747" s="28" t="s">
        <v>77</v>
      </c>
      <c r="Q3747" s="30"/>
    </row>
    <row r="3748">
      <c r="B3748" s="6"/>
      <c r="C3748" s="33" t="str">
        <f t="array" ref="C3748">IF(B3748="", "", XLOOKUP(B3748, Inventory!D:D,Inventory!E:E,"No Name Found"))</f>
        <v/>
      </c>
      <c r="D3748" s="6"/>
      <c r="E3748" s="6"/>
      <c r="F3748" s="6"/>
      <c r="G3748" s="24" t="str">
        <f>IF(F3748="", "", VLOOKUP(F3748, Inventory!A:BZ, 3, FALSE) - SUMIF($F$1:$F3747, F3748, $H$1:$H3747))
</f>
        <v/>
      </c>
      <c r="I3748" s="26"/>
      <c r="J3748" s="26" t="s">
        <v>77</v>
      </c>
      <c r="L3748" s="27" t="s">
        <v>77</v>
      </c>
      <c r="N3748" s="28" t="s">
        <v>77</v>
      </c>
      <c r="Q3748" s="30"/>
    </row>
    <row r="3749">
      <c r="B3749" s="6"/>
      <c r="C3749" s="33" t="str">
        <f t="array" ref="C3749">IF(B3749="", "", XLOOKUP(B3749, Inventory!D:D,Inventory!E:E,"No Name Found"))</f>
        <v/>
      </c>
      <c r="D3749" s="6"/>
      <c r="E3749" s="6"/>
      <c r="F3749" s="6"/>
      <c r="G3749" s="24" t="str">
        <f>IF(F3749="", "", VLOOKUP(F3749, Inventory!A:BZ, 3, FALSE) - SUMIF($F$1:$F3748, F3749, $H$1:$H3748))
</f>
        <v/>
      </c>
      <c r="I3749" s="26"/>
      <c r="J3749" s="26" t="s">
        <v>77</v>
      </c>
      <c r="L3749" s="27" t="s">
        <v>77</v>
      </c>
      <c r="N3749" s="28" t="s">
        <v>77</v>
      </c>
      <c r="Q3749" s="30"/>
    </row>
    <row r="3750">
      <c r="B3750" s="6"/>
      <c r="C3750" s="33" t="str">
        <f t="array" ref="C3750">IF(B3750="", "", XLOOKUP(B3750, Inventory!D:D,Inventory!E:E,"No Name Found"))</f>
        <v/>
      </c>
      <c r="D3750" s="6"/>
      <c r="E3750" s="6"/>
      <c r="F3750" s="6"/>
      <c r="G3750" s="24" t="str">
        <f>IF(F3750="", "", VLOOKUP(F3750, Inventory!A:BZ, 3, FALSE) - SUMIF($F$1:$F3749, F3750, $H$1:$H3749))
</f>
        <v/>
      </c>
      <c r="I3750" s="26"/>
      <c r="J3750" s="26" t="s">
        <v>77</v>
      </c>
      <c r="L3750" s="27" t="s">
        <v>77</v>
      </c>
      <c r="N3750" s="28" t="s">
        <v>77</v>
      </c>
      <c r="Q3750" s="30"/>
    </row>
    <row r="3751">
      <c r="B3751" s="6"/>
      <c r="C3751" s="33" t="str">
        <f t="array" ref="C3751">IF(B3751="", "", XLOOKUP(B3751, Inventory!D:D,Inventory!E:E,"No Name Found"))</f>
        <v/>
      </c>
      <c r="D3751" s="6"/>
      <c r="E3751" s="6"/>
      <c r="F3751" s="6"/>
      <c r="G3751" s="24" t="str">
        <f>IF(F3751="", "", VLOOKUP(F3751, Inventory!A:BZ, 3, FALSE) - SUMIF($F$1:$F3750, F3751, $H$1:$H3750))
</f>
        <v/>
      </c>
      <c r="I3751" s="26"/>
      <c r="J3751" s="26" t="s">
        <v>77</v>
      </c>
      <c r="L3751" s="27" t="s">
        <v>77</v>
      </c>
      <c r="N3751" s="28" t="s">
        <v>77</v>
      </c>
      <c r="Q3751" s="30"/>
    </row>
    <row r="3752">
      <c r="B3752" s="6"/>
      <c r="C3752" s="33" t="str">
        <f t="array" ref="C3752">IF(B3752="", "", XLOOKUP(B3752, Inventory!D:D,Inventory!E:E,"No Name Found"))</f>
        <v/>
      </c>
      <c r="D3752" s="6"/>
      <c r="E3752" s="6"/>
      <c r="F3752" s="6"/>
      <c r="G3752" s="24" t="str">
        <f>IF(F3752="", "", VLOOKUP(F3752, Inventory!A:BZ, 3, FALSE) - SUMIF($F$1:$F3751, F3752, $H$1:$H3751))
</f>
        <v/>
      </c>
      <c r="I3752" s="26"/>
      <c r="J3752" s="26" t="s">
        <v>77</v>
      </c>
      <c r="L3752" s="27" t="s">
        <v>77</v>
      </c>
      <c r="N3752" s="28" t="s">
        <v>77</v>
      </c>
      <c r="Q3752" s="30"/>
    </row>
    <row r="3753">
      <c r="B3753" s="6"/>
      <c r="C3753" s="33" t="str">
        <f t="array" ref="C3753">IF(B3753="", "", XLOOKUP(B3753, Inventory!D:D,Inventory!E:E,"No Name Found"))</f>
        <v/>
      </c>
      <c r="D3753" s="6"/>
      <c r="E3753" s="6"/>
      <c r="F3753" s="6"/>
      <c r="G3753" s="24" t="str">
        <f>IF(F3753="", "", VLOOKUP(F3753, Inventory!A:BZ, 3, FALSE) - SUMIF($F$1:$F3752, F3753, $H$1:$H3752))
</f>
        <v/>
      </c>
      <c r="I3753" s="26"/>
      <c r="J3753" s="26" t="s">
        <v>77</v>
      </c>
      <c r="L3753" s="27" t="s">
        <v>77</v>
      </c>
      <c r="N3753" s="28" t="s">
        <v>77</v>
      </c>
      <c r="Q3753" s="30"/>
    </row>
    <row r="3754">
      <c r="B3754" s="6"/>
      <c r="C3754" s="33" t="str">
        <f t="array" ref="C3754">IF(B3754="", "", XLOOKUP(B3754, Inventory!D:D,Inventory!E:E,"No Name Found"))</f>
        <v/>
      </c>
      <c r="D3754" s="6"/>
      <c r="E3754" s="6"/>
      <c r="F3754" s="6"/>
      <c r="G3754" s="24" t="str">
        <f>IF(F3754="", "", VLOOKUP(F3754, Inventory!A:BZ, 3, FALSE) - SUMIF($F$1:$F3753, F3754, $H$1:$H3753))
</f>
        <v/>
      </c>
      <c r="I3754" s="26"/>
      <c r="J3754" s="26" t="s">
        <v>77</v>
      </c>
      <c r="L3754" s="27" t="s">
        <v>77</v>
      </c>
      <c r="N3754" s="28" t="s">
        <v>77</v>
      </c>
      <c r="Q3754" s="30"/>
    </row>
    <row r="3755">
      <c r="B3755" s="6"/>
      <c r="C3755" s="33" t="str">
        <f t="array" ref="C3755">IF(B3755="", "", XLOOKUP(B3755, Inventory!D:D,Inventory!E:E,"No Name Found"))</f>
        <v/>
      </c>
      <c r="D3755" s="6"/>
      <c r="E3755" s="6"/>
      <c r="F3755" s="6"/>
      <c r="G3755" s="24" t="str">
        <f>IF(F3755="", "", VLOOKUP(F3755, Inventory!A:BZ, 3, FALSE) - SUMIF($F$1:$F3754, F3755, $H$1:$H3754))
</f>
        <v/>
      </c>
      <c r="I3755" s="26"/>
      <c r="J3755" s="26" t="s">
        <v>77</v>
      </c>
      <c r="L3755" s="27" t="s">
        <v>77</v>
      </c>
      <c r="N3755" s="28" t="s">
        <v>77</v>
      </c>
      <c r="Q3755" s="30"/>
    </row>
    <row r="3756">
      <c r="B3756" s="6"/>
      <c r="C3756" s="33" t="str">
        <f t="array" ref="C3756">IF(B3756="", "", XLOOKUP(B3756, Inventory!D:D,Inventory!E:E,"No Name Found"))</f>
        <v/>
      </c>
      <c r="D3756" s="6"/>
      <c r="E3756" s="6"/>
      <c r="F3756" s="6"/>
      <c r="G3756" s="24" t="str">
        <f>IF(F3756="", "", VLOOKUP(F3756, Inventory!A:BZ, 3, FALSE) - SUMIF($F$1:$F3755, F3756, $H$1:$H3755))
</f>
        <v/>
      </c>
      <c r="I3756" s="26"/>
      <c r="J3756" s="26" t="s">
        <v>77</v>
      </c>
      <c r="L3756" s="27" t="s">
        <v>77</v>
      </c>
      <c r="N3756" s="28" t="s">
        <v>77</v>
      </c>
      <c r="Q3756" s="30"/>
    </row>
    <row r="3757">
      <c r="B3757" s="6"/>
      <c r="C3757" s="33" t="str">
        <f t="array" ref="C3757">IF(B3757="", "", XLOOKUP(B3757, Inventory!D:D,Inventory!E:E,"No Name Found"))</f>
        <v/>
      </c>
      <c r="D3757" s="6"/>
      <c r="E3757" s="6"/>
      <c r="F3757" s="6"/>
      <c r="G3757" s="24" t="str">
        <f>IF(F3757="", "", VLOOKUP(F3757, Inventory!A:BZ, 3, FALSE) - SUMIF($F$1:$F3756, F3757, $H$1:$H3756))
</f>
        <v/>
      </c>
      <c r="I3757" s="26"/>
      <c r="J3757" s="26" t="s">
        <v>77</v>
      </c>
      <c r="L3757" s="27" t="s">
        <v>77</v>
      </c>
      <c r="N3757" s="28" t="s">
        <v>77</v>
      </c>
      <c r="Q3757" s="30"/>
    </row>
    <row r="3758">
      <c r="B3758" s="6"/>
      <c r="C3758" s="33" t="str">
        <f t="array" ref="C3758">IF(B3758="", "", XLOOKUP(B3758, Inventory!D:D,Inventory!E:E,"No Name Found"))</f>
        <v/>
      </c>
      <c r="D3758" s="6"/>
      <c r="E3758" s="6"/>
      <c r="F3758" s="6"/>
      <c r="G3758" s="24" t="str">
        <f>IF(F3758="", "", VLOOKUP(F3758, Inventory!A:BZ, 3, FALSE) - SUMIF($F$1:$F3757, F3758, $H$1:$H3757))
</f>
        <v/>
      </c>
      <c r="I3758" s="26"/>
      <c r="J3758" s="26" t="s">
        <v>77</v>
      </c>
      <c r="L3758" s="27" t="s">
        <v>77</v>
      </c>
      <c r="N3758" s="28" t="s">
        <v>77</v>
      </c>
      <c r="Q3758" s="30"/>
    </row>
    <row r="3759">
      <c r="B3759" s="6"/>
      <c r="C3759" s="33" t="str">
        <f t="array" ref="C3759">IF(B3759="", "", XLOOKUP(B3759, Inventory!D:D,Inventory!E:E,"No Name Found"))</f>
        <v/>
      </c>
      <c r="D3759" s="6"/>
      <c r="E3759" s="6"/>
      <c r="F3759" s="6"/>
      <c r="G3759" s="24" t="str">
        <f>IF(F3759="", "", VLOOKUP(F3759, Inventory!A:BZ, 3, FALSE) - SUMIF($F$1:$F3758, F3759, $H$1:$H3758))
</f>
        <v/>
      </c>
      <c r="I3759" s="26"/>
      <c r="J3759" s="26" t="s">
        <v>77</v>
      </c>
      <c r="L3759" s="27" t="s">
        <v>77</v>
      </c>
      <c r="N3759" s="28" t="s">
        <v>77</v>
      </c>
      <c r="Q3759" s="30"/>
    </row>
    <row r="3760">
      <c r="B3760" s="6"/>
      <c r="C3760" s="33" t="str">
        <f t="array" ref="C3760">IF(B3760="", "", XLOOKUP(B3760, Inventory!D:D,Inventory!E:E,"No Name Found"))</f>
        <v/>
      </c>
      <c r="D3760" s="6"/>
      <c r="E3760" s="6"/>
      <c r="F3760" s="6"/>
      <c r="G3760" s="24" t="str">
        <f>IF(F3760="", "", VLOOKUP(F3760, Inventory!A:BZ, 3, FALSE) - SUMIF($F$1:$F3759, F3760, $H$1:$H3759))
</f>
        <v/>
      </c>
      <c r="I3760" s="26"/>
      <c r="J3760" s="26" t="s">
        <v>77</v>
      </c>
      <c r="L3760" s="27" t="s">
        <v>77</v>
      </c>
      <c r="N3760" s="28" t="s">
        <v>77</v>
      </c>
      <c r="Q3760" s="30"/>
    </row>
    <row r="3761">
      <c r="B3761" s="6"/>
      <c r="C3761" s="33" t="str">
        <f t="array" ref="C3761">IF(B3761="", "", XLOOKUP(B3761, Inventory!D:D,Inventory!E:E,"No Name Found"))</f>
        <v/>
      </c>
      <c r="D3761" s="6"/>
      <c r="E3761" s="6"/>
      <c r="F3761" s="6"/>
      <c r="G3761" s="24" t="str">
        <f>IF(F3761="", "", VLOOKUP(F3761, Inventory!A:BZ, 3, FALSE) - SUMIF($F$1:$F3760, F3761, $H$1:$H3760))
</f>
        <v/>
      </c>
      <c r="I3761" s="26"/>
      <c r="J3761" s="26" t="s">
        <v>77</v>
      </c>
      <c r="L3761" s="27" t="s">
        <v>77</v>
      </c>
      <c r="N3761" s="28" t="s">
        <v>77</v>
      </c>
      <c r="Q3761" s="30"/>
    </row>
    <row r="3762">
      <c r="B3762" s="6"/>
      <c r="C3762" s="33" t="str">
        <f t="array" ref="C3762">IF(B3762="", "", XLOOKUP(B3762, Inventory!D:D,Inventory!E:E,"No Name Found"))</f>
        <v/>
      </c>
      <c r="D3762" s="6"/>
      <c r="E3762" s="6"/>
      <c r="F3762" s="6"/>
      <c r="G3762" s="24" t="str">
        <f>IF(F3762="", "", VLOOKUP(F3762, Inventory!A:BZ, 3, FALSE) - SUMIF($F$1:$F3761, F3762, $H$1:$H3761))
</f>
        <v/>
      </c>
      <c r="I3762" s="26"/>
      <c r="J3762" s="26" t="s">
        <v>77</v>
      </c>
      <c r="L3762" s="27" t="s">
        <v>77</v>
      </c>
      <c r="N3762" s="28" t="s">
        <v>77</v>
      </c>
      <c r="Q3762" s="30"/>
    </row>
    <row r="3763">
      <c r="B3763" s="6"/>
      <c r="C3763" s="33" t="str">
        <f t="array" ref="C3763">IF(B3763="", "", XLOOKUP(B3763, Inventory!D:D,Inventory!E:E,"No Name Found"))</f>
        <v/>
      </c>
      <c r="D3763" s="6"/>
      <c r="E3763" s="6"/>
      <c r="F3763" s="6"/>
      <c r="G3763" s="24" t="str">
        <f>IF(F3763="", "", VLOOKUP(F3763, Inventory!A:BZ, 3, FALSE) - SUMIF($F$1:$F3762, F3763, $H$1:$H3762))
</f>
        <v/>
      </c>
      <c r="I3763" s="26"/>
      <c r="J3763" s="26" t="s">
        <v>77</v>
      </c>
      <c r="L3763" s="27" t="s">
        <v>77</v>
      </c>
      <c r="N3763" s="28" t="s">
        <v>77</v>
      </c>
      <c r="Q3763" s="30"/>
    </row>
    <row r="3764">
      <c r="B3764" s="6"/>
      <c r="C3764" s="33" t="str">
        <f t="array" ref="C3764">IF(B3764="", "", XLOOKUP(B3764, Inventory!D:D,Inventory!E:E,"No Name Found"))</f>
        <v/>
      </c>
      <c r="D3764" s="6"/>
      <c r="E3764" s="6"/>
      <c r="F3764" s="6"/>
      <c r="G3764" s="24" t="str">
        <f>IF(F3764="", "", VLOOKUP(F3764, Inventory!A:BZ, 3, FALSE) - SUMIF($F$1:$F3763, F3764, $H$1:$H3763))
</f>
        <v/>
      </c>
      <c r="I3764" s="26"/>
      <c r="J3764" s="26" t="s">
        <v>77</v>
      </c>
      <c r="L3764" s="27" t="s">
        <v>77</v>
      </c>
      <c r="N3764" s="28" t="s">
        <v>77</v>
      </c>
      <c r="Q3764" s="30"/>
    </row>
    <row r="3765">
      <c r="B3765" s="6"/>
      <c r="C3765" s="33" t="str">
        <f t="array" ref="C3765">IF(B3765="", "", XLOOKUP(B3765, Inventory!D:D,Inventory!E:E,"No Name Found"))</f>
        <v/>
      </c>
      <c r="D3765" s="6"/>
      <c r="E3765" s="6"/>
      <c r="F3765" s="6"/>
      <c r="G3765" s="24" t="str">
        <f>IF(F3765="", "", VLOOKUP(F3765, Inventory!A:BZ, 3, FALSE) - SUMIF($F$1:$F3764, F3765, $H$1:$H3764))
</f>
        <v/>
      </c>
      <c r="I3765" s="26"/>
      <c r="J3765" s="26" t="s">
        <v>77</v>
      </c>
      <c r="L3765" s="27" t="s">
        <v>77</v>
      </c>
      <c r="N3765" s="28" t="s">
        <v>77</v>
      </c>
      <c r="Q3765" s="30"/>
    </row>
    <row r="3766">
      <c r="B3766" s="6"/>
      <c r="C3766" s="33" t="str">
        <f t="array" ref="C3766">IF(B3766="", "", XLOOKUP(B3766, Inventory!D:D,Inventory!E:E,"No Name Found"))</f>
        <v/>
      </c>
      <c r="D3766" s="6"/>
      <c r="E3766" s="6"/>
      <c r="F3766" s="6"/>
      <c r="G3766" s="24" t="str">
        <f>IF(F3766="", "", VLOOKUP(F3766, Inventory!A:BZ, 3, FALSE) - SUMIF($F$1:$F3765, F3766, $H$1:$H3765))
</f>
        <v/>
      </c>
      <c r="I3766" s="26"/>
      <c r="J3766" s="26" t="s">
        <v>77</v>
      </c>
      <c r="L3766" s="27" t="s">
        <v>77</v>
      </c>
      <c r="N3766" s="28" t="s">
        <v>77</v>
      </c>
      <c r="Q3766" s="30"/>
    </row>
    <row r="3767">
      <c r="B3767" s="6"/>
      <c r="C3767" s="33" t="str">
        <f t="array" ref="C3767">IF(B3767="", "", XLOOKUP(B3767, Inventory!D:D,Inventory!E:E,"No Name Found"))</f>
        <v/>
      </c>
      <c r="D3767" s="6"/>
      <c r="E3767" s="6"/>
      <c r="F3767" s="6"/>
      <c r="G3767" s="24" t="str">
        <f>IF(F3767="", "", VLOOKUP(F3767, Inventory!A:BZ, 3, FALSE) - SUMIF($F$1:$F3766, F3767, $H$1:$H3766))
</f>
        <v/>
      </c>
      <c r="I3767" s="26"/>
      <c r="J3767" s="26" t="s">
        <v>77</v>
      </c>
      <c r="L3767" s="27" t="s">
        <v>77</v>
      </c>
      <c r="N3767" s="28" t="s">
        <v>77</v>
      </c>
      <c r="Q3767" s="30"/>
    </row>
    <row r="3768">
      <c r="B3768" s="6"/>
      <c r="C3768" s="33" t="str">
        <f t="array" ref="C3768">IF(B3768="", "", XLOOKUP(B3768, Inventory!D:D,Inventory!E:E,"No Name Found"))</f>
        <v/>
      </c>
      <c r="D3768" s="6"/>
      <c r="E3768" s="6"/>
      <c r="F3768" s="6"/>
      <c r="G3768" s="24" t="str">
        <f>IF(F3768="", "", VLOOKUP(F3768, Inventory!A:BZ, 3, FALSE) - SUMIF($F$1:$F3767, F3768, $H$1:$H3767))
</f>
        <v/>
      </c>
      <c r="I3768" s="26"/>
      <c r="J3768" s="26" t="s">
        <v>77</v>
      </c>
      <c r="L3768" s="27" t="s">
        <v>77</v>
      </c>
      <c r="N3768" s="28" t="s">
        <v>77</v>
      </c>
      <c r="Q3768" s="30"/>
    </row>
    <row r="3769">
      <c r="B3769" s="6"/>
      <c r="C3769" s="33" t="str">
        <f t="array" ref="C3769">IF(B3769="", "", XLOOKUP(B3769, Inventory!D:D,Inventory!E:E,"No Name Found"))</f>
        <v/>
      </c>
      <c r="D3769" s="6"/>
      <c r="E3769" s="6"/>
      <c r="F3769" s="6"/>
      <c r="G3769" s="24" t="str">
        <f>IF(F3769="", "", VLOOKUP(F3769, Inventory!A:BZ, 3, FALSE) - SUMIF($F$1:$F3768, F3769, $H$1:$H3768))
</f>
        <v/>
      </c>
      <c r="I3769" s="26"/>
      <c r="J3769" s="26" t="s">
        <v>77</v>
      </c>
      <c r="L3769" s="27" t="s">
        <v>77</v>
      </c>
      <c r="N3769" s="28" t="s">
        <v>77</v>
      </c>
      <c r="Q3769" s="30"/>
    </row>
    <row r="3770">
      <c r="B3770" s="6"/>
      <c r="C3770" s="33" t="str">
        <f t="array" ref="C3770">IF(B3770="", "", XLOOKUP(B3770, Inventory!D:D,Inventory!E:E,"No Name Found"))</f>
        <v/>
      </c>
      <c r="D3770" s="6"/>
      <c r="E3770" s="6"/>
      <c r="F3770" s="6"/>
      <c r="G3770" s="24" t="str">
        <f>IF(F3770="", "", VLOOKUP(F3770, Inventory!A:BZ, 3, FALSE) - SUMIF($F$1:$F3769, F3770, $H$1:$H3769))
</f>
        <v/>
      </c>
      <c r="I3770" s="26"/>
      <c r="J3770" s="26" t="s">
        <v>77</v>
      </c>
      <c r="L3770" s="27" t="s">
        <v>77</v>
      </c>
      <c r="N3770" s="28" t="s">
        <v>77</v>
      </c>
      <c r="Q3770" s="30"/>
    </row>
    <row r="3771">
      <c r="B3771" s="6"/>
      <c r="C3771" s="33" t="str">
        <f t="array" ref="C3771">IF(B3771="", "", XLOOKUP(B3771, Inventory!D:D,Inventory!E:E,"No Name Found"))</f>
        <v/>
      </c>
      <c r="D3771" s="6"/>
      <c r="E3771" s="6"/>
      <c r="F3771" s="6"/>
      <c r="G3771" s="24" t="str">
        <f>IF(F3771="", "", VLOOKUP(F3771, Inventory!A:BZ, 3, FALSE) - SUMIF($F$1:$F3770, F3771, $H$1:$H3770))
</f>
        <v/>
      </c>
      <c r="I3771" s="26"/>
      <c r="J3771" s="26" t="s">
        <v>77</v>
      </c>
      <c r="L3771" s="27" t="s">
        <v>77</v>
      </c>
      <c r="N3771" s="28" t="s">
        <v>77</v>
      </c>
      <c r="Q3771" s="30"/>
    </row>
    <row r="3772">
      <c r="B3772" s="6"/>
      <c r="C3772" s="33" t="str">
        <f t="array" ref="C3772">IF(B3772="", "", XLOOKUP(B3772, Inventory!D:D,Inventory!E:E,"No Name Found"))</f>
        <v/>
      </c>
      <c r="D3772" s="6"/>
      <c r="E3772" s="6"/>
      <c r="F3772" s="6"/>
      <c r="G3772" s="24" t="str">
        <f>IF(F3772="", "", VLOOKUP(F3772, Inventory!A:BZ, 3, FALSE) - SUMIF($F$1:$F3771, F3772, $H$1:$H3771))
</f>
        <v/>
      </c>
      <c r="I3772" s="26"/>
      <c r="J3772" s="26" t="s">
        <v>77</v>
      </c>
      <c r="L3772" s="27" t="s">
        <v>77</v>
      </c>
      <c r="N3772" s="28" t="s">
        <v>77</v>
      </c>
      <c r="Q3772" s="30"/>
    </row>
    <row r="3773">
      <c r="B3773" s="6"/>
      <c r="C3773" s="33" t="str">
        <f t="array" ref="C3773">IF(B3773="", "", XLOOKUP(B3773, Inventory!D:D,Inventory!E:E,"No Name Found"))</f>
        <v/>
      </c>
      <c r="D3773" s="6"/>
      <c r="E3773" s="6"/>
      <c r="F3773" s="6"/>
      <c r="G3773" s="24" t="str">
        <f>IF(F3773="", "", VLOOKUP(F3773, Inventory!A:BZ, 3, FALSE) - SUMIF($F$1:$F3772, F3773, $H$1:$H3772))
</f>
        <v/>
      </c>
      <c r="I3773" s="26"/>
      <c r="J3773" s="26" t="s">
        <v>77</v>
      </c>
      <c r="L3773" s="27" t="s">
        <v>77</v>
      </c>
      <c r="N3773" s="28" t="s">
        <v>77</v>
      </c>
      <c r="Q3773" s="30"/>
    </row>
    <row r="3774">
      <c r="B3774" s="6"/>
      <c r="C3774" s="33" t="str">
        <f t="array" ref="C3774">IF(B3774="", "", XLOOKUP(B3774, Inventory!D:D,Inventory!E:E,"No Name Found"))</f>
        <v/>
      </c>
      <c r="D3774" s="6"/>
      <c r="E3774" s="6"/>
      <c r="F3774" s="6"/>
      <c r="G3774" s="24" t="str">
        <f>IF(F3774="", "", VLOOKUP(F3774, Inventory!A:BZ, 3, FALSE) - SUMIF($F$1:$F3773, F3774, $H$1:$H3773))
</f>
        <v/>
      </c>
      <c r="I3774" s="26"/>
      <c r="J3774" s="26" t="s">
        <v>77</v>
      </c>
      <c r="L3774" s="27" t="s">
        <v>77</v>
      </c>
      <c r="N3774" s="28" t="s">
        <v>77</v>
      </c>
      <c r="Q3774" s="30"/>
    </row>
    <row r="3775">
      <c r="B3775" s="6"/>
      <c r="C3775" s="33" t="str">
        <f t="array" ref="C3775">IF(B3775="", "", XLOOKUP(B3775, Inventory!D:D,Inventory!E:E,"No Name Found"))</f>
        <v/>
      </c>
      <c r="D3775" s="6"/>
      <c r="E3775" s="6"/>
      <c r="F3775" s="6"/>
      <c r="G3775" s="24" t="str">
        <f>IF(F3775="", "", VLOOKUP(F3775, Inventory!A:BZ, 3, FALSE) - SUMIF($F$1:$F3774, F3775, $H$1:$H3774))
</f>
        <v/>
      </c>
      <c r="I3775" s="26"/>
      <c r="J3775" s="26" t="s">
        <v>77</v>
      </c>
      <c r="L3775" s="27" t="s">
        <v>77</v>
      </c>
      <c r="N3775" s="28" t="s">
        <v>77</v>
      </c>
      <c r="Q3775" s="30"/>
    </row>
    <row r="3776">
      <c r="B3776" s="6"/>
      <c r="C3776" s="33" t="str">
        <f t="array" ref="C3776">IF(B3776="", "", XLOOKUP(B3776, Inventory!D:D,Inventory!E:E,"No Name Found"))</f>
        <v/>
      </c>
      <c r="D3776" s="6"/>
      <c r="E3776" s="6"/>
      <c r="F3776" s="6"/>
      <c r="G3776" s="24" t="str">
        <f>IF(F3776="", "", VLOOKUP(F3776, Inventory!A:BZ, 3, FALSE) - SUMIF($F$1:$F3775, F3776, $H$1:$H3775))
</f>
        <v/>
      </c>
      <c r="I3776" s="26"/>
      <c r="J3776" s="26" t="s">
        <v>77</v>
      </c>
      <c r="L3776" s="27" t="s">
        <v>77</v>
      </c>
      <c r="N3776" s="28" t="s">
        <v>77</v>
      </c>
      <c r="Q3776" s="30"/>
    </row>
    <row r="3777">
      <c r="B3777" s="6"/>
      <c r="C3777" s="33" t="str">
        <f t="array" ref="C3777">IF(B3777="", "", XLOOKUP(B3777, Inventory!D:D,Inventory!E:E,"No Name Found"))</f>
        <v/>
      </c>
      <c r="D3777" s="6"/>
      <c r="E3777" s="6"/>
      <c r="F3777" s="6"/>
      <c r="G3777" s="24" t="str">
        <f>IF(F3777="", "", VLOOKUP(F3777, Inventory!A:BZ, 3, FALSE) - SUMIF($F$1:$F3776, F3777, $H$1:$H3776))
</f>
        <v/>
      </c>
      <c r="I3777" s="26"/>
      <c r="J3777" s="26" t="s">
        <v>77</v>
      </c>
      <c r="L3777" s="27" t="s">
        <v>77</v>
      </c>
      <c r="N3777" s="28" t="s">
        <v>77</v>
      </c>
      <c r="Q3777" s="30"/>
    </row>
    <row r="3778">
      <c r="B3778" s="6"/>
      <c r="C3778" s="33" t="str">
        <f t="array" ref="C3778">IF(B3778="", "", XLOOKUP(B3778, Inventory!D:D,Inventory!E:E,"No Name Found"))</f>
        <v/>
      </c>
      <c r="D3778" s="6"/>
      <c r="E3778" s="6"/>
      <c r="F3778" s="6"/>
      <c r="G3778" s="24" t="str">
        <f>IF(F3778="", "", VLOOKUP(F3778, Inventory!A:BZ, 3, FALSE) - SUMIF($F$1:$F3777, F3778, $H$1:$H3777))
</f>
        <v/>
      </c>
      <c r="I3778" s="26"/>
      <c r="J3778" s="26" t="s">
        <v>77</v>
      </c>
      <c r="L3778" s="27" t="s">
        <v>77</v>
      </c>
      <c r="N3778" s="28" t="s">
        <v>77</v>
      </c>
      <c r="Q3778" s="30"/>
    </row>
    <row r="3779">
      <c r="B3779" s="6"/>
      <c r="C3779" s="33" t="str">
        <f t="array" ref="C3779">IF(B3779="", "", XLOOKUP(B3779, Inventory!D:D,Inventory!E:E,"No Name Found"))</f>
        <v/>
      </c>
      <c r="D3779" s="6"/>
      <c r="E3779" s="6"/>
      <c r="F3779" s="6"/>
      <c r="G3779" s="24" t="str">
        <f>IF(F3779="", "", VLOOKUP(F3779, Inventory!A:BZ, 3, FALSE) - SUMIF($F$1:$F3778, F3779, $H$1:$H3778))
</f>
        <v/>
      </c>
      <c r="I3779" s="26"/>
      <c r="J3779" s="26" t="s">
        <v>77</v>
      </c>
      <c r="L3779" s="27" t="s">
        <v>77</v>
      </c>
      <c r="N3779" s="28" t="s">
        <v>77</v>
      </c>
      <c r="Q3779" s="30"/>
    </row>
    <row r="3780">
      <c r="B3780" s="6"/>
      <c r="C3780" s="33" t="str">
        <f t="array" ref="C3780">IF(B3780="", "", XLOOKUP(B3780, Inventory!D:D,Inventory!E:E,"No Name Found"))</f>
        <v/>
      </c>
      <c r="D3780" s="6"/>
      <c r="E3780" s="6"/>
      <c r="F3780" s="6"/>
      <c r="G3780" s="24" t="str">
        <f>IF(F3780="", "", VLOOKUP(F3780, Inventory!A:BZ, 3, FALSE) - SUMIF($F$1:$F3779, F3780, $H$1:$H3779))
</f>
        <v/>
      </c>
      <c r="I3780" s="26"/>
      <c r="J3780" s="26" t="s">
        <v>77</v>
      </c>
      <c r="L3780" s="27" t="s">
        <v>77</v>
      </c>
      <c r="N3780" s="28" t="s">
        <v>77</v>
      </c>
      <c r="Q3780" s="30"/>
    </row>
    <row r="3781">
      <c r="B3781" s="6"/>
      <c r="C3781" s="33" t="str">
        <f t="array" ref="C3781">IF(B3781="", "", XLOOKUP(B3781, Inventory!D:D,Inventory!E:E,"No Name Found"))</f>
        <v/>
      </c>
      <c r="D3781" s="6"/>
      <c r="E3781" s="6"/>
      <c r="F3781" s="6"/>
      <c r="G3781" s="24" t="str">
        <f>IF(F3781="", "", VLOOKUP(F3781, Inventory!A:BZ, 3, FALSE) - SUMIF($F$1:$F3780, F3781, $H$1:$H3780))
</f>
        <v/>
      </c>
      <c r="I3781" s="26"/>
      <c r="J3781" s="26" t="s">
        <v>77</v>
      </c>
      <c r="L3781" s="27" t="s">
        <v>77</v>
      </c>
      <c r="N3781" s="28" t="s">
        <v>77</v>
      </c>
      <c r="Q3781" s="30"/>
    </row>
    <row r="3782">
      <c r="B3782" s="6"/>
      <c r="C3782" s="33" t="str">
        <f t="array" ref="C3782">IF(B3782="", "", XLOOKUP(B3782, Inventory!D:D,Inventory!E:E,"No Name Found"))</f>
        <v/>
      </c>
      <c r="D3782" s="6"/>
      <c r="E3782" s="6"/>
      <c r="F3782" s="6"/>
      <c r="G3782" s="24" t="str">
        <f>IF(F3782="", "", VLOOKUP(F3782, Inventory!A:BZ, 3, FALSE) - SUMIF($F$1:$F3781, F3782, $H$1:$H3781))
</f>
        <v/>
      </c>
      <c r="I3782" s="26"/>
      <c r="J3782" s="26" t="s">
        <v>77</v>
      </c>
      <c r="L3782" s="27" t="s">
        <v>77</v>
      </c>
      <c r="N3782" s="28" t="s">
        <v>77</v>
      </c>
      <c r="Q3782" s="30"/>
    </row>
    <row r="3783">
      <c r="B3783" s="6"/>
      <c r="C3783" s="33" t="str">
        <f t="array" ref="C3783">IF(B3783="", "", XLOOKUP(B3783, Inventory!D:D,Inventory!E:E,"No Name Found"))</f>
        <v/>
      </c>
      <c r="D3783" s="6"/>
      <c r="E3783" s="6"/>
      <c r="F3783" s="6"/>
      <c r="G3783" s="24" t="str">
        <f>IF(F3783="", "", VLOOKUP(F3783, Inventory!A:BZ, 3, FALSE) - SUMIF($F$1:$F3782, F3783, $H$1:$H3782))
</f>
        <v/>
      </c>
      <c r="I3783" s="26"/>
      <c r="J3783" s="26" t="s">
        <v>77</v>
      </c>
      <c r="L3783" s="27" t="s">
        <v>77</v>
      </c>
      <c r="N3783" s="28" t="s">
        <v>77</v>
      </c>
      <c r="Q3783" s="30"/>
    </row>
    <row r="3784">
      <c r="B3784" s="6"/>
      <c r="C3784" s="33" t="str">
        <f t="array" ref="C3784">IF(B3784="", "", XLOOKUP(B3784, Inventory!D:D,Inventory!E:E,"No Name Found"))</f>
        <v/>
      </c>
      <c r="D3784" s="6"/>
      <c r="E3784" s="6"/>
      <c r="F3784" s="6"/>
      <c r="G3784" s="24" t="str">
        <f>IF(F3784="", "", VLOOKUP(F3784, Inventory!A:BZ, 3, FALSE) - SUMIF($F$1:$F3783, F3784, $H$1:$H3783))
</f>
        <v/>
      </c>
      <c r="I3784" s="26"/>
      <c r="J3784" s="26" t="s">
        <v>77</v>
      </c>
      <c r="L3784" s="27" t="s">
        <v>77</v>
      </c>
      <c r="N3784" s="28" t="s">
        <v>77</v>
      </c>
      <c r="Q3784" s="30"/>
    </row>
    <row r="3785">
      <c r="B3785" s="6"/>
      <c r="C3785" s="33" t="str">
        <f t="array" ref="C3785">IF(B3785="", "", XLOOKUP(B3785, Inventory!D:D,Inventory!E:E,"No Name Found"))</f>
        <v/>
      </c>
      <c r="D3785" s="6"/>
      <c r="E3785" s="6"/>
      <c r="F3785" s="6"/>
      <c r="G3785" s="24" t="str">
        <f>IF(F3785="", "", VLOOKUP(F3785, Inventory!A:BZ, 3, FALSE) - SUMIF($F$1:$F3784, F3785, $H$1:$H3784))
</f>
        <v/>
      </c>
      <c r="I3785" s="26"/>
      <c r="J3785" s="26" t="s">
        <v>77</v>
      </c>
      <c r="L3785" s="27" t="s">
        <v>77</v>
      </c>
      <c r="N3785" s="28" t="s">
        <v>77</v>
      </c>
      <c r="Q3785" s="30"/>
    </row>
    <row r="3786">
      <c r="B3786" s="6"/>
      <c r="C3786" s="33" t="str">
        <f t="array" ref="C3786">IF(B3786="", "", XLOOKUP(B3786, Inventory!D:D,Inventory!E:E,"No Name Found"))</f>
        <v/>
      </c>
      <c r="D3786" s="6"/>
      <c r="E3786" s="6"/>
      <c r="F3786" s="6"/>
      <c r="G3786" s="24" t="str">
        <f>IF(F3786="", "", VLOOKUP(F3786, Inventory!A:BZ, 3, FALSE) - SUMIF($F$1:$F3785, F3786, $H$1:$H3785))
</f>
        <v/>
      </c>
      <c r="I3786" s="26"/>
      <c r="J3786" s="26" t="s">
        <v>77</v>
      </c>
      <c r="L3786" s="27" t="s">
        <v>77</v>
      </c>
      <c r="N3786" s="28" t="s">
        <v>77</v>
      </c>
      <c r="Q3786" s="30"/>
    </row>
    <row r="3787">
      <c r="B3787" s="6"/>
      <c r="C3787" s="33" t="str">
        <f t="array" ref="C3787">IF(B3787="", "", XLOOKUP(B3787, Inventory!D:D,Inventory!E:E,"No Name Found"))</f>
        <v/>
      </c>
      <c r="D3787" s="6"/>
      <c r="E3787" s="6"/>
      <c r="F3787" s="6"/>
      <c r="G3787" s="24" t="str">
        <f>IF(F3787="", "", VLOOKUP(F3787, Inventory!A:BZ, 3, FALSE) - SUMIF($F$1:$F3786, F3787, $H$1:$H3786))
</f>
        <v/>
      </c>
      <c r="I3787" s="26"/>
      <c r="J3787" s="26" t="s">
        <v>77</v>
      </c>
      <c r="L3787" s="27" t="s">
        <v>77</v>
      </c>
      <c r="N3787" s="28" t="s">
        <v>77</v>
      </c>
      <c r="Q3787" s="30"/>
    </row>
    <row r="3788">
      <c r="B3788" s="6"/>
      <c r="C3788" s="33" t="str">
        <f t="array" ref="C3788">IF(B3788="", "", XLOOKUP(B3788, Inventory!D:D,Inventory!E:E,"No Name Found"))</f>
        <v/>
      </c>
      <c r="D3788" s="6"/>
      <c r="E3788" s="6"/>
      <c r="F3788" s="6"/>
      <c r="G3788" s="24" t="str">
        <f>IF(F3788="", "", VLOOKUP(F3788, Inventory!A:BZ, 3, FALSE) - SUMIF($F$1:$F3787, F3788, $H$1:$H3787))
</f>
        <v/>
      </c>
      <c r="I3788" s="26"/>
      <c r="J3788" s="26" t="s">
        <v>77</v>
      </c>
      <c r="L3788" s="27" t="s">
        <v>77</v>
      </c>
      <c r="N3788" s="28" t="s">
        <v>77</v>
      </c>
      <c r="Q3788" s="30"/>
    </row>
    <row r="3789">
      <c r="B3789" s="6"/>
      <c r="C3789" s="33" t="str">
        <f t="array" ref="C3789">IF(B3789="", "", XLOOKUP(B3789, Inventory!D:D,Inventory!E:E,"No Name Found"))</f>
        <v/>
      </c>
      <c r="D3789" s="6"/>
      <c r="E3789" s="6"/>
      <c r="F3789" s="6"/>
      <c r="G3789" s="24" t="str">
        <f>IF(F3789="", "", VLOOKUP(F3789, Inventory!A:BZ, 3, FALSE) - SUMIF($F$1:$F3788, F3789, $H$1:$H3788))
</f>
        <v/>
      </c>
      <c r="I3789" s="26"/>
      <c r="J3789" s="26" t="s">
        <v>77</v>
      </c>
      <c r="L3789" s="27" t="s">
        <v>77</v>
      </c>
      <c r="N3789" s="28" t="s">
        <v>77</v>
      </c>
      <c r="Q3789" s="30"/>
    </row>
    <row r="3790">
      <c r="B3790" s="6"/>
      <c r="C3790" s="33" t="str">
        <f t="array" ref="C3790">IF(B3790="", "", XLOOKUP(B3790, Inventory!D:D,Inventory!E:E,"No Name Found"))</f>
        <v/>
      </c>
      <c r="D3790" s="6"/>
      <c r="E3790" s="6"/>
      <c r="F3790" s="6"/>
      <c r="G3790" s="24" t="str">
        <f>IF(F3790="", "", VLOOKUP(F3790, Inventory!A:BZ, 3, FALSE) - SUMIF($F$1:$F3789, F3790, $H$1:$H3789))
</f>
        <v/>
      </c>
      <c r="I3790" s="26"/>
      <c r="J3790" s="26" t="s">
        <v>77</v>
      </c>
      <c r="L3790" s="27" t="s">
        <v>77</v>
      </c>
      <c r="N3790" s="28" t="s">
        <v>77</v>
      </c>
      <c r="Q3790" s="30"/>
    </row>
    <row r="3791">
      <c r="B3791" s="6"/>
      <c r="C3791" s="33" t="str">
        <f t="array" ref="C3791">IF(B3791="", "", XLOOKUP(B3791, Inventory!D:D,Inventory!E:E,"No Name Found"))</f>
        <v/>
      </c>
      <c r="D3791" s="6"/>
      <c r="E3791" s="6"/>
      <c r="F3791" s="6"/>
      <c r="G3791" s="24" t="str">
        <f>IF(F3791="", "", VLOOKUP(F3791, Inventory!A:BZ, 3, FALSE) - SUMIF($F$1:$F3790, F3791, $H$1:$H3790))
</f>
        <v/>
      </c>
      <c r="I3791" s="26"/>
      <c r="J3791" s="26" t="s">
        <v>77</v>
      </c>
      <c r="L3791" s="27" t="s">
        <v>77</v>
      </c>
      <c r="N3791" s="28" t="s">
        <v>77</v>
      </c>
      <c r="Q3791" s="30"/>
    </row>
    <row r="3792">
      <c r="B3792" s="6"/>
      <c r="C3792" s="33" t="str">
        <f t="array" ref="C3792">IF(B3792="", "", XLOOKUP(B3792, Inventory!D:D,Inventory!E:E,"No Name Found"))</f>
        <v/>
      </c>
      <c r="D3792" s="6"/>
      <c r="E3792" s="6"/>
      <c r="F3792" s="6"/>
      <c r="G3792" s="24" t="str">
        <f>IF(F3792="", "", VLOOKUP(F3792, Inventory!A:BZ, 3, FALSE) - SUMIF($F$1:$F3791, F3792, $H$1:$H3791))
</f>
        <v/>
      </c>
      <c r="I3792" s="26"/>
      <c r="J3792" s="26" t="s">
        <v>77</v>
      </c>
      <c r="L3792" s="27" t="s">
        <v>77</v>
      </c>
      <c r="N3792" s="28" t="s">
        <v>77</v>
      </c>
      <c r="Q3792" s="30"/>
    </row>
    <row r="3793">
      <c r="B3793" s="6"/>
      <c r="C3793" s="33" t="str">
        <f t="array" ref="C3793">IF(B3793="", "", XLOOKUP(B3793, Inventory!D:D,Inventory!E:E,"No Name Found"))</f>
        <v/>
      </c>
      <c r="D3793" s="6"/>
      <c r="E3793" s="6"/>
      <c r="F3793" s="6"/>
      <c r="G3793" s="24" t="str">
        <f>IF(F3793="", "", VLOOKUP(F3793, Inventory!A:BZ, 3, FALSE) - SUMIF($F$1:$F3792, F3793, $H$1:$H3792))
</f>
        <v/>
      </c>
      <c r="I3793" s="26"/>
      <c r="J3793" s="26" t="s">
        <v>77</v>
      </c>
      <c r="L3793" s="27" t="s">
        <v>77</v>
      </c>
      <c r="N3793" s="28" t="s">
        <v>77</v>
      </c>
      <c r="Q3793" s="30"/>
    </row>
    <row r="3794">
      <c r="B3794" s="6"/>
      <c r="C3794" s="33" t="str">
        <f t="array" ref="C3794">IF(B3794="", "", XLOOKUP(B3794, Inventory!D:D,Inventory!E:E,"No Name Found"))</f>
        <v/>
      </c>
      <c r="D3794" s="6"/>
      <c r="E3794" s="6"/>
      <c r="F3794" s="6"/>
      <c r="G3794" s="24" t="str">
        <f>IF(F3794="", "", VLOOKUP(F3794, Inventory!A:BZ, 3, FALSE) - SUMIF($F$1:$F3793, F3794, $H$1:$H3793))
</f>
        <v/>
      </c>
      <c r="I3794" s="26"/>
      <c r="J3794" s="26" t="s">
        <v>77</v>
      </c>
      <c r="L3794" s="27" t="s">
        <v>77</v>
      </c>
      <c r="N3794" s="28" t="s">
        <v>77</v>
      </c>
      <c r="Q3794" s="30"/>
    </row>
    <row r="3795">
      <c r="B3795" s="6"/>
      <c r="C3795" s="33" t="str">
        <f t="array" ref="C3795">IF(B3795="", "", XLOOKUP(B3795, Inventory!D:D,Inventory!E:E,"No Name Found"))</f>
        <v/>
      </c>
      <c r="D3795" s="6"/>
      <c r="E3795" s="6"/>
      <c r="F3795" s="6"/>
      <c r="G3795" s="24" t="str">
        <f>IF(F3795="", "", VLOOKUP(F3795, Inventory!A:BZ, 3, FALSE) - SUMIF($F$1:$F3794, F3795, $H$1:$H3794))
</f>
        <v/>
      </c>
      <c r="I3795" s="26"/>
      <c r="J3795" s="26" t="s">
        <v>77</v>
      </c>
      <c r="L3795" s="27" t="s">
        <v>77</v>
      </c>
      <c r="N3795" s="28" t="s">
        <v>77</v>
      </c>
      <c r="Q3795" s="30"/>
    </row>
    <row r="3796">
      <c r="B3796" s="6"/>
      <c r="C3796" s="33" t="str">
        <f t="array" ref="C3796">IF(B3796="", "", XLOOKUP(B3796, Inventory!D:D,Inventory!E:E,"No Name Found"))</f>
        <v/>
      </c>
      <c r="D3796" s="6"/>
      <c r="E3796" s="6"/>
      <c r="F3796" s="6"/>
      <c r="G3796" s="24" t="str">
        <f>IF(F3796="", "", VLOOKUP(F3796, Inventory!A:BZ, 3, FALSE) - SUMIF($F$1:$F3795, F3796, $H$1:$H3795))
</f>
        <v/>
      </c>
      <c r="I3796" s="26"/>
      <c r="J3796" s="26" t="s">
        <v>77</v>
      </c>
      <c r="L3796" s="27" t="s">
        <v>77</v>
      </c>
      <c r="N3796" s="28" t="s">
        <v>77</v>
      </c>
      <c r="Q3796" s="30"/>
    </row>
    <row r="3797">
      <c r="B3797" s="6"/>
      <c r="C3797" s="33" t="str">
        <f t="array" ref="C3797">IF(B3797="", "", XLOOKUP(B3797, Inventory!D:D,Inventory!E:E,"No Name Found"))</f>
        <v/>
      </c>
      <c r="D3797" s="6"/>
      <c r="E3797" s="6"/>
      <c r="F3797" s="6"/>
      <c r="G3797" s="24" t="str">
        <f>IF(F3797="", "", VLOOKUP(F3797, Inventory!A:BZ, 3, FALSE) - SUMIF($F$1:$F3796, F3797, $H$1:$H3796))
</f>
        <v/>
      </c>
      <c r="I3797" s="26"/>
      <c r="J3797" s="26" t="s">
        <v>77</v>
      </c>
      <c r="L3797" s="27" t="s">
        <v>77</v>
      </c>
      <c r="N3797" s="28" t="s">
        <v>77</v>
      </c>
      <c r="Q3797" s="30"/>
    </row>
    <row r="3798">
      <c r="B3798" s="6"/>
      <c r="C3798" s="33" t="str">
        <f t="array" ref="C3798">IF(B3798="", "", XLOOKUP(B3798, Inventory!D:D,Inventory!E:E,"No Name Found"))</f>
        <v/>
      </c>
      <c r="D3798" s="6"/>
      <c r="E3798" s="6"/>
      <c r="F3798" s="6"/>
      <c r="G3798" s="24" t="str">
        <f>IF(F3798="", "", VLOOKUP(F3798, Inventory!A:BZ, 3, FALSE) - SUMIF($F$1:$F3797, F3798, $H$1:$H3797))
</f>
        <v/>
      </c>
      <c r="I3798" s="26"/>
      <c r="J3798" s="26" t="s">
        <v>77</v>
      </c>
      <c r="L3798" s="27" t="s">
        <v>77</v>
      </c>
      <c r="N3798" s="28" t="s">
        <v>77</v>
      </c>
      <c r="Q3798" s="30"/>
    </row>
    <row r="3799">
      <c r="B3799" s="6"/>
      <c r="C3799" s="33" t="str">
        <f t="array" ref="C3799">IF(B3799="", "", XLOOKUP(B3799, Inventory!D:D,Inventory!E:E,"No Name Found"))</f>
        <v/>
      </c>
      <c r="D3799" s="6"/>
      <c r="E3799" s="6"/>
      <c r="F3799" s="6"/>
      <c r="G3799" s="24" t="str">
        <f>IF(F3799="", "", VLOOKUP(F3799, Inventory!A:BZ, 3, FALSE) - SUMIF($F$1:$F3798, F3799, $H$1:$H3798))
</f>
        <v/>
      </c>
      <c r="I3799" s="26"/>
      <c r="J3799" s="26" t="s">
        <v>77</v>
      </c>
      <c r="L3799" s="27" t="s">
        <v>77</v>
      </c>
      <c r="N3799" s="28" t="s">
        <v>77</v>
      </c>
      <c r="Q3799" s="30"/>
    </row>
    <row r="3800">
      <c r="B3800" s="6"/>
      <c r="C3800" s="33" t="str">
        <f t="array" ref="C3800">IF(B3800="", "", XLOOKUP(B3800, Inventory!D:D,Inventory!E:E,"No Name Found"))</f>
        <v/>
      </c>
      <c r="D3800" s="6"/>
      <c r="E3800" s="6"/>
      <c r="F3800" s="6"/>
      <c r="G3800" s="24" t="str">
        <f>IF(F3800="", "", VLOOKUP(F3800, Inventory!A:BZ, 3, FALSE) - SUMIF($F$1:$F3799, F3800, $H$1:$H3799))
</f>
        <v/>
      </c>
      <c r="I3800" s="26"/>
      <c r="J3800" s="26" t="s">
        <v>77</v>
      </c>
      <c r="L3800" s="27" t="s">
        <v>77</v>
      </c>
      <c r="N3800" s="28" t="s">
        <v>77</v>
      </c>
      <c r="Q3800" s="30"/>
    </row>
    <row r="3801">
      <c r="B3801" s="6"/>
      <c r="C3801" s="33" t="str">
        <f t="array" ref="C3801">IF(B3801="", "", XLOOKUP(B3801, Inventory!D:D,Inventory!E:E,"No Name Found"))</f>
        <v/>
      </c>
      <c r="D3801" s="6"/>
      <c r="E3801" s="6"/>
      <c r="F3801" s="6"/>
      <c r="G3801" s="24" t="str">
        <f>IF(F3801="", "", VLOOKUP(F3801, Inventory!A:BZ, 3, FALSE) - SUMIF($F$1:$F3800, F3801, $H$1:$H3800))
</f>
        <v/>
      </c>
      <c r="I3801" s="26"/>
      <c r="J3801" s="26" t="s">
        <v>77</v>
      </c>
      <c r="L3801" s="27" t="s">
        <v>77</v>
      </c>
      <c r="N3801" s="28" t="s">
        <v>77</v>
      </c>
      <c r="Q3801" s="30"/>
    </row>
    <row r="3802">
      <c r="B3802" s="6"/>
      <c r="C3802" s="33" t="str">
        <f t="array" ref="C3802">IF(B3802="", "", XLOOKUP(B3802, Inventory!D:D,Inventory!E:E,"No Name Found"))</f>
        <v/>
      </c>
      <c r="D3802" s="6"/>
      <c r="E3802" s="6"/>
      <c r="F3802" s="6"/>
      <c r="G3802" s="24" t="str">
        <f>IF(F3802="", "", VLOOKUP(F3802, Inventory!A:BZ, 3, FALSE) - SUMIF($F$1:$F3801, F3802, $H$1:$H3801))
</f>
        <v/>
      </c>
      <c r="I3802" s="26"/>
      <c r="J3802" s="26" t="s">
        <v>77</v>
      </c>
      <c r="L3802" s="27" t="s">
        <v>77</v>
      </c>
      <c r="N3802" s="28" t="s">
        <v>77</v>
      </c>
      <c r="Q3802" s="30"/>
    </row>
    <row r="3803">
      <c r="B3803" s="6"/>
      <c r="C3803" s="33" t="str">
        <f t="array" ref="C3803">IF(B3803="", "", XLOOKUP(B3803, Inventory!D:D,Inventory!E:E,"No Name Found"))</f>
        <v/>
      </c>
      <c r="D3803" s="6"/>
      <c r="E3803" s="6"/>
      <c r="F3803" s="6"/>
      <c r="G3803" s="24" t="str">
        <f>IF(F3803="", "", VLOOKUP(F3803, Inventory!A:BZ, 3, FALSE) - SUMIF($F$1:$F3802, F3803, $H$1:$H3802))
</f>
        <v/>
      </c>
      <c r="I3803" s="26"/>
      <c r="J3803" s="26" t="s">
        <v>77</v>
      </c>
      <c r="L3803" s="27" t="s">
        <v>77</v>
      </c>
      <c r="N3803" s="28" t="s">
        <v>77</v>
      </c>
      <c r="Q3803" s="30"/>
    </row>
    <row r="3804">
      <c r="B3804" s="6"/>
      <c r="C3804" s="33" t="str">
        <f t="array" ref="C3804">IF(B3804="", "", XLOOKUP(B3804, Inventory!D:D,Inventory!E:E,"No Name Found"))</f>
        <v/>
      </c>
      <c r="D3804" s="6"/>
      <c r="E3804" s="6"/>
      <c r="F3804" s="6"/>
      <c r="G3804" s="24" t="str">
        <f>IF(F3804="", "", VLOOKUP(F3804, Inventory!A:BZ, 3, FALSE) - SUMIF($F$1:$F3803, F3804, $H$1:$H3803))
</f>
        <v/>
      </c>
      <c r="I3804" s="26"/>
      <c r="J3804" s="26" t="s">
        <v>77</v>
      </c>
      <c r="L3804" s="27" t="s">
        <v>77</v>
      </c>
      <c r="N3804" s="28" t="s">
        <v>77</v>
      </c>
      <c r="Q3804" s="30"/>
    </row>
    <row r="3805">
      <c r="B3805" s="6"/>
      <c r="C3805" s="33" t="str">
        <f t="array" ref="C3805">IF(B3805="", "", XLOOKUP(B3805, Inventory!D:D,Inventory!E:E,"No Name Found"))</f>
        <v/>
      </c>
      <c r="D3805" s="6"/>
      <c r="E3805" s="6"/>
      <c r="F3805" s="6"/>
      <c r="G3805" s="24" t="str">
        <f>IF(F3805="", "", VLOOKUP(F3805, Inventory!A:BZ, 3, FALSE) - SUMIF($F$1:$F3804, F3805, $H$1:$H3804))
</f>
        <v/>
      </c>
      <c r="I3805" s="26"/>
      <c r="J3805" s="26" t="s">
        <v>77</v>
      </c>
      <c r="L3805" s="27" t="s">
        <v>77</v>
      </c>
      <c r="N3805" s="28" t="s">
        <v>77</v>
      </c>
      <c r="Q3805" s="30"/>
    </row>
    <row r="3806">
      <c r="B3806" s="6"/>
      <c r="C3806" s="33" t="str">
        <f t="array" ref="C3806">IF(B3806="", "", XLOOKUP(B3806, Inventory!D:D,Inventory!E:E,"No Name Found"))</f>
        <v/>
      </c>
      <c r="D3806" s="6"/>
      <c r="E3806" s="6"/>
      <c r="F3806" s="6"/>
      <c r="G3806" s="24" t="str">
        <f>IF(F3806="", "", VLOOKUP(F3806, Inventory!A:BZ, 3, FALSE) - SUMIF($F$1:$F3805, F3806, $H$1:$H3805))
</f>
        <v/>
      </c>
      <c r="I3806" s="26"/>
      <c r="J3806" s="26" t="s">
        <v>77</v>
      </c>
      <c r="L3806" s="27" t="s">
        <v>77</v>
      </c>
      <c r="N3806" s="28" t="s">
        <v>77</v>
      </c>
      <c r="Q3806" s="30"/>
    </row>
    <row r="3807">
      <c r="B3807" s="6"/>
      <c r="C3807" s="33" t="str">
        <f t="array" ref="C3807">IF(B3807="", "", XLOOKUP(B3807, Inventory!D:D,Inventory!E:E,"No Name Found"))</f>
        <v/>
      </c>
      <c r="D3807" s="6"/>
      <c r="E3807" s="6"/>
      <c r="F3807" s="6"/>
      <c r="G3807" s="24" t="str">
        <f>IF(F3807="", "", VLOOKUP(F3807, Inventory!A:BZ, 3, FALSE) - SUMIF($F$1:$F3806, F3807, $H$1:$H3806))
</f>
        <v/>
      </c>
      <c r="I3807" s="26"/>
      <c r="J3807" s="26" t="s">
        <v>77</v>
      </c>
      <c r="L3807" s="27" t="s">
        <v>77</v>
      </c>
      <c r="N3807" s="28" t="s">
        <v>77</v>
      </c>
      <c r="Q3807" s="30"/>
    </row>
    <row r="3808">
      <c r="B3808" s="6"/>
      <c r="C3808" s="33" t="str">
        <f t="array" ref="C3808">IF(B3808="", "", XLOOKUP(B3808, Inventory!D:D,Inventory!E:E,"No Name Found"))</f>
        <v/>
      </c>
      <c r="D3808" s="6"/>
      <c r="E3808" s="6"/>
      <c r="F3808" s="6"/>
      <c r="G3808" s="24" t="str">
        <f>IF(F3808="", "", VLOOKUP(F3808, Inventory!A:BZ, 3, FALSE) - SUMIF($F$1:$F3807, F3808, $H$1:$H3807))
</f>
        <v/>
      </c>
      <c r="I3808" s="26"/>
      <c r="J3808" s="26" t="s">
        <v>77</v>
      </c>
      <c r="L3808" s="27" t="s">
        <v>77</v>
      </c>
      <c r="N3808" s="28" t="s">
        <v>77</v>
      </c>
      <c r="Q3808" s="30"/>
    </row>
    <row r="3809">
      <c r="B3809" s="6"/>
      <c r="C3809" s="33" t="str">
        <f t="array" ref="C3809">IF(B3809="", "", XLOOKUP(B3809, Inventory!D:D,Inventory!E:E,"No Name Found"))</f>
        <v/>
      </c>
      <c r="D3809" s="6"/>
      <c r="E3809" s="6"/>
      <c r="F3809" s="6"/>
      <c r="G3809" s="24" t="str">
        <f>IF(F3809="", "", VLOOKUP(F3809, Inventory!A:BZ, 3, FALSE) - SUMIF($F$1:$F3808, F3809, $H$1:$H3808))
</f>
        <v/>
      </c>
      <c r="I3809" s="26"/>
      <c r="J3809" s="26" t="s">
        <v>77</v>
      </c>
      <c r="L3809" s="27" t="s">
        <v>77</v>
      </c>
      <c r="N3809" s="28" t="s">
        <v>77</v>
      </c>
      <c r="Q3809" s="30"/>
    </row>
    <row r="3810">
      <c r="B3810" s="6"/>
      <c r="C3810" s="33" t="str">
        <f t="array" ref="C3810">IF(B3810="", "", XLOOKUP(B3810, Inventory!D:D,Inventory!E:E,"No Name Found"))</f>
        <v/>
      </c>
      <c r="D3810" s="6"/>
      <c r="E3810" s="6"/>
      <c r="F3810" s="6"/>
      <c r="G3810" s="24" t="str">
        <f>IF(F3810="", "", VLOOKUP(F3810, Inventory!A:BZ, 3, FALSE) - SUMIF($F$1:$F3809, F3810, $H$1:$H3809))
</f>
        <v/>
      </c>
      <c r="I3810" s="26"/>
      <c r="J3810" s="26" t="s">
        <v>77</v>
      </c>
      <c r="L3810" s="27" t="s">
        <v>77</v>
      </c>
      <c r="N3810" s="28" t="s">
        <v>77</v>
      </c>
      <c r="Q3810" s="30"/>
    </row>
    <row r="3811">
      <c r="B3811" s="6"/>
      <c r="C3811" s="33" t="str">
        <f t="array" ref="C3811">IF(B3811="", "", XLOOKUP(B3811, Inventory!D:D,Inventory!E:E,"No Name Found"))</f>
        <v/>
      </c>
      <c r="D3811" s="6"/>
      <c r="E3811" s="6"/>
      <c r="F3811" s="6"/>
      <c r="G3811" s="24" t="str">
        <f>IF(F3811="", "", VLOOKUP(F3811, Inventory!A:BZ, 3, FALSE) - SUMIF($F$1:$F3810, F3811, $H$1:$H3810))
</f>
        <v/>
      </c>
      <c r="I3811" s="26"/>
      <c r="J3811" s="26" t="s">
        <v>77</v>
      </c>
      <c r="L3811" s="27" t="s">
        <v>77</v>
      </c>
      <c r="N3811" s="28" t="s">
        <v>77</v>
      </c>
      <c r="Q3811" s="30"/>
    </row>
    <row r="3812">
      <c r="B3812" s="6"/>
      <c r="C3812" s="33" t="str">
        <f t="array" ref="C3812">IF(B3812="", "", XLOOKUP(B3812, Inventory!D:D,Inventory!E:E,"No Name Found"))</f>
        <v/>
      </c>
      <c r="D3812" s="6"/>
      <c r="E3812" s="6"/>
      <c r="F3812" s="6"/>
      <c r="G3812" s="24" t="str">
        <f>IF(F3812="", "", VLOOKUP(F3812, Inventory!A:BZ, 3, FALSE) - SUMIF($F$1:$F3811, F3812, $H$1:$H3811))
</f>
        <v/>
      </c>
      <c r="I3812" s="26"/>
      <c r="J3812" s="26" t="s">
        <v>77</v>
      </c>
      <c r="L3812" s="27" t="s">
        <v>77</v>
      </c>
      <c r="N3812" s="28" t="s">
        <v>77</v>
      </c>
      <c r="Q3812" s="30"/>
    </row>
    <row r="3813">
      <c r="B3813" s="6"/>
      <c r="C3813" s="33" t="str">
        <f t="array" ref="C3813">IF(B3813="", "", XLOOKUP(B3813, Inventory!D:D,Inventory!E:E,"No Name Found"))</f>
        <v/>
      </c>
      <c r="D3813" s="6"/>
      <c r="E3813" s="6"/>
      <c r="F3813" s="6"/>
      <c r="G3813" s="24" t="str">
        <f>IF(F3813="", "", VLOOKUP(F3813, Inventory!A:BZ, 3, FALSE) - SUMIF($F$1:$F3812, F3813, $H$1:$H3812))
</f>
        <v/>
      </c>
      <c r="I3813" s="26"/>
      <c r="J3813" s="26" t="s">
        <v>77</v>
      </c>
      <c r="L3813" s="27" t="s">
        <v>77</v>
      </c>
      <c r="N3813" s="28" t="s">
        <v>77</v>
      </c>
      <c r="Q3813" s="30"/>
    </row>
    <row r="3814">
      <c r="B3814" s="6"/>
      <c r="C3814" s="33" t="str">
        <f t="array" ref="C3814">IF(B3814="", "", XLOOKUP(B3814, Inventory!D:D,Inventory!E:E,"No Name Found"))</f>
        <v/>
      </c>
      <c r="D3814" s="6"/>
      <c r="E3814" s="6"/>
      <c r="F3814" s="6"/>
      <c r="G3814" s="24" t="str">
        <f>IF(F3814="", "", VLOOKUP(F3814, Inventory!A:BZ, 3, FALSE) - SUMIF($F$1:$F3813, F3814, $H$1:$H3813))
</f>
        <v/>
      </c>
      <c r="I3814" s="26"/>
      <c r="J3814" s="26" t="s">
        <v>77</v>
      </c>
      <c r="L3814" s="27" t="s">
        <v>77</v>
      </c>
      <c r="N3814" s="28" t="s">
        <v>77</v>
      </c>
      <c r="Q3814" s="30"/>
    </row>
    <row r="3815">
      <c r="B3815" s="6"/>
      <c r="C3815" s="33" t="str">
        <f t="array" ref="C3815">IF(B3815="", "", XLOOKUP(B3815, Inventory!D:D,Inventory!E:E,"No Name Found"))</f>
        <v/>
      </c>
      <c r="D3815" s="6"/>
      <c r="E3815" s="6"/>
      <c r="F3815" s="6"/>
      <c r="G3815" s="24" t="str">
        <f>IF(F3815="", "", VLOOKUP(F3815, Inventory!A:BZ, 3, FALSE) - SUMIF($F$1:$F3814, F3815, $H$1:$H3814))
</f>
        <v/>
      </c>
      <c r="I3815" s="26"/>
      <c r="J3815" s="26" t="s">
        <v>77</v>
      </c>
      <c r="L3815" s="27" t="s">
        <v>77</v>
      </c>
      <c r="N3815" s="28" t="s">
        <v>77</v>
      </c>
      <c r="Q3815" s="30"/>
    </row>
    <row r="3816">
      <c r="B3816" s="6"/>
      <c r="C3816" s="33" t="str">
        <f t="array" ref="C3816">IF(B3816="", "", XLOOKUP(B3816, Inventory!D:D,Inventory!E:E,"No Name Found"))</f>
        <v/>
      </c>
      <c r="D3816" s="6"/>
      <c r="E3816" s="6"/>
      <c r="F3816" s="6"/>
      <c r="G3816" s="24" t="str">
        <f>IF(F3816="", "", VLOOKUP(F3816, Inventory!A:BZ, 3, FALSE) - SUMIF($F$1:$F3815, F3816, $H$1:$H3815))
</f>
        <v/>
      </c>
      <c r="I3816" s="26"/>
      <c r="J3816" s="26" t="s">
        <v>77</v>
      </c>
      <c r="L3816" s="27" t="s">
        <v>77</v>
      </c>
      <c r="N3816" s="28" t="s">
        <v>77</v>
      </c>
      <c r="Q3816" s="30"/>
    </row>
    <row r="3817">
      <c r="B3817" s="6"/>
      <c r="C3817" s="33" t="str">
        <f t="array" ref="C3817">IF(B3817="", "", XLOOKUP(B3817, Inventory!D:D,Inventory!E:E,"No Name Found"))</f>
        <v/>
      </c>
      <c r="D3817" s="6"/>
      <c r="E3817" s="6"/>
      <c r="F3817" s="6"/>
      <c r="G3817" s="24" t="str">
        <f>IF(F3817="", "", VLOOKUP(F3817, Inventory!A:BZ, 3, FALSE) - SUMIF($F$1:$F3816, F3817, $H$1:$H3816))
</f>
        <v/>
      </c>
      <c r="I3817" s="26"/>
      <c r="J3817" s="26" t="s">
        <v>77</v>
      </c>
      <c r="L3817" s="27" t="s">
        <v>77</v>
      </c>
      <c r="N3817" s="28" t="s">
        <v>77</v>
      </c>
      <c r="Q3817" s="30"/>
    </row>
    <row r="3818">
      <c r="B3818" s="6"/>
      <c r="C3818" s="33" t="str">
        <f t="array" ref="C3818">IF(B3818="", "", XLOOKUP(B3818, Inventory!D:D,Inventory!E:E,"No Name Found"))</f>
        <v/>
      </c>
      <c r="D3818" s="6"/>
      <c r="E3818" s="6"/>
      <c r="F3818" s="6"/>
      <c r="G3818" s="24" t="str">
        <f>IF(F3818="", "", VLOOKUP(F3818, Inventory!A:BZ, 3, FALSE) - SUMIF($F$1:$F3817, F3818, $H$1:$H3817))
</f>
        <v/>
      </c>
      <c r="I3818" s="26"/>
      <c r="J3818" s="26" t="s">
        <v>77</v>
      </c>
      <c r="L3818" s="27" t="s">
        <v>77</v>
      </c>
      <c r="N3818" s="28" t="s">
        <v>77</v>
      </c>
      <c r="Q3818" s="30"/>
    </row>
    <row r="3819">
      <c r="B3819" s="6"/>
      <c r="C3819" s="33" t="str">
        <f t="array" ref="C3819">IF(B3819="", "", XLOOKUP(B3819, Inventory!D:D,Inventory!E:E,"No Name Found"))</f>
        <v/>
      </c>
      <c r="D3819" s="6"/>
      <c r="E3819" s="6"/>
      <c r="F3819" s="6"/>
      <c r="G3819" s="24" t="str">
        <f>IF(F3819="", "", VLOOKUP(F3819, Inventory!A:BZ, 3, FALSE) - SUMIF($F$1:$F3818, F3819, $H$1:$H3818))
</f>
        <v/>
      </c>
      <c r="I3819" s="26"/>
      <c r="J3819" s="26" t="s">
        <v>77</v>
      </c>
      <c r="L3819" s="27" t="s">
        <v>77</v>
      </c>
      <c r="N3819" s="28" t="s">
        <v>77</v>
      </c>
      <c r="Q3819" s="30"/>
    </row>
    <row r="3820">
      <c r="B3820" s="6"/>
      <c r="C3820" s="33" t="str">
        <f t="array" ref="C3820">IF(B3820="", "", XLOOKUP(B3820, Inventory!D:D,Inventory!E:E,"No Name Found"))</f>
        <v/>
      </c>
      <c r="D3820" s="6"/>
      <c r="E3820" s="6"/>
      <c r="F3820" s="6"/>
      <c r="G3820" s="24" t="str">
        <f>IF(F3820="", "", VLOOKUP(F3820, Inventory!A:BZ, 3, FALSE) - SUMIF($F$1:$F3819, F3820, $H$1:$H3819))
</f>
        <v/>
      </c>
      <c r="I3820" s="26"/>
      <c r="J3820" s="26" t="s">
        <v>77</v>
      </c>
      <c r="L3820" s="27" t="s">
        <v>77</v>
      </c>
      <c r="N3820" s="28" t="s">
        <v>77</v>
      </c>
      <c r="Q3820" s="30"/>
    </row>
    <row r="3821">
      <c r="B3821" s="6"/>
      <c r="C3821" s="33" t="str">
        <f t="array" ref="C3821">IF(B3821="", "", XLOOKUP(B3821, Inventory!D:D,Inventory!E:E,"No Name Found"))</f>
        <v/>
      </c>
      <c r="D3821" s="6"/>
      <c r="E3821" s="6"/>
      <c r="F3821" s="6"/>
      <c r="G3821" s="24" t="str">
        <f>IF(F3821="", "", VLOOKUP(F3821, Inventory!A:BZ, 3, FALSE) - SUMIF($F$1:$F3820, F3821, $H$1:$H3820))
</f>
        <v/>
      </c>
      <c r="I3821" s="26"/>
      <c r="J3821" s="26" t="s">
        <v>77</v>
      </c>
      <c r="L3821" s="27" t="s">
        <v>77</v>
      </c>
      <c r="N3821" s="28" t="s">
        <v>77</v>
      </c>
      <c r="Q3821" s="30"/>
    </row>
    <row r="3822">
      <c r="B3822" s="6"/>
      <c r="C3822" s="33" t="str">
        <f t="array" ref="C3822">IF(B3822="", "", XLOOKUP(B3822, Inventory!D:D,Inventory!E:E,"No Name Found"))</f>
        <v/>
      </c>
      <c r="D3822" s="6"/>
      <c r="E3822" s="6"/>
      <c r="F3822" s="6"/>
      <c r="G3822" s="24" t="str">
        <f>IF(F3822="", "", VLOOKUP(F3822, Inventory!A:BZ, 3, FALSE) - SUMIF($F$1:$F3821, F3822, $H$1:$H3821))
</f>
        <v/>
      </c>
      <c r="I3822" s="26"/>
      <c r="J3822" s="26" t="s">
        <v>77</v>
      </c>
      <c r="L3822" s="27" t="s">
        <v>77</v>
      </c>
      <c r="N3822" s="28" t="s">
        <v>77</v>
      </c>
      <c r="Q3822" s="30"/>
    </row>
    <row r="3823">
      <c r="B3823" s="6"/>
      <c r="C3823" s="33" t="str">
        <f t="array" ref="C3823">IF(B3823="", "", XLOOKUP(B3823, Inventory!D:D,Inventory!E:E,"No Name Found"))</f>
        <v/>
      </c>
      <c r="D3823" s="6"/>
      <c r="E3823" s="6"/>
      <c r="F3823" s="6"/>
      <c r="G3823" s="24" t="str">
        <f>IF(F3823="", "", VLOOKUP(F3823, Inventory!A:BZ, 3, FALSE) - SUMIF($F$1:$F3822, F3823, $H$1:$H3822))
</f>
        <v/>
      </c>
      <c r="I3823" s="26"/>
      <c r="J3823" s="26" t="s">
        <v>77</v>
      </c>
      <c r="L3823" s="27" t="s">
        <v>77</v>
      </c>
      <c r="N3823" s="28" t="s">
        <v>77</v>
      </c>
      <c r="Q3823" s="30"/>
    </row>
    <row r="3824">
      <c r="B3824" s="6"/>
      <c r="C3824" s="33" t="str">
        <f t="array" ref="C3824">IF(B3824="", "", XLOOKUP(B3824, Inventory!D:D,Inventory!E:E,"No Name Found"))</f>
        <v/>
      </c>
      <c r="D3824" s="6"/>
      <c r="E3824" s="6"/>
      <c r="F3824" s="6"/>
      <c r="G3824" s="24" t="str">
        <f>IF(F3824="", "", VLOOKUP(F3824, Inventory!A:BZ, 3, FALSE) - SUMIF($F$1:$F3823, F3824, $H$1:$H3823))
</f>
        <v/>
      </c>
      <c r="I3824" s="26"/>
      <c r="J3824" s="26" t="s">
        <v>77</v>
      </c>
      <c r="L3824" s="27" t="s">
        <v>77</v>
      </c>
      <c r="N3824" s="28" t="s">
        <v>77</v>
      </c>
      <c r="Q3824" s="30"/>
    </row>
    <row r="3825">
      <c r="B3825" s="6"/>
      <c r="C3825" s="33" t="str">
        <f t="array" ref="C3825">IF(B3825="", "", XLOOKUP(B3825, Inventory!D:D,Inventory!E:E,"No Name Found"))</f>
        <v/>
      </c>
      <c r="D3825" s="6"/>
      <c r="E3825" s="6"/>
      <c r="F3825" s="6"/>
      <c r="G3825" s="24" t="str">
        <f>IF(F3825="", "", VLOOKUP(F3825, Inventory!A:BZ, 3, FALSE) - SUMIF($F$1:$F3824, F3825, $H$1:$H3824))
</f>
        <v/>
      </c>
      <c r="I3825" s="26"/>
      <c r="J3825" s="26" t="s">
        <v>77</v>
      </c>
      <c r="L3825" s="27" t="s">
        <v>77</v>
      </c>
      <c r="N3825" s="28" t="s">
        <v>77</v>
      </c>
      <c r="Q3825" s="30"/>
    </row>
    <row r="3826">
      <c r="B3826" s="6"/>
      <c r="C3826" s="33" t="str">
        <f t="array" ref="C3826">IF(B3826="", "", XLOOKUP(B3826, Inventory!D:D,Inventory!E:E,"No Name Found"))</f>
        <v/>
      </c>
      <c r="D3826" s="6"/>
      <c r="E3826" s="6"/>
      <c r="F3826" s="6"/>
      <c r="G3826" s="24" t="str">
        <f>IF(F3826="", "", VLOOKUP(F3826, Inventory!A:BZ, 3, FALSE) - SUMIF($F$1:$F3825, F3826, $H$1:$H3825))
</f>
        <v/>
      </c>
      <c r="I3826" s="26"/>
      <c r="J3826" s="26" t="s">
        <v>77</v>
      </c>
      <c r="L3826" s="27" t="s">
        <v>77</v>
      </c>
      <c r="N3826" s="28" t="s">
        <v>77</v>
      </c>
      <c r="Q3826" s="30"/>
    </row>
    <row r="3827">
      <c r="B3827" s="6"/>
      <c r="C3827" s="33" t="str">
        <f t="array" ref="C3827">IF(B3827="", "", XLOOKUP(B3827, Inventory!D:D,Inventory!E:E,"No Name Found"))</f>
        <v/>
      </c>
      <c r="D3827" s="6"/>
      <c r="E3827" s="6"/>
      <c r="F3827" s="6"/>
      <c r="G3827" s="24" t="str">
        <f>IF(F3827="", "", VLOOKUP(F3827, Inventory!A:BZ, 3, FALSE) - SUMIF($F$1:$F3826, F3827, $H$1:$H3826))
</f>
        <v/>
      </c>
      <c r="I3827" s="26"/>
      <c r="J3827" s="26" t="s">
        <v>77</v>
      </c>
      <c r="L3827" s="27" t="s">
        <v>77</v>
      </c>
      <c r="N3827" s="28" t="s">
        <v>77</v>
      </c>
      <c r="Q3827" s="30"/>
    </row>
    <row r="3828">
      <c r="B3828" s="6"/>
      <c r="C3828" s="33" t="str">
        <f t="array" ref="C3828">IF(B3828="", "", XLOOKUP(B3828, Inventory!D:D,Inventory!E:E,"No Name Found"))</f>
        <v/>
      </c>
      <c r="D3828" s="6"/>
      <c r="E3828" s="6"/>
      <c r="F3828" s="6"/>
      <c r="G3828" s="24" t="str">
        <f>IF(F3828="", "", VLOOKUP(F3828, Inventory!A:BZ, 3, FALSE) - SUMIF($F$1:$F3827, F3828, $H$1:$H3827))
</f>
        <v/>
      </c>
      <c r="I3828" s="26"/>
      <c r="J3828" s="26" t="s">
        <v>77</v>
      </c>
      <c r="L3828" s="27" t="s">
        <v>77</v>
      </c>
      <c r="N3828" s="28" t="s">
        <v>77</v>
      </c>
      <c r="Q3828" s="30"/>
    </row>
    <row r="3829">
      <c r="B3829" s="6"/>
      <c r="C3829" s="33" t="str">
        <f t="array" ref="C3829">IF(B3829="", "", XLOOKUP(B3829, Inventory!D:D,Inventory!E:E,"No Name Found"))</f>
        <v/>
      </c>
      <c r="D3829" s="6"/>
      <c r="E3829" s="6"/>
      <c r="F3829" s="6"/>
      <c r="G3829" s="24" t="str">
        <f>IF(F3829="", "", VLOOKUP(F3829, Inventory!A:BZ, 3, FALSE) - SUMIF($F$1:$F3828, F3829, $H$1:$H3828))
</f>
        <v/>
      </c>
      <c r="I3829" s="26"/>
      <c r="J3829" s="26" t="s">
        <v>77</v>
      </c>
      <c r="L3829" s="27" t="s">
        <v>77</v>
      </c>
      <c r="N3829" s="28" t="s">
        <v>77</v>
      </c>
      <c r="Q3829" s="30"/>
    </row>
    <row r="3830">
      <c r="B3830" s="6"/>
      <c r="C3830" s="33" t="str">
        <f t="array" ref="C3830">IF(B3830="", "", XLOOKUP(B3830, Inventory!D:D,Inventory!E:E,"No Name Found"))</f>
        <v/>
      </c>
      <c r="D3830" s="6"/>
      <c r="E3830" s="6"/>
      <c r="F3830" s="6"/>
      <c r="G3830" s="24" t="str">
        <f>IF(F3830="", "", VLOOKUP(F3830, Inventory!A:BZ, 3, FALSE) - SUMIF($F$1:$F3829, F3830, $H$1:$H3829))
</f>
        <v/>
      </c>
      <c r="I3830" s="26"/>
      <c r="J3830" s="26" t="s">
        <v>77</v>
      </c>
      <c r="L3830" s="27" t="s">
        <v>77</v>
      </c>
      <c r="N3830" s="28" t="s">
        <v>77</v>
      </c>
      <c r="Q3830" s="30"/>
    </row>
    <row r="3831">
      <c r="B3831" s="6"/>
      <c r="C3831" s="33" t="str">
        <f t="array" ref="C3831">IF(B3831="", "", XLOOKUP(B3831, Inventory!D:D,Inventory!E:E,"No Name Found"))</f>
        <v/>
      </c>
      <c r="D3831" s="6"/>
      <c r="E3831" s="6"/>
      <c r="F3831" s="6"/>
      <c r="G3831" s="24" t="str">
        <f>IF(F3831="", "", VLOOKUP(F3831, Inventory!A:BZ, 3, FALSE) - SUMIF($F$1:$F3830, F3831, $H$1:$H3830))
</f>
        <v/>
      </c>
      <c r="I3831" s="26"/>
      <c r="J3831" s="26" t="s">
        <v>77</v>
      </c>
      <c r="L3831" s="27" t="s">
        <v>77</v>
      </c>
      <c r="N3831" s="28" t="s">
        <v>77</v>
      </c>
      <c r="Q3831" s="30"/>
    </row>
    <row r="3832">
      <c r="B3832" s="6"/>
      <c r="C3832" s="33" t="str">
        <f t="array" ref="C3832">IF(B3832="", "", XLOOKUP(B3832, Inventory!D:D,Inventory!E:E,"No Name Found"))</f>
        <v/>
      </c>
      <c r="D3832" s="6"/>
      <c r="E3832" s="6"/>
      <c r="F3832" s="6"/>
      <c r="G3832" s="24" t="str">
        <f>IF(F3832="", "", VLOOKUP(F3832, Inventory!A:BZ, 3, FALSE) - SUMIF($F$1:$F3831, F3832, $H$1:$H3831))
</f>
        <v/>
      </c>
      <c r="I3832" s="26"/>
      <c r="J3832" s="26" t="s">
        <v>77</v>
      </c>
      <c r="L3832" s="27" t="s">
        <v>77</v>
      </c>
      <c r="N3832" s="28" t="s">
        <v>77</v>
      </c>
      <c r="Q3832" s="30"/>
    </row>
    <row r="3833">
      <c r="B3833" s="6"/>
      <c r="C3833" s="33" t="str">
        <f t="array" ref="C3833">IF(B3833="", "", XLOOKUP(B3833, Inventory!D:D,Inventory!E:E,"No Name Found"))</f>
        <v/>
      </c>
      <c r="D3833" s="6"/>
      <c r="E3833" s="6"/>
      <c r="F3833" s="6"/>
      <c r="G3833" s="24" t="str">
        <f>IF(F3833="", "", VLOOKUP(F3833, Inventory!A:BZ, 3, FALSE) - SUMIF($F$1:$F3832, F3833, $H$1:$H3832))
</f>
        <v/>
      </c>
      <c r="I3833" s="26"/>
      <c r="J3833" s="26" t="s">
        <v>77</v>
      </c>
      <c r="L3833" s="27" t="s">
        <v>77</v>
      </c>
      <c r="N3833" s="28" t="s">
        <v>77</v>
      </c>
      <c r="Q3833" s="30"/>
    </row>
    <row r="3834">
      <c r="B3834" s="6"/>
      <c r="C3834" s="33" t="str">
        <f t="array" ref="C3834">IF(B3834="", "", XLOOKUP(B3834, Inventory!D:D,Inventory!E:E,"No Name Found"))</f>
        <v/>
      </c>
      <c r="D3834" s="6"/>
      <c r="E3834" s="6"/>
      <c r="F3834" s="6"/>
      <c r="G3834" s="24" t="str">
        <f>IF(F3834="", "", VLOOKUP(F3834, Inventory!A:BZ, 3, FALSE) - SUMIF($F$1:$F3833, F3834, $H$1:$H3833))
</f>
        <v/>
      </c>
      <c r="I3834" s="26"/>
      <c r="J3834" s="26" t="s">
        <v>77</v>
      </c>
      <c r="L3834" s="27" t="s">
        <v>77</v>
      </c>
      <c r="N3834" s="28" t="s">
        <v>77</v>
      </c>
      <c r="Q3834" s="30"/>
    </row>
    <row r="3835">
      <c r="B3835" s="6"/>
      <c r="C3835" s="33" t="str">
        <f t="array" ref="C3835">IF(B3835="", "", XLOOKUP(B3835, Inventory!D:D,Inventory!E:E,"No Name Found"))</f>
        <v/>
      </c>
      <c r="D3835" s="6"/>
      <c r="E3835" s="6"/>
      <c r="F3835" s="6"/>
      <c r="G3835" s="24" t="str">
        <f>IF(F3835="", "", VLOOKUP(F3835, Inventory!A:BZ, 3, FALSE) - SUMIF($F$1:$F3834, F3835, $H$1:$H3834))
</f>
        <v/>
      </c>
      <c r="I3835" s="26"/>
      <c r="J3835" s="26" t="s">
        <v>77</v>
      </c>
      <c r="L3835" s="27" t="s">
        <v>77</v>
      </c>
      <c r="N3835" s="28" t="s">
        <v>77</v>
      </c>
      <c r="Q3835" s="30"/>
    </row>
    <row r="3836">
      <c r="B3836" s="6"/>
      <c r="C3836" s="33" t="str">
        <f t="array" ref="C3836">IF(B3836="", "", XLOOKUP(B3836, Inventory!D:D,Inventory!E:E,"No Name Found"))</f>
        <v/>
      </c>
      <c r="D3836" s="6"/>
      <c r="E3836" s="6"/>
      <c r="F3836" s="6"/>
      <c r="G3836" s="24" t="str">
        <f>IF(F3836="", "", VLOOKUP(F3836, Inventory!A:BZ, 3, FALSE) - SUMIF($F$1:$F3835, F3836, $H$1:$H3835))
</f>
        <v/>
      </c>
      <c r="I3836" s="26"/>
      <c r="J3836" s="26" t="s">
        <v>77</v>
      </c>
      <c r="L3836" s="27" t="s">
        <v>77</v>
      </c>
      <c r="N3836" s="28" t="s">
        <v>77</v>
      </c>
      <c r="Q3836" s="30"/>
    </row>
    <row r="3837">
      <c r="B3837" s="6"/>
      <c r="C3837" s="33" t="str">
        <f t="array" ref="C3837">IF(B3837="", "", XLOOKUP(B3837, Inventory!D:D,Inventory!E:E,"No Name Found"))</f>
        <v/>
      </c>
      <c r="D3837" s="6"/>
      <c r="E3837" s="6"/>
      <c r="F3837" s="6"/>
      <c r="G3837" s="24" t="str">
        <f>IF(F3837="", "", VLOOKUP(F3837, Inventory!A:BZ, 3, FALSE) - SUMIF($F$1:$F3836, F3837, $H$1:$H3836))
</f>
        <v/>
      </c>
      <c r="I3837" s="26"/>
      <c r="J3837" s="26" t="s">
        <v>77</v>
      </c>
      <c r="L3837" s="27" t="s">
        <v>77</v>
      </c>
      <c r="N3837" s="28" t="s">
        <v>77</v>
      </c>
      <c r="Q3837" s="30"/>
    </row>
    <row r="3838">
      <c r="B3838" s="6"/>
      <c r="C3838" s="33" t="str">
        <f t="array" ref="C3838">IF(B3838="", "", XLOOKUP(B3838, Inventory!D:D,Inventory!E:E,"No Name Found"))</f>
        <v/>
      </c>
      <c r="D3838" s="6"/>
      <c r="E3838" s="6"/>
      <c r="F3838" s="6"/>
      <c r="G3838" s="24" t="str">
        <f>IF(F3838="", "", VLOOKUP(F3838, Inventory!A:BZ, 3, FALSE) - SUMIF($F$1:$F3837, F3838, $H$1:$H3837))
</f>
        <v/>
      </c>
      <c r="I3838" s="26"/>
      <c r="J3838" s="26" t="s">
        <v>77</v>
      </c>
      <c r="L3838" s="27" t="s">
        <v>77</v>
      </c>
      <c r="N3838" s="28" t="s">
        <v>77</v>
      </c>
      <c r="Q3838" s="30"/>
    </row>
    <row r="3839">
      <c r="B3839" s="6"/>
      <c r="C3839" s="33" t="str">
        <f t="array" ref="C3839">IF(B3839="", "", XLOOKUP(B3839, Inventory!D:D,Inventory!E:E,"No Name Found"))</f>
        <v/>
      </c>
      <c r="D3839" s="6"/>
      <c r="E3839" s="6"/>
      <c r="F3839" s="6"/>
      <c r="G3839" s="24" t="str">
        <f>IF(F3839="", "", VLOOKUP(F3839, Inventory!A:BZ, 3, FALSE) - SUMIF($F$1:$F3838, F3839, $H$1:$H3838))
</f>
        <v/>
      </c>
      <c r="I3839" s="26"/>
      <c r="J3839" s="26" t="s">
        <v>77</v>
      </c>
      <c r="L3839" s="27" t="s">
        <v>77</v>
      </c>
      <c r="N3839" s="28" t="s">
        <v>77</v>
      </c>
      <c r="Q3839" s="30"/>
    </row>
    <row r="3840">
      <c r="B3840" s="6"/>
      <c r="C3840" s="33" t="str">
        <f t="array" ref="C3840">IF(B3840="", "", XLOOKUP(B3840, Inventory!D:D,Inventory!E:E,"No Name Found"))</f>
        <v/>
      </c>
      <c r="D3840" s="6"/>
      <c r="E3840" s="6"/>
      <c r="F3840" s="6"/>
      <c r="G3840" s="24" t="str">
        <f>IF(F3840="", "", VLOOKUP(F3840, Inventory!A:BZ, 3, FALSE) - SUMIF($F$1:$F3839, F3840, $H$1:$H3839))
</f>
        <v/>
      </c>
      <c r="I3840" s="26"/>
      <c r="J3840" s="26" t="s">
        <v>77</v>
      </c>
      <c r="L3840" s="27" t="s">
        <v>77</v>
      </c>
      <c r="N3840" s="28" t="s">
        <v>77</v>
      </c>
      <c r="Q3840" s="30"/>
    </row>
    <row r="3841">
      <c r="B3841" s="6"/>
      <c r="C3841" s="33" t="str">
        <f t="array" ref="C3841">IF(B3841="", "", XLOOKUP(B3841, Inventory!D:D,Inventory!E:E,"No Name Found"))</f>
        <v/>
      </c>
      <c r="D3841" s="6"/>
      <c r="E3841" s="6"/>
      <c r="F3841" s="6"/>
      <c r="G3841" s="24" t="str">
        <f>IF(F3841="", "", VLOOKUP(F3841, Inventory!A:BZ, 3, FALSE) - SUMIF($F$1:$F3840, F3841, $H$1:$H3840))
</f>
        <v/>
      </c>
      <c r="I3841" s="26"/>
      <c r="J3841" s="26" t="s">
        <v>77</v>
      </c>
      <c r="L3841" s="27" t="s">
        <v>77</v>
      </c>
      <c r="N3841" s="28" t="s">
        <v>77</v>
      </c>
      <c r="Q3841" s="30"/>
    </row>
    <row r="3842">
      <c r="B3842" s="6"/>
      <c r="C3842" s="33" t="str">
        <f t="array" ref="C3842">IF(B3842="", "", XLOOKUP(B3842, Inventory!D:D,Inventory!E:E,"No Name Found"))</f>
        <v/>
      </c>
      <c r="D3842" s="6"/>
      <c r="E3842" s="6"/>
      <c r="F3842" s="6"/>
      <c r="G3842" s="24" t="str">
        <f>IF(F3842="", "", VLOOKUP(F3842, Inventory!A:BZ, 3, FALSE) - SUMIF($F$1:$F3841, F3842, $H$1:$H3841))
</f>
        <v/>
      </c>
      <c r="I3842" s="26"/>
      <c r="J3842" s="26" t="s">
        <v>77</v>
      </c>
      <c r="L3842" s="27" t="s">
        <v>77</v>
      </c>
      <c r="N3842" s="28" t="s">
        <v>77</v>
      </c>
      <c r="Q3842" s="30"/>
    </row>
    <row r="3843">
      <c r="B3843" s="6"/>
      <c r="C3843" s="33" t="str">
        <f t="array" ref="C3843">IF(B3843="", "", XLOOKUP(B3843, Inventory!D:D,Inventory!E:E,"No Name Found"))</f>
        <v/>
      </c>
      <c r="D3843" s="6"/>
      <c r="E3843" s="6"/>
      <c r="F3843" s="6"/>
      <c r="G3843" s="24" t="str">
        <f>IF(F3843="", "", VLOOKUP(F3843, Inventory!A:BZ, 3, FALSE) - SUMIF($F$1:$F3842, F3843, $H$1:$H3842))
</f>
        <v/>
      </c>
      <c r="I3843" s="26"/>
      <c r="J3843" s="26" t="s">
        <v>77</v>
      </c>
      <c r="L3843" s="27" t="s">
        <v>77</v>
      </c>
      <c r="N3843" s="28" t="s">
        <v>77</v>
      </c>
      <c r="Q3843" s="30"/>
    </row>
    <row r="3844">
      <c r="B3844" s="6"/>
      <c r="C3844" s="33" t="str">
        <f t="array" ref="C3844">IF(B3844="", "", XLOOKUP(B3844, Inventory!D:D,Inventory!E:E,"No Name Found"))</f>
        <v/>
      </c>
      <c r="D3844" s="6"/>
      <c r="E3844" s="6"/>
      <c r="F3844" s="6"/>
      <c r="G3844" s="24" t="str">
        <f>IF(F3844="", "", VLOOKUP(F3844, Inventory!A:BZ, 3, FALSE) - SUMIF($F$1:$F3843, F3844, $H$1:$H3843))
</f>
        <v/>
      </c>
      <c r="I3844" s="26"/>
      <c r="J3844" s="26" t="s">
        <v>77</v>
      </c>
      <c r="L3844" s="27" t="s">
        <v>77</v>
      </c>
      <c r="N3844" s="28" t="s">
        <v>77</v>
      </c>
      <c r="Q3844" s="30"/>
    </row>
    <row r="3845">
      <c r="B3845" s="6"/>
      <c r="C3845" s="33" t="str">
        <f t="array" ref="C3845">IF(B3845="", "", XLOOKUP(B3845, Inventory!D:D,Inventory!E:E,"No Name Found"))</f>
        <v/>
      </c>
      <c r="D3845" s="6"/>
      <c r="E3845" s="6"/>
      <c r="F3845" s="6"/>
      <c r="G3845" s="24" t="str">
        <f>IF(F3845="", "", VLOOKUP(F3845, Inventory!A:BZ, 3, FALSE) - SUMIF($F$1:$F3844, F3845, $H$1:$H3844))
</f>
        <v/>
      </c>
      <c r="I3845" s="26"/>
      <c r="J3845" s="26" t="s">
        <v>77</v>
      </c>
      <c r="L3845" s="27" t="s">
        <v>77</v>
      </c>
      <c r="N3845" s="28" t="s">
        <v>77</v>
      </c>
      <c r="Q3845" s="30"/>
    </row>
    <row r="3846">
      <c r="B3846" s="6"/>
      <c r="C3846" s="33" t="str">
        <f t="array" ref="C3846">IF(B3846="", "", XLOOKUP(B3846, Inventory!D:D,Inventory!E:E,"No Name Found"))</f>
        <v/>
      </c>
      <c r="D3846" s="6"/>
      <c r="E3846" s="6"/>
      <c r="F3846" s="6"/>
      <c r="G3846" s="24" t="str">
        <f>IF(F3846="", "", VLOOKUP(F3846, Inventory!A:BZ, 3, FALSE) - SUMIF($F$1:$F3845, F3846, $H$1:$H3845))
</f>
        <v/>
      </c>
      <c r="I3846" s="26"/>
      <c r="J3846" s="26" t="s">
        <v>77</v>
      </c>
      <c r="L3846" s="27" t="s">
        <v>77</v>
      </c>
      <c r="N3846" s="28" t="s">
        <v>77</v>
      </c>
      <c r="Q3846" s="30"/>
    </row>
    <row r="3847">
      <c r="B3847" s="6"/>
      <c r="C3847" s="33" t="str">
        <f t="array" ref="C3847">IF(B3847="", "", XLOOKUP(B3847, Inventory!D:D,Inventory!E:E,"No Name Found"))</f>
        <v/>
      </c>
      <c r="D3847" s="6"/>
      <c r="E3847" s="6"/>
      <c r="F3847" s="6"/>
      <c r="G3847" s="24" t="str">
        <f>IF(F3847="", "", VLOOKUP(F3847, Inventory!A:BZ, 3, FALSE) - SUMIF($F$1:$F3846, F3847, $H$1:$H3846))
</f>
        <v/>
      </c>
      <c r="I3847" s="26"/>
      <c r="J3847" s="26" t="s">
        <v>77</v>
      </c>
      <c r="L3847" s="27" t="s">
        <v>77</v>
      </c>
      <c r="N3847" s="28" t="s">
        <v>77</v>
      </c>
      <c r="Q3847" s="30"/>
    </row>
    <row r="3848">
      <c r="B3848" s="6"/>
      <c r="C3848" s="33" t="str">
        <f t="array" ref="C3848">IF(B3848="", "", XLOOKUP(B3848, Inventory!D:D,Inventory!E:E,"No Name Found"))</f>
        <v/>
      </c>
      <c r="D3848" s="6"/>
      <c r="E3848" s="6"/>
      <c r="F3848" s="6"/>
      <c r="G3848" s="24" t="str">
        <f>IF(F3848="", "", VLOOKUP(F3848, Inventory!A:BZ, 3, FALSE) - SUMIF($F$1:$F3847, F3848, $H$1:$H3847))
</f>
        <v/>
      </c>
      <c r="I3848" s="26"/>
      <c r="J3848" s="26" t="s">
        <v>77</v>
      </c>
      <c r="L3848" s="27" t="s">
        <v>77</v>
      </c>
      <c r="N3848" s="28" t="s">
        <v>77</v>
      </c>
      <c r="Q3848" s="30"/>
    </row>
    <row r="3849">
      <c r="B3849" s="6"/>
      <c r="C3849" s="33" t="str">
        <f t="array" ref="C3849">IF(B3849="", "", XLOOKUP(B3849, Inventory!D:D,Inventory!E:E,"No Name Found"))</f>
        <v/>
      </c>
      <c r="D3849" s="6"/>
      <c r="E3849" s="6"/>
      <c r="F3849" s="6"/>
      <c r="G3849" s="24" t="str">
        <f>IF(F3849="", "", VLOOKUP(F3849, Inventory!A:BZ, 3, FALSE) - SUMIF($F$1:$F3848, F3849, $H$1:$H3848))
</f>
        <v/>
      </c>
      <c r="I3849" s="26"/>
      <c r="J3849" s="26" t="s">
        <v>77</v>
      </c>
      <c r="L3849" s="27" t="s">
        <v>77</v>
      </c>
      <c r="N3849" s="28" t="s">
        <v>77</v>
      </c>
      <c r="Q3849" s="30"/>
    </row>
    <row r="3850">
      <c r="B3850" s="6"/>
      <c r="C3850" s="33" t="str">
        <f t="array" ref="C3850">IF(B3850="", "", XLOOKUP(B3850, Inventory!D:D,Inventory!E:E,"No Name Found"))</f>
        <v/>
      </c>
      <c r="D3850" s="6"/>
      <c r="E3850" s="6"/>
      <c r="F3850" s="6"/>
      <c r="G3850" s="24" t="str">
        <f>IF(F3850="", "", VLOOKUP(F3850, Inventory!A:BZ, 3, FALSE) - SUMIF($F$1:$F3849, F3850, $H$1:$H3849))
</f>
        <v/>
      </c>
      <c r="I3850" s="26"/>
      <c r="J3850" s="26" t="s">
        <v>77</v>
      </c>
      <c r="L3850" s="27" t="s">
        <v>77</v>
      </c>
      <c r="N3850" s="28" t="s">
        <v>77</v>
      </c>
      <c r="Q3850" s="30"/>
    </row>
    <row r="3851">
      <c r="B3851" s="6"/>
      <c r="C3851" s="33" t="str">
        <f t="array" ref="C3851">IF(B3851="", "", XLOOKUP(B3851, Inventory!D:D,Inventory!E:E,"No Name Found"))</f>
        <v/>
      </c>
      <c r="D3851" s="6"/>
      <c r="E3851" s="6"/>
      <c r="F3851" s="6"/>
      <c r="G3851" s="24" t="str">
        <f>IF(F3851="", "", VLOOKUP(F3851, Inventory!A:BZ, 3, FALSE) - SUMIF($F$1:$F3850, F3851, $H$1:$H3850))
</f>
        <v/>
      </c>
      <c r="I3851" s="26"/>
      <c r="J3851" s="26" t="s">
        <v>77</v>
      </c>
      <c r="L3851" s="27" t="s">
        <v>77</v>
      </c>
      <c r="N3851" s="28" t="s">
        <v>77</v>
      </c>
      <c r="Q3851" s="30"/>
    </row>
    <row r="3852">
      <c r="B3852" s="6"/>
      <c r="C3852" s="33" t="str">
        <f t="array" ref="C3852">IF(B3852="", "", XLOOKUP(B3852, Inventory!D:D,Inventory!E:E,"No Name Found"))</f>
        <v/>
      </c>
      <c r="D3852" s="6"/>
      <c r="E3852" s="6"/>
      <c r="F3852" s="6"/>
      <c r="G3852" s="24" t="str">
        <f>IF(F3852="", "", VLOOKUP(F3852, Inventory!A:BZ, 3, FALSE) - SUMIF($F$1:$F3851, F3852, $H$1:$H3851))
</f>
        <v/>
      </c>
      <c r="I3852" s="26"/>
      <c r="J3852" s="26" t="s">
        <v>77</v>
      </c>
      <c r="L3852" s="27" t="s">
        <v>77</v>
      </c>
      <c r="N3852" s="28" t="s">
        <v>77</v>
      </c>
      <c r="Q3852" s="30"/>
    </row>
    <row r="3853">
      <c r="B3853" s="6"/>
      <c r="C3853" s="33" t="str">
        <f t="array" ref="C3853">IF(B3853="", "", XLOOKUP(B3853, Inventory!D:D,Inventory!E:E,"No Name Found"))</f>
        <v/>
      </c>
      <c r="D3853" s="6"/>
      <c r="E3853" s="6"/>
      <c r="F3853" s="6"/>
      <c r="G3853" s="24" t="str">
        <f>IF(F3853="", "", VLOOKUP(F3853, Inventory!A:BZ, 3, FALSE) - SUMIF($F$1:$F3852, F3853, $H$1:$H3852))
</f>
        <v/>
      </c>
      <c r="I3853" s="26"/>
      <c r="J3853" s="26" t="s">
        <v>77</v>
      </c>
      <c r="L3853" s="27" t="s">
        <v>77</v>
      </c>
      <c r="N3853" s="28" t="s">
        <v>77</v>
      </c>
      <c r="Q3853" s="30"/>
    </row>
    <row r="3854">
      <c r="B3854" s="6"/>
      <c r="C3854" s="33" t="str">
        <f t="array" ref="C3854">IF(B3854="", "", XLOOKUP(B3854, Inventory!D:D,Inventory!E:E,"No Name Found"))</f>
        <v/>
      </c>
      <c r="D3854" s="6"/>
      <c r="E3854" s="6"/>
      <c r="F3854" s="6"/>
      <c r="G3854" s="24" t="str">
        <f>IF(F3854="", "", VLOOKUP(F3854, Inventory!A:BZ, 3, FALSE) - SUMIF($F$1:$F3853, F3854, $H$1:$H3853))
</f>
        <v/>
      </c>
      <c r="I3854" s="26"/>
      <c r="J3854" s="26" t="s">
        <v>77</v>
      </c>
      <c r="L3854" s="27" t="s">
        <v>77</v>
      </c>
      <c r="N3854" s="28" t="s">
        <v>77</v>
      </c>
      <c r="Q3854" s="30"/>
    </row>
    <row r="3855">
      <c r="B3855" s="6"/>
      <c r="C3855" s="33" t="str">
        <f t="array" ref="C3855">IF(B3855="", "", XLOOKUP(B3855, Inventory!D:D,Inventory!E:E,"No Name Found"))</f>
        <v/>
      </c>
      <c r="D3855" s="6"/>
      <c r="E3855" s="6"/>
      <c r="F3855" s="6"/>
      <c r="G3855" s="24" t="str">
        <f>IF(F3855="", "", VLOOKUP(F3855, Inventory!A:BZ, 3, FALSE) - SUMIF($F$1:$F3854, F3855, $H$1:$H3854))
</f>
        <v/>
      </c>
      <c r="I3855" s="26"/>
      <c r="J3855" s="26" t="s">
        <v>77</v>
      </c>
      <c r="L3855" s="27" t="s">
        <v>77</v>
      </c>
      <c r="N3855" s="28" t="s">
        <v>77</v>
      </c>
      <c r="Q3855" s="30"/>
    </row>
    <row r="3856">
      <c r="B3856" s="6"/>
      <c r="C3856" s="33" t="str">
        <f t="array" ref="C3856">IF(B3856="", "", XLOOKUP(B3856, Inventory!D:D,Inventory!E:E,"No Name Found"))</f>
        <v/>
      </c>
      <c r="D3856" s="6"/>
      <c r="E3856" s="6"/>
      <c r="F3856" s="6"/>
      <c r="G3856" s="24" t="str">
        <f>IF(F3856="", "", VLOOKUP(F3856, Inventory!A:BZ, 3, FALSE) - SUMIF($F$1:$F3855, F3856, $H$1:$H3855))
</f>
        <v/>
      </c>
      <c r="I3856" s="26"/>
      <c r="J3856" s="26" t="s">
        <v>77</v>
      </c>
      <c r="L3856" s="27" t="s">
        <v>77</v>
      </c>
      <c r="N3856" s="28" t="s">
        <v>77</v>
      </c>
      <c r="Q3856" s="30"/>
    </row>
    <row r="3857">
      <c r="B3857" s="6"/>
      <c r="C3857" s="33" t="str">
        <f t="array" ref="C3857">IF(B3857="", "", XLOOKUP(B3857, Inventory!D:D,Inventory!E:E,"No Name Found"))</f>
        <v/>
      </c>
      <c r="D3857" s="6"/>
      <c r="E3857" s="6"/>
      <c r="F3857" s="6"/>
      <c r="G3857" s="24" t="str">
        <f>IF(F3857="", "", VLOOKUP(F3857, Inventory!A:BZ, 3, FALSE) - SUMIF($F$1:$F3856, F3857, $H$1:$H3856))
</f>
        <v/>
      </c>
      <c r="I3857" s="26"/>
      <c r="J3857" s="26" t="s">
        <v>77</v>
      </c>
      <c r="L3857" s="27" t="s">
        <v>77</v>
      </c>
      <c r="N3857" s="28" t="s">
        <v>77</v>
      </c>
      <c r="Q3857" s="30"/>
    </row>
    <row r="3858">
      <c r="B3858" s="6"/>
      <c r="C3858" s="33" t="str">
        <f t="array" ref="C3858">IF(B3858="", "", XLOOKUP(B3858, Inventory!D:D,Inventory!E:E,"No Name Found"))</f>
        <v/>
      </c>
      <c r="D3858" s="6"/>
      <c r="E3858" s="6"/>
      <c r="F3858" s="6"/>
      <c r="G3858" s="24" t="str">
        <f>IF(F3858="", "", VLOOKUP(F3858, Inventory!A:BZ, 3, FALSE) - SUMIF($F$1:$F3857, F3858, $H$1:$H3857))
</f>
        <v/>
      </c>
      <c r="I3858" s="26"/>
      <c r="J3858" s="26" t="s">
        <v>77</v>
      </c>
      <c r="L3858" s="27" t="s">
        <v>77</v>
      </c>
      <c r="N3858" s="28" t="s">
        <v>77</v>
      </c>
      <c r="Q3858" s="30"/>
    </row>
    <row r="3859">
      <c r="B3859" s="6"/>
      <c r="C3859" s="33" t="str">
        <f t="array" ref="C3859">IF(B3859="", "", XLOOKUP(B3859, Inventory!D:D,Inventory!E:E,"No Name Found"))</f>
        <v/>
      </c>
      <c r="D3859" s="6"/>
      <c r="E3859" s="6"/>
      <c r="F3859" s="6"/>
      <c r="G3859" s="24" t="str">
        <f>IF(F3859="", "", VLOOKUP(F3859, Inventory!A:BZ, 3, FALSE) - SUMIF($F$1:$F3858, F3859, $H$1:$H3858))
</f>
        <v/>
      </c>
      <c r="I3859" s="26"/>
      <c r="J3859" s="26" t="s">
        <v>77</v>
      </c>
      <c r="L3859" s="27" t="s">
        <v>77</v>
      </c>
      <c r="N3859" s="28" t="s">
        <v>77</v>
      </c>
      <c r="Q3859" s="30"/>
    </row>
    <row r="3860">
      <c r="B3860" s="6"/>
      <c r="C3860" s="33" t="str">
        <f t="array" ref="C3860">IF(B3860="", "", XLOOKUP(B3860, Inventory!D:D,Inventory!E:E,"No Name Found"))</f>
        <v/>
      </c>
      <c r="D3860" s="6"/>
      <c r="E3860" s="6"/>
      <c r="F3860" s="6"/>
      <c r="G3860" s="24" t="str">
        <f>IF(F3860="", "", VLOOKUP(F3860, Inventory!A:BZ, 3, FALSE) - SUMIF($F$1:$F3859, F3860, $H$1:$H3859))
</f>
        <v/>
      </c>
      <c r="I3860" s="26"/>
      <c r="J3860" s="26" t="s">
        <v>77</v>
      </c>
      <c r="L3860" s="27" t="s">
        <v>77</v>
      </c>
      <c r="N3860" s="28" t="s">
        <v>77</v>
      </c>
      <c r="Q3860" s="30"/>
    </row>
    <row r="3861">
      <c r="B3861" s="6"/>
      <c r="C3861" s="33" t="str">
        <f t="array" ref="C3861">IF(B3861="", "", XLOOKUP(B3861, Inventory!D:D,Inventory!E:E,"No Name Found"))</f>
        <v/>
      </c>
      <c r="D3861" s="6"/>
      <c r="E3861" s="6"/>
      <c r="F3861" s="6"/>
      <c r="G3861" s="24" t="str">
        <f>IF(F3861="", "", VLOOKUP(F3861, Inventory!A:BZ, 3, FALSE) - SUMIF($F$1:$F3860, F3861, $H$1:$H3860))
</f>
        <v/>
      </c>
      <c r="I3861" s="26"/>
      <c r="J3861" s="26" t="s">
        <v>77</v>
      </c>
      <c r="L3861" s="27" t="s">
        <v>77</v>
      </c>
      <c r="N3861" s="28" t="s">
        <v>77</v>
      </c>
      <c r="Q3861" s="30"/>
    </row>
    <row r="3862">
      <c r="B3862" s="6"/>
      <c r="C3862" s="33" t="str">
        <f t="array" ref="C3862">IF(B3862="", "", XLOOKUP(B3862, Inventory!D:D,Inventory!E:E,"No Name Found"))</f>
        <v/>
      </c>
      <c r="D3862" s="6"/>
      <c r="E3862" s="6"/>
      <c r="F3862" s="6"/>
      <c r="G3862" s="24" t="str">
        <f>IF(F3862="", "", VLOOKUP(F3862, Inventory!A:BZ, 3, FALSE) - SUMIF($F$1:$F3861, F3862, $H$1:$H3861))
</f>
        <v/>
      </c>
      <c r="I3862" s="26"/>
      <c r="J3862" s="26" t="s">
        <v>77</v>
      </c>
      <c r="L3862" s="27" t="s">
        <v>77</v>
      </c>
      <c r="N3862" s="28" t="s">
        <v>77</v>
      </c>
      <c r="Q3862" s="30"/>
    </row>
    <row r="3863">
      <c r="B3863" s="6"/>
      <c r="C3863" s="33" t="str">
        <f t="array" ref="C3863">IF(B3863="", "", XLOOKUP(B3863, Inventory!D:D,Inventory!E:E,"No Name Found"))</f>
        <v/>
      </c>
      <c r="D3863" s="6"/>
      <c r="E3863" s="6"/>
      <c r="F3863" s="6"/>
      <c r="G3863" s="24" t="str">
        <f>IF(F3863="", "", VLOOKUP(F3863, Inventory!A:BZ, 3, FALSE) - SUMIF($F$1:$F3862, F3863, $H$1:$H3862))
</f>
        <v/>
      </c>
      <c r="I3863" s="26"/>
      <c r="J3863" s="26" t="s">
        <v>77</v>
      </c>
      <c r="L3863" s="27" t="s">
        <v>77</v>
      </c>
      <c r="N3863" s="28" t="s">
        <v>77</v>
      </c>
      <c r="Q3863" s="30"/>
    </row>
    <row r="3864">
      <c r="B3864" s="6"/>
      <c r="C3864" s="33" t="str">
        <f t="array" ref="C3864">IF(B3864="", "", XLOOKUP(B3864, Inventory!D:D,Inventory!E:E,"No Name Found"))</f>
        <v/>
      </c>
      <c r="D3864" s="6"/>
      <c r="E3864" s="6"/>
      <c r="F3864" s="6"/>
      <c r="G3864" s="24" t="str">
        <f>IF(F3864="", "", VLOOKUP(F3864, Inventory!A:BZ, 3, FALSE) - SUMIF($F$1:$F3863, F3864, $H$1:$H3863))
</f>
        <v/>
      </c>
      <c r="I3864" s="26"/>
      <c r="J3864" s="26" t="s">
        <v>77</v>
      </c>
      <c r="L3864" s="27" t="s">
        <v>77</v>
      </c>
      <c r="N3864" s="28" t="s">
        <v>77</v>
      </c>
      <c r="Q3864" s="30"/>
    </row>
    <row r="3865">
      <c r="B3865" s="6"/>
      <c r="C3865" s="33" t="str">
        <f t="array" ref="C3865">IF(B3865="", "", XLOOKUP(B3865, Inventory!D:D,Inventory!E:E,"No Name Found"))</f>
        <v/>
      </c>
      <c r="D3865" s="6"/>
      <c r="E3865" s="6"/>
      <c r="F3865" s="6"/>
      <c r="G3865" s="24" t="str">
        <f>IF(F3865="", "", VLOOKUP(F3865, Inventory!A:BZ, 3, FALSE) - SUMIF($F$1:$F3864, F3865, $H$1:$H3864))
</f>
        <v/>
      </c>
      <c r="I3865" s="26"/>
      <c r="J3865" s="26" t="s">
        <v>77</v>
      </c>
      <c r="L3865" s="27" t="s">
        <v>77</v>
      </c>
      <c r="N3865" s="28" t="s">
        <v>77</v>
      </c>
      <c r="Q3865" s="30"/>
    </row>
    <row r="3866">
      <c r="B3866" s="6"/>
      <c r="C3866" s="33" t="str">
        <f t="array" ref="C3866">IF(B3866="", "", XLOOKUP(B3866, Inventory!D:D,Inventory!E:E,"No Name Found"))</f>
        <v/>
      </c>
      <c r="D3866" s="6"/>
      <c r="E3866" s="6"/>
      <c r="F3866" s="6"/>
      <c r="G3866" s="24" t="str">
        <f>IF(F3866="", "", VLOOKUP(F3866, Inventory!A:BZ, 3, FALSE) - SUMIF($F$1:$F3865, F3866, $H$1:$H3865))
</f>
        <v/>
      </c>
      <c r="I3866" s="26"/>
      <c r="J3866" s="26" t="s">
        <v>77</v>
      </c>
      <c r="L3866" s="27" t="s">
        <v>77</v>
      </c>
      <c r="N3866" s="28" t="s">
        <v>77</v>
      </c>
      <c r="Q3866" s="30"/>
    </row>
    <row r="3867">
      <c r="B3867" s="6"/>
      <c r="C3867" s="33" t="str">
        <f t="array" ref="C3867">IF(B3867="", "", XLOOKUP(B3867, Inventory!D:D,Inventory!E:E,"No Name Found"))</f>
        <v/>
      </c>
      <c r="D3867" s="6"/>
      <c r="E3867" s="6"/>
      <c r="F3867" s="6"/>
      <c r="G3867" s="24" t="str">
        <f>IF(F3867="", "", VLOOKUP(F3867, Inventory!A:BZ, 3, FALSE) - SUMIF($F$1:$F3866, F3867, $H$1:$H3866))
</f>
        <v/>
      </c>
      <c r="I3867" s="26"/>
      <c r="J3867" s="26" t="s">
        <v>77</v>
      </c>
      <c r="L3867" s="27" t="s">
        <v>77</v>
      </c>
      <c r="N3867" s="28" t="s">
        <v>77</v>
      </c>
      <c r="Q3867" s="30"/>
    </row>
    <row r="3868">
      <c r="B3868" s="6"/>
      <c r="C3868" s="33" t="str">
        <f t="array" ref="C3868">IF(B3868="", "", XLOOKUP(B3868, Inventory!D:D,Inventory!E:E,"No Name Found"))</f>
        <v/>
      </c>
      <c r="D3868" s="6"/>
      <c r="E3868" s="6"/>
      <c r="F3868" s="6"/>
      <c r="G3868" s="24" t="str">
        <f>IF(F3868="", "", VLOOKUP(F3868, Inventory!A:BZ, 3, FALSE) - SUMIF($F$1:$F3867, F3868, $H$1:$H3867))
</f>
        <v/>
      </c>
      <c r="I3868" s="26"/>
      <c r="J3868" s="26" t="s">
        <v>77</v>
      </c>
      <c r="L3868" s="27" t="s">
        <v>77</v>
      </c>
      <c r="N3868" s="28" t="s">
        <v>77</v>
      </c>
      <c r="Q3868" s="30"/>
    </row>
    <row r="3869">
      <c r="B3869" s="6"/>
      <c r="C3869" s="33" t="str">
        <f t="array" ref="C3869">IF(B3869="", "", XLOOKUP(B3869, Inventory!D:D,Inventory!E:E,"No Name Found"))</f>
        <v/>
      </c>
      <c r="D3869" s="6"/>
      <c r="E3869" s="6"/>
      <c r="F3869" s="6"/>
      <c r="G3869" s="24" t="str">
        <f>IF(F3869="", "", VLOOKUP(F3869, Inventory!A:BZ, 3, FALSE) - SUMIF($F$1:$F3868, F3869, $H$1:$H3868))
</f>
        <v/>
      </c>
      <c r="I3869" s="26"/>
      <c r="J3869" s="26" t="s">
        <v>77</v>
      </c>
      <c r="L3869" s="27" t="s">
        <v>77</v>
      </c>
      <c r="N3869" s="28" t="s">
        <v>77</v>
      </c>
      <c r="Q3869" s="30"/>
    </row>
    <row r="3870">
      <c r="B3870" s="6"/>
      <c r="C3870" s="33" t="str">
        <f t="array" ref="C3870">IF(B3870="", "", XLOOKUP(B3870, Inventory!D:D,Inventory!E:E,"No Name Found"))</f>
        <v/>
      </c>
      <c r="D3870" s="6"/>
      <c r="E3870" s="6"/>
      <c r="F3870" s="6"/>
      <c r="G3870" s="24" t="str">
        <f>IF(F3870="", "", VLOOKUP(F3870, Inventory!A:BZ, 3, FALSE) - SUMIF($F$1:$F3869, F3870, $H$1:$H3869))
</f>
        <v/>
      </c>
      <c r="I3870" s="26"/>
      <c r="J3870" s="26" t="s">
        <v>77</v>
      </c>
      <c r="L3870" s="27" t="s">
        <v>77</v>
      </c>
      <c r="N3870" s="28" t="s">
        <v>77</v>
      </c>
      <c r="Q3870" s="30"/>
    </row>
    <row r="3871">
      <c r="B3871" s="6"/>
      <c r="C3871" s="33" t="str">
        <f t="array" ref="C3871">IF(B3871="", "", XLOOKUP(B3871, Inventory!D:D,Inventory!E:E,"No Name Found"))</f>
        <v/>
      </c>
      <c r="D3871" s="6"/>
      <c r="E3871" s="6"/>
      <c r="F3871" s="6"/>
      <c r="G3871" s="24" t="str">
        <f>IF(F3871="", "", VLOOKUP(F3871, Inventory!A:BZ, 3, FALSE) - SUMIF($F$1:$F3870, F3871, $H$1:$H3870))
</f>
        <v/>
      </c>
      <c r="I3871" s="26"/>
      <c r="J3871" s="26" t="s">
        <v>77</v>
      </c>
      <c r="L3871" s="27" t="s">
        <v>77</v>
      </c>
      <c r="N3871" s="28" t="s">
        <v>77</v>
      </c>
      <c r="Q3871" s="30"/>
    </row>
    <row r="3872">
      <c r="B3872" s="6"/>
      <c r="C3872" s="33" t="str">
        <f t="array" ref="C3872">IF(B3872="", "", XLOOKUP(B3872, Inventory!D:D,Inventory!E:E,"No Name Found"))</f>
        <v/>
      </c>
      <c r="D3872" s="6"/>
      <c r="E3872" s="6"/>
      <c r="F3872" s="6"/>
      <c r="G3872" s="24" t="str">
        <f>IF(F3872="", "", VLOOKUP(F3872, Inventory!A:BZ, 3, FALSE) - SUMIF($F$1:$F3871, F3872, $H$1:$H3871))
</f>
        <v/>
      </c>
      <c r="I3872" s="26"/>
      <c r="J3872" s="26" t="s">
        <v>77</v>
      </c>
      <c r="L3872" s="27" t="s">
        <v>77</v>
      </c>
      <c r="N3872" s="28" t="s">
        <v>77</v>
      </c>
      <c r="Q3872" s="30"/>
    </row>
    <row r="3873">
      <c r="B3873" s="6"/>
      <c r="C3873" s="33" t="str">
        <f t="array" ref="C3873">IF(B3873="", "", XLOOKUP(B3873, Inventory!D:D,Inventory!E:E,"No Name Found"))</f>
        <v/>
      </c>
      <c r="D3873" s="6"/>
      <c r="E3873" s="6"/>
      <c r="F3873" s="6"/>
      <c r="G3873" s="24" t="str">
        <f>IF(F3873="", "", VLOOKUP(F3873, Inventory!A:BZ, 3, FALSE) - SUMIF($F$1:$F3872, F3873, $H$1:$H3872))
</f>
        <v/>
      </c>
      <c r="I3873" s="26"/>
      <c r="J3873" s="26" t="s">
        <v>77</v>
      </c>
      <c r="L3873" s="27" t="s">
        <v>77</v>
      </c>
      <c r="N3873" s="28" t="s">
        <v>77</v>
      </c>
      <c r="Q3873" s="30"/>
    </row>
    <row r="3874">
      <c r="B3874" s="6"/>
      <c r="C3874" s="33" t="str">
        <f t="array" ref="C3874">IF(B3874="", "", XLOOKUP(B3874, Inventory!D:D,Inventory!E:E,"No Name Found"))</f>
        <v/>
      </c>
      <c r="D3874" s="6"/>
      <c r="E3874" s="6"/>
      <c r="F3874" s="6"/>
      <c r="G3874" s="24" t="str">
        <f>IF(F3874="", "", VLOOKUP(F3874, Inventory!A:BZ, 3, FALSE) - SUMIF($F$1:$F3873, F3874, $H$1:$H3873))
</f>
        <v/>
      </c>
      <c r="I3874" s="26"/>
      <c r="J3874" s="26" t="s">
        <v>77</v>
      </c>
      <c r="L3874" s="27" t="s">
        <v>77</v>
      </c>
      <c r="N3874" s="28" t="s">
        <v>77</v>
      </c>
      <c r="Q3874" s="30"/>
    </row>
    <row r="3875">
      <c r="B3875" s="6"/>
      <c r="C3875" s="33" t="str">
        <f t="array" ref="C3875">IF(B3875="", "", XLOOKUP(B3875, Inventory!D:D,Inventory!E:E,"No Name Found"))</f>
        <v/>
      </c>
      <c r="D3875" s="6"/>
      <c r="E3875" s="6"/>
      <c r="F3875" s="6"/>
      <c r="G3875" s="24" t="str">
        <f>IF(F3875="", "", VLOOKUP(F3875, Inventory!A:BZ, 3, FALSE) - SUMIF($F$1:$F3874, F3875, $H$1:$H3874))
</f>
        <v/>
      </c>
      <c r="I3875" s="26"/>
      <c r="J3875" s="26" t="s">
        <v>77</v>
      </c>
      <c r="L3875" s="27" t="s">
        <v>77</v>
      </c>
      <c r="N3875" s="28" t="s">
        <v>77</v>
      </c>
      <c r="Q3875" s="30"/>
    </row>
    <row r="3876">
      <c r="B3876" s="6"/>
      <c r="C3876" s="33" t="str">
        <f t="array" ref="C3876">IF(B3876="", "", XLOOKUP(B3876, Inventory!D:D,Inventory!E:E,"No Name Found"))</f>
        <v/>
      </c>
      <c r="D3876" s="6"/>
      <c r="E3876" s="6"/>
      <c r="F3876" s="6"/>
      <c r="G3876" s="24" t="str">
        <f>IF(F3876="", "", VLOOKUP(F3876, Inventory!A:BZ, 3, FALSE) - SUMIF($F$1:$F3875, F3876, $H$1:$H3875))
</f>
        <v/>
      </c>
      <c r="I3876" s="26"/>
      <c r="J3876" s="26" t="s">
        <v>77</v>
      </c>
      <c r="L3876" s="27" t="s">
        <v>77</v>
      </c>
      <c r="N3876" s="28" t="s">
        <v>77</v>
      </c>
      <c r="Q3876" s="30"/>
    </row>
    <row r="3877">
      <c r="B3877" s="6"/>
      <c r="C3877" s="33" t="str">
        <f t="array" ref="C3877">IF(B3877="", "", XLOOKUP(B3877, Inventory!D:D,Inventory!E:E,"No Name Found"))</f>
        <v/>
      </c>
      <c r="D3877" s="6"/>
      <c r="E3877" s="6"/>
      <c r="F3877" s="6"/>
      <c r="G3877" s="24" t="str">
        <f>IF(F3877="", "", VLOOKUP(F3877, Inventory!A:BZ, 3, FALSE) - SUMIF($F$1:$F3876, F3877, $H$1:$H3876))
</f>
        <v/>
      </c>
      <c r="I3877" s="26"/>
      <c r="J3877" s="26" t="s">
        <v>77</v>
      </c>
      <c r="L3877" s="27" t="s">
        <v>77</v>
      </c>
      <c r="N3877" s="28" t="s">
        <v>77</v>
      </c>
      <c r="Q3877" s="30"/>
    </row>
    <row r="3878">
      <c r="B3878" s="6"/>
      <c r="C3878" s="33" t="str">
        <f t="array" ref="C3878">IF(B3878="", "", XLOOKUP(B3878, Inventory!D:D,Inventory!E:E,"No Name Found"))</f>
        <v/>
      </c>
      <c r="D3878" s="6"/>
      <c r="E3878" s="6"/>
      <c r="F3878" s="6"/>
      <c r="G3878" s="24" t="str">
        <f>IF(F3878="", "", VLOOKUP(F3878, Inventory!A:BZ, 3, FALSE) - SUMIF($F$1:$F3877, F3878, $H$1:$H3877))
</f>
        <v/>
      </c>
      <c r="I3878" s="26"/>
      <c r="J3878" s="26" t="s">
        <v>77</v>
      </c>
      <c r="L3878" s="27" t="s">
        <v>77</v>
      </c>
      <c r="N3878" s="28" t="s">
        <v>77</v>
      </c>
      <c r="Q3878" s="30"/>
    </row>
    <row r="3879">
      <c r="B3879" s="6"/>
      <c r="C3879" s="33" t="str">
        <f t="array" ref="C3879">IF(B3879="", "", XLOOKUP(B3879, Inventory!D:D,Inventory!E:E,"No Name Found"))</f>
        <v/>
      </c>
      <c r="D3879" s="6"/>
      <c r="E3879" s="6"/>
      <c r="F3879" s="6"/>
      <c r="G3879" s="24" t="str">
        <f>IF(F3879="", "", VLOOKUP(F3879, Inventory!A:BZ, 3, FALSE) - SUMIF($F$1:$F3878, F3879, $H$1:$H3878))
</f>
        <v/>
      </c>
      <c r="I3879" s="26"/>
      <c r="J3879" s="26" t="s">
        <v>77</v>
      </c>
      <c r="L3879" s="27" t="s">
        <v>77</v>
      </c>
      <c r="N3879" s="28" t="s">
        <v>77</v>
      </c>
      <c r="Q3879" s="30"/>
    </row>
    <row r="3880">
      <c r="B3880" s="6"/>
      <c r="C3880" s="33" t="str">
        <f t="array" ref="C3880">IF(B3880="", "", XLOOKUP(B3880, Inventory!D:D,Inventory!E:E,"No Name Found"))</f>
        <v/>
      </c>
      <c r="D3880" s="6"/>
      <c r="E3880" s="6"/>
      <c r="F3880" s="6"/>
      <c r="G3880" s="24" t="str">
        <f>IF(F3880="", "", VLOOKUP(F3880, Inventory!A:BZ, 3, FALSE) - SUMIF($F$1:$F3879, F3880, $H$1:$H3879))
</f>
        <v/>
      </c>
      <c r="I3880" s="26"/>
      <c r="J3880" s="26" t="s">
        <v>77</v>
      </c>
      <c r="L3880" s="27" t="s">
        <v>77</v>
      </c>
      <c r="N3880" s="28" t="s">
        <v>77</v>
      </c>
      <c r="Q3880" s="30"/>
    </row>
    <row r="3881">
      <c r="B3881" s="6"/>
      <c r="C3881" s="33" t="str">
        <f t="array" ref="C3881">IF(B3881="", "", XLOOKUP(B3881, Inventory!D:D,Inventory!E:E,"No Name Found"))</f>
        <v/>
      </c>
      <c r="D3881" s="6"/>
      <c r="E3881" s="6"/>
      <c r="F3881" s="6"/>
      <c r="G3881" s="24" t="str">
        <f>IF(F3881="", "", VLOOKUP(F3881, Inventory!A:BZ, 3, FALSE) - SUMIF($F$1:$F3880, F3881, $H$1:$H3880))
</f>
        <v/>
      </c>
      <c r="I3881" s="26"/>
      <c r="J3881" s="26" t="s">
        <v>77</v>
      </c>
      <c r="L3881" s="27" t="s">
        <v>77</v>
      </c>
      <c r="N3881" s="28" t="s">
        <v>77</v>
      </c>
      <c r="Q3881" s="30"/>
    </row>
    <row r="3882">
      <c r="B3882" s="6"/>
      <c r="C3882" s="33" t="str">
        <f t="array" ref="C3882">IF(B3882="", "", XLOOKUP(B3882, Inventory!D:D,Inventory!E:E,"No Name Found"))</f>
        <v/>
      </c>
      <c r="D3882" s="6"/>
      <c r="E3882" s="6"/>
      <c r="F3882" s="6"/>
      <c r="G3882" s="24" t="str">
        <f>IF(F3882="", "", VLOOKUP(F3882, Inventory!A:BZ, 3, FALSE) - SUMIF($F$1:$F3881, F3882, $H$1:$H3881))
</f>
        <v/>
      </c>
      <c r="I3882" s="26"/>
      <c r="J3882" s="26" t="s">
        <v>77</v>
      </c>
      <c r="L3882" s="27" t="s">
        <v>77</v>
      </c>
      <c r="N3882" s="28" t="s">
        <v>77</v>
      </c>
      <c r="Q3882" s="30"/>
    </row>
    <row r="3883">
      <c r="B3883" s="6"/>
      <c r="C3883" s="33" t="str">
        <f t="array" ref="C3883">IF(B3883="", "", XLOOKUP(B3883, Inventory!D:D,Inventory!E:E,"No Name Found"))</f>
        <v/>
      </c>
      <c r="D3883" s="6"/>
      <c r="E3883" s="6"/>
      <c r="F3883" s="6"/>
      <c r="G3883" s="24" t="str">
        <f>IF(F3883="", "", VLOOKUP(F3883, Inventory!A:BZ, 3, FALSE) - SUMIF($F$1:$F3882, F3883, $H$1:$H3882))
</f>
        <v/>
      </c>
      <c r="I3883" s="26"/>
      <c r="J3883" s="26" t="s">
        <v>77</v>
      </c>
      <c r="L3883" s="27" t="s">
        <v>77</v>
      </c>
      <c r="N3883" s="28" t="s">
        <v>77</v>
      </c>
      <c r="Q3883" s="30"/>
    </row>
    <row r="3884">
      <c r="B3884" s="6"/>
      <c r="C3884" s="33" t="str">
        <f t="array" ref="C3884">IF(B3884="", "", XLOOKUP(B3884, Inventory!D:D,Inventory!E:E,"No Name Found"))</f>
        <v/>
      </c>
      <c r="D3884" s="6"/>
      <c r="E3884" s="6"/>
      <c r="F3884" s="6"/>
      <c r="G3884" s="24" t="str">
        <f>IF(F3884="", "", VLOOKUP(F3884, Inventory!A:BZ, 3, FALSE) - SUMIF($F$1:$F3883, F3884, $H$1:$H3883))
</f>
        <v/>
      </c>
      <c r="I3884" s="26"/>
      <c r="J3884" s="26" t="s">
        <v>77</v>
      </c>
      <c r="L3884" s="27" t="s">
        <v>77</v>
      </c>
      <c r="N3884" s="28" t="s">
        <v>77</v>
      </c>
      <c r="Q3884" s="30"/>
    </row>
    <row r="3885">
      <c r="B3885" s="6"/>
      <c r="C3885" s="33" t="str">
        <f t="array" ref="C3885">IF(B3885="", "", XLOOKUP(B3885, Inventory!D:D,Inventory!E:E,"No Name Found"))</f>
        <v/>
      </c>
      <c r="D3885" s="6"/>
      <c r="E3885" s="6"/>
      <c r="F3885" s="6"/>
      <c r="G3885" s="24" t="str">
        <f>IF(F3885="", "", VLOOKUP(F3885, Inventory!A:BZ, 3, FALSE) - SUMIF($F$1:$F3884, F3885, $H$1:$H3884))
</f>
        <v/>
      </c>
      <c r="I3885" s="26"/>
      <c r="J3885" s="26" t="s">
        <v>77</v>
      </c>
      <c r="L3885" s="27" t="s">
        <v>77</v>
      </c>
      <c r="N3885" s="28" t="s">
        <v>77</v>
      </c>
      <c r="Q3885" s="30"/>
    </row>
    <row r="3886">
      <c r="B3886" s="6"/>
      <c r="C3886" s="33" t="str">
        <f t="array" ref="C3886">IF(B3886="", "", XLOOKUP(B3886, Inventory!D:D,Inventory!E:E,"No Name Found"))</f>
        <v/>
      </c>
      <c r="D3886" s="6"/>
      <c r="E3886" s="6"/>
      <c r="F3886" s="6"/>
      <c r="G3886" s="24" t="str">
        <f>IF(F3886="", "", VLOOKUP(F3886, Inventory!A:BZ, 3, FALSE) - SUMIF($F$1:$F3885, F3886, $H$1:$H3885))
</f>
        <v/>
      </c>
      <c r="I3886" s="26"/>
      <c r="J3886" s="26" t="s">
        <v>77</v>
      </c>
      <c r="L3886" s="27" t="s">
        <v>77</v>
      </c>
      <c r="N3886" s="28" t="s">
        <v>77</v>
      </c>
      <c r="Q3886" s="30"/>
    </row>
    <row r="3887">
      <c r="B3887" s="6"/>
      <c r="C3887" s="33" t="str">
        <f t="array" ref="C3887">IF(B3887="", "", XLOOKUP(B3887, Inventory!D:D,Inventory!E:E,"No Name Found"))</f>
        <v/>
      </c>
      <c r="D3887" s="6"/>
      <c r="E3887" s="6"/>
      <c r="F3887" s="6"/>
      <c r="G3887" s="24" t="str">
        <f>IF(F3887="", "", VLOOKUP(F3887, Inventory!A:BZ, 3, FALSE) - SUMIF($F$1:$F3886, F3887, $H$1:$H3886))
</f>
        <v/>
      </c>
      <c r="I3887" s="26"/>
      <c r="J3887" s="26" t="s">
        <v>77</v>
      </c>
      <c r="L3887" s="27" t="s">
        <v>77</v>
      </c>
      <c r="N3887" s="28" t="s">
        <v>77</v>
      </c>
      <c r="Q3887" s="30"/>
    </row>
    <row r="3888">
      <c r="B3888" s="6"/>
      <c r="C3888" s="33" t="str">
        <f t="array" ref="C3888">IF(B3888="", "", XLOOKUP(B3888, Inventory!D:D,Inventory!E:E,"No Name Found"))</f>
        <v/>
      </c>
      <c r="D3888" s="6"/>
      <c r="E3888" s="6"/>
      <c r="F3888" s="6"/>
      <c r="G3888" s="24" t="str">
        <f>IF(F3888="", "", VLOOKUP(F3888, Inventory!A:BZ, 3, FALSE) - SUMIF($F$1:$F3887, F3888, $H$1:$H3887))
</f>
        <v/>
      </c>
      <c r="I3888" s="26"/>
      <c r="J3888" s="26" t="s">
        <v>77</v>
      </c>
      <c r="L3888" s="27" t="s">
        <v>77</v>
      </c>
      <c r="N3888" s="28" t="s">
        <v>77</v>
      </c>
      <c r="Q3888" s="30"/>
    </row>
    <row r="3889">
      <c r="B3889" s="6"/>
      <c r="C3889" s="33" t="str">
        <f t="array" ref="C3889">IF(B3889="", "", XLOOKUP(B3889, Inventory!D:D,Inventory!E:E,"No Name Found"))</f>
        <v/>
      </c>
      <c r="D3889" s="6"/>
      <c r="E3889" s="6"/>
      <c r="F3889" s="6"/>
      <c r="G3889" s="24" t="str">
        <f>IF(F3889="", "", VLOOKUP(F3889, Inventory!A:BZ, 3, FALSE) - SUMIF($F$1:$F3888, F3889, $H$1:$H3888))
</f>
        <v/>
      </c>
      <c r="I3889" s="26"/>
      <c r="J3889" s="26" t="s">
        <v>77</v>
      </c>
      <c r="L3889" s="27" t="s">
        <v>77</v>
      </c>
      <c r="N3889" s="28" t="s">
        <v>77</v>
      </c>
      <c r="Q3889" s="30"/>
    </row>
    <row r="3890">
      <c r="B3890" s="6"/>
      <c r="C3890" s="33" t="str">
        <f t="array" ref="C3890">IF(B3890="", "", XLOOKUP(B3890, Inventory!D:D,Inventory!E:E,"No Name Found"))</f>
        <v/>
      </c>
      <c r="D3890" s="6"/>
      <c r="E3890" s="6"/>
      <c r="F3890" s="6"/>
      <c r="G3890" s="24" t="str">
        <f>IF(F3890="", "", VLOOKUP(F3890, Inventory!A:BZ, 3, FALSE) - SUMIF($F$1:$F3889, F3890, $H$1:$H3889))
</f>
        <v/>
      </c>
      <c r="I3890" s="26"/>
      <c r="J3890" s="26" t="s">
        <v>77</v>
      </c>
      <c r="L3890" s="27" t="s">
        <v>77</v>
      </c>
      <c r="N3890" s="28" t="s">
        <v>77</v>
      </c>
      <c r="Q3890" s="30"/>
    </row>
    <row r="3891">
      <c r="B3891" s="6"/>
      <c r="C3891" s="33" t="str">
        <f t="array" ref="C3891">IF(B3891="", "", XLOOKUP(B3891, Inventory!D:D,Inventory!E:E,"No Name Found"))</f>
        <v/>
      </c>
      <c r="D3891" s="6"/>
      <c r="E3891" s="6"/>
      <c r="F3891" s="6"/>
      <c r="G3891" s="24" t="str">
        <f>IF(F3891="", "", VLOOKUP(F3891, Inventory!A:BZ, 3, FALSE) - SUMIF($F$1:$F3890, F3891, $H$1:$H3890))
</f>
        <v/>
      </c>
      <c r="I3891" s="26"/>
      <c r="J3891" s="26" t="s">
        <v>77</v>
      </c>
      <c r="L3891" s="27" t="s">
        <v>77</v>
      </c>
      <c r="N3891" s="28" t="s">
        <v>77</v>
      </c>
      <c r="Q3891" s="30"/>
    </row>
    <row r="3892">
      <c r="B3892" s="6"/>
      <c r="C3892" s="33" t="str">
        <f t="array" ref="C3892">IF(B3892="", "", XLOOKUP(B3892, Inventory!D:D,Inventory!E:E,"No Name Found"))</f>
        <v/>
      </c>
      <c r="D3892" s="6"/>
      <c r="E3892" s="6"/>
      <c r="F3892" s="6"/>
      <c r="G3892" s="24" t="str">
        <f>IF(F3892="", "", VLOOKUP(F3892, Inventory!A:BZ, 3, FALSE) - SUMIF($F$1:$F3891, F3892, $H$1:$H3891))
</f>
        <v/>
      </c>
      <c r="I3892" s="26"/>
      <c r="J3892" s="26" t="s">
        <v>77</v>
      </c>
      <c r="L3892" s="27" t="s">
        <v>77</v>
      </c>
      <c r="N3892" s="28" t="s">
        <v>77</v>
      </c>
      <c r="Q3892" s="30"/>
    </row>
    <row r="3893">
      <c r="B3893" s="6"/>
      <c r="C3893" s="33" t="str">
        <f t="array" ref="C3893">IF(B3893="", "", XLOOKUP(B3893, Inventory!D:D,Inventory!E:E,"No Name Found"))</f>
        <v/>
      </c>
      <c r="D3893" s="6"/>
      <c r="E3893" s="6"/>
      <c r="F3893" s="6"/>
      <c r="G3893" s="24" t="str">
        <f>IF(F3893="", "", VLOOKUP(F3893, Inventory!A:BZ, 3, FALSE) - SUMIF($F$1:$F3892, F3893, $H$1:$H3892))
</f>
        <v/>
      </c>
      <c r="I3893" s="26"/>
      <c r="J3893" s="26" t="s">
        <v>77</v>
      </c>
      <c r="L3893" s="27" t="s">
        <v>77</v>
      </c>
      <c r="N3893" s="28" t="s">
        <v>77</v>
      </c>
      <c r="Q3893" s="30"/>
    </row>
    <row r="3894">
      <c r="B3894" s="6"/>
      <c r="C3894" s="33" t="str">
        <f t="array" ref="C3894">IF(B3894="", "", XLOOKUP(B3894, Inventory!D:D,Inventory!E:E,"No Name Found"))</f>
        <v/>
      </c>
      <c r="D3894" s="6"/>
      <c r="E3894" s="6"/>
      <c r="F3894" s="6"/>
      <c r="G3894" s="24" t="str">
        <f>IF(F3894="", "", VLOOKUP(F3894, Inventory!A:BZ, 3, FALSE) - SUMIF($F$1:$F3893, F3894, $H$1:$H3893))
</f>
        <v/>
      </c>
      <c r="I3894" s="26"/>
      <c r="J3894" s="26" t="s">
        <v>77</v>
      </c>
      <c r="L3894" s="27" t="s">
        <v>77</v>
      </c>
      <c r="N3894" s="28" t="s">
        <v>77</v>
      </c>
      <c r="Q3894" s="30"/>
    </row>
    <row r="3895">
      <c r="B3895" s="6"/>
      <c r="C3895" s="33" t="str">
        <f t="array" ref="C3895">IF(B3895="", "", XLOOKUP(B3895, Inventory!D:D,Inventory!E:E,"No Name Found"))</f>
        <v/>
      </c>
      <c r="D3895" s="6"/>
      <c r="E3895" s="6"/>
      <c r="F3895" s="6"/>
      <c r="G3895" s="24" t="str">
        <f>IF(F3895="", "", VLOOKUP(F3895, Inventory!A:BZ, 3, FALSE) - SUMIF($F$1:$F3894, F3895, $H$1:$H3894))
</f>
        <v/>
      </c>
      <c r="I3895" s="26"/>
      <c r="J3895" s="26" t="s">
        <v>77</v>
      </c>
      <c r="L3895" s="27" t="s">
        <v>77</v>
      </c>
      <c r="N3895" s="28" t="s">
        <v>77</v>
      </c>
      <c r="Q3895" s="30"/>
    </row>
    <row r="3896">
      <c r="B3896" s="6"/>
      <c r="C3896" s="33" t="str">
        <f t="array" ref="C3896">IF(B3896="", "", XLOOKUP(B3896, Inventory!D:D,Inventory!E:E,"No Name Found"))</f>
        <v/>
      </c>
      <c r="D3896" s="6"/>
      <c r="E3896" s="6"/>
      <c r="F3896" s="6"/>
      <c r="G3896" s="24" t="str">
        <f>IF(F3896="", "", VLOOKUP(F3896, Inventory!A:BZ, 3, FALSE) - SUMIF($F$1:$F3895, F3896, $H$1:$H3895))
</f>
        <v/>
      </c>
      <c r="I3896" s="26"/>
      <c r="J3896" s="26" t="s">
        <v>77</v>
      </c>
      <c r="L3896" s="27" t="s">
        <v>77</v>
      </c>
      <c r="N3896" s="28" t="s">
        <v>77</v>
      </c>
      <c r="Q3896" s="30"/>
    </row>
    <row r="3897">
      <c r="B3897" s="6"/>
      <c r="C3897" s="33" t="str">
        <f t="array" ref="C3897">IF(B3897="", "", XLOOKUP(B3897, Inventory!D:D,Inventory!E:E,"No Name Found"))</f>
        <v/>
      </c>
      <c r="D3897" s="6"/>
      <c r="E3897" s="6"/>
      <c r="F3897" s="6"/>
      <c r="G3897" s="24" t="str">
        <f>IF(F3897="", "", VLOOKUP(F3897, Inventory!A:BZ, 3, FALSE) - SUMIF($F$1:$F3896, F3897, $H$1:$H3896))
</f>
        <v/>
      </c>
      <c r="I3897" s="26"/>
      <c r="J3897" s="26" t="s">
        <v>77</v>
      </c>
      <c r="L3897" s="27" t="s">
        <v>77</v>
      </c>
      <c r="N3897" s="28" t="s">
        <v>77</v>
      </c>
      <c r="Q3897" s="30"/>
    </row>
    <row r="3898">
      <c r="B3898" s="6"/>
      <c r="C3898" s="33" t="str">
        <f t="array" ref="C3898">IF(B3898="", "", XLOOKUP(B3898, Inventory!D:D,Inventory!E:E,"No Name Found"))</f>
        <v/>
      </c>
      <c r="D3898" s="6"/>
      <c r="E3898" s="6"/>
      <c r="F3898" s="6"/>
      <c r="G3898" s="24" t="str">
        <f>IF(F3898="", "", VLOOKUP(F3898, Inventory!A:BZ, 3, FALSE) - SUMIF($F$1:$F3897, F3898, $H$1:$H3897))
</f>
        <v/>
      </c>
      <c r="I3898" s="26"/>
      <c r="J3898" s="26" t="s">
        <v>77</v>
      </c>
      <c r="L3898" s="27" t="s">
        <v>77</v>
      </c>
      <c r="N3898" s="28" t="s">
        <v>77</v>
      </c>
      <c r="Q3898" s="30"/>
    </row>
    <row r="3899">
      <c r="B3899" s="6"/>
      <c r="C3899" s="33" t="str">
        <f t="array" ref="C3899">IF(B3899="", "", XLOOKUP(B3899, Inventory!D:D,Inventory!E:E,"No Name Found"))</f>
        <v/>
      </c>
      <c r="D3899" s="6"/>
      <c r="E3899" s="6"/>
      <c r="F3899" s="6"/>
      <c r="G3899" s="24" t="str">
        <f>IF(F3899="", "", VLOOKUP(F3899, Inventory!A:BZ, 3, FALSE) - SUMIF($F$1:$F3898, F3899, $H$1:$H3898))
</f>
        <v/>
      </c>
      <c r="I3899" s="26"/>
      <c r="J3899" s="26" t="s">
        <v>77</v>
      </c>
      <c r="L3899" s="27" t="s">
        <v>77</v>
      </c>
      <c r="N3899" s="28" t="s">
        <v>77</v>
      </c>
      <c r="Q3899" s="30"/>
    </row>
    <row r="3900">
      <c r="B3900" s="6"/>
      <c r="C3900" s="33" t="str">
        <f t="array" ref="C3900">IF(B3900="", "", XLOOKUP(B3900, Inventory!D:D,Inventory!E:E,"No Name Found"))</f>
        <v/>
      </c>
      <c r="D3900" s="6"/>
      <c r="E3900" s="6"/>
      <c r="F3900" s="6"/>
      <c r="G3900" s="24" t="str">
        <f>IF(F3900="", "", VLOOKUP(F3900, Inventory!A:BZ, 3, FALSE) - SUMIF($F$1:$F3899, F3900, $H$1:$H3899))
</f>
        <v/>
      </c>
      <c r="I3900" s="26"/>
      <c r="J3900" s="26" t="s">
        <v>77</v>
      </c>
      <c r="L3900" s="27" t="s">
        <v>77</v>
      </c>
      <c r="N3900" s="28" t="s">
        <v>77</v>
      </c>
      <c r="Q3900" s="30"/>
    </row>
    <row r="3901">
      <c r="B3901" s="6"/>
      <c r="C3901" s="33" t="str">
        <f t="array" ref="C3901">IF(B3901="", "", XLOOKUP(B3901, Inventory!D:D,Inventory!E:E,"No Name Found"))</f>
        <v/>
      </c>
      <c r="D3901" s="6"/>
      <c r="E3901" s="6"/>
      <c r="F3901" s="6"/>
      <c r="G3901" s="24" t="str">
        <f>IF(F3901="", "", VLOOKUP(F3901, Inventory!A:BZ, 3, FALSE) - SUMIF($F$1:$F3900, F3901, $H$1:$H3900))
</f>
        <v/>
      </c>
      <c r="I3901" s="26"/>
      <c r="J3901" s="26" t="s">
        <v>77</v>
      </c>
      <c r="L3901" s="27" t="s">
        <v>77</v>
      </c>
      <c r="N3901" s="28" t="s">
        <v>77</v>
      </c>
      <c r="Q3901" s="30"/>
    </row>
    <row r="3902">
      <c r="B3902" s="6"/>
      <c r="C3902" s="33" t="str">
        <f t="array" ref="C3902">IF(B3902="", "", XLOOKUP(B3902, Inventory!D:D,Inventory!E:E,"No Name Found"))</f>
        <v/>
      </c>
      <c r="D3902" s="6"/>
      <c r="E3902" s="6"/>
      <c r="F3902" s="6"/>
      <c r="G3902" s="24" t="str">
        <f>IF(F3902="", "", VLOOKUP(F3902, Inventory!A:BZ, 3, FALSE) - SUMIF($F$1:$F3901, F3902, $H$1:$H3901))
</f>
        <v/>
      </c>
      <c r="I3902" s="26"/>
      <c r="J3902" s="26" t="s">
        <v>77</v>
      </c>
      <c r="L3902" s="27" t="s">
        <v>77</v>
      </c>
      <c r="N3902" s="28" t="s">
        <v>77</v>
      </c>
      <c r="Q3902" s="30"/>
    </row>
    <row r="3903">
      <c r="B3903" s="6"/>
      <c r="C3903" s="33" t="str">
        <f t="array" ref="C3903">IF(B3903="", "", XLOOKUP(B3903, Inventory!D:D,Inventory!E:E,"No Name Found"))</f>
        <v/>
      </c>
      <c r="D3903" s="6"/>
      <c r="E3903" s="6"/>
      <c r="F3903" s="6"/>
      <c r="G3903" s="24" t="str">
        <f>IF(F3903="", "", VLOOKUP(F3903, Inventory!A:BZ, 3, FALSE) - SUMIF($F$1:$F3902, F3903, $H$1:$H3902))
</f>
        <v/>
      </c>
      <c r="I3903" s="26"/>
      <c r="J3903" s="26" t="s">
        <v>77</v>
      </c>
      <c r="L3903" s="27" t="s">
        <v>77</v>
      </c>
      <c r="N3903" s="28" t="s">
        <v>77</v>
      </c>
      <c r="Q3903" s="30"/>
    </row>
    <row r="3904">
      <c r="B3904" s="6"/>
      <c r="C3904" s="33" t="str">
        <f t="array" ref="C3904">IF(B3904="", "", XLOOKUP(B3904, Inventory!D:D,Inventory!E:E,"No Name Found"))</f>
        <v/>
      </c>
      <c r="D3904" s="6"/>
      <c r="E3904" s="6"/>
      <c r="F3904" s="6"/>
      <c r="G3904" s="24" t="str">
        <f>IF(F3904="", "", VLOOKUP(F3904, Inventory!A:BZ, 3, FALSE) - SUMIF($F$1:$F3903, F3904, $H$1:$H3903))
</f>
        <v/>
      </c>
      <c r="I3904" s="26"/>
      <c r="J3904" s="26" t="s">
        <v>77</v>
      </c>
      <c r="L3904" s="27" t="s">
        <v>77</v>
      </c>
      <c r="N3904" s="28" t="s">
        <v>77</v>
      </c>
      <c r="Q3904" s="30"/>
    </row>
    <row r="3905">
      <c r="B3905" s="6"/>
      <c r="C3905" s="33" t="str">
        <f t="array" ref="C3905">IF(B3905="", "", XLOOKUP(B3905, Inventory!D:D,Inventory!E:E,"No Name Found"))</f>
        <v/>
      </c>
      <c r="D3905" s="6"/>
      <c r="E3905" s="6"/>
      <c r="F3905" s="6"/>
      <c r="G3905" s="24" t="str">
        <f>IF(F3905="", "", VLOOKUP(F3905, Inventory!A:BZ, 3, FALSE) - SUMIF($F$1:$F3904, F3905, $H$1:$H3904))
</f>
        <v/>
      </c>
      <c r="I3905" s="26"/>
      <c r="J3905" s="26" t="s">
        <v>77</v>
      </c>
      <c r="L3905" s="27" t="s">
        <v>77</v>
      </c>
      <c r="N3905" s="28" t="s">
        <v>77</v>
      </c>
      <c r="Q3905" s="30"/>
    </row>
    <row r="3906">
      <c r="B3906" s="6"/>
      <c r="C3906" s="33" t="str">
        <f t="array" ref="C3906">IF(B3906="", "", XLOOKUP(B3906, Inventory!D:D,Inventory!E:E,"No Name Found"))</f>
        <v/>
      </c>
      <c r="D3906" s="6"/>
      <c r="E3906" s="6"/>
      <c r="F3906" s="6"/>
      <c r="G3906" s="24" t="str">
        <f>IF(F3906="", "", VLOOKUP(F3906, Inventory!A:BZ, 3, FALSE) - SUMIF($F$1:$F3905, F3906, $H$1:$H3905))
</f>
        <v/>
      </c>
      <c r="I3906" s="26"/>
      <c r="J3906" s="26" t="s">
        <v>77</v>
      </c>
      <c r="L3906" s="27" t="s">
        <v>77</v>
      </c>
      <c r="N3906" s="28" t="s">
        <v>77</v>
      </c>
      <c r="Q3906" s="30"/>
    </row>
    <row r="3907">
      <c r="B3907" s="6"/>
      <c r="C3907" s="33" t="str">
        <f t="array" ref="C3907">IF(B3907="", "", XLOOKUP(B3907, Inventory!D:D,Inventory!E:E,"No Name Found"))</f>
        <v/>
      </c>
      <c r="D3907" s="6"/>
      <c r="E3907" s="6"/>
      <c r="F3907" s="6"/>
      <c r="G3907" s="24" t="str">
        <f>IF(F3907="", "", VLOOKUP(F3907, Inventory!A:BZ, 3, FALSE) - SUMIF($F$1:$F3906, F3907, $H$1:$H3906))
</f>
        <v/>
      </c>
      <c r="I3907" s="26"/>
      <c r="J3907" s="26" t="s">
        <v>77</v>
      </c>
      <c r="L3907" s="27" t="s">
        <v>77</v>
      </c>
      <c r="N3907" s="28" t="s">
        <v>77</v>
      </c>
      <c r="Q3907" s="30"/>
    </row>
    <row r="3908">
      <c r="B3908" s="6"/>
      <c r="C3908" s="33" t="str">
        <f t="array" ref="C3908">IF(B3908="", "", XLOOKUP(B3908, Inventory!D:D,Inventory!E:E,"No Name Found"))</f>
        <v/>
      </c>
      <c r="D3908" s="6"/>
      <c r="E3908" s="6"/>
      <c r="F3908" s="6"/>
      <c r="G3908" s="24" t="str">
        <f>IF(F3908="", "", VLOOKUP(F3908, Inventory!A:BZ, 3, FALSE) - SUMIF($F$1:$F3907, F3908, $H$1:$H3907))
</f>
        <v/>
      </c>
      <c r="I3908" s="26"/>
      <c r="J3908" s="26" t="s">
        <v>77</v>
      </c>
      <c r="L3908" s="27" t="s">
        <v>77</v>
      </c>
      <c r="N3908" s="28" t="s">
        <v>77</v>
      </c>
      <c r="Q3908" s="30"/>
    </row>
    <row r="3909">
      <c r="B3909" s="6"/>
      <c r="C3909" s="33" t="str">
        <f t="array" ref="C3909">IF(B3909="", "", XLOOKUP(B3909, Inventory!D:D,Inventory!E:E,"No Name Found"))</f>
        <v/>
      </c>
      <c r="D3909" s="6"/>
      <c r="E3909" s="6"/>
      <c r="F3909" s="6"/>
      <c r="G3909" s="24" t="str">
        <f>IF(F3909="", "", VLOOKUP(F3909, Inventory!A:BZ, 3, FALSE) - SUMIF($F$1:$F3908, F3909, $H$1:$H3908))
</f>
        <v/>
      </c>
      <c r="I3909" s="26"/>
      <c r="J3909" s="26" t="s">
        <v>77</v>
      </c>
      <c r="L3909" s="27" t="s">
        <v>77</v>
      </c>
      <c r="N3909" s="28" t="s">
        <v>77</v>
      </c>
      <c r="Q3909" s="30"/>
    </row>
    <row r="3910">
      <c r="B3910" s="6"/>
      <c r="C3910" s="33" t="str">
        <f t="array" ref="C3910">IF(B3910="", "", XLOOKUP(B3910, Inventory!D:D,Inventory!E:E,"No Name Found"))</f>
        <v/>
      </c>
      <c r="D3910" s="6"/>
      <c r="E3910" s="6"/>
      <c r="F3910" s="6"/>
      <c r="G3910" s="24" t="str">
        <f>IF(F3910="", "", VLOOKUP(F3910, Inventory!A:BZ, 3, FALSE) - SUMIF($F$1:$F3909, F3910, $H$1:$H3909))
</f>
        <v/>
      </c>
      <c r="I3910" s="26"/>
      <c r="J3910" s="26" t="s">
        <v>77</v>
      </c>
      <c r="L3910" s="27" t="s">
        <v>77</v>
      </c>
      <c r="N3910" s="28" t="s">
        <v>77</v>
      </c>
      <c r="Q3910" s="30"/>
    </row>
    <row r="3911">
      <c r="B3911" s="6"/>
      <c r="C3911" s="33" t="str">
        <f t="array" ref="C3911">IF(B3911="", "", XLOOKUP(B3911, Inventory!D:D,Inventory!E:E,"No Name Found"))</f>
        <v/>
      </c>
      <c r="D3911" s="6"/>
      <c r="E3911" s="6"/>
      <c r="F3911" s="6"/>
      <c r="G3911" s="24" t="str">
        <f>IF(F3911="", "", VLOOKUP(F3911, Inventory!A:BZ, 3, FALSE) - SUMIF($F$1:$F3910, F3911, $H$1:$H3910))
</f>
        <v/>
      </c>
      <c r="I3911" s="26"/>
      <c r="J3911" s="26" t="s">
        <v>77</v>
      </c>
      <c r="L3911" s="27" t="s">
        <v>77</v>
      </c>
      <c r="N3911" s="28" t="s">
        <v>77</v>
      </c>
      <c r="Q3911" s="30"/>
    </row>
    <row r="3912">
      <c r="B3912" s="6"/>
      <c r="C3912" s="33" t="str">
        <f t="array" ref="C3912">IF(B3912="", "", XLOOKUP(B3912, Inventory!D:D,Inventory!E:E,"No Name Found"))</f>
        <v/>
      </c>
      <c r="D3912" s="6"/>
      <c r="E3912" s="6"/>
      <c r="F3912" s="6"/>
      <c r="G3912" s="24" t="str">
        <f>IF(F3912="", "", VLOOKUP(F3912, Inventory!A:BZ, 3, FALSE) - SUMIF($F$1:$F3911, F3912, $H$1:$H3911))
</f>
        <v/>
      </c>
      <c r="I3912" s="26"/>
      <c r="J3912" s="26" t="s">
        <v>77</v>
      </c>
      <c r="L3912" s="27" t="s">
        <v>77</v>
      </c>
      <c r="N3912" s="28" t="s">
        <v>77</v>
      </c>
      <c r="Q3912" s="30"/>
    </row>
    <row r="3913">
      <c r="B3913" s="6"/>
      <c r="C3913" s="33" t="str">
        <f t="array" ref="C3913">IF(B3913="", "", XLOOKUP(B3913, Inventory!D:D,Inventory!E:E,"No Name Found"))</f>
        <v/>
      </c>
      <c r="D3913" s="6"/>
      <c r="E3913" s="6"/>
      <c r="F3913" s="6"/>
      <c r="G3913" s="24" t="str">
        <f>IF(F3913="", "", VLOOKUP(F3913, Inventory!A:BZ, 3, FALSE) - SUMIF($F$1:$F3912, F3913, $H$1:$H3912))
</f>
        <v/>
      </c>
      <c r="I3913" s="26"/>
      <c r="J3913" s="26" t="s">
        <v>77</v>
      </c>
      <c r="L3913" s="27" t="s">
        <v>77</v>
      </c>
      <c r="N3913" s="28" t="s">
        <v>77</v>
      </c>
      <c r="Q3913" s="30"/>
    </row>
    <row r="3914">
      <c r="B3914" s="6"/>
      <c r="C3914" s="33" t="str">
        <f t="array" ref="C3914">IF(B3914="", "", XLOOKUP(B3914, Inventory!D:D,Inventory!E:E,"No Name Found"))</f>
        <v/>
      </c>
      <c r="D3914" s="6"/>
      <c r="E3914" s="6"/>
      <c r="F3914" s="6"/>
      <c r="G3914" s="24" t="str">
        <f>IF(F3914="", "", VLOOKUP(F3914, Inventory!A:BZ, 3, FALSE) - SUMIF($F$1:$F3913, F3914, $H$1:$H3913))
</f>
        <v/>
      </c>
      <c r="I3914" s="26"/>
      <c r="J3914" s="26" t="s">
        <v>77</v>
      </c>
      <c r="L3914" s="27" t="s">
        <v>77</v>
      </c>
      <c r="N3914" s="28" t="s">
        <v>77</v>
      </c>
      <c r="Q3914" s="30"/>
    </row>
    <row r="3915">
      <c r="B3915" s="6"/>
      <c r="C3915" s="33" t="str">
        <f t="array" ref="C3915">IF(B3915="", "", XLOOKUP(B3915, Inventory!D:D,Inventory!E:E,"No Name Found"))</f>
        <v/>
      </c>
      <c r="D3915" s="6"/>
      <c r="E3915" s="6"/>
      <c r="F3915" s="6"/>
      <c r="G3915" s="24" t="str">
        <f>IF(F3915="", "", VLOOKUP(F3915, Inventory!A:BZ, 3, FALSE) - SUMIF($F$1:$F3914, F3915, $H$1:$H3914))
</f>
        <v/>
      </c>
      <c r="I3915" s="26"/>
      <c r="J3915" s="26" t="s">
        <v>77</v>
      </c>
      <c r="L3915" s="27" t="s">
        <v>77</v>
      </c>
      <c r="N3915" s="28" t="s">
        <v>77</v>
      </c>
      <c r="Q3915" s="30"/>
    </row>
    <row r="3916">
      <c r="B3916" s="6"/>
      <c r="C3916" s="33" t="str">
        <f t="array" ref="C3916">IF(B3916="", "", XLOOKUP(B3916, Inventory!D:D,Inventory!E:E,"No Name Found"))</f>
        <v/>
      </c>
      <c r="D3916" s="6"/>
      <c r="E3916" s="6"/>
      <c r="F3916" s="6"/>
      <c r="G3916" s="24" t="str">
        <f>IF(F3916="", "", VLOOKUP(F3916, Inventory!A:BZ, 3, FALSE) - SUMIF($F$1:$F3915, F3916, $H$1:$H3915))
</f>
        <v/>
      </c>
      <c r="I3916" s="26"/>
      <c r="J3916" s="26" t="s">
        <v>77</v>
      </c>
      <c r="L3916" s="27" t="s">
        <v>77</v>
      </c>
      <c r="N3916" s="28" t="s">
        <v>77</v>
      </c>
      <c r="Q3916" s="30"/>
    </row>
    <row r="3917">
      <c r="B3917" s="6"/>
      <c r="C3917" s="33" t="str">
        <f t="array" ref="C3917">IF(B3917="", "", XLOOKUP(B3917, Inventory!D:D,Inventory!E:E,"No Name Found"))</f>
        <v/>
      </c>
      <c r="D3917" s="6"/>
      <c r="E3917" s="6"/>
      <c r="F3917" s="6"/>
      <c r="G3917" s="24" t="str">
        <f>IF(F3917="", "", VLOOKUP(F3917, Inventory!A:BZ, 3, FALSE) - SUMIF($F$1:$F3916, F3917, $H$1:$H3916))
</f>
        <v/>
      </c>
      <c r="I3917" s="26"/>
      <c r="J3917" s="26" t="s">
        <v>77</v>
      </c>
      <c r="L3917" s="27" t="s">
        <v>77</v>
      </c>
      <c r="N3917" s="28" t="s">
        <v>77</v>
      </c>
      <c r="Q3917" s="30"/>
    </row>
    <row r="3918">
      <c r="B3918" s="6"/>
      <c r="C3918" s="33" t="str">
        <f t="array" ref="C3918">IF(B3918="", "", XLOOKUP(B3918, Inventory!D:D,Inventory!E:E,"No Name Found"))</f>
        <v/>
      </c>
      <c r="D3918" s="6"/>
      <c r="E3918" s="6"/>
      <c r="F3918" s="6"/>
      <c r="G3918" s="24" t="str">
        <f>IF(F3918="", "", VLOOKUP(F3918, Inventory!A:BZ, 3, FALSE) - SUMIF($F$1:$F3917, F3918, $H$1:$H3917))
</f>
        <v/>
      </c>
      <c r="I3918" s="26"/>
      <c r="J3918" s="26" t="s">
        <v>77</v>
      </c>
      <c r="L3918" s="27" t="s">
        <v>77</v>
      </c>
      <c r="N3918" s="28" t="s">
        <v>77</v>
      </c>
      <c r="Q3918" s="30"/>
    </row>
    <row r="3919">
      <c r="B3919" s="6"/>
      <c r="C3919" s="33" t="str">
        <f t="array" ref="C3919">IF(B3919="", "", XLOOKUP(B3919, Inventory!D:D,Inventory!E:E,"No Name Found"))</f>
        <v/>
      </c>
      <c r="D3919" s="6"/>
      <c r="E3919" s="6"/>
      <c r="F3919" s="6"/>
      <c r="G3919" s="24" t="str">
        <f>IF(F3919="", "", VLOOKUP(F3919, Inventory!A:BZ, 3, FALSE) - SUMIF($F$1:$F3918, F3919, $H$1:$H3918))
</f>
        <v/>
      </c>
      <c r="I3919" s="26"/>
      <c r="J3919" s="26" t="s">
        <v>77</v>
      </c>
      <c r="L3919" s="27" t="s">
        <v>77</v>
      </c>
      <c r="N3919" s="28" t="s">
        <v>77</v>
      </c>
      <c r="Q3919" s="30"/>
    </row>
    <row r="3920">
      <c r="B3920" s="6"/>
      <c r="C3920" s="33" t="str">
        <f t="array" ref="C3920">IF(B3920="", "", XLOOKUP(B3920, Inventory!D:D,Inventory!E:E,"No Name Found"))</f>
        <v/>
      </c>
      <c r="D3920" s="6"/>
      <c r="E3920" s="6"/>
      <c r="F3920" s="6"/>
      <c r="G3920" s="24" t="str">
        <f>IF(F3920="", "", VLOOKUP(F3920, Inventory!A:BZ, 3, FALSE) - SUMIF($F$1:$F3919, F3920, $H$1:$H3919))
</f>
        <v/>
      </c>
      <c r="I3920" s="26"/>
      <c r="J3920" s="26" t="s">
        <v>77</v>
      </c>
      <c r="L3920" s="27" t="s">
        <v>77</v>
      </c>
      <c r="N3920" s="28" t="s">
        <v>77</v>
      </c>
      <c r="Q3920" s="30"/>
    </row>
    <row r="3921">
      <c r="B3921" s="6"/>
      <c r="C3921" s="33" t="str">
        <f t="array" ref="C3921">IF(B3921="", "", XLOOKUP(B3921, Inventory!D:D,Inventory!E:E,"No Name Found"))</f>
        <v/>
      </c>
      <c r="D3921" s="6"/>
      <c r="E3921" s="6"/>
      <c r="F3921" s="6"/>
      <c r="G3921" s="24" t="str">
        <f>IF(F3921="", "", VLOOKUP(F3921, Inventory!A:BZ, 3, FALSE) - SUMIF($F$1:$F3920, F3921, $H$1:$H3920))
</f>
        <v/>
      </c>
      <c r="I3921" s="26"/>
      <c r="J3921" s="26" t="s">
        <v>77</v>
      </c>
      <c r="L3921" s="27" t="s">
        <v>77</v>
      </c>
      <c r="N3921" s="28" t="s">
        <v>77</v>
      </c>
      <c r="Q3921" s="30"/>
    </row>
    <row r="3922">
      <c r="B3922" s="6"/>
      <c r="C3922" s="33" t="str">
        <f t="array" ref="C3922">IF(B3922="", "", XLOOKUP(B3922, Inventory!D:D,Inventory!E:E,"No Name Found"))</f>
        <v/>
      </c>
      <c r="D3922" s="6"/>
      <c r="E3922" s="6"/>
      <c r="F3922" s="6"/>
      <c r="G3922" s="24" t="str">
        <f>IF(F3922="", "", VLOOKUP(F3922, Inventory!A:BZ, 3, FALSE) - SUMIF($F$1:$F3921, F3922, $H$1:$H3921))
</f>
        <v/>
      </c>
      <c r="I3922" s="26"/>
      <c r="J3922" s="26" t="s">
        <v>77</v>
      </c>
      <c r="L3922" s="27" t="s">
        <v>77</v>
      </c>
      <c r="N3922" s="28" t="s">
        <v>77</v>
      </c>
      <c r="Q3922" s="30"/>
    </row>
    <row r="3923">
      <c r="B3923" s="6"/>
      <c r="C3923" s="33" t="str">
        <f t="array" ref="C3923">IF(B3923="", "", XLOOKUP(B3923, Inventory!D:D,Inventory!E:E,"No Name Found"))</f>
        <v/>
      </c>
      <c r="D3923" s="6"/>
      <c r="E3923" s="6"/>
      <c r="F3923" s="6"/>
      <c r="G3923" s="24" t="str">
        <f>IF(F3923="", "", VLOOKUP(F3923, Inventory!A:BZ, 3, FALSE) - SUMIF($F$1:$F3922, F3923, $H$1:$H3922))
</f>
        <v/>
      </c>
      <c r="I3923" s="26"/>
      <c r="J3923" s="26" t="s">
        <v>77</v>
      </c>
      <c r="L3923" s="27" t="s">
        <v>77</v>
      </c>
      <c r="N3923" s="28" t="s">
        <v>77</v>
      </c>
      <c r="Q3923" s="30"/>
    </row>
    <row r="3924">
      <c r="B3924" s="6"/>
      <c r="C3924" s="33" t="str">
        <f t="array" ref="C3924">IF(B3924="", "", XLOOKUP(B3924, Inventory!D:D,Inventory!E:E,"No Name Found"))</f>
        <v/>
      </c>
      <c r="D3924" s="6"/>
      <c r="E3924" s="6"/>
      <c r="F3924" s="6"/>
      <c r="G3924" s="24" t="str">
        <f>IF(F3924="", "", VLOOKUP(F3924, Inventory!A:BZ, 3, FALSE) - SUMIF($F$1:$F3923, F3924, $H$1:$H3923))
</f>
        <v/>
      </c>
      <c r="I3924" s="26"/>
      <c r="J3924" s="26" t="s">
        <v>77</v>
      </c>
      <c r="L3924" s="27" t="s">
        <v>77</v>
      </c>
      <c r="N3924" s="28" t="s">
        <v>77</v>
      </c>
      <c r="Q3924" s="30"/>
    </row>
    <row r="3925">
      <c r="B3925" s="6"/>
      <c r="C3925" s="33" t="str">
        <f t="array" ref="C3925">IF(B3925="", "", XLOOKUP(B3925, Inventory!D:D,Inventory!E:E,"No Name Found"))</f>
        <v/>
      </c>
      <c r="D3925" s="6"/>
      <c r="E3925" s="6"/>
      <c r="F3925" s="6"/>
      <c r="G3925" s="24" t="str">
        <f>IF(F3925="", "", VLOOKUP(F3925, Inventory!A:BZ, 3, FALSE) - SUMIF($F$1:$F3924, F3925, $H$1:$H3924))
</f>
        <v/>
      </c>
      <c r="I3925" s="26"/>
      <c r="J3925" s="26" t="s">
        <v>77</v>
      </c>
      <c r="L3925" s="27" t="s">
        <v>77</v>
      </c>
      <c r="N3925" s="28" t="s">
        <v>77</v>
      </c>
      <c r="Q3925" s="30"/>
    </row>
    <row r="3926">
      <c r="B3926" s="6"/>
      <c r="C3926" s="33" t="str">
        <f t="array" ref="C3926">IF(B3926="", "", XLOOKUP(B3926, Inventory!D:D,Inventory!E:E,"No Name Found"))</f>
        <v/>
      </c>
      <c r="D3926" s="6"/>
      <c r="E3926" s="6"/>
      <c r="F3926" s="6"/>
      <c r="G3926" s="24" t="str">
        <f>IF(F3926="", "", VLOOKUP(F3926, Inventory!A:BZ, 3, FALSE) - SUMIF($F$1:$F3925, F3926, $H$1:$H3925))
</f>
        <v/>
      </c>
      <c r="I3926" s="26"/>
      <c r="J3926" s="26" t="s">
        <v>77</v>
      </c>
      <c r="L3926" s="27" t="s">
        <v>77</v>
      </c>
      <c r="N3926" s="28" t="s">
        <v>77</v>
      </c>
      <c r="Q3926" s="30"/>
    </row>
    <row r="3927">
      <c r="B3927" s="6"/>
      <c r="C3927" s="33" t="str">
        <f t="array" ref="C3927">IF(B3927="", "", XLOOKUP(B3927, Inventory!D:D,Inventory!E:E,"No Name Found"))</f>
        <v/>
      </c>
      <c r="D3927" s="6"/>
      <c r="E3927" s="6"/>
      <c r="F3927" s="6"/>
      <c r="G3927" s="24" t="str">
        <f>IF(F3927="", "", VLOOKUP(F3927, Inventory!A:BZ, 3, FALSE) - SUMIF($F$1:$F3926, F3927, $H$1:$H3926))
</f>
        <v/>
      </c>
      <c r="I3927" s="26"/>
      <c r="J3927" s="26" t="s">
        <v>77</v>
      </c>
      <c r="L3927" s="27" t="s">
        <v>77</v>
      </c>
      <c r="N3927" s="28" t="s">
        <v>77</v>
      </c>
      <c r="Q3927" s="30"/>
    </row>
    <row r="3928">
      <c r="B3928" s="6"/>
      <c r="C3928" s="33" t="str">
        <f t="array" ref="C3928">IF(B3928="", "", XLOOKUP(B3928, Inventory!D:D,Inventory!E:E,"No Name Found"))</f>
        <v/>
      </c>
      <c r="D3928" s="6"/>
      <c r="E3928" s="6"/>
      <c r="F3928" s="6"/>
      <c r="G3928" s="24" t="str">
        <f>IF(F3928="", "", VLOOKUP(F3928, Inventory!A:BZ, 3, FALSE) - SUMIF($F$1:$F3927, F3928, $H$1:$H3927))
</f>
        <v/>
      </c>
      <c r="I3928" s="26"/>
      <c r="J3928" s="26" t="s">
        <v>77</v>
      </c>
      <c r="L3928" s="27" t="s">
        <v>77</v>
      </c>
      <c r="N3928" s="28" t="s">
        <v>77</v>
      </c>
      <c r="Q3928" s="30"/>
    </row>
    <row r="3929">
      <c r="B3929" s="6"/>
      <c r="C3929" s="33" t="str">
        <f t="array" ref="C3929">IF(B3929="", "", XLOOKUP(B3929, Inventory!D:D,Inventory!E:E,"No Name Found"))</f>
        <v/>
      </c>
      <c r="D3929" s="6"/>
      <c r="E3929" s="6"/>
      <c r="F3929" s="6"/>
      <c r="G3929" s="24" t="str">
        <f>IF(F3929="", "", VLOOKUP(F3929, Inventory!A:BZ, 3, FALSE) - SUMIF($F$1:$F3928, F3929, $H$1:$H3928))
</f>
        <v/>
      </c>
      <c r="I3929" s="26"/>
      <c r="J3929" s="26" t="s">
        <v>77</v>
      </c>
      <c r="L3929" s="27" t="s">
        <v>77</v>
      </c>
      <c r="N3929" s="28" t="s">
        <v>77</v>
      </c>
      <c r="Q3929" s="30"/>
    </row>
    <row r="3930">
      <c r="B3930" s="6"/>
      <c r="C3930" s="33" t="str">
        <f t="array" ref="C3930">IF(B3930="", "", XLOOKUP(B3930, Inventory!D:D,Inventory!E:E,"No Name Found"))</f>
        <v/>
      </c>
      <c r="D3930" s="6"/>
      <c r="E3930" s="6"/>
      <c r="F3930" s="6"/>
      <c r="G3930" s="24" t="str">
        <f>IF(F3930="", "", VLOOKUP(F3930, Inventory!A:BZ, 3, FALSE) - SUMIF($F$1:$F3929, F3930, $H$1:$H3929))
</f>
        <v/>
      </c>
      <c r="I3930" s="26"/>
      <c r="J3930" s="26" t="s">
        <v>77</v>
      </c>
      <c r="L3930" s="27" t="s">
        <v>77</v>
      </c>
      <c r="N3930" s="28" t="s">
        <v>77</v>
      </c>
      <c r="Q3930" s="30"/>
    </row>
    <row r="3931">
      <c r="B3931" s="6"/>
      <c r="C3931" s="33" t="str">
        <f t="array" ref="C3931">IF(B3931="", "", XLOOKUP(B3931, Inventory!D:D,Inventory!E:E,"No Name Found"))</f>
        <v/>
      </c>
      <c r="D3931" s="6"/>
      <c r="E3931" s="6"/>
      <c r="F3931" s="6"/>
      <c r="G3931" s="24" t="str">
        <f>IF(F3931="", "", VLOOKUP(F3931, Inventory!A:BZ, 3, FALSE) - SUMIF($F$1:$F3930, F3931, $H$1:$H3930))
</f>
        <v/>
      </c>
      <c r="I3931" s="26"/>
      <c r="J3931" s="26" t="s">
        <v>77</v>
      </c>
      <c r="L3931" s="27" t="s">
        <v>77</v>
      </c>
      <c r="N3931" s="28" t="s">
        <v>77</v>
      </c>
      <c r="Q3931" s="30"/>
    </row>
    <row r="3932">
      <c r="B3932" s="6"/>
      <c r="C3932" s="33" t="str">
        <f t="array" ref="C3932">IF(B3932="", "", XLOOKUP(B3932, Inventory!D:D,Inventory!E:E,"No Name Found"))</f>
        <v/>
      </c>
      <c r="D3932" s="6"/>
      <c r="E3932" s="6"/>
      <c r="F3932" s="6"/>
      <c r="G3932" s="24" t="str">
        <f>IF(F3932="", "", VLOOKUP(F3932, Inventory!A:BZ, 3, FALSE) - SUMIF($F$1:$F3931, F3932, $H$1:$H3931))
</f>
        <v/>
      </c>
      <c r="I3932" s="26"/>
      <c r="J3932" s="26" t="s">
        <v>77</v>
      </c>
      <c r="L3932" s="27" t="s">
        <v>77</v>
      </c>
      <c r="N3932" s="28" t="s">
        <v>77</v>
      </c>
      <c r="Q3932" s="30"/>
    </row>
    <row r="3933">
      <c r="B3933" s="6"/>
      <c r="C3933" s="33" t="str">
        <f t="array" ref="C3933">IF(B3933="", "", XLOOKUP(B3933, Inventory!D:D,Inventory!E:E,"No Name Found"))</f>
        <v/>
      </c>
      <c r="D3933" s="6"/>
      <c r="E3933" s="6"/>
      <c r="F3933" s="6"/>
      <c r="G3933" s="24" t="str">
        <f>IF(F3933="", "", VLOOKUP(F3933, Inventory!A:BZ, 3, FALSE) - SUMIF($F$1:$F3932, F3933, $H$1:$H3932))
</f>
        <v/>
      </c>
      <c r="I3933" s="26"/>
      <c r="J3933" s="26" t="s">
        <v>77</v>
      </c>
      <c r="L3933" s="27" t="s">
        <v>77</v>
      </c>
      <c r="N3933" s="28" t="s">
        <v>77</v>
      </c>
      <c r="Q3933" s="30"/>
    </row>
    <row r="3934">
      <c r="B3934" s="6"/>
      <c r="C3934" s="33" t="str">
        <f t="array" ref="C3934">IF(B3934="", "", XLOOKUP(B3934, Inventory!D:D,Inventory!E:E,"No Name Found"))</f>
        <v/>
      </c>
      <c r="D3934" s="6"/>
      <c r="E3934" s="6"/>
      <c r="F3934" s="6"/>
      <c r="G3934" s="24" t="str">
        <f>IF(F3934="", "", VLOOKUP(F3934, Inventory!A:BZ, 3, FALSE) - SUMIF($F$1:$F3933, F3934, $H$1:$H3933))
</f>
        <v/>
      </c>
      <c r="I3934" s="26"/>
      <c r="J3934" s="26" t="s">
        <v>77</v>
      </c>
      <c r="L3934" s="27" t="s">
        <v>77</v>
      </c>
      <c r="N3934" s="28" t="s">
        <v>77</v>
      </c>
      <c r="Q3934" s="30"/>
    </row>
    <row r="3935">
      <c r="B3935" s="6"/>
      <c r="C3935" s="33" t="str">
        <f t="array" ref="C3935">IF(B3935="", "", XLOOKUP(B3935, Inventory!D:D,Inventory!E:E,"No Name Found"))</f>
        <v/>
      </c>
      <c r="D3935" s="6"/>
      <c r="E3935" s="6"/>
      <c r="F3935" s="6"/>
      <c r="G3935" s="24" t="str">
        <f>IF(F3935="", "", VLOOKUP(F3935, Inventory!A:BZ, 3, FALSE) - SUMIF($F$1:$F3934, F3935, $H$1:$H3934))
</f>
        <v/>
      </c>
      <c r="I3935" s="26"/>
      <c r="J3935" s="26" t="s">
        <v>77</v>
      </c>
      <c r="L3935" s="27" t="s">
        <v>77</v>
      </c>
      <c r="N3935" s="28" t="s">
        <v>77</v>
      </c>
      <c r="Q3935" s="30"/>
    </row>
    <row r="3936">
      <c r="B3936" s="6"/>
      <c r="C3936" s="33" t="str">
        <f t="array" ref="C3936">IF(B3936="", "", XLOOKUP(B3936, Inventory!D:D,Inventory!E:E,"No Name Found"))</f>
        <v/>
      </c>
      <c r="D3936" s="6"/>
      <c r="E3936" s="6"/>
      <c r="F3936" s="6"/>
      <c r="G3936" s="24" t="str">
        <f>IF(F3936="", "", VLOOKUP(F3936, Inventory!A:BZ, 3, FALSE) - SUMIF($F$1:$F3935, F3936, $H$1:$H3935))
</f>
        <v/>
      </c>
      <c r="I3936" s="26"/>
      <c r="J3936" s="26" t="s">
        <v>77</v>
      </c>
      <c r="L3936" s="27" t="s">
        <v>77</v>
      </c>
      <c r="N3936" s="28" t="s">
        <v>77</v>
      </c>
      <c r="Q3936" s="30"/>
    </row>
    <row r="3937">
      <c r="B3937" s="6"/>
      <c r="C3937" s="33" t="str">
        <f t="array" ref="C3937">IF(B3937="", "", XLOOKUP(B3937, Inventory!D:D,Inventory!E:E,"No Name Found"))</f>
        <v/>
      </c>
      <c r="D3937" s="6"/>
      <c r="E3937" s="6"/>
      <c r="F3937" s="6"/>
      <c r="G3937" s="24" t="str">
        <f>IF(F3937="", "", VLOOKUP(F3937, Inventory!A:BZ, 3, FALSE) - SUMIF($F$1:$F3936, F3937, $H$1:$H3936))
</f>
        <v/>
      </c>
      <c r="I3937" s="26"/>
      <c r="J3937" s="26" t="s">
        <v>77</v>
      </c>
      <c r="L3937" s="27" t="s">
        <v>77</v>
      </c>
      <c r="N3937" s="28" t="s">
        <v>77</v>
      </c>
      <c r="Q3937" s="30"/>
    </row>
    <row r="3938">
      <c r="B3938" s="6"/>
      <c r="C3938" s="33" t="str">
        <f t="array" ref="C3938">IF(B3938="", "", XLOOKUP(B3938, Inventory!D:D,Inventory!E:E,"No Name Found"))</f>
        <v/>
      </c>
      <c r="D3938" s="6"/>
      <c r="E3938" s="6"/>
      <c r="F3938" s="6"/>
      <c r="G3938" s="24" t="str">
        <f>IF(F3938="", "", VLOOKUP(F3938, Inventory!A:BZ, 3, FALSE) - SUMIF($F$1:$F3937, F3938, $H$1:$H3937))
</f>
        <v/>
      </c>
      <c r="I3938" s="26"/>
      <c r="J3938" s="26" t="s">
        <v>77</v>
      </c>
      <c r="L3938" s="27" t="s">
        <v>77</v>
      </c>
      <c r="N3938" s="28" t="s">
        <v>77</v>
      </c>
      <c r="Q3938" s="30"/>
    </row>
    <row r="3939">
      <c r="B3939" s="6"/>
      <c r="C3939" s="33" t="str">
        <f t="array" ref="C3939">IF(B3939="", "", XLOOKUP(B3939, Inventory!D:D,Inventory!E:E,"No Name Found"))</f>
        <v/>
      </c>
      <c r="D3939" s="6"/>
      <c r="E3939" s="6"/>
      <c r="F3939" s="6"/>
      <c r="G3939" s="24" t="str">
        <f>IF(F3939="", "", VLOOKUP(F3939, Inventory!A:BZ, 3, FALSE) - SUMIF($F$1:$F3938, F3939, $H$1:$H3938))
</f>
        <v/>
      </c>
      <c r="I3939" s="26"/>
      <c r="J3939" s="26" t="s">
        <v>77</v>
      </c>
      <c r="L3939" s="27" t="s">
        <v>77</v>
      </c>
      <c r="N3939" s="28" t="s">
        <v>77</v>
      </c>
      <c r="Q3939" s="30"/>
    </row>
    <row r="3940">
      <c r="B3940" s="6"/>
      <c r="C3940" s="33" t="str">
        <f t="array" ref="C3940">IF(B3940="", "", XLOOKUP(B3940, Inventory!D:D,Inventory!E:E,"No Name Found"))</f>
        <v/>
      </c>
      <c r="D3940" s="6"/>
      <c r="E3940" s="6"/>
      <c r="F3940" s="6"/>
      <c r="G3940" s="24" t="str">
        <f>IF(F3940="", "", VLOOKUP(F3940, Inventory!A:BZ, 3, FALSE) - SUMIF($F$1:$F3939, F3940, $H$1:$H3939))
</f>
        <v/>
      </c>
      <c r="I3940" s="26"/>
      <c r="J3940" s="26" t="s">
        <v>77</v>
      </c>
      <c r="L3940" s="27" t="s">
        <v>77</v>
      </c>
      <c r="N3940" s="28" t="s">
        <v>77</v>
      </c>
      <c r="Q3940" s="30"/>
    </row>
    <row r="3941">
      <c r="B3941" s="6"/>
      <c r="C3941" s="33" t="str">
        <f t="array" ref="C3941">IF(B3941="", "", XLOOKUP(B3941, Inventory!D:D,Inventory!E:E,"No Name Found"))</f>
        <v/>
      </c>
      <c r="D3941" s="6"/>
      <c r="E3941" s="6"/>
      <c r="F3941" s="6"/>
      <c r="G3941" s="24" t="str">
        <f>IF(F3941="", "", VLOOKUP(F3941, Inventory!A:BZ, 3, FALSE) - SUMIF($F$1:$F3940, F3941, $H$1:$H3940))
</f>
        <v/>
      </c>
      <c r="I3941" s="26"/>
      <c r="J3941" s="26" t="s">
        <v>77</v>
      </c>
      <c r="L3941" s="27" t="s">
        <v>77</v>
      </c>
      <c r="N3941" s="28" t="s">
        <v>77</v>
      </c>
      <c r="Q3941" s="30"/>
    </row>
    <row r="3942">
      <c r="B3942" s="6"/>
      <c r="C3942" s="33" t="str">
        <f t="array" ref="C3942">IF(B3942="", "", XLOOKUP(B3942, Inventory!D:D,Inventory!E:E,"No Name Found"))</f>
        <v/>
      </c>
      <c r="D3942" s="6"/>
      <c r="E3942" s="6"/>
      <c r="F3942" s="6"/>
      <c r="G3942" s="24" t="str">
        <f>IF(F3942="", "", VLOOKUP(F3942, Inventory!A:BZ, 3, FALSE) - SUMIF($F$1:$F3941, F3942, $H$1:$H3941))
</f>
        <v/>
      </c>
      <c r="I3942" s="26"/>
      <c r="J3942" s="26" t="s">
        <v>77</v>
      </c>
      <c r="L3942" s="27" t="s">
        <v>77</v>
      </c>
      <c r="N3942" s="28" t="s">
        <v>77</v>
      </c>
      <c r="Q3942" s="30"/>
    </row>
    <row r="3943">
      <c r="B3943" s="6"/>
      <c r="C3943" s="33" t="str">
        <f t="array" ref="C3943">IF(B3943="", "", XLOOKUP(B3943, Inventory!D:D,Inventory!E:E,"No Name Found"))</f>
        <v/>
      </c>
      <c r="D3943" s="6"/>
      <c r="E3943" s="6"/>
      <c r="F3943" s="6"/>
      <c r="G3943" s="24" t="str">
        <f>IF(F3943="", "", VLOOKUP(F3943, Inventory!A:BZ, 3, FALSE) - SUMIF($F$1:$F3942, F3943, $H$1:$H3942))
</f>
        <v/>
      </c>
      <c r="I3943" s="26"/>
      <c r="J3943" s="26" t="s">
        <v>77</v>
      </c>
      <c r="L3943" s="27" t="s">
        <v>77</v>
      </c>
      <c r="N3943" s="28" t="s">
        <v>77</v>
      </c>
      <c r="Q3943" s="30"/>
    </row>
    <row r="3944">
      <c r="B3944" s="6"/>
      <c r="C3944" s="33" t="str">
        <f t="array" ref="C3944">IF(B3944="", "", XLOOKUP(B3944, Inventory!D:D,Inventory!E:E,"No Name Found"))</f>
        <v/>
      </c>
      <c r="D3944" s="6"/>
      <c r="E3944" s="6"/>
      <c r="F3944" s="6"/>
      <c r="G3944" s="24" t="str">
        <f>IF(F3944="", "", VLOOKUP(F3944, Inventory!A:BZ, 3, FALSE) - SUMIF($F$1:$F3943, F3944, $H$1:$H3943))
</f>
        <v/>
      </c>
      <c r="I3944" s="26"/>
      <c r="J3944" s="26" t="s">
        <v>77</v>
      </c>
      <c r="L3944" s="27" t="s">
        <v>77</v>
      </c>
      <c r="N3944" s="28" t="s">
        <v>77</v>
      </c>
      <c r="Q3944" s="30"/>
    </row>
    <row r="3945">
      <c r="B3945" s="6"/>
      <c r="C3945" s="33" t="str">
        <f t="array" ref="C3945">IF(B3945="", "", XLOOKUP(B3945, Inventory!D:D,Inventory!E:E,"No Name Found"))</f>
        <v/>
      </c>
      <c r="D3945" s="6"/>
      <c r="E3945" s="6"/>
      <c r="F3945" s="6"/>
      <c r="G3945" s="24" t="str">
        <f>IF(F3945="", "", VLOOKUP(F3945, Inventory!A:BZ, 3, FALSE) - SUMIF($F$1:$F3944, F3945, $H$1:$H3944))
</f>
        <v/>
      </c>
      <c r="I3945" s="26"/>
      <c r="J3945" s="26" t="s">
        <v>77</v>
      </c>
      <c r="L3945" s="27" t="s">
        <v>77</v>
      </c>
      <c r="N3945" s="28" t="s">
        <v>77</v>
      </c>
      <c r="Q3945" s="30"/>
    </row>
    <row r="3946">
      <c r="B3946" s="6"/>
      <c r="C3946" s="33" t="str">
        <f t="array" ref="C3946">IF(B3946="", "", XLOOKUP(B3946, Inventory!D:D,Inventory!E:E,"No Name Found"))</f>
        <v/>
      </c>
      <c r="D3946" s="6"/>
      <c r="E3946" s="6"/>
      <c r="F3946" s="6"/>
      <c r="G3946" s="24" t="str">
        <f>IF(F3946="", "", VLOOKUP(F3946, Inventory!A:BZ, 3, FALSE) - SUMIF($F$1:$F3945, F3946, $H$1:$H3945))
</f>
        <v/>
      </c>
      <c r="I3946" s="26"/>
      <c r="J3946" s="26" t="s">
        <v>77</v>
      </c>
      <c r="L3946" s="27" t="s">
        <v>77</v>
      </c>
      <c r="N3946" s="28" t="s">
        <v>77</v>
      </c>
      <c r="Q3946" s="30"/>
    </row>
    <row r="3947">
      <c r="B3947" s="6"/>
      <c r="C3947" s="33" t="str">
        <f t="array" ref="C3947">IF(B3947="", "", XLOOKUP(B3947, Inventory!D:D,Inventory!E:E,"No Name Found"))</f>
        <v/>
      </c>
      <c r="D3947" s="6"/>
      <c r="E3947" s="6"/>
      <c r="F3947" s="6"/>
      <c r="G3947" s="24" t="str">
        <f>IF(F3947="", "", VLOOKUP(F3947, Inventory!A:BZ, 3, FALSE) - SUMIF($F$1:$F3946, F3947, $H$1:$H3946))
</f>
        <v/>
      </c>
      <c r="I3947" s="26"/>
      <c r="J3947" s="26" t="s">
        <v>77</v>
      </c>
      <c r="L3947" s="27" t="s">
        <v>77</v>
      </c>
      <c r="N3947" s="28" t="s">
        <v>77</v>
      </c>
      <c r="Q3947" s="30"/>
    </row>
    <row r="3948">
      <c r="B3948" s="6"/>
      <c r="C3948" s="33" t="str">
        <f t="array" ref="C3948">IF(B3948="", "", XLOOKUP(B3948, Inventory!D:D,Inventory!E:E,"No Name Found"))</f>
        <v/>
      </c>
      <c r="D3948" s="6"/>
      <c r="E3948" s="6"/>
      <c r="F3948" s="6"/>
      <c r="G3948" s="24" t="str">
        <f>IF(F3948="", "", VLOOKUP(F3948, Inventory!A:BZ, 3, FALSE) - SUMIF($F$1:$F3947, F3948, $H$1:$H3947))
</f>
        <v/>
      </c>
      <c r="I3948" s="26"/>
      <c r="J3948" s="26" t="s">
        <v>77</v>
      </c>
      <c r="L3948" s="27" t="s">
        <v>77</v>
      </c>
      <c r="N3948" s="28" t="s">
        <v>77</v>
      </c>
      <c r="Q3948" s="30"/>
    </row>
    <row r="3949">
      <c r="B3949" s="6"/>
      <c r="C3949" s="33" t="str">
        <f t="array" ref="C3949">IF(B3949="", "", XLOOKUP(B3949, Inventory!D:D,Inventory!E:E,"No Name Found"))</f>
        <v/>
      </c>
      <c r="D3949" s="6"/>
      <c r="E3949" s="6"/>
      <c r="F3949" s="6"/>
      <c r="G3949" s="24" t="str">
        <f>IF(F3949="", "", VLOOKUP(F3949, Inventory!A:BZ, 3, FALSE) - SUMIF($F$1:$F3948, F3949, $H$1:$H3948))
</f>
        <v/>
      </c>
      <c r="I3949" s="26"/>
      <c r="J3949" s="26" t="s">
        <v>77</v>
      </c>
      <c r="L3949" s="27" t="s">
        <v>77</v>
      </c>
      <c r="N3949" s="28" t="s">
        <v>77</v>
      </c>
      <c r="Q3949" s="30"/>
    </row>
    <row r="3950">
      <c r="B3950" s="6"/>
      <c r="C3950" s="33" t="str">
        <f t="array" ref="C3950">IF(B3950="", "", XLOOKUP(B3950, Inventory!D:D,Inventory!E:E,"No Name Found"))</f>
        <v/>
      </c>
      <c r="D3950" s="6"/>
      <c r="E3950" s="6"/>
      <c r="F3950" s="6"/>
      <c r="G3950" s="24" t="str">
        <f>IF(F3950="", "", VLOOKUP(F3950, Inventory!A:BZ, 3, FALSE) - SUMIF($F$1:$F3949, F3950, $H$1:$H3949))
</f>
        <v/>
      </c>
      <c r="I3950" s="26"/>
      <c r="J3950" s="26" t="s">
        <v>77</v>
      </c>
      <c r="L3950" s="27" t="s">
        <v>77</v>
      </c>
      <c r="N3950" s="28" t="s">
        <v>77</v>
      </c>
      <c r="Q3950" s="30"/>
    </row>
    <row r="3951">
      <c r="B3951" s="6"/>
      <c r="C3951" s="33" t="str">
        <f t="array" ref="C3951">IF(B3951="", "", XLOOKUP(B3951, Inventory!D:D,Inventory!E:E,"No Name Found"))</f>
        <v/>
      </c>
      <c r="D3951" s="6"/>
      <c r="E3951" s="6"/>
      <c r="F3951" s="6"/>
      <c r="G3951" s="24" t="str">
        <f>IF(F3951="", "", VLOOKUP(F3951, Inventory!A:BZ, 3, FALSE) - SUMIF($F$1:$F3950, F3951, $H$1:$H3950))
</f>
        <v/>
      </c>
      <c r="I3951" s="26"/>
      <c r="J3951" s="26" t="s">
        <v>77</v>
      </c>
      <c r="L3951" s="27" t="s">
        <v>77</v>
      </c>
      <c r="N3951" s="28" t="s">
        <v>77</v>
      </c>
      <c r="Q3951" s="30"/>
    </row>
    <row r="3952">
      <c r="B3952" s="6"/>
      <c r="C3952" s="33" t="str">
        <f t="array" ref="C3952">IF(B3952="", "", XLOOKUP(B3952, Inventory!D:D,Inventory!E:E,"No Name Found"))</f>
        <v/>
      </c>
      <c r="D3952" s="6"/>
      <c r="E3952" s="6"/>
      <c r="F3952" s="6"/>
      <c r="G3952" s="24" t="str">
        <f>IF(F3952="", "", VLOOKUP(F3952, Inventory!A:BZ, 3, FALSE) - SUMIF($F$1:$F3951, F3952, $H$1:$H3951))
</f>
        <v/>
      </c>
      <c r="I3952" s="26"/>
      <c r="J3952" s="26" t="s">
        <v>77</v>
      </c>
      <c r="L3952" s="27" t="s">
        <v>77</v>
      </c>
      <c r="N3952" s="28" t="s">
        <v>77</v>
      </c>
      <c r="Q3952" s="30"/>
    </row>
    <row r="3953">
      <c r="B3953" s="6"/>
      <c r="C3953" s="33" t="str">
        <f t="array" ref="C3953">IF(B3953="", "", XLOOKUP(B3953, Inventory!D:D,Inventory!E:E,"No Name Found"))</f>
        <v/>
      </c>
      <c r="D3953" s="6"/>
      <c r="E3953" s="6"/>
      <c r="F3953" s="6"/>
      <c r="G3953" s="24" t="str">
        <f>IF(F3953="", "", VLOOKUP(F3953, Inventory!A:BZ, 3, FALSE) - SUMIF($F$1:$F3952, F3953, $H$1:$H3952))
</f>
        <v/>
      </c>
      <c r="I3953" s="26"/>
      <c r="J3953" s="26" t="s">
        <v>77</v>
      </c>
      <c r="L3953" s="27" t="s">
        <v>77</v>
      </c>
      <c r="N3953" s="28" t="s">
        <v>77</v>
      </c>
      <c r="Q3953" s="30"/>
    </row>
    <row r="3954">
      <c r="B3954" s="6"/>
      <c r="C3954" s="33" t="str">
        <f t="array" ref="C3954">IF(B3954="", "", XLOOKUP(B3954, Inventory!D:D,Inventory!E:E,"No Name Found"))</f>
        <v/>
      </c>
      <c r="D3954" s="6"/>
      <c r="E3954" s="6"/>
      <c r="F3954" s="6"/>
      <c r="G3954" s="24" t="str">
        <f>IF(F3954="", "", VLOOKUP(F3954, Inventory!A:BZ, 3, FALSE) - SUMIF($F$1:$F3953, F3954, $H$1:$H3953))
</f>
        <v/>
      </c>
      <c r="I3954" s="26"/>
      <c r="J3954" s="26" t="s">
        <v>77</v>
      </c>
      <c r="L3954" s="27" t="s">
        <v>77</v>
      </c>
      <c r="N3954" s="28" t="s">
        <v>77</v>
      </c>
      <c r="Q3954" s="30"/>
    </row>
    <row r="3955">
      <c r="B3955" s="6"/>
      <c r="C3955" s="33" t="str">
        <f t="array" ref="C3955">IF(B3955="", "", XLOOKUP(B3955, Inventory!D:D,Inventory!E:E,"No Name Found"))</f>
        <v/>
      </c>
      <c r="D3955" s="6"/>
      <c r="E3955" s="6"/>
      <c r="F3955" s="6"/>
      <c r="G3955" s="24" t="str">
        <f>IF(F3955="", "", VLOOKUP(F3955, Inventory!A:BZ, 3, FALSE) - SUMIF($F$1:$F3954, F3955, $H$1:$H3954))
</f>
        <v/>
      </c>
      <c r="I3955" s="26"/>
      <c r="J3955" s="26" t="s">
        <v>77</v>
      </c>
      <c r="L3955" s="27" t="s">
        <v>77</v>
      </c>
      <c r="N3955" s="28" t="s">
        <v>77</v>
      </c>
      <c r="Q3955" s="30"/>
    </row>
    <row r="3956">
      <c r="B3956" s="6"/>
      <c r="C3956" s="33" t="str">
        <f t="array" ref="C3956">IF(B3956="", "", XLOOKUP(B3956, Inventory!D:D,Inventory!E:E,"No Name Found"))</f>
        <v/>
      </c>
      <c r="D3956" s="6"/>
      <c r="E3956" s="6"/>
      <c r="F3956" s="6"/>
      <c r="G3956" s="24" t="str">
        <f>IF(F3956="", "", VLOOKUP(F3956, Inventory!A:BZ, 3, FALSE) - SUMIF($F$1:$F3955, F3956, $H$1:$H3955))
</f>
        <v/>
      </c>
      <c r="I3956" s="26"/>
      <c r="J3956" s="26" t="s">
        <v>77</v>
      </c>
      <c r="L3956" s="27" t="s">
        <v>77</v>
      </c>
      <c r="N3956" s="28" t="s">
        <v>77</v>
      </c>
      <c r="Q3956" s="30"/>
    </row>
    <row r="3957">
      <c r="B3957" s="6"/>
      <c r="C3957" s="33" t="str">
        <f t="array" ref="C3957">IF(B3957="", "", XLOOKUP(B3957, Inventory!D:D,Inventory!E:E,"No Name Found"))</f>
        <v/>
      </c>
      <c r="D3957" s="6"/>
      <c r="E3957" s="6"/>
      <c r="F3957" s="6"/>
      <c r="G3957" s="24" t="str">
        <f>IF(F3957="", "", VLOOKUP(F3957, Inventory!A:BZ, 3, FALSE) - SUMIF($F$1:$F3956, F3957, $H$1:$H3956))
</f>
        <v/>
      </c>
      <c r="I3957" s="26"/>
      <c r="J3957" s="26" t="s">
        <v>77</v>
      </c>
      <c r="L3957" s="27" t="s">
        <v>77</v>
      </c>
      <c r="N3957" s="28" t="s">
        <v>77</v>
      </c>
      <c r="Q3957" s="30"/>
    </row>
    <row r="3958">
      <c r="B3958" s="6"/>
      <c r="C3958" s="33" t="str">
        <f t="array" ref="C3958">IF(B3958="", "", XLOOKUP(B3958, Inventory!D:D,Inventory!E:E,"No Name Found"))</f>
        <v/>
      </c>
      <c r="D3958" s="6"/>
      <c r="E3958" s="6"/>
      <c r="F3958" s="6"/>
      <c r="G3958" s="24" t="str">
        <f>IF(F3958="", "", VLOOKUP(F3958, Inventory!A:BZ, 3, FALSE) - SUMIF($F$1:$F3957, F3958, $H$1:$H3957))
</f>
        <v/>
      </c>
      <c r="I3958" s="26"/>
      <c r="J3958" s="26" t="s">
        <v>77</v>
      </c>
      <c r="L3958" s="27" t="s">
        <v>77</v>
      </c>
      <c r="N3958" s="28" t="s">
        <v>77</v>
      </c>
      <c r="Q3958" s="30"/>
    </row>
    <row r="3959">
      <c r="B3959" s="6"/>
      <c r="C3959" s="33" t="str">
        <f t="array" ref="C3959">IF(B3959="", "", XLOOKUP(B3959, Inventory!D:D,Inventory!E:E,"No Name Found"))</f>
        <v/>
      </c>
      <c r="D3959" s="6"/>
      <c r="E3959" s="6"/>
      <c r="F3959" s="6"/>
      <c r="G3959" s="24" t="str">
        <f>IF(F3959="", "", VLOOKUP(F3959, Inventory!A:BZ, 3, FALSE) - SUMIF($F$1:$F3958, F3959, $H$1:$H3958))
</f>
        <v/>
      </c>
      <c r="I3959" s="26"/>
      <c r="J3959" s="26" t="s">
        <v>77</v>
      </c>
      <c r="L3959" s="27" t="s">
        <v>77</v>
      </c>
      <c r="N3959" s="28" t="s">
        <v>77</v>
      </c>
      <c r="Q3959" s="30"/>
    </row>
    <row r="3960">
      <c r="B3960" s="6"/>
      <c r="C3960" s="33" t="str">
        <f t="array" ref="C3960">IF(B3960="", "", XLOOKUP(B3960, Inventory!D:D,Inventory!E:E,"No Name Found"))</f>
        <v/>
      </c>
      <c r="D3960" s="6"/>
      <c r="E3960" s="6"/>
      <c r="F3960" s="6"/>
      <c r="G3960" s="24" t="str">
        <f>IF(F3960="", "", VLOOKUP(F3960, Inventory!A:BZ, 3, FALSE) - SUMIF($F$1:$F3959, F3960, $H$1:$H3959))
</f>
        <v/>
      </c>
      <c r="I3960" s="26"/>
      <c r="J3960" s="26" t="s">
        <v>77</v>
      </c>
      <c r="L3960" s="27" t="s">
        <v>77</v>
      </c>
      <c r="N3960" s="28" t="s">
        <v>77</v>
      </c>
      <c r="Q3960" s="30"/>
    </row>
    <row r="3961">
      <c r="B3961" s="6"/>
      <c r="C3961" s="33" t="str">
        <f t="array" ref="C3961">IF(B3961="", "", XLOOKUP(B3961, Inventory!D:D,Inventory!E:E,"No Name Found"))</f>
        <v/>
      </c>
      <c r="D3961" s="6"/>
      <c r="E3961" s="6"/>
      <c r="F3961" s="6"/>
      <c r="G3961" s="24" t="str">
        <f>IF(F3961="", "", VLOOKUP(F3961, Inventory!A:BZ, 3, FALSE) - SUMIF($F$1:$F3960, F3961, $H$1:$H3960))
</f>
        <v/>
      </c>
      <c r="I3961" s="26"/>
      <c r="J3961" s="26" t="s">
        <v>77</v>
      </c>
      <c r="L3961" s="27" t="s">
        <v>77</v>
      </c>
      <c r="N3961" s="28" t="s">
        <v>77</v>
      </c>
      <c r="Q3961" s="30"/>
    </row>
    <row r="3962">
      <c r="B3962" s="6"/>
      <c r="C3962" s="33" t="str">
        <f t="array" ref="C3962">IF(B3962="", "", XLOOKUP(B3962, Inventory!D:D,Inventory!E:E,"No Name Found"))</f>
        <v/>
      </c>
      <c r="D3962" s="6"/>
      <c r="E3962" s="6"/>
      <c r="F3962" s="6"/>
      <c r="G3962" s="24" t="str">
        <f>IF(F3962="", "", VLOOKUP(F3962, Inventory!A:BZ, 3, FALSE) - SUMIF($F$1:$F3961, F3962, $H$1:$H3961))
</f>
        <v/>
      </c>
      <c r="I3962" s="26"/>
      <c r="J3962" s="26" t="s">
        <v>77</v>
      </c>
      <c r="L3962" s="27" t="s">
        <v>77</v>
      </c>
      <c r="N3962" s="28" t="s">
        <v>77</v>
      </c>
      <c r="Q3962" s="30"/>
    </row>
    <row r="3963">
      <c r="B3963" s="6"/>
      <c r="C3963" s="33" t="str">
        <f t="array" ref="C3963">IF(B3963="", "", XLOOKUP(B3963, Inventory!D:D,Inventory!E:E,"No Name Found"))</f>
        <v/>
      </c>
      <c r="D3963" s="6"/>
      <c r="E3963" s="6"/>
      <c r="F3963" s="6"/>
      <c r="G3963" s="24" t="str">
        <f>IF(F3963="", "", VLOOKUP(F3963, Inventory!A:BZ, 3, FALSE) - SUMIF($F$1:$F3962, F3963, $H$1:$H3962))
</f>
        <v/>
      </c>
      <c r="I3963" s="26"/>
      <c r="J3963" s="26" t="s">
        <v>77</v>
      </c>
      <c r="L3963" s="27" t="s">
        <v>77</v>
      </c>
      <c r="N3963" s="28" t="s">
        <v>77</v>
      </c>
      <c r="Q3963" s="30"/>
    </row>
    <row r="3964">
      <c r="B3964" s="6"/>
      <c r="C3964" s="33" t="str">
        <f t="array" ref="C3964">IF(B3964="", "", XLOOKUP(B3964, Inventory!D:D,Inventory!E:E,"No Name Found"))</f>
        <v/>
      </c>
      <c r="D3964" s="6"/>
      <c r="E3964" s="6"/>
      <c r="F3964" s="6"/>
      <c r="G3964" s="24" t="str">
        <f>IF(F3964="", "", VLOOKUP(F3964, Inventory!A:BZ, 3, FALSE) - SUMIF($F$1:$F3963, F3964, $H$1:$H3963))
</f>
        <v/>
      </c>
      <c r="I3964" s="26"/>
      <c r="J3964" s="26" t="s">
        <v>77</v>
      </c>
      <c r="L3964" s="27" t="s">
        <v>77</v>
      </c>
      <c r="N3964" s="28" t="s">
        <v>77</v>
      </c>
      <c r="Q3964" s="30"/>
    </row>
    <row r="3965">
      <c r="B3965" s="6"/>
      <c r="C3965" s="33" t="str">
        <f t="array" ref="C3965">IF(B3965="", "", XLOOKUP(B3965, Inventory!D:D,Inventory!E:E,"No Name Found"))</f>
        <v/>
      </c>
      <c r="D3965" s="6"/>
      <c r="E3965" s="6"/>
      <c r="F3965" s="6"/>
      <c r="G3965" s="24" t="str">
        <f>IF(F3965="", "", VLOOKUP(F3965, Inventory!A:BZ, 3, FALSE) - SUMIF($F$1:$F3964, F3965, $H$1:$H3964))
</f>
        <v/>
      </c>
      <c r="I3965" s="26"/>
      <c r="J3965" s="26" t="s">
        <v>77</v>
      </c>
      <c r="L3965" s="27" t="s">
        <v>77</v>
      </c>
      <c r="N3965" s="28" t="s">
        <v>77</v>
      </c>
      <c r="Q3965" s="30"/>
    </row>
    <row r="3966">
      <c r="B3966" s="6"/>
      <c r="C3966" s="33" t="str">
        <f t="array" ref="C3966">IF(B3966="", "", XLOOKUP(B3966, Inventory!D:D,Inventory!E:E,"No Name Found"))</f>
        <v/>
      </c>
      <c r="D3966" s="6"/>
      <c r="E3966" s="6"/>
      <c r="F3966" s="6"/>
      <c r="G3966" s="24" t="str">
        <f>IF(F3966="", "", VLOOKUP(F3966, Inventory!A:BZ, 3, FALSE) - SUMIF($F$1:$F3965, F3966, $H$1:$H3965))
</f>
        <v/>
      </c>
      <c r="I3966" s="26"/>
      <c r="J3966" s="26" t="s">
        <v>77</v>
      </c>
      <c r="L3966" s="27" t="s">
        <v>77</v>
      </c>
      <c r="N3966" s="28" t="s">
        <v>77</v>
      </c>
      <c r="Q3966" s="30"/>
    </row>
    <row r="3967">
      <c r="B3967" s="6"/>
      <c r="C3967" s="33" t="str">
        <f t="array" ref="C3967">IF(B3967="", "", XLOOKUP(B3967, Inventory!D:D,Inventory!E:E,"No Name Found"))</f>
        <v/>
      </c>
      <c r="D3967" s="6"/>
      <c r="E3967" s="6"/>
      <c r="F3967" s="6"/>
      <c r="G3967" s="24" t="str">
        <f>IF(F3967="", "", VLOOKUP(F3967, Inventory!A:BZ, 3, FALSE) - SUMIF($F$1:$F3966, F3967, $H$1:$H3966))
</f>
        <v/>
      </c>
      <c r="I3967" s="26"/>
      <c r="J3967" s="26" t="s">
        <v>77</v>
      </c>
      <c r="L3967" s="27" t="s">
        <v>77</v>
      </c>
      <c r="N3967" s="28" t="s">
        <v>77</v>
      </c>
      <c r="Q3967" s="30"/>
    </row>
    <row r="3968">
      <c r="B3968" s="6"/>
      <c r="C3968" s="33" t="str">
        <f t="array" ref="C3968">IF(B3968="", "", XLOOKUP(B3968, Inventory!D:D,Inventory!E:E,"No Name Found"))</f>
        <v/>
      </c>
      <c r="D3968" s="6"/>
      <c r="E3968" s="6"/>
      <c r="F3968" s="6"/>
      <c r="G3968" s="24" t="str">
        <f>IF(F3968="", "", VLOOKUP(F3968, Inventory!A:BZ, 3, FALSE) - SUMIF($F$1:$F3967, F3968, $H$1:$H3967))
</f>
        <v/>
      </c>
      <c r="I3968" s="26"/>
      <c r="J3968" s="26" t="s">
        <v>77</v>
      </c>
      <c r="L3968" s="27" t="s">
        <v>77</v>
      </c>
      <c r="N3968" s="28" t="s">
        <v>77</v>
      </c>
      <c r="Q3968" s="30"/>
    </row>
    <row r="3969">
      <c r="B3969" s="6"/>
      <c r="C3969" s="33" t="str">
        <f t="array" ref="C3969">IF(B3969="", "", XLOOKUP(B3969, Inventory!D:D,Inventory!E:E,"No Name Found"))</f>
        <v/>
      </c>
      <c r="D3969" s="6"/>
      <c r="E3969" s="6"/>
      <c r="F3969" s="6"/>
      <c r="G3969" s="24" t="str">
        <f>IF(F3969="", "", VLOOKUP(F3969, Inventory!A:BZ, 3, FALSE) - SUMIF($F$1:$F3968, F3969, $H$1:$H3968))
</f>
        <v/>
      </c>
      <c r="I3969" s="26"/>
      <c r="J3969" s="26" t="s">
        <v>77</v>
      </c>
      <c r="L3969" s="27" t="s">
        <v>77</v>
      </c>
      <c r="N3969" s="28" t="s">
        <v>77</v>
      </c>
      <c r="Q3969" s="30"/>
    </row>
    <row r="3970">
      <c r="B3970" s="6"/>
      <c r="C3970" s="33" t="str">
        <f t="array" ref="C3970">IF(B3970="", "", XLOOKUP(B3970, Inventory!D:D,Inventory!E:E,"No Name Found"))</f>
        <v/>
      </c>
      <c r="D3970" s="6"/>
      <c r="E3970" s="6"/>
      <c r="F3970" s="6"/>
      <c r="G3970" s="24" t="str">
        <f>IF(F3970="", "", VLOOKUP(F3970, Inventory!A:BZ, 3, FALSE) - SUMIF($F$1:$F3969, F3970, $H$1:$H3969))
</f>
        <v/>
      </c>
      <c r="I3970" s="26"/>
      <c r="J3970" s="26" t="s">
        <v>77</v>
      </c>
      <c r="L3970" s="27" t="s">
        <v>77</v>
      </c>
      <c r="N3970" s="28" t="s">
        <v>77</v>
      </c>
      <c r="Q3970" s="30"/>
    </row>
    <row r="3971">
      <c r="B3971" s="6"/>
      <c r="C3971" s="33" t="str">
        <f t="array" ref="C3971">IF(B3971="", "", XLOOKUP(B3971, Inventory!D:D,Inventory!E:E,"No Name Found"))</f>
        <v/>
      </c>
      <c r="D3971" s="6"/>
      <c r="E3971" s="6"/>
      <c r="F3971" s="6"/>
      <c r="G3971" s="24" t="str">
        <f>IF(F3971="", "", VLOOKUP(F3971, Inventory!A:BZ, 3, FALSE) - SUMIF($F$1:$F3970, F3971, $H$1:$H3970))
</f>
        <v/>
      </c>
      <c r="I3971" s="26"/>
      <c r="J3971" s="26" t="s">
        <v>77</v>
      </c>
      <c r="L3971" s="27" t="s">
        <v>77</v>
      </c>
      <c r="N3971" s="28" t="s">
        <v>77</v>
      </c>
      <c r="Q3971" s="30"/>
    </row>
    <row r="3972">
      <c r="B3972" s="6"/>
      <c r="C3972" s="33" t="str">
        <f t="array" ref="C3972">IF(B3972="", "", XLOOKUP(B3972, Inventory!D:D,Inventory!E:E,"No Name Found"))</f>
        <v/>
      </c>
      <c r="D3972" s="6"/>
      <c r="E3972" s="6"/>
      <c r="F3972" s="6"/>
      <c r="G3972" s="24" t="str">
        <f>IF(F3972="", "", VLOOKUP(F3972, Inventory!A:BZ, 3, FALSE) - SUMIF($F$1:$F3971, F3972, $H$1:$H3971))
</f>
        <v/>
      </c>
      <c r="I3972" s="26"/>
      <c r="J3972" s="26" t="s">
        <v>77</v>
      </c>
      <c r="L3972" s="27" t="s">
        <v>77</v>
      </c>
      <c r="N3972" s="28" t="s">
        <v>77</v>
      </c>
      <c r="Q3972" s="30"/>
    </row>
    <row r="3973">
      <c r="B3973" s="6"/>
      <c r="C3973" s="33" t="str">
        <f t="array" ref="C3973">IF(B3973="", "", XLOOKUP(B3973, Inventory!D:D,Inventory!E:E,"No Name Found"))</f>
        <v/>
      </c>
      <c r="D3973" s="6"/>
      <c r="E3973" s="6"/>
      <c r="F3973" s="6"/>
      <c r="G3973" s="24" t="str">
        <f>IF(F3973="", "", VLOOKUP(F3973, Inventory!A:BZ, 3, FALSE) - SUMIF($F$1:$F3972, F3973, $H$1:$H3972))
</f>
        <v/>
      </c>
      <c r="I3973" s="26"/>
      <c r="J3973" s="26" t="s">
        <v>77</v>
      </c>
      <c r="L3973" s="27" t="s">
        <v>77</v>
      </c>
      <c r="N3973" s="28" t="s">
        <v>77</v>
      </c>
      <c r="Q3973" s="30"/>
    </row>
    <row r="3974">
      <c r="B3974" s="6"/>
      <c r="C3974" s="33" t="str">
        <f t="array" ref="C3974">IF(B3974="", "", XLOOKUP(B3974, Inventory!D:D,Inventory!E:E,"No Name Found"))</f>
        <v/>
      </c>
      <c r="D3974" s="6"/>
      <c r="E3974" s="6"/>
      <c r="F3974" s="6"/>
      <c r="G3974" s="24" t="str">
        <f>IF(F3974="", "", VLOOKUP(F3974, Inventory!A:BZ, 3, FALSE) - SUMIF($F$1:$F3973, F3974, $H$1:$H3973))
</f>
        <v/>
      </c>
      <c r="I3974" s="26"/>
      <c r="J3974" s="26" t="s">
        <v>77</v>
      </c>
      <c r="L3974" s="27" t="s">
        <v>77</v>
      </c>
      <c r="N3974" s="28" t="s">
        <v>77</v>
      </c>
      <c r="Q3974" s="30"/>
    </row>
    <row r="3975">
      <c r="B3975" s="6"/>
      <c r="C3975" s="33" t="str">
        <f t="array" ref="C3975">IF(B3975="", "", XLOOKUP(B3975, Inventory!D:D,Inventory!E:E,"No Name Found"))</f>
        <v/>
      </c>
      <c r="D3975" s="6"/>
      <c r="E3975" s="6"/>
      <c r="F3975" s="6"/>
      <c r="G3975" s="24" t="str">
        <f>IF(F3975="", "", VLOOKUP(F3975, Inventory!A:BZ, 3, FALSE) - SUMIF($F$1:$F3974, F3975, $H$1:$H3974))
</f>
        <v/>
      </c>
      <c r="I3975" s="26"/>
      <c r="J3975" s="26" t="s">
        <v>77</v>
      </c>
      <c r="L3975" s="27" t="s">
        <v>77</v>
      </c>
      <c r="N3975" s="28" t="s">
        <v>77</v>
      </c>
      <c r="Q3975" s="30"/>
    </row>
    <row r="3976">
      <c r="B3976" s="6"/>
      <c r="C3976" s="33" t="str">
        <f t="array" ref="C3976">IF(B3976="", "", XLOOKUP(B3976, Inventory!D:D,Inventory!E:E,"No Name Found"))</f>
        <v/>
      </c>
      <c r="D3976" s="6"/>
      <c r="E3976" s="6"/>
      <c r="F3976" s="6"/>
      <c r="G3976" s="24" t="str">
        <f>IF(F3976="", "", VLOOKUP(F3976, Inventory!A:BZ, 3, FALSE) - SUMIF($F$1:$F3975, F3976, $H$1:$H3975))
</f>
        <v/>
      </c>
      <c r="I3976" s="26"/>
      <c r="J3976" s="26" t="s">
        <v>77</v>
      </c>
      <c r="L3976" s="27" t="s">
        <v>77</v>
      </c>
      <c r="N3976" s="28" t="s">
        <v>77</v>
      </c>
      <c r="Q3976" s="30"/>
    </row>
    <row r="3977">
      <c r="B3977" s="6"/>
      <c r="C3977" s="33" t="str">
        <f t="array" ref="C3977">IF(B3977="", "", XLOOKUP(B3977, Inventory!D:D,Inventory!E:E,"No Name Found"))</f>
        <v/>
      </c>
      <c r="D3977" s="6"/>
      <c r="E3977" s="6"/>
      <c r="F3977" s="6"/>
      <c r="G3977" s="24" t="str">
        <f>IF(F3977="", "", VLOOKUP(F3977, Inventory!A:BZ, 3, FALSE) - SUMIF($F$1:$F3976, F3977, $H$1:$H3976))
</f>
        <v/>
      </c>
      <c r="I3977" s="26"/>
      <c r="J3977" s="26" t="s">
        <v>77</v>
      </c>
      <c r="L3977" s="27" t="s">
        <v>77</v>
      </c>
      <c r="N3977" s="28" t="s">
        <v>77</v>
      </c>
      <c r="Q3977" s="30"/>
    </row>
    <row r="3978">
      <c r="B3978" s="6"/>
      <c r="C3978" s="33" t="str">
        <f t="array" ref="C3978">IF(B3978="", "", XLOOKUP(B3978, Inventory!D:D,Inventory!E:E,"No Name Found"))</f>
        <v/>
      </c>
      <c r="D3978" s="6"/>
      <c r="E3978" s="6"/>
      <c r="F3978" s="6"/>
      <c r="G3978" s="24" t="str">
        <f>IF(F3978="", "", VLOOKUP(F3978, Inventory!A:BZ, 3, FALSE) - SUMIF($F$1:$F3977, F3978, $H$1:$H3977))
</f>
        <v/>
      </c>
      <c r="I3978" s="26"/>
      <c r="J3978" s="26" t="s">
        <v>77</v>
      </c>
      <c r="L3978" s="27" t="s">
        <v>77</v>
      </c>
      <c r="N3978" s="28" t="s">
        <v>77</v>
      </c>
      <c r="Q3978" s="30"/>
    </row>
    <row r="3979">
      <c r="B3979" s="6"/>
      <c r="C3979" s="33" t="str">
        <f t="array" ref="C3979">IF(B3979="", "", XLOOKUP(B3979, Inventory!D:D,Inventory!E:E,"No Name Found"))</f>
        <v/>
      </c>
      <c r="D3979" s="6"/>
      <c r="E3979" s="6"/>
      <c r="F3979" s="6"/>
      <c r="G3979" s="24" t="str">
        <f>IF(F3979="", "", VLOOKUP(F3979, Inventory!A:BZ, 3, FALSE) - SUMIF($F$1:$F3978, F3979, $H$1:$H3978))
</f>
        <v/>
      </c>
      <c r="I3979" s="26"/>
      <c r="J3979" s="26" t="s">
        <v>77</v>
      </c>
      <c r="L3979" s="27" t="s">
        <v>77</v>
      </c>
      <c r="N3979" s="28" t="s">
        <v>77</v>
      </c>
      <c r="Q3979" s="30"/>
    </row>
    <row r="3980">
      <c r="B3980" s="6"/>
      <c r="C3980" s="33" t="str">
        <f t="array" ref="C3980">IF(B3980="", "", XLOOKUP(B3980, Inventory!D:D,Inventory!E:E,"No Name Found"))</f>
        <v/>
      </c>
      <c r="D3980" s="6"/>
      <c r="E3980" s="6"/>
      <c r="F3980" s="6"/>
      <c r="G3980" s="24" t="str">
        <f>IF(F3980="", "", VLOOKUP(F3980, Inventory!A:BZ, 3, FALSE) - SUMIF($F$1:$F3979, F3980, $H$1:$H3979))
</f>
        <v/>
      </c>
      <c r="I3980" s="26"/>
      <c r="J3980" s="26" t="s">
        <v>77</v>
      </c>
      <c r="L3980" s="27" t="s">
        <v>77</v>
      </c>
      <c r="N3980" s="28" t="s">
        <v>77</v>
      </c>
      <c r="Q3980" s="30"/>
    </row>
    <row r="3981">
      <c r="B3981" s="6"/>
      <c r="C3981" s="33" t="str">
        <f t="array" ref="C3981">IF(B3981="", "", XLOOKUP(B3981, Inventory!D:D,Inventory!E:E,"No Name Found"))</f>
        <v/>
      </c>
      <c r="D3981" s="6"/>
      <c r="E3981" s="6"/>
      <c r="F3981" s="6"/>
      <c r="G3981" s="24" t="str">
        <f>IF(F3981="", "", VLOOKUP(F3981, Inventory!A:BZ, 3, FALSE) - SUMIF($F$1:$F3980, F3981, $H$1:$H3980))
</f>
        <v/>
      </c>
      <c r="I3981" s="26"/>
      <c r="J3981" s="26" t="s">
        <v>77</v>
      </c>
      <c r="L3981" s="27" t="s">
        <v>77</v>
      </c>
      <c r="N3981" s="28" t="s">
        <v>77</v>
      </c>
      <c r="Q3981" s="30"/>
    </row>
    <row r="3982">
      <c r="B3982" s="6"/>
      <c r="C3982" s="33" t="str">
        <f t="array" ref="C3982">IF(B3982="", "", XLOOKUP(B3982, Inventory!D:D,Inventory!E:E,"No Name Found"))</f>
        <v/>
      </c>
      <c r="D3982" s="6"/>
      <c r="E3982" s="6"/>
      <c r="F3982" s="6"/>
      <c r="G3982" s="24" t="str">
        <f>IF(F3982="", "", VLOOKUP(F3982, Inventory!A:BZ, 3, FALSE) - SUMIF($F$1:$F3981, F3982, $H$1:$H3981))
</f>
        <v/>
      </c>
      <c r="I3982" s="26"/>
      <c r="J3982" s="26" t="s">
        <v>77</v>
      </c>
      <c r="L3982" s="27" t="s">
        <v>77</v>
      </c>
      <c r="N3982" s="28" t="s">
        <v>77</v>
      </c>
      <c r="Q3982" s="30"/>
    </row>
    <row r="3983">
      <c r="B3983" s="6"/>
      <c r="C3983" s="33" t="str">
        <f t="array" ref="C3983">IF(B3983="", "", XLOOKUP(B3983, Inventory!D:D,Inventory!E:E,"No Name Found"))</f>
        <v/>
      </c>
      <c r="D3983" s="6"/>
      <c r="E3983" s="6"/>
      <c r="F3983" s="6"/>
      <c r="G3983" s="24" t="str">
        <f>IF(F3983="", "", VLOOKUP(F3983, Inventory!A:BZ, 3, FALSE) - SUMIF($F$1:$F3982, F3983, $H$1:$H3982))
</f>
        <v/>
      </c>
      <c r="I3983" s="26"/>
      <c r="J3983" s="26" t="s">
        <v>77</v>
      </c>
      <c r="L3983" s="27" t="s">
        <v>77</v>
      </c>
      <c r="N3983" s="28" t="s">
        <v>77</v>
      </c>
      <c r="Q3983" s="30"/>
    </row>
    <row r="3984">
      <c r="B3984" s="6"/>
      <c r="C3984" s="33" t="str">
        <f t="array" ref="C3984">IF(B3984="", "", XLOOKUP(B3984, Inventory!D:D,Inventory!E:E,"No Name Found"))</f>
        <v/>
      </c>
      <c r="D3984" s="6"/>
      <c r="E3984" s="6"/>
      <c r="F3984" s="6"/>
      <c r="G3984" s="24" t="str">
        <f>IF(F3984="", "", VLOOKUP(F3984, Inventory!A:BZ, 3, FALSE) - SUMIF($F$1:$F3983, F3984, $H$1:$H3983))
</f>
        <v/>
      </c>
      <c r="I3984" s="26"/>
      <c r="J3984" s="26" t="s">
        <v>77</v>
      </c>
      <c r="L3984" s="27" t="s">
        <v>77</v>
      </c>
      <c r="N3984" s="28" t="s">
        <v>77</v>
      </c>
      <c r="Q3984" s="30"/>
    </row>
    <row r="3985">
      <c r="B3985" s="6"/>
      <c r="C3985" s="33" t="str">
        <f t="array" ref="C3985">IF(B3985="", "", XLOOKUP(B3985, Inventory!D:D,Inventory!E:E,"No Name Found"))</f>
        <v/>
      </c>
      <c r="D3985" s="6"/>
      <c r="E3985" s="6"/>
      <c r="F3985" s="6"/>
      <c r="G3985" s="24" t="str">
        <f>IF(F3985="", "", VLOOKUP(F3985, Inventory!A:BZ, 3, FALSE) - SUMIF($F$1:$F3984, F3985, $H$1:$H3984))
</f>
        <v/>
      </c>
      <c r="I3985" s="26"/>
      <c r="J3985" s="26" t="s">
        <v>77</v>
      </c>
      <c r="L3985" s="27" t="s">
        <v>77</v>
      </c>
      <c r="N3985" s="28" t="s">
        <v>77</v>
      </c>
      <c r="Q3985" s="30"/>
    </row>
    <row r="3986">
      <c r="B3986" s="6"/>
      <c r="C3986" s="33" t="str">
        <f t="array" ref="C3986">IF(B3986="", "", XLOOKUP(B3986, Inventory!D:D,Inventory!E:E,"No Name Found"))</f>
        <v/>
      </c>
      <c r="D3986" s="6"/>
      <c r="E3986" s="6"/>
      <c r="F3986" s="6"/>
      <c r="G3986" s="24" t="str">
        <f>IF(F3986="", "", VLOOKUP(F3986, Inventory!A:BZ, 3, FALSE) - SUMIF($F$1:$F3985, F3986, $H$1:$H3985))
</f>
        <v/>
      </c>
      <c r="I3986" s="26"/>
      <c r="J3986" s="26" t="s">
        <v>77</v>
      </c>
      <c r="L3986" s="27" t="s">
        <v>77</v>
      </c>
      <c r="N3986" s="28" t="s">
        <v>77</v>
      </c>
      <c r="Q3986" s="30"/>
    </row>
    <row r="3987">
      <c r="B3987" s="6"/>
      <c r="C3987" s="33" t="str">
        <f t="array" ref="C3987">IF(B3987="", "", XLOOKUP(B3987, Inventory!D:D,Inventory!E:E,"No Name Found"))</f>
        <v/>
      </c>
      <c r="D3987" s="6"/>
      <c r="E3987" s="6"/>
      <c r="F3987" s="6"/>
      <c r="G3987" s="24" t="str">
        <f>IF(F3987="", "", VLOOKUP(F3987, Inventory!A:BZ, 3, FALSE) - SUMIF($F$1:$F3986, F3987, $H$1:$H3986))
</f>
        <v/>
      </c>
      <c r="I3987" s="26"/>
      <c r="J3987" s="26" t="s">
        <v>77</v>
      </c>
      <c r="L3987" s="27" t="s">
        <v>77</v>
      </c>
      <c r="N3987" s="28" t="s">
        <v>77</v>
      </c>
      <c r="Q3987" s="30"/>
    </row>
    <row r="3988">
      <c r="B3988" s="6"/>
      <c r="C3988" s="33" t="str">
        <f t="array" ref="C3988">IF(B3988="", "", XLOOKUP(B3988, Inventory!D:D,Inventory!E:E,"No Name Found"))</f>
        <v/>
      </c>
      <c r="D3988" s="6"/>
      <c r="E3988" s="6"/>
      <c r="F3988" s="6"/>
      <c r="G3988" s="24" t="str">
        <f>IF(F3988="", "", VLOOKUP(F3988, Inventory!A:BZ, 3, FALSE) - SUMIF($F$1:$F3987, F3988, $H$1:$H3987))
</f>
        <v/>
      </c>
      <c r="I3988" s="26"/>
      <c r="J3988" s="26" t="s">
        <v>77</v>
      </c>
      <c r="L3988" s="27" t="s">
        <v>77</v>
      </c>
      <c r="N3988" s="28" t="s">
        <v>77</v>
      </c>
      <c r="Q3988" s="30"/>
    </row>
    <row r="3989">
      <c r="B3989" s="6"/>
      <c r="C3989" s="33" t="str">
        <f t="array" ref="C3989">IF(B3989="", "", XLOOKUP(B3989, Inventory!D:D,Inventory!E:E,"No Name Found"))</f>
        <v/>
      </c>
      <c r="D3989" s="6"/>
      <c r="E3989" s="6"/>
      <c r="F3989" s="6"/>
      <c r="G3989" s="24" t="str">
        <f>IF(F3989="", "", VLOOKUP(F3989, Inventory!A:BZ, 3, FALSE) - SUMIF($F$1:$F3988, F3989, $H$1:$H3988))
</f>
        <v/>
      </c>
      <c r="I3989" s="26"/>
      <c r="J3989" s="26" t="s">
        <v>77</v>
      </c>
      <c r="L3989" s="27" t="s">
        <v>77</v>
      </c>
      <c r="N3989" s="28" t="s">
        <v>77</v>
      </c>
      <c r="Q3989" s="30"/>
    </row>
    <row r="3990">
      <c r="B3990" s="6"/>
      <c r="C3990" s="33" t="str">
        <f t="array" ref="C3990">IF(B3990="", "", XLOOKUP(B3990, Inventory!D:D,Inventory!E:E,"No Name Found"))</f>
        <v/>
      </c>
      <c r="D3990" s="6"/>
      <c r="E3990" s="6"/>
      <c r="F3990" s="6"/>
      <c r="G3990" s="24" t="str">
        <f>IF(F3990="", "", VLOOKUP(F3990, Inventory!A:BZ, 3, FALSE) - SUMIF($F$1:$F3989, F3990, $H$1:$H3989))
</f>
        <v/>
      </c>
      <c r="I3990" s="26"/>
      <c r="J3990" s="26" t="s">
        <v>77</v>
      </c>
      <c r="L3990" s="27" t="s">
        <v>77</v>
      </c>
      <c r="N3990" s="28" t="s">
        <v>77</v>
      </c>
      <c r="Q3990" s="30"/>
    </row>
    <row r="3991">
      <c r="B3991" s="6"/>
      <c r="C3991" s="33" t="str">
        <f t="array" ref="C3991">IF(B3991="", "", XLOOKUP(B3991, Inventory!D:D,Inventory!E:E,"No Name Found"))</f>
        <v/>
      </c>
      <c r="D3991" s="6"/>
      <c r="E3991" s="6"/>
      <c r="F3991" s="6"/>
      <c r="G3991" s="24" t="str">
        <f>IF(F3991="", "", VLOOKUP(F3991, Inventory!A:BZ, 3, FALSE) - SUMIF($F$1:$F3990, F3991, $H$1:$H3990))
</f>
        <v/>
      </c>
      <c r="I3991" s="26"/>
      <c r="J3991" s="26" t="s">
        <v>77</v>
      </c>
      <c r="L3991" s="27" t="s">
        <v>77</v>
      </c>
      <c r="N3991" s="28" t="s">
        <v>77</v>
      </c>
      <c r="Q3991" s="30"/>
    </row>
    <row r="3992">
      <c r="B3992" s="6"/>
      <c r="C3992" s="33" t="str">
        <f t="array" ref="C3992">IF(B3992="", "", XLOOKUP(B3992, Inventory!D:D,Inventory!E:E,"No Name Found"))</f>
        <v/>
      </c>
      <c r="D3992" s="6"/>
      <c r="E3992" s="6"/>
      <c r="F3992" s="6"/>
      <c r="G3992" s="24" t="str">
        <f>IF(F3992="", "", VLOOKUP(F3992, Inventory!A:BZ, 3, FALSE) - SUMIF($F$1:$F3991, F3992, $H$1:$H3991))
</f>
        <v/>
      </c>
      <c r="I3992" s="26"/>
      <c r="J3992" s="26" t="s">
        <v>77</v>
      </c>
      <c r="L3992" s="27" t="s">
        <v>77</v>
      </c>
      <c r="N3992" s="28" t="s">
        <v>77</v>
      </c>
      <c r="Q3992" s="30"/>
    </row>
    <row r="3993">
      <c r="B3993" s="6"/>
      <c r="C3993" s="33" t="str">
        <f t="array" ref="C3993">IF(B3993="", "", XLOOKUP(B3993, Inventory!D:D,Inventory!E:E,"No Name Found"))</f>
        <v/>
      </c>
      <c r="D3993" s="6"/>
      <c r="E3993" s="6"/>
      <c r="F3993" s="6"/>
      <c r="G3993" s="24" t="str">
        <f>IF(F3993="", "", VLOOKUP(F3993, Inventory!A:BZ, 3, FALSE) - SUMIF($F$1:$F3992, F3993, $H$1:$H3992))
</f>
        <v/>
      </c>
      <c r="I3993" s="26"/>
      <c r="J3993" s="26" t="s">
        <v>77</v>
      </c>
      <c r="L3993" s="27" t="s">
        <v>77</v>
      </c>
      <c r="N3993" s="28" t="s">
        <v>77</v>
      </c>
      <c r="Q3993" s="30"/>
    </row>
    <row r="3994">
      <c r="B3994" s="6"/>
      <c r="C3994" s="33" t="str">
        <f t="array" ref="C3994">IF(B3994="", "", XLOOKUP(B3994, Inventory!D:D,Inventory!E:E,"No Name Found"))</f>
        <v/>
      </c>
      <c r="D3994" s="6"/>
      <c r="E3994" s="6"/>
      <c r="F3994" s="6"/>
      <c r="G3994" s="24" t="str">
        <f>IF(F3994="", "", VLOOKUP(F3994, Inventory!A:BZ, 3, FALSE) - SUMIF($F$1:$F3993, F3994, $H$1:$H3993))
</f>
        <v/>
      </c>
      <c r="I3994" s="26"/>
      <c r="J3994" s="26" t="s">
        <v>77</v>
      </c>
      <c r="L3994" s="27" t="s">
        <v>77</v>
      </c>
      <c r="N3994" s="28" t="s">
        <v>77</v>
      </c>
      <c r="Q3994" s="30"/>
    </row>
    <row r="3995">
      <c r="B3995" s="6"/>
      <c r="C3995" s="33" t="str">
        <f t="array" ref="C3995">IF(B3995="", "", XLOOKUP(B3995, Inventory!D:D,Inventory!E:E,"No Name Found"))</f>
        <v/>
      </c>
      <c r="D3995" s="6"/>
      <c r="E3995" s="6"/>
      <c r="F3995" s="6"/>
      <c r="G3995" s="24" t="str">
        <f>IF(F3995="", "", VLOOKUP(F3995, Inventory!A:BZ, 3, FALSE) - SUMIF($F$1:$F3994, F3995, $H$1:$H3994))
</f>
        <v/>
      </c>
      <c r="I3995" s="26"/>
      <c r="J3995" s="26" t="s">
        <v>77</v>
      </c>
      <c r="L3995" s="27" t="s">
        <v>77</v>
      </c>
      <c r="N3995" s="28" t="s">
        <v>77</v>
      </c>
      <c r="Q3995" s="30"/>
    </row>
    <row r="3996">
      <c r="B3996" s="6"/>
      <c r="C3996" s="33" t="str">
        <f t="array" ref="C3996">IF(B3996="", "", XLOOKUP(B3996, Inventory!D:D,Inventory!E:E,"No Name Found"))</f>
        <v/>
      </c>
      <c r="D3996" s="6"/>
      <c r="E3996" s="6"/>
      <c r="F3996" s="6"/>
      <c r="G3996" s="24" t="str">
        <f>IF(F3996="", "", VLOOKUP(F3996, Inventory!A:BZ, 3, FALSE) - SUMIF($F$1:$F3995, F3996, $H$1:$H3995))
</f>
        <v/>
      </c>
      <c r="I3996" s="26"/>
      <c r="J3996" s="26" t="s">
        <v>77</v>
      </c>
      <c r="L3996" s="27" t="s">
        <v>77</v>
      </c>
      <c r="N3996" s="28" t="s">
        <v>77</v>
      </c>
      <c r="Q3996" s="30"/>
    </row>
    <row r="3997">
      <c r="B3997" s="6"/>
      <c r="C3997" s="33" t="str">
        <f t="array" ref="C3997">IF(B3997="", "", XLOOKUP(B3997, Inventory!D:D,Inventory!E:E,"No Name Found"))</f>
        <v/>
      </c>
      <c r="D3997" s="6"/>
      <c r="E3997" s="6"/>
      <c r="F3997" s="6"/>
      <c r="G3997" s="24" t="str">
        <f>IF(F3997="", "", VLOOKUP(F3997, Inventory!A:BZ, 3, FALSE) - SUMIF($F$1:$F3996, F3997, $H$1:$H3996))
</f>
        <v/>
      </c>
      <c r="I3997" s="26"/>
      <c r="J3997" s="26" t="s">
        <v>77</v>
      </c>
      <c r="L3997" s="27" t="s">
        <v>77</v>
      </c>
      <c r="N3997" s="28" t="s">
        <v>77</v>
      </c>
      <c r="Q3997" s="30"/>
    </row>
    <row r="3998">
      <c r="B3998" s="6"/>
      <c r="C3998" s="33" t="str">
        <f t="array" ref="C3998">IF(B3998="", "", XLOOKUP(B3998, Inventory!D:D,Inventory!E:E,"No Name Found"))</f>
        <v/>
      </c>
      <c r="D3998" s="6"/>
      <c r="E3998" s="6"/>
      <c r="F3998" s="6"/>
      <c r="G3998" s="24" t="str">
        <f>IF(F3998="", "", VLOOKUP(F3998, Inventory!A:BZ, 3, FALSE) - SUMIF($F$1:$F3997, F3998, $H$1:$H3997))
</f>
        <v/>
      </c>
      <c r="I3998" s="26"/>
      <c r="J3998" s="26" t="s">
        <v>77</v>
      </c>
      <c r="L3998" s="27" t="s">
        <v>77</v>
      </c>
      <c r="N3998" s="28" t="s">
        <v>77</v>
      </c>
      <c r="Q3998" s="30"/>
    </row>
    <row r="3999">
      <c r="B3999" s="6"/>
      <c r="C3999" s="33" t="str">
        <f t="array" ref="C3999">IF(B3999="", "", XLOOKUP(B3999, Inventory!D:D,Inventory!E:E,"No Name Found"))</f>
        <v/>
      </c>
      <c r="D3999" s="6"/>
      <c r="E3999" s="6"/>
      <c r="F3999" s="6"/>
      <c r="G3999" s="24" t="str">
        <f>IF(F3999="", "", VLOOKUP(F3999, Inventory!A:BZ, 3, FALSE) - SUMIF($F$1:$F3998, F3999, $H$1:$H3998))
</f>
        <v/>
      </c>
      <c r="I3999" s="26"/>
      <c r="J3999" s="26" t="s">
        <v>77</v>
      </c>
      <c r="L3999" s="27" t="s">
        <v>77</v>
      </c>
      <c r="N3999" s="28" t="s">
        <v>77</v>
      </c>
      <c r="Q3999" s="30"/>
    </row>
    <row r="4000">
      <c r="B4000" s="6"/>
      <c r="C4000" s="33" t="str">
        <f t="array" ref="C4000">IF(B4000="", "", XLOOKUP(B4000, Inventory!D:D,Inventory!E:E,"No Name Found"))</f>
        <v/>
      </c>
      <c r="D4000" s="6"/>
      <c r="E4000" s="6"/>
      <c r="F4000" s="6"/>
      <c r="G4000" s="24" t="str">
        <f>IF(F4000="", "", VLOOKUP(F4000, Inventory!A:BZ, 3, FALSE) - SUMIF($F$1:$F3999, F4000, $H$1:$H3999))
</f>
        <v/>
      </c>
      <c r="I4000" s="26"/>
      <c r="J4000" s="26" t="s">
        <v>77</v>
      </c>
      <c r="L4000" s="27" t="s">
        <v>77</v>
      </c>
      <c r="N4000" s="28" t="s">
        <v>77</v>
      </c>
      <c r="Q4000" s="30"/>
    </row>
    <row r="4001">
      <c r="B4001" s="6"/>
      <c r="C4001" s="33" t="str">
        <f t="array" ref="C4001">IF(B4001="", "", XLOOKUP(B4001, Inventory!D:D,Inventory!E:E,"No Name Found"))</f>
        <v/>
      </c>
      <c r="D4001" s="6"/>
      <c r="E4001" s="6"/>
      <c r="F4001" s="6"/>
      <c r="G4001" s="24" t="str">
        <f>IF(F4001="", "", VLOOKUP(F4001, Inventory!A:BZ, 3, FALSE) - SUMIF($F$1:$F4000, F4001, $H$1:$H4000))
</f>
        <v/>
      </c>
      <c r="I4001" s="26"/>
      <c r="J4001" s="26" t="s">
        <v>77</v>
      </c>
      <c r="L4001" s="27" t="s">
        <v>77</v>
      </c>
      <c r="N4001" s="28" t="s">
        <v>77</v>
      </c>
      <c r="Q4001" s="30"/>
    </row>
    <row r="4002">
      <c r="B4002" s="6"/>
      <c r="C4002" s="33" t="str">
        <f t="array" ref="C4002">IF(B4002="", "", XLOOKUP(B4002, Inventory!D:D,Inventory!E:E,"No Name Found"))</f>
        <v/>
      </c>
      <c r="D4002" s="6"/>
      <c r="E4002" s="6"/>
      <c r="F4002" s="6"/>
      <c r="G4002" s="24" t="str">
        <f>IF(F4002="", "", VLOOKUP(F4002, Inventory!A:BZ, 3, FALSE) - SUMIF($F$1:$F4001, F4002, $H$1:$H4001))
</f>
        <v/>
      </c>
      <c r="I4002" s="26"/>
      <c r="J4002" s="26" t="s">
        <v>77</v>
      </c>
      <c r="L4002" s="27" t="s">
        <v>77</v>
      </c>
      <c r="N4002" s="28" t="s">
        <v>77</v>
      </c>
      <c r="Q4002" s="30"/>
    </row>
    <row r="4003">
      <c r="B4003" s="6"/>
      <c r="C4003" s="33" t="str">
        <f t="array" ref="C4003">IF(B4003="", "", XLOOKUP(B4003, Inventory!D:D,Inventory!E:E,"No Name Found"))</f>
        <v/>
      </c>
      <c r="D4003" s="6"/>
      <c r="E4003" s="6"/>
      <c r="F4003" s="6"/>
      <c r="G4003" s="24" t="str">
        <f>IF(F4003="", "", VLOOKUP(F4003, Inventory!A:BZ, 3, FALSE) - SUMIF($F$1:$F4002, F4003, $H$1:$H4002))
</f>
        <v/>
      </c>
      <c r="I4003" s="26"/>
      <c r="J4003" s="26" t="s">
        <v>77</v>
      </c>
      <c r="L4003" s="27" t="s">
        <v>77</v>
      </c>
      <c r="N4003" s="28" t="s">
        <v>77</v>
      </c>
      <c r="Q4003" s="30"/>
    </row>
    <row r="4004">
      <c r="B4004" s="6"/>
      <c r="C4004" s="33" t="str">
        <f t="array" ref="C4004">IF(B4004="", "", XLOOKUP(B4004, Inventory!D:D,Inventory!E:E,"No Name Found"))</f>
        <v/>
      </c>
      <c r="D4004" s="6"/>
      <c r="E4004" s="6"/>
      <c r="F4004" s="6"/>
      <c r="G4004" s="24" t="str">
        <f>IF(F4004="", "", VLOOKUP(F4004, Inventory!A:BZ, 3, FALSE) - SUMIF($F$1:$F4003, F4004, $H$1:$H4003))
</f>
        <v/>
      </c>
      <c r="I4004" s="26"/>
      <c r="J4004" s="26" t="s">
        <v>77</v>
      </c>
      <c r="L4004" s="27" t="s">
        <v>77</v>
      </c>
      <c r="N4004" s="28" t="s">
        <v>77</v>
      </c>
      <c r="Q4004" s="30"/>
    </row>
    <row r="4005">
      <c r="B4005" s="6"/>
      <c r="C4005" s="33" t="str">
        <f t="array" ref="C4005">IF(B4005="", "", XLOOKUP(B4005, Inventory!D:D,Inventory!E:E,"No Name Found"))</f>
        <v/>
      </c>
      <c r="D4005" s="6"/>
      <c r="E4005" s="6"/>
      <c r="F4005" s="6"/>
      <c r="G4005" s="24" t="str">
        <f>IF(F4005="", "", VLOOKUP(F4005, Inventory!A:BZ, 3, FALSE) - SUMIF($F$1:$F4004, F4005, $H$1:$H4004))
</f>
        <v/>
      </c>
      <c r="I4005" s="26"/>
      <c r="J4005" s="26" t="s">
        <v>77</v>
      </c>
      <c r="L4005" s="27" t="s">
        <v>77</v>
      </c>
      <c r="N4005" s="28" t="s">
        <v>77</v>
      </c>
      <c r="Q4005" s="30"/>
    </row>
    <row r="4006">
      <c r="B4006" s="6"/>
      <c r="C4006" s="33" t="str">
        <f t="array" ref="C4006">IF(B4006="", "", XLOOKUP(B4006, Inventory!D:D,Inventory!E:E,"No Name Found"))</f>
        <v/>
      </c>
      <c r="D4006" s="6"/>
      <c r="E4006" s="6"/>
      <c r="F4006" s="6"/>
      <c r="G4006" s="24" t="str">
        <f>IF(F4006="", "", VLOOKUP(F4006, Inventory!A:BZ, 3, FALSE) - SUMIF($F$1:$F4005, F4006, $H$1:$H4005))
</f>
        <v/>
      </c>
      <c r="I4006" s="26"/>
      <c r="J4006" s="26" t="s">
        <v>77</v>
      </c>
      <c r="L4006" s="27" t="s">
        <v>77</v>
      </c>
      <c r="N4006" s="28" t="s">
        <v>77</v>
      </c>
      <c r="Q4006" s="30"/>
    </row>
    <row r="4007">
      <c r="B4007" s="6"/>
      <c r="C4007" s="33" t="str">
        <f t="array" ref="C4007">IF(B4007="", "", XLOOKUP(B4007, Inventory!D:D,Inventory!E:E,"No Name Found"))</f>
        <v/>
      </c>
      <c r="D4007" s="6"/>
      <c r="E4007" s="6"/>
      <c r="F4007" s="6"/>
      <c r="G4007" s="24" t="str">
        <f>IF(F4007="", "", VLOOKUP(F4007, Inventory!A:BZ, 3, FALSE) - SUMIF($F$1:$F4006, F4007, $H$1:$H4006))
</f>
        <v/>
      </c>
      <c r="I4007" s="26"/>
      <c r="J4007" s="26" t="s">
        <v>77</v>
      </c>
      <c r="L4007" s="27" t="s">
        <v>77</v>
      </c>
      <c r="N4007" s="28" t="s">
        <v>77</v>
      </c>
      <c r="Q4007" s="30"/>
    </row>
    <row r="4008">
      <c r="B4008" s="6"/>
      <c r="C4008" s="33" t="str">
        <f t="array" ref="C4008">IF(B4008="", "", XLOOKUP(B4008, Inventory!D:D,Inventory!E:E,"No Name Found"))</f>
        <v/>
      </c>
      <c r="D4008" s="6"/>
      <c r="E4008" s="6"/>
      <c r="F4008" s="6"/>
      <c r="G4008" s="24" t="str">
        <f>IF(F4008="", "", VLOOKUP(F4008, Inventory!A:BZ, 3, FALSE) - SUMIF($F$1:$F4007, F4008, $H$1:$H4007))
</f>
        <v/>
      </c>
      <c r="I4008" s="26"/>
      <c r="J4008" s="26" t="s">
        <v>77</v>
      </c>
      <c r="L4008" s="27" t="s">
        <v>77</v>
      </c>
      <c r="N4008" s="28" t="s">
        <v>77</v>
      </c>
      <c r="Q4008" s="30"/>
    </row>
    <row r="4009">
      <c r="B4009" s="6"/>
      <c r="C4009" s="33" t="str">
        <f t="array" ref="C4009">IF(B4009="", "", XLOOKUP(B4009, Inventory!D:D,Inventory!E:E,"No Name Found"))</f>
        <v/>
      </c>
      <c r="D4009" s="6"/>
      <c r="E4009" s="6"/>
      <c r="F4009" s="6"/>
      <c r="G4009" s="24" t="str">
        <f>IF(F4009="", "", VLOOKUP(F4009, Inventory!A:BZ, 3, FALSE) - SUMIF($F$1:$F4008, F4009, $H$1:$H4008))
</f>
        <v/>
      </c>
      <c r="I4009" s="26"/>
      <c r="J4009" s="26" t="s">
        <v>77</v>
      </c>
      <c r="L4009" s="27" t="s">
        <v>77</v>
      </c>
      <c r="N4009" s="28" t="s">
        <v>77</v>
      </c>
      <c r="Q4009" s="30"/>
    </row>
    <row r="4010">
      <c r="B4010" s="6"/>
      <c r="C4010" s="33" t="str">
        <f t="array" ref="C4010">IF(B4010="", "", XLOOKUP(B4010, Inventory!D:D,Inventory!E:E,"No Name Found"))</f>
        <v/>
      </c>
      <c r="D4010" s="6"/>
      <c r="E4010" s="6"/>
      <c r="F4010" s="6"/>
      <c r="G4010" s="24" t="str">
        <f>IF(F4010="", "", VLOOKUP(F4010, Inventory!A:BZ, 3, FALSE) - SUMIF($F$1:$F4009, F4010, $H$1:$H4009))
</f>
        <v/>
      </c>
      <c r="I4010" s="26"/>
      <c r="J4010" s="26" t="s">
        <v>77</v>
      </c>
      <c r="L4010" s="27" t="s">
        <v>77</v>
      </c>
      <c r="N4010" s="28" t="s">
        <v>77</v>
      </c>
      <c r="Q4010" s="30"/>
    </row>
    <row r="4011">
      <c r="B4011" s="6"/>
      <c r="C4011" s="33" t="str">
        <f t="array" ref="C4011">IF(B4011="", "", XLOOKUP(B4011, Inventory!D:D,Inventory!E:E,"No Name Found"))</f>
        <v/>
      </c>
      <c r="D4011" s="6"/>
      <c r="E4011" s="6"/>
      <c r="F4011" s="6"/>
      <c r="G4011" s="24" t="str">
        <f>IF(F4011="", "", VLOOKUP(F4011, Inventory!A:BZ, 3, FALSE) - SUMIF($F$1:$F4010, F4011, $H$1:$H4010))
</f>
        <v/>
      </c>
      <c r="I4011" s="26"/>
      <c r="J4011" s="26" t="s">
        <v>77</v>
      </c>
      <c r="L4011" s="27" t="s">
        <v>77</v>
      </c>
      <c r="N4011" s="28" t="s">
        <v>77</v>
      </c>
      <c r="Q4011" s="30"/>
    </row>
    <row r="4012">
      <c r="B4012" s="6"/>
      <c r="C4012" s="33" t="str">
        <f t="array" ref="C4012">IF(B4012="", "", XLOOKUP(B4012, Inventory!D:D,Inventory!E:E,"No Name Found"))</f>
        <v/>
      </c>
      <c r="D4012" s="6"/>
      <c r="E4012" s="6"/>
      <c r="F4012" s="6"/>
      <c r="G4012" s="24" t="str">
        <f>IF(F4012="", "", VLOOKUP(F4012, Inventory!A:BZ, 3, FALSE) - SUMIF($F$1:$F4011, F4012, $H$1:$H4011))
</f>
        <v/>
      </c>
      <c r="I4012" s="26"/>
      <c r="J4012" s="26" t="s">
        <v>77</v>
      </c>
      <c r="L4012" s="27" t="s">
        <v>77</v>
      </c>
      <c r="N4012" s="28" t="s">
        <v>77</v>
      </c>
      <c r="Q4012" s="30"/>
    </row>
    <row r="4013">
      <c r="B4013" s="6"/>
      <c r="C4013" s="33" t="str">
        <f t="array" ref="C4013">IF(B4013="", "", XLOOKUP(B4013, Inventory!D:D,Inventory!E:E,"No Name Found"))</f>
        <v/>
      </c>
      <c r="D4013" s="6"/>
      <c r="E4013" s="6"/>
      <c r="F4013" s="6"/>
      <c r="G4013" s="24" t="str">
        <f>IF(F4013="", "", VLOOKUP(F4013, Inventory!A:BZ, 3, FALSE) - SUMIF($F$1:$F4012, F4013, $H$1:$H4012))
</f>
        <v/>
      </c>
      <c r="I4013" s="26"/>
      <c r="J4013" s="26" t="s">
        <v>77</v>
      </c>
      <c r="L4013" s="27" t="s">
        <v>77</v>
      </c>
      <c r="N4013" s="28" t="s">
        <v>77</v>
      </c>
      <c r="Q4013" s="30"/>
    </row>
    <row r="4014">
      <c r="B4014" s="6"/>
      <c r="C4014" s="33" t="str">
        <f t="array" ref="C4014">IF(B4014="", "", XLOOKUP(B4014, Inventory!D:D,Inventory!E:E,"No Name Found"))</f>
        <v/>
      </c>
      <c r="D4014" s="6"/>
      <c r="E4014" s="6"/>
      <c r="F4014" s="6"/>
      <c r="G4014" s="24" t="str">
        <f>IF(F4014="", "", VLOOKUP(F4014, Inventory!A:BZ, 3, FALSE) - SUMIF($F$1:$F4013, F4014, $H$1:$H4013))
</f>
        <v/>
      </c>
      <c r="I4014" s="26"/>
      <c r="J4014" s="26" t="s">
        <v>77</v>
      </c>
      <c r="L4014" s="27" t="s">
        <v>77</v>
      </c>
      <c r="N4014" s="28" t="s">
        <v>77</v>
      </c>
      <c r="Q4014" s="30"/>
    </row>
    <row r="4015">
      <c r="B4015" s="6"/>
      <c r="C4015" s="33" t="str">
        <f t="array" ref="C4015">IF(B4015="", "", XLOOKUP(B4015, Inventory!D:D,Inventory!E:E,"No Name Found"))</f>
        <v/>
      </c>
      <c r="D4015" s="6"/>
      <c r="E4015" s="6"/>
      <c r="F4015" s="6"/>
      <c r="G4015" s="24" t="str">
        <f>IF(F4015="", "", VLOOKUP(F4015, Inventory!A:BZ, 3, FALSE) - SUMIF($F$1:$F4014, F4015, $H$1:$H4014))
</f>
        <v/>
      </c>
      <c r="I4015" s="26"/>
      <c r="J4015" s="26" t="s">
        <v>77</v>
      </c>
      <c r="L4015" s="27" t="s">
        <v>77</v>
      </c>
      <c r="N4015" s="28" t="s">
        <v>77</v>
      </c>
      <c r="Q4015" s="30"/>
    </row>
    <row r="4016">
      <c r="B4016" s="6"/>
      <c r="C4016" s="33" t="str">
        <f t="array" ref="C4016">IF(B4016="", "", XLOOKUP(B4016, Inventory!D:D,Inventory!E:E,"No Name Found"))</f>
        <v/>
      </c>
      <c r="D4016" s="6"/>
      <c r="E4016" s="6"/>
      <c r="F4016" s="6"/>
      <c r="G4016" s="24" t="str">
        <f>IF(F4016="", "", VLOOKUP(F4016, Inventory!A:BZ, 3, FALSE) - SUMIF($F$1:$F4015, F4016, $H$1:$H4015))
</f>
        <v/>
      </c>
      <c r="I4016" s="26"/>
      <c r="J4016" s="26" t="s">
        <v>77</v>
      </c>
      <c r="L4016" s="27" t="s">
        <v>77</v>
      </c>
      <c r="N4016" s="28" t="s">
        <v>77</v>
      </c>
      <c r="Q4016" s="30"/>
    </row>
    <row r="4017">
      <c r="B4017" s="6"/>
      <c r="C4017" s="33" t="str">
        <f t="array" ref="C4017">IF(B4017="", "", XLOOKUP(B4017, Inventory!D:D,Inventory!E:E,"No Name Found"))</f>
        <v/>
      </c>
      <c r="D4017" s="6"/>
      <c r="E4017" s="6"/>
      <c r="F4017" s="6"/>
      <c r="G4017" s="24" t="str">
        <f>IF(F4017="", "", VLOOKUP(F4017, Inventory!A:BZ, 3, FALSE) - SUMIF($F$1:$F4016, F4017, $H$1:$H4016))
</f>
        <v/>
      </c>
      <c r="I4017" s="26"/>
      <c r="J4017" s="26" t="s">
        <v>77</v>
      </c>
      <c r="L4017" s="27" t="s">
        <v>77</v>
      </c>
      <c r="N4017" s="28" t="s">
        <v>77</v>
      </c>
      <c r="Q4017" s="30"/>
    </row>
    <row r="4018">
      <c r="B4018" s="6"/>
      <c r="C4018" s="33" t="str">
        <f t="array" ref="C4018">IF(B4018="", "", XLOOKUP(B4018, Inventory!D:D,Inventory!E:E,"No Name Found"))</f>
        <v/>
      </c>
      <c r="D4018" s="6"/>
      <c r="E4018" s="6"/>
      <c r="F4018" s="6"/>
      <c r="G4018" s="24" t="str">
        <f>IF(F4018="", "", VLOOKUP(F4018, Inventory!A:BZ, 3, FALSE) - SUMIF($F$1:$F4017, F4018, $H$1:$H4017))
</f>
        <v/>
      </c>
      <c r="I4018" s="26"/>
      <c r="J4018" s="26" t="s">
        <v>77</v>
      </c>
      <c r="L4018" s="27" t="s">
        <v>77</v>
      </c>
      <c r="N4018" s="28" t="s">
        <v>77</v>
      </c>
      <c r="Q4018" s="30"/>
    </row>
    <row r="4019">
      <c r="B4019" s="6"/>
      <c r="C4019" s="33" t="str">
        <f t="array" ref="C4019">IF(B4019="", "", XLOOKUP(B4019, Inventory!D:D,Inventory!E:E,"No Name Found"))</f>
        <v/>
      </c>
      <c r="D4019" s="6"/>
      <c r="E4019" s="6"/>
      <c r="F4019" s="6"/>
      <c r="G4019" s="24" t="str">
        <f>IF(F4019="", "", VLOOKUP(F4019, Inventory!A:BZ, 3, FALSE) - SUMIF($F$1:$F4018, F4019, $H$1:$H4018))
</f>
        <v/>
      </c>
      <c r="I4019" s="26"/>
      <c r="J4019" s="26" t="s">
        <v>77</v>
      </c>
      <c r="L4019" s="27" t="s">
        <v>77</v>
      </c>
      <c r="N4019" s="28" t="s">
        <v>77</v>
      </c>
      <c r="Q4019" s="30"/>
    </row>
    <row r="4020">
      <c r="B4020" s="6"/>
      <c r="C4020" s="33" t="str">
        <f t="array" ref="C4020">IF(B4020="", "", XLOOKUP(B4020, Inventory!D:D,Inventory!E:E,"No Name Found"))</f>
        <v/>
      </c>
      <c r="D4020" s="6"/>
      <c r="E4020" s="6"/>
      <c r="F4020" s="6"/>
      <c r="G4020" s="24" t="str">
        <f>IF(F4020="", "", VLOOKUP(F4020, Inventory!A:BZ, 3, FALSE) - SUMIF($F$1:$F4019, F4020, $H$1:$H4019))
</f>
        <v/>
      </c>
      <c r="I4020" s="26"/>
      <c r="J4020" s="26" t="s">
        <v>77</v>
      </c>
      <c r="L4020" s="27" t="s">
        <v>77</v>
      </c>
      <c r="N4020" s="28" t="s">
        <v>77</v>
      </c>
      <c r="Q4020" s="30"/>
    </row>
    <row r="4021">
      <c r="B4021" s="6"/>
      <c r="C4021" s="33" t="str">
        <f t="array" ref="C4021">IF(B4021="", "", XLOOKUP(B4021, Inventory!D:D,Inventory!E:E,"No Name Found"))</f>
        <v/>
      </c>
      <c r="D4021" s="6"/>
      <c r="E4021" s="6"/>
      <c r="F4021" s="6"/>
      <c r="G4021" s="24" t="str">
        <f>IF(F4021="", "", VLOOKUP(F4021, Inventory!A:BZ, 3, FALSE) - SUMIF($F$1:$F4020, F4021, $H$1:$H4020))
</f>
        <v/>
      </c>
      <c r="I4021" s="26"/>
      <c r="J4021" s="26" t="s">
        <v>77</v>
      </c>
      <c r="L4021" s="27" t="s">
        <v>77</v>
      </c>
      <c r="N4021" s="28" t="s">
        <v>77</v>
      </c>
      <c r="Q4021" s="30"/>
    </row>
    <row r="4022">
      <c r="B4022" s="6"/>
      <c r="C4022" s="33" t="str">
        <f t="array" ref="C4022">IF(B4022="", "", XLOOKUP(B4022, Inventory!D:D,Inventory!E:E,"No Name Found"))</f>
        <v/>
      </c>
      <c r="D4022" s="6"/>
      <c r="E4022" s="6"/>
      <c r="F4022" s="6"/>
      <c r="G4022" s="24" t="str">
        <f>IF(F4022="", "", VLOOKUP(F4022, Inventory!A:BZ, 3, FALSE) - SUMIF($F$1:$F4021, F4022, $H$1:$H4021))
</f>
        <v/>
      </c>
      <c r="I4022" s="26"/>
      <c r="J4022" s="26" t="s">
        <v>77</v>
      </c>
      <c r="L4022" s="27" t="s">
        <v>77</v>
      </c>
      <c r="N4022" s="28" t="s">
        <v>77</v>
      </c>
      <c r="Q4022" s="30"/>
    </row>
    <row r="4023">
      <c r="B4023" s="6"/>
      <c r="C4023" s="33" t="str">
        <f t="array" ref="C4023">IF(B4023="", "", XLOOKUP(B4023, Inventory!D:D,Inventory!E:E,"No Name Found"))</f>
        <v/>
      </c>
      <c r="D4023" s="6"/>
      <c r="E4023" s="6"/>
      <c r="F4023" s="6"/>
      <c r="G4023" s="24" t="str">
        <f>IF(F4023="", "", VLOOKUP(F4023, Inventory!A:BZ, 3, FALSE) - SUMIF($F$1:$F4022, F4023, $H$1:$H4022))
</f>
        <v/>
      </c>
      <c r="I4023" s="26"/>
      <c r="J4023" s="26" t="s">
        <v>77</v>
      </c>
      <c r="L4023" s="27" t="s">
        <v>77</v>
      </c>
      <c r="N4023" s="28" t="s">
        <v>77</v>
      </c>
      <c r="Q4023" s="30"/>
    </row>
    <row r="4024">
      <c r="B4024" s="6"/>
      <c r="C4024" s="33" t="str">
        <f t="array" ref="C4024">IF(B4024="", "", XLOOKUP(B4024, Inventory!D:D,Inventory!E:E,"No Name Found"))</f>
        <v/>
      </c>
      <c r="D4024" s="6"/>
      <c r="E4024" s="6"/>
      <c r="F4024" s="6"/>
      <c r="G4024" s="24" t="str">
        <f>IF(F4024="", "", VLOOKUP(F4024, Inventory!A:BZ, 3, FALSE) - SUMIF($F$1:$F4023, F4024, $H$1:$H4023))
</f>
        <v/>
      </c>
      <c r="I4024" s="26"/>
      <c r="J4024" s="26" t="s">
        <v>77</v>
      </c>
      <c r="L4024" s="27" t="s">
        <v>77</v>
      </c>
      <c r="N4024" s="28" t="s">
        <v>77</v>
      </c>
      <c r="Q4024" s="30"/>
    </row>
    <row r="4025">
      <c r="B4025" s="6"/>
      <c r="C4025" s="33" t="str">
        <f t="array" ref="C4025">IF(B4025="", "", XLOOKUP(B4025, Inventory!D:D,Inventory!E:E,"No Name Found"))</f>
        <v/>
      </c>
      <c r="D4025" s="6"/>
      <c r="E4025" s="6"/>
      <c r="F4025" s="6"/>
      <c r="G4025" s="24" t="str">
        <f>IF(F4025="", "", VLOOKUP(F4025, Inventory!A:BZ, 3, FALSE) - SUMIF($F$1:$F4024, F4025, $H$1:$H4024))
</f>
        <v/>
      </c>
      <c r="I4025" s="26"/>
      <c r="J4025" s="26" t="s">
        <v>77</v>
      </c>
      <c r="L4025" s="27" t="s">
        <v>77</v>
      </c>
      <c r="N4025" s="28" t="s">
        <v>77</v>
      </c>
      <c r="Q4025" s="30"/>
    </row>
    <row r="4026">
      <c r="B4026" s="6"/>
      <c r="C4026" s="33" t="str">
        <f t="array" ref="C4026">IF(B4026="", "", XLOOKUP(B4026, Inventory!D:D,Inventory!E:E,"No Name Found"))</f>
        <v/>
      </c>
      <c r="D4026" s="6"/>
      <c r="E4026" s="6"/>
      <c r="F4026" s="6"/>
      <c r="G4026" s="24" t="str">
        <f>IF(F4026="", "", VLOOKUP(F4026, Inventory!A:BZ, 3, FALSE) - SUMIF($F$1:$F4025, F4026, $H$1:$H4025))
</f>
        <v/>
      </c>
      <c r="I4026" s="26"/>
      <c r="J4026" s="26" t="s">
        <v>77</v>
      </c>
      <c r="L4026" s="27" t="s">
        <v>77</v>
      </c>
      <c r="N4026" s="28" t="s">
        <v>77</v>
      </c>
      <c r="Q4026" s="30"/>
    </row>
    <row r="4027">
      <c r="B4027" s="6"/>
      <c r="C4027" s="33" t="str">
        <f t="array" ref="C4027">IF(B4027="", "", XLOOKUP(B4027, Inventory!D:D,Inventory!E:E,"No Name Found"))</f>
        <v/>
      </c>
      <c r="D4027" s="6"/>
      <c r="E4027" s="6"/>
      <c r="F4027" s="6"/>
      <c r="G4027" s="24" t="str">
        <f>IF(F4027="", "", VLOOKUP(F4027, Inventory!A:BZ, 3, FALSE) - SUMIF($F$1:$F4026, F4027, $H$1:$H4026))
</f>
        <v/>
      </c>
      <c r="I4027" s="26"/>
      <c r="J4027" s="26" t="s">
        <v>77</v>
      </c>
      <c r="L4027" s="27" t="s">
        <v>77</v>
      </c>
      <c r="N4027" s="28" t="s">
        <v>77</v>
      </c>
      <c r="Q4027" s="30"/>
    </row>
    <row r="4028">
      <c r="B4028" s="6"/>
      <c r="C4028" s="33" t="str">
        <f t="array" ref="C4028">IF(B4028="", "", XLOOKUP(B4028, Inventory!D:D,Inventory!E:E,"No Name Found"))</f>
        <v/>
      </c>
      <c r="D4028" s="6"/>
      <c r="E4028" s="6"/>
      <c r="F4028" s="6"/>
      <c r="G4028" s="24" t="str">
        <f>IF(F4028="", "", VLOOKUP(F4028, Inventory!A:BZ, 3, FALSE) - SUMIF($F$1:$F4027, F4028, $H$1:$H4027))
</f>
        <v/>
      </c>
      <c r="I4028" s="26"/>
      <c r="J4028" s="26" t="s">
        <v>77</v>
      </c>
      <c r="L4028" s="27" t="s">
        <v>77</v>
      </c>
      <c r="N4028" s="28" t="s">
        <v>77</v>
      </c>
      <c r="Q4028" s="30"/>
    </row>
    <row r="4029">
      <c r="B4029" s="6"/>
      <c r="C4029" s="33" t="str">
        <f t="array" ref="C4029">IF(B4029="", "", XLOOKUP(B4029, Inventory!D:D,Inventory!E:E,"No Name Found"))</f>
        <v/>
      </c>
      <c r="D4029" s="6"/>
      <c r="E4029" s="6"/>
      <c r="F4029" s="6"/>
      <c r="G4029" s="24" t="str">
        <f>IF(F4029="", "", VLOOKUP(F4029, Inventory!A:BZ, 3, FALSE) - SUMIF($F$1:$F4028, F4029, $H$1:$H4028))
</f>
        <v/>
      </c>
      <c r="I4029" s="26"/>
      <c r="J4029" s="26" t="s">
        <v>77</v>
      </c>
      <c r="L4029" s="27" t="s">
        <v>77</v>
      </c>
      <c r="N4029" s="28" t="s">
        <v>77</v>
      </c>
      <c r="Q4029" s="30"/>
    </row>
    <row r="4030">
      <c r="B4030" s="6"/>
      <c r="C4030" s="33" t="str">
        <f t="array" ref="C4030">IF(B4030="", "", XLOOKUP(B4030, Inventory!D:D,Inventory!E:E,"No Name Found"))</f>
        <v/>
      </c>
      <c r="D4030" s="6"/>
      <c r="E4030" s="6"/>
      <c r="F4030" s="6"/>
      <c r="G4030" s="24" t="str">
        <f>IF(F4030="", "", VLOOKUP(F4030, Inventory!A:BZ, 3, FALSE) - SUMIF($F$1:$F4029, F4030, $H$1:$H4029))
</f>
        <v/>
      </c>
      <c r="I4030" s="26"/>
      <c r="J4030" s="26" t="s">
        <v>77</v>
      </c>
      <c r="L4030" s="27" t="s">
        <v>77</v>
      </c>
      <c r="N4030" s="28" t="s">
        <v>77</v>
      </c>
      <c r="Q4030" s="30"/>
    </row>
    <row r="4031">
      <c r="B4031" s="6"/>
      <c r="C4031" s="33" t="str">
        <f t="array" ref="C4031">IF(B4031="", "", XLOOKUP(B4031, Inventory!D:D,Inventory!E:E,"No Name Found"))</f>
        <v/>
      </c>
      <c r="D4031" s="6"/>
      <c r="E4031" s="6"/>
      <c r="F4031" s="6"/>
      <c r="G4031" s="24" t="str">
        <f>IF(F4031="", "", VLOOKUP(F4031, Inventory!A:BZ, 3, FALSE) - SUMIF($F$1:$F4030, F4031, $H$1:$H4030))
</f>
        <v/>
      </c>
      <c r="I4031" s="26"/>
      <c r="J4031" s="26" t="s">
        <v>77</v>
      </c>
      <c r="L4031" s="27" t="s">
        <v>77</v>
      </c>
      <c r="N4031" s="28" t="s">
        <v>77</v>
      </c>
      <c r="Q4031" s="30"/>
    </row>
    <row r="4032">
      <c r="B4032" s="6"/>
      <c r="C4032" s="33" t="str">
        <f t="array" ref="C4032">IF(B4032="", "", XLOOKUP(B4032, Inventory!D:D,Inventory!E:E,"No Name Found"))</f>
        <v/>
      </c>
      <c r="D4032" s="6"/>
      <c r="E4032" s="6"/>
      <c r="F4032" s="6"/>
      <c r="G4032" s="24" t="str">
        <f>IF(F4032="", "", VLOOKUP(F4032, Inventory!A:BZ, 3, FALSE) - SUMIF($F$1:$F4031, F4032, $H$1:$H4031))
</f>
        <v/>
      </c>
      <c r="I4032" s="26"/>
      <c r="J4032" s="26" t="s">
        <v>77</v>
      </c>
      <c r="L4032" s="27" t="s">
        <v>77</v>
      </c>
      <c r="N4032" s="28" t="s">
        <v>77</v>
      </c>
      <c r="Q4032" s="30"/>
    </row>
    <row r="4033">
      <c r="B4033" s="6"/>
      <c r="C4033" s="33" t="str">
        <f t="array" ref="C4033">IF(B4033="", "", XLOOKUP(B4033, Inventory!D:D,Inventory!E:E,"No Name Found"))</f>
        <v/>
      </c>
      <c r="D4033" s="6"/>
      <c r="E4033" s="6"/>
      <c r="F4033" s="6"/>
      <c r="G4033" s="24" t="str">
        <f>IF(F4033="", "", VLOOKUP(F4033, Inventory!A:BZ, 3, FALSE) - SUMIF($F$1:$F4032, F4033, $H$1:$H4032))
</f>
        <v/>
      </c>
      <c r="I4033" s="26"/>
      <c r="J4033" s="26" t="s">
        <v>77</v>
      </c>
      <c r="L4033" s="27" t="s">
        <v>77</v>
      </c>
      <c r="N4033" s="28" t="s">
        <v>77</v>
      </c>
      <c r="Q4033" s="30"/>
    </row>
    <row r="4034">
      <c r="B4034" s="6"/>
      <c r="C4034" s="33" t="str">
        <f t="array" ref="C4034">IF(B4034="", "", XLOOKUP(B4034, Inventory!D:D,Inventory!E:E,"No Name Found"))</f>
        <v/>
      </c>
      <c r="D4034" s="6"/>
      <c r="E4034" s="6"/>
      <c r="F4034" s="6"/>
      <c r="G4034" s="24" t="str">
        <f>IF(F4034="", "", VLOOKUP(F4034, Inventory!A:BZ, 3, FALSE) - SUMIF($F$1:$F4033, F4034, $H$1:$H4033))
</f>
        <v/>
      </c>
      <c r="I4034" s="26"/>
      <c r="J4034" s="26" t="s">
        <v>77</v>
      </c>
      <c r="L4034" s="27" t="s">
        <v>77</v>
      </c>
      <c r="N4034" s="28" t="s">
        <v>77</v>
      </c>
      <c r="Q4034" s="30"/>
    </row>
    <row r="4035">
      <c r="B4035" s="6"/>
      <c r="C4035" s="33" t="str">
        <f t="array" ref="C4035">IF(B4035="", "", XLOOKUP(B4035, Inventory!D:D,Inventory!E:E,"No Name Found"))</f>
        <v/>
      </c>
      <c r="D4035" s="6"/>
      <c r="E4035" s="6"/>
      <c r="F4035" s="6"/>
      <c r="G4035" s="24" t="str">
        <f>IF(F4035="", "", VLOOKUP(F4035, Inventory!A:BZ, 3, FALSE) - SUMIF($F$1:$F4034, F4035, $H$1:$H4034))
</f>
        <v/>
      </c>
      <c r="I4035" s="26"/>
      <c r="J4035" s="26" t="s">
        <v>77</v>
      </c>
      <c r="L4035" s="27" t="s">
        <v>77</v>
      </c>
      <c r="N4035" s="28" t="s">
        <v>77</v>
      </c>
      <c r="Q4035" s="30"/>
    </row>
    <row r="4036">
      <c r="B4036" s="6"/>
      <c r="C4036" s="33" t="str">
        <f t="array" ref="C4036">IF(B4036="", "", XLOOKUP(B4036, Inventory!D:D,Inventory!E:E,"No Name Found"))</f>
        <v/>
      </c>
      <c r="D4036" s="6"/>
      <c r="E4036" s="6"/>
      <c r="F4036" s="6"/>
      <c r="G4036" s="24" t="str">
        <f>IF(F4036="", "", VLOOKUP(F4036, Inventory!A:BZ, 3, FALSE) - SUMIF($F$1:$F4035, F4036, $H$1:$H4035))
</f>
        <v/>
      </c>
      <c r="I4036" s="26"/>
      <c r="J4036" s="26" t="s">
        <v>77</v>
      </c>
      <c r="L4036" s="27" t="s">
        <v>77</v>
      </c>
      <c r="N4036" s="28" t="s">
        <v>77</v>
      </c>
      <c r="Q4036" s="30"/>
    </row>
    <row r="4037">
      <c r="B4037" s="6"/>
      <c r="C4037" s="33" t="str">
        <f t="array" ref="C4037">IF(B4037="", "", XLOOKUP(B4037, Inventory!D:D,Inventory!E:E,"No Name Found"))</f>
        <v/>
      </c>
      <c r="D4037" s="6"/>
      <c r="E4037" s="6"/>
      <c r="F4037" s="6"/>
      <c r="G4037" s="24" t="str">
        <f>IF(F4037="", "", VLOOKUP(F4037, Inventory!A:BZ, 3, FALSE) - SUMIF($F$1:$F4036, F4037, $H$1:$H4036))
</f>
        <v/>
      </c>
      <c r="I4037" s="26"/>
      <c r="J4037" s="26" t="s">
        <v>77</v>
      </c>
      <c r="L4037" s="27" t="s">
        <v>77</v>
      </c>
      <c r="N4037" s="28" t="s">
        <v>77</v>
      </c>
      <c r="Q4037" s="30"/>
    </row>
    <row r="4038">
      <c r="B4038" s="6"/>
      <c r="C4038" s="33" t="str">
        <f t="array" ref="C4038">IF(B4038="", "", XLOOKUP(B4038, Inventory!D:D,Inventory!E:E,"No Name Found"))</f>
        <v/>
      </c>
      <c r="D4038" s="6"/>
      <c r="E4038" s="6"/>
      <c r="F4038" s="6"/>
      <c r="G4038" s="24" t="str">
        <f>IF(F4038="", "", VLOOKUP(F4038, Inventory!A:BZ, 3, FALSE) - SUMIF($F$1:$F4037, F4038, $H$1:$H4037))
</f>
        <v/>
      </c>
      <c r="I4038" s="26"/>
      <c r="J4038" s="26" t="s">
        <v>77</v>
      </c>
      <c r="L4038" s="27" t="s">
        <v>77</v>
      </c>
      <c r="N4038" s="28" t="s">
        <v>77</v>
      </c>
      <c r="Q4038" s="30"/>
    </row>
    <row r="4039">
      <c r="B4039" s="6"/>
      <c r="C4039" s="33" t="str">
        <f t="array" ref="C4039">IF(B4039="", "", XLOOKUP(B4039, Inventory!D:D,Inventory!E:E,"No Name Found"))</f>
        <v/>
      </c>
      <c r="D4039" s="6"/>
      <c r="E4039" s="6"/>
      <c r="F4039" s="6"/>
      <c r="G4039" s="24" t="str">
        <f>IF(F4039="", "", VLOOKUP(F4039, Inventory!A:BZ, 3, FALSE) - SUMIF($F$1:$F4038, F4039, $H$1:$H4038))
</f>
        <v/>
      </c>
      <c r="I4039" s="26"/>
      <c r="J4039" s="26" t="s">
        <v>77</v>
      </c>
      <c r="L4039" s="27" t="s">
        <v>77</v>
      </c>
      <c r="N4039" s="28" t="s">
        <v>77</v>
      </c>
      <c r="Q4039" s="30"/>
    </row>
    <row r="4040">
      <c r="B4040" s="6"/>
      <c r="C4040" s="33" t="str">
        <f t="array" ref="C4040">IF(B4040="", "", XLOOKUP(B4040, Inventory!D:D,Inventory!E:E,"No Name Found"))</f>
        <v/>
      </c>
      <c r="D4040" s="6"/>
      <c r="E4040" s="6"/>
      <c r="F4040" s="6"/>
      <c r="G4040" s="24" t="str">
        <f>IF(F4040="", "", VLOOKUP(F4040, Inventory!A:BZ, 3, FALSE) - SUMIF($F$1:$F4039, F4040, $H$1:$H4039))
</f>
        <v/>
      </c>
      <c r="I4040" s="26"/>
      <c r="J4040" s="26" t="s">
        <v>77</v>
      </c>
      <c r="L4040" s="27" t="s">
        <v>77</v>
      </c>
      <c r="N4040" s="28" t="s">
        <v>77</v>
      </c>
      <c r="Q4040" s="30"/>
    </row>
    <row r="4041">
      <c r="B4041" s="6"/>
      <c r="C4041" s="33" t="str">
        <f t="array" ref="C4041">IF(B4041="", "", XLOOKUP(B4041, Inventory!D:D,Inventory!E:E,"No Name Found"))</f>
        <v/>
      </c>
      <c r="D4041" s="6"/>
      <c r="E4041" s="6"/>
      <c r="F4041" s="6"/>
      <c r="G4041" s="24" t="str">
        <f>IF(F4041="", "", VLOOKUP(F4041, Inventory!A:BZ, 3, FALSE) - SUMIF($F$1:$F4040, F4041, $H$1:$H4040))
</f>
        <v/>
      </c>
      <c r="I4041" s="26"/>
      <c r="J4041" s="26" t="s">
        <v>77</v>
      </c>
      <c r="L4041" s="27" t="s">
        <v>77</v>
      </c>
      <c r="N4041" s="28" t="s">
        <v>77</v>
      </c>
      <c r="Q4041" s="30"/>
    </row>
    <row r="4042">
      <c r="B4042" s="6"/>
      <c r="C4042" s="33" t="str">
        <f t="array" ref="C4042">IF(B4042="", "", XLOOKUP(B4042, Inventory!D:D,Inventory!E:E,"No Name Found"))</f>
        <v/>
      </c>
      <c r="D4042" s="6"/>
      <c r="E4042" s="6"/>
      <c r="F4042" s="6"/>
      <c r="G4042" s="24" t="str">
        <f>IF(F4042="", "", VLOOKUP(F4042, Inventory!A:BZ, 3, FALSE) - SUMIF($F$1:$F4041, F4042, $H$1:$H4041))
</f>
        <v/>
      </c>
      <c r="I4042" s="26"/>
      <c r="J4042" s="26" t="s">
        <v>77</v>
      </c>
      <c r="L4042" s="27" t="s">
        <v>77</v>
      </c>
      <c r="N4042" s="28" t="s">
        <v>77</v>
      </c>
      <c r="Q4042" s="30"/>
    </row>
    <row r="4043">
      <c r="B4043" s="6"/>
      <c r="C4043" s="33" t="str">
        <f t="array" ref="C4043">IF(B4043="", "", XLOOKUP(B4043, Inventory!D:D,Inventory!E:E,"No Name Found"))</f>
        <v/>
      </c>
      <c r="D4043" s="6"/>
      <c r="E4043" s="6"/>
      <c r="F4043" s="6"/>
      <c r="G4043" s="24" t="str">
        <f>IF(F4043="", "", VLOOKUP(F4043, Inventory!A:BZ, 3, FALSE) - SUMIF($F$1:$F4042, F4043, $H$1:$H4042))
</f>
        <v/>
      </c>
      <c r="I4043" s="26"/>
      <c r="J4043" s="26" t="s">
        <v>77</v>
      </c>
      <c r="L4043" s="27" t="s">
        <v>77</v>
      </c>
      <c r="N4043" s="28" t="s">
        <v>77</v>
      </c>
      <c r="Q4043" s="30"/>
    </row>
    <row r="4044">
      <c r="B4044" s="6"/>
      <c r="C4044" s="33" t="str">
        <f t="array" ref="C4044">IF(B4044="", "", XLOOKUP(B4044, Inventory!D:D,Inventory!E:E,"No Name Found"))</f>
        <v/>
      </c>
      <c r="D4044" s="6"/>
      <c r="E4044" s="6"/>
      <c r="F4044" s="6"/>
      <c r="G4044" s="24" t="str">
        <f>IF(F4044="", "", VLOOKUP(F4044, Inventory!A:BZ, 3, FALSE) - SUMIF($F$1:$F4043, F4044, $H$1:$H4043))
</f>
        <v/>
      </c>
      <c r="I4044" s="26"/>
      <c r="J4044" s="26" t="s">
        <v>77</v>
      </c>
      <c r="L4044" s="27" t="s">
        <v>77</v>
      </c>
      <c r="N4044" s="28" t="s">
        <v>77</v>
      </c>
      <c r="Q4044" s="30"/>
    </row>
    <row r="4045">
      <c r="B4045" s="6"/>
      <c r="C4045" s="33" t="str">
        <f t="array" ref="C4045">IF(B4045="", "", XLOOKUP(B4045, Inventory!D:D,Inventory!E:E,"No Name Found"))</f>
        <v/>
      </c>
      <c r="D4045" s="6"/>
      <c r="E4045" s="6"/>
      <c r="F4045" s="6"/>
      <c r="G4045" s="24" t="str">
        <f>IF(F4045="", "", VLOOKUP(F4045, Inventory!A:BZ, 3, FALSE) - SUMIF($F$1:$F4044, F4045, $H$1:$H4044))
</f>
        <v/>
      </c>
      <c r="I4045" s="26"/>
      <c r="J4045" s="26" t="s">
        <v>77</v>
      </c>
      <c r="L4045" s="27" t="s">
        <v>77</v>
      </c>
      <c r="N4045" s="28" t="s">
        <v>77</v>
      </c>
      <c r="Q4045" s="30"/>
    </row>
    <row r="4046">
      <c r="B4046" s="6"/>
      <c r="C4046" s="33" t="str">
        <f t="array" ref="C4046">IF(B4046="", "", XLOOKUP(B4046, Inventory!D:D,Inventory!E:E,"No Name Found"))</f>
        <v/>
      </c>
      <c r="D4046" s="6"/>
      <c r="E4046" s="6"/>
      <c r="F4046" s="6"/>
      <c r="G4046" s="24" t="str">
        <f>IF(F4046="", "", VLOOKUP(F4046, Inventory!A:BZ, 3, FALSE) - SUMIF($F$1:$F4045, F4046, $H$1:$H4045))
</f>
        <v/>
      </c>
      <c r="I4046" s="26"/>
      <c r="J4046" s="26" t="s">
        <v>77</v>
      </c>
      <c r="L4046" s="27" t="s">
        <v>77</v>
      </c>
      <c r="N4046" s="28" t="s">
        <v>77</v>
      </c>
      <c r="Q4046" s="30"/>
    </row>
    <row r="4047">
      <c r="B4047" s="6"/>
      <c r="C4047" s="33" t="str">
        <f t="array" ref="C4047">IF(B4047="", "", XLOOKUP(B4047, Inventory!D:D,Inventory!E:E,"No Name Found"))</f>
        <v/>
      </c>
      <c r="D4047" s="6"/>
      <c r="E4047" s="6"/>
      <c r="F4047" s="6"/>
      <c r="G4047" s="24" t="str">
        <f>IF(F4047="", "", VLOOKUP(F4047, Inventory!A:BZ, 3, FALSE) - SUMIF($F$1:$F4046, F4047, $H$1:$H4046))
</f>
        <v/>
      </c>
      <c r="I4047" s="26"/>
      <c r="J4047" s="26" t="s">
        <v>77</v>
      </c>
      <c r="L4047" s="27" t="s">
        <v>77</v>
      </c>
      <c r="N4047" s="28" t="s">
        <v>77</v>
      </c>
      <c r="Q4047" s="30"/>
    </row>
    <row r="4048">
      <c r="B4048" s="6"/>
      <c r="C4048" s="33" t="str">
        <f t="array" ref="C4048">IF(B4048="", "", XLOOKUP(B4048, Inventory!D:D,Inventory!E:E,"No Name Found"))</f>
        <v/>
      </c>
      <c r="D4048" s="6"/>
      <c r="E4048" s="6"/>
      <c r="F4048" s="6"/>
      <c r="G4048" s="24" t="str">
        <f>IF(F4048="", "", VLOOKUP(F4048, Inventory!A:BZ, 3, FALSE) - SUMIF($F$1:$F4047, F4048, $H$1:$H4047))
</f>
        <v/>
      </c>
      <c r="I4048" s="26"/>
      <c r="J4048" s="26" t="s">
        <v>77</v>
      </c>
      <c r="L4048" s="27" t="s">
        <v>77</v>
      </c>
      <c r="N4048" s="28" t="s">
        <v>77</v>
      </c>
      <c r="Q4048" s="30"/>
    </row>
    <row r="4049">
      <c r="B4049" s="6"/>
      <c r="C4049" s="33" t="str">
        <f t="array" ref="C4049">IF(B4049="", "", XLOOKUP(B4049, Inventory!D:D,Inventory!E:E,"No Name Found"))</f>
        <v/>
      </c>
      <c r="D4049" s="6"/>
      <c r="E4049" s="6"/>
      <c r="F4049" s="6"/>
      <c r="G4049" s="24" t="str">
        <f>IF(F4049="", "", VLOOKUP(F4049, Inventory!A:BZ, 3, FALSE) - SUMIF($F$1:$F4048, F4049, $H$1:$H4048))
</f>
        <v/>
      </c>
      <c r="I4049" s="26"/>
      <c r="J4049" s="26" t="s">
        <v>77</v>
      </c>
      <c r="L4049" s="27" t="s">
        <v>77</v>
      </c>
      <c r="N4049" s="28" t="s">
        <v>77</v>
      </c>
      <c r="Q4049" s="30"/>
    </row>
    <row r="4050">
      <c r="B4050" s="6"/>
      <c r="C4050" s="33" t="str">
        <f t="array" ref="C4050">IF(B4050="", "", XLOOKUP(B4050, Inventory!D:D,Inventory!E:E,"No Name Found"))</f>
        <v/>
      </c>
      <c r="D4050" s="6"/>
      <c r="E4050" s="6"/>
      <c r="F4050" s="6"/>
      <c r="G4050" s="24" t="str">
        <f>IF(F4050="", "", VLOOKUP(F4050, Inventory!A:BZ, 3, FALSE) - SUMIF($F$1:$F4049, F4050, $H$1:$H4049))
</f>
        <v/>
      </c>
      <c r="I4050" s="26"/>
      <c r="J4050" s="26" t="s">
        <v>77</v>
      </c>
      <c r="L4050" s="27" t="s">
        <v>77</v>
      </c>
      <c r="N4050" s="28" t="s">
        <v>77</v>
      </c>
      <c r="Q4050" s="30"/>
    </row>
    <row r="4051">
      <c r="B4051" s="6"/>
      <c r="C4051" s="33" t="str">
        <f t="array" ref="C4051">IF(B4051="", "", XLOOKUP(B4051, Inventory!D:D,Inventory!E:E,"No Name Found"))</f>
        <v/>
      </c>
      <c r="D4051" s="6"/>
      <c r="E4051" s="6"/>
      <c r="F4051" s="6"/>
      <c r="G4051" s="24" t="str">
        <f>IF(F4051="", "", VLOOKUP(F4051, Inventory!A:BZ, 3, FALSE) - SUMIF($F$1:$F4050, F4051, $H$1:$H4050))
</f>
        <v/>
      </c>
      <c r="I4051" s="26"/>
      <c r="J4051" s="26" t="s">
        <v>77</v>
      </c>
      <c r="L4051" s="27" t="s">
        <v>77</v>
      </c>
      <c r="N4051" s="28" t="s">
        <v>77</v>
      </c>
      <c r="Q4051" s="30"/>
    </row>
    <row r="4052">
      <c r="B4052" s="6"/>
      <c r="C4052" s="33" t="str">
        <f t="array" ref="C4052">IF(B4052="", "", XLOOKUP(B4052, Inventory!D:D,Inventory!E:E,"No Name Found"))</f>
        <v/>
      </c>
      <c r="D4052" s="6"/>
      <c r="E4052" s="6"/>
      <c r="F4052" s="6"/>
      <c r="G4052" s="24" t="str">
        <f>IF(F4052="", "", VLOOKUP(F4052, Inventory!A:BZ, 3, FALSE) - SUMIF($F$1:$F4051, F4052, $H$1:$H4051))
</f>
        <v/>
      </c>
      <c r="I4052" s="26"/>
      <c r="J4052" s="26" t="s">
        <v>77</v>
      </c>
      <c r="L4052" s="27" t="s">
        <v>77</v>
      </c>
      <c r="N4052" s="28" t="s">
        <v>77</v>
      </c>
      <c r="Q4052" s="30"/>
    </row>
    <row r="4053">
      <c r="B4053" s="6"/>
      <c r="C4053" s="33" t="str">
        <f t="array" ref="C4053">IF(B4053="", "", XLOOKUP(B4053, Inventory!D:D,Inventory!E:E,"No Name Found"))</f>
        <v/>
      </c>
      <c r="D4053" s="6"/>
      <c r="E4053" s="6"/>
      <c r="F4053" s="6"/>
      <c r="G4053" s="24" t="str">
        <f>IF(F4053="", "", VLOOKUP(F4053, Inventory!A:BZ, 3, FALSE) - SUMIF($F$1:$F4052, F4053, $H$1:$H4052))
</f>
        <v/>
      </c>
      <c r="I4053" s="26"/>
      <c r="J4053" s="26" t="s">
        <v>77</v>
      </c>
      <c r="L4053" s="27" t="s">
        <v>77</v>
      </c>
      <c r="N4053" s="28" t="s">
        <v>77</v>
      </c>
      <c r="Q4053" s="30"/>
    </row>
    <row r="4054">
      <c r="B4054" s="6"/>
      <c r="C4054" s="33" t="str">
        <f t="array" ref="C4054">IF(B4054="", "", XLOOKUP(B4054, Inventory!D:D,Inventory!E:E,"No Name Found"))</f>
        <v/>
      </c>
      <c r="D4054" s="6"/>
      <c r="E4054" s="6"/>
      <c r="F4054" s="6"/>
      <c r="G4054" s="24" t="str">
        <f>IF(F4054="", "", VLOOKUP(F4054, Inventory!A:BZ, 3, FALSE) - SUMIF($F$1:$F4053, F4054, $H$1:$H4053))
</f>
        <v/>
      </c>
      <c r="I4054" s="26"/>
      <c r="J4054" s="26" t="s">
        <v>77</v>
      </c>
      <c r="L4054" s="27" t="s">
        <v>77</v>
      </c>
      <c r="N4054" s="28" t="s">
        <v>77</v>
      </c>
      <c r="Q4054" s="30"/>
    </row>
    <row r="4055">
      <c r="B4055" s="6"/>
      <c r="C4055" s="33" t="str">
        <f t="array" ref="C4055">IF(B4055="", "", XLOOKUP(B4055, Inventory!D:D,Inventory!E:E,"No Name Found"))</f>
        <v/>
      </c>
      <c r="D4055" s="6"/>
      <c r="E4055" s="6"/>
      <c r="F4055" s="6"/>
      <c r="G4055" s="24" t="str">
        <f>IF(F4055="", "", VLOOKUP(F4055, Inventory!A:BZ, 3, FALSE) - SUMIF($F$1:$F4054, F4055, $H$1:$H4054))
</f>
        <v/>
      </c>
      <c r="I4055" s="26"/>
      <c r="J4055" s="26" t="s">
        <v>77</v>
      </c>
      <c r="L4055" s="27" t="s">
        <v>77</v>
      </c>
      <c r="N4055" s="28" t="s">
        <v>77</v>
      </c>
      <c r="Q4055" s="30"/>
    </row>
    <row r="4056">
      <c r="B4056" s="6"/>
      <c r="C4056" s="33" t="str">
        <f t="array" ref="C4056">IF(B4056="", "", XLOOKUP(B4056, Inventory!D:D,Inventory!E:E,"No Name Found"))</f>
        <v/>
      </c>
      <c r="D4056" s="6"/>
      <c r="E4056" s="6"/>
      <c r="F4056" s="6"/>
      <c r="G4056" s="24" t="str">
        <f>IF(F4056="", "", VLOOKUP(F4056, Inventory!A:BZ, 3, FALSE) - SUMIF($F$1:$F4055, F4056, $H$1:$H4055))
</f>
        <v/>
      </c>
      <c r="I4056" s="26"/>
      <c r="J4056" s="26" t="s">
        <v>77</v>
      </c>
      <c r="L4056" s="27" t="s">
        <v>77</v>
      </c>
      <c r="N4056" s="28" t="s">
        <v>77</v>
      </c>
      <c r="Q4056" s="30"/>
    </row>
    <row r="4057">
      <c r="B4057" s="6"/>
      <c r="C4057" s="33" t="str">
        <f t="array" ref="C4057">IF(B4057="", "", XLOOKUP(B4057, Inventory!D:D,Inventory!E:E,"No Name Found"))</f>
        <v/>
      </c>
      <c r="D4057" s="6"/>
      <c r="E4057" s="6"/>
      <c r="F4057" s="6"/>
      <c r="G4057" s="24" t="str">
        <f>IF(F4057="", "", VLOOKUP(F4057, Inventory!A:BZ, 3, FALSE) - SUMIF($F$1:$F4056, F4057, $H$1:$H4056))
</f>
        <v/>
      </c>
      <c r="I4057" s="26"/>
      <c r="J4057" s="26" t="s">
        <v>77</v>
      </c>
      <c r="L4057" s="27" t="s">
        <v>77</v>
      </c>
      <c r="N4057" s="28" t="s">
        <v>77</v>
      </c>
      <c r="Q4057" s="30"/>
    </row>
    <row r="4058">
      <c r="B4058" s="6"/>
      <c r="C4058" s="33" t="str">
        <f t="array" ref="C4058">IF(B4058="", "", XLOOKUP(B4058, Inventory!D:D,Inventory!E:E,"No Name Found"))</f>
        <v/>
      </c>
      <c r="D4058" s="6"/>
      <c r="E4058" s="6"/>
      <c r="F4058" s="6"/>
      <c r="G4058" s="24" t="str">
        <f>IF(F4058="", "", VLOOKUP(F4058, Inventory!A:BZ, 3, FALSE) - SUMIF($F$1:$F4057, F4058, $H$1:$H4057))
</f>
        <v/>
      </c>
      <c r="I4058" s="26"/>
      <c r="J4058" s="26" t="s">
        <v>77</v>
      </c>
      <c r="L4058" s="27" t="s">
        <v>77</v>
      </c>
      <c r="N4058" s="28" t="s">
        <v>77</v>
      </c>
      <c r="Q4058" s="30"/>
    </row>
    <row r="4059">
      <c r="B4059" s="6"/>
      <c r="C4059" s="33" t="str">
        <f t="array" ref="C4059">IF(B4059="", "", XLOOKUP(B4059, Inventory!D:D,Inventory!E:E,"No Name Found"))</f>
        <v/>
      </c>
      <c r="D4059" s="6"/>
      <c r="E4059" s="6"/>
      <c r="F4059" s="6"/>
      <c r="G4059" s="24" t="str">
        <f>IF(F4059="", "", VLOOKUP(F4059, Inventory!A:BZ, 3, FALSE) - SUMIF($F$1:$F4058, F4059, $H$1:$H4058))
</f>
        <v/>
      </c>
      <c r="I4059" s="26"/>
      <c r="J4059" s="26" t="s">
        <v>77</v>
      </c>
      <c r="L4059" s="27" t="s">
        <v>77</v>
      </c>
      <c r="N4059" s="28" t="s">
        <v>77</v>
      </c>
      <c r="Q4059" s="30"/>
    </row>
    <row r="4060">
      <c r="B4060" s="6"/>
      <c r="C4060" s="33" t="str">
        <f t="array" ref="C4060">IF(B4060="", "", XLOOKUP(B4060, Inventory!D:D,Inventory!E:E,"No Name Found"))</f>
        <v/>
      </c>
      <c r="D4060" s="6"/>
      <c r="E4060" s="6"/>
      <c r="F4060" s="6"/>
      <c r="G4060" s="24" t="str">
        <f>IF(F4060="", "", VLOOKUP(F4060, Inventory!A:BZ, 3, FALSE) - SUMIF($F$1:$F4059, F4060, $H$1:$H4059))
</f>
        <v/>
      </c>
      <c r="I4060" s="26"/>
      <c r="J4060" s="26" t="s">
        <v>77</v>
      </c>
      <c r="L4060" s="27" t="s">
        <v>77</v>
      </c>
      <c r="N4060" s="28" t="s">
        <v>77</v>
      </c>
      <c r="Q4060" s="30"/>
    </row>
    <row r="4061">
      <c r="B4061" s="6"/>
      <c r="C4061" s="33" t="str">
        <f t="array" ref="C4061">IF(B4061="", "", XLOOKUP(B4061, Inventory!D:D,Inventory!E:E,"No Name Found"))</f>
        <v/>
      </c>
      <c r="D4061" s="6"/>
      <c r="E4061" s="6"/>
      <c r="F4061" s="6"/>
      <c r="G4061" s="24" t="str">
        <f>IF(F4061="", "", VLOOKUP(F4061, Inventory!A:BZ, 3, FALSE) - SUMIF($F$1:$F4060, F4061, $H$1:$H4060))
</f>
        <v/>
      </c>
      <c r="I4061" s="26"/>
      <c r="J4061" s="26" t="s">
        <v>77</v>
      </c>
      <c r="L4061" s="27" t="s">
        <v>77</v>
      </c>
      <c r="N4061" s="28" t="s">
        <v>77</v>
      </c>
      <c r="Q4061" s="30"/>
    </row>
    <row r="4062">
      <c r="B4062" s="6"/>
      <c r="C4062" s="33" t="str">
        <f t="array" ref="C4062">IF(B4062="", "", XLOOKUP(B4062, Inventory!D:D,Inventory!E:E,"No Name Found"))</f>
        <v/>
      </c>
      <c r="D4062" s="6"/>
      <c r="E4062" s="6"/>
      <c r="F4062" s="6"/>
      <c r="G4062" s="24" t="str">
        <f>IF(F4062="", "", VLOOKUP(F4062, Inventory!A:BZ, 3, FALSE) - SUMIF($F$1:$F4061, F4062, $H$1:$H4061))
</f>
        <v/>
      </c>
      <c r="I4062" s="26"/>
      <c r="J4062" s="26" t="s">
        <v>77</v>
      </c>
      <c r="L4062" s="27" t="s">
        <v>77</v>
      </c>
      <c r="N4062" s="28" t="s">
        <v>77</v>
      </c>
      <c r="Q4062" s="30"/>
    </row>
    <row r="4063">
      <c r="B4063" s="6"/>
      <c r="C4063" s="33" t="str">
        <f t="array" ref="C4063">IF(B4063="", "", XLOOKUP(B4063, Inventory!D:D,Inventory!E:E,"No Name Found"))</f>
        <v/>
      </c>
      <c r="D4063" s="6"/>
      <c r="E4063" s="6"/>
      <c r="F4063" s="6"/>
      <c r="G4063" s="24" t="str">
        <f>IF(F4063="", "", VLOOKUP(F4063, Inventory!A:BZ, 3, FALSE) - SUMIF($F$1:$F4062, F4063, $H$1:$H4062))
</f>
        <v/>
      </c>
      <c r="I4063" s="26"/>
      <c r="J4063" s="26" t="s">
        <v>77</v>
      </c>
      <c r="L4063" s="27" t="s">
        <v>77</v>
      </c>
      <c r="N4063" s="28" t="s">
        <v>77</v>
      </c>
      <c r="Q4063" s="30"/>
    </row>
    <row r="4064">
      <c r="B4064" s="6"/>
      <c r="C4064" s="33" t="str">
        <f t="array" ref="C4064">IF(B4064="", "", XLOOKUP(B4064, Inventory!D:D,Inventory!E:E,"No Name Found"))</f>
        <v/>
      </c>
      <c r="D4064" s="6"/>
      <c r="E4064" s="6"/>
      <c r="F4064" s="6"/>
      <c r="G4064" s="24" t="str">
        <f>IF(F4064="", "", VLOOKUP(F4064, Inventory!A:BZ, 3, FALSE) - SUMIF($F$1:$F4063, F4064, $H$1:$H4063))
</f>
        <v/>
      </c>
      <c r="I4064" s="26"/>
      <c r="J4064" s="26" t="s">
        <v>77</v>
      </c>
      <c r="L4064" s="27" t="s">
        <v>77</v>
      </c>
      <c r="N4064" s="28" t="s">
        <v>77</v>
      </c>
      <c r="Q4064" s="30"/>
    </row>
    <row r="4065">
      <c r="B4065" s="6"/>
      <c r="C4065" s="33" t="str">
        <f t="array" ref="C4065">IF(B4065="", "", XLOOKUP(B4065, Inventory!D:D,Inventory!E:E,"No Name Found"))</f>
        <v/>
      </c>
      <c r="D4065" s="6"/>
      <c r="E4065" s="6"/>
      <c r="F4065" s="6"/>
      <c r="G4065" s="24" t="str">
        <f>IF(F4065="", "", VLOOKUP(F4065, Inventory!A:BZ, 3, FALSE) - SUMIF($F$1:$F4064, F4065, $H$1:$H4064))
</f>
        <v/>
      </c>
      <c r="I4065" s="26"/>
      <c r="J4065" s="26" t="s">
        <v>77</v>
      </c>
      <c r="L4065" s="27" t="s">
        <v>77</v>
      </c>
      <c r="N4065" s="28" t="s">
        <v>77</v>
      </c>
      <c r="Q4065" s="30"/>
    </row>
    <row r="4066">
      <c r="B4066" s="6"/>
      <c r="C4066" s="33" t="str">
        <f t="array" ref="C4066">IF(B4066="", "", XLOOKUP(B4066, Inventory!D:D,Inventory!E:E,"No Name Found"))</f>
        <v/>
      </c>
      <c r="D4066" s="6"/>
      <c r="E4066" s="6"/>
      <c r="F4066" s="6"/>
      <c r="G4066" s="24" t="str">
        <f>IF(F4066="", "", VLOOKUP(F4066, Inventory!A:BZ, 3, FALSE) - SUMIF($F$1:$F4065, F4066, $H$1:$H4065))
</f>
        <v/>
      </c>
      <c r="I4066" s="26"/>
      <c r="J4066" s="26" t="s">
        <v>77</v>
      </c>
      <c r="L4066" s="27" t="s">
        <v>77</v>
      </c>
      <c r="N4066" s="28" t="s">
        <v>77</v>
      </c>
      <c r="Q4066" s="30"/>
    </row>
    <row r="4067">
      <c r="B4067" s="6"/>
      <c r="C4067" s="33" t="str">
        <f t="array" ref="C4067">IF(B4067="", "", XLOOKUP(B4067, Inventory!D:D,Inventory!E:E,"No Name Found"))</f>
        <v/>
      </c>
      <c r="D4067" s="6"/>
      <c r="E4067" s="6"/>
      <c r="F4067" s="6"/>
      <c r="G4067" s="24" t="str">
        <f>IF(F4067="", "", VLOOKUP(F4067, Inventory!A:BZ, 3, FALSE) - SUMIF($F$1:$F4066, F4067, $H$1:$H4066))
</f>
        <v/>
      </c>
      <c r="I4067" s="26"/>
      <c r="J4067" s="26" t="s">
        <v>77</v>
      </c>
      <c r="L4067" s="27" t="s">
        <v>77</v>
      </c>
      <c r="N4067" s="28" t="s">
        <v>77</v>
      </c>
      <c r="Q4067" s="30"/>
    </row>
    <row r="4068">
      <c r="B4068" s="6"/>
      <c r="C4068" s="33" t="str">
        <f t="array" ref="C4068">IF(B4068="", "", XLOOKUP(B4068, Inventory!D:D,Inventory!E:E,"No Name Found"))</f>
        <v/>
      </c>
      <c r="D4068" s="6"/>
      <c r="E4068" s="6"/>
      <c r="F4068" s="6"/>
      <c r="G4068" s="24" t="str">
        <f>IF(F4068="", "", VLOOKUP(F4068, Inventory!A:BZ, 3, FALSE) - SUMIF($F$1:$F4067, F4068, $H$1:$H4067))
</f>
        <v/>
      </c>
      <c r="I4068" s="26"/>
      <c r="J4068" s="26" t="s">
        <v>77</v>
      </c>
      <c r="L4068" s="27" t="s">
        <v>77</v>
      </c>
      <c r="N4068" s="28" t="s">
        <v>77</v>
      </c>
      <c r="Q4068" s="30"/>
    </row>
    <row r="4069">
      <c r="B4069" s="6"/>
      <c r="C4069" s="33" t="str">
        <f t="array" ref="C4069">IF(B4069="", "", XLOOKUP(B4069, Inventory!D:D,Inventory!E:E,"No Name Found"))</f>
        <v/>
      </c>
      <c r="D4069" s="6"/>
      <c r="E4069" s="6"/>
      <c r="F4069" s="6"/>
      <c r="G4069" s="24" t="str">
        <f>IF(F4069="", "", VLOOKUP(F4069, Inventory!A:BZ, 3, FALSE) - SUMIF($F$1:$F4068, F4069, $H$1:$H4068))
</f>
        <v/>
      </c>
      <c r="I4069" s="26"/>
      <c r="J4069" s="26" t="s">
        <v>77</v>
      </c>
      <c r="L4069" s="27" t="s">
        <v>77</v>
      </c>
      <c r="N4069" s="28" t="s">
        <v>77</v>
      </c>
      <c r="Q4069" s="30"/>
    </row>
    <row r="4070">
      <c r="B4070" s="6"/>
      <c r="C4070" s="33" t="str">
        <f t="array" ref="C4070">IF(B4070="", "", XLOOKUP(B4070, Inventory!D:D,Inventory!E:E,"No Name Found"))</f>
        <v/>
      </c>
      <c r="D4070" s="6"/>
      <c r="E4070" s="6"/>
      <c r="F4070" s="6"/>
      <c r="G4070" s="24" t="str">
        <f>IF(F4070="", "", VLOOKUP(F4070, Inventory!A:BZ, 3, FALSE) - SUMIF($F$1:$F4069, F4070, $H$1:$H4069))
</f>
        <v/>
      </c>
      <c r="I4070" s="26"/>
      <c r="J4070" s="26" t="s">
        <v>77</v>
      </c>
      <c r="L4070" s="27" t="s">
        <v>77</v>
      </c>
      <c r="N4070" s="28" t="s">
        <v>77</v>
      </c>
      <c r="Q4070" s="30"/>
    </row>
    <row r="4071">
      <c r="B4071" s="6"/>
      <c r="C4071" s="33" t="str">
        <f t="array" ref="C4071">IF(B4071="", "", XLOOKUP(B4071, Inventory!D:D,Inventory!E:E,"No Name Found"))</f>
        <v/>
      </c>
      <c r="D4071" s="6"/>
      <c r="E4071" s="6"/>
      <c r="F4071" s="6"/>
      <c r="G4071" s="24" t="str">
        <f>IF(F4071="", "", VLOOKUP(F4071, Inventory!A:BZ, 3, FALSE) - SUMIF($F$1:$F4070, F4071, $H$1:$H4070))
</f>
        <v/>
      </c>
      <c r="I4071" s="26"/>
      <c r="J4071" s="26" t="s">
        <v>77</v>
      </c>
      <c r="L4071" s="27" t="s">
        <v>77</v>
      </c>
      <c r="N4071" s="28" t="s">
        <v>77</v>
      </c>
      <c r="Q4071" s="30"/>
    </row>
    <row r="4072">
      <c r="B4072" s="6"/>
      <c r="C4072" s="33" t="str">
        <f t="array" ref="C4072">IF(B4072="", "", XLOOKUP(B4072, Inventory!D:D,Inventory!E:E,"No Name Found"))</f>
        <v/>
      </c>
      <c r="D4072" s="6"/>
      <c r="E4072" s="6"/>
      <c r="F4072" s="6"/>
      <c r="G4072" s="24" t="str">
        <f>IF(F4072="", "", VLOOKUP(F4072, Inventory!A:BZ, 3, FALSE) - SUMIF($F$1:$F4071, F4072, $H$1:$H4071))
</f>
        <v/>
      </c>
      <c r="I4072" s="26"/>
      <c r="J4072" s="26" t="s">
        <v>77</v>
      </c>
      <c r="L4072" s="27" t="s">
        <v>77</v>
      </c>
      <c r="N4072" s="28" t="s">
        <v>77</v>
      </c>
      <c r="Q4072" s="30"/>
    </row>
    <row r="4073">
      <c r="B4073" s="6"/>
      <c r="C4073" s="33" t="str">
        <f t="array" ref="C4073">IF(B4073="", "", XLOOKUP(B4073, Inventory!D:D,Inventory!E:E,"No Name Found"))</f>
        <v/>
      </c>
      <c r="D4073" s="6"/>
      <c r="E4073" s="6"/>
      <c r="F4073" s="6"/>
      <c r="G4073" s="24" t="str">
        <f>IF(F4073="", "", VLOOKUP(F4073, Inventory!A:BZ, 3, FALSE) - SUMIF($F$1:$F4072, F4073, $H$1:$H4072))
</f>
        <v/>
      </c>
      <c r="I4073" s="26"/>
      <c r="J4073" s="26" t="s">
        <v>77</v>
      </c>
      <c r="L4073" s="27" t="s">
        <v>77</v>
      </c>
      <c r="N4073" s="28" t="s">
        <v>77</v>
      </c>
      <c r="Q4073" s="30"/>
    </row>
    <row r="4074">
      <c r="B4074" s="6"/>
      <c r="C4074" s="33" t="str">
        <f t="array" ref="C4074">IF(B4074="", "", XLOOKUP(B4074, Inventory!D:D,Inventory!E:E,"No Name Found"))</f>
        <v/>
      </c>
      <c r="D4074" s="6"/>
      <c r="E4074" s="6"/>
      <c r="F4074" s="6"/>
      <c r="G4074" s="24" t="str">
        <f>IF(F4074="", "", VLOOKUP(F4074, Inventory!A:BZ, 3, FALSE) - SUMIF($F$1:$F4073, F4074, $H$1:$H4073))
</f>
        <v/>
      </c>
      <c r="I4074" s="26"/>
      <c r="J4074" s="26" t="s">
        <v>77</v>
      </c>
      <c r="L4074" s="27" t="s">
        <v>77</v>
      </c>
      <c r="N4074" s="28" t="s">
        <v>77</v>
      </c>
      <c r="Q4074" s="30"/>
    </row>
    <row r="4075">
      <c r="B4075" s="6"/>
      <c r="C4075" s="33" t="str">
        <f t="array" ref="C4075">IF(B4075="", "", XLOOKUP(B4075, Inventory!D:D,Inventory!E:E,"No Name Found"))</f>
        <v/>
      </c>
      <c r="D4075" s="6"/>
      <c r="E4075" s="6"/>
      <c r="F4075" s="6"/>
      <c r="G4075" s="24" t="str">
        <f>IF(F4075="", "", VLOOKUP(F4075, Inventory!A:BZ, 3, FALSE) - SUMIF($F$1:$F4074, F4075, $H$1:$H4074))
</f>
        <v/>
      </c>
      <c r="I4075" s="26"/>
      <c r="J4075" s="26" t="s">
        <v>77</v>
      </c>
      <c r="L4075" s="27" t="s">
        <v>77</v>
      </c>
      <c r="N4075" s="28" t="s">
        <v>77</v>
      </c>
      <c r="Q4075" s="30"/>
    </row>
    <row r="4076">
      <c r="B4076" s="6"/>
      <c r="C4076" s="33" t="str">
        <f t="array" ref="C4076">IF(B4076="", "", XLOOKUP(B4076, Inventory!D:D,Inventory!E:E,"No Name Found"))</f>
        <v/>
      </c>
      <c r="D4076" s="6"/>
      <c r="E4076" s="6"/>
      <c r="F4076" s="6"/>
      <c r="G4076" s="24" t="str">
        <f>IF(F4076="", "", VLOOKUP(F4076, Inventory!A:BZ, 3, FALSE) - SUMIF($F$1:$F4075, F4076, $H$1:$H4075))
</f>
        <v/>
      </c>
      <c r="I4076" s="26"/>
      <c r="J4076" s="26" t="s">
        <v>77</v>
      </c>
      <c r="L4076" s="27" t="s">
        <v>77</v>
      </c>
      <c r="N4076" s="28" t="s">
        <v>77</v>
      </c>
      <c r="Q4076" s="30"/>
    </row>
    <row r="4077">
      <c r="B4077" s="6"/>
      <c r="C4077" s="33" t="str">
        <f t="array" ref="C4077">IF(B4077="", "", XLOOKUP(B4077, Inventory!D:D,Inventory!E:E,"No Name Found"))</f>
        <v/>
      </c>
      <c r="D4077" s="6"/>
      <c r="E4077" s="6"/>
      <c r="F4077" s="6"/>
      <c r="G4077" s="24" t="str">
        <f>IF(F4077="", "", VLOOKUP(F4077, Inventory!A:BZ, 3, FALSE) - SUMIF($F$1:$F4076, F4077, $H$1:$H4076))
</f>
        <v/>
      </c>
      <c r="I4077" s="26"/>
      <c r="J4077" s="26" t="s">
        <v>77</v>
      </c>
      <c r="L4077" s="27" t="s">
        <v>77</v>
      </c>
      <c r="N4077" s="28" t="s">
        <v>77</v>
      </c>
      <c r="Q4077" s="30"/>
    </row>
    <row r="4078">
      <c r="B4078" s="6"/>
      <c r="C4078" s="33" t="str">
        <f t="array" ref="C4078">IF(B4078="", "", XLOOKUP(B4078, Inventory!D:D,Inventory!E:E,"No Name Found"))</f>
        <v/>
      </c>
      <c r="D4078" s="6"/>
      <c r="E4078" s="6"/>
      <c r="F4078" s="6"/>
      <c r="G4078" s="24" t="str">
        <f>IF(F4078="", "", VLOOKUP(F4078, Inventory!A:BZ, 3, FALSE) - SUMIF($F$1:$F4077, F4078, $H$1:$H4077))
</f>
        <v/>
      </c>
      <c r="I4078" s="26"/>
      <c r="J4078" s="26" t="s">
        <v>77</v>
      </c>
      <c r="L4078" s="27" t="s">
        <v>77</v>
      </c>
      <c r="N4078" s="28" t="s">
        <v>77</v>
      </c>
      <c r="Q4078" s="30"/>
    </row>
    <row r="4079">
      <c r="B4079" s="6"/>
      <c r="C4079" s="33" t="str">
        <f t="array" ref="C4079">IF(B4079="", "", XLOOKUP(B4079, Inventory!D:D,Inventory!E:E,"No Name Found"))</f>
        <v/>
      </c>
      <c r="D4079" s="6"/>
      <c r="E4079" s="6"/>
      <c r="F4079" s="6"/>
      <c r="G4079" s="24" t="str">
        <f>IF(F4079="", "", VLOOKUP(F4079, Inventory!A:BZ, 3, FALSE) - SUMIF($F$1:$F4078, F4079, $H$1:$H4078))
</f>
        <v/>
      </c>
      <c r="I4079" s="26"/>
      <c r="J4079" s="26" t="s">
        <v>77</v>
      </c>
      <c r="L4079" s="27" t="s">
        <v>77</v>
      </c>
      <c r="N4079" s="28" t="s">
        <v>77</v>
      </c>
      <c r="Q4079" s="30"/>
    </row>
    <row r="4080">
      <c r="B4080" s="6"/>
      <c r="C4080" s="33" t="str">
        <f t="array" ref="C4080">IF(B4080="", "", XLOOKUP(B4080, Inventory!D:D,Inventory!E:E,"No Name Found"))</f>
        <v/>
      </c>
      <c r="D4080" s="6"/>
      <c r="E4080" s="6"/>
      <c r="F4080" s="6"/>
      <c r="G4080" s="24" t="str">
        <f>IF(F4080="", "", VLOOKUP(F4080, Inventory!A:BZ, 3, FALSE) - SUMIF($F$1:$F4079, F4080, $H$1:$H4079))
</f>
        <v/>
      </c>
      <c r="I4080" s="26"/>
      <c r="J4080" s="26" t="s">
        <v>77</v>
      </c>
      <c r="L4080" s="27" t="s">
        <v>77</v>
      </c>
      <c r="N4080" s="28" t="s">
        <v>77</v>
      </c>
      <c r="Q4080" s="30"/>
    </row>
    <row r="4081">
      <c r="B4081" s="6"/>
      <c r="C4081" s="33" t="str">
        <f t="array" ref="C4081">IF(B4081="", "", XLOOKUP(B4081, Inventory!D:D,Inventory!E:E,"No Name Found"))</f>
        <v/>
      </c>
      <c r="D4081" s="6"/>
      <c r="E4081" s="6"/>
      <c r="F4081" s="6"/>
      <c r="G4081" s="24" t="str">
        <f>IF(F4081="", "", VLOOKUP(F4081, Inventory!A:BZ, 3, FALSE) - SUMIF($F$1:$F4080, F4081, $H$1:$H4080))
</f>
        <v/>
      </c>
      <c r="I4081" s="26"/>
      <c r="J4081" s="26" t="s">
        <v>77</v>
      </c>
      <c r="L4081" s="27" t="s">
        <v>77</v>
      </c>
      <c r="N4081" s="28" t="s">
        <v>77</v>
      </c>
      <c r="Q4081" s="30"/>
    </row>
    <row r="4082">
      <c r="B4082" s="6"/>
      <c r="C4082" s="33" t="str">
        <f t="array" ref="C4082">IF(B4082="", "", XLOOKUP(B4082, Inventory!D:D,Inventory!E:E,"No Name Found"))</f>
        <v/>
      </c>
      <c r="D4082" s="6"/>
      <c r="E4082" s="6"/>
      <c r="F4082" s="6"/>
      <c r="G4082" s="24" t="str">
        <f>IF(F4082="", "", VLOOKUP(F4082, Inventory!A:BZ, 3, FALSE) - SUMIF($F$1:$F4081, F4082, $H$1:$H4081))
</f>
        <v/>
      </c>
      <c r="I4082" s="26"/>
      <c r="J4082" s="26" t="s">
        <v>77</v>
      </c>
      <c r="L4082" s="27" t="s">
        <v>77</v>
      </c>
      <c r="N4082" s="28" t="s">
        <v>77</v>
      </c>
      <c r="Q4082" s="30"/>
    </row>
    <row r="4083">
      <c r="B4083" s="6"/>
      <c r="C4083" s="33" t="str">
        <f t="array" ref="C4083">IF(B4083="", "", XLOOKUP(B4083, Inventory!D:D,Inventory!E:E,"No Name Found"))</f>
        <v/>
      </c>
      <c r="D4083" s="6"/>
      <c r="E4083" s="6"/>
      <c r="F4083" s="6"/>
      <c r="G4083" s="24" t="str">
        <f>IF(F4083="", "", VLOOKUP(F4083, Inventory!A:BZ, 3, FALSE) - SUMIF($F$1:$F4082, F4083, $H$1:$H4082))
</f>
        <v/>
      </c>
      <c r="I4083" s="26"/>
      <c r="J4083" s="26" t="s">
        <v>77</v>
      </c>
      <c r="L4083" s="27" t="s">
        <v>77</v>
      </c>
      <c r="N4083" s="28" t="s">
        <v>77</v>
      </c>
      <c r="Q4083" s="30"/>
    </row>
    <row r="4084">
      <c r="B4084" s="6"/>
      <c r="C4084" s="33" t="str">
        <f t="array" ref="C4084">IF(B4084="", "", XLOOKUP(B4084, Inventory!D:D,Inventory!E:E,"No Name Found"))</f>
        <v/>
      </c>
      <c r="D4084" s="6"/>
      <c r="E4084" s="6"/>
      <c r="F4084" s="6"/>
      <c r="G4084" s="24" t="str">
        <f>IF(F4084="", "", VLOOKUP(F4084, Inventory!A:BZ, 3, FALSE) - SUMIF($F$1:$F4083, F4084, $H$1:$H4083))
</f>
        <v/>
      </c>
      <c r="I4084" s="26"/>
      <c r="J4084" s="26" t="s">
        <v>77</v>
      </c>
      <c r="L4084" s="27" t="s">
        <v>77</v>
      </c>
      <c r="N4084" s="28" t="s">
        <v>77</v>
      </c>
      <c r="Q4084" s="30"/>
    </row>
    <row r="4085">
      <c r="B4085" s="6"/>
      <c r="C4085" s="33" t="str">
        <f t="array" ref="C4085">IF(B4085="", "", XLOOKUP(B4085, Inventory!D:D,Inventory!E:E,"No Name Found"))</f>
        <v/>
      </c>
      <c r="D4085" s="6"/>
      <c r="E4085" s="6"/>
      <c r="F4085" s="6"/>
      <c r="G4085" s="24" t="str">
        <f>IF(F4085="", "", VLOOKUP(F4085, Inventory!A:BZ, 3, FALSE) - SUMIF($F$1:$F4084, F4085, $H$1:$H4084))
</f>
        <v/>
      </c>
      <c r="I4085" s="26"/>
      <c r="J4085" s="26" t="s">
        <v>77</v>
      </c>
      <c r="L4085" s="27" t="s">
        <v>77</v>
      </c>
      <c r="N4085" s="28" t="s">
        <v>77</v>
      </c>
      <c r="Q4085" s="30"/>
    </row>
    <row r="4086">
      <c r="B4086" s="6"/>
      <c r="C4086" s="33" t="str">
        <f t="array" ref="C4086">IF(B4086="", "", XLOOKUP(B4086, Inventory!D:D,Inventory!E:E,"No Name Found"))</f>
        <v/>
      </c>
      <c r="D4086" s="6"/>
      <c r="E4086" s="6"/>
      <c r="F4086" s="6"/>
      <c r="G4086" s="24" t="str">
        <f>IF(F4086="", "", VLOOKUP(F4086, Inventory!A:BZ, 3, FALSE) - SUMIF($F$1:$F4085, F4086, $H$1:$H4085))
</f>
        <v/>
      </c>
      <c r="I4086" s="26"/>
      <c r="J4086" s="26" t="s">
        <v>77</v>
      </c>
      <c r="L4086" s="27" t="s">
        <v>77</v>
      </c>
      <c r="N4086" s="28" t="s">
        <v>77</v>
      </c>
      <c r="Q4086" s="30"/>
    </row>
    <row r="4087">
      <c r="B4087" s="6"/>
      <c r="C4087" s="33" t="str">
        <f t="array" ref="C4087">IF(B4087="", "", XLOOKUP(B4087, Inventory!D:D,Inventory!E:E,"No Name Found"))</f>
        <v/>
      </c>
      <c r="D4087" s="6"/>
      <c r="E4087" s="6"/>
      <c r="F4087" s="6"/>
      <c r="G4087" s="24" t="str">
        <f>IF(F4087="", "", VLOOKUP(F4087, Inventory!A:BZ, 3, FALSE) - SUMIF($F$1:$F4086, F4087, $H$1:$H4086))
</f>
        <v/>
      </c>
      <c r="I4087" s="26"/>
      <c r="J4087" s="26" t="s">
        <v>77</v>
      </c>
      <c r="L4087" s="27" t="s">
        <v>77</v>
      </c>
      <c r="N4087" s="28" t="s">
        <v>77</v>
      </c>
      <c r="Q4087" s="30"/>
    </row>
    <row r="4088">
      <c r="B4088" s="6"/>
      <c r="C4088" s="33" t="str">
        <f t="array" ref="C4088">IF(B4088="", "", XLOOKUP(B4088, Inventory!D:D,Inventory!E:E,"No Name Found"))</f>
        <v/>
      </c>
      <c r="D4088" s="6"/>
      <c r="E4088" s="6"/>
      <c r="F4088" s="6"/>
      <c r="G4088" s="24" t="str">
        <f>IF(F4088="", "", VLOOKUP(F4088, Inventory!A:BZ, 3, FALSE) - SUMIF($F$1:$F4087, F4088, $H$1:$H4087))
</f>
        <v/>
      </c>
      <c r="I4088" s="26"/>
      <c r="J4088" s="26" t="s">
        <v>77</v>
      </c>
      <c r="L4088" s="27" t="s">
        <v>77</v>
      </c>
      <c r="N4088" s="28" t="s">
        <v>77</v>
      </c>
      <c r="Q4088" s="30"/>
    </row>
    <row r="4089">
      <c r="B4089" s="6"/>
      <c r="C4089" s="33" t="str">
        <f t="array" ref="C4089">IF(B4089="", "", XLOOKUP(B4089, Inventory!D:D,Inventory!E:E,"No Name Found"))</f>
        <v/>
      </c>
      <c r="D4089" s="6"/>
      <c r="E4089" s="6"/>
      <c r="F4089" s="6"/>
      <c r="G4089" s="24" t="str">
        <f>IF(F4089="", "", VLOOKUP(F4089, Inventory!A:BZ, 3, FALSE) - SUMIF($F$1:$F4088, F4089, $H$1:$H4088))
</f>
        <v/>
      </c>
      <c r="I4089" s="26"/>
      <c r="J4089" s="26" t="s">
        <v>77</v>
      </c>
      <c r="L4089" s="27" t="s">
        <v>77</v>
      </c>
      <c r="N4089" s="28" t="s">
        <v>77</v>
      </c>
      <c r="Q4089" s="30"/>
    </row>
    <row r="4090">
      <c r="B4090" s="6"/>
      <c r="C4090" s="33" t="str">
        <f t="array" ref="C4090">IF(B4090="", "", XLOOKUP(B4090, Inventory!D:D,Inventory!E:E,"No Name Found"))</f>
        <v/>
      </c>
      <c r="D4090" s="6"/>
      <c r="E4090" s="6"/>
      <c r="F4090" s="6"/>
      <c r="G4090" s="24" t="str">
        <f>IF(F4090="", "", VLOOKUP(F4090, Inventory!A:BZ, 3, FALSE) - SUMIF($F$1:$F4089, F4090, $H$1:$H4089))
</f>
        <v/>
      </c>
      <c r="I4090" s="26"/>
      <c r="J4090" s="26" t="s">
        <v>77</v>
      </c>
      <c r="L4090" s="27" t="s">
        <v>77</v>
      </c>
      <c r="N4090" s="28" t="s">
        <v>77</v>
      </c>
      <c r="Q4090" s="30"/>
    </row>
    <row r="4091">
      <c r="B4091" s="6"/>
      <c r="C4091" s="33" t="str">
        <f t="array" ref="C4091">IF(B4091="", "", XLOOKUP(B4091, Inventory!D:D,Inventory!E:E,"No Name Found"))</f>
        <v/>
      </c>
      <c r="D4091" s="6"/>
      <c r="E4091" s="6"/>
      <c r="F4091" s="6"/>
      <c r="G4091" s="24" t="str">
        <f>IF(F4091="", "", VLOOKUP(F4091, Inventory!A:BZ, 3, FALSE) - SUMIF($F$1:$F4090, F4091, $H$1:$H4090))
</f>
        <v/>
      </c>
      <c r="I4091" s="26"/>
      <c r="J4091" s="26" t="s">
        <v>77</v>
      </c>
      <c r="L4091" s="27" t="s">
        <v>77</v>
      </c>
      <c r="N4091" s="28" t="s">
        <v>77</v>
      </c>
      <c r="Q4091" s="30"/>
    </row>
    <row r="4092">
      <c r="B4092" s="6"/>
      <c r="C4092" s="33" t="str">
        <f t="array" ref="C4092">IF(B4092="", "", XLOOKUP(B4092, Inventory!D:D,Inventory!E:E,"No Name Found"))</f>
        <v/>
      </c>
      <c r="D4092" s="6"/>
      <c r="E4092" s="6"/>
      <c r="F4092" s="6"/>
      <c r="G4092" s="24" t="str">
        <f>IF(F4092="", "", VLOOKUP(F4092, Inventory!A:BZ, 3, FALSE) - SUMIF($F$1:$F4091, F4092, $H$1:$H4091))
</f>
        <v/>
      </c>
      <c r="I4092" s="26"/>
      <c r="J4092" s="26" t="s">
        <v>77</v>
      </c>
      <c r="L4092" s="27" t="s">
        <v>77</v>
      </c>
      <c r="N4092" s="28" t="s">
        <v>77</v>
      </c>
      <c r="Q4092" s="30"/>
    </row>
    <row r="4093">
      <c r="B4093" s="6"/>
      <c r="C4093" s="33" t="str">
        <f t="array" ref="C4093">IF(B4093="", "", XLOOKUP(B4093, Inventory!D:D,Inventory!E:E,"No Name Found"))</f>
        <v/>
      </c>
      <c r="D4093" s="6"/>
      <c r="E4093" s="6"/>
      <c r="F4093" s="6"/>
      <c r="G4093" s="24" t="str">
        <f>IF(F4093="", "", VLOOKUP(F4093, Inventory!A:BZ, 3, FALSE) - SUMIF($F$1:$F4092, F4093, $H$1:$H4092))
</f>
        <v/>
      </c>
      <c r="I4093" s="26"/>
      <c r="J4093" s="26" t="s">
        <v>77</v>
      </c>
      <c r="L4093" s="27" t="s">
        <v>77</v>
      </c>
      <c r="N4093" s="28" t="s">
        <v>77</v>
      </c>
      <c r="Q4093" s="30"/>
    </row>
    <row r="4094">
      <c r="B4094" s="6"/>
      <c r="C4094" s="33" t="str">
        <f t="array" ref="C4094">IF(B4094="", "", XLOOKUP(B4094, Inventory!D:D,Inventory!E:E,"No Name Found"))</f>
        <v/>
      </c>
      <c r="D4094" s="6"/>
      <c r="E4094" s="6"/>
      <c r="F4094" s="6"/>
      <c r="G4094" s="24" t="str">
        <f>IF(F4094="", "", VLOOKUP(F4094, Inventory!A:BZ, 3, FALSE) - SUMIF($F$1:$F4093, F4094, $H$1:$H4093))
</f>
        <v/>
      </c>
      <c r="I4094" s="26"/>
      <c r="J4094" s="26" t="s">
        <v>77</v>
      </c>
      <c r="L4094" s="27" t="s">
        <v>77</v>
      </c>
      <c r="N4094" s="28" t="s">
        <v>77</v>
      </c>
      <c r="Q4094" s="30"/>
    </row>
    <row r="4095">
      <c r="B4095" s="6"/>
      <c r="C4095" s="33" t="str">
        <f t="array" ref="C4095">IF(B4095="", "", XLOOKUP(B4095, Inventory!D:D,Inventory!E:E,"No Name Found"))</f>
        <v/>
      </c>
      <c r="D4095" s="6"/>
      <c r="E4095" s="6"/>
      <c r="F4095" s="6"/>
      <c r="G4095" s="24" t="str">
        <f>IF(F4095="", "", VLOOKUP(F4095, Inventory!A:BZ, 3, FALSE) - SUMIF($F$1:$F4094, F4095, $H$1:$H4094))
</f>
        <v/>
      </c>
      <c r="I4095" s="26"/>
      <c r="J4095" s="26" t="s">
        <v>77</v>
      </c>
      <c r="L4095" s="27" t="s">
        <v>77</v>
      </c>
      <c r="N4095" s="28" t="s">
        <v>77</v>
      </c>
      <c r="Q4095" s="30"/>
    </row>
    <row r="4096">
      <c r="B4096" s="6"/>
      <c r="C4096" s="33" t="str">
        <f t="array" ref="C4096">IF(B4096="", "", XLOOKUP(B4096, Inventory!D:D,Inventory!E:E,"No Name Found"))</f>
        <v/>
      </c>
      <c r="D4096" s="6"/>
      <c r="E4096" s="6"/>
      <c r="F4096" s="6"/>
      <c r="G4096" s="24" t="str">
        <f>IF(F4096="", "", VLOOKUP(F4096, Inventory!A:BZ, 3, FALSE) - SUMIF($F$1:$F4095, F4096, $H$1:$H4095))
</f>
        <v/>
      </c>
      <c r="I4096" s="26"/>
      <c r="J4096" s="26" t="s">
        <v>77</v>
      </c>
      <c r="L4096" s="27" t="s">
        <v>77</v>
      </c>
      <c r="N4096" s="28" t="s">
        <v>77</v>
      </c>
      <c r="Q4096" s="30"/>
    </row>
    <row r="4097">
      <c r="B4097" s="6"/>
      <c r="C4097" s="33" t="str">
        <f t="array" ref="C4097">IF(B4097="", "", XLOOKUP(B4097, Inventory!D:D,Inventory!E:E,"No Name Found"))</f>
        <v/>
      </c>
      <c r="D4097" s="6"/>
      <c r="E4097" s="6"/>
      <c r="F4097" s="6"/>
      <c r="G4097" s="24" t="str">
        <f>IF(F4097="", "", VLOOKUP(F4097, Inventory!A:BZ, 3, FALSE) - SUMIF($F$1:$F4096, F4097, $H$1:$H4096))
</f>
        <v/>
      </c>
      <c r="I4097" s="26"/>
      <c r="J4097" s="26" t="s">
        <v>77</v>
      </c>
      <c r="L4097" s="27" t="s">
        <v>77</v>
      </c>
      <c r="N4097" s="28" t="s">
        <v>77</v>
      </c>
      <c r="Q4097" s="30"/>
    </row>
    <row r="4098">
      <c r="B4098" s="6"/>
      <c r="C4098" s="33" t="str">
        <f t="array" ref="C4098">IF(B4098="", "", XLOOKUP(B4098, Inventory!D:D,Inventory!E:E,"No Name Found"))</f>
        <v/>
      </c>
      <c r="D4098" s="6"/>
      <c r="E4098" s="6"/>
      <c r="F4098" s="6"/>
      <c r="G4098" s="24" t="str">
        <f>IF(F4098="", "", VLOOKUP(F4098, Inventory!A:BZ, 3, FALSE) - SUMIF($F$1:$F4097, F4098, $H$1:$H4097))
</f>
        <v/>
      </c>
      <c r="I4098" s="26"/>
      <c r="J4098" s="26" t="s">
        <v>77</v>
      </c>
      <c r="L4098" s="27" t="s">
        <v>77</v>
      </c>
      <c r="N4098" s="28" t="s">
        <v>77</v>
      </c>
      <c r="Q4098" s="30"/>
    </row>
    <row r="4099">
      <c r="B4099" s="6"/>
      <c r="C4099" s="33" t="str">
        <f t="array" ref="C4099">IF(B4099="", "", XLOOKUP(B4099, Inventory!D:D,Inventory!E:E,"No Name Found"))</f>
        <v/>
      </c>
      <c r="D4099" s="6"/>
      <c r="E4099" s="6"/>
      <c r="F4099" s="6"/>
      <c r="G4099" s="24" t="str">
        <f>IF(F4099="", "", VLOOKUP(F4099, Inventory!A:BZ, 3, FALSE) - SUMIF($F$1:$F4098, F4099, $H$1:$H4098))
</f>
        <v/>
      </c>
      <c r="I4099" s="26"/>
      <c r="J4099" s="26" t="s">
        <v>77</v>
      </c>
      <c r="L4099" s="27" t="s">
        <v>77</v>
      </c>
      <c r="N4099" s="28" t="s">
        <v>77</v>
      </c>
      <c r="Q4099" s="30"/>
    </row>
    <row r="4100">
      <c r="B4100" s="6"/>
      <c r="C4100" s="33" t="str">
        <f t="array" ref="C4100">IF(B4100="", "", XLOOKUP(B4100, Inventory!D:D,Inventory!E:E,"No Name Found"))</f>
        <v/>
      </c>
      <c r="D4100" s="6"/>
      <c r="E4100" s="6"/>
      <c r="F4100" s="6"/>
      <c r="G4100" s="24" t="str">
        <f>IF(F4100="", "", VLOOKUP(F4100, Inventory!A:BZ, 3, FALSE) - SUMIF($F$1:$F4099, F4100, $H$1:$H4099))
</f>
        <v/>
      </c>
      <c r="I4100" s="26"/>
      <c r="J4100" s="26" t="s">
        <v>77</v>
      </c>
      <c r="L4100" s="27" t="s">
        <v>77</v>
      </c>
      <c r="N4100" s="28" t="s">
        <v>77</v>
      </c>
      <c r="Q4100" s="30"/>
    </row>
    <row r="4101">
      <c r="B4101" s="6"/>
      <c r="C4101" s="33" t="str">
        <f t="array" ref="C4101">IF(B4101="", "", XLOOKUP(B4101, Inventory!D:D,Inventory!E:E,"No Name Found"))</f>
        <v/>
      </c>
      <c r="D4101" s="6"/>
      <c r="E4101" s="6"/>
      <c r="F4101" s="6"/>
      <c r="G4101" s="24" t="str">
        <f>IF(F4101="", "", VLOOKUP(F4101, Inventory!A:BZ, 3, FALSE) - SUMIF($F$1:$F4100, F4101, $H$1:$H4100))
</f>
        <v/>
      </c>
      <c r="I4101" s="26"/>
      <c r="J4101" s="26" t="s">
        <v>77</v>
      </c>
      <c r="L4101" s="27" t="s">
        <v>77</v>
      </c>
      <c r="N4101" s="28" t="s">
        <v>77</v>
      </c>
      <c r="Q4101" s="30"/>
    </row>
    <row r="4102">
      <c r="B4102" s="6"/>
      <c r="C4102" s="33" t="str">
        <f t="array" ref="C4102">IF(B4102="", "", XLOOKUP(B4102, Inventory!D:D,Inventory!E:E,"No Name Found"))</f>
        <v/>
      </c>
      <c r="D4102" s="6"/>
      <c r="E4102" s="6"/>
      <c r="F4102" s="6"/>
      <c r="G4102" s="24" t="str">
        <f>IF(F4102="", "", VLOOKUP(F4102, Inventory!A:BZ, 3, FALSE) - SUMIF($F$1:$F4101, F4102, $H$1:$H4101))
</f>
        <v/>
      </c>
      <c r="I4102" s="26"/>
      <c r="J4102" s="26" t="s">
        <v>77</v>
      </c>
      <c r="L4102" s="27" t="s">
        <v>77</v>
      </c>
      <c r="N4102" s="28" t="s">
        <v>77</v>
      </c>
      <c r="Q4102" s="30"/>
    </row>
    <row r="4103">
      <c r="B4103" s="6"/>
      <c r="C4103" s="33" t="str">
        <f t="array" ref="C4103">IF(B4103="", "", XLOOKUP(B4103, Inventory!D:D,Inventory!E:E,"No Name Found"))</f>
        <v/>
      </c>
      <c r="D4103" s="6"/>
      <c r="E4103" s="6"/>
      <c r="F4103" s="6"/>
      <c r="G4103" s="24" t="str">
        <f>IF(F4103="", "", VLOOKUP(F4103, Inventory!A:BZ, 3, FALSE) - SUMIF($F$1:$F4102, F4103, $H$1:$H4102))
</f>
        <v/>
      </c>
      <c r="I4103" s="26"/>
      <c r="J4103" s="26" t="s">
        <v>77</v>
      </c>
      <c r="L4103" s="27" t="s">
        <v>77</v>
      </c>
      <c r="N4103" s="28" t="s">
        <v>77</v>
      </c>
      <c r="Q4103" s="30"/>
    </row>
    <row r="4104">
      <c r="B4104" s="6"/>
      <c r="C4104" s="33" t="str">
        <f t="array" ref="C4104">IF(B4104="", "", XLOOKUP(B4104, Inventory!D:D,Inventory!E:E,"No Name Found"))</f>
        <v/>
      </c>
      <c r="D4104" s="6"/>
      <c r="E4104" s="6"/>
      <c r="F4104" s="6"/>
      <c r="G4104" s="24" t="str">
        <f>IF(F4104="", "", VLOOKUP(F4104, Inventory!A:BZ, 3, FALSE) - SUMIF($F$1:$F4103, F4104, $H$1:$H4103))
</f>
        <v/>
      </c>
      <c r="I4104" s="26"/>
      <c r="J4104" s="26" t="s">
        <v>77</v>
      </c>
      <c r="L4104" s="27" t="s">
        <v>77</v>
      </c>
      <c r="N4104" s="28" t="s">
        <v>77</v>
      </c>
      <c r="Q4104" s="30"/>
    </row>
    <row r="4105">
      <c r="B4105" s="6"/>
      <c r="C4105" s="33" t="str">
        <f t="array" ref="C4105">IF(B4105="", "", XLOOKUP(B4105, Inventory!D:D,Inventory!E:E,"No Name Found"))</f>
        <v/>
      </c>
      <c r="D4105" s="6"/>
      <c r="E4105" s="6"/>
      <c r="F4105" s="6"/>
      <c r="G4105" s="24" t="str">
        <f>IF(F4105="", "", VLOOKUP(F4105, Inventory!A:BZ, 3, FALSE) - SUMIF($F$1:$F4104, F4105, $H$1:$H4104))
</f>
        <v/>
      </c>
      <c r="I4105" s="26"/>
      <c r="J4105" s="26" t="s">
        <v>77</v>
      </c>
      <c r="L4105" s="27" t="s">
        <v>77</v>
      </c>
      <c r="N4105" s="28" t="s">
        <v>77</v>
      </c>
      <c r="Q4105" s="30"/>
    </row>
    <row r="4106">
      <c r="B4106" s="6"/>
      <c r="C4106" s="33" t="str">
        <f t="array" ref="C4106">IF(B4106="", "", XLOOKUP(B4106, Inventory!D:D,Inventory!E:E,"No Name Found"))</f>
        <v/>
      </c>
      <c r="D4106" s="6"/>
      <c r="E4106" s="6"/>
      <c r="F4106" s="6"/>
      <c r="G4106" s="24" t="str">
        <f>IF(F4106="", "", VLOOKUP(F4106, Inventory!A:BZ, 3, FALSE) - SUMIF($F$1:$F4105, F4106, $H$1:$H4105))
</f>
        <v/>
      </c>
      <c r="I4106" s="26"/>
      <c r="J4106" s="26" t="s">
        <v>77</v>
      </c>
      <c r="L4106" s="27" t="s">
        <v>77</v>
      </c>
      <c r="N4106" s="28" t="s">
        <v>77</v>
      </c>
      <c r="Q4106" s="30"/>
    </row>
    <row r="4107">
      <c r="B4107" s="6"/>
      <c r="C4107" s="33" t="str">
        <f t="array" ref="C4107">IF(B4107="", "", XLOOKUP(B4107, Inventory!D:D,Inventory!E:E,"No Name Found"))</f>
        <v/>
      </c>
      <c r="D4107" s="6"/>
      <c r="E4107" s="6"/>
      <c r="F4107" s="6"/>
      <c r="G4107" s="24" t="str">
        <f>IF(F4107="", "", VLOOKUP(F4107, Inventory!A:BZ, 3, FALSE) - SUMIF($F$1:$F4106, F4107, $H$1:$H4106))
</f>
        <v/>
      </c>
      <c r="I4107" s="26"/>
      <c r="J4107" s="26" t="s">
        <v>77</v>
      </c>
      <c r="L4107" s="27" t="s">
        <v>77</v>
      </c>
      <c r="N4107" s="28" t="s">
        <v>77</v>
      </c>
      <c r="Q4107" s="30"/>
    </row>
    <row r="4108">
      <c r="B4108" s="6"/>
      <c r="C4108" s="33" t="str">
        <f t="array" ref="C4108">IF(B4108="", "", XLOOKUP(B4108, Inventory!D:D,Inventory!E:E,"No Name Found"))</f>
        <v/>
      </c>
      <c r="D4108" s="6"/>
      <c r="E4108" s="6"/>
      <c r="F4108" s="6"/>
      <c r="G4108" s="24" t="str">
        <f>IF(F4108="", "", VLOOKUP(F4108, Inventory!A:BZ, 3, FALSE) - SUMIF($F$1:$F4107, F4108, $H$1:$H4107))
</f>
        <v/>
      </c>
      <c r="I4108" s="26"/>
      <c r="J4108" s="26" t="s">
        <v>77</v>
      </c>
      <c r="L4108" s="27" t="s">
        <v>77</v>
      </c>
      <c r="N4108" s="28" t="s">
        <v>77</v>
      </c>
      <c r="Q4108" s="30"/>
    </row>
    <row r="4109">
      <c r="B4109" s="6"/>
      <c r="C4109" s="33" t="str">
        <f t="array" ref="C4109">IF(B4109="", "", XLOOKUP(B4109, Inventory!D:D,Inventory!E:E,"No Name Found"))</f>
        <v/>
      </c>
      <c r="D4109" s="6"/>
      <c r="E4109" s="6"/>
      <c r="F4109" s="6"/>
      <c r="G4109" s="24" t="str">
        <f>IF(F4109="", "", VLOOKUP(F4109, Inventory!A:BZ, 3, FALSE) - SUMIF($F$1:$F4108, F4109, $H$1:$H4108))
</f>
        <v/>
      </c>
      <c r="I4109" s="26"/>
      <c r="J4109" s="26" t="s">
        <v>77</v>
      </c>
      <c r="L4109" s="27" t="s">
        <v>77</v>
      </c>
      <c r="N4109" s="28" t="s">
        <v>77</v>
      </c>
      <c r="Q4109" s="30"/>
    </row>
    <row r="4110">
      <c r="B4110" s="6"/>
      <c r="C4110" s="33" t="str">
        <f t="array" ref="C4110">IF(B4110="", "", XLOOKUP(B4110, Inventory!D:D,Inventory!E:E,"No Name Found"))</f>
        <v/>
      </c>
      <c r="D4110" s="6"/>
      <c r="E4110" s="6"/>
      <c r="F4110" s="6"/>
      <c r="G4110" s="24" t="str">
        <f>IF(F4110="", "", VLOOKUP(F4110, Inventory!A:BZ, 3, FALSE) - SUMIF($F$1:$F4109, F4110, $H$1:$H4109))
</f>
        <v/>
      </c>
      <c r="I4110" s="26"/>
      <c r="J4110" s="26" t="s">
        <v>77</v>
      </c>
      <c r="L4110" s="27" t="s">
        <v>77</v>
      </c>
      <c r="N4110" s="28" t="s">
        <v>77</v>
      </c>
      <c r="Q4110" s="30"/>
    </row>
    <row r="4111">
      <c r="B4111" s="6"/>
      <c r="C4111" s="33" t="str">
        <f t="array" ref="C4111">IF(B4111="", "", XLOOKUP(B4111, Inventory!D:D,Inventory!E:E,"No Name Found"))</f>
        <v/>
      </c>
      <c r="D4111" s="6"/>
      <c r="E4111" s="6"/>
      <c r="F4111" s="6"/>
      <c r="G4111" s="24" t="str">
        <f>IF(F4111="", "", VLOOKUP(F4111, Inventory!A:BZ, 3, FALSE) - SUMIF($F$1:$F4110, F4111, $H$1:$H4110))
</f>
        <v/>
      </c>
      <c r="I4111" s="26"/>
      <c r="J4111" s="26" t="s">
        <v>77</v>
      </c>
      <c r="L4111" s="27" t="s">
        <v>77</v>
      </c>
      <c r="N4111" s="28" t="s">
        <v>77</v>
      </c>
      <c r="Q4111" s="30"/>
    </row>
    <row r="4112">
      <c r="B4112" s="6"/>
      <c r="C4112" s="33" t="str">
        <f t="array" ref="C4112">IF(B4112="", "", XLOOKUP(B4112, Inventory!D:D,Inventory!E:E,"No Name Found"))</f>
        <v/>
      </c>
      <c r="D4112" s="6"/>
      <c r="E4112" s="6"/>
      <c r="F4112" s="6"/>
      <c r="G4112" s="24" t="str">
        <f>IF(F4112="", "", VLOOKUP(F4112, Inventory!A:BZ, 3, FALSE) - SUMIF($F$1:$F4111, F4112, $H$1:$H4111))
</f>
        <v/>
      </c>
      <c r="I4112" s="26"/>
      <c r="J4112" s="26" t="s">
        <v>77</v>
      </c>
      <c r="L4112" s="27" t="s">
        <v>77</v>
      </c>
      <c r="N4112" s="28" t="s">
        <v>77</v>
      </c>
      <c r="Q4112" s="30"/>
    </row>
    <row r="4113">
      <c r="B4113" s="6"/>
      <c r="C4113" s="33" t="str">
        <f t="array" ref="C4113">IF(B4113="", "", XLOOKUP(B4113, Inventory!D:D,Inventory!E:E,"No Name Found"))</f>
        <v/>
      </c>
      <c r="D4113" s="6"/>
      <c r="E4113" s="6"/>
      <c r="F4113" s="6"/>
      <c r="G4113" s="24" t="str">
        <f>IF(F4113="", "", VLOOKUP(F4113, Inventory!A:BZ, 3, FALSE) - SUMIF($F$1:$F4112, F4113, $H$1:$H4112))
</f>
        <v/>
      </c>
      <c r="I4113" s="26"/>
      <c r="J4113" s="26" t="s">
        <v>77</v>
      </c>
      <c r="L4113" s="27" t="s">
        <v>77</v>
      </c>
      <c r="N4113" s="28" t="s">
        <v>77</v>
      </c>
      <c r="Q4113" s="30"/>
    </row>
    <row r="4114">
      <c r="B4114" s="6"/>
      <c r="C4114" s="33" t="str">
        <f t="array" ref="C4114">IF(B4114="", "", XLOOKUP(B4114, Inventory!D:D,Inventory!E:E,"No Name Found"))</f>
        <v/>
      </c>
      <c r="D4114" s="6"/>
      <c r="E4114" s="6"/>
      <c r="F4114" s="6"/>
      <c r="G4114" s="24" t="str">
        <f>IF(F4114="", "", VLOOKUP(F4114, Inventory!A:BZ, 3, FALSE) - SUMIF($F$1:$F4113, F4114, $H$1:$H4113))
</f>
        <v/>
      </c>
      <c r="I4114" s="26"/>
      <c r="J4114" s="26" t="s">
        <v>77</v>
      </c>
      <c r="L4114" s="27" t="s">
        <v>77</v>
      </c>
      <c r="N4114" s="28" t="s">
        <v>77</v>
      </c>
      <c r="Q4114" s="30"/>
    </row>
    <row r="4115">
      <c r="B4115" s="6"/>
      <c r="C4115" s="33" t="str">
        <f t="array" ref="C4115">IF(B4115="", "", XLOOKUP(B4115, Inventory!D:D,Inventory!E:E,"No Name Found"))</f>
        <v/>
      </c>
      <c r="D4115" s="6"/>
      <c r="E4115" s="6"/>
      <c r="F4115" s="6"/>
      <c r="G4115" s="24" t="str">
        <f>IF(F4115="", "", VLOOKUP(F4115, Inventory!A:BZ, 3, FALSE) - SUMIF($F$1:$F4114, F4115, $H$1:$H4114))
</f>
        <v/>
      </c>
      <c r="I4115" s="26"/>
      <c r="J4115" s="26" t="s">
        <v>77</v>
      </c>
      <c r="L4115" s="27" t="s">
        <v>77</v>
      </c>
      <c r="N4115" s="28" t="s">
        <v>77</v>
      </c>
      <c r="Q4115" s="30"/>
    </row>
    <row r="4116">
      <c r="B4116" s="6"/>
      <c r="C4116" s="33" t="str">
        <f t="array" ref="C4116">IF(B4116="", "", XLOOKUP(B4116, Inventory!D:D,Inventory!E:E,"No Name Found"))</f>
        <v/>
      </c>
      <c r="D4116" s="6"/>
      <c r="E4116" s="6"/>
      <c r="F4116" s="6"/>
      <c r="G4116" s="24" t="str">
        <f>IF(F4116="", "", VLOOKUP(F4116, Inventory!A:BZ, 3, FALSE) - SUMIF($F$1:$F4115, F4116, $H$1:$H4115))
</f>
        <v/>
      </c>
      <c r="I4116" s="26"/>
      <c r="J4116" s="26" t="s">
        <v>77</v>
      </c>
      <c r="L4116" s="27" t="s">
        <v>77</v>
      </c>
      <c r="N4116" s="28" t="s">
        <v>77</v>
      </c>
      <c r="Q4116" s="30"/>
    </row>
    <row r="4117">
      <c r="B4117" s="6"/>
      <c r="C4117" s="33" t="str">
        <f t="array" ref="C4117">IF(B4117="", "", XLOOKUP(B4117, Inventory!D:D,Inventory!E:E,"No Name Found"))</f>
        <v/>
      </c>
      <c r="D4117" s="6"/>
      <c r="E4117" s="6"/>
      <c r="F4117" s="6"/>
      <c r="G4117" s="24" t="str">
        <f>IF(F4117="", "", VLOOKUP(F4117, Inventory!A:BZ, 3, FALSE) - SUMIF($F$1:$F4116, F4117, $H$1:$H4116))
</f>
        <v/>
      </c>
      <c r="I4117" s="26"/>
      <c r="J4117" s="26" t="s">
        <v>77</v>
      </c>
      <c r="L4117" s="27" t="s">
        <v>77</v>
      </c>
      <c r="N4117" s="28" t="s">
        <v>77</v>
      </c>
      <c r="Q4117" s="30"/>
    </row>
    <row r="4118">
      <c r="B4118" s="6"/>
      <c r="C4118" s="33" t="str">
        <f t="array" ref="C4118">IF(B4118="", "", XLOOKUP(B4118, Inventory!D:D,Inventory!E:E,"No Name Found"))</f>
        <v/>
      </c>
      <c r="D4118" s="6"/>
      <c r="E4118" s="6"/>
      <c r="F4118" s="6"/>
      <c r="G4118" s="24" t="str">
        <f>IF(F4118="", "", VLOOKUP(F4118, Inventory!A:BZ, 3, FALSE) - SUMIF($F$1:$F4117, F4118, $H$1:$H4117))
</f>
        <v/>
      </c>
      <c r="I4118" s="26"/>
      <c r="J4118" s="26" t="s">
        <v>77</v>
      </c>
      <c r="L4118" s="27" t="s">
        <v>77</v>
      </c>
      <c r="N4118" s="28" t="s">
        <v>77</v>
      </c>
      <c r="Q4118" s="30"/>
    </row>
    <row r="4119">
      <c r="B4119" s="6"/>
      <c r="C4119" s="33" t="str">
        <f t="array" ref="C4119">IF(B4119="", "", XLOOKUP(B4119, Inventory!D:D,Inventory!E:E,"No Name Found"))</f>
        <v/>
      </c>
      <c r="D4119" s="6"/>
      <c r="E4119" s="6"/>
      <c r="F4119" s="6"/>
      <c r="G4119" s="24" t="str">
        <f>IF(F4119="", "", VLOOKUP(F4119, Inventory!A:BZ, 3, FALSE) - SUMIF($F$1:$F4118, F4119, $H$1:$H4118))
</f>
        <v/>
      </c>
      <c r="I4119" s="26"/>
      <c r="J4119" s="26" t="s">
        <v>77</v>
      </c>
      <c r="L4119" s="27" t="s">
        <v>77</v>
      </c>
      <c r="N4119" s="28" t="s">
        <v>77</v>
      </c>
      <c r="Q4119" s="30"/>
    </row>
    <row r="4120">
      <c r="B4120" s="6"/>
      <c r="C4120" s="33" t="str">
        <f t="array" ref="C4120">IF(B4120="", "", XLOOKUP(B4120, Inventory!D:D,Inventory!E:E,"No Name Found"))</f>
        <v/>
      </c>
      <c r="D4120" s="6"/>
      <c r="E4120" s="6"/>
      <c r="F4120" s="6"/>
      <c r="G4120" s="24" t="str">
        <f>IF(F4120="", "", VLOOKUP(F4120, Inventory!A:BZ, 3, FALSE) - SUMIF($F$1:$F4119, F4120, $H$1:$H4119))
</f>
        <v/>
      </c>
      <c r="I4120" s="26"/>
      <c r="J4120" s="26" t="s">
        <v>77</v>
      </c>
      <c r="L4120" s="27" t="s">
        <v>77</v>
      </c>
      <c r="N4120" s="28" t="s">
        <v>77</v>
      </c>
      <c r="Q4120" s="30"/>
    </row>
    <row r="4121">
      <c r="B4121" s="6"/>
      <c r="C4121" s="33" t="str">
        <f t="array" ref="C4121">IF(B4121="", "", XLOOKUP(B4121, Inventory!D:D,Inventory!E:E,"No Name Found"))</f>
        <v/>
      </c>
      <c r="D4121" s="6"/>
      <c r="E4121" s="6"/>
      <c r="F4121" s="6"/>
      <c r="G4121" s="24" t="str">
        <f>IF(F4121="", "", VLOOKUP(F4121, Inventory!A:BZ, 3, FALSE) - SUMIF($F$1:$F4120, F4121, $H$1:$H4120))
</f>
        <v/>
      </c>
      <c r="I4121" s="26"/>
      <c r="J4121" s="26" t="s">
        <v>77</v>
      </c>
      <c r="L4121" s="27" t="s">
        <v>77</v>
      </c>
      <c r="N4121" s="28" t="s">
        <v>77</v>
      </c>
      <c r="Q4121" s="30"/>
    </row>
    <row r="4122">
      <c r="B4122" s="6"/>
      <c r="C4122" s="33" t="str">
        <f t="array" ref="C4122">IF(B4122="", "", XLOOKUP(B4122, Inventory!D:D,Inventory!E:E,"No Name Found"))</f>
        <v/>
      </c>
      <c r="D4122" s="6"/>
      <c r="E4122" s="6"/>
      <c r="F4122" s="6"/>
      <c r="G4122" s="24" t="str">
        <f>IF(F4122="", "", VLOOKUP(F4122, Inventory!A:BZ, 3, FALSE) - SUMIF($F$1:$F4121, F4122, $H$1:$H4121))
</f>
        <v/>
      </c>
      <c r="I4122" s="26"/>
      <c r="J4122" s="26" t="s">
        <v>77</v>
      </c>
      <c r="L4122" s="27" t="s">
        <v>77</v>
      </c>
      <c r="N4122" s="28" t="s">
        <v>77</v>
      </c>
      <c r="Q4122" s="30"/>
    </row>
    <row r="4123">
      <c r="B4123" s="6"/>
      <c r="C4123" s="33" t="str">
        <f t="array" ref="C4123">IF(B4123="", "", XLOOKUP(B4123, Inventory!D:D,Inventory!E:E,"No Name Found"))</f>
        <v/>
      </c>
      <c r="D4123" s="6"/>
      <c r="E4123" s="6"/>
      <c r="F4123" s="6"/>
      <c r="G4123" s="24" t="str">
        <f>IF(F4123="", "", VLOOKUP(F4123, Inventory!A:BZ, 3, FALSE) - SUMIF($F$1:$F4122, F4123, $H$1:$H4122))
</f>
        <v/>
      </c>
      <c r="I4123" s="26"/>
      <c r="J4123" s="26" t="s">
        <v>77</v>
      </c>
      <c r="L4123" s="27" t="s">
        <v>77</v>
      </c>
      <c r="N4123" s="28" t="s">
        <v>77</v>
      </c>
      <c r="Q4123" s="30"/>
    </row>
    <row r="4124">
      <c r="B4124" s="6"/>
      <c r="C4124" s="33" t="str">
        <f t="array" ref="C4124">IF(B4124="", "", XLOOKUP(B4124, Inventory!D:D,Inventory!E:E,"No Name Found"))</f>
        <v/>
      </c>
      <c r="D4124" s="6"/>
      <c r="E4124" s="6"/>
      <c r="F4124" s="6"/>
      <c r="G4124" s="24" t="str">
        <f>IF(F4124="", "", VLOOKUP(F4124, Inventory!A:BZ, 3, FALSE) - SUMIF($F$1:$F4123, F4124, $H$1:$H4123))
</f>
        <v/>
      </c>
      <c r="I4124" s="26"/>
      <c r="J4124" s="26" t="s">
        <v>77</v>
      </c>
      <c r="L4124" s="27" t="s">
        <v>77</v>
      </c>
      <c r="N4124" s="28" t="s">
        <v>77</v>
      </c>
      <c r="Q4124" s="30"/>
    </row>
    <row r="4125">
      <c r="B4125" s="6"/>
      <c r="C4125" s="33" t="str">
        <f t="array" ref="C4125">IF(B4125="", "", XLOOKUP(B4125, Inventory!D:D,Inventory!E:E,"No Name Found"))</f>
        <v/>
      </c>
      <c r="D4125" s="6"/>
      <c r="E4125" s="6"/>
      <c r="F4125" s="6"/>
      <c r="G4125" s="24" t="str">
        <f>IF(F4125="", "", VLOOKUP(F4125, Inventory!A:BZ, 3, FALSE) - SUMIF($F$1:$F4124, F4125, $H$1:$H4124))
</f>
        <v/>
      </c>
      <c r="I4125" s="26"/>
      <c r="J4125" s="26" t="s">
        <v>77</v>
      </c>
      <c r="L4125" s="27" t="s">
        <v>77</v>
      </c>
      <c r="N4125" s="28" t="s">
        <v>77</v>
      </c>
      <c r="Q4125" s="30"/>
    </row>
    <row r="4126">
      <c r="B4126" s="6"/>
      <c r="C4126" s="33" t="str">
        <f t="array" ref="C4126">IF(B4126="", "", XLOOKUP(B4126, Inventory!D:D,Inventory!E:E,"No Name Found"))</f>
        <v/>
      </c>
      <c r="D4126" s="6"/>
      <c r="E4126" s="6"/>
      <c r="F4126" s="6"/>
      <c r="G4126" s="24" t="str">
        <f>IF(F4126="", "", VLOOKUP(F4126, Inventory!A:BZ, 3, FALSE) - SUMIF($F$1:$F4125, F4126, $H$1:$H4125))
</f>
        <v/>
      </c>
      <c r="I4126" s="26"/>
      <c r="J4126" s="26" t="s">
        <v>77</v>
      </c>
      <c r="L4126" s="27" t="s">
        <v>77</v>
      </c>
      <c r="N4126" s="28" t="s">
        <v>77</v>
      </c>
      <c r="Q4126" s="30"/>
    </row>
    <row r="4127">
      <c r="B4127" s="6"/>
      <c r="C4127" s="33" t="str">
        <f t="array" ref="C4127">IF(B4127="", "", XLOOKUP(B4127, Inventory!D:D,Inventory!E:E,"No Name Found"))</f>
        <v/>
      </c>
      <c r="D4127" s="6"/>
      <c r="E4127" s="6"/>
      <c r="F4127" s="6"/>
      <c r="G4127" s="24" t="str">
        <f>IF(F4127="", "", VLOOKUP(F4127, Inventory!A:BZ, 3, FALSE) - SUMIF($F$1:$F4126, F4127, $H$1:$H4126))
</f>
        <v/>
      </c>
      <c r="I4127" s="26"/>
      <c r="J4127" s="26" t="s">
        <v>77</v>
      </c>
      <c r="L4127" s="27" t="s">
        <v>77</v>
      </c>
      <c r="N4127" s="28" t="s">
        <v>77</v>
      </c>
      <c r="Q4127" s="30"/>
    </row>
    <row r="4128">
      <c r="B4128" s="6"/>
      <c r="C4128" s="33" t="str">
        <f t="array" ref="C4128">IF(B4128="", "", XLOOKUP(B4128, Inventory!D:D,Inventory!E:E,"No Name Found"))</f>
        <v/>
      </c>
      <c r="D4128" s="6"/>
      <c r="E4128" s="6"/>
      <c r="F4128" s="6"/>
      <c r="G4128" s="24" t="str">
        <f>IF(F4128="", "", VLOOKUP(F4128, Inventory!A:BZ, 3, FALSE) - SUMIF($F$1:$F4127, F4128, $H$1:$H4127))
</f>
        <v/>
      </c>
      <c r="I4128" s="26"/>
      <c r="J4128" s="26" t="s">
        <v>77</v>
      </c>
      <c r="L4128" s="27" t="s">
        <v>77</v>
      </c>
      <c r="N4128" s="28" t="s">
        <v>77</v>
      </c>
      <c r="Q4128" s="30"/>
    </row>
    <row r="4129">
      <c r="B4129" s="6"/>
      <c r="C4129" s="33" t="str">
        <f t="array" ref="C4129">IF(B4129="", "", XLOOKUP(B4129, Inventory!D:D,Inventory!E:E,"No Name Found"))</f>
        <v/>
      </c>
      <c r="D4129" s="6"/>
      <c r="E4129" s="6"/>
      <c r="F4129" s="6"/>
      <c r="G4129" s="24" t="str">
        <f>IF(F4129="", "", VLOOKUP(F4129, Inventory!A:BZ, 3, FALSE) - SUMIF($F$1:$F4128, F4129, $H$1:$H4128))
</f>
        <v/>
      </c>
      <c r="I4129" s="26"/>
      <c r="J4129" s="26" t="s">
        <v>77</v>
      </c>
      <c r="L4129" s="27" t="s">
        <v>77</v>
      </c>
      <c r="N4129" s="28" t="s">
        <v>77</v>
      </c>
      <c r="Q4129" s="30"/>
    </row>
    <row r="4130">
      <c r="B4130" s="6"/>
      <c r="C4130" s="33" t="str">
        <f t="array" ref="C4130">IF(B4130="", "", XLOOKUP(B4130, Inventory!D:D,Inventory!E:E,"No Name Found"))</f>
        <v/>
      </c>
      <c r="D4130" s="6"/>
      <c r="E4130" s="6"/>
      <c r="F4130" s="6"/>
      <c r="G4130" s="24" t="str">
        <f>IF(F4130="", "", VLOOKUP(F4130, Inventory!A:BZ, 3, FALSE) - SUMIF($F$1:$F4129, F4130, $H$1:$H4129))
</f>
        <v/>
      </c>
      <c r="I4130" s="26"/>
      <c r="J4130" s="26" t="s">
        <v>77</v>
      </c>
      <c r="L4130" s="27" t="s">
        <v>77</v>
      </c>
      <c r="N4130" s="28" t="s">
        <v>77</v>
      </c>
      <c r="Q4130" s="30"/>
    </row>
    <row r="4131">
      <c r="B4131" s="6"/>
      <c r="C4131" s="33" t="str">
        <f t="array" ref="C4131">IF(B4131="", "", XLOOKUP(B4131, Inventory!D:D,Inventory!E:E,"No Name Found"))</f>
        <v/>
      </c>
      <c r="D4131" s="6"/>
      <c r="E4131" s="6"/>
      <c r="F4131" s="6"/>
      <c r="G4131" s="24" t="str">
        <f>IF(F4131="", "", VLOOKUP(F4131, Inventory!A:BZ, 3, FALSE) - SUMIF($F$1:$F4130, F4131, $H$1:$H4130))
</f>
        <v/>
      </c>
      <c r="I4131" s="26"/>
      <c r="J4131" s="26" t="s">
        <v>77</v>
      </c>
      <c r="L4131" s="27" t="s">
        <v>77</v>
      </c>
      <c r="N4131" s="28" t="s">
        <v>77</v>
      </c>
      <c r="Q4131" s="30"/>
    </row>
    <row r="4132">
      <c r="B4132" s="6"/>
      <c r="C4132" s="33" t="str">
        <f t="array" ref="C4132">IF(B4132="", "", XLOOKUP(B4132, Inventory!D:D,Inventory!E:E,"No Name Found"))</f>
        <v/>
      </c>
      <c r="D4132" s="6"/>
      <c r="E4132" s="6"/>
      <c r="F4132" s="6"/>
      <c r="G4132" s="24" t="str">
        <f>IF(F4132="", "", VLOOKUP(F4132, Inventory!A:BZ, 3, FALSE) - SUMIF($F$1:$F4131, F4132, $H$1:$H4131))
</f>
        <v/>
      </c>
      <c r="I4132" s="26"/>
      <c r="J4132" s="26" t="s">
        <v>77</v>
      </c>
      <c r="L4132" s="27" t="s">
        <v>77</v>
      </c>
      <c r="N4132" s="28" t="s">
        <v>77</v>
      </c>
      <c r="Q4132" s="30"/>
    </row>
    <row r="4133">
      <c r="B4133" s="6"/>
      <c r="C4133" s="33" t="str">
        <f t="array" ref="C4133">IF(B4133="", "", XLOOKUP(B4133, Inventory!D:D,Inventory!E:E,"No Name Found"))</f>
        <v/>
      </c>
      <c r="D4133" s="6"/>
      <c r="E4133" s="6"/>
      <c r="F4133" s="6"/>
      <c r="G4133" s="24" t="str">
        <f>IF(F4133="", "", VLOOKUP(F4133, Inventory!A:BZ, 3, FALSE) - SUMIF($F$1:$F4132, F4133, $H$1:$H4132))
</f>
        <v/>
      </c>
      <c r="I4133" s="26"/>
      <c r="J4133" s="26" t="s">
        <v>77</v>
      </c>
      <c r="L4133" s="27" t="s">
        <v>77</v>
      </c>
      <c r="N4133" s="28" t="s">
        <v>77</v>
      </c>
      <c r="Q4133" s="30"/>
    </row>
    <row r="4134">
      <c r="B4134" s="6"/>
      <c r="C4134" s="33" t="str">
        <f t="array" ref="C4134">IF(B4134="", "", XLOOKUP(B4134, Inventory!D:D,Inventory!E:E,"No Name Found"))</f>
        <v/>
      </c>
      <c r="D4134" s="6"/>
      <c r="E4134" s="6"/>
      <c r="F4134" s="6"/>
      <c r="G4134" s="24" t="str">
        <f>IF(F4134="", "", VLOOKUP(F4134, Inventory!A:BZ, 3, FALSE) - SUMIF($F$1:$F4133, F4134, $H$1:$H4133))
</f>
        <v/>
      </c>
      <c r="I4134" s="26"/>
      <c r="J4134" s="26" t="s">
        <v>77</v>
      </c>
      <c r="L4134" s="27" t="s">
        <v>77</v>
      </c>
      <c r="N4134" s="28" t="s">
        <v>77</v>
      </c>
      <c r="Q4134" s="30"/>
    </row>
    <row r="4135">
      <c r="B4135" s="6"/>
      <c r="C4135" s="33" t="str">
        <f t="array" ref="C4135">IF(B4135="", "", XLOOKUP(B4135, Inventory!D:D,Inventory!E:E,"No Name Found"))</f>
        <v/>
      </c>
      <c r="D4135" s="6"/>
      <c r="E4135" s="6"/>
      <c r="F4135" s="6"/>
      <c r="G4135" s="24" t="str">
        <f>IF(F4135="", "", VLOOKUP(F4135, Inventory!A:BZ, 3, FALSE) - SUMIF($F$1:$F4134, F4135, $H$1:$H4134))
</f>
        <v/>
      </c>
      <c r="I4135" s="26"/>
      <c r="J4135" s="26" t="s">
        <v>77</v>
      </c>
      <c r="L4135" s="27" t="s">
        <v>77</v>
      </c>
      <c r="N4135" s="28" t="s">
        <v>77</v>
      </c>
      <c r="Q4135" s="30"/>
    </row>
    <row r="4136">
      <c r="B4136" s="6"/>
      <c r="C4136" s="33" t="str">
        <f t="array" ref="C4136">IF(B4136="", "", XLOOKUP(B4136, Inventory!D:D,Inventory!E:E,"No Name Found"))</f>
        <v/>
      </c>
      <c r="D4136" s="6"/>
      <c r="E4136" s="6"/>
      <c r="F4136" s="6"/>
      <c r="G4136" s="24" t="str">
        <f>IF(F4136="", "", VLOOKUP(F4136, Inventory!A:BZ, 3, FALSE) - SUMIF($F$1:$F4135, F4136, $H$1:$H4135))
</f>
        <v/>
      </c>
      <c r="I4136" s="26"/>
      <c r="J4136" s="26" t="s">
        <v>77</v>
      </c>
      <c r="L4136" s="27" t="s">
        <v>77</v>
      </c>
      <c r="N4136" s="28" t="s">
        <v>77</v>
      </c>
      <c r="Q4136" s="30"/>
    </row>
    <row r="4137">
      <c r="B4137" s="6"/>
      <c r="C4137" s="33" t="str">
        <f t="array" ref="C4137">IF(B4137="", "", XLOOKUP(B4137, Inventory!D:D,Inventory!E:E,"No Name Found"))</f>
        <v/>
      </c>
      <c r="D4137" s="6"/>
      <c r="E4137" s="6"/>
      <c r="F4137" s="6"/>
      <c r="G4137" s="24" t="str">
        <f>IF(F4137="", "", VLOOKUP(F4137, Inventory!A:BZ, 3, FALSE) - SUMIF($F$1:$F4136, F4137, $H$1:$H4136))
</f>
        <v/>
      </c>
      <c r="I4137" s="26"/>
      <c r="J4137" s="26" t="s">
        <v>77</v>
      </c>
      <c r="L4137" s="27" t="s">
        <v>77</v>
      </c>
      <c r="N4137" s="28" t="s">
        <v>77</v>
      </c>
      <c r="Q4137" s="30"/>
    </row>
    <row r="4138">
      <c r="B4138" s="6"/>
      <c r="C4138" s="33" t="str">
        <f t="array" ref="C4138">IF(B4138="", "", XLOOKUP(B4138, Inventory!D:D,Inventory!E:E,"No Name Found"))</f>
        <v/>
      </c>
      <c r="D4138" s="6"/>
      <c r="E4138" s="6"/>
      <c r="F4138" s="6"/>
      <c r="G4138" s="24" t="str">
        <f>IF(F4138="", "", VLOOKUP(F4138, Inventory!A:BZ, 3, FALSE) - SUMIF($F$1:$F4137, F4138, $H$1:$H4137))
</f>
        <v/>
      </c>
      <c r="I4138" s="26"/>
      <c r="J4138" s="26" t="s">
        <v>77</v>
      </c>
      <c r="L4138" s="27" t="s">
        <v>77</v>
      </c>
      <c r="N4138" s="28" t="s">
        <v>77</v>
      </c>
      <c r="Q4138" s="30"/>
    </row>
    <row r="4139">
      <c r="B4139" s="6"/>
      <c r="C4139" s="33" t="str">
        <f t="array" ref="C4139">IF(B4139="", "", XLOOKUP(B4139, Inventory!D:D,Inventory!E:E,"No Name Found"))</f>
        <v/>
      </c>
      <c r="D4139" s="6"/>
      <c r="E4139" s="6"/>
      <c r="F4139" s="6"/>
      <c r="G4139" s="24" t="str">
        <f>IF(F4139="", "", VLOOKUP(F4139, Inventory!A:BZ, 3, FALSE) - SUMIF($F$1:$F4138, F4139, $H$1:$H4138))
</f>
        <v/>
      </c>
      <c r="I4139" s="26"/>
      <c r="J4139" s="26" t="s">
        <v>77</v>
      </c>
      <c r="L4139" s="27" t="s">
        <v>77</v>
      </c>
      <c r="N4139" s="28" t="s">
        <v>77</v>
      </c>
      <c r="Q4139" s="30"/>
    </row>
    <row r="4140">
      <c r="B4140" s="6"/>
      <c r="C4140" s="33" t="str">
        <f t="array" ref="C4140">IF(B4140="", "", XLOOKUP(B4140, Inventory!D:D,Inventory!E:E,"No Name Found"))</f>
        <v/>
      </c>
      <c r="D4140" s="6"/>
      <c r="E4140" s="6"/>
      <c r="F4140" s="6"/>
      <c r="G4140" s="24" t="str">
        <f>IF(F4140="", "", VLOOKUP(F4140, Inventory!A:BZ, 3, FALSE) - SUMIF($F$1:$F4139, F4140, $H$1:$H4139))
</f>
        <v/>
      </c>
      <c r="I4140" s="26"/>
      <c r="J4140" s="26" t="s">
        <v>77</v>
      </c>
      <c r="L4140" s="27" t="s">
        <v>77</v>
      </c>
      <c r="N4140" s="28" t="s">
        <v>77</v>
      </c>
      <c r="Q4140" s="30"/>
    </row>
    <row r="4141">
      <c r="B4141" s="6"/>
      <c r="C4141" s="33" t="str">
        <f t="array" ref="C4141">IF(B4141="", "", XLOOKUP(B4141, Inventory!D:D,Inventory!E:E,"No Name Found"))</f>
        <v/>
      </c>
      <c r="D4141" s="6"/>
      <c r="E4141" s="6"/>
      <c r="F4141" s="6"/>
      <c r="G4141" s="24" t="str">
        <f>IF(F4141="", "", VLOOKUP(F4141, Inventory!A:BZ, 3, FALSE) - SUMIF($F$1:$F4140, F4141, $H$1:$H4140))
</f>
        <v/>
      </c>
      <c r="I4141" s="26"/>
      <c r="J4141" s="26" t="s">
        <v>77</v>
      </c>
      <c r="L4141" s="27" t="s">
        <v>77</v>
      </c>
      <c r="N4141" s="28" t="s">
        <v>77</v>
      </c>
      <c r="Q4141" s="30"/>
    </row>
    <row r="4142">
      <c r="B4142" s="6"/>
      <c r="C4142" s="33" t="str">
        <f t="array" ref="C4142">IF(B4142="", "", XLOOKUP(B4142, Inventory!D:D,Inventory!E:E,"No Name Found"))</f>
        <v/>
      </c>
      <c r="D4142" s="6"/>
      <c r="E4142" s="6"/>
      <c r="F4142" s="6"/>
      <c r="G4142" s="24" t="str">
        <f>IF(F4142="", "", VLOOKUP(F4142, Inventory!A:BZ, 3, FALSE) - SUMIF($F$1:$F4141, F4142, $H$1:$H4141))
</f>
        <v/>
      </c>
      <c r="I4142" s="26"/>
      <c r="J4142" s="26" t="s">
        <v>77</v>
      </c>
      <c r="L4142" s="27" t="s">
        <v>77</v>
      </c>
      <c r="N4142" s="28" t="s">
        <v>77</v>
      </c>
      <c r="Q4142" s="30"/>
    </row>
    <row r="4143">
      <c r="B4143" s="6"/>
      <c r="C4143" s="33" t="str">
        <f t="array" ref="C4143">IF(B4143="", "", XLOOKUP(B4143, Inventory!D:D,Inventory!E:E,"No Name Found"))</f>
        <v/>
      </c>
      <c r="D4143" s="6"/>
      <c r="E4143" s="6"/>
      <c r="F4143" s="6"/>
      <c r="G4143" s="24" t="str">
        <f>IF(F4143="", "", VLOOKUP(F4143, Inventory!A:BZ, 3, FALSE) - SUMIF($F$1:$F4142, F4143, $H$1:$H4142))
</f>
        <v/>
      </c>
      <c r="I4143" s="26"/>
      <c r="J4143" s="26" t="s">
        <v>77</v>
      </c>
      <c r="L4143" s="27" t="s">
        <v>77</v>
      </c>
      <c r="N4143" s="28" t="s">
        <v>77</v>
      </c>
      <c r="Q4143" s="30"/>
    </row>
    <row r="4144">
      <c r="B4144" s="6"/>
      <c r="C4144" s="33" t="str">
        <f t="array" ref="C4144">IF(B4144="", "", XLOOKUP(B4144, Inventory!D:D,Inventory!E:E,"No Name Found"))</f>
        <v/>
      </c>
      <c r="D4144" s="6"/>
      <c r="E4144" s="6"/>
      <c r="F4144" s="6"/>
      <c r="G4144" s="24" t="str">
        <f>IF(F4144="", "", VLOOKUP(F4144, Inventory!A:BZ, 3, FALSE) - SUMIF($F$1:$F4143, F4144, $H$1:$H4143))
</f>
        <v/>
      </c>
      <c r="I4144" s="26"/>
      <c r="J4144" s="26" t="s">
        <v>77</v>
      </c>
      <c r="L4144" s="27" t="s">
        <v>77</v>
      </c>
      <c r="N4144" s="28" t="s">
        <v>77</v>
      </c>
      <c r="Q4144" s="30"/>
    </row>
    <row r="4145">
      <c r="B4145" s="6"/>
      <c r="C4145" s="33" t="str">
        <f t="array" ref="C4145">IF(B4145="", "", XLOOKUP(B4145, Inventory!D:D,Inventory!E:E,"No Name Found"))</f>
        <v/>
      </c>
      <c r="D4145" s="6"/>
      <c r="E4145" s="6"/>
      <c r="F4145" s="6"/>
      <c r="G4145" s="24" t="str">
        <f>IF(F4145="", "", VLOOKUP(F4145, Inventory!A:BZ, 3, FALSE) - SUMIF($F$1:$F4144, F4145, $H$1:$H4144))
</f>
        <v/>
      </c>
      <c r="I4145" s="26"/>
      <c r="J4145" s="26" t="s">
        <v>77</v>
      </c>
      <c r="L4145" s="27" t="s">
        <v>77</v>
      </c>
      <c r="N4145" s="28" t="s">
        <v>77</v>
      </c>
      <c r="Q4145" s="30"/>
    </row>
    <row r="4146">
      <c r="B4146" s="6"/>
      <c r="C4146" s="33" t="str">
        <f t="array" ref="C4146">IF(B4146="", "", XLOOKUP(B4146, Inventory!D:D,Inventory!E:E,"No Name Found"))</f>
        <v/>
      </c>
      <c r="D4146" s="6"/>
      <c r="E4146" s="6"/>
      <c r="F4146" s="6"/>
      <c r="G4146" s="24" t="str">
        <f>IF(F4146="", "", VLOOKUP(F4146, Inventory!A:BZ, 3, FALSE) - SUMIF($F$1:$F4145, F4146, $H$1:$H4145))
</f>
        <v/>
      </c>
      <c r="I4146" s="26"/>
      <c r="J4146" s="26" t="s">
        <v>77</v>
      </c>
      <c r="L4146" s="27" t="s">
        <v>77</v>
      </c>
      <c r="N4146" s="28" t="s">
        <v>77</v>
      </c>
      <c r="Q4146" s="30"/>
    </row>
    <row r="4147">
      <c r="B4147" s="6"/>
      <c r="C4147" s="33" t="str">
        <f t="array" ref="C4147">IF(B4147="", "", XLOOKUP(B4147, Inventory!D:D,Inventory!E:E,"No Name Found"))</f>
        <v/>
      </c>
      <c r="D4147" s="6"/>
      <c r="E4147" s="6"/>
      <c r="F4147" s="6"/>
      <c r="G4147" s="24" t="str">
        <f>IF(F4147="", "", VLOOKUP(F4147, Inventory!A:BZ, 3, FALSE) - SUMIF($F$1:$F4146, F4147, $H$1:$H4146))
</f>
        <v/>
      </c>
      <c r="I4147" s="26"/>
      <c r="J4147" s="26" t="s">
        <v>77</v>
      </c>
      <c r="L4147" s="27" t="s">
        <v>77</v>
      </c>
      <c r="N4147" s="28" t="s">
        <v>77</v>
      </c>
      <c r="Q4147" s="30"/>
    </row>
    <row r="4148">
      <c r="B4148" s="6"/>
      <c r="C4148" s="33" t="str">
        <f t="array" ref="C4148">IF(B4148="", "", XLOOKUP(B4148, Inventory!D:D,Inventory!E:E,"No Name Found"))</f>
        <v/>
      </c>
      <c r="D4148" s="6"/>
      <c r="E4148" s="6"/>
      <c r="F4148" s="6"/>
      <c r="G4148" s="24" t="str">
        <f>IF(F4148="", "", VLOOKUP(F4148, Inventory!A:BZ, 3, FALSE) - SUMIF($F$1:$F4147, F4148, $H$1:$H4147))
</f>
        <v/>
      </c>
      <c r="I4148" s="26"/>
      <c r="J4148" s="26" t="s">
        <v>77</v>
      </c>
      <c r="L4148" s="27" t="s">
        <v>77</v>
      </c>
      <c r="N4148" s="28" t="s">
        <v>77</v>
      </c>
      <c r="Q4148" s="30"/>
    </row>
    <row r="4149">
      <c r="B4149" s="6"/>
      <c r="C4149" s="33" t="str">
        <f t="array" ref="C4149">IF(B4149="", "", XLOOKUP(B4149, Inventory!D:D,Inventory!E:E,"No Name Found"))</f>
        <v/>
      </c>
      <c r="D4149" s="6"/>
      <c r="E4149" s="6"/>
      <c r="F4149" s="6"/>
      <c r="G4149" s="24" t="str">
        <f>IF(F4149="", "", VLOOKUP(F4149, Inventory!A:BZ, 3, FALSE) - SUMIF($F$1:$F4148, F4149, $H$1:$H4148))
</f>
        <v/>
      </c>
      <c r="I4149" s="26"/>
      <c r="J4149" s="26" t="s">
        <v>77</v>
      </c>
      <c r="L4149" s="27" t="s">
        <v>77</v>
      </c>
      <c r="N4149" s="28" t="s">
        <v>77</v>
      </c>
      <c r="Q4149" s="30"/>
    </row>
    <row r="4150">
      <c r="B4150" s="6"/>
      <c r="C4150" s="33" t="str">
        <f t="array" ref="C4150">IF(B4150="", "", XLOOKUP(B4150, Inventory!D:D,Inventory!E:E,"No Name Found"))</f>
        <v/>
      </c>
      <c r="D4150" s="6"/>
      <c r="E4150" s="6"/>
      <c r="F4150" s="6"/>
      <c r="G4150" s="24" t="str">
        <f>IF(F4150="", "", VLOOKUP(F4150, Inventory!A:BZ, 3, FALSE) - SUMIF($F$1:$F4149, F4150, $H$1:$H4149))
</f>
        <v/>
      </c>
      <c r="I4150" s="26"/>
      <c r="J4150" s="26" t="s">
        <v>77</v>
      </c>
      <c r="L4150" s="27" t="s">
        <v>77</v>
      </c>
      <c r="N4150" s="28" t="s">
        <v>77</v>
      </c>
      <c r="Q4150" s="30"/>
    </row>
    <row r="4151">
      <c r="B4151" s="6"/>
      <c r="C4151" s="33" t="str">
        <f t="array" ref="C4151">IF(B4151="", "", XLOOKUP(B4151, Inventory!D:D,Inventory!E:E,"No Name Found"))</f>
        <v/>
      </c>
      <c r="D4151" s="6"/>
      <c r="E4151" s="6"/>
      <c r="F4151" s="6"/>
      <c r="G4151" s="24" t="str">
        <f>IF(F4151="", "", VLOOKUP(F4151, Inventory!A:BZ, 3, FALSE) - SUMIF($F$1:$F4150, F4151, $H$1:$H4150))
</f>
        <v/>
      </c>
      <c r="I4151" s="26"/>
      <c r="J4151" s="26" t="s">
        <v>77</v>
      </c>
      <c r="L4151" s="27" t="s">
        <v>77</v>
      </c>
      <c r="N4151" s="28" t="s">
        <v>77</v>
      </c>
      <c r="Q4151" s="30"/>
    </row>
    <row r="4152">
      <c r="B4152" s="6"/>
      <c r="C4152" s="33" t="str">
        <f t="array" ref="C4152">IF(B4152="", "", XLOOKUP(B4152, Inventory!D:D,Inventory!E:E,"No Name Found"))</f>
        <v/>
      </c>
      <c r="D4152" s="6"/>
      <c r="E4152" s="6"/>
      <c r="F4152" s="6"/>
      <c r="G4152" s="24" t="str">
        <f>IF(F4152="", "", VLOOKUP(F4152, Inventory!A:BZ, 3, FALSE) - SUMIF($F$1:$F4151, F4152, $H$1:$H4151))
</f>
        <v/>
      </c>
      <c r="I4152" s="26"/>
      <c r="J4152" s="26" t="s">
        <v>77</v>
      </c>
      <c r="L4152" s="27" t="s">
        <v>77</v>
      </c>
      <c r="N4152" s="28" t="s">
        <v>77</v>
      </c>
      <c r="Q4152" s="30"/>
    </row>
    <row r="4153">
      <c r="B4153" s="6"/>
      <c r="C4153" s="33" t="str">
        <f t="array" ref="C4153">IF(B4153="", "", XLOOKUP(B4153, Inventory!D:D,Inventory!E:E,"No Name Found"))</f>
        <v/>
      </c>
      <c r="D4153" s="6"/>
      <c r="E4153" s="6"/>
      <c r="F4153" s="6"/>
      <c r="G4153" s="24" t="str">
        <f>IF(F4153="", "", VLOOKUP(F4153, Inventory!A:BZ, 3, FALSE) - SUMIF($F$1:$F4152, F4153, $H$1:$H4152))
</f>
        <v/>
      </c>
      <c r="I4153" s="26"/>
      <c r="J4153" s="26" t="s">
        <v>77</v>
      </c>
      <c r="L4153" s="27" t="s">
        <v>77</v>
      </c>
      <c r="N4153" s="28" t="s">
        <v>77</v>
      </c>
      <c r="Q4153" s="30"/>
    </row>
    <row r="4154">
      <c r="B4154" s="6"/>
      <c r="C4154" s="33" t="str">
        <f t="array" ref="C4154">IF(B4154="", "", XLOOKUP(B4154, Inventory!D:D,Inventory!E:E,"No Name Found"))</f>
        <v/>
      </c>
      <c r="D4154" s="6"/>
      <c r="E4154" s="6"/>
      <c r="F4154" s="6"/>
      <c r="G4154" s="24" t="str">
        <f>IF(F4154="", "", VLOOKUP(F4154, Inventory!A:BZ, 3, FALSE) - SUMIF($F$1:$F4153, F4154, $H$1:$H4153))
</f>
        <v/>
      </c>
      <c r="I4154" s="26"/>
      <c r="J4154" s="26" t="s">
        <v>77</v>
      </c>
      <c r="L4154" s="27" t="s">
        <v>77</v>
      </c>
      <c r="N4154" s="28" t="s">
        <v>77</v>
      </c>
      <c r="Q4154" s="30"/>
    </row>
    <row r="4155">
      <c r="B4155" s="6"/>
      <c r="C4155" s="33" t="str">
        <f t="array" ref="C4155">IF(B4155="", "", XLOOKUP(B4155, Inventory!D:D,Inventory!E:E,"No Name Found"))</f>
        <v/>
      </c>
      <c r="D4155" s="6"/>
      <c r="E4155" s="6"/>
      <c r="F4155" s="6"/>
      <c r="G4155" s="24" t="str">
        <f>IF(F4155="", "", VLOOKUP(F4155, Inventory!A:BZ, 3, FALSE) - SUMIF($F$1:$F4154, F4155, $H$1:$H4154))
</f>
        <v/>
      </c>
      <c r="I4155" s="26"/>
      <c r="J4155" s="26" t="s">
        <v>77</v>
      </c>
      <c r="L4155" s="27" t="s">
        <v>77</v>
      </c>
      <c r="N4155" s="28" t="s">
        <v>77</v>
      </c>
      <c r="Q4155" s="30"/>
    </row>
    <row r="4156">
      <c r="B4156" s="6"/>
      <c r="C4156" s="33" t="str">
        <f t="array" ref="C4156">IF(B4156="", "", XLOOKUP(B4156, Inventory!D:D,Inventory!E:E,"No Name Found"))</f>
        <v/>
      </c>
      <c r="D4156" s="6"/>
      <c r="E4156" s="6"/>
      <c r="F4156" s="6"/>
      <c r="G4156" s="24" t="str">
        <f>IF(F4156="", "", VLOOKUP(F4156, Inventory!A:BZ, 3, FALSE) - SUMIF($F$1:$F4155, F4156, $H$1:$H4155))
</f>
        <v/>
      </c>
      <c r="I4156" s="26"/>
      <c r="J4156" s="26" t="s">
        <v>77</v>
      </c>
      <c r="L4156" s="27" t="s">
        <v>77</v>
      </c>
      <c r="N4156" s="28" t="s">
        <v>77</v>
      </c>
      <c r="Q4156" s="30"/>
    </row>
    <row r="4157">
      <c r="B4157" s="6"/>
      <c r="C4157" s="33" t="str">
        <f t="array" ref="C4157">IF(B4157="", "", XLOOKUP(B4157, Inventory!D:D,Inventory!E:E,"No Name Found"))</f>
        <v/>
      </c>
      <c r="D4157" s="6"/>
      <c r="E4157" s="6"/>
      <c r="F4157" s="6"/>
      <c r="G4157" s="24" t="str">
        <f>IF(F4157="", "", VLOOKUP(F4157, Inventory!A:BZ, 3, FALSE) - SUMIF($F$1:$F4156, F4157, $H$1:$H4156))
</f>
        <v/>
      </c>
      <c r="I4157" s="26"/>
      <c r="J4157" s="26" t="s">
        <v>77</v>
      </c>
      <c r="L4157" s="27" t="s">
        <v>77</v>
      </c>
      <c r="N4157" s="28" t="s">
        <v>77</v>
      </c>
      <c r="Q4157" s="30"/>
    </row>
    <row r="4158">
      <c r="B4158" s="6"/>
      <c r="C4158" s="33" t="str">
        <f t="array" ref="C4158">IF(B4158="", "", XLOOKUP(B4158, Inventory!D:D,Inventory!E:E,"No Name Found"))</f>
        <v/>
      </c>
      <c r="D4158" s="6"/>
      <c r="E4158" s="6"/>
      <c r="F4158" s="6"/>
      <c r="G4158" s="24" t="str">
        <f>IF(F4158="", "", VLOOKUP(F4158, Inventory!A:BZ, 3, FALSE) - SUMIF($F$1:$F4157, F4158, $H$1:$H4157))
</f>
        <v/>
      </c>
      <c r="I4158" s="26"/>
      <c r="J4158" s="26" t="s">
        <v>77</v>
      </c>
      <c r="L4158" s="27" t="s">
        <v>77</v>
      </c>
      <c r="N4158" s="28" t="s">
        <v>77</v>
      </c>
      <c r="Q4158" s="30"/>
    </row>
    <row r="4159">
      <c r="B4159" s="6"/>
      <c r="C4159" s="33" t="str">
        <f t="array" ref="C4159">IF(B4159="", "", XLOOKUP(B4159, Inventory!D:D,Inventory!E:E,"No Name Found"))</f>
        <v/>
      </c>
      <c r="D4159" s="6"/>
      <c r="E4159" s="6"/>
      <c r="F4159" s="6"/>
      <c r="G4159" s="24" t="str">
        <f>IF(F4159="", "", VLOOKUP(F4159, Inventory!A:BZ, 3, FALSE) - SUMIF($F$1:$F4158, F4159, $H$1:$H4158))
</f>
        <v/>
      </c>
      <c r="I4159" s="26"/>
      <c r="J4159" s="26" t="s">
        <v>77</v>
      </c>
      <c r="L4159" s="27" t="s">
        <v>77</v>
      </c>
      <c r="N4159" s="28" t="s">
        <v>77</v>
      </c>
      <c r="Q4159" s="30"/>
    </row>
    <row r="4160">
      <c r="B4160" s="6"/>
      <c r="C4160" s="33" t="str">
        <f t="array" ref="C4160">IF(B4160="", "", XLOOKUP(B4160, Inventory!D:D,Inventory!E:E,"No Name Found"))</f>
        <v/>
      </c>
      <c r="D4160" s="6"/>
      <c r="E4160" s="6"/>
      <c r="F4160" s="6"/>
      <c r="G4160" s="24" t="str">
        <f>IF(F4160="", "", VLOOKUP(F4160, Inventory!A:BZ, 3, FALSE) - SUMIF($F$1:$F4159, F4160, $H$1:$H4159))
</f>
        <v/>
      </c>
      <c r="I4160" s="26"/>
      <c r="J4160" s="26" t="s">
        <v>77</v>
      </c>
      <c r="L4160" s="27" t="s">
        <v>77</v>
      </c>
      <c r="N4160" s="28" t="s">
        <v>77</v>
      </c>
      <c r="Q4160" s="30"/>
    </row>
    <row r="4161">
      <c r="B4161" s="6"/>
      <c r="C4161" s="33" t="str">
        <f t="array" ref="C4161">IF(B4161="", "", XLOOKUP(B4161, Inventory!D:D,Inventory!E:E,"No Name Found"))</f>
        <v/>
      </c>
      <c r="D4161" s="6"/>
      <c r="E4161" s="6"/>
      <c r="F4161" s="6"/>
      <c r="G4161" s="24" t="str">
        <f>IF(F4161="", "", VLOOKUP(F4161, Inventory!A:BZ, 3, FALSE) - SUMIF($F$1:$F4160, F4161, $H$1:$H4160))
</f>
        <v/>
      </c>
      <c r="I4161" s="26"/>
      <c r="J4161" s="26" t="s">
        <v>77</v>
      </c>
      <c r="L4161" s="27" t="s">
        <v>77</v>
      </c>
      <c r="N4161" s="28" t="s">
        <v>77</v>
      </c>
      <c r="Q4161" s="30"/>
    </row>
    <row r="4162">
      <c r="B4162" s="6"/>
      <c r="C4162" s="33" t="str">
        <f t="array" ref="C4162">IF(B4162="", "", XLOOKUP(B4162, Inventory!D:D,Inventory!E:E,"No Name Found"))</f>
        <v/>
      </c>
      <c r="D4162" s="6"/>
      <c r="E4162" s="6"/>
      <c r="F4162" s="6"/>
      <c r="G4162" s="24" t="str">
        <f>IF(F4162="", "", VLOOKUP(F4162, Inventory!A:BZ, 3, FALSE) - SUMIF($F$1:$F4161, F4162, $H$1:$H4161))
</f>
        <v/>
      </c>
      <c r="I4162" s="26"/>
      <c r="J4162" s="26" t="s">
        <v>77</v>
      </c>
      <c r="L4162" s="27" t="s">
        <v>77</v>
      </c>
      <c r="N4162" s="28" t="s">
        <v>77</v>
      </c>
      <c r="Q4162" s="30"/>
    </row>
    <row r="4163">
      <c r="B4163" s="6"/>
      <c r="C4163" s="33" t="str">
        <f t="array" ref="C4163">IF(B4163="", "", XLOOKUP(B4163, Inventory!D:D,Inventory!E:E,"No Name Found"))</f>
        <v/>
      </c>
      <c r="D4163" s="6"/>
      <c r="E4163" s="6"/>
      <c r="F4163" s="6"/>
      <c r="G4163" s="24" t="str">
        <f>IF(F4163="", "", VLOOKUP(F4163, Inventory!A:BZ, 3, FALSE) - SUMIF($F$1:$F4162, F4163, $H$1:$H4162))
</f>
        <v/>
      </c>
      <c r="I4163" s="26"/>
      <c r="J4163" s="26" t="s">
        <v>77</v>
      </c>
      <c r="L4163" s="27" t="s">
        <v>77</v>
      </c>
      <c r="N4163" s="28" t="s">
        <v>77</v>
      </c>
      <c r="Q4163" s="30"/>
    </row>
    <row r="4164">
      <c r="B4164" s="6"/>
      <c r="C4164" s="33" t="str">
        <f t="array" ref="C4164">IF(B4164="", "", XLOOKUP(B4164, Inventory!D:D,Inventory!E:E,"No Name Found"))</f>
        <v/>
      </c>
      <c r="D4164" s="6"/>
      <c r="E4164" s="6"/>
      <c r="F4164" s="6"/>
      <c r="G4164" s="24" t="str">
        <f>IF(F4164="", "", VLOOKUP(F4164, Inventory!A:BZ, 3, FALSE) - SUMIF($F$1:$F4163, F4164, $H$1:$H4163))
</f>
        <v/>
      </c>
      <c r="I4164" s="26"/>
      <c r="J4164" s="26" t="s">
        <v>77</v>
      </c>
      <c r="L4164" s="27" t="s">
        <v>77</v>
      </c>
      <c r="N4164" s="28" t="s">
        <v>77</v>
      </c>
      <c r="Q4164" s="30"/>
    </row>
    <row r="4165">
      <c r="B4165" s="6"/>
      <c r="C4165" s="33" t="str">
        <f t="array" ref="C4165">IF(B4165="", "", XLOOKUP(B4165, Inventory!D:D,Inventory!E:E,"No Name Found"))</f>
        <v/>
      </c>
      <c r="D4165" s="6"/>
      <c r="E4165" s="6"/>
      <c r="F4165" s="6"/>
      <c r="G4165" s="24" t="str">
        <f>IF(F4165="", "", VLOOKUP(F4165, Inventory!A:BZ, 3, FALSE) - SUMIF($F$1:$F4164, F4165, $H$1:$H4164))
</f>
        <v/>
      </c>
      <c r="I4165" s="26"/>
      <c r="J4165" s="26" t="s">
        <v>77</v>
      </c>
      <c r="L4165" s="27" t="s">
        <v>77</v>
      </c>
      <c r="N4165" s="28" t="s">
        <v>77</v>
      </c>
      <c r="Q4165" s="30"/>
    </row>
    <row r="4166">
      <c r="B4166" s="6"/>
      <c r="C4166" s="33" t="str">
        <f t="array" ref="C4166">IF(B4166="", "", XLOOKUP(B4166, Inventory!D:D,Inventory!E:E,"No Name Found"))</f>
        <v/>
      </c>
      <c r="D4166" s="6"/>
      <c r="E4166" s="6"/>
      <c r="F4166" s="6"/>
      <c r="G4166" s="24" t="str">
        <f>IF(F4166="", "", VLOOKUP(F4166, Inventory!A:BZ, 3, FALSE) - SUMIF($F$1:$F4165, F4166, $H$1:$H4165))
</f>
        <v/>
      </c>
      <c r="I4166" s="26"/>
      <c r="J4166" s="26" t="s">
        <v>77</v>
      </c>
      <c r="L4166" s="27" t="s">
        <v>77</v>
      </c>
      <c r="N4166" s="28" t="s">
        <v>77</v>
      </c>
      <c r="Q4166" s="30"/>
    </row>
    <row r="4167">
      <c r="B4167" s="6"/>
      <c r="C4167" s="33" t="str">
        <f t="array" ref="C4167">IF(B4167="", "", XLOOKUP(B4167, Inventory!D:D,Inventory!E:E,"No Name Found"))</f>
        <v/>
      </c>
      <c r="D4167" s="6"/>
      <c r="E4167" s="6"/>
      <c r="F4167" s="6"/>
      <c r="G4167" s="24" t="str">
        <f>IF(F4167="", "", VLOOKUP(F4167, Inventory!A:BZ, 3, FALSE) - SUMIF($F$1:$F4166, F4167, $H$1:$H4166))
</f>
        <v/>
      </c>
      <c r="I4167" s="26"/>
      <c r="J4167" s="26" t="s">
        <v>77</v>
      </c>
      <c r="L4167" s="27" t="s">
        <v>77</v>
      </c>
      <c r="N4167" s="28" t="s">
        <v>77</v>
      </c>
      <c r="Q4167" s="30"/>
    </row>
    <row r="4168">
      <c r="B4168" s="6"/>
      <c r="C4168" s="33" t="str">
        <f t="array" ref="C4168">IF(B4168="", "", XLOOKUP(B4168, Inventory!D:D,Inventory!E:E,"No Name Found"))</f>
        <v/>
      </c>
      <c r="D4168" s="6"/>
      <c r="E4168" s="6"/>
      <c r="F4168" s="6"/>
      <c r="G4168" s="24" t="str">
        <f>IF(F4168="", "", VLOOKUP(F4168, Inventory!A:BZ, 3, FALSE) - SUMIF($F$1:$F4167, F4168, $H$1:$H4167))
</f>
        <v/>
      </c>
      <c r="I4168" s="26"/>
      <c r="J4168" s="26" t="s">
        <v>77</v>
      </c>
      <c r="L4168" s="27" t="s">
        <v>77</v>
      </c>
      <c r="N4168" s="28" t="s">
        <v>77</v>
      </c>
      <c r="Q4168" s="30"/>
    </row>
    <row r="4169">
      <c r="B4169" s="6"/>
      <c r="C4169" s="33" t="str">
        <f t="array" ref="C4169">IF(B4169="", "", XLOOKUP(B4169, Inventory!D:D,Inventory!E:E,"No Name Found"))</f>
        <v/>
      </c>
      <c r="D4169" s="6"/>
      <c r="E4169" s="6"/>
      <c r="F4169" s="6"/>
      <c r="G4169" s="24" t="str">
        <f>IF(F4169="", "", VLOOKUP(F4169, Inventory!A:BZ, 3, FALSE) - SUMIF($F$1:$F4168, F4169, $H$1:$H4168))
</f>
        <v/>
      </c>
      <c r="I4169" s="26"/>
      <c r="J4169" s="26" t="s">
        <v>77</v>
      </c>
      <c r="L4169" s="27" t="s">
        <v>77</v>
      </c>
      <c r="N4169" s="28" t="s">
        <v>77</v>
      </c>
      <c r="Q4169" s="30"/>
    </row>
    <row r="4170">
      <c r="B4170" s="6"/>
      <c r="C4170" s="33" t="str">
        <f t="array" ref="C4170">IF(B4170="", "", XLOOKUP(B4170, Inventory!D:D,Inventory!E:E,"No Name Found"))</f>
        <v/>
      </c>
      <c r="D4170" s="6"/>
      <c r="E4170" s="6"/>
      <c r="F4170" s="6"/>
      <c r="G4170" s="24" t="str">
        <f>IF(F4170="", "", VLOOKUP(F4170, Inventory!A:BZ, 3, FALSE) - SUMIF($F$1:$F4169, F4170, $H$1:$H4169))
</f>
        <v/>
      </c>
      <c r="I4170" s="26"/>
      <c r="J4170" s="26" t="s">
        <v>77</v>
      </c>
      <c r="L4170" s="27" t="s">
        <v>77</v>
      </c>
      <c r="N4170" s="28" t="s">
        <v>77</v>
      </c>
      <c r="Q4170" s="30"/>
    </row>
    <row r="4171">
      <c r="B4171" s="6"/>
      <c r="C4171" s="33" t="str">
        <f t="array" ref="C4171">IF(B4171="", "", XLOOKUP(B4171, Inventory!D:D,Inventory!E:E,"No Name Found"))</f>
        <v/>
      </c>
      <c r="D4171" s="6"/>
      <c r="E4171" s="6"/>
      <c r="F4171" s="6"/>
      <c r="G4171" s="24" t="str">
        <f>IF(F4171="", "", VLOOKUP(F4171, Inventory!A:BZ, 3, FALSE) - SUMIF($F$1:$F4170, F4171, $H$1:$H4170))
</f>
        <v/>
      </c>
      <c r="I4171" s="26"/>
      <c r="J4171" s="26" t="s">
        <v>77</v>
      </c>
      <c r="L4171" s="27" t="s">
        <v>77</v>
      </c>
      <c r="N4171" s="28" t="s">
        <v>77</v>
      </c>
      <c r="Q4171" s="30"/>
    </row>
    <row r="4172">
      <c r="B4172" s="6"/>
      <c r="C4172" s="33" t="str">
        <f t="array" ref="C4172">IF(B4172="", "", XLOOKUP(B4172, Inventory!D:D,Inventory!E:E,"No Name Found"))</f>
        <v/>
      </c>
      <c r="D4172" s="6"/>
      <c r="E4172" s="6"/>
      <c r="F4172" s="6"/>
      <c r="G4172" s="24" t="str">
        <f>IF(F4172="", "", VLOOKUP(F4172, Inventory!A:BZ, 3, FALSE) - SUMIF($F$1:$F4171, F4172, $H$1:$H4171))
</f>
        <v/>
      </c>
      <c r="I4172" s="26"/>
      <c r="J4172" s="26" t="s">
        <v>77</v>
      </c>
      <c r="L4172" s="27" t="s">
        <v>77</v>
      </c>
      <c r="N4172" s="28" t="s">
        <v>77</v>
      </c>
      <c r="Q4172" s="30"/>
    </row>
    <row r="4173">
      <c r="B4173" s="6"/>
      <c r="C4173" s="33" t="str">
        <f t="array" ref="C4173">IF(B4173="", "", XLOOKUP(B4173, Inventory!D:D,Inventory!E:E,"No Name Found"))</f>
        <v/>
      </c>
      <c r="D4173" s="6"/>
      <c r="E4173" s="6"/>
      <c r="F4173" s="6"/>
      <c r="G4173" s="24" t="str">
        <f>IF(F4173="", "", VLOOKUP(F4173, Inventory!A:BZ, 3, FALSE) - SUMIF($F$1:$F4172, F4173, $H$1:$H4172))
</f>
        <v/>
      </c>
      <c r="I4173" s="26"/>
      <c r="J4173" s="26" t="s">
        <v>77</v>
      </c>
      <c r="L4173" s="27" t="s">
        <v>77</v>
      </c>
      <c r="N4173" s="28" t="s">
        <v>77</v>
      </c>
      <c r="Q4173" s="30"/>
    </row>
    <row r="4174">
      <c r="B4174" s="6"/>
      <c r="C4174" s="33" t="str">
        <f t="array" ref="C4174">IF(B4174="", "", XLOOKUP(B4174, Inventory!D:D,Inventory!E:E,"No Name Found"))</f>
        <v/>
      </c>
      <c r="D4174" s="6"/>
      <c r="E4174" s="6"/>
      <c r="F4174" s="6"/>
      <c r="G4174" s="24" t="str">
        <f>IF(F4174="", "", VLOOKUP(F4174, Inventory!A:BZ, 3, FALSE) - SUMIF($F$1:$F4173, F4174, $H$1:$H4173))
</f>
        <v/>
      </c>
      <c r="I4174" s="26"/>
      <c r="J4174" s="26" t="s">
        <v>77</v>
      </c>
      <c r="L4174" s="27" t="s">
        <v>77</v>
      </c>
      <c r="N4174" s="28" t="s">
        <v>77</v>
      </c>
      <c r="Q4174" s="30"/>
    </row>
    <row r="4175">
      <c r="B4175" s="6"/>
      <c r="C4175" s="33" t="str">
        <f t="array" ref="C4175">IF(B4175="", "", XLOOKUP(B4175, Inventory!D:D,Inventory!E:E,"No Name Found"))</f>
        <v/>
      </c>
      <c r="D4175" s="6"/>
      <c r="E4175" s="6"/>
      <c r="F4175" s="6"/>
      <c r="G4175" s="24" t="str">
        <f>IF(F4175="", "", VLOOKUP(F4175, Inventory!A:BZ, 3, FALSE) - SUMIF($F$1:$F4174, F4175, $H$1:$H4174))
</f>
        <v/>
      </c>
      <c r="I4175" s="26"/>
      <c r="J4175" s="26" t="s">
        <v>77</v>
      </c>
      <c r="L4175" s="27" t="s">
        <v>77</v>
      </c>
      <c r="N4175" s="28" t="s">
        <v>77</v>
      </c>
      <c r="Q4175" s="30"/>
    </row>
    <row r="4176">
      <c r="B4176" s="6"/>
      <c r="C4176" s="33" t="str">
        <f t="array" ref="C4176">IF(B4176="", "", XLOOKUP(B4176, Inventory!D:D,Inventory!E:E,"No Name Found"))</f>
        <v/>
      </c>
      <c r="D4176" s="6"/>
      <c r="E4176" s="6"/>
      <c r="F4176" s="6"/>
      <c r="G4176" s="24" t="str">
        <f>IF(F4176="", "", VLOOKUP(F4176, Inventory!A:BZ, 3, FALSE) - SUMIF($F$1:$F4175, F4176, $H$1:$H4175))
</f>
        <v/>
      </c>
      <c r="I4176" s="26"/>
      <c r="J4176" s="26" t="s">
        <v>77</v>
      </c>
      <c r="L4176" s="27" t="s">
        <v>77</v>
      </c>
      <c r="N4176" s="28" t="s">
        <v>77</v>
      </c>
      <c r="Q4176" s="30"/>
    </row>
    <row r="4177">
      <c r="B4177" s="6"/>
      <c r="C4177" s="33" t="str">
        <f t="array" ref="C4177">IF(B4177="", "", XLOOKUP(B4177, Inventory!D:D,Inventory!E:E,"No Name Found"))</f>
        <v/>
      </c>
      <c r="D4177" s="6"/>
      <c r="E4177" s="6"/>
      <c r="F4177" s="6"/>
      <c r="G4177" s="24" t="str">
        <f>IF(F4177="", "", VLOOKUP(F4177, Inventory!A:BZ, 3, FALSE) - SUMIF($F$1:$F4176, F4177, $H$1:$H4176))
</f>
        <v/>
      </c>
      <c r="I4177" s="26"/>
      <c r="J4177" s="26" t="s">
        <v>77</v>
      </c>
      <c r="L4177" s="27" t="s">
        <v>77</v>
      </c>
      <c r="N4177" s="28" t="s">
        <v>77</v>
      </c>
      <c r="Q4177" s="30"/>
    </row>
    <row r="4178">
      <c r="B4178" s="6"/>
      <c r="C4178" s="33" t="str">
        <f t="array" ref="C4178">IF(B4178="", "", XLOOKUP(B4178, Inventory!D:D,Inventory!E:E,"No Name Found"))</f>
        <v/>
      </c>
      <c r="D4178" s="6"/>
      <c r="E4178" s="6"/>
      <c r="F4178" s="6"/>
      <c r="G4178" s="24" t="str">
        <f>IF(F4178="", "", VLOOKUP(F4178, Inventory!A:BZ, 3, FALSE) - SUMIF($F$1:$F4177, F4178, $H$1:$H4177))
</f>
        <v/>
      </c>
      <c r="I4178" s="26"/>
      <c r="J4178" s="26" t="s">
        <v>77</v>
      </c>
      <c r="L4178" s="27" t="s">
        <v>77</v>
      </c>
      <c r="N4178" s="28" t="s">
        <v>77</v>
      </c>
      <c r="Q4178" s="30"/>
    </row>
    <row r="4179">
      <c r="B4179" s="6"/>
      <c r="C4179" s="33" t="str">
        <f t="array" ref="C4179">IF(B4179="", "", XLOOKUP(B4179, Inventory!D:D,Inventory!E:E,"No Name Found"))</f>
        <v/>
      </c>
      <c r="D4179" s="6"/>
      <c r="E4179" s="6"/>
      <c r="F4179" s="6"/>
      <c r="G4179" s="24" t="str">
        <f>IF(F4179="", "", VLOOKUP(F4179, Inventory!A:BZ, 3, FALSE) - SUMIF($F$1:$F4178, F4179, $H$1:$H4178))
</f>
        <v/>
      </c>
      <c r="I4179" s="26"/>
      <c r="J4179" s="26" t="s">
        <v>77</v>
      </c>
      <c r="L4179" s="27" t="s">
        <v>77</v>
      </c>
      <c r="N4179" s="28" t="s">
        <v>77</v>
      </c>
      <c r="Q4179" s="30"/>
    </row>
    <row r="4180">
      <c r="B4180" s="6"/>
      <c r="C4180" s="33" t="str">
        <f t="array" ref="C4180">IF(B4180="", "", XLOOKUP(B4180, Inventory!D:D,Inventory!E:E,"No Name Found"))</f>
        <v/>
      </c>
      <c r="D4180" s="6"/>
      <c r="E4180" s="6"/>
      <c r="F4180" s="6"/>
      <c r="G4180" s="24" t="str">
        <f>IF(F4180="", "", VLOOKUP(F4180, Inventory!A:BZ, 3, FALSE) - SUMIF($F$1:$F4179, F4180, $H$1:$H4179))
</f>
        <v/>
      </c>
      <c r="I4180" s="26"/>
      <c r="J4180" s="26" t="s">
        <v>77</v>
      </c>
      <c r="L4180" s="27" t="s">
        <v>77</v>
      </c>
      <c r="N4180" s="28" t="s">
        <v>77</v>
      </c>
      <c r="Q4180" s="30"/>
    </row>
    <row r="4181">
      <c r="B4181" s="6"/>
      <c r="C4181" s="33" t="str">
        <f t="array" ref="C4181">IF(B4181="", "", XLOOKUP(B4181, Inventory!D:D,Inventory!E:E,"No Name Found"))</f>
        <v/>
      </c>
      <c r="D4181" s="6"/>
      <c r="E4181" s="6"/>
      <c r="F4181" s="6"/>
      <c r="G4181" s="24" t="str">
        <f>IF(F4181="", "", VLOOKUP(F4181, Inventory!A:BZ, 3, FALSE) - SUMIF($F$1:$F4180, F4181, $H$1:$H4180))
</f>
        <v/>
      </c>
      <c r="I4181" s="26"/>
      <c r="J4181" s="26" t="s">
        <v>77</v>
      </c>
      <c r="L4181" s="27" t="s">
        <v>77</v>
      </c>
      <c r="N4181" s="28" t="s">
        <v>77</v>
      </c>
      <c r="Q4181" s="30"/>
    </row>
    <row r="4182">
      <c r="B4182" s="6"/>
      <c r="C4182" s="33" t="str">
        <f t="array" ref="C4182">IF(B4182="", "", XLOOKUP(B4182, Inventory!D:D,Inventory!E:E,"No Name Found"))</f>
        <v/>
      </c>
      <c r="D4182" s="6"/>
      <c r="E4182" s="6"/>
      <c r="F4182" s="6"/>
      <c r="G4182" s="24" t="str">
        <f>IF(F4182="", "", VLOOKUP(F4182, Inventory!A:BZ, 3, FALSE) - SUMIF($F$1:$F4181, F4182, $H$1:$H4181))
</f>
        <v/>
      </c>
      <c r="I4182" s="26"/>
      <c r="J4182" s="26" t="s">
        <v>77</v>
      </c>
      <c r="L4182" s="27" t="s">
        <v>77</v>
      </c>
      <c r="N4182" s="28" t="s">
        <v>77</v>
      </c>
      <c r="Q4182" s="30"/>
    </row>
    <row r="4183">
      <c r="B4183" s="6"/>
      <c r="C4183" s="33" t="str">
        <f t="array" ref="C4183">IF(B4183="", "", XLOOKUP(B4183, Inventory!D:D,Inventory!E:E,"No Name Found"))</f>
        <v/>
      </c>
      <c r="D4183" s="6"/>
      <c r="E4183" s="6"/>
      <c r="F4183" s="6"/>
      <c r="G4183" s="24" t="str">
        <f>IF(F4183="", "", VLOOKUP(F4183, Inventory!A:BZ, 3, FALSE) - SUMIF($F$1:$F4182, F4183, $H$1:$H4182))
</f>
        <v/>
      </c>
      <c r="I4183" s="26"/>
      <c r="J4183" s="26" t="s">
        <v>77</v>
      </c>
      <c r="L4183" s="27" t="s">
        <v>77</v>
      </c>
      <c r="N4183" s="28" t="s">
        <v>77</v>
      </c>
      <c r="Q4183" s="30"/>
    </row>
    <row r="4184">
      <c r="B4184" s="6"/>
      <c r="C4184" s="33" t="str">
        <f t="array" ref="C4184">IF(B4184="", "", XLOOKUP(B4184, Inventory!D:D,Inventory!E:E,"No Name Found"))</f>
        <v/>
      </c>
      <c r="D4184" s="6"/>
      <c r="E4184" s="6"/>
      <c r="F4184" s="6"/>
      <c r="G4184" s="24" t="str">
        <f>IF(F4184="", "", VLOOKUP(F4184, Inventory!A:BZ, 3, FALSE) - SUMIF($F$1:$F4183, F4184, $H$1:$H4183))
</f>
        <v/>
      </c>
      <c r="I4184" s="26"/>
      <c r="J4184" s="26" t="s">
        <v>77</v>
      </c>
      <c r="L4184" s="27" t="s">
        <v>77</v>
      </c>
      <c r="N4184" s="28" t="s">
        <v>77</v>
      </c>
      <c r="Q4184" s="30"/>
    </row>
    <row r="4185">
      <c r="B4185" s="6"/>
      <c r="C4185" s="33" t="str">
        <f t="array" ref="C4185">IF(B4185="", "", XLOOKUP(B4185, Inventory!D:D,Inventory!E:E,"No Name Found"))</f>
        <v/>
      </c>
      <c r="D4185" s="6"/>
      <c r="E4185" s="6"/>
      <c r="F4185" s="6"/>
      <c r="G4185" s="24" t="str">
        <f>IF(F4185="", "", VLOOKUP(F4185, Inventory!A:BZ, 3, FALSE) - SUMIF($F$1:$F4184, F4185, $H$1:$H4184))
</f>
        <v/>
      </c>
      <c r="I4185" s="26"/>
      <c r="J4185" s="26" t="s">
        <v>77</v>
      </c>
      <c r="L4185" s="27" t="s">
        <v>77</v>
      </c>
      <c r="N4185" s="28" t="s">
        <v>77</v>
      </c>
      <c r="Q4185" s="30"/>
    </row>
    <row r="4186">
      <c r="B4186" s="6"/>
      <c r="C4186" s="33" t="str">
        <f t="array" ref="C4186">IF(B4186="", "", XLOOKUP(B4186, Inventory!D:D,Inventory!E:E,"No Name Found"))</f>
        <v/>
      </c>
      <c r="D4186" s="6"/>
      <c r="E4186" s="6"/>
      <c r="F4186" s="6"/>
      <c r="G4186" s="24" t="str">
        <f>IF(F4186="", "", VLOOKUP(F4186, Inventory!A:BZ, 3, FALSE) - SUMIF($F$1:$F4185, F4186, $H$1:$H4185))
</f>
        <v/>
      </c>
      <c r="I4186" s="26"/>
      <c r="J4186" s="26" t="s">
        <v>77</v>
      </c>
      <c r="L4186" s="27" t="s">
        <v>77</v>
      </c>
      <c r="N4186" s="28" t="s">
        <v>77</v>
      </c>
      <c r="Q4186" s="30"/>
    </row>
    <row r="4187">
      <c r="B4187" s="6"/>
      <c r="C4187" s="33" t="str">
        <f t="array" ref="C4187">IF(B4187="", "", XLOOKUP(B4187, Inventory!D:D,Inventory!E:E,"No Name Found"))</f>
        <v/>
      </c>
      <c r="D4187" s="6"/>
      <c r="E4187" s="6"/>
      <c r="F4187" s="6"/>
      <c r="G4187" s="24" t="str">
        <f>IF(F4187="", "", VLOOKUP(F4187, Inventory!A:BZ, 3, FALSE) - SUMIF($F$1:$F4186, F4187, $H$1:$H4186))
</f>
        <v/>
      </c>
      <c r="I4187" s="26"/>
      <c r="J4187" s="26" t="s">
        <v>77</v>
      </c>
      <c r="L4187" s="27" t="s">
        <v>77</v>
      </c>
      <c r="N4187" s="28" t="s">
        <v>77</v>
      </c>
      <c r="Q4187" s="30"/>
    </row>
    <row r="4188">
      <c r="B4188" s="6"/>
      <c r="C4188" s="33" t="str">
        <f t="array" ref="C4188">IF(B4188="", "", XLOOKUP(B4188, Inventory!D:D,Inventory!E:E,"No Name Found"))</f>
        <v/>
      </c>
      <c r="D4188" s="6"/>
      <c r="E4188" s="6"/>
      <c r="F4188" s="6"/>
      <c r="G4188" s="24" t="str">
        <f>IF(F4188="", "", VLOOKUP(F4188, Inventory!A:BZ, 3, FALSE) - SUMIF($F$1:$F4187, F4188, $H$1:$H4187))
</f>
        <v/>
      </c>
      <c r="I4188" s="26"/>
      <c r="J4188" s="26" t="s">
        <v>77</v>
      </c>
      <c r="L4188" s="27" t="s">
        <v>77</v>
      </c>
      <c r="N4188" s="28" t="s">
        <v>77</v>
      </c>
      <c r="Q4188" s="30"/>
    </row>
    <row r="4189">
      <c r="B4189" s="6"/>
      <c r="C4189" s="33" t="str">
        <f t="array" ref="C4189">IF(B4189="", "", XLOOKUP(B4189, Inventory!D:D,Inventory!E:E,"No Name Found"))</f>
        <v/>
      </c>
      <c r="D4189" s="6"/>
      <c r="E4189" s="6"/>
      <c r="F4189" s="6"/>
      <c r="G4189" s="24" t="str">
        <f>IF(F4189="", "", VLOOKUP(F4189, Inventory!A:BZ, 3, FALSE) - SUMIF($F$1:$F4188, F4189, $H$1:$H4188))
</f>
        <v/>
      </c>
      <c r="I4189" s="26"/>
      <c r="J4189" s="26" t="s">
        <v>77</v>
      </c>
      <c r="L4189" s="27" t="s">
        <v>77</v>
      </c>
      <c r="N4189" s="28" t="s">
        <v>77</v>
      </c>
      <c r="Q4189" s="30"/>
    </row>
    <row r="4190">
      <c r="B4190" s="6"/>
      <c r="C4190" s="33" t="str">
        <f t="array" ref="C4190">IF(B4190="", "", XLOOKUP(B4190, Inventory!D:D,Inventory!E:E,"No Name Found"))</f>
        <v/>
      </c>
      <c r="D4190" s="6"/>
      <c r="E4190" s="6"/>
      <c r="F4190" s="6"/>
      <c r="G4190" s="24" t="str">
        <f>IF(F4190="", "", VLOOKUP(F4190, Inventory!A:BZ, 3, FALSE) - SUMIF($F$1:$F4189, F4190, $H$1:$H4189))
</f>
        <v/>
      </c>
      <c r="I4190" s="26"/>
      <c r="J4190" s="26" t="s">
        <v>77</v>
      </c>
      <c r="L4190" s="27" t="s">
        <v>77</v>
      </c>
      <c r="N4190" s="28" t="s">
        <v>77</v>
      </c>
      <c r="Q4190" s="30"/>
    </row>
    <row r="4191">
      <c r="B4191" s="6"/>
      <c r="C4191" s="33" t="str">
        <f t="array" ref="C4191">IF(B4191="", "", XLOOKUP(B4191, Inventory!D:D,Inventory!E:E,"No Name Found"))</f>
        <v/>
      </c>
      <c r="D4191" s="6"/>
      <c r="E4191" s="6"/>
      <c r="F4191" s="6"/>
      <c r="G4191" s="24" t="str">
        <f>IF(F4191="", "", VLOOKUP(F4191, Inventory!A:BZ, 3, FALSE) - SUMIF($F$1:$F4190, F4191, $H$1:$H4190))
</f>
        <v/>
      </c>
      <c r="I4191" s="26"/>
      <c r="J4191" s="26" t="s">
        <v>77</v>
      </c>
      <c r="L4191" s="27" t="s">
        <v>77</v>
      </c>
      <c r="N4191" s="28" t="s">
        <v>77</v>
      </c>
      <c r="Q4191" s="30"/>
    </row>
    <row r="4192">
      <c r="B4192" s="6"/>
      <c r="C4192" s="33" t="str">
        <f t="array" ref="C4192">IF(B4192="", "", XLOOKUP(B4192, Inventory!D:D,Inventory!E:E,"No Name Found"))</f>
        <v/>
      </c>
      <c r="D4192" s="6"/>
      <c r="E4192" s="6"/>
      <c r="F4192" s="6"/>
      <c r="G4192" s="24" t="str">
        <f>IF(F4192="", "", VLOOKUP(F4192, Inventory!A:BZ, 3, FALSE) - SUMIF($F$1:$F4191, F4192, $H$1:$H4191))
</f>
        <v/>
      </c>
      <c r="I4192" s="26"/>
      <c r="J4192" s="26" t="s">
        <v>77</v>
      </c>
      <c r="L4192" s="27" t="s">
        <v>77</v>
      </c>
      <c r="N4192" s="28" t="s">
        <v>77</v>
      </c>
      <c r="Q4192" s="30"/>
    </row>
    <row r="4193">
      <c r="B4193" s="6"/>
      <c r="C4193" s="33" t="str">
        <f t="array" ref="C4193">IF(B4193="", "", XLOOKUP(B4193, Inventory!D:D,Inventory!E:E,"No Name Found"))</f>
        <v/>
      </c>
      <c r="D4193" s="6"/>
      <c r="E4193" s="6"/>
      <c r="F4193" s="6"/>
      <c r="G4193" s="24" t="str">
        <f>IF(F4193="", "", VLOOKUP(F4193, Inventory!A:BZ, 3, FALSE) - SUMIF($F$1:$F4192, F4193, $H$1:$H4192))
</f>
        <v/>
      </c>
      <c r="I4193" s="26"/>
      <c r="J4193" s="26" t="s">
        <v>77</v>
      </c>
      <c r="L4193" s="27" t="s">
        <v>77</v>
      </c>
      <c r="N4193" s="28" t="s">
        <v>77</v>
      </c>
      <c r="Q4193" s="30"/>
    </row>
    <row r="4194">
      <c r="B4194" s="6"/>
      <c r="C4194" s="33" t="str">
        <f t="array" ref="C4194">IF(B4194="", "", XLOOKUP(B4194, Inventory!D:D,Inventory!E:E,"No Name Found"))</f>
        <v/>
      </c>
      <c r="D4194" s="6"/>
      <c r="E4194" s="6"/>
      <c r="F4194" s="6"/>
      <c r="G4194" s="24" t="str">
        <f>IF(F4194="", "", VLOOKUP(F4194, Inventory!A:BZ, 3, FALSE) - SUMIF($F$1:$F4193, F4194, $H$1:$H4193))
</f>
        <v/>
      </c>
      <c r="I4194" s="26"/>
      <c r="J4194" s="26" t="s">
        <v>77</v>
      </c>
      <c r="L4194" s="27" t="s">
        <v>77</v>
      </c>
      <c r="N4194" s="28" t="s">
        <v>77</v>
      </c>
      <c r="Q4194" s="30"/>
    </row>
    <row r="4195">
      <c r="B4195" s="6"/>
      <c r="C4195" s="33" t="str">
        <f t="array" ref="C4195">IF(B4195="", "", XLOOKUP(B4195, Inventory!D:D,Inventory!E:E,"No Name Found"))</f>
        <v/>
      </c>
      <c r="D4195" s="6"/>
      <c r="E4195" s="6"/>
      <c r="F4195" s="6"/>
      <c r="G4195" s="24" t="str">
        <f>IF(F4195="", "", VLOOKUP(F4195, Inventory!A:BZ, 3, FALSE) - SUMIF($F$1:$F4194, F4195, $H$1:$H4194))
</f>
        <v/>
      </c>
      <c r="I4195" s="26"/>
      <c r="J4195" s="26" t="s">
        <v>77</v>
      </c>
      <c r="L4195" s="27" t="s">
        <v>77</v>
      </c>
      <c r="N4195" s="28" t="s">
        <v>77</v>
      </c>
      <c r="Q4195" s="30"/>
    </row>
    <row r="4196">
      <c r="B4196" s="6"/>
      <c r="C4196" s="33" t="str">
        <f t="array" ref="C4196">IF(B4196="", "", XLOOKUP(B4196, Inventory!D:D,Inventory!E:E,"No Name Found"))</f>
        <v/>
      </c>
      <c r="D4196" s="6"/>
      <c r="E4196" s="6"/>
      <c r="F4196" s="6"/>
      <c r="G4196" s="24" t="str">
        <f>IF(F4196="", "", VLOOKUP(F4196, Inventory!A:BZ, 3, FALSE) - SUMIF($F$1:$F4195, F4196, $H$1:$H4195))
</f>
        <v/>
      </c>
      <c r="I4196" s="26"/>
      <c r="J4196" s="26" t="s">
        <v>77</v>
      </c>
      <c r="L4196" s="27" t="s">
        <v>77</v>
      </c>
      <c r="N4196" s="28" t="s">
        <v>77</v>
      </c>
      <c r="Q4196" s="30"/>
    </row>
    <row r="4197">
      <c r="B4197" s="6"/>
      <c r="C4197" s="33" t="str">
        <f t="array" ref="C4197">IF(B4197="", "", XLOOKUP(B4197, Inventory!D:D,Inventory!E:E,"No Name Found"))</f>
        <v/>
      </c>
      <c r="D4197" s="6"/>
      <c r="E4197" s="6"/>
      <c r="F4197" s="6"/>
      <c r="G4197" s="24" t="str">
        <f>IF(F4197="", "", VLOOKUP(F4197, Inventory!A:BZ, 3, FALSE) - SUMIF($F$1:$F4196, F4197, $H$1:$H4196))
</f>
        <v/>
      </c>
      <c r="I4197" s="26"/>
      <c r="J4197" s="26" t="s">
        <v>77</v>
      </c>
      <c r="L4197" s="27" t="s">
        <v>77</v>
      </c>
      <c r="N4197" s="28" t="s">
        <v>77</v>
      </c>
      <c r="Q4197" s="30"/>
    </row>
    <row r="4198">
      <c r="B4198" s="6"/>
      <c r="C4198" s="33" t="str">
        <f t="array" ref="C4198">IF(B4198="", "", XLOOKUP(B4198, Inventory!D:D,Inventory!E:E,"No Name Found"))</f>
        <v/>
      </c>
      <c r="D4198" s="6"/>
      <c r="E4198" s="6"/>
      <c r="F4198" s="6"/>
      <c r="G4198" s="24" t="str">
        <f>IF(F4198="", "", VLOOKUP(F4198, Inventory!A:BZ, 3, FALSE) - SUMIF($F$1:$F4197, F4198, $H$1:$H4197))
</f>
        <v/>
      </c>
      <c r="I4198" s="26"/>
      <c r="J4198" s="26" t="s">
        <v>77</v>
      </c>
      <c r="L4198" s="27" t="s">
        <v>77</v>
      </c>
      <c r="N4198" s="28" t="s">
        <v>77</v>
      </c>
      <c r="Q4198" s="30"/>
    </row>
    <row r="4199">
      <c r="B4199" s="6"/>
      <c r="C4199" s="33" t="str">
        <f t="array" ref="C4199">IF(B4199="", "", XLOOKUP(B4199, Inventory!D:D,Inventory!E:E,"No Name Found"))</f>
        <v/>
      </c>
      <c r="D4199" s="6"/>
      <c r="E4199" s="6"/>
      <c r="F4199" s="6"/>
      <c r="G4199" s="24" t="str">
        <f>IF(F4199="", "", VLOOKUP(F4199, Inventory!A:BZ, 3, FALSE) - SUMIF($F$1:$F4198, F4199, $H$1:$H4198))
</f>
        <v/>
      </c>
      <c r="I4199" s="26"/>
      <c r="J4199" s="26" t="s">
        <v>77</v>
      </c>
      <c r="L4199" s="27" t="s">
        <v>77</v>
      </c>
      <c r="N4199" s="28" t="s">
        <v>77</v>
      </c>
      <c r="Q4199" s="30"/>
    </row>
    <row r="4200">
      <c r="B4200" s="6"/>
      <c r="C4200" s="33" t="str">
        <f t="array" ref="C4200">IF(B4200="", "", XLOOKUP(B4200, Inventory!D:D,Inventory!E:E,"No Name Found"))</f>
        <v/>
      </c>
      <c r="D4200" s="6"/>
      <c r="E4200" s="6"/>
      <c r="F4200" s="6"/>
      <c r="G4200" s="24" t="str">
        <f>IF(F4200="", "", VLOOKUP(F4200, Inventory!A:BZ, 3, FALSE) - SUMIF($F$1:$F4199, F4200, $H$1:$H4199))
</f>
        <v/>
      </c>
      <c r="I4200" s="26"/>
      <c r="J4200" s="26" t="s">
        <v>77</v>
      </c>
      <c r="L4200" s="27" t="s">
        <v>77</v>
      </c>
      <c r="N4200" s="28" t="s">
        <v>77</v>
      </c>
      <c r="Q4200" s="30"/>
    </row>
    <row r="4201">
      <c r="B4201" s="6"/>
      <c r="C4201" s="33" t="str">
        <f t="array" ref="C4201">IF(B4201="", "", XLOOKUP(B4201, Inventory!D:D,Inventory!E:E,"No Name Found"))</f>
        <v/>
      </c>
      <c r="D4201" s="6"/>
      <c r="E4201" s="6"/>
      <c r="F4201" s="6"/>
      <c r="G4201" s="24" t="str">
        <f>IF(F4201="", "", VLOOKUP(F4201, Inventory!A:BZ, 3, FALSE) - SUMIF($F$1:$F4200, F4201, $H$1:$H4200))
</f>
        <v/>
      </c>
      <c r="I4201" s="26"/>
      <c r="J4201" s="26" t="s">
        <v>77</v>
      </c>
      <c r="L4201" s="27" t="s">
        <v>77</v>
      </c>
      <c r="N4201" s="28" t="s">
        <v>77</v>
      </c>
      <c r="Q4201" s="30"/>
    </row>
    <row r="4202">
      <c r="B4202" s="6"/>
      <c r="C4202" s="33" t="str">
        <f t="array" ref="C4202">IF(B4202="", "", XLOOKUP(B4202, Inventory!D:D,Inventory!E:E,"No Name Found"))</f>
        <v/>
      </c>
      <c r="D4202" s="6"/>
      <c r="E4202" s="6"/>
      <c r="F4202" s="6"/>
      <c r="G4202" s="24" t="str">
        <f>IF(F4202="", "", VLOOKUP(F4202, Inventory!A:BZ, 3, FALSE) - SUMIF($F$1:$F4201, F4202, $H$1:$H4201))
</f>
        <v/>
      </c>
      <c r="I4202" s="26"/>
      <c r="J4202" s="26" t="s">
        <v>77</v>
      </c>
      <c r="L4202" s="27" t="s">
        <v>77</v>
      </c>
      <c r="N4202" s="28" t="s">
        <v>77</v>
      </c>
      <c r="Q4202" s="30"/>
    </row>
    <row r="4203">
      <c r="B4203" s="6"/>
      <c r="C4203" s="33" t="str">
        <f t="array" ref="C4203">IF(B4203="", "", XLOOKUP(B4203, Inventory!D:D,Inventory!E:E,"No Name Found"))</f>
        <v/>
      </c>
      <c r="D4203" s="6"/>
      <c r="E4203" s="6"/>
      <c r="F4203" s="6"/>
      <c r="G4203" s="24" t="str">
        <f>IF(F4203="", "", VLOOKUP(F4203, Inventory!A:BZ, 3, FALSE) - SUMIF($F$1:$F4202, F4203, $H$1:$H4202))
</f>
        <v/>
      </c>
      <c r="I4203" s="26"/>
      <c r="J4203" s="26" t="s">
        <v>77</v>
      </c>
      <c r="L4203" s="27" t="s">
        <v>77</v>
      </c>
      <c r="N4203" s="28" t="s">
        <v>77</v>
      </c>
      <c r="Q4203" s="30"/>
    </row>
    <row r="4204">
      <c r="B4204" s="6"/>
      <c r="C4204" s="33" t="str">
        <f t="array" ref="C4204">IF(B4204="", "", XLOOKUP(B4204, Inventory!D:D,Inventory!E:E,"No Name Found"))</f>
        <v/>
      </c>
      <c r="D4204" s="6"/>
      <c r="E4204" s="6"/>
      <c r="F4204" s="6"/>
      <c r="G4204" s="24" t="str">
        <f>IF(F4204="", "", VLOOKUP(F4204, Inventory!A:BZ, 3, FALSE) - SUMIF($F$1:$F4203, F4204, $H$1:$H4203))
</f>
        <v/>
      </c>
      <c r="I4204" s="26"/>
      <c r="J4204" s="26" t="s">
        <v>77</v>
      </c>
      <c r="L4204" s="27" t="s">
        <v>77</v>
      </c>
      <c r="N4204" s="28" t="s">
        <v>77</v>
      </c>
      <c r="Q4204" s="30"/>
    </row>
    <row r="4205">
      <c r="B4205" s="6"/>
      <c r="C4205" s="33" t="str">
        <f t="array" ref="C4205">IF(B4205="", "", XLOOKUP(B4205, Inventory!D:D,Inventory!E:E,"No Name Found"))</f>
        <v/>
      </c>
      <c r="D4205" s="6"/>
      <c r="E4205" s="6"/>
      <c r="F4205" s="6"/>
      <c r="G4205" s="24" t="str">
        <f>IF(F4205="", "", VLOOKUP(F4205, Inventory!A:BZ, 3, FALSE) - SUMIF($F$1:$F4204, F4205, $H$1:$H4204))
</f>
        <v/>
      </c>
      <c r="I4205" s="26"/>
      <c r="J4205" s="26" t="s">
        <v>77</v>
      </c>
      <c r="L4205" s="27" t="s">
        <v>77</v>
      </c>
      <c r="N4205" s="28" t="s">
        <v>77</v>
      </c>
      <c r="Q4205" s="30"/>
    </row>
    <row r="4206">
      <c r="B4206" s="6"/>
      <c r="C4206" s="33" t="str">
        <f t="array" ref="C4206">IF(B4206="", "", XLOOKUP(B4206, Inventory!D:D,Inventory!E:E,"No Name Found"))</f>
        <v/>
      </c>
      <c r="D4206" s="6"/>
      <c r="E4206" s="6"/>
      <c r="F4206" s="6"/>
      <c r="G4206" s="24" t="str">
        <f>IF(F4206="", "", VLOOKUP(F4206, Inventory!A:BZ, 3, FALSE) - SUMIF($F$1:$F4205, F4206, $H$1:$H4205))
</f>
        <v/>
      </c>
      <c r="I4206" s="26"/>
      <c r="J4206" s="26" t="s">
        <v>77</v>
      </c>
      <c r="L4206" s="27" t="s">
        <v>77</v>
      </c>
      <c r="N4206" s="28" t="s">
        <v>77</v>
      </c>
      <c r="Q4206" s="30"/>
    </row>
    <row r="4207">
      <c r="B4207" s="6"/>
      <c r="C4207" s="33" t="str">
        <f t="array" ref="C4207">IF(B4207="", "", XLOOKUP(B4207, Inventory!D:D,Inventory!E:E,"No Name Found"))</f>
        <v/>
      </c>
      <c r="D4207" s="6"/>
      <c r="E4207" s="6"/>
      <c r="F4207" s="6"/>
      <c r="G4207" s="24" t="str">
        <f>IF(F4207="", "", VLOOKUP(F4207, Inventory!A:BZ, 3, FALSE) - SUMIF($F$1:$F4206, F4207, $H$1:$H4206))
</f>
        <v/>
      </c>
      <c r="I4207" s="26"/>
      <c r="J4207" s="26" t="s">
        <v>77</v>
      </c>
      <c r="L4207" s="27" t="s">
        <v>77</v>
      </c>
      <c r="N4207" s="28" t="s">
        <v>77</v>
      </c>
      <c r="Q4207" s="30"/>
    </row>
    <row r="4208">
      <c r="B4208" s="6"/>
      <c r="C4208" s="33" t="str">
        <f t="array" ref="C4208">IF(B4208="", "", XLOOKUP(B4208, Inventory!D:D,Inventory!E:E,"No Name Found"))</f>
        <v/>
      </c>
      <c r="D4208" s="6"/>
      <c r="E4208" s="6"/>
      <c r="F4208" s="6"/>
      <c r="G4208" s="24" t="str">
        <f>IF(F4208="", "", VLOOKUP(F4208, Inventory!A:BZ, 3, FALSE) - SUMIF($F$1:$F4207, F4208, $H$1:$H4207))
</f>
        <v/>
      </c>
      <c r="I4208" s="26"/>
      <c r="J4208" s="26" t="s">
        <v>77</v>
      </c>
      <c r="L4208" s="27" t="s">
        <v>77</v>
      </c>
      <c r="N4208" s="28" t="s">
        <v>77</v>
      </c>
      <c r="Q4208" s="30"/>
    </row>
    <row r="4209">
      <c r="B4209" s="6"/>
      <c r="C4209" s="33" t="str">
        <f t="array" ref="C4209">IF(B4209="", "", XLOOKUP(B4209, Inventory!D:D,Inventory!E:E,"No Name Found"))</f>
        <v/>
      </c>
      <c r="D4209" s="6"/>
      <c r="E4209" s="6"/>
      <c r="F4209" s="6"/>
      <c r="G4209" s="24" t="str">
        <f>IF(F4209="", "", VLOOKUP(F4209, Inventory!A:BZ, 3, FALSE) - SUMIF($F$1:$F4208, F4209, $H$1:$H4208))
</f>
        <v/>
      </c>
      <c r="I4209" s="26"/>
      <c r="J4209" s="26" t="s">
        <v>77</v>
      </c>
      <c r="L4209" s="27" t="s">
        <v>77</v>
      </c>
      <c r="N4209" s="28" t="s">
        <v>77</v>
      </c>
      <c r="Q4209" s="30"/>
    </row>
    <row r="4210">
      <c r="B4210" s="6"/>
      <c r="C4210" s="33" t="str">
        <f t="array" ref="C4210">IF(B4210="", "", XLOOKUP(B4210, Inventory!D:D,Inventory!E:E,"No Name Found"))</f>
        <v/>
      </c>
      <c r="D4210" s="6"/>
      <c r="E4210" s="6"/>
      <c r="F4210" s="6"/>
      <c r="G4210" s="24" t="str">
        <f>IF(F4210="", "", VLOOKUP(F4210, Inventory!A:BZ, 3, FALSE) - SUMIF($F$1:$F4209, F4210, $H$1:$H4209))
</f>
        <v/>
      </c>
      <c r="I4210" s="26"/>
      <c r="J4210" s="26" t="s">
        <v>77</v>
      </c>
      <c r="L4210" s="27" t="s">
        <v>77</v>
      </c>
      <c r="N4210" s="28" t="s">
        <v>77</v>
      </c>
      <c r="Q4210" s="30"/>
    </row>
    <row r="4211">
      <c r="B4211" s="6"/>
      <c r="C4211" s="33" t="str">
        <f t="array" ref="C4211">IF(B4211="", "", XLOOKUP(B4211, Inventory!D:D,Inventory!E:E,"No Name Found"))</f>
        <v/>
      </c>
      <c r="D4211" s="6"/>
      <c r="E4211" s="6"/>
      <c r="F4211" s="6"/>
      <c r="G4211" s="24" t="str">
        <f>IF(F4211="", "", VLOOKUP(F4211, Inventory!A:BZ, 3, FALSE) - SUMIF($F$1:$F4210, F4211, $H$1:$H4210))
</f>
        <v/>
      </c>
      <c r="I4211" s="26"/>
      <c r="J4211" s="26" t="s">
        <v>77</v>
      </c>
      <c r="L4211" s="27" t="s">
        <v>77</v>
      </c>
      <c r="N4211" s="28" t="s">
        <v>77</v>
      </c>
      <c r="Q4211" s="30"/>
    </row>
    <row r="4212">
      <c r="B4212" s="6"/>
      <c r="C4212" s="33" t="str">
        <f t="array" ref="C4212">IF(B4212="", "", XLOOKUP(B4212, Inventory!D:D,Inventory!E:E,"No Name Found"))</f>
        <v/>
      </c>
      <c r="D4212" s="6"/>
      <c r="E4212" s="6"/>
      <c r="F4212" s="6"/>
      <c r="G4212" s="24" t="str">
        <f>IF(F4212="", "", VLOOKUP(F4212, Inventory!A:BZ, 3, FALSE) - SUMIF($F$1:$F4211, F4212, $H$1:$H4211))
</f>
        <v/>
      </c>
      <c r="I4212" s="26"/>
      <c r="J4212" s="26" t="s">
        <v>77</v>
      </c>
      <c r="L4212" s="27" t="s">
        <v>77</v>
      </c>
      <c r="N4212" s="28" t="s">
        <v>77</v>
      </c>
      <c r="Q4212" s="30"/>
    </row>
    <row r="4213">
      <c r="B4213" s="6"/>
      <c r="C4213" s="33" t="str">
        <f t="array" ref="C4213">IF(B4213="", "", XLOOKUP(B4213, Inventory!D:D,Inventory!E:E,"No Name Found"))</f>
        <v/>
      </c>
      <c r="D4213" s="6"/>
      <c r="E4213" s="6"/>
      <c r="F4213" s="6"/>
      <c r="G4213" s="24" t="str">
        <f>IF(F4213="", "", VLOOKUP(F4213, Inventory!A:BZ, 3, FALSE) - SUMIF($F$1:$F4212, F4213, $H$1:$H4212))
</f>
        <v/>
      </c>
      <c r="I4213" s="26"/>
      <c r="J4213" s="26" t="s">
        <v>77</v>
      </c>
      <c r="L4213" s="27" t="s">
        <v>77</v>
      </c>
      <c r="N4213" s="28" t="s">
        <v>77</v>
      </c>
      <c r="Q4213" s="30"/>
    </row>
    <row r="4214">
      <c r="B4214" s="6"/>
      <c r="C4214" s="33" t="str">
        <f t="array" ref="C4214">IF(B4214="", "", XLOOKUP(B4214, Inventory!D:D,Inventory!E:E,"No Name Found"))</f>
        <v/>
      </c>
      <c r="D4214" s="6"/>
      <c r="E4214" s="6"/>
      <c r="F4214" s="6"/>
      <c r="G4214" s="24" t="str">
        <f>IF(F4214="", "", VLOOKUP(F4214, Inventory!A:BZ, 3, FALSE) - SUMIF($F$1:$F4213, F4214, $H$1:$H4213))
</f>
        <v/>
      </c>
      <c r="I4214" s="26"/>
      <c r="J4214" s="26" t="s">
        <v>77</v>
      </c>
      <c r="L4214" s="27" t="s">
        <v>77</v>
      </c>
      <c r="N4214" s="28" t="s">
        <v>77</v>
      </c>
      <c r="Q4214" s="30"/>
    </row>
    <row r="4215">
      <c r="B4215" s="6"/>
      <c r="C4215" s="33" t="str">
        <f t="array" ref="C4215">IF(B4215="", "", XLOOKUP(B4215, Inventory!D:D,Inventory!E:E,"No Name Found"))</f>
        <v/>
      </c>
      <c r="D4215" s="6"/>
      <c r="E4215" s="6"/>
      <c r="F4215" s="6"/>
      <c r="G4215" s="24" t="str">
        <f>IF(F4215="", "", VLOOKUP(F4215, Inventory!A:BZ, 3, FALSE) - SUMIF($F$1:$F4214, F4215, $H$1:$H4214))
</f>
        <v/>
      </c>
      <c r="I4215" s="26"/>
      <c r="J4215" s="26" t="s">
        <v>77</v>
      </c>
      <c r="L4215" s="27" t="s">
        <v>77</v>
      </c>
      <c r="N4215" s="28" t="s">
        <v>77</v>
      </c>
      <c r="Q4215" s="30"/>
    </row>
    <row r="4216">
      <c r="B4216" s="6"/>
      <c r="C4216" s="33" t="str">
        <f t="array" ref="C4216">IF(B4216="", "", XLOOKUP(B4216, Inventory!D:D,Inventory!E:E,"No Name Found"))</f>
        <v/>
      </c>
      <c r="D4216" s="6"/>
      <c r="E4216" s="6"/>
      <c r="F4216" s="6"/>
      <c r="G4216" s="24" t="str">
        <f>IF(F4216="", "", VLOOKUP(F4216, Inventory!A:BZ, 3, FALSE) - SUMIF($F$1:$F4215, F4216, $H$1:$H4215))
</f>
        <v/>
      </c>
      <c r="I4216" s="26"/>
      <c r="J4216" s="26" t="s">
        <v>77</v>
      </c>
      <c r="L4216" s="27" t="s">
        <v>77</v>
      </c>
      <c r="N4216" s="28" t="s">
        <v>77</v>
      </c>
      <c r="Q4216" s="30"/>
    </row>
    <row r="4217">
      <c r="B4217" s="6"/>
      <c r="C4217" s="33" t="str">
        <f t="array" ref="C4217">IF(B4217="", "", XLOOKUP(B4217, Inventory!D:D,Inventory!E:E,"No Name Found"))</f>
        <v/>
      </c>
      <c r="D4217" s="6"/>
      <c r="E4217" s="6"/>
      <c r="F4217" s="6"/>
      <c r="G4217" s="24" t="str">
        <f>IF(F4217="", "", VLOOKUP(F4217, Inventory!A:BZ, 3, FALSE) - SUMIF($F$1:$F4216, F4217, $H$1:$H4216))
</f>
        <v/>
      </c>
      <c r="I4217" s="26"/>
      <c r="J4217" s="26" t="s">
        <v>77</v>
      </c>
      <c r="L4217" s="27" t="s">
        <v>77</v>
      </c>
      <c r="N4217" s="28" t="s">
        <v>77</v>
      </c>
      <c r="Q4217" s="30"/>
    </row>
    <row r="4218">
      <c r="B4218" s="6"/>
      <c r="C4218" s="33" t="str">
        <f t="array" ref="C4218">IF(B4218="", "", XLOOKUP(B4218, Inventory!D:D,Inventory!E:E,"No Name Found"))</f>
        <v/>
      </c>
      <c r="D4218" s="6"/>
      <c r="E4218" s="6"/>
      <c r="F4218" s="6"/>
      <c r="G4218" s="24" t="str">
        <f>IF(F4218="", "", VLOOKUP(F4218, Inventory!A:BZ, 3, FALSE) - SUMIF($F$1:$F4217, F4218, $H$1:$H4217))
</f>
        <v/>
      </c>
      <c r="I4218" s="26"/>
      <c r="J4218" s="26" t="s">
        <v>77</v>
      </c>
      <c r="L4218" s="27" t="s">
        <v>77</v>
      </c>
      <c r="N4218" s="28" t="s">
        <v>77</v>
      </c>
      <c r="Q4218" s="30"/>
    </row>
    <row r="4219">
      <c r="B4219" s="6"/>
      <c r="C4219" s="33" t="str">
        <f t="array" ref="C4219">IF(B4219="", "", XLOOKUP(B4219, Inventory!D:D,Inventory!E:E,"No Name Found"))</f>
        <v/>
      </c>
      <c r="D4219" s="6"/>
      <c r="E4219" s="6"/>
      <c r="F4219" s="6"/>
      <c r="G4219" s="24" t="str">
        <f>IF(F4219="", "", VLOOKUP(F4219, Inventory!A:BZ, 3, FALSE) - SUMIF($F$1:$F4218, F4219, $H$1:$H4218))
</f>
        <v/>
      </c>
      <c r="I4219" s="26"/>
      <c r="J4219" s="26" t="s">
        <v>77</v>
      </c>
      <c r="L4219" s="27" t="s">
        <v>77</v>
      </c>
      <c r="N4219" s="28" t="s">
        <v>77</v>
      </c>
      <c r="Q4219" s="30"/>
    </row>
    <row r="4220">
      <c r="B4220" s="6"/>
      <c r="C4220" s="33" t="str">
        <f t="array" ref="C4220">IF(B4220="", "", XLOOKUP(B4220, Inventory!D:D,Inventory!E:E,"No Name Found"))</f>
        <v/>
      </c>
      <c r="D4220" s="6"/>
      <c r="E4220" s="6"/>
      <c r="F4220" s="6"/>
      <c r="G4220" s="24" t="str">
        <f>IF(F4220="", "", VLOOKUP(F4220, Inventory!A:BZ, 3, FALSE) - SUMIF($F$1:$F4219, F4220, $H$1:$H4219))
</f>
        <v/>
      </c>
      <c r="I4220" s="26"/>
      <c r="J4220" s="26" t="s">
        <v>77</v>
      </c>
      <c r="L4220" s="27" t="s">
        <v>77</v>
      </c>
      <c r="N4220" s="28" t="s">
        <v>77</v>
      </c>
      <c r="Q4220" s="30"/>
    </row>
    <row r="4221">
      <c r="B4221" s="6"/>
      <c r="C4221" s="33" t="str">
        <f t="array" ref="C4221">IF(B4221="", "", XLOOKUP(B4221, Inventory!D:D,Inventory!E:E,"No Name Found"))</f>
        <v/>
      </c>
      <c r="D4221" s="6"/>
      <c r="E4221" s="6"/>
      <c r="F4221" s="6"/>
      <c r="G4221" s="24" t="str">
        <f>IF(F4221="", "", VLOOKUP(F4221, Inventory!A:BZ, 3, FALSE) - SUMIF($F$1:$F4220, F4221, $H$1:$H4220))
</f>
        <v/>
      </c>
      <c r="I4221" s="26"/>
      <c r="J4221" s="26" t="s">
        <v>77</v>
      </c>
      <c r="L4221" s="27" t="s">
        <v>77</v>
      </c>
      <c r="N4221" s="28" t="s">
        <v>77</v>
      </c>
      <c r="Q4221" s="30"/>
    </row>
    <row r="4222">
      <c r="B4222" s="6"/>
      <c r="C4222" s="33" t="str">
        <f t="array" ref="C4222">IF(B4222="", "", XLOOKUP(B4222, Inventory!D:D,Inventory!E:E,"No Name Found"))</f>
        <v/>
      </c>
      <c r="D4222" s="6"/>
      <c r="E4222" s="6"/>
      <c r="F4222" s="6"/>
      <c r="G4222" s="24" t="str">
        <f>IF(F4222="", "", VLOOKUP(F4222, Inventory!A:BZ, 3, FALSE) - SUMIF($F$1:$F4221, F4222, $H$1:$H4221))
</f>
        <v/>
      </c>
      <c r="I4222" s="26"/>
      <c r="J4222" s="26" t="s">
        <v>77</v>
      </c>
      <c r="L4222" s="27" t="s">
        <v>77</v>
      </c>
      <c r="N4222" s="28" t="s">
        <v>77</v>
      </c>
      <c r="Q4222" s="30"/>
    </row>
    <row r="4223">
      <c r="B4223" s="6"/>
      <c r="C4223" s="33" t="str">
        <f t="array" ref="C4223">IF(B4223="", "", XLOOKUP(B4223, Inventory!D:D,Inventory!E:E,"No Name Found"))</f>
        <v/>
      </c>
      <c r="D4223" s="6"/>
      <c r="E4223" s="6"/>
      <c r="F4223" s="6"/>
      <c r="G4223" s="24" t="str">
        <f>IF(F4223="", "", VLOOKUP(F4223, Inventory!A:BZ, 3, FALSE) - SUMIF($F$1:$F4222, F4223, $H$1:$H4222))
</f>
        <v/>
      </c>
      <c r="I4223" s="26"/>
      <c r="J4223" s="26" t="s">
        <v>77</v>
      </c>
      <c r="L4223" s="27" t="s">
        <v>77</v>
      </c>
      <c r="N4223" s="28" t="s">
        <v>77</v>
      </c>
      <c r="Q4223" s="30"/>
    </row>
    <row r="4224">
      <c r="B4224" s="6"/>
      <c r="C4224" s="33" t="str">
        <f t="array" ref="C4224">IF(B4224="", "", XLOOKUP(B4224, Inventory!D:D,Inventory!E:E,"No Name Found"))</f>
        <v/>
      </c>
      <c r="D4224" s="6"/>
      <c r="E4224" s="6"/>
      <c r="F4224" s="6"/>
      <c r="G4224" s="24" t="str">
        <f>IF(F4224="", "", VLOOKUP(F4224, Inventory!A:BZ, 3, FALSE) - SUMIF($F$1:$F4223, F4224, $H$1:$H4223))
</f>
        <v/>
      </c>
      <c r="I4224" s="26"/>
      <c r="J4224" s="26" t="s">
        <v>77</v>
      </c>
      <c r="L4224" s="27" t="s">
        <v>77</v>
      </c>
      <c r="N4224" s="28" t="s">
        <v>77</v>
      </c>
      <c r="Q4224" s="30"/>
    </row>
    <row r="4225">
      <c r="B4225" s="6"/>
      <c r="C4225" s="33" t="str">
        <f t="array" ref="C4225">IF(B4225="", "", XLOOKUP(B4225, Inventory!D:D,Inventory!E:E,"No Name Found"))</f>
        <v/>
      </c>
      <c r="D4225" s="6"/>
      <c r="E4225" s="6"/>
      <c r="F4225" s="6"/>
      <c r="G4225" s="24" t="str">
        <f>IF(F4225="", "", VLOOKUP(F4225, Inventory!A:BZ, 3, FALSE) - SUMIF($F$1:$F4224, F4225, $H$1:$H4224))
</f>
        <v/>
      </c>
      <c r="I4225" s="26"/>
      <c r="J4225" s="26" t="s">
        <v>77</v>
      </c>
      <c r="L4225" s="27" t="s">
        <v>77</v>
      </c>
      <c r="N4225" s="28" t="s">
        <v>77</v>
      </c>
      <c r="Q4225" s="30"/>
    </row>
    <row r="4226">
      <c r="B4226" s="6"/>
      <c r="C4226" s="33" t="str">
        <f t="array" ref="C4226">IF(B4226="", "", XLOOKUP(B4226, Inventory!D:D,Inventory!E:E,"No Name Found"))</f>
        <v/>
      </c>
      <c r="D4226" s="6"/>
      <c r="E4226" s="6"/>
      <c r="F4226" s="6"/>
      <c r="G4226" s="24" t="str">
        <f>IF(F4226="", "", VLOOKUP(F4226, Inventory!A:BZ, 3, FALSE) - SUMIF($F$1:$F4225, F4226, $H$1:$H4225))
</f>
        <v/>
      </c>
      <c r="I4226" s="26"/>
      <c r="J4226" s="26" t="s">
        <v>77</v>
      </c>
      <c r="L4226" s="27" t="s">
        <v>77</v>
      </c>
      <c r="N4226" s="28" t="s">
        <v>77</v>
      </c>
      <c r="Q4226" s="30"/>
    </row>
    <row r="4227">
      <c r="B4227" s="6"/>
      <c r="C4227" s="33" t="str">
        <f t="array" ref="C4227">IF(B4227="", "", XLOOKUP(B4227, Inventory!D:D,Inventory!E:E,"No Name Found"))</f>
        <v/>
      </c>
      <c r="D4227" s="6"/>
      <c r="E4227" s="6"/>
      <c r="F4227" s="6"/>
      <c r="G4227" s="24" t="str">
        <f>IF(F4227="", "", VLOOKUP(F4227, Inventory!A:BZ, 3, FALSE) - SUMIF($F$1:$F4226, F4227, $H$1:$H4226))
</f>
        <v/>
      </c>
      <c r="I4227" s="26"/>
      <c r="J4227" s="26" t="s">
        <v>77</v>
      </c>
      <c r="L4227" s="27" t="s">
        <v>77</v>
      </c>
      <c r="N4227" s="28" t="s">
        <v>77</v>
      </c>
      <c r="Q4227" s="30"/>
    </row>
    <row r="4228">
      <c r="B4228" s="6"/>
      <c r="C4228" s="33" t="str">
        <f t="array" ref="C4228">IF(B4228="", "", XLOOKUP(B4228, Inventory!D:D,Inventory!E:E,"No Name Found"))</f>
        <v/>
      </c>
      <c r="D4228" s="6"/>
      <c r="E4228" s="6"/>
      <c r="F4228" s="6"/>
      <c r="G4228" s="24" t="str">
        <f>IF(F4228="", "", VLOOKUP(F4228, Inventory!A:BZ, 3, FALSE) - SUMIF($F$1:$F4227, F4228, $H$1:$H4227))
</f>
        <v/>
      </c>
      <c r="I4228" s="26"/>
      <c r="J4228" s="26" t="s">
        <v>77</v>
      </c>
      <c r="L4228" s="27" t="s">
        <v>77</v>
      </c>
      <c r="N4228" s="28" t="s">
        <v>77</v>
      </c>
      <c r="Q4228" s="30"/>
    </row>
    <row r="4229">
      <c r="B4229" s="6"/>
      <c r="C4229" s="33" t="str">
        <f t="array" ref="C4229">IF(B4229="", "", XLOOKUP(B4229, Inventory!D:D,Inventory!E:E,"No Name Found"))</f>
        <v/>
      </c>
      <c r="D4229" s="6"/>
      <c r="E4229" s="6"/>
      <c r="F4229" s="6"/>
      <c r="G4229" s="24" t="str">
        <f>IF(F4229="", "", VLOOKUP(F4229, Inventory!A:BZ, 3, FALSE) - SUMIF($F$1:$F4228, F4229, $H$1:$H4228))
</f>
        <v/>
      </c>
      <c r="I4229" s="26"/>
      <c r="J4229" s="26" t="s">
        <v>77</v>
      </c>
      <c r="L4229" s="27" t="s">
        <v>77</v>
      </c>
      <c r="N4229" s="28" t="s">
        <v>77</v>
      </c>
      <c r="Q4229" s="30"/>
    </row>
    <row r="4230">
      <c r="B4230" s="6"/>
      <c r="C4230" s="33" t="str">
        <f t="array" ref="C4230">IF(B4230="", "", XLOOKUP(B4230, Inventory!D:D,Inventory!E:E,"No Name Found"))</f>
        <v/>
      </c>
      <c r="D4230" s="6"/>
      <c r="E4230" s="6"/>
      <c r="F4230" s="6"/>
      <c r="G4230" s="24" t="str">
        <f>IF(F4230="", "", VLOOKUP(F4230, Inventory!A:BZ, 3, FALSE) - SUMIF($F$1:$F4229, F4230, $H$1:$H4229))
</f>
        <v/>
      </c>
      <c r="I4230" s="26"/>
      <c r="J4230" s="26" t="s">
        <v>77</v>
      </c>
      <c r="L4230" s="27" t="s">
        <v>77</v>
      </c>
      <c r="N4230" s="28" t="s">
        <v>77</v>
      </c>
      <c r="Q4230" s="30"/>
    </row>
    <row r="4231">
      <c r="B4231" s="6"/>
      <c r="C4231" s="33" t="str">
        <f t="array" ref="C4231">IF(B4231="", "", XLOOKUP(B4231, Inventory!D:D,Inventory!E:E,"No Name Found"))</f>
        <v/>
      </c>
      <c r="D4231" s="6"/>
      <c r="E4231" s="6"/>
      <c r="F4231" s="6"/>
      <c r="G4231" s="24" t="str">
        <f>IF(F4231="", "", VLOOKUP(F4231, Inventory!A:BZ, 3, FALSE) - SUMIF($F$1:$F4230, F4231, $H$1:$H4230))
</f>
        <v/>
      </c>
      <c r="I4231" s="26"/>
      <c r="J4231" s="26" t="s">
        <v>77</v>
      </c>
      <c r="L4231" s="27" t="s">
        <v>77</v>
      </c>
      <c r="N4231" s="28" t="s">
        <v>77</v>
      </c>
      <c r="Q4231" s="30"/>
    </row>
    <row r="4232">
      <c r="B4232" s="6"/>
      <c r="C4232" s="33" t="str">
        <f t="array" ref="C4232">IF(B4232="", "", XLOOKUP(B4232, Inventory!D:D,Inventory!E:E,"No Name Found"))</f>
        <v/>
      </c>
      <c r="D4232" s="6"/>
      <c r="E4232" s="6"/>
      <c r="F4232" s="6"/>
      <c r="G4232" s="24" t="str">
        <f>IF(F4232="", "", VLOOKUP(F4232, Inventory!A:BZ, 3, FALSE) - SUMIF($F$1:$F4231, F4232, $H$1:$H4231))
</f>
        <v/>
      </c>
      <c r="I4232" s="26"/>
      <c r="J4232" s="26" t="s">
        <v>77</v>
      </c>
      <c r="L4232" s="27" t="s">
        <v>77</v>
      </c>
      <c r="N4232" s="28" t="s">
        <v>77</v>
      </c>
      <c r="Q4232" s="30"/>
    </row>
    <row r="4233">
      <c r="B4233" s="6"/>
      <c r="C4233" s="33" t="str">
        <f t="array" ref="C4233">IF(B4233="", "", XLOOKUP(B4233, Inventory!D:D,Inventory!E:E,"No Name Found"))</f>
        <v/>
      </c>
      <c r="D4233" s="6"/>
      <c r="E4233" s="6"/>
      <c r="F4233" s="6"/>
      <c r="G4233" s="24" t="str">
        <f>IF(F4233="", "", VLOOKUP(F4233, Inventory!A:BZ, 3, FALSE) - SUMIF($F$1:$F4232, F4233, $H$1:$H4232))
</f>
        <v/>
      </c>
      <c r="I4233" s="26"/>
      <c r="J4233" s="26" t="s">
        <v>77</v>
      </c>
      <c r="L4233" s="27" t="s">
        <v>77</v>
      </c>
      <c r="N4233" s="28" t="s">
        <v>77</v>
      </c>
      <c r="Q4233" s="30"/>
    </row>
    <row r="4234">
      <c r="B4234" s="6"/>
      <c r="C4234" s="33" t="str">
        <f t="array" ref="C4234">IF(B4234="", "", XLOOKUP(B4234, Inventory!D:D,Inventory!E:E,"No Name Found"))</f>
        <v/>
      </c>
      <c r="D4234" s="6"/>
      <c r="E4234" s="6"/>
      <c r="F4234" s="6"/>
      <c r="G4234" s="24" t="str">
        <f>IF(F4234="", "", VLOOKUP(F4234, Inventory!A:BZ, 3, FALSE) - SUMIF($F$1:$F4233, F4234, $H$1:$H4233))
</f>
        <v/>
      </c>
      <c r="I4234" s="26"/>
      <c r="J4234" s="26" t="s">
        <v>77</v>
      </c>
      <c r="L4234" s="27" t="s">
        <v>77</v>
      </c>
      <c r="N4234" s="28" t="s">
        <v>77</v>
      </c>
      <c r="Q4234" s="30"/>
    </row>
    <row r="4235">
      <c r="B4235" s="6"/>
      <c r="C4235" s="33" t="str">
        <f t="array" ref="C4235">IF(B4235="", "", XLOOKUP(B4235, Inventory!D:D,Inventory!E:E,"No Name Found"))</f>
        <v/>
      </c>
      <c r="D4235" s="6"/>
      <c r="E4235" s="6"/>
      <c r="F4235" s="6"/>
      <c r="G4235" s="24" t="str">
        <f>IF(F4235="", "", VLOOKUP(F4235, Inventory!A:BZ, 3, FALSE) - SUMIF($F$1:$F4234, F4235, $H$1:$H4234))
</f>
        <v/>
      </c>
      <c r="I4235" s="26"/>
      <c r="J4235" s="26" t="s">
        <v>77</v>
      </c>
      <c r="L4235" s="27" t="s">
        <v>77</v>
      </c>
      <c r="N4235" s="28" t="s">
        <v>77</v>
      </c>
      <c r="Q4235" s="30"/>
    </row>
    <row r="4236">
      <c r="B4236" s="6"/>
      <c r="C4236" s="33" t="str">
        <f t="array" ref="C4236">IF(B4236="", "", XLOOKUP(B4236, Inventory!D:D,Inventory!E:E,"No Name Found"))</f>
        <v/>
      </c>
      <c r="D4236" s="6"/>
      <c r="E4236" s="6"/>
      <c r="F4236" s="6"/>
      <c r="G4236" s="24" t="str">
        <f>IF(F4236="", "", VLOOKUP(F4236, Inventory!A:BZ, 3, FALSE) - SUMIF($F$1:$F4235, F4236, $H$1:$H4235))
</f>
        <v/>
      </c>
      <c r="I4236" s="26"/>
      <c r="J4236" s="26" t="s">
        <v>77</v>
      </c>
      <c r="L4236" s="27" t="s">
        <v>77</v>
      </c>
      <c r="N4236" s="28" t="s">
        <v>77</v>
      </c>
      <c r="Q4236" s="30"/>
    </row>
    <row r="4237">
      <c r="B4237" s="6"/>
      <c r="C4237" s="33" t="str">
        <f t="array" ref="C4237">IF(B4237="", "", XLOOKUP(B4237, Inventory!D:D,Inventory!E:E,"No Name Found"))</f>
        <v/>
      </c>
      <c r="D4237" s="6"/>
      <c r="E4237" s="6"/>
      <c r="F4237" s="6"/>
      <c r="G4237" s="24" t="str">
        <f>IF(F4237="", "", VLOOKUP(F4237, Inventory!A:BZ, 3, FALSE) - SUMIF($F$1:$F4236, F4237, $H$1:$H4236))
</f>
        <v/>
      </c>
      <c r="I4237" s="26"/>
      <c r="J4237" s="26" t="s">
        <v>77</v>
      </c>
      <c r="L4237" s="27" t="s">
        <v>77</v>
      </c>
      <c r="N4237" s="28" t="s">
        <v>77</v>
      </c>
      <c r="Q4237" s="30"/>
    </row>
    <row r="4238">
      <c r="B4238" s="6"/>
      <c r="C4238" s="33" t="str">
        <f t="array" ref="C4238">IF(B4238="", "", XLOOKUP(B4238, Inventory!D:D,Inventory!E:E,"No Name Found"))</f>
        <v/>
      </c>
      <c r="D4238" s="6"/>
      <c r="E4238" s="6"/>
      <c r="F4238" s="6"/>
      <c r="G4238" s="24" t="str">
        <f>IF(F4238="", "", VLOOKUP(F4238, Inventory!A:BZ, 3, FALSE) - SUMIF($F$1:$F4237, F4238, $H$1:$H4237))
</f>
        <v/>
      </c>
      <c r="I4238" s="26"/>
      <c r="J4238" s="26" t="s">
        <v>77</v>
      </c>
      <c r="L4238" s="27" t="s">
        <v>77</v>
      </c>
      <c r="N4238" s="28" t="s">
        <v>77</v>
      </c>
      <c r="Q4238" s="30"/>
    </row>
    <row r="4239">
      <c r="B4239" s="6"/>
      <c r="C4239" s="33" t="str">
        <f t="array" ref="C4239">IF(B4239="", "", XLOOKUP(B4239, Inventory!D:D,Inventory!E:E,"No Name Found"))</f>
        <v/>
      </c>
      <c r="D4239" s="6"/>
      <c r="E4239" s="6"/>
      <c r="F4239" s="6"/>
      <c r="G4239" s="24" t="str">
        <f>IF(F4239="", "", VLOOKUP(F4239, Inventory!A:BZ, 3, FALSE) - SUMIF($F$1:$F4238, F4239, $H$1:$H4238))
</f>
        <v/>
      </c>
      <c r="I4239" s="26"/>
      <c r="J4239" s="26" t="s">
        <v>77</v>
      </c>
      <c r="L4239" s="27" t="s">
        <v>77</v>
      </c>
      <c r="N4239" s="28" t="s">
        <v>77</v>
      </c>
      <c r="Q4239" s="30"/>
    </row>
    <row r="4240">
      <c r="B4240" s="6"/>
      <c r="C4240" s="33" t="str">
        <f t="array" ref="C4240">IF(B4240="", "", XLOOKUP(B4240, Inventory!D:D,Inventory!E:E,"No Name Found"))</f>
        <v/>
      </c>
      <c r="D4240" s="6"/>
      <c r="E4240" s="6"/>
      <c r="F4240" s="6"/>
      <c r="G4240" s="24" t="str">
        <f>IF(F4240="", "", VLOOKUP(F4240, Inventory!A:BZ, 3, FALSE) - SUMIF($F$1:$F4239, F4240, $H$1:$H4239))
</f>
        <v/>
      </c>
      <c r="I4240" s="26"/>
      <c r="J4240" s="26" t="s">
        <v>77</v>
      </c>
      <c r="L4240" s="27" t="s">
        <v>77</v>
      </c>
      <c r="N4240" s="28" t="s">
        <v>77</v>
      </c>
      <c r="Q4240" s="30"/>
    </row>
    <row r="4241">
      <c r="B4241" s="6"/>
      <c r="C4241" s="33" t="str">
        <f t="array" ref="C4241">IF(B4241="", "", XLOOKUP(B4241, Inventory!D:D,Inventory!E:E,"No Name Found"))</f>
        <v/>
      </c>
      <c r="D4241" s="6"/>
      <c r="E4241" s="6"/>
      <c r="F4241" s="6"/>
      <c r="G4241" s="24" t="str">
        <f>IF(F4241="", "", VLOOKUP(F4241, Inventory!A:BZ, 3, FALSE) - SUMIF($F$1:$F4240, F4241, $H$1:$H4240))
</f>
        <v/>
      </c>
      <c r="I4241" s="26"/>
      <c r="J4241" s="26" t="s">
        <v>77</v>
      </c>
      <c r="L4241" s="27" t="s">
        <v>77</v>
      </c>
      <c r="N4241" s="28" t="s">
        <v>77</v>
      </c>
      <c r="Q4241" s="30"/>
    </row>
    <row r="4242">
      <c r="B4242" s="6"/>
      <c r="C4242" s="33" t="str">
        <f t="array" ref="C4242">IF(B4242="", "", XLOOKUP(B4242, Inventory!D:D,Inventory!E:E,"No Name Found"))</f>
        <v/>
      </c>
      <c r="D4242" s="6"/>
      <c r="E4242" s="6"/>
      <c r="F4242" s="6"/>
      <c r="G4242" s="24" t="str">
        <f>IF(F4242="", "", VLOOKUP(F4242, Inventory!A:BZ, 3, FALSE) - SUMIF($F$1:$F4241, F4242, $H$1:$H4241))
</f>
        <v/>
      </c>
      <c r="I4242" s="26"/>
      <c r="J4242" s="26" t="s">
        <v>77</v>
      </c>
      <c r="L4242" s="27" t="s">
        <v>77</v>
      </c>
      <c r="N4242" s="28" t="s">
        <v>77</v>
      </c>
      <c r="Q4242" s="30"/>
    </row>
    <row r="4243">
      <c r="B4243" s="6"/>
      <c r="C4243" s="33" t="str">
        <f t="array" ref="C4243">IF(B4243="", "", XLOOKUP(B4243, Inventory!D:D,Inventory!E:E,"No Name Found"))</f>
        <v/>
      </c>
      <c r="D4243" s="6"/>
      <c r="E4243" s="6"/>
      <c r="F4243" s="6"/>
      <c r="G4243" s="24" t="str">
        <f>IF(F4243="", "", VLOOKUP(F4243, Inventory!A:BZ, 3, FALSE) - SUMIF($F$1:$F4242, F4243, $H$1:$H4242))
</f>
        <v/>
      </c>
      <c r="I4243" s="26"/>
      <c r="J4243" s="26" t="s">
        <v>77</v>
      </c>
      <c r="L4243" s="27" t="s">
        <v>77</v>
      </c>
      <c r="N4243" s="28" t="s">
        <v>77</v>
      </c>
      <c r="Q4243" s="30"/>
    </row>
    <row r="4244">
      <c r="B4244" s="6"/>
      <c r="C4244" s="33" t="str">
        <f t="array" ref="C4244">IF(B4244="", "", XLOOKUP(B4244, Inventory!D:D,Inventory!E:E,"No Name Found"))</f>
        <v/>
      </c>
      <c r="D4244" s="6"/>
      <c r="E4244" s="6"/>
      <c r="F4244" s="6"/>
      <c r="G4244" s="24" t="str">
        <f>IF(F4244="", "", VLOOKUP(F4244, Inventory!A:BZ, 3, FALSE) - SUMIF($F$1:$F4243, F4244, $H$1:$H4243))
</f>
        <v/>
      </c>
      <c r="I4244" s="26"/>
      <c r="J4244" s="26" t="s">
        <v>77</v>
      </c>
      <c r="L4244" s="27" t="s">
        <v>77</v>
      </c>
      <c r="N4244" s="28" t="s">
        <v>77</v>
      </c>
      <c r="Q4244" s="30"/>
    </row>
    <row r="4245">
      <c r="B4245" s="6"/>
      <c r="C4245" s="33" t="str">
        <f t="array" ref="C4245">IF(B4245="", "", XLOOKUP(B4245, Inventory!D:D,Inventory!E:E,"No Name Found"))</f>
        <v/>
      </c>
      <c r="D4245" s="6"/>
      <c r="E4245" s="6"/>
      <c r="F4245" s="6"/>
      <c r="G4245" s="24" t="str">
        <f>IF(F4245="", "", VLOOKUP(F4245, Inventory!A:BZ, 3, FALSE) - SUMIF($F$1:$F4244, F4245, $H$1:$H4244))
</f>
        <v/>
      </c>
      <c r="I4245" s="26"/>
      <c r="J4245" s="26" t="s">
        <v>77</v>
      </c>
      <c r="L4245" s="27" t="s">
        <v>77</v>
      </c>
      <c r="N4245" s="28" t="s">
        <v>77</v>
      </c>
      <c r="Q4245" s="30"/>
    </row>
    <row r="4246">
      <c r="B4246" s="6"/>
      <c r="C4246" s="33" t="str">
        <f t="array" ref="C4246">IF(B4246="", "", XLOOKUP(B4246, Inventory!D:D,Inventory!E:E,"No Name Found"))</f>
        <v/>
      </c>
      <c r="D4246" s="6"/>
      <c r="E4246" s="6"/>
      <c r="F4246" s="6"/>
      <c r="G4246" s="24" t="str">
        <f>IF(F4246="", "", VLOOKUP(F4246, Inventory!A:BZ, 3, FALSE) - SUMIF($F$1:$F4245, F4246, $H$1:$H4245))
</f>
        <v/>
      </c>
      <c r="I4246" s="26"/>
      <c r="J4246" s="26" t="s">
        <v>77</v>
      </c>
      <c r="L4246" s="27" t="s">
        <v>77</v>
      </c>
      <c r="N4246" s="28" t="s">
        <v>77</v>
      </c>
      <c r="Q4246" s="30"/>
    </row>
    <row r="4247">
      <c r="B4247" s="6"/>
      <c r="C4247" s="33" t="str">
        <f t="array" ref="C4247">IF(B4247="", "", XLOOKUP(B4247, Inventory!D:D,Inventory!E:E,"No Name Found"))</f>
        <v/>
      </c>
      <c r="D4247" s="6"/>
      <c r="E4247" s="6"/>
      <c r="F4247" s="6"/>
      <c r="G4247" s="24" t="str">
        <f>IF(F4247="", "", VLOOKUP(F4247, Inventory!A:BZ, 3, FALSE) - SUMIF($F$1:$F4246, F4247, $H$1:$H4246))
</f>
        <v/>
      </c>
      <c r="I4247" s="26"/>
      <c r="J4247" s="26" t="s">
        <v>77</v>
      </c>
      <c r="L4247" s="27" t="s">
        <v>77</v>
      </c>
      <c r="N4247" s="28" t="s">
        <v>77</v>
      </c>
      <c r="Q4247" s="30"/>
    </row>
    <row r="4248">
      <c r="B4248" s="6"/>
      <c r="C4248" s="33" t="str">
        <f t="array" ref="C4248">IF(B4248="", "", XLOOKUP(B4248, Inventory!D:D,Inventory!E:E,"No Name Found"))</f>
        <v/>
      </c>
      <c r="D4248" s="6"/>
      <c r="E4248" s="6"/>
      <c r="F4248" s="6"/>
      <c r="G4248" s="24" t="str">
        <f>IF(F4248="", "", VLOOKUP(F4248, Inventory!A:BZ, 3, FALSE) - SUMIF($F$1:$F4247, F4248, $H$1:$H4247))
</f>
        <v/>
      </c>
      <c r="I4248" s="26"/>
      <c r="J4248" s="26" t="s">
        <v>77</v>
      </c>
      <c r="L4248" s="27" t="s">
        <v>77</v>
      </c>
      <c r="N4248" s="28" t="s">
        <v>77</v>
      </c>
      <c r="Q4248" s="30"/>
    </row>
    <row r="4249">
      <c r="B4249" s="6"/>
      <c r="C4249" s="33" t="str">
        <f t="array" ref="C4249">IF(B4249="", "", XLOOKUP(B4249, Inventory!D:D,Inventory!E:E,"No Name Found"))</f>
        <v/>
      </c>
      <c r="D4249" s="6"/>
      <c r="E4249" s="6"/>
      <c r="F4249" s="6"/>
      <c r="G4249" s="24" t="str">
        <f>IF(F4249="", "", VLOOKUP(F4249, Inventory!A:BZ, 3, FALSE) - SUMIF($F$1:$F4248, F4249, $H$1:$H4248))
</f>
        <v/>
      </c>
      <c r="I4249" s="26"/>
      <c r="J4249" s="26" t="s">
        <v>77</v>
      </c>
      <c r="L4249" s="27" t="s">
        <v>77</v>
      </c>
      <c r="N4249" s="28" t="s">
        <v>77</v>
      </c>
      <c r="Q4249" s="30"/>
    </row>
    <row r="4250">
      <c r="B4250" s="6"/>
      <c r="C4250" s="33" t="str">
        <f t="array" ref="C4250">IF(B4250="", "", XLOOKUP(B4250, Inventory!D:D,Inventory!E:E,"No Name Found"))</f>
        <v/>
      </c>
      <c r="D4250" s="6"/>
      <c r="E4250" s="6"/>
      <c r="F4250" s="6"/>
      <c r="G4250" s="24" t="str">
        <f>IF(F4250="", "", VLOOKUP(F4250, Inventory!A:BZ, 3, FALSE) - SUMIF($F$1:$F4249, F4250, $H$1:$H4249))
</f>
        <v/>
      </c>
      <c r="I4250" s="26"/>
      <c r="J4250" s="26" t="s">
        <v>77</v>
      </c>
      <c r="L4250" s="27" t="s">
        <v>77</v>
      </c>
      <c r="N4250" s="28" t="s">
        <v>77</v>
      </c>
      <c r="Q4250" s="30"/>
    </row>
    <row r="4251">
      <c r="B4251" s="6"/>
      <c r="C4251" s="33" t="str">
        <f t="array" ref="C4251">IF(B4251="", "", XLOOKUP(B4251, Inventory!D:D,Inventory!E:E,"No Name Found"))</f>
        <v/>
      </c>
      <c r="D4251" s="6"/>
      <c r="E4251" s="6"/>
      <c r="F4251" s="6"/>
      <c r="G4251" s="24" t="str">
        <f>IF(F4251="", "", VLOOKUP(F4251, Inventory!A:BZ, 3, FALSE) - SUMIF($F$1:$F4250, F4251, $H$1:$H4250))
</f>
        <v/>
      </c>
      <c r="I4251" s="26"/>
      <c r="J4251" s="26" t="s">
        <v>77</v>
      </c>
      <c r="L4251" s="27" t="s">
        <v>77</v>
      </c>
      <c r="N4251" s="28" t="s">
        <v>77</v>
      </c>
      <c r="Q4251" s="30"/>
    </row>
    <row r="4252">
      <c r="B4252" s="6"/>
      <c r="C4252" s="33" t="str">
        <f t="array" ref="C4252">IF(B4252="", "", XLOOKUP(B4252, Inventory!D:D,Inventory!E:E,"No Name Found"))</f>
        <v/>
      </c>
      <c r="D4252" s="6"/>
      <c r="E4252" s="6"/>
      <c r="F4252" s="6"/>
      <c r="G4252" s="24" t="str">
        <f>IF(F4252="", "", VLOOKUP(F4252, Inventory!A:BZ, 3, FALSE) - SUMIF($F$1:$F4251, F4252, $H$1:$H4251))
</f>
        <v/>
      </c>
      <c r="I4252" s="26"/>
      <c r="J4252" s="26" t="s">
        <v>77</v>
      </c>
      <c r="L4252" s="27" t="s">
        <v>77</v>
      </c>
      <c r="N4252" s="28" t="s">
        <v>77</v>
      </c>
      <c r="Q4252" s="30"/>
    </row>
    <row r="4253">
      <c r="B4253" s="6"/>
      <c r="C4253" s="33" t="str">
        <f t="array" ref="C4253">IF(B4253="", "", XLOOKUP(B4253, Inventory!D:D,Inventory!E:E,"No Name Found"))</f>
        <v/>
      </c>
      <c r="D4253" s="6"/>
      <c r="E4253" s="6"/>
      <c r="F4253" s="6"/>
      <c r="G4253" s="24" t="str">
        <f>IF(F4253="", "", VLOOKUP(F4253, Inventory!A:BZ, 3, FALSE) - SUMIF($F$1:$F4252, F4253, $H$1:$H4252))
</f>
        <v/>
      </c>
      <c r="I4253" s="26"/>
      <c r="J4253" s="26" t="s">
        <v>77</v>
      </c>
      <c r="L4253" s="27" t="s">
        <v>77</v>
      </c>
      <c r="N4253" s="28" t="s">
        <v>77</v>
      </c>
      <c r="Q4253" s="30"/>
    </row>
    <row r="4254">
      <c r="B4254" s="6"/>
      <c r="C4254" s="33" t="str">
        <f t="array" ref="C4254">IF(B4254="", "", XLOOKUP(B4254, Inventory!D:D,Inventory!E:E,"No Name Found"))</f>
        <v/>
      </c>
      <c r="D4254" s="6"/>
      <c r="E4254" s="6"/>
      <c r="F4254" s="6"/>
      <c r="G4254" s="24" t="str">
        <f>IF(F4254="", "", VLOOKUP(F4254, Inventory!A:BZ, 3, FALSE) - SUMIF($F$1:$F4253, F4254, $H$1:$H4253))
</f>
        <v/>
      </c>
      <c r="I4254" s="26"/>
      <c r="J4254" s="26" t="s">
        <v>77</v>
      </c>
      <c r="L4254" s="27" t="s">
        <v>77</v>
      </c>
      <c r="N4254" s="28" t="s">
        <v>77</v>
      </c>
      <c r="Q4254" s="30"/>
    </row>
    <row r="4255">
      <c r="B4255" s="6"/>
      <c r="C4255" s="33" t="str">
        <f t="array" ref="C4255">IF(B4255="", "", XLOOKUP(B4255, Inventory!D:D,Inventory!E:E,"No Name Found"))</f>
        <v/>
      </c>
      <c r="D4255" s="6"/>
      <c r="E4255" s="6"/>
      <c r="F4255" s="6"/>
      <c r="G4255" s="24" t="str">
        <f>IF(F4255="", "", VLOOKUP(F4255, Inventory!A:BZ, 3, FALSE) - SUMIF($F$1:$F4254, F4255, $H$1:$H4254))
</f>
        <v/>
      </c>
      <c r="I4255" s="26"/>
      <c r="J4255" s="26" t="s">
        <v>77</v>
      </c>
      <c r="L4255" s="27" t="s">
        <v>77</v>
      </c>
      <c r="N4255" s="28" t="s">
        <v>77</v>
      </c>
      <c r="Q4255" s="30"/>
    </row>
    <row r="4256">
      <c r="B4256" s="6"/>
      <c r="C4256" s="33" t="str">
        <f t="array" ref="C4256">IF(B4256="", "", XLOOKUP(B4256, Inventory!D:D,Inventory!E:E,"No Name Found"))</f>
        <v/>
      </c>
      <c r="D4256" s="6"/>
      <c r="E4256" s="6"/>
      <c r="F4256" s="6"/>
      <c r="G4256" s="24" t="str">
        <f>IF(F4256="", "", VLOOKUP(F4256, Inventory!A:BZ, 3, FALSE) - SUMIF($F$1:$F4255, F4256, $H$1:$H4255))
</f>
        <v/>
      </c>
      <c r="I4256" s="26"/>
      <c r="J4256" s="26" t="s">
        <v>77</v>
      </c>
      <c r="L4256" s="27" t="s">
        <v>77</v>
      </c>
      <c r="N4256" s="28" t="s">
        <v>77</v>
      </c>
      <c r="Q4256" s="30"/>
    </row>
    <row r="4257">
      <c r="B4257" s="6"/>
      <c r="C4257" s="33" t="str">
        <f t="array" ref="C4257">IF(B4257="", "", XLOOKUP(B4257, Inventory!D:D,Inventory!E:E,"No Name Found"))</f>
        <v/>
      </c>
      <c r="D4257" s="6"/>
      <c r="E4257" s="6"/>
      <c r="F4257" s="6"/>
      <c r="G4257" s="24" t="str">
        <f>IF(F4257="", "", VLOOKUP(F4257, Inventory!A:BZ, 3, FALSE) - SUMIF($F$1:$F4256, F4257, $H$1:$H4256))
</f>
        <v/>
      </c>
      <c r="I4257" s="26"/>
      <c r="J4257" s="26" t="s">
        <v>77</v>
      </c>
      <c r="L4257" s="27" t="s">
        <v>77</v>
      </c>
      <c r="N4257" s="28" t="s">
        <v>77</v>
      </c>
      <c r="Q4257" s="30"/>
    </row>
    <row r="4258">
      <c r="B4258" s="6"/>
      <c r="C4258" s="33" t="str">
        <f t="array" ref="C4258">IF(B4258="", "", XLOOKUP(B4258, Inventory!D:D,Inventory!E:E,"No Name Found"))</f>
        <v/>
      </c>
      <c r="D4258" s="6"/>
      <c r="E4258" s="6"/>
      <c r="F4258" s="6"/>
      <c r="G4258" s="24" t="str">
        <f>IF(F4258="", "", VLOOKUP(F4258, Inventory!A:BZ, 3, FALSE) - SUMIF($F$1:$F4257, F4258, $H$1:$H4257))
</f>
        <v/>
      </c>
      <c r="I4258" s="26"/>
      <c r="J4258" s="26" t="s">
        <v>77</v>
      </c>
      <c r="L4258" s="27" t="s">
        <v>77</v>
      </c>
      <c r="N4258" s="28" t="s">
        <v>77</v>
      </c>
      <c r="Q4258" s="30"/>
    </row>
    <row r="4259">
      <c r="B4259" s="6"/>
      <c r="C4259" s="33" t="str">
        <f t="array" ref="C4259">IF(B4259="", "", XLOOKUP(B4259, Inventory!D:D,Inventory!E:E,"No Name Found"))</f>
        <v/>
      </c>
      <c r="D4259" s="6"/>
      <c r="E4259" s="6"/>
      <c r="F4259" s="6"/>
      <c r="G4259" s="24" t="str">
        <f>IF(F4259="", "", VLOOKUP(F4259, Inventory!A:BZ, 3, FALSE) - SUMIF($F$1:$F4258, F4259, $H$1:$H4258))
</f>
        <v/>
      </c>
      <c r="I4259" s="26"/>
      <c r="J4259" s="26" t="s">
        <v>77</v>
      </c>
      <c r="L4259" s="27" t="s">
        <v>77</v>
      </c>
      <c r="N4259" s="28" t="s">
        <v>77</v>
      </c>
      <c r="Q4259" s="30"/>
    </row>
    <row r="4260">
      <c r="B4260" s="6"/>
      <c r="C4260" s="33" t="str">
        <f t="array" ref="C4260">IF(B4260="", "", XLOOKUP(B4260, Inventory!D:D,Inventory!E:E,"No Name Found"))</f>
        <v/>
      </c>
      <c r="D4260" s="6"/>
      <c r="E4260" s="6"/>
      <c r="F4260" s="6"/>
      <c r="G4260" s="24" t="str">
        <f>IF(F4260="", "", VLOOKUP(F4260, Inventory!A:BZ, 3, FALSE) - SUMIF($F$1:$F4259, F4260, $H$1:$H4259))
</f>
        <v/>
      </c>
      <c r="I4260" s="26"/>
      <c r="J4260" s="26" t="s">
        <v>77</v>
      </c>
      <c r="L4260" s="27" t="s">
        <v>77</v>
      </c>
      <c r="N4260" s="28" t="s">
        <v>77</v>
      </c>
      <c r="Q4260" s="30"/>
    </row>
    <row r="4261">
      <c r="B4261" s="6"/>
      <c r="C4261" s="33" t="str">
        <f t="array" ref="C4261">IF(B4261="", "", XLOOKUP(B4261, Inventory!D:D,Inventory!E:E,"No Name Found"))</f>
        <v/>
      </c>
      <c r="D4261" s="6"/>
      <c r="E4261" s="6"/>
      <c r="F4261" s="6"/>
      <c r="G4261" s="24" t="str">
        <f>IF(F4261="", "", VLOOKUP(F4261, Inventory!A:BZ, 3, FALSE) - SUMIF($F$1:$F4260, F4261, $H$1:$H4260))
</f>
        <v/>
      </c>
      <c r="I4261" s="26"/>
      <c r="J4261" s="26" t="s">
        <v>77</v>
      </c>
      <c r="L4261" s="27" t="s">
        <v>77</v>
      </c>
      <c r="N4261" s="28" t="s">
        <v>77</v>
      </c>
      <c r="Q4261" s="30"/>
    </row>
    <row r="4262">
      <c r="B4262" s="6"/>
      <c r="C4262" s="33" t="str">
        <f t="array" ref="C4262">IF(B4262="", "", XLOOKUP(B4262, Inventory!D:D,Inventory!E:E,"No Name Found"))</f>
        <v/>
      </c>
      <c r="D4262" s="6"/>
      <c r="E4262" s="6"/>
      <c r="F4262" s="6"/>
      <c r="G4262" s="24" t="str">
        <f>IF(F4262="", "", VLOOKUP(F4262, Inventory!A:BZ, 3, FALSE) - SUMIF($F$1:$F4261, F4262, $H$1:$H4261))
</f>
        <v/>
      </c>
      <c r="I4262" s="26"/>
      <c r="J4262" s="26" t="s">
        <v>77</v>
      </c>
      <c r="L4262" s="27" t="s">
        <v>77</v>
      </c>
      <c r="N4262" s="28" t="s">
        <v>77</v>
      </c>
      <c r="Q4262" s="30"/>
    </row>
    <row r="4263">
      <c r="B4263" s="6"/>
      <c r="C4263" s="33" t="str">
        <f t="array" ref="C4263">IF(B4263="", "", XLOOKUP(B4263, Inventory!D:D,Inventory!E:E,"No Name Found"))</f>
        <v/>
      </c>
      <c r="D4263" s="6"/>
      <c r="E4263" s="6"/>
      <c r="F4263" s="6"/>
      <c r="G4263" s="24" t="str">
        <f>IF(F4263="", "", VLOOKUP(F4263, Inventory!A:BZ, 3, FALSE) - SUMIF($F$1:$F4262, F4263, $H$1:$H4262))
</f>
        <v/>
      </c>
      <c r="I4263" s="26"/>
      <c r="J4263" s="26" t="s">
        <v>77</v>
      </c>
      <c r="L4263" s="27" t="s">
        <v>77</v>
      </c>
      <c r="N4263" s="28" t="s">
        <v>77</v>
      </c>
      <c r="Q4263" s="30"/>
    </row>
    <row r="4264">
      <c r="B4264" s="6"/>
      <c r="C4264" s="33" t="str">
        <f t="array" ref="C4264">IF(B4264="", "", XLOOKUP(B4264, Inventory!D:D,Inventory!E:E,"No Name Found"))</f>
        <v/>
      </c>
      <c r="D4264" s="6"/>
      <c r="E4264" s="6"/>
      <c r="F4264" s="6"/>
      <c r="G4264" s="24" t="str">
        <f>IF(F4264="", "", VLOOKUP(F4264, Inventory!A:BZ, 3, FALSE) - SUMIF($F$1:$F4263, F4264, $H$1:$H4263))
</f>
        <v/>
      </c>
      <c r="I4264" s="26"/>
      <c r="J4264" s="26" t="s">
        <v>77</v>
      </c>
      <c r="L4264" s="27" t="s">
        <v>77</v>
      </c>
      <c r="N4264" s="28" t="s">
        <v>77</v>
      </c>
      <c r="Q4264" s="30"/>
    </row>
    <row r="4265">
      <c r="B4265" s="6"/>
      <c r="C4265" s="33" t="str">
        <f t="array" ref="C4265">IF(B4265="", "", XLOOKUP(B4265, Inventory!D:D,Inventory!E:E,"No Name Found"))</f>
        <v/>
      </c>
      <c r="D4265" s="6"/>
      <c r="E4265" s="6"/>
      <c r="F4265" s="6"/>
      <c r="G4265" s="24" t="str">
        <f>IF(F4265="", "", VLOOKUP(F4265, Inventory!A:BZ, 3, FALSE) - SUMIF($F$1:$F4264, F4265, $H$1:$H4264))
</f>
        <v/>
      </c>
      <c r="I4265" s="26"/>
      <c r="J4265" s="26" t="s">
        <v>77</v>
      </c>
      <c r="L4265" s="27" t="s">
        <v>77</v>
      </c>
      <c r="N4265" s="28" t="s">
        <v>77</v>
      </c>
      <c r="Q4265" s="30"/>
    </row>
    <row r="4266">
      <c r="B4266" s="6"/>
      <c r="C4266" s="33" t="str">
        <f t="array" ref="C4266">IF(B4266="", "", XLOOKUP(B4266, Inventory!D:D,Inventory!E:E,"No Name Found"))</f>
        <v/>
      </c>
      <c r="D4266" s="6"/>
      <c r="E4266" s="6"/>
      <c r="F4266" s="6"/>
      <c r="G4266" s="24" t="str">
        <f>IF(F4266="", "", VLOOKUP(F4266, Inventory!A:BZ, 3, FALSE) - SUMIF($F$1:$F4265, F4266, $H$1:$H4265))
</f>
        <v/>
      </c>
      <c r="I4266" s="26"/>
      <c r="J4266" s="26" t="s">
        <v>77</v>
      </c>
      <c r="L4266" s="27" t="s">
        <v>77</v>
      </c>
      <c r="N4266" s="28" t="s">
        <v>77</v>
      </c>
      <c r="Q4266" s="30"/>
    </row>
    <row r="4267">
      <c r="B4267" s="6"/>
      <c r="C4267" s="33" t="str">
        <f t="array" ref="C4267">IF(B4267="", "", XLOOKUP(B4267, Inventory!D:D,Inventory!E:E,"No Name Found"))</f>
        <v/>
      </c>
      <c r="D4267" s="6"/>
      <c r="E4267" s="6"/>
      <c r="F4267" s="6"/>
      <c r="G4267" s="24" t="str">
        <f>IF(F4267="", "", VLOOKUP(F4267, Inventory!A:BZ, 3, FALSE) - SUMIF($F$1:$F4266, F4267, $H$1:$H4266))
</f>
        <v/>
      </c>
      <c r="I4267" s="26"/>
      <c r="J4267" s="26" t="s">
        <v>77</v>
      </c>
      <c r="L4267" s="27" t="s">
        <v>77</v>
      </c>
      <c r="N4267" s="28" t="s">
        <v>77</v>
      </c>
      <c r="Q4267" s="30"/>
    </row>
    <row r="4268">
      <c r="B4268" s="6"/>
      <c r="C4268" s="33" t="str">
        <f t="array" ref="C4268">IF(B4268="", "", XLOOKUP(B4268, Inventory!D:D,Inventory!E:E,"No Name Found"))</f>
        <v/>
      </c>
      <c r="D4268" s="6"/>
      <c r="E4268" s="6"/>
      <c r="F4268" s="6"/>
      <c r="G4268" s="24" t="str">
        <f>IF(F4268="", "", VLOOKUP(F4268, Inventory!A:BZ, 3, FALSE) - SUMIF($F$1:$F4267, F4268, $H$1:$H4267))
</f>
        <v/>
      </c>
      <c r="I4268" s="26"/>
      <c r="J4268" s="26" t="s">
        <v>77</v>
      </c>
      <c r="L4268" s="27" t="s">
        <v>77</v>
      </c>
      <c r="N4268" s="28" t="s">
        <v>77</v>
      </c>
      <c r="Q4268" s="30"/>
    </row>
    <row r="4269">
      <c r="B4269" s="6"/>
      <c r="C4269" s="33" t="str">
        <f t="array" ref="C4269">IF(B4269="", "", XLOOKUP(B4269, Inventory!D:D,Inventory!E:E,"No Name Found"))</f>
        <v/>
      </c>
      <c r="D4269" s="6"/>
      <c r="E4269" s="6"/>
      <c r="F4269" s="6"/>
      <c r="G4269" s="24" t="str">
        <f>IF(F4269="", "", VLOOKUP(F4269, Inventory!A:BZ, 3, FALSE) - SUMIF($F$1:$F4268, F4269, $H$1:$H4268))
</f>
        <v/>
      </c>
      <c r="I4269" s="26"/>
      <c r="J4269" s="26" t="s">
        <v>77</v>
      </c>
      <c r="L4269" s="27" t="s">
        <v>77</v>
      </c>
      <c r="N4269" s="28" t="s">
        <v>77</v>
      </c>
      <c r="Q4269" s="30"/>
    </row>
    <row r="4270">
      <c r="B4270" s="6"/>
      <c r="C4270" s="33" t="str">
        <f t="array" ref="C4270">IF(B4270="", "", XLOOKUP(B4270, Inventory!D:D,Inventory!E:E,"No Name Found"))</f>
        <v/>
      </c>
      <c r="D4270" s="6"/>
      <c r="E4270" s="6"/>
      <c r="F4270" s="6"/>
      <c r="G4270" s="24" t="str">
        <f>IF(F4270="", "", VLOOKUP(F4270, Inventory!A:BZ, 3, FALSE) - SUMIF($F$1:$F4269, F4270, $H$1:$H4269))
</f>
        <v/>
      </c>
      <c r="I4270" s="26"/>
      <c r="J4270" s="26" t="s">
        <v>77</v>
      </c>
      <c r="L4270" s="27" t="s">
        <v>77</v>
      </c>
      <c r="N4270" s="28" t="s">
        <v>77</v>
      </c>
      <c r="Q4270" s="30"/>
    </row>
    <row r="4271">
      <c r="B4271" s="6"/>
      <c r="C4271" s="33" t="str">
        <f t="array" ref="C4271">IF(B4271="", "", XLOOKUP(B4271, Inventory!D:D,Inventory!E:E,"No Name Found"))</f>
        <v/>
      </c>
      <c r="D4271" s="6"/>
      <c r="E4271" s="6"/>
      <c r="F4271" s="6"/>
      <c r="G4271" s="24" t="str">
        <f>IF(F4271="", "", VLOOKUP(F4271, Inventory!A:BZ, 3, FALSE) - SUMIF($F$1:$F4270, F4271, $H$1:$H4270))
</f>
        <v/>
      </c>
      <c r="I4271" s="26"/>
      <c r="J4271" s="26" t="s">
        <v>77</v>
      </c>
      <c r="L4271" s="27" t="s">
        <v>77</v>
      </c>
      <c r="N4271" s="28" t="s">
        <v>77</v>
      </c>
      <c r="Q4271" s="30"/>
    </row>
    <row r="4272">
      <c r="B4272" s="6"/>
      <c r="C4272" s="33" t="str">
        <f t="array" ref="C4272">IF(B4272="", "", XLOOKUP(B4272, Inventory!D:D,Inventory!E:E,"No Name Found"))</f>
        <v/>
      </c>
      <c r="D4272" s="6"/>
      <c r="E4272" s="6"/>
      <c r="F4272" s="6"/>
      <c r="G4272" s="24" t="str">
        <f>IF(F4272="", "", VLOOKUP(F4272, Inventory!A:BZ, 3, FALSE) - SUMIF($F$1:$F4271, F4272, $H$1:$H4271))
</f>
        <v/>
      </c>
      <c r="I4272" s="26"/>
      <c r="J4272" s="26" t="s">
        <v>77</v>
      </c>
      <c r="L4272" s="27" t="s">
        <v>77</v>
      </c>
      <c r="N4272" s="28" t="s">
        <v>77</v>
      </c>
      <c r="Q4272" s="30"/>
    </row>
    <row r="4273">
      <c r="B4273" s="6"/>
      <c r="C4273" s="33" t="str">
        <f t="array" ref="C4273">IF(B4273="", "", XLOOKUP(B4273, Inventory!D:D,Inventory!E:E,"No Name Found"))</f>
        <v/>
      </c>
      <c r="D4273" s="6"/>
      <c r="E4273" s="6"/>
      <c r="F4273" s="6"/>
      <c r="G4273" s="24" t="str">
        <f>IF(F4273="", "", VLOOKUP(F4273, Inventory!A:BZ, 3, FALSE) - SUMIF($F$1:$F4272, F4273, $H$1:$H4272))
</f>
        <v/>
      </c>
      <c r="I4273" s="26"/>
      <c r="J4273" s="26" t="s">
        <v>77</v>
      </c>
      <c r="L4273" s="27" t="s">
        <v>77</v>
      </c>
      <c r="N4273" s="28" t="s">
        <v>77</v>
      </c>
      <c r="Q4273" s="30"/>
    </row>
    <row r="4274">
      <c r="B4274" s="6"/>
      <c r="C4274" s="33" t="str">
        <f t="array" ref="C4274">IF(B4274="", "", XLOOKUP(B4274, Inventory!D:D,Inventory!E:E,"No Name Found"))</f>
        <v/>
      </c>
      <c r="D4274" s="6"/>
      <c r="E4274" s="6"/>
      <c r="F4274" s="6"/>
      <c r="G4274" s="24" t="str">
        <f>IF(F4274="", "", VLOOKUP(F4274, Inventory!A:BZ, 3, FALSE) - SUMIF($F$1:$F4273, F4274, $H$1:$H4273))
</f>
        <v/>
      </c>
      <c r="I4274" s="26"/>
      <c r="J4274" s="26" t="s">
        <v>77</v>
      </c>
      <c r="L4274" s="27" t="s">
        <v>77</v>
      </c>
      <c r="N4274" s="28" t="s">
        <v>77</v>
      </c>
      <c r="Q4274" s="30"/>
    </row>
    <row r="4275">
      <c r="B4275" s="6"/>
      <c r="C4275" s="33" t="str">
        <f t="array" ref="C4275">IF(B4275="", "", XLOOKUP(B4275, Inventory!D:D,Inventory!E:E,"No Name Found"))</f>
        <v/>
      </c>
      <c r="D4275" s="6"/>
      <c r="E4275" s="6"/>
      <c r="F4275" s="6"/>
      <c r="G4275" s="24" t="str">
        <f>IF(F4275="", "", VLOOKUP(F4275, Inventory!A:BZ, 3, FALSE) - SUMIF($F$1:$F4274, F4275, $H$1:$H4274))
</f>
        <v/>
      </c>
      <c r="I4275" s="26"/>
      <c r="J4275" s="26" t="s">
        <v>77</v>
      </c>
      <c r="L4275" s="27" t="s">
        <v>77</v>
      </c>
      <c r="N4275" s="28" t="s">
        <v>77</v>
      </c>
      <c r="Q4275" s="30"/>
    </row>
    <row r="4276">
      <c r="B4276" s="6"/>
      <c r="C4276" s="33" t="str">
        <f t="array" ref="C4276">IF(B4276="", "", XLOOKUP(B4276, Inventory!D:D,Inventory!E:E,"No Name Found"))</f>
        <v/>
      </c>
      <c r="D4276" s="6"/>
      <c r="E4276" s="6"/>
      <c r="F4276" s="6"/>
      <c r="G4276" s="24" t="str">
        <f>IF(F4276="", "", VLOOKUP(F4276, Inventory!A:BZ, 3, FALSE) - SUMIF($F$1:$F4275, F4276, $H$1:$H4275))
</f>
        <v/>
      </c>
      <c r="I4276" s="26"/>
      <c r="J4276" s="26" t="s">
        <v>77</v>
      </c>
      <c r="L4276" s="27" t="s">
        <v>77</v>
      </c>
      <c r="N4276" s="28" t="s">
        <v>77</v>
      </c>
      <c r="Q4276" s="30"/>
    </row>
    <row r="4277">
      <c r="B4277" s="6"/>
      <c r="C4277" s="33" t="str">
        <f t="array" ref="C4277">IF(B4277="", "", XLOOKUP(B4277, Inventory!D:D,Inventory!E:E,"No Name Found"))</f>
        <v/>
      </c>
      <c r="D4277" s="6"/>
      <c r="E4277" s="6"/>
      <c r="F4277" s="6"/>
      <c r="G4277" s="24" t="str">
        <f>IF(F4277="", "", VLOOKUP(F4277, Inventory!A:BZ, 3, FALSE) - SUMIF($F$1:$F4276, F4277, $H$1:$H4276))
</f>
        <v/>
      </c>
      <c r="I4277" s="26"/>
      <c r="J4277" s="26" t="s">
        <v>77</v>
      </c>
      <c r="L4277" s="27" t="s">
        <v>77</v>
      </c>
      <c r="N4277" s="28" t="s">
        <v>77</v>
      </c>
      <c r="Q4277" s="30"/>
    </row>
    <row r="4278">
      <c r="B4278" s="6"/>
      <c r="C4278" s="33" t="str">
        <f t="array" ref="C4278">IF(B4278="", "", XLOOKUP(B4278, Inventory!D:D,Inventory!E:E,"No Name Found"))</f>
        <v/>
      </c>
      <c r="D4278" s="6"/>
      <c r="E4278" s="6"/>
      <c r="F4278" s="6"/>
      <c r="G4278" s="24" t="str">
        <f>IF(F4278="", "", VLOOKUP(F4278, Inventory!A:BZ, 3, FALSE) - SUMIF($F$1:$F4277, F4278, $H$1:$H4277))
</f>
        <v/>
      </c>
      <c r="I4278" s="26"/>
      <c r="J4278" s="26" t="s">
        <v>77</v>
      </c>
      <c r="L4278" s="27" t="s">
        <v>77</v>
      </c>
      <c r="N4278" s="28" t="s">
        <v>77</v>
      </c>
      <c r="Q4278" s="30"/>
    </row>
    <row r="4279">
      <c r="B4279" s="6"/>
      <c r="C4279" s="33" t="str">
        <f t="array" ref="C4279">IF(B4279="", "", XLOOKUP(B4279, Inventory!D:D,Inventory!E:E,"No Name Found"))</f>
        <v/>
      </c>
      <c r="D4279" s="6"/>
      <c r="E4279" s="6"/>
      <c r="F4279" s="6"/>
      <c r="G4279" s="24" t="str">
        <f>IF(F4279="", "", VLOOKUP(F4279, Inventory!A:BZ, 3, FALSE) - SUMIF($F$1:$F4278, F4279, $H$1:$H4278))
</f>
        <v/>
      </c>
      <c r="I4279" s="26"/>
      <c r="J4279" s="26" t="s">
        <v>77</v>
      </c>
      <c r="L4279" s="27" t="s">
        <v>77</v>
      </c>
      <c r="N4279" s="28" t="s">
        <v>77</v>
      </c>
      <c r="Q4279" s="30"/>
    </row>
    <row r="4280">
      <c r="B4280" s="6"/>
      <c r="C4280" s="33" t="str">
        <f t="array" ref="C4280">IF(B4280="", "", XLOOKUP(B4280, Inventory!D:D,Inventory!E:E,"No Name Found"))</f>
        <v/>
      </c>
      <c r="D4280" s="6"/>
      <c r="E4280" s="6"/>
      <c r="F4280" s="6"/>
      <c r="G4280" s="24" t="str">
        <f>IF(F4280="", "", VLOOKUP(F4280, Inventory!A:BZ, 3, FALSE) - SUMIF($F$1:$F4279, F4280, $H$1:$H4279))
</f>
        <v/>
      </c>
      <c r="I4280" s="26"/>
      <c r="J4280" s="26" t="s">
        <v>77</v>
      </c>
      <c r="L4280" s="27" t="s">
        <v>77</v>
      </c>
      <c r="N4280" s="28" t="s">
        <v>77</v>
      </c>
      <c r="Q4280" s="30"/>
    </row>
    <row r="4281">
      <c r="B4281" s="6"/>
      <c r="C4281" s="33" t="str">
        <f t="array" ref="C4281">IF(B4281="", "", XLOOKUP(B4281, Inventory!D:D,Inventory!E:E,"No Name Found"))</f>
        <v/>
      </c>
      <c r="D4281" s="6"/>
      <c r="E4281" s="6"/>
      <c r="F4281" s="6"/>
      <c r="G4281" s="24" t="str">
        <f>IF(F4281="", "", VLOOKUP(F4281, Inventory!A:BZ, 3, FALSE) - SUMIF($F$1:$F4280, F4281, $H$1:$H4280))
</f>
        <v/>
      </c>
      <c r="I4281" s="26"/>
      <c r="J4281" s="26" t="s">
        <v>77</v>
      </c>
      <c r="L4281" s="27" t="s">
        <v>77</v>
      </c>
      <c r="N4281" s="28" t="s">
        <v>77</v>
      </c>
      <c r="Q4281" s="30"/>
    </row>
    <row r="4282">
      <c r="B4282" s="6"/>
      <c r="C4282" s="33" t="str">
        <f t="array" ref="C4282">IF(B4282="", "", XLOOKUP(B4282, Inventory!D:D,Inventory!E:E,"No Name Found"))</f>
        <v/>
      </c>
      <c r="D4282" s="6"/>
      <c r="E4282" s="6"/>
      <c r="F4282" s="6"/>
      <c r="G4282" s="24" t="str">
        <f>IF(F4282="", "", VLOOKUP(F4282, Inventory!A:BZ, 3, FALSE) - SUMIF($F$1:$F4281, F4282, $H$1:$H4281))
</f>
        <v/>
      </c>
      <c r="I4282" s="26"/>
      <c r="J4282" s="26" t="s">
        <v>77</v>
      </c>
      <c r="L4282" s="27" t="s">
        <v>77</v>
      </c>
      <c r="N4282" s="28" t="s">
        <v>77</v>
      </c>
      <c r="Q4282" s="30"/>
    </row>
    <row r="4283">
      <c r="B4283" s="6"/>
      <c r="C4283" s="33" t="str">
        <f t="array" ref="C4283">IF(B4283="", "", XLOOKUP(B4283, Inventory!D:D,Inventory!E:E,"No Name Found"))</f>
        <v/>
      </c>
      <c r="D4283" s="6"/>
      <c r="E4283" s="6"/>
      <c r="F4283" s="6"/>
      <c r="G4283" s="24" t="str">
        <f>IF(F4283="", "", VLOOKUP(F4283, Inventory!A:BZ, 3, FALSE) - SUMIF($F$1:$F4282, F4283, $H$1:$H4282))
</f>
        <v/>
      </c>
      <c r="I4283" s="26"/>
      <c r="J4283" s="26" t="s">
        <v>77</v>
      </c>
      <c r="L4283" s="27" t="s">
        <v>77</v>
      </c>
      <c r="N4283" s="28" t="s">
        <v>77</v>
      </c>
      <c r="Q4283" s="30"/>
    </row>
    <row r="4284">
      <c r="B4284" s="6"/>
      <c r="C4284" s="33" t="str">
        <f t="array" ref="C4284">IF(B4284="", "", XLOOKUP(B4284, Inventory!D:D,Inventory!E:E,"No Name Found"))</f>
        <v/>
      </c>
      <c r="D4284" s="6"/>
      <c r="E4284" s="6"/>
      <c r="F4284" s="6"/>
      <c r="G4284" s="24" t="str">
        <f>IF(F4284="", "", VLOOKUP(F4284, Inventory!A:BZ, 3, FALSE) - SUMIF($F$1:$F4283, F4284, $H$1:$H4283))
</f>
        <v/>
      </c>
      <c r="I4284" s="26"/>
      <c r="J4284" s="26" t="s">
        <v>77</v>
      </c>
      <c r="L4284" s="27" t="s">
        <v>77</v>
      </c>
      <c r="N4284" s="28" t="s">
        <v>77</v>
      </c>
      <c r="Q4284" s="30"/>
    </row>
    <row r="4285">
      <c r="B4285" s="6"/>
      <c r="C4285" s="33" t="str">
        <f t="array" ref="C4285">IF(B4285="", "", XLOOKUP(B4285, Inventory!D:D,Inventory!E:E,"No Name Found"))</f>
        <v/>
      </c>
      <c r="D4285" s="6"/>
      <c r="E4285" s="6"/>
      <c r="F4285" s="6"/>
      <c r="G4285" s="24" t="str">
        <f>IF(F4285="", "", VLOOKUP(F4285, Inventory!A:BZ, 3, FALSE) - SUMIF($F$1:$F4284, F4285, $H$1:$H4284))
</f>
        <v/>
      </c>
      <c r="I4285" s="26"/>
      <c r="J4285" s="26" t="s">
        <v>77</v>
      </c>
      <c r="L4285" s="27" t="s">
        <v>77</v>
      </c>
      <c r="N4285" s="28" t="s">
        <v>77</v>
      </c>
      <c r="Q4285" s="30"/>
    </row>
    <row r="4286">
      <c r="B4286" s="6"/>
      <c r="C4286" s="33" t="str">
        <f t="array" ref="C4286">IF(B4286="", "", XLOOKUP(B4286, Inventory!D:D,Inventory!E:E,"No Name Found"))</f>
        <v/>
      </c>
      <c r="D4286" s="6"/>
      <c r="E4286" s="6"/>
      <c r="F4286" s="6"/>
      <c r="G4286" s="24" t="str">
        <f>IF(F4286="", "", VLOOKUP(F4286, Inventory!A:BZ, 3, FALSE) - SUMIF($F$1:$F4285, F4286, $H$1:$H4285))
</f>
        <v/>
      </c>
      <c r="I4286" s="26"/>
      <c r="J4286" s="26" t="s">
        <v>77</v>
      </c>
      <c r="L4286" s="27" t="s">
        <v>77</v>
      </c>
      <c r="N4286" s="28" t="s">
        <v>77</v>
      </c>
      <c r="Q4286" s="30"/>
    </row>
    <row r="4287">
      <c r="B4287" s="6"/>
      <c r="C4287" s="33" t="str">
        <f t="array" ref="C4287">IF(B4287="", "", XLOOKUP(B4287, Inventory!D:D,Inventory!E:E,"No Name Found"))</f>
        <v/>
      </c>
      <c r="D4287" s="6"/>
      <c r="E4287" s="6"/>
      <c r="F4287" s="6"/>
      <c r="G4287" s="24" t="str">
        <f>IF(F4287="", "", VLOOKUP(F4287, Inventory!A:BZ, 3, FALSE) - SUMIF($F$1:$F4286, F4287, $H$1:$H4286))
</f>
        <v/>
      </c>
      <c r="I4287" s="26"/>
      <c r="J4287" s="26" t="s">
        <v>77</v>
      </c>
      <c r="L4287" s="27" t="s">
        <v>77</v>
      </c>
      <c r="N4287" s="28" t="s">
        <v>77</v>
      </c>
      <c r="Q4287" s="30"/>
    </row>
    <row r="4288">
      <c r="B4288" s="6"/>
      <c r="C4288" s="33" t="str">
        <f t="array" ref="C4288">IF(B4288="", "", XLOOKUP(B4288, Inventory!D:D,Inventory!E:E,"No Name Found"))</f>
        <v/>
      </c>
      <c r="D4288" s="6"/>
      <c r="E4288" s="6"/>
      <c r="F4288" s="6"/>
      <c r="G4288" s="24" t="str">
        <f>IF(F4288="", "", VLOOKUP(F4288, Inventory!A:BZ, 3, FALSE) - SUMIF($F$1:$F4287, F4288, $H$1:$H4287))
</f>
        <v/>
      </c>
      <c r="I4288" s="26"/>
      <c r="J4288" s="26" t="s">
        <v>77</v>
      </c>
      <c r="L4288" s="27" t="s">
        <v>77</v>
      </c>
      <c r="N4288" s="28" t="s">
        <v>77</v>
      </c>
      <c r="Q4288" s="30"/>
    </row>
    <row r="4289">
      <c r="B4289" s="6"/>
      <c r="C4289" s="33" t="str">
        <f t="array" ref="C4289">IF(B4289="", "", XLOOKUP(B4289, Inventory!D:D,Inventory!E:E,"No Name Found"))</f>
        <v/>
      </c>
      <c r="D4289" s="6"/>
      <c r="E4289" s="6"/>
      <c r="F4289" s="6"/>
      <c r="G4289" s="24" t="str">
        <f>IF(F4289="", "", VLOOKUP(F4289, Inventory!A:BZ, 3, FALSE) - SUMIF($F$1:$F4288, F4289, $H$1:$H4288))
</f>
        <v/>
      </c>
      <c r="I4289" s="26"/>
      <c r="J4289" s="26" t="s">
        <v>77</v>
      </c>
      <c r="L4289" s="27" t="s">
        <v>77</v>
      </c>
      <c r="N4289" s="28" t="s">
        <v>77</v>
      </c>
      <c r="Q4289" s="30"/>
    </row>
    <row r="4290">
      <c r="B4290" s="6"/>
      <c r="C4290" s="33" t="str">
        <f t="array" ref="C4290">IF(B4290="", "", XLOOKUP(B4290, Inventory!D:D,Inventory!E:E,"No Name Found"))</f>
        <v/>
      </c>
      <c r="D4290" s="6"/>
      <c r="E4290" s="6"/>
      <c r="F4290" s="6"/>
      <c r="G4290" s="24" t="str">
        <f>IF(F4290="", "", VLOOKUP(F4290, Inventory!A:BZ, 3, FALSE) - SUMIF($F$1:$F4289, F4290, $H$1:$H4289))
</f>
        <v/>
      </c>
      <c r="I4290" s="26"/>
      <c r="J4290" s="26" t="s">
        <v>77</v>
      </c>
      <c r="L4290" s="27" t="s">
        <v>77</v>
      </c>
      <c r="N4290" s="28" t="s">
        <v>77</v>
      </c>
      <c r="Q4290" s="30"/>
    </row>
    <row r="4291">
      <c r="B4291" s="6"/>
      <c r="C4291" s="33" t="str">
        <f t="array" ref="C4291">IF(B4291="", "", XLOOKUP(B4291, Inventory!D:D,Inventory!E:E,"No Name Found"))</f>
        <v/>
      </c>
      <c r="D4291" s="6"/>
      <c r="E4291" s="6"/>
      <c r="F4291" s="6"/>
      <c r="G4291" s="24" t="str">
        <f>IF(F4291="", "", VLOOKUP(F4291, Inventory!A:BZ, 3, FALSE) - SUMIF($F$1:$F4290, F4291, $H$1:$H4290))
</f>
        <v/>
      </c>
      <c r="I4291" s="26"/>
      <c r="J4291" s="26" t="s">
        <v>77</v>
      </c>
      <c r="L4291" s="27" t="s">
        <v>77</v>
      </c>
      <c r="N4291" s="28" t="s">
        <v>77</v>
      </c>
      <c r="Q4291" s="30"/>
    </row>
    <row r="4292">
      <c r="B4292" s="6"/>
      <c r="C4292" s="33" t="str">
        <f t="array" ref="C4292">IF(B4292="", "", XLOOKUP(B4292, Inventory!D:D,Inventory!E:E,"No Name Found"))</f>
        <v/>
      </c>
      <c r="D4292" s="6"/>
      <c r="E4292" s="6"/>
      <c r="F4292" s="6"/>
      <c r="G4292" s="24" t="str">
        <f>IF(F4292="", "", VLOOKUP(F4292, Inventory!A:BZ, 3, FALSE) - SUMIF($F$1:$F4291, F4292, $H$1:$H4291))
</f>
        <v/>
      </c>
      <c r="I4292" s="26"/>
      <c r="J4292" s="26" t="s">
        <v>77</v>
      </c>
      <c r="L4292" s="27" t="s">
        <v>77</v>
      </c>
      <c r="N4292" s="28" t="s">
        <v>77</v>
      </c>
      <c r="Q4292" s="30"/>
    </row>
    <row r="4293">
      <c r="B4293" s="6"/>
      <c r="C4293" s="33" t="str">
        <f t="array" ref="C4293">IF(B4293="", "", XLOOKUP(B4293, Inventory!D:D,Inventory!E:E,"No Name Found"))</f>
        <v/>
      </c>
      <c r="D4293" s="6"/>
      <c r="E4293" s="6"/>
      <c r="F4293" s="6"/>
      <c r="G4293" s="24" t="str">
        <f>IF(F4293="", "", VLOOKUP(F4293, Inventory!A:BZ, 3, FALSE) - SUMIF($F$1:$F4292, F4293, $H$1:$H4292))
</f>
        <v/>
      </c>
      <c r="I4293" s="26"/>
      <c r="J4293" s="26" t="s">
        <v>77</v>
      </c>
      <c r="L4293" s="27" t="s">
        <v>77</v>
      </c>
      <c r="N4293" s="28" t="s">
        <v>77</v>
      </c>
      <c r="Q4293" s="30"/>
    </row>
    <row r="4294">
      <c r="B4294" s="6"/>
      <c r="C4294" s="33" t="str">
        <f t="array" ref="C4294">IF(B4294="", "", XLOOKUP(B4294, Inventory!D:D,Inventory!E:E,"No Name Found"))</f>
        <v/>
      </c>
      <c r="D4294" s="6"/>
      <c r="E4294" s="6"/>
      <c r="F4294" s="6"/>
      <c r="G4294" s="24" t="str">
        <f>IF(F4294="", "", VLOOKUP(F4294, Inventory!A:BZ, 3, FALSE) - SUMIF($F$1:$F4293, F4294, $H$1:$H4293))
</f>
        <v/>
      </c>
      <c r="I4294" s="26"/>
      <c r="J4294" s="26" t="s">
        <v>77</v>
      </c>
      <c r="L4294" s="27" t="s">
        <v>77</v>
      </c>
      <c r="N4294" s="28" t="s">
        <v>77</v>
      </c>
      <c r="Q4294" s="30"/>
    </row>
    <row r="4295">
      <c r="B4295" s="6"/>
      <c r="C4295" s="33" t="str">
        <f t="array" ref="C4295">IF(B4295="", "", XLOOKUP(B4295, Inventory!D:D,Inventory!E:E,"No Name Found"))</f>
        <v/>
      </c>
      <c r="D4295" s="6"/>
      <c r="E4295" s="6"/>
      <c r="F4295" s="6"/>
      <c r="G4295" s="24" t="str">
        <f>IF(F4295="", "", VLOOKUP(F4295, Inventory!A:BZ, 3, FALSE) - SUMIF($F$1:$F4294, F4295, $H$1:$H4294))
</f>
        <v/>
      </c>
      <c r="I4295" s="26"/>
      <c r="J4295" s="26" t="s">
        <v>77</v>
      </c>
      <c r="L4295" s="27" t="s">
        <v>77</v>
      </c>
      <c r="N4295" s="28" t="s">
        <v>77</v>
      </c>
      <c r="Q4295" s="30"/>
    </row>
    <row r="4296">
      <c r="B4296" s="6"/>
      <c r="C4296" s="33" t="str">
        <f t="array" ref="C4296">IF(B4296="", "", XLOOKUP(B4296, Inventory!D:D,Inventory!E:E,"No Name Found"))</f>
        <v/>
      </c>
      <c r="D4296" s="6"/>
      <c r="E4296" s="6"/>
      <c r="F4296" s="6"/>
      <c r="G4296" s="24" t="str">
        <f>IF(F4296="", "", VLOOKUP(F4296, Inventory!A:BZ, 3, FALSE) - SUMIF($F$1:$F4295, F4296, $H$1:$H4295))
</f>
        <v/>
      </c>
      <c r="I4296" s="26"/>
      <c r="J4296" s="26" t="s">
        <v>77</v>
      </c>
      <c r="L4296" s="27" t="s">
        <v>77</v>
      </c>
      <c r="N4296" s="28" t="s">
        <v>77</v>
      </c>
      <c r="Q4296" s="30"/>
    </row>
    <row r="4297">
      <c r="B4297" s="6"/>
      <c r="C4297" s="33" t="str">
        <f t="array" ref="C4297">IF(B4297="", "", XLOOKUP(B4297, Inventory!D:D,Inventory!E:E,"No Name Found"))</f>
        <v/>
      </c>
      <c r="D4297" s="6"/>
      <c r="E4297" s="6"/>
      <c r="F4297" s="6"/>
      <c r="G4297" s="24" t="str">
        <f>IF(F4297="", "", VLOOKUP(F4297, Inventory!A:BZ, 3, FALSE) - SUMIF($F$1:$F4296, F4297, $H$1:$H4296))
</f>
        <v/>
      </c>
      <c r="I4297" s="26"/>
      <c r="J4297" s="26" t="s">
        <v>77</v>
      </c>
      <c r="L4297" s="27" t="s">
        <v>77</v>
      </c>
      <c r="N4297" s="28" t="s">
        <v>77</v>
      </c>
      <c r="Q4297" s="30"/>
    </row>
    <row r="4298">
      <c r="B4298" s="6"/>
      <c r="C4298" s="33" t="str">
        <f t="array" ref="C4298">IF(B4298="", "", XLOOKUP(B4298, Inventory!D:D,Inventory!E:E,"No Name Found"))</f>
        <v/>
      </c>
      <c r="D4298" s="6"/>
      <c r="E4298" s="6"/>
      <c r="F4298" s="6"/>
      <c r="G4298" s="24" t="str">
        <f>IF(F4298="", "", VLOOKUP(F4298, Inventory!A:BZ, 3, FALSE) - SUMIF($F$1:$F4297, F4298, $H$1:$H4297))
</f>
        <v/>
      </c>
      <c r="I4298" s="26"/>
      <c r="J4298" s="26" t="s">
        <v>77</v>
      </c>
      <c r="L4298" s="27" t="s">
        <v>77</v>
      </c>
      <c r="N4298" s="28" t="s">
        <v>77</v>
      </c>
      <c r="Q4298" s="30"/>
    </row>
    <row r="4299">
      <c r="B4299" s="6"/>
      <c r="C4299" s="33" t="str">
        <f t="array" ref="C4299">IF(B4299="", "", XLOOKUP(B4299, Inventory!D:D,Inventory!E:E,"No Name Found"))</f>
        <v/>
      </c>
      <c r="D4299" s="6"/>
      <c r="E4299" s="6"/>
      <c r="F4299" s="6"/>
      <c r="G4299" s="24" t="str">
        <f>IF(F4299="", "", VLOOKUP(F4299, Inventory!A:BZ, 3, FALSE) - SUMIF($F$1:$F4298, F4299, $H$1:$H4298))
</f>
        <v/>
      </c>
      <c r="I4299" s="26"/>
      <c r="J4299" s="26" t="s">
        <v>77</v>
      </c>
      <c r="L4299" s="27" t="s">
        <v>77</v>
      </c>
      <c r="N4299" s="28" t="s">
        <v>77</v>
      </c>
      <c r="Q4299" s="30"/>
    </row>
    <row r="4300">
      <c r="B4300" s="6"/>
      <c r="C4300" s="33" t="str">
        <f t="array" ref="C4300">IF(B4300="", "", XLOOKUP(B4300, Inventory!D:D,Inventory!E:E,"No Name Found"))</f>
        <v/>
      </c>
      <c r="D4300" s="6"/>
      <c r="E4300" s="6"/>
      <c r="F4300" s="6"/>
      <c r="G4300" s="24" t="str">
        <f>IF(F4300="", "", VLOOKUP(F4300, Inventory!A:BZ, 3, FALSE) - SUMIF($F$1:$F4299, F4300, $H$1:$H4299))
</f>
        <v/>
      </c>
      <c r="I4300" s="26"/>
      <c r="J4300" s="26" t="s">
        <v>77</v>
      </c>
      <c r="L4300" s="27" t="s">
        <v>77</v>
      </c>
      <c r="N4300" s="28" t="s">
        <v>77</v>
      </c>
      <c r="Q4300" s="30"/>
    </row>
    <row r="4301">
      <c r="B4301" s="6"/>
      <c r="C4301" s="33" t="str">
        <f t="array" ref="C4301">IF(B4301="", "", XLOOKUP(B4301, Inventory!D:D,Inventory!E:E,"No Name Found"))</f>
        <v/>
      </c>
      <c r="D4301" s="6"/>
      <c r="E4301" s="6"/>
      <c r="F4301" s="6"/>
      <c r="G4301" s="24" t="str">
        <f>IF(F4301="", "", VLOOKUP(F4301, Inventory!A:BZ, 3, FALSE) - SUMIF($F$1:$F4300, F4301, $H$1:$H4300))
</f>
        <v/>
      </c>
      <c r="I4301" s="26"/>
      <c r="J4301" s="26" t="s">
        <v>77</v>
      </c>
      <c r="L4301" s="27" t="s">
        <v>77</v>
      </c>
      <c r="N4301" s="28" t="s">
        <v>77</v>
      </c>
      <c r="Q4301" s="30"/>
    </row>
    <row r="4302">
      <c r="B4302" s="6"/>
      <c r="C4302" s="33" t="str">
        <f t="array" ref="C4302">IF(B4302="", "", XLOOKUP(B4302, Inventory!D:D,Inventory!E:E,"No Name Found"))</f>
        <v/>
      </c>
      <c r="D4302" s="6"/>
      <c r="E4302" s="6"/>
      <c r="F4302" s="6"/>
      <c r="G4302" s="24" t="str">
        <f>IF(F4302="", "", VLOOKUP(F4302, Inventory!A:BZ, 3, FALSE) - SUMIF($F$1:$F4301, F4302, $H$1:$H4301))
</f>
        <v/>
      </c>
      <c r="I4302" s="26"/>
      <c r="J4302" s="26" t="s">
        <v>77</v>
      </c>
      <c r="L4302" s="27" t="s">
        <v>77</v>
      </c>
      <c r="N4302" s="28" t="s">
        <v>77</v>
      </c>
      <c r="Q4302" s="30"/>
    </row>
    <row r="4303">
      <c r="B4303" s="6"/>
      <c r="C4303" s="33" t="str">
        <f t="array" ref="C4303">IF(B4303="", "", XLOOKUP(B4303, Inventory!D:D,Inventory!E:E,"No Name Found"))</f>
        <v/>
      </c>
      <c r="D4303" s="6"/>
      <c r="E4303" s="6"/>
      <c r="F4303" s="6"/>
      <c r="G4303" s="24" t="str">
        <f>IF(F4303="", "", VLOOKUP(F4303, Inventory!A:BZ, 3, FALSE) - SUMIF($F$1:$F4302, F4303, $H$1:$H4302))
</f>
        <v/>
      </c>
      <c r="I4303" s="26"/>
      <c r="J4303" s="26" t="s">
        <v>77</v>
      </c>
      <c r="L4303" s="27" t="s">
        <v>77</v>
      </c>
      <c r="N4303" s="28" t="s">
        <v>77</v>
      </c>
      <c r="Q4303" s="30"/>
    </row>
    <row r="4304">
      <c r="B4304" s="6"/>
      <c r="C4304" s="33" t="str">
        <f t="array" ref="C4304">IF(B4304="", "", XLOOKUP(B4304, Inventory!D:D,Inventory!E:E,"No Name Found"))</f>
        <v/>
      </c>
      <c r="D4304" s="6"/>
      <c r="E4304" s="6"/>
      <c r="F4304" s="6"/>
      <c r="G4304" s="24" t="str">
        <f>IF(F4304="", "", VLOOKUP(F4304, Inventory!A:BZ, 3, FALSE) - SUMIF($F$1:$F4303, F4304, $H$1:$H4303))
</f>
        <v/>
      </c>
      <c r="I4304" s="26"/>
      <c r="J4304" s="26" t="s">
        <v>77</v>
      </c>
      <c r="L4304" s="27" t="s">
        <v>77</v>
      </c>
      <c r="N4304" s="28" t="s">
        <v>77</v>
      </c>
      <c r="Q4304" s="30"/>
    </row>
    <row r="4305">
      <c r="B4305" s="6"/>
      <c r="C4305" s="33" t="str">
        <f t="array" ref="C4305">IF(B4305="", "", XLOOKUP(B4305, Inventory!D:D,Inventory!E:E,"No Name Found"))</f>
        <v/>
      </c>
      <c r="D4305" s="6"/>
      <c r="E4305" s="6"/>
      <c r="F4305" s="6"/>
      <c r="G4305" s="24" t="str">
        <f>IF(F4305="", "", VLOOKUP(F4305, Inventory!A:BZ, 3, FALSE) - SUMIF($F$1:$F4304, F4305, $H$1:$H4304))
</f>
        <v/>
      </c>
      <c r="I4305" s="26"/>
      <c r="J4305" s="26" t="s">
        <v>77</v>
      </c>
      <c r="L4305" s="27" t="s">
        <v>77</v>
      </c>
      <c r="N4305" s="28" t="s">
        <v>77</v>
      </c>
      <c r="Q4305" s="30"/>
    </row>
    <row r="4306">
      <c r="B4306" s="6"/>
      <c r="C4306" s="33" t="str">
        <f t="array" ref="C4306">IF(B4306="", "", XLOOKUP(B4306, Inventory!D:D,Inventory!E:E,"No Name Found"))</f>
        <v/>
      </c>
      <c r="D4306" s="6"/>
      <c r="E4306" s="6"/>
      <c r="F4306" s="6"/>
      <c r="G4306" s="24" t="str">
        <f>IF(F4306="", "", VLOOKUP(F4306, Inventory!A:BZ, 3, FALSE) - SUMIF($F$1:$F4305, F4306, $H$1:$H4305))
</f>
        <v/>
      </c>
      <c r="I4306" s="26"/>
      <c r="J4306" s="26" t="s">
        <v>77</v>
      </c>
      <c r="L4306" s="27" t="s">
        <v>77</v>
      </c>
      <c r="N4306" s="28" t="s">
        <v>77</v>
      </c>
      <c r="Q4306" s="30"/>
    </row>
    <row r="4307">
      <c r="B4307" s="6"/>
      <c r="C4307" s="33" t="str">
        <f t="array" ref="C4307">IF(B4307="", "", XLOOKUP(B4307, Inventory!D:D,Inventory!E:E,"No Name Found"))</f>
        <v/>
      </c>
      <c r="D4307" s="6"/>
      <c r="E4307" s="6"/>
      <c r="F4307" s="6"/>
      <c r="G4307" s="24" t="str">
        <f>IF(F4307="", "", VLOOKUP(F4307, Inventory!A:BZ, 3, FALSE) - SUMIF($F$1:$F4306, F4307, $H$1:$H4306))
</f>
        <v/>
      </c>
      <c r="I4307" s="26"/>
      <c r="J4307" s="26" t="s">
        <v>77</v>
      </c>
      <c r="L4307" s="27" t="s">
        <v>77</v>
      </c>
      <c r="N4307" s="28" t="s">
        <v>77</v>
      </c>
      <c r="Q4307" s="30"/>
    </row>
    <row r="4308">
      <c r="B4308" s="6"/>
      <c r="C4308" s="33" t="str">
        <f t="array" ref="C4308">IF(B4308="", "", XLOOKUP(B4308, Inventory!D:D,Inventory!E:E,"No Name Found"))</f>
        <v/>
      </c>
      <c r="D4308" s="6"/>
      <c r="E4308" s="6"/>
      <c r="F4308" s="6"/>
      <c r="G4308" s="24" t="str">
        <f>IF(F4308="", "", VLOOKUP(F4308, Inventory!A:BZ, 3, FALSE) - SUMIF($F$1:$F4307, F4308, $H$1:$H4307))
</f>
        <v/>
      </c>
      <c r="I4308" s="26"/>
      <c r="J4308" s="26" t="s">
        <v>77</v>
      </c>
      <c r="L4308" s="27" t="s">
        <v>77</v>
      </c>
      <c r="N4308" s="28" t="s">
        <v>77</v>
      </c>
      <c r="Q4308" s="30"/>
    </row>
    <row r="4309">
      <c r="B4309" s="6"/>
      <c r="C4309" s="33" t="str">
        <f t="array" ref="C4309">IF(B4309="", "", XLOOKUP(B4309, Inventory!D:D,Inventory!E:E,"No Name Found"))</f>
        <v/>
      </c>
      <c r="D4309" s="6"/>
      <c r="E4309" s="6"/>
      <c r="F4309" s="6"/>
      <c r="G4309" s="24" t="str">
        <f>IF(F4309="", "", VLOOKUP(F4309, Inventory!A:BZ, 3, FALSE) - SUMIF($F$1:$F4308, F4309, $H$1:$H4308))
</f>
        <v/>
      </c>
      <c r="I4309" s="26"/>
      <c r="J4309" s="26" t="s">
        <v>77</v>
      </c>
      <c r="L4309" s="27" t="s">
        <v>77</v>
      </c>
      <c r="N4309" s="28" t="s">
        <v>77</v>
      </c>
      <c r="Q4309" s="30"/>
    </row>
    <row r="4310">
      <c r="B4310" s="6"/>
      <c r="C4310" s="33" t="str">
        <f t="array" ref="C4310">IF(B4310="", "", XLOOKUP(B4310, Inventory!D:D,Inventory!E:E,"No Name Found"))</f>
        <v/>
      </c>
      <c r="D4310" s="6"/>
      <c r="E4310" s="6"/>
      <c r="F4310" s="6"/>
      <c r="G4310" s="24" t="str">
        <f>IF(F4310="", "", VLOOKUP(F4310, Inventory!A:BZ, 3, FALSE) - SUMIF($F$1:$F4309, F4310, $H$1:$H4309))
</f>
        <v/>
      </c>
      <c r="I4310" s="26"/>
      <c r="J4310" s="26" t="s">
        <v>77</v>
      </c>
      <c r="L4310" s="27" t="s">
        <v>77</v>
      </c>
      <c r="N4310" s="28" t="s">
        <v>77</v>
      </c>
      <c r="Q4310" s="30"/>
    </row>
    <row r="4311">
      <c r="B4311" s="6"/>
      <c r="C4311" s="33" t="str">
        <f t="array" ref="C4311">IF(B4311="", "", XLOOKUP(B4311, Inventory!D:D,Inventory!E:E,"No Name Found"))</f>
        <v/>
      </c>
      <c r="D4311" s="6"/>
      <c r="E4311" s="6"/>
      <c r="F4311" s="6"/>
      <c r="G4311" s="24" t="str">
        <f>IF(F4311="", "", VLOOKUP(F4311, Inventory!A:BZ, 3, FALSE) - SUMIF($F$1:$F4310, F4311, $H$1:$H4310))
</f>
        <v/>
      </c>
      <c r="I4311" s="26"/>
      <c r="J4311" s="26" t="s">
        <v>77</v>
      </c>
      <c r="L4311" s="27" t="s">
        <v>77</v>
      </c>
      <c r="N4311" s="28" t="s">
        <v>77</v>
      </c>
      <c r="Q4311" s="30"/>
    </row>
    <row r="4312">
      <c r="B4312" s="6"/>
      <c r="C4312" s="33" t="str">
        <f t="array" ref="C4312">IF(B4312="", "", XLOOKUP(B4312, Inventory!D:D,Inventory!E:E,"No Name Found"))</f>
        <v/>
      </c>
      <c r="D4312" s="6"/>
      <c r="E4312" s="6"/>
      <c r="F4312" s="6"/>
      <c r="G4312" s="24" t="str">
        <f>IF(F4312="", "", VLOOKUP(F4312, Inventory!A:BZ, 3, FALSE) - SUMIF($F$1:$F4311, F4312, $H$1:$H4311))
</f>
        <v/>
      </c>
      <c r="I4312" s="26"/>
      <c r="J4312" s="26" t="s">
        <v>77</v>
      </c>
      <c r="L4312" s="27" t="s">
        <v>77</v>
      </c>
      <c r="N4312" s="28" t="s">
        <v>77</v>
      </c>
      <c r="Q4312" s="30"/>
    </row>
    <row r="4313">
      <c r="B4313" s="6"/>
      <c r="C4313" s="33" t="str">
        <f t="array" ref="C4313">IF(B4313="", "", XLOOKUP(B4313, Inventory!D:D,Inventory!E:E,"No Name Found"))</f>
        <v/>
      </c>
      <c r="D4313" s="6"/>
      <c r="E4313" s="6"/>
      <c r="F4313" s="6"/>
      <c r="G4313" s="24" t="str">
        <f>IF(F4313="", "", VLOOKUP(F4313, Inventory!A:BZ, 3, FALSE) - SUMIF($F$1:$F4312, F4313, $H$1:$H4312))
</f>
        <v/>
      </c>
      <c r="I4313" s="26"/>
      <c r="J4313" s="26" t="s">
        <v>77</v>
      </c>
      <c r="L4313" s="27" t="s">
        <v>77</v>
      </c>
      <c r="N4313" s="28" t="s">
        <v>77</v>
      </c>
      <c r="Q4313" s="30"/>
    </row>
    <row r="4314">
      <c r="B4314" s="6"/>
      <c r="C4314" s="33" t="str">
        <f t="array" ref="C4314">IF(B4314="", "", XLOOKUP(B4314, Inventory!D:D,Inventory!E:E,"No Name Found"))</f>
        <v/>
      </c>
      <c r="D4314" s="6"/>
      <c r="E4314" s="6"/>
      <c r="F4314" s="6"/>
      <c r="G4314" s="24" t="str">
        <f>IF(F4314="", "", VLOOKUP(F4314, Inventory!A:BZ, 3, FALSE) - SUMIF($F$1:$F4313, F4314, $H$1:$H4313))
</f>
        <v/>
      </c>
      <c r="I4314" s="26"/>
      <c r="J4314" s="26" t="s">
        <v>77</v>
      </c>
      <c r="L4314" s="27" t="s">
        <v>77</v>
      </c>
      <c r="N4314" s="28" t="s">
        <v>77</v>
      </c>
      <c r="Q4314" s="30"/>
    </row>
    <row r="4315">
      <c r="B4315" s="6"/>
      <c r="C4315" s="33" t="str">
        <f t="array" ref="C4315">IF(B4315="", "", XLOOKUP(B4315, Inventory!D:D,Inventory!E:E,"No Name Found"))</f>
        <v/>
      </c>
      <c r="D4315" s="6"/>
      <c r="E4315" s="6"/>
      <c r="F4315" s="6"/>
      <c r="G4315" s="24" t="str">
        <f>IF(F4315="", "", VLOOKUP(F4315, Inventory!A:BZ, 3, FALSE) - SUMIF($F$1:$F4314, F4315, $H$1:$H4314))
</f>
        <v/>
      </c>
      <c r="I4315" s="26"/>
      <c r="J4315" s="26" t="s">
        <v>77</v>
      </c>
      <c r="L4315" s="27" t="s">
        <v>77</v>
      </c>
      <c r="N4315" s="28" t="s">
        <v>77</v>
      </c>
      <c r="Q4315" s="30"/>
    </row>
    <row r="4316">
      <c r="B4316" s="6"/>
      <c r="C4316" s="33" t="str">
        <f t="array" ref="C4316">IF(B4316="", "", XLOOKUP(B4316, Inventory!D:D,Inventory!E:E,"No Name Found"))</f>
        <v/>
      </c>
      <c r="D4316" s="6"/>
      <c r="E4316" s="6"/>
      <c r="F4316" s="6"/>
      <c r="G4316" s="24" t="str">
        <f>IF(F4316="", "", VLOOKUP(F4316, Inventory!A:BZ, 3, FALSE) - SUMIF($F$1:$F4315, F4316, $H$1:$H4315))
</f>
        <v/>
      </c>
      <c r="I4316" s="26"/>
      <c r="J4316" s="26" t="s">
        <v>77</v>
      </c>
      <c r="L4316" s="27" t="s">
        <v>77</v>
      </c>
      <c r="N4316" s="28" t="s">
        <v>77</v>
      </c>
      <c r="Q4316" s="30"/>
    </row>
    <row r="4317">
      <c r="B4317" s="6"/>
      <c r="C4317" s="33" t="str">
        <f t="array" ref="C4317">IF(B4317="", "", XLOOKUP(B4317, Inventory!D:D,Inventory!E:E,"No Name Found"))</f>
        <v/>
      </c>
      <c r="D4317" s="6"/>
      <c r="E4317" s="6"/>
      <c r="F4317" s="6"/>
      <c r="G4317" s="24" t="str">
        <f>IF(F4317="", "", VLOOKUP(F4317, Inventory!A:BZ, 3, FALSE) - SUMIF($F$1:$F4316, F4317, $H$1:$H4316))
</f>
        <v/>
      </c>
      <c r="I4317" s="26"/>
      <c r="J4317" s="26" t="s">
        <v>77</v>
      </c>
      <c r="L4317" s="27" t="s">
        <v>77</v>
      </c>
      <c r="N4317" s="28" t="s">
        <v>77</v>
      </c>
      <c r="Q4317" s="30"/>
    </row>
    <row r="4318">
      <c r="B4318" s="6"/>
      <c r="C4318" s="33" t="str">
        <f t="array" ref="C4318">IF(B4318="", "", XLOOKUP(B4318, Inventory!D:D,Inventory!E:E,"No Name Found"))</f>
        <v/>
      </c>
      <c r="D4318" s="6"/>
      <c r="E4318" s="6"/>
      <c r="F4318" s="6"/>
      <c r="G4318" s="24" t="str">
        <f>IF(F4318="", "", VLOOKUP(F4318, Inventory!A:BZ, 3, FALSE) - SUMIF($F$1:$F4317, F4318, $H$1:$H4317))
</f>
        <v/>
      </c>
      <c r="I4318" s="26"/>
      <c r="J4318" s="26" t="s">
        <v>77</v>
      </c>
      <c r="L4318" s="27" t="s">
        <v>77</v>
      </c>
      <c r="N4318" s="28" t="s">
        <v>77</v>
      </c>
      <c r="Q4318" s="30"/>
    </row>
    <row r="4319">
      <c r="B4319" s="6"/>
      <c r="C4319" s="33" t="str">
        <f t="array" ref="C4319">IF(B4319="", "", XLOOKUP(B4319, Inventory!D:D,Inventory!E:E,"No Name Found"))</f>
        <v/>
      </c>
      <c r="D4319" s="6"/>
      <c r="E4319" s="6"/>
      <c r="F4319" s="6"/>
      <c r="G4319" s="24" t="str">
        <f>IF(F4319="", "", VLOOKUP(F4319, Inventory!A:BZ, 3, FALSE) - SUMIF($F$1:$F4318, F4319, $H$1:$H4318))
</f>
        <v/>
      </c>
      <c r="I4319" s="26"/>
      <c r="J4319" s="26" t="s">
        <v>77</v>
      </c>
      <c r="L4319" s="27" t="s">
        <v>77</v>
      </c>
      <c r="N4319" s="28" t="s">
        <v>77</v>
      </c>
      <c r="Q4319" s="30"/>
    </row>
    <row r="4320">
      <c r="B4320" s="6"/>
      <c r="C4320" s="33" t="str">
        <f t="array" ref="C4320">IF(B4320="", "", XLOOKUP(B4320, Inventory!D:D,Inventory!E:E,"No Name Found"))</f>
        <v/>
      </c>
      <c r="D4320" s="6"/>
      <c r="E4320" s="6"/>
      <c r="F4320" s="6"/>
      <c r="G4320" s="24" t="str">
        <f>IF(F4320="", "", VLOOKUP(F4320, Inventory!A:BZ, 3, FALSE) - SUMIF($F$1:$F4319, F4320, $H$1:$H4319))
</f>
        <v/>
      </c>
      <c r="I4320" s="26"/>
      <c r="J4320" s="26" t="s">
        <v>77</v>
      </c>
      <c r="L4320" s="27" t="s">
        <v>77</v>
      </c>
      <c r="N4320" s="28" t="s">
        <v>77</v>
      </c>
      <c r="Q4320" s="30"/>
    </row>
    <row r="4321">
      <c r="B4321" s="6"/>
      <c r="C4321" s="33" t="str">
        <f t="array" ref="C4321">IF(B4321="", "", XLOOKUP(B4321, Inventory!D:D,Inventory!E:E,"No Name Found"))</f>
        <v/>
      </c>
      <c r="D4321" s="6"/>
      <c r="E4321" s="6"/>
      <c r="F4321" s="6"/>
      <c r="G4321" s="24" t="str">
        <f>IF(F4321="", "", VLOOKUP(F4321, Inventory!A:BZ, 3, FALSE) - SUMIF($F$1:$F4320, F4321, $H$1:$H4320))
</f>
        <v/>
      </c>
      <c r="I4321" s="26"/>
      <c r="J4321" s="26" t="s">
        <v>77</v>
      </c>
      <c r="L4321" s="27" t="s">
        <v>77</v>
      </c>
      <c r="N4321" s="28" t="s">
        <v>77</v>
      </c>
      <c r="Q4321" s="30"/>
    </row>
    <row r="4322">
      <c r="B4322" s="6"/>
      <c r="C4322" s="33" t="str">
        <f t="array" ref="C4322">IF(B4322="", "", XLOOKUP(B4322, Inventory!D:D,Inventory!E:E,"No Name Found"))</f>
        <v/>
      </c>
      <c r="D4322" s="6"/>
      <c r="E4322" s="6"/>
      <c r="F4322" s="6"/>
      <c r="G4322" s="24" t="str">
        <f>IF(F4322="", "", VLOOKUP(F4322, Inventory!A:BZ, 3, FALSE) - SUMIF($F$1:$F4321, F4322, $H$1:$H4321))
</f>
        <v/>
      </c>
      <c r="I4322" s="26"/>
      <c r="J4322" s="26" t="s">
        <v>77</v>
      </c>
      <c r="L4322" s="27" t="s">
        <v>77</v>
      </c>
      <c r="N4322" s="28" t="s">
        <v>77</v>
      </c>
      <c r="Q4322" s="30"/>
    </row>
    <row r="4323">
      <c r="B4323" s="6"/>
      <c r="C4323" s="33" t="str">
        <f t="array" ref="C4323">IF(B4323="", "", XLOOKUP(B4323, Inventory!D:D,Inventory!E:E,"No Name Found"))</f>
        <v/>
      </c>
      <c r="D4323" s="6"/>
      <c r="E4323" s="6"/>
      <c r="F4323" s="6"/>
      <c r="G4323" s="24" t="str">
        <f>IF(F4323="", "", VLOOKUP(F4323, Inventory!A:BZ, 3, FALSE) - SUMIF($F$1:$F4322, F4323, $H$1:$H4322))
</f>
        <v/>
      </c>
      <c r="I4323" s="26"/>
      <c r="J4323" s="26" t="s">
        <v>77</v>
      </c>
      <c r="L4323" s="27" t="s">
        <v>77</v>
      </c>
      <c r="N4323" s="28" t="s">
        <v>77</v>
      </c>
      <c r="Q4323" s="30"/>
    </row>
    <row r="4324">
      <c r="B4324" s="6"/>
      <c r="C4324" s="33" t="str">
        <f t="array" ref="C4324">IF(B4324="", "", XLOOKUP(B4324, Inventory!D:D,Inventory!E:E,"No Name Found"))</f>
        <v/>
      </c>
      <c r="D4324" s="6"/>
      <c r="E4324" s="6"/>
      <c r="F4324" s="6"/>
      <c r="G4324" s="24" t="str">
        <f>IF(F4324="", "", VLOOKUP(F4324, Inventory!A:BZ, 3, FALSE) - SUMIF($F$1:$F4323, F4324, $H$1:$H4323))
</f>
        <v/>
      </c>
      <c r="I4324" s="26"/>
      <c r="J4324" s="26" t="s">
        <v>77</v>
      </c>
      <c r="L4324" s="27" t="s">
        <v>77</v>
      </c>
      <c r="N4324" s="28" t="s">
        <v>77</v>
      </c>
      <c r="Q4324" s="30"/>
    </row>
    <row r="4325">
      <c r="B4325" s="6"/>
      <c r="C4325" s="33" t="str">
        <f t="array" ref="C4325">IF(B4325="", "", XLOOKUP(B4325, Inventory!D:D,Inventory!E:E,"No Name Found"))</f>
        <v/>
      </c>
      <c r="D4325" s="6"/>
      <c r="E4325" s="6"/>
      <c r="F4325" s="6"/>
      <c r="G4325" s="24" t="str">
        <f>IF(F4325="", "", VLOOKUP(F4325, Inventory!A:BZ, 3, FALSE) - SUMIF($F$1:$F4324, F4325, $H$1:$H4324))
</f>
        <v/>
      </c>
      <c r="I4325" s="26"/>
      <c r="J4325" s="26" t="s">
        <v>77</v>
      </c>
      <c r="L4325" s="27" t="s">
        <v>77</v>
      </c>
      <c r="N4325" s="28" t="s">
        <v>77</v>
      </c>
      <c r="Q4325" s="30"/>
    </row>
    <row r="4326">
      <c r="B4326" s="6"/>
      <c r="C4326" s="33" t="str">
        <f t="array" ref="C4326">IF(B4326="", "", XLOOKUP(B4326, Inventory!D:D,Inventory!E:E,"No Name Found"))</f>
        <v/>
      </c>
      <c r="D4326" s="6"/>
      <c r="E4326" s="6"/>
      <c r="F4326" s="6"/>
      <c r="G4326" s="24" t="str">
        <f>IF(F4326="", "", VLOOKUP(F4326, Inventory!A:BZ, 3, FALSE) - SUMIF($F$1:$F4325, F4326, $H$1:$H4325))
</f>
        <v/>
      </c>
      <c r="I4326" s="26"/>
      <c r="J4326" s="26" t="s">
        <v>77</v>
      </c>
      <c r="L4326" s="27" t="s">
        <v>77</v>
      </c>
      <c r="N4326" s="28" t="s">
        <v>77</v>
      </c>
      <c r="Q4326" s="30"/>
    </row>
    <row r="4327">
      <c r="B4327" s="6"/>
      <c r="C4327" s="33" t="str">
        <f t="array" ref="C4327">IF(B4327="", "", XLOOKUP(B4327, Inventory!D:D,Inventory!E:E,"No Name Found"))</f>
        <v/>
      </c>
      <c r="D4327" s="6"/>
      <c r="E4327" s="6"/>
      <c r="F4327" s="6"/>
      <c r="G4327" s="24" t="str">
        <f>IF(F4327="", "", VLOOKUP(F4327, Inventory!A:BZ, 3, FALSE) - SUMIF($F$1:$F4326, F4327, $H$1:$H4326))
</f>
        <v/>
      </c>
      <c r="I4327" s="26"/>
      <c r="J4327" s="26" t="s">
        <v>77</v>
      </c>
      <c r="L4327" s="27" t="s">
        <v>77</v>
      </c>
      <c r="N4327" s="28" t="s">
        <v>77</v>
      </c>
      <c r="Q4327" s="30"/>
    </row>
    <row r="4328">
      <c r="B4328" s="6"/>
      <c r="C4328" s="33" t="str">
        <f t="array" ref="C4328">IF(B4328="", "", XLOOKUP(B4328, Inventory!D:D,Inventory!E:E,"No Name Found"))</f>
        <v/>
      </c>
      <c r="D4328" s="6"/>
      <c r="E4328" s="6"/>
      <c r="F4328" s="6"/>
      <c r="G4328" s="24" t="str">
        <f>IF(F4328="", "", VLOOKUP(F4328, Inventory!A:BZ, 3, FALSE) - SUMIF($F$1:$F4327, F4328, $H$1:$H4327))
</f>
        <v/>
      </c>
      <c r="I4328" s="26"/>
      <c r="J4328" s="26" t="s">
        <v>77</v>
      </c>
      <c r="L4328" s="27" t="s">
        <v>77</v>
      </c>
      <c r="N4328" s="28" t="s">
        <v>77</v>
      </c>
      <c r="Q4328" s="30"/>
    </row>
    <row r="4329">
      <c r="B4329" s="6"/>
      <c r="C4329" s="33" t="str">
        <f t="array" ref="C4329">IF(B4329="", "", XLOOKUP(B4329, Inventory!D:D,Inventory!E:E,"No Name Found"))</f>
        <v/>
      </c>
      <c r="D4329" s="6"/>
      <c r="E4329" s="6"/>
      <c r="F4329" s="6"/>
      <c r="G4329" s="24" t="str">
        <f>IF(F4329="", "", VLOOKUP(F4329, Inventory!A:BZ, 3, FALSE) - SUMIF($F$1:$F4328, F4329, $H$1:$H4328))
</f>
        <v/>
      </c>
      <c r="I4329" s="26"/>
      <c r="J4329" s="26" t="s">
        <v>77</v>
      </c>
      <c r="L4329" s="27" t="s">
        <v>77</v>
      </c>
      <c r="N4329" s="28" t="s">
        <v>77</v>
      </c>
      <c r="Q4329" s="30"/>
    </row>
    <row r="4330">
      <c r="B4330" s="6"/>
      <c r="C4330" s="33" t="str">
        <f t="array" ref="C4330">IF(B4330="", "", XLOOKUP(B4330, Inventory!D:D,Inventory!E:E,"No Name Found"))</f>
        <v/>
      </c>
      <c r="D4330" s="6"/>
      <c r="E4330" s="6"/>
      <c r="F4330" s="6"/>
      <c r="G4330" s="24" t="str">
        <f>IF(F4330="", "", VLOOKUP(F4330, Inventory!A:BZ, 3, FALSE) - SUMIF($F$1:$F4329, F4330, $H$1:$H4329))
</f>
        <v/>
      </c>
      <c r="I4330" s="26"/>
      <c r="J4330" s="26" t="s">
        <v>77</v>
      </c>
      <c r="L4330" s="27" t="s">
        <v>77</v>
      </c>
      <c r="N4330" s="28" t="s">
        <v>77</v>
      </c>
      <c r="Q4330" s="30"/>
    </row>
    <row r="4331">
      <c r="B4331" s="6"/>
      <c r="C4331" s="33" t="str">
        <f t="array" ref="C4331">IF(B4331="", "", XLOOKUP(B4331, Inventory!D:D,Inventory!E:E,"No Name Found"))</f>
        <v/>
      </c>
      <c r="D4331" s="6"/>
      <c r="E4331" s="6"/>
      <c r="F4331" s="6"/>
      <c r="G4331" s="24" t="str">
        <f>IF(F4331="", "", VLOOKUP(F4331, Inventory!A:BZ, 3, FALSE) - SUMIF($F$1:$F4330, F4331, $H$1:$H4330))
</f>
        <v/>
      </c>
      <c r="I4331" s="26"/>
      <c r="J4331" s="26" t="s">
        <v>77</v>
      </c>
      <c r="L4331" s="27" t="s">
        <v>77</v>
      </c>
      <c r="N4331" s="28" t="s">
        <v>77</v>
      </c>
      <c r="Q4331" s="30"/>
    </row>
    <row r="4332">
      <c r="B4332" s="6"/>
      <c r="C4332" s="33" t="str">
        <f t="array" ref="C4332">IF(B4332="", "", XLOOKUP(B4332, Inventory!D:D,Inventory!E:E,"No Name Found"))</f>
        <v/>
      </c>
      <c r="D4332" s="6"/>
      <c r="E4332" s="6"/>
      <c r="F4332" s="6"/>
      <c r="G4332" s="24" t="str">
        <f>IF(F4332="", "", VLOOKUP(F4332, Inventory!A:BZ, 3, FALSE) - SUMIF($F$1:$F4331, F4332, $H$1:$H4331))
</f>
        <v/>
      </c>
      <c r="I4332" s="26"/>
      <c r="J4332" s="26" t="s">
        <v>77</v>
      </c>
      <c r="L4332" s="27" t="s">
        <v>77</v>
      </c>
      <c r="N4332" s="28" t="s">
        <v>77</v>
      </c>
      <c r="Q4332" s="30"/>
    </row>
    <row r="4333">
      <c r="B4333" s="6"/>
      <c r="C4333" s="33" t="str">
        <f t="array" ref="C4333">IF(B4333="", "", XLOOKUP(B4333, Inventory!D:D,Inventory!E:E,"No Name Found"))</f>
        <v/>
      </c>
      <c r="D4333" s="6"/>
      <c r="E4333" s="6"/>
      <c r="F4333" s="6"/>
      <c r="G4333" s="24" t="str">
        <f>IF(F4333="", "", VLOOKUP(F4333, Inventory!A:BZ, 3, FALSE) - SUMIF($F$1:$F4332, F4333, $H$1:$H4332))
</f>
        <v/>
      </c>
      <c r="I4333" s="26"/>
      <c r="J4333" s="26" t="s">
        <v>77</v>
      </c>
      <c r="L4333" s="27" t="s">
        <v>77</v>
      </c>
      <c r="N4333" s="28" t="s">
        <v>77</v>
      </c>
      <c r="Q4333" s="30"/>
    </row>
    <row r="4334">
      <c r="B4334" s="6"/>
      <c r="C4334" s="33" t="str">
        <f t="array" ref="C4334">IF(B4334="", "", XLOOKUP(B4334, Inventory!D:D,Inventory!E:E,"No Name Found"))</f>
        <v/>
      </c>
      <c r="D4334" s="6"/>
      <c r="E4334" s="6"/>
      <c r="F4334" s="6"/>
      <c r="G4334" s="24" t="str">
        <f>IF(F4334="", "", VLOOKUP(F4334, Inventory!A:BZ, 3, FALSE) - SUMIF($F$1:$F4333, F4334, $H$1:$H4333))
</f>
        <v/>
      </c>
      <c r="I4334" s="26"/>
      <c r="J4334" s="26" t="s">
        <v>77</v>
      </c>
      <c r="L4334" s="27" t="s">
        <v>77</v>
      </c>
      <c r="N4334" s="28" t="s">
        <v>77</v>
      </c>
      <c r="Q4334" s="30"/>
    </row>
    <row r="4335">
      <c r="B4335" s="6"/>
      <c r="C4335" s="33" t="str">
        <f t="array" ref="C4335">IF(B4335="", "", XLOOKUP(B4335, Inventory!D:D,Inventory!E:E,"No Name Found"))</f>
        <v/>
      </c>
      <c r="D4335" s="6"/>
      <c r="E4335" s="6"/>
      <c r="F4335" s="6"/>
      <c r="G4335" s="24" t="str">
        <f>IF(F4335="", "", VLOOKUP(F4335, Inventory!A:BZ, 3, FALSE) - SUMIF($F$1:$F4334, F4335, $H$1:$H4334))
</f>
        <v/>
      </c>
      <c r="I4335" s="26"/>
      <c r="J4335" s="26" t="s">
        <v>77</v>
      </c>
      <c r="L4335" s="27" t="s">
        <v>77</v>
      </c>
      <c r="N4335" s="28" t="s">
        <v>77</v>
      </c>
      <c r="Q4335" s="30"/>
    </row>
    <row r="4336">
      <c r="B4336" s="6"/>
      <c r="C4336" s="33" t="str">
        <f t="array" ref="C4336">IF(B4336="", "", XLOOKUP(B4336, Inventory!D:D,Inventory!E:E,"No Name Found"))</f>
        <v/>
      </c>
      <c r="D4336" s="6"/>
      <c r="E4336" s="6"/>
      <c r="F4336" s="6"/>
      <c r="G4336" s="24" t="str">
        <f>IF(F4336="", "", VLOOKUP(F4336, Inventory!A:BZ, 3, FALSE) - SUMIF($F$1:$F4335, F4336, $H$1:$H4335))
</f>
        <v/>
      </c>
      <c r="I4336" s="26"/>
      <c r="J4336" s="26" t="s">
        <v>77</v>
      </c>
      <c r="L4336" s="27" t="s">
        <v>77</v>
      </c>
      <c r="N4336" s="28" t="s">
        <v>77</v>
      </c>
      <c r="Q4336" s="30"/>
    </row>
    <row r="4337">
      <c r="B4337" s="6"/>
      <c r="C4337" s="33" t="str">
        <f t="array" ref="C4337">IF(B4337="", "", XLOOKUP(B4337, Inventory!D:D,Inventory!E:E,"No Name Found"))</f>
        <v/>
      </c>
      <c r="D4337" s="6"/>
      <c r="E4337" s="6"/>
      <c r="F4337" s="6"/>
      <c r="G4337" s="24" t="str">
        <f>IF(F4337="", "", VLOOKUP(F4337, Inventory!A:BZ, 3, FALSE) - SUMIF($F$1:$F4336, F4337, $H$1:$H4336))
</f>
        <v/>
      </c>
      <c r="I4337" s="26"/>
      <c r="J4337" s="26" t="s">
        <v>77</v>
      </c>
      <c r="L4337" s="27" t="s">
        <v>77</v>
      </c>
      <c r="N4337" s="28" t="s">
        <v>77</v>
      </c>
      <c r="Q4337" s="30"/>
    </row>
    <row r="4338">
      <c r="B4338" s="6"/>
      <c r="C4338" s="33" t="str">
        <f t="array" ref="C4338">IF(B4338="", "", XLOOKUP(B4338, Inventory!D:D,Inventory!E:E,"No Name Found"))</f>
        <v/>
      </c>
      <c r="D4338" s="6"/>
      <c r="E4338" s="6"/>
      <c r="F4338" s="6"/>
      <c r="G4338" s="24" t="str">
        <f>IF(F4338="", "", VLOOKUP(F4338, Inventory!A:BZ, 3, FALSE) - SUMIF($F$1:$F4337, F4338, $H$1:$H4337))
</f>
        <v/>
      </c>
      <c r="I4338" s="26"/>
      <c r="J4338" s="26" t="s">
        <v>77</v>
      </c>
      <c r="L4338" s="27" t="s">
        <v>77</v>
      </c>
      <c r="N4338" s="28" t="s">
        <v>77</v>
      </c>
      <c r="Q4338" s="30"/>
    </row>
    <row r="4339">
      <c r="B4339" s="6"/>
      <c r="C4339" s="33" t="str">
        <f t="array" ref="C4339">IF(B4339="", "", XLOOKUP(B4339, Inventory!D:D,Inventory!E:E,"No Name Found"))</f>
        <v/>
      </c>
      <c r="D4339" s="6"/>
      <c r="E4339" s="6"/>
      <c r="F4339" s="6"/>
      <c r="G4339" s="24" t="str">
        <f>IF(F4339="", "", VLOOKUP(F4339, Inventory!A:BZ, 3, FALSE) - SUMIF($F$1:$F4338, F4339, $H$1:$H4338))
</f>
        <v/>
      </c>
      <c r="I4339" s="26"/>
      <c r="J4339" s="26" t="s">
        <v>77</v>
      </c>
      <c r="L4339" s="27" t="s">
        <v>77</v>
      </c>
      <c r="N4339" s="28" t="s">
        <v>77</v>
      </c>
      <c r="Q4339" s="30"/>
    </row>
    <row r="4340">
      <c r="B4340" s="6"/>
      <c r="C4340" s="33" t="str">
        <f t="array" ref="C4340">IF(B4340="", "", XLOOKUP(B4340, Inventory!D:D,Inventory!E:E,"No Name Found"))</f>
        <v/>
      </c>
      <c r="D4340" s="6"/>
      <c r="E4340" s="6"/>
      <c r="F4340" s="6"/>
      <c r="G4340" s="24" t="str">
        <f>IF(F4340="", "", VLOOKUP(F4340, Inventory!A:BZ, 3, FALSE) - SUMIF($F$1:$F4339, F4340, $H$1:$H4339))
</f>
        <v/>
      </c>
      <c r="I4340" s="26"/>
      <c r="J4340" s="26" t="s">
        <v>77</v>
      </c>
      <c r="L4340" s="27" t="s">
        <v>77</v>
      </c>
      <c r="N4340" s="28" t="s">
        <v>77</v>
      </c>
      <c r="Q4340" s="30"/>
    </row>
    <row r="4341">
      <c r="B4341" s="6"/>
      <c r="C4341" s="33" t="str">
        <f t="array" ref="C4341">IF(B4341="", "", XLOOKUP(B4341, Inventory!D:D,Inventory!E:E,"No Name Found"))</f>
        <v/>
      </c>
      <c r="D4341" s="6"/>
      <c r="E4341" s="6"/>
      <c r="F4341" s="6"/>
      <c r="G4341" s="24" t="str">
        <f>IF(F4341="", "", VLOOKUP(F4341, Inventory!A:BZ, 3, FALSE) - SUMIF($F$1:$F4340, F4341, $H$1:$H4340))
</f>
        <v/>
      </c>
      <c r="I4341" s="26"/>
      <c r="J4341" s="26" t="s">
        <v>77</v>
      </c>
      <c r="L4341" s="27" t="s">
        <v>77</v>
      </c>
      <c r="N4341" s="28" t="s">
        <v>77</v>
      </c>
      <c r="Q4341" s="30"/>
    </row>
    <row r="4342">
      <c r="B4342" s="6"/>
      <c r="C4342" s="33" t="str">
        <f t="array" ref="C4342">IF(B4342="", "", XLOOKUP(B4342, Inventory!D:D,Inventory!E:E,"No Name Found"))</f>
        <v/>
      </c>
      <c r="D4342" s="6"/>
      <c r="E4342" s="6"/>
      <c r="F4342" s="6"/>
      <c r="G4342" s="24" t="str">
        <f>IF(F4342="", "", VLOOKUP(F4342, Inventory!A:BZ, 3, FALSE) - SUMIF($F$1:$F4341, F4342, $H$1:$H4341))
</f>
        <v/>
      </c>
      <c r="I4342" s="26"/>
      <c r="J4342" s="26" t="s">
        <v>77</v>
      </c>
      <c r="L4342" s="27" t="s">
        <v>77</v>
      </c>
      <c r="N4342" s="28" t="s">
        <v>77</v>
      </c>
      <c r="Q4342" s="30"/>
    </row>
    <row r="4343">
      <c r="B4343" s="6"/>
      <c r="C4343" s="33" t="str">
        <f t="array" ref="C4343">IF(B4343="", "", XLOOKUP(B4343, Inventory!D:D,Inventory!E:E,"No Name Found"))</f>
        <v/>
      </c>
      <c r="D4343" s="6"/>
      <c r="E4343" s="6"/>
      <c r="F4343" s="6"/>
      <c r="G4343" s="24" t="str">
        <f>IF(F4343="", "", VLOOKUP(F4343, Inventory!A:BZ, 3, FALSE) - SUMIF($F$1:$F4342, F4343, $H$1:$H4342))
</f>
        <v/>
      </c>
      <c r="I4343" s="26"/>
      <c r="J4343" s="26" t="s">
        <v>77</v>
      </c>
      <c r="L4343" s="27" t="s">
        <v>77</v>
      </c>
      <c r="N4343" s="28" t="s">
        <v>77</v>
      </c>
      <c r="Q4343" s="30"/>
    </row>
    <row r="4344">
      <c r="B4344" s="6"/>
      <c r="C4344" s="33" t="str">
        <f t="array" ref="C4344">IF(B4344="", "", XLOOKUP(B4344, Inventory!D:D,Inventory!E:E,"No Name Found"))</f>
        <v/>
      </c>
      <c r="D4344" s="6"/>
      <c r="E4344" s="6"/>
      <c r="F4344" s="6"/>
      <c r="G4344" s="24" t="str">
        <f>IF(F4344="", "", VLOOKUP(F4344, Inventory!A:BZ, 3, FALSE) - SUMIF($F$1:$F4343, F4344, $H$1:$H4343))
</f>
        <v/>
      </c>
      <c r="I4344" s="26"/>
      <c r="J4344" s="26" t="s">
        <v>77</v>
      </c>
      <c r="L4344" s="27" t="s">
        <v>77</v>
      </c>
      <c r="N4344" s="28" t="s">
        <v>77</v>
      </c>
      <c r="Q4344" s="30"/>
    </row>
    <row r="4345">
      <c r="B4345" s="6"/>
      <c r="C4345" s="33" t="str">
        <f t="array" ref="C4345">IF(B4345="", "", XLOOKUP(B4345, Inventory!D:D,Inventory!E:E,"No Name Found"))</f>
        <v/>
      </c>
      <c r="D4345" s="6"/>
      <c r="E4345" s="6"/>
      <c r="F4345" s="6"/>
      <c r="G4345" s="24" t="str">
        <f>IF(F4345="", "", VLOOKUP(F4345, Inventory!A:BZ, 3, FALSE) - SUMIF($F$1:$F4344, F4345, $H$1:$H4344))
</f>
        <v/>
      </c>
      <c r="I4345" s="26"/>
      <c r="J4345" s="26" t="s">
        <v>77</v>
      </c>
      <c r="L4345" s="27" t="s">
        <v>77</v>
      </c>
      <c r="N4345" s="28" t="s">
        <v>77</v>
      </c>
      <c r="Q4345" s="30"/>
    </row>
    <row r="4346">
      <c r="B4346" s="6"/>
      <c r="C4346" s="33" t="str">
        <f t="array" ref="C4346">IF(B4346="", "", XLOOKUP(B4346, Inventory!D:D,Inventory!E:E,"No Name Found"))</f>
        <v/>
      </c>
      <c r="D4346" s="6"/>
      <c r="E4346" s="6"/>
      <c r="F4346" s="6"/>
      <c r="G4346" s="24" t="str">
        <f>IF(F4346="", "", VLOOKUP(F4346, Inventory!A:BZ, 3, FALSE) - SUMIF($F$1:$F4345, F4346, $H$1:$H4345))
</f>
        <v/>
      </c>
      <c r="I4346" s="26"/>
      <c r="J4346" s="26" t="s">
        <v>77</v>
      </c>
      <c r="L4346" s="27" t="s">
        <v>77</v>
      </c>
      <c r="N4346" s="28" t="s">
        <v>77</v>
      </c>
      <c r="Q4346" s="30"/>
    </row>
    <row r="4347">
      <c r="B4347" s="6"/>
      <c r="C4347" s="33" t="str">
        <f t="array" ref="C4347">IF(B4347="", "", XLOOKUP(B4347, Inventory!D:D,Inventory!E:E,"No Name Found"))</f>
        <v/>
      </c>
      <c r="D4347" s="6"/>
      <c r="E4347" s="6"/>
      <c r="F4347" s="6"/>
      <c r="G4347" s="24" t="str">
        <f>IF(F4347="", "", VLOOKUP(F4347, Inventory!A:BZ, 3, FALSE) - SUMIF($F$1:$F4346, F4347, $H$1:$H4346))
</f>
        <v/>
      </c>
      <c r="I4347" s="26"/>
      <c r="J4347" s="26" t="s">
        <v>77</v>
      </c>
      <c r="L4347" s="27" t="s">
        <v>77</v>
      </c>
      <c r="N4347" s="28" t="s">
        <v>77</v>
      </c>
      <c r="Q4347" s="30"/>
    </row>
    <row r="4348">
      <c r="B4348" s="6"/>
      <c r="C4348" s="33" t="str">
        <f t="array" ref="C4348">IF(B4348="", "", XLOOKUP(B4348, Inventory!D:D,Inventory!E:E,"No Name Found"))</f>
        <v/>
      </c>
      <c r="D4348" s="6"/>
      <c r="E4348" s="6"/>
      <c r="F4348" s="6"/>
      <c r="G4348" s="24" t="str">
        <f>IF(F4348="", "", VLOOKUP(F4348, Inventory!A:BZ, 3, FALSE) - SUMIF($F$1:$F4347, F4348, $H$1:$H4347))
</f>
        <v/>
      </c>
      <c r="I4348" s="26"/>
      <c r="J4348" s="26" t="s">
        <v>77</v>
      </c>
      <c r="L4348" s="27" t="s">
        <v>77</v>
      </c>
      <c r="N4348" s="28" t="s">
        <v>77</v>
      </c>
      <c r="Q4348" s="30"/>
    </row>
    <row r="4349">
      <c r="B4349" s="6"/>
      <c r="C4349" s="33" t="str">
        <f t="array" ref="C4349">IF(B4349="", "", XLOOKUP(B4349, Inventory!D:D,Inventory!E:E,"No Name Found"))</f>
        <v/>
      </c>
      <c r="D4349" s="6"/>
      <c r="E4349" s="6"/>
      <c r="F4349" s="6"/>
      <c r="G4349" s="24" t="str">
        <f>IF(F4349="", "", VLOOKUP(F4349, Inventory!A:BZ, 3, FALSE) - SUMIF($F$1:$F4348, F4349, $H$1:$H4348))
</f>
        <v/>
      </c>
      <c r="I4349" s="26"/>
      <c r="J4349" s="26" t="s">
        <v>77</v>
      </c>
      <c r="L4349" s="27" t="s">
        <v>77</v>
      </c>
      <c r="N4349" s="28" t="s">
        <v>77</v>
      </c>
      <c r="Q4349" s="30"/>
    </row>
    <row r="4350">
      <c r="B4350" s="6"/>
      <c r="C4350" s="33" t="str">
        <f t="array" ref="C4350">IF(B4350="", "", XLOOKUP(B4350, Inventory!D:D,Inventory!E:E,"No Name Found"))</f>
        <v/>
      </c>
      <c r="D4350" s="6"/>
      <c r="E4350" s="6"/>
      <c r="F4350" s="6"/>
      <c r="G4350" s="24" t="str">
        <f>IF(F4350="", "", VLOOKUP(F4350, Inventory!A:BZ, 3, FALSE) - SUMIF($F$1:$F4349, F4350, $H$1:$H4349))
</f>
        <v/>
      </c>
      <c r="I4350" s="26"/>
      <c r="J4350" s="26" t="s">
        <v>77</v>
      </c>
      <c r="L4350" s="27" t="s">
        <v>77</v>
      </c>
      <c r="N4350" s="28" t="s">
        <v>77</v>
      </c>
      <c r="Q4350" s="30"/>
    </row>
    <row r="4351">
      <c r="B4351" s="6"/>
      <c r="C4351" s="33" t="str">
        <f t="array" ref="C4351">IF(B4351="", "", XLOOKUP(B4351, Inventory!D:D,Inventory!E:E,"No Name Found"))</f>
        <v/>
      </c>
      <c r="D4351" s="6"/>
      <c r="E4351" s="6"/>
      <c r="F4351" s="6"/>
      <c r="G4351" s="24" t="str">
        <f>IF(F4351="", "", VLOOKUP(F4351, Inventory!A:BZ, 3, FALSE) - SUMIF($F$1:$F4350, F4351, $H$1:$H4350))
</f>
        <v/>
      </c>
      <c r="I4351" s="26"/>
      <c r="J4351" s="26" t="s">
        <v>77</v>
      </c>
      <c r="L4351" s="27" t="s">
        <v>77</v>
      </c>
      <c r="N4351" s="28" t="s">
        <v>77</v>
      </c>
      <c r="Q4351" s="30"/>
    </row>
    <row r="4352">
      <c r="B4352" s="6"/>
      <c r="C4352" s="33" t="str">
        <f t="array" ref="C4352">IF(B4352="", "", XLOOKUP(B4352, Inventory!D:D,Inventory!E:E,"No Name Found"))</f>
        <v/>
      </c>
      <c r="D4352" s="6"/>
      <c r="E4352" s="6"/>
      <c r="F4352" s="6"/>
      <c r="G4352" s="24" t="str">
        <f>IF(F4352="", "", VLOOKUP(F4352, Inventory!A:BZ, 3, FALSE) - SUMIF($F$1:$F4351, F4352, $H$1:$H4351))
</f>
        <v/>
      </c>
      <c r="I4352" s="26"/>
      <c r="J4352" s="26" t="s">
        <v>77</v>
      </c>
      <c r="L4352" s="27" t="s">
        <v>77</v>
      </c>
      <c r="N4352" s="28" t="s">
        <v>77</v>
      </c>
      <c r="Q4352" s="30"/>
    </row>
    <row r="4353">
      <c r="B4353" s="6"/>
      <c r="C4353" s="33" t="str">
        <f t="array" ref="C4353">IF(B4353="", "", XLOOKUP(B4353, Inventory!D:D,Inventory!E:E,"No Name Found"))</f>
        <v/>
      </c>
      <c r="D4353" s="6"/>
      <c r="E4353" s="6"/>
      <c r="F4353" s="6"/>
      <c r="G4353" s="24" t="str">
        <f>IF(F4353="", "", VLOOKUP(F4353, Inventory!A:BZ, 3, FALSE) - SUMIF($F$1:$F4352, F4353, $H$1:$H4352))
</f>
        <v/>
      </c>
      <c r="I4353" s="26"/>
      <c r="J4353" s="26" t="s">
        <v>77</v>
      </c>
      <c r="L4353" s="27" t="s">
        <v>77</v>
      </c>
      <c r="N4353" s="28" t="s">
        <v>77</v>
      </c>
      <c r="Q4353" s="30"/>
    </row>
    <row r="4354">
      <c r="B4354" s="6"/>
      <c r="C4354" s="33" t="str">
        <f t="array" ref="C4354">IF(B4354="", "", XLOOKUP(B4354, Inventory!D:D,Inventory!E:E,"No Name Found"))</f>
        <v/>
      </c>
      <c r="D4354" s="6"/>
      <c r="E4354" s="6"/>
      <c r="F4354" s="6"/>
      <c r="G4354" s="24" t="str">
        <f>IF(F4354="", "", VLOOKUP(F4354, Inventory!A:BZ, 3, FALSE) - SUMIF($F$1:$F4353, F4354, $H$1:$H4353))
</f>
        <v/>
      </c>
      <c r="I4354" s="26"/>
      <c r="J4354" s="26" t="s">
        <v>77</v>
      </c>
      <c r="L4354" s="27" t="s">
        <v>77</v>
      </c>
      <c r="N4354" s="28" t="s">
        <v>77</v>
      </c>
      <c r="Q4354" s="30"/>
    </row>
    <row r="4355">
      <c r="B4355" s="6"/>
      <c r="C4355" s="33" t="str">
        <f t="array" ref="C4355">IF(B4355="", "", XLOOKUP(B4355, Inventory!D:D,Inventory!E:E,"No Name Found"))</f>
        <v/>
      </c>
      <c r="D4355" s="6"/>
      <c r="E4355" s="6"/>
      <c r="F4355" s="6"/>
      <c r="G4355" s="24" t="str">
        <f>IF(F4355="", "", VLOOKUP(F4355, Inventory!A:BZ, 3, FALSE) - SUMIF($F$1:$F4354, F4355, $H$1:$H4354))
</f>
        <v/>
      </c>
      <c r="I4355" s="26"/>
      <c r="J4355" s="26" t="s">
        <v>77</v>
      </c>
      <c r="L4355" s="27" t="s">
        <v>77</v>
      </c>
      <c r="N4355" s="28" t="s">
        <v>77</v>
      </c>
      <c r="Q4355" s="30"/>
    </row>
    <row r="4356">
      <c r="B4356" s="6"/>
      <c r="C4356" s="33" t="str">
        <f t="array" ref="C4356">IF(B4356="", "", XLOOKUP(B4356, Inventory!D:D,Inventory!E:E,"No Name Found"))</f>
        <v/>
      </c>
      <c r="D4356" s="6"/>
      <c r="E4356" s="6"/>
      <c r="F4356" s="6"/>
      <c r="G4356" s="24" t="str">
        <f>IF(F4356="", "", VLOOKUP(F4356, Inventory!A:BZ, 3, FALSE) - SUMIF($F$1:$F4355, F4356, $H$1:$H4355))
</f>
        <v/>
      </c>
      <c r="I4356" s="26"/>
      <c r="J4356" s="26" t="s">
        <v>77</v>
      </c>
      <c r="L4356" s="27" t="s">
        <v>77</v>
      </c>
      <c r="N4356" s="28" t="s">
        <v>77</v>
      </c>
      <c r="Q4356" s="30"/>
    </row>
    <row r="4357">
      <c r="B4357" s="6"/>
      <c r="C4357" s="33" t="str">
        <f t="array" ref="C4357">IF(B4357="", "", XLOOKUP(B4357, Inventory!D:D,Inventory!E:E,"No Name Found"))</f>
        <v/>
      </c>
      <c r="D4357" s="6"/>
      <c r="E4357" s="6"/>
      <c r="F4357" s="6"/>
      <c r="G4357" s="24" t="str">
        <f>IF(F4357="", "", VLOOKUP(F4357, Inventory!A:BZ, 3, FALSE) - SUMIF($F$1:$F4356, F4357, $H$1:$H4356))
</f>
        <v/>
      </c>
      <c r="I4357" s="26"/>
      <c r="J4357" s="26" t="s">
        <v>77</v>
      </c>
      <c r="L4357" s="27" t="s">
        <v>77</v>
      </c>
      <c r="N4357" s="28" t="s">
        <v>77</v>
      </c>
      <c r="Q4357" s="30"/>
    </row>
    <row r="4358">
      <c r="B4358" s="6"/>
      <c r="C4358" s="33" t="str">
        <f t="array" ref="C4358">IF(B4358="", "", XLOOKUP(B4358, Inventory!D:D,Inventory!E:E,"No Name Found"))</f>
        <v/>
      </c>
      <c r="D4358" s="6"/>
      <c r="E4358" s="6"/>
      <c r="F4358" s="6"/>
      <c r="G4358" s="24" t="str">
        <f>IF(F4358="", "", VLOOKUP(F4358, Inventory!A:BZ, 3, FALSE) - SUMIF($F$1:$F4357, F4358, $H$1:$H4357))
</f>
        <v/>
      </c>
      <c r="I4358" s="26"/>
      <c r="J4358" s="26" t="s">
        <v>77</v>
      </c>
      <c r="L4358" s="27" t="s">
        <v>77</v>
      </c>
      <c r="N4358" s="28" t="s">
        <v>77</v>
      </c>
      <c r="Q4358" s="30"/>
    </row>
    <row r="4359">
      <c r="B4359" s="6"/>
      <c r="C4359" s="33" t="str">
        <f t="array" ref="C4359">IF(B4359="", "", XLOOKUP(B4359, Inventory!D:D,Inventory!E:E,"No Name Found"))</f>
        <v/>
      </c>
      <c r="D4359" s="6"/>
      <c r="E4359" s="6"/>
      <c r="F4359" s="6"/>
      <c r="G4359" s="24" t="str">
        <f>IF(F4359="", "", VLOOKUP(F4359, Inventory!A:BZ, 3, FALSE) - SUMIF($F$1:$F4358, F4359, $H$1:$H4358))
</f>
        <v/>
      </c>
      <c r="I4359" s="26"/>
      <c r="J4359" s="26" t="s">
        <v>77</v>
      </c>
      <c r="L4359" s="27" t="s">
        <v>77</v>
      </c>
      <c r="N4359" s="28" t="s">
        <v>77</v>
      </c>
      <c r="Q4359" s="30"/>
    </row>
    <row r="4360">
      <c r="B4360" s="6"/>
      <c r="C4360" s="33" t="str">
        <f t="array" ref="C4360">IF(B4360="", "", XLOOKUP(B4360, Inventory!D:D,Inventory!E:E,"No Name Found"))</f>
        <v/>
      </c>
      <c r="D4360" s="6"/>
      <c r="E4360" s="6"/>
      <c r="F4360" s="6"/>
      <c r="G4360" s="24" t="str">
        <f>IF(F4360="", "", VLOOKUP(F4360, Inventory!A:BZ, 3, FALSE) - SUMIF($F$1:$F4359, F4360, $H$1:$H4359))
</f>
        <v/>
      </c>
      <c r="I4360" s="26"/>
      <c r="J4360" s="26" t="s">
        <v>77</v>
      </c>
      <c r="L4360" s="27" t="s">
        <v>77</v>
      </c>
      <c r="N4360" s="28" t="s">
        <v>77</v>
      </c>
      <c r="Q4360" s="30"/>
    </row>
    <row r="4361">
      <c r="B4361" s="6"/>
      <c r="C4361" s="33" t="str">
        <f t="array" ref="C4361">IF(B4361="", "", XLOOKUP(B4361, Inventory!D:D,Inventory!E:E,"No Name Found"))</f>
        <v/>
      </c>
      <c r="D4361" s="6"/>
      <c r="E4361" s="6"/>
      <c r="F4361" s="6"/>
      <c r="G4361" s="24" t="str">
        <f>IF(F4361="", "", VLOOKUP(F4361, Inventory!A:BZ, 3, FALSE) - SUMIF($F$1:$F4360, F4361, $H$1:$H4360))
</f>
        <v/>
      </c>
      <c r="I4361" s="26"/>
      <c r="J4361" s="26" t="s">
        <v>77</v>
      </c>
      <c r="L4361" s="27" t="s">
        <v>77</v>
      </c>
      <c r="N4361" s="28" t="s">
        <v>77</v>
      </c>
      <c r="Q4361" s="30"/>
    </row>
    <row r="4362">
      <c r="B4362" s="6"/>
      <c r="C4362" s="33" t="str">
        <f t="array" ref="C4362">IF(B4362="", "", XLOOKUP(B4362, Inventory!D:D,Inventory!E:E,"No Name Found"))</f>
        <v/>
      </c>
      <c r="D4362" s="6"/>
      <c r="E4362" s="6"/>
      <c r="F4362" s="6"/>
      <c r="G4362" s="24" t="str">
        <f>IF(F4362="", "", VLOOKUP(F4362, Inventory!A:BZ, 3, FALSE) - SUMIF($F$1:$F4361, F4362, $H$1:$H4361))
</f>
        <v/>
      </c>
      <c r="I4362" s="26"/>
      <c r="J4362" s="26" t="s">
        <v>77</v>
      </c>
      <c r="L4362" s="27" t="s">
        <v>77</v>
      </c>
      <c r="N4362" s="28" t="s">
        <v>77</v>
      </c>
      <c r="Q4362" s="30"/>
    </row>
    <row r="4363">
      <c r="B4363" s="6"/>
      <c r="C4363" s="33" t="str">
        <f t="array" ref="C4363">IF(B4363="", "", XLOOKUP(B4363, Inventory!D:D,Inventory!E:E,"No Name Found"))</f>
        <v/>
      </c>
      <c r="D4363" s="6"/>
      <c r="E4363" s="6"/>
      <c r="F4363" s="6"/>
      <c r="G4363" s="24" t="str">
        <f>IF(F4363="", "", VLOOKUP(F4363, Inventory!A:BZ, 3, FALSE) - SUMIF($F$1:$F4362, F4363, $H$1:$H4362))
</f>
        <v/>
      </c>
      <c r="I4363" s="26"/>
      <c r="J4363" s="26" t="s">
        <v>77</v>
      </c>
      <c r="L4363" s="27" t="s">
        <v>77</v>
      </c>
      <c r="N4363" s="28" t="s">
        <v>77</v>
      </c>
      <c r="Q4363" s="30"/>
    </row>
    <row r="4364">
      <c r="B4364" s="6"/>
      <c r="C4364" s="33" t="str">
        <f t="array" ref="C4364">IF(B4364="", "", XLOOKUP(B4364, Inventory!D:D,Inventory!E:E,"No Name Found"))</f>
        <v/>
      </c>
      <c r="D4364" s="6"/>
      <c r="E4364" s="6"/>
      <c r="F4364" s="6"/>
      <c r="G4364" s="24" t="str">
        <f>IF(F4364="", "", VLOOKUP(F4364, Inventory!A:BZ, 3, FALSE) - SUMIF($F$1:$F4363, F4364, $H$1:$H4363))
</f>
        <v/>
      </c>
      <c r="I4364" s="26"/>
      <c r="J4364" s="26" t="s">
        <v>77</v>
      </c>
      <c r="L4364" s="27" t="s">
        <v>77</v>
      </c>
      <c r="N4364" s="28" t="s">
        <v>77</v>
      </c>
      <c r="Q4364" s="30"/>
    </row>
    <row r="4365">
      <c r="B4365" s="6"/>
      <c r="C4365" s="33" t="str">
        <f t="array" ref="C4365">IF(B4365="", "", XLOOKUP(B4365, Inventory!D:D,Inventory!E:E,"No Name Found"))</f>
        <v/>
      </c>
      <c r="D4365" s="6"/>
      <c r="E4365" s="6"/>
      <c r="F4365" s="6"/>
      <c r="G4365" s="24" t="str">
        <f>IF(F4365="", "", VLOOKUP(F4365, Inventory!A:BZ, 3, FALSE) - SUMIF($F$1:$F4364, F4365, $H$1:$H4364))
</f>
        <v/>
      </c>
      <c r="I4365" s="26"/>
      <c r="J4365" s="26" t="s">
        <v>77</v>
      </c>
      <c r="L4365" s="27" t="s">
        <v>77</v>
      </c>
      <c r="N4365" s="28" t="s">
        <v>77</v>
      </c>
      <c r="Q4365" s="30"/>
    </row>
    <row r="4366">
      <c r="B4366" s="6"/>
      <c r="C4366" s="33" t="str">
        <f t="array" ref="C4366">IF(B4366="", "", XLOOKUP(B4366, Inventory!D:D,Inventory!E:E,"No Name Found"))</f>
        <v/>
      </c>
      <c r="D4366" s="6"/>
      <c r="E4366" s="6"/>
      <c r="F4366" s="6"/>
      <c r="G4366" s="24" t="str">
        <f>IF(F4366="", "", VLOOKUP(F4366, Inventory!A:BZ, 3, FALSE) - SUMIF($F$1:$F4365, F4366, $H$1:$H4365))
</f>
        <v/>
      </c>
      <c r="I4366" s="26"/>
      <c r="J4366" s="26" t="s">
        <v>77</v>
      </c>
      <c r="L4366" s="27" t="s">
        <v>77</v>
      </c>
      <c r="N4366" s="28" t="s">
        <v>77</v>
      </c>
      <c r="Q4366" s="30"/>
    </row>
    <row r="4367">
      <c r="B4367" s="6"/>
      <c r="C4367" s="33" t="str">
        <f t="array" ref="C4367">IF(B4367="", "", XLOOKUP(B4367, Inventory!D:D,Inventory!E:E,"No Name Found"))</f>
        <v/>
      </c>
      <c r="D4367" s="6"/>
      <c r="E4367" s="6"/>
      <c r="F4367" s="6"/>
      <c r="G4367" s="24" t="str">
        <f>IF(F4367="", "", VLOOKUP(F4367, Inventory!A:BZ, 3, FALSE) - SUMIF($F$1:$F4366, F4367, $H$1:$H4366))
</f>
        <v/>
      </c>
      <c r="I4367" s="26"/>
      <c r="J4367" s="26" t="s">
        <v>77</v>
      </c>
      <c r="L4367" s="27" t="s">
        <v>77</v>
      </c>
      <c r="N4367" s="28" t="s">
        <v>77</v>
      </c>
      <c r="Q4367" s="30"/>
    </row>
    <row r="4368">
      <c r="B4368" s="6"/>
      <c r="C4368" s="33" t="str">
        <f t="array" ref="C4368">IF(B4368="", "", XLOOKUP(B4368, Inventory!D:D,Inventory!E:E,"No Name Found"))</f>
        <v/>
      </c>
      <c r="D4368" s="6"/>
      <c r="E4368" s="6"/>
      <c r="F4368" s="6"/>
      <c r="G4368" s="24" t="str">
        <f>IF(F4368="", "", VLOOKUP(F4368, Inventory!A:BZ, 3, FALSE) - SUMIF($F$1:$F4367, F4368, $H$1:$H4367))
</f>
        <v/>
      </c>
      <c r="I4368" s="26"/>
      <c r="J4368" s="26" t="s">
        <v>77</v>
      </c>
      <c r="L4368" s="27" t="s">
        <v>77</v>
      </c>
      <c r="N4368" s="28" t="s">
        <v>77</v>
      </c>
      <c r="Q4368" s="30"/>
    </row>
    <row r="4369">
      <c r="B4369" s="6"/>
      <c r="C4369" s="33" t="str">
        <f t="array" ref="C4369">IF(B4369="", "", XLOOKUP(B4369, Inventory!D:D,Inventory!E:E,"No Name Found"))</f>
        <v/>
      </c>
      <c r="D4369" s="6"/>
      <c r="E4369" s="6"/>
      <c r="F4369" s="6"/>
      <c r="G4369" s="24" t="str">
        <f>IF(F4369="", "", VLOOKUP(F4369, Inventory!A:BZ, 3, FALSE) - SUMIF($F$1:$F4368, F4369, $H$1:$H4368))
</f>
        <v/>
      </c>
      <c r="I4369" s="26"/>
      <c r="J4369" s="26" t="s">
        <v>77</v>
      </c>
      <c r="L4369" s="27" t="s">
        <v>77</v>
      </c>
      <c r="N4369" s="28" t="s">
        <v>77</v>
      </c>
      <c r="Q4369" s="30"/>
    </row>
    <row r="4370">
      <c r="B4370" s="6"/>
      <c r="C4370" s="33" t="str">
        <f t="array" ref="C4370">IF(B4370="", "", XLOOKUP(B4370, Inventory!D:D,Inventory!E:E,"No Name Found"))</f>
        <v/>
      </c>
      <c r="D4370" s="6"/>
      <c r="E4370" s="6"/>
      <c r="F4370" s="6"/>
      <c r="G4370" s="24" t="str">
        <f>IF(F4370="", "", VLOOKUP(F4370, Inventory!A:BZ, 3, FALSE) - SUMIF($F$1:$F4369, F4370, $H$1:$H4369))
</f>
        <v/>
      </c>
      <c r="I4370" s="26"/>
      <c r="J4370" s="26" t="s">
        <v>77</v>
      </c>
      <c r="L4370" s="27" t="s">
        <v>77</v>
      </c>
      <c r="N4370" s="28" t="s">
        <v>77</v>
      </c>
      <c r="Q4370" s="30"/>
    </row>
    <row r="4371">
      <c r="B4371" s="6"/>
      <c r="C4371" s="33" t="str">
        <f t="array" ref="C4371">IF(B4371="", "", XLOOKUP(B4371, Inventory!D:D,Inventory!E:E,"No Name Found"))</f>
        <v/>
      </c>
      <c r="D4371" s="6"/>
      <c r="E4371" s="6"/>
      <c r="F4371" s="6"/>
      <c r="G4371" s="24" t="str">
        <f>IF(F4371="", "", VLOOKUP(F4371, Inventory!A:BZ, 3, FALSE) - SUMIF($F$1:$F4370, F4371, $H$1:$H4370))
</f>
        <v/>
      </c>
      <c r="I4371" s="26"/>
      <c r="J4371" s="26" t="s">
        <v>77</v>
      </c>
      <c r="L4371" s="27" t="s">
        <v>77</v>
      </c>
      <c r="N4371" s="28" t="s">
        <v>77</v>
      </c>
      <c r="Q4371" s="30"/>
    </row>
    <row r="4372">
      <c r="B4372" s="6"/>
      <c r="C4372" s="33" t="str">
        <f t="array" ref="C4372">IF(B4372="", "", XLOOKUP(B4372, Inventory!D:D,Inventory!E:E,"No Name Found"))</f>
        <v/>
      </c>
      <c r="D4372" s="6"/>
      <c r="E4372" s="6"/>
      <c r="F4372" s="6"/>
      <c r="G4372" s="24" t="str">
        <f>IF(F4372="", "", VLOOKUP(F4372, Inventory!A:BZ, 3, FALSE) - SUMIF($F$1:$F4371, F4372, $H$1:$H4371))
</f>
        <v/>
      </c>
      <c r="I4372" s="26"/>
      <c r="J4372" s="26" t="s">
        <v>77</v>
      </c>
      <c r="L4372" s="27" t="s">
        <v>77</v>
      </c>
      <c r="N4372" s="28" t="s">
        <v>77</v>
      </c>
      <c r="Q4372" s="30"/>
    </row>
    <row r="4373">
      <c r="B4373" s="6"/>
      <c r="C4373" s="33" t="str">
        <f t="array" ref="C4373">IF(B4373="", "", XLOOKUP(B4373, Inventory!D:D,Inventory!E:E,"No Name Found"))</f>
        <v/>
      </c>
      <c r="D4373" s="6"/>
      <c r="E4373" s="6"/>
      <c r="F4373" s="6"/>
      <c r="G4373" s="24" t="str">
        <f>IF(F4373="", "", VLOOKUP(F4373, Inventory!A:BZ, 3, FALSE) - SUMIF($F$1:$F4372, F4373, $H$1:$H4372))
</f>
        <v/>
      </c>
      <c r="I4373" s="26"/>
      <c r="J4373" s="26" t="s">
        <v>77</v>
      </c>
      <c r="L4373" s="27" t="s">
        <v>77</v>
      </c>
      <c r="N4373" s="28" t="s">
        <v>77</v>
      </c>
      <c r="Q4373" s="30"/>
    </row>
    <row r="4374">
      <c r="B4374" s="6"/>
      <c r="C4374" s="33" t="str">
        <f t="array" ref="C4374">IF(B4374="", "", XLOOKUP(B4374, Inventory!D:D,Inventory!E:E,"No Name Found"))</f>
        <v/>
      </c>
      <c r="D4374" s="6"/>
      <c r="E4374" s="6"/>
      <c r="F4374" s="6"/>
      <c r="G4374" s="24" t="str">
        <f>IF(F4374="", "", VLOOKUP(F4374, Inventory!A:BZ, 3, FALSE) - SUMIF($F$1:$F4373, F4374, $H$1:$H4373))
</f>
        <v/>
      </c>
      <c r="I4374" s="26"/>
      <c r="J4374" s="26" t="s">
        <v>77</v>
      </c>
      <c r="L4374" s="27" t="s">
        <v>77</v>
      </c>
      <c r="N4374" s="28" t="s">
        <v>77</v>
      </c>
      <c r="Q4374" s="30"/>
    </row>
    <row r="4375">
      <c r="B4375" s="6"/>
      <c r="C4375" s="33" t="str">
        <f t="array" ref="C4375">IF(B4375="", "", XLOOKUP(B4375, Inventory!D:D,Inventory!E:E,"No Name Found"))</f>
        <v/>
      </c>
      <c r="D4375" s="6"/>
      <c r="E4375" s="6"/>
      <c r="F4375" s="6"/>
      <c r="G4375" s="24" t="str">
        <f>IF(F4375="", "", VLOOKUP(F4375, Inventory!A:BZ, 3, FALSE) - SUMIF($F$1:$F4374, F4375, $H$1:$H4374))
</f>
        <v/>
      </c>
      <c r="I4375" s="26"/>
      <c r="J4375" s="26" t="s">
        <v>77</v>
      </c>
      <c r="L4375" s="27" t="s">
        <v>77</v>
      </c>
      <c r="N4375" s="28" t="s">
        <v>77</v>
      </c>
      <c r="Q4375" s="30"/>
    </row>
    <row r="4376">
      <c r="B4376" s="6"/>
      <c r="C4376" s="33" t="str">
        <f t="array" ref="C4376">IF(B4376="", "", XLOOKUP(B4376, Inventory!D:D,Inventory!E:E,"No Name Found"))</f>
        <v/>
      </c>
      <c r="D4376" s="6"/>
      <c r="E4376" s="6"/>
      <c r="F4376" s="6"/>
      <c r="G4376" s="24" t="str">
        <f>IF(F4376="", "", VLOOKUP(F4376, Inventory!A:BZ, 3, FALSE) - SUMIF($F$1:$F4375, F4376, $H$1:$H4375))
</f>
        <v/>
      </c>
      <c r="I4376" s="26"/>
      <c r="J4376" s="26" t="s">
        <v>77</v>
      </c>
      <c r="L4376" s="27" t="s">
        <v>77</v>
      </c>
      <c r="N4376" s="28" t="s">
        <v>77</v>
      </c>
      <c r="Q4376" s="30"/>
    </row>
    <row r="4377">
      <c r="B4377" s="6"/>
      <c r="C4377" s="33" t="str">
        <f t="array" ref="C4377">IF(B4377="", "", XLOOKUP(B4377, Inventory!D:D,Inventory!E:E,"No Name Found"))</f>
        <v/>
      </c>
      <c r="D4377" s="6"/>
      <c r="E4377" s="6"/>
      <c r="F4377" s="6"/>
      <c r="G4377" s="24" t="str">
        <f>IF(F4377="", "", VLOOKUP(F4377, Inventory!A:BZ, 3, FALSE) - SUMIF($F$1:$F4376, F4377, $H$1:$H4376))
</f>
        <v/>
      </c>
      <c r="I4377" s="26"/>
      <c r="J4377" s="26" t="s">
        <v>77</v>
      </c>
      <c r="L4377" s="27" t="s">
        <v>77</v>
      </c>
      <c r="N4377" s="28" t="s">
        <v>77</v>
      </c>
      <c r="Q4377" s="30"/>
    </row>
    <row r="4378">
      <c r="B4378" s="6"/>
      <c r="C4378" s="33" t="str">
        <f t="array" ref="C4378">IF(B4378="", "", XLOOKUP(B4378, Inventory!D:D,Inventory!E:E,"No Name Found"))</f>
        <v/>
      </c>
      <c r="D4378" s="6"/>
      <c r="E4378" s="6"/>
      <c r="F4378" s="6"/>
      <c r="G4378" s="24" t="str">
        <f>IF(F4378="", "", VLOOKUP(F4378, Inventory!A:BZ, 3, FALSE) - SUMIF($F$1:$F4377, F4378, $H$1:$H4377))
</f>
        <v/>
      </c>
      <c r="I4378" s="26"/>
      <c r="J4378" s="26" t="s">
        <v>77</v>
      </c>
      <c r="L4378" s="27" t="s">
        <v>77</v>
      </c>
      <c r="N4378" s="28" t="s">
        <v>77</v>
      </c>
      <c r="Q4378" s="30"/>
    </row>
    <row r="4379">
      <c r="B4379" s="6"/>
      <c r="C4379" s="33" t="str">
        <f t="array" ref="C4379">IF(B4379="", "", XLOOKUP(B4379, Inventory!D:D,Inventory!E:E,"No Name Found"))</f>
        <v/>
      </c>
      <c r="D4379" s="6"/>
      <c r="E4379" s="6"/>
      <c r="F4379" s="6"/>
      <c r="G4379" s="24" t="str">
        <f>IF(F4379="", "", VLOOKUP(F4379, Inventory!A:BZ, 3, FALSE) - SUMIF($F$1:$F4378, F4379, $H$1:$H4378))
</f>
        <v/>
      </c>
      <c r="I4379" s="26"/>
      <c r="J4379" s="26" t="s">
        <v>77</v>
      </c>
      <c r="L4379" s="27" t="s">
        <v>77</v>
      </c>
      <c r="N4379" s="28" t="s">
        <v>77</v>
      </c>
      <c r="Q4379" s="30"/>
    </row>
    <row r="4380">
      <c r="B4380" s="6"/>
      <c r="C4380" s="33" t="str">
        <f t="array" ref="C4380">IF(B4380="", "", XLOOKUP(B4380, Inventory!D:D,Inventory!E:E,"No Name Found"))</f>
        <v/>
      </c>
      <c r="D4380" s="6"/>
      <c r="E4380" s="6"/>
      <c r="F4380" s="6"/>
      <c r="G4380" s="24" t="str">
        <f>IF(F4380="", "", VLOOKUP(F4380, Inventory!A:BZ, 3, FALSE) - SUMIF($F$1:$F4379, F4380, $H$1:$H4379))
</f>
        <v/>
      </c>
      <c r="I4380" s="26"/>
      <c r="J4380" s="26" t="s">
        <v>77</v>
      </c>
      <c r="L4380" s="27" t="s">
        <v>77</v>
      </c>
      <c r="N4380" s="28" t="s">
        <v>77</v>
      </c>
      <c r="Q4380" s="30"/>
    </row>
    <row r="4381">
      <c r="B4381" s="6"/>
      <c r="C4381" s="33" t="str">
        <f t="array" ref="C4381">IF(B4381="", "", XLOOKUP(B4381, Inventory!D:D,Inventory!E:E,"No Name Found"))</f>
        <v/>
      </c>
      <c r="D4381" s="6"/>
      <c r="E4381" s="6"/>
      <c r="F4381" s="6"/>
      <c r="G4381" s="24" t="str">
        <f>IF(F4381="", "", VLOOKUP(F4381, Inventory!A:BZ, 3, FALSE) - SUMIF($F$1:$F4380, F4381, $H$1:$H4380))
</f>
        <v/>
      </c>
      <c r="I4381" s="26"/>
      <c r="J4381" s="26" t="s">
        <v>77</v>
      </c>
      <c r="L4381" s="27" t="s">
        <v>77</v>
      </c>
      <c r="N4381" s="28" t="s">
        <v>77</v>
      </c>
      <c r="Q4381" s="30"/>
    </row>
    <row r="4382">
      <c r="B4382" s="6"/>
      <c r="C4382" s="33" t="str">
        <f t="array" ref="C4382">IF(B4382="", "", XLOOKUP(B4382, Inventory!D:D,Inventory!E:E,"No Name Found"))</f>
        <v/>
      </c>
      <c r="D4382" s="6"/>
      <c r="E4382" s="6"/>
      <c r="F4382" s="6"/>
      <c r="G4382" s="24" t="str">
        <f>IF(F4382="", "", VLOOKUP(F4382, Inventory!A:BZ, 3, FALSE) - SUMIF($F$1:$F4381, F4382, $H$1:$H4381))
</f>
        <v/>
      </c>
      <c r="I4382" s="26"/>
      <c r="J4382" s="26" t="s">
        <v>77</v>
      </c>
      <c r="L4382" s="27" t="s">
        <v>77</v>
      </c>
      <c r="N4382" s="28" t="s">
        <v>77</v>
      </c>
      <c r="Q4382" s="30"/>
    </row>
    <row r="4383">
      <c r="B4383" s="6"/>
      <c r="C4383" s="33" t="str">
        <f t="array" ref="C4383">IF(B4383="", "", XLOOKUP(B4383, Inventory!D:D,Inventory!E:E,"No Name Found"))</f>
        <v/>
      </c>
      <c r="D4383" s="6"/>
      <c r="E4383" s="6"/>
      <c r="F4383" s="6"/>
      <c r="G4383" s="24" t="str">
        <f>IF(F4383="", "", VLOOKUP(F4383, Inventory!A:BZ, 3, FALSE) - SUMIF($F$1:$F4382, F4383, $H$1:$H4382))
</f>
        <v/>
      </c>
      <c r="I4383" s="26"/>
      <c r="J4383" s="26" t="s">
        <v>77</v>
      </c>
      <c r="L4383" s="27" t="s">
        <v>77</v>
      </c>
      <c r="N4383" s="28" t="s">
        <v>77</v>
      </c>
      <c r="Q4383" s="30"/>
    </row>
    <row r="4384">
      <c r="B4384" s="6"/>
      <c r="C4384" s="33" t="str">
        <f t="array" ref="C4384">IF(B4384="", "", XLOOKUP(B4384, Inventory!D:D,Inventory!E:E,"No Name Found"))</f>
        <v/>
      </c>
      <c r="D4384" s="6"/>
      <c r="E4384" s="6"/>
      <c r="F4384" s="6"/>
      <c r="G4384" s="24" t="str">
        <f>IF(F4384="", "", VLOOKUP(F4384, Inventory!A:BZ, 3, FALSE) - SUMIF($F$1:$F4383, F4384, $H$1:$H4383))
</f>
        <v/>
      </c>
      <c r="I4384" s="26"/>
      <c r="J4384" s="26" t="s">
        <v>77</v>
      </c>
      <c r="L4384" s="27" t="s">
        <v>77</v>
      </c>
      <c r="N4384" s="28" t="s">
        <v>77</v>
      </c>
      <c r="Q4384" s="30"/>
    </row>
    <row r="4385">
      <c r="B4385" s="6"/>
      <c r="C4385" s="33" t="str">
        <f t="array" ref="C4385">IF(B4385="", "", XLOOKUP(B4385, Inventory!D:D,Inventory!E:E,"No Name Found"))</f>
        <v/>
      </c>
      <c r="D4385" s="6"/>
      <c r="E4385" s="6"/>
      <c r="F4385" s="6"/>
      <c r="G4385" s="24" t="str">
        <f>IF(F4385="", "", VLOOKUP(F4385, Inventory!A:BZ, 3, FALSE) - SUMIF($F$1:$F4384, F4385, $H$1:$H4384))
</f>
        <v/>
      </c>
      <c r="I4385" s="26"/>
      <c r="J4385" s="26" t="s">
        <v>77</v>
      </c>
      <c r="L4385" s="27" t="s">
        <v>77</v>
      </c>
      <c r="N4385" s="28" t="s">
        <v>77</v>
      </c>
      <c r="Q4385" s="30"/>
    </row>
    <row r="4386">
      <c r="B4386" s="6"/>
      <c r="C4386" s="33" t="str">
        <f t="array" ref="C4386">IF(B4386="", "", XLOOKUP(B4386, Inventory!D:D,Inventory!E:E,"No Name Found"))</f>
        <v/>
      </c>
      <c r="D4386" s="6"/>
      <c r="E4386" s="6"/>
      <c r="F4386" s="6"/>
      <c r="G4386" s="24" t="str">
        <f>IF(F4386="", "", VLOOKUP(F4386, Inventory!A:BZ, 3, FALSE) - SUMIF($F$1:$F4385, F4386, $H$1:$H4385))
</f>
        <v/>
      </c>
      <c r="I4386" s="26"/>
      <c r="J4386" s="26" t="s">
        <v>77</v>
      </c>
      <c r="L4386" s="27" t="s">
        <v>77</v>
      </c>
      <c r="N4386" s="28" t="s">
        <v>77</v>
      </c>
      <c r="Q4386" s="30"/>
    </row>
    <row r="4387">
      <c r="B4387" s="6"/>
      <c r="C4387" s="33" t="str">
        <f t="array" ref="C4387">IF(B4387="", "", XLOOKUP(B4387, Inventory!D:D,Inventory!E:E,"No Name Found"))</f>
        <v/>
      </c>
      <c r="D4387" s="6"/>
      <c r="E4387" s="6"/>
      <c r="F4387" s="6"/>
      <c r="G4387" s="24" t="str">
        <f>IF(F4387="", "", VLOOKUP(F4387, Inventory!A:BZ, 3, FALSE) - SUMIF($F$1:$F4386, F4387, $H$1:$H4386))
</f>
        <v/>
      </c>
      <c r="I4387" s="26"/>
      <c r="J4387" s="26" t="s">
        <v>77</v>
      </c>
      <c r="L4387" s="27" t="s">
        <v>77</v>
      </c>
      <c r="N4387" s="28" t="s">
        <v>77</v>
      </c>
      <c r="Q4387" s="30"/>
    </row>
    <row r="4388">
      <c r="B4388" s="6"/>
      <c r="C4388" s="33" t="str">
        <f t="array" ref="C4388">IF(B4388="", "", XLOOKUP(B4388, Inventory!D:D,Inventory!E:E,"No Name Found"))</f>
        <v/>
      </c>
      <c r="D4388" s="6"/>
      <c r="E4388" s="6"/>
      <c r="F4388" s="6"/>
      <c r="G4388" s="24" t="str">
        <f>IF(F4388="", "", VLOOKUP(F4388, Inventory!A:BZ, 3, FALSE) - SUMIF($F$1:$F4387, F4388, $H$1:$H4387))
</f>
        <v/>
      </c>
      <c r="I4388" s="26"/>
      <c r="J4388" s="26" t="s">
        <v>77</v>
      </c>
      <c r="L4388" s="27" t="s">
        <v>77</v>
      </c>
      <c r="N4388" s="28" t="s">
        <v>77</v>
      </c>
      <c r="Q4388" s="30"/>
    </row>
    <row r="4389">
      <c r="B4389" s="6"/>
      <c r="C4389" s="33" t="str">
        <f t="array" ref="C4389">IF(B4389="", "", XLOOKUP(B4389, Inventory!D:D,Inventory!E:E,"No Name Found"))</f>
        <v/>
      </c>
      <c r="D4389" s="6"/>
      <c r="E4389" s="6"/>
      <c r="F4389" s="6"/>
      <c r="G4389" s="24" t="str">
        <f>IF(F4389="", "", VLOOKUP(F4389, Inventory!A:BZ, 3, FALSE) - SUMIF($F$1:$F4388, F4389, $H$1:$H4388))
</f>
        <v/>
      </c>
      <c r="I4389" s="26"/>
      <c r="J4389" s="26" t="s">
        <v>77</v>
      </c>
      <c r="L4389" s="27" t="s">
        <v>77</v>
      </c>
      <c r="N4389" s="28" t="s">
        <v>77</v>
      </c>
      <c r="Q4389" s="30"/>
    </row>
    <row r="4390">
      <c r="B4390" s="6"/>
      <c r="C4390" s="33" t="str">
        <f t="array" ref="C4390">IF(B4390="", "", XLOOKUP(B4390, Inventory!D:D,Inventory!E:E,"No Name Found"))</f>
        <v/>
      </c>
      <c r="D4390" s="6"/>
      <c r="E4390" s="6"/>
      <c r="F4390" s="6"/>
      <c r="G4390" s="24" t="str">
        <f>IF(F4390="", "", VLOOKUP(F4390, Inventory!A:BZ, 3, FALSE) - SUMIF($F$1:$F4389, F4390, $H$1:$H4389))
</f>
        <v/>
      </c>
      <c r="I4390" s="26"/>
      <c r="J4390" s="26" t="s">
        <v>77</v>
      </c>
      <c r="L4390" s="27" t="s">
        <v>77</v>
      </c>
      <c r="N4390" s="28" t="s">
        <v>77</v>
      </c>
      <c r="Q4390" s="30"/>
    </row>
    <row r="4391">
      <c r="B4391" s="6"/>
      <c r="C4391" s="33" t="str">
        <f t="array" ref="C4391">IF(B4391="", "", XLOOKUP(B4391, Inventory!D:D,Inventory!E:E,"No Name Found"))</f>
        <v/>
      </c>
      <c r="D4391" s="6"/>
      <c r="E4391" s="6"/>
      <c r="F4391" s="6"/>
      <c r="G4391" s="24" t="str">
        <f>IF(F4391="", "", VLOOKUP(F4391, Inventory!A:BZ, 3, FALSE) - SUMIF($F$1:$F4390, F4391, $H$1:$H4390))
</f>
        <v/>
      </c>
      <c r="I4391" s="26"/>
      <c r="J4391" s="26" t="s">
        <v>77</v>
      </c>
      <c r="L4391" s="27" t="s">
        <v>77</v>
      </c>
      <c r="N4391" s="28" t="s">
        <v>77</v>
      </c>
      <c r="Q4391" s="30"/>
    </row>
    <row r="4392">
      <c r="B4392" s="6"/>
      <c r="C4392" s="33" t="str">
        <f t="array" ref="C4392">IF(B4392="", "", XLOOKUP(B4392, Inventory!D:D,Inventory!E:E,"No Name Found"))</f>
        <v/>
      </c>
      <c r="D4392" s="6"/>
      <c r="E4392" s="6"/>
      <c r="F4392" s="6"/>
      <c r="G4392" s="24" t="str">
        <f>IF(F4392="", "", VLOOKUP(F4392, Inventory!A:BZ, 3, FALSE) - SUMIF($F$1:$F4391, F4392, $H$1:$H4391))
</f>
        <v/>
      </c>
      <c r="I4392" s="26"/>
      <c r="J4392" s="26" t="s">
        <v>77</v>
      </c>
      <c r="L4392" s="27" t="s">
        <v>77</v>
      </c>
      <c r="N4392" s="28" t="s">
        <v>77</v>
      </c>
      <c r="Q4392" s="30"/>
    </row>
    <row r="4393">
      <c r="B4393" s="6"/>
      <c r="C4393" s="33" t="str">
        <f t="array" ref="C4393">IF(B4393="", "", XLOOKUP(B4393, Inventory!D:D,Inventory!E:E,"No Name Found"))</f>
        <v/>
      </c>
      <c r="D4393" s="6"/>
      <c r="E4393" s="6"/>
      <c r="F4393" s="6"/>
      <c r="G4393" s="24" t="str">
        <f>IF(F4393="", "", VLOOKUP(F4393, Inventory!A:BZ, 3, FALSE) - SUMIF($F$1:$F4392, F4393, $H$1:$H4392))
</f>
        <v/>
      </c>
      <c r="I4393" s="26"/>
      <c r="J4393" s="26" t="s">
        <v>77</v>
      </c>
      <c r="L4393" s="27" t="s">
        <v>77</v>
      </c>
      <c r="N4393" s="28" t="s">
        <v>77</v>
      </c>
      <c r="Q4393" s="30"/>
    </row>
    <row r="4394">
      <c r="B4394" s="6"/>
      <c r="C4394" s="33" t="str">
        <f t="array" ref="C4394">IF(B4394="", "", XLOOKUP(B4394, Inventory!D:D,Inventory!E:E,"No Name Found"))</f>
        <v/>
      </c>
      <c r="D4394" s="6"/>
      <c r="E4394" s="6"/>
      <c r="F4394" s="6"/>
      <c r="G4394" s="24" t="str">
        <f>IF(F4394="", "", VLOOKUP(F4394, Inventory!A:BZ, 3, FALSE) - SUMIF($F$1:$F4393, F4394, $H$1:$H4393))
</f>
        <v/>
      </c>
      <c r="I4394" s="26"/>
      <c r="J4394" s="26" t="s">
        <v>77</v>
      </c>
      <c r="L4394" s="27" t="s">
        <v>77</v>
      </c>
      <c r="N4394" s="28" t="s">
        <v>77</v>
      </c>
      <c r="Q4394" s="30"/>
    </row>
    <row r="4395">
      <c r="B4395" s="6"/>
      <c r="C4395" s="33" t="str">
        <f t="array" ref="C4395">IF(B4395="", "", XLOOKUP(B4395, Inventory!D:D,Inventory!E:E,"No Name Found"))</f>
        <v/>
      </c>
      <c r="D4395" s="6"/>
      <c r="E4395" s="6"/>
      <c r="F4395" s="6"/>
      <c r="G4395" s="24" t="str">
        <f>IF(F4395="", "", VLOOKUP(F4395, Inventory!A:BZ, 3, FALSE) - SUMIF($F$1:$F4394, F4395, $H$1:$H4394))
</f>
        <v/>
      </c>
      <c r="I4395" s="26"/>
      <c r="J4395" s="26" t="s">
        <v>77</v>
      </c>
      <c r="L4395" s="27" t="s">
        <v>77</v>
      </c>
      <c r="N4395" s="28" t="s">
        <v>77</v>
      </c>
      <c r="Q4395" s="30"/>
    </row>
    <row r="4396">
      <c r="B4396" s="6"/>
      <c r="C4396" s="33" t="str">
        <f t="array" ref="C4396">IF(B4396="", "", XLOOKUP(B4396, Inventory!D:D,Inventory!E:E,"No Name Found"))</f>
        <v/>
      </c>
      <c r="D4396" s="6"/>
      <c r="E4396" s="6"/>
      <c r="F4396" s="6"/>
      <c r="G4396" s="24" t="str">
        <f>IF(F4396="", "", VLOOKUP(F4396, Inventory!A:BZ, 3, FALSE) - SUMIF($F$1:$F4395, F4396, $H$1:$H4395))
</f>
        <v/>
      </c>
      <c r="I4396" s="26"/>
      <c r="J4396" s="26" t="s">
        <v>77</v>
      </c>
      <c r="L4396" s="27" t="s">
        <v>77</v>
      </c>
      <c r="N4396" s="28" t="s">
        <v>77</v>
      </c>
      <c r="Q4396" s="30"/>
    </row>
    <row r="4397">
      <c r="B4397" s="6"/>
      <c r="C4397" s="33" t="str">
        <f t="array" ref="C4397">IF(B4397="", "", XLOOKUP(B4397, Inventory!D:D,Inventory!E:E,"No Name Found"))</f>
        <v/>
      </c>
      <c r="D4397" s="6"/>
      <c r="E4397" s="6"/>
      <c r="F4397" s="6"/>
      <c r="G4397" s="24" t="str">
        <f>IF(F4397="", "", VLOOKUP(F4397, Inventory!A:BZ, 3, FALSE) - SUMIF($F$1:$F4396, F4397, $H$1:$H4396))
</f>
        <v/>
      </c>
      <c r="I4397" s="26"/>
      <c r="J4397" s="26" t="s">
        <v>77</v>
      </c>
      <c r="L4397" s="27" t="s">
        <v>77</v>
      </c>
      <c r="N4397" s="28" t="s">
        <v>77</v>
      </c>
      <c r="Q4397" s="30"/>
    </row>
    <row r="4398">
      <c r="B4398" s="6"/>
      <c r="C4398" s="33" t="str">
        <f t="array" ref="C4398">IF(B4398="", "", XLOOKUP(B4398, Inventory!D:D,Inventory!E:E,"No Name Found"))</f>
        <v/>
      </c>
      <c r="D4398" s="6"/>
      <c r="E4398" s="6"/>
      <c r="F4398" s="6"/>
      <c r="G4398" s="24" t="str">
        <f>IF(F4398="", "", VLOOKUP(F4398, Inventory!A:BZ, 3, FALSE) - SUMIF($F$1:$F4397, F4398, $H$1:$H4397))
</f>
        <v/>
      </c>
      <c r="I4398" s="26"/>
      <c r="J4398" s="26" t="s">
        <v>77</v>
      </c>
      <c r="L4398" s="27" t="s">
        <v>77</v>
      </c>
      <c r="N4398" s="28" t="s">
        <v>77</v>
      </c>
      <c r="Q4398" s="30"/>
    </row>
    <row r="4399">
      <c r="B4399" s="6"/>
      <c r="C4399" s="33" t="str">
        <f t="array" ref="C4399">IF(B4399="", "", XLOOKUP(B4399, Inventory!D:D,Inventory!E:E,"No Name Found"))</f>
        <v/>
      </c>
      <c r="D4399" s="6"/>
      <c r="E4399" s="6"/>
      <c r="F4399" s="6"/>
      <c r="G4399" s="24" t="str">
        <f>IF(F4399="", "", VLOOKUP(F4399, Inventory!A:BZ, 3, FALSE) - SUMIF($F$1:$F4398, F4399, $H$1:$H4398))
</f>
        <v/>
      </c>
      <c r="I4399" s="26"/>
      <c r="J4399" s="26" t="s">
        <v>77</v>
      </c>
      <c r="L4399" s="27" t="s">
        <v>77</v>
      </c>
      <c r="N4399" s="28" t="s">
        <v>77</v>
      </c>
      <c r="Q4399" s="30"/>
    </row>
    <row r="4400">
      <c r="B4400" s="6"/>
      <c r="C4400" s="33" t="str">
        <f t="array" ref="C4400">IF(B4400="", "", XLOOKUP(B4400, Inventory!D:D,Inventory!E:E,"No Name Found"))</f>
        <v/>
      </c>
      <c r="D4400" s="6"/>
      <c r="E4400" s="6"/>
      <c r="F4400" s="6"/>
      <c r="G4400" s="24" t="str">
        <f>IF(F4400="", "", VLOOKUP(F4400, Inventory!A:BZ, 3, FALSE) - SUMIF($F$1:$F4399, F4400, $H$1:$H4399))
</f>
        <v/>
      </c>
      <c r="I4400" s="26"/>
      <c r="J4400" s="26" t="s">
        <v>77</v>
      </c>
      <c r="L4400" s="27" t="s">
        <v>77</v>
      </c>
      <c r="N4400" s="28" t="s">
        <v>77</v>
      </c>
      <c r="Q4400" s="30"/>
    </row>
    <row r="4401">
      <c r="B4401" s="6"/>
      <c r="C4401" s="33" t="str">
        <f t="array" ref="C4401">IF(B4401="", "", XLOOKUP(B4401, Inventory!D:D,Inventory!E:E,"No Name Found"))</f>
        <v/>
      </c>
      <c r="D4401" s="6"/>
      <c r="E4401" s="6"/>
      <c r="F4401" s="6"/>
      <c r="G4401" s="24" t="str">
        <f>IF(F4401="", "", VLOOKUP(F4401, Inventory!A:BZ, 3, FALSE) - SUMIF($F$1:$F4400, F4401, $H$1:$H4400))
</f>
        <v/>
      </c>
      <c r="I4401" s="26"/>
      <c r="J4401" s="26" t="s">
        <v>77</v>
      </c>
      <c r="L4401" s="27" t="s">
        <v>77</v>
      </c>
      <c r="N4401" s="28" t="s">
        <v>77</v>
      </c>
      <c r="Q4401" s="30"/>
    </row>
    <row r="4402">
      <c r="B4402" s="6"/>
      <c r="C4402" s="33" t="str">
        <f t="array" ref="C4402">IF(B4402="", "", XLOOKUP(B4402, Inventory!D:D,Inventory!E:E,"No Name Found"))</f>
        <v/>
      </c>
      <c r="D4402" s="6"/>
      <c r="E4402" s="6"/>
      <c r="F4402" s="6"/>
      <c r="G4402" s="24" t="str">
        <f>IF(F4402="", "", VLOOKUP(F4402, Inventory!A:BZ, 3, FALSE) - SUMIF($F$1:$F4401, F4402, $H$1:$H4401))
</f>
        <v/>
      </c>
      <c r="I4402" s="26"/>
      <c r="J4402" s="26" t="s">
        <v>77</v>
      </c>
      <c r="L4402" s="27" t="s">
        <v>77</v>
      </c>
      <c r="N4402" s="28" t="s">
        <v>77</v>
      </c>
      <c r="Q4402" s="30"/>
    </row>
    <row r="4403">
      <c r="B4403" s="6"/>
      <c r="C4403" s="33" t="str">
        <f t="array" ref="C4403">IF(B4403="", "", XLOOKUP(B4403, Inventory!D:D,Inventory!E:E,"No Name Found"))</f>
        <v/>
      </c>
      <c r="D4403" s="6"/>
      <c r="E4403" s="6"/>
      <c r="F4403" s="6"/>
      <c r="G4403" s="24" t="str">
        <f>IF(F4403="", "", VLOOKUP(F4403, Inventory!A:BZ, 3, FALSE) - SUMIF($F$1:$F4402, F4403, $H$1:$H4402))
</f>
        <v/>
      </c>
      <c r="I4403" s="26"/>
      <c r="J4403" s="26" t="s">
        <v>77</v>
      </c>
      <c r="L4403" s="27" t="s">
        <v>77</v>
      </c>
      <c r="N4403" s="28" t="s">
        <v>77</v>
      </c>
      <c r="Q4403" s="30"/>
    </row>
    <row r="4404">
      <c r="B4404" s="6"/>
      <c r="C4404" s="33" t="str">
        <f t="array" ref="C4404">IF(B4404="", "", XLOOKUP(B4404, Inventory!D:D,Inventory!E:E,"No Name Found"))</f>
        <v/>
      </c>
      <c r="D4404" s="6"/>
      <c r="E4404" s="6"/>
      <c r="F4404" s="6"/>
      <c r="G4404" s="24" t="str">
        <f>IF(F4404="", "", VLOOKUP(F4404, Inventory!A:BZ, 3, FALSE) - SUMIF($F$1:$F4403, F4404, $H$1:$H4403))
</f>
        <v/>
      </c>
      <c r="I4404" s="26"/>
      <c r="J4404" s="26" t="s">
        <v>77</v>
      </c>
      <c r="L4404" s="27" t="s">
        <v>77</v>
      </c>
      <c r="N4404" s="28" t="s">
        <v>77</v>
      </c>
      <c r="Q4404" s="30"/>
    </row>
    <row r="4405">
      <c r="B4405" s="6"/>
      <c r="C4405" s="33" t="str">
        <f t="array" ref="C4405">IF(B4405="", "", XLOOKUP(B4405, Inventory!D:D,Inventory!E:E,"No Name Found"))</f>
        <v/>
      </c>
      <c r="D4405" s="6"/>
      <c r="E4405" s="6"/>
      <c r="F4405" s="6"/>
      <c r="G4405" s="24" t="str">
        <f>IF(F4405="", "", VLOOKUP(F4405, Inventory!A:BZ, 3, FALSE) - SUMIF($F$1:$F4404, F4405, $H$1:$H4404))
</f>
        <v/>
      </c>
      <c r="I4405" s="26"/>
      <c r="J4405" s="26" t="s">
        <v>77</v>
      </c>
      <c r="L4405" s="27" t="s">
        <v>77</v>
      </c>
      <c r="N4405" s="28" t="s">
        <v>77</v>
      </c>
      <c r="Q4405" s="30"/>
    </row>
    <row r="4406">
      <c r="B4406" s="6"/>
      <c r="C4406" s="33" t="str">
        <f t="array" ref="C4406">IF(B4406="", "", XLOOKUP(B4406, Inventory!D:D,Inventory!E:E,"No Name Found"))</f>
        <v/>
      </c>
      <c r="D4406" s="6"/>
      <c r="E4406" s="6"/>
      <c r="F4406" s="6"/>
      <c r="G4406" s="24" t="str">
        <f>IF(F4406="", "", VLOOKUP(F4406, Inventory!A:BZ, 3, FALSE) - SUMIF($F$1:$F4405, F4406, $H$1:$H4405))
</f>
        <v/>
      </c>
      <c r="I4406" s="26"/>
      <c r="J4406" s="26" t="s">
        <v>77</v>
      </c>
      <c r="L4406" s="27" t="s">
        <v>77</v>
      </c>
      <c r="N4406" s="28" t="s">
        <v>77</v>
      </c>
      <c r="Q4406" s="30"/>
    </row>
    <row r="4407">
      <c r="B4407" s="6"/>
      <c r="C4407" s="33" t="str">
        <f t="array" ref="C4407">IF(B4407="", "", XLOOKUP(B4407, Inventory!D:D,Inventory!E:E,"No Name Found"))</f>
        <v/>
      </c>
      <c r="D4407" s="6"/>
      <c r="E4407" s="6"/>
      <c r="F4407" s="6"/>
      <c r="G4407" s="24" t="str">
        <f>IF(F4407="", "", VLOOKUP(F4407, Inventory!A:BZ, 3, FALSE) - SUMIF($F$1:$F4406, F4407, $H$1:$H4406))
</f>
        <v/>
      </c>
      <c r="I4407" s="26"/>
      <c r="J4407" s="26" t="s">
        <v>77</v>
      </c>
      <c r="L4407" s="27" t="s">
        <v>77</v>
      </c>
      <c r="N4407" s="28" t="s">
        <v>77</v>
      </c>
      <c r="Q4407" s="30"/>
    </row>
    <row r="4408">
      <c r="B4408" s="6"/>
      <c r="C4408" s="33" t="str">
        <f t="array" ref="C4408">IF(B4408="", "", XLOOKUP(B4408, Inventory!D:D,Inventory!E:E,"No Name Found"))</f>
        <v/>
      </c>
      <c r="D4408" s="6"/>
      <c r="E4408" s="6"/>
      <c r="F4408" s="6"/>
      <c r="G4408" s="24" t="str">
        <f>IF(F4408="", "", VLOOKUP(F4408, Inventory!A:BZ, 3, FALSE) - SUMIF($F$1:$F4407, F4408, $H$1:$H4407))
</f>
        <v/>
      </c>
      <c r="I4408" s="26"/>
      <c r="J4408" s="26" t="s">
        <v>77</v>
      </c>
      <c r="L4408" s="27" t="s">
        <v>77</v>
      </c>
      <c r="N4408" s="28" t="s">
        <v>77</v>
      </c>
      <c r="Q4408" s="30"/>
    </row>
    <row r="4409">
      <c r="B4409" s="6"/>
      <c r="C4409" s="33" t="str">
        <f t="array" ref="C4409">IF(B4409="", "", XLOOKUP(B4409, Inventory!D:D,Inventory!E:E,"No Name Found"))</f>
        <v/>
      </c>
      <c r="D4409" s="6"/>
      <c r="E4409" s="6"/>
      <c r="F4409" s="6"/>
      <c r="G4409" s="24" t="str">
        <f>IF(F4409="", "", VLOOKUP(F4409, Inventory!A:BZ, 3, FALSE) - SUMIF($F$1:$F4408, F4409, $H$1:$H4408))
</f>
        <v/>
      </c>
      <c r="I4409" s="26"/>
      <c r="J4409" s="26" t="s">
        <v>77</v>
      </c>
      <c r="L4409" s="27" t="s">
        <v>77</v>
      </c>
      <c r="N4409" s="28" t="s">
        <v>77</v>
      </c>
      <c r="Q4409" s="30"/>
    </row>
    <row r="4410">
      <c r="B4410" s="6"/>
      <c r="C4410" s="33" t="str">
        <f t="array" ref="C4410">IF(B4410="", "", XLOOKUP(B4410, Inventory!D:D,Inventory!E:E,"No Name Found"))</f>
        <v/>
      </c>
      <c r="D4410" s="6"/>
      <c r="E4410" s="6"/>
      <c r="F4410" s="6"/>
      <c r="G4410" s="24" t="str">
        <f>IF(F4410="", "", VLOOKUP(F4410, Inventory!A:BZ, 3, FALSE) - SUMIF($F$1:$F4409, F4410, $H$1:$H4409))
</f>
        <v/>
      </c>
      <c r="I4410" s="26"/>
      <c r="J4410" s="26" t="s">
        <v>77</v>
      </c>
      <c r="L4410" s="27" t="s">
        <v>77</v>
      </c>
      <c r="N4410" s="28" t="s">
        <v>77</v>
      </c>
      <c r="Q4410" s="30"/>
    </row>
    <row r="4411">
      <c r="B4411" s="6"/>
      <c r="C4411" s="33" t="str">
        <f t="array" ref="C4411">IF(B4411="", "", XLOOKUP(B4411, Inventory!D:D,Inventory!E:E,"No Name Found"))</f>
        <v/>
      </c>
      <c r="D4411" s="6"/>
      <c r="E4411" s="6"/>
      <c r="F4411" s="6"/>
      <c r="G4411" s="24" t="str">
        <f>IF(F4411="", "", VLOOKUP(F4411, Inventory!A:BZ, 3, FALSE) - SUMIF($F$1:$F4410, F4411, $H$1:$H4410))
</f>
        <v/>
      </c>
      <c r="I4411" s="26"/>
      <c r="J4411" s="26" t="s">
        <v>77</v>
      </c>
      <c r="L4411" s="27" t="s">
        <v>77</v>
      </c>
      <c r="N4411" s="28" t="s">
        <v>77</v>
      </c>
      <c r="Q4411" s="30"/>
    </row>
    <row r="4412">
      <c r="B4412" s="6"/>
      <c r="C4412" s="33" t="str">
        <f t="array" ref="C4412">IF(B4412="", "", XLOOKUP(B4412, Inventory!D:D,Inventory!E:E,"No Name Found"))</f>
        <v/>
      </c>
      <c r="D4412" s="6"/>
      <c r="E4412" s="6"/>
      <c r="F4412" s="6"/>
      <c r="G4412" s="24" t="str">
        <f>IF(F4412="", "", VLOOKUP(F4412, Inventory!A:BZ, 3, FALSE) - SUMIF($F$1:$F4411, F4412, $H$1:$H4411))
</f>
        <v/>
      </c>
      <c r="I4412" s="26"/>
      <c r="J4412" s="26" t="s">
        <v>77</v>
      </c>
      <c r="L4412" s="27" t="s">
        <v>77</v>
      </c>
      <c r="N4412" s="28" t="s">
        <v>77</v>
      </c>
      <c r="Q4412" s="30"/>
    </row>
    <row r="4413">
      <c r="B4413" s="6"/>
      <c r="C4413" s="33" t="str">
        <f t="array" ref="C4413">IF(B4413="", "", XLOOKUP(B4413, Inventory!D:D,Inventory!E:E,"No Name Found"))</f>
        <v/>
      </c>
      <c r="D4413" s="6"/>
      <c r="E4413" s="6"/>
      <c r="F4413" s="6"/>
      <c r="G4413" s="24" t="str">
        <f>IF(F4413="", "", VLOOKUP(F4413, Inventory!A:BZ, 3, FALSE) - SUMIF($F$1:$F4412, F4413, $H$1:$H4412))
</f>
        <v/>
      </c>
      <c r="I4413" s="26"/>
      <c r="J4413" s="26" t="s">
        <v>77</v>
      </c>
      <c r="L4413" s="27" t="s">
        <v>77</v>
      </c>
      <c r="N4413" s="28" t="s">
        <v>77</v>
      </c>
      <c r="Q4413" s="30"/>
    </row>
    <row r="4414">
      <c r="B4414" s="6"/>
      <c r="C4414" s="33" t="str">
        <f t="array" ref="C4414">IF(B4414="", "", XLOOKUP(B4414, Inventory!D:D,Inventory!E:E,"No Name Found"))</f>
        <v/>
      </c>
      <c r="D4414" s="6"/>
      <c r="E4414" s="6"/>
      <c r="F4414" s="6"/>
      <c r="G4414" s="24" t="str">
        <f>IF(F4414="", "", VLOOKUP(F4414, Inventory!A:BZ, 3, FALSE) - SUMIF($F$1:$F4413, F4414, $H$1:$H4413))
</f>
        <v/>
      </c>
      <c r="I4414" s="26"/>
      <c r="J4414" s="26" t="s">
        <v>77</v>
      </c>
      <c r="L4414" s="27" t="s">
        <v>77</v>
      </c>
      <c r="N4414" s="28" t="s">
        <v>77</v>
      </c>
      <c r="Q4414" s="30"/>
    </row>
    <row r="4415">
      <c r="B4415" s="6"/>
      <c r="C4415" s="33" t="str">
        <f t="array" ref="C4415">IF(B4415="", "", XLOOKUP(B4415, Inventory!D:D,Inventory!E:E,"No Name Found"))</f>
        <v/>
      </c>
      <c r="D4415" s="6"/>
      <c r="E4415" s="6"/>
      <c r="F4415" s="6"/>
      <c r="G4415" s="24" t="str">
        <f>IF(F4415="", "", VLOOKUP(F4415, Inventory!A:BZ, 3, FALSE) - SUMIF($F$1:$F4414, F4415, $H$1:$H4414))
</f>
        <v/>
      </c>
      <c r="I4415" s="26"/>
      <c r="J4415" s="26" t="s">
        <v>77</v>
      </c>
      <c r="L4415" s="27" t="s">
        <v>77</v>
      </c>
      <c r="N4415" s="28" t="s">
        <v>77</v>
      </c>
      <c r="Q4415" s="30"/>
    </row>
    <row r="4416">
      <c r="B4416" s="6"/>
      <c r="C4416" s="33" t="str">
        <f t="array" ref="C4416">IF(B4416="", "", XLOOKUP(B4416, Inventory!D:D,Inventory!E:E,"No Name Found"))</f>
        <v/>
      </c>
      <c r="D4416" s="6"/>
      <c r="E4416" s="6"/>
      <c r="F4416" s="6"/>
      <c r="G4416" s="24" t="str">
        <f>IF(F4416="", "", VLOOKUP(F4416, Inventory!A:BZ, 3, FALSE) - SUMIF($F$1:$F4415, F4416, $H$1:$H4415))
</f>
        <v/>
      </c>
      <c r="I4416" s="26"/>
      <c r="J4416" s="26" t="s">
        <v>77</v>
      </c>
      <c r="L4416" s="27" t="s">
        <v>77</v>
      </c>
      <c r="N4416" s="28" t="s">
        <v>77</v>
      </c>
      <c r="Q4416" s="30"/>
    </row>
    <row r="4417">
      <c r="B4417" s="6"/>
      <c r="C4417" s="33" t="str">
        <f t="array" ref="C4417">IF(B4417="", "", XLOOKUP(B4417, Inventory!D:D,Inventory!E:E,"No Name Found"))</f>
        <v/>
      </c>
      <c r="D4417" s="6"/>
      <c r="E4417" s="6"/>
      <c r="F4417" s="6"/>
      <c r="G4417" s="24" t="str">
        <f>IF(F4417="", "", VLOOKUP(F4417, Inventory!A:BZ, 3, FALSE) - SUMIF($F$1:$F4416, F4417, $H$1:$H4416))
</f>
        <v/>
      </c>
      <c r="I4417" s="26"/>
      <c r="J4417" s="26" t="s">
        <v>77</v>
      </c>
      <c r="L4417" s="27" t="s">
        <v>77</v>
      </c>
      <c r="N4417" s="28" t="s">
        <v>77</v>
      </c>
      <c r="Q4417" s="30"/>
    </row>
    <row r="4418">
      <c r="B4418" s="6"/>
      <c r="C4418" s="33" t="str">
        <f t="array" ref="C4418">IF(B4418="", "", XLOOKUP(B4418, Inventory!D:D,Inventory!E:E,"No Name Found"))</f>
        <v/>
      </c>
      <c r="D4418" s="6"/>
      <c r="E4418" s="6"/>
      <c r="F4418" s="6"/>
      <c r="G4418" s="24" t="str">
        <f>IF(F4418="", "", VLOOKUP(F4418, Inventory!A:BZ, 3, FALSE) - SUMIF($F$1:$F4417, F4418, $H$1:$H4417))
</f>
        <v/>
      </c>
      <c r="I4418" s="26"/>
      <c r="J4418" s="26" t="s">
        <v>77</v>
      </c>
      <c r="L4418" s="27" t="s">
        <v>77</v>
      </c>
      <c r="N4418" s="28" t="s">
        <v>77</v>
      </c>
      <c r="Q4418" s="30"/>
    </row>
    <row r="4419">
      <c r="B4419" s="6"/>
      <c r="C4419" s="33" t="str">
        <f t="array" ref="C4419">IF(B4419="", "", XLOOKUP(B4419, Inventory!D:D,Inventory!E:E,"No Name Found"))</f>
        <v/>
      </c>
      <c r="D4419" s="6"/>
      <c r="E4419" s="6"/>
      <c r="F4419" s="6"/>
      <c r="G4419" s="24" t="str">
        <f>IF(F4419="", "", VLOOKUP(F4419, Inventory!A:BZ, 3, FALSE) - SUMIF($F$1:$F4418, F4419, $H$1:$H4418))
</f>
        <v/>
      </c>
      <c r="I4419" s="26"/>
      <c r="J4419" s="26" t="s">
        <v>77</v>
      </c>
      <c r="L4419" s="27" t="s">
        <v>77</v>
      </c>
      <c r="N4419" s="28" t="s">
        <v>77</v>
      </c>
      <c r="Q4419" s="30"/>
    </row>
    <row r="4420">
      <c r="B4420" s="6"/>
      <c r="C4420" s="33" t="str">
        <f t="array" ref="C4420">IF(B4420="", "", XLOOKUP(B4420, Inventory!D:D,Inventory!E:E,"No Name Found"))</f>
        <v/>
      </c>
      <c r="D4420" s="6"/>
      <c r="E4420" s="6"/>
      <c r="F4420" s="6"/>
      <c r="G4420" s="24" t="str">
        <f>IF(F4420="", "", VLOOKUP(F4420, Inventory!A:BZ, 3, FALSE) - SUMIF($F$1:$F4419, F4420, $H$1:$H4419))
</f>
        <v/>
      </c>
      <c r="I4420" s="26"/>
      <c r="J4420" s="26" t="s">
        <v>77</v>
      </c>
      <c r="L4420" s="27" t="s">
        <v>77</v>
      </c>
      <c r="N4420" s="28" t="s">
        <v>77</v>
      </c>
      <c r="Q4420" s="30"/>
    </row>
    <row r="4421">
      <c r="B4421" s="6"/>
      <c r="C4421" s="33" t="str">
        <f t="array" ref="C4421">IF(B4421="", "", XLOOKUP(B4421, Inventory!D:D,Inventory!E:E,"No Name Found"))</f>
        <v/>
      </c>
      <c r="D4421" s="6"/>
      <c r="E4421" s="6"/>
      <c r="F4421" s="6"/>
      <c r="G4421" s="24" t="str">
        <f>IF(F4421="", "", VLOOKUP(F4421, Inventory!A:BZ, 3, FALSE) - SUMIF($F$1:$F4420, F4421, $H$1:$H4420))
</f>
        <v/>
      </c>
      <c r="I4421" s="26"/>
      <c r="J4421" s="26" t="s">
        <v>77</v>
      </c>
      <c r="L4421" s="27" t="s">
        <v>77</v>
      </c>
      <c r="N4421" s="28" t="s">
        <v>77</v>
      </c>
      <c r="Q4421" s="30"/>
    </row>
    <row r="4422">
      <c r="B4422" s="6"/>
      <c r="C4422" s="33" t="str">
        <f t="array" ref="C4422">IF(B4422="", "", XLOOKUP(B4422, Inventory!D:D,Inventory!E:E,"No Name Found"))</f>
        <v/>
      </c>
      <c r="D4422" s="6"/>
      <c r="E4422" s="6"/>
      <c r="F4422" s="6"/>
      <c r="G4422" s="24" t="str">
        <f>IF(F4422="", "", VLOOKUP(F4422, Inventory!A:BZ, 3, FALSE) - SUMIF($F$1:$F4421, F4422, $H$1:$H4421))
</f>
        <v/>
      </c>
      <c r="I4422" s="26"/>
      <c r="J4422" s="26" t="s">
        <v>77</v>
      </c>
      <c r="L4422" s="27" t="s">
        <v>77</v>
      </c>
      <c r="N4422" s="28" t="s">
        <v>77</v>
      </c>
      <c r="Q4422" s="30"/>
    </row>
    <row r="4423">
      <c r="B4423" s="6"/>
      <c r="C4423" s="33" t="str">
        <f t="array" ref="C4423">IF(B4423="", "", XLOOKUP(B4423, Inventory!D:D,Inventory!E:E,"No Name Found"))</f>
        <v/>
      </c>
      <c r="D4423" s="6"/>
      <c r="E4423" s="6"/>
      <c r="F4423" s="6"/>
      <c r="G4423" s="24" t="str">
        <f>IF(F4423="", "", VLOOKUP(F4423, Inventory!A:BZ, 3, FALSE) - SUMIF($F$1:$F4422, F4423, $H$1:$H4422))
</f>
        <v/>
      </c>
      <c r="I4423" s="26"/>
      <c r="J4423" s="26" t="s">
        <v>77</v>
      </c>
      <c r="L4423" s="27" t="s">
        <v>77</v>
      </c>
      <c r="N4423" s="28" t="s">
        <v>77</v>
      </c>
      <c r="Q4423" s="30"/>
    </row>
    <row r="4424">
      <c r="B4424" s="6"/>
      <c r="C4424" s="33" t="str">
        <f t="array" ref="C4424">IF(B4424="", "", XLOOKUP(B4424, Inventory!D:D,Inventory!E:E,"No Name Found"))</f>
        <v/>
      </c>
      <c r="D4424" s="6"/>
      <c r="E4424" s="6"/>
      <c r="F4424" s="6"/>
      <c r="G4424" s="24" t="str">
        <f>IF(F4424="", "", VLOOKUP(F4424, Inventory!A:BZ, 3, FALSE) - SUMIF($F$1:$F4423, F4424, $H$1:$H4423))
</f>
        <v/>
      </c>
      <c r="I4424" s="26"/>
      <c r="J4424" s="26" t="s">
        <v>77</v>
      </c>
      <c r="L4424" s="27" t="s">
        <v>77</v>
      </c>
      <c r="N4424" s="28" t="s">
        <v>77</v>
      </c>
      <c r="Q4424" s="30"/>
    </row>
    <row r="4425">
      <c r="B4425" s="6"/>
      <c r="C4425" s="33" t="str">
        <f t="array" ref="C4425">IF(B4425="", "", XLOOKUP(B4425, Inventory!D:D,Inventory!E:E,"No Name Found"))</f>
        <v/>
      </c>
      <c r="D4425" s="6"/>
      <c r="E4425" s="6"/>
      <c r="F4425" s="6"/>
      <c r="G4425" s="24" t="str">
        <f>IF(F4425="", "", VLOOKUP(F4425, Inventory!A:BZ, 3, FALSE) - SUMIF($F$1:$F4424, F4425, $H$1:$H4424))
</f>
        <v/>
      </c>
      <c r="I4425" s="26"/>
      <c r="J4425" s="26" t="s">
        <v>77</v>
      </c>
      <c r="L4425" s="27" t="s">
        <v>77</v>
      </c>
      <c r="N4425" s="28" t="s">
        <v>77</v>
      </c>
      <c r="Q4425" s="30"/>
    </row>
    <row r="4426">
      <c r="B4426" s="6"/>
      <c r="C4426" s="33" t="str">
        <f t="array" ref="C4426">IF(B4426="", "", XLOOKUP(B4426, Inventory!D:D,Inventory!E:E,"No Name Found"))</f>
        <v/>
      </c>
      <c r="D4426" s="6"/>
      <c r="E4426" s="6"/>
      <c r="F4426" s="6"/>
      <c r="G4426" s="24" t="str">
        <f>IF(F4426="", "", VLOOKUP(F4426, Inventory!A:BZ, 3, FALSE) - SUMIF($F$1:$F4425, F4426, $H$1:$H4425))
</f>
        <v/>
      </c>
      <c r="I4426" s="26"/>
      <c r="J4426" s="26" t="s">
        <v>77</v>
      </c>
      <c r="L4426" s="27" t="s">
        <v>77</v>
      </c>
      <c r="N4426" s="28" t="s">
        <v>77</v>
      </c>
      <c r="Q4426" s="30"/>
    </row>
    <row r="4427">
      <c r="B4427" s="6"/>
      <c r="C4427" s="33" t="str">
        <f t="array" ref="C4427">IF(B4427="", "", XLOOKUP(B4427, Inventory!D:D,Inventory!E:E,"No Name Found"))</f>
        <v/>
      </c>
      <c r="D4427" s="6"/>
      <c r="E4427" s="6"/>
      <c r="F4427" s="6"/>
      <c r="G4427" s="24" t="str">
        <f>IF(F4427="", "", VLOOKUP(F4427, Inventory!A:BZ, 3, FALSE) - SUMIF($F$1:$F4426, F4427, $H$1:$H4426))
</f>
        <v/>
      </c>
      <c r="I4427" s="26"/>
      <c r="J4427" s="26" t="s">
        <v>77</v>
      </c>
      <c r="L4427" s="27" t="s">
        <v>77</v>
      </c>
      <c r="N4427" s="28" t="s">
        <v>77</v>
      </c>
      <c r="Q4427" s="30"/>
    </row>
    <row r="4428">
      <c r="B4428" s="6"/>
      <c r="C4428" s="33" t="str">
        <f t="array" ref="C4428">IF(B4428="", "", XLOOKUP(B4428, Inventory!D:D,Inventory!E:E,"No Name Found"))</f>
        <v/>
      </c>
      <c r="D4428" s="6"/>
      <c r="E4428" s="6"/>
      <c r="F4428" s="6"/>
      <c r="G4428" s="24" t="str">
        <f>IF(F4428="", "", VLOOKUP(F4428, Inventory!A:BZ, 3, FALSE) - SUMIF($F$1:$F4427, F4428, $H$1:$H4427))
</f>
        <v/>
      </c>
      <c r="I4428" s="26"/>
      <c r="J4428" s="26" t="s">
        <v>77</v>
      </c>
      <c r="L4428" s="27" t="s">
        <v>77</v>
      </c>
      <c r="N4428" s="28" t="s">
        <v>77</v>
      </c>
      <c r="Q4428" s="30"/>
    </row>
    <row r="4429">
      <c r="B4429" s="6"/>
      <c r="C4429" s="33" t="str">
        <f t="array" ref="C4429">IF(B4429="", "", XLOOKUP(B4429, Inventory!D:D,Inventory!E:E,"No Name Found"))</f>
        <v/>
      </c>
      <c r="D4429" s="6"/>
      <c r="E4429" s="6"/>
      <c r="F4429" s="6"/>
      <c r="G4429" s="24" t="str">
        <f>IF(F4429="", "", VLOOKUP(F4429, Inventory!A:BZ, 3, FALSE) - SUMIF($F$1:$F4428, F4429, $H$1:$H4428))
</f>
        <v/>
      </c>
      <c r="I4429" s="26"/>
      <c r="J4429" s="26" t="s">
        <v>77</v>
      </c>
      <c r="L4429" s="27" t="s">
        <v>77</v>
      </c>
      <c r="N4429" s="28" t="s">
        <v>77</v>
      </c>
      <c r="Q4429" s="30"/>
    </row>
    <row r="4430">
      <c r="B4430" s="6"/>
      <c r="C4430" s="33" t="str">
        <f t="array" ref="C4430">IF(B4430="", "", XLOOKUP(B4430, Inventory!D:D,Inventory!E:E,"No Name Found"))</f>
        <v/>
      </c>
      <c r="D4430" s="6"/>
      <c r="E4430" s="6"/>
      <c r="F4430" s="6"/>
      <c r="G4430" s="24" t="str">
        <f>IF(F4430="", "", VLOOKUP(F4430, Inventory!A:BZ, 3, FALSE) - SUMIF($F$1:$F4429, F4430, $H$1:$H4429))
</f>
        <v/>
      </c>
      <c r="I4430" s="26"/>
      <c r="J4430" s="26" t="s">
        <v>77</v>
      </c>
      <c r="L4430" s="27" t="s">
        <v>77</v>
      </c>
      <c r="N4430" s="28" t="s">
        <v>77</v>
      </c>
      <c r="Q4430" s="30"/>
    </row>
    <row r="4431">
      <c r="B4431" s="6"/>
      <c r="C4431" s="33" t="str">
        <f t="array" ref="C4431">IF(B4431="", "", XLOOKUP(B4431, Inventory!D:D,Inventory!E:E,"No Name Found"))</f>
        <v/>
      </c>
      <c r="D4431" s="6"/>
      <c r="E4431" s="6"/>
      <c r="F4431" s="6"/>
      <c r="G4431" s="24" t="str">
        <f>IF(F4431="", "", VLOOKUP(F4431, Inventory!A:BZ, 3, FALSE) - SUMIF($F$1:$F4430, F4431, $H$1:$H4430))
</f>
        <v/>
      </c>
      <c r="I4431" s="26"/>
      <c r="J4431" s="26" t="s">
        <v>77</v>
      </c>
      <c r="L4431" s="27" t="s">
        <v>77</v>
      </c>
      <c r="N4431" s="28" t="s">
        <v>77</v>
      </c>
      <c r="Q4431" s="30"/>
    </row>
    <row r="4432">
      <c r="B4432" s="6"/>
      <c r="C4432" s="33" t="str">
        <f t="array" ref="C4432">IF(B4432="", "", XLOOKUP(B4432, Inventory!D:D,Inventory!E:E,"No Name Found"))</f>
        <v/>
      </c>
      <c r="D4432" s="6"/>
      <c r="E4432" s="6"/>
      <c r="F4432" s="6"/>
      <c r="G4432" s="24" t="str">
        <f>IF(F4432="", "", VLOOKUP(F4432, Inventory!A:BZ, 3, FALSE) - SUMIF($F$1:$F4431, F4432, $H$1:$H4431))
</f>
        <v/>
      </c>
      <c r="I4432" s="26"/>
      <c r="J4432" s="26" t="s">
        <v>77</v>
      </c>
      <c r="L4432" s="27" t="s">
        <v>77</v>
      </c>
      <c r="N4432" s="28" t="s">
        <v>77</v>
      </c>
      <c r="Q4432" s="30"/>
    </row>
    <row r="4433">
      <c r="B4433" s="6"/>
      <c r="C4433" s="33" t="str">
        <f t="array" ref="C4433">IF(B4433="", "", XLOOKUP(B4433, Inventory!D:D,Inventory!E:E,"No Name Found"))</f>
        <v/>
      </c>
      <c r="D4433" s="6"/>
      <c r="E4433" s="6"/>
      <c r="F4433" s="6"/>
      <c r="G4433" s="24" t="str">
        <f>IF(F4433="", "", VLOOKUP(F4433, Inventory!A:BZ, 3, FALSE) - SUMIF($F$1:$F4432, F4433, $H$1:$H4432))
</f>
        <v/>
      </c>
      <c r="I4433" s="26"/>
      <c r="J4433" s="26" t="s">
        <v>77</v>
      </c>
      <c r="L4433" s="27" t="s">
        <v>77</v>
      </c>
      <c r="N4433" s="28" t="s">
        <v>77</v>
      </c>
      <c r="Q4433" s="30"/>
    </row>
    <row r="4434">
      <c r="B4434" s="6"/>
      <c r="C4434" s="33" t="str">
        <f t="array" ref="C4434">IF(B4434="", "", XLOOKUP(B4434, Inventory!D:D,Inventory!E:E,"No Name Found"))</f>
        <v/>
      </c>
      <c r="D4434" s="6"/>
      <c r="E4434" s="6"/>
      <c r="F4434" s="6"/>
      <c r="G4434" s="24" t="str">
        <f>IF(F4434="", "", VLOOKUP(F4434, Inventory!A:BZ, 3, FALSE) - SUMIF($F$1:$F4433, F4434, $H$1:$H4433))
</f>
        <v/>
      </c>
      <c r="I4434" s="26"/>
      <c r="J4434" s="26" t="s">
        <v>77</v>
      </c>
      <c r="L4434" s="27" t="s">
        <v>77</v>
      </c>
      <c r="N4434" s="28" t="s">
        <v>77</v>
      </c>
      <c r="Q4434" s="30"/>
    </row>
    <row r="4435">
      <c r="B4435" s="6"/>
      <c r="C4435" s="33" t="str">
        <f t="array" ref="C4435">IF(B4435="", "", XLOOKUP(B4435, Inventory!D:D,Inventory!E:E,"No Name Found"))</f>
        <v/>
      </c>
      <c r="D4435" s="6"/>
      <c r="E4435" s="6"/>
      <c r="F4435" s="6"/>
      <c r="G4435" s="24" t="str">
        <f>IF(F4435="", "", VLOOKUP(F4435, Inventory!A:BZ, 3, FALSE) - SUMIF($F$1:$F4434, F4435, $H$1:$H4434))
</f>
        <v/>
      </c>
      <c r="I4435" s="26"/>
      <c r="J4435" s="26" t="s">
        <v>77</v>
      </c>
      <c r="L4435" s="27" t="s">
        <v>77</v>
      </c>
      <c r="N4435" s="28" t="s">
        <v>77</v>
      </c>
      <c r="Q4435" s="30"/>
    </row>
    <row r="4436">
      <c r="B4436" s="6"/>
      <c r="C4436" s="33" t="str">
        <f t="array" ref="C4436">IF(B4436="", "", XLOOKUP(B4436, Inventory!D:D,Inventory!E:E,"No Name Found"))</f>
        <v/>
      </c>
      <c r="D4436" s="6"/>
      <c r="E4436" s="6"/>
      <c r="F4436" s="6"/>
      <c r="G4436" s="24" t="str">
        <f>IF(F4436="", "", VLOOKUP(F4436, Inventory!A:BZ, 3, FALSE) - SUMIF($F$1:$F4435, F4436, $H$1:$H4435))
</f>
        <v/>
      </c>
      <c r="I4436" s="26"/>
      <c r="J4436" s="26" t="s">
        <v>77</v>
      </c>
      <c r="L4436" s="27" t="s">
        <v>77</v>
      </c>
      <c r="N4436" s="28" t="s">
        <v>77</v>
      </c>
      <c r="Q4436" s="30"/>
    </row>
    <row r="4437">
      <c r="B4437" s="6"/>
      <c r="C4437" s="33" t="str">
        <f t="array" ref="C4437">IF(B4437="", "", XLOOKUP(B4437, Inventory!D:D,Inventory!E:E,"No Name Found"))</f>
        <v/>
      </c>
      <c r="D4437" s="6"/>
      <c r="E4437" s="6"/>
      <c r="F4437" s="6"/>
      <c r="G4437" s="24" t="str">
        <f>IF(F4437="", "", VLOOKUP(F4437, Inventory!A:BZ, 3, FALSE) - SUMIF($F$1:$F4436, F4437, $H$1:$H4436))
</f>
        <v/>
      </c>
      <c r="I4437" s="26"/>
      <c r="J4437" s="26" t="s">
        <v>77</v>
      </c>
      <c r="L4437" s="27" t="s">
        <v>77</v>
      </c>
      <c r="N4437" s="28" t="s">
        <v>77</v>
      </c>
      <c r="Q4437" s="30"/>
    </row>
    <row r="4438">
      <c r="B4438" s="6"/>
      <c r="C4438" s="33" t="str">
        <f t="array" ref="C4438">IF(B4438="", "", XLOOKUP(B4438, Inventory!D:D,Inventory!E:E,"No Name Found"))</f>
        <v/>
      </c>
      <c r="D4438" s="6"/>
      <c r="E4438" s="6"/>
      <c r="F4438" s="6"/>
      <c r="G4438" s="24" t="str">
        <f>IF(F4438="", "", VLOOKUP(F4438, Inventory!A:BZ, 3, FALSE) - SUMIF($F$1:$F4437, F4438, $H$1:$H4437))
</f>
        <v/>
      </c>
      <c r="I4438" s="26"/>
      <c r="J4438" s="26" t="s">
        <v>77</v>
      </c>
      <c r="L4438" s="27" t="s">
        <v>77</v>
      </c>
      <c r="N4438" s="28" t="s">
        <v>77</v>
      </c>
      <c r="Q4438" s="30"/>
    </row>
    <row r="4439">
      <c r="B4439" s="6"/>
      <c r="C4439" s="33" t="str">
        <f t="array" ref="C4439">IF(B4439="", "", XLOOKUP(B4439, Inventory!D:D,Inventory!E:E,"No Name Found"))</f>
        <v/>
      </c>
      <c r="D4439" s="6"/>
      <c r="E4439" s="6"/>
      <c r="F4439" s="6"/>
      <c r="G4439" s="24" t="str">
        <f>IF(F4439="", "", VLOOKUP(F4439, Inventory!A:BZ, 3, FALSE) - SUMIF($F$1:$F4438, F4439, $H$1:$H4438))
</f>
        <v/>
      </c>
      <c r="I4439" s="26"/>
      <c r="J4439" s="26" t="s">
        <v>77</v>
      </c>
      <c r="L4439" s="27" t="s">
        <v>77</v>
      </c>
      <c r="N4439" s="28" t="s">
        <v>77</v>
      </c>
      <c r="Q4439" s="30"/>
    </row>
    <row r="4440">
      <c r="B4440" s="6"/>
      <c r="C4440" s="33" t="str">
        <f t="array" ref="C4440">IF(B4440="", "", XLOOKUP(B4440, Inventory!D:D,Inventory!E:E,"No Name Found"))</f>
        <v/>
      </c>
      <c r="D4440" s="6"/>
      <c r="E4440" s="6"/>
      <c r="F4440" s="6"/>
      <c r="G4440" s="24" t="str">
        <f>IF(F4440="", "", VLOOKUP(F4440, Inventory!A:BZ, 3, FALSE) - SUMIF($F$1:$F4439, F4440, $H$1:$H4439))
</f>
        <v/>
      </c>
      <c r="I4440" s="26"/>
      <c r="J4440" s="26" t="s">
        <v>77</v>
      </c>
      <c r="L4440" s="27" t="s">
        <v>77</v>
      </c>
      <c r="N4440" s="28" t="s">
        <v>77</v>
      </c>
      <c r="Q4440" s="30"/>
    </row>
    <row r="4441">
      <c r="B4441" s="6"/>
      <c r="C4441" s="33" t="str">
        <f t="array" ref="C4441">IF(B4441="", "", XLOOKUP(B4441, Inventory!D:D,Inventory!E:E,"No Name Found"))</f>
        <v/>
      </c>
      <c r="D4441" s="6"/>
      <c r="E4441" s="6"/>
      <c r="F4441" s="6"/>
      <c r="G4441" s="24" t="str">
        <f>IF(F4441="", "", VLOOKUP(F4441, Inventory!A:BZ, 3, FALSE) - SUMIF($F$1:$F4440, F4441, $H$1:$H4440))
</f>
        <v/>
      </c>
      <c r="I4441" s="26"/>
      <c r="J4441" s="26" t="s">
        <v>77</v>
      </c>
      <c r="L4441" s="27" t="s">
        <v>77</v>
      </c>
      <c r="N4441" s="28" t="s">
        <v>77</v>
      </c>
      <c r="Q4441" s="30"/>
    </row>
    <row r="4442">
      <c r="B4442" s="6"/>
      <c r="C4442" s="33" t="str">
        <f t="array" ref="C4442">IF(B4442="", "", XLOOKUP(B4442, Inventory!D:D,Inventory!E:E,"No Name Found"))</f>
        <v/>
      </c>
      <c r="D4442" s="6"/>
      <c r="E4442" s="6"/>
      <c r="F4442" s="6"/>
      <c r="G4442" s="24" t="str">
        <f>IF(F4442="", "", VLOOKUP(F4442, Inventory!A:BZ, 3, FALSE) - SUMIF($F$1:$F4441, F4442, $H$1:$H4441))
</f>
        <v/>
      </c>
      <c r="I4442" s="26"/>
      <c r="J4442" s="26" t="s">
        <v>77</v>
      </c>
      <c r="L4442" s="27" t="s">
        <v>77</v>
      </c>
      <c r="N4442" s="28" t="s">
        <v>77</v>
      </c>
      <c r="Q4442" s="30"/>
    </row>
    <row r="4443">
      <c r="B4443" s="6"/>
      <c r="C4443" s="33" t="str">
        <f t="array" ref="C4443">IF(B4443="", "", XLOOKUP(B4443, Inventory!D:D,Inventory!E:E,"No Name Found"))</f>
        <v/>
      </c>
      <c r="D4443" s="6"/>
      <c r="E4443" s="6"/>
      <c r="F4443" s="6"/>
      <c r="G4443" s="24" t="str">
        <f>IF(F4443="", "", VLOOKUP(F4443, Inventory!A:BZ, 3, FALSE) - SUMIF($F$1:$F4442, F4443, $H$1:$H4442))
</f>
        <v/>
      </c>
      <c r="I4443" s="26"/>
      <c r="J4443" s="26" t="s">
        <v>77</v>
      </c>
      <c r="L4443" s="27" t="s">
        <v>77</v>
      </c>
      <c r="N4443" s="28" t="s">
        <v>77</v>
      </c>
      <c r="Q4443" s="30"/>
    </row>
    <row r="4444">
      <c r="B4444" s="6"/>
      <c r="C4444" s="33" t="str">
        <f t="array" ref="C4444">IF(B4444="", "", XLOOKUP(B4444, Inventory!D:D,Inventory!E:E,"No Name Found"))</f>
        <v/>
      </c>
      <c r="D4444" s="6"/>
      <c r="E4444" s="6"/>
      <c r="F4444" s="6"/>
      <c r="G4444" s="24" t="str">
        <f>IF(F4444="", "", VLOOKUP(F4444, Inventory!A:BZ, 3, FALSE) - SUMIF($F$1:$F4443, F4444, $H$1:$H4443))
</f>
        <v/>
      </c>
      <c r="I4444" s="26"/>
      <c r="J4444" s="26" t="s">
        <v>77</v>
      </c>
      <c r="L4444" s="27" t="s">
        <v>77</v>
      </c>
      <c r="N4444" s="28" t="s">
        <v>77</v>
      </c>
      <c r="Q4444" s="30"/>
    </row>
    <row r="4445">
      <c r="B4445" s="6"/>
      <c r="C4445" s="33" t="str">
        <f t="array" ref="C4445">IF(B4445="", "", XLOOKUP(B4445, Inventory!D:D,Inventory!E:E,"No Name Found"))</f>
        <v/>
      </c>
      <c r="D4445" s="6"/>
      <c r="E4445" s="6"/>
      <c r="F4445" s="6"/>
      <c r="G4445" s="24" t="str">
        <f>IF(F4445="", "", VLOOKUP(F4445, Inventory!A:BZ, 3, FALSE) - SUMIF($F$1:$F4444, F4445, $H$1:$H4444))
</f>
        <v/>
      </c>
      <c r="I4445" s="26"/>
      <c r="J4445" s="26" t="s">
        <v>77</v>
      </c>
      <c r="L4445" s="27" t="s">
        <v>77</v>
      </c>
      <c r="N4445" s="28" t="s">
        <v>77</v>
      </c>
      <c r="Q4445" s="30"/>
    </row>
    <row r="4446">
      <c r="B4446" s="6"/>
      <c r="C4446" s="33" t="str">
        <f t="array" ref="C4446">IF(B4446="", "", XLOOKUP(B4446, Inventory!D:D,Inventory!E:E,"No Name Found"))</f>
        <v/>
      </c>
      <c r="D4446" s="6"/>
      <c r="E4446" s="6"/>
      <c r="F4446" s="6"/>
      <c r="G4446" s="24" t="str">
        <f>IF(F4446="", "", VLOOKUP(F4446, Inventory!A:BZ, 3, FALSE) - SUMIF($F$1:$F4445, F4446, $H$1:$H4445))
</f>
        <v/>
      </c>
      <c r="I4446" s="26"/>
      <c r="J4446" s="26" t="s">
        <v>77</v>
      </c>
      <c r="L4446" s="27" t="s">
        <v>77</v>
      </c>
      <c r="N4446" s="28" t="s">
        <v>77</v>
      </c>
      <c r="Q4446" s="30"/>
    </row>
    <row r="4447">
      <c r="B4447" s="6"/>
      <c r="C4447" s="33" t="str">
        <f t="array" ref="C4447">IF(B4447="", "", XLOOKUP(B4447, Inventory!D:D,Inventory!E:E,"No Name Found"))</f>
        <v/>
      </c>
      <c r="D4447" s="6"/>
      <c r="E4447" s="6"/>
      <c r="F4447" s="6"/>
      <c r="G4447" s="24" t="str">
        <f>IF(F4447="", "", VLOOKUP(F4447, Inventory!A:BZ, 3, FALSE) - SUMIF($F$1:$F4446, F4447, $H$1:$H4446))
</f>
        <v/>
      </c>
      <c r="I4447" s="26"/>
      <c r="J4447" s="26" t="s">
        <v>77</v>
      </c>
      <c r="L4447" s="27" t="s">
        <v>77</v>
      </c>
      <c r="N4447" s="28" t="s">
        <v>77</v>
      </c>
      <c r="Q4447" s="30"/>
    </row>
    <row r="4448">
      <c r="B4448" s="6"/>
      <c r="C4448" s="33" t="str">
        <f t="array" ref="C4448">IF(B4448="", "", XLOOKUP(B4448, Inventory!D:D,Inventory!E:E,"No Name Found"))</f>
        <v/>
      </c>
      <c r="D4448" s="6"/>
      <c r="E4448" s="6"/>
      <c r="F4448" s="6"/>
      <c r="G4448" s="24" t="str">
        <f>IF(F4448="", "", VLOOKUP(F4448, Inventory!A:BZ, 3, FALSE) - SUMIF($F$1:$F4447, F4448, $H$1:$H4447))
</f>
        <v/>
      </c>
      <c r="I4448" s="26"/>
      <c r="J4448" s="26" t="s">
        <v>77</v>
      </c>
      <c r="L4448" s="27" t="s">
        <v>77</v>
      </c>
      <c r="N4448" s="28" t="s">
        <v>77</v>
      </c>
      <c r="Q4448" s="30"/>
    </row>
    <row r="4449">
      <c r="B4449" s="6"/>
      <c r="C4449" s="33" t="str">
        <f t="array" ref="C4449">IF(B4449="", "", XLOOKUP(B4449, Inventory!D:D,Inventory!E:E,"No Name Found"))</f>
        <v/>
      </c>
      <c r="D4449" s="6"/>
      <c r="E4449" s="6"/>
      <c r="F4449" s="6"/>
      <c r="G4449" s="24" t="str">
        <f>IF(F4449="", "", VLOOKUP(F4449, Inventory!A:BZ, 3, FALSE) - SUMIF($F$1:$F4448, F4449, $H$1:$H4448))
</f>
        <v/>
      </c>
      <c r="I4449" s="26"/>
      <c r="J4449" s="26" t="s">
        <v>77</v>
      </c>
      <c r="L4449" s="27" t="s">
        <v>77</v>
      </c>
      <c r="N4449" s="28" t="s">
        <v>77</v>
      </c>
      <c r="Q4449" s="30"/>
    </row>
    <row r="4450">
      <c r="B4450" s="6"/>
      <c r="C4450" s="33" t="str">
        <f t="array" ref="C4450">IF(B4450="", "", XLOOKUP(B4450, Inventory!D:D,Inventory!E:E,"No Name Found"))</f>
        <v/>
      </c>
      <c r="D4450" s="6"/>
      <c r="E4450" s="6"/>
      <c r="F4450" s="6"/>
      <c r="G4450" s="24" t="str">
        <f>IF(F4450="", "", VLOOKUP(F4450, Inventory!A:BZ, 3, FALSE) - SUMIF($F$1:$F4449, F4450, $H$1:$H4449))
</f>
        <v/>
      </c>
      <c r="I4450" s="26"/>
      <c r="J4450" s="26" t="s">
        <v>77</v>
      </c>
      <c r="L4450" s="27" t="s">
        <v>77</v>
      </c>
      <c r="N4450" s="28" t="s">
        <v>77</v>
      </c>
      <c r="Q4450" s="30"/>
    </row>
    <row r="4451">
      <c r="B4451" s="6"/>
      <c r="C4451" s="33" t="str">
        <f t="array" ref="C4451">IF(B4451="", "", XLOOKUP(B4451, Inventory!D:D,Inventory!E:E,"No Name Found"))</f>
        <v/>
      </c>
      <c r="D4451" s="6"/>
      <c r="E4451" s="6"/>
      <c r="F4451" s="6"/>
      <c r="G4451" s="24" t="str">
        <f>IF(F4451="", "", VLOOKUP(F4451, Inventory!A:BZ, 3, FALSE) - SUMIF($F$1:$F4450, F4451, $H$1:$H4450))
</f>
        <v/>
      </c>
      <c r="I4451" s="26"/>
      <c r="J4451" s="26" t="s">
        <v>77</v>
      </c>
      <c r="L4451" s="27" t="s">
        <v>77</v>
      </c>
      <c r="N4451" s="28" t="s">
        <v>77</v>
      </c>
      <c r="Q4451" s="30"/>
    </row>
    <row r="4452">
      <c r="B4452" s="6"/>
      <c r="C4452" s="33" t="str">
        <f t="array" ref="C4452">IF(B4452="", "", XLOOKUP(B4452, Inventory!D:D,Inventory!E:E,"No Name Found"))</f>
        <v/>
      </c>
      <c r="D4452" s="6"/>
      <c r="E4452" s="6"/>
      <c r="F4452" s="6"/>
      <c r="G4452" s="24" t="str">
        <f>IF(F4452="", "", VLOOKUP(F4452, Inventory!A:BZ, 3, FALSE) - SUMIF($F$1:$F4451, F4452, $H$1:$H4451))
</f>
        <v/>
      </c>
      <c r="I4452" s="26"/>
      <c r="J4452" s="26" t="s">
        <v>77</v>
      </c>
      <c r="L4452" s="27" t="s">
        <v>77</v>
      </c>
      <c r="N4452" s="28" t="s">
        <v>77</v>
      </c>
      <c r="Q4452" s="30"/>
    </row>
    <row r="4453">
      <c r="B4453" s="6"/>
      <c r="C4453" s="33" t="str">
        <f t="array" ref="C4453">IF(B4453="", "", XLOOKUP(B4453, Inventory!D:D,Inventory!E:E,"No Name Found"))</f>
        <v/>
      </c>
      <c r="D4453" s="6"/>
      <c r="E4453" s="6"/>
      <c r="F4453" s="6"/>
      <c r="G4453" s="24" t="str">
        <f>IF(F4453="", "", VLOOKUP(F4453, Inventory!A:BZ, 3, FALSE) - SUMIF($F$1:$F4452, F4453, $H$1:$H4452))
</f>
        <v/>
      </c>
      <c r="I4453" s="26"/>
      <c r="J4453" s="26" t="s">
        <v>77</v>
      </c>
      <c r="L4453" s="27" t="s">
        <v>77</v>
      </c>
      <c r="N4453" s="28" t="s">
        <v>77</v>
      </c>
      <c r="Q4453" s="30"/>
    </row>
    <row r="4454">
      <c r="B4454" s="6"/>
      <c r="C4454" s="33" t="str">
        <f t="array" ref="C4454">IF(B4454="", "", XLOOKUP(B4454, Inventory!D:D,Inventory!E:E,"No Name Found"))</f>
        <v/>
      </c>
      <c r="D4454" s="6"/>
      <c r="E4454" s="6"/>
      <c r="F4454" s="6"/>
      <c r="G4454" s="24" t="str">
        <f>IF(F4454="", "", VLOOKUP(F4454, Inventory!A:BZ, 3, FALSE) - SUMIF($F$1:$F4453, F4454, $H$1:$H4453))
</f>
        <v/>
      </c>
      <c r="I4454" s="26"/>
      <c r="J4454" s="26" t="s">
        <v>77</v>
      </c>
      <c r="L4454" s="27" t="s">
        <v>77</v>
      </c>
      <c r="N4454" s="28" t="s">
        <v>77</v>
      </c>
      <c r="Q4454" s="30"/>
    </row>
    <row r="4455">
      <c r="B4455" s="6"/>
      <c r="C4455" s="33" t="str">
        <f t="array" ref="C4455">IF(B4455="", "", XLOOKUP(B4455, Inventory!D:D,Inventory!E:E,"No Name Found"))</f>
        <v/>
      </c>
      <c r="D4455" s="6"/>
      <c r="E4455" s="6"/>
      <c r="F4455" s="6"/>
      <c r="G4455" s="24" t="str">
        <f>IF(F4455="", "", VLOOKUP(F4455, Inventory!A:BZ, 3, FALSE) - SUMIF($F$1:$F4454, F4455, $H$1:$H4454))
</f>
        <v/>
      </c>
      <c r="I4455" s="26"/>
      <c r="J4455" s="26" t="s">
        <v>77</v>
      </c>
      <c r="L4455" s="27" t="s">
        <v>77</v>
      </c>
      <c r="N4455" s="28" t="s">
        <v>77</v>
      </c>
      <c r="Q4455" s="30"/>
    </row>
    <row r="4456">
      <c r="B4456" s="6"/>
      <c r="C4456" s="33" t="str">
        <f t="array" ref="C4456">IF(B4456="", "", XLOOKUP(B4456, Inventory!D:D,Inventory!E:E,"No Name Found"))</f>
        <v/>
      </c>
      <c r="D4456" s="6"/>
      <c r="E4456" s="6"/>
      <c r="F4456" s="6"/>
      <c r="G4456" s="24" t="str">
        <f>IF(F4456="", "", VLOOKUP(F4456, Inventory!A:BZ, 3, FALSE) - SUMIF($F$1:$F4455, F4456, $H$1:$H4455))
</f>
        <v/>
      </c>
      <c r="I4456" s="26"/>
      <c r="J4456" s="26" t="s">
        <v>77</v>
      </c>
      <c r="L4456" s="27" t="s">
        <v>77</v>
      </c>
      <c r="N4456" s="28" t="s">
        <v>77</v>
      </c>
      <c r="Q4456" s="30"/>
    </row>
    <row r="4457">
      <c r="B4457" s="6"/>
      <c r="C4457" s="33" t="str">
        <f t="array" ref="C4457">IF(B4457="", "", XLOOKUP(B4457, Inventory!D:D,Inventory!E:E,"No Name Found"))</f>
        <v/>
      </c>
      <c r="D4457" s="6"/>
      <c r="E4457" s="6"/>
      <c r="F4457" s="6"/>
      <c r="G4457" s="24" t="str">
        <f>IF(F4457="", "", VLOOKUP(F4457, Inventory!A:BZ, 3, FALSE) - SUMIF($F$1:$F4456, F4457, $H$1:$H4456))
</f>
        <v/>
      </c>
      <c r="I4457" s="26"/>
      <c r="J4457" s="26" t="s">
        <v>77</v>
      </c>
      <c r="L4457" s="27" t="s">
        <v>77</v>
      </c>
      <c r="N4457" s="28" t="s">
        <v>77</v>
      </c>
      <c r="Q4457" s="30"/>
    </row>
    <row r="4458">
      <c r="B4458" s="6"/>
      <c r="C4458" s="33" t="str">
        <f t="array" ref="C4458">IF(B4458="", "", XLOOKUP(B4458, Inventory!D:D,Inventory!E:E,"No Name Found"))</f>
        <v/>
      </c>
      <c r="D4458" s="6"/>
      <c r="E4458" s="6"/>
      <c r="F4458" s="6"/>
      <c r="G4458" s="24" t="str">
        <f>IF(F4458="", "", VLOOKUP(F4458, Inventory!A:BZ, 3, FALSE) - SUMIF($F$1:$F4457, F4458, $H$1:$H4457))
</f>
        <v/>
      </c>
      <c r="I4458" s="26"/>
      <c r="J4458" s="26" t="s">
        <v>77</v>
      </c>
      <c r="L4458" s="27" t="s">
        <v>77</v>
      </c>
      <c r="N4458" s="28" t="s">
        <v>77</v>
      </c>
      <c r="Q4458" s="30"/>
    </row>
    <row r="4459">
      <c r="B4459" s="6"/>
      <c r="C4459" s="33" t="str">
        <f t="array" ref="C4459">IF(B4459="", "", XLOOKUP(B4459, Inventory!D:D,Inventory!E:E,"No Name Found"))</f>
        <v/>
      </c>
      <c r="D4459" s="6"/>
      <c r="E4459" s="6"/>
      <c r="F4459" s="6"/>
      <c r="G4459" s="24" t="str">
        <f>IF(F4459="", "", VLOOKUP(F4459, Inventory!A:BZ, 3, FALSE) - SUMIF($F$1:$F4458, F4459, $H$1:$H4458))
</f>
        <v/>
      </c>
      <c r="I4459" s="26"/>
      <c r="J4459" s="26" t="s">
        <v>77</v>
      </c>
      <c r="L4459" s="27" t="s">
        <v>77</v>
      </c>
      <c r="N4459" s="28" t="s">
        <v>77</v>
      </c>
      <c r="Q4459" s="30"/>
    </row>
    <row r="4460">
      <c r="B4460" s="6"/>
      <c r="C4460" s="33" t="str">
        <f t="array" ref="C4460">IF(B4460="", "", XLOOKUP(B4460, Inventory!D:D,Inventory!E:E,"No Name Found"))</f>
        <v/>
      </c>
      <c r="D4460" s="6"/>
      <c r="E4460" s="6"/>
      <c r="F4460" s="6"/>
      <c r="G4460" s="24" t="str">
        <f>IF(F4460="", "", VLOOKUP(F4460, Inventory!A:BZ, 3, FALSE) - SUMIF($F$1:$F4459, F4460, $H$1:$H4459))
</f>
        <v/>
      </c>
      <c r="I4460" s="26"/>
      <c r="J4460" s="26" t="s">
        <v>77</v>
      </c>
      <c r="L4460" s="27" t="s">
        <v>77</v>
      </c>
      <c r="N4460" s="28" t="s">
        <v>77</v>
      </c>
      <c r="Q4460" s="30"/>
    </row>
    <row r="4461">
      <c r="B4461" s="6"/>
      <c r="C4461" s="33" t="str">
        <f t="array" ref="C4461">IF(B4461="", "", XLOOKUP(B4461, Inventory!D:D,Inventory!E:E,"No Name Found"))</f>
        <v/>
      </c>
      <c r="D4461" s="6"/>
      <c r="E4461" s="6"/>
      <c r="F4461" s="6"/>
      <c r="G4461" s="24" t="str">
        <f>IF(F4461="", "", VLOOKUP(F4461, Inventory!A:BZ, 3, FALSE) - SUMIF($F$1:$F4460, F4461, $H$1:$H4460))
</f>
        <v/>
      </c>
      <c r="I4461" s="26"/>
      <c r="J4461" s="26" t="s">
        <v>77</v>
      </c>
      <c r="L4461" s="27" t="s">
        <v>77</v>
      </c>
      <c r="N4461" s="28" t="s">
        <v>77</v>
      </c>
      <c r="Q4461" s="30"/>
    </row>
    <row r="4462">
      <c r="B4462" s="6"/>
      <c r="C4462" s="33" t="str">
        <f t="array" ref="C4462">IF(B4462="", "", XLOOKUP(B4462, Inventory!D:D,Inventory!E:E,"No Name Found"))</f>
        <v/>
      </c>
      <c r="D4462" s="6"/>
      <c r="E4462" s="6"/>
      <c r="F4462" s="6"/>
      <c r="G4462" s="24" t="str">
        <f>IF(F4462="", "", VLOOKUP(F4462, Inventory!A:BZ, 3, FALSE) - SUMIF($F$1:$F4461, F4462, $H$1:$H4461))
</f>
        <v/>
      </c>
      <c r="I4462" s="26"/>
      <c r="J4462" s="26" t="s">
        <v>77</v>
      </c>
      <c r="L4462" s="27" t="s">
        <v>77</v>
      </c>
      <c r="N4462" s="28" t="s">
        <v>77</v>
      </c>
      <c r="Q4462" s="30"/>
    </row>
    <row r="4463">
      <c r="B4463" s="6"/>
      <c r="C4463" s="33" t="str">
        <f t="array" ref="C4463">IF(B4463="", "", XLOOKUP(B4463, Inventory!D:D,Inventory!E:E,"No Name Found"))</f>
        <v/>
      </c>
      <c r="D4463" s="6"/>
      <c r="E4463" s="6"/>
      <c r="F4463" s="6"/>
      <c r="G4463" s="24" t="str">
        <f>IF(F4463="", "", VLOOKUP(F4463, Inventory!A:BZ, 3, FALSE) - SUMIF($F$1:$F4462, F4463, $H$1:$H4462))
</f>
        <v/>
      </c>
      <c r="I4463" s="26"/>
      <c r="J4463" s="26" t="s">
        <v>77</v>
      </c>
      <c r="L4463" s="27" t="s">
        <v>77</v>
      </c>
      <c r="N4463" s="28" t="s">
        <v>77</v>
      </c>
      <c r="Q4463" s="30"/>
    </row>
    <row r="4464">
      <c r="B4464" s="6"/>
      <c r="C4464" s="33" t="str">
        <f t="array" ref="C4464">IF(B4464="", "", XLOOKUP(B4464, Inventory!D:D,Inventory!E:E,"No Name Found"))</f>
        <v/>
      </c>
      <c r="D4464" s="6"/>
      <c r="E4464" s="6"/>
      <c r="F4464" s="6"/>
      <c r="G4464" s="24" t="str">
        <f>IF(F4464="", "", VLOOKUP(F4464, Inventory!A:BZ, 3, FALSE) - SUMIF($F$1:$F4463, F4464, $H$1:$H4463))
</f>
        <v/>
      </c>
      <c r="I4464" s="26"/>
      <c r="J4464" s="26" t="s">
        <v>77</v>
      </c>
      <c r="L4464" s="27" t="s">
        <v>77</v>
      </c>
      <c r="N4464" s="28" t="s">
        <v>77</v>
      </c>
      <c r="Q4464" s="30"/>
    </row>
    <row r="4465">
      <c r="B4465" s="6"/>
      <c r="C4465" s="33" t="str">
        <f t="array" ref="C4465">IF(B4465="", "", XLOOKUP(B4465, Inventory!D:D,Inventory!E:E,"No Name Found"))</f>
        <v/>
      </c>
      <c r="D4465" s="6"/>
      <c r="E4465" s="6"/>
      <c r="F4465" s="6"/>
      <c r="G4465" s="24" t="str">
        <f>IF(F4465="", "", VLOOKUP(F4465, Inventory!A:BZ, 3, FALSE) - SUMIF($F$1:$F4464, F4465, $H$1:$H4464))
</f>
        <v/>
      </c>
      <c r="I4465" s="26"/>
      <c r="J4465" s="26" t="s">
        <v>77</v>
      </c>
      <c r="L4465" s="27" t="s">
        <v>77</v>
      </c>
      <c r="N4465" s="28" t="s">
        <v>77</v>
      </c>
      <c r="Q4465" s="30"/>
    </row>
    <row r="4466">
      <c r="B4466" s="6"/>
      <c r="C4466" s="33" t="str">
        <f t="array" ref="C4466">IF(B4466="", "", XLOOKUP(B4466, Inventory!D:D,Inventory!E:E,"No Name Found"))</f>
        <v/>
      </c>
      <c r="D4466" s="6"/>
      <c r="E4466" s="6"/>
      <c r="F4466" s="6"/>
      <c r="G4466" s="24" t="str">
        <f>IF(F4466="", "", VLOOKUP(F4466, Inventory!A:BZ, 3, FALSE) - SUMIF($F$1:$F4465, F4466, $H$1:$H4465))
</f>
        <v/>
      </c>
      <c r="I4466" s="26"/>
      <c r="J4466" s="26" t="s">
        <v>77</v>
      </c>
      <c r="L4466" s="27" t="s">
        <v>77</v>
      </c>
      <c r="N4466" s="28" t="s">
        <v>77</v>
      </c>
      <c r="Q4466" s="30"/>
    </row>
    <row r="4467">
      <c r="B4467" s="6"/>
      <c r="C4467" s="33" t="str">
        <f t="array" ref="C4467">IF(B4467="", "", XLOOKUP(B4467, Inventory!D:D,Inventory!E:E,"No Name Found"))</f>
        <v/>
      </c>
      <c r="D4467" s="6"/>
      <c r="E4467" s="6"/>
      <c r="F4467" s="6"/>
      <c r="G4467" s="24" t="str">
        <f>IF(F4467="", "", VLOOKUP(F4467, Inventory!A:BZ, 3, FALSE) - SUMIF($F$1:$F4466, F4467, $H$1:$H4466))
</f>
        <v/>
      </c>
      <c r="I4467" s="26"/>
      <c r="J4467" s="26" t="s">
        <v>77</v>
      </c>
      <c r="L4467" s="27" t="s">
        <v>77</v>
      </c>
      <c r="N4467" s="28" t="s">
        <v>77</v>
      </c>
      <c r="Q4467" s="30"/>
    </row>
    <row r="4468">
      <c r="B4468" s="6"/>
      <c r="C4468" s="33" t="str">
        <f t="array" ref="C4468">IF(B4468="", "", XLOOKUP(B4468, Inventory!D:D,Inventory!E:E,"No Name Found"))</f>
        <v/>
      </c>
      <c r="D4468" s="6"/>
      <c r="E4468" s="6"/>
      <c r="F4468" s="6"/>
      <c r="G4468" s="24" t="str">
        <f>IF(F4468="", "", VLOOKUP(F4468, Inventory!A:BZ, 3, FALSE) - SUMIF($F$1:$F4467, F4468, $H$1:$H4467))
</f>
        <v/>
      </c>
      <c r="I4468" s="26"/>
      <c r="J4468" s="26" t="s">
        <v>77</v>
      </c>
      <c r="L4468" s="27" t="s">
        <v>77</v>
      </c>
      <c r="N4468" s="28" t="s">
        <v>77</v>
      </c>
      <c r="Q4468" s="30"/>
    </row>
    <row r="4469">
      <c r="B4469" s="6"/>
      <c r="C4469" s="33" t="str">
        <f t="array" ref="C4469">IF(B4469="", "", XLOOKUP(B4469, Inventory!D:D,Inventory!E:E,"No Name Found"))</f>
        <v/>
      </c>
      <c r="D4469" s="6"/>
      <c r="E4469" s="6"/>
      <c r="F4469" s="6"/>
      <c r="G4469" s="24" t="str">
        <f>IF(F4469="", "", VLOOKUP(F4469, Inventory!A:BZ, 3, FALSE) - SUMIF($F$1:$F4468, F4469, $H$1:$H4468))
</f>
        <v/>
      </c>
      <c r="I4469" s="26"/>
      <c r="J4469" s="26" t="s">
        <v>77</v>
      </c>
      <c r="L4469" s="27" t="s">
        <v>77</v>
      </c>
      <c r="N4469" s="28" t="s">
        <v>77</v>
      </c>
      <c r="Q4469" s="30"/>
    </row>
    <row r="4470">
      <c r="B4470" s="6"/>
      <c r="C4470" s="33" t="str">
        <f t="array" ref="C4470">IF(B4470="", "", XLOOKUP(B4470, Inventory!D:D,Inventory!E:E,"No Name Found"))</f>
        <v/>
      </c>
      <c r="D4470" s="6"/>
      <c r="E4470" s="6"/>
      <c r="F4470" s="6"/>
      <c r="G4470" s="24" t="str">
        <f>IF(F4470="", "", VLOOKUP(F4470, Inventory!A:BZ, 3, FALSE) - SUMIF($F$1:$F4469, F4470, $H$1:$H4469))
</f>
        <v/>
      </c>
      <c r="I4470" s="26"/>
      <c r="J4470" s="26" t="s">
        <v>77</v>
      </c>
      <c r="L4470" s="27" t="s">
        <v>77</v>
      </c>
      <c r="N4470" s="28" t="s">
        <v>77</v>
      </c>
      <c r="Q4470" s="30"/>
    </row>
    <row r="4471">
      <c r="B4471" s="6"/>
      <c r="C4471" s="33" t="str">
        <f t="array" ref="C4471">IF(B4471="", "", XLOOKUP(B4471, Inventory!D:D,Inventory!E:E,"No Name Found"))</f>
        <v/>
      </c>
      <c r="D4471" s="6"/>
      <c r="E4471" s="6"/>
      <c r="F4471" s="6"/>
      <c r="G4471" s="24" t="str">
        <f>IF(F4471="", "", VLOOKUP(F4471, Inventory!A:BZ, 3, FALSE) - SUMIF($F$1:$F4470, F4471, $H$1:$H4470))
</f>
        <v/>
      </c>
      <c r="I4471" s="26"/>
      <c r="J4471" s="26" t="s">
        <v>77</v>
      </c>
      <c r="L4471" s="27" t="s">
        <v>77</v>
      </c>
      <c r="N4471" s="28" t="s">
        <v>77</v>
      </c>
      <c r="Q4471" s="30"/>
    </row>
    <row r="4472">
      <c r="B4472" s="6"/>
      <c r="C4472" s="33" t="str">
        <f t="array" ref="C4472">IF(B4472="", "", XLOOKUP(B4472, Inventory!D:D,Inventory!E:E,"No Name Found"))</f>
        <v/>
      </c>
      <c r="D4472" s="6"/>
      <c r="E4472" s="6"/>
      <c r="F4472" s="6"/>
      <c r="G4472" s="24" t="str">
        <f>IF(F4472="", "", VLOOKUP(F4472, Inventory!A:BZ, 3, FALSE) - SUMIF($F$1:$F4471, F4472, $H$1:$H4471))
</f>
        <v/>
      </c>
      <c r="I4472" s="26"/>
      <c r="J4472" s="26" t="s">
        <v>77</v>
      </c>
      <c r="L4472" s="27" t="s">
        <v>77</v>
      </c>
      <c r="N4472" s="28" t="s">
        <v>77</v>
      </c>
      <c r="Q4472" s="30"/>
    </row>
    <row r="4473">
      <c r="B4473" s="6"/>
      <c r="C4473" s="33" t="str">
        <f t="array" ref="C4473">IF(B4473="", "", XLOOKUP(B4473, Inventory!D:D,Inventory!E:E,"No Name Found"))</f>
        <v/>
      </c>
      <c r="D4473" s="6"/>
      <c r="E4473" s="6"/>
      <c r="F4473" s="6"/>
      <c r="G4473" s="24" t="str">
        <f>IF(F4473="", "", VLOOKUP(F4473, Inventory!A:BZ, 3, FALSE) - SUMIF($F$1:$F4472, F4473, $H$1:$H4472))
</f>
        <v/>
      </c>
      <c r="I4473" s="26"/>
      <c r="J4473" s="26" t="s">
        <v>77</v>
      </c>
      <c r="L4473" s="27" t="s">
        <v>77</v>
      </c>
      <c r="N4473" s="28" t="s">
        <v>77</v>
      </c>
      <c r="Q4473" s="30"/>
    </row>
    <row r="4474">
      <c r="B4474" s="6"/>
      <c r="C4474" s="33" t="str">
        <f t="array" ref="C4474">IF(B4474="", "", XLOOKUP(B4474, Inventory!D:D,Inventory!E:E,"No Name Found"))</f>
        <v/>
      </c>
      <c r="D4474" s="6"/>
      <c r="E4474" s="6"/>
      <c r="F4474" s="6"/>
      <c r="G4474" s="24" t="str">
        <f>IF(F4474="", "", VLOOKUP(F4474, Inventory!A:BZ, 3, FALSE) - SUMIF($F$1:$F4473, F4474, $H$1:$H4473))
</f>
        <v/>
      </c>
      <c r="I4474" s="26"/>
      <c r="J4474" s="26" t="s">
        <v>77</v>
      </c>
      <c r="L4474" s="27" t="s">
        <v>77</v>
      </c>
      <c r="N4474" s="28" t="s">
        <v>77</v>
      </c>
      <c r="Q4474" s="30"/>
    </row>
    <row r="4475">
      <c r="B4475" s="6"/>
      <c r="C4475" s="33" t="str">
        <f t="array" ref="C4475">IF(B4475="", "", XLOOKUP(B4475, Inventory!D:D,Inventory!E:E,"No Name Found"))</f>
        <v/>
      </c>
      <c r="D4475" s="6"/>
      <c r="E4475" s="6"/>
      <c r="F4475" s="6"/>
      <c r="G4475" s="24" t="str">
        <f>IF(F4475="", "", VLOOKUP(F4475, Inventory!A:BZ, 3, FALSE) - SUMIF($F$1:$F4474, F4475, $H$1:$H4474))
</f>
        <v/>
      </c>
      <c r="I4475" s="26"/>
      <c r="J4475" s="26" t="s">
        <v>77</v>
      </c>
      <c r="L4475" s="27" t="s">
        <v>77</v>
      </c>
      <c r="N4475" s="28" t="s">
        <v>77</v>
      </c>
      <c r="Q4475" s="30"/>
    </row>
    <row r="4476">
      <c r="B4476" s="6"/>
      <c r="C4476" s="33" t="str">
        <f t="array" ref="C4476">IF(B4476="", "", XLOOKUP(B4476, Inventory!D:D,Inventory!E:E,"No Name Found"))</f>
        <v/>
      </c>
      <c r="D4476" s="6"/>
      <c r="E4476" s="6"/>
      <c r="F4476" s="6"/>
      <c r="G4476" s="24" t="str">
        <f>IF(F4476="", "", VLOOKUP(F4476, Inventory!A:BZ, 3, FALSE) - SUMIF($F$1:$F4475, F4476, $H$1:$H4475))
</f>
        <v/>
      </c>
      <c r="I4476" s="26"/>
      <c r="J4476" s="26" t="s">
        <v>77</v>
      </c>
      <c r="L4476" s="27" t="s">
        <v>77</v>
      </c>
      <c r="N4476" s="28" t="s">
        <v>77</v>
      </c>
      <c r="Q4476" s="30"/>
    </row>
    <row r="4477">
      <c r="B4477" s="6"/>
      <c r="C4477" s="33" t="str">
        <f t="array" ref="C4477">IF(B4477="", "", XLOOKUP(B4477, Inventory!D:D,Inventory!E:E,"No Name Found"))</f>
        <v/>
      </c>
      <c r="D4477" s="6"/>
      <c r="E4477" s="6"/>
      <c r="F4477" s="6"/>
      <c r="G4477" s="24" t="str">
        <f>IF(F4477="", "", VLOOKUP(F4477, Inventory!A:BZ, 3, FALSE) - SUMIF($F$1:$F4476, F4477, $H$1:$H4476))
</f>
        <v/>
      </c>
      <c r="I4477" s="26"/>
      <c r="J4477" s="26" t="s">
        <v>77</v>
      </c>
      <c r="L4477" s="27" t="s">
        <v>77</v>
      </c>
      <c r="N4477" s="28" t="s">
        <v>77</v>
      </c>
      <c r="Q4477" s="30"/>
    </row>
    <row r="4478">
      <c r="B4478" s="6"/>
      <c r="C4478" s="33" t="str">
        <f t="array" ref="C4478">IF(B4478="", "", XLOOKUP(B4478, Inventory!D:D,Inventory!E:E,"No Name Found"))</f>
        <v/>
      </c>
      <c r="D4478" s="6"/>
      <c r="E4478" s="6"/>
      <c r="F4478" s="6"/>
      <c r="G4478" s="24" t="str">
        <f>IF(F4478="", "", VLOOKUP(F4478, Inventory!A:BZ, 3, FALSE) - SUMIF($F$1:$F4477, F4478, $H$1:$H4477))
</f>
        <v/>
      </c>
      <c r="I4478" s="26"/>
      <c r="J4478" s="26" t="s">
        <v>77</v>
      </c>
      <c r="L4478" s="27" t="s">
        <v>77</v>
      </c>
      <c r="N4478" s="28" t="s">
        <v>77</v>
      </c>
      <c r="Q4478" s="30"/>
    </row>
    <row r="4479">
      <c r="B4479" s="6"/>
      <c r="C4479" s="33" t="str">
        <f t="array" ref="C4479">IF(B4479="", "", XLOOKUP(B4479, Inventory!D:D,Inventory!E:E,"No Name Found"))</f>
        <v/>
      </c>
      <c r="D4479" s="6"/>
      <c r="E4479" s="6"/>
      <c r="F4479" s="6"/>
      <c r="G4479" s="24" t="str">
        <f>IF(F4479="", "", VLOOKUP(F4479, Inventory!A:BZ, 3, FALSE) - SUMIF($F$1:$F4478, F4479, $H$1:$H4478))
</f>
        <v/>
      </c>
      <c r="I4479" s="26"/>
      <c r="J4479" s="26" t="s">
        <v>77</v>
      </c>
      <c r="L4479" s="27" t="s">
        <v>77</v>
      </c>
      <c r="N4479" s="28" t="s">
        <v>77</v>
      </c>
      <c r="Q4479" s="30"/>
    </row>
    <row r="4480">
      <c r="B4480" s="6"/>
      <c r="C4480" s="33" t="str">
        <f t="array" ref="C4480">IF(B4480="", "", XLOOKUP(B4480, Inventory!D:D,Inventory!E:E,"No Name Found"))</f>
        <v/>
      </c>
      <c r="D4480" s="6"/>
      <c r="E4480" s="6"/>
      <c r="F4480" s="6"/>
      <c r="G4480" s="24" t="str">
        <f>IF(F4480="", "", VLOOKUP(F4480, Inventory!A:BZ, 3, FALSE) - SUMIF($F$1:$F4479, F4480, $H$1:$H4479))
</f>
        <v/>
      </c>
      <c r="I4480" s="26"/>
      <c r="J4480" s="26" t="s">
        <v>77</v>
      </c>
      <c r="L4480" s="27" t="s">
        <v>77</v>
      </c>
      <c r="N4480" s="28" t="s">
        <v>77</v>
      </c>
      <c r="Q4480" s="30"/>
    </row>
    <row r="4481">
      <c r="B4481" s="6"/>
      <c r="C4481" s="33" t="str">
        <f t="array" ref="C4481">IF(B4481="", "", XLOOKUP(B4481, Inventory!D:D,Inventory!E:E,"No Name Found"))</f>
        <v/>
      </c>
      <c r="D4481" s="6"/>
      <c r="E4481" s="6"/>
      <c r="F4481" s="6"/>
      <c r="G4481" s="24" t="str">
        <f>IF(F4481="", "", VLOOKUP(F4481, Inventory!A:BZ, 3, FALSE) - SUMIF($F$1:$F4480, F4481, $H$1:$H4480))
</f>
        <v/>
      </c>
      <c r="I4481" s="26"/>
      <c r="J4481" s="26" t="s">
        <v>77</v>
      </c>
      <c r="L4481" s="27" t="s">
        <v>77</v>
      </c>
      <c r="N4481" s="28" t="s">
        <v>77</v>
      </c>
      <c r="Q4481" s="30"/>
    </row>
    <row r="4482">
      <c r="B4482" s="6"/>
      <c r="C4482" s="33" t="str">
        <f t="array" ref="C4482">IF(B4482="", "", XLOOKUP(B4482, Inventory!D:D,Inventory!E:E,"No Name Found"))</f>
        <v/>
      </c>
      <c r="D4482" s="6"/>
      <c r="E4482" s="6"/>
      <c r="F4482" s="6"/>
      <c r="G4482" s="24" t="str">
        <f>IF(F4482="", "", VLOOKUP(F4482, Inventory!A:BZ, 3, FALSE) - SUMIF($F$1:$F4481, F4482, $H$1:$H4481))
</f>
        <v/>
      </c>
      <c r="I4482" s="26"/>
      <c r="J4482" s="26" t="s">
        <v>77</v>
      </c>
      <c r="L4482" s="27" t="s">
        <v>77</v>
      </c>
      <c r="N4482" s="28" t="s">
        <v>77</v>
      </c>
      <c r="Q4482" s="30"/>
    </row>
    <row r="4483">
      <c r="B4483" s="6"/>
      <c r="C4483" s="33" t="str">
        <f t="array" ref="C4483">IF(B4483="", "", XLOOKUP(B4483, Inventory!D:D,Inventory!E:E,"No Name Found"))</f>
        <v/>
      </c>
      <c r="D4483" s="6"/>
      <c r="E4483" s="6"/>
      <c r="F4483" s="6"/>
      <c r="G4483" s="24" t="str">
        <f>IF(F4483="", "", VLOOKUP(F4483, Inventory!A:BZ, 3, FALSE) - SUMIF($F$1:$F4482, F4483, $H$1:$H4482))
</f>
        <v/>
      </c>
      <c r="I4483" s="26"/>
      <c r="J4483" s="26" t="s">
        <v>77</v>
      </c>
      <c r="L4483" s="27" t="s">
        <v>77</v>
      </c>
      <c r="N4483" s="28" t="s">
        <v>77</v>
      </c>
      <c r="Q4483" s="30"/>
    </row>
    <row r="4484">
      <c r="B4484" s="6"/>
      <c r="C4484" s="33" t="str">
        <f t="array" ref="C4484">IF(B4484="", "", XLOOKUP(B4484, Inventory!D:D,Inventory!E:E,"No Name Found"))</f>
        <v/>
      </c>
      <c r="D4484" s="6"/>
      <c r="E4484" s="6"/>
      <c r="F4484" s="6"/>
      <c r="G4484" s="24" t="str">
        <f>IF(F4484="", "", VLOOKUP(F4484, Inventory!A:BZ, 3, FALSE) - SUMIF($F$1:$F4483, F4484, $H$1:$H4483))
</f>
        <v/>
      </c>
      <c r="I4484" s="26"/>
      <c r="J4484" s="26" t="s">
        <v>77</v>
      </c>
      <c r="L4484" s="27" t="s">
        <v>77</v>
      </c>
      <c r="N4484" s="28" t="s">
        <v>77</v>
      </c>
      <c r="Q4484" s="30"/>
    </row>
    <row r="4485">
      <c r="B4485" s="6"/>
      <c r="C4485" s="33" t="str">
        <f t="array" ref="C4485">IF(B4485="", "", XLOOKUP(B4485, Inventory!D:D,Inventory!E:E,"No Name Found"))</f>
        <v/>
      </c>
      <c r="D4485" s="6"/>
      <c r="E4485" s="6"/>
      <c r="F4485" s="6"/>
      <c r="G4485" s="24" t="str">
        <f>IF(F4485="", "", VLOOKUP(F4485, Inventory!A:BZ, 3, FALSE) - SUMIF($F$1:$F4484, F4485, $H$1:$H4484))
</f>
        <v/>
      </c>
      <c r="I4485" s="26"/>
      <c r="J4485" s="26" t="s">
        <v>77</v>
      </c>
      <c r="L4485" s="27" t="s">
        <v>77</v>
      </c>
      <c r="N4485" s="28" t="s">
        <v>77</v>
      </c>
      <c r="Q4485" s="30"/>
    </row>
    <row r="4486">
      <c r="B4486" s="6"/>
      <c r="C4486" s="33" t="str">
        <f t="array" ref="C4486">IF(B4486="", "", XLOOKUP(B4486, Inventory!D:D,Inventory!E:E,"No Name Found"))</f>
        <v/>
      </c>
      <c r="D4486" s="6"/>
      <c r="E4486" s="6"/>
      <c r="F4486" s="6"/>
      <c r="G4486" s="24" t="str">
        <f>IF(F4486="", "", VLOOKUP(F4486, Inventory!A:BZ, 3, FALSE) - SUMIF($F$1:$F4485, F4486, $H$1:$H4485))
</f>
        <v/>
      </c>
      <c r="I4486" s="26"/>
      <c r="J4486" s="26" t="s">
        <v>77</v>
      </c>
      <c r="L4486" s="27" t="s">
        <v>77</v>
      </c>
      <c r="N4486" s="28" t="s">
        <v>77</v>
      </c>
      <c r="Q4486" s="30"/>
    </row>
    <row r="4487">
      <c r="B4487" s="6"/>
      <c r="C4487" s="33" t="str">
        <f t="array" ref="C4487">IF(B4487="", "", XLOOKUP(B4487, Inventory!D:D,Inventory!E:E,"No Name Found"))</f>
        <v/>
      </c>
      <c r="D4487" s="6"/>
      <c r="E4487" s="6"/>
      <c r="F4487" s="6"/>
      <c r="G4487" s="24" t="str">
        <f>IF(F4487="", "", VLOOKUP(F4487, Inventory!A:BZ, 3, FALSE) - SUMIF($F$1:$F4486, F4487, $H$1:$H4486))
</f>
        <v/>
      </c>
      <c r="I4487" s="26"/>
      <c r="J4487" s="26" t="s">
        <v>77</v>
      </c>
      <c r="L4487" s="27" t="s">
        <v>77</v>
      </c>
      <c r="N4487" s="28" t="s">
        <v>77</v>
      </c>
      <c r="Q4487" s="30"/>
    </row>
    <row r="4488">
      <c r="B4488" s="6"/>
      <c r="C4488" s="33" t="str">
        <f t="array" ref="C4488">IF(B4488="", "", XLOOKUP(B4488, Inventory!D:D,Inventory!E:E,"No Name Found"))</f>
        <v/>
      </c>
      <c r="D4488" s="6"/>
      <c r="E4488" s="6"/>
      <c r="F4488" s="6"/>
      <c r="G4488" s="24" t="str">
        <f>IF(F4488="", "", VLOOKUP(F4488, Inventory!A:BZ, 3, FALSE) - SUMIF($F$1:$F4487, F4488, $H$1:$H4487))
</f>
        <v/>
      </c>
      <c r="I4488" s="26"/>
      <c r="J4488" s="26" t="s">
        <v>77</v>
      </c>
      <c r="L4488" s="27" t="s">
        <v>77</v>
      </c>
      <c r="N4488" s="28" t="s">
        <v>77</v>
      </c>
      <c r="Q4488" s="30"/>
    </row>
    <row r="4489">
      <c r="B4489" s="6"/>
      <c r="C4489" s="33" t="str">
        <f t="array" ref="C4489">IF(B4489="", "", XLOOKUP(B4489, Inventory!D:D,Inventory!E:E,"No Name Found"))</f>
        <v/>
      </c>
      <c r="D4489" s="6"/>
      <c r="E4489" s="6"/>
      <c r="F4489" s="6"/>
      <c r="G4489" s="24" t="str">
        <f>IF(F4489="", "", VLOOKUP(F4489, Inventory!A:BZ, 3, FALSE) - SUMIF($F$1:$F4488, F4489, $H$1:$H4488))
</f>
        <v/>
      </c>
      <c r="I4489" s="26"/>
      <c r="J4489" s="26" t="s">
        <v>77</v>
      </c>
      <c r="L4489" s="27" t="s">
        <v>77</v>
      </c>
      <c r="N4489" s="28" t="s">
        <v>77</v>
      </c>
      <c r="Q4489" s="30"/>
    </row>
    <row r="4490">
      <c r="B4490" s="6"/>
      <c r="C4490" s="33" t="str">
        <f t="array" ref="C4490">IF(B4490="", "", XLOOKUP(B4490, Inventory!D:D,Inventory!E:E,"No Name Found"))</f>
        <v/>
      </c>
      <c r="D4490" s="6"/>
      <c r="E4490" s="6"/>
      <c r="F4490" s="6"/>
      <c r="G4490" s="24" t="str">
        <f>IF(F4490="", "", VLOOKUP(F4490, Inventory!A:BZ, 3, FALSE) - SUMIF($F$1:$F4489, F4490, $H$1:$H4489))
</f>
        <v/>
      </c>
      <c r="I4490" s="26"/>
      <c r="J4490" s="26" t="s">
        <v>77</v>
      </c>
      <c r="L4490" s="27" t="s">
        <v>77</v>
      </c>
      <c r="N4490" s="28" t="s">
        <v>77</v>
      </c>
      <c r="Q4490" s="30"/>
    </row>
    <row r="4491">
      <c r="B4491" s="6"/>
      <c r="C4491" s="33" t="str">
        <f t="array" ref="C4491">IF(B4491="", "", XLOOKUP(B4491, Inventory!D:D,Inventory!E:E,"No Name Found"))</f>
        <v/>
      </c>
      <c r="D4491" s="6"/>
      <c r="E4491" s="6"/>
      <c r="F4491" s="6"/>
      <c r="G4491" s="24" t="str">
        <f>IF(F4491="", "", VLOOKUP(F4491, Inventory!A:BZ, 3, FALSE) - SUMIF($F$1:$F4490, F4491, $H$1:$H4490))
</f>
        <v/>
      </c>
      <c r="I4491" s="26"/>
      <c r="J4491" s="26" t="s">
        <v>77</v>
      </c>
      <c r="L4491" s="27" t="s">
        <v>77</v>
      </c>
      <c r="N4491" s="28" t="s">
        <v>77</v>
      </c>
      <c r="Q4491" s="30"/>
    </row>
    <row r="4492">
      <c r="B4492" s="6"/>
      <c r="C4492" s="33" t="str">
        <f t="array" ref="C4492">IF(B4492="", "", XLOOKUP(B4492, Inventory!D:D,Inventory!E:E,"No Name Found"))</f>
        <v/>
      </c>
      <c r="D4492" s="6"/>
      <c r="E4492" s="6"/>
      <c r="F4492" s="6"/>
      <c r="G4492" s="24" t="str">
        <f>IF(F4492="", "", VLOOKUP(F4492, Inventory!A:BZ, 3, FALSE) - SUMIF($F$1:$F4491, F4492, $H$1:$H4491))
</f>
        <v/>
      </c>
      <c r="I4492" s="26"/>
      <c r="J4492" s="26" t="s">
        <v>77</v>
      </c>
      <c r="L4492" s="27" t="s">
        <v>77</v>
      </c>
      <c r="N4492" s="28" t="s">
        <v>77</v>
      </c>
      <c r="Q4492" s="30"/>
    </row>
    <row r="4493">
      <c r="B4493" s="6"/>
      <c r="C4493" s="33" t="str">
        <f t="array" ref="C4493">IF(B4493="", "", XLOOKUP(B4493, Inventory!D:D,Inventory!E:E,"No Name Found"))</f>
        <v/>
      </c>
      <c r="D4493" s="6"/>
      <c r="E4493" s="6"/>
      <c r="F4493" s="6"/>
      <c r="G4493" s="24" t="str">
        <f>IF(F4493="", "", VLOOKUP(F4493, Inventory!A:BZ, 3, FALSE) - SUMIF($F$1:$F4492, F4493, $H$1:$H4492))
</f>
        <v/>
      </c>
      <c r="I4493" s="26"/>
      <c r="J4493" s="26" t="s">
        <v>77</v>
      </c>
      <c r="L4493" s="27" t="s">
        <v>77</v>
      </c>
      <c r="N4493" s="28" t="s">
        <v>77</v>
      </c>
      <c r="Q4493" s="30"/>
    </row>
    <row r="4494">
      <c r="B4494" s="6"/>
      <c r="C4494" s="33" t="str">
        <f t="array" ref="C4494">IF(B4494="", "", XLOOKUP(B4494, Inventory!D:D,Inventory!E:E,"No Name Found"))</f>
        <v/>
      </c>
      <c r="D4494" s="6"/>
      <c r="E4494" s="6"/>
      <c r="F4494" s="6"/>
      <c r="G4494" s="24" t="str">
        <f>IF(F4494="", "", VLOOKUP(F4494, Inventory!A:BZ, 3, FALSE) - SUMIF($F$1:$F4493, F4494, $H$1:$H4493))
</f>
        <v/>
      </c>
      <c r="I4494" s="26"/>
      <c r="J4494" s="26" t="s">
        <v>77</v>
      </c>
      <c r="L4494" s="27" t="s">
        <v>77</v>
      </c>
      <c r="N4494" s="28" t="s">
        <v>77</v>
      </c>
      <c r="Q4494" s="30"/>
    </row>
    <row r="4495">
      <c r="B4495" s="6"/>
      <c r="C4495" s="33" t="str">
        <f t="array" ref="C4495">IF(B4495="", "", XLOOKUP(B4495, Inventory!D:D,Inventory!E:E,"No Name Found"))</f>
        <v/>
      </c>
      <c r="D4495" s="6"/>
      <c r="E4495" s="6"/>
      <c r="F4495" s="6"/>
      <c r="G4495" s="24" t="str">
        <f>IF(F4495="", "", VLOOKUP(F4495, Inventory!A:BZ, 3, FALSE) - SUMIF($F$1:$F4494, F4495, $H$1:$H4494))
</f>
        <v/>
      </c>
      <c r="I4495" s="26"/>
      <c r="J4495" s="26" t="s">
        <v>77</v>
      </c>
      <c r="L4495" s="27" t="s">
        <v>77</v>
      </c>
      <c r="N4495" s="28" t="s">
        <v>77</v>
      </c>
      <c r="Q4495" s="30"/>
    </row>
    <row r="4496">
      <c r="B4496" s="6"/>
      <c r="C4496" s="33" t="str">
        <f t="array" ref="C4496">IF(B4496="", "", XLOOKUP(B4496, Inventory!D:D,Inventory!E:E,"No Name Found"))</f>
        <v/>
      </c>
      <c r="D4496" s="6"/>
      <c r="E4496" s="6"/>
      <c r="F4496" s="6"/>
      <c r="G4496" s="24" t="str">
        <f>IF(F4496="", "", VLOOKUP(F4496, Inventory!A:BZ, 3, FALSE) - SUMIF($F$1:$F4495, F4496, $H$1:$H4495))
</f>
        <v/>
      </c>
      <c r="I4496" s="26"/>
      <c r="J4496" s="26" t="s">
        <v>77</v>
      </c>
      <c r="L4496" s="27" t="s">
        <v>77</v>
      </c>
      <c r="N4496" s="28" t="s">
        <v>77</v>
      </c>
      <c r="Q4496" s="30"/>
    </row>
    <row r="4497">
      <c r="B4497" s="6"/>
      <c r="C4497" s="33" t="str">
        <f t="array" ref="C4497">IF(B4497="", "", XLOOKUP(B4497, Inventory!D:D,Inventory!E:E,"No Name Found"))</f>
        <v/>
      </c>
      <c r="D4497" s="6"/>
      <c r="E4497" s="6"/>
      <c r="F4497" s="6"/>
      <c r="G4497" s="24" t="str">
        <f>IF(F4497="", "", VLOOKUP(F4497, Inventory!A:BZ, 3, FALSE) - SUMIF($F$1:$F4496, F4497, $H$1:$H4496))
</f>
        <v/>
      </c>
      <c r="I4497" s="26"/>
      <c r="J4497" s="26" t="s">
        <v>77</v>
      </c>
      <c r="L4497" s="27" t="s">
        <v>77</v>
      </c>
      <c r="N4497" s="28" t="s">
        <v>77</v>
      </c>
      <c r="Q4497" s="30"/>
    </row>
    <row r="4498">
      <c r="B4498" s="6"/>
      <c r="C4498" s="33" t="str">
        <f t="array" ref="C4498">IF(B4498="", "", XLOOKUP(B4498, Inventory!D:D,Inventory!E:E,"No Name Found"))</f>
        <v/>
      </c>
      <c r="D4498" s="6"/>
      <c r="E4498" s="6"/>
      <c r="F4498" s="6"/>
      <c r="G4498" s="24" t="str">
        <f>IF(F4498="", "", VLOOKUP(F4498, Inventory!A:BZ, 3, FALSE) - SUMIF($F$1:$F4497, F4498, $H$1:$H4497))
</f>
        <v/>
      </c>
      <c r="I4498" s="26"/>
      <c r="J4498" s="26" t="s">
        <v>77</v>
      </c>
      <c r="L4498" s="27" t="s">
        <v>77</v>
      </c>
      <c r="N4498" s="28" t="s">
        <v>77</v>
      </c>
      <c r="Q4498" s="30"/>
    </row>
    <row r="4499">
      <c r="B4499" s="6"/>
      <c r="C4499" s="33" t="str">
        <f t="array" ref="C4499">IF(B4499="", "", XLOOKUP(B4499, Inventory!D:D,Inventory!E:E,"No Name Found"))</f>
        <v/>
      </c>
      <c r="D4499" s="6"/>
      <c r="E4499" s="6"/>
      <c r="F4499" s="6"/>
      <c r="G4499" s="24" t="str">
        <f>IF(F4499="", "", VLOOKUP(F4499, Inventory!A:BZ, 3, FALSE) - SUMIF($F$1:$F4498, F4499, $H$1:$H4498))
</f>
        <v/>
      </c>
      <c r="I4499" s="26"/>
      <c r="J4499" s="26" t="s">
        <v>77</v>
      </c>
      <c r="L4499" s="27" t="s">
        <v>77</v>
      </c>
      <c r="N4499" s="28" t="s">
        <v>77</v>
      </c>
      <c r="Q4499" s="30"/>
    </row>
    <row r="4500">
      <c r="B4500" s="6"/>
      <c r="C4500" s="33" t="str">
        <f t="array" ref="C4500">IF(B4500="", "", XLOOKUP(B4500, Inventory!D:D,Inventory!E:E,"No Name Found"))</f>
        <v/>
      </c>
      <c r="D4500" s="6"/>
      <c r="E4500" s="6"/>
      <c r="F4500" s="6"/>
      <c r="G4500" s="24" t="str">
        <f>IF(F4500="", "", VLOOKUP(F4500, Inventory!A:BZ, 3, FALSE) - SUMIF($F$1:$F4499, F4500, $H$1:$H4499))
</f>
        <v/>
      </c>
      <c r="I4500" s="26"/>
      <c r="J4500" s="26" t="s">
        <v>77</v>
      </c>
      <c r="L4500" s="27" t="s">
        <v>77</v>
      </c>
      <c r="N4500" s="28" t="s">
        <v>77</v>
      </c>
      <c r="Q4500" s="30"/>
    </row>
    <row r="4501">
      <c r="B4501" s="6"/>
      <c r="C4501" s="33" t="str">
        <f t="array" ref="C4501">IF(B4501="", "", XLOOKUP(B4501, Inventory!D:D,Inventory!E:E,"No Name Found"))</f>
        <v/>
      </c>
      <c r="D4501" s="6"/>
      <c r="E4501" s="6"/>
      <c r="F4501" s="6"/>
      <c r="G4501" s="24" t="str">
        <f>IF(F4501="", "", VLOOKUP(F4501, Inventory!A:BZ, 3, FALSE) - SUMIF($F$1:$F4500, F4501, $H$1:$H4500))
</f>
        <v/>
      </c>
      <c r="I4501" s="26"/>
      <c r="J4501" s="26" t="s">
        <v>77</v>
      </c>
      <c r="L4501" s="27" t="s">
        <v>77</v>
      </c>
      <c r="N4501" s="28" t="s">
        <v>77</v>
      </c>
      <c r="Q4501" s="30"/>
    </row>
    <row r="4502">
      <c r="B4502" s="6"/>
      <c r="C4502" s="33" t="str">
        <f t="array" ref="C4502">IF(B4502="", "", XLOOKUP(B4502, Inventory!D:D,Inventory!E:E,"No Name Found"))</f>
        <v/>
      </c>
      <c r="D4502" s="6"/>
      <c r="E4502" s="6"/>
      <c r="F4502" s="6"/>
      <c r="G4502" s="24" t="str">
        <f>IF(F4502="", "", VLOOKUP(F4502, Inventory!A:BZ, 3, FALSE) - SUMIF($F$1:$F4501, F4502, $H$1:$H4501))
</f>
        <v/>
      </c>
      <c r="I4502" s="26"/>
      <c r="J4502" s="26" t="s">
        <v>77</v>
      </c>
      <c r="L4502" s="27" t="s">
        <v>77</v>
      </c>
      <c r="N4502" s="28" t="s">
        <v>77</v>
      </c>
      <c r="Q4502" s="30"/>
    </row>
    <row r="4503">
      <c r="B4503" s="6"/>
      <c r="C4503" s="33" t="str">
        <f t="array" ref="C4503">IF(B4503="", "", XLOOKUP(B4503, Inventory!D:D,Inventory!E:E,"No Name Found"))</f>
        <v/>
      </c>
      <c r="D4503" s="6"/>
      <c r="E4503" s="6"/>
      <c r="F4503" s="6"/>
      <c r="G4503" s="24" t="str">
        <f>IF(F4503="", "", VLOOKUP(F4503, Inventory!A:BZ, 3, FALSE) - SUMIF($F$1:$F4502, F4503, $H$1:$H4502))
</f>
        <v/>
      </c>
      <c r="I4503" s="26"/>
      <c r="J4503" s="26" t="s">
        <v>77</v>
      </c>
      <c r="L4503" s="27" t="s">
        <v>77</v>
      </c>
      <c r="N4503" s="28" t="s">
        <v>77</v>
      </c>
      <c r="Q4503" s="30"/>
    </row>
    <row r="4504">
      <c r="B4504" s="6"/>
      <c r="C4504" s="33" t="str">
        <f t="array" ref="C4504">IF(B4504="", "", XLOOKUP(B4504, Inventory!D:D,Inventory!E:E,"No Name Found"))</f>
        <v/>
      </c>
      <c r="D4504" s="6"/>
      <c r="E4504" s="6"/>
      <c r="F4504" s="6"/>
      <c r="G4504" s="24" t="str">
        <f>IF(F4504="", "", VLOOKUP(F4504, Inventory!A:BZ, 3, FALSE) - SUMIF($F$1:$F4503, F4504, $H$1:$H4503))
</f>
        <v/>
      </c>
      <c r="I4504" s="26"/>
      <c r="J4504" s="26" t="s">
        <v>77</v>
      </c>
      <c r="L4504" s="27" t="s">
        <v>77</v>
      </c>
      <c r="N4504" s="28" t="s">
        <v>77</v>
      </c>
      <c r="Q4504" s="30"/>
    </row>
    <row r="4505">
      <c r="B4505" s="6"/>
      <c r="C4505" s="33" t="str">
        <f t="array" ref="C4505">IF(B4505="", "", XLOOKUP(B4505, Inventory!D:D,Inventory!E:E,"No Name Found"))</f>
        <v/>
      </c>
      <c r="D4505" s="6"/>
      <c r="E4505" s="6"/>
      <c r="F4505" s="6"/>
      <c r="G4505" s="24" t="str">
        <f>IF(F4505="", "", VLOOKUP(F4505, Inventory!A:BZ, 3, FALSE) - SUMIF($F$1:$F4504, F4505, $H$1:$H4504))
</f>
        <v/>
      </c>
      <c r="I4505" s="26"/>
      <c r="J4505" s="26" t="s">
        <v>77</v>
      </c>
      <c r="L4505" s="27" t="s">
        <v>77</v>
      </c>
      <c r="N4505" s="28" t="s">
        <v>77</v>
      </c>
      <c r="Q4505" s="30"/>
    </row>
    <row r="4506">
      <c r="B4506" s="6"/>
      <c r="C4506" s="33" t="str">
        <f t="array" ref="C4506">IF(B4506="", "", XLOOKUP(B4506, Inventory!D:D,Inventory!E:E,"No Name Found"))</f>
        <v/>
      </c>
      <c r="D4506" s="6"/>
      <c r="E4506" s="6"/>
      <c r="F4506" s="6"/>
      <c r="G4506" s="24" t="str">
        <f>IF(F4506="", "", VLOOKUP(F4506, Inventory!A:BZ, 3, FALSE) - SUMIF($F$1:$F4505, F4506, $H$1:$H4505))
</f>
        <v/>
      </c>
      <c r="I4506" s="26"/>
      <c r="J4506" s="26" t="s">
        <v>77</v>
      </c>
      <c r="L4506" s="27" t="s">
        <v>77</v>
      </c>
      <c r="N4506" s="28" t="s">
        <v>77</v>
      </c>
      <c r="Q4506" s="30"/>
    </row>
    <row r="4507">
      <c r="B4507" s="6"/>
      <c r="C4507" s="33" t="str">
        <f t="array" ref="C4507">IF(B4507="", "", XLOOKUP(B4507, Inventory!D:D,Inventory!E:E,"No Name Found"))</f>
        <v/>
      </c>
      <c r="D4507" s="6"/>
      <c r="E4507" s="6"/>
      <c r="F4507" s="6"/>
      <c r="G4507" s="24" t="str">
        <f>IF(F4507="", "", VLOOKUP(F4507, Inventory!A:BZ, 3, FALSE) - SUMIF($F$1:$F4506, F4507, $H$1:$H4506))
</f>
        <v/>
      </c>
      <c r="I4507" s="26"/>
      <c r="J4507" s="26" t="s">
        <v>77</v>
      </c>
      <c r="L4507" s="27" t="s">
        <v>77</v>
      </c>
      <c r="N4507" s="28" t="s">
        <v>77</v>
      </c>
      <c r="Q4507" s="30"/>
    </row>
    <row r="4508">
      <c r="B4508" s="6"/>
      <c r="C4508" s="33" t="str">
        <f t="array" ref="C4508">IF(B4508="", "", XLOOKUP(B4508, Inventory!D:D,Inventory!E:E,"No Name Found"))</f>
        <v/>
      </c>
      <c r="D4508" s="6"/>
      <c r="E4508" s="6"/>
      <c r="F4508" s="6"/>
      <c r="G4508" s="24" t="str">
        <f>IF(F4508="", "", VLOOKUP(F4508, Inventory!A:BZ, 3, FALSE) - SUMIF($F$1:$F4507, F4508, $H$1:$H4507))
</f>
        <v/>
      </c>
      <c r="I4508" s="26"/>
      <c r="J4508" s="26" t="s">
        <v>77</v>
      </c>
      <c r="L4508" s="27" t="s">
        <v>77</v>
      </c>
      <c r="N4508" s="28" t="s">
        <v>77</v>
      </c>
      <c r="Q4508" s="30"/>
    </row>
    <row r="4509">
      <c r="B4509" s="6"/>
      <c r="C4509" s="33" t="str">
        <f t="array" ref="C4509">IF(B4509="", "", XLOOKUP(B4509, Inventory!D:D,Inventory!E:E,"No Name Found"))</f>
        <v/>
      </c>
      <c r="D4509" s="6"/>
      <c r="E4509" s="6"/>
      <c r="F4509" s="6"/>
      <c r="G4509" s="24" t="str">
        <f>IF(F4509="", "", VLOOKUP(F4509, Inventory!A:BZ, 3, FALSE) - SUMIF($F$1:$F4508, F4509, $H$1:$H4508))
</f>
        <v/>
      </c>
      <c r="I4509" s="26"/>
      <c r="J4509" s="26" t="s">
        <v>77</v>
      </c>
      <c r="L4509" s="27" t="s">
        <v>77</v>
      </c>
      <c r="N4509" s="28" t="s">
        <v>77</v>
      </c>
      <c r="Q4509" s="30"/>
    </row>
    <row r="4510">
      <c r="B4510" s="6"/>
      <c r="C4510" s="33" t="str">
        <f t="array" ref="C4510">IF(B4510="", "", XLOOKUP(B4510, Inventory!D:D,Inventory!E:E,"No Name Found"))</f>
        <v/>
      </c>
      <c r="D4510" s="6"/>
      <c r="E4510" s="6"/>
      <c r="F4510" s="6"/>
      <c r="G4510" s="24" t="str">
        <f>IF(F4510="", "", VLOOKUP(F4510, Inventory!A:BZ, 3, FALSE) - SUMIF($F$1:$F4509, F4510, $H$1:$H4509))
</f>
        <v/>
      </c>
      <c r="I4510" s="26"/>
      <c r="J4510" s="26" t="s">
        <v>77</v>
      </c>
      <c r="L4510" s="27" t="s">
        <v>77</v>
      </c>
      <c r="N4510" s="28" t="s">
        <v>77</v>
      </c>
      <c r="Q4510" s="30"/>
    </row>
    <row r="4511">
      <c r="B4511" s="6"/>
      <c r="C4511" s="33" t="str">
        <f t="array" ref="C4511">IF(B4511="", "", XLOOKUP(B4511, Inventory!D:D,Inventory!E:E,"No Name Found"))</f>
        <v/>
      </c>
      <c r="D4511" s="6"/>
      <c r="E4511" s="6"/>
      <c r="F4511" s="6"/>
      <c r="G4511" s="24" t="str">
        <f>IF(F4511="", "", VLOOKUP(F4511, Inventory!A:BZ, 3, FALSE) - SUMIF($F$1:$F4510, F4511, $H$1:$H4510))
</f>
        <v/>
      </c>
      <c r="I4511" s="26"/>
      <c r="J4511" s="26" t="s">
        <v>77</v>
      </c>
      <c r="L4511" s="27" t="s">
        <v>77</v>
      </c>
      <c r="N4511" s="28" t="s">
        <v>77</v>
      </c>
      <c r="Q4511" s="30"/>
    </row>
    <row r="4512">
      <c r="B4512" s="6"/>
      <c r="C4512" s="33" t="str">
        <f t="array" ref="C4512">IF(B4512="", "", XLOOKUP(B4512, Inventory!D:D,Inventory!E:E,"No Name Found"))</f>
        <v/>
      </c>
      <c r="D4512" s="6"/>
      <c r="E4512" s="6"/>
      <c r="F4512" s="6"/>
      <c r="G4512" s="24" t="str">
        <f>IF(F4512="", "", VLOOKUP(F4512, Inventory!A:BZ, 3, FALSE) - SUMIF($F$1:$F4511, F4512, $H$1:$H4511))
</f>
        <v/>
      </c>
      <c r="I4512" s="26"/>
      <c r="J4512" s="26" t="s">
        <v>77</v>
      </c>
      <c r="L4512" s="27" t="s">
        <v>77</v>
      </c>
      <c r="N4512" s="28" t="s">
        <v>77</v>
      </c>
      <c r="Q4512" s="30"/>
    </row>
    <row r="4513">
      <c r="B4513" s="6"/>
      <c r="C4513" s="33" t="str">
        <f t="array" ref="C4513">IF(B4513="", "", XLOOKUP(B4513, Inventory!D:D,Inventory!E:E,"No Name Found"))</f>
        <v/>
      </c>
      <c r="D4513" s="6"/>
      <c r="E4513" s="6"/>
      <c r="F4513" s="6"/>
      <c r="G4513" s="24" t="str">
        <f>IF(F4513="", "", VLOOKUP(F4513, Inventory!A:BZ, 3, FALSE) - SUMIF($F$1:$F4512, F4513, $H$1:$H4512))
</f>
        <v/>
      </c>
      <c r="I4513" s="26"/>
      <c r="J4513" s="26" t="s">
        <v>77</v>
      </c>
      <c r="L4513" s="27" t="s">
        <v>77</v>
      </c>
      <c r="N4513" s="28" t="s">
        <v>77</v>
      </c>
      <c r="Q4513" s="30"/>
    </row>
    <row r="4514">
      <c r="B4514" s="6"/>
      <c r="C4514" s="33" t="str">
        <f t="array" ref="C4514">IF(B4514="", "", XLOOKUP(B4514, Inventory!D:D,Inventory!E:E,"No Name Found"))</f>
        <v/>
      </c>
      <c r="D4514" s="6"/>
      <c r="E4514" s="6"/>
      <c r="F4514" s="6"/>
      <c r="G4514" s="24" t="str">
        <f>IF(F4514="", "", VLOOKUP(F4514, Inventory!A:BZ, 3, FALSE) - SUMIF($F$1:$F4513, F4514, $H$1:$H4513))
</f>
        <v/>
      </c>
      <c r="I4514" s="26"/>
      <c r="J4514" s="26" t="s">
        <v>77</v>
      </c>
      <c r="L4514" s="27" t="s">
        <v>77</v>
      </c>
      <c r="N4514" s="28" t="s">
        <v>77</v>
      </c>
      <c r="Q4514" s="30"/>
    </row>
    <row r="4515">
      <c r="B4515" s="6"/>
      <c r="C4515" s="33" t="str">
        <f t="array" ref="C4515">IF(B4515="", "", XLOOKUP(B4515, Inventory!D:D,Inventory!E:E,"No Name Found"))</f>
        <v/>
      </c>
      <c r="D4515" s="6"/>
      <c r="E4515" s="6"/>
      <c r="F4515" s="6"/>
      <c r="G4515" s="24" t="str">
        <f>IF(F4515="", "", VLOOKUP(F4515, Inventory!A:BZ, 3, FALSE) - SUMIF($F$1:$F4514, F4515, $H$1:$H4514))
</f>
        <v/>
      </c>
      <c r="I4515" s="26"/>
      <c r="J4515" s="26" t="s">
        <v>77</v>
      </c>
      <c r="L4515" s="27" t="s">
        <v>77</v>
      </c>
      <c r="N4515" s="28" t="s">
        <v>77</v>
      </c>
      <c r="Q4515" s="30"/>
    </row>
    <row r="4516">
      <c r="B4516" s="6"/>
      <c r="C4516" s="33" t="str">
        <f t="array" ref="C4516">IF(B4516="", "", XLOOKUP(B4516, Inventory!D:D,Inventory!E:E,"No Name Found"))</f>
        <v/>
      </c>
      <c r="D4516" s="6"/>
      <c r="E4516" s="6"/>
      <c r="F4516" s="6"/>
      <c r="G4516" s="24" t="str">
        <f>IF(F4516="", "", VLOOKUP(F4516, Inventory!A:BZ, 3, FALSE) - SUMIF($F$1:$F4515, F4516, $H$1:$H4515))
</f>
        <v/>
      </c>
      <c r="I4516" s="26"/>
      <c r="J4516" s="26" t="s">
        <v>77</v>
      </c>
      <c r="L4516" s="27" t="s">
        <v>77</v>
      </c>
      <c r="N4516" s="28" t="s">
        <v>77</v>
      </c>
      <c r="Q4516" s="30"/>
    </row>
    <row r="4517">
      <c r="B4517" s="6"/>
      <c r="C4517" s="33" t="str">
        <f t="array" ref="C4517">IF(B4517="", "", XLOOKUP(B4517, Inventory!D:D,Inventory!E:E,"No Name Found"))</f>
        <v/>
      </c>
      <c r="D4517" s="6"/>
      <c r="E4517" s="6"/>
      <c r="F4517" s="6"/>
      <c r="G4517" s="24" t="str">
        <f>IF(F4517="", "", VLOOKUP(F4517, Inventory!A:BZ, 3, FALSE) - SUMIF($F$1:$F4516, F4517, $H$1:$H4516))
</f>
        <v/>
      </c>
      <c r="I4517" s="26"/>
      <c r="J4517" s="26" t="s">
        <v>77</v>
      </c>
      <c r="L4517" s="27" t="s">
        <v>77</v>
      </c>
      <c r="N4517" s="28" t="s">
        <v>77</v>
      </c>
      <c r="Q4517" s="30"/>
    </row>
    <row r="4518">
      <c r="B4518" s="6"/>
      <c r="C4518" s="33" t="str">
        <f t="array" ref="C4518">IF(B4518="", "", XLOOKUP(B4518, Inventory!D:D,Inventory!E:E,"No Name Found"))</f>
        <v/>
      </c>
      <c r="D4518" s="6"/>
      <c r="E4518" s="6"/>
      <c r="F4518" s="6"/>
      <c r="G4518" s="24" t="str">
        <f>IF(F4518="", "", VLOOKUP(F4518, Inventory!A:BZ, 3, FALSE) - SUMIF($F$1:$F4517, F4518, $H$1:$H4517))
</f>
        <v/>
      </c>
      <c r="I4518" s="26"/>
      <c r="J4518" s="26" t="s">
        <v>77</v>
      </c>
      <c r="L4518" s="27" t="s">
        <v>77</v>
      </c>
      <c r="N4518" s="28" t="s">
        <v>77</v>
      </c>
      <c r="Q4518" s="30"/>
    </row>
    <row r="4519">
      <c r="B4519" s="6"/>
      <c r="C4519" s="33" t="str">
        <f t="array" ref="C4519">IF(B4519="", "", XLOOKUP(B4519, Inventory!D:D,Inventory!E:E,"No Name Found"))</f>
        <v/>
      </c>
      <c r="D4519" s="6"/>
      <c r="E4519" s="6"/>
      <c r="F4519" s="6"/>
      <c r="G4519" s="24" t="str">
        <f>IF(F4519="", "", VLOOKUP(F4519, Inventory!A:BZ, 3, FALSE) - SUMIF($F$1:$F4518, F4519, $H$1:$H4518))
</f>
        <v/>
      </c>
      <c r="I4519" s="26"/>
      <c r="J4519" s="26" t="s">
        <v>77</v>
      </c>
      <c r="L4519" s="27" t="s">
        <v>77</v>
      </c>
      <c r="N4519" s="28" t="s">
        <v>77</v>
      </c>
      <c r="Q4519" s="30"/>
    </row>
    <row r="4520">
      <c r="B4520" s="6"/>
      <c r="C4520" s="33" t="str">
        <f t="array" ref="C4520">IF(B4520="", "", XLOOKUP(B4520, Inventory!D:D,Inventory!E:E,"No Name Found"))</f>
        <v/>
      </c>
      <c r="D4520" s="6"/>
      <c r="E4520" s="6"/>
      <c r="F4520" s="6"/>
      <c r="G4520" s="24" t="str">
        <f>IF(F4520="", "", VLOOKUP(F4520, Inventory!A:BZ, 3, FALSE) - SUMIF($F$1:$F4519, F4520, $H$1:$H4519))
</f>
        <v/>
      </c>
      <c r="I4520" s="26"/>
      <c r="J4520" s="26" t="s">
        <v>77</v>
      </c>
      <c r="L4520" s="27" t="s">
        <v>77</v>
      </c>
      <c r="N4520" s="28" t="s">
        <v>77</v>
      </c>
      <c r="Q4520" s="30"/>
    </row>
    <row r="4521">
      <c r="B4521" s="6"/>
      <c r="C4521" s="33" t="str">
        <f t="array" ref="C4521">IF(B4521="", "", XLOOKUP(B4521, Inventory!D:D,Inventory!E:E,"No Name Found"))</f>
        <v/>
      </c>
      <c r="D4521" s="6"/>
      <c r="E4521" s="6"/>
      <c r="F4521" s="6"/>
      <c r="G4521" s="24" t="str">
        <f>IF(F4521="", "", VLOOKUP(F4521, Inventory!A:BZ, 3, FALSE) - SUMIF($F$1:$F4520, F4521, $H$1:$H4520))
</f>
        <v/>
      </c>
      <c r="I4521" s="26"/>
      <c r="J4521" s="26" t="s">
        <v>77</v>
      </c>
      <c r="L4521" s="27" t="s">
        <v>77</v>
      </c>
      <c r="N4521" s="28" t="s">
        <v>77</v>
      </c>
      <c r="Q4521" s="30"/>
    </row>
    <row r="4522">
      <c r="B4522" s="6"/>
      <c r="C4522" s="33" t="str">
        <f t="array" ref="C4522">IF(B4522="", "", XLOOKUP(B4522, Inventory!D:D,Inventory!E:E,"No Name Found"))</f>
        <v/>
      </c>
      <c r="D4522" s="6"/>
      <c r="E4522" s="6"/>
      <c r="F4522" s="6"/>
      <c r="G4522" s="24" t="str">
        <f>IF(F4522="", "", VLOOKUP(F4522, Inventory!A:BZ, 3, FALSE) - SUMIF($F$1:$F4521, F4522, $H$1:$H4521))
</f>
        <v/>
      </c>
      <c r="I4522" s="26"/>
      <c r="J4522" s="26" t="s">
        <v>77</v>
      </c>
      <c r="L4522" s="27" t="s">
        <v>77</v>
      </c>
      <c r="N4522" s="28" t="s">
        <v>77</v>
      </c>
      <c r="Q4522" s="30"/>
    </row>
    <row r="4523">
      <c r="B4523" s="6"/>
      <c r="C4523" s="33" t="str">
        <f t="array" ref="C4523">IF(B4523="", "", XLOOKUP(B4523, Inventory!D:D,Inventory!E:E,"No Name Found"))</f>
        <v/>
      </c>
      <c r="D4523" s="6"/>
      <c r="E4523" s="6"/>
      <c r="F4523" s="6"/>
      <c r="G4523" s="24" t="str">
        <f>IF(F4523="", "", VLOOKUP(F4523, Inventory!A:BZ, 3, FALSE) - SUMIF($F$1:$F4522, F4523, $H$1:$H4522))
</f>
        <v/>
      </c>
      <c r="I4523" s="26"/>
      <c r="J4523" s="26" t="s">
        <v>77</v>
      </c>
      <c r="L4523" s="27" t="s">
        <v>77</v>
      </c>
      <c r="N4523" s="28" t="s">
        <v>77</v>
      </c>
      <c r="Q4523" s="30"/>
    </row>
    <row r="4524">
      <c r="B4524" s="6"/>
      <c r="C4524" s="33" t="str">
        <f t="array" ref="C4524">IF(B4524="", "", XLOOKUP(B4524, Inventory!D:D,Inventory!E:E,"No Name Found"))</f>
        <v/>
      </c>
      <c r="D4524" s="6"/>
      <c r="E4524" s="6"/>
      <c r="F4524" s="6"/>
      <c r="G4524" s="24" t="str">
        <f>IF(F4524="", "", VLOOKUP(F4524, Inventory!A:BZ, 3, FALSE) - SUMIF($F$1:$F4523, F4524, $H$1:$H4523))
</f>
        <v/>
      </c>
      <c r="I4524" s="26"/>
      <c r="J4524" s="26" t="s">
        <v>77</v>
      </c>
      <c r="L4524" s="27" t="s">
        <v>77</v>
      </c>
      <c r="N4524" s="28" t="s">
        <v>77</v>
      </c>
      <c r="Q4524" s="30"/>
    </row>
    <row r="4525">
      <c r="B4525" s="6"/>
      <c r="C4525" s="33" t="str">
        <f t="array" ref="C4525">IF(B4525="", "", XLOOKUP(B4525, Inventory!D:D,Inventory!E:E,"No Name Found"))</f>
        <v/>
      </c>
      <c r="D4525" s="6"/>
      <c r="E4525" s="6"/>
      <c r="F4525" s="6"/>
      <c r="G4525" s="24" t="str">
        <f>IF(F4525="", "", VLOOKUP(F4525, Inventory!A:BZ, 3, FALSE) - SUMIF($F$1:$F4524, F4525, $H$1:$H4524))
</f>
        <v/>
      </c>
      <c r="I4525" s="26"/>
      <c r="J4525" s="26" t="s">
        <v>77</v>
      </c>
      <c r="L4525" s="27" t="s">
        <v>77</v>
      </c>
      <c r="N4525" s="28" t="s">
        <v>77</v>
      </c>
      <c r="Q4525" s="30"/>
    </row>
    <row r="4526">
      <c r="B4526" s="6"/>
      <c r="C4526" s="33" t="str">
        <f t="array" ref="C4526">IF(B4526="", "", XLOOKUP(B4526, Inventory!D:D,Inventory!E:E,"No Name Found"))</f>
        <v/>
      </c>
      <c r="D4526" s="6"/>
      <c r="E4526" s="6"/>
      <c r="F4526" s="6"/>
      <c r="G4526" s="24" t="str">
        <f>IF(F4526="", "", VLOOKUP(F4526, Inventory!A:BZ, 3, FALSE) - SUMIF($F$1:$F4525, F4526, $H$1:$H4525))
</f>
        <v/>
      </c>
      <c r="I4526" s="26"/>
      <c r="J4526" s="26" t="s">
        <v>77</v>
      </c>
      <c r="L4526" s="27" t="s">
        <v>77</v>
      </c>
      <c r="N4526" s="28" t="s">
        <v>77</v>
      </c>
      <c r="Q4526" s="30"/>
    </row>
    <row r="4527">
      <c r="B4527" s="6"/>
      <c r="C4527" s="33" t="str">
        <f t="array" ref="C4527">IF(B4527="", "", XLOOKUP(B4527, Inventory!D:D,Inventory!E:E,"No Name Found"))</f>
        <v/>
      </c>
      <c r="D4527" s="6"/>
      <c r="E4527" s="6"/>
      <c r="F4527" s="6"/>
      <c r="G4527" s="24" t="str">
        <f>IF(F4527="", "", VLOOKUP(F4527, Inventory!A:BZ, 3, FALSE) - SUMIF($F$1:$F4526, F4527, $H$1:$H4526))
</f>
        <v/>
      </c>
      <c r="I4527" s="26"/>
      <c r="J4527" s="26" t="s">
        <v>77</v>
      </c>
      <c r="L4527" s="27" t="s">
        <v>77</v>
      </c>
      <c r="N4527" s="28" t="s">
        <v>77</v>
      </c>
      <c r="Q4527" s="30"/>
    </row>
    <row r="4528">
      <c r="B4528" s="6"/>
      <c r="C4528" s="33" t="str">
        <f t="array" ref="C4528">IF(B4528="", "", XLOOKUP(B4528, Inventory!D:D,Inventory!E:E,"No Name Found"))</f>
        <v/>
      </c>
      <c r="D4528" s="6"/>
      <c r="E4528" s="6"/>
      <c r="F4528" s="6"/>
      <c r="G4528" s="24" t="str">
        <f>IF(F4528="", "", VLOOKUP(F4528, Inventory!A:BZ, 3, FALSE) - SUMIF($F$1:$F4527, F4528, $H$1:$H4527))
</f>
        <v/>
      </c>
      <c r="I4528" s="26"/>
      <c r="J4528" s="26" t="s">
        <v>77</v>
      </c>
      <c r="L4528" s="27" t="s">
        <v>77</v>
      </c>
      <c r="N4528" s="28" t="s">
        <v>77</v>
      </c>
      <c r="Q4528" s="30"/>
    </row>
    <row r="4529">
      <c r="B4529" s="6"/>
      <c r="C4529" s="33" t="str">
        <f t="array" ref="C4529">IF(B4529="", "", XLOOKUP(B4529, Inventory!D:D,Inventory!E:E,"No Name Found"))</f>
        <v/>
      </c>
      <c r="D4529" s="6"/>
      <c r="E4529" s="6"/>
      <c r="F4529" s="6"/>
      <c r="G4529" s="24" t="str">
        <f>IF(F4529="", "", VLOOKUP(F4529, Inventory!A:BZ, 3, FALSE) - SUMIF($F$1:$F4528, F4529, $H$1:$H4528))
</f>
        <v/>
      </c>
      <c r="I4529" s="26"/>
      <c r="J4529" s="26" t="s">
        <v>77</v>
      </c>
      <c r="L4529" s="27" t="s">
        <v>77</v>
      </c>
      <c r="N4529" s="28" t="s">
        <v>77</v>
      </c>
      <c r="Q4529" s="30"/>
    </row>
    <row r="4530">
      <c r="B4530" s="6"/>
      <c r="C4530" s="33" t="str">
        <f t="array" ref="C4530">IF(B4530="", "", XLOOKUP(B4530, Inventory!D:D,Inventory!E:E,"No Name Found"))</f>
        <v/>
      </c>
      <c r="D4530" s="6"/>
      <c r="E4530" s="6"/>
      <c r="F4530" s="6"/>
      <c r="G4530" s="24" t="str">
        <f>IF(F4530="", "", VLOOKUP(F4530, Inventory!A:BZ, 3, FALSE) - SUMIF($F$1:$F4529, F4530, $H$1:$H4529))
</f>
        <v/>
      </c>
      <c r="I4530" s="26"/>
      <c r="J4530" s="26" t="s">
        <v>77</v>
      </c>
      <c r="L4530" s="27" t="s">
        <v>77</v>
      </c>
      <c r="N4530" s="28" t="s">
        <v>77</v>
      </c>
      <c r="Q4530" s="30"/>
    </row>
    <row r="4531">
      <c r="B4531" s="6"/>
      <c r="C4531" s="33" t="str">
        <f t="array" ref="C4531">IF(B4531="", "", XLOOKUP(B4531, Inventory!D:D,Inventory!E:E,"No Name Found"))</f>
        <v/>
      </c>
      <c r="D4531" s="6"/>
      <c r="E4531" s="6"/>
      <c r="F4531" s="6"/>
      <c r="G4531" s="24" t="str">
        <f>IF(F4531="", "", VLOOKUP(F4531, Inventory!A:BZ, 3, FALSE) - SUMIF($F$1:$F4530, F4531, $H$1:$H4530))
</f>
        <v/>
      </c>
      <c r="I4531" s="26"/>
      <c r="J4531" s="26" t="s">
        <v>77</v>
      </c>
      <c r="L4531" s="27" t="s">
        <v>77</v>
      </c>
      <c r="N4531" s="28" t="s">
        <v>77</v>
      </c>
      <c r="Q4531" s="30"/>
    </row>
    <row r="4532">
      <c r="B4532" s="6"/>
      <c r="C4532" s="33" t="str">
        <f t="array" ref="C4532">IF(B4532="", "", XLOOKUP(B4532, Inventory!D:D,Inventory!E:E,"No Name Found"))</f>
        <v/>
      </c>
      <c r="D4532" s="6"/>
      <c r="E4532" s="6"/>
      <c r="F4532" s="6"/>
      <c r="G4532" s="24" t="str">
        <f>IF(F4532="", "", VLOOKUP(F4532, Inventory!A:BZ, 3, FALSE) - SUMIF($F$1:$F4531, F4532, $H$1:$H4531))
</f>
        <v/>
      </c>
      <c r="I4532" s="26"/>
      <c r="J4532" s="26" t="s">
        <v>77</v>
      </c>
      <c r="L4532" s="27" t="s">
        <v>77</v>
      </c>
      <c r="N4532" s="28" t="s">
        <v>77</v>
      </c>
      <c r="Q4532" s="30"/>
    </row>
    <row r="4533">
      <c r="B4533" s="6"/>
      <c r="C4533" s="33" t="str">
        <f t="array" ref="C4533">IF(B4533="", "", XLOOKUP(B4533, Inventory!D:D,Inventory!E:E,"No Name Found"))</f>
        <v/>
      </c>
      <c r="D4533" s="6"/>
      <c r="E4533" s="6"/>
      <c r="F4533" s="6"/>
      <c r="G4533" s="24" t="str">
        <f>IF(F4533="", "", VLOOKUP(F4533, Inventory!A:BZ, 3, FALSE) - SUMIF($F$1:$F4532, F4533, $H$1:$H4532))
</f>
        <v/>
      </c>
      <c r="I4533" s="26"/>
      <c r="J4533" s="26" t="s">
        <v>77</v>
      </c>
      <c r="L4533" s="27" t="s">
        <v>77</v>
      </c>
      <c r="N4533" s="28" t="s">
        <v>77</v>
      </c>
      <c r="Q4533" s="30"/>
    </row>
    <row r="4534">
      <c r="B4534" s="6"/>
      <c r="C4534" s="33" t="str">
        <f t="array" ref="C4534">IF(B4534="", "", XLOOKUP(B4534, Inventory!D:D,Inventory!E:E,"No Name Found"))</f>
        <v/>
      </c>
      <c r="D4534" s="6"/>
      <c r="E4534" s="6"/>
      <c r="F4534" s="6"/>
      <c r="G4534" s="24" t="str">
        <f>IF(F4534="", "", VLOOKUP(F4534, Inventory!A:BZ, 3, FALSE) - SUMIF($F$1:$F4533, F4534, $H$1:$H4533))
</f>
        <v/>
      </c>
      <c r="I4534" s="26"/>
      <c r="J4534" s="26" t="s">
        <v>77</v>
      </c>
      <c r="L4534" s="27" t="s">
        <v>77</v>
      </c>
      <c r="N4534" s="28" t="s">
        <v>77</v>
      </c>
      <c r="Q4534" s="30"/>
    </row>
    <row r="4535">
      <c r="B4535" s="6"/>
      <c r="C4535" s="33" t="str">
        <f t="array" ref="C4535">IF(B4535="", "", XLOOKUP(B4535, Inventory!D:D,Inventory!E:E,"No Name Found"))</f>
        <v/>
      </c>
      <c r="D4535" s="6"/>
      <c r="E4535" s="6"/>
      <c r="F4535" s="6"/>
      <c r="G4535" s="24" t="str">
        <f>IF(F4535="", "", VLOOKUP(F4535, Inventory!A:BZ, 3, FALSE) - SUMIF($F$1:$F4534, F4535, $H$1:$H4534))
</f>
        <v/>
      </c>
      <c r="I4535" s="26"/>
      <c r="J4535" s="26" t="s">
        <v>77</v>
      </c>
      <c r="L4535" s="27" t="s">
        <v>77</v>
      </c>
      <c r="N4535" s="28" t="s">
        <v>77</v>
      </c>
      <c r="Q4535" s="30"/>
    </row>
    <row r="4536">
      <c r="B4536" s="6"/>
      <c r="C4536" s="33" t="str">
        <f t="array" ref="C4536">IF(B4536="", "", XLOOKUP(B4536, Inventory!D:D,Inventory!E:E,"No Name Found"))</f>
        <v/>
      </c>
      <c r="D4536" s="6"/>
      <c r="E4536" s="6"/>
      <c r="F4536" s="6"/>
      <c r="G4536" s="24" t="str">
        <f>IF(F4536="", "", VLOOKUP(F4536, Inventory!A:BZ, 3, FALSE) - SUMIF($F$1:$F4535, F4536, $H$1:$H4535))
</f>
        <v/>
      </c>
      <c r="I4536" s="26"/>
      <c r="J4536" s="26" t="s">
        <v>77</v>
      </c>
      <c r="L4536" s="27" t="s">
        <v>77</v>
      </c>
      <c r="N4536" s="28" t="s">
        <v>77</v>
      </c>
      <c r="Q4536" s="30"/>
    </row>
    <row r="4537">
      <c r="B4537" s="6"/>
      <c r="C4537" s="33" t="str">
        <f t="array" ref="C4537">IF(B4537="", "", XLOOKUP(B4537, Inventory!D:D,Inventory!E:E,"No Name Found"))</f>
        <v/>
      </c>
      <c r="D4537" s="6"/>
      <c r="E4537" s="6"/>
      <c r="F4537" s="6"/>
      <c r="G4537" s="24" t="str">
        <f>IF(F4537="", "", VLOOKUP(F4537, Inventory!A:BZ, 3, FALSE) - SUMIF($F$1:$F4536, F4537, $H$1:$H4536))
</f>
        <v/>
      </c>
      <c r="I4537" s="26"/>
      <c r="J4537" s="26" t="s">
        <v>77</v>
      </c>
      <c r="L4537" s="27" t="s">
        <v>77</v>
      </c>
      <c r="N4537" s="28" t="s">
        <v>77</v>
      </c>
      <c r="Q4537" s="30"/>
    </row>
    <row r="4538">
      <c r="B4538" s="6"/>
      <c r="C4538" s="33" t="str">
        <f t="array" ref="C4538">IF(B4538="", "", XLOOKUP(B4538, Inventory!D:D,Inventory!E:E,"No Name Found"))</f>
        <v/>
      </c>
      <c r="D4538" s="6"/>
      <c r="E4538" s="6"/>
      <c r="F4538" s="6"/>
      <c r="G4538" s="24" t="str">
        <f>IF(F4538="", "", VLOOKUP(F4538, Inventory!A:BZ, 3, FALSE) - SUMIF($F$1:$F4537, F4538, $H$1:$H4537))
</f>
        <v/>
      </c>
      <c r="I4538" s="26"/>
      <c r="J4538" s="26" t="s">
        <v>77</v>
      </c>
      <c r="L4538" s="27" t="s">
        <v>77</v>
      </c>
      <c r="N4538" s="28" t="s">
        <v>77</v>
      </c>
      <c r="Q4538" s="30"/>
    </row>
    <row r="4539">
      <c r="B4539" s="6"/>
      <c r="C4539" s="33" t="str">
        <f t="array" ref="C4539">IF(B4539="", "", XLOOKUP(B4539, Inventory!D:D,Inventory!E:E,"No Name Found"))</f>
        <v/>
      </c>
      <c r="D4539" s="6"/>
      <c r="E4539" s="6"/>
      <c r="F4539" s="6"/>
      <c r="G4539" s="24" t="str">
        <f>IF(F4539="", "", VLOOKUP(F4539, Inventory!A:BZ, 3, FALSE) - SUMIF($F$1:$F4538, F4539, $H$1:$H4538))
</f>
        <v/>
      </c>
      <c r="I4539" s="26"/>
      <c r="J4539" s="26" t="s">
        <v>77</v>
      </c>
      <c r="L4539" s="27" t="s">
        <v>77</v>
      </c>
      <c r="N4539" s="28" t="s">
        <v>77</v>
      </c>
      <c r="Q4539" s="30"/>
    </row>
    <row r="4540">
      <c r="B4540" s="6"/>
      <c r="C4540" s="33" t="str">
        <f t="array" ref="C4540">IF(B4540="", "", XLOOKUP(B4540, Inventory!D:D,Inventory!E:E,"No Name Found"))</f>
        <v/>
      </c>
      <c r="D4540" s="6"/>
      <c r="E4540" s="6"/>
      <c r="F4540" s="6"/>
      <c r="G4540" s="24" t="str">
        <f>IF(F4540="", "", VLOOKUP(F4540, Inventory!A:BZ, 3, FALSE) - SUMIF($F$1:$F4539, F4540, $H$1:$H4539))
</f>
        <v/>
      </c>
      <c r="I4540" s="26"/>
      <c r="J4540" s="26" t="s">
        <v>77</v>
      </c>
      <c r="L4540" s="27" t="s">
        <v>77</v>
      </c>
      <c r="N4540" s="28" t="s">
        <v>77</v>
      </c>
      <c r="Q4540" s="30"/>
    </row>
    <row r="4541">
      <c r="B4541" s="6"/>
      <c r="C4541" s="33" t="str">
        <f t="array" ref="C4541">IF(B4541="", "", XLOOKUP(B4541, Inventory!D:D,Inventory!E:E,"No Name Found"))</f>
        <v/>
      </c>
      <c r="D4541" s="6"/>
      <c r="E4541" s="6"/>
      <c r="F4541" s="6"/>
      <c r="G4541" s="24" t="str">
        <f>IF(F4541="", "", VLOOKUP(F4541, Inventory!A:BZ, 3, FALSE) - SUMIF($F$1:$F4540, F4541, $H$1:$H4540))
</f>
        <v/>
      </c>
      <c r="I4541" s="26"/>
      <c r="J4541" s="26" t="s">
        <v>77</v>
      </c>
      <c r="L4541" s="27" t="s">
        <v>77</v>
      </c>
      <c r="N4541" s="28" t="s">
        <v>77</v>
      </c>
      <c r="Q4541" s="30"/>
    </row>
    <row r="4542">
      <c r="B4542" s="6"/>
      <c r="C4542" s="33" t="str">
        <f t="array" ref="C4542">IF(B4542="", "", XLOOKUP(B4542, Inventory!D:D,Inventory!E:E,"No Name Found"))</f>
        <v/>
      </c>
      <c r="D4542" s="6"/>
      <c r="E4542" s="6"/>
      <c r="F4542" s="6"/>
      <c r="G4542" s="24" t="str">
        <f>IF(F4542="", "", VLOOKUP(F4542, Inventory!A:BZ, 3, FALSE) - SUMIF($F$1:$F4541, F4542, $H$1:$H4541))
</f>
        <v/>
      </c>
      <c r="I4542" s="26"/>
      <c r="J4542" s="26" t="s">
        <v>77</v>
      </c>
      <c r="L4542" s="27" t="s">
        <v>77</v>
      </c>
      <c r="N4542" s="28" t="s">
        <v>77</v>
      </c>
      <c r="Q4542" s="30"/>
    </row>
    <row r="4543">
      <c r="B4543" s="6"/>
      <c r="C4543" s="33" t="str">
        <f t="array" ref="C4543">IF(B4543="", "", XLOOKUP(B4543, Inventory!D:D,Inventory!E:E,"No Name Found"))</f>
        <v/>
      </c>
      <c r="D4543" s="6"/>
      <c r="E4543" s="6"/>
      <c r="F4543" s="6"/>
      <c r="G4543" s="24" t="str">
        <f>IF(F4543="", "", VLOOKUP(F4543, Inventory!A:BZ, 3, FALSE) - SUMIF($F$1:$F4542, F4543, $H$1:$H4542))
</f>
        <v/>
      </c>
      <c r="I4543" s="26"/>
      <c r="J4543" s="26" t="s">
        <v>77</v>
      </c>
      <c r="L4543" s="27" t="s">
        <v>77</v>
      </c>
      <c r="N4543" s="28" t="s">
        <v>77</v>
      </c>
      <c r="Q4543" s="30"/>
    </row>
    <row r="4544">
      <c r="B4544" s="6"/>
      <c r="C4544" s="33" t="str">
        <f t="array" ref="C4544">IF(B4544="", "", XLOOKUP(B4544, Inventory!D:D,Inventory!E:E,"No Name Found"))</f>
        <v/>
      </c>
      <c r="D4544" s="6"/>
      <c r="E4544" s="6"/>
      <c r="F4544" s="6"/>
      <c r="G4544" s="24" t="str">
        <f>IF(F4544="", "", VLOOKUP(F4544, Inventory!A:BZ, 3, FALSE) - SUMIF($F$1:$F4543, F4544, $H$1:$H4543))
</f>
        <v/>
      </c>
      <c r="I4544" s="26"/>
      <c r="J4544" s="26" t="s">
        <v>77</v>
      </c>
      <c r="L4544" s="27" t="s">
        <v>77</v>
      </c>
      <c r="N4544" s="28" t="s">
        <v>77</v>
      </c>
      <c r="Q4544" s="30"/>
    </row>
    <row r="4545">
      <c r="B4545" s="6"/>
      <c r="C4545" s="33" t="str">
        <f t="array" ref="C4545">IF(B4545="", "", XLOOKUP(B4545, Inventory!D:D,Inventory!E:E,"No Name Found"))</f>
        <v/>
      </c>
      <c r="D4545" s="6"/>
      <c r="E4545" s="6"/>
      <c r="F4545" s="6"/>
      <c r="G4545" s="24" t="str">
        <f>IF(F4545="", "", VLOOKUP(F4545, Inventory!A:BZ, 3, FALSE) - SUMIF($F$1:$F4544, F4545, $H$1:$H4544))
</f>
        <v/>
      </c>
      <c r="I4545" s="26"/>
      <c r="J4545" s="26" t="s">
        <v>77</v>
      </c>
      <c r="L4545" s="27" t="s">
        <v>77</v>
      </c>
      <c r="N4545" s="28" t="s">
        <v>77</v>
      </c>
      <c r="Q4545" s="30"/>
    </row>
    <row r="4546">
      <c r="B4546" s="6"/>
      <c r="C4546" s="33" t="str">
        <f t="array" ref="C4546">IF(B4546="", "", XLOOKUP(B4546, Inventory!D:D,Inventory!E:E,"No Name Found"))</f>
        <v/>
      </c>
      <c r="D4546" s="6"/>
      <c r="E4546" s="6"/>
      <c r="F4546" s="6"/>
      <c r="G4546" s="24" t="str">
        <f>IF(F4546="", "", VLOOKUP(F4546, Inventory!A:BZ, 3, FALSE) - SUMIF($F$1:$F4545, F4546, $H$1:$H4545))
</f>
        <v/>
      </c>
      <c r="I4546" s="26"/>
      <c r="J4546" s="26" t="s">
        <v>77</v>
      </c>
      <c r="L4546" s="27" t="s">
        <v>77</v>
      </c>
      <c r="N4546" s="28" t="s">
        <v>77</v>
      </c>
      <c r="Q4546" s="30"/>
    </row>
    <row r="4547">
      <c r="B4547" s="6"/>
      <c r="C4547" s="33" t="str">
        <f t="array" ref="C4547">IF(B4547="", "", XLOOKUP(B4547, Inventory!D:D,Inventory!E:E,"No Name Found"))</f>
        <v/>
      </c>
      <c r="D4547" s="6"/>
      <c r="E4547" s="6"/>
      <c r="F4547" s="6"/>
      <c r="G4547" s="24" t="str">
        <f>IF(F4547="", "", VLOOKUP(F4547, Inventory!A:BZ, 3, FALSE) - SUMIF($F$1:$F4546, F4547, $H$1:$H4546))
</f>
        <v/>
      </c>
      <c r="I4547" s="26"/>
      <c r="J4547" s="26" t="s">
        <v>77</v>
      </c>
      <c r="L4547" s="27" t="s">
        <v>77</v>
      </c>
      <c r="N4547" s="28" t="s">
        <v>77</v>
      </c>
      <c r="Q4547" s="30"/>
    </row>
    <row r="4548">
      <c r="B4548" s="6"/>
      <c r="C4548" s="33" t="str">
        <f t="array" ref="C4548">IF(B4548="", "", XLOOKUP(B4548, Inventory!D:D,Inventory!E:E,"No Name Found"))</f>
        <v/>
      </c>
      <c r="D4548" s="6"/>
      <c r="E4548" s="6"/>
      <c r="F4548" s="6"/>
      <c r="G4548" s="24" t="str">
        <f>IF(F4548="", "", VLOOKUP(F4548, Inventory!A:BZ, 3, FALSE) - SUMIF($F$1:$F4547, F4548, $H$1:$H4547))
</f>
        <v/>
      </c>
      <c r="I4548" s="26"/>
      <c r="J4548" s="26" t="s">
        <v>77</v>
      </c>
      <c r="L4548" s="27" t="s">
        <v>77</v>
      </c>
      <c r="N4548" s="28" t="s">
        <v>77</v>
      </c>
      <c r="Q4548" s="30"/>
    </row>
    <row r="4549">
      <c r="B4549" s="6"/>
      <c r="C4549" s="33" t="str">
        <f t="array" ref="C4549">IF(B4549="", "", XLOOKUP(B4549, Inventory!D:D,Inventory!E:E,"No Name Found"))</f>
        <v/>
      </c>
      <c r="D4549" s="6"/>
      <c r="E4549" s="6"/>
      <c r="F4549" s="6"/>
      <c r="G4549" s="24" t="str">
        <f>IF(F4549="", "", VLOOKUP(F4549, Inventory!A:BZ, 3, FALSE) - SUMIF($F$1:$F4548, F4549, $H$1:$H4548))
</f>
        <v/>
      </c>
      <c r="I4549" s="26"/>
      <c r="J4549" s="26" t="s">
        <v>77</v>
      </c>
      <c r="L4549" s="27" t="s">
        <v>77</v>
      </c>
      <c r="N4549" s="28" t="s">
        <v>77</v>
      </c>
      <c r="Q4549" s="30"/>
    </row>
    <row r="4550">
      <c r="B4550" s="6"/>
      <c r="C4550" s="33" t="str">
        <f t="array" ref="C4550">IF(B4550="", "", XLOOKUP(B4550, Inventory!D:D,Inventory!E:E,"No Name Found"))</f>
        <v/>
      </c>
      <c r="D4550" s="6"/>
      <c r="E4550" s="6"/>
      <c r="F4550" s="6"/>
      <c r="G4550" s="24" t="str">
        <f>IF(F4550="", "", VLOOKUP(F4550, Inventory!A:BZ, 3, FALSE) - SUMIF($F$1:$F4549, F4550, $H$1:$H4549))
</f>
        <v/>
      </c>
      <c r="I4550" s="26"/>
      <c r="J4550" s="26" t="s">
        <v>77</v>
      </c>
      <c r="L4550" s="27" t="s">
        <v>77</v>
      </c>
      <c r="N4550" s="28" t="s">
        <v>77</v>
      </c>
      <c r="Q4550" s="30"/>
    </row>
    <row r="4551">
      <c r="B4551" s="6"/>
      <c r="C4551" s="33" t="str">
        <f t="array" ref="C4551">IF(B4551="", "", XLOOKUP(B4551, Inventory!D:D,Inventory!E:E,"No Name Found"))</f>
        <v/>
      </c>
      <c r="D4551" s="6"/>
      <c r="E4551" s="6"/>
      <c r="F4551" s="6"/>
      <c r="G4551" s="24" t="str">
        <f>IF(F4551="", "", VLOOKUP(F4551, Inventory!A:BZ, 3, FALSE) - SUMIF($F$1:$F4550, F4551, $H$1:$H4550))
</f>
        <v/>
      </c>
      <c r="I4551" s="26"/>
      <c r="J4551" s="26" t="s">
        <v>77</v>
      </c>
      <c r="L4551" s="27" t="s">
        <v>77</v>
      </c>
      <c r="N4551" s="28" t="s">
        <v>77</v>
      </c>
      <c r="Q4551" s="30"/>
    </row>
    <row r="4552">
      <c r="B4552" s="6"/>
      <c r="C4552" s="33" t="str">
        <f t="array" ref="C4552">IF(B4552="", "", XLOOKUP(B4552, Inventory!D:D,Inventory!E:E,"No Name Found"))</f>
        <v/>
      </c>
      <c r="D4552" s="6"/>
      <c r="E4552" s="6"/>
      <c r="F4552" s="6"/>
      <c r="G4552" s="24" t="str">
        <f>IF(F4552="", "", VLOOKUP(F4552, Inventory!A:BZ, 3, FALSE) - SUMIF($F$1:$F4551, F4552, $H$1:$H4551))
</f>
        <v/>
      </c>
      <c r="I4552" s="26"/>
      <c r="J4552" s="26" t="s">
        <v>77</v>
      </c>
      <c r="L4552" s="27" t="s">
        <v>77</v>
      </c>
      <c r="N4552" s="28" t="s">
        <v>77</v>
      </c>
      <c r="Q4552" s="30"/>
    </row>
    <row r="4553">
      <c r="B4553" s="6"/>
      <c r="C4553" s="33" t="str">
        <f t="array" ref="C4553">IF(B4553="", "", XLOOKUP(B4553, Inventory!D:D,Inventory!E:E,"No Name Found"))</f>
        <v/>
      </c>
      <c r="D4553" s="6"/>
      <c r="E4553" s="6"/>
      <c r="F4553" s="6"/>
      <c r="G4553" s="24" t="str">
        <f>IF(F4553="", "", VLOOKUP(F4553, Inventory!A:BZ, 3, FALSE) - SUMIF($F$1:$F4552, F4553, $H$1:$H4552))
</f>
        <v/>
      </c>
      <c r="I4553" s="26"/>
      <c r="J4553" s="26" t="s">
        <v>77</v>
      </c>
      <c r="L4553" s="27" t="s">
        <v>77</v>
      </c>
      <c r="N4553" s="28" t="s">
        <v>77</v>
      </c>
      <c r="Q4553" s="30"/>
    </row>
    <row r="4554">
      <c r="B4554" s="6"/>
      <c r="C4554" s="33" t="str">
        <f t="array" ref="C4554">IF(B4554="", "", XLOOKUP(B4554, Inventory!D:D,Inventory!E:E,"No Name Found"))</f>
        <v/>
      </c>
      <c r="D4554" s="6"/>
      <c r="E4554" s="6"/>
      <c r="F4554" s="6"/>
      <c r="G4554" s="24" t="str">
        <f>IF(F4554="", "", VLOOKUP(F4554, Inventory!A:BZ, 3, FALSE) - SUMIF($F$1:$F4553, F4554, $H$1:$H4553))
</f>
        <v/>
      </c>
      <c r="I4554" s="26"/>
      <c r="J4554" s="26" t="s">
        <v>77</v>
      </c>
      <c r="L4554" s="27" t="s">
        <v>77</v>
      </c>
      <c r="N4554" s="28" t="s">
        <v>77</v>
      </c>
      <c r="Q4554" s="30"/>
    </row>
    <row r="4555">
      <c r="B4555" s="6"/>
      <c r="C4555" s="33" t="str">
        <f t="array" ref="C4555">IF(B4555="", "", XLOOKUP(B4555, Inventory!D:D,Inventory!E:E,"No Name Found"))</f>
        <v/>
      </c>
      <c r="D4555" s="6"/>
      <c r="E4555" s="6"/>
      <c r="F4555" s="6"/>
      <c r="G4555" s="24" t="str">
        <f>IF(F4555="", "", VLOOKUP(F4555, Inventory!A:BZ, 3, FALSE) - SUMIF($F$1:$F4554, F4555, $H$1:$H4554))
</f>
        <v/>
      </c>
      <c r="I4555" s="26"/>
      <c r="J4555" s="26" t="s">
        <v>77</v>
      </c>
      <c r="L4555" s="27" t="s">
        <v>77</v>
      </c>
      <c r="N4555" s="28" t="s">
        <v>77</v>
      </c>
      <c r="Q4555" s="30"/>
    </row>
    <row r="4556">
      <c r="B4556" s="6"/>
      <c r="C4556" s="33" t="str">
        <f t="array" ref="C4556">IF(B4556="", "", XLOOKUP(B4556, Inventory!D:D,Inventory!E:E,"No Name Found"))</f>
        <v/>
      </c>
      <c r="D4556" s="6"/>
      <c r="E4556" s="6"/>
      <c r="F4556" s="6"/>
      <c r="G4556" s="24" t="str">
        <f>IF(F4556="", "", VLOOKUP(F4556, Inventory!A:BZ, 3, FALSE) - SUMIF($F$1:$F4555, F4556, $H$1:$H4555))
</f>
        <v/>
      </c>
      <c r="I4556" s="26"/>
      <c r="J4556" s="26" t="s">
        <v>77</v>
      </c>
      <c r="L4556" s="27" t="s">
        <v>77</v>
      </c>
      <c r="N4556" s="28" t="s">
        <v>77</v>
      </c>
      <c r="Q4556" s="30"/>
    </row>
    <row r="4557">
      <c r="B4557" s="6"/>
      <c r="C4557" s="33" t="str">
        <f t="array" ref="C4557">IF(B4557="", "", XLOOKUP(B4557, Inventory!D:D,Inventory!E:E,"No Name Found"))</f>
        <v/>
      </c>
      <c r="D4557" s="6"/>
      <c r="E4557" s="6"/>
      <c r="F4557" s="6"/>
      <c r="G4557" s="24" t="str">
        <f>IF(F4557="", "", VLOOKUP(F4557, Inventory!A:BZ, 3, FALSE) - SUMIF($F$1:$F4556, F4557, $H$1:$H4556))
</f>
        <v/>
      </c>
      <c r="I4557" s="26"/>
      <c r="J4557" s="26" t="s">
        <v>77</v>
      </c>
      <c r="L4557" s="27" t="s">
        <v>77</v>
      </c>
      <c r="N4557" s="28" t="s">
        <v>77</v>
      </c>
      <c r="Q4557" s="30"/>
    </row>
    <row r="4558">
      <c r="B4558" s="6"/>
      <c r="C4558" s="33" t="str">
        <f t="array" ref="C4558">IF(B4558="", "", XLOOKUP(B4558, Inventory!D:D,Inventory!E:E,"No Name Found"))</f>
        <v/>
      </c>
      <c r="D4558" s="6"/>
      <c r="E4558" s="6"/>
      <c r="F4558" s="6"/>
      <c r="G4558" s="24" t="str">
        <f>IF(F4558="", "", VLOOKUP(F4558, Inventory!A:BZ, 3, FALSE) - SUMIF($F$1:$F4557, F4558, $H$1:$H4557))
</f>
        <v/>
      </c>
      <c r="I4558" s="26"/>
      <c r="J4558" s="26" t="s">
        <v>77</v>
      </c>
      <c r="L4558" s="27" t="s">
        <v>77</v>
      </c>
      <c r="N4558" s="28" t="s">
        <v>77</v>
      </c>
      <c r="Q4558" s="30"/>
    </row>
    <row r="4559">
      <c r="B4559" s="6"/>
      <c r="C4559" s="33" t="str">
        <f t="array" ref="C4559">IF(B4559="", "", XLOOKUP(B4559, Inventory!D:D,Inventory!E:E,"No Name Found"))</f>
        <v/>
      </c>
      <c r="D4559" s="6"/>
      <c r="E4559" s="6"/>
      <c r="F4559" s="6"/>
      <c r="G4559" s="24" t="str">
        <f>IF(F4559="", "", VLOOKUP(F4559, Inventory!A:BZ, 3, FALSE) - SUMIF($F$1:$F4558, F4559, $H$1:$H4558))
</f>
        <v/>
      </c>
      <c r="I4559" s="26"/>
      <c r="J4559" s="26" t="s">
        <v>77</v>
      </c>
      <c r="L4559" s="27" t="s">
        <v>77</v>
      </c>
      <c r="N4559" s="28" t="s">
        <v>77</v>
      </c>
      <c r="Q4559" s="30"/>
    </row>
    <row r="4560">
      <c r="B4560" s="6"/>
      <c r="C4560" s="33" t="str">
        <f t="array" ref="C4560">IF(B4560="", "", XLOOKUP(B4560, Inventory!D:D,Inventory!E:E,"No Name Found"))</f>
        <v/>
      </c>
      <c r="D4560" s="6"/>
      <c r="E4560" s="6"/>
      <c r="F4560" s="6"/>
      <c r="G4560" s="24" t="str">
        <f>IF(F4560="", "", VLOOKUP(F4560, Inventory!A:BZ, 3, FALSE) - SUMIF($F$1:$F4559, F4560, $H$1:$H4559))
</f>
        <v/>
      </c>
      <c r="I4560" s="26"/>
      <c r="J4560" s="26" t="s">
        <v>77</v>
      </c>
      <c r="L4560" s="27" t="s">
        <v>77</v>
      </c>
      <c r="N4560" s="28" t="s">
        <v>77</v>
      </c>
      <c r="Q4560" s="30"/>
    </row>
    <row r="4561">
      <c r="B4561" s="6"/>
      <c r="C4561" s="33" t="str">
        <f t="array" ref="C4561">IF(B4561="", "", XLOOKUP(B4561, Inventory!D:D,Inventory!E:E,"No Name Found"))</f>
        <v/>
      </c>
      <c r="D4561" s="6"/>
      <c r="E4561" s="6"/>
      <c r="F4561" s="6"/>
      <c r="G4561" s="24" t="str">
        <f>IF(F4561="", "", VLOOKUP(F4561, Inventory!A:BZ, 3, FALSE) - SUMIF($F$1:$F4560, F4561, $H$1:$H4560))
</f>
        <v/>
      </c>
      <c r="I4561" s="26"/>
      <c r="J4561" s="26" t="s">
        <v>77</v>
      </c>
      <c r="L4561" s="27" t="s">
        <v>77</v>
      </c>
      <c r="N4561" s="28" t="s">
        <v>77</v>
      </c>
      <c r="Q4561" s="30"/>
    </row>
    <row r="4562">
      <c r="B4562" s="6"/>
      <c r="C4562" s="33" t="str">
        <f t="array" ref="C4562">IF(B4562="", "", XLOOKUP(B4562, Inventory!D:D,Inventory!E:E,"No Name Found"))</f>
        <v/>
      </c>
      <c r="D4562" s="6"/>
      <c r="E4562" s="6"/>
      <c r="F4562" s="6"/>
      <c r="G4562" s="24" t="str">
        <f>IF(F4562="", "", VLOOKUP(F4562, Inventory!A:BZ, 3, FALSE) - SUMIF($F$1:$F4561, F4562, $H$1:$H4561))
</f>
        <v/>
      </c>
      <c r="I4562" s="26"/>
      <c r="J4562" s="26" t="s">
        <v>77</v>
      </c>
      <c r="L4562" s="27" t="s">
        <v>77</v>
      </c>
      <c r="N4562" s="28" t="s">
        <v>77</v>
      </c>
      <c r="Q4562" s="30"/>
    </row>
    <row r="4563">
      <c r="B4563" s="6"/>
      <c r="C4563" s="33" t="str">
        <f t="array" ref="C4563">IF(B4563="", "", XLOOKUP(B4563, Inventory!D:D,Inventory!E:E,"No Name Found"))</f>
        <v/>
      </c>
      <c r="D4563" s="6"/>
      <c r="E4563" s="6"/>
      <c r="F4563" s="6"/>
      <c r="G4563" s="24" t="str">
        <f>IF(F4563="", "", VLOOKUP(F4563, Inventory!A:BZ, 3, FALSE) - SUMIF($F$1:$F4562, F4563, $H$1:$H4562))
</f>
        <v/>
      </c>
      <c r="I4563" s="26"/>
      <c r="J4563" s="26" t="s">
        <v>77</v>
      </c>
      <c r="L4563" s="27" t="s">
        <v>77</v>
      </c>
      <c r="N4563" s="28" t="s">
        <v>77</v>
      </c>
      <c r="Q4563" s="30"/>
    </row>
    <row r="4564">
      <c r="B4564" s="6"/>
      <c r="C4564" s="33" t="str">
        <f t="array" ref="C4564">IF(B4564="", "", XLOOKUP(B4564, Inventory!D:D,Inventory!E:E,"No Name Found"))</f>
        <v/>
      </c>
      <c r="D4564" s="6"/>
      <c r="E4564" s="6"/>
      <c r="F4564" s="6"/>
      <c r="G4564" s="24" t="str">
        <f>IF(F4564="", "", VLOOKUP(F4564, Inventory!A:BZ, 3, FALSE) - SUMIF($F$1:$F4563, F4564, $H$1:$H4563))
</f>
        <v/>
      </c>
      <c r="I4564" s="26"/>
      <c r="J4564" s="26" t="s">
        <v>77</v>
      </c>
      <c r="L4564" s="27" t="s">
        <v>77</v>
      </c>
      <c r="N4564" s="28" t="s">
        <v>77</v>
      </c>
      <c r="Q4564" s="30"/>
    </row>
    <row r="4565">
      <c r="B4565" s="6"/>
      <c r="C4565" s="33" t="str">
        <f t="array" ref="C4565">IF(B4565="", "", XLOOKUP(B4565, Inventory!D:D,Inventory!E:E,"No Name Found"))</f>
        <v/>
      </c>
      <c r="D4565" s="6"/>
      <c r="E4565" s="6"/>
      <c r="F4565" s="6"/>
      <c r="G4565" s="24" t="str">
        <f>IF(F4565="", "", VLOOKUP(F4565, Inventory!A:BZ, 3, FALSE) - SUMIF($F$1:$F4564, F4565, $H$1:$H4564))
</f>
        <v/>
      </c>
      <c r="I4565" s="26"/>
      <c r="J4565" s="26" t="s">
        <v>77</v>
      </c>
      <c r="L4565" s="27" t="s">
        <v>77</v>
      </c>
      <c r="N4565" s="28" t="s">
        <v>77</v>
      </c>
      <c r="Q4565" s="30"/>
    </row>
    <row r="4566">
      <c r="B4566" s="6"/>
      <c r="C4566" s="33" t="str">
        <f t="array" ref="C4566">IF(B4566="", "", XLOOKUP(B4566, Inventory!D:D,Inventory!E:E,"No Name Found"))</f>
        <v/>
      </c>
      <c r="D4566" s="6"/>
      <c r="E4566" s="6"/>
      <c r="F4566" s="6"/>
      <c r="G4566" s="24" t="str">
        <f>IF(F4566="", "", VLOOKUP(F4566, Inventory!A:BZ, 3, FALSE) - SUMIF($F$1:$F4565, F4566, $H$1:$H4565))
</f>
        <v/>
      </c>
      <c r="I4566" s="26"/>
      <c r="J4566" s="26" t="s">
        <v>77</v>
      </c>
      <c r="L4566" s="27" t="s">
        <v>77</v>
      </c>
      <c r="N4566" s="28" t="s">
        <v>77</v>
      </c>
      <c r="Q4566" s="30"/>
    </row>
    <row r="4567">
      <c r="B4567" s="6"/>
      <c r="C4567" s="33" t="str">
        <f t="array" ref="C4567">IF(B4567="", "", XLOOKUP(B4567, Inventory!D:D,Inventory!E:E,"No Name Found"))</f>
        <v/>
      </c>
      <c r="D4567" s="6"/>
      <c r="E4567" s="6"/>
      <c r="F4567" s="6"/>
      <c r="G4567" s="24" t="str">
        <f>IF(F4567="", "", VLOOKUP(F4567, Inventory!A:BZ, 3, FALSE) - SUMIF($F$1:$F4566, F4567, $H$1:$H4566))
</f>
        <v/>
      </c>
      <c r="I4567" s="26"/>
      <c r="J4567" s="26" t="s">
        <v>77</v>
      </c>
      <c r="L4567" s="27" t="s">
        <v>77</v>
      </c>
      <c r="N4567" s="28" t="s">
        <v>77</v>
      </c>
      <c r="Q4567" s="30"/>
    </row>
    <row r="4568">
      <c r="B4568" s="6"/>
      <c r="C4568" s="33" t="str">
        <f t="array" ref="C4568">IF(B4568="", "", XLOOKUP(B4568, Inventory!D:D,Inventory!E:E,"No Name Found"))</f>
        <v/>
      </c>
      <c r="D4568" s="6"/>
      <c r="E4568" s="6"/>
      <c r="F4568" s="6"/>
      <c r="G4568" s="24" t="str">
        <f>IF(F4568="", "", VLOOKUP(F4568, Inventory!A:BZ, 3, FALSE) - SUMIF($F$1:$F4567, F4568, $H$1:$H4567))
</f>
        <v/>
      </c>
      <c r="I4568" s="26"/>
      <c r="J4568" s="26" t="s">
        <v>77</v>
      </c>
      <c r="L4568" s="27" t="s">
        <v>77</v>
      </c>
      <c r="N4568" s="28" t="s">
        <v>77</v>
      </c>
      <c r="Q4568" s="30"/>
    </row>
    <row r="4569">
      <c r="B4569" s="6"/>
      <c r="C4569" s="33" t="str">
        <f t="array" ref="C4569">IF(B4569="", "", XLOOKUP(B4569, Inventory!D:D,Inventory!E:E,"No Name Found"))</f>
        <v/>
      </c>
      <c r="D4569" s="6"/>
      <c r="E4569" s="6"/>
      <c r="F4569" s="6"/>
      <c r="G4569" s="24" t="str">
        <f>IF(F4569="", "", VLOOKUP(F4569, Inventory!A:BZ, 3, FALSE) - SUMIF($F$1:$F4568, F4569, $H$1:$H4568))
</f>
        <v/>
      </c>
      <c r="I4569" s="26"/>
      <c r="J4569" s="26" t="s">
        <v>77</v>
      </c>
      <c r="L4569" s="27" t="s">
        <v>77</v>
      </c>
      <c r="N4569" s="28" t="s">
        <v>77</v>
      </c>
      <c r="Q4569" s="30"/>
    </row>
    <row r="4570">
      <c r="B4570" s="6"/>
      <c r="C4570" s="33" t="str">
        <f t="array" ref="C4570">IF(B4570="", "", XLOOKUP(B4570, Inventory!D:D,Inventory!E:E,"No Name Found"))</f>
        <v/>
      </c>
      <c r="D4570" s="6"/>
      <c r="E4570" s="6"/>
      <c r="F4570" s="6"/>
      <c r="G4570" s="24" t="str">
        <f>IF(F4570="", "", VLOOKUP(F4570, Inventory!A:BZ, 3, FALSE) - SUMIF($F$1:$F4569, F4570, $H$1:$H4569))
</f>
        <v/>
      </c>
      <c r="I4570" s="26"/>
      <c r="J4570" s="26" t="s">
        <v>77</v>
      </c>
      <c r="L4570" s="27" t="s">
        <v>77</v>
      </c>
      <c r="N4570" s="28" t="s">
        <v>77</v>
      </c>
      <c r="Q4570" s="30"/>
    </row>
    <row r="4571">
      <c r="B4571" s="6"/>
      <c r="C4571" s="33" t="str">
        <f t="array" ref="C4571">IF(B4571="", "", XLOOKUP(B4571, Inventory!D:D,Inventory!E:E,"No Name Found"))</f>
        <v/>
      </c>
      <c r="D4571" s="6"/>
      <c r="E4571" s="6"/>
      <c r="F4571" s="6"/>
      <c r="G4571" s="24" t="str">
        <f>IF(F4571="", "", VLOOKUP(F4571, Inventory!A:BZ, 3, FALSE) - SUMIF($F$1:$F4570, F4571, $H$1:$H4570))
</f>
        <v/>
      </c>
      <c r="I4571" s="26"/>
      <c r="J4571" s="26" t="s">
        <v>77</v>
      </c>
      <c r="L4571" s="27" t="s">
        <v>77</v>
      </c>
      <c r="N4571" s="28" t="s">
        <v>77</v>
      </c>
      <c r="Q4571" s="30"/>
    </row>
    <row r="4572">
      <c r="B4572" s="6"/>
      <c r="C4572" s="33" t="str">
        <f t="array" ref="C4572">IF(B4572="", "", XLOOKUP(B4572, Inventory!D:D,Inventory!E:E,"No Name Found"))</f>
        <v/>
      </c>
      <c r="D4572" s="6"/>
      <c r="E4572" s="6"/>
      <c r="F4572" s="6"/>
      <c r="G4572" s="24" t="str">
        <f>IF(F4572="", "", VLOOKUP(F4572, Inventory!A:BZ, 3, FALSE) - SUMIF($F$1:$F4571, F4572, $H$1:$H4571))
</f>
        <v/>
      </c>
      <c r="I4572" s="26"/>
      <c r="J4572" s="26" t="s">
        <v>77</v>
      </c>
      <c r="L4572" s="27" t="s">
        <v>77</v>
      </c>
      <c r="N4572" s="28" t="s">
        <v>77</v>
      </c>
      <c r="Q4572" s="30"/>
    </row>
    <row r="4573">
      <c r="B4573" s="6"/>
      <c r="C4573" s="33" t="str">
        <f t="array" ref="C4573">IF(B4573="", "", XLOOKUP(B4573, Inventory!D:D,Inventory!E:E,"No Name Found"))</f>
        <v/>
      </c>
      <c r="D4573" s="6"/>
      <c r="E4573" s="6"/>
      <c r="F4573" s="6"/>
      <c r="G4573" s="24" t="str">
        <f>IF(F4573="", "", VLOOKUP(F4573, Inventory!A:BZ, 3, FALSE) - SUMIF($F$1:$F4572, F4573, $H$1:$H4572))
</f>
        <v/>
      </c>
      <c r="I4573" s="26"/>
      <c r="J4573" s="26" t="s">
        <v>77</v>
      </c>
      <c r="L4573" s="27" t="s">
        <v>77</v>
      </c>
      <c r="N4573" s="28" t="s">
        <v>77</v>
      </c>
      <c r="Q4573" s="30"/>
    </row>
    <row r="4574">
      <c r="B4574" s="6"/>
      <c r="C4574" s="33" t="str">
        <f t="array" ref="C4574">IF(B4574="", "", XLOOKUP(B4574, Inventory!D:D,Inventory!E:E,"No Name Found"))</f>
        <v/>
      </c>
      <c r="D4574" s="6"/>
      <c r="E4574" s="6"/>
      <c r="F4574" s="6"/>
      <c r="G4574" s="24" t="str">
        <f>IF(F4574="", "", VLOOKUP(F4574, Inventory!A:BZ, 3, FALSE) - SUMIF($F$1:$F4573, F4574, $H$1:$H4573))
</f>
        <v/>
      </c>
      <c r="I4574" s="26"/>
      <c r="J4574" s="26" t="s">
        <v>77</v>
      </c>
      <c r="L4574" s="27" t="s">
        <v>77</v>
      </c>
      <c r="N4574" s="28" t="s">
        <v>77</v>
      </c>
      <c r="Q4574" s="30"/>
    </row>
    <row r="4575">
      <c r="B4575" s="6"/>
      <c r="C4575" s="33" t="str">
        <f t="array" ref="C4575">IF(B4575="", "", XLOOKUP(B4575, Inventory!D:D,Inventory!E:E,"No Name Found"))</f>
        <v/>
      </c>
      <c r="D4575" s="6"/>
      <c r="E4575" s="6"/>
      <c r="F4575" s="6"/>
      <c r="G4575" s="24" t="str">
        <f>IF(F4575="", "", VLOOKUP(F4575, Inventory!A:BZ, 3, FALSE) - SUMIF($F$1:$F4574, F4575, $H$1:$H4574))
</f>
        <v/>
      </c>
      <c r="I4575" s="26"/>
      <c r="J4575" s="26" t="s">
        <v>77</v>
      </c>
      <c r="L4575" s="27" t="s">
        <v>77</v>
      </c>
      <c r="N4575" s="28" t="s">
        <v>77</v>
      </c>
      <c r="Q4575" s="30"/>
    </row>
    <row r="4576">
      <c r="B4576" s="6"/>
      <c r="C4576" s="33" t="str">
        <f t="array" ref="C4576">IF(B4576="", "", XLOOKUP(B4576, Inventory!D:D,Inventory!E:E,"No Name Found"))</f>
        <v/>
      </c>
      <c r="D4576" s="6"/>
      <c r="E4576" s="6"/>
      <c r="F4576" s="6"/>
      <c r="G4576" s="24" t="str">
        <f>IF(F4576="", "", VLOOKUP(F4576, Inventory!A:BZ, 3, FALSE) - SUMIF($F$1:$F4575, F4576, $H$1:$H4575))
</f>
        <v/>
      </c>
      <c r="I4576" s="26"/>
      <c r="J4576" s="26" t="s">
        <v>77</v>
      </c>
      <c r="L4576" s="27" t="s">
        <v>77</v>
      </c>
      <c r="N4576" s="28" t="s">
        <v>77</v>
      </c>
      <c r="Q4576" s="30"/>
    </row>
    <row r="4577">
      <c r="B4577" s="6"/>
      <c r="C4577" s="33" t="str">
        <f t="array" ref="C4577">IF(B4577="", "", XLOOKUP(B4577, Inventory!D:D,Inventory!E:E,"No Name Found"))</f>
        <v/>
      </c>
      <c r="D4577" s="6"/>
      <c r="E4577" s="6"/>
      <c r="F4577" s="6"/>
      <c r="G4577" s="24" t="str">
        <f>IF(F4577="", "", VLOOKUP(F4577, Inventory!A:BZ, 3, FALSE) - SUMIF($F$1:$F4576, F4577, $H$1:$H4576))
</f>
        <v/>
      </c>
      <c r="I4577" s="26"/>
      <c r="J4577" s="26" t="s">
        <v>77</v>
      </c>
      <c r="L4577" s="27" t="s">
        <v>77</v>
      </c>
      <c r="N4577" s="28" t="s">
        <v>77</v>
      </c>
      <c r="Q4577" s="30"/>
    </row>
    <row r="4578">
      <c r="B4578" s="6"/>
      <c r="C4578" s="33" t="str">
        <f t="array" ref="C4578">IF(B4578="", "", XLOOKUP(B4578, Inventory!D:D,Inventory!E:E,"No Name Found"))</f>
        <v/>
      </c>
      <c r="D4578" s="6"/>
      <c r="E4578" s="6"/>
      <c r="F4578" s="6"/>
      <c r="G4578" s="24" t="str">
        <f>IF(F4578="", "", VLOOKUP(F4578, Inventory!A:BZ, 3, FALSE) - SUMIF($F$1:$F4577, F4578, $H$1:$H4577))
</f>
        <v/>
      </c>
      <c r="I4578" s="26"/>
      <c r="J4578" s="26" t="s">
        <v>77</v>
      </c>
      <c r="L4578" s="27" t="s">
        <v>77</v>
      </c>
      <c r="N4578" s="28" t="s">
        <v>77</v>
      </c>
      <c r="Q4578" s="30"/>
    </row>
    <row r="4579">
      <c r="B4579" s="6"/>
      <c r="C4579" s="33" t="str">
        <f t="array" ref="C4579">IF(B4579="", "", XLOOKUP(B4579, Inventory!D:D,Inventory!E:E,"No Name Found"))</f>
        <v/>
      </c>
      <c r="D4579" s="6"/>
      <c r="E4579" s="6"/>
      <c r="F4579" s="6"/>
      <c r="G4579" s="24" t="str">
        <f>IF(F4579="", "", VLOOKUP(F4579, Inventory!A:BZ, 3, FALSE) - SUMIF($F$1:$F4578, F4579, $H$1:$H4578))
</f>
        <v/>
      </c>
      <c r="I4579" s="26"/>
      <c r="J4579" s="26" t="s">
        <v>77</v>
      </c>
      <c r="L4579" s="27" t="s">
        <v>77</v>
      </c>
      <c r="N4579" s="28" t="s">
        <v>77</v>
      </c>
      <c r="Q4579" s="30"/>
    </row>
    <row r="4580">
      <c r="B4580" s="6"/>
      <c r="C4580" s="33" t="str">
        <f t="array" ref="C4580">IF(B4580="", "", XLOOKUP(B4580, Inventory!D:D,Inventory!E:E,"No Name Found"))</f>
        <v/>
      </c>
      <c r="D4580" s="6"/>
      <c r="E4580" s="6"/>
      <c r="F4580" s="6"/>
      <c r="G4580" s="24" t="str">
        <f>IF(F4580="", "", VLOOKUP(F4580, Inventory!A:BZ, 3, FALSE) - SUMIF($F$1:$F4579, F4580, $H$1:$H4579))
</f>
        <v/>
      </c>
      <c r="I4580" s="26"/>
      <c r="J4580" s="26" t="s">
        <v>77</v>
      </c>
      <c r="L4580" s="27" t="s">
        <v>77</v>
      </c>
      <c r="N4580" s="28" t="s">
        <v>77</v>
      </c>
      <c r="Q4580" s="30"/>
    </row>
    <row r="4581">
      <c r="B4581" s="6"/>
      <c r="C4581" s="33" t="str">
        <f t="array" ref="C4581">IF(B4581="", "", XLOOKUP(B4581, Inventory!D:D,Inventory!E:E,"No Name Found"))</f>
        <v/>
      </c>
      <c r="D4581" s="6"/>
      <c r="E4581" s="6"/>
      <c r="F4581" s="6"/>
      <c r="G4581" s="24" t="str">
        <f>IF(F4581="", "", VLOOKUP(F4581, Inventory!A:BZ, 3, FALSE) - SUMIF($F$1:$F4580, F4581, $H$1:$H4580))
</f>
        <v/>
      </c>
      <c r="I4581" s="26"/>
      <c r="J4581" s="26" t="s">
        <v>77</v>
      </c>
      <c r="L4581" s="27" t="s">
        <v>77</v>
      </c>
      <c r="N4581" s="28" t="s">
        <v>77</v>
      </c>
      <c r="Q4581" s="30"/>
    </row>
    <row r="4582">
      <c r="B4582" s="6"/>
      <c r="C4582" s="33" t="str">
        <f t="array" ref="C4582">IF(B4582="", "", XLOOKUP(B4582, Inventory!D:D,Inventory!E:E,"No Name Found"))</f>
        <v/>
      </c>
      <c r="D4582" s="6"/>
      <c r="E4582" s="6"/>
      <c r="F4582" s="6"/>
      <c r="G4582" s="24" t="str">
        <f>IF(F4582="", "", VLOOKUP(F4582, Inventory!A:BZ, 3, FALSE) - SUMIF($F$1:$F4581, F4582, $H$1:$H4581))
</f>
        <v/>
      </c>
      <c r="I4582" s="26"/>
      <c r="J4582" s="26" t="s">
        <v>77</v>
      </c>
      <c r="L4582" s="27" t="s">
        <v>77</v>
      </c>
      <c r="N4582" s="28" t="s">
        <v>77</v>
      </c>
      <c r="Q4582" s="30"/>
    </row>
    <row r="4583">
      <c r="B4583" s="6"/>
      <c r="C4583" s="33" t="str">
        <f t="array" ref="C4583">IF(B4583="", "", XLOOKUP(B4583, Inventory!D:D,Inventory!E:E,"No Name Found"))</f>
        <v/>
      </c>
      <c r="D4583" s="6"/>
      <c r="E4583" s="6"/>
      <c r="F4583" s="6"/>
      <c r="G4583" s="24" t="str">
        <f>IF(F4583="", "", VLOOKUP(F4583, Inventory!A:BZ, 3, FALSE) - SUMIF($F$1:$F4582, F4583, $H$1:$H4582))
</f>
        <v/>
      </c>
      <c r="I4583" s="26"/>
      <c r="J4583" s="26" t="s">
        <v>77</v>
      </c>
      <c r="L4583" s="27" t="s">
        <v>77</v>
      </c>
      <c r="N4583" s="28" t="s">
        <v>77</v>
      </c>
      <c r="Q4583" s="30"/>
    </row>
    <row r="4584">
      <c r="B4584" s="6"/>
      <c r="C4584" s="33" t="str">
        <f t="array" ref="C4584">IF(B4584="", "", XLOOKUP(B4584, Inventory!D:D,Inventory!E:E,"No Name Found"))</f>
        <v/>
      </c>
      <c r="D4584" s="6"/>
      <c r="E4584" s="6"/>
      <c r="F4584" s="6"/>
      <c r="G4584" s="24" t="str">
        <f>IF(F4584="", "", VLOOKUP(F4584, Inventory!A:BZ, 3, FALSE) - SUMIF($F$1:$F4583, F4584, $H$1:$H4583))
</f>
        <v/>
      </c>
      <c r="I4584" s="26"/>
      <c r="J4584" s="26" t="s">
        <v>77</v>
      </c>
      <c r="L4584" s="27" t="s">
        <v>77</v>
      </c>
      <c r="N4584" s="28" t="s">
        <v>77</v>
      </c>
      <c r="Q4584" s="30"/>
    </row>
    <row r="4585">
      <c r="B4585" s="6"/>
      <c r="C4585" s="33" t="str">
        <f t="array" ref="C4585">IF(B4585="", "", XLOOKUP(B4585, Inventory!D:D,Inventory!E:E,"No Name Found"))</f>
        <v/>
      </c>
      <c r="D4585" s="6"/>
      <c r="E4585" s="6"/>
      <c r="F4585" s="6"/>
      <c r="G4585" s="24" t="str">
        <f>IF(F4585="", "", VLOOKUP(F4585, Inventory!A:BZ, 3, FALSE) - SUMIF($F$1:$F4584, F4585, $H$1:$H4584))
</f>
        <v/>
      </c>
      <c r="I4585" s="26"/>
      <c r="J4585" s="26" t="s">
        <v>77</v>
      </c>
      <c r="L4585" s="27" t="s">
        <v>77</v>
      </c>
      <c r="N4585" s="28" t="s">
        <v>77</v>
      </c>
      <c r="Q4585" s="30"/>
    </row>
    <row r="4586">
      <c r="B4586" s="6"/>
      <c r="C4586" s="33" t="str">
        <f t="array" ref="C4586">IF(B4586="", "", XLOOKUP(B4586, Inventory!D:D,Inventory!E:E,"No Name Found"))</f>
        <v/>
      </c>
      <c r="D4586" s="6"/>
      <c r="E4586" s="6"/>
      <c r="F4586" s="6"/>
      <c r="G4586" s="24" t="str">
        <f>IF(F4586="", "", VLOOKUP(F4586, Inventory!A:BZ, 3, FALSE) - SUMIF($F$1:$F4585, F4586, $H$1:$H4585))
</f>
        <v/>
      </c>
      <c r="I4586" s="26"/>
      <c r="J4586" s="26" t="s">
        <v>77</v>
      </c>
      <c r="L4586" s="27" t="s">
        <v>77</v>
      </c>
      <c r="N4586" s="28" t="s">
        <v>77</v>
      </c>
      <c r="Q4586" s="30"/>
    </row>
    <row r="4587">
      <c r="B4587" s="6"/>
      <c r="C4587" s="33" t="str">
        <f t="array" ref="C4587">IF(B4587="", "", XLOOKUP(B4587, Inventory!D:D,Inventory!E:E,"No Name Found"))</f>
        <v/>
      </c>
      <c r="D4587" s="6"/>
      <c r="E4587" s="6"/>
      <c r="F4587" s="6"/>
      <c r="G4587" s="24" t="str">
        <f>IF(F4587="", "", VLOOKUP(F4587, Inventory!A:BZ, 3, FALSE) - SUMIF($F$1:$F4586, F4587, $H$1:$H4586))
</f>
        <v/>
      </c>
      <c r="I4587" s="26"/>
      <c r="J4587" s="26" t="s">
        <v>77</v>
      </c>
      <c r="L4587" s="27" t="s">
        <v>77</v>
      </c>
      <c r="N4587" s="28" t="s">
        <v>77</v>
      </c>
      <c r="Q4587" s="30"/>
    </row>
    <row r="4588">
      <c r="B4588" s="6"/>
      <c r="C4588" s="33" t="str">
        <f t="array" ref="C4588">IF(B4588="", "", XLOOKUP(B4588, Inventory!D:D,Inventory!E:E,"No Name Found"))</f>
        <v/>
      </c>
      <c r="D4588" s="6"/>
      <c r="E4588" s="6"/>
      <c r="F4588" s="6"/>
      <c r="G4588" s="24" t="str">
        <f>IF(F4588="", "", VLOOKUP(F4588, Inventory!A:BZ, 3, FALSE) - SUMIF($F$1:$F4587, F4588, $H$1:$H4587))
</f>
        <v/>
      </c>
      <c r="I4588" s="26"/>
      <c r="J4588" s="26" t="s">
        <v>77</v>
      </c>
      <c r="L4588" s="27" t="s">
        <v>77</v>
      </c>
      <c r="N4588" s="28" t="s">
        <v>77</v>
      </c>
      <c r="Q4588" s="30"/>
    </row>
    <row r="4589">
      <c r="B4589" s="6"/>
      <c r="C4589" s="33" t="str">
        <f t="array" ref="C4589">IF(B4589="", "", XLOOKUP(B4589, Inventory!D:D,Inventory!E:E,"No Name Found"))</f>
        <v/>
      </c>
      <c r="D4589" s="6"/>
      <c r="E4589" s="6"/>
      <c r="F4589" s="6"/>
      <c r="G4589" s="24" t="str">
        <f>IF(F4589="", "", VLOOKUP(F4589, Inventory!A:BZ, 3, FALSE) - SUMIF($F$1:$F4588, F4589, $H$1:$H4588))
</f>
        <v/>
      </c>
      <c r="I4589" s="26"/>
      <c r="J4589" s="26" t="s">
        <v>77</v>
      </c>
      <c r="L4589" s="27" t="s">
        <v>77</v>
      </c>
      <c r="N4589" s="28" t="s">
        <v>77</v>
      </c>
      <c r="Q4589" s="30"/>
    </row>
    <row r="4590">
      <c r="B4590" s="6"/>
      <c r="C4590" s="33" t="str">
        <f t="array" ref="C4590">IF(B4590="", "", XLOOKUP(B4590, Inventory!D:D,Inventory!E:E,"No Name Found"))</f>
        <v/>
      </c>
      <c r="D4590" s="6"/>
      <c r="E4590" s="6"/>
      <c r="F4590" s="6"/>
      <c r="G4590" s="24" t="str">
        <f>IF(F4590="", "", VLOOKUP(F4590, Inventory!A:BZ, 3, FALSE) - SUMIF($F$1:$F4589, F4590, $H$1:$H4589))
</f>
        <v/>
      </c>
      <c r="I4590" s="26"/>
      <c r="J4590" s="26" t="s">
        <v>77</v>
      </c>
      <c r="L4590" s="27" t="s">
        <v>77</v>
      </c>
      <c r="N4590" s="28" t="s">
        <v>77</v>
      </c>
      <c r="Q4590" s="30"/>
    </row>
    <row r="4591">
      <c r="B4591" s="6"/>
      <c r="C4591" s="33" t="str">
        <f t="array" ref="C4591">IF(B4591="", "", XLOOKUP(B4591, Inventory!D:D,Inventory!E:E,"No Name Found"))</f>
        <v/>
      </c>
      <c r="D4591" s="6"/>
      <c r="E4591" s="6"/>
      <c r="F4591" s="6"/>
      <c r="G4591" s="24" t="str">
        <f>IF(F4591="", "", VLOOKUP(F4591, Inventory!A:BZ, 3, FALSE) - SUMIF($F$1:$F4590, F4591, $H$1:$H4590))
</f>
        <v/>
      </c>
      <c r="I4591" s="26"/>
      <c r="J4591" s="26" t="s">
        <v>77</v>
      </c>
      <c r="L4591" s="27" t="s">
        <v>77</v>
      </c>
      <c r="N4591" s="28" t="s">
        <v>77</v>
      </c>
      <c r="Q4591" s="30"/>
    </row>
    <row r="4592">
      <c r="B4592" s="6"/>
      <c r="C4592" s="33" t="str">
        <f t="array" ref="C4592">IF(B4592="", "", XLOOKUP(B4592, Inventory!D:D,Inventory!E:E,"No Name Found"))</f>
        <v/>
      </c>
      <c r="D4592" s="6"/>
      <c r="E4592" s="6"/>
      <c r="F4592" s="6"/>
      <c r="G4592" s="24" t="str">
        <f>IF(F4592="", "", VLOOKUP(F4592, Inventory!A:BZ, 3, FALSE) - SUMIF($F$1:$F4591, F4592, $H$1:$H4591))
</f>
        <v/>
      </c>
      <c r="I4592" s="26"/>
      <c r="J4592" s="26" t="s">
        <v>77</v>
      </c>
      <c r="L4592" s="27" t="s">
        <v>77</v>
      </c>
      <c r="N4592" s="28" t="s">
        <v>77</v>
      </c>
      <c r="Q4592" s="30"/>
    </row>
    <row r="4593">
      <c r="B4593" s="6"/>
      <c r="C4593" s="33" t="str">
        <f t="array" ref="C4593">IF(B4593="", "", XLOOKUP(B4593, Inventory!D:D,Inventory!E:E,"No Name Found"))</f>
        <v/>
      </c>
      <c r="D4593" s="6"/>
      <c r="E4593" s="6"/>
      <c r="F4593" s="6"/>
      <c r="G4593" s="24" t="str">
        <f>IF(F4593="", "", VLOOKUP(F4593, Inventory!A:BZ, 3, FALSE) - SUMIF($F$1:$F4592, F4593, $H$1:$H4592))
</f>
        <v/>
      </c>
      <c r="I4593" s="26"/>
      <c r="J4593" s="26" t="s">
        <v>77</v>
      </c>
      <c r="L4593" s="27" t="s">
        <v>77</v>
      </c>
      <c r="N4593" s="28" t="s">
        <v>77</v>
      </c>
      <c r="Q4593" s="30"/>
    </row>
    <row r="4594">
      <c r="B4594" s="6"/>
      <c r="C4594" s="33" t="str">
        <f t="array" ref="C4594">IF(B4594="", "", XLOOKUP(B4594, Inventory!D:D,Inventory!E:E,"No Name Found"))</f>
        <v/>
      </c>
      <c r="D4594" s="6"/>
      <c r="E4594" s="6"/>
      <c r="F4594" s="6"/>
      <c r="G4594" s="24" t="str">
        <f>IF(F4594="", "", VLOOKUP(F4594, Inventory!A:BZ, 3, FALSE) - SUMIF($F$1:$F4593, F4594, $H$1:$H4593))
</f>
        <v/>
      </c>
      <c r="I4594" s="26"/>
      <c r="J4594" s="26" t="s">
        <v>77</v>
      </c>
      <c r="L4594" s="27" t="s">
        <v>77</v>
      </c>
      <c r="N4594" s="28" t="s">
        <v>77</v>
      </c>
      <c r="Q4594" s="30"/>
    </row>
    <row r="4595">
      <c r="B4595" s="6"/>
      <c r="C4595" s="33" t="str">
        <f t="array" ref="C4595">IF(B4595="", "", XLOOKUP(B4595, Inventory!D:D,Inventory!E:E,"No Name Found"))</f>
        <v/>
      </c>
      <c r="D4595" s="6"/>
      <c r="E4595" s="6"/>
      <c r="F4595" s="6"/>
      <c r="G4595" s="24" t="str">
        <f>IF(F4595="", "", VLOOKUP(F4595, Inventory!A:BZ, 3, FALSE) - SUMIF($F$1:$F4594, F4595, $H$1:$H4594))
</f>
        <v/>
      </c>
      <c r="I4595" s="26"/>
      <c r="J4595" s="26" t="s">
        <v>77</v>
      </c>
      <c r="L4595" s="27" t="s">
        <v>77</v>
      </c>
      <c r="N4595" s="28" t="s">
        <v>77</v>
      </c>
      <c r="Q4595" s="30"/>
    </row>
    <row r="4596">
      <c r="B4596" s="6"/>
      <c r="C4596" s="33" t="str">
        <f t="array" ref="C4596">IF(B4596="", "", XLOOKUP(B4596, Inventory!D:D,Inventory!E:E,"No Name Found"))</f>
        <v/>
      </c>
      <c r="D4596" s="6"/>
      <c r="E4596" s="6"/>
      <c r="F4596" s="6"/>
      <c r="G4596" s="24" t="str">
        <f>IF(F4596="", "", VLOOKUP(F4596, Inventory!A:BZ, 3, FALSE) - SUMIF($F$1:$F4595, F4596, $H$1:$H4595))
</f>
        <v/>
      </c>
      <c r="I4596" s="26"/>
      <c r="J4596" s="26" t="s">
        <v>77</v>
      </c>
      <c r="L4596" s="27" t="s">
        <v>77</v>
      </c>
      <c r="N4596" s="28" t="s">
        <v>77</v>
      </c>
      <c r="Q4596" s="30"/>
    </row>
    <row r="4597">
      <c r="B4597" s="6"/>
      <c r="C4597" s="33" t="str">
        <f t="array" ref="C4597">IF(B4597="", "", XLOOKUP(B4597, Inventory!D:D,Inventory!E:E,"No Name Found"))</f>
        <v/>
      </c>
      <c r="D4597" s="6"/>
      <c r="E4597" s="6"/>
      <c r="F4597" s="6"/>
      <c r="G4597" s="24" t="str">
        <f>IF(F4597="", "", VLOOKUP(F4597, Inventory!A:BZ, 3, FALSE) - SUMIF($F$1:$F4596, F4597, $H$1:$H4596))
</f>
        <v/>
      </c>
      <c r="I4597" s="26"/>
      <c r="J4597" s="26" t="s">
        <v>77</v>
      </c>
      <c r="L4597" s="27" t="s">
        <v>77</v>
      </c>
      <c r="N4597" s="28" t="s">
        <v>77</v>
      </c>
      <c r="Q4597" s="30"/>
    </row>
    <row r="4598">
      <c r="B4598" s="6"/>
      <c r="C4598" s="33" t="str">
        <f t="array" ref="C4598">IF(B4598="", "", XLOOKUP(B4598, Inventory!D:D,Inventory!E:E,"No Name Found"))</f>
        <v/>
      </c>
      <c r="D4598" s="6"/>
      <c r="E4598" s="6"/>
      <c r="F4598" s="6"/>
      <c r="G4598" s="24" t="str">
        <f>IF(F4598="", "", VLOOKUP(F4598, Inventory!A:BZ, 3, FALSE) - SUMIF($F$1:$F4597, F4598, $H$1:$H4597))
</f>
        <v/>
      </c>
      <c r="I4598" s="26"/>
      <c r="J4598" s="26" t="s">
        <v>77</v>
      </c>
      <c r="L4598" s="27" t="s">
        <v>77</v>
      </c>
      <c r="N4598" s="28" t="s">
        <v>77</v>
      </c>
      <c r="Q4598" s="30"/>
    </row>
    <row r="4599">
      <c r="B4599" s="6"/>
      <c r="C4599" s="33" t="str">
        <f t="array" ref="C4599">IF(B4599="", "", XLOOKUP(B4599, Inventory!D:D,Inventory!E:E,"No Name Found"))</f>
        <v/>
      </c>
      <c r="D4599" s="6"/>
      <c r="E4599" s="6"/>
      <c r="F4599" s="6"/>
      <c r="G4599" s="24" t="str">
        <f>IF(F4599="", "", VLOOKUP(F4599, Inventory!A:BZ, 3, FALSE) - SUMIF($F$1:$F4598, F4599, $H$1:$H4598))
</f>
        <v/>
      </c>
      <c r="I4599" s="26"/>
      <c r="J4599" s="26" t="s">
        <v>77</v>
      </c>
      <c r="L4599" s="27" t="s">
        <v>77</v>
      </c>
      <c r="N4599" s="28" t="s">
        <v>77</v>
      </c>
      <c r="Q4599" s="30"/>
    </row>
    <row r="4600">
      <c r="B4600" s="6"/>
      <c r="C4600" s="33" t="str">
        <f t="array" ref="C4600">IF(B4600="", "", XLOOKUP(B4600, Inventory!D:D,Inventory!E:E,"No Name Found"))</f>
        <v/>
      </c>
      <c r="D4600" s="6"/>
      <c r="E4600" s="6"/>
      <c r="F4600" s="6"/>
      <c r="G4600" s="24" t="str">
        <f>IF(F4600="", "", VLOOKUP(F4600, Inventory!A:BZ, 3, FALSE) - SUMIF($F$1:$F4599, F4600, $H$1:$H4599))
</f>
        <v/>
      </c>
      <c r="I4600" s="26"/>
      <c r="J4600" s="26" t="s">
        <v>77</v>
      </c>
      <c r="L4600" s="27" t="s">
        <v>77</v>
      </c>
      <c r="N4600" s="28" t="s">
        <v>77</v>
      </c>
      <c r="Q4600" s="30"/>
    </row>
    <row r="4601">
      <c r="B4601" s="6"/>
      <c r="C4601" s="33" t="str">
        <f t="array" ref="C4601">IF(B4601="", "", XLOOKUP(B4601, Inventory!D:D,Inventory!E:E,"No Name Found"))</f>
        <v/>
      </c>
      <c r="D4601" s="6"/>
      <c r="E4601" s="6"/>
      <c r="F4601" s="6"/>
      <c r="G4601" s="24" t="str">
        <f>IF(F4601="", "", VLOOKUP(F4601, Inventory!A:BZ, 3, FALSE) - SUMIF($F$1:$F4600, F4601, $H$1:$H4600))
</f>
        <v/>
      </c>
      <c r="I4601" s="26"/>
      <c r="J4601" s="26" t="s">
        <v>77</v>
      </c>
      <c r="L4601" s="27" t="s">
        <v>77</v>
      </c>
      <c r="N4601" s="28" t="s">
        <v>77</v>
      </c>
      <c r="Q4601" s="30"/>
    </row>
    <row r="4602">
      <c r="B4602" s="6"/>
      <c r="C4602" s="33" t="str">
        <f t="array" ref="C4602">IF(B4602="", "", XLOOKUP(B4602, Inventory!D:D,Inventory!E:E,"No Name Found"))</f>
        <v/>
      </c>
      <c r="D4602" s="6"/>
      <c r="E4602" s="6"/>
      <c r="F4602" s="6"/>
      <c r="G4602" s="24" t="str">
        <f>IF(F4602="", "", VLOOKUP(F4602, Inventory!A:BZ, 3, FALSE) - SUMIF($F$1:$F4601, F4602, $H$1:$H4601))
</f>
        <v/>
      </c>
      <c r="I4602" s="26"/>
      <c r="J4602" s="26" t="s">
        <v>77</v>
      </c>
      <c r="L4602" s="27" t="s">
        <v>77</v>
      </c>
      <c r="N4602" s="28" t="s">
        <v>77</v>
      </c>
      <c r="Q4602" s="30"/>
    </row>
    <row r="4603">
      <c r="B4603" s="6"/>
      <c r="C4603" s="33" t="str">
        <f t="array" ref="C4603">IF(B4603="", "", XLOOKUP(B4603, Inventory!D:D,Inventory!E:E,"No Name Found"))</f>
        <v/>
      </c>
      <c r="D4603" s="6"/>
      <c r="E4603" s="6"/>
      <c r="F4603" s="6"/>
      <c r="G4603" s="24" t="str">
        <f>IF(F4603="", "", VLOOKUP(F4603, Inventory!A:BZ, 3, FALSE) - SUMIF($F$1:$F4602, F4603, $H$1:$H4602))
</f>
        <v/>
      </c>
      <c r="I4603" s="26"/>
      <c r="J4603" s="26" t="s">
        <v>77</v>
      </c>
      <c r="L4603" s="27" t="s">
        <v>77</v>
      </c>
      <c r="N4603" s="28" t="s">
        <v>77</v>
      </c>
      <c r="Q4603" s="30"/>
    </row>
    <row r="4604">
      <c r="B4604" s="6"/>
      <c r="C4604" s="33" t="str">
        <f t="array" ref="C4604">IF(B4604="", "", XLOOKUP(B4604, Inventory!D:D,Inventory!E:E,"No Name Found"))</f>
        <v/>
      </c>
      <c r="D4604" s="6"/>
      <c r="E4604" s="6"/>
      <c r="F4604" s="6"/>
      <c r="G4604" s="24" t="str">
        <f>IF(F4604="", "", VLOOKUP(F4604, Inventory!A:BZ, 3, FALSE) - SUMIF($F$1:$F4603, F4604, $H$1:$H4603))
</f>
        <v/>
      </c>
      <c r="I4604" s="26"/>
      <c r="J4604" s="26" t="s">
        <v>77</v>
      </c>
      <c r="L4604" s="27" t="s">
        <v>77</v>
      </c>
      <c r="N4604" s="28" t="s">
        <v>77</v>
      </c>
      <c r="Q4604" s="30"/>
    </row>
    <row r="4605">
      <c r="B4605" s="6"/>
      <c r="C4605" s="33" t="str">
        <f t="array" ref="C4605">IF(B4605="", "", XLOOKUP(B4605, Inventory!D:D,Inventory!E:E,"No Name Found"))</f>
        <v/>
      </c>
      <c r="D4605" s="6"/>
      <c r="E4605" s="6"/>
      <c r="F4605" s="6"/>
      <c r="G4605" s="24" t="str">
        <f>IF(F4605="", "", VLOOKUP(F4605, Inventory!A:BZ, 3, FALSE) - SUMIF($F$1:$F4604, F4605, $H$1:$H4604))
</f>
        <v/>
      </c>
      <c r="I4605" s="26"/>
      <c r="J4605" s="26" t="s">
        <v>77</v>
      </c>
      <c r="L4605" s="27" t="s">
        <v>77</v>
      </c>
      <c r="N4605" s="28" t="s">
        <v>77</v>
      </c>
      <c r="Q4605" s="30"/>
    </row>
    <row r="4606">
      <c r="B4606" s="6"/>
      <c r="C4606" s="33" t="str">
        <f t="array" ref="C4606">IF(B4606="", "", XLOOKUP(B4606, Inventory!D:D,Inventory!E:E,"No Name Found"))</f>
        <v/>
      </c>
      <c r="D4606" s="6"/>
      <c r="E4606" s="6"/>
      <c r="F4606" s="6"/>
      <c r="G4606" s="24" t="str">
        <f>IF(F4606="", "", VLOOKUP(F4606, Inventory!A:BZ, 3, FALSE) - SUMIF($F$1:$F4605, F4606, $H$1:$H4605))
</f>
        <v/>
      </c>
      <c r="I4606" s="26"/>
      <c r="J4606" s="26" t="s">
        <v>77</v>
      </c>
      <c r="L4606" s="27" t="s">
        <v>77</v>
      </c>
      <c r="N4606" s="28" t="s">
        <v>77</v>
      </c>
      <c r="Q4606" s="30"/>
    </row>
    <row r="4607">
      <c r="B4607" s="6"/>
      <c r="C4607" s="33" t="str">
        <f t="array" ref="C4607">IF(B4607="", "", XLOOKUP(B4607, Inventory!D:D,Inventory!E:E,"No Name Found"))</f>
        <v/>
      </c>
      <c r="D4607" s="6"/>
      <c r="E4607" s="6"/>
      <c r="F4607" s="6"/>
      <c r="G4607" s="24" t="str">
        <f>IF(F4607="", "", VLOOKUP(F4607, Inventory!A:BZ, 3, FALSE) - SUMIF($F$1:$F4606, F4607, $H$1:$H4606))
</f>
        <v/>
      </c>
      <c r="I4607" s="26"/>
      <c r="J4607" s="26" t="s">
        <v>77</v>
      </c>
      <c r="L4607" s="27" t="s">
        <v>77</v>
      </c>
      <c r="N4607" s="28" t="s">
        <v>77</v>
      </c>
      <c r="Q4607" s="30"/>
    </row>
    <row r="4608">
      <c r="B4608" s="6"/>
      <c r="C4608" s="33" t="str">
        <f t="array" ref="C4608">IF(B4608="", "", XLOOKUP(B4608, Inventory!D:D,Inventory!E:E,"No Name Found"))</f>
        <v/>
      </c>
      <c r="D4608" s="6"/>
      <c r="E4608" s="6"/>
      <c r="F4608" s="6"/>
      <c r="G4608" s="24" t="str">
        <f>IF(F4608="", "", VLOOKUP(F4608, Inventory!A:BZ, 3, FALSE) - SUMIF($F$1:$F4607, F4608, $H$1:$H4607))
</f>
        <v/>
      </c>
      <c r="I4608" s="26"/>
      <c r="J4608" s="26" t="s">
        <v>77</v>
      </c>
      <c r="L4608" s="27" t="s">
        <v>77</v>
      </c>
      <c r="N4608" s="28" t="s">
        <v>77</v>
      </c>
      <c r="Q4608" s="30"/>
    </row>
    <row r="4609">
      <c r="B4609" s="6"/>
      <c r="C4609" s="33" t="str">
        <f t="array" ref="C4609">IF(B4609="", "", XLOOKUP(B4609, Inventory!D:D,Inventory!E:E,"No Name Found"))</f>
        <v/>
      </c>
      <c r="D4609" s="6"/>
      <c r="E4609" s="6"/>
      <c r="F4609" s="6"/>
      <c r="G4609" s="24" t="str">
        <f>IF(F4609="", "", VLOOKUP(F4609, Inventory!A:BZ, 3, FALSE) - SUMIF($F$1:$F4608, F4609, $H$1:$H4608))
</f>
        <v/>
      </c>
      <c r="I4609" s="26"/>
      <c r="J4609" s="26" t="s">
        <v>77</v>
      </c>
      <c r="L4609" s="27" t="s">
        <v>77</v>
      </c>
      <c r="N4609" s="28" t="s">
        <v>77</v>
      </c>
      <c r="Q4609" s="30"/>
    </row>
    <row r="4610">
      <c r="B4610" s="6"/>
      <c r="C4610" s="33" t="str">
        <f t="array" ref="C4610">IF(B4610="", "", XLOOKUP(B4610, Inventory!D:D,Inventory!E:E,"No Name Found"))</f>
        <v/>
      </c>
      <c r="D4610" s="6"/>
      <c r="E4610" s="6"/>
      <c r="F4610" s="6"/>
      <c r="G4610" s="24" t="str">
        <f>IF(F4610="", "", VLOOKUP(F4610, Inventory!A:BZ, 3, FALSE) - SUMIF($F$1:$F4609, F4610, $H$1:$H4609))
</f>
        <v/>
      </c>
      <c r="I4610" s="26"/>
      <c r="J4610" s="26" t="s">
        <v>77</v>
      </c>
      <c r="L4610" s="27" t="s">
        <v>77</v>
      </c>
      <c r="N4610" s="28" t="s">
        <v>77</v>
      </c>
      <c r="Q4610" s="30"/>
    </row>
    <row r="4611">
      <c r="B4611" s="6"/>
      <c r="C4611" s="33" t="str">
        <f t="array" ref="C4611">IF(B4611="", "", XLOOKUP(B4611, Inventory!D:D,Inventory!E:E,"No Name Found"))</f>
        <v/>
      </c>
      <c r="D4611" s="6"/>
      <c r="E4611" s="6"/>
      <c r="F4611" s="6"/>
      <c r="G4611" s="24" t="str">
        <f>IF(F4611="", "", VLOOKUP(F4611, Inventory!A:BZ, 3, FALSE) - SUMIF($F$1:$F4610, F4611, $H$1:$H4610))
</f>
        <v/>
      </c>
      <c r="I4611" s="26"/>
      <c r="J4611" s="26" t="s">
        <v>77</v>
      </c>
      <c r="L4611" s="27" t="s">
        <v>77</v>
      </c>
      <c r="N4611" s="28" t="s">
        <v>77</v>
      </c>
      <c r="Q4611" s="30"/>
    </row>
    <row r="4612">
      <c r="B4612" s="6"/>
      <c r="C4612" s="33" t="str">
        <f t="array" ref="C4612">IF(B4612="", "", XLOOKUP(B4612, Inventory!D:D,Inventory!E:E,"No Name Found"))</f>
        <v/>
      </c>
      <c r="D4612" s="6"/>
      <c r="E4612" s="6"/>
      <c r="F4612" s="6"/>
      <c r="G4612" s="24" t="str">
        <f>IF(F4612="", "", VLOOKUP(F4612, Inventory!A:BZ, 3, FALSE) - SUMIF($F$1:$F4611, F4612, $H$1:$H4611))
</f>
        <v/>
      </c>
      <c r="I4612" s="26"/>
      <c r="J4612" s="26" t="s">
        <v>77</v>
      </c>
      <c r="L4612" s="27" t="s">
        <v>77</v>
      </c>
      <c r="N4612" s="28" t="s">
        <v>77</v>
      </c>
      <c r="Q4612" s="30"/>
    </row>
    <row r="4613">
      <c r="B4613" s="6"/>
      <c r="C4613" s="33" t="str">
        <f t="array" ref="C4613">IF(B4613="", "", XLOOKUP(B4613, Inventory!D:D,Inventory!E:E,"No Name Found"))</f>
        <v/>
      </c>
      <c r="D4613" s="6"/>
      <c r="E4613" s="6"/>
      <c r="F4613" s="6"/>
      <c r="G4613" s="24" t="str">
        <f>IF(F4613="", "", VLOOKUP(F4613, Inventory!A:BZ, 3, FALSE) - SUMIF($F$1:$F4612, F4613, $H$1:$H4612))
</f>
        <v/>
      </c>
      <c r="I4613" s="26"/>
      <c r="J4613" s="26" t="s">
        <v>77</v>
      </c>
      <c r="L4613" s="27" t="s">
        <v>77</v>
      </c>
      <c r="N4613" s="28" t="s">
        <v>77</v>
      </c>
      <c r="Q4613" s="30"/>
    </row>
    <row r="4614">
      <c r="B4614" s="6"/>
      <c r="C4614" s="33" t="str">
        <f t="array" ref="C4614">IF(B4614="", "", XLOOKUP(B4614, Inventory!D:D,Inventory!E:E,"No Name Found"))</f>
        <v/>
      </c>
      <c r="D4614" s="6"/>
      <c r="E4614" s="6"/>
      <c r="F4614" s="6"/>
      <c r="G4614" s="24" t="str">
        <f>IF(F4614="", "", VLOOKUP(F4614, Inventory!A:BZ, 3, FALSE) - SUMIF($F$1:$F4613, F4614, $H$1:$H4613))
</f>
        <v/>
      </c>
      <c r="I4614" s="26"/>
      <c r="J4614" s="26" t="s">
        <v>77</v>
      </c>
      <c r="L4614" s="27" t="s">
        <v>77</v>
      </c>
      <c r="N4614" s="28" t="s">
        <v>77</v>
      </c>
      <c r="Q4614" s="30"/>
    </row>
    <row r="4615">
      <c r="B4615" s="6"/>
      <c r="C4615" s="33" t="str">
        <f t="array" ref="C4615">IF(B4615="", "", XLOOKUP(B4615, Inventory!D:D,Inventory!E:E,"No Name Found"))</f>
        <v/>
      </c>
      <c r="D4615" s="6"/>
      <c r="E4615" s="6"/>
      <c r="F4615" s="6"/>
      <c r="G4615" s="24" t="str">
        <f>IF(F4615="", "", VLOOKUP(F4615, Inventory!A:BZ, 3, FALSE) - SUMIF($F$1:$F4614, F4615, $H$1:$H4614))
</f>
        <v/>
      </c>
      <c r="I4615" s="26"/>
      <c r="J4615" s="26" t="s">
        <v>77</v>
      </c>
      <c r="L4615" s="27" t="s">
        <v>77</v>
      </c>
      <c r="N4615" s="28" t="s">
        <v>77</v>
      </c>
      <c r="Q4615" s="30"/>
    </row>
    <row r="4616">
      <c r="B4616" s="6"/>
      <c r="C4616" s="33" t="str">
        <f t="array" ref="C4616">IF(B4616="", "", XLOOKUP(B4616, Inventory!D:D,Inventory!E:E,"No Name Found"))</f>
        <v/>
      </c>
      <c r="D4616" s="6"/>
      <c r="E4616" s="6"/>
      <c r="F4616" s="6"/>
      <c r="G4616" s="24" t="str">
        <f>IF(F4616="", "", VLOOKUP(F4616, Inventory!A:BZ, 3, FALSE) - SUMIF($F$1:$F4615, F4616, $H$1:$H4615))
</f>
        <v/>
      </c>
      <c r="I4616" s="26"/>
      <c r="J4616" s="26" t="s">
        <v>77</v>
      </c>
      <c r="L4616" s="27" t="s">
        <v>77</v>
      </c>
      <c r="N4616" s="28" t="s">
        <v>77</v>
      </c>
      <c r="Q4616" s="30"/>
    </row>
    <row r="4617">
      <c r="B4617" s="6"/>
      <c r="C4617" s="33" t="str">
        <f t="array" ref="C4617">IF(B4617="", "", XLOOKUP(B4617, Inventory!D:D,Inventory!E:E,"No Name Found"))</f>
        <v/>
      </c>
      <c r="D4617" s="6"/>
      <c r="E4617" s="6"/>
      <c r="F4617" s="6"/>
      <c r="G4617" s="24" t="str">
        <f>IF(F4617="", "", VLOOKUP(F4617, Inventory!A:BZ, 3, FALSE) - SUMIF($F$1:$F4616, F4617, $H$1:$H4616))
</f>
        <v/>
      </c>
      <c r="I4617" s="26"/>
      <c r="J4617" s="26" t="s">
        <v>77</v>
      </c>
      <c r="L4617" s="27" t="s">
        <v>77</v>
      </c>
      <c r="N4617" s="28" t="s">
        <v>77</v>
      </c>
      <c r="Q4617" s="30"/>
    </row>
    <row r="4618">
      <c r="B4618" s="6"/>
      <c r="C4618" s="33" t="str">
        <f t="array" ref="C4618">IF(B4618="", "", XLOOKUP(B4618, Inventory!D:D,Inventory!E:E,"No Name Found"))</f>
        <v/>
      </c>
      <c r="D4618" s="6"/>
      <c r="E4618" s="6"/>
      <c r="F4618" s="6"/>
      <c r="G4618" s="24" t="str">
        <f>IF(F4618="", "", VLOOKUP(F4618, Inventory!A:BZ, 3, FALSE) - SUMIF($F$1:$F4617, F4618, $H$1:$H4617))
</f>
        <v/>
      </c>
      <c r="I4618" s="26"/>
      <c r="J4618" s="26" t="s">
        <v>77</v>
      </c>
      <c r="L4618" s="27" t="s">
        <v>77</v>
      </c>
      <c r="N4618" s="28" t="s">
        <v>77</v>
      </c>
      <c r="Q4618" s="30"/>
    </row>
    <row r="4619">
      <c r="B4619" s="6"/>
      <c r="C4619" s="33" t="str">
        <f t="array" ref="C4619">IF(B4619="", "", XLOOKUP(B4619, Inventory!D:D,Inventory!E:E,"No Name Found"))</f>
        <v/>
      </c>
      <c r="D4619" s="6"/>
      <c r="E4619" s="6"/>
      <c r="F4619" s="6"/>
      <c r="G4619" s="24" t="str">
        <f>IF(F4619="", "", VLOOKUP(F4619, Inventory!A:BZ, 3, FALSE) - SUMIF($F$1:$F4618, F4619, $H$1:$H4618))
</f>
        <v/>
      </c>
      <c r="I4619" s="26"/>
      <c r="J4619" s="26" t="s">
        <v>77</v>
      </c>
      <c r="L4619" s="27" t="s">
        <v>77</v>
      </c>
      <c r="N4619" s="28" t="s">
        <v>77</v>
      </c>
      <c r="Q4619" s="30"/>
    </row>
    <row r="4620">
      <c r="B4620" s="6"/>
      <c r="C4620" s="33" t="str">
        <f t="array" ref="C4620">IF(B4620="", "", XLOOKUP(B4620, Inventory!D:D,Inventory!E:E,"No Name Found"))</f>
        <v/>
      </c>
      <c r="D4620" s="6"/>
      <c r="E4620" s="6"/>
      <c r="F4620" s="6"/>
      <c r="G4620" s="24" t="str">
        <f>IF(F4620="", "", VLOOKUP(F4620, Inventory!A:BZ, 3, FALSE) - SUMIF($F$1:$F4619, F4620, $H$1:$H4619))
</f>
        <v/>
      </c>
      <c r="I4620" s="26"/>
      <c r="J4620" s="26" t="s">
        <v>77</v>
      </c>
      <c r="L4620" s="27" t="s">
        <v>77</v>
      </c>
      <c r="N4620" s="28" t="s">
        <v>77</v>
      </c>
      <c r="Q4620" s="30"/>
    </row>
    <row r="4621">
      <c r="B4621" s="6"/>
      <c r="C4621" s="33" t="str">
        <f t="array" ref="C4621">IF(B4621="", "", XLOOKUP(B4621, Inventory!D:D,Inventory!E:E,"No Name Found"))</f>
        <v/>
      </c>
      <c r="D4621" s="6"/>
      <c r="E4621" s="6"/>
      <c r="F4621" s="6"/>
      <c r="G4621" s="24" t="str">
        <f>IF(F4621="", "", VLOOKUP(F4621, Inventory!A:BZ, 3, FALSE) - SUMIF($F$1:$F4620, F4621, $H$1:$H4620))
</f>
        <v/>
      </c>
      <c r="I4621" s="26"/>
      <c r="J4621" s="26" t="s">
        <v>77</v>
      </c>
      <c r="L4621" s="27" t="s">
        <v>77</v>
      </c>
      <c r="N4621" s="28" t="s">
        <v>77</v>
      </c>
      <c r="Q4621" s="30"/>
    </row>
    <row r="4622">
      <c r="B4622" s="6"/>
      <c r="C4622" s="33" t="str">
        <f t="array" ref="C4622">IF(B4622="", "", XLOOKUP(B4622, Inventory!D:D,Inventory!E:E,"No Name Found"))</f>
        <v/>
      </c>
      <c r="D4622" s="6"/>
      <c r="E4622" s="6"/>
      <c r="F4622" s="6"/>
      <c r="G4622" s="24" t="str">
        <f>IF(F4622="", "", VLOOKUP(F4622, Inventory!A:BZ, 3, FALSE) - SUMIF($F$1:$F4621, F4622, $H$1:$H4621))
</f>
        <v/>
      </c>
      <c r="I4622" s="26"/>
      <c r="J4622" s="26" t="s">
        <v>77</v>
      </c>
      <c r="L4622" s="27" t="s">
        <v>77</v>
      </c>
      <c r="N4622" s="28" t="s">
        <v>77</v>
      </c>
      <c r="Q4622" s="30"/>
    </row>
    <row r="4623">
      <c r="B4623" s="6"/>
      <c r="C4623" s="33" t="str">
        <f t="array" ref="C4623">IF(B4623="", "", XLOOKUP(B4623, Inventory!D:D,Inventory!E:E,"No Name Found"))</f>
        <v/>
      </c>
      <c r="D4623" s="6"/>
      <c r="E4623" s="6"/>
      <c r="F4623" s="6"/>
      <c r="G4623" s="24" t="str">
        <f>IF(F4623="", "", VLOOKUP(F4623, Inventory!A:BZ, 3, FALSE) - SUMIF($F$1:$F4622, F4623, $H$1:$H4622))
</f>
        <v/>
      </c>
      <c r="I4623" s="26"/>
      <c r="J4623" s="26" t="s">
        <v>77</v>
      </c>
      <c r="L4623" s="27" t="s">
        <v>77</v>
      </c>
      <c r="N4623" s="28" t="s">
        <v>77</v>
      </c>
      <c r="Q4623" s="30"/>
    </row>
    <row r="4624">
      <c r="B4624" s="6"/>
      <c r="C4624" s="33" t="str">
        <f t="array" ref="C4624">IF(B4624="", "", XLOOKUP(B4624, Inventory!D:D,Inventory!E:E,"No Name Found"))</f>
        <v/>
      </c>
      <c r="D4624" s="6"/>
      <c r="E4624" s="6"/>
      <c r="F4624" s="6"/>
      <c r="G4624" s="24" t="str">
        <f>IF(F4624="", "", VLOOKUP(F4624, Inventory!A:BZ, 3, FALSE) - SUMIF($F$1:$F4623, F4624, $H$1:$H4623))
</f>
        <v/>
      </c>
      <c r="I4624" s="26"/>
      <c r="J4624" s="26" t="s">
        <v>77</v>
      </c>
      <c r="L4624" s="27" t="s">
        <v>77</v>
      </c>
      <c r="N4624" s="28" t="s">
        <v>77</v>
      </c>
      <c r="Q4624" s="30"/>
    </row>
    <row r="4625">
      <c r="B4625" s="6"/>
      <c r="C4625" s="33" t="str">
        <f t="array" ref="C4625">IF(B4625="", "", XLOOKUP(B4625, Inventory!D:D,Inventory!E:E,"No Name Found"))</f>
        <v/>
      </c>
      <c r="D4625" s="6"/>
      <c r="E4625" s="6"/>
      <c r="F4625" s="6"/>
      <c r="G4625" s="24" t="str">
        <f>IF(F4625="", "", VLOOKUP(F4625, Inventory!A:BZ, 3, FALSE) - SUMIF($F$1:$F4624, F4625, $H$1:$H4624))
</f>
        <v/>
      </c>
      <c r="I4625" s="26"/>
      <c r="J4625" s="26" t="s">
        <v>77</v>
      </c>
      <c r="L4625" s="27" t="s">
        <v>77</v>
      </c>
      <c r="N4625" s="28" t="s">
        <v>77</v>
      </c>
      <c r="Q4625" s="30"/>
    </row>
    <row r="4626">
      <c r="B4626" s="6"/>
      <c r="C4626" s="33" t="str">
        <f t="array" ref="C4626">IF(B4626="", "", XLOOKUP(B4626, Inventory!D:D,Inventory!E:E,"No Name Found"))</f>
        <v/>
      </c>
      <c r="D4626" s="6"/>
      <c r="E4626" s="6"/>
      <c r="F4626" s="6"/>
      <c r="G4626" s="24" t="str">
        <f>IF(F4626="", "", VLOOKUP(F4626, Inventory!A:BZ, 3, FALSE) - SUMIF($F$1:$F4625, F4626, $H$1:$H4625))
</f>
        <v/>
      </c>
      <c r="I4626" s="26"/>
      <c r="J4626" s="26" t="s">
        <v>77</v>
      </c>
      <c r="L4626" s="27" t="s">
        <v>77</v>
      </c>
      <c r="N4626" s="28" t="s">
        <v>77</v>
      </c>
      <c r="Q4626" s="30"/>
    </row>
    <row r="4627">
      <c r="B4627" s="6"/>
      <c r="C4627" s="33" t="str">
        <f t="array" ref="C4627">IF(B4627="", "", XLOOKUP(B4627, Inventory!D:D,Inventory!E:E,"No Name Found"))</f>
        <v/>
      </c>
      <c r="D4627" s="6"/>
      <c r="E4627" s="6"/>
      <c r="F4627" s="6"/>
      <c r="G4627" s="24" t="str">
        <f>IF(F4627="", "", VLOOKUP(F4627, Inventory!A:BZ, 3, FALSE) - SUMIF($F$1:$F4626, F4627, $H$1:$H4626))
</f>
        <v/>
      </c>
      <c r="I4627" s="26"/>
      <c r="J4627" s="26" t="s">
        <v>77</v>
      </c>
      <c r="L4627" s="27" t="s">
        <v>77</v>
      </c>
      <c r="N4627" s="28" t="s">
        <v>77</v>
      </c>
      <c r="Q4627" s="30"/>
    </row>
    <row r="4628">
      <c r="B4628" s="6"/>
      <c r="C4628" s="33" t="str">
        <f t="array" ref="C4628">IF(B4628="", "", XLOOKUP(B4628, Inventory!D:D,Inventory!E:E,"No Name Found"))</f>
        <v/>
      </c>
      <c r="D4628" s="6"/>
      <c r="E4628" s="6"/>
      <c r="F4628" s="6"/>
      <c r="G4628" s="24" t="str">
        <f>IF(F4628="", "", VLOOKUP(F4628, Inventory!A:BZ, 3, FALSE) - SUMIF($F$1:$F4627, F4628, $H$1:$H4627))
</f>
        <v/>
      </c>
      <c r="I4628" s="26"/>
      <c r="J4628" s="26" t="s">
        <v>77</v>
      </c>
      <c r="L4628" s="27" t="s">
        <v>77</v>
      </c>
      <c r="N4628" s="28" t="s">
        <v>77</v>
      </c>
      <c r="Q4628" s="30"/>
    </row>
    <row r="4629">
      <c r="B4629" s="6"/>
      <c r="C4629" s="33" t="str">
        <f t="array" ref="C4629">IF(B4629="", "", XLOOKUP(B4629, Inventory!D:D,Inventory!E:E,"No Name Found"))</f>
        <v/>
      </c>
      <c r="D4629" s="6"/>
      <c r="E4629" s="6"/>
      <c r="F4629" s="6"/>
      <c r="G4629" s="24" t="str">
        <f>IF(F4629="", "", VLOOKUP(F4629, Inventory!A:BZ, 3, FALSE) - SUMIF($F$1:$F4628, F4629, $H$1:$H4628))
</f>
        <v/>
      </c>
      <c r="I4629" s="26"/>
      <c r="J4629" s="26" t="s">
        <v>77</v>
      </c>
      <c r="L4629" s="27" t="s">
        <v>77</v>
      </c>
      <c r="N4629" s="28" t="s">
        <v>77</v>
      </c>
      <c r="Q4629" s="30"/>
    </row>
    <row r="4630">
      <c r="B4630" s="6"/>
      <c r="C4630" s="33" t="str">
        <f t="array" ref="C4630">IF(B4630="", "", XLOOKUP(B4630, Inventory!D:D,Inventory!E:E,"No Name Found"))</f>
        <v/>
      </c>
      <c r="D4630" s="6"/>
      <c r="E4630" s="6"/>
      <c r="F4630" s="6"/>
      <c r="G4630" s="24" t="str">
        <f>IF(F4630="", "", VLOOKUP(F4630, Inventory!A:BZ, 3, FALSE) - SUMIF($F$1:$F4629, F4630, $H$1:$H4629))
</f>
        <v/>
      </c>
      <c r="I4630" s="26"/>
      <c r="J4630" s="26" t="s">
        <v>77</v>
      </c>
      <c r="L4630" s="27" t="s">
        <v>77</v>
      </c>
      <c r="N4630" s="28" t="s">
        <v>77</v>
      </c>
      <c r="Q4630" s="30"/>
    </row>
    <row r="4631">
      <c r="B4631" s="6"/>
      <c r="C4631" s="33" t="str">
        <f t="array" ref="C4631">IF(B4631="", "", XLOOKUP(B4631, Inventory!D:D,Inventory!E:E,"No Name Found"))</f>
        <v/>
      </c>
      <c r="D4631" s="6"/>
      <c r="E4631" s="6"/>
      <c r="F4631" s="6"/>
      <c r="G4631" s="24" t="str">
        <f>IF(F4631="", "", VLOOKUP(F4631, Inventory!A:BZ, 3, FALSE) - SUMIF($F$1:$F4630, F4631, $H$1:$H4630))
</f>
        <v/>
      </c>
      <c r="I4631" s="26"/>
      <c r="J4631" s="26" t="s">
        <v>77</v>
      </c>
      <c r="L4631" s="27" t="s">
        <v>77</v>
      </c>
      <c r="N4631" s="28" t="s">
        <v>77</v>
      </c>
      <c r="Q4631" s="30"/>
    </row>
    <row r="4632">
      <c r="B4632" s="6"/>
      <c r="C4632" s="33" t="str">
        <f t="array" ref="C4632">IF(B4632="", "", XLOOKUP(B4632, Inventory!D:D,Inventory!E:E,"No Name Found"))</f>
        <v/>
      </c>
      <c r="D4632" s="6"/>
      <c r="E4632" s="6"/>
      <c r="F4632" s="6"/>
      <c r="G4632" s="24" t="str">
        <f>IF(F4632="", "", VLOOKUP(F4632, Inventory!A:BZ, 3, FALSE) - SUMIF($F$1:$F4631, F4632, $H$1:$H4631))
</f>
        <v/>
      </c>
      <c r="I4632" s="26"/>
      <c r="J4632" s="26" t="s">
        <v>77</v>
      </c>
      <c r="L4632" s="27" t="s">
        <v>77</v>
      </c>
      <c r="N4632" s="28" t="s">
        <v>77</v>
      </c>
      <c r="Q4632" s="30"/>
    </row>
    <row r="4633">
      <c r="B4633" s="6"/>
      <c r="C4633" s="33" t="str">
        <f t="array" ref="C4633">IF(B4633="", "", XLOOKUP(B4633, Inventory!D:D,Inventory!E:E,"No Name Found"))</f>
        <v/>
      </c>
      <c r="D4633" s="6"/>
      <c r="E4633" s="6"/>
      <c r="F4633" s="6"/>
      <c r="G4633" s="24" t="str">
        <f>IF(F4633="", "", VLOOKUP(F4633, Inventory!A:BZ, 3, FALSE) - SUMIF($F$1:$F4632, F4633, $H$1:$H4632))
</f>
        <v/>
      </c>
      <c r="I4633" s="26"/>
      <c r="J4633" s="26" t="s">
        <v>77</v>
      </c>
      <c r="L4633" s="27" t="s">
        <v>77</v>
      </c>
      <c r="N4633" s="28" t="s">
        <v>77</v>
      </c>
      <c r="Q4633" s="30"/>
    </row>
    <row r="4634">
      <c r="B4634" s="6"/>
      <c r="C4634" s="33" t="str">
        <f t="array" ref="C4634">IF(B4634="", "", XLOOKUP(B4634, Inventory!D:D,Inventory!E:E,"No Name Found"))</f>
        <v/>
      </c>
      <c r="D4634" s="6"/>
      <c r="E4634" s="6"/>
      <c r="F4634" s="6"/>
      <c r="G4634" s="24" t="str">
        <f>IF(F4634="", "", VLOOKUP(F4634, Inventory!A:BZ, 3, FALSE) - SUMIF($F$1:$F4633, F4634, $H$1:$H4633))
</f>
        <v/>
      </c>
      <c r="I4634" s="26"/>
      <c r="J4634" s="26" t="s">
        <v>77</v>
      </c>
      <c r="L4634" s="27" t="s">
        <v>77</v>
      </c>
      <c r="N4634" s="28" t="s">
        <v>77</v>
      </c>
      <c r="Q4634" s="30"/>
    </row>
    <row r="4635">
      <c r="B4635" s="6"/>
      <c r="C4635" s="33" t="str">
        <f t="array" ref="C4635">IF(B4635="", "", XLOOKUP(B4635, Inventory!D:D,Inventory!E:E,"No Name Found"))</f>
        <v/>
      </c>
      <c r="D4635" s="6"/>
      <c r="E4635" s="6"/>
      <c r="F4635" s="6"/>
      <c r="G4635" s="24" t="str">
        <f>IF(F4635="", "", VLOOKUP(F4635, Inventory!A:BZ, 3, FALSE) - SUMIF($F$1:$F4634, F4635, $H$1:$H4634))
</f>
        <v/>
      </c>
      <c r="I4635" s="26"/>
      <c r="J4635" s="26" t="s">
        <v>77</v>
      </c>
      <c r="L4635" s="27" t="s">
        <v>77</v>
      </c>
      <c r="N4635" s="28" t="s">
        <v>77</v>
      </c>
      <c r="Q4635" s="30"/>
    </row>
    <row r="4636">
      <c r="B4636" s="6"/>
      <c r="C4636" s="33" t="str">
        <f t="array" ref="C4636">IF(B4636="", "", XLOOKUP(B4636, Inventory!D:D,Inventory!E:E,"No Name Found"))</f>
        <v/>
      </c>
      <c r="D4636" s="6"/>
      <c r="E4636" s="6"/>
      <c r="F4636" s="6"/>
      <c r="G4636" s="24" t="str">
        <f>IF(F4636="", "", VLOOKUP(F4636, Inventory!A:BZ, 3, FALSE) - SUMIF($F$1:$F4635, F4636, $H$1:$H4635))
</f>
        <v/>
      </c>
      <c r="I4636" s="26"/>
      <c r="J4636" s="26" t="s">
        <v>77</v>
      </c>
      <c r="L4636" s="27" t="s">
        <v>77</v>
      </c>
      <c r="N4636" s="28" t="s">
        <v>77</v>
      </c>
      <c r="Q4636" s="30"/>
    </row>
    <row r="4637">
      <c r="B4637" s="6"/>
      <c r="C4637" s="33" t="str">
        <f t="array" ref="C4637">IF(B4637="", "", XLOOKUP(B4637, Inventory!D:D,Inventory!E:E,"No Name Found"))</f>
        <v/>
      </c>
      <c r="D4637" s="6"/>
      <c r="E4637" s="6"/>
      <c r="F4637" s="6"/>
      <c r="G4637" s="24" t="str">
        <f>IF(F4637="", "", VLOOKUP(F4637, Inventory!A:BZ, 3, FALSE) - SUMIF($F$1:$F4636, F4637, $H$1:$H4636))
</f>
        <v/>
      </c>
      <c r="I4637" s="26"/>
      <c r="J4637" s="26" t="s">
        <v>77</v>
      </c>
      <c r="L4637" s="27" t="s">
        <v>77</v>
      </c>
      <c r="N4637" s="28" t="s">
        <v>77</v>
      </c>
      <c r="Q4637" s="30"/>
    </row>
    <row r="4638">
      <c r="B4638" s="6"/>
      <c r="C4638" s="33" t="str">
        <f t="array" ref="C4638">IF(B4638="", "", XLOOKUP(B4638, Inventory!D:D,Inventory!E:E,"No Name Found"))</f>
        <v/>
      </c>
      <c r="D4638" s="6"/>
      <c r="E4638" s="6"/>
      <c r="F4638" s="6"/>
      <c r="G4638" s="24" t="str">
        <f>IF(F4638="", "", VLOOKUP(F4638, Inventory!A:BZ, 3, FALSE) - SUMIF($F$1:$F4637, F4638, $H$1:$H4637))
</f>
        <v/>
      </c>
      <c r="I4638" s="26"/>
      <c r="J4638" s="26" t="s">
        <v>77</v>
      </c>
      <c r="L4638" s="27" t="s">
        <v>77</v>
      </c>
      <c r="N4638" s="28" t="s">
        <v>77</v>
      </c>
      <c r="Q4638" s="30"/>
    </row>
    <row r="4639">
      <c r="B4639" s="6"/>
      <c r="C4639" s="33" t="str">
        <f t="array" ref="C4639">IF(B4639="", "", XLOOKUP(B4639, Inventory!D:D,Inventory!E:E,"No Name Found"))</f>
        <v/>
      </c>
      <c r="D4639" s="6"/>
      <c r="E4639" s="6"/>
      <c r="F4639" s="6"/>
      <c r="G4639" s="24" t="str">
        <f>IF(F4639="", "", VLOOKUP(F4639, Inventory!A:BZ, 3, FALSE) - SUMIF($F$1:$F4638, F4639, $H$1:$H4638))
</f>
        <v/>
      </c>
      <c r="I4639" s="26"/>
      <c r="J4639" s="26" t="s">
        <v>77</v>
      </c>
      <c r="L4639" s="27" t="s">
        <v>77</v>
      </c>
      <c r="N4639" s="28" t="s">
        <v>77</v>
      </c>
      <c r="Q4639" s="30"/>
    </row>
    <row r="4640">
      <c r="B4640" s="6"/>
      <c r="C4640" s="33" t="str">
        <f t="array" ref="C4640">IF(B4640="", "", XLOOKUP(B4640, Inventory!D:D,Inventory!E:E,"No Name Found"))</f>
        <v/>
      </c>
      <c r="D4640" s="6"/>
      <c r="E4640" s="6"/>
      <c r="F4640" s="6"/>
      <c r="G4640" s="24" t="str">
        <f>IF(F4640="", "", VLOOKUP(F4640, Inventory!A:BZ, 3, FALSE) - SUMIF($F$1:$F4639, F4640, $H$1:$H4639))
</f>
        <v/>
      </c>
      <c r="I4640" s="26"/>
      <c r="J4640" s="26" t="s">
        <v>77</v>
      </c>
      <c r="L4640" s="27" t="s">
        <v>77</v>
      </c>
      <c r="N4640" s="28" t="s">
        <v>77</v>
      </c>
      <c r="Q4640" s="30"/>
    </row>
    <row r="4641">
      <c r="B4641" s="6"/>
      <c r="C4641" s="33" t="str">
        <f t="array" ref="C4641">IF(B4641="", "", XLOOKUP(B4641, Inventory!D:D,Inventory!E:E,"No Name Found"))</f>
        <v/>
      </c>
      <c r="D4641" s="6"/>
      <c r="E4641" s="6"/>
      <c r="F4641" s="6"/>
      <c r="G4641" s="24" t="str">
        <f>IF(F4641="", "", VLOOKUP(F4641, Inventory!A:BZ, 3, FALSE) - SUMIF($F$1:$F4640, F4641, $H$1:$H4640))
</f>
        <v/>
      </c>
      <c r="I4641" s="26"/>
      <c r="J4641" s="26" t="s">
        <v>77</v>
      </c>
      <c r="L4641" s="27" t="s">
        <v>77</v>
      </c>
      <c r="N4641" s="28" t="s">
        <v>77</v>
      </c>
      <c r="Q4641" s="30"/>
    </row>
    <row r="4642">
      <c r="B4642" s="6"/>
      <c r="C4642" s="33" t="str">
        <f t="array" ref="C4642">IF(B4642="", "", XLOOKUP(B4642, Inventory!D:D,Inventory!E:E,"No Name Found"))</f>
        <v/>
      </c>
      <c r="D4642" s="6"/>
      <c r="E4642" s="6"/>
      <c r="F4642" s="6"/>
      <c r="G4642" s="24" t="str">
        <f>IF(F4642="", "", VLOOKUP(F4642, Inventory!A:BZ, 3, FALSE) - SUMIF($F$1:$F4641, F4642, $H$1:$H4641))
</f>
        <v/>
      </c>
      <c r="I4642" s="26"/>
      <c r="J4642" s="26" t="s">
        <v>77</v>
      </c>
      <c r="L4642" s="27" t="s">
        <v>77</v>
      </c>
      <c r="N4642" s="28" t="s">
        <v>77</v>
      </c>
      <c r="Q4642" s="30"/>
    </row>
    <row r="4643">
      <c r="B4643" s="6"/>
      <c r="C4643" s="33" t="str">
        <f t="array" ref="C4643">IF(B4643="", "", XLOOKUP(B4643, Inventory!D:D,Inventory!E:E,"No Name Found"))</f>
        <v/>
      </c>
      <c r="D4643" s="6"/>
      <c r="E4643" s="6"/>
      <c r="F4643" s="6"/>
      <c r="G4643" s="24" t="str">
        <f>IF(F4643="", "", VLOOKUP(F4643, Inventory!A:BZ, 3, FALSE) - SUMIF($F$1:$F4642, F4643, $H$1:$H4642))
</f>
        <v/>
      </c>
      <c r="I4643" s="26"/>
      <c r="J4643" s="26" t="s">
        <v>77</v>
      </c>
      <c r="L4643" s="27" t="s">
        <v>77</v>
      </c>
      <c r="N4643" s="28" t="s">
        <v>77</v>
      </c>
      <c r="Q4643" s="30"/>
    </row>
    <row r="4644">
      <c r="B4644" s="6"/>
      <c r="C4644" s="33" t="str">
        <f t="array" ref="C4644">IF(B4644="", "", XLOOKUP(B4644, Inventory!D:D,Inventory!E:E,"No Name Found"))</f>
        <v/>
      </c>
      <c r="D4644" s="6"/>
      <c r="E4644" s="6"/>
      <c r="F4644" s="6"/>
      <c r="G4644" s="24" t="str">
        <f>IF(F4644="", "", VLOOKUP(F4644, Inventory!A:BZ, 3, FALSE) - SUMIF($F$1:$F4643, F4644, $H$1:$H4643))
</f>
        <v/>
      </c>
      <c r="I4644" s="26"/>
      <c r="J4644" s="26" t="s">
        <v>77</v>
      </c>
      <c r="L4644" s="27" t="s">
        <v>77</v>
      </c>
      <c r="N4644" s="28" t="s">
        <v>77</v>
      </c>
      <c r="Q4644" s="30"/>
    </row>
    <row r="4645">
      <c r="B4645" s="6"/>
      <c r="C4645" s="33" t="str">
        <f t="array" ref="C4645">IF(B4645="", "", XLOOKUP(B4645, Inventory!D:D,Inventory!E:E,"No Name Found"))</f>
        <v/>
      </c>
      <c r="D4645" s="6"/>
      <c r="E4645" s="6"/>
      <c r="F4645" s="6"/>
      <c r="G4645" s="24" t="str">
        <f>IF(F4645="", "", VLOOKUP(F4645, Inventory!A:BZ, 3, FALSE) - SUMIF($F$1:$F4644, F4645, $H$1:$H4644))
</f>
        <v/>
      </c>
      <c r="I4645" s="26"/>
      <c r="J4645" s="26" t="s">
        <v>77</v>
      </c>
      <c r="L4645" s="27" t="s">
        <v>77</v>
      </c>
      <c r="N4645" s="28" t="s">
        <v>77</v>
      </c>
      <c r="Q4645" s="30"/>
    </row>
    <row r="4646">
      <c r="B4646" s="6"/>
      <c r="C4646" s="33" t="str">
        <f t="array" ref="C4646">IF(B4646="", "", XLOOKUP(B4646, Inventory!D:D,Inventory!E:E,"No Name Found"))</f>
        <v/>
      </c>
      <c r="D4646" s="6"/>
      <c r="E4646" s="6"/>
      <c r="F4646" s="6"/>
      <c r="G4646" s="24" t="str">
        <f>IF(F4646="", "", VLOOKUP(F4646, Inventory!A:BZ, 3, FALSE) - SUMIF($F$1:$F4645, F4646, $H$1:$H4645))
</f>
        <v/>
      </c>
      <c r="I4646" s="26"/>
      <c r="J4646" s="26" t="s">
        <v>77</v>
      </c>
      <c r="L4646" s="27" t="s">
        <v>77</v>
      </c>
      <c r="N4646" s="28" t="s">
        <v>77</v>
      </c>
      <c r="Q4646" s="30"/>
    </row>
    <row r="4647">
      <c r="B4647" s="6"/>
      <c r="C4647" s="33" t="str">
        <f t="array" ref="C4647">IF(B4647="", "", XLOOKUP(B4647, Inventory!D:D,Inventory!E:E,"No Name Found"))</f>
        <v/>
      </c>
      <c r="D4647" s="6"/>
      <c r="E4647" s="6"/>
      <c r="F4647" s="6"/>
      <c r="G4647" s="24" t="str">
        <f>IF(F4647="", "", VLOOKUP(F4647, Inventory!A:BZ, 3, FALSE) - SUMIF($F$1:$F4646, F4647, $H$1:$H4646))
</f>
        <v/>
      </c>
      <c r="I4647" s="26"/>
      <c r="J4647" s="26" t="s">
        <v>77</v>
      </c>
      <c r="L4647" s="27" t="s">
        <v>77</v>
      </c>
      <c r="N4647" s="28" t="s">
        <v>77</v>
      </c>
      <c r="Q4647" s="30"/>
    </row>
    <row r="4648">
      <c r="B4648" s="6"/>
      <c r="C4648" s="33" t="str">
        <f t="array" ref="C4648">IF(B4648="", "", XLOOKUP(B4648, Inventory!D:D,Inventory!E:E,"No Name Found"))</f>
        <v/>
      </c>
      <c r="D4648" s="6"/>
      <c r="E4648" s="6"/>
      <c r="F4648" s="6"/>
      <c r="G4648" s="24" t="str">
        <f>IF(F4648="", "", VLOOKUP(F4648, Inventory!A:BZ, 3, FALSE) - SUMIF($F$1:$F4647, F4648, $H$1:$H4647))
</f>
        <v/>
      </c>
      <c r="I4648" s="26"/>
      <c r="J4648" s="26" t="s">
        <v>77</v>
      </c>
      <c r="L4648" s="27" t="s">
        <v>77</v>
      </c>
      <c r="N4648" s="28" t="s">
        <v>77</v>
      </c>
      <c r="Q4648" s="30"/>
    </row>
    <row r="4649">
      <c r="B4649" s="6"/>
      <c r="C4649" s="33" t="str">
        <f t="array" ref="C4649">IF(B4649="", "", XLOOKUP(B4649, Inventory!D:D,Inventory!E:E,"No Name Found"))</f>
        <v/>
      </c>
      <c r="D4649" s="6"/>
      <c r="E4649" s="6"/>
      <c r="F4649" s="6"/>
      <c r="G4649" s="24" t="str">
        <f>IF(F4649="", "", VLOOKUP(F4649, Inventory!A:BZ, 3, FALSE) - SUMIF($F$1:$F4648, F4649, $H$1:$H4648))
</f>
        <v/>
      </c>
      <c r="I4649" s="26"/>
      <c r="J4649" s="26" t="s">
        <v>77</v>
      </c>
      <c r="L4649" s="27" t="s">
        <v>77</v>
      </c>
      <c r="N4649" s="28" t="s">
        <v>77</v>
      </c>
      <c r="Q4649" s="30"/>
    </row>
    <row r="4650">
      <c r="B4650" s="6"/>
      <c r="C4650" s="33" t="str">
        <f t="array" ref="C4650">IF(B4650="", "", XLOOKUP(B4650, Inventory!D:D,Inventory!E:E,"No Name Found"))</f>
        <v/>
      </c>
      <c r="D4650" s="6"/>
      <c r="E4650" s="6"/>
      <c r="F4650" s="6"/>
      <c r="G4650" s="24" t="str">
        <f>IF(F4650="", "", VLOOKUP(F4650, Inventory!A:BZ, 3, FALSE) - SUMIF($F$1:$F4649, F4650, $H$1:$H4649))
</f>
        <v/>
      </c>
      <c r="I4650" s="26"/>
      <c r="J4650" s="26" t="s">
        <v>77</v>
      </c>
      <c r="L4650" s="27" t="s">
        <v>77</v>
      </c>
      <c r="N4650" s="28" t="s">
        <v>77</v>
      </c>
      <c r="Q4650" s="30"/>
    </row>
    <row r="4651">
      <c r="B4651" s="6"/>
      <c r="C4651" s="33" t="str">
        <f t="array" ref="C4651">IF(B4651="", "", XLOOKUP(B4651, Inventory!D:D,Inventory!E:E,"No Name Found"))</f>
        <v/>
      </c>
      <c r="D4651" s="6"/>
      <c r="E4651" s="6"/>
      <c r="F4651" s="6"/>
      <c r="G4651" s="24" t="str">
        <f>IF(F4651="", "", VLOOKUP(F4651, Inventory!A:BZ, 3, FALSE) - SUMIF($F$1:$F4650, F4651, $H$1:$H4650))
</f>
        <v/>
      </c>
      <c r="I4651" s="26"/>
      <c r="J4651" s="26" t="s">
        <v>77</v>
      </c>
      <c r="L4651" s="27" t="s">
        <v>77</v>
      </c>
      <c r="N4651" s="28" t="s">
        <v>77</v>
      </c>
      <c r="Q4651" s="30"/>
    </row>
    <row r="4652">
      <c r="B4652" s="6"/>
      <c r="C4652" s="33" t="str">
        <f t="array" ref="C4652">IF(B4652="", "", XLOOKUP(B4652, Inventory!D:D,Inventory!E:E,"No Name Found"))</f>
        <v/>
      </c>
      <c r="D4652" s="6"/>
      <c r="E4652" s="6"/>
      <c r="F4652" s="6"/>
      <c r="G4652" s="24" t="str">
        <f>IF(F4652="", "", VLOOKUP(F4652, Inventory!A:BZ, 3, FALSE) - SUMIF($F$1:$F4651, F4652, $H$1:$H4651))
</f>
        <v/>
      </c>
      <c r="I4652" s="26"/>
      <c r="J4652" s="26" t="s">
        <v>77</v>
      </c>
      <c r="L4652" s="27" t="s">
        <v>77</v>
      </c>
      <c r="N4652" s="28" t="s">
        <v>77</v>
      </c>
      <c r="Q4652" s="30"/>
    </row>
    <row r="4653">
      <c r="B4653" s="6"/>
      <c r="C4653" s="33" t="str">
        <f t="array" ref="C4653">IF(B4653="", "", XLOOKUP(B4653, Inventory!D:D,Inventory!E:E,"No Name Found"))</f>
        <v/>
      </c>
      <c r="D4653" s="6"/>
      <c r="E4653" s="6"/>
      <c r="F4653" s="6"/>
      <c r="G4653" s="24" t="str">
        <f>IF(F4653="", "", VLOOKUP(F4653, Inventory!A:BZ, 3, FALSE) - SUMIF($F$1:$F4652, F4653, $H$1:$H4652))
</f>
        <v/>
      </c>
      <c r="I4653" s="26"/>
      <c r="J4653" s="26" t="s">
        <v>77</v>
      </c>
      <c r="L4653" s="27" t="s">
        <v>77</v>
      </c>
      <c r="N4653" s="28" t="s">
        <v>77</v>
      </c>
      <c r="Q4653" s="30"/>
    </row>
    <row r="4654">
      <c r="B4654" s="6"/>
      <c r="C4654" s="33" t="str">
        <f t="array" ref="C4654">IF(B4654="", "", XLOOKUP(B4654, Inventory!D:D,Inventory!E:E,"No Name Found"))</f>
        <v/>
      </c>
      <c r="D4654" s="6"/>
      <c r="E4654" s="6"/>
      <c r="F4654" s="6"/>
      <c r="G4654" s="24" t="str">
        <f>IF(F4654="", "", VLOOKUP(F4654, Inventory!A:BZ, 3, FALSE) - SUMIF($F$1:$F4653, F4654, $H$1:$H4653))
</f>
        <v/>
      </c>
      <c r="I4654" s="26"/>
      <c r="J4654" s="26" t="s">
        <v>77</v>
      </c>
      <c r="L4654" s="27" t="s">
        <v>77</v>
      </c>
      <c r="N4654" s="28" t="s">
        <v>77</v>
      </c>
      <c r="Q4654" s="30"/>
    </row>
    <row r="4655">
      <c r="B4655" s="6"/>
      <c r="C4655" s="33" t="str">
        <f t="array" ref="C4655">IF(B4655="", "", XLOOKUP(B4655, Inventory!D:D,Inventory!E:E,"No Name Found"))</f>
        <v/>
      </c>
      <c r="D4655" s="6"/>
      <c r="E4655" s="6"/>
      <c r="F4655" s="6"/>
      <c r="G4655" s="24" t="str">
        <f>IF(F4655="", "", VLOOKUP(F4655, Inventory!A:BZ, 3, FALSE) - SUMIF($F$1:$F4654, F4655, $H$1:$H4654))
</f>
        <v/>
      </c>
      <c r="I4655" s="26"/>
      <c r="J4655" s="26" t="s">
        <v>77</v>
      </c>
      <c r="L4655" s="27" t="s">
        <v>77</v>
      </c>
      <c r="N4655" s="28" t="s">
        <v>77</v>
      </c>
      <c r="Q4655" s="30"/>
    </row>
    <row r="4656">
      <c r="B4656" s="6"/>
      <c r="C4656" s="33" t="str">
        <f t="array" ref="C4656">IF(B4656="", "", XLOOKUP(B4656, Inventory!D:D,Inventory!E:E,"No Name Found"))</f>
        <v/>
      </c>
      <c r="D4656" s="6"/>
      <c r="E4656" s="6"/>
      <c r="F4656" s="6"/>
      <c r="G4656" s="24" t="str">
        <f>IF(F4656="", "", VLOOKUP(F4656, Inventory!A:BZ, 3, FALSE) - SUMIF($F$1:$F4655, F4656, $H$1:$H4655))
</f>
        <v/>
      </c>
      <c r="I4656" s="26"/>
      <c r="J4656" s="26" t="s">
        <v>77</v>
      </c>
      <c r="L4656" s="27" t="s">
        <v>77</v>
      </c>
      <c r="N4656" s="28" t="s">
        <v>77</v>
      </c>
      <c r="Q4656" s="30"/>
    </row>
    <row r="4657">
      <c r="B4657" s="6"/>
      <c r="C4657" s="33" t="str">
        <f t="array" ref="C4657">IF(B4657="", "", XLOOKUP(B4657, Inventory!D:D,Inventory!E:E,"No Name Found"))</f>
        <v/>
      </c>
      <c r="D4657" s="6"/>
      <c r="E4657" s="6"/>
      <c r="F4657" s="6"/>
      <c r="G4657" s="24" t="str">
        <f>IF(F4657="", "", VLOOKUP(F4657, Inventory!A:BZ, 3, FALSE) - SUMIF($F$1:$F4656, F4657, $H$1:$H4656))
</f>
        <v/>
      </c>
      <c r="I4657" s="26"/>
      <c r="J4657" s="26" t="s">
        <v>77</v>
      </c>
      <c r="L4657" s="27" t="s">
        <v>77</v>
      </c>
      <c r="N4657" s="28" t="s">
        <v>77</v>
      </c>
      <c r="Q4657" s="30"/>
    </row>
    <row r="4658">
      <c r="B4658" s="6"/>
      <c r="C4658" s="33" t="str">
        <f t="array" ref="C4658">IF(B4658="", "", XLOOKUP(B4658, Inventory!D:D,Inventory!E:E,"No Name Found"))</f>
        <v/>
      </c>
      <c r="D4658" s="6"/>
      <c r="E4658" s="6"/>
      <c r="F4658" s="6"/>
      <c r="G4658" s="24" t="str">
        <f>IF(F4658="", "", VLOOKUP(F4658, Inventory!A:BZ, 3, FALSE) - SUMIF($F$1:$F4657, F4658, $H$1:$H4657))
</f>
        <v/>
      </c>
      <c r="I4658" s="26"/>
      <c r="J4658" s="26" t="s">
        <v>77</v>
      </c>
      <c r="L4658" s="27" t="s">
        <v>77</v>
      </c>
      <c r="N4658" s="28" t="s">
        <v>77</v>
      </c>
      <c r="Q4658" s="30"/>
    </row>
    <row r="4659">
      <c r="B4659" s="6"/>
      <c r="C4659" s="33" t="str">
        <f t="array" ref="C4659">IF(B4659="", "", XLOOKUP(B4659, Inventory!D:D,Inventory!E:E,"No Name Found"))</f>
        <v/>
      </c>
      <c r="D4659" s="6"/>
      <c r="E4659" s="6"/>
      <c r="F4659" s="6"/>
      <c r="G4659" s="24" t="str">
        <f>IF(F4659="", "", VLOOKUP(F4659, Inventory!A:BZ, 3, FALSE) - SUMIF($F$1:$F4658, F4659, $H$1:$H4658))
</f>
        <v/>
      </c>
      <c r="I4659" s="26"/>
      <c r="J4659" s="26" t="s">
        <v>77</v>
      </c>
      <c r="L4659" s="27" t="s">
        <v>77</v>
      </c>
      <c r="N4659" s="28" t="s">
        <v>77</v>
      </c>
      <c r="Q4659" s="30"/>
    </row>
    <row r="4660">
      <c r="B4660" s="6"/>
      <c r="C4660" s="33" t="str">
        <f t="array" ref="C4660">IF(B4660="", "", XLOOKUP(B4660, Inventory!D:D,Inventory!E:E,"No Name Found"))</f>
        <v/>
      </c>
      <c r="D4660" s="6"/>
      <c r="E4660" s="6"/>
      <c r="F4660" s="6"/>
      <c r="G4660" s="24" t="str">
        <f>IF(F4660="", "", VLOOKUP(F4660, Inventory!A:BZ, 3, FALSE) - SUMIF($F$1:$F4659, F4660, $H$1:$H4659))
</f>
        <v/>
      </c>
      <c r="I4660" s="26"/>
      <c r="J4660" s="26" t="s">
        <v>77</v>
      </c>
      <c r="L4660" s="27" t="s">
        <v>77</v>
      </c>
      <c r="N4660" s="28" t="s">
        <v>77</v>
      </c>
      <c r="Q4660" s="30"/>
    </row>
    <row r="4661">
      <c r="B4661" s="6"/>
      <c r="C4661" s="33" t="str">
        <f t="array" ref="C4661">IF(B4661="", "", XLOOKUP(B4661, Inventory!D:D,Inventory!E:E,"No Name Found"))</f>
        <v/>
      </c>
      <c r="D4661" s="6"/>
      <c r="E4661" s="6"/>
      <c r="F4661" s="6"/>
      <c r="G4661" s="24" t="str">
        <f>IF(F4661="", "", VLOOKUP(F4661, Inventory!A:BZ, 3, FALSE) - SUMIF($F$1:$F4660, F4661, $H$1:$H4660))
</f>
        <v/>
      </c>
      <c r="I4661" s="26"/>
      <c r="J4661" s="26" t="s">
        <v>77</v>
      </c>
      <c r="L4661" s="27" t="s">
        <v>77</v>
      </c>
      <c r="N4661" s="28" t="s">
        <v>77</v>
      </c>
      <c r="Q4661" s="30"/>
    </row>
    <row r="4662">
      <c r="B4662" s="6"/>
      <c r="C4662" s="33" t="str">
        <f t="array" ref="C4662">IF(B4662="", "", XLOOKUP(B4662, Inventory!D:D,Inventory!E:E,"No Name Found"))</f>
        <v/>
      </c>
      <c r="D4662" s="6"/>
      <c r="E4662" s="6"/>
      <c r="F4662" s="6"/>
      <c r="G4662" s="24" t="str">
        <f>IF(F4662="", "", VLOOKUP(F4662, Inventory!A:BZ, 3, FALSE) - SUMIF($F$1:$F4661, F4662, $H$1:$H4661))
</f>
        <v/>
      </c>
      <c r="I4662" s="26"/>
      <c r="J4662" s="26" t="s">
        <v>77</v>
      </c>
      <c r="L4662" s="27" t="s">
        <v>77</v>
      </c>
      <c r="N4662" s="28" t="s">
        <v>77</v>
      </c>
      <c r="Q4662" s="30"/>
    </row>
    <row r="4663">
      <c r="B4663" s="6"/>
      <c r="C4663" s="33" t="str">
        <f t="array" ref="C4663">IF(B4663="", "", XLOOKUP(B4663, Inventory!D:D,Inventory!E:E,"No Name Found"))</f>
        <v/>
      </c>
      <c r="D4663" s="6"/>
      <c r="E4663" s="6"/>
      <c r="F4663" s="6"/>
      <c r="G4663" s="24" t="str">
        <f>IF(F4663="", "", VLOOKUP(F4663, Inventory!A:BZ, 3, FALSE) - SUMIF($F$1:$F4662, F4663, $H$1:$H4662))
</f>
        <v/>
      </c>
      <c r="I4663" s="26"/>
      <c r="J4663" s="26" t="s">
        <v>77</v>
      </c>
      <c r="L4663" s="27" t="s">
        <v>77</v>
      </c>
      <c r="N4663" s="28" t="s">
        <v>77</v>
      </c>
      <c r="Q4663" s="30"/>
    </row>
    <row r="4664">
      <c r="B4664" s="6"/>
      <c r="C4664" s="33" t="str">
        <f t="array" ref="C4664">IF(B4664="", "", XLOOKUP(B4664, Inventory!D:D,Inventory!E:E,"No Name Found"))</f>
        <v/>
      </c>
      <c r="D4664" s="6"/>
      <c r="E4664" s="6"/>
      <c r="F4664" s="6"/>
      <c r="G4664" s="24" t="str">
        <f>IF(F4664="", "", VLOOKUP(F4664, Inventory!A:BZ, 3, FALSE) - SUMIF($F$1:$F4663, F4664, $H$1:$H4663))
</f>
        <v/>
      </c>
      <c r="I4664" s="26"/>
      <c r="J4664" s="26" t="s">
        <v>77</v>
      </c>
      <c r="L4664" s="27" t="s">
        <v>77</v>
      </c>
      <c r="N4664" s="28" t="s">
        <v>77</v>
      </c>
      <c r="Q4664" s="30"/>
    </row>
    <row r="4665">
      <c r="B4665" s="6"/>
      <c r="C4665" s="33" t="str">
        <f t="array" ref="C4665">IF(B4665="", "", XLOOKUP(B4665, Inventory!D:D,Inventory!E:E,"No Name Found"))</f>
        <v/>
      </c>
      <c r="D4665" s="6"/>
      <c r="E4665" s="6"/>
      <c r="F4665" s="6"/>
      <c r="G4665" s="24" t="str">
        <f>IF(F4665="", "", VLOOKUP(F4665, Inventory!A:BZ, 3, FALSE) - SUMIF($F$1:$F4664, F4665, $H$1:$H4664))
</f>
        <v/>
      </c>
      <c r="I4665" s="26"/>
      <c r="J4665" s="26" t="s">
        <v>77</v>
      </c>
      <c r="L4665" s="27" t="s">
        <v>77</v>
      </c>
      <c r="N4665" s="28" t="s">
        <v>77</v>
      </c>
      <c r="Q4665" s="30"/>
    </row>
    <row r="4666">
      <c r="B4666" s="6"/>
      <c r="C4666" s="33" t="str">
        <f t="array" ref="C4666">IF(B4666="", "", XLOOKUP(B4666, Inventory!D:D,Inventory!E:E,"No Name Found"))</f>
        <v/>
      </c>
      <c r="D4666" s="6"/>
      <c r="E4666" s="6"/>
      <c r="F4666" s="6"/>
      <c r="G4666" s="24" t="str">
        <f>IF(F4666="", "", VLOOKUP(F4666, Inventory!A:BZ, 3, FALSE) - SUMIF($F$1:$F4665, F4666, $H$1:$H4665))
</f>
        <v/>
      </c>
      <c r="I4666" s="26"/>
      <c r="J4666" s="26" t="s">
        <v>77</v>
      </c>
      <c r="L4666" s="27" t="s">
        <v>77</v>
      </c>
      <c r="N4666" s="28" t="s">
        <v>77</v>
      </c>
      <c r="Q4666" s="30"/>
    </row>
    <row r="4667">
      <c r="B4667" s="6"/>
      <c r="C4667" s="33" t="str">
        <f t="array" ref="C4667">IF(B4667="", "", XLOOKUP(B4667, Inventory!D:D,Inventory!E:E,"No Name Found"))</f>
        <v/>
      </c>
      <c r="D4667" s="6"/>
      <c r="E4667" s="6"/>
      <c r="F4667" s="6"/>
      <c r="G4667" s="24" t="str">
        <f>IF(F4667="", "", VLOOKUP(F4667, Inventory!A:BZ, 3, FALSE) - SUMIF($F$1:$F4666, F4667, $H$1:$H4666))
</f>
        <v/>
      </c>
      <c r="I4667" s="26"/>
      <c r="J4667" s="26" t="s">
        <v>77</v>
      </c>
      <c r="L4667" s="27" t="s">
        <v>77</v>
      </c>
      <c r="N4667" s="28" t="s">
        <v>77</v>
      </c>
      <c r="Q4667" s="30"/>
    </row>
    <row r="4668">
      <c r="B4668" s="6"/>
      <c r="C4668" s="33" t="str">
        <f t="array" ref="C4668">IF(B4668="", "", XLOOKUP(B4668, Inventory!D:D,Inventory!E:E,"No Name Found"))</f>
        <v/>
      </c>
      <c r="D4668" s="6"/>
      <c r="E4668" s="6"/>
      <c r="F4668" s="6"/>
      <c r="G4668" s="24" t="str">
        <f>IF(F4668="", "", VLOOKUP(F4668, Inventory!A:BZ, 3, FALSE) - SUMIF($F$1:$F4667, F4668, $H$1:$H4667))
</f>
        <v/>
      </c>
      <c r="I4668" s="26"/>
      <c r="J4668" s="26" t="s">
        <v>77</v>
      </c>
      <c r="L4668" s="27" t="s">
        <v>77</v>
      </c>
      <c r="N4668" s="28" t="s">
        <v>77</v>
      </c>
      <c r="Q4668" s="30"/>
    </row>
    <row r="4669">
      <c r="B4669" s="6"/>
      <c r="C4669" s="33" t="str">
        <f t="array" ref="C4669">IF(B4669="", "", XLOOKUP(B4669, Inventory!D:D,Inventory!E:E,"No Name Found"))</f>
        <v/>
      </c>
      <c r="D4669" s="6"/>
      <c r="E4669" s="6"/>
      <c r="F4669" s="6"/>
      <c r="G4669" s="24" t="str">
        <f>IF(F4669="", "", VLOOKUP(F4669, Inventory!A:BZ, 3, FALSE) - SUMIF($F$1:$F4668, F4669, $H$1:$H4668))
</f>
        <v/>
      </c>
      <c r="I4669" s="26"/>
      <c r="J4669" s="26" t="s">
        <v>77</v>
      </c>
      <c r="L4669" s="27" t="s">
        <v>77</v>
      </c>
      <c r="N4669" s="28" t="s">
        <v>77</v>
      </c>
      <c r="Q4669" s="30"/>
    </row>
    <row r="4670">
      <c r="B4670" s="6"/>
      <c r="C4670" s="33" t="str">
        <f t="array" ref="C4670">IF(B4670="", "", XLOOKUP(B4670, Inventory!D:D,Inventory!E:E,"No Name Found"))</f>
        <v/>
      </c>
      <c r="D4670" s="6"/>
      <c r="E4670" s="6"/>
      <c r="F4670" s="6"/>
      <c r="G4670" s="24" t="str">
        <f>IF(F4670="", "", VLOOKUP(F4670, Inventory!A:BZ, 3, FALSE) - SUMIF($F$1:$F4669, F4670, $H$1:$H4669))
</f>
        <v/>
      </c>
      <c r="I4670" s="26"/>
      <c r="J4670" s="26" t="s">
        <v>77</v>
      </c>
      <c r="L4670" s="27" t="s">
        <v>77</v>
      </c>
      <c r="N4670" s="28" t="s">
        <v>77</v>
      </c>
      <c r="Q4670" s="30"/>
    </row>
    <row r="4671">
      <c r="B4671" s="6"/>
      <c r="C4671" s="33" t="str">
        <f t="array" ref="C4671">IF(B4671="", "", XLOOKUP(B4671, Inventory!D:D,Inventory!E:E,"No Name Found"))</f>
        <v/>
      </c>
      <c r="D4671" s="6"/>
      <c r="E4671" s="6"/>
      <c r="F4671" s="6"/>
      <c r="G4671" s="24" t="str">
        <f>IF(F4671="", "", VLOOKUP(F4671, Inventory!A:BZ, 3, FALSE) - SUMIF($F$1:$F4670, F4671, $H$1:$H4670))
</f>
        <v/>
      </c>
      <c r="I4671" s="26"/>
      <c r="J4671" s="26" t="s">
        <v>77</v>
      </c>
      <c r="L4671" s="27" t="s">
        <v>77</v>
      </c>
      <c r="N4671" s="28" t="s">
        <v>77</v>
      </c>
      <c r="Q4671" s="30"/>
    </row>
    <row r="4672">
      <c r="B4672" s="6"/>
      <c r="C4672" s="33" t="str">
        <f t="array" ref="C4672">IF(B4672="", "", XLOOKUP(B4672, Inventory!D:D,Inventory!E:E,"No Name Found"))</f>
        <v/>
      </c>
      <c r="D4672" s="6"/>
      <c r="E4672" s="6"/>
      <c r="F4672" s="6"/>
      <c r="G4672" s="24" t="str">
        <f>IF(F4672="", "", VLOOKUP(F4672, Inventory!A:BZ, 3, FALSE) - SUMIF($F$1:$F4671, F4672, $H$1:$H4671))
</f>
        <v/>
      </c>
      <c r="I4672" s="26"/>
      <c r="J4672" s="26" t="s">
        <v>77</v>
      </c>
      <c r="L4672" s="27" t="s">
        <v>77</v>
      </c>
      <c r="N4672" s="28" t="s">
        <v>77</v>
      </c>
      <c r="Q4672" s="30"/>
    </row>
    <row r="4673">
      <c r="B4673" s="6"/>
      <c r="C4673" s="33" t="str">
        <f t="array" ref="C4673">IF(B4673="", "", XLOOKUP(B4673, Inventory!D:D,Inventory!E:E,"No Name Found"))</f>
        <v/>
      </c>
      <c r="D4673" s="6"/>
      <c r="E4673" s="6"/>
      <c r="F4673" s="6"/>
      <c r="G4673" s="24" t="str">
        <f>IF(F4673="", "", VLOOKUP(F4673, Inventory!A:BZ, 3, FALSE) - SUMIF($F$1:$F4672, F4673, $H$1:$H4672))
</f>
        <v/>
      </c>
      <c r="I4673" s="26"/>
      <c r="J4673" s="26" t="s">
        <v>77</v>
      </c>
      <c r="L4673" s="27" t="s">
        <v>77</v>
      </c>
      <c r="N4673" s="28" t="s">
        <v>77</v>
      </c>
      <c r="Q4673" s="30"/>
    </row>
    <row r="4674">
      <c r="B4674" s="6"/>
      <c r="C4674" s="33" t="str">
        <f t="array" ref="C4674">IF(B4674="", "", XLOOKUP(B4674, Inventory!D:D,Inventory!E:E,"No Name Found"))</f>
        <v/>
      </c>
      <c r="D4674" s="6"/>
      <c r="E4674" s="6"/>
      <c r="F4674" s="6"/>
      <c r="G4674" s="24" t="str">
        <f>IF(F4674="", "", VLOOKUP(F4674, Inventory!A:BZ, 3, FALSE) - SUMIF($F$1:$F4673, F4674, $H$1:$H4673))
</f>
        <v/>
      </c>
      <c r="I4674" s="26"/>
      <c r="J4674" s="26" t="s">
        <v>77</v>
      </c>
      <c r="L4674" s="27" t="s">
        <v>77</v>
      </c>
      <c r="N4674" s="28" t="s">
        <v>77</v>
      </c>
      <c r="Q4674" s="30"/>
    </row>
    <row r="4675">
      <c r="B4675" s="6"/>
      <c r="C4675" s="33" t="str">
        <f t="array" ref="C4675">IF(B4675="", "", XLOOKUP(B4675, Inventory!D:D,Inventory!E:E,"No Name Found"))</f>
        <v/>
      </c>
      <c r="D4675" s="6"/>
      <c r="E4675" s="6"/>
      <c r="F4675" s="6"/>
      <c r="G4675" s="24" t="str">
        <f>IF(F4675="", "", VLOOKUP(F4675, Inventory!A:BZ, 3, FALSE) - SUMIF($F$1:$F4674, F4675, $H$1:$H4674))
</f>
        <v/>
      </c>
      <c r="I4675" s="26"/>
      <c r="J4675" s="26" t="s">
        <v>77</v>
      </c>
      <c r="L4675" s="27" t="s">
        <v>77</v>
      </c>
      <c r="N4675" s="28" t="s">
        <v>77</v>
      </c>
      <c r="Q4675" s="30"/>
    </row>
    <row r="4676">
      <c r="B4676" s="6"/>
      <c r="C4676" s="33" t="str">
        <f t="array" ref="C4676">IF(B4676="", "", XLOOKUP(B4676, Inventory!D:D,Inventory!E:E,"No Name Found"))</f>
        <v/>
      </c>
      <c r="D4676" s="6"/>
      <c r="E4676" s="6"/>
      <c r="F4676" s="6"/>
      <c r="G4676" s="24" t="str">
        <f>IF(F4676="", "", VLOOKUP(F4676, Inventory!A:BZ, 3, FALSE) - SUMIF($F$1:$F4675, F4676, $H$1:$H4675))
</f>
        <v/>
      </c>
      <c r="I4676" s="26"/>
      <c r="J4676" s="26" t="s">
        <v>77</v>
      </c>
      <c r="L4676" s="27" t="s">
        <v>77</v>
      </c>
      <c r="N4676" s="28" t="s">
        <v>77</v>
      </c>
      <c r="Q4676" s="30"/>
    </row>
    <row r="4677">
      <c r="B4677" s="6"/>
      <c r="C4677" s="33" t="str">
        <f t="array" ref="C4677">IF(B4677="", "", XLOOKUP(B4677, Inventory!D:D,Inventory!E:E,"No Name Found"))</f>
        <v/>
      </c>
      <c r="D4677" s="6"/>
      <c r="E4677" s="6"/>
      <c r="F4677" s="6"/>
      <c r="G4677" s="24" t="str">
        <f>IF(F4677="", "", VLOOKUP(F4677, Inventory!A:BZ, 3, FALSE) - SUMIF($F$1:$F4676, F4677, $H$1:$H4676))
</f>
        <v/>
      </c>
      <c r="I4677" s="26"/>
      <c r="J4677" s="26" t="s">
        <v>77</v>
      </c>
      <c r="L4677" s="27" t="s">
        <v>77</v>
      </c>
      <c r="N4677" s="28" t="s">
        <v>77</v>
      </c>
      <c r="Q4677" s="30"/>
    </row>
    <row r="4678">
      <c r="B4678" s="6"/>
      <c r="C4678" s="33" t="str">
        <f t="array" ref="C4678">IF(B4678="", "", XLOOKUP(B4678, Inventory!D:D,Inventory!E:E,"No Name Found"))</f>
        <v/>
      </c>
      <c r="D4678" s="6"/>
      <c r="E4678" s="6"/>
      <c r="F4678" s="6"/>
      <c r="G4678" s="24" t="str">
        <f>IF(F4678="", "", VLOOKUP(F4678, Inventory!A:BZ, 3, FALSE) - SUMIF($F$1:$F4677, F4678, $H$1:$H4677))
</f>
        <v/>
      </c>
      <c r="I4678" s="26"/>
      <c r="J4678" s="26" t="s">
        <v>77</v>
      </c>
      <c r="L4678" s="27" t="s">
        <v>77</v>
      </c>
      <c r="N4678" s="28" t="s">
        <v>77</v>
      </c>
      <c r="Q4678" s="30"/>
    </row>
    <row r="4679">
      <c r="B4679" s="6"/>
      <c r="C4679" s="33" t="str">
        <f t="array" ref="C4679">IF(B4679="", "", XLOOKUP(B4679, Inventory!D:D,Inventory!E:E,"No Name Found"))</f>
        <v/>
      </c>
      <c r="D4679" s="6"/>
      <c r="E4679" s="6"/>
      <c r="F4679" s="6"/>
      <c r="G4679" s="24" t="str">
        <f>IF(F4679="", "", VLOOKUP(F4679, Inventory!A:BZ, 3, FALSE) - SUMIF($F$1:$F4678, F4679, $H$1:$H4678))
</f>
        <v/>
      </c>
      <c r="I4679" s="26"/>
      <c r="J4679" s="26" t="s">
        <v>77</v>
      </c>
      <c r="L4679" s="27" t="s">
        <v>77</v>
      </c>
      <c r="N4679" s="28" t="s">
        <v>77</v>
      </c>
      <c r="Q4679" s="30"/>
    </row>
    <row r="4680">
      <c r="B4680" s="6"/>
      <c r="C4680" s="33" t="str">
        <f t="array" ref="C4680">IF(B4680="", "", XLOOKUP(B4680, Inventory!D:D,Inventory!E:E,"No Name Found"))</f>
        <v/>
      </c>
      <c r="D4680" s="6"/>
      <c r="E4680" s="6"/>
      <c r="F4680" s="6"/>
      <c r="G4680" s="24" t="str">
        <f>IF(F4680="", "", VLOOKUP(F4680, Inventory!A:BZ, 3, FALSE) - SUMIF($F$1:$F4679, F4680, $H$1:$H4679))
</f>
        <v/>
      </c>
      <c r="I4680" s="26"/>
      <c r="J4680" s="26" t="s">
        <v>77</v>
      </c>
      <c r="L4680" s="27" t="s">
        <v>77</v>
      </c>
      <c r="N4680" s="28" t="s">
        <v>77</v>
      </c>
      <c r="Q4680" s="30"/>
    </row>
    <row r="4681">
      <c r="B4681" s="6"/>
      <c r="C4681" s="33" t="str">
        <f t="array" ref="C4681">IF(B4681="", "", XLOOKUP(B4681, Inventory!D:D,Inventory!E:E,"No Name Found"))</f>
        <v/>
      </c>
      <c r="D4681" s="6"/>
      <c r="E4681" s="6"/>
      <c r="F4681" s="6"/>
      <c r="G4681" s="24" t="str">
        <f>IF(F4681="", "", VLOOKUP(F4681, Inventory!A:BZ, 3, FALSE) - SUMIF($F$1:$F4680, F4681, $H$1:$H4680))
</f>
        <v/>
      </c>
      <c r="I4681" s="26"/>
      <c r="J4681" s="26" t="s">
        <v>77</v>
      </c>
      <c r="L4681" s="27" t="s">
        <v>77</v>
      </c>
      <c r="N4681" s="28" t="s">
        <v>77</v>
      </c>
      <c r="Q4681" s="30"/>
    </row>
    <row r="4682">
      <c r="B4682" s="6"/>
      <c r="C4682" s="33" t="str">
        <f t="array" ref="C4682">IF(B4682="", "", XLOOKUP(B4682, Inventory!D:D,Inventory!E:E,"No Name Found"))</f>
        <v/>
      </c>
      <c r="D4682" s="6"/>
      <c r="E4682" s="6"/>
      <c r="F4682" s="6"/>
      <c r="G4682" s="24" t="str">
        <f>IF(F4682="", "", VLOOKUP(F4682, Inventory!A:BZ, 3, FALSE) - SUMIF($F$1:$F4681, F4682, $H$1:$H4681))
</f>
        <v/>
      </c>
      <c r="I4682" s="26"/>
      <c r="J4682" s="26" t="s">
        <v>77</v>
      </c>
      <c r="L4682" s="27" t="s">
        <v>77</v>
      </c>
      <c r="N4682" s="28" t="s">
        <v>77</v>
      </c>
      <c r="Q4682" s="30"/>
    </row>
    <row r="4683">
      <c r="B4683" s="6"/>
      <c r="C4683" s="33" t="str">
        <f t="array" ref="C4683">IF(B4683="", "", XLOOKUP(B4683, Inventory!D:D,Inventory!E:E,"No Name Found"))</f>
        <v/>
      </c>
      <c r="D4683" s="6"/>
      <c r="E4683" s="6"/>
      <c r="F4683" s="6"/>
      <c r="G4683" s="24" t="str">
        <f>IF(F4683="", "", VLOOKUP(F4683, Inventory!A:BZ, 3, FALSE) - SUMIF($F$1:$F4682, F4683, $H$1:$H4682))
</f>
        <v/>
      </c>
      <c r="I4683" s="26"/>
      <c r="J4683" s="26" t="s">
        <v>77</v>
      </c>
      <c r="L4683" s="27" t="s">
        <v>77</v>
      </c>
      <c r="N4683" s="28" t="s">
        <v>77</v>
      </c>
      <c r="Q4683" s="30"/>
    </row>
    <row r="4684">
      <c r="B4684" s="6"/>
      <c r="C4684" s="33" t="str">
        <f t="array" ref="C4684">IF(B4684="", "", XLOOKUP(B4684, Inventory!D:D,Inventory!E:E,"No Name Found"))</f>
        <v/>
      </c>
      <c r="D4684" s="6"/>
      <c r="E4684" s="6"/>
      <c r="F4684" s="6"/>
      <c r="G4684" s="24" t="str">
        <f>IF(F4684="", "", VLOOKUP(F4684, Inventory!A:BZ, 3, FALSE) - SUMIF($F$1:$F4683, F4684, $H$1:$H4683))
</f>
        <v/>
      </c>
      <c r="I4684" s="26"/>
      <c r="J4684" s="26" t="s">
        <v>77</v>
      </c>
      <c r="L4684" s="27" t="s">
        <v>77</v>
      </c>
      <c r="N4684" s="28" t="s">
        <v>77</v>
      </c>
      <c r="Q4684" s="30"/>
    </row>
    <row r="4685">
      <c r="B4685" s="6"/>
      <c r="C4685" s="33" t="str">
        <f t="array" ref="C4685">IF(B4685="", "", XLOOKUP(B4685, Inventory!D:D,Inventory!E:E,"No Name Found"))</f>
        <v/>
      </c>
      <c r="D4685" s="6"/>
      <c r="E4685" s="6"/>
      <c r="F4685" s="6"/>
      <c r="G4685" s="24" t="str">
        <f>IF(F4685="", "", VLOOKUP(F4685, Inventory!A:BZ, 3, FALSE) - SUMIF($F$1:$F4684, F4685, $H$1:$H4684))
</f>
        <v/>
      </c>
      <c r="I4685" s="26"/>
      <c r="J4685" s="26" t="s">
        <v>77</v>
      </c>
      <c r="L4685" s="27" t="s">
        <v>77</v>
      </c>
      <c r="N4685" s="28" t="s">
        <v>77</v>
      </c>
      <c r="Q4685" s="30"/>
    </row>
    <row r="4686">
      <c r="B4686" s="6"/>
      <c r="C4686" s="33" t="str">
        <f t="array" ref="C4686">IF(B4686="", "", XLOOKUP(B4686, Inventory!D:D,Inventory!E:E,"No Name Found"))</f>
        <v/>
      </c>
      <c r="D4686" s="6"/>
      <c r="E4686" s="6"/>
      <c r="F4686" s="6"/>
      <c r="G4686" s="24" t="str">
        <f>IF(F4686="", "", VLOOKUP(F4686, Inventory!A:BZ, 3, FALSE) - SUMIF($F$1:$F4685, F4686, $H$1:$H4685))
</f>
        <v/>
      </c>
      <c r="I4686" s="26"/>
      <c r="J4686" s="26" t="s">
        <v>77</v>
      </c>
      <c r="L4686" s="27" t="s">
        <v>77</v>
      </c>
      <c r="N4686" s="28" t="s">
        <v>77</v>
      </c>
      <c r="Q4686" s="30"/>
    </row>
    <row r="4687">
      <c r="B4687" s="6"/>
      <c r="C4687" s="33" t="str">
        <f t="array" ref="C4687">IF(B4687="", "", XLOOKUP(B4687, Inventory!D:D,Inventory!E:E,"No Name Found"))</f>
        <v/>
      </c>
      <c r="D4687" s="6"/>
      <c r="E4687" s="6"/>
      <c r="F4687" s="6"/>
      <c r="G4687" s="24" t="str">
        <f>IF(F4687="", "", VLOOKUP(F4687, Inventory!A:BZ, 3, FALSE) - SUMIF($F$1:$F4686, F4687, $H$1:$H4686))
</f>
        <v/>
      </c>
      <c r="I4687" s="26"/>
      <c r="J4687" s="26" t="s">
        <v>77</v>
      </c>
      <c r="L4687" s="27" t="s">
        <v>77</v>
      </c>
      <c r="N4687" s="28" t="s">
        <v>77</v>
      </c>
      <c r="Q4687" s="30"/>
    </row>
    <row r="4688">
      <c r="B4688" s="6"/>
      <c r="C4688" s="33" t="str">
        <f t="array" ref="C4688">IF(B4688="", "", XLOOKUP(B4688, Inventory!D:D,Inventory!E:E,"No Name Found"))</f>
        <v/>
      </c>
      <c r="D4688" s="6"/>
      <c r="E4688" s="6"/>
      <c r="F4688" s="6"/>
      <c r="G4688" s="24" t="str">
        <f>IF(F4688="", "", VLOOKUP(F4688, Inventory!A:BZ, 3, FALSE) - SUMIF($F$1:$F4687, F4688, $H$1:$H4687))
</f>
        <v/>
      </c>
      <c r="I4688" s="26"/>
      <c r="J4688" s="26" t="s">
        <v>77</v>
      </c>
      <c r="L4688" s="27" t="s">
        <v>77</v>
      </c>
      <c r="N4688" s="28" t="s">
        <v>77</v>
      </c>
      <c r="Q4688" s="30"/>
    </row>
    <row r="4689">
      <c r="B4689" s="6"/>
      <c r="C4689" s="33" t="str">
        <f t="array" ref="C4689">IF(B4689="", "", XLOOKUP(B4689, Inventory!D:D,Inventory!E:E,"No Name Found"))</f>
        <v/>
      </c>
      <c r="D4689" s="6"/>
      <c r="E4689" s="6"/>
      <c r="F4689" s="6"/>
      <c r="G4689" s="24" t="str">
        <f>IF(F4689="", "", VLOOKUP(F4689, Inventory!A:BZ, 3, FALSE) - SUMIF($F$1:$F4688, F4689, $H$1:$H4688))
</f>
        <v/>
      </c>
      <c r="I4689" s="26"/>
      <c r="J4689" s="26" t="s">
        <v>77</v>
      </c>
      <c r="L4689" s="27" t="s">
        <v>77</v>
      </c>
      <c r="N4689" s="28" t="s">
        <v>77</v>
      </c>
      <c r="Q4689" s="30"/>
    </row>
    <row r="4690">
      <c r="B4690" s="6"/>
      <c r="C4690" s="33" t="str">
        <f t="array" ref="C4690">IF(B4690="", "", XLOOKUP(B4690, Inventory!D:D,Inventory!E:E,"No Name Found"))</f>
        <v/>
      </c>
      <c r="D4690" s="6"/>
      <c r="E4690" s="6"/>
      <c r="F4690" s="6"/>
      <c r="G4690" s="24" t="str">
        <f>IF(F4690="", "", VLOOKUP(F4690, Inventory!A:BZ, 3, FALSE) - SUMIF($F$1:$F4689, F4690, $H$1:$H4689))
</f>
        <v/>
      </c>
      <c r="I4690" s="26"/>
      <c r="J4690" s="26" t="s">
        <v>77</v>
      </c>
      <c r="L4690" s="27" t="s">
        <v>77</v>
      </c>
      <c r="N4690" s="28" t="s">
        <v>77</v>
      </c>
      <c r="Q4690" s="30"/>
    </row>
    <row r="4691">
      <c r="B4691" s="6"/>
      <c r="C4691" s="33" t="str">
        <f t="array" ref="C4691">IF(B4691="", "", XLOOKUP(B4691, Inventory!D:D,Inventory!E:E,"No Name Found"))</f>
        <v/>
      </c>
      <c r="D4691" s="6"/>
      <c r="E4691" s="6"/>
      <c r="F4691" s="6"/>
      <c r="G4691" s="24" t="str">
        <f>IF(F4691="", "", VLOOKUP(F4691, Inventory!A:BZ, 3, FALSE) - SUMIF($F$1:$F4690, F4691, $H$1:$H4690))
</f>
        <v/>
      </c>
      <c r="I4691" s="26"/>
      <c r="J4691" s="26" t="s">
        <v>77</v>
      </c>
      <c r="L4691" s="27" t="s">
        <v>77</v>
      </c>
      <c r="N4691" s="28" t="s">
        <v>77</v>
      </c>
      <c r="Q4691" s="30"/>
    </row>
    <row r="4692">
      <c r="B4692" s="6"/>
      <c r="C4692" s="33" t="str">
        <f t="array" ref="C4692">IF(B4692="", "", XLOOKUP(B4692, Inventory!D:D,Inventory!E:E,"No Name Found"))</f>
        <v/>
      </c>
      <c r="D4692" s="6"/>
      <c r="E4692" s="6"/>
      <c r="F4692" s="6"/>
      <c r="G4692" s="24" t="str">
        <f>IF(F4692="", "", VLOOKUP(F4692, Inventory!A:BZ, 3, FALSE) - SUMIF($F$1:$F4691, F4692, $H$1:$H4691))
</f>
        <v/>
      </c>
      <c r="I4692" s="26"/>
      <c r="J4692" s="26" t="s">
        <v>77</v>
      </c>
      <c r="L4692" s="27" t="s">
        <v>77</v>
      </c>
      <c r="N4692" s="28" t="s">
        <v>77</v>
      </c>
      <c r="Q4692" s="30"/>
    </row>
    <row r="4693">
      <c r="B4693" s="6"/>
      <c r="C4693" s="33" t="str">
        <f t="array" ref="C4693">IF(B4693="", "", XLOOKUP(B4693, Inventory!D:D,Inventory!E:E,"No Name Found"))</f>
        <v/>
      </c>
      <c r="D4693" s="6"/>
      <c r="E4693" s="6"/>
      <c r="F4693" s="6"/>
      <c r="G4693" s="24" t="str">
        <f>IF(F4693="", "", VLOOKUP(F4693, Inventory!A:BZ, 3, FALSE) - SUMIF($F$1:$F4692, F4693, $H$1:$H4692))
</f>
        <v/>
      </c>
      <c r="I4693" s="26"/>
      <c r="J4693" s="26" t="s">
        <v>77</v>
      </c>
      <c r="L4693" s="27" t="s">
        <v>77</v>
      </c>
      <c r="N4693" s="28" t="s">
        <v>77</v>
      </c>
      <c r="Q4693" s="30"/>
    </row>
    <row r="4694">
      <c r="B4694" s="6"/>
      <c r="C4694" s="33" t="str">
        <f t="array" ref="C4694">IF(B4694="", "", XLOOKUP(B4694, Inventory!D:D,Inventory!E:E,"No Name Found"))</f>
        <v/>
      </c>
      <c r="D4694" s="6"/>
      <c r="E4694" s="6"/>
      <c r="F4694" s="6"/>
      <c r="G4694" s="24" t="str">
        <f>IF(F4694="", "", VLOOKUP(F4694, Inventory!A:BZ, 3, FALSE) - SUMIF($F$1:$F4693, F4694, $H$1:$H4693))
</f>
        <v/>
      </c>
      <c r="I4694" s="26"/>
      <c r="J4694" s="26" t="s">
        <v>77</v>
      </c>
      <c r="L4694" s="27" t="s">
        <v>77</v>
      </c>
      <c r="N4694" s="28" t="s">
        <v>77</v>
      </c>
      <c r="Q4694" s="30"/>
    </row>
    <row r="4695">
      <c r="B4695" s="6"/>
      <c r="C4695" s="33" t="str">
        <f t="array" ref="C4695">IF(B4695="", "", XLOOKUP(B4695, Inventory!D:D,Inventory!E:E,"No Name Found"))</f>
        <v/>
      </c>
      <c r="D4695" s="6"/>
      <c r="E4695" s="6"/>
      <c r="F4695" s="6"/>
      <c r="G4695" s="24" t="str">
        <f>IF(F4695="", "", VLOOKUP(F4695, Inventory!A:BZ, 3, FALSE) - SUMIF($F$1:$F4694, F4695, $H$1:$H4694))
</f>
        <v/>
      </c>
      <c r="I4695" s="26"/>
      <c r="J4695" s="26" t="s">
        <v>77</v>
      </c>
      <c r="L4695" s="27" t="s">
        <v>77</v>
      </c>
      <c r="N4695" s="28" t="s">
        <v>77</v>
      </c>
      <c r="Q4695" s="30"/>
    </row>
    <row r="4696">
      <c r="B4696" s="6"/>
      <c r="C4696" s="33" t="str">
        <f t="array" ref="C4696">IF(B4696="", "", XLOOKUP(B4696, Inventory!D:D,Inventory!E:E,"No Name Found"))</f>
        <v/>
      </c>
      <c r="D4696" s="6"/>
      <c r="E4696" s="6"/>
      <c r="F4696" s="6"/>
      <c r="G4696" s="24" t="str">
        <f>IF(F4696="", "", VLOOKUP(F4696, Inventory!A:BZ, 3, FALSE) - SUMIF($F$1:$F4695, F4696, $H$1:$H4695))
</f>
        <v/>
      </c>
      <c r="I4696" s="26"/>
      <c r="J4696" s="26" t="s">
        <v>77</v>
      </c>
      <c r="L4696" s="27" t="s">
        <v>77</v>
      </c>
      <c r="N4696" s="28" t="s">
        <v>77</v>
      </c>
      <c r="Q4696" s="30"/>
    </row>
    <row r="4697">
      <c r="B4697" s="6"/>
      <c r="C4697" s="33" t="str">
        <f t="array" ref="C4697">IF(B4697="", "", XLOOKUP(B4697, Inventory!D:D,Inventory!E:E,"No Name Found"))</f>
        <v/>
      </c>
      <c r="D4697" s="6"/>
      <c r="E4697" s="6"/>
      <c r="F4697" s="6"/>
      <c r="G4697" s="24" t="str">
        <f>IF(F4697="", "", VLOOKUP(F4697, Inventory!A:BZ, 3, FALSE) - SUMIF($F$1:$F4696, F4697, $H$1:$H4696))
</f>
        <v/>
      </c>
      <c r="I4697" s="26"/>
      <c r="J4697" s="26" t="s">
        <v>77</v>
      </c>
      <c r="L4697" s="27" t="s">
        <v>77</v>
      </c>
      <c r="N4697" s="28" t="s">
        <v>77</v>
      </c>
      <c r="Q4697" s="30"/>
    </row>
    <row r="4698">
      <c r="B4698" s="6"/>
      <c r="C4698" s="33" t="str">
        <f t="array" ref="C4698">IF(B4698="", "", XLOOKUP(B4698, Inventory!D:D,Inventory!E:E,"No Name Found"))</f>
        <v/>
      </c>
      <c r="D4698" s="6"/>
      <c r="E4698" s="6"/>
      <c r="F4698" s="6"/>
      <c r="G4698" s="24" t="str">
        <f>IF(F4698="", "", VLOOKUP(F4698, Inventory!A:BZ, 3, FALSE) - SUMIF($F$1:$F4697, F4698, $H$1:$H4697))
</f>
        <v/>
      </c>
      <c r="I4698" s="26"/>
      <c r="J4698" s="26" t="s">
        <v>77</v>
      </c>
      <c r="L4698" s="27" t="s">
        <v>77</v>
      </c>
      <c r="N4698" s="28" t="s">
        <v>77</v>
      </c>
      <c r="Q4698" s="30"/>
    </row>
    <row r="4699">
      <c r="B4699" s="6"/>
      <c r="C4699" s="33" t="str">
        <f t="array" ref="C4699">IF(B4699="", "", XLOOKUP(B4699, Inventory!D:D,Inventory!E:E,"No Name Found"))</f>
        <v/>
      </c>
      <c r="D4699" s="6"/>
      <c r="E4699" s="6"/>
      <c r="F4699" s="6"/>
      <c r="G4699" s="24" t="str">
        <f>IF(F4699="", "", VLOOKUP(F4699, Inventory!A:BZ, 3, FALSE) - SUMIF($F$1:$F4698, F4699, $H$1:$H4698))
</f>
        <v/>
      </c>
      <c r="I4699" s="26"/>
      <c r="J4699" s="26" t="s">
        <v>77</v>
      </c>
      <c r="L4699" s="27" t="s">
        <v>77</v>
      </c>
      <c r="N4699" s="28" t="s">
        <v>77</v>
      </c>
      <c r="Q4699" s="30"/>
    </row>
    <row r="4700">
      <c r="B4700" s="6"/>
      <c r="C4700" s="33" t="str">
        <f t="array" ref="C4700">IF(B4700="", "", XLOOKUP(B4700, Inventory!D:D,Inventory!E:E,"No Name Found"))</f>
        <v/>
      </c>
      <c r="D4700" s="6"/>
      <c r="E4700" s="6"/>
      <c r="F4700" s="6"/>
      <c r="G4700" s="24" t="str">
        <f>IF(F4700="", "", VLOOKUP(F4700, Inventory!A:BZ, 3, FALSE) - SUMIF($F$1:$F4699, F4700, $H$1:$H4699))
</f>
        <v/>
      </c>
      <c r="I4700" s="26"/>
      <c r="J4700" s="26" t="s">
        <v>77</v>
      </c>
      <c r="L4700" s="27" t="s">
        <v>77</v>
      </c>
      <c r="N4700" s="28" t="s">
        <v>77</v>
      </c>
      <c r="Q4700" s="30"/>
    </row>
    <row r="4701">
      <c r="B4701" s="6"/>
      <c r="C4701" s="33" t="str">
        <f t="array" ref="C4701">IF(B4701="", "", XLOOKUP(B4701, Inventory!D:D,Inventory!E:E,"No Name Found"))</f>
        <v/>
      </c>
      <c r="D4701" s="6"/>
      <c r="E4701" s="6"/>
      <c r="F4701" s="6"/>
      <c r="G4701" s="24" t="str">
        <f>IF(F4701="", "", VLOOKUP(F4701, Inventory!A:BZ, 3, FALSE) - SUMIF($F$1:$F4700, F4701, $H$1:$H4700))
</f>
        <v/>
      </c>
      <c r="I4701" s="26"/>
      <c r="J4701" s="26" t="s">
        <v>77</v>
      </c>
      <c r="L4701" s="27" t="s">
        <v>77</v>
      </c>
      <c r="N4701" s="28" t="s">
        <v>77</v>
      </c>
      <c r="Q4701" s="30"/>
    </row>
    <row r="4702">
      <c r="B4702" s="6"/>
      <c r="C4702" s="33" t="str">
        <f t="array" ref="C4702">IF(B4702="", "", XLOOKUP(B4702, Inventory!D:D,Inventory!E:E,"No Name Found"))</f>
        <v/>
      </c>
      <c r="D4702" s="6"/>
      <c r="E4702" s="6"/>
      <c r="F4702" s="6"/>
      <c r="G4702" s="24" t="str">
        <f>IF(F4702="", "", VLOOKUP(F4702, Inventory!A:BZ, 3, FALSE) - SUMIF($F$1:$F4701, F4702, $H$1:$H4701))
</f>
        <v/>
      </c>
      <c r="I4702" s="26"/>
      <c r="J4702" s="26" t="s">
        <v>77</v>
      </c>
      <c r="L4702" s="27" t="s">
        <v>77</v>
      </c>
      <c r="N4702" s="28" t="s">
        <v>77</v>
      </c>
      <c r="Q4702" s="30"/>
    </row>
    <row r="4703">
      <c r="B4703" s="6"/>
      <c r="C4703" s="33" t="str">
        <f t="array" ref="C4703">IF(B4703="", "", XLOOKUP(B4703, Inventory!D:D,Inventory!E:E,"No Name Found"))</f>
        <v/>
      </c>
      <c r="D4703" s="6"/>
      <c r="E4703" s="6"/>
      <c r="F4703" s="6"/>
      <c r="G4703" s="24" t="str">
        <f>IF(F4703="", "", VLOOKUP(F4703, Inventory!A:BZ, 3, FALSE) - SUMIF($F$1:$F4702, F4703, $H$1:$H4702))
</f>
        <v/>
      </c>
      <c r="I4703" s="26"/>
      <c r="J4703" s="26" t="s">
        <v>77</v>
      </c>
      <c r="L4703" s="27" t="s">
        <v>77</v>
      </c>
      <c r="N4703" s="28" t="s">
        <v>77</v>
      </c>
      <c r="Q4703" s="30"/>
    </row>
    <row r="4704">
      <c r="B4704" s="6"/>
      <c r="C4704" s="33" t="str">
        <f t="array" ref="C4704">IF(B4704="", "", XLOOKUP(B4704, Inventory!D:D,Inventory!E:E,"No Name Found"))</f>
        <v/>
      </c>
      <c r="D4704" s="6"/>
      <c r="E4704" s="6"/>
      <c r="F4704" s="6"/>
      <c r="G4704" s="24" t="str">
        <f>IF(F4704="", "", VLOOKUP(F4704, Inventory!A:BZ, 3, FALSE) - SUMIF($F$1:$F4703, F4704, $H$1:$H4703))
</f>
        <v/>
      </c>
      <c r="I4704" s="26"/>
      <c r="J4704" s="26" t="s">
        <v>77</v>
      </c>
      <c r="L4704" s="27" t="s">
        <v>77</v>
      </c>
      <c r="N4704" s="28" t="s">
        <v>77</v>
      </c>
      <c r="Q4704" s="30"/>
    </row>
    <row r="4705">
      <c r="B4705" s="6"/>
      <c r="C4705" s="33" t="str">
        <f t="array" ref="C4705">IF(B4705="", "", XLOOKUP(B4705, Inventory!D:D,Inventory!E:E,"No Name Found"))</f>
        <v/>
      </c>
      <c r="D4705" s="6"/>
      <c r="E4705" s="6"/>
      <c r="F4705" s="6"/>
      <c r="G4705" s="24" t="str">
        <f>IF(F4705="", "", VLOOKUP(F4705, Inventory!A:BZ, 3, FALSE) - SUMIF($F$1:$F4704, F4705, $H$1:$H4704))
</f>
        <v/>
      </c>
      <c r="I4705" s="26"/>
      <c r="J4705" s="26" t="s">
        <v>77</v>
      </c>
      <c r="L4705" s="27" t="s">
        <v>77</v>
      </c>
      <c r="N4705" s="28" t="s">
        <v>77</v>
      </c>
      <c r="Q4705" s="30"/>
    </row>
    <row r="4706">
      <c r="B4706" s="6"/>
      <c r="C4706" s="33" t="str">
        <f t="array" ref="C4706">IF(B4706="", "", XLOOKUP(B4706, Inventory!D:D,Inventory!E:E,"No Name Found"))</f>
        <v/>
      </c>
      <c r="D4706" s="6"/>
      <c r="E4706" s="6"/>
      <c r="F4706" s="6"/>
      <c r="G4706" s="24" t="str">
        <f>IF(F4706="", "", VLOOKUP(F4706, Inventory!A:BZ, 3, FALSE) - SUMIF($F$1:$F4705, F4706, $H$1:$H4705))
</f>
        <v/>
      </c>
      <c r="I4706" s="26"/>
      <c r="J4706" s="26" t="s">
        <v>77</v>
      </c>
      <c r="L4706" s="27" t="s">
        <v>77</v>
      </c>
      <c r="N4706" s="28" t="s">
        <v>77</v>
      </c>
      <c r="Q4706" s="30"/>
    </row>
    <row r="4707">
      <c r="B4707" s="6"/>
      <c r="C4707" s="33" t="str">
        <f t="array" ref="C4707">IF(B4707="", "", XLOOKUP(B4707, Inventory!D:D,Inventory!E:E,"No Name Found"))</f>
        <v/>
      </c>
      <c r="D4707" s="6"/>
      <c r="E4707" s="6"/>
      <c r="F4707" s="6"/>
      <c r="G4707" s="24" t="str">
        <f>IF(F4707="", "", VLOOKUP(F4707, Inventory!A:BZ, 3, FALSE) - SUMIF($F$1:$F4706, F4707, $H$1:$H4706))
</f>
        <v/>
      </c>
      <c r="I4707" s="26"/>
      <c r="J4707" s="26" t="s">
        <v>77</v>
      </c>
      <c r="L4707" s="27" t="s">
        <v>77</v>
      </c>
      <c r="N4707" s="28" t="s">
        <v>77</v>
      </c>
      <c r="Q4707" s="30"/>
    </row>
    <row r="4708">
      <c r="B4708" s="6"/>
      <c r="C4708" s="33" t="str">
        <f t="array" ref="C4708">IF(B4708="", "", XLOOKUP(B4708, Inventory!D:D,Inventory!E:E,"No Name Found"))</f>
        <v/>
      </c>
      <c r="D4708" s="6"/>
      <c r="E4708" s="6"/>
      <c r="F4708" s="6"/>
      <c r="G4708" s="24" t="str">
        <f>IF(F4708="", "", VLOOKUP(F4708, Inventory!A:BZ, 3, FALSE) - SUMIF($F$1:$F4707, F4708, $H$1:$H4707))
</f>
        <v/>
      </c>
      <c r="I4708" s="26"/>
      <c r="J4708" s="26" t="s">
        <v>77</v>
      </c>
      <c r="L4708" s="27" t="s">
        <v>77</v>
      </c>
      <c r="N4708" s="28" t="s">
        <v>77</v>
      </c>
      <c r="Q4708" s="30"/>
    </row>
    <row r="4709">
      <c r="B4709" s="6"/>
      <c r="C4709" s="33" t="str">
        <f t="array" ref="C4709">IF(B4709="", "", XLOOKUP(B4709, Inventory!D:D,Inventory!E:E,"No Name Found"))</f>
        <v/>
      </c>
      <c r="D4709" s="6"/>
      <c r="E4709" s="6"/>
      <c r="F4709" s="6"/>
      <c r="G4709" s="24" t="str">
        <f>IF(F4709="", "", VLOOKUP(F4709, Inventory!A:BZ, 3, FALSE) - SUMIF($F$1:$F4708, F4709, $H$1:$H4708))
</f>
        <v/>
      </c>
      <c r="I4709" s="26"/>
      <c r="J4709" s="26" t="s">
        <v>77</v>
      </c>
      <c r="L4709" s="27" t="s">
        <v>77</v>
      </c>
      <c r="N4709" s="28" t="s">
        <v>77</v>
      </c>
      <c r="Q4709" s="30"/>
    </row>
    <row r="4710">
      <c r="B4710" s="6"/>
      <c r="C4710" s="33" t="str">
        <f t="array" ref="C4710">IF(B4710="", "", XLOOKUP(B4710, Inventory!D:D,Inventory!E:E,"No Name Found"))</f>
        <v/>
      </c>
      <c r="D4710" s="6"/>
      <c r="E4710" s="6"/>
      <c r="F4710" s="6"/>
      <c r="G4710" s="24" t="str">
        <f>IF(F4710="", "", VLOOKUP(F4710, Inventory!A:BZ, 3, FALSE) - SUMIF($F$1:$F4709, F4710, $H$1:$H4709))
</f>
        <v/>
      </c>
      <c r="I4710" s="26"/>
      <c r="J4710" s="26" t="s">
        <v>77</v>
      </c>
      <c r="L4710" s="27" t="s">
        <v>77</v>
      </c>
      <c r="N4710" s="28" t="s">
        <v>77</v>
      </c>
      <c r="Q4710" s="30"/>
    </row>
    <row r="4711">
      <c r="B4711" s="6"/>
      <c r="C4711" s="33" t="str">
        <f t="array" ref="C4711">IF(B4711="", "", XLOOKUP(B4711, Inventory!D:D,Inventory!E:E,"No Name Found"))</f>
        <v/>
      </c>
      <c r="D4711" s="6"/>
      <c r="E4711" s="6"/>
      <c r="F4711" s="6"/>
      <c r="G4711" s="24" t="str">
        <f>IF(F4711="", "", VLOOKUP(F4711, Inventory!A:BZ, 3, FALSE) - SUMIF($F$1:$F4710, F4711, $H$1:$H4710))
</f>
        <v/>
      </c>
      <c r="I4711" s="26"/>
      <c r="J4711" s="26" t="s">
        <v>77</v>
      </c>
      <c r="L4711" s="27" t="s">
        <v>77</v>
      </c>
      <c r="N4711" s="28" t="s">
        <v>77</v>
      </c>
      <c r="Q4711" s="30"/>
    </row>
    <row r="4712">
      <c r="B4712" s="6"/>
      <c r="C4712" s="33" t="str">
        <f t="array" ref="C4712">IF(B4712="", "", XLOOKUP(B4712, Inventory!D:D,Inventory!E:E,"No Name Found"))</f>
        <v/>
      </c>
      <c r="D4712" s="6"/>
      <c r="E4712" s="6"/>
      <c r="F4712" s="6"/>
      <c r="G4712" s="24" t="str">
        <f>IF(F4712="", "", VLOOKUP(F4712, Inventory!A:BZ, 3, FALSE) - SUMIF($F$1:$F4711, F4712, $H$1:$H4711))
</f>
        <v/>
      </c>
      <c r="I4712" s="26"/>
      <c r="J4712" s="26" t="s">
        <v>77</v>
      </c>
      <c r="L4712" s="27" t="s">
        <v>77</v>
      </c>
      <c r="N4712" s="28" t="s">
        <v>77</v>
      </c>
      <c r="Q4712" s="30"/>
    </row>
    <row r="4713">
      <c r="B4713" s="6"/>
      <c r="C4713" s="33" t="str">
        <f t="array" ref="C4713">IF(B4713="", "", XLOOKUP(B4713, Inventory!D:D,Inventory!E:E,"No Name Found"))</f>
        <v/>
      </c>
      <c r="D4713" s="6"/>
      <c r="E4713" s="6"/>
      <c r="F4713" s="6"/>
      <c r="G4713" s="24" t="str">
        <f>IF(F4713="", "", VLOOKUP(F4713, Inventory!A:BZ, 3, FALSE) - SUMIF($F$1:$F4712, F4713, $H$1:$H4712))
</f>
        <v/>
      </c>
      <c r="I4713" s="26"/>
      <c r="J4713" s="26" t="s">
        <v>77</v>
      </c>
      <c r="L4713" s="27" t="s">
        <v>77</v>
      </c>
      <c r="N4713" s="28" t="s">
        <v>77</v>
      </c>
      <c r="Q4713" s="30"/>
    </row>
    <row r="4714">
      <c r="B4714" s="6"/>
      <c r="C4714" s="33" t="str">
        <f t="array" ref="C4714">IF(B4714="", "", XLOOKUP(B4714, Inventory!D:D,Inventory!E:E,"No Name Found"))</f>
        <v/>
      </c>
      <c r="D4714" s="6"/>
      <c r="E4714" s="6"/>
      <c r="F4714" s="6"/>
      <c r="G4714" s="24" t="str">
        <f>IF(F4714="", "", VLOOKUP(F4714, Inventory!A:BZ, 3, FALSE) - SUMIF($F$1:$F4713, F4714, $H$1:$H4713))
</f>
        <v/>
      </c>
      <c r="I4714" s="26"/>
      <c r="J4714" s="26" t="s">
        <v>77</v>
      </c>
      <c r="L4714" s="27" t="s">
        <v>77</v>
      </c>
      <c r="N4714" s="28" t="s">
        <v>77</v>
      </c>
      <c r="Q4714" s="30"/>
    </row>
    <row r="4715">
      <c r="B4715" s="6"/>
      <c r="C4715" s="33" t="str">
        <f t="array" ref="C4715">IF(B4715="", "", XLOOKUP(B4715, Inventory!D:D,Inventory!E:E,"No Name Found"))</f>
        <v/>
      </c>
      <c r="D4715" s="6"/>
      <c r="E4715" s="6"/>
      <c r="F4715" s="6"/>
      <c r="G4715" s="24" t="str">
        <f>IF(F4715="", "", VLOOKUP(F4715, Inventory!A:BZ, 3, FALSE) - SUMIF($F$1:$F4714, F4715, $H$1:$H4714))
</f>
        <v/>
      </c>
      <c r="I4715" s="26"/>
      <c r="J4715" s="26" t="s">
        <v>77</v>
      </c>
      <c r="L4715" s="27" t="s">
        <v>77</v>
      </c>
      <c r="N4715" s="28" t="s">
        <v>77</v>
      </c>
      <c r="Q4715" s="30"/>
    </row>
    <row r="4716">
      <c r="B4716" s="6"/>
      <c r="C4716" s="33" t="str">
        <f t="array" ref="C4716">IF(B4716="", "", XLOOKUP(B4716, Inventory!D:D,Inventory!E:E,"No Name Found"))</f>
        <v/>
      </c>
      <c r="D4716" s="6"/>
      <c r="E4716" s="6"/>
      <c r="F4716" s="6"/>
      <c r="G4716" s="24" t="str">
        <f>IF(F4716="", "", VLOOKUP(F4716, Inventory!A:BZ, 3, FALSE) - SUMIF($F$1:$F4715, F4716, $H$1:$H4715))
</f>
        <v/>
      </c>
      <c r="I4716" s="26"/>
      <c r="J4716" s="26" t="s">
        <v>77</v>
      </c>
      <c r="L4716" s="27" t="s">
        <v>77</v>
      </c>
      <c r="N4716" s="28" t="s">
        <v>77</v>
      </c>
      <c r="Q4716" s="30"/>
    </row>
    <row r="4717">
      <c r="B4717" s="6"/>
      <c r="C4717" s="33" t="str">
        <f t="array" ref="C4717">IF(B4717="", "", XLOOKUP(B4717, Inventory!D:D,Inventory!E:E,"No Name Found"))</f>
        <v/>
      </c>
      <c r="D4717" s="6"/>
      <c r="E4717" s="6"/>
      <c r="F4717" s="6"/>
      <c r="G4717" s="24" t="str">
        <f>IF(F4717="", "", VLOOKUP(F4717, Inventory!A:BZ, 3, FALSE) - SUMIF($F$1:$F4716, F4717, $H$1:$H4716))
</f>
        <v/>
      </c>
      <c r="I4717" s="26"/>
      <c r="J4717" s="26" t="s">
        <v>77</v>
      </c>
      <c r="L4717" s="27" t="s">
        <v>77</v>
      </c>
      <c r="N4717" s="28" t="s">
        <v>77</v>
      </c>
      <c r="Q4717" s="30"/>
    </row>
    <row r="4718">
      <c r="B4718" s="6"/>
      <c r="C4718" s="33" t="str">
        <f t="array" ref="C4718">IF(B4718="", "", XLOOKUP(B4718, Inventory!D:D,Inventory!E:E,"No Name Found"))</f>
        <v/>
      </c>
      <c r="D4718" s="6"/>
      <c r="E4718" s="6"/>
      <c r="F4718" s="6"/>
      <c r="G4718" s="24" t="str">
        <f>IF(F4718="", "", VLOOKUP(F4718, Inventory!A:BZ, 3, FALSE) - SUMIF($F$1:$F4717, F4718, $H$1:$H4717))
</f>
        <v/>
      </c>
      <c r="I4718" s="26"/>
      <c r="J4718" s="26" t="s">
        <v>77</v>
      </c>
      <c r="L4718" s="27" t="s">
        <v>77</v>
      </c>
      <c r="N4718" s="28" t="s">
        <v>77</v>
      </c>
      <c r="Q4718" s="30"/>
    </row>
    <row r="4719">
      <c r="B4719" s="6"/>
      <c r="C4719" s="33" t="str">
        <f t="array" ref="C4719">IF(B4719="", "", XLOOKUP(B4719, Inventory!D:D,Inventory!E:E,"No Name Found"))</f>
        <v/>
      </c>
      <c r="D4719" s="6"/>
      <c r="E4719" s="6"/>
      <c r="F4719" s="6"/>
      <c r="G4719" s="24" t="str">
        <f>IF(F4719="", "", VLOOKUP(F4719, Inventory!A:BZ, 3, FALSE) - SUMIF($F$1:$F4718, F4719, $H$1:$H4718))
</f>
        <v/>
      </c>
      <c r="I4719" s="26"/>
      <c r="J4719" s="26" t="s">
        <v>77</v>
      </c>
      <c r="L4719" s="27" t="s">
        <v>77</v>
      </c>
      <c r="N4719" s="28" t="s">
        <v>77</v>
      </c>
      <c r="Q4719" s="30"/>
    </row>
    <row r="4720">
      <c r="B4720" s="6"/>
      <c r="C4720" s="33" t="str">
        <f t="array" ref="C4720">IF(B4720="", "", XLOOKUP(B4720, Inventory!D:D,Inventory!E:E,"No Name Found"))</f>
        <v/>
      </c>
      <c r="D4720" s="6"/>
      <c r="E4720" s="6"/>
      <c r="F4720" s="6"/>
      <c r="G4720" s="24" t="str">
        <f>IF(F4720="", "", VLOOKUP(F4720, Inventory!A:BZ, 3, FALSE) - SUMIF($F$1:$F4719, F4720, $H$1:$H4719))
</f>
        <v/>
      </c>
      <c r="I4720" s="26"/>
      <c r="J4720" s="26" t="s">
        <v>77</v>
      </c>
      <c r="L4720" s="27" t="s">
        <v>77</v>
      </c>
      <c r="N4720" s="28" t="s">
        <v>77</v>
      </c>
      <c r="Q4720" s="30"/>
    </row>
    <row r="4721">
      <c r="B4721" s="6"/>
      <c r="C4721" s="33" t="str">
        <f t="array" ref="C4721">IF(B4721="", "", XLOOKUP(B4721, Inventory!D:D,Inventory!E:E,"No Name Found"))</f>
        <v/>
      </c>
      <c r="D4721" s="6"/>
      <c r="E4721" s="6"/>
      <c r="F4721" s="6"/>
      <c r="G4721" s="24" t="str">
        <f>IF(F4721="", "", VLOOKUP(F4721, Inventory!A:BZ, 3, FALSE) - SUMIF($F$1:$F4720, F4721, $H$1:$H4720))
</f>
        <v/>
      </c>
      <c r="I4721" s="26"/>
      <c r="J4721" s="26" t="s">
        <v>77</v>
      </c>
      <c r="L4721" s="27" t="s">
        <v>77</v>
      </c>
      <c r="N4721" s="28" t="s">
        <v>77</v>
      </c>
      <c r="Q4721" s="30"/>
    </row>
    <row r="4722">
      <c r="B4722" s="6"/>
      <c r="C4722" s="33" t="str">
        <f t="array" ref="C4722">IF(B4722="", "", XLOOKUP(B4722, Inventory!D:D,Inventory!E:E,"No Name Found"))</f>
        <v/>
      </c>
      <c r="D4722" s="6"/>
      <c r="E4722" s="6"/>
      <c r="F4722" s="6"/>
      <c r="G4722" s="24" t="str">
        <f>IF(F4722="", "", VLOOKUP(F4722, Inventory!A:BZ, 3, FALSE) - SUMIF($F$1:$F4721, F4722, $H$1:$H4721))
</f>
        <v/>
      </c>
      <c r="I4722" s="26"/>
      <c r="J4722" s="26" t="s">
        <v>77</v>
      </c>
      <c r="L4722" s="27" t="s">
        <v>77</v>
      </c>
      <c r="N4722" s="28" t="s">
        <v>77</v>
      </c>
      <c r="Q4722" s="30"/>
    </row>
    <row r="4723">
      <c r="B4723" s="6"/>
      <c r="C4723" s="33" t="str">
        <f t="array" ref="C4723">IF(B4723="", "", XLOOKUP(B4723, Inventory!D:D,Inventory!E:E,"No Name Found"))</f>
        <v/>
      </c>
      <c r="D4723" s="6"/>
      <c r="E4723" s="6"/>
      <c r="F4723" s="6"/>
      <c r="G4723" s="24" t="str">
        <f>IF(F4723="", "", VLOOKUP(F4723, Inventory!A:BZ, 3, FALSE) - SUMIF($F$1:$F4722, F4723, $H$1:$H4722))
</f>
        <v/>
      </c>
      <c r="I4723" s="26"/>
      <c r="J4723" s="26" t="s">
        <v>77</v>
      </c>
      <c r="L4723" s="27" t="s">
        <v>77</v>
      </c>
      <c r="N4723" s="28" t="s">
        <v>77</v>
      </c>
      <c r="Q4723" s="30"/>
    </row>
    <row r="4724">
      <c r="B4724" s="6"/>
      <c r="C4724" s="33" t="str">
        <f t="array" ref="C4724">IF(B4724="", "", XLOOKUP(B4724, Inventory!D:D,Inventory!E:E,"No Name Found"))</f>
        <v/>
      </c>
      <c r="D4724" s="6"/>
      <c r="E4724" s="6"/>
      <c r="F4724" s="6"/>
      <c r="G4724" s="24" t="str">
        <f>IF(F4724="", "", VLOOKUP(F4724, Inventory!A:BZ, 3, FALSE) - SUMIF($F$1:$F4723, F4724, $H$1:$H4723))
</f>
        <v/>
      </c>
      <c r="I4724" s="26"/>
      <c r="J4724" s="26" t="s">
        <v>77</v>
      </c>
      <c r="L4724" s="27" t="s">
        <v>77</v>
      </c>
      <c r="N4724" s="28" t="s">
        <v>77</v>
      </c>
      <c r="Q4724" s="30"/>
    </row>
    <row r="4725">
      <c r="B4725" s="6"/>
      <c r="C4725" s="33" t="str">
        <f t="array" ref="C4725">IF(B4725="", "", XLOOKUP(B4725, Inventory!D:D,Inventory!E:E,"No Name Found"))</f>
        <v/>
      </c>
      <c r="D4725" s="6"/>
      <c r="E4725" s="6"/>
      <c r="F4725" s="6"/>
      <c r="G4725" s="24" t="str">
        <f>IF(F4725="", "", VLOOKUP(F4725, Inventory!A:BZ, 3, FALSE) - SUMIF($F$1:$F4724, F4725, $H$1:$H4724))
</f>
        <v/>
      </c>
      <c r="I4725" s="26"/>
      <c r="J4725" s="26" t="s">
        <v>77</v>
      </c>
      <c r="L4725" s="27" t="s">
        <v>77</v>
      </c>
      <c r="N4725" s="28" t="s">
        <v>77</v>
      </c>
      <c r="Q4725" s="30"/>
    </row>
    <row r="4726">
      <c r="B4726" s="6"/>
      <c r="C4726" s="33" t="str">
        <f t="array" ref="C4726">IF(B4726="", "", XLOOKUP(B4726, Inventory!D:D,Inventory!E:E,"No Name Found"))</f>
        <v/>
      </c>
      <c r="D4726" s="6"/>
      <c r="E4726" s="6"/>
      <c r="F4726" s="6"/>
      <c r="G4726" s="24" t="str">
        <f>IF(F4726="", "", VLOOKUP(F4726, Inventory!A:BZ, 3, FALSE) - SUMIF($F$1:$F4725, F4726, $H$1:$H4725))
</f>
        <v/>
      </c>
      <c r="I4726" s="26"/>
      <c r="J4726" s="26" t="s">
        <v>77</v>
      </c>
      <c r="L4726" s="27" t="s">
        <v>77</v>
      </c>
      <c r="N4726" s="28" t="s">
        <v>77</v>
      </c>
      <c r="Q4726" s="30"/>
    </row>
    <row r="4727">
      <c r="B4727" s="6"/>
      <c r="C4727" s="33" t="str">
        <f t="array" ref="C4727">IF(B4727="", "", XLOOKUP(B4727, Inventory!D:D,Inventory!E:E,"No Name Found"))</f>
        <v/>
      </c>
      <c r="D4727" s="6"/>
      <c r="E4727" s="6"/>
      <c r="F4727" s="6"/>
      <c r="G4727" s="24" t="str">
        <f>IF(F4727="", "", VLOOKUP(F4727, Inventory!A:BZ, 3, FALSE) - SUMIF($F$1:$F4726, F4727, $H$1:$H4726))
</f>
        <v/>
      </c>
      <c r="I4727" s="26"/>
      <c r="J4727" s="26" t="s">
        <v>77</v>
      </c>
      <c r="L4727" s="27" t="s">
        <v>77</v>
      </c>
      <c r="N4727" s="28" t="s">
        <v>77</v>
      </c>
      <c r="Q4727" s="30"/>
    </row>
    <row r="4728">
      <c r="B4728" s="6"/>
      <c r="C4728" s="33" t="str">
        <f t="array" ref="C4728">IF(B4728="", "", XLOOKUP(B4728, Inventory!D:D,Inventory!E:E,"No Name Found"))</f>
        <v/>
      </c>
      <c r="D4728" s="6"/>
      <c r="E4728" s="6"/>
      <c r="F4728" s="6"/>
      <c r="G4728" s="24" t="str">
        <f>IF(F4728="", "", VLOOKUP(F4728, Inventory!A:BZ, 3, FALSE) - SUMIF($F$1:$F4727, F4728, $H$1:$H4727))
</f>
        <v/>
      </c>
      <c r="I4728" s="26"/>
      <c r="J4728" s="26" t="s">
        <v>77</v>
      </c>
      <c r="L4728" s="27" t="s">
        <v>77</v>
      </c>
      <c r="N4728" s="28" t="s">
        <v>77</v>
      </c>
      <c r="Q4728" s="30"/>
    </row>
    <row r="4729">
      <c r="B4729" s="6"/>
      <c r="C4729" s="33" t="str">
        <f t="array" ref="C4729">IF(B4729="", "", XLOOKUP(B4729, Inventory!D:D,Inventory!E:E,"No Name Found"))</f>
        <v/>
      </c>
      <c r="D4729" s="6"/>
      <c r="E4729" s="6"/>
      <c r="F4729" s="6"/>
      <c r="G4729" s="24" t="str">
        <f>IF(F4729="", "", VLOOKUP(F4729, Inventory!A:BZ, 3, FALSE) - SUMIF($F$1:$F4728, F4729, $H$1:$H4728))
</f>
        <v/>
      </c>
      <c r="I4729" s="26"/>
      <c r="J4729" s="26" t="s">
        <v>77</v>
      </c>
      <c r="L4729" s="27" t="s">
        <v>77</v>
      </c>
      <c r="N4729" s="28" t="s">
        <v>77</v>
      </c>
      <c r="Q4729" s="30"/>
    </row>
    <row r="4730">
      <c r="B4730" s="6"/>
      <c r="C4730" s="33" t="str">
        <f t="array" ref="C4730">IF(B4730="", "", XLOOKUP(B4730, Inventory!D:D,Inventory!E:E,"No Name Found"))</f>
        <v/>
      </c>
      <c r="D4730" s="6"/>
      <c r="E4730" s="6"/>
      <c r="F4730" s="6"/>
      <c r="G4730" s="24" t="str">
        <f>IF(F4730="", "", VLOOKUP(F4730, Inventory!A:BZ, 3, FALSE) - SUMIF($F$1:$F4729, F4730, $H$1:$H4729))
</f>
        <v/>
      </c>
      <c r="I4730" s="26"/>
      <c r="J4730" s="26" t="s">
        <v>77</v>
      </c>
      <c r="L4730" s="27" t="s">
        <v>77</v>
      </c>
      <c r="N4730" s="28" t="s">
        <v>77</v>
      </c>
      <c r="Q4730" s="30"/>
    </row>
    <row r="4731">
      <c r="B4731" s="6"/>
      <c r="C4731" s="33" t="str">
        <f t="array" ref="C4731">IF(B4731="", "", XLOOKUP(B4731, Inventory!D:D,Inventory!E:E,"No Name Found"))</f>
        <v/>
      </c>
      <c r="D4731" s="6"/>
      <c r="E4731" s="6"/>
      <c r="F4731" s="6"/>
      <c r="G4731" s="24" t="str">
        <f>IF(F4731="", "", VLOOKUP(F4731, Inventory!A:BZ, 3, FALSE) - SUMIF($F$1:$F4730, F4731, $H$1:$H4730))
</f>
        <v/>
      </c>
      <c r="I4731" s="26"/>
      <c r="J4731" s="26" t="s">
        <v>77</v>
      </c>
      <c r="L4731" s="27" t="s">
        <v>77</v>
      </c>
      <c r="N4731" s="28" t="s">
        <v>77</v>
      </c>
      <c r="Q4731" s="30"/>
    </row>
    <row r="4732">
      <c r="B4732" s="6"/>
      <c r="C4732" s="33" t="str">
        <f t="array" ref="C4732">IF(B4732="", "", XLOOKUP(B4732, Inventory!D:D,Inventory!E:E,"No Name Found"))</f>
        <v/>
      </c>
      <c r="D4732" s="6"/>
      <c r="E4732" s="6"/>
      <c r="F4732" s="6"/>
      <c r="G4732" s="24" t="str">
        <f>IF(F4732="", "", VLOOKUP(F4732, Inventory!A:BZ, 3, FALSE) - SUMIF($F$1:$F4731, F4732, $H$1:$H4731))
</f>
        <v/>
      </c>
      <c r="I4732" s="26"/>
      <c r="J4732" s="26" t="s">
        <v>77</v>
      </c>
      <c r="L4732" s="27" t="s">
        <v>77</v>
      </c>
      <c r="N4732" s="28" t="s">
        <v>77</v>
      </c>
      <c r="Q4732" s="30"/>
    </row>
    <row r="4733">
      <c r="B4733" s="6"/>
      <c r="C4733" s="33" t="str">
        <f t="array" ref="C4733">IF(B4733="", "", XLOOKUP(B4733, Inventory!D:D,Inventory!E:E,"No Name Found"))</f>
        <v/>
      </c>
      <c r="D4733" s="6"/>
      <c r="E4733" s="6"/>
      <c r="F4733" s="6"/>
      <c r="G4733" s="24" t="str">
        <f>IF(F4733="", "", VLOOKUP(F4733, Inventory!A:BZ, 3, FALSE) - SUMIF($F$1:$F4732, F4733, $H$1:$H4732))
</f>
        <v/>
      </c>
      <c r="I4733" s="26"/>
      <c r="J4733" s="26" t="s">
        <v>77</v>
      </c>
      <c r="L4733" s="27" t="s">
        <v>77</v>
      </c>
      <c r="N4733" s="28" t="s">
        <v>77</v>
      </c>
      <c r="Q4733" s="30"/>
    </row>
    <row r="4734">
      <c r="B4734" s="6"/>
      <c r="C4734" s="33" t="str">
        <f t="array" ref="C4734">IF(B4734="", "", XLOOKUP(B4734, Inventory!D:D,Inventory!E:E,"No Name Found"))</f>
        <v/>
      </c>
      <c r="D4734" s="6"/>
      <c r="E4734" s="6"/>
      <c r="F4734" s="6"/>
      <c r="G4734" s="24" t="str">
        <f>IF(F4734="", "", VLOOKUP(F4734, Inventory!A:BZ, 3, FALSE) - SUMIF($F$1:$F4733, F4734, $H$1:$H4733))
</f>
        <v/>
      </c>
      <c r="I4734" s="26"/>
      <c r="J4734" s="26" t="s">
        <v>77</v>
      </c>
      <c r="L4734" s="27" t="s">
        <v>77</v>
      </c>
      <c r="N4734" s="28" t="s">
        <v>77</v>
      </c>
      <c r="Q4734" s="30"/>
    </row>
    <row r="4735">
      <c r="B4735" s="6"/>
      <c r="C4735" s="33" t="str">
        <f t="array" ref="C4735">IF(B4735="", "", XLOOKUP(B4735, Inventory!D:D,Inventory!E:E,"No Name Found"))</f>
        <v/>
      </c>
      <c r="D4735" s="6"/>
      <c r="E4735" s="6"/>
      <c r="F4735" s="6"/>
      <c r="G4735" s="24" t="str">
        <f>IF(F4735="", "", VLOOKUP(F4735, Inventory!A:BZ, 3, FALSE) - SUMIF($F$1:$F4734, F4735, $H$1:$H4734))
</f>
        <v/>
      </c>
      <c r="I4735" s="26"/>
      <c r="J4735" s="26" t="s">
        <v>77</v>
      </c>
      <c r="L4735" s="27" t="s">
        <v>77</v>
      </c>
      <c r="N4735" s="28" t="s">
        <v>77</v>
      </c>
      <c r="Q4735" s="30"/>
    </row>
    <row r="4736">
      <c r="B4736" s="6"/>
      <c r="C4736" s="33" t="str">
        <f t="array" ref="C4736">IF(B4736="", "", XLOOKUP(B4736, Inventory!D:D,Inventory!E:E,"No Name Found"))</f>
        <v/>
      </c>
      <c r="D4736" s="6"/>
      <c r="E4736" s="6"/>
      <c r="F4736" s="6"/>
      <c r="G4736" s="24" t="str">
        <f>IF(F4736="", "", VLOOKUP(F4736, Inventory!A:BZ, 3, FALSE) - SUMIF($F$1:$F4735, F4736, $H$1:$H4735))
</f>
        <v/>
      </c>
      <c r="I4736" s="26"/>
      <c r="J4736" s="26" t="s">
        <v>77</v>
      </c>
      <c r="L4736" s="27" t="s">
        <v>77</v>
      </c>
      <c r="N4736" s="28" t="s">
        <v>77</v>
      </c>
      <c r="Q4736" s="30"/>
    </row>
    <row r="4737">
      <c r="B4737" s="6"/>
      <c r="C4737" s="33" t="str">
        <f t="array" ref="C4737">IF(B4737="", "", XLOOKUP(B4737, Inventory!D:D,Inventory!E:E,"No Name Found"))</f>
        <v/>
      </c>
      <c r="D4737" s="6"/>
      <c r="E4737" s="6"/>
      <c r="F4737" s="6"/>
      <c r="G4737" s="24" t="str">
        <f>IF(F4737="", "", VLOOKUP(F4737, Inventory!A:BZ, 3, FALSE) - SUMIF($F$1:$F4736, F4737, $H$1:$H4736))
</f>
        <v/>
      </c>
      <c r="I4737" s="26"/>
      <c r="J4737" s="26" t="s">
        <v>77</v>
      </c>
      <c r="L4737" s="27" t="s">
        <v>77</v>
      </c>
      <c r="N4737" s="28" t="s">
        <v>77</v>
      </c>
      <c r="Q4737" s="30"/>
    </row>
    <row r="4738">
      <c r="B4738" s="6"/>
      <c r="C4738" s="33" t="str">
        <f t="array" ref="C4738">IF(B4738="", "", XLOOKUP(B4738, Inventory!D:D,Inventory!E:E,"No Name Found"))</f>
        <v/>
      </c>
      <c r="D4738" s="6"/>
      <c r="E4738" s="6"/>
      <c r="F4738" s="6"/>
      <c r="G4738" s="24" t="str">
        <f>IF(F4738="", "", VLOOKUP(F4738, Inventory!A:BZ, 3, FALSE) - SUMIF($F$1:$F4737, F4738, $H$1:$H4737))
</f>
        <v/>
      </c>
      <c r="I4738" s="26"/>
      <c r="J4738" s="26" t="s">
        <v>77</v>
      </c>
      <c r="L4738" s="27" t="s">
        <v>77</v>
      </c>
      <c r="N4738" s="28" t="s">
        <v>77</v>
      </c>
      <c r="Q4738" s="30"/>
    </row>
    <row r="4739">
      <c r="B4739" s="6"/>
      <c r="C4739" s="33" t="str">
        <f t="array" ref="C4739">IF(B4739="", "", XLOOKUP(B4739, Inventory!D:D,Inventory!E:E,"No Name Found"))</f>
        <v/>
      </c>
      <c r="D4739" s="6"/>
      <c r="E4739" s="6"/>
      <c r="F4739" s="6"/>
      <c r="G4739" s="24" t="str">
        <f>IF(F4739="", "", VLOOKUP(F4739, Inventory!A:BZ, 3, FALSE) - SUMIF($F$1:$F4738, F4739, $H$1:$H4738))
</f>
        <v/>
      </c>
      <c r="I4739" s="26"/>
      <c r="J4739" s="26" t="s">
        <v>77</v>
      </c>
      <c r="L4739" s="27" t="s">
        <v>77</v>
      </c>
      <c r="N4739" s="28" t="s">
        <v>77</v>
      </c>
      <c r="Q4739" s="30"/>
    </row>
    <row r="4740">
      <c r="B4740" s="6"/>
      <c r="C4740" s="33" t="str">
        <f t="array" ref="C4740">IF(B4740="", "", XLOOKUP(B4740, Inventory!D:D,Inventory!E:E,"No Name Found"))</f>
        <v/>
      </c>
      <c r="D4740" s="6"/>
      <c r="E4740" s="6"/>
      <c r="F4740" s="6"/>
      <c r="G4740" s="24" t="str">
        <f>IF(F4740="", "", VLOOKUP(F4740, Inventory!A:BZ, 3, FALSE) - SUMIF($F$1:$F4739, F4740, $H$1:$H4739))
</f>
        <v/>
      </c>
      <c r="I4740" s="26"/>
      <c r="J4740" s="26" t="s">
        <v>77</v>
      </c>
      <c r="L4740" s="27" t="s">
        <v>77</v>
      </c>
      <c r="N4740" s="28" t="s">
        <v>77</v>
      </c>
      <c r="Q4740" s="30"/>
    </row>
    <row r="4741">
      <c r="B4741" s="6"/>
      <c r="C4741" s="33" t="str">
        <f t="array" ref="C4741">IF(B4741="", "", XLOOKUP(B4741, Inventory!D:D,Inventory!E:E,"No Name Found"))</f>
        <v/>
      </c>
      <c r="D4741" s="6"/>
      <c r="E4741" s="6"/>
      <c r="F4741" s="6"/>
      <c r="G4741" s="24" t="str">
        <f>IF(F4741="", "", VLOOKUP(F4741, Inventory!A:BZ, 3, FALSE) - SUMIF($F$1:$F4740, F4741, $H$1:$H4740))
</f>
        <v/>
      </c>
      <c r="I4741" s="26"/>
      <c r="J4741" s="26" t="s">
        <v>77</v>
      </c>
      <c r="L4741" s="27" t="s">
        <v>77</v>
      </c>
      <c r="N4741" s="28" t="s">
        <v>77</v>
      </c>
      <c r="Q4741" s="30"/>
    </row>
    <row r="4742">
      <c r="B4742" s="6"/>
      <c r="C4742" s="33" t="str">
        <f t="array" ref="C4742">IF(B4742="", "", XLOOKUP(B4742, Inventory!D:D,Inventory!E:E,"No Name Found"))</f>
        <v/>
      </c>
      <c r="D4742" s="6"/>
      <c r="E4742" s="6"/>
      <c r="F4742" s="6"/>
      <c r="G4742" s="24" t="str">
        <f>IF(F4742="", "", VLOOKUP(F4742, Inventory!A:BZ, 3, FALSE) - SUMIF($F$1:$F4741, F4742, $H$1:$H4741))
</f>
        <v/>
      </c>
      <c r="I4742" s="26"/>
      <c r="J4742" s="26" t="s">
        <v>77</v>
      </c>
      <c r="L4742" s="27" t="s">
        <v>77</v>
      </c>
      <c r="N4742" s="28" t="s">
        <v>77</v>
      </c>
      <c r="Q4742" s="30"/>
    </row>
    <row r="4743">
      <c r="B4743" s="6"/>
      <c r="C4743" s="33" t="str">
        <f t="array" ref="C4743">IF(B4743="", "", XLOOKUP(B4743, Inventory!D:D,Inventory!E:E,"No Name Found"))</f>
        <v/>
      </c>
      <c r="D4743" s="6"/>
      <c r="E4743" s="6"/>
      <c r="F4743" s="6"/>
      <c r="G4743" s="24" t="str">
        <f>IF(F4743="", "", VLOOKUP(F4743, Inventory!A:BZ, 3, FALSE) - SUMIF($F$1:$F4742, F4743, $H$1:$H4742))
</f>
        <v/>
      </c>
      <c r="I4743" s="26"/>
      <c r="J4743" s="26" t="s">
        <v>77</v>
      </c>
      <c r="L4743" s="27" t="s">
        <v>77</v>
      </c>
      <c r="N4743" s="28" t="s">
        <v>77</v>
      </c>
      <c r="Q4743" s="30"/>
    </row>
    <row r="4744">
      <c r="B4744" s="6"/>
      <c r="C4744" s="33" t="str">
        <f t="array" ref="C4744">IF(B4744="", "", XLOOKUP(B4744, Inventory!D:D,Inventory!E:E,"No Name Found"))</f>
        <v/>
      </c>
      <c r="D4744" s="6"/>
      <c r="E4744" s="6"/>
      <c r="F4744" s="6"/>
      <c r="G4744" s="24" t="str">
        <f>IF(F4744="", "", VLOOKUP(F4744, Inventory!A:BZ, 3, FALSE) - SUMIF($F$1:$F4743, F4744, $H$1:$H4743))
</f>
        <v/>
      </c>
      <c r="I4744" s="26"/>
      <c r="J4744" s="26" t="s">
        <v>77</v>
      </c>
      <c r="L4744" s="27" t="s">
        <v>77</v>
      </c>
      <c r="N4744" s="28" t="s">
        <v>77</v>
      </c>
      <c r="Q4744" s="30"/>
    </row>
    <row r="4745">
      <c r="B4745" s="6"/>
      <c r="C4745" s="33" t="str">
        <f t="array" ref="C4745">IF(B4745="", "", XLOOKUP(B4745, Inventory!D:D,Inventory!E:E,"No Name Found"))</f>
        <v/>
      </c>
      <c r="D4745" s="6"/>
      <c r="E4745" s="6"/>
      <c r="F4745" s="6"/>
      <c r="G4745" s="24" t="str">
        <f>IF(F4745="", "", VLOOKUP(F4745, Inventory!A:BZ, 3, FALSE) - SUMIF($F$1:$F4744, F4745, $H$1:$H4744))
</f>
        <v/>
      </c>
      <c r="I4745" s="26"/>
      <c r="J4745" s="26" t="s">
        <v>77</v>
      </c>
      <c r="L4745" s="27" t="s">
        <v>77</v>
      </c>
      <c r="N4745" s="28" t="s">
        <v>77</v>
      </c>
      <c r="Q4745" s="30"/>
    </row>
    <row r="4746">
      <c r="B4746" s="6"/>
      <c r="C4746" s="33" t="str">
        <f t="array" ref="C4746">IF(B4746="", "", XLOOKUP(B4746, Inventory!D:D,Inventory!E:E,"No Name Found"))</f>
        <v/>
      </c>
      <c r="D4746" s="6"/>
      <c r="E4746" s="6"/>
      <c r="F4746" s="6"/>
      <c r="G4746" s="24" t="str">
        <f>IF(F4746="", "", VLOOKUP(F4746, Inventory!A:BZ, 3, FALSE) - SUMIF($F$1:$F4745, F4746, $H$1:$H4745))
</f>
        <v/>
      </c>
      <c r="I4746" s="26"/>
      <c r="J4746" s="26" t="s">
        <v>77</v>
      </c>
      <c r="L4746" s="27" t="s">
        <v>77</v>
      </c>
      <c r="N4746" s="28" t="s">
        <v>77</v>
      </c>
      <c r="Q4746" s="30"/>
    </row>
    <row r="4747">
      <c r="B4747" s="6"/>
      <c r="C4747" s="33" t="str">
        <f t="array" ref="C4747">IF(B4747="", "", XLOOKUP(B4747, Inventory!D:D,Inventory!E:E,"No Name Found"))</f>
        <v/>
      </c>
      <c r="D4747" s="6"/>
      <c r="E4747" s="6"/>
      <c r="F4747" s="6"/>
      <c r="G4747" s="24" t="str">
        <f>IF(F4747="", "", VLOOKUP(F4747, Inventory!A:BZ, 3, FALSE) - SUMIF($F$1:$F4746, F4747, $H$1:$H4746))
</f>
        <v/>
      </c>
      <c r="I4747" s="26"/>
      <c r="J4747" s="26" t="s">
        <v>77</v>
      </c>
      <c r="L4747" s="27" t="s">
        <v>77</v>
      </c>
      <c r="N4747" s="28" t="s">
        <v>77</v>
      </c>
      <c r="Q4747" s="30"/>
    </row>
    <row r="4748">
      <c r="B4748" s="6"/>
      <c r="C4748" s="33" t="str">
        <f t="array" ref="C4748">IF(B4748="", "", XLOOKUP(B4748, Inventory!D:D,Inventory!E:E,"No Name Found"))</f>
        <v/>
      </c>
      <c r="D4748" s="6"/>
      <c r="E4748" s="6"/>
      <c r="F4748" s="6"/>
      <c r="G4748" s="24" t="str">
        <f>IF(F4748="", "", VLOOKUP(F4748, Inventory!A:BZ, 3, FALSE) - SUMIF($F$1:$F4747, F4748, $H$1:$H4747))
</f>
        <v/>
      </c>
      <c r="I4748" s="26"/>
      <c r="J4748" s="26" t="s">
        <v>77</v>
      </c>
      <c r="L4748" s="27" t="s">
        <v>77</v>
      </c>
      <c r="N4748" s="28" t="s">
        <v>77</v>
      </c>
      <c r="Q4748" s="30"/>
    </row>
    <row r="4749">
      <c r="B4749" s="6"/>
      <c r="C4749" s="33" t="str">
        <f t="array" ref="C4749">IF(B4749="", "", XLOOKUP(B4749, Inventory!D:D,Inventory!E:E,"No Name Found"))</f>
        <v/>
      </c>
      <c r="D4749" s="6"/>
      <c r="E4749" s="6"/>
      <c r="F4749" s="6"/>
      <c r="G4749" s="24" t="str">
        <f>IF(F4749="", "", VLOOKUP(F4749, Inventory!A:BZ, 3, FALSE) - SUMIF($F$1:$F4748, F4749, $H$1:$H4748))
</f>
        <v/>
      </c>
      <c r="I4749" s="26"/>
      <c r="J4749" s="26" t="s">
        <v>77</v>
      </c>
      <c r="L4749" s="27" t="s">
        <v>77</v>
      </c>
      <c r="N4749" s="28" t="s">
        <v>77</v>
      </c>
      <c r="Q4749" s="30"/>
    </row>
    <row r="4750">
      <c r="B4750" s="6"/>
      <c r="C4750" s="33" t="str">
        <f t="array" ref="C4750">IF(B4750="", "", XLOOKUP(B4750, Inventory!D:D,Inventory!E:E,"No Name Found"))</f>
        <v/>
      </c>
      <c r="D4750" s="6"/>
      <c r="E4750" s="6"/>
      <c r="F4750" s="6"/>
      <c r="G4750" s="24" t="str">
        <f>IF(F4750="", "", VLOOKUP(F4750, Inventory!A:BZ, 3, FALSE) - SUMIF($F$1:$F4749, F4750, $H$1:$H4749))
</f>
        <v/>
      </c>
      <c r="I4750" s="26"/>
      <c r="J4750" s="26" t="s">
        <v>77</v>
      </c>
      <c r="L4750" s="27" t="s">
        <v>77</v>
      </c>
      <c r="N4750" s="28" t="s">
        <v>77</v>
      </c>
      <c r="Q4750" s="30"/>
    </row>
    <row r="4751">
      <c r="B4751" s="6"/>
      <c r="C4751" s="33" t="str">
        <f t="array" ref="C4751">IF(B4751="", "", XLOOKUP(B4751, Inventory!D:D,Inventory!E:E,"No Name Found"))</f>
        <v/>
      </c>
      <c r="D4751" s="6"/>
      <c r="E4751" s="6"/>
      <c r="F4751" s="6"/>
      <c r="G4751" s="24" t="str">
        <f>IF(F4751="", "", VLOOKUP(F4751, Inventory!A:BZ, 3, FALSE) - SUMIF($F$1:$F4750, F4751, $H$1:$H4750))
</f>
        <v/>
      </c>
      <c r="I4751" s="26"/>
      <c r="J4751" s="26" t="s">
        <v>77</v>
      </c>
      <c r="L4751" s="27" t="s">
        <v>77</v>
      </c>
      <c r="N4751" s="28" t="s">
        <v>77</v>
      </c>
      <c r="Q4751" s="30"/>
    </row>
    <row r="4752">
      <c r="B4752" s="6"/>
      <c r="C4752" s="33" t="str">
        <f t="array" ref="C4752">IF(B4752="", "", XLOOKUP(B4752, Inventory!D:D,Inventory!E:E,"No Name Found"))</f>
        <v/>
      </c>
      <c r="D4752" s="6"/>
      <c r="E4752" s="6"/>
      <c r="F4752" s="6"/>
      <c r="G4752" s="24" t="str">
        <f>IF(F4752="", "", VLOOKUP(F4752, Inventory!A:BZ, 3, FALSE) - SUMIF($F$1:$F4751, F4752, $H$1:$H4751))
</f>
        <v/>
      </c>
      <c r="I4752" s="26"/>
      <c r="J4752" s="26" t="s">
        <v>77</v>
      </c>
      <c r="L4752" s="27" t="s">
        <v>77</v>
      </c>
      <c r="N4752" s="28" t="s">
        <v>77</v>
      </c>
      <c r="Q4752" s="30"/>
    </row>
    <row r="4753">
      <c r="B4753" s="6"/>
      <c r="C4753" s="33" t="str">
        <f t="array" ref="C4753">IF(B4753="", "", XLOOKUP(B4753, Inventory!D:D,Inventory!E:E,"No Name Found"))</f>
        <v/>
      </c>
      <c r="D4753" s="6"/>
      <c r="E4753" s="6"/>
      <c r="F4753" s="6"/>
      <c r="G4753" s="24" t="str">
        <f>IF(F4753="", "", VLOOKUP(F4753, Inventory!A:BZ, 3, FALSE) - SUMIF($F$1:$F4752, F4753, $H$1:$H4752))
</f>
        <v/>
      </c>
      <c r="I4753" s="26"/>
      <c r="J4753" s="26" t="s">
        <v>77</v>
      </c>
      <c r="L4753" s="27" t="s">
        <v>77</v>
      </c>
      <c r="N4753" s="28" t="s">
        <v>77</v>
      </c>
      <c r="Q4753" s="30"/>
    </row>
    <row r="4754">
      <c r="B4754" s="6"/>
      <c r="C4754" s="33" t="str">
        <f t="array" ref="C4754">IF(B4754="", "", XLOOKUP(B4754, Inventory!D:D,Inventory!E:E,"No Name Found"))</f>
        <v/>
      </c>
      <c r="D4754" s="6"/>
      <c r="E4754" s="6"/>
      <c r="F4754" s="6"/>
      <c r="G4754" s="24" t="str">
        <f>IF(F4754="", "", VLOOKUP(F4754, Inventory!A:BZ, 3, FALSE) - SUMIF($F$1:$F4753, F4754, $H$1:$H4753))
</f>
        <v/>
      </c>
      <c r="I4754" s="26"/>
      <c r="J4754" s="26" t="s">
        <v>77</v>
      </c>
      <c r="L4754" s="27" t="s">
        <v>77</v>
      </c>
      <c r="N4754" s="28" t="s">
        <v>77</v>
      </c>
      <c r="Q4754" s="30"/>
    </row>
    <row r="4755">
      <c r="B4755" s="6"/>
      <c r="C4755" s="33" t="str">
        <f t="array" ref="C4755">IF(B4755="", "", XLOOKUP(B4755, Inventory!D:D,Inventory!E:E,"No Name Found"))</f>
        <v/>
      </c>
      <c r="D4755" s="6"/>
      <c r="E4755" s="6"/>
      <c r="F4755" s="6"/>
      <c r="G4755" s="24" t="str">
        <f>IF(F4755="", "", VLOOKUP(F4755, Inventory!A:BZ, 3, FALSE) - SUMIF($F$1:$F4754, F4755, $H$1:$H4754))
</f>
        <v/>
      </c>
      <c r="I4755" s="26"/>
      <c r="J4755" s="26" t="s">
        <v>77</v>
      </c>
      <c r="L4755" s="27" t="s">
        <v>77</v>
      </c>
      <c r="N4755" s="28" t="s">
        <v>77</v>
      </c>
      <c r="Q4755" s="30"/>
    </row>
    <row r="4756">
      <c r="B4756" s="6"/>
      <c r="C4756" s="33" t="str">
        <f t="array" ref="C4756">IF(B4756="", "", XLOOKUP(B4756, Inventory!D:D,Inventory!E:E,"No Name Found"))</f>
        <v/>
      </c>
      <c r="D4756" s="6"/>
      <c r="E4756" s="6"/>
      <c r="F4756" s="6"/>
      <c r="G4756" s="24" t="str">
        <f>IF(F4756="", "", VLOOKUP(F4756, Inventory!A:BZ, 3, FALSE) - SUMIF($F$1:$F4755, F4756, $H$1:$H4755))
</f>
        <v/>
      </c>
      <c r="I4756" s="26"/>
      <c r="J4756" s="26" t="s">
        <v>77</v>
      </c>
      <c r="L4756" s="27" t="s">
        <v>77</v>
      </c>
      <c r="N4756" s="28" t="s">
        <v>77</v>
      </c>
      <c r="Q4756" s="30"/>
    </row>
    <row r="4757">
      <c r="B4757" s="6"/>
      <c r="C4757" s="33" t="str">
        <f t="array" ref="C4757">IF(B4757="", "", XLOOKUP(B4757, Inventory!D:D,Inventory!E:E,"No Name Found"))</f>
        <v/>
      </c>
      <c r="D4757" s="6"/>
      <c r="E4757" s="6"/>
      <c r="F4757" s="6"/>
      <c r="G4757" s="24" t="str">
        <f>IF(F4757="", "", VLOOKUP(F4757, Inventory!A:BZ, 3, FALSE) - SUMIF($F$1:$F4756, F4757, $H$1:$H4756))
</f>
        <v/>
      </c>
      <c r="I4757" s="26"/>
      <c r="J4757" s="26" t="s">
        <v>77</v>
      </c>
      <c r="L4757" s="27" t="s">
        <v>77</v>
      </c>
      <c r="N4757" s="28" t="s">
        <v>77</v>
      </c>
      <c r="Q4757" s="30"/>
    </row>
    <row r="4758">
      <c r="B4758" s="6"/>
      <c r="C4758" s="33" t="str">
        <f t="array" ref="C4758">IF(B4758="", "", XLOOKUP(B4758, Inventory!D:D,Inventory!E:E,"No Name Found"))</f>
        <v/>
      </c>
      <c r="D4758" s="6"/>
      <c r="E4758" s="6"/>
      <c r="F4758" s="6"/>
      <c r="G4758" s="24" t="str">
        <f>IF(F4758="", "", VLOOKUP(F4758, Inventory!A:BZ, 3, FALSE) - SUMIF($F$1:$F4757, F4758, $H$1:$H4757))
</f>
        <v/>
      </c>
      <c r="I4758" s="26"/>
      <c r="J4758" s="26" t="s">
        <v>77</v>
      </c>
      <c r="L4758" s="27" t="s">
        <v>77</v>
      </c>
      <c r="N4758" s="28" t="s">
        <v>77</v>
      </c>
      <c r="Q4758" s="30"/>
    </row>
    <row r="4759">
      <c r="B4759" s="6"/>
      <c r="C4759" s="33" t="str">
        <f t="array" ref="C4759">IF(B4759="", "", XLOOKUP(B4759, Inventory!D:D,Inventory!E:E,"No Name Found"))</f>
        <v/>
      </c>
      <c r="D4759" s="6"/>
      <c r="E4759" s="6"/>
      <c r="F4759" s="6"/>
      <c r="G4759" s="24" t="str">
        <f>IF(F4759="", "", VLOOKUP(F4759, Inventory!A:BZ, 3, FALSE) - SUMIF($F$1:$F4758, F4759, $H$1:$H4758))
</f>
        <v/>
      </c>
      <c r="I4759" s="26"/>
      <c r="J4759" s="26" t="s">
        <v>77</v>
      </c>
      <c r="L4759" s="27" t="s">
        <v>77</v>
      </c>
      <c r="N4759" s="28" t="s">
        <v>77</v>
      </c>
      <c r="Q4759" s="30"/>
    </row>
    <row r="4760">
      <c r="B4760" s="6"/>
      <c r="C4760" s="33" t="str">
        <f t="array" ref="C4760">IF(B4760="", "", XLOOKUP(B4760, Inventory!D:D,Inventory!E:E,"No Name Found"))</f>
        <v/>
      </c>
      <c r="D4760" s="6"/>
      <c r="E4760" s="6"/>
      <c r="F4760" s="6"/>
      <c r="G4760" s="24" t="str">
        <f>IF(F4760="", "", VLOOKUP(F4760, Inventory!A:BZ, 3, FALSE) - SUMIF($F$1:$F4759, F4760, $H$1:$H4759))
</f>
        <v/>
      </c>
      <c r="I4760" s="26"/>
      <c r="J4760" s="26" t="s">
        <v>77</v>
      </c>
      <c r="L4760" s="27" t="s">
        <v>77</v>
      </c>
      <c r="N4760" s="28" t="s">
        <v>77</v>
      </c>
      <c r="Q4760" s="30"/>
    </row>
    <row r="4761">
      <c r="B4761" s="6"/>
      <c r="C4761" s="33" t="str">
        <f t="array" ref="C4761">IF(B4761="", "", XLOOKUP(B4761, Inventory!D:D,Inventory!E:E,"No Name Found"))</f>
        <v/>
      </c>
      <c r="D4761" s="6"/>
      <c r="E4761" s="6"/>
      <c r="F4761" s="6"/>
      <c r="G4761" s="24" t="str">
        <f>IF(F4761="", "", VLOOKUP(F4761, Inventory!A:BZ, 3, FALSE) - SUMIF($F$1:$F4760, F4761, $H$1:$H4760))
</f>
        <v/>
      </c>
      <c r="I4761" s="26"/>
      <c r="J4761" s="26" t="s">
        <v>77</v>
      </c>
      <c r="L4761" s="27" t="s">
        <v>77</v>
      </c>
      <c r="N4761" s="28" t="s">
        <v>77</v>
      </c>
      <c r="Q4761" s="30"/>
    </row>
    <row r="4762">
      <c r="B4762" s="6"/>
      <c r="C4762" s="33" t="str">
        <f t="array" ref="C4762">IF(B4762="", "", XLOOKUP(B4762, Inventory!D:D,Inventory!E:E,"No Name Found"))</f>
        <v/>
      </c>
      <c r="D4762" s="6"/>
      <c r="E4762" s="6"/>
      <c r="F4762" s="6"/>
      <c r="G4762" s="24" t="str">
        <f>IF(F4762="", "", VLOOKUP(F4762, Inventory!A:BZ, 3, FALSE) - SUMIF($F$1:$F4761, F4762, $H$1:$H4761))
</f>
        <v/>
      </c>
      <c r="I4762" s="26"/>
      <c r="J4762" s="26" t="s">
        <v>77</v>
      </c>
      <c r="L4762" s="27" t="s">
        <v>77</v>
      </c>
      <c r="N4762" s="28" t="s">
        <v>77</v>
      </c>
      <c r="Q4762" s="30"/>
    </row>
    <row r="4763">
      <c r="B4763" s="6"/>
      <c r="C4763" s="33" t="str">
        <f t="array" ref="C4763">IF(B4763="", "", XLOOKUP(B4763, Inventory!D:D,Inventory!E:E,"No Name Found"))</f>
        <v/>
      </c>
      <c r="D4763" s="6"/>
      <c r="E4763" s="6"/>
      <c r="F4763" s="6"/>
      <c r="G4763" s="24" t="str">
        <f>IF(F4763="", "", VLOOKUP(F4763, Inventory!A:BZ, 3, FALSE) - SUMIF($F$1:$F4762, F4763, $H$1:$H4762))
</f>
        <v/>
      </c>
      <c r="I4763" s="26"/>
      <c r="J4763" s="26" t="s">
        <v>77</v>
      </c>
      <c r="L4763" s="27" t="s">
        <v>77</v>
      </c>
      <c r="N4763" s="28" t="s">
        <v>77</v>
      </c>
      <c r="Q4763" s="30"/>
    </row>
    <row r="4764">
      <c r="B4764" s="6"/>
      <c r="C4764" s="33" t="str">
        <f t="array" ref="C4764">IF(B4764="", "", XLOOKUP(B4764, Inventory!D:D,Inventory!E:E,"No Name Found"))</f>
        <v/>
      </c>
      <c r="D4764" s="6"/>
      <c r="E4764" s="6"/>
      <c r="F4764" s="6"/>
      <c r="G4764" s="24" t="str">
        <f>IF(F4764="", "", VLOOKUP(F4764, Inventory!A:BZ, 3, FALSE) - SUMIF($F$1:$F4763, F4764, $H$1:$H4763))
</f>
        <v/>
      </c>
      <c r="I4764" s="26"/>
      <c r="J4764" s="26" t="s">
        <v>77</v>
      </c>
      <c r="L4764" s="27" t="s">
        <v>77</v>
      </c>
      <c r="N4764" s="28" t="s">
        <v>77</v>
      </c>
      <c r="Q4764" s="30"/>
    </row>
    <row r="4765">
      <c r="B4765" s="6"/>
      <c r="C4765" s="33" t="str">
        <f t="array" ref="C4765">IF(B4765="", "", XLOOKUP(B4765, Inventory!D:D,Inventory!E:E,"No Name Found"))</f>
        <v/>
      </c>
      <c r="D4765" s="6"/>
      <c r="E4765" s="6"/>
      <c r="F4765" s="6"/>
      <c r="G4765" s="24" t="str">
        <f>IF(F4765="", "", VLOOKUP(F4765, Inventory!A:BZ, 3, FALSE) - SUMIF($F$1:$F4764, F4765, $H$1:$H4764))
</f>
        <v/>
      </c>
      <c r="I4765" s="26"/>
      <c r="J4765" s="26" t="s">
        <v>77</v>
      </c>
      <c r="L4765" s="27" t="s">
        <v>77</v>
      </c>
      <c r="N4765" s="28" t="s">
        <v>77</v>
      </c>
      <c r="Q4765" s="30"/>
    </row>
    <row r="4766">
      <c r="B4766" s="6"/>
      <c r="C4766" s="33" t="str">
        <f t="array" ref="C4766">IF(B4766="", "", XLOOKUP(B4766, Inventory!D:D,Inventory!E:E,"No Name Found"))</f>
        <v/>
      </c>
      <c r="D4766" s="6"/>
      <c r="E4766" s="6"/>
      <c r="F4766" s="6"/>
      <c r="G4766" s="24" t="str">
        <f>IF(F4766="", "", VLOOKUP(F4766, Inventory!A:BZ, 3, FALSE) - SUMIF($F$1:$F4765, F4766, $H$1:$H4765))
</f>
        <v/>
      </c>
      <c r="I4766" s="26"/>
      <c r="J4766" s="26" t="s">
        <v>77</v>
      </c>
      <c r="L4766" s="27" t="s">
        <v>77</v>
      </c>
      <c r="N4766" s="28" t="s">
        <v>77</v>
      </c>
      <c r="Q4766" s="30"/>
    </row>
    <row r="4767">
      <c r="B4767" s="6"/>
      <c r="C4767" s="33" t="str">
        <f t="array" ref="C4767">IF(B4767="", "", XLOOKUP(B4767, Inventory!D:D,Inventory!E:E,"No Name Found"))</f>
        <v/>
      </c>
      <c r="D4767" s="6"/>
      <c r="E4767" s="6"/>
      <c r="F4767" s="6"/>
      <c r="G4767" s="24" t="str">
        <f>IF(F4767="", "", VLOOKUP(F4767, Inventory!A:BZ, 3, FALSE) - SUMIF($F$1:$F4766, F4767, $H$1:$H4766))
</f>
        <v/>
      </c>
      <c r="I4767" s="26"/>
      <c r="J4767" s="26" t="s">
        <v>77</v>
      </c>
      <c r="L4767" s="27" t="s">
        <v>77</v>
      </c>
      <c r="N4767" s="28" t="s">
        <v>77</v>
      </c>
      <c r="Q4767" s="30"/>
    </row>
    <row r="4768">
      <c r="B4768" s="6"/>
      <c r="C4768" s="33" t="str">
        <f t="array" ref="C4768">IF(B4768="", "", XLOOKUP(B4768, Inventory!D:D,Inventory!E:E,"No Name Found"))</f>
        <v/>
      </c>
      <c r="D4768" s="6"/>
      <c r="E4768" s="6"/>
      <c r="F4768" s="6"/>
      <c r="G4768" s="24" t="str">
        <f>IF(F4768="", "", VLOOKUP(F4768, Inventory!A:BZ, 3, FALSE) - SUMIF($F$1:$F4767, F4768, $H$1:$H4767))
</f>
        <v/>
      </c>
      <c r="I4768" s="26"/>
      <c r="J4768" s="26" t="s">
        <v>77</v>
      </c>
      <c r="L4768" s="27" t="s">
        <v>77</v>
      </c>
      <c r="N4768" s="28" t="s">
        <v>77</v>
      </c>
      <c r="Q4768" s="30"/>
    </row>
    <row r="4769">
      <c r="B4769" s="6"/>
      <c r="C4769" s="33" t="str">
        <f t="array" ref="C4769">IF(B4769="", "", XLOOKUP(B4769, Inventory!D:D,Inventory!E:E,"No Name Found"))</f>
        <v/>
      </c>
      <c r="D4769" s="6"/>
      <c r="E4769" s="6"/>
      <c r="F4769" s="6"/>
      <c r="G4769" s="24" t="str">
        <f>IF(F4769="", "", VLOOKUP(F4769, Inventory!A:BZ, 3, FALSE) - SUMIF($F$1:$F4768, F4769, $H$1:$H4768))
</f>
        <v/>
      </c>
      <c r="I4769" s="26"/>
      <c r="J4769" s="26" t="s">
        <v>77</v>
      </c>
      <c r="L4769" s="27" t="s">
        <v>77</v>
      </c>
      <c r="N4769" s="28" t="s">
        <v>77</v>
      </c>
      <c r="Q4769" s="30"/>
    </row>
    <row r="4770">
      <c r="B4770" s="6"/>
      <c r="C4770" s="33" t="str">
        <f t="array" ref="C4770">IF(B4770="", "", XLOOKUP(B4770, Inventory!D:D,Inventory!E:E,"No Name Found"))</f>
        <v/>
      </c>
      <c r="D4770" s="6"/>
      <c r="E4770" s="6"/>
      <c r="F4770" s="6"/>
      <c r="G4770" s="24" t="str">
        <f>IF(F4770="", "", VLOOKUP(F4770, Inventory!A:BZ, 3, FALSE) - SUMIF($F$1:$F4769, F4770, $H$1:$H4769))
</f>
        <v/>
      </c>
      <c r="I4770" s="26"/>
      <c r="J4770" s="26" t="s">
        <v>77</v>
      </c>
      <c r="L4770" s="27" t="s">
        <v>77</v>
      </c>
      <c r="N4770" s="28" t="s">
        <v>77</v>
      </c>
      <c r="Q4770" s="30"/>
    </row>
    <row r="4771">
      <c r="B4771" s="6"/>
      <c r="C4771" s="33" t="str">
        <f t="array" ref="C4771">IF(B4771="", "", XLOOKUP(B4771, Inventory!D:D,Inventory!E:E,"No Name Found"))</f>
        <v/>
      </c>
      <c r="D4771" s="6"/>
      <c r="E4771" s="6"/>
      <c r="F4771" s="6"/>
      <c r="G4771" s="24" t="str">
        <f>IF(F4771="", "", VLOOKUP(F4771, Inventory!A:BZ, 3, FALSE) - SUMIF($F$1:$F4770, F4771, $H$1:$H4770))
</f>
        <v/>
      </c>
      <c r="I4771" s="26"/>
      <c r="J4771" s="26" t="s">
        <v>77</v>
      </c>
      <c r="L4771" s="27" t="s">
        <v>77</v>
      </c>
      <c r="N4771" s="28" t="s">
        <v>77</v>
      </c>
      <c r="Q4771" s="30"/>
    </row>
    <row r="4772">
      <c r="B4772" s="6"/>
      <c r="C4772" s="33" t="str">
        <f t="array" ref="C4772">IF(B4772="", "", XLOOKUP(B4772, Inventory!D:D,Inventory!E:E,"No Name Found"))</f>
        <v/>
      </c>
      <c r="D4772" s="6"/>
      <c r="E4772" s="6"/>
      <c r="F4772" s="6"/>
      <c r="G4772" s="24" t="str">
        <f>IF(F4772="", "", VLOOKUP(F4772, Inventory!A:BZ, 3, FALSE) - SUMIF($F$1:$F4771, F4772, $H$1:$H4771))
</f>
        <v/>
      </c>
      <c r="I4772" s="26"/>
      <c r="J4772" s="26" t="s">
        <v>77</v>
      </c>
      <c r="L4772" s="27" t="s">
        <v>77</v>
      </c>
      <c r="N4772" s="28" t="s">
        <v>77</v>
      </c>
      <c r="Q4772" s="30"/>
    </row>
    <row r="4773">
      <c r="B4773" s="6"/>
      <c r="C4773" s="33" t="str">
        <f t="array" ref="C4773">IF(B4773="", "", XLOOKUP(B4773, Inventory!D:D,Inventory!E:E,"No Name Found"))</f>
        <v/>
      </c>
      <c r="D4773" s="6"/>
      <c r="E4773" s="6"/>
      <c r="F4773" s="6"/>
      <c r="G4773" s="24" t="str">
        <f>IF(F4773="", "", VLOOKUP(F4773, Inventory!A:BZ, 3, FALSE) - SUMIF($F$1:$F4772, F4773, $H$1:$H4772))
</f>
        <v/>
      </c>
      <c r="I4773" s="26"/>
      <c r="J4773" s="26" t="s">
        <v>77</v>
      </c>
      <c r="L4773" s="27" t="s">
        <v>77</v>
      </c>
      <c r="N4773" s="28" t="s">
        <v>77</v>
      </c>
      <c r="Q4773" s="30"/>
    </row>
    <row r="4774">
      <c r="B4774" s="6"/>
      <c r="C4774" s="33" t="str">
        <f t="array" ref="C4774">IF(B4774="", "", XLOOKUP(B4774, Inventory!D:D,Inventory!E:E,"No Name Found"))</f>
        <v/>
      </c>
      <c r="D4774" s="6"/>
      <c r="E4774" s="6"/>
      <c r="F4774" s="6"/>
      <c r="G4774" s="24" t="str">
        <f>IF(F4774="", "", VLOOKUP(F4774, Inventory!A:BZ, 3, FALSE) - SUMIF($F$1:$F4773, F4774, $H$1:$H4773))
</f>
        <v/>
      </c>
      <c r="I4774" s="26"/>
      <c r="J4774" s="26" t="s">
        <v>77</v>
      </c>
      <c r="L4774" s="27" t="s">
        <v>77</v>
      </c>
      <c r="N4774" s="28" t="s">
        <v>77</v>
      </c>
      <c r="Q4774" s="30"/>
    </row>
    <row r="4775">
      <c r="B4775" s="6"/>
      <c r="C4775" s="33" t="str">
        <f t="array" ref="C4775">IF(B4775="", "", XLOOKUP(B4775, Inventory!D:D,Inventory!E:E,"No Name Found"))</f>
        <v/>
      </c>
      <c r="D4775" s="6"/>
      <c r="E4775" s="6"/>
      <c r="F4775" s="6"/>
      <c r="G4775" s="24" t="str">
        <f>IF(F4775="", "", VLOOKUP(F4775, Inventory!A:BZ, 3, FALSE) - SUMIF($F$1:$F4774, F4775, $H$1:$H4774))
</f>
        <v/>
      </c>
      <c r="I4775" s="26"/>
      <c r="J4775" s="26" t="s">
        <v>77</v>
      </c>
      <c r="L4775" s="27" t="s">
        <v>77</v>
      </c>
      <c r="N4775" s="28" t="s">
        <v>77</v>
      </c>
      <c r="Q4775" s="30"/>
    </row>
    <row r="4776">
      <c r="B4776" s="6"/>
      <c r="C4776" s="33" t="str">
        <f t="array" ref="C4776">IF(B4776="", "", XLOOKUP(B4776, Inventory!D:D,Inventory!E:E,"No Name Found"))</f>
        <v/>
      </c>
      <c r="D4776" s="6"/>
      <c r="E4776" s="6"/>
      <c r="F4776" s="6"/>
      <c r="G4776" s="24" t="str">
        <f>IF(F4776="", "", VLOOKUP(F4776, Inventory!A:BZ, 3, FALSE) - SUMIF($F$1:$F4775, F4776, $H$1:$H4775))
</f>
        <v/>
      </c>
      <c r="I4776" s="26"/>
      <c r="J4776" s="26" t="s">
        <v>77</v>
      </c>
      <c r="L4776" s="27" t="s">
        <v>77</v>
      </c>
      <c r="N4776" s="28" t="s">
        <v>77</v>
      </c>
      <c r="Q4776" s="30"/>
    </row>
    <row r="4777">
      <c r="B4777" s="6"/>
      <c r="C4777" s="33" t="str">
        <f t="array" ref="C4777">IF(B4777="", "", XLOOKUP(B4777, Inventory!D:D,Inventory!E:E,"No Name Found"))</f>
        <v/>
      </c>
      <c r="D4777" s="6"/>
      <c r="E4777" s="6"/>
      <c r="F4777" s="6"/>
      <c r="G4777" s="24" t="str">
        <f>IF(F4777="", "", VLOOKUP(F4777, Inventory!A:BZ, 3, FALSE) - SUMIF($F$1:$F4776, F4777, $H$1:$H4776))
</f>
        <v/>
      </c>
      <c r="I4777" s="26"/>
      <c r="J4777" s="26" t="s">
        <v>77</v>
      </c>
      <c r="L4777" s="27" t="s">
        <v>77</v>
      </c>
      <c r="N4777" s="28" t="s">
        <v>77</v>
      </c>
      <c r="Q4777" s="30"/>
    </row>
    <row r="4778">
      <c r="B4778" s="6"/>
      <c r="C4778" s="33" t="str">
        <f t="array" ref="C4778">IF(B4778="", "", XLOOKUP(B4778, Inventory!D:D,Inventory!E:E,"No Name Found"))</f>
        <v/>
      </c>
      <c r="D4778" s="6"/>
      <c r="E4778" s="6"/>
      <c r="F4778" s="6"/>
      <c r="G4778" s="24" t="str">
        <f>IF(F4778="", "", VLOOKUP(F4778, Inventory!A:BZ, 3, FALSE) - SUMIF($F$1:$F4777, F4778, $H$1:$H4777))
</f>
        <v/>
      </c>
      <c r="I4778" s="26"/>
      <c r="J4778" s="26" t="s">
        <v>77</v>
      </c>
      <c r="L4778" s="27" t="s">
        <v>77</v>
      </c>
      <c r="N4778" s="28" t="s">
        <v>77</v>
      </c>
      <c r="Q4778" s="30"/>
    </row>
    <row r="4779">
      <c r="B4779" s="6"/>
      <c r="C4779" s="33" t="str">
        <f t="array" ref="C4779">IF(B4779="", "", XLOOKUP(B4779, Inventory!D:D,Inventory!E:E,"No Name Found"))</f>
        <v/>
      </c>
      <c r="D4779" s="6"/>
      <c r="E4779" s="6"/>
      <c r="F4779" s="6"/>
      <c r="G4779" s="24" t="str">
        <f>IF(F4779="", "", VLOOKUP(F4779, Inventory!A:BZ, 3, FALSE) - SUMIF($F$1:$F4778, F4779, $H$1:$H4778))
</f>
        <v/>
      </c>
      <c r="I4779" s="26"/>
      <c r="J4779" s="26" t="s">
        <v>77</v>
      </c>
      <c r="L4779" s="27" t="s">
        <v>77</v>
      </c>
      <c r="N4779" s="28" t="s">
        <v>77</v>
      </c>
      <c r="Q4779" s="30"/>
    </row>
    <row r="4780">
      <c r="B4780" s="6"/>
      <c r="C4780" s="33" t="str">
        <f t="array" ref="C4780">IF(B4780="", "", XLOOKUP(B4780, Inventory!D:D,Inventory!E:E,"No Name Found"))</f>
        <v/>
      </c>
      <c r="D4780" s="6"/>
      <c r="E4780" s="6"/>
      <c r="F4780" s="6"/>
      <c r="G4780" s="24" t="str">
        <f>IF(F4780="", "", VLOOKUP(F4780, Inventory!A:BZ, 3, FALSE) - SUMIF($F$1:$F4779, F4780, $H$1:$H4779))
</f>
        <v/>
      </c>
      <c r="I4780" s="26"/>
      <c r="J4780" s="26" t="s">
        <v>77</v>
      </c>
      <c r="L4780" s="27" t="s">
        <v>77</v>
      </c>
      <c r="N4780" s="28" t="s">
        <v>77</v>
      </c>
      <c r="Q4780" s="30"/>
    </row>
    <row r="4781">
      <c r="B4781" s="6"/>
      <c r="C4781" s="33" t="str">
        <f t="array" ref="C4781">IF(B4781="", "", XLOOKUP(B4781, Inventory!D:D,Inventory!E:E,"No Name Found"))</f>
        <v/>
      </c>
      <c r="D4781" s="6"/>
      <c r="E4781" s="6"/>
      <c r="F4781" s="6"/>
      <c r="G4781" s="24" t="str">
        <f>IF(F4781="", "", VLOOKUP(F4781, Inventory!A:BZ, 3, FALSE) - SUMIF($F$1:$F4780, F4781, $H$1:$H4780))
</f>
        <v/>
      </c>
      <c r="I4781" s="26"/>
      <c r="J4781" s="26" t="s">
        <v>77</v>
      </c>
      <c r="L4781" s="27" t="s">
        <v>77</v>
      </c>
      <c r="N4781" s="28" t="s">
        <v>77</v>
      </c>
      <c r="Q4781" s="30"/>
    </row>
    <row r="4782">
      <c r="B4782" s="6"/>
      <c r="C4782" s="33" t="str">
        <f t="array" ref="C4782">IF(B4782="", "", XLOOKUP(B4782, Inventory!D:D,Inventory!E:E,"No Name Found"))</f>
        <v/>
      </c>
      <c r="D4782" s="6"/>
      <c r="E4782" s="6"/>
      <c r="F4782" s="6"/>
      <c r="G4782" s="24" t="str">
        <f>IF(F4782="", "", VLOOKUP(F4782, Inventory!A:BZ, 3, FALSE) - SUMIF($F$1:$F4781, F4782, $H$1:$H4781))
</f>
        <v/>
      </c>
      <c r="I4782" s="26"/>
      <c r="J4782" s="26" t="s">
        <v>77</v>
      </c>
      <c r="L4782" s="27" t="s">
        <v>77</v>
      </c>
      <c r="N4782" s="28" t="s">
        <v>77</v>
      </c>
      <c r="Q4782" s="30"/>
    </row>
    <row r="4783">
      <c r="B4783" s="6"/>
      <c r="C4783" s="33" t="str">
        <f t="array" ref="C4783">IF(B4783="", "", XLOOKUP(B4783, Inventory!D:D,Inventory!E:E,"No Name Found"))</f>
        <v/>
      </c>
      <c r="D4783" s="6"/>
      <c r="E4783" s="6"/>
      <c r="F4783" s="6"/>
      <c r="G4783" s="24" t="str">
        <f>IF(F4783="", "", VLOOKUP(F4783, Inventory!A:BZ, 3, FALSE) - SUMIF($F$1:$F4782, F4783, $H$1:$H4782))
</f>
        <v/>
      </c>
      <c r="I4783" s="26"/>
      <c r="J4783" s="26" t="s">
        <v>77</v>
      </c>
      <c r="L4783" s="27" t="s">
        <v>77</v>
      </c>
      <c r="N4783" s="28" t="s">
        <v>77</v>
      </c>
      <c r="Q4783" s="30"/>
    </row>
    <row r="4784">
      <c r="B4784" s="6"/>
      <c r="C4784" s="33" t="str">
        <f t="array" ref="C4784">IF(B4784="", "", XLOOKUP(B4784, Inventory!D:D,Inventory!E:E,"No Name Found"))</f>
        <v/>
      </c>
      <c r="D4784" s="6"/>
      <c r="E4784" s="6"/>
      <c r="F4784" s="6"/>
      <c r="G4784" s="24" t="str">
        <f>IF(F4784="", "", VLOOKUP(F4784, Inventory!A:BZ, 3, FALSE) - SUMIF($F$1:$F4783, F4784, $H$1:$H4783))
</f>
        <v/>
      </c>
      <c r="I4784" s="26"/>
      <c r="J4784" s="26" t="s">
        <v>77</v>
      </c>
      <c r="L4784" s="27" t="s">
        <v>77</v>
      </c>
      <c r="N4784" s="28" t="s">
        <v>77</v>
      </c>
      <c r="Q4784" s="30"/>
    </row>
    <row r="4785">
      <c r="B4785" s="6"/>
      <c r="C4785" s="33" t="str">
        <f t="array" ref="C4785">IF(B4785="", "", XLOOKUP(B4785, Inventory!D:D,Inventory!E:E,"No Name Found"))</f>
        <v/>
      </c>
      <c r="D4785" s="6"/>
      <c r="E4785" s="6"/>
      <c r="F4785" s="6"/>
      <c r="G4785" s="24" t="str">
        <f>IF(F4785="", "", VLOOKUP(F4785, Inventory!A:BZ, 3, FALSE) - SUMIF($F$1:$F4784, F4785, $H$1:$H4784))
</f>
        <v/>
      </c>
      <c r="I4785" s="26"/>
      <c r="J4785" s="26" t="s">
        <v>77</v>
      </c>
      <c r="L4785" s="27" t="s">
        <v>77</v>
      </c>
      <c r="N4785" s="28" t="s">
        <v>77</v>
      </c>
      <c r="Q4785" s="30"/>
    </row>
    <row r="4786">
      <c r="B4786" s="6"/>
      <c r="C4786" s="33" t="str">
        <f t="array" ref="C4786">IF(B4786="", "", XLOOKUP(B4786, Inventory!D:D,Inventory!E:E,"No Name Found"))</f>
        <v/>
      </c>
      <c r="D4786" s="6"/>
      <c r="E4786" s="6"/>
      <c r="F4786" s="6"/>
      <c r="G4786" s="24" t="str">
        <f>IF(F4786="", "", VLOOKUP(F4786, Inventory!A:BZ, 3, FALSE) - SUMIF($F$1:$F4785, F4786, $H$1:$H4785))
</f>
        <v/>
      </c>
      <c r="I4786" s="26"/>
      <c r="J4786" s="26" t="s">
        <v>77</v>
      </c>
      <c r="L4786" s="27" t="s">
        <v>77</v>
      </c>
      <c r="N4786" s="28" t="s">
        <v>77</v>
      </c>
      <c r="Q4786" s="30"/>
    </row>
    <row r="4787">
      <c r="B4787" s="6"/>
      <c r="C4787" s="33" t="str">
        <f t="array" ref="C4787">IF(B4787="", "", XLOOKUP(B4787, Inventory!D:D,Inventory!E:E,"No Name Found"))</f>
        <v/>
      </c>
      <c r="D4787" s="6"/>
      <c r="E4787" s="6"/>
      <c r="F4787" s="6"/>
      <c r="G4787" s="24" t="str">
        <f>IF(F4787="", "", VLOOKUP(F4787, Inventory!A:BZ, 3, FALSE) - SUMIF($F$1:$F4786, F4787, $H$1:$H4786))
</f>
        <v/>
      </c>
      <c r="I4787" s="26"/>
      <c r="J4787" s="26" t="s">
        <v>77</v>
      </c>
      <c r="L4787" s="27" t="s">
        <v>77</v>
      </c>
      <c r="N4787" s="28" t="s">
        <v>77</v>
      </c>
      <c r="Q4787" s="30"/>
    </row>
    <row r="4788">
      <c r="B4788" s="6"/>
      <c r="C4788" s="33" t="str">
        <f t="array" ref="C4788">IF(B4788="", "", XLOOKUP(B4788, Inventory!D:D,Inventory!E:E,"No Name Found"))</f>
        <v/>
      </c>
      <c r="D4788" s="6"/>
      <c r="E4788" s="6"/>
      <c r="F4788" s="6"/>
      <c r="G4788" s="24" t="str">
        <f>IF(F4788="", "", VLOOKUP(F4788, Inventory!A:BZ, 3, FALSE) - SUMIF($F$1:$F4787, F4788, $H$1:$H4787))
</f>
        <v/>
      </c>
      <c r="I4788" s="26"/>
      <c r="J4788" s="26" t="s">
        <v>77</v>
      </c>
      <c r="L4788" s="27" t="s">
        <v>77</v>
      </c>
      <c r="N4788" s="28" t="s">
        <v>77</v>
      </c>
      <c r="Q4788" s="30"/>
    </row>
    <row r="4789">
      <c r="B4789" s="6"/>
      <c r="C4789" s="33" t="str">
        <f t="array" ref="C4789">IF(B4789="", "", XLOOKUP(B4789, Inventory!D:D,Inventory!E:E,"No Name Found"))</f>
        <v/>
      </c>
      <c r="D4789" s="6"/>
      <c r="E4789" s="6"/>
      <c r="F4789" s="6"/>
      <c r="G4789" s="24" t="str">
        <f>IF(F4789="", "", VLOOKUP(F4789, Inventory!A:BZ, 3, FALSE) - SUMIF($F$1:$F4788, F4789, $H$1:$H4788))
</f>
        <v/>
      </c>
      <c r="I4789" s="26"/>
      <c r="J4789" s="26" t="s">
        <v>77</v>
      </c>
      <c r="L4789" s="27" t="s">
        <v>77</v>
      </c>
      <c r="N4789" s="28" t="s">
        <v>77</v>
      </c>
      <c r="Q4789" s="30"/>
    </row>
    <row r="4790">
      <c r="B4790" s="6"/>
      <c r="C4790" s="33" t="str">
        <f t="array" ref="C4790">IF(B4790="", "", XLOOKUP(B4790, Inventory!D:D,Inventory!E:E,"No Name Found"))</f>
        <v/>
      </c>
      <c r="D4790" s="6"/>
      <c r="E4790" s="6"/>
      <c r="F4790" s="6"/>
      <c r="G4790" s="24" t="str">
        <f>IF(F4790="", "", VLOOKUP(F4790, Inventory!A:BZ, 3, FALSE) - SUMIF($F$1:$F4789, F4790, $H$1:$H4789))
</f>
        <v/>
      </c>
      <c r="I4790" s="26"/>
      <c r="J4790" s="26" t="s">
        <v>77</v>
      </c>
      <c r="L4790" s="27" t="s">
        <v>77</v>
      </c>
      <c r="N4790" s="28" t="s">
        <v>77</v>
      </c>
      <c r="Q4790" s="30"/>
    </row>
    <row r="4791">
      <c r="B4791" s="6"/>
      <c r="C4791" s="33" t="str">
        <f t="array" ref="C4791">IF(B4791="", "", XLOOKUP(B4791, Inventory!D:D,Inventory!E:E,"No Name Found"))</f>
        <v/>
      </c>
      <c r="D4791" s="6"/>
      <c r="E4791" s="6"/>
      <c r="F4791" s="6"/>
      <c r="G4791" s="24" t="str">
        <f>IF(F4791="", "", VLOOKUP(F4791, Inventory!A:BZ, 3, FALSE) - SUMIF($F$1:$F4790, F4791, $H$1:$H4790))
</f>
        <v/>
      </c>
      <c r="I4791" s="26"/>
      <c r="J4791" s="26" t="s">
        <v>77</v>
      </c>
      <c r="L4791" s="27" t="s">
        <v>77</v>
      </c>
      <c r="N4791" s="28" t="s">
        <v>77</v>
      </c>
      <c r="Q4791" s="30"/>
    </row>
    <row r="4792">
      <c r="B4792" s="6"/>
      <c r="C4792" s="33" t="str">
        <f t="array" ref="C4792">IF(B4792="", "", XLOOKUP(B4792, Inventory!D:D,Inventory!E:E,"No Name Found"))</f>
        <v/>
      </c>
      <c r="D4792" s="6"/>
      <c r="E4792" s="6"/>
      <c r="F4792" s="6"/>
      <c r="G4792" s="24" t="str">
        <f>IF(F4792="", "", VLOOKUP(F4792, Inventory!A:BZ, 3, FALSE) - SUMIF($F$1:$F4791, F4792, $H$1:$H4791))
</f>
        <v/>
      </c>
      <c r="I4792" s="26"/>
      <c r="J4792" s="26" t="s">
        <v>77</v>
      </c>
      <c r="L4792" s="27" t="s">
        <v>77</v>
      </c>
      <c r="N4792" s="28" t="s">
        <v>77</v>
      </c>
      <c r="Q4792" s="30"/>
    </row>
    <row r="4793">
      <c r="B4793" s="6"/>
      <c r="C4793" s="33" t="str">
        <f t="array" ref="C4793">IF(B4793="", "", XLOOKUP(B4793, Inventory!D:D,Inventory!E:E,"No Name Found"))</f>
        <v/>
      </c>
      <c r="D4793" s="6"/>
      <c r="E4793" s="6"/>
      <c r="F4793" s="6"/>
      <c r="G4793" s="24" t="str">
        <f>IF(F4793="", "", VLOOKUP(F4793, Inventory!A:BZ, 3, FALSE) - SUMIF($F$1:$F4792, F4793, $H$1:$H4792))
</f>
        <v/>
      </c>
      <c r="I4793" s="26"/>
      <c r="J4793" s="26" t="s">
        <v>77</v>
      </c>
      <c r="L4793" s="27" t="s">
        <v>77</v>
      </c>
      <c r="N4793" s="28" t="s">
        <v>77</v>
      </c>
      <c r="Q4793" s="30"/>
    </row>
    <row r="4794">
      <c r="B4794" s="6"/>
      <c r="C4794" s="33" t="str">
        <f t="array" ref="C4794">IF(B4794="", "", XLOOKUP(B4794, Inventory!D:D,Inventory!E:E,"No Name Found"))</f>
        <v/>
      </c>
      <c r="D4794" s="6"/>
      <c r="E4794" s="6"/>
      <c r="F4794" s="6"/>
      <c r="G4794" s="24" t="str">
        <f>IF(F4794="", "", VLOOKUP(F4794, Inventory!A:BZ, 3, FALSE) - SUMIF($F$1:$F4793, F4794, $H$1:$H4793))
</f>
        <v/>
      </c>
      <c r="I4794" s="26"/>
      <c r="J4794" s="26" t="s">
        <v>77</v>
      </c>
      <c r="L4794" s="27" t="s">
        <v>77</v>
      </c>
      <c r="N4794" s="28" t="s">
        <v>77</v>
      </c>
      <c r="Q4794" s="30"/>
    </row>
    <row r="4795">
      <c r="B4795" s="6"/>
      <c r="C4795" s="33" t="str">
        <f t="array" ref="C4795">IF(B4795="", "", XLOOKUP(B4795, Inventory!D:D,Inventory!E:E,"No Name Found"))</f>
        <v/>
      </c>
      <c r="D4795" s="6"/>
      <c r="E4795" s="6"/>
      <c r="F4795" s="6"/>
      <c r="G4795" s="24" t="str">
        <f>IF(F4795="", "", VLOOKUP(F4795, Inventory!A:BZ, 3, FALSE) - SUMIF($F$1:$F4794, F4795, $H$1:$H4794))
</f>
        <v/>
      </c>
      <c r="I4795" s="26"/>
      <c r="J4795" s="26" t="s">
        <v>77</v>
      </c>
      <c r="L4795" s="27" t="s">
        <v>77</v>
      </c>
      <c r="N4795" s="28" t="s">
        <v>77</v>
      </c>
      <c r="Q4795" s="30"/>
    </row>
    <row r="4796">
      <c r="B4796" s="6"/>
      <c r="C4796" s="33" t="str">
        <f t="array" ref="C4796">IF(B4796="", "", XLOOKUP(B4796, Inventory!D:D,Inventory!E:E,"No Name Found"))</f>
        <v/>
      </c>
      <c r="D4796" s="6"/>
      <c r="E4796" s="6"/>
      <c r="F4796" s="6"/>
      <c r="G4796" s="24" t="str">
        <f>IF(F4796="", "", VLOOKUP(F4796, Inventory!A:BZ, 3, FALSE) - SUMIF($F$1:$F4795, F4796, $H$1:$H4795))
</f>
        <v/>
      </c>
      <c r="I4796" s="26"/>
      <c r="J4796" s="26" t="s">
        <v>77</v>
      </c>
      <c r="L4796" s="27" t="s">
        <v>77</v>
      </c>
      <c r="N4796" s="28" t="s">
        <v>77</v>
      </c>
      <c r="Q4796" s="30"/>
    </row>
    <row r="4797">
      <c r="B4797" s="6"/>
      <c r="C4797" s="33" t="str">
        <f t="array" ref="C4797">IF(B4797="", "", XLOOKUP(B4797, Inventory!D:D,Inventory!E:E,"No Name Found"))</f>
        <v/>
      </c>
      <c r="D4797" s="6"/>
      <c r="E4797" s="6"/>
      <c r="F4797" s="6"/>
      <c r="G4797" s="24" t="str">
        <f>IF(F4797="", "", VLOOKUP(F4797, Inventory!A:BZ, 3, FALSE) - SUMIF($F$1:$F4796, F4797, $H$1:$H4796))
</f>
        <v/>
      </c>
      <c r="I4797" s="26"/>
      <c r="J4797" s="26" t="s">
        <v>77</v>
      </c>
      <c r="L4797" s="27" t="s">
        <v>77</v>
      </c>
      <c r="N4797" s="28" t="s">
        <v>77</v>
      </c>
      <c r="Q4797" s="30"/>
    </row>
    <row r="4798">
      <c r="B4798" s="6"/>
      <c r="C4798" s="33" t="str">
        <f t="array" ref="C4798">IF(B4798="", "", XLOOKUP(B4798, Inventory!D:D,Inventory!E:E,"No Name Found"))</f>
        <v/>
      </c>
      <c r="D4798" s="6"/>
      <c r="E4798" s="6"/>
      <c r="F4798" s="6"/>
      <c r="G4798" s="24" t="str">
        <f>IF(F4798="", "", VLOOKUP(F4798, Inventory!A:BZ, 3, FALSE) - SUMIF($F$1:$F4797, F4798, $H$1:$H4797))
</f>
        <v/>
      </c>
      <c r="I4798" s="26"/>
      <c r="J4798" s="26" t="s">
        <v>77</v>
      </c>
      <c r="L4798" s="27" t="s">
        <v>77</v>
      </c>
      <c r="N4798" s="28" t="s">
        <v>77</v>
      </c>
      <c r="Q4798" s="30"/>
    </row>
    <row r="4799">
      <c r="B4799" s="6"/>
      <c r="C4799" s="33" t="str">
        <f t="array" ref="C4799">IF(B4799="", "", XLOOKUP(B4799, Inventory!D:D,Inventory!E:E,"No Name Found"))</f>
        <v/>
      </c>
      <c r="D4799" s="6"/>
      <c r="E4799" s="6"/>
      <c r="F4799" s="6"/>
      <c r="G4799" s="24" t="str">
        <f>IF(F4799="", "", VLOOKUP(F4799, Inventory!A:BZ, 3, FALSE) - SUMIF($F$1:$F4798, F4799, $H$1:$H4798))
</f>
        <v/>
      </c>
      <c r="I4799" s="26"/>
      <c r="J4799" s="26" t="s">
        <v>77</v>
      </c>
      <c r="L4799" s="27" t="s">
        <v>77</v>
      </c>
      <c r="N4799" s="28" t="s">
        <v>77</v>
      </c>
      <c r="Q4799" s="30"/>
    </row>
    <row r="4800">
      <c r="B4800" s="6"/>
      <c r="C4800" s="33" t="str">
        <f t="array" ref="C4800">IF(B4800="", "", XLOOKUP(B4800, Inventory!D:D,Inventory!E:E,"No Name Found"))</f>
        <v/>
      </c>
      <c r="D4800" s="6"/>
      <c r="E4800" s="6"/>
      <c r="F4800" s="6"/>
      <c r="G4800" s="24" t="str">
        <f>IF(F4800="", "", VLOOKUP(F4800, Inventory!A:BZ, 3, FALSE) - SUMIF($F$1:$F4799, F4800, $H$1:$H4799))
</f>
        <v/>
      </c>
      <c r="I4800" s="26"/>
      <c r="J4800" s="26" t="s">
        <v>77</v>
      </c>
      <c r="L4800" s="27" t="s">
        <v>77</v>
      </c>
      <c r="N4800" s="28" t="s">
        <v>77</v>
      </c>
      <c r="Q4800" s="30"/>
    </row>
    <row r="4801">
      <c r="B4801" s="6"/>
      <c r="C4801" s="33" t="str">
        <f t="array" ref="C4801">IF(B4801="", "", XLOOKUP(B4801, Inventory!D:D,Inventory!E:E,"No Name Found"))</f>
        <v/>
      </c>
      <c r="D4801" s="6"/>
      <c r="E4801" s="6"/>
      <c r="F4801" s="6"/>
      <c r="G4801" s="24" t="str">
        <f>IF(F4801="", "", VLOOKUP(F4801, Inventory!A:BZ, 3, FALSE) - SUMIF($F$1:$F4800, F4801, $H$1:$H4800))
</f>
        <v/>
      </c>
      <c r="I4801" s="26"/>
      <c r="J4801" s="26" t="s">
        <v>77</v>
      </c>
      <c r="L4801" s="27" t="s">
        <v>77</v>
      </c>
      <c r="N4801" s="28" t="s">
        <v>77</v>
      </c>
      <c r="Q4801" s="30"/>
    </row>
    <row r="4802">
      <c r="B4802" s="6"/>
      <c r="C4802" s="33" t="str">
        <f t="array" ref="C4802">IF(B4802="", "", XLOOKUP(B4802, Inventory!D:D,Inventory!E:E,"No Name Found"))</f>
        <v/>
      </c>
      <c r="D4802" s="6"/>
      <c r="E4802" s="6"/>
      <c r="F4802" s="6"/>
      <c r="G4802" s="24" t="str">
        <f>IF(F4802="", "", VLOOKUP(F4802, Inventory!A:BZ, 3, FALSE) - SUMIF($F$1:$F4801, F4802, $H$1:$H4801))
</f>
        <v/>
      </c>
      <c r="I4802" s="26"/>
      <c r="J4802" s="26" t="s">
        <v>77</v>
      </c>
      <c r="L4802" s="27" t="s">
        <v>77</v>
      </c>
      <c r="N4802" s="28" t="s">
        <v>77</v>
      </c>
      <c r="Q4802" s="30"/>
    </row>
    <row r="4803">
      <c r="B4803" s="6"/>
      <c r="C4803" s="33" t="str">
        <f t="array" ref="C4803">IF(B4803="", "", XLOOKUP(B4803, Inventory!D:D,Inventory!E:E,"No Name Found"))</f>
        <v/>
      </c>
      <c r="D4803" s="6"/>
      <c r="E4803" s="6"/>
      <c r="F4803" s="6"/>
      <c r="G4803" s="24" t="str">
        <f>IF(F4803="", "", VLOOKUP(F4803, Inventory!A:BZ, 3, FALSE) - SUMIF($F$1:$F4802, F4803, $H$1:$H4802))
</f>
        <v/>
      </c>
      <c r="I4803" s="26"/>
      <c r="J4803" s="26" t="s">
        <v>77</v>
      </c>
      <c r="L4803" s="27" t="s">
        <v>77</v>
      </c>
      <c r="N4803" s="28" t="s">
        <v>77</v>
      </c>
      <c r="Q4803" s="30"/>
    </row>
    <row r="4804">
      <c r="B4804" s="6"/>
      <c r="C4804" s="33" t="str">
        <f t="array" ref="C4804">IF(B4804="", "", XLOOKUP(B4804, Inventory!D:D,Inventory!E:E,"No Name Found"))</f>
        <v/>
      </c>
      <c r="D4804" s="6"/>
      <c r="E4804" s="6"/>
      <c r="F4804" s="6"/>
      <c r="G4804" s="24" t="str">
        <f>IF(F4804="", "", VLOOKUP(F4804, Inventory!A:BZ, 3, FALSE) - SUMIF($F$1:$F4803, F4804, $H$1:$H4803))
</f>
        <v/>
      </c>
      <c r="I4804" s="26"/>
      <c r="J4804" s="26" t="s">
        <v>77</v>
      </c>
      <c r="L4804" s="27" t="s">
        <v>77</v>
      </c>
      <c r="N4804" s="28" t="s">
        <v>77</v>
      </c>
      <c r="Q4804" s="30"/>
    </row>
    <row r="4805">
      <c r="B4805" s="6"/>
      <c r="C4805" s="33" t="str">
        <f t="array" ref="C4805">IF(B4805="", "", XLOOKUP(B4805, Inventory!D:D,Inventory!E:E,"No Name Found"))</f>
        <v/>
      </c>
      <c r="D4805" s="6"/>
      <c r="E4805" s="6"/>
      <c r="F4805" s="6"/>
      <c r="G4805" s="24" t="str">
        <f>IF(F4805="", "", VLOOKUP(F4805, Inventory!A:BZ, 3, FALSE) - SUMIF($F$1:$F4804, F4805, $H$1:$H4804))
</f>
        <v/>
      </c>
      <c r="I4805" s="26"/>
      <c r="J4805" s="26" t="s">
        <v>77</v>
      </c>
      <c r="L4805" s="27" t="s">
        <v>77</v>
      </c>
      <c r="N4805" s="28" t="s">
        <v>77</v>
      </c>
      <c r="Q4805" s="30"/>
    </row>
    <row r="4806">
      <c r="B4806" s="6"/>
      <c r="C4806" s="33" t="str">
        <f t="array" ref="C4806">IF(B4806="", "", XLOOKUP(B4806, Inventory!D:D,Inventory!E:E,"No Name Found"))</f>
        <v/>
      </c>
      <c r="D4806" s="6"/>
      <c r="E4806" s="6"/>
      <c r="F4806" s="6"/>
      <c r="G4806" s="24" t="str">
        <f>IF(F4806="", "", VLOOKUP(F4806, Inventory!A:BZ, 3, FALSE) - SUMIF($F$1:$F4805, F4806, $H$1:$H4805))
</f>
        <v/>
      </c>
      <c r="I4806" s="26"/>
      <c r="J4806" s="26" t="s">
        <v>77</v>
      </c>
      <c r="L4806" s="27" t="s">
        <v>77</v>
      </c>
      <c r="N4806" s="28" t="s">
        <v>77</v>
      </c>
      <c r="Q4806" s="30"/>
    </row>
    <row r="4807">
      <c r="B4807" s="6"/>
      <c r="C4807" s="33" t="str">
        <f t="array" ref="C4807">IF(B4807="", "", XLOOKUP(B4807, Inventory!D:D,Inventory!E:E,"No Name Found"))</f>
        <v/>
      </c>
      <c r="D4807" s="6"/>
      <c r="E4807" s="6"/>
      <c r="F4807" s="6"/>
      <c r="G4807" s="24" t="str">
        <f>IF(F4807="", "", VLOOKUP(F4807, Inventory!A:BZ, 3, FALSE) - SUMIF($F$1:$F4806, F4807, $H$1:$H4806))
</f>
        <v/>
      </c>
      <c r="I4807" s="26"/>
      <c r="J4807" s="26" t="s">
        <v>77</v>
      </c>
      <c r="L4807" s="27" t="s">
        <v>77</v>
      </c>
      <c r="N4807" s="28" t="s">
        <v>77</v>
      </c>
      <c r="Q4807" s="30"/>
    </row>
    <row r="4808">
      <c r="B4808" s="6"/>
      <c r="C4808" s="33" t="str">
        <f t="array" ref="C4808">IF(B4808="", "", XLOOKUP(B4808, Inventory!D:D,Inventory!E:E,"No Name Found"))</f>
        <v/>
      </c>
      <c r="D4808" s="6"/>
      <c r="E4808" s="6"/>
      <c r="F4808" s="6"/>
      <c r="G4808" s="24" t="str">
        <f>IF(F4808="", "", VLOOKUP(F4808, Inventory!A:BZ, 3, FALSE) - SUMIF($F$1:$F4807, F4808, $H$1:$H4807))
</f>
        <v/>
      </c>
      <c r="I4808" s="26"/>
      <c r="J4808" s="26" t="s">
        <v>77</v>
      </c>
      <c r="L4808" s="27" t="s">
        <v>77</v>
      </c>
      <c r="N4808" s="28" t="s">
        <v>77</v>
      </c>
      <c r="Q4808" s="30"/>
    </row>
    <row r="4809">
      <c r="B4809" s="6"/>
      <c r="C4809" s="33" t="str">
        <f t="array" ref="C4809">IF(B4809="", "", XLOOKUP(B4809, Inventory!D:D,Inventory!E:E,"No Name Found"))</f>
        <v/>
      </c>
      <c r="D4809" s="6"/>
      <c r="E4809" s="6"/>
      <c r="F4809" s="6"/>
      <c r="G4809" s="24" t="str">
        <f>IF(F4809="", "", VLOOKUP(F4809, Inventory!A:BZ, 3, FALSE) - SUMIF($F$1:$F4808, F4809, $H$1:$H4808))
</f>
        <v/>
      </c>
      <c r="I4809" s="26"/>
      <c r="J4809" s="26" t="s">
        <v>77</v>
      </c>
      <c r="L4809" s="27" t="s">
        <v>77</v>
      </c>
      <c r="N4809" s="28" t="s">
        <v>77</v>
      </c>
      <c r="Q4809" s="30"/>
    </row>
    <row r="4810">
      <c r="B4810" s="6"/>
      <c r="C4810" s="33" t="str">
        <f t="array" ref="C4810">IF(B4810="", "", XLOOKUP(B4810, Inventory!D:D,Inventory!E:E,"No Name Found"))</f>
        <v/>
      </c>
      <c r="D4810" s="6"/>
      <c r="E4810" s="6"/>
      <c r="F4810" s="6"/>
      <c r="G4810" s="24" t="str">
        <f>IF(F4810="", "", VLOOKUP(F4810, Inventory!A:BZ, 3, FALSE) - SUMIF($F$1:$F4809, F4810, $H$1:$H4809))
</f>
        <v/>
      </c>
      <c r="I4810" s="26"/>
      <c r="J4810" s="26" t="s">
        <v>77</v>
      </c>
      <c r="L4810" s="27" t="s">
        <v>77</v>
      </c>
      <c r="N4810" s="28" t="s">
        <v>77</v>
      </c>
      <c r="Q4810" s="30"/>
    </row>
    <row r="4811">
      <c r="B4811" s="6"/>
      <c r="C4811" s="33" t="str">
        <f t="array" ref="C4811">IF(B4811="", "", XLOOKUP(B4811, Inventory!D:D,Inventory!E:E,"No Name Found"))</f>
        <v/>
      </c>
      <c r="D4811" s="6"/>
      <c r="E4811" s="6"/>
      <c r="F4811" s="6"/>
      <c r="G4811" s="24" t="str">
        <f>IF(F4811="", "", VLOOKUP(F4811, Inventory!A:BZ, 3, FALSE) - SUMIF($F$1:$F4810, F4811, $H$1:$H4810))
</f>
        <v/>
      </c>
      <c r="I4811" s="26"/>
      <c r="J4811" s="26" t="s">
        <v>77</v>
      </c>
      <c r="L4811" s="27" t="s">
        <v>77</v>
      </c>
      <c r="N4811" s="28" t="s">
        <v>77</v>
      </c>
      <c r="Q4811" s="30"/>
    </row>
    <row r="4812">
      <c r="B4812" s="6"/>
      <c r="C4812" s="33" t="str">
        <f t="array" ref="C4812">IF(B4812="", "", XLOOKUP(B4812, Inventory!D:D,Inventory!E:E,"No Name Found"))</f>
        <v/>
      </c>
      <c r="D4812" s="6"/>
      <c r="E4812" s="6"/>
      <c r="F4812" s="6"/>
      <c r="G4812" s="24" t="str">
        <f>IF(F4812="", "", VLOOKUP(F4812, Inventory!A:BZ, 3, FALSE) - SUMIF($F$1:$F4811, F4812, $H$1:$H4811))
</f>
        <v/>
      </c>
      <c r="I4812" s="26"/>
      <c r="J4812" s="26" t="s">
        <v>77</v>
      </c>
      <c r="L4812" s="27" t="s">
        <v>77</v>
      </c>
      <c r="N4812" s="28" t="s">
        <v>77</v>
      </c>
      <c r="Q4812" s="30"/>
    </row>
    <row r="4813">
      <c r="B4813" s="6"/>
      <c r="C4813" s="33" t="str">
        <f t="array" ref="C4813">IF(B4813="", "", XLOOKUP(B4813, Inventory!D:D,Inventory!E:E,"No Name Found"))</f>
        <v/>
      </c>
      <c r="D4813" s="6"/>
      <c r="E4813" s="6"/>
      <c r="F4813" s="6"/>
      <c r="G4813" s="24" t="str">
        <f>IF(F4813="", "", VLOOKUP(F4813, Inventory!A:BZ, 3, FALSE) - SUMIF($F$1:$F4812, F4813, $H$1:$H4812))
</f>
        <v/>
      </c>
      <c r="I4813" s="26"/>
      <c r="J4813" s="26" t="s">
        <v>77</v>
      </c>
      <c r="L4813" s="27" t="s">
        <v>77</v>
      </c>
      <c r="N4813" s="28" t="s">
        <v>77</v>
      </c>
      <c r="Q4813" s="30"/>
    </row>
    <row r="4814">
      <c r="B4814" s="6"/>
      <c r="C4814" s="33" t="str">
        <f t="array" ref="C4814">IF(B4814="", "", XLOOKUP(B4814, Inventory!D:D,Inventory!E:E,"No Name Found"))</f>
        <v/>
      </c>
      <c r="D4814" s="6"/>
      <c r="E4814" s="6"/>
      <c r="F4814" s="6"/>
      <c r="G4814" s="24" t="str">
        <f>IF(F4814="", "", VLOOKUP(F4814, Inventory!A:BZ, 3, FALSE) - SUMIF($F$1:$F4813, F4814, $H$1:$H4813))
</f>
        <v/>
      </c>
      <c r="I4814" s="26"/>
      <c r="J4814" s="26" t="s">
        <v>77</v>
      </c>
      <c r="L4814" s="27" t="s">
        <v>77</v>
      </c>
      <c r="N4814" s="28" t="s">
        <v>77</v>
      </c>
      <c r="Q4814" s="30"/>
    </row>
    <row r="4815">
      <c r="B4815" s="6"/>
      <c r="C4815" s="33" t="str">
        <f t="array" ref="C4815">IF(B4815="", "", XLOOKUP(B4815, Inventory!D:D,Inventory!E:E,"No Name Found"))</f>
        <v/>
      </c>
      <c r="D4815" s="6"/>
      <c r="E4815" s="6"/>
      <c r="F4815" s="6"/>
      <c r="G4815" s="24" t="str">
        <f>IF(F4815="", "", VLOOKUP(F4815, Inventory!A:BZ, 3, FALSE) - SUMIF($F$1:$F4814, F4815, $H$1:$H4814))
</f>
        <v/>
      </c>
      <c r="I4815" s="26"/>
      <c r="J4815" s="26" t="s">
        <v>77</v>
      </c>
      <c r="L4815" s="27" t="s">
        <v>77</v>
      </c>
      <c r="N4815" s="28" t="s">
        <v>77</v>
      </c>
      <c r="Q4815" s="30"/>
    </row>
    <row r="4816">
      <c r="B4816" s="6"/>
      <c r="C4816" s="33" t="str">
        <f t="array" ref="C4816">IF(B4816="", "", XLOOKUP(B4816, Inventory!D:D,Inventory!E:E,"No Name Found"))</f>
        <v/>
      </c>
      <c r="D4816" s="6"/>
      <c r="E4816" s="6"/>
      <c r="F4816" s="6"/>
      <c r="G4816" s="24" t="str">
        <f>IF(F4816="", "", VLOOKUP(F4816, Inventory!A:BZ, 3, FALSE) - SUMIF($F$1:$F4815, F4816, $H$1:$H4815))
</f>
        <v/>
      </c>
      <c r="I4816" s="26"/>
      <c r="J4816" s="26" t="s">
        <v>77</v>
      </c>
      <c r="L4816" s="27" t="s">
        <v>77</v>
      </c>
      <c r="N4816" s="28" t="s">
        <v>77</v>
      </c>
      <c r="Q4816" s="30"/>
    </row>
    <row r="4817">
      <c r="B4817" s="6"/>
      <c r="C4817" s="33" t="str">
        <f t="array" ref="C4817">IF(B4817="", "", XLOOKUP(B4817, Inventory!D:D,Inventory!E:E,"No Name Found"))</f>
        <v/>
      </c>
      <c r="D4817" s="6"/>
      <c r="E4817" s="6"/>
      <c r="F4817" s="6"/>
      <c r="G4817" s="24" t="str">
        <f>IF(F4817="", "", VLOOKUP(F4817, Inventory!A:BZ, 3, FALSE) - SUMIF($F$1:$F4816, F4817, $H$1:$H4816))
</f>
        <v/>
      </c>
      <c r="I4817" s="26"/>
      <c r="J4817" s="26" t="s">
        <v>77</v>
      </c>
      <c r="L4817" s="27" t="s">
        <v>77</v>
      </c>
      <c r="N4817" s="28" t="s">
        <v>77</v>
      </c>
      <c r="Q4817" s="30"/>
    </row>
    <row r="4818">
      <c r="B4818" s="6"/>
      <c r="C4818" s="33" t="str">
        <f t="array" ref="C4818">IF(B4818="", "", XLOOKUP(B4818, Inventory!D:D,Inventory!E:E,"No Name Found"))</f>
        <v/>
      </c>
      <c r="D4818" s="6"/>
      <c r="E4818" s="6"/>
      <c r="F4818" s="6"/>
      <c r="G4818" s="24" t="str">
        <f>IF(F4818="", "", VLOOKUP(F4818, Inventory!A:BZ, 3, FALSE) - SUMIF($F$1:$F4817, F4818, $H$1:$H4817))
</f>
        <v/>
      </c>
      <c r="I4818" s="26"/>
      <c r="J4818" s="26" t="s">
        <v>77</v>
      </c>
      <c r="L4818" s="27" t="s">
        <v>77</v>
      </c>
      <c r="N4818" s="28" t="s">
        <v>77</v>
      </c>
      <c r="Q4818" s="30"/>
    </row>
    <row r="4819">
      <c r="B4819" s="6"/>
      <c r="C4819" s="33" t="str">
        <f t="array" ref="C4819">IF(B4819="", "", XLOOKUP(B4819, Inventory!D:D,Inventory!E:E,"No Name Found"))</f>
        <v/>
      </c>
      <c r="D4819" s="6"/>
      <c r="E4819" s="6"/>
      <c r="F4819" s="6"/>
      <c r="G4819" s="24" t="str">
        <f>IF(F4819="", "", VLOOKUP(F4819, Inventory!A:BZ, 3, FALSE) - SUMIF($F$1:$F4818, F4819, $H$1:$H4818))
</f>
        <v/>
      </c>
      <c r="I4819" s="26"/>
      <c r="J4819" s="26" t="s">
        <v>77</v>
      </c>
      <c r="L4819" s="27" t="s">
        <v>77</v>
      </c>
      <c r="N4819" s="28" t="s">
        <v>77</v>
      </c>
      <c r="Q4819" s="30"/>
    </row>
    <row r="4820">
      <c r="B4820" s="6"/>
      <c r="C4820" s="33" t="str">
        <f t="array" ref="C4820">IF(B4820="", "", XLOOKUP(B4820, Inventory!D:D,Inventory!E:E,"No Name Found"))</f>
        <v/>
      </c>
      <c r="D4820" s="6"/>
      <c r="E4820" s="6"/>
      <c r="F4820" s="6"/>
      <c r="G4820" s="24" t="str">
        <f>IF(F4820="", "", VLOOKUP(F4820, Inventory!A:BZ, 3, FALSE) - SUMIF($F$1:$F4819, F4820, $H$1:$H4819))
</f>
        <v/>
      </c>
      <c r="I4820" s="26"/>
      <c r="J4820" s="26" t="s">
        <v>77</v>
      </c>
      <c r="L4820" s="27" t="s">
        <v>77</v>
      </c>
      <c r="N4820" s="28" t="s">
        <v>77</v>
      </c>
      <c r="Q4820" s="30"/>
    </row>
    <row r="4821">
      <c r="B4821" s="6"/>
      <c r="C4821" s="33" t="str">
        <f t="array" ref="C4821">IF(B4821="", "", XLOOKUP(B4821, Inventory!D:D,Inventory!E:E,"No Name Found"))</f>
        <v/>
      </c>
      <c r="D4821" s="6"/>
      <c r="E4821" s="6"/>
      <c r="F4821" s="6"/>
      <c r="G4821" s="24" t="str">
        <f>IF(F4821="", "", VLOOKUP(F4821, Inventory!A:BZ, 3, FALSE) - SUMIF($F$1:$F4820, F4821, $H$1:$H4820))
</f>
        <v/>
      </c>
      <c r="I4821" s="26"/>
      <c r="J4821" s="26" t="s">
        <v>77</v>
      </c>
      <c r="L4821" s="27" t="s">
        <v>77</v>
      </c>
      <c r="N4821" s="28" t="s">
        <v>77</v>
      </c>
      <c r="Q4821" s="30"/>
    </row>
    <row r="4822">
      <c r="B4822" s="6"/>
      <c r="C4822" s="33" t="str">
        <f t="array" ref="C4822">IF(B4822="", "", XLOOKUP(B4822, Inventory!D:D,Inventory!E:E,"No Name Found"))</f>
        <v/>
      </c>
      <c r="D4822" s="6"/>
      <c r="E4822" s="6"/>
      <c r="F4822" s="6"/>
      <c r="G4822" s="24" t="str">
        <f>IF(F4822="", "", VLOOKUP(F4822, Inventory!A:BZ, 3, FALSE) - SUMIF($F$1:$F4821, F4822, $H$1:$H4821))
</f>
        <v/>
      </c>
      <c r="I4822" s="26"/>
      <c r="J4822" s="26" t="s">
        <v>77</v>
      </c>
      <c r="L4822" s="27" t="s">
        <v>77</v>
      </c>
      <c r="N4822" s="28" t="s">
        <v>77</v>
      </c>
      <c r="Q4822" s="30"/>
    </row>
    <row r="4823">
      <c r="B4823" s="6"/>
      <c r="C4823" s="33" t="str">
        <f t="array" ref="C4823">IF(B4823="", "", XLOOKUP(B4823, Inventory!D:D,Inventory!E:E,"No Name Found"))</f>
        <v/>
      </c>
      <c r="D4823" s="6"/>
      <c r="E4823" s="6"/>
      <c r="F4823" s="6"/>
      <c r="G4823" s="24" t="str">
        <f>IF(F4823="", "", VLOOKUP(F4823, Inventory!A:BZ, 3, FALSE) - SUMIF($F$1:$F4822, F4823, $H$1:$H4822))
</f>
        <v/>
      </c>
      <c r="I4823" s="26"/>
      <c r="J4823" s="26" t="s">
        <v>77</v>
      </c>
      <c r="L4823" s="27" t="s">
        <v>77</v>
      </c>
      <c r="N4823" s="28" t="s">
        <v>77</v>
      </c>
      <c r="Q4823" s="30"/>
    </row>
    <row r="4824">
      <c r="B4824" s="6"/>
      <c r="C4824" s="33" t="str">
        <f t="array" ref="C4824">IF(B4824="", "", XLOOKUP(B4824, Inventory!D:D,Inventory!E:E,"No Name Found"))</f>
        <v/>
      </c>
      <c r="D4824" s="6"/>
      <c r="E4824" s="6"/>
      <c r="F4824" s="6"/>
      <c r="G4824" s="24" t="str">
        <f>IF(F4824="", "", VLOOKUP(F4824, Inventory!A:BZ, 3, FALSE) - SUMIF($F$1:$F4823, F4824, $H$1:$H4823))
</f>
        <v/>
      </c>
      <c r="I4824" s="26"/>
      <c r="J4824" s="26" t="s">
        <v>77</v>
      </c>
      <c r="L4824" s="27" t="s">
        <v>77</v>
      </c>
      <c r="N4824" s="28" t="s">
        <v>77</v>
      </c>
      <c r="Q4824" s="30"/>
    </row>
    <row r="4825">
      <c r="B4825" s="6"/>
      <c r="C4825" s="33" t="str">
        <f t="array" ref="C4825">IF(B4825="", "", XLOOKUP(B4825, Inventory!D:D,Inventory!E:E,"No Name Found"))</f>
        <v/>
      </c>
      <c r="D4825" s="6"/>
      <c r="E4825" s="6"/>
      <c r="F4825" s="6"/>
      <c r="G4825" s="24" t="str">
        <f>IF(F4825="", "", VLOOKUP(F4825, Inventory!A:BZ, 3, FALSE) - SUMIF($F$1:$F4824, F4825, $H$1:$H4824))
</f>
        <v/>
      </c>
      <c r="I4825" s="26"/>
      <c r="J4825" s="26" t="s">
        <v>77</v>
      </c>
      <c r="L4825" s="27" t="s">
        <v>77</v>
      </c>
      <c r="N4825" s="28" t="s">
        <v>77</v>
      </c>
      <c r="Q4825" s="30"/>
    </row>
    <row r="4826">
      <c r="B4826" s="6"/>
      <c r="C4826" s="33" t="str">
        <f t="array" ref="C4826">IF(B4826="", "", XLOOKUP(B4826, Inventory!D:D,Inventory!E:E,"No Name Found"))</f>
        <v/>
      </c>
      <c r="D4826" s="6"/>
      <c r="E4826" s="6"/>
      <c r="F4826" s="6"/>
      <c r="G4826" s="24" t="str">
        <f>IF(F4826="", "", VLOOKUP(F4826, Inventory!A:BZ, 3, FALSE) - SUMIF($F$1:$F4825, F4826, $H$1:$H4825))
</f>
        <v/>
      </c>
      <c r="I4826" s="26"/>
      <c r="J4826" s="26" t="s">
        <v>77</v>
      </c>
      <c r="L4826" s="27" t="s">
        <v>77</v>
      </c>
      <c r="N4826" s="28" t="s">
        <v>77</v>
      </c>
      <c r="Q4826" s="30"/>
    </row>
    <row r="4827">
      <c r="B4827" s="6"/>
      <c r="C4827" s="33" t="str">
        <f t="array" ref="C4827">IF(B4827="", "", XLOOKUP(B4827, Inventory!D:D,Inventory!E:E,"No Name Found"))</f>
        <v/>
      </c>
      <c r="D4827" s="6"/>
      <c r="E4827" s="6"/>
      <c r="F4827" s="6"/>
      <c r="G4827" s="24" t="str">
        <f>IF(F4827="", "", VLOOKUP(F4827, Inventory!A:BZ, 3, FALSE) - SUMIF($F$1:$F4826, F4827, $H$1:$H4826))
</f>
        <v/>
      </c>
      <c r="I4827" s="26"/>
      <c r="J4827" s="26" t="s">
        <v>77</v>
      </c>
      <c r="L4827" s="27" t="s">
        <v>77</v>
      </c>
      <c r="N4827" s="28" t="s">
        <v>77</v>
      </c>
      <c r="Q4827" s="30"/>
    </row>
    <row r="4828">
      <c r="B4828" s="6"/>
      <c r="C4828" s="33" t="str">
        <f t="array" ref="C4828">IF(B4828="", "", XLOOKUP(B4828, Inventory!D:D,Inventory!E:E,"No Name Found"))</f>
        <v/>
      </c>
      <c r="D4828" s="6"/>
      <c r="E4828" s="6"/>
      <c r="F4828" s="6"/>
      <c r="G4828" s="24" t="str">
        <f>IF(F4828="", "", VLOOKUP(F4828, Inventory!A:BZ, 3, FALSE) - SUMIF($F$1:$F4827, F4828, $H$1:$H4827))
</f>
        <v/>
      </c>
      <c r="I4828" s="26"/>
      <c r="J4828" s="26" t="s">
        <v>77</v>
      </c>
      <c r="L4828" s="27" t="s">
        <v>77</v>
      </c>
      <c r="N4828" s="28" t="s">
        <v>77</v>
      </c>
      <c r="Q4828" s="30"/>
    </row>
    <row r="4829">
      <c r="B4829" s="6"/>
      <c r="C4829" s="33" t="str">
        <f t="array" ref="C4829">IF(B4829="", "", XLOOKUP(B4829, Inventory!D:D,Inventory!E:E,"No Name Found"))</f>
        <v/>
      </c>
      <c r="D4829" s="6"/>
      <c r="E4829" s="6"/>
      <c r="F4829" s="6"/>
      <c r="G4829" s="24" t="str">
        <f>IF(F4829="", "", VLOOKUP(F4829, Inventory!A:BZ, 3, FALSE) - SUMIF($F$1:$F4828, F4829, $H$1:$H4828))
</f>
        <v/>
      </c>
      <c r="I4829" s="26"/>
      <c r="J4829" s="26" t="s">
        <v>77</v>
      </c>
      <c r="L4829" s="27" t="s">
        <v>77</v>
      </c>
      <c r="N4829" s="28" t="s">
        <v>77</v>
      </c>
      <c r="Q4829" s="30"/>
    </row>
    <row r="4830">
      <c r="B4830" s="6"/>
      <c r="C4830" s="33" t="str">
        <f t="array" ref="C4830">IF(B4830="", "", XLOOKUP(B4830, Inventory!D:D,Inventory!E:E,"No Name Found"))</f>
        <v/>
      </c>
      <c r="D4830" s="6"/>
      <c r="E4830" s="6"/>
      <c r="F4830" s="6"/>
      <c r="G4830" s="24" t="str">
        <f>IF(F4830="", "", VLOOKUP(F4830, Inventory!A:BZ, 3, FALSE) - SUMIF($F$1:$F4829, F4830, $H$1:$H4829))
</f>
        <v/>
      </c>
      <c r="I4830" s="26"/>
      <c r="J4830" s="26" t="s">
        <v>77</v>
      </c>
      <c r="L4830" s="27" t="s">
        <v>77</v>
      </c>
      <c r="N4830" s="28" t="s">
        <v>77</v>
      </c>
      <c r="Q4830" s="30"/>
    </row>
    <row r="4831">
      <c r="B4831" s="6"/>
      <c r="C4831" s="33" t="str">
        <f t="array" ref="C4831">IF(B4831="", "", XLOOKUP(B4831, Inventory!D:D,Inventory!E:E,"No Name Found"))</f>
        <v/>
      </c>
      <c r="D4831" s="6"/>
      <c r="E4831" s="6"/>
      <c r="F4831" s="6"/>
      <c r="G4831" s="24" t="str">
        <f>IF(F4831="", "", VLOOKUP(F4831, Inventory!A:BZ, 3, FALSE) - SUMIF($F$1:$F4830, F4831, $H$1:$H4830))
</f>
        <v/>
      </c>
      <c r="I4831" s="26"/>
      <c r="J4831" s="26" t="s">
        <v>77</v>
      </c>
      <c r="L4831" s="27" t="s">
        <v>77</v>
      </c>
      <c r="N4831" s="28" t="s">
        <v>77</v>
      </c>
      <c r="Q4831" s="30"/>
    </row>
    <row r="4832">
      <c r="B4832" s="6"/>
      <c r="C4832" s="33" t="str">
        <f t="array" ref="C4832">IF(B4832="", "", XLOOKUP(B4832, Inventory!D:D,Inventory!E:E,"No Name Found"))</f>
        <v/>
      </c>
      <c r="D4832" s="6"/>
      <c r="E4832" s="6"/>
      <c r="F4832" s="6"/>
      <c r="G4832" s="24" t="str">
        <f>IF(F4832="", "", VLOOKUP(F4832, Inventory!A:BZ, 3, FALSE) - SUMIF($F$1:$F4831, F4832, $H$1:$H4831))
</f>
        <v/>
      </c>
      <c r="I4832" s="26"/>
      <c r="J4832" s="26" t="s">
        <v>77</v>
      </c>
      <c r="L4832" s="27" t="s">
        <v>77</v>
      </c>
      <c r="N4832" s="28" t="s">
        <v>77</v>
      </c>
      <c r="Q4832" s="30"/>
    </row>
    <row r="4833">
      <c r="B4833" s="6"/>
      <c r="C4833" s="33" t="str">
        <f t="array" ref="C4833">IF(B4833="", "", XLOOKUP(B4833, Inventory!D:D,Inventory!E:E,"No Name Found"))</f>
        <v/>
      </c>
      <c r="D4833" s="6"/>
      <c r="E4833" s="6"/>
      <c r="F4833" s="6"/>
      <c r="G4833" s="24" t="str">
        <f>IF(F4833="", "", VLOOKUP(F4833, Inventory!A:BZ, 3, FALSE) - SUMIF($F$1:$F4832, F4833, $H$1:$H4832))
</f>
        <v/>
      </c>
      <c r="I4833" s="26"/>
      <c r="J4833" s="26" t="s">
        <v>77</v>
      </c>
      <c r="L4833" s="27" t="s">
        <v>77</v>
      </c>
      <c r="N4833" s="28" t="s">
        <v>77</v>
      </c>
      <c r="Q4833" s="30"/>
    </row>
    <row r="4834">
      <c r="B4834" s="6"/>
      <c r="C4834" s="33" t="str">
        <f t="array" ref="C4834">IF(B4834="", "", XLOOKUP(B4834, Inventory!D:D,Inventory!E:E,"No Name Found"))</f>
        <v/>
      </c>
      <c r="D4834" s="6"/>
      <c r="E4834" s="6"/>
      <c r="F4834" s="6"/>
      <c r="G4834" s="24" t="str">
        <f>IF(F4834="", "", VLOOKUP(F4834, Inventory!A:BZ, 3, FALSE) - SUMIF($F$1:$F4833, F4834, $H$1:$H4833))
</f>
        <v/>
      </c>
      <c r="I4834" s="26"/>
      <c r="J4834" s="26" t="s">
        <v>77</v>
      </c>
      <c r="L4834" s="27" t="s">
        <v>77</v>
      </c>
      <c r="N4834" s="28" t="s">
        <v>77</v>
      </c>
      <c r="Q4834" s="30"/>
    </row>
    <row r="4835">
      <c r="B4835" s="6"/>
      <c r="C4835" s="33" t="str">
        <f t="array" ref="C4835">IF(B4835="", "", XLOOKUP(B4835, Inventory!D:D,Inventory!E:E,"No Name Found"))</f>
        <v/>
      </c>
      <c r="D4835" s="6"/>
      <c r="E4835" s="6"/>
      <c r="F4835" s="6"/>
      <c r="G4835" s="24" t="str">
        <f>IF(F4835="", "", VLOOKUP(F4835, Inventory!A:BZ, 3, FALSE) - SUMIF($F$1:$F4834, F4835, $H$1:$H4834))
</f>
        <v/>
      </c>
      <c r="I4835" s="26"/>
      <c r="J4835" s="26" t="s">
        <v>77</v>
      </c>
      <c r="L4835" s="27" t="s">
        <v>77</v>
      </c>
      <c r="N4835" s="28" t="s">
        <v>77</v>
      </c>
      <c r="Q4835" s="30"/>
    </row>
    <row r="4836">
      <c r="B4836" s="6"/>
      <c r="C4836" s="33" t="str">
        <f t="array" ref="C4836">IF(B4836="", "", XLOOKUP(B4836, Inventory!D:D,Inventory!E:E,"No Name Found"))</f>
        <v/>
      </c>
      <c r="D4836" s="6"/>
      <c r="E4836" s="6"/>
      <c r="F4836" s="6"/>
      <c r="G4836" s="24" t="str">
        <f>IF(F4836="", "", VLOOKUP(F4836, Inventory!A:BZ, 3, FALSE) - SUMIF($F$1:$F4835, F4836, $H$1:$H4835))
</f>
        <v/>
      </c>
      <c r="I4836" s="26"/>
      <c r="J4836" s="26" t="s">
        <v>77</v>
      </c>
      <c r="L4836" s="27" t="s">
        <v>77</v>
      </c>
      <c r="N4836" s="28" t="s">
        <v>77</v>
      </c>
      <c r="Q4836" s="30"/>
    </row>
    <row r="4837">
      <c r="B4837" s="6"/>
      <c r="C4837" s="33" t="str">
        <f t="array" ref="C4837">IF(B4837="", "", XLOOKUP(B4837, Inventory!D:D,Inventory!E:E,"No Name Found"))</f>
        <v/>
      </c>
      <c r="D4837" s="6"/>
      <c r="E4837" s="6"/>
      <c r="F4837" s="6"/>
      <c r="G4837" s="24" t="str">
        <f>IF(F4837="", "", VLOOKUP(F4837, Inventory!A:BZ, 3, FALSE) - SUMIF($F$1:$F4836, F4837, $H$1:$H4836))
</f>
        <v/>
      </c>
      <c r="I4837" s="26"/>
      <c r="J4837" s="26" t="s">
        <v>77</v>
      </c>
      <c r="L4837" s="27" t="s">
        <v>77</v>
      </c>
      <c r="N4837" s="28" t="s">
        <v>77</v>
      </c>
      <c r="Q4837" s="30"/>
    </row>
    <row r="4838">
      <c r="B4838" s="6"/>
      <c r="C4838" s="33" t="str">
        <f t="array" ref="C4838">IF(B4838="", "", XLOOKUP(B4838, Inventory!D:D,Inventory!E:E,"No Name Found"))</f>
        <v/>
      </c>
      <c r="D4838" s="6"/>
      <c r="E4838" s="6"/>
      <c r="F4838" s="6"/>
      <c r="G4838" s="24" t="str">
        <f>IF(F4838="", "", VLOOKUP(F4838, Inventory!A:BZ, 3, FALSE) - SUMIF($F$1:$F4837, F4838, $H$1:$H4837))
</f>
        <v/>
      </c>
      <c r="I4838" s="26"/>
      <c r="J4838" s="26" t="s">
        <v>77</v>
      </c>
      <c r="L4838" s="27" t="s">
        <v>77</v>
      </c>
      <c r="N4838" s="28" t="s">
        <v>77</v>
      </c>
      <c r="Q4838" s="30"/>
    </row>
    <row r="4839">
      <c r="B4839" s="6"/>
      <c r="C4839" s="33" t="str">
        <f t="array" ref="C4839">IF(B4839="", "", XLOOKUP(B4839, Inventory!D:D,Inventory!E:E,"No Name Found"))</f>
        <v/>
      </c>
      <c r="D4839" s="6"/>
      <c r="E4839" s="6"/>
      <c r="F4839" s="6"/>
      <c r="G4839" s="24" t="str">
        <f>IF(F4839="", "", VLOOKUP(F4839, Inventory!A:BZ, 3, FALSE) - SUMIF($F$1:$F4838, F4839, $H$1:$H4838))
</f>
        <v/>
      </c>
      <c r="I4839" s="26"/>
      <c r="J4839" s="26" t="s">
        <v>77</v>
      </c>
      <c r="L4839" s="27" t="s">
        <v>77</v>
      </c>
      <c r="N4839" s="28" t="s">
        <v>77</v>
      </c>
      <c r="Q4839" s="30"/>
    </row>
    <row r="4840">
      <c r="B4840" s="6"/>
      <c r="C4840" s="33" t="str">
        <f t="array" ref="C4840">IF(B4840="", "", XLOOKUP(B4840, Inventory!D:D,Inventory!E:E,"No Name Found"))</f>
        <v/>
      </c>
      <c r="D4840" s="6"/>
      <c r="E4840" s="6"/>
      <c r="F4840" s="6"/>
      <c r="G4840" s="24" t="str">
        <f>IF(F4840="", "", VLOOKUP(F4840, Inventory!A:BZ, 3, FALSE) - SUMIF($F$1:$F4839, F4840, $H$1:$H4839))
</f>
        <v/>
      </c>
      <c r="I4840" s="26"/>
      <c r="J4840" s="26" t="s">
        <v>77</v>
      </c>
      <c r="L4840" s="27" t="s">
        <v>77</v>
      </c>
      <c r="N4840" s="28" t="s">
        <v>77</v>
      </c>
      <c r="Q4840" s="30"/>
    </row>
    <row r="4841">
      <c r="B4841" s="6"/>
      <c r="C4841" s="33" t="str">
        <f t="array" ref="C4841">IF(B4841="", "", XLOOKUP(B4841, Inventory!D:D,Inventory!E:E,"No Name Found"))</f>
        <v/>
      </c>
      <c r="D4841" s="6"/>
      <c r="E4841" s="6"/>
      <c r="F4841" s="6"/>
      <c r="G4841" s="24" t="str">
        <f>IF(F4841="", "", VLOOKUP(F4841, Inventory!A:BZ, 3, FALSE) - SUMIF($F$1:$F4840, F4841, $H$1:$H4840))
</f>
        <v/>
      </c>
      <c r="I4841" s="26"/>
      <c r="J4841" s="26" t="s">
        <v>77</v>
      </c>
      <c r="L4841" s="27" t="s">
        <v>77</v>
      </c>
      <c r="N4841" s="28" t="s">
        <v>77</v>
      </c>
      <c r="Q4841" s="30"/>
    </row>
    <row r="4842">
      <c r="B4842" s="6"/>
      <c r="C4842" s="33" t="str">
        <f t="array" ref="C4842">IF(B4842="", "", XLOOKUP(B4842, Inventory!D:D,Inventory!E:E,"No Name Found"))</f>
        <v/>
      </c>
      <c r="D4842" s="6"/>
      <c r="E4842" s="6"/>
      <c r="F4842" s="6"/>
      <c r="G4842" s="24" t="str">
        <f>IF(F4842="", "", VLOOKUP(F4842, Inventory!A:BZ, 3, FALSE) - SUMIF($F$1:$F4841, F4842, $H$1:$H4841))
</f>
        <v/>
      </c>
      <c r="I4842" s="26"/>
      <c r="J4842" s="26" t="s">
        <v>77</v>
      </c>
      <c r="L4842" s="27" t="s">
        <v>77</v>
      </c>
      <c r="N4842" s="28" t="s">
        <v>77</v>
      </c>
      <c r="Q4842" s="30"/>
    </row>
    <row r="4843">
      <c r="B4843" s="6"/>
      <c r="C4843" s="33" t="str">
        <f t="array" ref="C4843">IF(B4843="", "", XLOOKUP(B4843, Inventory!D:D,Inventory!E:E,"No Name Found"))</f>
        <v/>
      </c>
      <c r="D4843" s="6"/>
      <c r="E4843" s="6"/>
      <c r="F4843" s="6"/>
      <c r="G4843" s="24" t="str">
        <f>IF(F4843="", "", VLOOKUP(F4843, Inventory!A:BZ, 3, FALSE) - SUMIF($F$1:$F4842, F4843, $H$1:$H4842))
</f>
        <v/>
      </c>
      <c r="I4843" s="26"/>
      <c r="J4843" s="26" t="s">
        <v>77</v>
      </c>
      <c r="L4843" s="27" t="s">
        <v>77</v>
      </c>
      <c r="N4843" s="28" t="s">
        <v>77</v>
      </c>
      <c r="Q4843" s="30"/>
    </row>
    <row r="4844">
      <c r="B4844" s="6"/>
      <c r="C4844" s="33" t="str">
        <f t="array" ref="C4844">IF(B4844="", "", XLOOKUP(B4844, Inventory!D:D,Inventory!E:E,"No Name Found"))</f>
        <v/>
      </c>
      <c r="D4844" s="6"/>
      <c r="E4844" s="6"/>
      <c r="F4844" s="6"/>
      <c r="G4844" s="24" t="str">
        <f>IF(F4844="", "", VLOOKUP(F4844, Inventory!A:BZ, 3, FALSE) - SUMIF($F$1:$F4843, F4844, $H$1:$H4843))
</f>
        <v/>
      </c>
      <c r="I4844" s="26"/>
      <c r="J4844" s="26" t="s">
        <v>77</v>
      </c>
      <c r="L4844" s="27" t="s">
        <v>77</v>
      </c>
      <c r="N4844" s="28" t="s">
        <v>77</v>
      </c>
      <c r="Q4844" s="30"/>
    </row>
    <row r="4845">
      <c r="B4845" s="6"/>
      <c r="C4845" s="33" t="str">
        <f t="array" ref="C4845">IF(B4845="", "", XLOOKUP(B4845, Inventory!D:D,Inventory!E:E,"No Name Found"))</f>
        <v/>
      </c>
      <c r="D4845" s="6"/>
      <c r="E4845" s="6"/>
      <c r="F4845" s="6"/>
      <c r="G4845" s="24" t="str">
        <f>IF(F4845="", "", VLOOKUP(F4845, Inventory!A:BZ, 3, FALSE) - SUMIF($F$1:$F4844, F4845, $H$1:$H4844))
</f>
        <v/>
      </c>
      <c r="I4845" s="26"/>
      <c r="J4845" s="26" t="s">
        <v>77</v>
      </c>
      <c r="L4845" s="27" t="s">
        <v>77</v>
      </c>
      <c r="N4845" s="28" t="s">
        <v>77</v>
      </c>
      <c r="Q4845" s="30"/>
    </row>
    <row r="4846">
      <c r="B4846" s="6"/>
      <c r="C4846" s="33" t="str">
        <f t="array" ref="C4846">IF(B4846="", "", XLOOKUP(B4846, Inventory!D:D,Inventory!E:E,"No Name Found"))</f>
        <v/>
      </c>
      <c r="D4846" s="6"/>
      <c r="E4846" s="6"/>
      <c r="F4846" s="6"/>
      <c r="G4846" s="24" t="str">
        <f>IF(F4846="", "", VLOOKUP(F4846, Inventory!A:BZ, 3, FALSE) - SUMIF($F$1:$F4845, F4846, $H$1:$H4845))
</f>
        <v/>
      </c>
      <c r="I4846" s="26"/>
      <c r="J4846" s="26" t="s">
        <v>77</v>
      </c>
      <c r="L4846" s="27" t="s">
        <v>77</v>
      </c>
      <c r="N4846" s="28" t="s">
        <v>77</v>
      </c>
      <c r="Q4846" s="30"/>
    </row>
    <row r="4847">
      <c r="B4847" s="6"/>
      <c r="C4847" s="33" t="str">
        <f t="array" ref="C4847">IF(B4847="", "", XLOOKUP(B4847, Inventory!D:D,Inventory!E:E,"No Name Found"))</f>
        <v/>
      </c>
      <c r="D4847" s="6"/>
      <c r="E4847" s="6"/>
      <c r="F4847" s="6"/>
      <c r="G4847" s="24" t="str">
        <f>IF(F4847="", "", VLOOKUP(F4847, Inventory!A:BZ, 3, FALSE) - SUMIF($F$1:$F4846, F4847, $H$1:$H4846))
</f>
        <v/>
      </c>
      <c r="I4847" s="26"/>
      <c r="J4847" s="26" t="s">
        <v>77</v>
      </c>
      <c r="L4847" s="27" t="s">
        <v>77</v>
      </c>
      <c r="N4847" s="28" t="s">
        <v>77</v>
      </c>
      <c r="Q4847" s="30"/>
    </row>
    <row r="4848">
      <c r="B4848" s="6"/>
      <c r="C4848" s="33" t="str">
        <f t="array" ref="C4848">IF(B4848="", "", XLOOKUP(B4848, Inventory!D:D,Inventory!E:E,"No Name Found"))</f>
        <v/>
      </c>
      <c r="D4848" s="6"/>
      <c r="E4848" s="6"/>
      <c r="F4848" s="6"/>
      <c r="G4848" s="24" t="str">
        <f>IF(F4848="", "", VLOOKUP(F4848, Inventory!A:BZ, 3, FALSE) - SUMIF($F$1:$F4847, F4848, $H$1:$H4847))
</f>
        <v/>
      </c>
      <c r="I4848" s="26"/>
      <c r="J4848" s="26" t="s">
        <v>77</v>
      </c>
      <c r="L4848" s="27" t="s">
        <v>77</v>
      </c>
      <c r="N4848" s="28" t="s">
        <v>77</v>
      </c>
      <c r="Q4848" s="30"/>
    </row>
    <row r="4849">
      <c r="B4849" s="6"/>
      <c r="C4849" s="33" t="str">
        <f t="array" ref="C4849">IF(B4849="", "", XLOOKUP(B4849, Inventory!D:D,Inventory!E:E,"No Name Found"))</f>
        <v/>
      </c>
      <c r="D4849" s="6"/>
      <c r="E4849" s="6"/>
      <c r="F4849" s="6"/>
      <c r="G4849" s="24" t="str">
        <f>IF(F4849="", "", VLOOKUP(F4849, Inventory!A:BZ, 3, FALSE) - SUMIF($F$1:$F4848, F4849, $H$1:$H4848))
</f>
        <v/>
      </c>
      <c r="I4849" s="26"/>
      <c r="J4849" s="26" t="s">
        <v>77</v>
      </c>
      <c r="L4849" s="27" t="s">
        <v>77</v>
      </c>
      <c r="N4849" s="28" t="s">
        <v>77</v>
      </c>
      <c r="Q4849" s="30"/>
    </row>
    <row r="4850">
      <c r="B4850" s="6"/>
      <c r="C4850" s="33" t="str">
        <f t="array" ref="C4850">IF(B4850="", "", XLOOKUP(B4850, Inventory!D:D,Inventory!E:E,"No Name Found"))</f>
        <v/>
      </c>
      <c r="D4850" s="6"/>
      <c r="E4850" s="6"/>
      <c r="F4850" s="6"/>
      <c r="G4850" s="24" t="str">
        <f>IF(F4850="", "", VLOOKUP(F4850, Inventory!A:BZ, 3, FALSE) - SUMIF($F$1:$F4849, F4850, $H$1:$H4849))
</f>
        <v/>
      </c>
      <c r="I4850" s="26"/>
      <c r="J4850" s="26" t="s">
        <v>77</v>
      </c>
      <c r="L4850" s="27" t="s">
        <v>77</v>
      </c>
      <c r="N4850" s="28" t="s">
        <v>77</v>
      </c>
      <c r="Q4850" s="30"/>
    </row>
    <row r="4851">
      <c r="B4851" s="6"/>
      <c r="C4851" s="33" t="str">
        <f t="array" ref="C4851">IF(B4851="", "", XLOOKUP(B4851, Inventory!D:D,Inventory!E:E,"No Name Found"))</f>
        <v/>
      </c>
      <c r="D4851" s="6"/>
      <c r="E4851" s="6"/>
      <c r="F4851" s="6"/>
      <c r="G4851" s="24" t="str">
        <f>IF(F4851="", "", VLOOKUP(F4851, Inventory!A:BZ, 3, FALSE) - SUMIF($F$1:$F4850, F4851, $H$1:$H4850))
</f>
        <v/>
      </c>
      <c r="I4851" s="26"/>
      <c r="J4851" s="26" t="s">
        <v>77</v>
      </c>
      <c r="L4851" s="27" t="s">
        <v>77</v>
      </c>
      <c r="N4851" s="28" t="s">
        <v>77</v>
      </c>
      <c r="Q4851" s="30"/>
    </row>
    <row r="4852">
      <c r="B4852" s="6"/>
      <c r="C4852" s="33" t="str">
        <f t="array" ref="C4852">IF(B4852="", "", XLOOKUP(B4852, Inventory!D:D,Inventory!E:E,"No Name Found"))</f>
        <v/>
      </c>
      <c r="D4852" s="6"/>
      <c r="E4852" s="6"/>
      <c r="F4852" s="6"/>
      <c r="G4852" s="24" t="str">
        <f>IF(F4852="", "", VLOOKUP(F4852, Inventory!A:BZ, 3, FALSE) - SUMIF($F$1:$F4851, F4852, $H$1:$H4851))
</f>
        <v/>
      </c>
      <c r="I4852" s="26"/>
      <c r="J4852" s="26" t="s">
        <v>77</v>
      </c>
      <c r="L4852" s="27" t="s">
        <v>77</v>
      </c>
      <c r="N4852" s="28" t="s">
        <v>77</v>
      </c>
      <c r="Q4852" s="30"/>
    </row>
    <row r="4853">
      <c r="B4853" s="6"/>
      <c r="C4853" s="33" t="str">
        <f t="array" ref="C4853">IF(B4853="", "", XLOOKUP(B4853, Inventory!D:D,Inventory!E:E,"No Name Found"))</f>
        <v/>
      </c>
      <c r="D4853" s="6"/>
      <c r="E4853" s="6"/>
      <c r="F4853" s="6"/>
      <c r="G4853" s="24" t="str">
        <f>IF(F4853="", "", VLOOKUP(F4853, Inventory!A:BZ, 3, FALSE) - SUMIF($F$1:$F4852, F4853, $H$1:$H4852))
</f>
        <v/>
      </c>
      <c r="I4853" s="26"/>
      <c r="J4853" s="26" t="s">
        <v>77</v>
      </c>
      <c r="L4853" s="27" t="s">
        <v>77</v>
      </c>
      <c r="N4853" s="28" t="s">
        <v>77</v>
      </c>
      <c r="Q4853" s="30"/>
    </row>
    <row r="4854">
      <c r="B4854" s="6"/>
      <c r="C4854" s="33" t="str">
        <f t="array" ref="C4854">IF(B4854="", "", XLOOKUP(B4854, Inventory!D:D,Inventory!E:E,"No Name Found"))</f>
        <v/>
      </c>
      <c r="D4854" s="6"/>
      <c r="E4854" s="6"/>
      <c r="F4854" s="6"/>
      <c r="G4854" s="24" t="str">
        <f>IF(F4854="", "", VLOOKUP(F4854, Inventory!A:BZ, 3, FALSE) - SUMIF($F$1:$F4853, F4854, $H$1:$H4853))
</f>
        <v/>
      </c>
      <c r="I4854" s="26"/>
      <c r="J4854" s="26" t="s">
        <v>77</v>
      </c>
      <c r="L4854" s="27" t="s">
        <v>77</v>
      </c>
      <c r="N4854" s="28" t="s">
        <v>77</v>
      </c>
      <c r="Q4854" s="30"/>
    </row>
    <row r="4855">
      <c r="B4855" s="6"/>
      <c r="C4855" s="33" t="str">
        <f t="array" ref="C4855">IF(B4855="", "", XLOOKUP(B4855, Inventory!D:D,Inventory!E:E,"No Name Found"))</f>
        <v/>
      </c>
      <c r="D4855" s="6"/>
      <c r="E4855" s="6"/>
      <c r="F4855" s="6"/>
      <c r="G4855" s="24" t="str">
        <f>IF(F4855="", "", VLOOKUP(F4855, Inventory!A:BZ, 3, FALSE) - SUMIF($F$1:$F4854, F4855, $H$1:$H4854))
</f>
        <v/>
      </c>
      <c r="I4855" s="26"/>
      <c r="J4855" s="26" t="s">
        <v>77</v>
      </c>
      <c r="L4855" s="27" t="s">
        <v>77</v>
      </c>
      <c r="N4855" s="28" t="s">
        <v>77</v>
      </c>
      <c r="Q4855" s="30"/>
    </row>
    <row r="4856">
      <c r="B4856" s="6"/>
      <c r="C4856" s="33" t="str">
        <f t="array" ref="C4856">IF(B4856="", "", XLOOKUP(B4856, Inventory!D:D,Inventory!E:E,"No Name Found"))</f>
        <v/>
      </c>
      <c r="D4856" s="6"/>
      <c r="E4856" s="6"/>
      <c r="F4856" s="6"/>
      <c r="G4856" s="24" t="str">
        <f>IF(F4856="", "", VLOOKUP(F4856, Inventory!A:BZ, 3, FALSE) - SUMIF($F$1:$F4855, F4856, $H$1:$H4855))
</f>
        <v/>
      </c>
      <c r="I4856" s="26"/>
      <c r="J4856" s="26" t="s">
        <v>77</v>
      </c>
      <c r="L4856" s="27" t="s">
        <v>77</v>
      </c>
      <c r="N4856" s="28" t="s">
        <v>77</v>
      </c>
      <c r="Q4856" s="30"/>
    </row>
    <row r="4857">
      <c r="B4857" s="6"/>
      <c r="C4857" s="33" t="str">
        <f t="array" ref="C4857">IF(B4857="", "", XLOOKUP(B4857, Inventory!D:D,Inventory!E:E,"No Name Found"))</f>
        <v/>
      </c>
      <c r="D4857" s="6"/>
      <c r="E4857" s="6"/>
      <c r="F4857" s="6"/>
      <c r="G4857" s="24" t="str">
        <f>IF(F4857="", "", VLOOKUP(F4857, Inventory!A:BZ, 3, FALSE) - SUMIF($F$1:$F4856, F4857, $H$1:$H4856))
</f>
        <v/>
      </c>
      <c r="I4857" s="26"/>
      <c r="J4857" s="26" t="s">
        <v>77</v>
      </c>
      <c r="L4857" s="27" t="s">
        <v>77</v>
      </c>
      <c r="N4857" s="28" t="s">
        <v>77</v>
      </c>
      <c r="Q4857" s="30"/>
    </row>
    <row r="4858">
      <c r="B4858" s="6"/>
      <c r="C4858" s="33" t="str">
        <f t="array" ref="C4858">IF(B4858="", "", XLOOKUP(B4858, Inventory!D:D,Inventory!E:E,"No Name Found"))</f>
        <v/>
      </c>
      <c r="D4858" s="6"/>
      <c r="E4858" s="6"/>
      <c r="F4858" s="6"/>
      <c r="G4858" s="24" t="str">
        <f>IF(F4858="", "", VLOOKUP(F4858, Inventory!A:BZ, 3, FALSE) - SUMIF($F$1:$F4857, F4858, $H$1:$H4857))
</f>
        <v/>
      </c>
      <c r="I4858" s="26"/>
      <c r="J4858" s="26" t="s">
        <v>77</v>
      </c>
      <c r="L4858" s="27" t="s">
        <v>77</v>
      </c>
      <c r="N4858" s="28" t="s">
        <v>77</v>
      </c>
      <c r="Q4858" s="30"/>
    </row>
    <row r="4859">
      <c r="B4859" s="6"/>
      <c r="C4859" s="33" t="str">
        <f t="array" ref="C4859">IF(B4859="", "", XLOOKUP(B4859, Inventory!D:D,Inventory!E:E,"No Name Found"))</f>
        <v/>
      </c>
      <c r="D4859" s="6"/>
      <c r="E4859" s="6"/>
      <c r="F4859" s="6"/>
      <c r="G4859" s="24" t="str">
        <f>IF(F4859="", "", VLOOKUP(F4859, Inventory!A:BZ, 3, FALSE) - SUMIF($F$1:$F4858, F4859, $H$1:$H4858))
</f>
        <v/>
      </c>
      <c r="I4859" s="26"/>
      <c r="J4859" s="26" t="s">
        <v>77</v>
      </c>
      <c r="L4859" s="27" t="s">
        <v>77</v>
      </c>
      <c r="N4859" s="28" t="s">
        <v>77</v>
      </c>
      <c r="Q4859" s="30"/>
    </row>
    <row r="4860">
      <c r="B4860" s="6"/>
      <c r="C4860" s="33" t="str">
        <f t="array" ref="C4860">IF(B4860="", "", XLOOKUP(B4860, Inventory!D:D,Inventory!E:E,"No Name Found"))</f>
        <v/>
      </c>
      <c r="D4860" s="6"/>
      <c r="E4860" s="6"/>
      <c r="F4860" s="6"/>
      <c r="G4860" s="24" t="str">
        <f>IF(F4860="", "", VLOOKUP(F4860, Inventory!A:BZ, 3, FALSE) - SUMIF($F$1:$F4859, F4860, $H$1:$H4859))
</f>
        <v/>
      </c>
      <c r="I4860" s="26"/>
      <c r="J4860" s="26" t="s">
        <v>77</v>
      </c>
      <c r="L4860" s="27" t="s">
        <v>77</v>
      </c>
      <c r="N4860" s="28" t="s">
        <v>77</v>
      </c>
      <c r="Q4860" s="30"/>
    </row>
    <row r="4861">
      <c r="B4861" s="6"/>
      <c r="C4861" s="33" t="str">
        <f t="array" ref="C4861">IF(B4861="", "", XLOOKUP(B4861, Inventory!D:D,Inventory!E:E,"No Name Found"))</f>
        <v/>
      </c>
      <c r="D4861" s="6"/>
      <c r="E4861" s="6"/>
      <c r="F4861" s="6"/>
      <c r="G4861" s="24" t="str">
        <f>IF(F4861="", "", VLOOKUP(F4861, Inventory!A:BZ, 3, FALSE) - SUMIF($F$1:$F4860, F4861, $H$1:$H4860))
</f>
        <v/>
      </c>
      <c r="I4861" s="26"/>
      <c r="J4861" s="26" t="s">
        <v>77</v>
      </c>
      <c r="L4861" s="27" t="s">
        <v>77</v>
      </c>
      <c r="N4861" s="28" t="s">
        <v>77</v>
      </c>
      <c r="Q4861" s="30"/>
    </row>
    <row r="4862">
      <c r="B4862" s="6"/>
      <c r="C4862" s="33" t="str">
        <f t="array" ref="C4862">IF(B4862="", "", XLOOKUP(B4862, Inventory!D:D,Inventory!E:E,"No Name Found"))</f>
        <v/>
      </c>
      <c r="D4862" s="6"/>
      <c r="E4862" s="6"/>
      <c r="F4862" s="6"/>
      <c r="G4862" s="24" t="str">
        <f>IF(F4862="", "", VLOOKUP(F4862, Inventory!A:BZ, 3, FALSE) - SUMIF($F$1:$F4861, F4862, $H$1:$H4861))
</f>
        <v/>
      </c>
      <c r="I4862" s="26"/>
      <c r="J4862" s="26" t="s">
        <v>77</v>
      </c>
      <c r="L4862" s="27" t="s">
        <v>77</v>
      </c>
      <c r="N4862" s="28" t="s">
        <v>77</v>
      </c>
      <c r="Q4862" s="30"/>
    </row>
    <row r="4863">
      <c r="B4863" s="6"/>
      <c r="C4863" s="33" t="str">
        <f t="array" ref="C4863">IF(B4863="", "", XLOOKUP(B4863, Inventory!D:D,Inventory!E:E,"No Name Found"))</f>
        <v/>
      </c>
      <c r="D4863" s="6"/>
      <c r="E4863" s="6"/>
      <c r="F4863" s="6"/>
      <c r="G4863" s="24" t="str">
        <f>IF(F4863="", "", VLOOKUP(F4863, Inventory!A:BZ, 3, FALSE) - SUMIF($F$1:$F4862, F4863, $H$1:$H4862))
</f>
        <v/>
      </c>
      <c r="I4863" s="26"/>
      <c r="J4863" s="26" t="s">
        <v>77</v>
      </c>
      <c r="L4863" s="27" t="s">
        <v>77</v>
      </c>
      <c r="N4863" s="28" t="s">
        <v>77</v>
      </c>
      <c r="Q4863" s="30"/>
    </row>
    <row r="4864">
      <c r="B4864" s="6"/>
      <c r="C4864" s="33" t="str">
        <f t="array" ref="C4864">IF(B4864="", "", XLOOKUP(B4864, Inventory!D:D,Inventory!E:E,"No Name Found"))</f>
        <v/>
      </c>
      <c r="D4864" s="6"/>
      <c r="E4864" s="6"/>
      <c r="F4864" s="6"/>
      <c r="G4864" s="24" t="str">
        <f>IF(F4864="", "", VLOOKUP(F4864, Inventory!A:BZ, 3, FALSE) - SUMIF($F$1:$F4863, F4864, $H$1:$H4863))
</f>
        <v/>
      </c>
      <c r="I4864" s="26"/>
      <c r="J4864" s="26" t="s">
        <v>77</v>
      </c>
      <c r="L4864" s="27" t="s">
        <v>77</v>
      </c>
      <c r="N4864" s="28" t="s">
        <v>77</v>
      </c>
      <c r="Q4864" s="30"/>
    </row>
    <row r="4865">
      <c r="B4865" s="6"/>
      <c r="C4865" s="33" t="str">
        <f t="array" ref="C4865">IF(B4865="", "", XLOOKUP(B4865, Inventory!D:D,Inventory!E:E,"No Name Found"))</f>
        <v/>
      </c>
      <c r="D4865" s="6"/>
      <c r="E4865" s="6"/>
      <c r="F4865" s="6"/>
      <c r="G4865" s="24" t="str">
        <f>IF(F4865="", "", VLOOKUP(F4865, Inventory!A:BZ, 3, FALSE) - SUMIF($F$1:$F4864, F4865, $H$1:$H4864))
</f>
        <v/>
      </c>
      <c r="I4865" s="26"/>
      <c r="J4865" s="26" t="s">
        <v>77</v>
      </c>
      <c r="L4865" s="27" t="s">
        <v>77</v>
      </c>
      <c r="N4865" s="28" t="s">
        <v>77</v>
      </c>
      <c r="Q4865" s="30"/>
    </row>
    <row r="4866">
      <c r="B4866" s="6"/>
      <c r="C4866" s="33" t="str">
        <f t="array" ref="C4866">IF(B4866="", "", XLOOKUP(B4866, Inventory!D:D,Inventory!E:E,"No Name Found"))</f>
        <v/>
      </c>
      <c r="D4866" s="6"/>
      <c r="E4866" s="6"/>
      <c r="F4866" s="6"/>
      <c r="G4866" s="24" t="str">
        <f>IF(F4866="", "", VLOOKUP(F4866, Inventory!A:BZ, 3, FALSE) - SUMIF($F$1:$F4865, F4866, $H$1:$H4865))
</f>
        <v/>
      </c>
      <c r="I4866" s="26"/>
      <c r="J4866" s="26" t="s">
        <v>77</v>
      </c>
      <c r="L4866" s="27" t="s">
        <v>77</v>
      </c>
      <c r="N4866" s="28" t="s">
        <v>77</v>
      </c>
      <c r="Q4866" s="30"/>
    </row>
    <row r="4867">
      <c r="B4867" s="6"/>
      <c r="C4867" s="33" t="str">
        <f t="array" ref="C4867">IF(B4867="", "", XLOOKUP(B4867, Inventory!D:D,Inventory!E:E,"No Name Found"))</f>
        <v/>
      </c>
      <c r="D4867" s="6"/>
      <c r="E4867" s="6"/>
      <c r="F4867" s="6"/>
      <c r="G4867" s="24" t="str">
        <f>IF(F4867="", "", VLOOKUP(F4867, Inventory!A:BZ, 3, FALSE) - SUMIF($F$1:$F4866, F4867, $H$1:$H4866))
</f>
        <v/>
      </c>
      <c r="I4867" s="26"/>
      <c r="J4867" s="26" t="s">
        <v>77</v>
      </c>
      <c r="L4867" s="27" t="s">
        <v>77</v>
      </c>
      <c r="N4867" s="28" t="s">
        <v>77</v>
      </c>
      <c r="Q4867" s="30"/>
    </row>
    <row r="4868">
      <c r="B4868" s="6"/>
      <c r="C4868" s="33" t="str">
        <f t="array" ref="C4868">IF(B4868="", "", XLOOKUP(B4868, Inventory!D:D,Inventory!E:E,"No Name Found"))</f>
        <v/>
      </c>
      <c r="D4868" s="6"/>
      <c r="E4868" s="6"/>
      <c r="F4868" s="6"/>
      <c r="G4868" s="24" t="str">
        <f>IF(F4868="", "", VLOOKUP(F4868, Inventory!A:BZ, 3, FALSE) - SUMIF($F$1:$F4867, F4868, $H$1:$H4867))
</f>
        <v/>
      </c>
      <c r="I4868" s="26"/>
      <c r="J4868" s="26" t="s">
        <v>77</v>
      </c>
      <c r="L4868" s="27" t="s">
        <v>77</v>
      </c>
      <c r="N4868" s="28" t="s">
        <v>77</v>
      </c>
      <c r="Q4868" s="30"/>
    </row>
    <row r="4869">
      <c r="B4869" s="6"/>
      <c r="C4869" s="33" t="str">
        <f t="array" ref="C4869">IF(B4869="", "", XLOOKUP(B4869, Inventory!D:D,Inventory!E:E,"No Name Found"))</f>
        <v/>
      </c>
      <c r="D4869" s="6"/>
      <c r="E4869" s="6"/>
      <c r="F4869" s="6"/>
      <c r="G4869" s="24" t="str">
        <f>IF(F4869="", "", VLOOKUP(F4869, Inventory!A:BZ, 3, FALSE) - SUMIF($F$1:$F4868, F4869, $H$1:$H4868))
</f>
        <v/>
      </c>
      <c r="I4869" s="26"/>
      <c r="J4869" s="26" t="s">
        <v>77</v>
      </c>
      <c r="L4869" s="27" t="s">
        <v>77</v>
      </c>
      <c r="N4869" s="28" t="s">
        <v>77</v>
      </c>
      <c r="Q4869" s="30"/>
    </row>
    <row r="4870">
      <c r="B4870" s="6"/>
      <c r="C4870" s="33" t="str">
        <f t="array" ref="C4870">IF(B4870="", "", XLOOKUP(B4870, Inventory!D:D,Inventory!E:E,"No Name Found"))</f>
        <v/>
      </c>
      <c r="D4870" s="6"/>
      <c r="E4870" s="6"/>
      <c r="F4870" s="6"/>
      <c r="G4870" s="24" t="str">
        <f>IF(F4870="", "", VLOOKUP(F4870, Inventory!A:BZ, 3, FALSE) - SUMIF($F$1:$F4869, F4870, $H$1:$H4869))
</f>
        <v/>
      </c>
      <c r="I4870" s="26"/>
      <c r="J4870" s="26" t="s">
        <v>77</v>
      </c>
      <c r="L4870" s="27" t="s">
        <v>77</v>
      </c>
      <c r="N4870" s="28" t="s">
        <v>77</v>
      </c>
      <c r="Q4870" s="30"/>
    </row>
    <row r="4871">
      <c r="B4871" s="6"/>
      <c r="C4871" s="33" t="str">
        <f t="array" ref="C4871">IF(B4871="", "", XLOOKUP(B4871, Inventory!D:D,Inventory!E:E,"No Name Found"))</f>
        <v/>
      </c>
      <c r="D4871" s="6"/>
      <c r="E4871" s="6"/>
      <c r="F4871" s="6"/>
      <c r="G4871" s="24" t="str">
        <f>IF(F4871="", "", VLOOKUP(F4871, Inventory!A:BZ, 3, FALSE) - SUMIF($F$1:$F4870, F4871, $H$1:$H4870))
</f>
        <v/>
      </c>
      <c r="I4871" s="26"/>
      <c r="J4871" s="26" t="s">
        <v>77</v>
      </c>
      <c r="L4871" s="27" t="s">
        <v>77</v>
      </c>
      <c r="N4871" s="28" t="s">
        <v>77</v>
      </c>
      <c r="Q4871" s="30"/>
    </row>
    <row r="4872">
      <c r="B4872" s="6"/>
      <c r="C4872" s="33" t="str">
        <f t="array" ref="C4872">IF(B4872="", "", XLOOKUP(B4872, Inventory!D:D,Inventory!E:E,"No Name Found"))</f>
        <v/>
      </c>
      <c r="D4872" s="6"/>
      <c r="E4872" s="6"/>
      <c r="F4872" s="6"/>
      <c r="G4872" s="24" t="str">
        <f>IF(F4872="", "", VLOOKUP(F4872, Inventory!A:BZ, 3, FALSE) - SUMIF($F$1:$F4871, F4872, $H$1:$H4871))
</f>
        <v/>
      </c>
      <c r="I4872" s="26"/>
      <c r="J4872" s="26" t="s">
        <v>77</v>
      </c>
      <c r="L4872" s="27" t="s">
        <v>77</v>
      </c>
      <c r="N4872" s="28" t="s">
        <v>77</v>
      </c>
      <c r="Q4872" s="30"/>
    </row>
    <row r="4873">
      <c r="B4873" s="6"/>
      <c r="C4873" s="33" t="str">
        <f t="array" ref="C4873">IF(B4873="", "", XLOOKUP(B4873, Inventory!D:D,Inventory!E:E,"No Name Found"))</f>
        <v/>
      </c>
      <c r="D4873" s="6"/>
      <c r="E4873" s="6"/>
      <c r="F4873" s="6"/>
      <c r="G4873" s="24" t="str">
        <f>IF(F4873="", "", VLOOKUP(F4873, Inventory!A:BZ, 3, FALSE) - SUMIF($F$1:$F4872, F4873, $H$1:$H4872))
</f>
        <v/>
      </c>
      <c r="I4873" s="26"/>
      <c r="J4873" s="26" t="s">
        <v>77</v>
      </c>
      <c r="L4873" s="27" t="s">
        <v>77</v>
      </c>
      <c r="N4873" s="28" t="s">
        <v>77</v>
      </c>
      <c r="Q4873" s="30"/>
    </row>
    <row r="4874">
      <c r="B4874" s="6"/>
      <c r="C4874" s="33" t="str">
        <f t="array" ref="C4874">IF(B4874="", "", XLOOKUP(B4874, Inventory!D:D,Inventory!E:E,"No Name Found"))</f>
        <v/>
      </c>
      <c r="D4874" s="6"/>
      <c r="E4874" s="6"/>
      <c r="F4874" s="6"/>
      <c r="G4874" s="24" t="str">
        <f>IF(F4874="", "", VLOOKUP(F4874, Inventory!A:BZ, 3, FALSE) - SUMIF($F$1:$F4873, F4874, $H$1:$H4873))
</f>
        <v/>
      </c>
      <c r="I4874" s="26"/>
      <c r="J4874" s="26" t="s">
        <v>77</v>
      </c>
      <c r="L4874" s="27" t="s">
        <v>77</v>
      </c>
      <c r="N4874" s="28" t="s">
        <v>77</v>
      </c>
      <c r="Q4874" s="30"/>
    </row>
    <row r="4875">
      <c r="B4875" s="6"/>
      <c r="C4875" s="33" t="str">
        <f t="array" ref="C4875">IF(B4875="", "", XLOOKUP(B4875, Inventory!D:D,Inventory!E:E,"No Name Found"))</f>
        <v/>
      </c>
      <c r="D4875" s="6"/>
      <c r="E4875" s="6"/>
      <c r="F4875" s="6"/>
      <c r="G4875" s="24" t="str">
        <f>IF(F4875="", "", VLOOKUP(F4875, Inventory!A:BZ, 3, FALSE) - SUMIF($F$1:$F4874, F4875, $H$1:$H4874))
</f>
        <v/>
      </c>
      <c r="I4875" s="26"/>
      <c r="J4875" s="26" t="s">
        <v>77</v>
      </c>
      <c r="L4875" s="27" t="s">
        <v>77</v>
      </c>
      <c r="N4875" s="28" t="s">
        <v>77</v>
      </c>
      <c r="Q4875" s="30"/>
    </row>
    <row r="4876">
      <c r="B4876" s="6"/>
      <c r="C4876" s="33" t="str">
        <f t="array" ref="C4876">IF(B4876="", "", XLOOKUP(B4876, Inventory!D:D,Inventory!E:E,"No Name Found"))</f>
        <v/>
      </c>
      <c r="D4876" s="6"/>
      <c r="E4876" s="6"/>
      <c r="F4876" s="6"/>
      <c r="G4876" s="24" t="str">
        <f>IF(F4876="", "", VLOOKUP(F4876, Inventory!A:BZ, 3, FALSE) - SUMIF($F$1:$F4875, F4876, $H$1:$H4875))
</f>
        <v/>
      </c>
      <c r="I4876" s="26"/>
      <c r="J4876" s="26" t="s">
        <v>77</v>
      </c>
      <c r="L4876" s="27" t="s">
        <v>77</v>
      </c>
      <c r="N4876" s="28" t="s">
        <v>77</v>
      </c>
      <c r="Q4876" s="30"/>
    </row>
    <row r="4877">
      <c r="B4877" s="6"/>
      <c r="C4877" s="33" t="str">
        <f t="array" ref="C4877">IF(B4877="", "", XLOOKUP(B4877, Inventory!D:D,Inventory!E:E,"No Name Found"))</f>
        <v/>
      </c>
      <c r="D4877" s="6"/>
      <c r="E4877" s="6"/>
      <c r="F4877" s="6"/>
      <c r="G4877" s="24" t="str">
        <f>IF(F4877="", "", VLOOKUP(F4877, Inventory!A:BZ, 3, FALSE) - SUMIF($F$1:$F4876, F4877, $H$1:$H4876))
</f>
        <v/>
      </c>
      <c r="I4877" s="26"/>
      <c r="J4877" s="26" t="s">
        <v>77</v>
      </c>
      <c r="L4877" s="27" t="s">
        <v>77</v>
      </c>
      <c r="N4877" s="28" t="s">
        <v>77</v>
      </c>
      <c r="Q4877" s="30"/>
    </row>
    <row r="4878">
      <c r="B4878" s="6"/>
      <c r="C4878" s="33" t="str">
        <f t="array" ref="C4878">IF(B4878="", "", XLOOKUP(B4878, Inventory!D:D,Inventory!E:E,"No Name Found"))</f>
        <v/>
      </c>
      <c r="D4878" s="6"/>
      <c r="E4878" s="6"/>
      <c r="F4878" s="6"/>
      <c r="G4878" s="24" t="str">
        <f>IF(F4878="", "", VLOOKUP(F4878, Inventory!A:BZ, 3, FALSE) - SUMIF($F$1:$F4877, F4878, $H$1:$H4877))
</f>
        <v/>
      </c>
      <c r="I4878" s="26"/>
      <c r="J4878" s="26" t="s">
        <v>77</v>
      </c>
      <c r="L4878" s="27" t="s">
        <v>77</v>
      </c>
      <c r="N4878" s="28" t="s">
        <v>77</v>
      </c>
      <c r="Q4878" s="30"/>
    </row>
    <row r="4879">
      <c r="B4879" s="6"/>
      <c r="C4879" s="33" t="str">
        <f t="array" ref="C4879">IF(B4879="", "", XLOOKUP(B4879, Inventory!D:D,Inventory!E:E,"No Name Found"))</f>
        <v/>
      </c>
      <c r="D4879" s="6"/>
      <c r="E4879" s="6"/>
      <c r="F4879" s="6"/>
      <c r="G4879" s="24" t="str">
        <f>IF(F4879="", "", VLOOKUP(F4879, Inventory!A:BZ, 3, FALSE) - SUMIF($F$1:$F4878, F4879, $H$1:$H4878))
</f>
        <v/>
      </c>
      <c r="I4879" s="26"/>
      <c r="J4879" s="26" t="s">
        <v>77</v>
      </c>
      <c r="L4879" s="27" t="s">
        <v>77</v>
      </c>
      <c r="N4879" s="28" t="s">
        <v>77</v>
      </c>
      <c r="Q4879" s="30"/>
    </row>
    <row r="4880">
      <c r="B4880" s="6"/>
      <c r="C4880" s="33" t="str">
        <f t="array" ref="C4880">IF(B4880="", "", XLOOKUP(B4880, Inventory!D:D,Inventory!E:E,"No Name Found"))</f>
        <v/>
      </c>
      <c r="D4880" s="6"/>
      <c r="E4880" s="6"/>
      <c r="F4880" s="6"/>
      <c r="G4880" s="24" t="str">
        <f>IF(F4880="", "", VLOOKUP(F4880, Inventory!A:BZ, 3, FALSE) - SUMIF($F$1:$F4879, F4880, $H$1:$H4879))
</f>
        <v/>
      </c>
      <c r="I4880" s="26"/>
      <c r="J4880" s="26" t="s">
        <v>77</v>
      </c>
      <c r="L4880" s="27" t="s">
        <v>77</v>
      </c>
      <c r="N4880" s="28" t="s">
        <v>77</v>
      </c>
      <c r="Q4880" s="30"/>
    </row>
    <row r="4881">
      <c r="B4881" s="6"/>
      <c r="C4881" s="33" t="str">
        <f t="array" ref="C4881">IF(B4881="", "", XLOOKUP(B4881, Inventory!D:D,Inventory!E:E,"No Name Found"))</f>
        <v/>
      </c>
      <c r="D4881" s="6"/>
      <c r="E4881" s="6"/>
      <c r="F4881" s="6"/>
      <c r="G4881" s="24" t="str">
        <f>IF(F4881="", "", VLOOKUP(F4881, Inventory!A:BZ, 3, FALSE) - SUMIF($F$1:$F4880, F4881, $H$1:$H4880))
</f>
        <v/>
      </c>
      <c r="I4881" s="26"/>
      <c r="J4881" s="26" t="s">
        <v>77</v>
      </c>
      <c r="L4881" s="27" t="s">
        <v>77</v>
      </c>
      <c r="N4881" s="28" t="s">
        <v>77</v>
      </c>
      <c r="Q4881" s="30"/>
    </row>
    <row r="4882">
      <c r="B4882" s="6"/>
      <c r="C4882" s="33" t="str">
        <f t="array" ref="C4882">IF(B4882="", "", XLOOKUP(B4882, Inventory!D:D,Inventory!E:E,"No Name Found"))</f>
        <v/>
      </c>
      <c r="D4882" s="6"/>
      <c r="E4882" s="6"/>
      <c r="F4882" s="6"/>
      <c r="G4882" s="24" t="str">
        <f>IF(F4882="", "", VLOOKUP(F4882, Inventory!A:BZ, 3, FALSE) - SUMIF($F$1:$F4881, F4882, $H$1:$H4881))
</f>
        <v/>
      </c>
      <c r="I4882" s="26"/>
      <c r="J4882" s="26" t="s">
        <v>77</v>
      </c>
      <c r="L4882" s="27" t="s">
        <v>77</v>
      </c>
      <c r="N4882" s="28" t="s">
        <v>77</v>
      </c>
      <c r="Q4882" s="30"/>
    </row>
    <row r="4883">
      <c r="B4883" s="6"/>
      <c r="C4883" s="33" t="str">
        <f t="array" ref="C4883">IF(B4883="", "", XLOOKUP(B4883, Inventory!D:D,Inventory!E:E,"No Name Found"))</f>
        <v/>
      </c>
      <c r="D4883" s="6"/>
      <c r="E4883" s="6"/>
      <c r="F4883" s="6"/>
      <c r="G4883" s="24" t="str">
        <f>IF(F4883="", "", VLOOKUP(F4883, Inventory!A:BZ, 3, FALSE) - SUMIF($F$1:$F4882, F4883, $H$1:$H4882))
</f>
        <v/>
      </c>
      <c r="I4883" s="26"/>
      <c r="J4883" s="26" t="s">
        <v>77</v>
      </c>
      <c r="L4883" s="27" t="s">
        <v>77</v>
      </c>
      <c r="N4883" s="28" t="s">
        <v>77</v>
      </c>
      <c r="Q4883" s="30"/>
    </row>
    <row r="4884">
      <c r="B4884" s="6"/>
      <c r="C4884" s="33" t="str">
        <f t="array" ref="C4884">IF(B4884="", "", XLOOKUP(B4884, Inventory!D:D,Inventory!E:E,"No Name Found"))</f>
        <v/>
      </c>
      <c r="D4884" s="6"/>
      <c r="E4884" s="6"/>
      <c r="F4884" s="6"/>
      <c r="G4884" s="24" t="str">
        <f>IF(F4884="", "", VLOOKUP(F4884, Inventory!A:BZ, 3, FALSE) - SUMIF($F$1:$F4883, F4884, $H$1:$H4883))
</f>
        <v/>
      </c>
      <c r="I4884" s="26"/>
      <c r="J4884" s="26" t="s">
        <v>77</v>
      </c>
      <c r="L4884" s="27" t="s">
        <v>77</v>
      </c>
      <c r="N4884" s="28" t="s">
        <v>77</v>
      </c>
      <c r="Q4884" s="30"/>
    </row>
    <row r="4885">
      <c r="B4885" s="6"/>
      <c r="C4885" s="33" t="str">
        <f t="array" ref="C4885">IF(B4885="", "", XLOOKUP(B4885, Inventory!D:D,Inventory!E:E,"No Name Found"))</f>
        <v/>
      </c>
      <c r="D4885" s="6"/>
      <c r="E4885" s="6"/>
      <c r="F4885" s="6"/>
      <c r="G4885" s="24" t="str">
        <f>IF(F4885="", "", VLOOKUP(F4885, Inventory!A:BZ, 3, FALSE) - SUMIF($F$1:$F4884, F4885, $H$1:$H4884))
</f>
        <v/>
      </c>
      <c r="I4885" s="26"/>
      <c r="J4885" s="26" t="s">
        <v>77</v>
      </c>
      <c r="L4885" s="27" t="s">
        <v>77</v>
      </c>
      <c r="N4885" s="28" t="s">
        <v>77</v>
      </c>
      <c r="Q4885" s="30"/>
    </row>
    <row r="4886">
      <c r="B4886" s="6"/>
      <c r="C4886" s="33" t="str">
        <f t="array" ref="C4886">IF(B4886="", "", XLOOKUP(B4886, Inventory!D:D,Inventory!E:E,"No Name Found"))</f>
        <v/>
      </c>
      <c r="D4886" s="6"/>
      <c r="E4886" s="6"/>
      <c r="F4886" s="6"/>
      <c r="G4886" s="24" t="str">
        <f>IF(F4886="", "", VLOOKUP(F4886, Inventory!A:BZ, 3, FALSE) - SUMIF($F$1:$F4885, F4886, $H$1:$H4885))
</f>
        <v/>
      </c>
      <c r="I4886" s="26"/>
      <c r="J4886" s="26" t="s">
        <v>77</v>
      </c>
      <c r="L4886" s="27" t="s">
        <v>77</v>
      </c>
      <c r="N4886" s="28" t="s">
        <v>77</v>
      </c>
      <c r="Q4886" s="30"/>
    </row>
    <row r="4887">
      <c r="B4887" s="6"/>
      <c r="C4887" s="33" t="str">
        <f t="array" ref="C4887">IF(B4887="", "", XLOOKUP(B4887, Inventory!D:D,Inventory!E:E,"No Name Found"))</f>
        <v/>
      </c>
      <c r="D4887" s="6"/>
      <c r="E4887" s="6"/>
      <c r="F4887" s="6"/>
      <c r="G4887" s="24" t="str">
        <f>IF(F4887="", "", VLOOKUP(F4887, Inventory!A:BZ, 3, FALSE) - SUMIF($F$1:$F4886, F4887, $H$1:$H4886))
</f>
        <v/>
      </c>
      <c r="I4887" s="26"/>
      <c r="J4887" s="26" t="s">
        <v>77</v>
      </c>
      <c r="L4887" s="27" t="s">
        <v>77</v>
      </c>
      <c r="N4887" s="28" t="s">
        <v>77</v>
      </c>
      <c r="Q4887" s="30"/>
    </row>
    <row r="4888">
      <c r="B4888" s="6"/>
      <c r="C4888" s="33" t="str">
        <f t="array" ref="C4888">IF(B4888="", "", XLOOKUP(B4888, Inventory!D:D,Inventory!E:E,"No Name Found"))</f>
        <v/>
      </c>
      <c r="D4888" s="6"/>
      <c r="E4888" s="6"/>
      <c r="F4888" s="6"/>
      <c r="G4888" s="24" t="str">
        <f>IF(F4888="", "", VLOOKUP(F4888, Inventory!A:BZ, 3, FALSE) - SUMIF($F$1:$F4887, F4888, $H$1:$H4887))
</f>
        <v/>
      </c>
      <c r="I4888" s="26"/>
      <c r="J4888" s="26" t="s">
        <v>77</v>
      </c>
      <c r="L4888" s="27" t="s">
        <v>77</v>
      </c>
      <c r="N4888" s="28" t="s">
        <v>77</v>
      </c>
      <c r="Q4888" s="30"/>
    </row>
    <row r="4889">
      <c r="B4889" s="6"/>
      <c r="C4889" s="33" t="str">
        <f t="array" ref="C4889">IF(B4889="", "", XLOOKUP(B4889, Inventory!D:D,Inventory!E:E,"No Name Found"))</f>
        <v/>
      </c>
      <c r="D4889" s="6"/>
      <c r="E4889" s="6"/>
      <c r="F4889" s="6"/>
      <c r="G4889" s="24" t="str">
        <f>IF(F4889="", "", VLOOKUP(F4889, Inventory!A:BZ, 3, FALSE) - SUMIF($F$1:$F4888, F4889, $H$1:$H4888))
</f>
        <v/>
      </c>
      <c r="I4889" s="26"/>
      <c r="J4889" s="26" t="s">
        <v>77</v>
      </c>
      <c r="L4889" s="27" t="s">
        <v>77</v>
      </c>
      <c r="N4889" s="28" t="s">
        <v>77</v>
      </c>
      <c r="Q4889" s="30"/>
    </row>
    <row r="4890">
      <c r="B4890" s="6"/>
      <c r="C4890" s="33" t="str">
        <f t="array" ref="C4890">IF(B4890="", "", XLOOKUP(B4890, Inventory!D:D,Inventory!E:E,"No Name Found"))</f>
        <v/>
      </c>
      <c r="D4890" s="6"/>
      <c r="E4890" s="6"/>
      <c r="F4890" s="6"/>
      <c r="G4890" s="24" t="str">
        <f>IF(F4890="", "", VLOOKUP(F4890, Inventory!A:BZ, 3, FALSE) - SUMIF($F$1:$F4889, F4890, $H$1:$H4889))
</f>
        <v/>
      </c>
      <c r="I4890" s="26"/>
      <c r="J4890" s="26" t="s">
        <v>77</v>
      </c>
      <c r="L4890" s="27" t="s">
        <v>77</v>
      </c>
      <c r="N4890" s="28" t="s">
        <v>77</v>
      </c>
      <c r="Q4890" s="30"/>
    </row>
    <row r="4891">
      <c r="B4891" s="6"/>
      <c r="C4891" s="33" t="str">
        <f t="array" ref="C4891">IF(B4891="", "", XLOOKUP(B4891, Inventory!D:D,Inventory!E:E,"No Name Found"))</f>
        <v/>
      </c>
      <c r="D4891" s="6"/>
      <c r="E4891" s="6"/>
      <c r="F4891" s="6"/>
      <c r="G4891" s="24" t="str">
        <f>IF(F4891="", "", VLOOKUP(F4891, Inventory!A:BZ, 3, FALSE) - SUMIF($F$1:$F4890, F4891, $H$1:$H4890))
</f>
        <v/>
      </c>
      <c r="I4891" s="26"/>
      <c r="J4891" s="26" t="s">
        <v>77</v>
      </c>
      <c r="L4891" s="27" t="s">
        <v>77</v>
      </c>
      <c r="N4891" s="28" t="s">
        <v>77</v>
      </c>
      <c r="Q4891" s="30"/>
    </row>
    <row r="4892">
      <c r="B4892" s="6"/>
      <c r="C4892" s="33" t="str">
        <f t="array" ref="C4892">IF(B4892="", "", XLOOKUP(B4892, Inventory!D:D,Inventory!E:E,"No Name Found"))</f>
        <v/>
      </c>
      <c r="D4892" s="6"/>
      <c r="E4892" s="6"/>
      <c r="F4892" s="6"/>
      <c r="G4892" s="24" t="str">
        <f>IF(F4892="", "", VLOOKUP(F4892, Inventory!A:BZ, 3, FALSE) - SUMIF($F$1:$F4891, F4892, $H$1:$H4891))
</f>
        <v/>
      </c>
      <c r="I4892" s="26"/>
      <c r="J4892" s="26" t="s">
        <v>77</v>
      </c>
      <c r="L4892" s="27" t="s">
        <v>77</v>
      </c>
      <c r="N4892" s="28" t="s">
        <v>77</v>
      </c>
      <c r="Q4892" s="30"/>
    </row>
    <row r="4893">
      <c r="B4893" s="6"/>
      <c r="C4893" s="33" t="str">
        <f t="array" ref="C4893">IF(B4893="", "", XLOOKUP(B4893, Inventory!D:D,Inventory!E:E,"No Name Found"))</f>
        <v/>
      </c>
      <c r="D4893" s="6"/>
      <c r="E4893" s="6"/>
      <c r="F4893" s="6"/>
      <c r="G4893" s="24" t="str">
        <f>IF(F4893="", "", VLOOKUP(F4893, Inventory!A:BZ, 3, FALSE) - SUMIF($F$1:$F4892, F4893, $H$1:$H4892))
</f>
        <v/>
      </c>
      <c r="I4893" s="26"/>
      <c r="J4893" s="26" t="s">
        <v>77</v>
      </c>
      <c r="L4893" s="27" t="s">
        <v>77</v>
      </c>
      <c r="N4893" s="28" t="s">
        <v>77</v>
      </c>
      <c r="Q4893" s="30"/>
    </row>
    <row r="4894">
      <c r="B4894" s="6"/>
      <c r="C4894" s="33" t="str">
        <f t="array" ref="C4894">IF(B4894="", "", XLOOKUP(B4894, Inventory!D:D,Inventory!E:E,"No Name Found"))</f>
        <v/>
      </c>
      <c r="D4894" s="6"/>
      <c r="E4894" s="6"/>
      <c r="F4894" s="6"/>
      <c r="G4894" s="24" t="str">
        <f>IF(F4894="", "", VLOOKUP(F4894, Inventory!A:BZ, 3, FALSE) - SUMIF($F$1:$F4893, F4894, $H$1:$H4893))
</f>
        <v/>
      </c>
      <c r="I4894" s="26"/>
      <c r="J4894" s="26" t="s">
        <v>77</v>
      </c>
      <c r="L4894" s="27" t="s">
        <v>77</v>
      </c>
      <c r="N4894" s="28" t="s">
        <v>77</v>
      </c>
      <c r="Q4894" s="30"/>
    </row>
    <row r="4895">
      <c r="B4895" s="6"/>
      <c r="C4895" s="33" t="str">
        <f t="array" ref="C4895">IF(B4895="", "", XLOOKUP(B4895, Inventory!D:D,Inventory!E:E,"No Name Found"))</f>
        <v/>
      </c>
      <c r="D4895" s="6"/>
      <c r="E4895" s="6"/>
      <c r="F4895" s="6"/>
      <c r="G4895" s="24" t="str">
        <f>IF(F4895="", "", VLOOKUP(F4895, Inventory!A:BZ, 3, FALSE) - SUMIF($F$1:$F4894, F4895, $H$1:$H4894))
</f>
        <v/>
      </c>
      <c r="I4895" s="26"/>
      <c r="J4895" s="26" t="s">
        <v>77</v>
      </c>
      <c r="L4895" s="27" t="s">
        <v>77</v>
      </c>
      <c r="N4895" s="28" t="s">
        <v>77</v>
      </c>
      <c r="Q4895" s="30"/>
    </row>
    <row r="4896">
      <c r="B4896" s="6"/>
      <c r="C4896" s="33" t="str">
        <f t="array" ref="C4896">IF(B4896="", "", XLOOKUP(B4896, Inventory!D:D,Inventory!E:E,"No Name Found"))</f>
        <v/>
      </c>
      <c r="D4896" s="6"/>
      <c r="E4896" s="6"/>
      <c r="F4896" s="6"/>
      <c r="G4896" s="24" t="str">
        <f>IF(F4896="", "", VLOOKUP(F4896, Inventory!A:BZ, 3, FALSE) - SUMIF($F$1:$F4895, F4896, $H$1:$H4895))
</f>
        <v/>
      </c>
      <c r="I4896" s="26"/>
      <c r="J4896" s="26" t="s">
        <v>77</v>
      </c>
      <c r="L4896" s="27" t="s">
        <v>77</v>
      </c>
      <c r="N4896" s="28" t="s">
        <v>77</v>
      </c>
      <c r="Q4896" s="30"/>
    </row>
    <row r="4897">
      <c r="B4897" s="6"/>
      <c r="C4897" s="33" t="str">
        <f t="array" ref="C4897">IF(B4897="", "", XLOOKUP(B4897, Inventory!D:D,Inventory!E:E,"No Name Found"))</f>
        <v/>
      </c>
      <c r="D4897" s="6"/>
      <c r="E4897" s="6"/>
      <c r="F4897" s="6"/>
      <c r="G4897" s="24" t="str">
        <f>IF(F4897="", "", VLOOKUP(F4897, Inventory!A:BZ, 3, FALSE) - SUMIF($F$1:$F4896, F4897, $H$1:$H4896))
</f>
        <v/>
      </c>
      <c r="I4897" s="26"/>
      <c r="J4897" s="26" t="s">
        <v>77</v>
      </c>
      <c r="L4897" s="27" t="s">
        <v>77</v>
      </c>
      <c r="N4897" s="28" t="s">
        <v>77</v>
      </c>
      <c r="Q4897" s="30"/>
    </row>
    <row r="4898">
      <c r="B4898" s="6"/>
      <c r="C4898" s="33" t="str">
        <f t="array" ref="C4898">IF(B4898="", "", XLOOKUP(B4898, Inventory!D:D,Inventory!E:E,"No Name Found"))</f>
        <v/>
      </c>
      <c r="D4898" s="6"/>
      <c r="E4898" s="6"/>
      <c r="F4898" s="6"/>
      <c r="G4898" s="24" t="str">
        <f>IF(F4898="", "", VLOOKUP(F4898, Inventory!A:BZ, 3, FALSE) - SUMIF($F$1:$F4897, F4898, $H$1:$H4897))
</f>
        <v/>
      </c>
      <c r="I4898" s="26"/>
      <c r="J4898" s="26" t="s">
        <v>77</v>
      </c>
      <c r="L4898" s="27" t="s">
        <v>77</v>
      </c>
      <c r="N4898" s="28" t="s">
        <v>77</v>
      </c>
      <c r="Q4898" s="30"/>
    </row>
    <row r="4899">
      <c r="B4899" s="6"/>
      <c r="C4899" s="33" t="str">
        <f t="array" ref="C4899">IF(B4899="", "", XLOOKUP(B4899, Inventory!D:D,Inventory!E:E,"No Name Found"))</f>
        <v/>
      </c>
      <c r="D4899" s="6"/>
      <c r="E4899" s="6"/>
      <c r="F4899" s="6"/>
      <c r="G4899" s="24" t="str">
        <f>IF(F4899="", "", VLOOKUP(F4899, Inventory!A:BZ, 3, FALSE) - SUMIF($F$1:$F4898, F4899, $H$1:$H4898))
</f>
        <v/>
      </c>
      <c r="I4899" s="26"/>
      <c r="J4899" s="26" t="s">
        <v>77</v>
      </c>
      <c r="L4899" s="27" t="s">
        <v>77</v>
      </c>
      <c r="N4899" s="28" t="s">
        <v>77</v>
      </c>
      <c r="Q4899" s="30"/>
    </row>
    <row r="4900">
      <c r="B4900" s="6"/>
      <c r="C4900" s="33" t="str">
        <f t="array" ref="C4900">IF(B4900="", "", XLOOKUP(B4900, Inventory!D:D,Inventory!E:E,"No Name Found"))</f>
        <v/>
      </c>
      <c r="D4900" s="6"/>
      <c r="E4900" s="6"/>
      <c r="F4900" s="6"/>
      <c r="G4900" s="24" t="str">
        <f>IF(F4900="", "", VLOOKUP(F4900, Inventory!A:BZ, 3, FALSE) - SUMIF($F$1:$F4899, F4900, $H$1:$H4899))
</f>
        <v/>
      </c>
      <c r="I4900" s="26"/>
      <c r="J4900" s="26" t="s">
        <v>77</v>
      </c>
      <c r="L4900" s="27" t="s">
        <v>77</v>
      </c>
      <c r="N4900" s="28" t="s">
        <v>77</v>
      </c>
      <c r="Q4900" s="30"/>
    </row>
    <row r="4901">
      <c r="B4901" s="6"/>
      <c r="C4901" s="33" t="str">
        <f t="array" ref="C4901">IF(B4901="", "", XLOOKUP(B4901, Inventory!D:D,Inventory!E:E,"No Name Found"))</f>
        <v/>
      </c>
      <c r="D4901" s="6"/>
      <c r="E4901" s="6"/>
      <c r="F4901" s="6"/>
      <c r="G4901" s="24" t="str">
        <f>IF(F4901="", "", VLOOKUP(F4901, Inventory!A:BZ, 3, FALSE) - SUMIF($F$1:$F4900, F4901, $H$1:$H4900))
</f>
        <v/>
      </c>
      <c r="I4901" s="26"/>
      <c r="J4901" s="26" t="s">
        <v>77</v>
      </c>
      <c r="L4901" s="27" t="s">
        <v>77</v>
      </c>
      <c r="N4901" s="28" t="s">
        <v>77</v>
      </c>
      <c r="Q4901" s="30"/>
    </row>
    <row r="4902">
      <c r="B4902" s="6"/>
      <c r="C4902" s="33" t="str">
        <f t="array" ref="C4902">IF(B4902="", "", XLOOKUP(B4902, Inventory!D:D,Inventory!E:E,"No Name Found"))</f>
        <v/>
      </c>
      <c r="D4902" s="6"/>
      <c r="E4902" s="6"/>
      <c r="F4902" s="6"/>
      <c r="G4902" s="24" t="str">
        <f>IF(F4902="", "", VLOOKUP(F4902, Inventory!A:BZ, 3, FALSE) - SUMIF($F$1:$F4901, F4902, $H$1:$H4901))
</f>
        <v/>
      </c>
      <c r="I4902" s="26"/>
      <c r="J4902" s="26" t="s">
        <v>77</v>
      </c>
      <c r="L4902" s="27" t="s">
        <v>77</v>
      </c>
      <c r="N4902" s="28" t="s">
        <v>77</v>
      </c>
      <c r="Q4902" s="30"/>
    </row>
    <row r="4903">
      <c r="B4903" s="6"/>
      <c r="C4903" s="33" t="str">
        <f t="array" ref="C4903">IF(B4903="", "", XLOOKUP(B4903, Inventory!D:D,Inventory!E:E,"No Name Found"))</f>
        <v/>
      </c>
      <c r="D4903" s="6"/>
      <c r="E4903" s="6"/>
      <c r="F4903" s="6"/>
      <c r="G4903" s="24" t="str">
        <f>IF(F4903="", "", VLOOKUP(F4903, Inventory!A:BZ, 3, FALSE) - SUMIF($F$1:$F4902, F4903, $H$1:$H4902))
</f>
        <v/>
      </c>
      <c r="I4903" s="26"/>
      <c r="J4903" s="26" t="s">
        <v>77</v>
      </c>
      <c r="L4903" s="27" t="s">
        <v>77</v>
      </c>
      <c r="N4903" s="28" t="s">
        <v>77</v>
      </c>
      <c r="Q4903" s="30"/>
    </row>
    <row r="4904">
      <c r="B4904" s="6"/>
      <c r="C4904" s="33" t="str">
        <f t="array" ref="C4904">IF(B4904="", "", XLOOKUP(B4904, Inventory!D:D,Inventory!E:E,"No Name Found"))</f>
        <v/>
      </c>
      <c r="D4904" s="6"/>
      <c r="E4904" s="6"/>
      <c r="F4904" s="6"/>
      <c r="G4904" s="24" t="str">
        <f>IF(F4904="", "", VLOOKUP(F4904, Inventory!A:BZ, 3, FALSE) - SUMIF($F$1:$F4903, F4904, $H$1:$H4903))
</f>
        <v/>
      </c>
      <c r="I4904" s="26"/>
      <c r="J4904" s="26" t="s">
        <v>77</v>
      </c>
      <c r="L4904" s="27" t="s">
        <v>77</v>
      </c>
      <c r="N4904" s="28" t="s">
        <v>77</v>
      </c>
      <c r="Q4904" s="30"/>
    </row>
    <row r="4905">
      <c r="B4905" s="6"/>
      <c r="C4905" s="33" t="str">
        <f t="array" ref="C4905">IF(B4905="", "", XLOOKUP(B4905, Inventory!D:D,Inventory!E:E,"No Name Found"))</f>
        <v/>
      </c>
      <c r="D4905" s="6"/>
      <c r="E4905" s="6"/>
      <c r="F4905" s="6"/>
      <c r="G4905" s="24" t="str">
        <f>IF(F4905="", "", VLOOKUP(F4905, Inventory!A:BZ, 3, FALSE) - SUMIF($F$1:$F4904, F4905, $H$1:$H4904))
</f>
        <v/>
      </c>
      <c r="I4905" s="26"/>
      <c r="J4905" s="26" t="s">
        <v>77</v>
      </c>
      <c r="L4905" s="27" t="s">
        <v>77</v>
      </c>
      <c r="N4905" s="28" t="s">
        <v>77</v>
      </c>
      <c r="Q4905" s="30"/>
    </row>
    <row r="4906">
      <c r="B4906" s="6"/>
      <c r="C4906" s="33" t="str">
        <f t="array" ref="C4906">IF(B4906="", "", XLOOKUP(B4906, Inventory!D:D,Inventory!E:E,"No Name Found"))</f>
        <v/>
      </c>
      <c r="D4906" s="6"/>
      <c r="E4906" s="6"/>
      <c r="F4906" s="6"/>
      <c r="G4906" s="24" t="str">
        <f>IF(F4906="", "", VLOOKUP(F4906, Inventory!A:BZ, 3, FALSE) - SUMIF($F$1:$F4905, F4906, $H$1:$H4905))
</f>
        <v/>
      </c>
      <c r="I4906" s="26"/>
      <c r="J4906" s="26" t="s">
        <v>77</v>
      </c>
      <c r="L4906" s="27" t="s">
        <v>77</v>
      </c>
      <c r="N4906" s="28" t="s">
        <v>77</v>
      </c>
      <c r="Q4906" s="30"/>
    </row>
    <row r="4907">
      <c r="B4907" s="6"/>
      <c r="C4907" s="33" t="str">
        <f t="array" ref="C4907">IF(B4907="", "", XLOOKUP(B4907, Inventory!D:D,Inventory!E:E,"No Name Found"))</f>
        <v/>
      </c>
      <c r="D4907" s="6"/>
      <c r="E4907" s="6"/>
      <c r="F4907" s="6"/>
      <c r="G4907" s="24" t="str">
        <f>IF(F4907="", "", VLOOKUP(F4907, Inventory!A:BZ, 3, FALSE) - SUMIF($F$1:$F4906, F4907, $H$1:$H4906))
</f>
        <v/>
      </c>
      <c r="I4907" s="26"/>
      <c r="J4907" s="26" t="s">
        <v>77</v>
      </c>
      <c r="L4907" s="27" t="s">
        <v>77</v>
      </c>
      <c r="N4907" s="28" t="s">
        <v>77</v>
      </c>
      <c r="Q4907" s="30"/>
    </row>
    <row r="4908">
      <c r="B4908" s="6"/>
      <c r="C4908" s="33" t="str">
        <f t="array" ref="C4908">IF(B4908="", "", XLOOKUP(B4908, Inventory!D:D,Inventory!E:E,"No Name Found"))</f>
        <v/>
      </c>
      <c r="D4908" s="6"/>
      <c r="E4908" s="6"/>
      <c r="F4908" s="6"/>
      <c r="G4908" s="24" t="str">
        <f>IF(F4908="", "", VLOOKUP(F4908, Inventory!A:BZ, 3, FALSE) - SUMIF($F$1:$F4907, F4908, $H$1:$H4907))
</f>
        <v/>
      </c>
      <c r="I4908" s="26"/>
      <c r="J4908" s="26" t="s">
        <v>77</v>
      </c>
      <c r="L4908" s="27" t="s">
        <v>77</v>
      </c>
      <c r="N4908" s="28" t="s">
        <v>77</v>
      </c>
      <c r="Q4908" s="30"/>
    </row>
    <row r="4909">
      <c r="B4909" s="6"/>
      <c r="C4909" s="33" t="str">
        <f t="array" ref="C4909">IF(B4909="", "", XLOOKUP(B4909, Inventory!D:D,Inventory!E:E,"No Name Found"))</f>
        <v/>
      </c>
      <c r="D4909" s="6"/>
      <c r="E4909" s="6"/>
      <c r="F4909" s="6"/>
      <c r="G4909" s="24" t="str">
        <f>IF(F4909="", "", VLOOKUP(F4909, Inventory!A:BZ, 3, FALSE) - SUMIF($F$1:$F4908, F4909, $H$1:$H4908))
</f>
        <v/>
      </c>
      <c r="I4909" s="26"/>
      <c r="J4909" s="26" t="s">
        <v>77</v>
      </c>
      <c r="L4909" s="27" t="s">
        <v>77</v>
      </c>
      <c r="N4909" s="28" t="s">
        <v>77</v>
      </c>
      <c r="Q4909" s="30"/>
    </row>
    <row r="4910">
      <c r="B4910" s="6"/>
      <c r="C4910" s="33" t="str">
        <f t="array" ref="C4910">IF(B4910="", "", XLOOKUP(B4910, Inventory!D:D,Inventory!E:E,"No Name Found"))</f>
        <v/>
      </c>
      <c r="D4910" s="6"/>
      <c r="E4910" s="6"/>
      <c r="F4910" s="6"/>
      <c r="G4910" s="24" t="str">
        <f>IF(F4910="", "", VLOOKUP(F4910, Inventory!A:BZ, 3, FALSE) - SUMIF($F$1:$F4909, F4910, $H$1:$H4909))
</f>
        <v/>
      </c>
      <c r="I4910" s="26"/>
      <c r="J4910" s="26" t="s">
        <v>77</v>
      </c>
      <c r="L4910" s="27" t="s">
        <v>77</v>
      </c>
      <c r="N4910" s="28" t="s">
        <v>77</v>
      </c>
      <c r="Q4910" s="30"/>
    </row>
    <row r="4911">
      <c r="B4911" s="6"/>
      <c r="C4911" s="33" t="str">
        <f t="array" ref="C4911">IF(B4911="", "", XLOOKUP(B4911, Inventory!D:D,Inventory!E:E,"No Name Found"))</f>
        <v/>
      </c>
      <c r="D4911" s="6"/>
      <c r="E4911" s="6"/>
      <c r="F4911" s="6"/>
      <c r="G4911" s="24" t="str">
        <f>IF(F4911="", "", VLOOKUP(F4911, Inventory!A:BZ, 3, FALSE) - SUMIF($F$1:$F4910, F4911, $H$1:$H4910))
</f>
        <v/>
      </c>
      <c r="I4911" s="26"/>
      <c r="J4911" s="26" t="s">
        <v>77</v>
      </c>
      <c r="L4911" s="27" t="s">
        <v>77</v>
      </c>
      <c r="N4911" s="28" t="s">
        <v>77</v>
      </c>
      <c r="Q4911" s="30"/>
    </row>
    <row r="4912">
      <c r="B4912" s="6"/>
      <c r="C4912" s="33" t="str">
        <f t="array" ref="C4912">IF(B4912="", "", XLOOKUP(B4912, Inventory!D:D,Inventory!E:E,"No Name Found"))</f>
        <v/>
      </c>
      <c r="D4912" s="6"/>
      <c r="E4912" s="6"/>
      <c r="F4912" s="6"/>
      <c r="G4912" s="24" t="str">
        <f>IF(F4912="", "", VLOOKUP(F4912, Inventory!A:BZ, 3, FALSE) - SUMIF($F$1:$F4911, F4912, $H$1:$H4911))
</f>
        <v/>
      </c>
      <c r="I4912" s="26"/>
      <c r="J4912" s="26" t="s">
        <v>77</v>
      </c>
      <c r="L4912" s="27" t="s">
        <v>77</v>
      </c>
      <c r="N4912" s="28" t="s">
        <v>77</v>
      </c>
      <c r="Q4912" s="30"/>
    </row>
    <row r="4913">
      <c r="B4913" s="6"/>
      <c r="C4913" s="33" t="str">
        <f t="array" ref="C4913">IF(B4913="", "", XLOOKUP(B4913, Inventory!D:D,Inventory!E:E,"No Name Found"))</f>
        <v/>
      </c>
      <c r="D4913" s="6"/>
      <c r="E4913" s="6"/>
      <c r="F4913" s="6"/>
      <c r="G4913" s="24" t="str">
        <f>IF(F4913="", "", VLOOKUP(F4913, Inventory!A:BZ, 3, FALSE) - SUMIF($F$1:$F4912, F4913, $H$1:$H4912))
</f>
        <v/>
      </c>
      <c r="I4913" s="26"/>
      <c r="J4913" s="26" t="s">
        <v>77</v>
      </c>
      <c r="L4913" s="27" t="s">
        <v>77</v>
      </c>
      <c r="N4913" s="28" t="s">
        <v>77</v>
      </c>
      <c r="Q4913" s="30"/>
    </row>
    <row r="4914">
      <c r="B4914" s="6"/>
      <c r="C4914" s="33" t="str">
        <f t="array" ref="C4914">IF(B4914="", "", XLOOKUP(B4914, Inventory!D:D,Inventory!E:E,"No Name Found"))</f>
        <v/>
      </c>
      <c r="D4914" s="6"/>
      <c r="E4914" s="6"/>
      <c r="F4914" s="6"/>
      <c r="G4914" s="24" t="str">
        <f>IF(F4914="", "", VLOOKUP(F4914, Inventory!A:BZ, 3, FALSE) - SUMIF($F$1:$F4913, F4914, $H$1:$H4913))
</f>
        <v/>
      </c>
      <c r="I4914" s="26"/>
      <c r="J4914" s="26" t="s">
        <v>77</v>
      </c>
      <c r="L4914" s="27" t="s">
        <v>77</v>
      </c>
      <c r="N4914" s="28" t="s">
        <v>77</v>
      </c>
      <c r="Q4914" s="30"/>
    </row>
    <row r="4915">
      <c r="B4915" s="6"/>
      <c r="C4915" s="33" t="str">
        <f t="array" ref="C4915">IF(B4915="", "", XLOOKUP(B4915, Inventory!D:D,Inventory!E:E,"No Name Found"))</f>
        <v/>
      </c>
      <c r="D4915" s="6"/>
      <c r="E4915" s="6"/>
      <c r="F4915" s="6"/>
      <c r="G4915" s="24" t="str">
        <f>IF(F4915="", "", VLOOKUP(F4915, Inventory!A:BZ, 3, FALSE) - SUMIF($F$1:$F4914, F4915, $H$1:$H4914))
</f>
        <v/>
      </c>
      <c r="I4915" s="26"/>
      <c r="J4915" s="26" t="s">
        <v>77</v>
      </c>
      <c r="L4915" s="27" t="s">
        <v>77</v>
      </c>
      <c r="N4915" s="28" t="s">
        <v>77</v>
      </c>
      <c r="Q4915" s="30"/>
    </row>
    <row r="4916">
      <c r="B4916" s="6"/>
      <c r="C4916" s="33" t="str">
        <f t="array" ref="C4916">IF(B4916="", "", XLOOKUP(B4916, Inventory!D:D,Inventory!E:E,"No Name Found"))</f>
        <v/>
      </c>
      <c r="D4916" s="6"/>
      <c r="E4916" s="6"/>
      <c r="F4916" s="6"/>
      <c r="G4916" s="24" t="str">
        <f>IF(F4916="", "", VLOOKUP(F4916, Inventory!A:BZ, 3, FALSE) - SUMIF($F$1:$F4915, F4916, $H$1:$H4915))
</f>
        <v/>
      </c>
      <c r="I4916" s="26"/>
      <c r="J4916" s="26" t="s">
        <v>77</v>
      </c>
      <c r="L4916" s="27" t="s">
        <v>77</v>
      </c>
      <c r="N4916" s="28" t="s">
        <v>77</v>
      </c>
      <c r="Q4916" s="30"/>
    </row>
    <row r="4917">
      <c r="B4917" s="6"/>
      <c r="C4917" s="33" t="str">
        <f t="array" ref="C4917">IF(B4917="", "", XLOOKUP(B4917, Inventory!D:D,Inventory!E:E,"No Name Found"))</f>
        <v/>
      </c>
      <c r="D4917" s="6"/>
      <c r="E4917" s="6"/>
      <c r="F4917" s="6"/>
      <c r="G4917" s="24" t="str">
        <f>IF(F4917="", "", VLOOKUP(F4917, Inventory!A:BZ, 3, FALSE) - SUMIF($F$1:$F4916, F4917, $H$1:$H4916))
</f>
        <v/>
      </c>
      <c r="I4917" s="26"/>
      <c r="J4917" s="26" t="s">
        <v>77</v>
      </c>
      <c r="L4917" s="27" t="s">
        <v>77</v>
      </c>
      <c r="N4917" s="28" t="s">
        <v>77</v>
      </c>
      <c r="Q4917" s="30"/>
    </row>
    <row r="4918">
      <c r="B4918" s="6"/>
      <c r="C4918" s="33" t="str">
        <f t="array" ref="C4918">IF(B4918="", "", XLOOKUP(B4918, Inventory!D:D,Inventory!E:E,"No Name Found"))</f>
        <v/>
      </c>
      <c r="D4918" s="6"/>
      <c r="E4918" s="6"/>
      <c r="F4918" s="6"/>
      <c r="G4918" s="24" t="str">
        <f>IF(F4918="", "", VLOOKUP(F4918, Inventory!A:BZ, 3, FALSE) - SUMIF($F$1:$F4917, F4918, $H$1:$H4917))
</f>
        <v/>
      </c>
      <c r="I4918" s="26"/>
      <c r="J4918" s="26" t="s">
        <v>77</v>
      </c>
      <c r="L4918" s="27" t="s">
        <v>77</v>
      </c>
      <c r="N4918" s="28" t="s">
        <v>77</v>
      </c>
      <c r="Q4918" s="30"/>
    </row>
    <row r="4919">
      <c r="B4919" s="6"/>
      <c r="C4919" s="33" t="str">
        <f t="array" ref="C4919">IF(B4919="", "", XLOOKUP(B4919, Inventory!D:D,Inventory!E:E,"No Name Found"))</f>
        <v/>
      </c>
      <c r="D4919" s="6"/>
      <c r="E4919" s="6"/>
      <c r="F4919" s="6"/>
      <c r="G4919" s="24" t="str">
        <f>IF(F4919="", "", VLOOKUP(F4919, Inventory!A:BZ, 3, FALSE) - SUMIF($F$1:$F4918, F4919, $H$1:$H4918))
</f>
        <v/>
      </c>
      <c r="I4919" s="26"/>
      <c r="J4919" s="26" t="s">
        <v>77</v>
      </c>
      <c r="L4919" s="27" t="s">
        <v>77</v>
      </c>
      <c r="N4919" s="28" t="s">
        <v>77</v>
      </c>
      <c r="Q4919" s="30"/>
    </row>
    <row r="4920">
      <c r="B4920" s="6"/>
      <c r="C4920" s="33" t="str">
        <f t="array" ref="C4920">IF(B4920="", "", XLOOKUP(B4920, Inventory!D:D,Inventory!E:E,"No Name Found"))</f>
        <v/>
      </c>
      <c r="D4920" s="6"/>
      <c r="E4920" s="6"/>
      <c r="F4920" s="6"/>
      <c r="G4920" s="24" t="str">
        <f>IF(F4920="", "", VLOOKUP(F4920, Inventory!A:BZ, 3, FALSE) - SUMIF($F$1:$F4919, F4920, $H$1:$H4919))
</f>
        <v/>
      </c>
      <c r="I4920" s="26"/>
      <c r="J4920" s="26" t="s">
        <v>77</v>
      </c>
      <c r="L4920" s="27" t="s">
        <v>77</v>
      </c>
      <c r="N4920" s="28" t="s">
        <v>77</v>
      </c>
      <c r="Q4920" s="30"/>
    </row>
    <row r="4921">
      <c r="B4921" s="6"/>
      <c r="C4921" s="33" t="str">
        <f t="array" ref="C4921">IF(B4921="", "", XLOOKUP(B4921, Inventory!D:D,Inventory!E:E,"No Name Found"))</f>
        <v/>
      </c>
      <c r="D4921" s="6"/>
      <c r="E4921" s="6"/>
      <c r="F4921" s="6"/>
      <c r="G4921" s="24" t="str">
        <f>IF(F4921="", "", VLOOKUP(F4921, Inventory!A:BZ, 3, FALSE) - SUMIF($F$1:$F4920, F4921, $H$1:$H4920))
</f>
        <v/>
      </c>
      <c r="I4921" s="26"/>
      <c r="J4921" s="26" t="s">
        <v>77</v>
      </c>
      <c r="L4921" s="27" t="s">
        <v>77</v>
      </c>
      <c r="N4921" s="28" t="s">
        <v>77</v>
      </c>
      <c r="Q4921" s="30"/>
    </row>
    <row r="4922">
      <c r="B4922" s="6"/>
      <c r="C4922" s="33" t="str">
        <f t="array" ref="C4922">IF(B4922="", "", XLOOKUP(B4922, Inventory!D:D,Inventory!E:E,"No Name Found"))</f>
        <v/>
      </c>
      <c r="D4922" s="6"/>
      <c r="E4922" s="6"/>
      <c r="F4922" s="6"/>
      <c r="G4922" s="24" t="str">
        <f>IF(F4922="", "", VLOOKUP(F4922, Inventory!A:BZ, 3, FALSE) - SUMIF($F$1:$F4921, F4922, $H$1:$H4921))
</f>
        <v/>
      </c>
      <c r="I4922" s="26"/>
      <c r="J4922" s="26" t="s">
        <v>77</v>
      </c>
      <c r="L4922" s="27" t="s">
        <v>77</v>
      </c>
      <c r="N4922" s="28" t="s">
        <v>77</v>
      </c>
      <c r="Q4922" s="30"/>
    </row>
    <row r="4923">
      <c r="B4923" s="6"/>
      <c r="C4923" s="33" t="str">
        <f t="array" ref="C4923">IF(B4923="", "", XLOOKUP(B4923, Inventory!D:D,Inventory!E:E,"No Name Found"))</f>
        <v/>
      </c>
      <c r="D4923" s="6"/>
      <c r="E4923" s="6"/>
      <c r="F4923" s="6"/>
      <c r="G4923" s="24" t="str">
        <f>IF(F4923="", "", VLOOKUP(F4923, Inventory!A:BZ, 3, FALSE) - SUMIF($F$1:$F4922, F4923, $H$1:$H4922))
</f>
        <v/>
      </c>
      <c r="I4923" s="26"/>
      <c r="J4923" s="26" t="s">
        <v>77</v>
      </c>
      <c r="L4923" s="27" t="s">
        <v>77</v>
      </c>
      <c r="N4923" s="28" t="s">
        <v>77</v>
      </c>
      <c r="Q4923" s="30"/>
    </row>
    <row r="4924">
      <c r="B4924" s="6"/>
      <c r="C4924" s="33" t="str">
        <f t="array" ref="C4924">IF(B4924="", "", XLOOKUP(B4924, Inventory!D:D,Inventory!E:E,"No Name Found"))</f>
        <v/>
      </c>
      <c r="D4924" s="6"/>
      <c r="E4924" s="6"/>
      <c r="F4924" s="6"/>
      <c r="G4924" s="24" t="str">
        <f>IF(F4924="", "", VLOOKUP(F4924, Inventory!A:BZ, 3, FALSE) - SUMIF($F$1:$F4923, F4924, $H$1:$H4923))
</f>
        <v/>
      </c>
      <c r="I4924" s="26"/>
      <c r="J4924" s="26" t="s">
        <v>77</v>
      </c>
      <c r="L4924" s="27" t="s">
        <v>77</v>
      </c>
      <c r="N4924" s="28" t="s">
        <v>77</v>
      </c>
      <c r="Q4924" s="30"/>
    </row>
    <row r="4925">
      <c r="B4925" s="6"/>
      <c r="C4925" s="33" t="str">
        <f t="array" ref="C4925">IF(B4925="", "", XLOOKUP(B4925, Inventory!D:D,Inventory!E:E,"No Name Found"))</f>
        <v/>
      </c>
      <c r="D4925" s="6"/>
      <c r="E4925" s="6"/>
      <c r="F4925" s="6"/>
      <c r="G4925" s="24" t="str">
        <f>IF(F4925="", "", VLOOKUP(F4925, Inventory!A:BZ, 3, FALSE) - SUMIF($F$1:$F4924, F4925, $H$1:$H4924))
</f>
        <v/>
      </c>
      <c r="I4925" s="26"/>
      <c r="J4925" s="26" t="s">
        <v>77</v>
      </c>
      <c r="L4925" s="27" t="s">
        <v>77</v>
      </c>
      <c r="N4925" s="28" t="s">
        <v>77</v>
      </c>
      <c r="Q4925" s="30"/>
    </row>
    <row r="4926">
      <c r="B4926" s="6"/>
      <c r="C4926" s="33" t="str">
        <f t="array" ref="C4926">IF(B4926="", "", XLOOKUP(B4926, Inventory!D:D,Inventory!E:E,"No Name Found"))</f>
        <v/>
      </c>
      <c r="D4926" s="6"/>
      <c r="E4926" s="6"/>
      <c r="F4926" s="6"/>
      <c r="G4926" s="24" t="str">
        <f>IF(F4926="", "", VLOOKUP(F4926, Inventory!A:BZ, 3, FALSE) - SUMIF($F$1:$F4925, F4926, $H$1:$H4925))
</f>
        <v/>
      </c>
      <c r="I4926" s="26"/>
      <c r="J4926" s="26" t="s">
        <v>77</v>
      </c>
      <c r="L4926" s="27" t="s">
        <v>77</v>
      </c>
      <c r="N4926" s="28" t="s">
        <v>77</v>
      </c>
      <c r="Q4926" s="30"/>
    </row>
    <row r="4927">
      <c r="B4927" s="6"/>
      <c r="C4927" s="33" t="str">
        <f t="array" ref="C4927">IF(B4927="", "", XLOOKUP(B4927, Inventory!D:D,Inventory!E:E,"No Name Found"))</f>
        <v/>
      </c>
      <c r="D4927" s="6"/>
      <c r="E4927" s="6"/>
      <c r="F4927" s="6"/>
      <c r="G4927" s="24" t="str">
        <f>IF(F4927="", "", VLOOKUP(F4927, Inventory!A:BZ, 3, FALSE) - SUMIF($F$1:$F4926, F4927, $H$1:$H4926))
</f>
        <v/>
      </c>
      <c r="I4927" s="26"/>
      <c r="J4927" s="26" t="s">
        <v>77</v>
      </c>
      <c r="L4927" s="27" t="s">
        <v>77</v>
      </c>
      <c r="N4927" s="28" t="s">
        <v>77</v>
      </c>
      <c r="Q4927" s="30"/>
    </row>
    <row r="4928">
      <c r="B4928" s="6"/>
      <c r="C4928" s="33" t="str">
        <f t="array" ref="C4928">IF(B4928="", "", XLOOKUP(B4928, Inventory!D:D,Inventory!E:E,"No Name Found"))</f>
        <v/>
      </c>
      <c r="D4928" s="6"/>
      <c r="E4928" s="6"/>
      <c r="F4928" s="6"/>
      <c r="G4928" s="24" t="str">
        <f>IF(F4928="", "", VLOOKUP(F4928, Inventory!A:BZ, 3, FALSE) - SUMIF($F$1:$F4927, F4928, $H$1:$H4927))
</f>
        <v/>
      </c>
      <c r="I4928" s="26"/>
      <c r="J4928" s="26" t="s">
        <v>77</v>
      </c>
      <c r="L4928" s="27" t="s">
        <v>77</v>
      </c>
      <c r="N4928" s="28" t="s">
        <v>77</v>
      </c>
      <c r="Q4928" s="30"/>
    </row>
    <row r="4929">
      <c r="B4929" s="6"/>
      <c r="C4929" s="33" t="str">
        <f t="array" ref="C4929">IF(B4929="", "", XLOOKUP(B4929, Inventory!D:D,Inventory!E:E,"No Name Found"))</f>
        <v/>
      </c>
      <c r="D4929" s="6"/>
      <c r="E4929" s="6"/>
      <c r="F4929" s="6"/>
      <c r="G4929" s="24" t="str">
        <f>IF(F4929="", "", VLOOKUP(F4929, Inventory!A:BZ, 3, FALSE) - SUMIF($F$1:$F4928, F4929, $H$1:$H4928))
</f>
        <v/>
      </c>
      <c r="I4929" s="26"/>
      <c r="J4929" s="26" t="s">
        <v>77</v>
      </c>
      <c r="L4929" s="27" t="s">
        <v>77</v>
      </c>
      <c r="N4929" s="28" t="s">
        <v>77</v>
      </c>
      <c r="Q4929" s="30"/>
    </row>
    <row r="4930">
      <c r="B4930" s="6"/>
      <c r="C4930" s="33" t="str">
        <f t="array" ref="C4930">IF(B4930="", "", XLOOKUP(B4930, Inventory!D:D,Inventory!E:E,"No Name Found"))</f>
        <v/>
      </c>
      <c r="D4930" s="6"/>
      <c r="E4930" s="6"/>
      <c r="F4930" s="6"/>
      <c r="G4930" s="24" t="str">
        <f>IF(F4930="", "", VLOOKUP(F4930, Inventory!A:BZ, 3, FALSE) - SUMIF($F$1:$F4929, F4930, $H$1:$H4929))
</f>
        <v/>
      </c>
      <c r="I4930" s="26"/>
      <c r="J4930" s="26" t="s">
        <v>77</v>
      </c>
      <c r="L4930" s="27" t="s">
        <v>77</v>
      </c>
      <c r="N4930" s="28" t="s">
        <v>77</v>
      </c>
      <c r="Q4930" s="30"/>
    </row>
    <row r="4931">
      <c r="B4931" s="6"/>
      <c r="C4931" s="33" t="str">
        <f t="array" ref="C4931">IF(B4931="", "", XLOOKUP(B4931, Inventory!D:D,Inventory!E:E,"No Name Found"))</f>
        <v/>
      </c>
      <c r="D4931" s="6"/>
      <c r="E4931" s="6"/>
      <c r="F4931" s="6"/>
      <c r="G4931" s="24" t="str">
        <f>IF(F4931="", "", VLOOKUP(F4931, Inventory!A:BZ, 3, FALSE) - SUMIF($F$1:$F4930, F4931, $H$1:$H4930))
</f>
        <v/>
      </c>
      <c r="I4931" s="26"/>
      <c r="J4931" s="26" t="s">
        <v>77</v>
      </c>
      <c r="L4931" s="27" t="s">
        <v>77</v>
      </c>
      <c r="N4931" s="28" t="s">
        <v>77</v>
      </c>
      <c r="Q4931" s="30"/>
    </row>
    <row r="4932">
      <c r="B4932" s="6"/>
      <c r="C4932" s="33" t="str">
        <f t="array" ref="C4932">IF(B4932="", "", XLOOKUP(B4932, Inventory!D:D,Inventory!E:E,"No Name Found"))</f>
        <v/>
      </c>
      <c r="D4932" s="6"/>
      <c r="E4932" s="6"/>
      <c r="F4932" s="6"/>
      <c r="G4932" s="24" t="str">
        <f>IF(F4932="", "", VLOOKUP(F4932, Inventory!A:BZ, 3, FALSE) - SUMIF($F$1:$F4931, F4932, $H$1:$H4931))
</f>
        <v/>
      </c>
      <c r="I4932" s="26"/>
      <c r="J4932" s="26" t="s">
        <v>77</v>
      </c>
      <c r="L4932" s="27" t="s">
        <v>77</v>
      </c>
      <c r="N4932" s="28" t="s">
        <v>77</v>
      </c>
      <c r="Q4932" s="30"/>
    </row>
    <row r="4933">
      <c r="B4933" s="6"/>
      <c r="C4933" s="33" t="str">
        <f t="array" ref="C4933">IF(B4933="", "", XLOOKUP(B4933, Inventory!D:D,Inventory!E:E,"No Name Found"))</f>
        <v/>
      </c>
      <c r="D4933" s="6"/>
      <c r="E4933" s="6"/>
      <c r="F4933" s="6"/>
      <c r="G4933" s="24" t="str">
        <f>IF(F4933="", "", VLOOKUP(F4933, Inventory!A:BZ, 3, FALSE) - SUMIF($F$1:$F4932, F4933, $H$1:$H4932))
</f>
        <v/>
      </c>
      <c r="I4933" s="26"/>
      <c r="J4933" s="26" t="s">
        <v>77</v>
      </c>
      <c r="L4933" s="27" t="s">
        <v>77</v>
      </c>
      <c r="N4933" s="28" t="s">
        <v>77</v>
      </c>
      <c r="Q4933" s="30"/>
    </row>
    <row r="4934">
      <c r="B4934" s="6"/>
      <c r="C4934" s="33" t="str">
        <f t="array" ref="C4934">IF(B4934="", "", XLOOKUP(B4934, Inventory!D:D,Inventory!E:E,"No Name Found"))</f>
        <v/>
      </c>
      <c r="D4934" s="6"/>
      <c r="E4934" s="6"/>
      <c r="F4934" s="6"/>
      <c r="G4934" s="24" t="str">
        <f>IF(F4934="", "", VLOOKUP(F4934, Inventory!A:BZ, 3, FALSE) - SUMIF($F$1:$F4933, F4934, $H$1:$H4933))
</f>
        <v/>
      </c>
      <c r="I4934" s="26"/>
      <c r="J4934" s="26" t="s">
        <v>77</v>
      </c>
      <c r="L4934" s="27" t="s">
        <v>77</v>
      </c>
      <c r="N4934" s="28" t="s">
        <v>77</v>
      </c>
      <c r="Q4934" s="30"/>
    </row>
    <row r="4935">
      <c r="B4935" s="6"/>
      <c r="C4935" s="33" t="str">
        <f t="array" ref="C4935">IF(B4935="", "", XLOOKUP(B4935, Inventory!D:D,Inventory!E:E,"No Name Found"))</f>
        <v/>
      </c>
      <c r="D4935" s="6"/>
      <c r="E4935" s="6"/>
      <c r="F4935" s="6"/>
      <c r="G4935" s="24" t="str">
        <f>IF(F4935="", "", VLOOKUP(F4935, Inventory!A:BZ, 3, FALSE) - SUMIF($F$1:$F4934, F4935, $H$1:$H4934))
</f>
        <v/>
      </c>
      <c r="I4935" s="26"/>
      <c r="J4935" s="26" t="s">
        <v>77</v>
      </c>
      <c r="L4935" s="27" t="s">
        <v>77</v>
      </c>
      <c r="N4935" s="28" t="s">
        <v>77</v>
      </c>
      <c r="Q4935" s="30"/>
    </row>
    <row r="4936">
      <c r="B4936" s="6"/>
      <c r="C4936" s="33" t="str">
        <f t="array" ref="C4936">IF(B4936="", "", XLOOKUP(B4936, Inventory!D:D,Inventory!E:E,"No Name Found"))</f>
        <v/>
      </c>
      <c r="D4936" s="6"/>
      <c r="E4936" s="6"/>
      <c r="F4936" s="6"/>
      <c r="G4936" s="24" t="str">
        <f>IF(F4936="", "", VLOOKUP(F4936, Inventory!A:BZ, 3, FALSE) - SUMIF($F$1:$F4935, F4936, $H$1:$H4935))
</f>
        <v/>
      </c>
      <c r="I4936" s="26"/>
      <c r="J4936" s="26" t="s">
        <v>77</v>
      </c>
      <c r="L4936" s="27" t="s">
        <v>77</v>
      </c>
      <c r="N4936" s="28" t="s">
        <v>77</v>
      </c>
      <c r="Q4936" s="30"/>
    </row>
    <row r="4937">
      <c r="B4937" s="6"/>
      <c r="C4937" s="33" t="str">
        <f t="array" ref="C4937">IF(B4937="", "", XLOOKUP(B4937, Inventory!D:D,Inventory!E:E,"No Name Found"))</f>
        <v/>
      </c>
      <c r="D4937" s="6"/>
      <c r="E4937" s="6"/>
      <c r="F4937" s="6"/>
      <c r="G4937" s="24" t="str">
        <f>IF(F4937="", "", VLOOKUP(F4937, Inventory!A:BZ, 3, FALSE) - SUMIF($F$1:$F4936, F4937, $H$1:$H4936))
</f>
        <v/>
      </c>
      <c r="I4937" s="26"/>
      <c r="J4937" s="26" t="s">
        <v>77</v>
      </c>
      <c r="L4937" s="27" t="s">
        <v>77</v>
      </c>
      <c r="N4937" s="28" t="s">
        <v>77</v>
      </c>
      <c r="Q4937" s="30"/>
    </row>
    <row r="4938">
      <c r="B4938" s="6"/>
      <c r="C4938" s="33" t="str">
        <f t="array" ref="C4938">IF(B4938="", "", XLOOKUP(B4938, Inventory!D:D,Inventory!E:E,"No Name Found"))</f>
        <v/>
      </c>
      <c r="D4938" s="6"/>
      <c r="E4938" s="6"/>
      <c r="F4938" s="6"/>
      <c r="G4938" s="24" t="str">
        <f>IF(F4938="", "", VLOOKUP(F4938, Inventory!A:BZ, 3, FALSE) - SUMIF($F$1:$F4937, F4938, $H$1:$H4937))
</f>
        <v/>
      </c>
      <c r="I4938" s="26"/>
      <c r="J4938" s="26" t="s">
        <v>77</v>
      </c>
      <c r="L4938" s="27" t="s">
        <v>77</v>
      </c>
      <c r="N4938" s="28" t="s">
        <v>77</v>
      </c>
      <c r="Q4938" s="30"/>
    </row>
    <row r="4939">
      <c r="B4939" s="6"/>
      <c r="C4939" s="33" t="str">
        <f t="array" ref="C4939">IF(B4939="", "", XLOOKUP(B4939, Inventory!D:D,Inventory!E:E,"No Name Found"))</f>
        <v/>
      </c>
      <c r="D4939" s="6"/>
      <c r="E4939" s="6"/>
      <c r="F4939" s="6"/>
      <c r="G4939" s="24" t="str">
        <f>IF(F4939="", "", VLOOKUP(F4939, Inventory!A:BZ, 3, FALSE) - SUMIF($F$1:$F4938, F4939, $H$1:$H4938))
</f>
        <v/>
      </c>
      <c r="I4939" s="26"/>
      <c r="J4939" s="26" t="s">
        <v>77</v>
      </c>
      <c r="L4939" s="27" t="s">
        <v>77</v>
      </c>
      <c r="N4939" s="28" t="s">
        <v>77</v>
      </c>
      <c r="Q4939" s="30"/>
    </row>
    <row r="4940">
      <c r="B4940" s="6"/>
      <c r="C4940" s="33" t="str">
        <f t="array" ref="C4940">IF(B4940="", "", XLOOKUP(B4940, Inventory!D:D,Inventory!E:E,"No Name Found"))</f>
        <v/>
      </c>
      <c r="D4940" s="6"/>
      <c r="E4940" s="6"/>
      <c r="F4940" s="6"/>
      <c r="G4940" s="24" t="str">
        <f>IF(F4940="", "", VLOOKUP(F4940, Inventory!A:BZ, 3, FALSE) - SUMIF($F$1:$F4939, F4940, $H$1:$H4939))
</f>
        <v/>
      </c>
      <c r="I4940" s="26"/>
      <c r="J4940" s="26" t="s">
        <v>77</v>
      </c>
      <c r="L4940" s="27" t="s">
        <v>77</v>
      </c>
      <c r="N4940" s="28" t="s">
        <v>77</v>
      </c>
      <c r="Q4940" s="30"/>
    </row>
    <row r="4941">
      <c r="B4941" s="6"/>
      <c r="C4941" s="33" t="str">
        <f t="array" ref="C4941">IF(B4941="", "", XLOOKUP(B4941, Inventory!D:D,Inventory!E:E,"No Name Found"))</f>
        <v/>
      </c>
      <c r="D4941" s="6"/>
      <c r="E4941" s="6"/>
      <c r="F4941" s="6"/>
      <c r="G4941" s="24" t="str">
        <f>IF(F4941="", "", VLOOKUP(F4941, Inventory!A:BZ, 3, FALSE) - SUMIF($F$1:$F4940, F4941, $H$1:$H4940))
</f>
        <v/>
      </c>
      <c r="I4941" s="26"/>
      <c r="J4941" s="26" t="s">
        <v>77</v>
      </c>
      <c r="L4941" s="27" t="s">
        <v>77</v>
      </c>
      <c r="N4941" s="28" t="s">
        <v>77</v>
      </c>
      <c r="Q4941" s="30"/>
    </row>
    <row r="4942">
      <c r="B4942" s="6"/>
      <c r="C4942" s="33" t="str">
        <f t="array" ref="C4942">IF(B4942="", "", XLOOKUP(B4942, Inventory!D:D,Inventory!E:E,"No Name Found"))</f>
        <v/>
      </c>
      <c r="D4942" s="6"/>
      <c r="E4942" s="6"/>
      <c r="F4942" s="6"/>
      <c r="G4942" s="24" t="str">
        <f>IF(F4942="", "", VLOOKUP(F4942, Inventory!A:BZ, 3, FALSE) - SUMIF($F$1:$F4941, F4942, $H$1:$H4941))
</f>
        <v/>
      </c>
      <c r="I4942" s="26"/>
      <c r="J4942" s="26" t="s">
        <v>77</v>
      </c>
      <c r="L4942" s="27" t="s">
        <v>77</v>
      </c>
      <c r="N4942" s="28" t="s">
        <v>77</v>
      </c>
      <c r="Q4942" s="30"/>
    </row>
    <row r="4943">
      <c r="B4943" s="6"/>
      <c r="C4943" s="33" t="str">
        <f t="array" ref="C4943">IF(B4943="", "", XLOOKUP(B4943, Inventory!D:D,Inventory!E:E,"No Name Found"))</f>
        <v/>
      </c>
      <c r="D4943" s="6"/>
      <c r="E4943" s="6"/>
      <c r="F4943" s="6"/>
      <c r="G4943" s="24" t="str">
        <f>IF(F4943="", "", VLOOKUP(F4943, Inventory!A:BZ, 3, FALSE) - SUMIF($F$1:$F4942, F4943, $H$1:$H4942))
</f>
        <v/>
      </c>
      <c r="I4943" s="26"/>
      <c r="J4943" s="26" t="s">
        <v>77</v>
      </c>
      <c r="L4943" s="27" t="s">
        <v>77</v>
      </c>
      <c r="N4943" s="28" t="s">
        <v>77</v>
      </c>
      <c r="Q4943" s="30"/>
    </row>
    <row r="4944">
      <c r="B4944" s="6"/>
      <c r="C4944" s="33" t="str">
        <f t="array" ref="C4944">IF(B4944="", "", XLOOKUP(B4944, Inventory!D:D,Inventory!E:E,"No Name Found"))</f>
        <v/>
      </c>
      <c r="D4944" s="6"/>
      <c r="E4944" s="6"/>
      <c r="F4944" s="6"/>
      <c r="G4944" s="24" t="str">
        <f>IF(F4944="", "", VLOOKUP(F4944, Inventory!A:BZ, 3, FALSE) - SUMIF($F$1:$F4943, F4944, $H$1:$H4943))
</f>
        <v/>
      </c>
      <c r="I4944" s="26"/>
      <c r="J4944" s="26" t="s">
        <v>77</v>
      </c>
      <c r="L4944" s="27" t="s">
        <v>77</v>
      </c>
      <c r="N4944" s="28" t="s">
        <v>77</v>
      </c>
      <c r="Q4944" s="30"/>
    </row>
    <row r="4945">
      <c r="B4945" s="6"/>
      <c r="C4945" s="33" t="str">
        <f t="array" ref="C4945">IF(B4945="", "", XLOOKUP(B4945, Inventory!D:D,Inventory!E:E,"No Name Found"))</f>
        <v/>
      </c>
      <c r="D4945" s="6"/>
      <c r="E4945" s="6"/>
      <c r="F4945" s="6"/>
      <c r="G4945" s="24" t="str">
        <f>IF(F4945="", "", VLOOKUP(F4945, Inventory!A:BZ, 3, FALSE) - SUMIF($F$1:$F4944, F4945, $H$1:$H4944))
</f>
        <v/>
      </c>
      <c r="I4945" s="26"/>
      <c r="J4945" s="26" t="s">
        <v>77</v>
      </c>
      <c r="L4945" s="27" t="s">
        <v>77</v>
      </c>
      <c r="N4945" s="28" t="s">
        <v>77</v>
      </c>
      <c r="Q4945" s="30"/>
    </row>
    <row r="4946">
      <c r="B4946" s="6"/>
      <c r="C4946" s="33" t="str">
        <f t="array" ref="C4946">IF(B4946="", "", XLOOKUP(B4946, Inventory!D:D,Inventory!E:E,"No Name Found"))</f>
        <v/>
      </c>
      <c r="D4946" s="6"/>
      <c r="E4946" s="6"/>
      <c r="F4946" s="6"/>
      <c r="G4946" s="24" t="str">
        <f>IF(F4946="", "", VLOOKUP(F4946, Inventory!A:BZ, 3, FALSE) - SUMIF($F$1:$F4945, F4946, $H$1:$H4945))
</f>
        <v/>
      </c>
      <c r="I4946" s="26"/>
      <c r="J4946" s="26" t="s">
        <v>77</v>
      </c>
      <c r="L4946" s="27" t="s">
        <v>77</v>
      </c>
      <c r="N4946" s="28" t="s">
        <v>77</v>
      </c>
      <c r="Q4946" s="30"/>
    </row>
    <row r="4947">
      <c r="B4947" s="6"/>
      <c r="C4947" s="33" t="str">
        <f t="array" ref="C4947">IF(B4947="", "", XLOOKUP(B4947, Inventory!D:D,Inventory!E:E,"No Name Found"))</f>
        <v/>
      </c>
      <c r="D4947" s="6"/>
      <c r="E4947" s="6"/>
      <c r="F4947" s="6"/>
      <c r="G4947" s="24" t="str">
        <f>IF(F4947="", "", VLOOKUP(F4947, Inventory!A:BZ, 3, FALSE) - SUMIF($F$1:$F4946, F4947, $H$1:$H4946))
</f>
        <v/>
      </c>
      <c r="I4947" s="26"/>
      <c r="J4947" s="26" t="s">
        <v>77</v>
      </c>
      <c r="L4947" s="27" t="s">
        <v>77</v>
      </c>
      <c r="N4947" s="28" t="s">
        <v>77</v>
      </c>
      <c r="Q4947" s="30"/>
    </row>
    <row r="4948">
      <c r="B4948" s="6"/>
      <c r="C4948" s="33" t="str">
        <f t="array" ref="C4948">IF(B4948="", "", XLOOKUP(B4948, Inventory!D:D,Inventory!E:E,"No Name Found"))</f>
        <v/>
      </c>
      <c r="D4948" s="6"/>
      <c r="E4948" s="6"/>
      <c r="F4948" s="6"/>
      <c r="G4948" s="24" t="str">
        <f>IF(F4948="", "", VLOOKUP(F4948, Inventory!A:BZ, 3, FALSE) - SUMIF($F$1:$F4947, F4948, $H$1:$H4947))
</f>
        <v/>
      </c>
      <c r="I4948" s="26"/>
      <c r="J4948" s="26" t="s">
        <v>77</v>
      </c>
      <c r="L4948" s="27" t="s">
        <v>77</v>
      </c>
      <c r="N4948" s="28" t="s">
        <v>77</v>
      </c>
      <c r="Q4948" s="30"/>
    </row>
    <row r="4949">
      <c r="B4949" s="6"/>
      <c r="C4949" s="33" t="str">
        <f t="array" ref="C4949">IF(B4949="", "", XLOOKUP(B4949, Inventory!D:D,Inventory!E:E,"No Name Found"))</f>
        <v/>
      </c>
      <c r="D4949" s="6"/>
      <c r="E4949" s="6"/>
      <c r="F4949" s="6"/>
      <c r="G4949" s="24" t="str">
        <f>IF(F4949="", "", VLOOKUP(F4949, Inventory!A:BZ, 3, FALSE) - SUMIF($F$1:$F4948, F4949, $H$1:$H4948))
</f>
        <v/>
      </c>
      <c r="I4949" s="26"/>
      <c r="J4949" s="26" t="s">
        <v>77</v>
      </c>
      <c r="L4949" s="27" t="s">
        <v>77</v>
      </c>
      <c r="N4949" s="28" t="s">
        <v>77</v>
      </c>
      <c r="Q4949" s="30"/>
    </row>
    <row r="4950">
      <c r="B4950" s="6"/>
      <c r="C4950" s="33" t="str">
        <f t="array" ref="C4950">IF(B4950="", "", XLOOKUP(B4950, Inventory!D:D,Inventory!E:E,"No Name Found"))</f>
        <v/>
      </c>
      <c r="D4950" s="6"/>
      <c r="E4950" s="6"/>
      <c r="F4950" s="6"/>
      <c r="G4950" s="24" t="str">
        <f>IF(F4950="", "", VLOOKUP(F4950, Inventory!A:BZ, 3, FALSE) - SUMIF($F$1:$F4949, F4950, $H$1:$H4949))
</f>
        <v/>
      </c>
      <c r="I4950" s="26"/>
      <c r="J4950" s="26" t="s">
        <v>77</v>
      </c>
      <c r="L4950" s="27" t="s">
        <v>77</v>
      </c>
      <c r="N4950" s="28" t="s">
        <v>77</v>
      </c>
      <c r="Q4950" s="30"/>
    </row>
    <row r="4951">
      <c r="B4951" s="6"/>
      <c r="C4951" s="33" t="str">
        <f t="array" ref="C4951">IF(B4951="", "", XLOOKUP(B4951, Inventory!D:D,Inventory!E:E,"No Name Found"))</f>
        <v/>
      </c>
      <c r="D4951" s="6"/>
      <c r="E4951" s="6"/>
      <c r="F4951" s="6"/>
      <c r="G4951" s="24" t="str">
        <f>IF(F4951="", "", VLOOKUP(F4951, Inventory!A:BZ, 3, FALSE) - SUMIF($F$1:$F4950, F4951, $H$1:$H4950))
</f>
        <v/>
      </c>
      <c r="I4951" s="26"/>
      <c r="J4951" s="26" t="s">
        <v>77</v>
      </c>
      <c r="L4951" s="27" t="s">
        <v>77</v>
      </c>
      <c r="N4951" s="28" t="s">
        <v>77</v>
      </c>
      <c r="Q4951" s="30"/>
    </row>
    <row r="4952">
      <c r="B4952" s="6"/>
      <c r="C4952" s="33" t="str">
        <f t="array" ref="C4952">IF(B4952="", "", XLOOKUP(B4952, Inventory!D:D,Inventory!E:E,"No Name Found"))</f>
        <v/>
      </c>
      <c r="D4952" s="6"/>
      <c r="E4952" s="6"/>
      <c r="F4952" s="6"/>
      <c r="G4952" s="24" t="str">
        <f>IF(F4952="", "", VLOOKUP(F4952, Inventory!A:BZ, 3, FALSE) - SUMIF($F$1:$F4951, F4952, $H$1:$H4951))
</f>
        <v/>
      </c>
      <c r="I4952" s="26"/>
      <c r="J4952" s="26" t="s">
        <v>77</v>
      </c>
      <c r="L4952" s="27" t="s">
        <v>77</v>
      </c>
      <c r="N4952" s="28" t="s">
        <v>77</v>
      </c>
      <c r="Q4952" s="30"/>
    </row>
    <row r="4953">
      <c r="B4953" s="6"/>
      <c r="C4953" s="33" t="str">
        <f t="array" ref="C4953">IF(B4953="", "", XLOOKUP(B4953, Inventory!D:D,Inventory!E:E,"No Name Found"))</f>
        <v/>
      </c>
      <c r="D4953" s="6"/>
      <c r="E4953" s="6"/>
      <c r="F4953" s="6"/>
      <c r="G4953" s="24" t="str">
        <f>IF(F4953="", "", VLOOKUP(F4953, Inventory!A:BZ, 3, FALSE) - SUMIF($F$1:$F4952, F4953, $H$1:$H4952))
</f>
        <v/>
      </c>
      <c r="I4953" s="26"/>
      <c r="J4953" s="26" t="s">
        <v>77</v>
      </c>
      <c r="L4953" s="27" t="s">
        <v>77</v>
      </c>
      <c r="N4953" s="28" t="s">
        <v>77</v>
      </c>
      <c r="Q4953" s="30"/>
    </row>
    <row r="4954">
      <c r="B4954" s="6"/>
      <c r="C4954" s="33" t="str">
        <f t="array" ref="C4954">IF(B4954="", "", XLOOKUP(B4954, Inventory!D:D,Inventory!E:E,"No Name Found"))</f>
        <v/>
      </c>
      <c r="D4954" s="6"/>
      <c r="E4954" s="6"/>
      <c r="F4954" s="6"/>
      <c r="G4954" s="24" t="str">
        <f>IF(F4954="", "", VLOOKUP(F4954, Inventory!A:BZ, 3, FALSE) - SUMIF($F$1:$F4953, F4954, $H$1:$H4953))
</f>
        <v/>
      </c>
      <c r="I4954" s="26"/>
      <c r="J4954" s="26" t="s">
        <v>77</v>
      </c>
      <c r="L4954" s="27" t="s">
        <v>77</v>
      </c>
      <c r="N4954" s="28" t="s">
        <v>77</v>
      </c>
      <c r="Q4954" s="30"/>
    </row>
    <row r="4955">
      <c r="B4955" s="6"/>
      <c r="C4955" s="33" t="str">
        <f t="array" ref="C4955">IF(B4955="", "", XLOOKUP(B4955, Inventory!D:D,Inventory!E:E,"No Name Found"))</f>
        <v/>
      </c>
      <c r="D4955" s="6"/>
      <c r="E4955" s="6"/>
      <c r="F4955" s="6"/>
      <c r="G4955" s="24" t="str">
        <f>IF(F4955="", "", VLOOKUP(F4955, Inventory!A:BZ, 3, FALSE) - SUMIF($F$1:$F4954, F4955, $H$1:$H4954))
</f>
        <v/>
      </c>
      <c r="I4955" s="26"/>
      <c r="J4955" s="26" t="s">
        <v>77</v>
      </c>
      <c r="L4955" s="27" t="s">
        <v>77</v>
      </c>
      <c r="N4955" s="28" t="s">
        <v>77</v>
      </c>
      <c r="Q4955" s="30"/>
    </row>
    <row r="4956">
      <c r="B4956" s="6"/>
      <c r="C4956" s="33" t="str">
        <f t="array" ref="C4956">IF(B4956="", "", XLOOKUP(B4956, Inventory!D:D,Inventory!E:E,"No Name Found"))</f>
        <v/>
      </c>
      <c r="D4956" s="6"/>
      <c r="E4956" s="6"/>
      <c r="F4956" s="6"/>
      <c r="G4956" s="24" t="str">
        <f>IF(F4956="", "", VLOOKUP(F4956, Inventory!A:BZ, 3, FALSE) - SUMIF($F$1:$F4955, F4956, $H$1:$H4955))
</f>
        <v/>
      </c>
      <c r="I4956" s="26"/>
      <c r="J4956" s="26" t="s">
        <v>77</v>
      </c>
      <c r="L4956" s="27" t="s">
        <v>77</v>
      </c>
      <c r="N4956" s="28" t="s">
        <v>77</v>
      </c>
      <c r="Q4956" s="30"/>
    </row>
    <row r="4957">
      <c r="B4957" s="6"/>
      <c r="C4957" s="33" t="str">
        <f t="array" ref="C4957">IF(B4957="", "", XLOOKUP(B4957, Inventory!D:D,Inventory!E:E,"No Name Found"))</f>
        <v/>
      </c>
      <c r="D4957" s="6"/>
      <c r="E4957" s="6"/>
      <c r="F4957" s="6"/>
      <c r="G4957" s="24" t="str">
        <f>IF(F4957="", "", VLOOKUP(F4957, Inventory!A:BZ, 3, FALSE) - SUMIF($F$1:$F4956, F4957, $H$1:$H4956))
</f>
        <v/>
      </c>
      <c r="I4957" s="26"/>
      <c r="J4957" s="26" t="s">
        <v>77</v>
      </c>
      <c r="L4957" s="27" t="s">
        <v>77</v>
      </c>
      <c r="N4957" s="28" t="s">
        <v>77</v>
      </c>
      <c r="Q4957" s="30"/>
    </row>
    <row r="4958">
      <c r="B4958" s="6"/>
      <c r="C4958" s="33" t="str">
        <f t="array" ref="C4958">IF(B4958="", "", XLOOKUP(B4958, Inventory!D:D,Inventory!E:E,"No Name Found"))</f>
        <v/>
      </c>
      <c r="D4958" s="6"/>
      <c r="E4958" s="6"/>
      <c r="F4958" s="6"/>
      <c r="G4958" s="24" t="str">
        <f>IF(F4958="", "", VLOOKUP(F4958, Inventory!A:BZ, 3, FALSE) - SUMIF($F$1:$F4957, F4958, $H$1:$H4957))
</f>
        <v/>
      </c>
      <c r="I4958" s="26"/>
      <c r="J4958" s="26" t="s">
        <v>77</v>
      </c>
      <c r="L4958" s="27" t="s">
        <v>77</v>
      </c>
      <c r="N4958" s="28" t="s">
        <v>77</v>
      </c>
      <c r="Q4958" s="30"/>
    </row>
    <row r="4959">
      <c r="B4959" s="6"/>
      <c r="C4959" s="33" t="str">
        <f t="array" ref="C4959">IF(B4959="", "", XLOOKUP(B4959, Inventory!D:D,Inventory!E:E,"No Name Found"))</f>
        <v/>
      </c>
      <c r="D4959" s="6"/>
      <c r="E4959" s="6"/>
      <c r="F4959" s="6"/>
      <c r="G4959" s="24" t="str">
        <f>IF(F4959="", "", VLOOKUP(F4959, Inventory!A:BZ, 3, FALSE) - SUMIF($F$1:$F4958, F4959, $H$1:$H4958))
</f>
        <v/>
      </c>
      <c r="I4959" s="26"/>
      <c r="J4959" s="26" t="s">
        <v>77</v>
      </c>
      <c r="L4959" s="27" t="s">
        <v>77</v>
      </c>
      <c r="N4959" s="28" t="s">
        <v>77</v>
      </c>
      <c r="Q4959" s="30"/>
    </row>
    <row r="4960">
      <c r="B4960" s="6"/>
      <c r="C4960" s="33" t="str">
        <f t="array" ref="C4960">IF(B4960="", "", XLOOKUP(B4960, Inventory!D:D,Inventory!E:E,"No Name Found"))</f>
        <v/>
      </c>
      <c r="D4960" s="6"/>
      <c r="E4960" s="6"/>
      <c r="F4960" s="6"/>
      <c r="G4960" s="24" t="str">
        <f>IF(F4960="", "", VLOOKUP(F4960, Inventory!A:BZ, 3, FALSE) - SUMIF($F$1:$F4959, F4960, $H$1:$H4959))
</f>
        <v/>
      </c>
      <c r="I4960" s="26"/>
      <c r="J4960" s="26" t="s">
        <v>77</v>
      </c>
      <c r="L4960" s="27" t="s">
        <v>77</v>
      </c>
      <c r="N4960" s="28" t="s">
        <v>77</v>
      </c>
      <c r="Q4960" s="30"/>
    </row>
    <row r="4961">
      <c r="B4961" s="6"/>
      <c r="C4961" s="33" t="str">
        <f t="array" ref="C4961">IF(B4961="", "", XLOOKUP(B4961, Inventory!D:D,Inventory!E:E,"No Name Found"))</f>
        <v/>
      </c>
      <c r="D4961" s="6"/>
      <c r="E4961" s="6"/>
      <c r="F4961" s="6"/>
      <c r="G4961" s="24" t="str">
        <f>IF(F4961="", "", VLOOKUP(F4961, Inventory!A:BZ, 3, FALSE) - SUMIF($F$1:$F4960, F4961, $H$1:$H4960))
</f>
        <v/>
      </c>
      <c r="I4961" s="26"/>
      <c r="J4961" s="26" t="s">
        <v>77</v>
      </c>
      <c r="L4961" s="27" t="s">
        <v>77</v>
      </c>
      <c r="N4961" s="28" t="s">
        <v>77</v>
      </c>
      <c r="Q4961" s="30"/>
    </row>
    <row r="4962">
      <c r="B4962" s="6"/>
      <c r="C4962" s="33" t="str">
        <f t="array" ref="C4962">IF(B4962="", "", XLOOKUP(B4962, Inventory!D:D,Inventory!E:E,"No Name Found"))</f>
        <v/>
      </c>
      <c r="D4962" s="6"/>
      <c r="E4962" s="6"/>
      <c r="F4962" s="6"/>
      <c r="G4962" s="24" t="str">
        <f>IF(F4962="", "", VLOOKUP(F4962, Inventory!A:BZ, 3, FALSE) - SUMIF($F$1:$F4961, F4962, $H$1:$H4961))
</f>
        <v/>
      </c>
      <c r="I4962" s="26"/>
      <c r="J4962" s="26" t="s">
        <v>77</v>
      </c>
      <c r="L4962" s="27" t="s">
        <v>77</v>
      </c>
      <c r="N4962" s="28" t="s">
        <v>77</v>
      </c>
      <c r="Q4962" s="30"/>
    </row>
    <row r="4963">
      <c r="B4963" s="6"/>
      <c r="C4963" s="33" t="str">
        <f t="array" ref="C4963">IF(B4963="", "", XLOOKUP(B4963, Inventory!D:D,Inventory!E:E,"No Name Found"))</f>
        <v/>
      </c>
      <c r="D4963" s="6"/>
      <c r="E4963" s="6"/>
      <c r="F4963" s="6"/>
      <c r="G4963" s="24" t="str">
        <f>IF(F4963="", "", VLOOKUP(F4963, Inventory!A:BZ, 3, FALSE) - SUMIF($F$1:$F4962, F4963, $H$1:$H4962))
</f>
        <v/>
      </c>
      <c r="I4963" s="26"/>
      <c r="J4963" s="26" t="s">
        <v>77</v>
      </c>
      <c r="L4963" s="27" t="s">
        <v>77</v>
      </c>
      <c r="N4963" s="28" t="s">
        <v>77</v>
      </c>
      <c r="Q4963" s="30"/>
    </row>
    <row r="4964">
      <c r="B4964" s="6"/>
      <c r="C4964" s="33" t="str">
        <f t="array" ref="C4964">IF(B4964="", "", XLOOKUP(B4964, Inventory!D:D,Inventory!E:E,"No Name Found"))</f>
        <v/>
      </c>
      <c r="D4964" s="6"/>
      <c r="E4964" s="6"/>
      <c r="F4964" s="6"/>
      <c r="G4964" s="24" t="str">
        <f>IF(F4964="", "", VLOOKUP(F4964, Inventory!A:BZ, 3, FALSE) - SUMIF($F$1:$F4963, F4964, $H$1:$H4963))
</f>
        <v/>
      </c>
      <c r="I4964" s="26"/>
      <c r="J4964" s="26" t="s">
        <v>77</v>
      </c>
      <c r="L4964" s="27" t="s">
        <v>77</v>
      </c>
      <c r="N4964" s="28" t="s">
        <v>77</v>
      </c>
      <c r="Q4964" s="30"/>
    </row>
    <row r="4965">
      <c r="B4965" s="6"/>
      <c r="C4965" s="33" t="str">
        <f t="array" ref="C4965">IF(B4965="", "", XLOOKUP(B4965, Inventory!D:D,Inventory!E:E,"No Name Found"))</f>
        <v/>
      </c>
      <c r="D4965" s="6"/>
      <c r="E4965" s="6"/>
      <c r="F4965" s="6"/>
      <c r="G4965" s="24" t="str">
        <f>IF(F4965="", "", VLOOKUP(F4965, Inventory!A:BZ, 3, FALSE) - SUMIF($F$1:$F4964, F4965, $H$1:$H4964))
</f>
        <v/>
      </c>
      <c r="I4965" s="26"/>
      <c r="J4965" s="26" t="s">
        <v>77</v>
      </c>
      <c r="L4965" s="27" t="s">
        <v>77</v>
      </c>
      <c r="N4965" s="28" t="s">
        <v>77</v>
      </c>
      <c r="Q4965" s="30"/>
    </row>
    <row r="4966">
      <c r="B4966" s="6"/>
      <c r="C4966" s="33" t="str">
        <f t="array" ref="C4966">IF(B4966="", "", XLOOKUP(B4966, Inventory!D:D,Inventory!E:E,"No Name Found"))</f>
        <v/>
      </c>
      <c r="D4966" s="6"/>
      <c r="E4966" s="6"/>
      <c r="F4966" s="6"/>
      <c r="G4966" s="24" t="str">
        <f>IF(F4966="", "", VLOOKUP(F4966, Inventory!A:BZ, 3, FALSE) - SUMIF($F$1:$F4965, F4966, $H$1:$H4965))
</f>
        <v/>
      </c>
      <c r="I4966" s="26"/>
      <c r="J4966" s="26" t="s">
        <v>77</v>
      </c>
      <c r="L4966" s="27" t="s">
        <v>77</v>
      </c>
      <c r="N4966" s="28" t="s">
        <v>77</v>
      </c>
      <c r="Q4966" s="30"/>
    </row>
    <row r="4967">
      <c r="B4967" s="6"/>
      <c r="C4967" s="33" t="str">
        <f t="array" ref="C4967">IF(B4967="", "", XLOOKUP(B4967, Inventory!D:D,Inventory!E:E,"No Name Found"))</f>
        <v/>
      </c>
      <c r="D4967" s="6"/>
      <c r="E4967" s="6"/>
      <c r="F4967" s="6"/>
      <c r="G4967" s="24" t="str">
        <f>IF(F4967="", "", VLOOKUP(F4967, Inventory!A:BZ, 3, FALSE) - SUMIF($F$1:$F4966, F4967, $H$1:$H4966))
</f>
        <v/>
      </c>
      <c r="I4967" s="26"/>
      <c r="J4967" s="26" t="s">
        <v>77</v>
      </c>
      <c r="L4967" s="27" t="s">
        <v>77</v>
      </c>
      <c r="N4967" s="28" t="s">
        <v>77</v>
      </c>
      <c r="Q4967" s="30"/>
    </row>
    <row r="4968">
      <c r="B4968" s="6"/>
      <c r="C4968" s="33" t="str">
        <f t="array" ref="C4968">IF(B4968="", "", XLOOKUP(B4968, Inventory!D:D,Inventory!E:E,"No Name Found"))</f>
        <v/>
      </c>
      <c r="D4968" s="6"/>
      <c r="E4968" s="6"/>
      <c r="F4968" s="6"/>
      <c r="G4968" s="24" t="str">
        <f>IF(F4968="", "", VLOOKUP(F4968, Inventory!A:BZ, 3, FALSE) - SUMIF($F$1:$F4967, F4968, $H$1:$H4967))
</f>
        <v/>
      </c>
      <c r="I4968" s="26"/>
      <c r="J4968" s="26" t="s">
        <v>77</v>
      </c>
      <c r="L4968" s="27" t="s">
        <v>77</v>
      </c>
      <c r="N4968" s="28" t="s">
        <v>77</v>
      </c>
      <c r="Q4968" s="30"/>
    </row>
    <row r="4969">
      <c r="B4969" s="6"/>
      <c r="C4969" s="33" t="str">
        <f t="array" ref="C4969">IF(B4969="", "", XLOOKUP(B4969, Inventory!D:D,Inventory!E:E,"No Name Found"))</f>
        <v/>
      </c>
      <c r="D4969" s="6"/>
      <c r="E4969" s="6"/>
      <c r="F4969" s="6"/>
      <c r="G4969" s="24" t="str">
        <f>IF(F4969="", "", VLOOKUP(F4969, Inventory!A:BZ, 3, FALSE) - SUMIF($F$1:$F4968, F4969, $H$1:$H4968))
</f>
        <v/>
      </c>
      <c r="I4969" s="26"/>
      <c r="J4969" s="26" t="s">
        <v>77</v>
      </c>
      <c r="L4969" s="27" t="s">
        <v>77</v>
      </c>
      <c r="N4969" s="28" t="s">
        <v>77</v>
      </c>
      <c r="Q4969" s="30"/>
    </row>
    <row r="4970">
      <c r="B4970" s="6"/>
      <c r="C4970" s="33" t="str">
        <f t="array" ref="C4970">IF(B4970="", "", XLOOKUP(B4970, Inventory!D:D,Inventory!E:E,"No Name Found"))</f>
        <v/>
      </c>
      <c r="D4970" s="6"/>
      <c r="E4970" s="6"/>
      <c r="F4970" s="6"/>
      <c r="G4970" s="24" t="str">
        <f>IF(F4970="", "", VLOOKUP(F4970, Inventory!A:BZ, 3, FALSE) - SUMIF($F$1:$F4969, F4970, $H$1:$H4969))
</f>
        <v/>
      </c>
      <c r="I4970" s="26"/>
      <c r="J4970" s="26" t="s">
        <v>77</v>
      </c>
      <c r="L4970" s="27" t="s">
        <v>77</v>
      </c>
      <c r="N4970" s="28" t="s">
        <v>77</v>
      </c>
      <c r="Q4970" s="30"/>
    </row>
    <row r="4971">
      <c r="B4971" s="6"/>
      <c r="C4971" s="33" t="str">
        <f t="array" ref="C4971">IF(B4971="", "", XLOOKUP(B4971, Inventory!D:D,Inventory!E:E,"No Name Found"))</f>
        <v/>
      </c>
      <c r="D4971" s="6"/>
      <c r="E4971" s="6"/>
      <c r="F4971" s="6"/>
      <c r="G4971" s="24" t="str">
        <f>IF(F4971="", "", VLOOKUP(F4971, Inventory!A:BZ, 3, FALSE) - SUMIF($F$1:$F4970, F4971, $H$1:$H4970))
</f>
        <v/>
      </c>
      <c r="I4971" s="26"/>
      <c r="J4971" s="26" t="s">
        <v>77</v>
      </c>
      <c r="L4971" s="27" t="s">
        <v>77</v>
      </c>
      <c r="N4971" s="28" t="s">
        <v>77</v>
      </c>
      <c r="Q4971" s="30"/>
    </row>
    <row r="4972">
      <c r="B4972" s="6"/>
      <c r="C4972" s="33" t="str">
        <f t="array" ref="C4972">IF(B4972="", "", XLOOKUP(B4972, Inventory!D:D,Inventory!E:E,"No Name Found"))</f>
        <v/>
      </c>
      <c r="D4972" s="6"/>
      <c r="E4972" s="6"/>
      <c r="F4972" s="6"/>
      <c r="G4972" s="24" t="str">
        <f>IF(F4972="", "", VLOOKUP(F4972, Inventory!A:BZ, 3, FALSE) - SUMIF($F$1:$F4971, F4972, $H$1:$H4971))
</f>
        <v/>
      </c>
      <c r="I4972" s="26"/>
      <c r="J4972" s="26" t="s">
        <v>77</v>
      </c>
      <c r="L4972" s="27" t="s">
        <v>77</v>
      </c>
      <c r="N4972" s="28" t="s">
        <v>77</v>
      </c>
      <c r="Q4972" s="30"/>
    </row>
    <row r="4973">
      <c r="B4973" s="6"/>
      <c r="C4973" s="33" t="str">
        <f t="array" ref="C4973">IF(B4973="", "", XLOOKUP(B4973, Inventory!D:D,Inventory!E:E,"No Name Found"))</f>
        <v/>
      </c>
      <c r="D4973" s="6"/>
      <c r="E4973" s="6"/>
      <c r="F4973" s="6"/>
      <c r="G4973" s="24" t="str">
        <f>IF(F4973="", "", VLOOKUP(F4973, Inventory!A:BZ, 3, FALSE) - SUMIF($F$1:$F4972, F4973, $H$1:$H4972))
</f>
        <v/>
      </c>
      <c r="I4973" s="26"/>
      <c r="J4973" s="26" t="s">
        <v>77</v>
      </c>
      <c r="L4973" s="27" t="s">
        <v>77</v>
      </c>
      <c r="N4973" s="28" t="s">
        <v>77</v>
      </c>
      <c r="Q4973" s="30"/>
    </row>
    <row r="4974">
      <c r="B4974" s="6"/>
      <c r="C4974" s="33" t="str">
        <f t="array" ref="C4974">IF(B4974="", "", XLOOKUP(B4974, Inventory!D:D,Inventory!E:E,"No Name Found"))</f>
        <v/>
      </c>
      <c r="D4974" s="6"/>
      <c r="E4974" s="6"/>
      <c r="F4974" s="6"/>
      <c r="G4974" s="24" t="str">
        <f>IF(F4974="", "", VLOOKUP(F4974, Inventory!A:BZ, 3, FALSE) - SUMIF($F$1:$F4973, F4974, $H$1:$H4973))
</f>
        <v/>
      </c>
      <c r="I4974" s="26"/>
      <c r="J4974" s="26" t="s">
        <v>77</v>
      </c>
      <c r="L4974" s="27" t="s">
        <v>77</v>
      </c>
      <c r="N4974" s="28" t="s">
        <v>77</v>
      </c>
      <c r="Q4974" s="30"/>
    </row>
    <row r="4975">
      <c r="B4975" s="6"/>
      <c r="C4975" s="33" t="str">
        <f t="array" ref="C4975">IF(B4975="", "", XLOOKUP(B4975, Inventory!D:D,Inventory!E:E,"No Name Found"))</f>
        <v/>
      </c>
      <c r="D4975" s="6"/>
      <c r="E4975" s="6"/>
      <c r="F4975" s="6"/>
      <c r="G4975" s="24" t="str">
        <f>IF(F4975="", "", VLOOKUP(F4975, Inventory!A:BZ, 3, FALSE) - SUMIF($F$1:$F4974, F4975, $H$1:$H4974))
</f>
        <v/>
      </c>
      <c r="I4975" s="26"/>
      <c r="J4975" s="26" t="s">
        <v>77</v>
      </c>
      <c r="L4975" s="27" t="s">
        <v>77</v>
      </c>
      <c r="N4975" s="28" t="s">
        <v>77</v>
      </c>
      <c r="Q4975" s="30"/>
    </row>
    <row r="4976">
      <c r="B4976" s="6"/>
      <c r="C4976" s="33" t="str">
        <f t="array" ref="C4976">IF(B4976="", "", XLOOKUP(B4976, Inventory!D:D,Inventory!E:E,"No Name Found"))</f>
        <v/>
      </c>
      <c r="D4976" s="6"/>
      <c r="E4976" s="6"/>
      <c r="F4976" s="6"/>
      <c r="G4976" s="24" t="str">
        <f>IF(F4976="", "", VLOOKUP(F4976, Inventory!A:BZ, 3, FALSE) - SUMIF($F$1:$F4975, F4976, $H$1:$H4975))
</f>
        <v/>
      </c>
      <c r="I4976" s="26"/>
      <c r="J4976" s="26" t="s">
        <v>77</v>
      </c>
      <c r="L4976" s="27" t="s">
        <v>77</v>
      </c>
      <c r="N4976" s="28" t="s">
        <v>77</v>
      </c>
      <c r="Q4976" s="30"/>
    </row>
    <row r="4977">
      <c r="B4977" s="6"/>
      <c r="C4977" s="33" t="str">
        <f t="array" ref="C4977">IF(B4977="", "", XLOOKUP(B4977, Inventory!D:D,Inventory!E:E,"No Name Found"))</f>
        <v/>
      </c>
      <c r="D4977" s="6"/>
      <c r="E4977" s="6"/>
      <c r="F4977" s="6"/>
      <c r="G4977" s="24" t="str">
        <f>IF(F4977="", "", VLOOKUP(F4977, Inventory!A:BZ, 3, FALSE) - SUMIF($F$1:$F4976, F4977, $H$1:$H4976))
</f>
        <v/>
      </c>
      <c r="I4977" s="26"/>
      <c r="J4977" s="26" t="s">
        <v>77</v>
      </c>
      <c r="L4977" s="27" t="s">
        <v>77</v>
      </c>
      <c r="N4977" s="28" t="s">
        <v>77</v>
      </c>
      <c r="Q4977" s="30"/>
    </row>
    <row r="4978">
      <c r="B4978" s="6"/>
      <c r="C4978" s="33" t="str">
        <f t="array" ref="C4978">IF(B4978="", "", XLOOKUP(B4978, Inventory!D:D,Inventory!E:E,"No Name Found"))</f>
        <v/>
      </c>
      <c r="D4978" s="6"/>
      <c r="E4978" s="6"/>
      <c r="F4978" s="6"/>
      <c r="G4978" s="24" t="str">
        <f>IF(F4978="", "", VLOOKUP(F4978, Inventory!A:BZ, 3, FALSE) - SUMIF($F$1:$F4977, F4978, $H$1:$H4977))
</f>
        <v/>
      </c>
      <c r="I4978" s="26"/>
      <c r="J4978" s="26" t="s">
        <v>77</v>
      </c>
      <c r="L4978" s="27" t="s">
        <v>77</v>
      </c>
      <c r="N4978" s="28" t="s">
        <v>77</v>
      </c>
      <c r="Q4978" s="30"/>
    </row>
    <row r="4979">
      <c r="B4979" s="6"/>
      <c r="C4979" s="33" t="str">
        <f t="array" ref="C4979">IF(B4979="", "", XLOOKUP(B4979, Inventory!D:D,Inventory!E:E,"No Name Found"))</f>
        <v/>
      </c>
      <c r="D4979" s="6"/>
      <c r="E4979" s="6"/>
      <c r="F4979" s="6"/>
      <c r="G4979" s="24" t="str">
        <f>IF(F4979="", "", VLOOKUP(F4979, Inventory!A:BZ, 3, FALSE) - SUMIF($F$1:$F4978, F4979, $H$1:$H4978))
</f>
        <v/>
      </c>
      <c r="I4979" s="26"/>
      <c r="J4979" s="26" t="s">
        <v>77</v>
      </c>
      <c r="L4979" s="27" t="s">
        <v>77</v>
      </c>
      <c r="N4979" s="28" t="s">
        <v>77</v>
      </c>
      <c r="Q4979" s="30"/>
    </row>
    <row r="4980">
      <c r="B4980" s="6"/>
      <c r="C4980" s="33" t="str">
        <f t="array" ref="C4980">IF(B4980="", "", XLOOKUP(B4980, Inventory!D:D,Inventory!E:E,"No Name Found"))</f>
        <v/>
      </c>
      <c r="D4980" s="6"/>
      <c r="E4980" s="6"/>
      <c r="F4980" s="6"/>
      <c r="G4980" s="24" t="str">
        <f>IF(F4980="", "", VLOOKUP(F4980, Inventory!A:BZ, 3, FALSE) - SUMIF($F$1:$F4979, F4980, $H$1:$H4979))
</f>
        <v/>
      </c>
      <c r="I4980" s="26"/>
      <c r="J4980" s="26" t="s">
        <v>77</v>
      </c>
      <c r="L4980" s="27" t="s">
        <v>77</v>
      </c>
      <c r="N4980" s="28" t="s">
        <v>77</v>
      </c>
      <c r="Q4980" s="30"/>
    </row>
    <row r="4981">
      <c r="B4981" s="6"/>
      <c r="C4981" s="33" t="str">
        <f t="array" ref="C4981">IF(B4981="", "", XLOOKUP(B4981, Inventory!D:D,Inventory!E:E,"No Name Found"))</f>
        <v/>
      </c>
      <c r="D4981" s="6"/>
      <c r="E4981" s="6"/>
      <c r="F4981" s="6"/>
      <c r="G4981" s="24" t="str">
        <f>IF(F4981="", "", VLOOKUP(F4981, Inventory!A:BZ, 3, FALSE) - SUMIF($F$1:$F4980, F4981, $H$1:$H4980))
</f>
        <v/>
      </c>
      <c r="I4981" s="26"/>
      <c r="J4981" s="26" t="s">
        <v>77</v>
      </c>
      <c r="L4981" s="27" t="s">
        <v>77</v>
      </c>
      <c r="N4981" s="28" t="s">
        <v>77</v>
      </c>
      <c r="Q4981" s="30"/>
    </row>
    <row r="4982">
      <c r="B4982" s="6"/>
      <c r="C4982" s="33" t="str">
        <f t="array" ref="C4982">IF(B4982="", "", XLOOKUP(B4982, Inventory!D:D,Inventory!E:E,"No Name Found"))</f>
        <v/>
      </c>
      <c r="D4982" s="6"/>
      <c r="E4982" s="6"/>
      <c r="F4982" s="6"/>
      <c r="G4982" s="24" t="str">
        <f>IF(F4982="", "", VLOOKUP(F4982, Inventory!A:BZ, 3, FALSE) - SUMIF($F$1:$F4981, F4982, $H$1:$H4981))
</f>
        <v/>
      </c>
      <c r="I4982" s="26"/>
      <c r="J4982" s="26" t="s">
        <v>77</v>
      </c>
      <c r="L4982" s="27" t="s">
        <v>77</v>
      </c>
      <c r="N4982" s="28" t="s">
        <v>77</v>
      </c>
      <c r="Q4982" s="30"/>
    </row>
    <row r="4983">
      <c r="B4983" s="6"/>
      <c r="C4983" s="33" t="str">
        <f t="array" ref="C4983">IF(B4983="", "", XLOOKUP(B4983, Inventory!D:D,Inventory!E:E,"No Name Found"))</f>
        <v/>
      </c>
      <c r="D4983" s="6"/>
      <c r="E4983" s="6"/>
      <c r="F4983" s="6"/>
      <c r="G4983" s="24" t="str">
        <f>IF(F4983="", "", VLOOKUP(F4983, Inventory!A:BZ, 3, FALSE) - SUMIF($F$1:$F4982, F4983, $H$1:$H4982))
</f>
        <v/>
      </c>
      <c r="I4983" s="26"/>
      <c r="J4983" s="26" t="s">
        <v>77</v>
      </c>
      <c r="L4983" s="27" t="s">
        <v>77</v>
      </c>
      <c r="N4983" s="28" t="s">
        <v>77</v>
      </c>
      <c r="Q4983" s="30"/>
    </row>
    <row r="4984">
      <c r="B4984" s="6"/>
      <c r="C4984" s="33" t="str">
        <f t="array" ref="C4984">IF(B4984="", "", XLOOKUP(B4984, Inventory!D:D,Inventory!E:E,"No Name Found"))</f>
        <v/>
      </c>
      <c r="D4984" s="6"/>
      <c r="E4984" s="6"/>
      <c r="F4984" s="6"/>
      <c r="G4984" s="24" t="str">
        <f>IF(F4984="", "", VLOOKUP(F4984, Inventory!A:BZ, 3, FALSE) - SUMIF($F$1:$F4983, F4984, $H$1:$H4983))
</f>
        <v/>
      </c>
      <c r="I4984" s="26"/>
      <c r="J4984" s="26" t="s">
        <v>77</v>
      </c>
      <c r="L4984" s="27" t="s">
        <v>77</v>
      </c>
      <c r="N4984" s="28" t="s">
        <v>77</v>
      </c>
      <c r="Q4984" s="30"/>
    </row>
    <row r="4985">
      <c r="B4985" s="6"/>
      <c r="C4985" s="33" t="str">
        <f t="array" ref="C4985">IF(B4985="", "", XLOOKUP(B4985, Inventory!D:D,Inventory!E:E,"No Name Found"))</f>
        <v/>
      </c>
      <c r="D4985" s="6"/>
      <c r="E4985" s="6"/>
      <c r="F4985" s="6"/>
      <c r="G4985" s="24" t="str">
        <f>IF(F4985="", "", VLOOKUP(F4985, Inventory!A:BZ, 3, FALSE) - SUMIF($F$1:$F4984, F4985, $H$1:$H4984))
</f>
        <v/>
      </c>
      <c r="I4985" s="26"/>
      <c r="J4985" s="26" t="s">
        <v>77</v>
      </c>
      <c r="L4985" s="27" t="s">
        <v>77</v>
      </c>
      <c r="N4985" s="28" t="s">
        <v>77</v>
      </c>
      <c r="Q4985" s="30"/>
    </row>
    <row r="4986">
      <c r="B4986" s="6"/>
      <c r="C4986" s="33" t="str">
        <f t="array" ref="C4986">IF(B4986="", "", XLOOKUP(B4986, Inventory!D:D,Inventory!E:E,"No Name Found"))</f>
        <v/>
      </c>
      <c r="D4986" s="6"/>
      <c r="E4986" s="6"/>
      <c r="F4986" s="6"/>
      <c r="G4986" s="24" t="str">
        <f>IF(F4986="", "", VLOOKUP(F4986, Inventory!A:BZ, 3, FALSE) - SUMIF($F$1:$F4985, F4986, $H$1:$H4985))
</f>
        <v/>
      </c>
      <c r="I4986" s="26"/>
      <c r="J4986" s="26" t="s">
        <v>77</v>
      </c>
      <c r="L4986" s="27" t="s">
        <v>77</v>
      </c>
      <c r="N4986" s="28" t="s">
        <v>77</v>
      </c>
      <c r="Q4986" s="30"/>
    </row>
    <row r="4987">
      <c r="B4987" s="6"/>
      <c r="C4987" s="33" t="str">
        <f t="array" ref="C4987">IF(B4987="", "", XLOOKUP(B4987, Inventory!D:D,Inventory!E:E,"No Name Found"))</f>
        <v/>
      </c>
      <c r="D4987" s="6"/>
      <c r="E4987" s="6"/>
      <c r="F4987" s="6"/>
      <c r="G4987" s="24" t="str">
        <f>IF(F4987="", "", VLOOKUP(F4987, Inventory!A:BZ, 3, FALSE) - SUMIF($F$1:$F4986, F4987, $H$1:$H4986))
</f>
        <v/>
      </c>
      <c r="I4987" s="26"/>
      <c r="J4987" s="26" t="s">
        <v>77</v>
      </c>
      <c r="L4987" s="27" t="s">
        <v>77</v>
      </c>
      <c r="N4987" s="28" t="s">
        <v>77</v>
      </c>
      <c r="Q4987" s="30"/>
    </row>
    <row r="4988">
      <c r="B4988" s="6"/>
      <c r="C4988" s="33" t="str">
        <f t="array" ref="C4988">IF(B4988="", "", XLOOKUP(B4988, Inventory!D:D,Inventory!E:E,"No Name Found"))</f>
        <v/>
      </c>
      <c r="D4988" s="6"/>
      <c r="E4988" s="6"/>
      <c r="F4988" s="6"/>
      <c r="G4988" s="24" t="str">
        <f>IF(F4988="", "", VLOOKUP(F4988, Inventory!A:BZ, 3, FALSE) - SUMIF($F$1:$F4987, F4988, $H$1:$H4987))
</f>
        <v/>
      </c>
      <c r="I4988" s="26"/>
      <c r="J4988" s="26" t="s">
        <v>77</v>
      </c>
      <c r="L4988" s="27" t="s">
        <v>77</v>
      </c>
      <c r="N4988" s="28" t="s">
        <v>77</v>
      </c>
      <c r="Q4988" s="30"/>
    </row>
    <row r="4989">
      <c r="B4989" s="6"/>
      <c r="C4989" s="33" t="str">
        <f t="array" ref="C4989">IF(B4989="", "", XLOOKUP(B4989, Inventory!D:D,Inventory!E:E,"No Name Found"))</f>
        <v/>
      </c>
      <c r="D4989" s="6"/>
      <c r="E4989" s="6"/>
      <c r="F4989" s="6"/>
      <c r="G4989" s="24" t="str">
        <f>IF(F4989="", "", VLOOKUP(F4989, Inventory!A:BZ, 3, FALSE) - SUMIF($F$1:$F4988, F4989, $H$1:$H4988))
</f>
        <v/>
      </c>
      <c r="I4989" s="26"/>
      <c r="J4989" s="26" t="s">
        <v>77</v>
      </c>
      <c r="L4989" s="27" t="s">
        <v>77</v>
      </c>
      <c r="N4989" s="28" t="s">
        <v>77</v>
      </c>
      <c r="Q4989" s="30"/>
    </row>
    <row r="4990">
      <c r="B4990" s="6"/>
      <c r="C4990" s="33" t="str">
        <f t="array" ref="C4990">IF(B4990="", "", XLOOKUP(B4990, Inventory!D:D,Inventory!E:E,"No Name Found"))</f>
        <v/>
      </c>
      <c r="D4990" s="6"/>
      <c r="E4990" s="6"/>
      <c r="F4990" s="6"/>
      <c r="G4990" s="24" t="str">
        <f>IF(F4990="", "", VLOOKUP(F4990, Inventory!A:BZ, 3, FALSE) - SUMIF($F$1:$F4989, F4990, $H$1:$H4989))
</f>
        <v/>
      </c>
      <c r="I4990" s="26"/>
      <c r="J4990" s="26" t="s">
        <v>77</v>
      </c>
      <c r="L4990" s="27" t="s">
        <v>77</v>
      </c>
      <c r="N4990" s="28" t="s">
        <v>77</v>
      </c>
      <c r="Q4990" s="30"/>
    </row>
    <row r="4991">
      <c r="B4991" s="6"/>
      <c r="C4991" s="33" t="str">
        <f t="array" ref="C4991">IF(B4991="", "", XLOOKUP(B4991, Inventory!D:D,Inventory!E:E,"No Name Found"))</f>
        <v/>
      </c>
      <c r="D4991" s="6"/>
      <c r="E4991" s="6"/>
      <c r="F4991" s="6"/>
      <c r="G4991" s="24" t="str">
        <f>IF(F4991="", "", VLOOKUP(F4991, Inventory!A:BZ, 3, FALSE) - SUMIF($F$1:$F4990, F4991, $H$1:$H4990))
</f>
        <v/>
      </c>
      <c r="I4991" s="26"/>
      <c r="J4991" s="26" t="s">
        <v>77</v>
      </c>
      <c r="L4991" s="27" t="s">
        <v>77</v>
      </c>
      <c r="N4991" s="28" t="s">
        <v>77</v>
      </c>
      <c r="Q4991" s="30"/>
    </row>
    <row r="4992">
      <c r="B4992" s="6"/>
      <c r="C4992" s="33" t="str">
        <f t="array" ref="C4992">IF(B4992="", "", XLOOKUP(B4992, Inventory!D:D,Inventory!E:E,"No Name Found"))</f>
        <v/>
      </c>
      <c r="D4992" s="6"/>
      <c r="E4992" s="6"/>
      <c r="F4992" s="6"/>
      <c r="G4992" s="24" t="str">
        <f>IF(F4992="", "", VLOOKUP(F4992, Inventory!A:BZ, 3, FALSE) - SUMIF($F$1:$F4991, F4992, $H$1:$H4991))
</f>
        <v/>
      </c>
      <c r="I4992" s="26"/>
      <c r="J4992" s="26" t="s">
        <v>77</v>
      </c>
      <c r="L4992" s="27" t="s">
        <v>77</v>
      </c>
      <c r="N4992" s="28" t="s">
        <v>77</v>
      </c>
      <c r="Q4992" s="30"/>
    </row>
    <row r="4993">
      <c r="B4993" s="6"/>
      <c r="C4993" s="33" t="str">
        <f t="array" ref="C4993">IF(B4993="", "", XLOOKUP(B4993, Inventory!D:D,Inventory!E:E,"No Name Found"))</f>
        <v/>
      </c>
      <c r="D4993" s="6"/>
      <c r="E4993" s="6"/>
      <c r="F4993" s="6"/>
      <c r="G4993" s="24" t="str">
        <f>IF(F4993="", "", VLOOKUP(F4993, Inventory!A:BZ, 3, FALSE) - SUMIF($F$1:$F4992, F4993, $H$1:$H4992))
</f>
        <v/>
      </c>
      <c r="I4993" s="26"/>
      <c r="J4993" s="26" t="s">
        <v>77</v>
      </c>
      <c r="L4993" s="27" t="s">
        <v>77</v>
      </c>
      <c r="N4993" s="28" t="s">
        <v>77</v>
      </c>
      <c r="Q4993" s="30"/>
    </row>
    <row r="4994">
      <c r="B4994" s="6"/>
      <c r="C4994" s="33" t="str">
        <f t="array" ref="C4994">IF(B4994="", "", XLOOKUP(B4994, Inventory!D:D,Inventory!E:E,"No Name Found"))</f>
        <v/>
      </c>
      <c r="D4994" s="6"/>
      <c r="E4994" s="6"/>
      <c r="F4994" s="6"/>
      <c r="G4994" s="24" t="str">
        <f>IF(F4994="", "", VLOOKUP(F4994, Inventory!A:BZ, 3, FALSE) - SUMIF($F$1:$F4993, F4994, $H$1:$H4993))
</f>
        <v/>
      </c>
      <c r="I4994" s="26"/>
      <c r="J4994" s="26" t="s">
        <v>77</v>
      </c>
      <c r="L4994" s="27" t="s">
        <v>77</v>
      </c>
      <c r="N4994" s="28" t="s">
        <v>77</v>
      </c>
      <c r="Q4994" s="30"/>
    </row>
    <row r="4995">
      <c r="B4995" s="6"/>
      <c r="C4995" s="33" t="str">
        <f t="array" ref="C4995">IF(B4995="", "", XLOOKUP(B4995, Inventory!D:D,Inventory!E:E,"No Name Found"))</f>
        <v/>
      </c>
      <c r="D4995" s="6"/>
      <c r="E4995" s="6"/>
      <c r="F4995" s="6"/>
      <c r="G4995" s="24" t="str">
        <f>IF(F4995="", "", VLOOKUP(F4995, Inventory!A:BZ, 3, FALSE) - SUMIF($F$1:$F4994, F4995, $H$1:$H4994))
</f>
        <v/>
      </c>
      <c r="I4995" s="26"/>
      <c r="J4995" s="26" t="s">
        <v>77</v>
      </c>
      <c r="L4995" s="27" t="s">
        <v>77</v>
      </c>
      <c r="N4995" s="28" t="s">
        <v>77</v>
      </c>
      <c r="Q4995" s="30"/>
    </row>
    <row r="4996">
      <c r="B4996" s="6"/>
      <c r="C4996" s="33" t="str">
        <f t="array" ref="C4996">IF(B4996="", "", XLOOKUP(B4996, Inventory!D:D,Inventory!E:E,"No Name Found"))</f>
        <v/>
      </c>
      <c r="D4996" s="6"/>
      <c r="E4996" s="6"/>
      <c r="F4996" s="6"/>
      <c r="G4996" s="24" t="str">
        <f>IF(F4996="", "", VLOOKUP(F4996, Inventory!A:BZ, 3, FALSE) - SUMIF($F$1:$F4995, F4996, $H$1:$H4995))
</f>
        <v/>
      </c>
      <c r="I4996" s="26"/>
      <c r="J4996" s="26" t="s">
        <v>77</v>
      </c>
      <c r="L4996" s="27" t="s">
        <v>77</v>
      </c>
      <c r="N4996" s="28" t="s">
        <v>77</v>
      </c>
      <c r="Q4996" s="30"/>
    </row>
    <row r="4997">
      <c r="B4997" s="6"/>
      <c r="C4997" s="33" t="str">
        <f t="array" ref="C4997">IF(B4997="", "", XLOOKUP(B4997, Inventory!D:D,Inventory!E:E,"No Name Found"))</f>
        <v/>
      </c>
      <c r="D4997" s="6"/>
      <c r="E4997" s="6"/>
      <c r="F4997" s="6"/>
      <c r="G4997" s="24" t="str">
        <f>IF(F4997="", "", VLOOKUP(F4997, Inventory!A:BZ, 3, FALSE) - SUMIF($F$1:$F4996, F4997, $H$1:$H4996))
</f>
        <v/>
      </c>
      <c r="I4997" s="26"/>
      <c r="J4997" s="26" t="s">
        <v>77</v>
      </c>
      <c r="L4997" s="27" t="s">
        <v>77</v>
      </c>
      <c r="N4997" s="28" t="s">
        <v>77</v>
      </c>
      <c r="Q4997" s="30"/>
    </row>
    <row r="4998">
      <c r="B4998" s="6"/>
      <c r="C4998" s="33" t="str">
        <f t="array" ref="C4998">IF(B4998="", "", XLOOKUP(B4998, Inventory!D:D,Inventory!E:E,"No Name Found"))</f>
        <v/>
      </c>
      <c r="D4998" s="6"/>
      <c r="E4998" s="6"/>
      <c r="F4998" s="6"/>
      <c r="G4998" s="24" t="str">
        <f>IF(F4998="", "", VLOOKUP(F4998, Inventory!A:BZ, 3, FALSE) - SUMIF($F$1:$F4997, F4998, $H$1:$H4997))
</f>
        <v/>
      </c>
      <c r="I4998" s="26"/>
      <c r="J4998" s="26" t="s">
        <v>77</v>
      </c>
      <c r="L4998" s="27" t="s">
        <v>77</v>
      </c>
      <c r="N4998" s="28" t="s">
        <v>77</v>
      </c>
      <c r="Q4998" s="30"/>
    </row>
    <row r="4999">
      <c r="B4999" s="6"/>
      <c r="C4999" s="33" t="str">
        <f t="array" ref="C4999">IF(B4999="", "", XLOOKUP(B4999, Inventory!D:D,Inventory!E:E,"No Name Found"))</f>
        <v/>
      </c>
      <c r="D4999" s="6"/>
      <c r="E4999" s="6"/>
      <c r="F4999" s="6"/>
      <c r="G4999" s="24" t="str">
        <f>IF(F4999="", "", VLOOKUP(F4999, Inventory!A:BZ, 3, FALSE) - SUMIF($F$1:$F4998, F4999, $H$1:$H4998))
</f>
        <v/>
      </c>
      <c r="I4999" s="26"/>
      <c r="J4999" s="26" t="s">
        <v>77</v>
      </c>
      <c r="L4999" s="27" t="s">
        <v>77</v>
      </c>
      <c r="N4999" s="28" t="s">
        <v>77</v>
      </c>
      <c r="Q4999" s="30"/>
    </row>
    <row r="5000">
      <c r="B5000" s="6"/>
      <c r="C5000" s="33" t="str">
        <f t="array" ref="C5000">IF(B5000="", "", XLOOKUP(B5000, Inventory!D:D,Inventory!E:E,"No Name Found"))</f>
        <v/>
      </c>
      <c r="D5000" s="6"/>
      <c r="E5000" s="6"/>
      <c r="F5000" s="6"/>
      <c r="G5000" s="24" t="str">
        <f>IF(F5000="", "", VLOOKUP(F5000, Inventory!A:BZ, 3, FALSE) - SUMIF($F$1:$F4999, F5000, $H$1:$H4999))
</f>
        <v/>
      </c>
      <c r="I5000" s="26"/>
      <c r="J5000" s="26" t="s">
        <v>77</v>
      </c>
      <c r="L5000" s="27" t="s">
        <v>77</v>
      </c>
      <c r="N5000" s="28" t="s">
        <v>77</v>
      </c>
      <c r="Q5000" s="30"/>
    </row>
    <row r="5001">
      <c r="B5001" s="6"/>
      <c r="C5001" s="33" t="str">
        <f t="array" ref="C5001">IF(B5001="", "", XLOOKUP(B5001, Inventory!D:D,Inventory!E:E,"No Name Found"))</f>
        <v/>
      </c>
      <c r="D5001" s="6"/>
      <c r="E5001" s="6"/>
      <c r="F5001" s="6"/>
      <c r="G5001" s="24" t="str">
        <f>IF(F5001="", "", VLOOKUP(F5001, Inventory!A:BZ, 3, FALSE) - SUMIF($F$1:$F5000, F5001, $H$1:$H5000))
</f>
        <v/>
      </c>
      <c r="I5001" s="26"/>
      <c r="J5001" s="26" t="s">
        <v>77</v>
      </c>
      <c r="L5001" s="27" t="s">
        <v>77</v>
      </c>
      <c r="N5001" s="28" t="s">
        <v>77</v>
      </c>
      <c r="Q5001" s="30"/>
    </row>
    <row r="5002">
      <c r="B5002" s="6"/>
      <c r="C5002" s="33" t="str">
        <f t="array" ref="C5002">IF(B5002="", "", XLOOKUP(B5002, Inventory!D:D,Inventory!E:E,"No Name Found"))</f>
        <v/>
      </c>
      <c r="D5002" s="6"/>
      <c r="E5002" s="6"/>
      <c r="F5002" s="6"/>
      <c r="G5002" s="24" t="str">
        <f>IF(F5002="", "", VLOOKUP(F5002, Inventory!A:BZ, 3, FALSE) - SUMIF($F$1:$F5001, F5002, $H$1:$H5001))
</f>
        <v/>
      </c>
      <c r="I5002" s="26"/>
      <c r="J5002" s="26" t="s">
        <v>77</v>
      </c>
      <c r="L5002" s="27" t="s">
        <v>77</v>
      </c>
      <c r="N5002" s="28" t="s">
        <v>77</v>
      </c>
      <c r="Q5002" s="30"/>
    </row>
    <row r="5003">
      <c r="B5003" s="6"/>
      <c r="C5003" s="33" t="str">
        <f t="array" ref="C5003">IF(B5003="", "", XLOOKUP(B5003, Inventory!D:D,Inventory!E:E,"No Name Found"))</f>
        <v/>
      </c>
      <c r="D5003" s="6"/>
      <c r="E5003" s="6"/>
      <c r="F5003" s="6"/>
      <c r="G5003" s="24" t="str">
        <f>IF(F5003="", "", VLOOKUP(F5003, Inventory!A:BZ, 3, FALSE) - SUMIF($F$1:$F5002, F5003, $H$1:$H5002))
</f>
        <v/>
      </c>
      <c r="I5003" s="26"/>
      <c r="J5003" s="26" t="s">
        <v>77</v>
      </c>
      <c r="L5003" s="27" t="s">
        <v>77</v>
      </c>
      <c r="N5003" s="28" t="s">
        <v>77</v>
      </c>
      <c r="Q5003" s="30"/>
    </row>
    <row r="5004">
      <c r="B5004" s="6"/>
      <c r="C5004" s="33" t="str">
        <f t="array" ref="C5004">IF(B5004="", "", XLOOKUP(B5004, Inventory!D:D,Inventory!E:E,"No Name Found"))</f>
        <v/>
      </c>
      <c r="D5004" s="6"/>
      <c r="E5004" s="6"/>
      <c r="F5004" s="6"/>
      <c r="G5004" s="24" t="str">
        <f>IF(F5004="", "", VLOOKUP(F5004, Inventory!A:BZ, 3, FALSE) - SUMIF($F$1:$F5003, F5004, $H$1:$H5003))
</f>
        <v/>
      </c>
      <c r="I5004" s="26"/>
      <c r="J5004" s="26" t="s">
        <v>77</v>
      </c>
      <c r="L5004" s="27" t="s">
        <v>77</v>
      </c>
      <c r="N5004" s="28" t="s">
        <v>77</v>
      </c>
      <c r="Q5004" s="30"/>
    </row>
    <row r="5005">
      <c r="B5005" s="6"/>
      <c r="C5005" s="33" t="str">
        <f t="array" ref="C5005">IF(B5005="", "", XLOOKUP(B5005, Inventory!D:D,Inventory!E:E,"No Name Found"))</f>
        <v/>
      </c>
      <c r="D5005" s="6"/>
      <c r="E5005" s="6"/>
      <c r="F5005" s="6"/>
      <c r="G5005" s="24" t="str">
        <f>IF(F5005="", "", VLOOKUP(F5005, Inventory!A:BZ, 3, FALSE) - SUMIF($F$1:$F5004, F5005, $H$1:$H5004))
</f>
        <v/>
      </c>
      <c r="I5005" s="26"/>
      <c r="J5005" s="26" t="s">
        <v>77</v>
      </c>
      <c r="L5005" s="27" t="s">
        <v>77</v>
      </c>
      <c r="N5005" s="28" t="s">
        <v>77</v>
      </c>
      <c r="Q5005" s="30"/>
    </row>
    <row r="5006">
      <c r="B5006" s="6"/>
      <c r="C5006" s="33" t="str">
        <f t="array" ref="C5006">IF(B5006="", "", XLOOKUP(B5006, Inventory!D:D,Inventory!E:E,"No Name Found"))</f>
        <v/>
      </c>
      <c r="D5006" s="6"/>
      <c r="E5006" s="6"/>
      <c r="F5006" s="6"/>
      <c r="G5006" s="24" t="str">
        <f>IF(F5006="", "", VLOOKUP(F5006, Inventory!A:BZ, 3, FALSE) - SUMIF($F$1:$F5005, F5006, $H$1:$H5005))
</f>
        <v/>
      </c>
      <c r="I5006" s="26"/>
      <c r="J5006" s="26" t="s">
        <v>77</v>
      </c>
      <c r="L5006" s="27" t="s">
        <v>77</v>
      </c>
      <c r="N5006" s="28" t="s">
        <v>77</v>
      </c>
      <c r="Q5006" s="30"/>
    </row>
    <row r="5007">
      <c r="B5007" s="6"/>
      <c r="C5007" s="33" t="str">
        <f t="array" ref="C5007">IF(B5007="", "", XLOOKUP(B5007, Inventory!D:D,Inventory!E:E,"No Name Found"))</f>
        <v/>
      </c>
      <c r="D5007" s="6"/>
      <c r="E5007" s="6"/>
      <c r="F5007" s="6"/>
      <c r="G5007" s="24" t="str">
        <f>IF(F5007="", "", VLOOKUP(F5007, Inventory!A:BZ, 3, FALSE) - SUMIF($F$1:$F5006, F5007, $H$1:$H5006))
</f>
        <v/>
      </c>
      <c r="I5007" s="26"/>
      <c r="J5007" s="26" t="s">
        <v>77</v>
      </c>
      <c r="L5007" s="27" t="s">
        <v>77</v>
      </c>
      <c r="N5007" s="28" t="s">
        <v>77</v>
      </c>
      <c r="Q5007" s="30"/>
    </row>
    <row r="5008">
      <c r="B5008" s="6"/>
      <c r="C5008" s="33" t="str">
        <f t="array" ref="C5008">IF(B5008="", "", XLOOKUP(B5008, Inventory!D:D,Inventory!E:E,"No Name Found"))</f>
        <v/>
      </c>
      <c r="D5008" s="6"/>
      <c r="E5008" s="6"/>
      <c r="F5008" s="6"/>
      <c r="G5008" s="24" t="str">
        <f>IF(F5008="", "", VLOOKUP(F5008, Inventory!A:BZ, 3, FALSE) - SUMIF($F$1:$F5007, F5008, $H$1:$H5007))
</f>
        <v/>
      </c>
      <c r="I5008" s="26"/>
      <c r="J5008" s="26" t="s">
        <v>77</v>
      </c>
      <c r="L5008" s="27" t="s">
        <v>77</v>
      </c>
      <c r="N5008" s="28" t="s">
        <v>77</v>
      </c>
      <c r="Q5008" s="30"/>
    </row>
    <row r="5009">
      <c r="B5009" s="6"/>
      <c r="C5009" s="33" t="str">
        <f t="array" ref="C5009">IF(B5009="", "", XLOOKUP(B5009, Inventory!D:D,Inventory!E:E,"No Name Found"))</f>
        <v/>
      </c>
      <c r="D5009" s="6"/>
      <c r="E5009" s="6"/>
      <c r="F5009" s="6"/>
      <c r="G5009" s="24" t="str">
        <f>IF(F5009="", "", VLOOKUP(F5009, Inventory!A:BZ, 3, FALSE) - SUMIF($F$1:$F5008, F5009, $H$1:$H5008))
</f>
        <v/>
      </c>
      <c r="I5009" s="26"/>
      <c r="J5009" s="26" t="s">
        <v>77</v>
      </c>
      <c r="L5009" s="27" t="s">
        <v>77</v>
      </c>
      <c r="N5009" s="28" t="s">
        <v>77</v>
      </c>
      <c r="Q5009" s="30"/>
    </row>
    <row r="5010">
      <c r="B5010" s="6"/>
      <c r="C5010" s="33" t="str">
        <f t="array" ref="C5010">IF(B5010="", "", XLOOKUP(B5010, Inventory!D:D,Inventory!E:E,"No Name Found"))</f>
        <v/>
      </c>
      <c r="D5010" s="6"/>
      <c r="E5010" s="6"/>
      <c r="F5010" s="6"/>
      <c r="G5010" s="24" t="str">
        <f>IF(F5010="", "", VLOOKUP(F5010, Inventory!A:BZ, 3, FALSE) - SUMIF($F$1:$F5009, F5010, $H$1:$H5009))
</f>
        <v/>
      </c>
      <c r="I5010" s="26"/>
      <c r="J5010" s="26" t="s">
        <v>77</v>
      </c>
      <c r="L5010" s="27" t="s">
        <v>77</v>
      </c>
      <c r="N5010" s="28" t="s">
        <v>77</v>
      </c>
      <c r="Q5010" s="30"/>
    </row>
    <row r="5011">
      <c r="B5011" s="6"/>
      <c r="C5011" s="33" t="str">
        <f t="array" ref="C5011">IF(B5011="", "", XLOOKUP(B5011, Inventory!D:D,Inventory!E:E,"No Name Found"))</f>
        <v/>
      </c>
      <c r="D5011" s="6"/>
      <c r="E5011" s="6"/>
      <c r="F5011" s="6"/>
      <c r="G5011" s="24" t="str">
        <f>IF(F5011="", "", VLOOKUP(F5011, Inventory!A:BZ, 3, FALSE) - SUMIF($F$1:$F5010, F5011, $H$1:$H5010))
</f>
        <v/>
      </c>
      <c r="I5011" s="26"/>
      <c r="J5011" s="26" t="s">
        <v>77</v>
      </c>
      <c r="L5011" s="27" t="s">
        <v>77</v>
      </c>
      <c r="N5011" s="28" t="s">
        <v>77</v>
      </c>
      <c r="Q5011" s="30"/>
    </row>
    <row r="5012">
      <c r="B5012" s="6"/>
      <c r="C5012" s="33" t="str">
        <f t="array" ref="C5012">IF(B5012="", "", XLOOKUP(B5012, Inventory!D:D,Inventory!E:E,"No Name Found"))</f>
        <v/>
      </c>
      <c r="D5012" s="6"/>
      <c r="E5012" s="6"/>
      <c r="F5012" s="6"/>
      <c r="G5012" s="24" t="str">
        <f>IF(F5012="", "", VLOOKUP(F5012, Inventory!A:BZ, 3, FALSE) - SUMIF($F$1:$F5011, F5012, $H$1:$H5011))
</f>
        <v/>
      </c>
      <c r="I5012" s="26"/>
      <c r="J5012" s="26" t="s">
        <v>77</v>
      </c>
      <c r="L5012" s="27" t="s">
        <v>77</v>
      </c>
      <c r="N5012" s="28" t="s">
        <v>77</v>
      </c>
      <c r="Q5012" s="30"/>
    </row>
    <row r="5013">
      <c r="B5013" s="6"/>
      <c r="C5013" s="33" t="str">
        <f t="array" ref="C5013">IF(B5013="", "", XLOOKUP(B5013, Inventory!D:D,Inventory!E:E,"No Name Found"))</f>
        <v/>
      </c>
      <c r="D5013" s="6"/>
      <c r="E5013" s="6"/>
      <c r="F5013" s="6"/>
      <c r="G5013" s="24" t="str">
        <f>IF(F5013="", "", VLOOKUP(F5013, Inventory!A:BZ, 3, FALSE) - SUMIF($F$1:$F5012, F5013, $H$1:$H5012))
</f>
        <v/>
      </c>
      <c r="I5013" s="26"/>
      <c r="J5013" s="26" t="s">
        <v>77</v>
      </c>
      <c r="L5013" s="27" t="s">
        <v>77</v>
      </c>
      <c r="N5013" s="28" t="s">
        <v>77</v>
      </c>
      <c r="Q5013" s="30"/>
    </row>
    <row r="5014">
      <c r="B5014" s="6"/>
      <c r="C5014" s="33" t="str">
        <f t="array" ref="C5014">IF(B5014="", "", XLOOKUP(B5014, Inventory!D:D,Inventory!E:E,"No Name Found"))</f>
        <v/>
      </c>
      <c r="D5014" s="6"/>
      <c r="E5014" s="6"/>
      <c r="F5014" s="6"/>
      <c r="G5014" s="24" t="str">
        <f>IF(F5014="", "", VLOOKUP(F5014, Inventory!A:BZ, 3, FALSE) - SUMIF($F$1:$F5013, F5014, $H$1:$H5013))
</f>
        <v/>
      </c>
      <c r="I5014" s="26"/>
      <c r="J5014" s="26" t="s">
        <v>77</v>
      </c>
      <c r="L5014" s="27" t="s">
        <v>77</v>
      </c>
      <c r="N5014" s="28" t="s">
        <v>77</v>
      </c>
      <c r="Q5014" s="30"/>
    </row>
    <row r="5015">
      <c r="B5015" s="6"/>
      <c r="C5015" s="33" t="str">
        <f t="array" ref="C5015">IF(B5015="", "", XLOOKUP(B5015, Inventory!D:D,Inventory!E:E,"No Name Found"))</f>
        <v/>
      </c>
      <c r="D5015" s="6"/>
      <c r="E5015" s="6"/>
      <c r="F5015" s="6"/>
      <c r="G5015" s="24" t="str">
        <f>IF(F5015="", "", VLOOKUP(F5015, Inventory!A:BZ, 3, FALSE) - SUMIF($F$1:$F5014, F5015, $H$1:$H5014))
</f>
        <v/>
      </c>
      <c r="I5015" s="26"/>
      <c r="J5015" s="26" t="s">
        <v>77</v>
      </c>
      <c r="L5015" s="27" t="s">
        <v>77</v>
      </c>
      <c r="N5015" s="28" t="s">
        <v>77</v>
      </c>
      <c r="Q5015" s="30"/>
    </row>
    <row r="5016">
      <c r="B5016" s="6"/>
      <c r="C5016" s="33" t="str">
        <f t="array" ref="C5016">IF(B5016="", "", XLOOKUP(B5016, Inventory!D:D,Inventory!E:E,"No Name Found"))</f>
        <v/>
      </c>
      <c r="D5016" s="6"/>
      <c r="E5016" s="6"/>
      <c r="F5016" s="6"/>
      <c r="G5016" s="24" t="str">
        <f>IF(F5016="", "", VLOOKUP(F5016, Inventory!A:BZ, 3, FALSE) - SUMIF($F$1:$F5015, F5016, $H$1:$H5015))
</f>
        <v/>
      </c>
      <c r="I5016" s="26"/>
      <c r="J5016" s="26" t="s">
        <v>77</v>
      </c>
      <c r="L5016" s="27" t="s">
        <v>77</v>
      </c>
      <c r="N5016" s="28" t="s">
        <v>77</v>
      </c>
      <c r="Q5016" s="30"/>
    </row>
    <row r="5017">
      <c r="B5017" s="6"/>
      <c r="C5017" s="33" t="str">
        <f t="array" ref="C5017">IF(B5017="", "", XLOOKUP(B5017, Inventory!D:D,Inventory!E:E,"No Name Found"))</f>
        <v/>
      </c>
      <c r="D5017" s="6"/>
      <c r="E5017" s="6"/>
      <c r="F5017" s="6"/>
      <c r="G5017" s="24" t="str">
        <f>IF(F5017="", "", VLOOKUP(F5017, Inventory!A:BZ, 3, FALSE) - SUMIF($F$1:$F5016, F5017, $H$1:$H5016))
</f>
        <v/>
      </c>
      <c r="I5017" s="26"/>
      <c r="J5017" s="26" t="s">
        <v>77</v>
      </c>
      <c r="L5017" s="27" t="s">
        <v>77</v>
      </c>
      <c r="N5017" s="28" t="s">
        <v>77</v>
      </c>
      <c r="Q5017" s="30"/>
    </row>
    <row r="5018">
      <c r="B5018" s="6"/>
      <c r="C5018" s="33" t="str">
        <f t="array" ref="C5018">IF(B5018="", "", XLOOKUP(B5018, Inventory!D:D,Inventory!E:E,"No Name Found"))</f>
        <v/>
      </c>
      <c r="D5018" s="6"/>
      <c r="E5018" s="6"/>
      <c r="F5018" s="6"/>
      <c r="G5018" s="24" t="str">
        <f>IF(F5018="", "", VLOOKUP(F5018, Inventory!A:BZ, 3, FALSE) - SUMIF($F$1:$F5017, F5018, $H$1:$H5017))
</f>
        <v/>
      </c>
      <c r="I5018" s="26"/>
      <c r="J5018" s="26" t="s">
        <v>77</v>
      </c>
      <c r="L5018" s="27" t="s">
        <v>77</v>
      </c>
      <c r="N5018" s="28" t="s">
        <v>77</v>
      </c>
      <c r="Q5018" s="30"/>
    </row>
    <row r="5019">
      <c r="B5019" s="6"/>
      <c r="C5019" s="33" t="str">
        <f t="array" ref="C5019">IF(B5019="", "", XLOOKUP(B5019, Inventory!D:D,Inventory!E:E,"No Name Found"))</f>
        <v/>
      </c>
      <c r="D5019" s="6"/>
      <c r="E5019" s="6"/>
      <c r="F5019" s="6"/>
      <c r="G5019" s="24" t="str">
        <f>IF(F5019="", "", VLOOKUP(F5019, Inventory!A:BZ, 3, FALSE) - SUMIF($F$1:$F5018, F5019, $H$1:$H5018))
</f>
        <v/>
      </c>
      <c r="I5019" s="26"/>
      <c r="J5019" s="26" t="s">
        <v>77</v>
      </c>
      <c r="L5019" s="27" t="s">
        <v>77</v>
      </c>
      <c r="N5019" s="28" t="s">
        <v>77</v>
      </c>
      <c r="Q5019" s="30"/>
    </row>
    <row r="5020">
      <c r="B5020" s="6"/>
      <c r="C5020" s="33" t="str">
        <f t="array" ref="C5020">IF(B5020="", "", XLOOKUP(B5020, Inventory!D:D,Inventory!E:E,"No Name Found"))</f>
        <v/>
      </c>
      <c r="D5020" s="6"/>
      <c r="E5020" s="6"/>
      <c r="F5020" s="6"/>
      <c r="G5020" s="24" t="str">
        <f>IF(F5020="", "", VLOOKUP(F5020, Inventory!A:BZ, 3, FALSE) - SUMIF($F$1:$F5019, F5020, $H$1:$H5019))
</f>
        <v/>
      </c>
      <c r="I5020" s="26"/>
      <c r="J5020" s="26" t="s">
        <v>77</v>
      </c>
      <c r="L5020" s="27" t="s">
        <v>77</v>
      </c>
      <c r="N5020" s="28" t="s">
        <v>77</v>
      </c>
      <c r="Q5020" s="30"/>
    </row>
    <row r="5021">
      <c r="B5021" s="6"/>
      <c r="C5021" s="33" t="str">
        <f t="array" ref="C5021">IF(B5021="", "", XLOOKUP(B5021, Inventory!D:D,Inventory!E:E,"No Name Found"))</f>
        <v/>
      </c>
      <c r="D5021" s="6"/>
      <c r="E5021" s="6"/>
      <c r="F5021" s="6"/>
      <c r="G5021" s="24" t="str">
        <f>IF(F5021="", "", VLOOKUP(F5021, Inventory!A:BZ, 3, FALSE) - SUMIF($F$1:$F5020, F5021, $H$1:$H5020))
</f>
        <v/>
      </c>
      <c r="I5021" s="26"/>
      <c r="J5021" s="26" t="s">
        <v>77</v>
      </c>
      <c r="L5021" s="27" t="s">
        <v>77</v>
      </c>
      <c r="N5021" s="28" t="s">
        <v>77</v>
      </c>
      <c r="Q5021" s="30"/>
    </row>
    <row r="5022">
      <c r="B5022" s="6"/>
      <c r="C5022" s="33" t="str">
        <f t="array" ref="C5022">IF(B5022="", "", XLOOKUP(B5022, Inventory!D:D,Inventory!E:E,"No Name Found"))</f>
        <v/>
      </c>
      <c r="D5022" s="6"/>
      <c r="E5022" s="6"/>
      <c r="F5022" s="6"/>
      <c r="G5022" s="24" t="str">
        <f>IF(F5022="", "", VLOOKUP(F5022, Inventory!A:BZ, 3, FALSE) - SUMIF($F$1:$F5021, F5022, $H$1:$H5021))
</f>
        <v/>
      </c>
      <c r="I5022" s="26"/>
      <c r="J5022" s="26" t="s">
        <v>77</v>
      </c>
      <c r="L5022" s="27" t="s">
        <v>77</v>
      </c>
      <c r="N5022" s="28" t="s">
        <v>77</v>
      </c>
      <c r="Q5022" s="30"/>
    </row>
    <row r="5023">
      <c r="B5023" s="6"/>
      <c r="C5023" s="33" t="str">
        <f t="array" ref="C5023">IF(B5023="", "", XLOOKUP(B5023, Inventory!D:D,Inventory!E:E,"No Name Found"))</f>
        <v/>
      </c>
      <c r="D5023" s="6"/>
      <c r="E5023" s="6"/>
      <c r="F5023" s="6"/>
      <c r="G5023" s="24" t="str">
        <f>IF(F5023="", "", VLOOKUP(F5023, Inventory!A:BZ, 3, FALSE) - SUMIF($F$1:$F5022, F5023, $H$1:$H5022))
</f>
        <v/>
      </c>
      <c r="I5023" s="26"/>
      <c r="J5023" s="26" t="s">
        <v>77</v>
      </c>
      <c r="L5023" s="27" t="s">
        <v>77</v>
      </c>
      <c r="N5023" s="28" t="s">
        <v>77</v>
      </c>
      <c r="Q5023" s="30"/>
    </row>
    <row r="5024">
      <c r="B5024" s="6"/>
      <c r="C5024" s="33" t="str">
        <f t="array" ref="C5024">IF(B5024="", "", XLOOKUP(B5024, Inventory!D:D,Inventory!E:E,"No Name Found"))</f>
        <v/>
      </c>
      <c r="D5024" s="6"/>
      <c r="E5024" s="6"/>
      <c r="F5024" s="6"/>
      <c r="G5024" s="24" t="str">
        <f>IF(F5024="", "", VLOOKUP(F5024, Inventory!A:BZ, 3, FALSE) - SUMIF($F$1:$F5023, F5024, $H$1:$H5023))
</f>
        <v/>
      </c>
      <c r="I5024" s="26"/>
      <c r="J5024" s="26" t="s">
        <v>77</v>
      </c>
      <c r="L5024" s="27" t="s">
        <v>77</v>
      </c>
      <c r="N5024" s="28" t="s">
        <v>77</v>
      </c>
      <c r="Q5024" s="30"/>
    </row>
    <row r="5025">
      <c r="B5025" s="6"/>
      <c r="C5025" s="33" t="str">
        <f t="array" ref="C5025">IF(B5025="", "", XLOOKUP(B5025, Inventory!D:D,Inventory!E:E,"No Name Found"))</f>
        <v/>
      </c>
      <c r="D5025" s="6"/>
      <c r="E5025" s="6"/>
      <c r="F5025" s="6"/>
      <c r="G5025" s="24" t="str">
        <f>IF(F5025="", "", VLOOKUP(F5025, Inventory!A:BZ, 3, FALSE) - SUMIF($F$1:$F5024, F5025, $H$1:$H5024))
</f>
        <v/>
      </c>
      <c r="I5025" s="26"/>
      <c r="J5025" s="26" t="s">
        <v>77</v>
      </c>
      <c r="L5025" s="27" t="s">
        <v>77</v>
      </c>
      <c r="N5025" s="28" t="s">
        <v>77</v>
      </c>
      <c r="Q5025" s="30"/>
    </row>
    <row r="5026">
      <c r="B5026" s="6"/>
      <c r="C5026" s="33" t="str">
        <f t="array" ref="C5026">IF(B5026="", "", XLOOKUP(B5026, Inventory!D:D,Inventory!E:E,"No Name Found"))</f>
        <v/>
      </c>
      <c r="D5026" s="6"/>
      <c r="E5026" s="6"/>
      <c r="F5026" s="6"/>
      <c r="G5026" s="24" t="str">
        <f>IF(F5026="", "", VLOOKUP(F5026, Inventory!A:BZ, 3, FALSE) - SUMIF($F$1:$F5025, F5026, $H$1:$H5025))
</f>
        <v/>
      </c>
      <c r="I5026" s="26"/>
      <c r="J5026" s="26" t="s">
        <v>77</v>
      </c>
      <c r="L5026" s="27" t="s">
        <v>77</v>
      </c>
      <c r="N5026" s="28" t="s">
        <v>77</v>
      </c>
      <c r="Q5026" s="30"/>
    </row>
    <row r="5027">
      <c r="B5027" s="6"/>
      <c r="C5027" s="33" t="str">
        <f t="array" ref="C5027">IF(B5027="", "", XLOOKUP(B5027, Inventory!D:D,Inventory!E:E,"No Name Found"))</f>
        <v/>
      </c>
      <c r="D5027" s="6"/>
      <c r="E5027" s="6"/>
      <c r="F5027" s="6"/>
      <c r="G5027" s="24" t="str">
        <f>IF(F5027="", "", VLOOKUP(F5027, Inventory!A:BZ, 3, FALSE) - SUMIF($F$1:$F5026, F5027, $H$1:$H5026))
</f>
        <v/>
      </c>
      <c r="I5027" s="26"/>
      <c r="J5027" s="26" t="s">
        <v>77</v>
      </c>
      <c r="L5027" s="27" t="s">
        <v>77</v>
      </c>
      <c r="N5027" s="28" t="s">
        <v>77</v>
      </c>
      <c r="Q5027" s="30"/>
    </row>
    <row r="5028">
      <c r="B5028" s="6"/>
      <c r="C5028" s="33" t="str">
        <f t="array" ref="C5028">IF(B5028="", "", XLOOKUP(B5028, Inventory!D:D,Inventory!E:E,"No Name Found"))</f>
        <v/>
      </c>
      <c r="D5028" s="6"/>
      <c r="E5028" s="6"/>
      <c r="F5028" s="6"/>
      <c r="G5028" s="24" t="str">
        <f>IF(F5028="", "", VLOOKUP(F5028, Inventory!A:BZ, 3, FALSE) - SUMIF($F$1:$F5027, F5028, $H$1:$H5027))
</f>
        <v/>
      </c>
      <c r="I5028" s="26"/>
      <c r="J5028" s="26" t="s">
        <v>77</v>
      </c>
      <c r="L5028" s="27" t="s">
        <v>77</v>
      </c>
      <c r="N5028" s="28" t="s">
        <v>77</v>
      </c>
      <c r="Q5028" s="30"/>
    </row>
    <row r="5029">
      <c r="B5029" s="6"/>
      <c r="C5029" s="33" t="str">
        <f t="array" ref="C5029">IF(B5029="", "", XLOOKUP(B5029, Inventory!D:D,Inventory!E:E,"No Name Found"))</f>
        <v/>
      </c>
      <c r="D5029" s="6"/>
      <c r="E5029" s="6"/>
      <c r="F5029" s="6"/>
      <c r="G5029" s="24" t="str">
        <f>IF(F5029="", "", VLOOKUP(F5029, Inventory!A:BZ, 3, FALSE) - SUMIF($F$1:$F5028, F5029, $H$1:$H5028))
</f>
        <v/>
      </c>
      <c r="I5029" s="26"/>
      <c r="J5029" s="26" t="s">
        <v>77</v>
      </c>
      <c r="L5029" s="27" t="s">
        <v>77</v>
      </c>
      <c r="N5029" s="28" t="s">
        <v>77</v>
      </c>
      <c r="Q5029" s="30"/>
    </row>
    <row r="5030">
      <c r="B5030" s="6"/>
      <c r="C5030" s="33" t="str">
        <f t="array" ref="C5030">IF(B5030="", "", XLOOKUP(B5030, Inventory!D:D,Inventory!E:E,"No Name Found"))</f>
        <v/>
      </c>
      <c r="D5030" s="6"/>
      <c r="E5030" s="6"/>
      <c r="F5030" s="6"/>
      <c r="G5030" s="24" t="str">
        <f>IF(F5030="", "", VLOOKUP(F5030, Inventory!A:BZ, 3, FALSE) - SUMIF($F$1:$F5029, F5030, $H$1:$H5029))
</f>
        <v/>
      </c>
      <c r="I5030" s="26"/>
      <c r="J5030" s="26" t="s">
        <v>77</v>
      </c>
      <c r="L5030" s="27" t="s">
        <v>77</v>
      </c>
      <c r="N5030" s="28" t="s">
        <v>77</v>
      </c>
      <c r="Q5030" s="30"/>
    </row>
    <row r="5031">
      <c r="B5031" s="6"/>
      <c r="C5031" s="33" t="str">
        <f t="array" ref="C5031">IF(B5031="", "", XLOOKUP(B5031, Inventory!D:D,Inventory!E:E,"No Name Found"))</f>
        <v/>
      </c>
      <c r="D5031" s="6"/>
      <c r="E5031" s="6"/>
      <c r="F5031" s="6"/>
      <c r="G5031" s="24" t="str">
        <f>IF(F5031="", "", VLOOKUP(F5031, Inventory!A:BZ, 3, FALSE) - SUMIF($F$1:$F5030, F5031, $H$1:$H5030))
</f>
        <v/>
      </c>
      <c r="I5031" s="26"/>
      <c r="J5031" s="26" t="s">
        <v>77</v>
      </c>
      <c r="L5031" s="27" t="s">
        <v>77</v>
      </c>
      <c r="N5031" s="28" t="s">
        <v>77</v>
      </c>
      <c r="Q5031" s="30"/>
    </row>
    <row r="5032">
      <c r="B5032" s="6"/>
      <c r="C5032" s="33" t="str">
        <f t="array" ref="C5032">IF(B5032="", "", XLOOKUP(B5032, Inventory!D:D,Inventory!E:E,"No Name Found"))</f>
        <v/>
      </c>
      <c r="D5032" s="6"/>
      <c r="E5032" s="6"/>
      <c r="F5032" s="6"/>
      <c r="G5032" s="24" t="str">
        <f>IF(F5032="", "", VLOOKUP(F5032, Inventory!A:BZ, 3, FALSE) - SUMIF($F$1:$F5031, F5032, $H$1:$H5031))
</f>
        <v/>
      </c>
      <c r="I5032" s="26"/>
      <c r="J5032" s="26" t="s">
        <v>77</v>
      </c>
      <c r="L5032" s="27" t="s">
        <v>77</v>
      </c>
      <c r="N5032" s="28" t="s">
        <v>77</v>
      </c>
      <c r="Q5032" s="30"/>
    </row>
    <row r="5033">
      <c r="B5033" s="6"/>
      <c r="C5033" s="33" t="str">
        <f t="array" ref="C5033">IF(B5033="", "", XLOOKUP(B5033, Inventory!D:D,Inventory!E:E,"No Name Found"))</f>
        <v/>
      </c>
      <c r="D5033" s="6"/>
      <c r="E5033" s="6"/>
      <c r="F5033" s="6"/>
      <c r="G5033" s="24" t="str">
        <f>IF(F5033="", "", VLOOKUP(F5033, Inventory!A:BZ, 3, FALSE) - SUMIF($F$1:$F5032, F5033, $H$1:$H5032))
</f>
        <v/>
      </c>
      <c r="I5033" s="26"/>
      <c r="J5033" s="26" t="s">
        <v>77</v>
      </c>
      <c r="L5033" s="27" t="s">
        <v>77</v>
      </c>
      <c r="N5033" s="28" t="s">
        <v>77</v>
      </c>
      <c r="Q5033" s="30"/>
    </row>
    <row r="5034">
      <c r="B5034" s="6"/>
      <c r="C5034" s="33" t="str">
        <f t="array" ref="C5034">IF(B5034="", "", XLOOKUP(B5034, Inventory!D:D,Inventory!E:E,"No Name Found"))</f>
        <v/>
      </c>
      <c r="D5034" s="6"/>
      <c r="E5034" s="6"/>
      <c r="F5034" s="6"/>
      <c r="G5034" s="24" t="str">
        <f>IF(F5034="", "", VLOOKUP(F5034, Inventory!A:BZ, 3, FALSE) - SUMIF($F$1:$F5033, F5034, $H$1:$H5033))
</f>
        <v/>
      </c>
      <c r="I5034" s="26"/>
      <c r="J5034" s="26" t="s">
        <v>77</v>
      </c>
      <c r="L5034" s="27" t="s">
        <v>77</v>
      </c>
      <c r="N5034" s="28" t="s">
        <v>77</v>
      </c>
      <c r="Q5034" s="30"/>
    </row>
    <row r="5035">
      <c r="B5035" s="6"/>
      <c r="C5035" s="33" t="str">
        <f t="array" ref="C5035">IF(B5035="", "", XLOOKUP(B5035, Inventory!D:D,Inventory!E:E,"No Name Found"))</f>
        <v/>
      </c>
      <c r="D5035" s="6"/>
      <c r="E5035" s="6"/>
      <c r="F5035" s="6"/>
      <c r="G5035" s="24" t="str">
        <f>IF(F5035="", "", VLOOKUP(F5035, Inventory!A:BZ, 3, FALSE) - SUMIF($F$1:$F5034, F5035, $H$1:$H5034))
</f>
        <v/>
      </c>
      <c r="I5035" s="26"/>
      <c r="J5035" s="26" t="s">
        <v>77</v>
      </c>
      <c r="L5035" s="27" t="s">
        <v>77</v>
      </c>
      <c r="N5035" s="28" t="s">
        <v>77</v>
      </c>
      <c r="Q5035" s="30"/>
    </row>
    <row r="5036">
      <c r="B5036" s="6"/>
      <c r="C5036" s="33" t="str">
        <f t="array" ref="C5036">IF(B5036="", "", XLOOKUP(B5036, Inventory!D:D,Inventory!E:E,"No Name Found"))</f>
        <v/>
      </c>
      <c r="D5036" s="6"/>
      <c r="E5036" s="6"/>
      <c r="F5036" s="6"/>
      <c r="G5036" s="24" t="str">
        <f>IF(F5036="", "", VLOOKUP(F5036, Inventory!A:BZ, 3, FALSE) - SUMIF($F$1:$F5035, F5036, $H$1:$H5035))
</f>
        <v/>
      </c>
      <c r="I5036" s="26"/>
      <c r="J5036" s="26" t="s">
        <v>77</v>
      </c>
      <c r="L5036" s="27" t="s">
        <v>77</v>
      </c>
      <c r="N5036" s="28" t="s">
        <v>77</v>
      </c>
      <c r="Q5036" s="30"/>
    </row>
    <row r="5037">
      <c r="B5037" s="6"/>
      <c r="C5037" s="33" t="str">
        <f t="array" ref="C5037">IF(B5037="", "", XLOOKUP(B5037, Inventory!D:D,Inventory!E:E,"No Name Found"))</f>
        <v/>
      </c>
      <c r="D5037" s="6"/>
      <c r="E5037" s="6"/>
      <c r="F5037" s="6"/>
      <c r="G5037" s="24" t="str">
        <f>IF(F5037="", "", VLOOKUP(F5037, Inventory!A:BZ, 3, FALSE) - SUMIF($F$1:$F5036, F5037, $H$1:$H5036))
</f>
        <v/>
      </c>
      <c r="I5037" s="26"/>
      <c r="J5037" s="26" t="s">
        <v>77</v>
      </c>
      <c r="L5037" s="27" t="s">
        <v>77</v>
      </c>
      <c r="N5037" s="28" t="s">
        <v>77</v>
      </c>
      <c r="Q5037" s="30"/>
    </row>
    <row r="5038">
      <c r="B5038" s="6"/>
      <c r="C5038" s="33" t="str">
        <f t="array" ref="C5038">IF(B5038="", "", XLOOKUP(B5038, Inventory!D:D,Inventory!E:E,"No Name Found"))</f>
        <v/>
      </c>
      <c r="D5038" s="6"/>
      <c r="E5038" s="6"/>
      <c r="F5038" s="6"/>
      <c r="G5038" s="24" t="str">
        <f>IF(F5038="", "", VLOOKUP(F5038, Inventory!A:BZ, 3, FALSE) - SUMIF($F$1:$F5037, F5038, $H$1:$H5037))
</f>
        <v/>
      </c>
      <c r="I5038" s="26"/>
      <c r="J5038" s="26" t="s">
        <v>77</v>
      </c>
      <c r="L5038" s="27" t="s">
        <v>77</v>
      </c>
      <c r="N5038" s="28" t="s">
        <v>77</v>
      </c>
      <c r="Q5038" s="30"/>
    </row>
    <row r="5039">
      <c r="B5039" s="6"/>
      <c r="C5039" s="33" t="str">
        <f t="array" ref="C5039">IF(B5039="", "", XLOOKUP(B5039, Inventory!D:D,Inventory!E:E,"No Name Found"))</f>
        <v/>
      </c>
      <c r="D5039" s="6"/>
      <c r="E5039" s="6"/>
      <c r="F5039" s="6"/>
      <c r="G5039" s="24" t="str">
        <f>IF(F5039="", "", VLOOKUP(F5039, Inventory!A:BZ, 3, FALSE) - SUMIF($F$1:$F5038, F5039, $H$1:$H5038))
</f>
        <v/>
      </c>
      <c r="I5039" s="26"/>
      <c r="J5039" s="26" t="s">
        <v>77</v>
      </c>
      <c r="L5039" s="27" t="s">
        <v>77</v>
      </c>
      <c r="N5039" s="28" t="s">
        <v>77</v>
      </c>
      <c r="Q5039" s="30"/>
    </row>
    <row r="5040">
      <c r="B5040" s="6"/>
      <c r="C5040" s="33" t="str">
        <f t="array" ref="C5040">IF(B5040="", "", XLOOKUP(B5040, Inventory!D:D,Inventory!E:E,"No Name Found"))</f>
        <v/>
      </c>
      <c r="D5040" s="6"/>
      <c r="E5040" s="6"/>
      <c r="F5040" s="6"/>
      <c r="G5040" s="24" t="str">
        <f>IF(F5040="", "", VLOOKUP(F5040, Inventory!A:BZ, 3, FALSE) - SUMIF($F$1:$F5039, F5040, $H$1:$H5039))
</f>
        <v/>
      </c>
      <c r="I5040" s="26"/>
      <c r="J5040" s="26" t="s">
        <v>77</v>
      </c>
      <c r="L5040" s="27" t="s">
        <v>77</v>
      </c>
      <c r="N5040" s="28" t="s">
        <v>77</v>
      </c>
      <c r="Q5040" s="30"/>
    </row>
    <row r="5041">
      <c r="B5041" s="6"/>
      <c r="C5041" s="33" t="str">
        <f t="array" ref="C5041">IF(B5041="", "", XLOOKUP(B5041, Inventory!D:D,Inventory!E:E,"No Name Found"))</f>
        <v/>
      </c>
      <c r="D5041" s="6"/>
      <c r="E5041" s="6"/>
      <c r="F5041" s="6"/>
      <c r="G5041" s="24" t="str">
        <f>IF(F5041="", "", VLOOKUP(F5041, Inventory!A:BZ, 3, FALSE) - SUMIF($F$1:$F5040, F5041, $H$1:$H5040))
</f>
        <v/>
      </c>
      <c r="I5041" s="26"/>
      <c r="J5041" s="26" t="s">
        <v>77</v>
      </c>
      <c r="L5041" s="27" t="s">
        <v>77</v>
      </c>
      <c r="N5041" s="28" t="s">
        <v>77</v>
      </c>
      <c r="Q5041" s="30"/>
    </row>
    <row r="5042">
      <c r="B5042" s="6"/>
      <c r="C5042" s="33" t="str">
        <f t="array" ref="C5042">IF(B5042="", "", XLOOKUP(B5042, Inventory!D:D,Inventory!E:E,"No Name Found"))</f>
        <v/>
      </c>
      <c r="D5042" s="6"/>
      <c r="E5042" s="6"/>
      <c r="F5042" s="6"/>
      <c r="G5042" s="24" t="str">
        <f>IF(F5042="", "", VLOOKUP(F5042, Inventory!A:BZ, 3, FALSE) - SUMIF($F$1:$F5041, F5042, $H$1:$H5041))
</f>
        <v/>
      </c>
      <c r="I5042" s="26"/>
      <c r="J5042" s="26" t="s">
        <v>77</v>
      </c>
      <c r="L5042" s="27" t="s">
        <v>77</v>
      </c>
      <c r="N5042" s="28" t="s">
        <v>77</v>
      </c>
      <c r="Q5042" s="30"/>
    </row>
    <row r="5043">
      <c r="B5043" s="6"/>
      <c r="C5043" s="33" t="str">
        <f t="array" ref="C5043">IF(B5043="", "", XLOOKUP(B5043, Inventory!D:D,Inventory!E:E,"No Name Found"))</f>
        <v/>
      </c>
      <c r="D5043" s="6"/>
      <c r="E5043" s="6"/>
      <c r="F5043" s="6"/>
      <c r="G5043" s="24" t="str">
        <f>IF(F5043="", "", VLOOKUP(F5043, Inventory!A:BZ, 3, FALSE) - SUMIF($F$1:$F5042, F5043, $H$1:$H5042))
</f>
        <v/>
      </c>
      <c r="I5043" s="26"/>
      <c r="J5043" s="26" t="s">
        <v>77</v>
      </c>
      <c r="L5043" s="27" t="s">
        <v>77</v>
      </c>
      <c r="N5043" s="28" t="s">
        <v>77</v>
      </c>
      <c r="Q5043" s="30"/>
    </row>
    <row r="5044">
      <c r="B5044" s="6"/>
      <c r="C5044" s="33" t="str">
        <f t="array" ref="C5044">IF(B5044="", "", XLOOKUP(B5044, Inventory!D:D,Inventory!E:E,"No Name Found"))</f>
        <v/>
      </c>
      <c r="D5044" s="6"/>
      <c r="E5044" s="6"/>
      <c r="F5044" s="6"/>
      <c r="G5044" s="24" t="str">
        <f>IF(F5044="", "", VLOOKUP(F5044, Inventory!A:BZ, 3, FALSE) - SUMIF($F$1:$F5043, F5044, $H$1:$H5043))
</f>
        <v/>
      </c>
      <c r="I5044" s="26"/>
      <c r="J5044" s="26" t="s">
        <v>77</v>
      </c>
      <c r="L5044" s="27" t="s">
        <v>77</v>
      </c>
      <c r="N5044" s="28" t="s">
        <v>77</v>
      </c>
      <c r="Q5044" s="30"/>
    </row>
    <row r="5045">
      <c r="B5045" s="6"/>
      <c r="C5045" s="33" t="str">
        <f t="array" ref="C5045">IF(B5045="", "", XLOOKUP(B5045, Inventory!D:D,Inventory!E:E,"No Name Found"))</f>
        <v/>
      </c>
      <c r="D5045" s="6"/>
      <c r="E5045" s="6"/>
      <c r="F5045" s="6"/>
      <c r="G5045" s="24" t="str">
        <f>IF(F5045="", "", VLOOKUP(F5045, Inventory!A:BZ, 3, FALSE) - SUMIF($F$1:$F5044, F5045, $H$1:$H5044))
</f>
        <v/>
      </c>
      <c r="I5045" s="26"/>
      <c r="J5045" s="26" t="s">
        <v>77</v>
      </c>
      <c r="L5045" s="27" t="s">
        <v>77</v>
      </c>
      <c r="N5045" s="28" t="s">
        <v>77</v>
      </c>
      <c r="Q5045" s="30"/>
    </row>
    <row r="5046">
      <c r="B5046" s="6"/>
      <c r="C5046" s="33" t="str">
        <f t="array" ref="C5046">IF(B5046="", "", XLOOKUP(B5046, Inventory!D:D,Inventory!E:E,"No Name Found"))</f>
        <v/>
      </c>
      <c r="D5046" s="6"/>
      <c r="E5046" s="6"/>
      <c r="F5046" s="6"/>
      <c r="G5046" s="24" t="str">
        <f>IF(F5046="", "", VLOOKUP(F5046, Inventory!A:BZ, 3, FALSE) - SUMIF($F$1:$F5045, F5046, $H$1:$H5045))
</f>
        <v/>
      </c>
      <c r="I5046" s="26"/>
      <c r="J5046" s="26" t="s">
        <v>77</v>
      </c>
      <c r="L5046" s="27" t="s">
        <v>77</v>
      </c>
      <c r="N5046" s="28" t="s">
        <v>77</v>
      </c>
      <c r="Q5046" s="30"/>
    </row>
    <row r="5047">
      <c r="B5047" s="6"/>
      <c r="C5047" s="33" t="str">
        <f t="array" ref="C5047">IF(B5047="", "", XLOOKUP(B5047, Inventory!D:D,Inventory!E:E,"No Name Found"))</f>
        <v/>
      </c>
      <c r="D5047" s="6"/>
      <c r="E5047" s="6"/>
      <c r="F5047" s="6"/>
      <c r="G5047" s="24" t="str">
        <f>IF(F5047="", "", VLOOKUP(F5047, Inventory!A:BZ, 3, FALSE) - SUMIF($F$1:$F5046, F5047, $H$1:$H5046))
</f>
        <v/>
      </c>
      <c r="I5047" s="26"/>
      <c r="J5047" s="26" t="s">
        <v>77</v>
      </c>
      <c r="L5047" s="27" t="s">
        <v>77</v>
      </c>
      <c r="N5047" s="28" t="s">
        <v>77</v>
      </c>
      <c r="Q5047" s="30"/>
    </row>
    <row r="5048">
      <c r="B5048" s="6"/>
      <c r="C5048" s="33" t="str">
        <f t="array" ref="C5048">IF(B5048="", "", XLOOKUP(B5048, Inventory!D:D,Inventory!E:E,"No Name Found"))</f>
        <v/>
      </c>
      <c r="D5048" s="6"/>
      <c r="E5048" s="6"/>
      <c r="F5048" s="6"/>
      <c r="G5048" s="24" t="str">
        <f>IF(F5048="", "", VLOOKUP(F5048, Inventory!A:BZ, 3, FALSE) - SUMIF($F$1:$F5047, F5048, $H$1:$H5047))
</f>
        <v/>
      </c>
      <c r="I5048" s="26"/>
      <c r="J5048" s="26" t="s">
        <v>77</v>
      </c>
      <c r="L5048" s="27" t="s">
        <v>77</v>
      </c>
      <c r="N5048" s="28" t="s">
        <v>77</v>
      </c>
      <c r="Q5048" s="30"/>
    </row>
    <row r="5049">
      <c r="B5049" s="6"/>
      <c r="C5049" s="33" t="str">
        <f t="array" ref="C5049">IF(B5049="", "", XLOOKUP(B5049, Inventory!D:D,Inventory!E:E,"No Name Found"))</f>
        <v/>
      </c>
      <c r="D5049" s="6"/>
      <c r="E5049" s="6"/>
      <c r="F5049" s="6"/>
      <c r="G5049" s="24" t="str">
        <f>IF(F5049="", "", VLOOKUP(F5049, Inventory!A:BZ, 3, FALSE) - SUMIF($F$1:$F5048, F5049, $H$1:$H5048))
</f>
        <v/>
      </c>
      <c r="I5049" s="26"/>
      <c r="J5049" s="26" t="s">
        <v>77</v>
      </c>
      <c r="L5049" s="27" t="s">
        <v>77</v>
      </c>
      <c r="N5049" s="28" t="s">
        <v>77</v>
      </c>
      <c r="Q5049" s="30"/>
    </row>
    <row r="5050">
      <c r="B5050" s="6"/>
      <c r="C5050" s="33" t="str">
        <f t="array" ref="C5050">IF(B5050="", "", XLOOKUP(B5050, Inventory!D:D,Inventory!E:E,"No Name Found"))</f>
        <v/>
      </c>
      <c r="D5050" s="6"/>
      <c r="E5050" s="6"/>
      <c r="F5050" s="6"/>
      <c r="G5050" s="24" t="str">
        <f>IF(F5050="", "", VLOOKUP(F5050, Inventory!A:BZ, 3, FALSE) - SUMIF($F$1:$F5049, F5050, $H$1:$H5049))
</f>
        <v/>
      </c>
      <c r="I5050" s="26"/>
      <c r="J5050" s="26" t="s">
        <v>77</v>
      </c>
      <c r="L5050" s="27" t="s">
        <v>77</v>
      </c>
      <c r="N5050" s="28" t="s">
        <v>77</v>
      </c>
      <c r="Q5050" s="30"/>
    </row>
    <row r="5051">
      <c r="B5051" s="6"/>
      <c r="C5051" s="33" t="str">
        <f t="array" ref="C5051">IF(B5051="", "", XLOOKUP(B5051, Inventory!D:D,Inventory!E:E,"No Name Found"))</f>
        <v/>
      </c>
      <c r="D5051" s="6"/>
      <c r="E5051" s="6"/>
      <c r="F5051" s="6"/>
      <c r="G5051" s="24" t="str">
        <f>IF(F5051="", "", VLOOKUP(F5051, Inventory!A:BZ, 3, FALSE) - SUMIF($F$1:$F5050, F5051, $H$1:$H5050))
</f>
        <v/>
      </c>
      <c r="I5051" s="26"/>
      <c r="J5051" s="26" t="s">
        <v>77</v>
      </c>
      <c r="L5051" s="27" t="s">
        <v>77</v>
      </c>
      <c r="N5051" s="28" t="s">
        <v>77</v>
      </c>
      <c r="Q5051" s="30"/>
    </row>
    <row r="5052">
      <c r="B5052" s="6"/>
      <c r="C5052" s="33" t="str">
        <f t="array" ref="C5052">IF(B5052="", "", XLOOKUP(B5052, Inventory!D:D,Inventory!E:E,"No Name Found"))</f>
        <v/>
      </c>
      <c r="D5052" s="6"/>
      <c r="E5052" s="6"/>
      <c r="F5052" s="6"/>
      <c r="G5052" s="24" t="str">
        <f>IF(F5052="", "", VLOOKUP(F5052, Inventory!A:BZ, 3, FALSE) - SUMIF($F$1:$F5051, F5052, $H$1:$H5051))
</f>
        <v/>
      </c>
      <c r="I5052" s="26"/>
      <c r="J5052" s="26" t="s">
        <v>77</v>
      </c>
      <c r="L5052" s="27" t="s">
        <v>77</v>
      </c>
      <c r="N5052" s="28" t="s">
        <v>77</v>
      </c>
      <c r="Q5052" s="30"/>
    </row>
    <row r="5053">
      <c r="B5053" s="6"/>
      <c r="C5053" s="33" t="str">
        <f t="array" ref="C5053">IF(B5053="", "", XLOOKUP(B5053, Inventory!D:D,Inventory!E:E,"No Name Found"))</f>
        <v/>
      </c>
      <c r="D5053" s="6"/>
      <c r="E5053" s="6"/>
      <c r="F5053" s="6"/>
      <c r="G5053" s="24" t="str">
        <f>IF(F5053="", "", VLOOKUP(F5053, Inventory!A:BZ, 3, FALSE) - SUMIF($F$1:$F5052, F5053, $H$1:$H5052))
</f>
        <v/>
      </c>
      <c r="I5053" s="26"/>
      <c r="J5053" s="26" t="s">
        <v>77</v>
      </c>
      <c r="L5053" s="27" t="s">
        <v>77</v>
      </c>
      <c r="N5053" s="28" t="s">
        <v>77</v>
      </c>
      <c r="Q5053" s="30"/>
    </row>
    <row r="5054">
      <c r="B5054" s="6"/>
      <c r="C5054" s="33" t="str">
        <f t="array" ref="C5054">IF(B5054="", "", XLOOKUP(B5054, Inventory!D:D,Inventory!E:E,"No Name Found"))</f>
        <v/>
      </c>
      <c r="D5054" s="6"/>
      <c r="E5054" s="6"/>
      <c r="F5054" s="6"/>
      <c r="G5054" s="24" t="str">
        <f>IF(F5054="", "", VLOOKUP(F5054, Inventory!A:BZ, 3, FALSE) - SUMIF($F$1:$F5053, F5054, $H$1:$H5053))
</f>
        <v/>
      </c>
      <c r="I5054" s="26"/>
      <c r="J5054" s="26" t="s">
        <v>77</v>
      </c>
      <c r="L5054" s="27" t="s">
        <v>77</v>
      </c>
      <c r="N5054" s="28" t="s">
        <v>77</v>
      </c>
      <c r="Q5054" s="30"/>
    </row>
    <row r="5055">
      <c r="B5055" s="6"/>
      <c r="C5055" s="33" t="str">
        <f t="array" ref="C5055">IF(B5055="", "", XLOOKUP(B5055, Inventory!D:D,Inventory!E:E,"No Name Found"))</f>
        <v/>
      </c>
      <c r="D5055" s="6"/>
      <c r="E5055" s="6"/>
      <c r="F5055" s="6"/>
      <c r="G5055" s="24" t="str">
        <f>IF(F5055="", "", VLOOKUP(F5055, Inventory!A:BZ, 3, FALSE) - SUMIF($F$1:$F5054, F5055, $H$1:$H5054))
</f>
        <v/>
      </c>
      <c r="I5055" s="26"/>
      <c r="J5055" s="26" t="s">
        <v>77</v>
      </c>
      <c r="L5055" s="27" t="s">
        <v>77</v>
      </c>
      <c r="N5055" s="28" t="s">
        <v>77</v>
      </c>
      <c r="Q5055" s="30"/>
    </row>
    <row r="5056">
      <c r="B5056" s="6"/>
      <c r="C5056" s="33" t="str">
        <f t="array" ref="C5056">IF(B5056="", "", XLOOKUP(B5056, Inventory!D:D,Inventory!E:E,"No Name Found"))</f>
        <v/>
      </c>
      <c r="D5056" s="6"/>
      <c r="E5056" s="6"/>
      <c r="F5056" s="6"/>
      <c r="G5056" s="24" t="str">
        <f>IF(F5056="", "", VLOOKUP(F5056, Inventory!A:BZ, 3, FALSE) - SUMIF($F$1:$F5055, F5056, $H$1:$H5055))
</f>
        <v/>
      </c>
      <c r="I5056" s="26"/>
      <c r="J5056" s="26" t="s">
        <v>77</v>
      </c>
      <c r="L5056" s="27" t="s">
        <v>77</v>
      </c>
      <c r="N5056" s="28" t="s">
        <v>77</v>
      </c>
      <c r="Q5056" s="30"/>
    </row>
    <row r="5057">
      <c r="B5057" s="6"/>
      <c r="C5057" s="33" t="str">
        <f t="array" ref="C5057">IF(B5057="", "", XLOOKUP(B5057, Inventory!D:D,Inventory!E:E,"No Name Found"))</f>
        <v/>
      </c>
      <c r="D5057" s="6"/>
      <c r="E5057" s="6"/>
      <c r="F5057" s="6"/>
      <c r="G5057" s="24" t="str">
        <f>IF(F5057="", "", VLOOKUP(F5057, Inventory!A:BZ, 3, FALSE) - SUMIF($F$1:$F5056, F5057, $H$1:$H5056))
</f>
        <v/>
      </c>
      <c r="I5057" s="26"/>
      <c r="J5057" s="26" t="s">
        <v>77</v>
      </c>
      <c r="L5057" s="27" t="s">
        <v>77</v>
      </c>
      <c r="N5057" s="28" t="s">
        <v>77</v>
      </c>
      <c r="Q5057" s="30"/>
    </row>
    <row r="5058">
      <c r="B5058" s="6"/>
      <c r="C5058" s="33" t="str">
        <f t="array" ref="C5058">IF(B5058="", "", XLOOKUP(B5058, Inventory!D:D,Inventory!E:E,"No Name Found"))</f>
        <v/>
      </c>
      <c r="D5058" s="6"/>
      <c r="E5058" s="6"/>
      <c r="F5058" s="6"/>
      <c r="G5058" s="24" t="str">
        <f>IF(F5058="", "", VLOOKUP(F5058, Inventory!A:BZ, 3, FALSE) - SUMIF($F$1:$F5057, F5058, $H$1:$H5057))
</f>
        <v/>
      </c>
      <c r="I5058" s="26"/>
      <c r="J5058" s="26" t="s">
        <v>77</v>
      </c>
      <c r="L5058" s="27" t="s">
        <v>77</v>
      </c>
      <c r="N5058" s="28" t="s">
        <v>77</v>
      </c>
      <c r="Q5058" s="30"/>
    </row>
    <row r="5059">
      <c r="B5059" s="6"/>
      <c r="C5059" s="33" t="str">
        <f t="array" ref="C5059">IF(B5059="", "", XLOOKUP(B5059, Inventory!D:D,Inventory!E:E,"No Name Found"))</f>
        <v/>
      </c>
      <c r="D5059" s="6"/>
      <c r="E5059" s="6"/>
      <c r="F5059" s="6"/>
      <c r="G5059" s="24" t="str">
        <f>IF(F5059="", "", VLOOKUP(F5059, Inventory!A:BZ, 3, FALSE) - SUMIF($F$1:$F5058, F5059, $H$1:$H5058))
</f>
        <v/>
      </c>
      <c r="I5059" s="26"/>
      <c r="J5059" s="26" t="s">
        <v>77</v>
      </c>
      <c r="L5059" s="27" t="s">
        <v>77</v>
      </c>
      <c r="N5059" s="28" t="s">
        <v>77</v>
      </c>
      <c r="Q5059" s="30"/>
    </row>
    <row r="5060">
      <c r="B5060" s="6"/>
      <c r="C5060" s="33" t="str">
        <f t="array" ref="C5060">IF(B5060="", "", XLOOKUP(B5060, Inventory!D:D,Inventory!E:E,"No Name Found"))</f>
        <v/>
      </c>
      <c r="D5060" s="6"/>
      <c r="E5060" s="6"/>
      <c r="F5060" s="6"/>
      <c r="G5060" s="24" t="str">
        <f>IF(F5060="", "", VLOOKUP(F5060, Inventory!A:BZ, 3, FALSE) - SUMIF($F$1:$F5059, F5060, $H$1:$H5059))
</f>
        <v/>
      </c>
      <c r="I5060" s="26"/>
      <c r="J5060" s="26" t="s">
        <v>77</v>
      </c>
      <c r="L5060" s="27" t="s">
        <v>77</v>
      </c>
      <c r="N5060" s="28" t="s">
        <v>77</v>
      </c>
      <c r="Q5060" s="30"/>
    </row>
    <row r="5061">
      <c r="B5061" s="6"/>
      <c r="C5061" s="33" t="str">
        <f t="array" ref="C5061">IF(B5061="", "", XLOOKUP(B5061, Inventory!D:D,Inventory!E:E,"No Name Found"))</f>
        <v/>
      </c>
      <c r="D5061" s="6"/>
      <c r="E5061" s="6"/>
      <c r="F5061" s="6"/>
      <c r="G5061" s="24" t="str">
        <f>IF(F5061="", "", VLOOKUP(F5061, Inventory!A:BZ, 3, FALSE) - SUMIF($F$1:$F5060, F5061, $H$1:$H5060))
</f>
        <v/>
      </c>
      <c r="I5061" s="26"/>
      <c r="J5061" s="26" t="s">
        <v>77</v>
      </c>
      <c r="L5061" s="27" t="s">
        <v>77</v>
      </c>
      <c r="N5061" s="28" t="s">
        <v>77</v>
      </c>
      <c r="Q5061" s="30"/>
    </row>
    <row r="5062">
      <c r="B5062" s="6"/>
      <c r="C5062" s="33" t="str">
        <f t="array" ref="C5062">IF(B5062="", "", XLOOKUP(B5062, Inventory!D:D,Inventory!E:E,"No Name Found"))</f>
        <v/>
      </c>
      <c r="D5062" s="6"/>
      <c r="E5062" s="6"/>
      <c r="F5062" s="6"/>
      <c r="G5062" s="24" t="str">
        <f>IF(F5062="", "", VLOOKUP(F5062, Inventory!A:BZ, 3, FALSE) - SUMIF($F$1:$F5061, F5062, $H$1:$H5061))
</f>
        <v/>
      </c>
      <c r="I5062" s="26"/>
      <c r="J5062" s="26" t="s">
        <v>77</v>
      </c>
      <c r="L5062" s="27" t="s">
        <v>77</v>
      </c>
      <c r="N5062" s="28" t="s">
        <v>77</v>
      </c>
      <c r="Q5062" s="30"/>
    </row>
    <row r="5063">
      <c r="B5063" s="6"/>
      <c r="C5063" s="33" t="str">
        <f t="array" ref="C5063">IF(B5063="", "", XLOOKUP(B5063, Inventory!D:D,Inventory!E:E,"No Name Found"))</f>
        <v/>
      </c>
      <c r="D5063" s="6"/>
      <c r="E5063" s="6"/>
      <c r="F5063" s="6"/>
      <c r="G5063" s="24" t="str">
        <f>IF(F5063="", "", VLOOKUP(F5063, Inventory!A:BZ, 3, FALSE) - SUMIF($F$1:$F5062, F5063, $H$1:$H5062))
</f>
        <v/>
      </c>
      <c r="I5063" s="26"/>
      <c r="J5063" s="26" t="s">
        <v>77</v>
      </c>
      <c r="L5063" s="27" t="s">
        <v>77</v>
      </c>
      <c r="N5063" s="28" t="s">
        <v>77</v>
      </c>
      <c r="Q5063" s="30"/>
    </row>
    <row r="5064">
      <c r="B5064" s="6"/>
      <c r="C5064" s="33" t="str">
        <f t="array" ref="C5064">IF(B5064="", "", XLOOKUP(B5064, Inventory!D:D,Inventory!E:E,"No Name Found"))</f>
        <v/>
      </c>
      <c r="D5064" s="6"/>
      <c r="E5064" s="6"/>
      <c r="F5064" s="6"/>
      <c r="G5064" s="24" t="str">
        <f>IF(F5064="", "", VLOOKUP(F5064, Inventory!A:BZ, 3, FALSE) - SUMIF($F$1:$F5063, F5064, $H$1:$H5063))
</f>
        <v/>
      </c>
      <c r="I5064" s="26"/>
      <c r="J5064" s="26" t="s">
        <v>77</v>
      </c>
      <c r="L5064" s="27" t="s">
        <v>77</v>
      </c>
      <c r="N5064" s="28" t="s">
        <v>77</v>
      </c>
      <c r="Q5064" s="30"/>
    </row>
    <row r="5065">
      <c r="B5065" s="6"/>
      <c r="C5065" s="33" t="str">
        <f t="array" ref="C5065">IF(B5065="", "", XLOOKUP(B5065, Inventory!D:D,Inventory!E:E,"No Name Found"))</f>
        <v/>
      </c>
      <c r="D5065" s="6"/>
      <c r="E5065" s="6"/>
      <c r="F5065" s="6"/>
      <c r="G5065" s="24" t="str">
        <f>IF(F5065="", "", VLOOKUP(F5065, Inventory!A:BZ, 3, FALSE) - SUMIF($F$1:$F5064, F5065, $H$1:$H5064))
</f>
        <v/>
      </c>
      <c r="I5065" s="26"/>
      <c r="J5065" s="26" t="s">
        <v>77</v>
      </c>
      <c r="L5065" s="27" t="s">
        <v>77</v>
      </c>
      <c r="N5065" s="28" t="s">
        <v>77</v>
      </c>
      <c r="Q5065" s="30"/>
    </row>
    <row r="5066">
      <c r="B5066" s="6"/>
      <c r="C5066" s="33" t="str">
        <f t="array" ref="C5066">IF(B5066="", "", XLOOKUP(B5066, Inventory!D:D,Inventory!E:E,"No Name Found"))</f>
        <v/>
      </c>
      <c r="D5066" s="6"/>
      <c r="E5066" s="6"/>
      <c r="F5066" s="6"/>
      <c r="G5066" s="24" t="str">
        <f>IF(F5066="", "", VLOOKUP(F5066, Inventory!A:BZ, 3, FALSE) - SUMIF($F$1:$F5065, F5066, $H$1:$H5065))
</f>
        <v/>
      </c>
      <c r="I5066" s="26"/>
      <c r="J5066" s="26" t="s">
        <v>77</v>
      </c>
      <c r="L5066" s="27" t="s">
        <v>77</v>
      </c>
      <c r="N5066" s="28" t="s">
        <v>77</v>
      </c>
      <c r="Q5066" s="30"/>
    </row>
    <row r="5067">
      <c r="B5067" s="6"/>
      <c r="C5067" s="33" t="str">
        <f t="array" ref="C5067">IF(B5067="", "", XLOOKUP(B5067, Inventory!D:D,Inventory!E:E,"No Name Found"))</f>
        <v/>
      </c>
      <c r="D5067" s="6"/>
      <c r="E5067" s="6"/>
      <c r="F5067" s="6"/>
      <c r="G5067" s="24" t="str">
        <f>IF(F5067="", "", VLOOKUP(F5067, Inventory!A:BZ, 3, FALSE) - SUMIF($F$1:$F5066, F5067, $H$1:$H5066))
</f>
        <v/>
      </c>
      <c r="I5067" s="26"/>
      <c r="J5067" s="26" t="s">
        <v>77</v>
      </c>
      <c r="L5067" s="27" t="s">
        <v>77</v>
      </c>
      <c r="N5067" s="28" t="s">
        <v>77</v>
      </c>
      <c r="Q5067" s="30"/>
    </row>
    <row r="5068">
      <c r="B5068" s="6"/>
      <c r="C5068" s="33" t="str">
        <f t="array" ref="C5068">IF(B5068="", "", XLOOKUP(B5068, Inventory!D:D,Inventory!E:E,"No Name Found"))</f>
        <v/>
      </c>
      <c r="D5068" s="6"/>
      <c r="E5068" s="6"/>
      <c r="F5068" s="6"/>
      <c r="G5068" s="24" t="str">
        <f>IF(F5068="", "", VLOOKUP(F5068, Inventory!A:BZ, 3, FALSE) - SUMIF($F$1:$F5067, F5068, $H$1:$H5067))
</f>
        <v/>
      </c>
      <c r="I5068" s="26"/>
      <c r="J5068" s="26" t="s">
        <v>77</v>
      </c>
      <c r="L5068" s="27" t="s">
        <v>77</v>
      </c>
      <c r="N5068" s="28" t="s">
        <v>77</v>
      </c>
      <c r="Q5068" s="30"/>
    </row>
    <row r="5069">
      <c r="B5069" s="6"/>
      <c r="C5069" s="33" t="str">
        <f t="array" ref="C5069">IF(B5069="", "", XLOOKUP(B5069, Inventory!D:D,Inventory!E:E,"No Name Found"))</f>
        <v/>
      </c>
      <c r="D5069" s="6"/>
      <c r="E5069" s="6"/>
      <c r="F5069" s="6"/>
      <c r="G5069" s="24" t="str">
        <f>IF(F5069="", "", VLOOKUP(F5069, Inventory!A:BZ, 3, FALSE) - SUMIF($F$1:$F5068, F5069, $H$1:$H5068))
</f>
        <v/>
      </c>
      <c r="I5069" s="26"/>
      <c r="J5069" s="26" t="s">
        <v>77</v>
      </c>
      <c r="L5069" s="27" t="s">
        <v>77</v>
      </c>
      <c r="N5069" s="28" t="s">
        <v>77</v>
      </c>
      <c r="Q5069" s="30"/>
    </row>
    <row r="5070">
      <c r="B5070" s="6"/>
      <c r="C5070" s="33" t="str">
        <f t="array" ref="C5070">IF(B5070="", "", XLOOKUP(B5070, Inventory!D:D,Inventory!E:E,"No Name Found"))</f>
        <v/>
      </c>
      <c r="D5070" s="6"/>
      <c r="E5070" s="6"/>
      <c r="F5070" s="6"/>
      <c r="G5070" s="24" t="str">
        <f>IF(F5070="", "", VLOOKUP(F5070, Inventory!A:BZ, 3, FALSE) - SUMIF($F$1:$F5069, F5070, $H$1:$H5069))
</f>
        <v/>
      </c>
      <c r="I5070" s="26"/>
      <c r="J5070" s="26" t="s">
        <v>77</v>
      </c>
      <c r="L5070" s="27" t="s">
        <v>77</v>
      </c>
      <c r="N5070" s="28" t="s">
        <v>77</v>
      </c>
      <c r="Q5070" s="30"/>
    </row>
    <row r="5071">
      <c r="B5071" s="6"/>
      <c r="C5071" s="33" t="str">
        <f t="array" ref="C5071">IF(B5071="", "", XLOOKUP(B5071, Inventory!D:D,Inventory!E:E,"No Name Found"))</f>
        <v/>
      </c>
      <c r="D5071" s="6"/>
      <c r="E5071" s="6"/>
      <c r="F5071" s="6"/>
      <c r="G5071" s="24" t="str">
        <f>IF(F5071="", "", VLOOKUP(F5071, Inventory!A:BZ, 3, FALSE) - SUMIF($F$1:$F5070, F5071, $H$1:$H5070))
</f>
        <v/>
      </c>
      <c r="I5071" s="26"/>
      <c r="J5071" s="26" t="s">
        <v>77</v>
      </c>
      <c r="L5071" s="27" t="s">
        <v>77</v>
      </c>
      <c r="N5071" s="28" t="s">
        <v>77</v>
      </c>
      <c r="Q5071" s="30"/>
    </row>
    <row r="5072">
      <c r="B5072" s="6"/>
      <c r="C5072" s="33" t="str">
        <f t="array" ref="C5072">IF(B5072="", "", XLOOKUP(B5072, Inventory!D:D,Inventory!E:E,"No Name Found"))</f>
        <v/>
      </c>
      <c r="D5072" s="6"/>
      <c r="E5072" s="6"/>
      <c r="F5072" s="6"/>
      <c r="G5072" s="24" t="str">
        <f>IF(F5072="", "", VLOOKUP(F5072, Inventory!A:BZ, 3, FALSE) - SUMIF($F$1:$F5071, F5072, $H$1:$H5071))
</f>
        <v/>
      </c>
      <c r="I5072" s="26"/>
      <c r="J5072" s="26" t="s">
        <v>77</v>
      </c>
      <c r="L5072" s="27" t="s">
        <v>77</v>
      </c>
      <c r="N5072" s="28" t="s">
        <v>77</v>
      </c>
      <c r="Q5072" s="30"/>
    </row>
    <row r="5073">
      <c r="B5073" s="6"/>
      <c r="C5073" s="33" t="str">
        <f t="array" ref="C5073">IF(B5073="", "", XLOOKUP(B5073, Inventory!D:D,Inventory!E:E,"No Name Found"))</f>
        <v/>
      </c>
      <c r="D5073" s="6"/>
      <c r="E5073" s="6"/>
      <c r="F5073" s="6"/>
      <c r="G5073" s="24" t="str">
        <f>IF(F5073="", "", VLOOKUP(F5073, Inventory!A:BZ, 3, FALSE) - SUMIF($F$1:$F5072, F5073, $H$1:$H5072))
</f>
        <v/>
      </c>
      <c r="I5073" s="26"/>
      <c r="J5073" s="26" t="s">
        <v>77</v>
      </c>
      <c r="L5073" s="27" t="s">
        <v>77</v>
      </c>
      <c r="N5073" s="28" t="s">
        <v>77</v>
      </c>
      <c r="Q5073" s="30"/>
    </row>
    <row r="5074">
      <c r="B5074" s="6"/>
      <c r="C5074" s="33" t="str">
        <f t="array" ref="C5074">IF(B5074="", "", XLOOKUP(B5074, Inventory!D:D,Inventory!E:E,"No Name Found"))</f>
        <v/>
      </c>
      <c r="D5074" s="6"/>
      <c r="E5074" s="6"/>
      <c r="F5074" s="6"/>
      <c r="G5074" s="24" t="str">
        <f>IF(F5074="", "", VLOOKUP(F5074, Inventory!A:BZ, 3, FALSE) - SUMIF($F$1:$F5073, F5074, $H$1:$H5073))
</f>
        <v/>
      </c>
      <c r="I5074" s="26"/>
      <c r="J5074" s="26" t="s">
        <v>77</v>
      </c>
      <c r="L5074" s="27" t="s">
        <v>77</v>
      </c>
      <c r="N5074" s="28" t="s">
        <v>77</v>
      </c>
      <c r="Q5074" s="30"/>
    </row>
    <row r="5075">
      <c r="B5075" s="6"/>
      <c r="C5075" s="33" t="str">
        <f t="array" ref="C5075">IF(B5075="", "", XLOOKUP(B5075, Inventory!D:D,Inventory!E:E,"No Name Found"))</f>
        <v/>
      </c>
      <c r="D5075" s="6"/>
      <c r="E5075" s="6"/>
      <c r="F5075" s="6"/>
      <c r="G5075" s="24" t="str">
        <f>IF(F5075="", "", VLOOKUP(F5075, Inventory!A:BZ, 3, FALSE) - SUMIF($F$1:$F5074, F5075, $H$1:$H5074))
</f>
        <v/>
      </c>
      <c r="I5075" s="26"/>
      <c r="J5075" s="26" t="s">
        <v>77</v>
      </c>
      <c r="L5075" s="27" t="s">
        <v>77</v>
      </c>
      <c r="N5075" s="28" t="s">
        <v>77</v>
      </c>
      <c r="Q5075" s="30"/>
    </row>
    <row r="5076">
      <c r="B5076" s="6"/>
      <c r="C5076" s="33" t="str">
        <f t="array" ref="C5076">IF(B5076="", "", XLOOKUP(B5076, Inventory!D:D,Inventory!E:E,"No Name Found"))</f>
        <v/>
      </c>
      <c r="D5076" s="6"/>
      <c r="E5076" s="6"/>
      <c r="F5076" s="6"/>
      <c r="G5076" s="24" t="str">
        <f>IF(F5076="", "", VLOOKUP(F5076, Inventory!A:BZ, 3, FALSE) - SUMIF($F$1:$F5075, F5076, $H$1:$H5075))
</f>
        <v/>
      </c>
      <c r="I5076" s="26"/>
      <c r="J5076" s="26" t="s">
        <v>77</v>
      </c>
      <c r="L5076" s="27" t="s">
        <v>77</v>
      </c>
      <c r="N5076" s="28" t="s">
        <v>77</v>
      </c>
      <c r="Q5076" s="30"/>
    </row>
    <row r="5077">
      <c r="B5077" s="6"/>
      <c r="C5077" s="33" t="str">
        <f t="array" ref="C5077">IF(B5077="", "", XLOOKUP(B5077, Inventory!D:D,Inventory!E:E,"No Name Found"))</f>
        <v/>
      </c>
      <c r="D5077" s="6"/>
      <c r="E5077" s="6"/>
      <c r="F5077" s="6"/>
      <c r="G5077" s="24" t="str">
        <f>IF(F5077="", "", VLOOKUP(F5077, Inventory!A:BZ, 3, FALSE) - SUMIF($F$1:$F5076, F5077, $H$1:$H5076))
</f>
        <v/>
      </c>
      <c r="I5077" s="26"/>
      <c r="J5077" s="26" t="s">
        <v>77</v>
      </c>
      <c r="L5077" s="27" t="s">
        <v>77</v>
      </c>
      <c r="N5077" s="28" t="s">
        <v>77</v>
      </c>
      <c r="Q5077" s="30"/>
    </row>
    <row r="5078">
      <c r="B5078" s="6"/>
      <c r="C5078" s="33" t="str">
        <f t="array" ref="C5078">IF(B5078="", "", XLOOKUP(B5078, Inventory!D:D,Inventory!E:E,"No Name Found"))</f>
        <v/>
      </c>
      <c r="D5078" s="6"/>
      <c r="E5078" s="6"/>
      <c r="F5078" s="6"/>
      <c r="G5078" s="24" t="str">
        <f>IF(F5078="", "", VLOOKUP(F5078, Inventory!A:BZ, 3, FALSE) - SUMIF($F$1:$F5077, F5078, $H$1:$H5077))
</f>
        <v/>
      </c>
      <c r="I5078" s="26"/>
      <c r="J5078" s="26" t="s">
        <v>77</v>
      </c>
      <c r="L5078" s="27" t="s">
        <v>77</v>
      </c>
      <c r="N5078" s="28" t="s">
        <v>77</v>
      </c>
      <c r="Q5078" s="30"/>
    </row>
    <row r="5079">
      <c r="B5079" s="6"/>
      <c r="C5079" s="33" t="str">
        <f t="array" ref="C5079">IF(B5079="", "", XLOOKUP(B5079, Inventory!D:D,Inventory!E:E,"No Name Found"))</f>
        <v/>
      </c>
      <c r="D5079" s="6"/>
      <c r="E5079" s="6"/>
      <c r="F5079" s="6"/>
      <c r="G5079" s="24" t="str">
        <f>IF(F5079="", "", VLOOKUP(F5079, Inventory!A:BZ, 3, FALSE) - SUMIF($F$1:$F5078, F5079, $H$1:$H5078))
</f>
        <v/>
      </c>
      <c r="I5079" s="26"/>
      <c r="J5079" s="26" t="s">
        <v>77</v>
      </c>
      <c r="L5079" s="27" t="s">
        <v>77</v>
      </c>
      <c r="N5079" s="28" t="s">
        <v>77</v>
      </c>
      <c r="Q5079" s="30"/>
    </row>
    <row r="5080">
      <c r="B5080" s="6"/>
      <c r="C5080" s="33" t="str">
        <f t="array" ref="C5080">IF(B5080="", "", XLOOKUP(B5080, Inventory!D:D,Inventory!E:E,"No Name Found"))</f>
        <v/>
      </c>
      <c r="D5080" s="6"/>
      <c r="E5080" s="6"/>
      <c r="F5080" s="6"/>
      <c r="G5080" s="24" t="str">
        <f>IF(F5080="", "", VLOOKUP(F5080, Inventory!A:BZ, 3, FALSE) - SUMIF($F$1:$F5079, F5080, $H$1:$H5079))
</f>
        <v/>
      </c>
      <c r="I5080" s="26"/>
      <c r="J5080" s="26" t="s">
        <v>77</v>
      </c>
      <c r="L5080" s="27" t="s">
        <v>77</v>
      </c>
      <c r="N5080" s="28" t="s">
        <v>77</v>
      </c>
      <c r="Q5080" s="30"/>
    </row>
    <row r="5081">
      <c r="B5081" s="6"/>
      <c r="C5081" s="33" t="str">
        <f t="array" ref="C5081">IF(B5081="", "", XLOOKUP(B5081, Inventory!D:D,Inventory!E:E,"No Name Found"))</f>
        <v/>
      </c>
      <c r="D5081" s="6"/>
      <c r="E5081" s="6"/>
      <c r="F5081" s="6"/>
      <c r="G5081" s="24" t="str">
        <f>IF(F5081="", "", VLOOKUP(F5081, Inventory!A:BZ, 3, FALSE) - SUMIF($F$1:$F5080, F5081, $H$1:$H5080))
</f>
        <v/>
      </c>
      <c r="I5081" s="26"/>
      <c r="J5081" s="26" t="s">
        <v>77</v>
      </c>
      <c r="L5081" s="27" t="s">
        <v>77</v>
      </c>
      <c r="N5081" s="28" t="s">
        <v>77</v>
      </c>
      <c r="Q5081" s="30"/>
    </row>
    <row r="5082">
      <c r="B5082" s="6"/>
      <c r="C5082" s="33" t="str">
        <f t="array" ref="C5082">IF(B5082="", "", XLOOKUP(B5082, Inventory!D:D,Inventory!E:E,"No Name Found"))</f>
        <v/>
      </c>
      <c r="D5082" s="6"/>
      <c r="E5082" s="6"/>
      <c r="F5082" s="6"/>
      <c r="G5082" s="24" t="str">
        <f>IF(F5082="", "", VLOOKUP(F5082, Inventory!A:BZ, 3, FALSE) - SUMIF($F$1:$F5081, F5082, $H$1:$H5081))
</f>
        <v/>
      </c>
      <c r="I5082" s="26"/>
      <c r="J5082" s="26" t="s">
        <v>77</v>
      </c>
      <c r="L5082" s="27" t="s">
        <v>77</v>
      </c>
      <c r="N5082" s="28" t="s">
        <v>77</v>
      </c>
      <c r="Q5082" s="30"/>
    </row>
    <row r="5083">
      <c r="B5083" s="6"/>
      <c r="C5083" s="33" t="str">
        <f t="array" ref="C5083">IF(B5083="", "", XLOOKUP(B5083, Inventory!D:D,Inventory!E:E,"No Name Found"))</f>
        <v/>
      </c>
      <c r="D5083" s="6"/>
      <c r="E5083" s="6"/>
      <c r="F5083" s="6"/>
      <c r="G5083" s="24" t="str">
        <f>IF(F5083="", "", VLOOKUP(F5083, Inventory!A:BZ, 3, FALSE) - SUMIF($F$1:$F5082, F5083, $H$1:$H5082))
</f>
        <v/>
      </c>
      <c r="I5083" s="26"/>
      <c r="J5083" s="26" t="s">
        <v>77</v>
      </c>
      <c r="L5083" s="27" t="s">
        <v>77</v>
      </c>
      <c r="N5083" s="28" t="s">
        <v>77</v>
      </c>
      <c r="Q5083" s="30"/>
    </row>
    <row r="5084">
      <c r="B5084" s="6"/>
      <c r="C5084" s="33" t="str">
        <f t="array" ref="C5084">IF(B5084="", "", XLOOKUP(B5084, Inventory!D:D,Inventory!E:E,"No Name Found"))</f>
        <v/>
      </c>
      <c r="D5084" s="6"/>
      <c r="E5084" s="6"/>
      <c r="F5084" s="6"/>
      <c r="G5084" s="24" t="str">
        <f>IF(F5084="", "", VLOOKUP(F5084, Inventory!A:BZ, 3, FALSE) - SUMIF($F$1:$F5083, F5084, $H$1:$H5083))
</f>
        <v/>
      </c>
      <c r="I5084" s="26"/>
      <c r="J5084" s="26" t="s">
        <v>77</v>
      </c>
      <c r="L5084" s="27" t="s">
        <v>77</v>
      </c>
      <c r="N5084" s="28" t="s">
        <v>77</v>
      </c>
      <c r="Q5084" s="30"/>
    </row>
    <row r="5085">
      <c r="B5085" s="6"/>
      <c r="C5085" s="33" t="str">
        <f t="array" ref="C5085">IF(B5085="", "", XLOOKUP(B5085, Inventory!D:D,Inventory!E:E,"No Name Found"))</f>
        <v/>
      </c>
      <c r="D5085" s="6"/>
      <c r="E5085" s="6"/>
      <c r="F5085" s="6"/>
      <c r="G5085" s="24" t="str">
        <f>IF(F5085="", "", VLOOKUP(F5085, Inventory!A:BZ, 3, FALSE) - SUMIF($F$1:$F5084, F5085, $H$1:$H5084))
</f>
        <v/>
      </c>
      <c r="I5085" s="26"/>
      <c r="J5085" s="26" t="s">
        <v>77</v>
      </c>
      <c r="L5085" s="27" t="s">
        <v>77</v>
      </c>
      <c r="N5085" s="28" t="s">
        <v>77</v>
      </c>
      <c r="Q5085" s="30"/>
    </row>
    <row r="5086">
      <c r="B5086" s="6"/>
      <c r="C5086" s="33" t="str">
        <f t="array" ref="C5086">IF(B5086="", "", XLOOKUP(B5086, Inventory!D:D,Inventory!E:E,"No Name Found"))</f>
        <v/>
      </c>
      <c r="D5086" s="6"/>
      <c r="E5086" s="6"/>
      <c r="F5086" s="6"/>
      <c r="G5086" s="24" t="str">
        <f>IF(F5086="", "", VLOOKUP(F5086, Inventory!A:BZ, 3, FALSE) - SUMIF($F$1:$F5085, F5086, $H$1:$H5085))
</f>
        <v/>
      </c>
      <c r="I5086" s="26"/>
      <c r="J5086" s="26" t="s">
        <v>77</v>
      </c>
      <c r="L5086" s="27" t="s">
        <v>77</v>
      </c>
      <c r="N5086" s="28" t="s">
        <v>77</v>
      </c>
      <c r="Q5086" s="30"/>
    </row>
    <row r="5087">
      <c r="B5087" s="6"/>
      <c r="C5087" s="33" t="str">
        <f t="array" ref="C5087">IF(B5087="", "", XLOOKUP(B5087, Inventory!D:D,Inventory!E:E,"No Name Found"))</f>
        <v/>
      </c>
      <c r="D5087" s="6"/>
      <c r="E5087" s="6"/>
      <c r="F5087" s="6"/>
      <c r="G5087" s="24" t="str">
        <f>IF(F5087="", "", VLOOKUP(F5087, Inventory!A:BZ, 3, FALSE) - SUMIF($F$1:$F5086, F5087, $H$1:$H5086))
</f>
        <v/>
      </c>
      <c r="I5087" s="26"/>
      <c r="J5087" s="26" t="s">
        <v>77</v>
      </c>
      <c r="L5087" s="27" t="s">
        <v>77</v>
      </c>
      <c r="N5087" s="28" t="s">
        <v>77</v>
      </c>
      <c r="Q5087" s="30"/>
    </row>
    <row r="5088">
      <c r="B5088" s="6"/>
      <c r="C5088" s="33" t="str">
        <f t="array" ref="C5088">IF(B5088="", "", XLOOKUP(B5088, Inventory!D:D,Inventory!E:E,"No Name Found"))</f>
        <v/>
      </c>
      <c r="D5088" s="6"/>
      <c r="E5088" s="6"/>
      <c r="F5088" s="6"/>
      <c r="G5088" s="24" t="str">
        <f>IF(F5088="", "", VLOOKUP(F5088, Inventory!A:BZ, 3, FALSE) - SUMIF($F$1:$F5087, F5088, $H$1:$H5087))
</f>
        <v/>
      </c>
      <c r="I5088" s="26"/>
      <c r="J5088" s="26" t="s">
        <v>77</v>
      </c>
      <c r="L5088" s="27" t="s">
        <v>77</v>
      </c>
      <c r="N5088" s="28" t="s">
        <v>77</v>
      </c>
      <c r="Q5088" s="30"/>
    </row>
    <row r="5089">
      <c r="B5089" s="6"/>
      <c r="C5089" s="33" t="str">
        <f t="array" ref="C5089">IF(B5089="", "", XLOOKUP(B5089, Inventory!D:D,Inventory!E:E,"No Name Found"))</f>
        <v/>
      </c>
      <c r="D5089" s="6"/>
      <c r="E5089" s="6"/>
      <c r="F5089" s="6"/>
      <c r="G5089" s="24" t="str">
        <f>IF(F5089="", "", VLOOKUP(F5089, Inventory!A:BZ, 3, FALSE) - SUMIF($F$1:$F5088, F5089, $H$1:$H5088))
</f>
        <v/>
      </c>
      <c r="I5089" s="26"/>
      <c r="J5089" s="26" t="s">
        <v>77</v>
      </c>
      <c r="L5089" s="27" t="s">
        <v>77</v>
      </c>
      <c r="N5089" s="28" t="s">
        <v>77</v>
      </c>
      <c r="Q5089" s="30"/>
    </row>
    <row r="5090">
      <c r="B5090" s="6"/>
      <c r="C5090" s="33" t="str">
        <f t="array" ref="C5090">IF(B5090="", "", XLOOKUP(B5090, Inventory!D:D,Inventory!E:E,"No Name Found"))</f>
        <v/>
      </c>
      <c r="D5090" s="6"/>
      <c r="E5090" s="6"/>
      <c r="F5090" s="6"/>
      <c r="G5090" s="24" t="str">
        <f>IF(F5090="", "", VLOOKUP(F5090, Inventory!A:BZ, 3, FALSE) - SUMIF($F$1:$F5089, F5090, $H$1:$H5089))
</f>
        <v/>
      </c>
      <c r="I5090" s="26"/>
      <c r="J5090" s="26" t="s">
        <v>77</v>
      </c>
      <c r="L5090" s="27" t="s">
        <v>77</v>
      </c>
      <c r="N5090" s="28" t="s">
        <v>77</v>
      </c>
      <c r="Q5090" s="30"/>
    </row>
    <row r="5091">
      <c r="B5091" s="6"/>
      <c r="C5091" s="33" t="str">
        <f t="array" ref="C5091">IF(B5091="", "", XLOOKUP(B5091, Inventory!D:D,Inventory!E:E,"No Name Found"))</f>
        <v/>
      </c>
      <c r="D5091" s="6"/>
      <c r="E5091" s="6"/>
      <c r="F5091" s="6"/>
      <c r="G5091" s="24" t="str">
        <f>IF(F5091="", "", VLOOKUP(F5091, Inventory!A:BZ, 3, FALSE) - SUMIF($F$1:$F5090, F5091, $H$1:$H5090))
</f>
        <v/>
      </c>
      <c r="I5091" s="26"/>
      <c r="J5091" s="26" t="s">
        <v>77</v>
      </c>
      <c r="L5091" s="27" t="s">
        <v>77</v>
      </c>
      <c r="N5091" s="28" t="s">
        <v>77</v>
      </c>
      <c r="Q5091" s="30"/>
    </row>
    <row r="5092">
      <c r="B5092" s="6"/>
      <c r="C5092" s="33" t="str">
        <f t="array" ref="C5092">IF(B5092="", "", XLOOKUP(B5092, Inventory!D:D,Inventory!E:E,"No Name Found"))</f>
        <v/>
      </c>
      <c r="D5092" s="6"/>
      <c r="E5092" s="6"/>
      <c r="F5092" s="6"/>
      <c r="G5092" s="24" t="str">
        <f>IF(F5092="", "", VLOOKUP(F5092, Inventory!A:BZ, 3, FALSE) - SUMIF($F$1:$F5091, F5092, $H$1:$H5091))
</f>
        <v/>
      </c>
      <c r="I5092" s="26"/>
      <c r="J5092" s="26" t="s">
        <v>77</v>
      </c>
      <c r="L5092" s="27" t="s">
        <v>77</v>
      </c>
      <c r="N5092" s="28" t="s">
        <v>77</v>
      </c>
      <c r="Q5092" s="30"/>
    </row>
    <row r="5093">
      <c r="B5093" s="6"/>
      <c r="C5093" s="33" t="str">
        <f t="array" ref="C5093">IF(B5093="", "", XLOOKUP(B5093, Inventory!D:D,Inventory!E:E,"No Name Found"))</f>
        <v/>
      </c>
      <c r="D5093" s="6"/>
      <c r="E5093" s="6"/>
      <c r="F5093" s="6"/>
      <c r="G5093" s="24" t="str">
        <f>IF(F5093="", "", VLOOKUP(F5093, Inventory!A:BZ, 3, FALSE) - SUMIF($F$1:$F5092, F5093, $H$1:$H5092))
</f>
        <v/>
      </c>
      <c r="I5093" s="26"/>
      <c r="J5093" s="26" t="s">
        <v>77</v>
      </c>
      <c r="L5093" s="27" t="s">
        <v>77</v>
      </c>
      <c r="N5093" s="28" t="s">
        <v>77</v>
      </c>
      <c r="Q5093" s="30"/>
    </row>
    <row r="5094">
      <c r="B5094" s="6"/>
      <c r="C5094" s="33" t="str">
        <f t="array" ref="C5094">IF(B5094="", "", XLOOKUP(B5094, Inventory!D:D,Inventory!E:E,"No Name Found"))</f>
        <v/>
      </c>
      <c r="D5094" s="6"/>
      <c r="E5094" s="6"/>
      <c r="F5094" s="6"/>
      <c r="G5094" s="24" t="str">
        <f>IF(F5094="", "", VLOOKUP(F5094, Inventory!A:BZ, 3, FALSE) - SUMIF($F$1:$F5093, F5094, $H$1:$H5093))
</f>
        <v/>
      </c>
      <c r="I5094" s="26"/>
      <c r="J5094" s="26" t="s">
        <v>77</v>
      </c>
      <c r="L5094" s="27" t="s">
        <v>77</v>
      </c>
      <c r="N5094" s="28" t="s">
        <v>77</v>
      </c>
      <c r="Q5094" s="30"/>
    </row>
    <row r="5095">
      <c r="B5095" s="6"/>
      <c r="C5095" s="33" t="str">
        <f t="array" ref="C5095">IF(B5095="", "", XLOOKUP(B5095, Inventory!D:D,Inventory!E:E,"No Name Found"))</f>
        <v/>
      </c>
      <c r="D5095" s="6"/>
      <c r="E5095" s="6"/>
      <c r="F5095" s="6"/>
      <c r="G5095" s="24" t="str">
        <f>IF(F5095="", "", VLOOKUP(F5095, Inventory!A:BZ, 3, FALSE) - SUMIF($F$1:$F5094, F5095, $H$1:$H5094))
</f>
        <v/>
      </c>
      <c r="I5095" s="26"/>
      <c r="J5095" s="26" t="s">
        <v>77</v>
      </c>
      <c r="L5095" s="27" t="s">
        <v>77</v>
      </c>
      <c r="N5095" s="28" t="s">
        <v>77</v>
      </c>
      <c r="Q5095" s="30"/>
    </row>
    <row r="5096">
      <c r="B5096" s="6"/>
      <c r="C5096" s="33" t="str">
        <f t="array" ref="C5096">IF(B5096="", "", XLOOKUP(B5096, Inventory!D:D,Inventory!E:E,"No Name Found"))</f>
        <v/>
      </c>
      <c r="D5096" s="6"/>
      <c r="E5096" s="6"/>
      <c r="F5096" s="6"/>
      <c r="G5096" s="24" t="str">
        <f>IF(F5096="", "", VLOOKUP(F5096, Inventory!A:BZ, 3, FALSE) - SUMIF($F$1:$F5095, F5096, $H$1:$H5095))
</f>
        <v/>
      </c>
      <c r="I5096" s="26"/>
      <c r="J5096" s="26" t="s">
        <v>77</v>
      </c>
      <c r="L5096" s="27" t="s">
        <v>77</v>
      </c>
      <c r="N5096" s="28" t="s">
        <v>77</v>
      </c>
      <c r="Q5096" s="30"/>
    </row>
    <row r="5097">
      <c r="B5097" s="6"/>
      <c r="C5097" s="33" t="str">
        <f t="array" ref="C5097">IF(B5097="", "", XLOOKUP(B5097, Inventory!D:D,Inventory!E:E,"No Name Found"))</f>
        <v/>
      </c>
      <c r="D5097" s="6"/>
      <c r="E5097" s="6"/>
      <c r="F5097" s="6"/>
      <c r="G5097" s="24" t="str">
        <f>IF(F5097="", "", VLOOKUP(F5097, Inventory!A:BZ, 3, FALSE) - SUMIF($F$1:$F5096, F5097, $H$1:$H5096))
</f>
        <v/>
      </c>
      <c r="I5097" s="26"/>
      <c r="J5097" s="26" t="s">
        <v>77</v>
      </c>
      <c r="L5097" s="27" t="s">
        <v>77</v>
      </c>
      <c r="N5097" s="28" t="s">
        <v>77</v>
      </c>
      <c r="Q5097" s="30"/>
    </row>
    <row r="5098">
      <c r="B5098" s="6"/>
      <c r="C5098" s="33" t="str">
        <f t="array" ref="C5098">IF(B5098="", "", XLOOKUP(B5098, Inventory!D:D,Inventory!E:E,"No Name Found"))</f>
        <v/>
      </c>
      <c r="D5098" s="6"/>
      <c r="E5098" s="6"/>
      <c r="F5098" s="6"/>
      <c r="G5098" s="24" t="str">
        <f>IF(F5098="", "", VLOOKUP(F5098, Inventory!A:BZ, 3, FALSE) - SUMIF($F$1:$F5097, F5098, $H$1:$H5097))
</f>
        <v/>
      </c>
      <c r="I5098" s="26"/>
      <c r="J5098" s="26" t="s">
        <v>77</v>
      </c>
      <c r="L5098" s="27" t="s">
        <v>77</v>
      </c>
      <c r="N5098" s="28" t="s">
        <v>77</v>
      </c>
      <c r="Q5098" s="30"/>
    </row>
    <row r="5099">
      <c r="B5099" s="6"/>
      <c r="C5099" s="33" t="str">
        <f t="array" ref="C5099">IF(B5099="", "", XLOOKUP(B5099, Inventory!D:D,Inventory!E:E,"No Name Found"))</f>
        <v/>
      </c>
      <c r="D5099" s="6"/>
      <c r="E5099" s="6"/>
      <c r="F5099" s="6"/>
      <c r="G5099" s="24" t="str">
        <f>IF(F5099="", "", VLOOKUP(F5099, Inventory!A:BZ, 3, FALSE) - SUMIF($F$1:$F5098, F5099, $H$1:$H5098))
</f>
        <v/>
      </c>
      <c r="I5099" s="26"/>
      <c r="J5099" s="26" t="s">
        <v>77</v>
      </c>
      <c r="L5099" s="27" t="s">
        <v>77</v>
      </c>
      <c r="N5099" s="28" t="s">
        <v>77</v>
      </c>
      <c r="Q5099" s="30"/>
    </row>
    <row r="5100">
      <c r="B5100" s="6"/>
      <c r="C5100" s="33" t="str">
        <f t="array" ref="C5100">IF(B5100="", "", XLOOKUP(B5100, Inventory!D:D,Inventory!E:E,"No Name Found"))</f>
        <v/>
      </c>
      <c r="D5100" s="6"/>
      <c r="E5100" s="6"/>
      <c r="F5100" s="6"/>
      <c r="G5100" s="24" t="str">
        <f>IF(F5100="", "", VLOOKUP(F5100, Inventory!A:BZ, 3, FALSE) - SUMIF($F$1:$F5099, F5100, $H$1:$H5099))
</f>
        <v/>
      </c>
      <c r="I5100" s="26"/>
      <c r="J5100" s="26" t="s">
        <v>77</v>
      </c>
      <c r="L5100" s="27" t="s">
        <v>77</v>
      </c>
      <c r="N5100" s="28" t="s">
        <v>77</v>
      </c>
      <c r="Q5100" s="30"/>
    </row>
    <row r="5101">
      <c r="B5101" s="6"/>
      <c r="C5101" s="33" t="str">
        <f t="array" ref="C5101">IF(B5101="", "", XLOOKUP(B5101, Inventory!D:D,Inventory!E:E,"No Name Found"))</f>
        <v/>
      </c>
      <c r="D5101" s="6"/>
      <c r="E5101" s="6"/>
      <c r="F5101" s="6"/>
      <c r="G5101" s="24" t="str">
        <f>IF(F5101="", "", VLOOKUP(F5101, Inventory!A:BZ, 3, FALSE) - SUMIF($F$1:$F5100, F5101, $H$1:$H5100))
</f>
        <v/>
      </c>
      <c r="I5101" s="26"/>
      <c r="J5101" s="26" t="s">
        <v>77</v>
      </c>
      <c r="L5101" s="27" t="s">
        <v>77</v>
      </c>
      <c r="N5101" s="28" t="s">
        <v>77</v>
      </c>
      <c r="Q5101" s="30"/>
    </row>
    <row r="5102">
      <c r="B5102" s="6"/>
      <c r="C5102" s="33" t="str">
        <f t="array" ref="C5102">IF(B5102="", "", XLOOKUP(B5102, Inventory!D:D,Inventory!E:E,"No Name Found"))</f>
        <v/>
      </c>
      <c r="D5102" s="6"/>
      <c r="E5102" s="6"/>
      <c r="F5102" s="6"/>
      <c r="G5102" s="24" t="str">
        <f>IF(F5102="", "", VLOOKUP(F5102, Inventory!A:BZ, 3, FALSE) - SUMIF($F$1:$F5101, F5102, $H$1:$H5101))
</f>
        <v/>
      </c>
      <c r="I5102" s="26"/>
      <c r="J5102" s="26" t="s">
        <v>77</v>
      </c>
      <c r="L5102" s="27" t="s">
        <v>77</v>
      </c>
      <c r="N5102" s="28" t="s">
        <v>77</v>
      </c>
      <c r="Q5102" s="30"/>
    </row>
    <row r="5103">
      <c r="B5103" s="6"/>
      <c r="C5103" s="33" t="str">
        <f t="array" ref="C5103">IF(B5103="", "", XLOOKUP(B5103, Inventory!D:D,Inventory!E:E,"No Name Found"))</f>
        <v/>
      </c>
      <c r="D5103" s="6"/>
      <c r="E5103" s="6"/>
      <c r="F5103" s="6"/>
      <c r="G5103" s="24" t="str">
        <f>IF(F5103="", "", VLOOKUP(F5103, Inventory!A:BZ, 3, FALSE) - SUMIF($F$1:$F5102, F5103, $H$1:$H5102))
</f>
        <v/>
      </c>
      <c r="I5103" s="26"/>
      <c r="J5103" s="26" t="s">
        <v>77</v>
      </c>
      <c r="L5103" s="27" t="s">
        <v>77</v>
      </c>
      <c r="N5103" s="28" t="s">
        <v>77</v>
      </c>
      <c r="Q5103" s="30"/>
    </row>
    <row r="5104">
      <c r="B5104" s="6"/>
      <c r="C5104" s="33" t="str">
        <f t="array" ref="C5104">IF(B5104="", "", XLOOKUP(B5104, Inventory!D:D,Inventory!E:E,"No Name Found"))</f>
        <v/>
      </c>
      <c r="D5104" s="6"/>
      <c r="E5104" s="6"/>
      <c r="F5104" s="6"/>
      <c r="G5104" s="24" t="str">
        <f>IF(F5104="", "", VLOOKUP(F5104, Inventory!A:BZ, 3, FALSE) - SUMIF($F$1:$F5103, F5104, $H$1:$H5103))
</f>
        <v/>
      </c>
      <c r="I5104" s="26"/>
      <c r="J5104" s="26" t="s">
        <v>77</v>
      </c>
      <c r="L5104" s="27" t="s">
        <v>77</v>
      </c>
      <c r="N5104" s="28" t="s">
        <v>77</v>
      </c>
      <c r="Q5104" s="30"/>
    </row>
    <row r="5105">
      <c r="B5105" s="6"/>
      <c r="C5105" s="33" t="str">
        <f t="array" ref="C5105">IF(B5105="", "", XLOOKUP(B5105, Inventory!D:D,Inventory!E:E,"No Name Found"))</f>
        <v/>
      </c>
      <c r="D5105" s="6"/>
      <c r="E5105" s="6"/>
      <c r="F5105" s="6"/>
      <c r="G5105" s="24" t="str">
        <f>IF(F5105="", "", VLOOKUP(F5105, Inventory!A:BZ, 3, FALSE) - SUMIF($F$1:$F5104, F5105, $H$1:$H5104))
</f>
        <v/>
      </c>
      <c r="I5105" s="26"/>
      <c r="J5105" s="26" t="s">
        <v>77</v>
      </c>
      <c r="L5105" s="27" t="s">
        <v>77</v>
      </c>
      <c r="N5105" s="28" t="s">
        <v>77</v>
      </c>
      <c r="Q5105" s="30"/>
    </row>
    <row r="5106">
      <c r="B5106" s="6"/>
      <c r="C5106" s="33" t="str">
        <f t="array" ref="C5106">IF(B5106="", "", XLOOKUP(B5106, Inventory!D:D,Inventory!E:E,"No Name Found"))</f>
        <v/>
      </c>
      <c r="D5106" s="6"/>
      <c r="E5106" s="6"/>
      <c r="F5106" s="6"/>
      <c r="G5106" s="24" t="str">
        <f>IF(F5106="", "", VLOOKUP(F5106, Inventory!A:BZ, 3, FALSE) - SUMIF($F$1:$F5105, F5106, $H$1:$H5105))
</f>
        <v/>
      </c>
      <c r="I5106" s="26"/>
      <c r="J5106" s="26" t="s">
        <v>77</v>
      </c>
      <c r="L5106" s="27" t="s">
        <v>77</v>
      </c>
      <c r="N5106" s="28" t="s">
        <v>77</v>
      </c>
      <c r="Q5106" s="30"/>
    </row>
    <row r="5107">
      <c r="B5107" s="6"/>
      <c r="C5107" s="33" t="str">
        <f t="array" ref="C5107">IF(B5107="", "", XLOOKUP(B5107, Inventory!D:D,Inventory!E:E,"No Name Found"))</f>
        <v/>
      </c>
      <c r="D5107" s="6"/>
      <c r="E5107" s="6"/>
      <c r="F5107" s="6"/>
      <c r="G5107" s="24" t="str">
        <f>IF(F5107="", "", VLOOKUP(F5107, Inventory!A:BZ, 3, FALSE) - SUMIF($F$1:$F5106, F5107, $H$1:$H5106))
</f>
        <v/>
      </c>
      <c r="I5107" s="26"/>
      <c r="J5107" s="26" t="s">
        <v>77</v>
      </c>
      <c r="L5107" s="27" t="s">
        <v>77</v>
      </c>
      <c r="N5107" s="28" t="s">
        <v>77</v>
      </c>
      <c r="Q5107" s="30"/>
    </row>
    <row r="5108">
      <c r="B5108" s="6"/>
      <c r="C5108" s="33" t="str">
        <f t="array" ref="C5108">IF(B5108="", "", XLOOKUP(B5108, Inventory!D:D,Inventory!E:E,"No Name Found"))</f>
        <v/>
      </c>
      <c r="D5108" s="6"/>
      <c r="E5108" s="6"/>
      <c r="F5108" s="6"/>
      <c r="G5108" s="24" t="str">
        <f>IF(F5108="", "", VLOOKUP(F5108, Inventory!A:BZ, 3, FALSE) - SUMIF($F$1:$F5107, F5108, $H$1:$H5107))
</f>
        <v/>
      </c>
      <c r="I5108" s="26"/>
      <c r="J5108" s="26" t="s">
        <v>77</v>
      </c>
      <c r="L5108" s="27" t="s">
        <v>77</v>
      </c>
      <c r="N5108" s="28" t="s">
        <v>77</v>
      </c>
      <c r="Q5108" s="30"/>
    </row>
    <row r="5109">
      <c r="B5109" s="6"/>
      <c r="C5109" s="33" t="str">
        <f t="array" ref="C5109">IF(B5109="", "", XLOOKUP(B5109, Inventory!D:D,Inventory!E:E,"No Name Found"))</f>
        <v/>
      </c>
      <c r="D5109" s="6"/>
      <c r="E5109" s="6"/>
      <c r="F5109" s="6"/>
      <c r="G5109" s="24" t="str">
        <f>IF(F5109="", "", VLOOKUP(F5109, Inventory!A:BZ, 3, FALSE) - SUMIF($F$1:$F5108, F5109, $H$1:$H5108))
</f>
        <v/>
      </c>
      <c r="I5109" s="26"/>
      <c r="J5109" s="26" t="s">
        <v>77</v>
      </c>
      <c r="L5109" s="27" t="s">
        <v>77</v>
      </c>
      <c r="N5109" s="28" t="s">
        <v>77</v>
      </c>
      <c r="Q5109" s="30"/>
    </row>
    <row r="5110">
      <c r="B5110" s="6"/>
      <c r="C5110" s="33" t="str">
        <f t="array" ref="C5110">IF(B5110="", "", XLOOKUP(B5110, Inventory!D:D,Inventory!E:E,"No Name Found"))</f>
        <v/>
      </c>
      <c r="D5110" s="6"/>
      <c r="E5110" s="6"/>
      <c r="F5110" s="6"/>
      <c r="G5110" s="24" t="str">
        <f>IF(F5110="", "", VLOOKUP(F5110, Inventory!A:BZ, 3, FALSE) - SUMIF($F$1:$F5109, F5110, $H$1:$H5109))
</f>
        <v/>
      </c>
      <c r="I5110" s="26"/>
      <c r="J5110" s="26" t="s">
        <v>77</v>
      </c>
      <c r="L5110" s="27" t="s">
        <v>77</v>
      </c>
      <c r="N5110" s="28" t="s">
        <v>77</v>
      </c>
      <c r="Q5110" s="30"/>
    </row>
    <row r="5111">
      <c r="B5111" s="6"/>
      <c r="C5111" s="33" t="str">
        <f t="array" ref="C5111">IF(B5111="", "", XLOOKUP(B5111, Inventory!D:D,Inventory!E:E,"No Name Found"))</f>
        <v/>
      </c>
      <c r="D5111" s="6"/>
      <c r="E5111" s="6"/>
      <c r="F5111" s="6"/>
      <c r="G5111" s="24" t="str">
        <f>IF(F5111="", "", VLOOKUP(F5111, Inventory!A:BZ, 3, FALSE) - SUMIF($F$1:$F5110, F5111, $H$1:$H5110))
</f>
        <v/>
      </c>
      <c r="I5111" s="26"/>
      <c r="J5111" s="26" t="s">
        <v>77</v>
      </c>
      <c r="L5111" s="27" t="s">
        <v>77</v>
      </c>
      <c r="N5111" s="28" t="s">
        <v>77</v>
      </c>
      <c r="Q5111" s="30"/>
    </row>
    <row r="5112">
      <c r="B5112" s="6"/>
      <c r="C5112" s="33" t="str">
        <f t="array" ref="C5112">IF(B5112="", "", XLOOKUP(B5112, Inventory!D:D,Inventory!E:E,"No Name Found"))</f>
        <v/>
      </c>
      <c r="D5112" s="6"/>
      <c r="E5112" s="6"/>
      <c r="F5112" s="6"/>
      <c r="G5112" s="24" t="str">
        <f>IF(F5112="", "", VLOOKUP(F5112, Inventory!A:BZ, 3, FALSE) - SUMIF($F$1:$F5111, F5112, $H$1:$H5111))
</f>
        <v/>
      </c>
      <c r="I5112" s="26"/>
      <c r="J5112" s="26" t="s">
        <v>77</v>
      </c>
      <c r="L5112" s="27" t="s">
        <v>77</v>
      </c>
      <c r="N5112" s="28" t="s">
        <v>77</v>
      </c>
      <c r="Q5112" s="30"/>
    </row>
    <row r="5113">
      <c r="B5113" s="6"/>
      <c r="C5113" s="33" t="str">
        <f t="array" ref="C5113">IF(B5113="", "", XLOOKUP(B5113, Inventory!D:D,Inventory!E:E,"No Name Found"))</f>
        <v/>
      </c>
      <c r="D5113" s="6"/>
      <c r="E5113" s="6"/>
      <c r="F5113" s="6"/>
      <c r="G5113" s="24" t="str">
        <f>IF(F5113="", "", VLOOKUP(F5113, Inventory!A:BZ, 3, FALSE) - SUMIF($F$1:$F5112, F5113, $H$1:$H5112))
</f>
        <v/>
      </c>
      <c r="I5113" s="26"/>
      <c r="J5113" s="26" t="s">
        <v>77</v>
      </c>
      <c r="L5113" s="27" t="s">
        <v>77</v>
      </c>
      <c r="N5113" s="28" t="s">
        <v>77</v>
      </c>
      <c r="Q5113" s="30"/>
    </row>
    <row r="5114">
      <c r="B5114" s="6"/>
      <c r="C5114" s="33" t="str">
        <f t="array" ref="C5114">IF(B5114="", "", XLOOKUP(B5114, Inventory!D:D,Inventory!E:E,"No Name Found"))</f>
        <v/>
      </c>
      <c r="D5114" s="6"/>
      <c r="E5114" s="6"/>
      <c r="F5114" s="6"/>
      <c r="G5114" s="24" t="str">
        <f>IF(F5114="", "", VLOOKUP(F5114, Inventory!A:BZ, 3, FALSE) - SUMIF($F$1:$F5113, F5114, $H$1:$H5113))
</f>
        <v/>
      </c>
      <c r="I5114" s="26"/>
      <c r="J5114" s="26" t="s">
        <v>77</v>
      </c>
      <c r="L5114" s="27" t="s">
        <v>77</v>
      </c>
      <c r="N5114" s="28" t="s">
        <v>77</v>
      </c>
      <c r="Q5114" s="30"/>
    </row>
    <row r="5115">
      <c r="B5115" s="6"/>
      <c r="C5115" s="33" t="str">
        <f t="array" ref="C5115">IF(B5115="", "", XLOOKUP(B5115, Inventory!D:D,Inventory!E:E,"No Name Found"))</f>
        <v/>
      </c>
      <c r="D5115" s="6"/>
      <c r="E5115" s="6"/>
      <c r="F5115" s="6"/>
      <c r="G5115" s="24" t="str">
        <f>IF(F5115="", "", VLOOKUP(F5115, Inventory!A:BZ, 3, FALSE) - SUMIF($F$1:$F5114, F5115, $H$1:$H5114))
</f>
        <v/>
      </c>
      <c r="I5115" s="26"/>
      <c r="J5115" s="26" t="s">
        <v>77</v>
      </c>
      <c r="L5115" s="27" t="s">
        <v>77</v>
      </c>
      <c r="N5115" s="28" t="s">
        <v>77</v>
      </c>
      <c r="Q5115" s="30"/>
    </row>
    <row r="5116">
      <c r="B5116" s="6"/>
      <c r="C5116" s="33" t="str">
        <f t="array" ref="C5116">IF(B5116="", "", XLOOKUP(B5116, Inventory!D:D,Inventory!E:E,"No Name Found"))</f>
        <v/>
      </c>
      <c r="D5116" s="6"/>
      <c r="E5116" s="6"/>
      <c r="F5116" s="6"/>
      <c r="G5116" s="24" t="str">
        <f>IF(F5116="", "", VLOOKUP(F5116, Inventory!A:BZ, 3, FALSE) - SUMIF($F$1:$F5115, F5116, $H$1:$H5115))
</f>
        <v/>
      </c>
      <c r="I5116" s="26"/>
      <c r="J5116" s="26" t="s">
        <v>77</v>
      </c>
      <c r="L5116" s="27" t="s">
        <v>77</v>
      </c>
      <c r="N5116" s="28" t="s">
        <v>77</v>
      </c>
      <c r="Q5116" s="30"/>
    </row>
    <row r="5117">
      <c r="B5117" s="6"/>
      <c r="C5117" s="33" t="str">
        <f t="array" ref="C5117">IF(B5117="", "", XLOOKUP(B5117, Inventory!D:D,Inventory!E:E,"No Name Found"))</f>
        <v/>
      </c>
      <c r="D5117" s="6"/>
      <c r="E5117" s="6"/>
      <c r="F5117" s="6"/>
      <c r="G5117" s="24" t="str">
        <f>IF(F5117="", "", VLOOKUP(F5117, Inventory!A:BZ, 3, FALSE) - SUMIF($F$1:$F5116, F5117, $H$1:$H5116))
</f>
        <v/>
      </c>
      <c r="I5117" s="26"/>
      <c r="J5117" s="26" t="s">
        <v>77</v>
      </c>
      <c r="L5117" s="27" t="s">
        <v>77</v>
      </c>
      <c r="N5117" s="28" t="s">
        <v>77</v>
      </c>
      <c r="Q5117" s="30"/>
    </row>
    <row r="5118">
      <c r="B5118" s="6"/>
      <c r="C5118" s="33" t="str">
        <f t="array" ref="C5118">IF(B5118="", "", XLOOKUP(B5118, Inventory!D:D,Inventory!E:E,"No Name Found"))</f>
        <v/>
      </c>
      <c r="D5118" s="6"/>
      <c r="E5118" s="6"/>
      <c r="F5118" s="6"/>
      <c r="G5118" s="24" t="str">
        <f>IF(F5118="", "", VLOOKUP(F5118, Inventory!A:BZ, 3, FALSE) - SUMIF($F$1:$F5117, F5118, $H$1:$H5117))
</f>
        <v/>
      </c>
      <c r="I5118" s="26"/>
      <c r="J5118" s="26" t="s">
        <v>77</v>
      </c>
      <c r="L5118" s="27" t="s">
        <v>77</v>
      </c>
      <c r="N5118" s="28" t="s">
        <v>77</v>
      </c>
      <c r="Q5118" s="30"/>
    </row>
    <row r="5119">
      <c r="B5119" s="6"/>
      <c r="C5119" s="33" t="str">
        <f t="array" ref="C5119">IF(B5119="", "", XLOOKUP(B5119, Inventory!D:D,Inventory!E:E,"No Name Found"))</f>
        <v/>
      </c>
      <c r="D5119" s="6"/>
      <c r="E5119" s="6"/>
      <c r="F5119" s="6"/>
      <c r="G5119" s="24" t="str">
        <f>IF(F5119="", "", VLOOKUP(F5119, Inventory!A:BZ, 3, FALSE) - SUMIF($F$1:$F5118, F5119, $H$1:$H5118))
</f>
        <v/>
      </c>
      <c r="I5119" s="26"/>
      <c r="J5119" s="26" t="s">
        <v>77</v>
      </c>
      <c r="L5119" s="27" t="s">
        <v>77</v>
      </c>
      <c r="N5119" s="28" t="s">
        <v>77</v>
      </c>
      <c r="Q5119" s="30"/>
    </row>
    <row r="5120">
      <c r="B5120" s="6"/>
      <c r="C5120" s="33" t="str">
        <f t="array" ref="C5120">IF(B5120="", "", XLOOKUP(B5120, Inventory!D:D,Inventory!E:E,"No Name Found"))</f>
        <v/>
      </c>
      <c r="D5120" s="6"/>
      <c r="E5120" s="6"/>
      <c r="F5120" s="6"/>
      <c r="G5120" s="24" t="str">
        <f>IF(F5120="", "", VLOOKUP(F5120, Inventory!A:BZ, 3, FALSE) - SUMIF($F$1:$F5119, F5120, $H$1:$H5119))
</f>
        <v/>
      </c>
      <c r="I5120" s="26"/>
      <c r="J5120" s="26" t="s">
        <v>77</v>
      </c>
      <c r="L5120" s="27" t="s">
        <v>77</v>
      </c>
      <c r="N5120" s="28" t="s">
        <v>77</v>
      </c>
      <c r="Q5120" s="30"/>
    </row>
    <row r="5121">
      <c r="B5121" s="6"/>
      <c r="C5121" s="33" t="str">
        <f t="array" ref="C5121">IF(B5121="", "", XLOOKUP(B5121, Inventory!D:D,Inventory!E:E,"No Name Found"))</f>
        <v/>
      </c>
      <c r="D5121" s="6"/>
      <c r="E5121" s="6"/>
      <c r="F5121" s="6"/>
      <c r="G5121" s="24" t="str">
        <f>IF(F5121="", "", VLOOKUP(F5121, Inventory!A:BZ, 3, FALSE) - SUMIF($F$1:$F5120, F5121, $H$1:$H5120))
</f>
        <v/>
      </c>
      <c r="I5121" s="26"/>
      <c r="J5121" s="26" t="s">
        <v>77</v>
      </c>
      <c r="L5121" s="27" t="s">
        <v>77</v>
      </c>
      <c r="N5121" s="28" t="s">
        <v>77</v>
      </c>
      <c r="Q5121" s="30"/>
    </row>
    <row r="5122">
      <c r="B5122" s="6"/>
      <c r="C5122" s="33" t="str">
        <f t="array" ref="C5122">IF(B5122="", "", XLOOKUP(B5122, Inventory!D:D,Inventory!E:E,"No Name Found"))</f>
        <v/>
      </c>
      <c r="D5122" s="6"/>
      <c r="E5122" s="6"/>
      <c r="F5122" s="6"/>
      <c r="G5122" s="24" t="str">
        <f>IF(F5122="", "", VLOOKUP(F5122, Inventory!A:BZ, 3, FALSE) - SUMIF($F$1:$F5121, F5122, $H$1:$H5121))
</f>
        <v/>
      </c>
      <c r="I5122" s="26"/>
      <c r="J5122" s="26" t="s">
        <v>77</v>
      </c>
      <c r="L5122" s="27" t="s">
        <v>77</v>
      </c>
      <c r="N5122" s="28" t="s">
        <v>77</v>
      </c>
      <c r="Q5122" s="30"/>
    </row>
    <row r="5123">
      <c r="B5123" s="6"/>
      <c r="C5123" s="33" t="str">
        <f t="array" ref="C5123">IF(B5123="", "", XLOOKUP(B5123, Inventory!D:D,Inventory!E:E,"No Name Found"))</f>
        <v/>
      </c>
      <c r="D5123" s="6"/>
      <c r="E5123" s="6"/>
      <c r="F5123" s="6"/>
      <c r="G5123" s="24" t="str">
        <f>IF(F5123="", "", VLOOKUP(F5123, Inventory!A:BZ, 3, FALSE) - SUMIF($F$1:$F5122, F5123, $H$1:$H5122))
</f>
        <v/>
      </c>
      <c r="I5123" s="26"/>
      <c r="J5123" s="26" t="s">
        <v>77</v>
      </c>
      <c r="L5123" s="27" t="s">
        <v>77</v>
      </c>
      <c r="N5123" s="28" t="s">
        <v>77</v>
      </c>
      <c r="Q5123" s="30"/>
    </row>
    <row r="5124">
      <c r="B5124" s="6"/>
      <c r="C5124" s="33" t="str">
        <f t="array" ref="C5124">IF(B5124="", "", XLOOKUP(B5124, Inventory!D:D,Inventory!E:E,"No Name Found"))</f>
        <v/>
      </c>
      <c r="D5124" s="6"/>
      <c r="E5124" s="6"/>
      <c r="F5124" s="6"/>
      <c r="G5124" s="24" t="str">
        <f>IF(F5124="", "", VLOOKUP(F5124, Inventory!A:BZ, 3, FALSE) - SUMIF($F$1:$F5123, F5124, $H$1:$H5123))
</f>
        <v/>
      </c>
      <c r="I5124" s="26"/>
      <c r="J5124" s="26" t="s">
        <v>77</v>
      </c>
      <c r="L5124" s="27" t="s">
        <v>77</v>
      </c>
      <c r="N5124" s="28" t="s">
        <v>77</v>
      </c>
      <c r="Q5124" s="30"/>
    </row>
    <row r="5125">
      <c r="B5125" s="6"/>
      <c r="C5125" s="33" t="str">
        <f t="array" ref="C5125">IF(B5125="", "", XLOOKUP(B5125, Inventory!D:D,Inventory!E:E,"No Name Found"))</f>
        <v/>
      </c>
      <c r="D5125" s="6"/>
      <c r="E5125" s="6"/>
      <c r="F5125" s="6"/>
      <c r="G5125" s="24" t="str">
        <f>IF(F5125="", "", VLOOKUP(F5125, Inventory!A:BZ, 3, FALSE) - SUMIF($F$1:$F5124, F5125, $H$1:$H5124))
</f>
        <v/>
      </c>
      <c r="I5125" s="26"/>
      <c r="J5125" s="26" t="s">
        <v>77</v>
      </c>
      <c r="L5125" s="27" t="s">
        <v>77</v>
      </c>
      <c r="N5125" s="28" t="s">
        <v>77</v>
      </c>
      <c r="Q5125" s="30"/>
    </row>
    <row r="5126">
      <c r="B5126" s="6"/>
      <c r="C5126" s="33" t="str">
        <f t="array" ref="C5126">IF(B5126="", "", XLOOKUP(B5126, Inventory!D:D,Inventory!E:E,"No Name Found"))</f>
        <v/>
      </c>
      <c r="D5126" s="6"/>
      <c r="E5126" s="6"/>
      <c r="F5126" s="6"/>
      <c r="G5126" s="24" t="str">
        <f>IF(F5126="", "", VLOOKUP(F5126, Inventory!A:BZ, 3, FALSE) - SUMIF($F$1:$F5125, F5126, $H$1:$H5125))
</f>
        <v/>
      </c>
      <c r="I5126" s="26"/>
      <c r="J5126" s="26" t="s">
        <v>77</v>
      </c>
      <c r="L5126" s="27" t="s">
        <v>77</v>
      </c>
      <c r="N5126" s="28" t="s">
        <v>77</v>
      </c>
      <c r="Q5126" s="30"/>
    </row>
    <row r="5127">
      <c r="B5127" s="6"/>
      <c r="C5127" s="33" t="str">
        <f t="array" ref="C5127">IF(B5127="", "", XLOOKUP(B5127, Inventory!D:D,Inventory!E:E,"No Name Found"))</f>
        <v/>
      </c>
      <c r="D5127" s="6"/>
      <c r="E5127" s="6"/>
      <c r="F5127" s="6"/>
      <c r="G5127" s="24" t="str">
        <f>IF(F5127="", "", VLOOKUP(F5127, Inventory!A:BZ, 3, FALSE) - SUMIF($F$1:$F5126, F5127, $H$1:$H5126))
</f>
        <v/>
      </c>
      <c r="I5127" s="26"/>
      <c r="J5127" s="26" t="s">
        <v>77</v>
      </c>
      <c r="L5127" s="27" t="s">
        <v>77</v>
      </c>
      <c r="N5127" s="28" t="s">
        <v>77</v>
      </c>
      <c r="Q5127" s="30"/>
    </row>
    <row r="5128">
      <c r="B5128" s="6"/>
      <c r="C5128" s="33" t="str">
        <f t="array" ref="C5128">IF(B5128="", "", XLOOKUP(B5128, Inventory!D:D,Inventory!E:E,"No Name Found"))</f>
        <v/>
      </c>
      <c r="D5128" s="6"/>
      <c r="E5128" s="6"/>
      <c r="F5128" s="6"/>
      <c r="G5128" s="24" t="str">
        <f>IF(F5128="", "", VLOOKUP(F5128, Inventory!A:BZ, 3, FALSE) - SUMIF($F$1:$F5127, F5128, $H$1:$H5127))
</f>
        <v/>
      </c>
      <c r="I5128" s="26"/>
      <c r="J5128" s="26" t="s">
        <v>77</v>
      </c>
      <c r="L5128" s="27" t="s">
        <v>77</v>
      </c>
      <c r="N5128" s="28" t="s">
        <v>77</v>
      </c>
      <c r="Q5128" s="30"/>
    </row>
    <row r="5129">
      <c r="B5129" s="6"/>
      <c r="C5129" s="33" t="str">
        <f t="array" ref="C5129">IF(B5129="", "", XLOOKUP(B5129, Inventory!D:D,Inventory!E:E,"No Name Found"))</f>
        <v/>
      </c>
      <c r="D5129" s="6"/>
      <c r="E5129" s="6"/>
      <c r="F5129" s="6"/>
      <c r="G5129" s="24" t="str">
        <f>IF(F5129="", "", VLOOKUP(F5129, Inventory!A:BZ, 3, FALSE) - SUMIF($F$1:$F5128, F5129, $H$1:$H5128))
</f>
        <v/>
      </c>
      <c r="I5129" s="26"/>
      <c r="J5129" s="26" t="s">
        <v>77</v>
      </c>
      <c r="L5129" s="27" t="s">
        <v>77</v>
      </c>
      <c r="N5129" s="28" t="s">
        <v>77</v>
      </c>
      <c r="Q5129" s="30"/>
    </row>
    <row r="5130">
      <c r="B5130" s="6"/>
      <c r="C5130" s="33" t="str">
        <f t="array" ref="C5130">IF(B5130="", "", XLOOKUP(B5130, Inventory!D:D,Inventory!E:E,"No Name Found"))</f>
        <v/>
      </c>
      <c r="D5130" s="6"/>
      <c r="E5130" s="6"/>
      <c r="F5130" s="6"/>
      <c r="G5130" s="24" t="str">
        <f>IF(F5130="", "", VLOOKUP(F5130, Inventory!A:BZ, 3, FALSE) - SUMIF($F$1:$F5129, F5130, $H$1:$H5129))
</f>
        <v/>
      </c>
      <c r="I5130" s="26"/>
      <c r="J5130" s="26" t="s">
        <v>77</v>
      </c>
      <c r="L5130" s="27" t="s">
        <v>77</v>
      </c>
      <c r="N5130" s="28" t="s">
        <v>77</v>
      </c>
      <c r="Q5130" s="30"/>
    </row>
    <row r="5131">
      <c r="B5131" s="6"/>
      <c r="C5131" s="33" t="str">
        <f t="array" ref="C5131">IF(B5131="", "", XLOOKUP(B5131, Inventory!D:D,Inventory!E:E,"No Name Found"))</f>
        <v/>
      </c>
      <c r="D5131" s="6"/>
      <c r="E5131" s="6"/>
      <c r="F5131" s="6"/>
      <c r="G5131" s="24" t="str">
        <f>IF(F5131="", "", VLOOKUP(F5131, Inventory!A:BZ, 3, FALSE) - SUMIF($F$1:$F5130, F5131, $H$1:$H5130))
</f>
        <v/>
      </c>
      <c r="I5131" s="26"/>
      <c r="J5131" s="26" t="s">
        <v>77</v>
      </c>
      <c r="L5131" s="27" t="s">
        <v>77</v>
      </c>
      <c r="N5131" s="28" t="s">
        <v>77</v>
      </c>
      <c r="Q5131" s="30"/>
    </row>
    <row r="5132">
      <c r="B5132" s="6"/>
      <c r="C5132" s="33" t="str">
        <f t="array" ref="C5132">IF(B5132="", "", XLOOKUP(B5132, Inventory!D:D,Inventory!E:E,"No Name Found"))</f>
        <v/>
      </c>
      <c r="D5132" s="6"/>
      <c r="E5132" s="6"/>
      <c r="F5132" s="6"/>
      <c r="G5132" s="24" t="str">
        <f>IF(F5132="", "", VLOOKUP(F5132, Inventory!A:BZ, 3, FALSE) - SUMIF($F$1:$F5131, F5132, $H$1:$H5131))
</f>
        <v/>
      </c>
      <c r="I5132" s="26"/>
      <c r="J5132" s="26" t="s">
        <v>77</v>
      </c>
      <c r="L5132" s="27" t="s">
        <v>77</v>
      </c>
      <c r="N5132" s="28" t="s">
        <v>77</v>
      </c>
      <c r="Q5132" s="30"/>
    </row>
    <row r="5133">
      <c r="B5133" s="6"/>
      <c r="C5133" s="33" t="str">
        <f t="array" ref="C5133">IF(B5133="", "", XLOOKUP(B5133, Inventory!D:D,Inventory!E:E,"No Name Found"))</f>
        <v/>
      </c>
      <c r="D5133" s="6"/>
      <c r="E5133" s="6"/>
      <c r="F5133" s="6"/>
      <c r="G5133" s="24" t="str">
        <f>IF(F5133="", "", VLOOKUP(F5133, Inventory!A:BZ, 3, FALSE) - SUMIF($F$1:$F5132, F5133, $H$1:$H5132))
</f>
        <v/>
      </c>
      <c r="I5133" s="26"/>
      <c r="J5133" s="26" t="s">
        <v>77</v>
      </c>
      <c r="L5133" s="27" t="s">
        <v>77</v>
      </c>
      <c r="N5133" s="28" t="s">
        <v>77</v>
      </c>
      <c r="Q5133" s="30"/>
    </row>
    <row r="5134">
      <c r="B5134" s="6"/>
      <c r="C5134" s="33" t="str">
        <f t="array" ref="C5134">IF(B5134="", "", XLOOKUP(B5134, Inventory!D:D,Inventory!E:E,"No Name Found"))</f>
        <v/>
      </c>
      <c r="D5134" s="6"/>
      <c r="E5134" s="6"/>
      <c r="F5134" s="6"/>
      <c r="G5134" s="24" t="str">
        <f>IF(F5134="", "", VLOOKUP(F5134, Inventory!A:BZ, 3, FALSE) - SUMIF($F$1:$F5133, F5134, $H$1:$H5133))
</f>
        <v/>
      </c>
      <c r="I5134" s="26"/>
      <c r="J5134" s="26" t="s">
        <v>77</v>
      </c>
      <c r="L5134" s="27" t="s">
        <v>77</v>
      </c>
      <c r="N5134" s="28" t="s">
        <v>77</v>
      </c>
      <c r="Q5134" s="30"/>
    </row>
    <row r="5135">
      <c r="B5135" s="6"/>
      <c r="C5135" s="33" t="str">
        <f t="array" ref="C5135">IF(B5135="", "", XLOOKUP(B5135, Inventory!D:D,Inventory!E:E,"No Name Found"))</f>
        <v/>
      </c>
      <c r="D5135" s="6"/>
      <c r="E5135" s="6"/>
      <c r="F5135" s="6"/>
      <c r="G5135" s="24" t="str">
        <f>IF(F5135="", "", VLOOKUP(F5135, Inventory!A:BZ, 3, FALSE) - SUMIF($F$1:$F5134, F5135, $H$1:$H5134))
</f>
        <v/>
      </c>
      <c r="I5135" s="26"/>
      <c r="J5135" s="26" t="s">
        <v>77</v>
      </c>
      <c r="L5135" s="27" t="s">
        <v>77</v>
      </c>
      <c r="N5135" s="28" t="s">
        <v>77</v>
      </c>
      <c r="Q5135" s="30"/>
    </row>
    <row r="5136">
      <c r="B5136" s="6"/>
      <c r="C5136" s="33" t="str">
        <f t="array" ref="C5136">IF(B5136="", "", XLOOKUP(B5136, Inventory!D:D,Inventory!E:E,"No Name Found"))</f>
        <v/>
      </c>
      <c r="D5136" s="6"/>
      <c r="E5136" s="6"/>
      <c r="F5136" s="6"/>
      <c r="G5136" s="24" t="str">
        <f>IF(F5136="", "", VLOOKUP(F5136, Inventory!A:BZ, 3, FALSE) - SUMIF($F$1:$F5135, F5136, $H$1:$H5135))
</f>
        <v/>
      </c>
      <c r="I5136" s="26"/>
      <c r="J5136" s="26" t="s">
        <v>77</v>
      </c>
      <c r="L5136" s="27" t="s">
        <v>77</v>
      </c>
      <c r="N5136" s="28" t="s">
        <v>77</v>
      </c>
      <c r="Q5136" s="30"/>
    </row>
    <row r="5137">
      <c r="B5137" s="6"/>
      <c r="C5137" s="33" t="str">
        <f t="array" ref="C5137">IF(B5137="", "", XLOOKUP(B5137, Inventory!D:D,Inventory!E:E,"No Name Found"))</f>
        <v/>
      </c>
      <c r="D5137" s="6"/>
      <c r="E5137" s="6"/>
      <c r="F5137" s="6"/>
      <c r="G5137" s="24" t="str">
        <f>IF(F5137="", "", VLOOKUP(F5137, Inventory!A:BZ, 3, FALSE) - SUMIF($F$1:$F5136, F5137, $H$1:$H5136))
</f>
        <v/>
      </c>
      <c r="I5137" s="26"/>
      <c r="J5137" s="26" t="s">
        <v>77</v>
      </c>
      <c r="L5137" s="27" t="s">
        <v>77</v>
      </c>
      <c r="N5137" s="28" t="s">
        <v>77</v>
      </c>
      <c r="Q5137" s="30"/>
    </row>
    <row r="5138">
      <c r="B5138" s="6"/>
      <c r="C5138" s="33" t="str">
        <f t="array" ref="C5138">IF(B5138="", "", XLOOKUP(B5138, Inventory!D:D,Inventory!E:E,"No Name Found"))</f>
        <v/>
      </c>
      <c r="D5138" s="6"/>
      <c r="E5138" s="6"/>
      <c r="F5138" s="6"/>
      <c r="G5138" s="24" t="str">
        <f>IF(F5138="", "", VLOOKUP(F5138, Inventory!A:BZ, 3, FALSE) - SUMIF($F$1:$F5137, F5138, $H$1:$H5137))
</f>
        <v/>
      </c>
      <c r="I5138" s="26"/>
      <c r="J5138" s="26" t="s">
        <v>77</v>
      </c>
      <c r="L5138" s="27" t="s">
        <v>77</v>
      </c>
      <c r="N5138" s="28" t="s">
        <v>77</v>
      </c>
      <c r="Q5138" s="30"/>
    </row>
    <row r="5139">
      <c r="B5139" s="6"/>
      <c r="C5139" s="33" t="str">
        <f t="array" ref="C5139">IF(B5139="", "", XLOOKUP(B5139, Inventory!D:D,Inventory!E:E,"No Name Found"))</f>
        <v/>
      </c>
      <c r="D5139" s="6"/>
      <c r="E5139" s="6"/>
      <c r="F5139" s="6"/>
      <c r="G5139" s="24" t="str">
        <f>IF(F5139="", "", VLOOKUP(F5139, Inventory!A:BZ, 3, FALSE) - SUMIF($F$1:$F5138, F5139, $H$1:$H5138))
</f>
        <v/>
      </c>
      <c r="I5139" s="26"/>
      <c r="J5139" s="26" t="s">
        <v>77</v>
      </c>
      <c r="L5139" s="27" t="s">
        <v>77</v>
      </c>
      <c r="N5139" s="28" t="s">
        <v>77</v>
      </c>
      <c r="Q5139" s="30"/>
    </row>
    <row r="5140">
      <c r="B5140" s="6"/>
      <c r="C5140" s="33" t="str">
        <f t="array" ref="C5140">IF(B5140="", "", XLOOKUP(B5140, Inventory!D:D,Inventory!E:E,"No Name Found"))</f>
        <v/>
      </c>
      <c r="D5140" s="6"/>
      <c r="E5140" s="6"/>
      <c r="F5140" s="6"/>
      <c r="G5140" s="24" t="str">
        <f>IF(F5140="", "", VLOOKUP(F5140, Inventory!A:BZ, 3, FALSE) - SUMIF($F$1:$F5139, F5140, $H$1:$H5139))
</f>
        <v/>
      </c>
      <c r="I5140" s="26"/>
      <c r="J5140" s="26" t="s">
        <v>77</v>
      </c>
      <c r="L5140" s="27" t="s">
        <v>77</v>
      </c>
      <c r="N5140" s="28" t="s">
        <v>77</v>
      </c>
      <c r="Q5140" s="30"/>
    </row>
    <row r="5141">
      <c r="B5141" s="6"/>
      <c r="C5141" s="33" t="str">
        <f t="array" ref="C5141">IF(B5141="", "", XLOOKUP(B5141, Inventory!D:D,Inventory!E:E,"No Name Found"))</f>
        <v/>
      </c>
      <c r="D5141" s="6"/>
      <c r="E5141" s="6"/>
      <c r="F5141" s="6"/>
      <c r="G5141" s="24" t="str">
        <f>IF(F5141="", "", VLOOKUP(F5141, Inventory!A:BZ, 3, FALSE) - SUMIF($F$1:$F5140, F5141, $H$1:$H5140))
</f>
        <v/>
      </c>
      <c r="I5141" s="26"/>
      <c r="J5141" s="26" t="s">
        <v>77</v>
      </c>
      <c r="L5141" s="27" t="s">
        <v>77</v>
      </c>
      <c r="N5141" s="28" t="s">
        <v>77</v>
      </c>
      <c r="Q5141" s="30"/>
    </row>
    <row r="5142">
      <c r="B5142" s="6"/>
      <c r="C5142" s="33" t="str">
        <f t="array" ref="C5142">IF(B5142="", "", XLOOKUP(B5142, Inventory!D:D,Inventory!E:E,"No Name Found"))</f>
        <v/>
      </c>
      <c r="D5142" s="6"/>
      <c r="E5142" s="6"/>
      <c r="F5142" s="6"/>
      <c r="G5142" s="24" t="str">
        <f>IF(F5142="", "", VLOOKUP(F5142, Inventory!A:BZ, 3, FALSE) - SUMIF($F$1:$F5141, F5142, $H$1:$H5141))
</f>
        <v/>
      </c>
      <c r="I5142" s="26"/>
      <c r="J5142" s="26" t="s">
        <v>77</v>
      </c>
      <c r="L5142" s="27" t="s">
        <v>77</v>
      </c>
      <c r="N5142" s="28" t="s">
        <v>77</v>
      </c>
      <c r="Q5142" s="30"/>
    </row>
    <row r="5143">
      <c r="B5143" s="6"/>
      <c r="C5143" s="33" t="str">
        <f t="array" ref="C5143">IF(B5143="", "", XLOOKUP(B5143, Inventory!D:D,Inventory!E:E,"No Name Found"))</f>
        <v/>
      </c>
      <c r="D5143" s="6"/>
      <c r="E5143" s="6"/>
      <c r="F5143" s="6"/>
      <c r="G5143" s="24" t="str">
        <f>IF(F5143="", "", VLOOKUP(F5143, Inventory!A:BZ, 3, FALSE) - SUMIF($F$1:$F5142, F5143, $H$1:$H5142))
</f>
        <v/>
      </c>
      <c r="I5143" s="26"/>
      <c r="J5143" s="26" t="s">
        <v>77</v>
      </c>
      <c r="L5143" s="27" t="s">
        <v>77</v>
      </c>
      <c r="N5143" s="28" t="s">
        <v>77</v>
      </c>
      <c r="Q5143" s="30"/>
    </row>
    <row r="5144">
      <c r="B5144" s="6"/>
      <c r="C5144" s="33" t="str">
        <f t="array" ref="C5144">IF(B5144="", "", XLOOKUP(B5144, Inventory!D:D,Inventory!E:E,"No Name Found"))</f>
        <v/>
      </c>
      <c r="D5144" s="6"/>
      <c r="E5144" s="6"/>
      <c r="F5144" s="6"/>
      <c r="G5144" s="24" t="str">
        <f>IF(F5144="", "", VLOOKUP(F5144, Inventory!A:BZ, 3, FALSE) - SUMIF($F$1:$F5143, F5144, $H$1:$H5143))
</f>
        <v/>
      </c>
      <c r="I5144" s="26"/>
      <c r="J5144" s="26" t="s">
        <v>77</v>
      </c>
      <c r="L5144" s="27" t="s">
        <v>77</v>
      </c>
      <c r="N5144" s="28" t="s">
        <v>77</v>
      </c>
      <c r="Q5144" s="30"/>
    </row>
    <row r="5145">
      <c r="B5145" s="6"/>
      <c r="C5145" s="33" t="str">
        <f t="array" ref="C5145">IF(B5145="", "", XLOOKUP(B5145, Inventory!D:D,Inventory!E:E,"No Name Found"))</f>
        <v/>
      </c>
      <c r="D5145" s="6"/>
      <c r="E5145" s="6"/>
      <c r="F5145" s="6"/>
      <c r="G5145" s="24" t="str">
        <f>IF(F5145="", "", VLOOKUP(F5145, Inventory!A:BZ, 3, FALSE) - SUMIF($F$1:$F5144, F5145, $H$1:$H5144))
</f>
        <v/>
      </c>
      <c r="I5145" s="26"/>
      <c r="J5145" s="26" t="s">
        <v>77</v>
      </c>
      <c r="L5145" s="27" t="s">
        <v>77</v>
      </c>
      <c r="N5145" s="28" t="s">
        <v>77</v>
      </c>
      <c r="Q5145" s="30"/>
    </row>
    <row r="5146">
      <c r="B5146" s="6"/>
      <c r="C5146" s="33" t="str">
        <f t="array" ref="C5146">IF(B5146="", "", XLOOKUP(B5146, Inventory!D:D,Inventory!E:E,"No Name Found"))</f>
        <v/>
      </c>
      <c r="D5146" s="6"/>
      <c r="E5146" s="6"/>
      <c r="F5146" s="6"/>
      <c r="G5146" s="24" t="str">
        <f>IF(F5146="", "", VLOOKUP(F5146, Inventory!A:BZ, 3, FALSE) - SUMIF($F$1:$F5145, F5146, $H$1:$H5145))
</f>
        <v/>
      </c>
      <c r="I5146" s="26"/>
      <c r="J5146" s="26" t="s">
        <v>77</v>
      </c>
      <c r="L5146" s="27" t="s">
        <v>77</v>
      </c>
      <c r="N5146" s="28" t="s">
        <v>77</v>
      </c>
      <c r="Q5146" s="30"/>
    </row>
    <row r="5147">
      <c r="B5147" s="6"/>
      <c r="C5147" s="33" t="str">
        <f t="array" ref="C5147">IF(B5147="", "", XLOOKUP(B5147, Inventory!D:D,Inventory!E:E,"No Name Found"))</f>
        <v/>
      </c>
      <c r="D5147" s="6"/>
      <c r="E5147" s="6"/>
      <c r="F5147" s="6"/>
      <c r="G5147" s="24" t="str">
        <f>IF(F5147="", "", VLOOKUP(F5147, Inventory!A:BZ, 3, FALSE) - SUMIF($F$1:$F5146, F5147, $H$1:$H5146))
</f>
        <v/>
      </c>
      <c r="I5147" s="26"/>
      <c r="J5147" s="26" t="s">
        <v>77</v>
      </c>
      <c r="L5147" s="27" t="s">
        <v>77</v>
      </c>
      <c r="N5147" s="28" t="s">
        <v>77</v>
      </c>
      <c r="Q5147" s="30"/>
    </row>
    <row r="5148">
      <c r="B5148" s="6"/>
      <c r="C5148" s="33" t="str">
        <f t="array" ref="C5148">IF(B5148="", "", XLOOKUP(B5148, Inventory!D:D,Inventory!E:E,"No Name Found"))</f>
        <v/>
      </c>
      <c r="D5148" s="6"/>
      <c r="E5148" s="6"/>
      <c r="F5148" s="6"/>
      <c r="G5148" s="24" t="str">
        <f>IF(F5148="", "", VLOOKUP(F5148, Inventory!A:BZ, 3, FALSE) - SUMIF($F$1:$F5147, F5148, $H$1:$H5147))
</f>
        <v/>
      </c>
      <c r="I5148" s="26"/>
      <c r="J5148" s="26" t="s">
        <v>77</v>
      </c>
      <c r="L5148" s="27" t="s">
        <v>77</v>
      </c>
      <c r="N5148" s="28" t="s">
        <v>77</v>
      </c>
      <c r="Q5148" s="30"/>
    </row>
    <row r="5149">
      <c r="B5149" s="6"/>
      <c r="C5149" s="33" t="str">
        <f t="array" ref="C5149">IF(B5149="", "", XLOOKUP(B5149, Inventory!D:D,Inventory!E:E,"No Name Found"))</f>
        <v/>
      </c>
      <c r="D5149" s="6"/>
      <c r="E5149" s="6"/>
      <c r="F5149" s="6"/>
      <c r="G5149" s="24" t="str">
        <f>IF(F5149="", "", VLOOKUP(F5149, Inventory!A:BZ, 3, FALSE) - SUMIF($F$1:$F5148, F5149, $H$1:$H5148))
</f>
        <v/>
      </c>
      <c r="I5149" s="26"/>
      <c r="J5149" s="26" t="s">
        <v>77</v>
      </c>
      <c r="L5149" s="27" t="s">
        <v>77</v>
      </c>
      <c r="N5149" s="28" t="s">
        <v>77</v>
      </c>
      <c r="Q5149" s="30"/>
    </row>
    <row r="5150">
      <c r="B5150" s="6"/>
      <c r="C5150" s="33" t="str">
        <f t="array" ref="C5150">IF(B5150="", "", XLOOKUP(B5150, Inventory!D:D,Inventory!E:E,"No Name Found"))</f>
        <v/>
      </c>
      <c r="D5150" s="6"/>
      <c r="E5150" s="6"/>
      <c r="F5150" s="6"/>
      <c r="G5150" s="24" t="str">
        <f>IF(F5150="", "", VLOOKUP(F5150, Inventory!A:BZ, 3, FALSE) - SUMIF($F$1:$F5149, F5150, $H$1:$H5149))
</f>
        <v/>
      </c>
      <c r="I5150" s="26"/>
      <c r="J5150" s="26" t="s">
        <v>77</v>
      </c>
      <c r="L5150" s="27" t="s">
        <v>77</v>
      </c>
      <c r="N5150" s="28" t="s">
        <v>77</v>
      </c>
      <c r="Q5150" s="30"/>
    </row>
    <row r="5151">
      <c r="B5151" s="6"/>
      <c r="C5151" s="33" t="str">
        <f t="array" ref="C5151">IF(B5151="", "", XLOOKUP(B5151, Inventory!D:D,Inventory!E:E,"No Name Found"))</f>
        <v/>
      </c>
      <c r="D5151" s="6"/>
      <c r="E5151" s="6"/>
      <c r="F5151" s="6"/>
      <c r="G5151" s="24" t="str">
        <f>IF(F5151="", "", VLOOKUP(F5151, Inventory!A:BZ, 3, FALSE) - SUMIF($F$1:$F5150, F5151, $H$1:$H5150))
</f>
        <v/>
      </c>
      <c r="I5151" s="26"/>
      <c r="J5151" s="26" t="s">
        <v>77</v>
      </c>
      <c r="L5151" s="27" t="s">
        <v>77</v>
      </c>
      <c r="N5151" s="28" t="s">
        <v>77</v>
      </c>
      <c r="Q5151" s="30"/>
    </row>
    <row r="5152">
      <c r="B5152" s="6"/>
      <c r="C5152" s="33" t="str">
        <f t="array" ref="C5152">IF(B5152="", "", XLOOKUP(B5152, Inventory!D:D,Inventory!E:E,"No Name Found"))</f>
        <v/>
      </c>
      <c r="D5152" s="6"/>
      <c r="E5152" s="6"/>
      <c r="F5152" s="6"/>
      <c r="G5152" s="24" t="str">
        <f>IF(F5152="", "", VLOOKUP(F5152, Inventory!A:BZ, 3, FALSE) - SUMIF($F$1:$F5151, F5152, $H$1:$H5151))
</f>
        <v/>
      </c>
      <c r="I5152" s="26"/>
      <c r="J5152" s="26" t="s">
        <v>77</v>
      </c>
      <c r="L5152" s="27" t="s">
        <v>77</v>
      </c>
      <c r="N5152" s="28" t="s">
        <v>77</v>
      </c>
      <c r="Q5152" s="30"/>
    </row>
    <row r="5153">
      <c r="B5153" s="6"/>
      <c r="C5153" s="33" t="str">
        <f t="array" ref="C5153">IF(B5153="", "", XLOOKUP(B5153, Inventory!D:D,Inventory!E:E,"No Name Found"))</f>
        <v/>
      </c>
      <c r="D5153" s="6"/>
      <c r="E5153" s="6"/>
      <c r="F5153" s="6"/>
      <c r="G5153" s="24" t="str">
        <f>IF(F5153="", "", VLOOKUP(F5153, Inventory!A:BZ, 3, FALSE) - SUMIF($F$1:$F5152, F5153, $H$1:$H5152))
</f>
        <v/>
      </c>
      <c r="I5153" s="26"/>
      <c r="J5153" s="26" t="s">
        <v>77</v>
      </c>
      <c r="L5153" s="27" t="s">
        <v>77</v>
      </c>
      <c r="N5153" s="28" t="s">
        <v>77</v>
      </c>
      <c r="Q5153" s="30"/>
    </row>
    <row r="5154">
      <c r="B5154" s="6"/>
      <c r="C5154" s="33" t="str">
        <f t="array" ref="C5154">IF(B5154="", "", XLOOKUP(B5154, Inventory!D:D,Inventory!E:E,"No Name Found"))</f>
        <v/>
      </c>
      <c r="D5154" s="6"/>
      <c r="E5154" s="6"/>
      <c r="F5154" s="6"/>
      <c r="G5154" s="24" t="str">
        <f>IF(F5154="", "", VLOOKUP(F5154, Inventory!A:BZ, 3, FALSE) - SUMIF($F$1:$F5153, F5154, $H$1:$H5153))
</f>
        <v/>
      </c>
      <c r="I5154" s="26"/>
      <c r="J5154" s="26" t="s">
        <v>77</v>
      </c>
      <c r="L5154" s="27" t="s">
        <v>77</v>
      </c>
      <c r="N5154" s="28" t="s">
        <v>77</v>
      </c>
      <c r="Q5154" s="30"/>
    </row>
    <row r="5155">
      <c r="B5155" s="6"/>
      <c r="C5155" s="33" t="str">
        <f t="array" ref="C5155">IF(B5155="", "", XLOOKUP(B5155, Inventory!D:D,Inventory!E:E,"No Name Found"))</f>
        <v/>
      </c>
      <c r="D5155" s="6"/>
      <c r="E5155" s="6"/>
      <c r="F5155" s="6"/>
      <c r="G5155" s="24" t="str">
        <f>IF(F5155="", "", VLOOKUP(F5155, Inventory!A:BZ, 3, FALSE) - SUMIF($F$1:$F5154, F5155, $H$1:$H5154))
</f>
        <v/>
      </c>
      <c r="I5155" s="26"/>
      <c r="J5155" s="26" t="s">
        <v>77</v>
      </c>
      <c r="L5155" s="27" t="s">
        <v>77</v>
      </c>
      <c r="N5155" s="28" t="s">
        <v>77</v>
      </c>
      <c r="Q5155" s="30"/>
    </row>
    <row r="5156">
      <c r="B5156" s="6"/>
      <c r="C5156" s="33" t="str">
        <f t="array" ref="C5156">IF(B5156="", "", XLOOKUP(B5156, Inventory!D:D,Inventory!E:E,"No Name Found"))</f>
        <v/>
      </c>
      <c r="D5156" s="6"/>
      <c r="E5156" s="6"/>
      <c r="F5156" s="6"/>
      <c r="G5156" s="24" t="str">
        <f>IF(F5156="", "", VLOOKUP(F5156, Inventory!A:BZ, 3, FALSE) - SUMIF($F$1:$F5155, F5156, $H$1:$H5155))
</f>
        <v/>
      </c>
      <c r="I5156" s="26"/>
      <c r="J5156" s="26" t="s">
        <v>77</v>
      </c>
      <c r="L5156" s="27" t="s">
        <v>77</v>
      </c>
      <c r="N5156" s="28" t="s">
        <v>77</v>
      </c>
      <c r="Q5156" s="30"/>
    </row>
    <row r="5157">
      <c r="B5157" s="6"/>
      <c r="C5157" s="33" t="str">
        <f t="array" ref="C5157">IF(B5157="", "", XLOOKUP(B5157, Inventory!D:D,Inventory!E:E,"No Name Found"))</f>
        <v/>
      </c>
      <c r="D5157" s="6"/>
      <c r="E5157" s="6"/>
      <c r="F5157" s="6"/>
      <c r="G5157" s="24" t="str">
        <f>IF(F5157="", "", VLOOKUP(F5157, Inventory!A:BZ, 3, FALSE) - SUMIF($F$1:$F5156, F5157, $H$1:$H5156))
</f>
        <v/>
      </c>
      <c r="I5157" s="26"/>
      <c r="J5157" s="26" t="s">
        <v>77</v>
      </c>
      <c r="L5157" s="27" t="s">
        <v>77</v>
      </c>
      <c r="N5157" s="28" t="s">
        <v>77</v>
      </c>
      <c r="Q5157" s="30"/>
    </row>
    <row r="5158">
      <c r="B5158" s="6"/>
      <c r="C5158" s="33" t="str">
        <f t="array" ref="C5158">IF(B5158="", "", XLOOKUP(B5158, Inventory!D:D,Inventory!E:E,"No Name Found"))</f>
        <v/>
      </c>
      <c r="D5158" s="6"/>
      <c r="E5158" s="6"/>
      <c r="F5158" s="6"/>
      <c r="G5158" s="24" t="str">
        <f>IF(F5158="", "", VLOOKUP(F5158, Inventory!A:BZ, 3, FALSE) - SUMIF($F$1:$F5157, F5158, $H$1:$H5157))
</f>
        <v/>
      </c>
      <c r="I5158" s="26"/>
      <c r="J5158" s="26" t="s">
        <v>77</v>
      </c>
      <c r="L5158" s="27" t="s">
        <v>77</v>
      </c>
      <c r="N5158" s="28" t="s">
        <v>77</v>
      </c>
      <c r="Q5158" s="30"/>
    </row>
    <row r="5159">
      <c r="B5159" s="6"/>
      <c r="C5159" s="33" t="str">
        <f t="array" ref="C5159">IF(B5159="", "", XLOOKUP(B5159, Inventory!D:D,Inventory!E:E,"No Name Found"))</f>
        <v/>
      </c>
      <c r="D5159" s="6"/>
      <c r="E5159" s="6"/>
      <c r="F5159" s="6"/>
      <c r="G5159" s="24" t="str">
        <f>IF(F5159="", "", VLOOKUP(F5159, Inventory!A:BZ, 3, FALSE) - SUMIF($F$1:$F5158, F5159, $H$1:$H5158))
</f>
        <v/>
      </c>
      <c r="I5159" s="26"/>
      <c r="J5159" s="26" t="s">
        <v>77</v>
      </c>
      <c r="L5159" s="27" t="s">
        <v>77</v>
      </c>
      <c r="N5159" s="28" t="s">
        <v>77</v>
      </c>
      <c r="Q5159" s="30"/>
    </row>
    <row r="5160">
      <c r="B5160" s="6"/>
      <c r="C5160" s="33" t="str">
        <f t="array" ref="C5160">IF(B5160="", "", XLOOKUP(B5160, Inventory!D:D,Inventory!E:E,"No Name Found"))</f>
        <v/>
      </c>
      <c r="D5160" s="6"/>
      <c r="E5160" s="6"/>
      <c r="F5160" s="6"/>
      <c r="G5160" s="24" t="str">
        <f>IF(F5160="", "", VLOOKUP(F5160, Inventory!A:BZ, 3, FALSE) - SUMIF($F$1:$F5159, F5160, $H$1:$H5159))
</f>
        <v/>
      </c>
      <c r="I5160" s="26"/>
      <c r="J5160" s="26" t="s">
        <v>77</v>
      </c>
      <c r="L5160" s="27" t="s">
        <v>77</v>
      </c>
      <c r="N5160" s="28" t="s">
        <v>77</v>
      </c>
      <c r="Q5160" s="30"/>
    </row>
    <row r="5161">
      <c r="B5161" s="6"/>
      <c r="C5161" s="33" t="str">
        <f t="array" ref="C5161">IF(B5161="", "", XLOOKUP(B5161, Inventory!D:D,Inventory!E:E,"No Name Found"))</f>
        <v/>
      </c>
      <c r="D5161" s="6"/>
      <c r="E5161" s="6"/>
      <c r="F5161" s="6"/>
      <c r="G5161" s="24" t="str">
        <f>IF(F5161="", "", VLOOKUP(F5161, Inventory!A:BZ, 3, FALSE) - SUMIF($F$1:$F5160, F5161, $H$1:$H5160))
</f>
        <v/>
      </c>
      <c r="I5161" s="26"/>
      <c r="J5161" s="26" t="s">
        <v>77</v>
      </c>
      <c r="L5161" s="27" t="s">
        <v>77</v>
      </c>
      <c r="N5161" s="28" t="s">
        <v>77</v>
      </c>
      <c r="Q5161" s="30"/>
    </row>
    <row r="5162">
      <c r="B5162" s="6"/>
      <c r="C5162" s="33" t="str">
        <f t="array" ref="C5162">IF(B5162="", "", XLOOKUP(B5162, Inventory!D:D,Inventory!E:E,"No Name Found"))</f>
        <v/>
      </c>
      <c r="D5162" s="6"/>
      <c r="E5162" s="6"/>
      <c r="F5162" s="6"/>
      <c r="G5162" s="24" t="str">
        <f>IF(F5162="", "", VLOOKUP(F5162, Inventory!A:BZ, 3, FALSE) - SUMIF($F$1:$F5161, F5162, $H$1:$H5161))
</f>
        <v/>
      </c>
      <c r="I5162" s="26"/>
      <c r="J5162" s="26" t="s">
        <v>77</v>
      </c>
      <c r="L5162" s="27" t="s">
        <v>77</v>
      </c>
      <c r="N5162" s="28" t="s">
        <v>77</v>
      </c>
      <c r="Q5162" s="30"/>
    </row>
    <row r="5163">
      <c r="B5163" s="6"/>
      <c r="C5163" s="33" t="str">
        <f t="array" ref="C5163">IF(B5163="", "", XLOOKUP(B5163, Inventory!D:D,Inventory!E:E,"No Name Found"))</f>
        <v/>
      </c>
      <c r="D5163" s="6"/>
      <c r="E5163" s="6"/>
      <c r="F5163" s="6"/>
      <c r="G5163" s="24" t="str">
        <f>IF(F5163="", "", VLOOKUP(F5163, Inventory!A:BZ, 3, FALSE) - SUMIF($F$1:$F5162, F5163, $H$1:$H5162))
</f>
        <v/>
      </c>
      <c r="I5163" s="26"/>
      <c r="J5163" s="26" t="s">
        <v>77</v>
      </c>
      <c r="L5163" s="27" t="s">
        <v>77</v>
      </c>
      <c r="N5163" s="28" t="s">
        <v>77</v>
      </c>
      <c r="Q5163" s="30"/>
    </row>
    <row r="5164">
      <c r="B5164" s="6"/>
      <c r="C5164" s="33" t="str">
        <f t="array" ref="C5164">IF(B5164="", "", XLOOKUP(B5164, Inventory!D:D,Inventory!E:E,"No Name Found"))</f>
        <v/>
      </c>
      <c r="D5164" s="6"/>
      <c r="E5164" s="6"/>
      <c r="F5164" s="6"/>
      <c r="G5164" s="24" t="str">
        <f>IF(F5164="", "", VLOOKUP(F5164, Inventory!A:BZ, 3, FALSE) - SUMIF($F$1:$F5163, F5164, $H$1:$H5163))
</f>
        <v/>
      </c>
      <c r="I5164" s="26"/>
      <c r="J5164" s="26" t="s">
        <v>77</v>
      </c>
      <c r="L5164" s="27" t="s">
        <v>77</v>
      </c>
      <c r="N5164" s="28" t="s">
        <v>77</v>
      </c>
      <c r="Q5164" s="30"/>
    </row>
    <row r="5165">
      <c r="B5165" s="6"/>
      <c r="C5165" s="33" t="str">
        <f t="array" ref="C5165">IF(B5165="", "", XLOOKUP(B5165, Inventory!D:D,Inventory!E:E,"No Name Found"))</f>
        <v/>
      </c>
      <c r="D5165" s="6"/>
      <c r="E5165" s="6"/>
      <c r="F5165" s="6"/>
      <c r="G5165" s="24" t="str">
        <f>IF(F5165="", "", VLOOKUP(F5165, Inventory!A:BZ, 3, FALSE) - SUMIF($F$1:$F5164, F5165, $H$1:$H5164))
</f>
        <v/>
      </c>
      <c r="I5165" s="26"/>
      <c r="J5165" s="26" t="s">
        <v>77</v>
      </c>
      <c r="L5165" s="27" t="s">
        <v>77</v>
      </c>
      <c r="N5165" s="28" t="s">
        <v>77</v>
      </c>
      <c r="Q5165" s="30"/>
    </row>
    <row r="5166">
      <c r="B5166" s="6"/>
      <c r="C5166" s="33" t="str">
        <f t="array" ref="C5166">IF(B5166="", "", XLOOKUP(B5166, Inventory!D:D,Inventory!E:E,"No Name Found"))</f>
        <v/>
      </c>
      <c r="D5166" s="6"/>
      <c r="E5166" s="6"/>
      <c r="F5166" s="6"/>
      <c r="G5166" s="24" t="str">
        <f>IF(F5166="", "", VLOOKUP(F5166, Inventory!A:BZ, 3, FALSE) - SUMIF($F$1:$F5165, F5166, $H$1:$H5165))
</f>
        <v/>
      </c>
      <c r="I5166" s="26"/>
      <c r="J5166" s="26" t="s">
        <v>77</v>
      </c>
      <c r="L5166" s="27" t="s">
        <v>77</v>
      </c>
      <c r="N5166" s="28" t="s">
        <v>77</v>
      </c>
      <c r="Q5166" s="30"/>
    </row>
    <row r="5167">
      <c r="B5167" s="6"/>
      <c r="C5167" s="33" t="str">
        <f t="array" ref="C5167">IF(B5167="", "", XLOOKUP(B5167, Inventory!D:D,Inventory!E:E,"No Name Found"))</f>
        <v/>
      </c>
      <c r="D5167" s="6"/>
      <c r="E5167" s="6"/>
      <c r="F5167" s="6"/>
      <c r="G5167" s="24" t="str">
        <f>IF(F5167="", "", VLOOKUP(F5167, Inventory!A:BZ, 3, FALSE) - SUMIF($F$1:$F5166, F5167, $H$1:$H5166))
</f>
        <v/>
      </c>
      <c r="I5167" s="26"/>
      <c r="J5167" s="26" t="s">
        <v>77</v>
      </c>
      <c r="L5167" s="27" t="s">
        <v>77</v>
      </c>
      <c r="N5167" s="28" t="s">
        <v>77</v>
      </c>
      <c r="Q5167" s="30"/>
    </row>
    <row r="5168">
      <c r="B5168" s="6"/>
      <c r="C5168" s="33" t="str">
        <f t="array" ref="C5168">IF(B5168="", "", XLOOKUP(B5168, Inventory!D:D,Inventory!E:E,"No Name Found"))</f>
        <v/>
      </c>
      <c r="D5168" s="6"/>
      <c r="E5168" s="6"/>
      <c r="F5168" s="6"/>
      <c r="G5168" s="24" t="str">
        <f>IF(F5168="", "", VLOOKUP(F5168, Inventory!A:BZ, 3, FALSE) - SUMIF($F$1:$F5167, F5168, $H$1:$H5167))
</f>
        <v/>
      </c>
      <c r="I5168" s="26"/>
      <c r="J5168" s="26" t="s">
        <v>77</v>
      </c>
      <c r="L5168" s="27" t="s">
        <v>77</v>
      </c>
      <c r="N5168" s="28" t="s">
        <v>77</v>
      </c>
      <c r="Q5168" s="30"/>
    </row>
    <row r="5169">
      <c r="B5169" s="6"/>
      <c r="C5169" s="33" t="str">
        <f t="array" ref="C5169">IF(B5169="", "", XLOOKUP(B5169, Inventory!D:D,Inventory!E:E,"No Name Found"))</f>
        <v/>
      </c>
      <c r="D5169" s="6"/>
      <c r="E5169" s="6"/>
      <c r="F5169" s="6"/>
      <c r="G5169" s="24" t="str">
        <f>IF(F5169="", "", VLOOKUP(F5169, Inventory!A:BZ, 3, FALSE) - SUMIF($F$1:$F5168, F5169, $H$1:$H5168))
</f>
        <v/>
      </c>
      <c r="I5169" s="26"/>
      <c r="J5169" s="26" t="s">
        <v>77</v>
      </c>
      <c r="L5169" s="27" t="s">
        <v>77</v>
      </c>
      <c r="N5169" s="28" t="s">
        <v>77</v>
      </c>
      <c r="Q5169" s="30"/>
    </row>
    <row r="5170">
      <c r="B5170" s="6"/>
      <c r="C5170" s="33" t="str">
        <f t="array" ref="C5170">IF(B5170="", "", XLOOKUP(B5170, Inventory!D:D,Inventory!E:E,"No Name Found"))</f>
        <v/>
      </c>
      <c r="D5170" s="6"/>
      <c r="E5170" s="6"/>
      <c r="F5170" s="6"/>
      <c r="G5170" s="24" t="str">
        <f>IF(F5170="", "", VLOOKUP(F5170, Inventory!A:BZ, 3, FALSE) - SUMIF($F$1:$F5169, F5170, $H$1:$H5169))
</f>
        <v/>
      </c>
      <c r="I5170" s="26"/>
      <c r="J5170" s="26" t="s">
        <v>77</v>
      </c>
      <c r="L5170" s="27" t="s">
        <v>77</v>
      </c>
      <c r="N5170" s="28" t="s">
        <v>77</v>
      </c>
      <c r="Q5170" s="30"/>
    </row>
    <row r="5171">
      <c r="B5171" s="6"/>
      <c r="C5171" s="33" t="str">
        <f t="array" ref="C5171">IF(B5171="", "", XLOOKUP(B5171, Inventory!D:D,Inventory!E:E,"No Name Found"))</f>
        <v/>
      </c>
      <c r="D5171" s="6"/>
      <c r="E5171" s="6"/>
      <c r="F5171" s="6"/>
      <c r="G5171" s="24" t="str">
        <f>IF(F5171="", "", VLOOKUP(F5171, Inventory!A:BZ, 3, FALSE) - SUMIF($F$1:$F5170, F5171, $H$1:$H5170))
</f>
        <v/>
      </c>
      <c r="I5171" s="26"/>
      <c r="J5171" s="26" t="s">
        <v>77</v>
      </c>
      <c r="L5171" s="27" t="s">
        <v>77</v>
      </c>
      <c r="N5171" s="28" t="s">
        <v>77</v>
      </c>
      <c r="Q5171" s="30"/>
    </row>
    <row r="5172">
      <c r="B5172" s="6"/>
      <c r="C5172" s="33" t="str">
        <f t="array" ref="C5172">IF(B5172="", "", XLOOKUP(B5172, Inventory!D:D,Inventory!E:E,"No Name Found"))</f>
        <v/>
      </c>
      <c r="D5172" s="6"/>
      <c r="E5172" s="6"/>
      <c r="F5172" s="6"/>
      <c r="G5172" s="24" t="str">
        <f>IF(F5172="", "", VLOOKUP(F5172, Inventory!A:BZ, 3, FALSE) - SUMIF($F$1:$F5171, F5172, $H$1:$H5171))
</f>
        <v/>
      </c>
      <c r="I5172" s="26"/>
      <c r="J5172" s="26" t="s">
        <v>77</v>
      </c>
      <c r="L5172" s="27" t="s">
        <v>77</v>
      </c>
      <c r="N5172" s="28" t="s">
        <v>77</v>
      </c>
      <c r="Q5172" s="30"/>
    </row>
    <row r="5173">
      <c r="B5173" s="6"/>
      <c r="C5173" s="33" t="str">
        <f t="array" ref="C5173">IF(B5173="", "", XLOOKUP(B5173, Inventory!D:D,Inventory!E:E,"No Name Found"))</f>
        <v/>
      </c>
      <c r="D5173" s="6"/>
      <c r="E5173" s="6"/>
      <c r="F5173" s="6"/>
      <c r="G5173" s="24" t="str">
        <f>IF(F5173="", "", VLOOKUP(F5173, Inventory!A:BZ, 3, FALSE) - SUMIF($F$1:$F5172, F5173, $H$1:$H5172))
</f>
        <v/>
      </c>
      <c r="I5173" s="26"/>
      <c r="J5173" s="26" t="s">
        <v>77</v>
      </c>
      <c r="L5173" s="27" t="s">
        <v>77</v>
      </c>
      <c r="N5173" s="28" t="s">
        <v>77</v>
      </c>
      <c r="Q5173" s="30"/>
    </row>
    <row r="5174">
      <c r="B5174" s="6"/>
      <c r="C5174" s="33" t="str">
        <f t="array" ref="C5174">IF(B5174="", "", XLOOKUP(B5174, Inventory!D:D,Inventory!E:E,"No Name Found"))</f>
        <v/>
      </c>
      <c r="D5174" s="6"/>
      <c r="E5174" s="6"/>
      <c r="F5174" s="6"/>
      <c r="G5174" s="24" t="str">
        <f>IF(F5174="", "", VLOOKUP(F5174, Inventory!A:BZ, 3, FALSE) - SUMIF($F$1:$F5173, F5174, $H$1:$H5173))
</f>
        <v/>
      </c>
      <c r="I5174" s="26"/>
      <c r="J5174" s="26" t="s">
        <v>77</v>
      </c>
      <c r="L5174" s="27" t="s">
        <v>77</v>
      </c>
      <c r="N5174" s="28" t="s">
        <v>77</v>
      </c>
      <c r="Q5174" s="30"/>
    </row>
    <row r="5175">
      <c r="B5175" s="6"/>
      <c r="C5175" s="33" t="str">
        <f t="array" ref="C5175">IF(B5175="", "", XLOOKUP(B5175, Inventory!D:D,Inventory!E:E,"No Name Found"))</f>
        <v/>
      </c>
      <c r="D5175" s="6"/>
      <c r="E5175" s="6"/>
      <c r="F5175" s="6"/>
      <c r="G5175" s="24" t="str">
        <f>IF(F5175="", "", VLOOKUP(F5175, Inventory!A:BZ, 3, FALSE) - SUMIF($F$1:$F5174, F5175, $H$1:$H5174))
</f>
        <v/>
      </c>
      <c r="I5175" s="26"/>
      <c r="J5175" s="26" t="s">
        <v>77</v>
      </c>
      <c r="L5175" s="27" t="s">
        <v>77</v>
      </c>
      <c r="N5175" s="28" t="s">
        <v>77</v>
      </c>
      <c r="Q5175" s="30"/>
    </row>
    <row r="5176">
      <c r="B5176" s="6"/>
      <c r="C5176" s="33" t="str">
        <f t="array" ref="C5176">IF(B5176="", "", XLOOKUP(B5176, Inventory!D:D,Inventory!E:E,"No Name Found"))</f>
        <v/>
      </c>
      <c r="D5176" s="6"/>
      <c r="E5176" s="6"/>
      <c r="F5176" s="6"/>
      <c r="G5176" s="24" t="str">
        <f>IF(F5176="", "", VLOOKUP(F5176, Inventory!A:BZ, 3, FALSE) - SUMIF($F$1:$F5175, F5176, $H$1:$H5175))
</f>
        <v/>
      </c>
      <c r="I5176" s="26"/>
      <c r="J5176" s="26" t="s">
        <v>77</v>
      </c>
      <c r="L5176" s="27" t="s">
        <v>77</v>
      </c>
      <c r="N5176" s="28" t="s">
        <v>77</v>
      </c>
      <c r="Q5176" s="30"/>
    </row>
    <row r="5177">
      <c r="B5177" s="6"/>
      <c r="C5177" s="33" t="str">
        <f t="array" ref="C5177">IF(B5177="", "", XLOOKUP(B5177, Inventory!D:D,Inventory!E:E,"No Name Found"))</f>
        <v/>
      </c>
      <c r="D5177" s="6"/>
      <c r="E5177" s="6"/>
      <c r="F5177" s="6"/>
      <c r="G5177" s="24" t="str">
        <f>IF(F5177="", "", VLOOKUP(F5177, Inventory!A:BZ, 3, FALSE) - SUMIF($F$1:$F5176, F5177, $H$1:$H5176))
</f>
        <v/>
      </c>
      <c r="I5177" s="26"/>
      <c r="J5177" s="26" t="s">
        <v>77</v>
      </c>
      <c r="L5177" s="27" t="s">
        <v>77</v>
      </c>
      <c r="N5177" s="28" t="s">
        <v>77</v>
      </c>
      <c r="Q5177" s="30"/>
    </row>
    <row r="5178">
      <c r="B5178" s="6"/>
      <c r="C5178" s="33" t="str">
        <f t="array" ref="C5178">IF(B5178="", "", XLOOKUP(B5178, Inventory!D:D,Inventory!E:E,"No Name Found"))</f>
        <v/>
      </c>
      <c r="D5178" s="6"/>
      <c r="E5178" s="6"/>
      <c r="F5178" s="6"/>
      <c r="G5178" s="24" t="str">
        <f>IF(F5178="", "", VLOOKUP(F5178, Inventory!A:BZ, 3, FALSE) - SUMIF($F$1:$F5177, F5178, $H$1:$H5177))
</f>
        <v/>
      </c>
      <c r="I5178" s="26"/>
      <c r="J5178" s="26" t="s">
        <v>77</v>
      </c>
      <c r="L5178" s="27" t="s">
        <v>77</v>
      </c>
      <c r="N5178" s="28" t="s">
        <v>77</v>
      </c>
      <c r="Q5178" s="30"/>
    </row>
    <row r="5179">
      <c r="B5179" s="6"/>
      <c r="C5179" s="33" t="str">
        <f t="array" ref="C5179">IF(B5179="", "", XLOOKUP(B5179, Inventory!D:D,Inventory!E:E,"No Name Found"))</f>
        <v/>
      </c>
      <c r="D5179" s="6"/>
      <c r="E5179" s="6"/>
      <c r="F5179" s="6"/>
      <c r="G5179" s="24" t="str">
        <f>IF(F5179="", "", VLOOKUP(F5179, Inventory!A:BZ, 3, FALSE) - SUMIF($F$1:$F5178, F5179, $H$1:$H5178))
</f>
        <v/>
      </c>
      <c r="I5179" s="26"/>
      <c r="J5179" s="26" t="s">
        <v>77</v>
      </c>
      <c r="L5179" s="27" t="s">
        <v>77</v>
      </c>
      <c r="N5179" s="28" t="s">
        <v>77</v>
      </c>
      <c r="Q5179" s="30"/>
    </row>
    <row r="5180">
      <c r="B5180" s="6"/>
      <c r="C5180" s="33" t="str">
        <f t="array" ref="C5180">IF(B5180="", "", XLOOKUP(B5180, Inventory!D:D,Inventory!E:E,"No Name Found"))</f>
        <v/>
      </c>
      <c r="D5180" s="6"/>
      <c r="E5180" s="6"/>
      <c r="F5180" s="6"/>
      <c r="G5180" s="24" t="str">
        <f>IF(F5180="", "", VLOOKUP(F5180, Inventory!A:BZ, 3, FALSE) - SUMIF($F$1:$F5179, F5180, $H$1:$H5179))
</f>
        <v/>
      </c>
      <c r="I5180" s="26"/>
      <c r="J5180" s="26" t="s">
        <v>77</v>
      </c>
      <c r="L5180" s="27" t="s">
        <v>77</v>
      </c>
      <c r="N5180" s="28" t="s">
        <v>77</v>
      </c>
      <c r="Q5180" s="30"/>
    </row>
    <row r="5181">
      <c r="B5181" s="6"/>
      <c r="C5181" s="33" t="str">
        <f t="array" ref="C5181">IF(B5181="", "", XLOOKUP(B5181, Inventory!D:D,Inventory!E:E,"No Name Found"))</f>
        <v/>
      </c>
      <c r="D5181" s="6"/>
      <c r="E5181" s="6"/>
      <c r="F5181" s="6"/>
      <c r="G5181" s="24" t="str">
        <f>IF(F5181="", "", VLOOKUP(F5181, Inventory!A:BZ, 3, FALSE) - SUMIF($F$1:$F5180, F5181, $H$1:$H5180))
</f>
        <v/>
      </c>
      <c r="I5181" s="26"/>
      <c r="J5181" s="26" t="s">
        <v>77</v>
      </c>
      <c r="L5181" s="27" t="s">
        <v>77</v>
      </c>
      <c r="N5181" s="28" t="s">
        <v>77</v>
      </c>
      <c r="Q5181" s="30"/>
    </row>
    <row r="5182">
      <c r="B5182" s="6"/>
      <c r="C5182" s="33" t="str">
        <f t="array" ref="C5182">IF(B5182="", "", XLOOKUP(B5182, Inventory!D:D,Inventory!E:E,"No Name Found"))</f>
        <v/>
      </c>
      <c r="D5182" s="6"/>
      <c r="E5182" s="6"/>
      <c r="F5182" s="6"/>
      <c r="G5182" s="24" t="str">
        <f>IF(F5182="", "", VLOOKUP(F5182, Inventory!A:BZ, 3, FALSE) - SUMIF($F$1:$F5181, F5182, $H$1:$H5181))
</f>
        <v/>
      </c>
      <c r="I5182" s="26"/>
      <c r="J5182" s="26" t="s">
        <v>77</v>
      </c>
      <c r="L5182" s="27" t="s">
        <v>77</v>
      </c>
      <c r="N5182" s="28" t="s">
        <v>77</v>
      </c>
      <c r="Q5182" s="30"/>
    </row>
    <row r="5183">
      <c r="B5183" s="6"/>
      <c r="C5183" s="33" t="str">
        <f t="array" ref="C5183">IF(B5183="", "", XLOOKUP(B5183, Inventory!D:D,Inventory!E:E,"No Name Found"))</f>
        <v/>
      </c>
      <c r="D5183" s="6"/>
      <c r="E5183" s="6"/>
      <c r="F5183" s="6"/>
      <c r="G5183" s="24" t="str">
        <f>IF(F5183="", "", VLOOKUP(F5183, Inventory!A:BZ, 3, FALSE) - SUMIF($F$1:$F5182, F5183, $H$1:$H5182))
</f>
        <v/>
      </c>
      <c r="I5183" s="26"/>
      <c r="J5183" s="26" t="s">
        <v>77</v>
      </c>
      <c r="L5183" s="27" t="s">
        <v>77</v>
      </c>
      <c r="N5183" s="28" t="s">
        <v>77</v>
      </c>
      <c r="Q5183" s="30"/>
    </row>
    <row r="5184">
      <c r="B5184" s="6"/>
      <c r="C5184" s="33" t="str">
        <f t="array" ref="C5184">IF(B5184="", "", XLOOKUP(B5184, Inventory!D:D,Inventory!E:E,"No Name Found"))</f>
        <v/>
      </c>
      <c r="D5184" s="6"/>
      <c r="E5184" s="6"/>
      <c r="F5184" s="6"/>
      <c r="G5184" s="24" t="str">
        <f>IF(F5184="", "", VLOOKUP(F5184, Inventory!A:BZ, 3, FALSE) - SUMIF($F$1:$F5183, F5184, $H$1:$H5183))
</f>
        <v/>
      </c>
      <c r="I5184" s="26"/>
      <c r="J5184" s="26" t="s">
        <v>77</v>
      </c>
      <c r="L5184" s="27" t="s">
        <v>77</v>
      </c>
      <c r="N5184" s="28" t="s">
        <v>77</v>
      </c>
      <c r="Q5184" s="30"/>
    </row>
    <row r="5185">
      <c r="B5185" s="6"/>
      <c r="C5185" s="33" t="str">
        <f t="array" ref="C5185">IF(B5185="", "", XLOOKUP(B5185, Inventory!D:D,Inventory!E:E,"No Name Found"))</f>
        <v/>
      </c>
      <c r="D5185" s="6"/>
      <c r="E5185" s="6"/>
      <c r="F5185" s="6"/>
      <c r="G5185" s="24" t="str">
        <f>IF(F5185="", "", VLOOKUP(F5185, Inventory!A:BZ, 3, FALSE) - SUMIF($F$1:$F5184, F5185, $H$1:$H5184))
</f>
        <v/>
      </c>
      <c r="I5185" s="26"/>
      <c r="J5185" s="26" t="s">
        <v>77</v>
      </c>
      <c r="L5185" s="27" t="s">
        <v>77</v>
      </c>
      <c r="N5185" s="28" t="s">
        <v>77</v>
      </c>
      <c r="Q5185" s="30"/>
    </row>
    <row r="5186">
      <c r="B5186" s="6"/>
      <c r="C5186" s="33" t="str">
        <f t="array" ref="C5186">IF(B5186="", "", XLOOKUP(B5186, Inventory!D:D,Inventory!E:E,"No Name Found"))</f>
        <v/>
      </c>
      <c r="D5186" s="6"/>
      <c r="E5186" s="6"/>
      <c r="F5186" s="6"/>
      <c r="G5186" s="24" t="str">
        <f>IF(F5186="", "", VLOOKUP(F5186, Inventory!A:BZ, 3, FALSE) - SUMIF($F$1:$F5185, F5186, $H$1:$H5185))
</f>
        <v/>
      </c>
      <c r="I5186" s="26"/>
      <c r="J5186" s="26" t="s">
        <v>77</v>
      </c>
      <c r="L5186" s="27" t="s">
        <v>77</v>
      </c>
      <c r="N5186" s="28" t="s">
        <v>77</v>
      </c>
      <c r="Q5186" s="30"/>
    </row>
    <row r="5187">
      <c r="B5187" s="6"/>
      <c r="C5187" s="33" t="str">
        <f t="array" ref="C5187">IF(B5187="", "", XLOOKUP(B5187, Inventory!D:D,Inventory!E:E,"No Name Found"))</f>
        <v/>
      </c>
      <c r="D5187" s="6"/>
      <c r="E5187" s="6"/>
      <c r="F5187" s="6"/>
      <c r="G5187" s="24" t="str">
        <f>IF(F5187="", "", VLOOKUP(F5187, Inventory!A:BZ, 3, FALSE) - SUMIF($F$1:$F5186, F5187, $H$1:$H5186))
</f>
        <v/>
      </c>
      <c r="I5187" s="26"/>
      <c r="J5187" s="26" t="s">
        <v>77</v>
      </c>
      <c r="L5187" s="27" t="s">
        <v>77</v>
      </c>
      <c r="N5187" s="28" t="s">
        <v>77</v>
      </c>
      <c r="Q5187" s="30"/>
    </row>
    <row r="5188">
      <c r="B5188" s="6"/>
      <c r="C5188" s="33" t="str">
        <f t="array" ref="C5188">IF(B5188="", "", XLOOKUP(B5188, Inventory!D:D,Inventory!E:E,"No Name Found"))</f>
        <v/>
      </c>
      <c r="D5188" s="6"/>
      <c r="E5188" s="6"/>
      <c r="F5188" s="6"/>
      <c r="G5188" s="24" t="str">
        <f>IF(F5188="", "", VLOOKUP(F5188, Inventory!A:BZ, 3, FALSE) - SUMIF($F$1:$F5187, F5188, $H$1:$H5187))
</f>
        <v/>
      </c>
      <c r="I5188" s="26"/>
      <c r="J5188" s="26" t="s">
        <v>77</v>
      </c>
      <c r="L5188" s="27" t="s">
        <v>77</v>
      </c>
      <c r="N5188" s="28" t="s">
        <v>77</v>
      </c>
      <c r="Q5188" s="30"/>
    </row>
    <row r="5189">
      <c r="B5189" s="6"/>
      <c r="C5189" s="33" t="str">
        <f t="array" ref="C5189">IF(B5189="", "", XLOOKUP(B5189, Inventory!D:D,Inventory!E:E,"No Name Found"))</f>
        <v/>
      </c>
      <c r="D5189" s="6"/>
      <c r="E5189" s="6"/>
      <c r="F5189" s="6"/>
      <c r="G5189" s="24" t="str">
        <f>IF(F5189="", "", VLOOKUP(F5189, Inventory!A:BZ, 3, FALSE) - SUMIF($F$1:$F5188, F5189, $H$1:$H5188))
</f>
        <v/>
      </c>
      <c r="I5189" s="26"/>
      <c r="J5189" s="26" t="s">
        <v>77</v>
      </c>
      <c r="L5189" s="27" t="s">
        <v>77</v>
      </c>
      <c r="N5189" s="28" t="s">
        <v>77</v>
      </c>
      <c r="Q5189" s="30"/>
    </row>
    <row r="5190">
      <c r="B5190" s="6"/>
      <c r="C5190" s="33" t="str">
        <f t="array" ref="C5190">IF(B5190="", "", XLOOKUP(B5190, Inventory!D:D,Inventory!E:E,"No Name Found"))</f>
        <v/>
      </c>
      <c r="D5190" s="6"/>
      <c r="E5190" s="6"/>
      <c r="F5190" s="6"/>
      <c r="G5190" s="24" t="str">
        <f>IF(F5190="", "", VLOOKUP(F5190, Inventory!A:BZ, 3, FALSE) - SUMIF($F$1:$F5189, F5190, $H$1:$H5189))
</f>
        <v/>
      </c>
      <c r="I5190" s="26"/>
      <c r="J5190" s="26" t="s">
        <v>77</v>
      </c>
      <c r="L5190" s="27" t="s">
        <v>77</v>
      </c>
      <c r="N5190" s="28" t="s">
        <v>77</v>
      </c>
      <c r="Q5190" s="30"/>
    </row>
    <row r="5191">
      <c r="B5191" s="6"/>
      <c r="C5191" s="33" t="str">
        <f t="array" ref="C5191">IF(B5191="", "", XLOOKUP(B5191, Inventory!D:D,Inventory!E:E,"No Name Found"))</f>
        <v/>
      </c>
      <c r="D5191" s="6"/>
      <c r="E5191" s="6"/>
      <c r="F5191" s="6"/>
      <c r="G5191" s="24" t="str">
        <f>IF(F5191="", "", VLOOKUP(F5191, Inventory!A:BZ, 3, FALSE) - SUMIF($F$1:$F5190, F5191, $H$1:$H5190))
</f>
        <v/>
      </c>
      <c r="I5191" s="26"/>
      <c r="J5191" s="26" t="s">
        <v>77</v>
      </c>
      <c r="L5191" s="27" t="s">
        <v>77</v>
      </c>
      <c r="N5191" s="28" t="s">
        <v>77</v>
      </c>
      <c r="Q5191" s="30"/>
    </row>
    <row r="5192">
      <c r="B5192" s="6"/>
      <c r="C5192" s="33" t="str">
        <f t="array" ref="C5192">IF(B5192="", "", XLOOKUP(B5192, Inventory!D:D,Inventory!E:E,"No Name Found"))</f>
        <v/>
      </c>
      <c r="D5192" s="6"/>
      <c r="E5192" s="6"/>
      <c r="F5192" s="6"/>
      <c r="G5192" s="24" t="str">
        <f>IF(F5192="", "", VLOOKUP(F5192, Inventory!A:BZ, 3, FALSE) - SUMIF($F$1:$F5191, F5192, $H$1:$H5191))
</f>
        <v/>
      </c>
      <c r="I5192" s="26"/>
      <c r="J5192" s="26" t="s">
        <v>77</v>
      </c>
      <c r="L5192" s="27" t="s">
        <v>77</v>
      </c>
      <c r="N5192" s="28" t="s">
        <v>77</v>
      </c>
      <c r="Q5192" s="30"/>
    </row>
    <row r="5193">
      <c r="B5193" s="6"/>
      <c r="C5193" s="33" t="str">
        <f t="array" ref="C5193">IF(B5193="", "", XLOOKUP(B5193, Inventory!D:D,Inventory!E:E,"No Name Found"))</f>
        <v/>
      </c>
      <c r="D5193" s="6"/>
      <c r="E5193" s="6"/>
      <c r="F5193" s="6"/>
      <c r="G5193" s="24" t="str">
        <f>IF(F5193="", "", VLOOKUP(F5193, Inventory!A:BZ, 3, FALSE) - SUMIF($F$1:$F5192, F5193, $H$1:$H5192))
</f>
        <v/>
      </c>
      <c r="I5193" s="26"/>
      <c r="J5193" s="26" t="s">
        <v>77</v>
      </c>
      <c r="L5193" s="27" t="s">
        <v>77</v>
      </c>
      <c r="N5193" s="28" t="s">
        <v>77</v>
      </c>
      <c r="Q5193" s="30"/>
    </row>
    <row r="5194">
      <c r="B5194" s="6"/>
      <c r="C5194" s="33" t="str">
        <f t="array" ref="C5194">IF(B5194="", "", XLOOKUP(B5194, Inventory!D:D,Inventory!E:E,"No Name Found"))</f>
        <v/>
      </c>
      <c r="D5194" s="6"/>
      <c r="E5194" s="6"/>
      <c r="F5194" s="6"/>
      <c r="G5194" s="24" t="str">
        <f>IF(F5194="", "", VLOOKUP(F5194, Inventory!A:BZ, 3, FALSE) - SUMIF($F$1:$F5193, F5194, $H$1:$H5193))
</f>
        <v/>
      </c>
      <c r="I5194" s="26"/>
      <c r="J5194" s="26" t="s">
        <v>77</v>
      </c>
      <c r="L5194" s="27" t="s">
        <v>77</v>
      </c>
      <c r="N5194" s="28" t="s">
        <v>77</v>
      </c>
      <c r="Q5194" s="30"/>
    </row>
    <row r="5195">
      <c r="B5195" s="6"/>
      <c r="C5195" s="33" t="str">
        <f t="array" ref="C5195">IF(B5195="", "", XLOOKUP(B5195, Inventory!D:D,Inventory!E:E,"No Name Found"))</f>
        <v/>
      </c>
      <c r="D5195" s="6"/>
      <c r="E5195" s="6"/>
      <c r="F5195" s="6"/>
      <c r="G5195" s="24" t="str">
        <f>IF(F5195="", "", VLOOKUP(F5195, Inventory!A:BZ, 3, FALSE) - SUMIF($F$1:$F5194, F5195, $H$1:$H5194))
</f>
        <v/>
      </c>
      <c r="I5195" s="26"/>
      <c r="J5195" s="26" t="s">
        <v>77</v>
      </c>
      <c r="L5195" s="27" t="s">
        <v>77</v>
      </c>
      <c r="N5195" s="28" t="s">
        <v>77</v>
      </c>
      <c r="Q5195" s="30"/>
    </row>
    <row r="5196">
      <c r="B5196" s="6"/>
      <c r="C5196" s="33" t="str">
        <f t="array" ref="C5196">IF(B5196="", "", XLOOKUP(B5196, Inventory!D:D,Inventory!E:E,"No Name Found"))</f>
        <v/>
      </c>
      <c r="D5196" s="6"/>
      <c r="E5196" s="6"/>
      <c r="F5196" s="6"/>
      <c r="G5196" s="24" t="str">
        <f>IF(F5196="", "", VLOOKUP(F5196, Inventory!A:BZ, 3, FALSE) - SUMIF($F$1:$F5195, F5196, $H$1:$H5195))
</f>
        <v/>
      </c>
      <c r="I5196" s="26"/>
      <c r="J5196" s="26" t="s">
        <v>77</v>
      </c>
      <c r="L5196" s="27" t="s">
        <v>77</v>
      </c>
      <c r="N5196" s="28" t="s">
        <v>77</v>
      </c>
      <c r="Q5196" s="30"/>
    </row>
    <row r="5197">
      <c r="B5197" s="6"/>
      <c r="C5197" s="33" t="str">
        <f t="array" ref="C5197">IF(B5197="", "", XLOOKUP(B5197, Inventory!D:D,Inventory!E:E,"No Name Found"))</f>
        <v/>
      </c>
      <c r="D5197" s="6"/>
      <c r="E5197" s="6"/>
      <c r="F5197" s="6"/>
      <c r="G5197" s="24" t="str">
        <f>IF(F5197="", "", VLOOKUP(F5197, Inventory!A:BZ, 3, FALSE) - SUMIF($F$1:$F5196, F5197, $H$1:$H5196))
</f>
        <v/>
      </c>
      <c r="I5197" s="26"/>
      <c r="J5197" s="26" t="s">
        <v>77</v>
      </c>
      <c r="L5197" s="27" t="s">
        <v>77</v>
      </c>
      <c r="N5197" s="28" t="s">
        <v>77</v>
      </c>
      <c r="Q5197" s="30"/>
    </row>
    <row r="5198">
      <c r="B5198" s="6"/>
      <c r="C5198" s="33" t="str">
        <f t="array" ref="C5198">IF(B5198="", "", XLOOKUP(B5198, Inventory!D:D,Inventory!E:E,"No Name Found"))</f>
        <v/>
      </c>
      <c r="D5198" s="6"/>
      <c r="E5198" s="6"/>
      <c r="F5198" s="6"/>
      <c r="G5198" s="24" t="str">
        <f>IF(F5198="", "", VLOOKUP(F5198, Inventory!A:BZ, 3, FALSE) - SUMIF($F$1:$F5197, F5198, $H$1:$H5197))
</f>
        <v/>
      </c>
      <c r="I5198" s="26"/>
      <c r="J5198" s="26" t="s">
        <v>77</v>
      </c>
      <c r="L5198" s="27" t="s">
        <v>77</v>
      </c>
      <c r="N5198" s="28" t="s">
        <v>77</v>
      </c>
      <c r="Q5198" s="30"/>
    </row>
    <row r="5199">
      <c r="B5199" s="6"/>
      <c r="C5199" s="33" t="str">
        <f t="array" ref="C5199">IF(B5199="", "", XLOOKUP(B5199, Inventory!D:D,Inventory!E:E,"No Name Found"))</f>
        <v/>
      </c>
      <c r="D5199" s="6"/>
      <c r="E5199" s="6"/>
      <c r="F5199" s="6"/>
      <c r="G5199" s="24" t="str">
        <f>IF(F5199="", "", VLOOKUP(F5199, Inventory!A:BZ, 3, FALSE) - SUMIF($F$1:$F5198, F5199, $H$1:$H5198))
</f>
        <v/>
      </c>
      <c r="I5199" s="26"/>
      <c r="J5199" s="26" t="s">
        <v>77</v>
      </c>
      <c r="L5199" s="27" t="s">
        <v>77</v>
      </c>
      <c r="N5199" s="28" t="s">
        <v>77</v>
      </c>
      <c r="Q5199" s="30"/>
    </row>
    <row r="5200">
      <c r="B5200" s="6"/>
      <c r="C5200" s="33" t="str">
        <f t="array" ref="C5200">IF(B5200="", "", XLOOKUP(B5200, Inventory!D:D,Inventory!E:E,"No Name Found"))</f>
        <v/>
      </c>
      <c r="D5200" s="6"/>
      <c r="E5200" s="6"/>
      <c r="F5200" s="6"/>
      <c r="G5200" s="24" t="str">
        <f>IF(F5200="", "", VLOOKUP(F5200, Inventory!A:BZ, 3, FALSE) - SUMIF($F$1:$F5199, F5200, $H$1:$H5199))
</f>
        <v/>
      </c>
      <c r="I5200" s="26"/>
      <c r="J5200" s="26" t="s">
        <v>77</v>
      </c>
      <c r="L5200" s="27" t="s">
        <v>77</v>
      </c>
      <c r="N5200" s="28" t="s">
        <v>77</v>
      </c>
      <c r="Q5200" s="30"/>
    </row>
    <row r="5201">
      <c r="B5201" s="6"/>
      <c r="C5201" s="33" t="str">
        <f t="array" ref="C5201">IF(B5201="", "", XLOOKUP(B5201, Inventory!D:D,Inventory!E:E,"No Name Found"))</f>
        <v/>
      </c>
      <c r="D5201" s="6"/>
      <c r="E5201" s="6"/>
      <c r="F5201" s="6"/>
      <c r="G5201" s="24" t="str">
        <f>IF(F5201="", "", VLOOKUP(F5201, Inventory!A:BZ, 3, FALSE) - SUMIF($F$1:$F5200, F5201, $H$1:$H5200))
</f>
        <v/>
      </c>
      <c r="I5201" s="26"/>
      <c r="J5201" s="26" t="s">
        <v>77</v>
      </c>
      <c r="L5201" s="27" t="s">
        <v>77</v>
      </c>
      <c r="N5201" s="28" t="s">
        <v>77</v>
      </c>
      <c r="Q5201" s="30"/>
    </row>
    <row r="5202">
      <c r="B5202" s="6"/>
      <c r="C5202" s="33" t="str">
        <f t="array" ref="C5202">IF(B5202="", "", XLOOKUP(B5202, Inventory!D:D,Inventory!E:E,"No Name Found"))</f>
        <v/>
      </c>
      <c r="D5202" s="6"/>
      <c r="E5202" s="6"/>
      <c r="F5202" s="6"/>
      <c r="G5202" s="24" t="str">
        <f>IF(F5202="", "", VLOOKUP(F5202, Inventory!A:BZ, 3, FALSE) - SUMIF($F$1:$F5201, F5202, $H$1:$H5201))
</f>
        <v/>
      </c>
      <c r="I5202" s="26"/>
      <c r="J5202" s="26" t="s">
        <v>77</v>
      </c>
      <c r="L5202" s="27" t="s">
        <v>77</v>
      </c>
      <c r="N5202" s="28" t="s">
        <v>77</v>
      </c>
      <c r="Q5202" s="30"/>
    </row>
    <row r="5203">
      <c r="B5203" s="6"/>
      <c r="C5203" s="33" t="str">
        <f t="array" ref="C5203">IF(B5203="", "", XLOOKUP(B5203, Inventory!D:D,Inventory!E:E,"No Name Found"))</f>
        <v/>
      </c>
      <c r="D5203" s="6"/>
      <c r="E5203" s="6"/>
      <c r="F5203" s="6"/>
      <c r="G5203" s="24" t="str">
        <f>IF(F5203="", "", VLOOKUP(F5203, Inventory!A:BZ, 3, FALSE) - SUMIF($F$1:$F5202, F5203, $H$1:$H5202))
</f>
        <v/>
      </c>
      <c r="I5203" s="26"/>
      <c r="J5203" s="26" t="s">
        <v>77</v>
      </c>
      <c r="L5203" s="27" t="s">
        <v>77</v>
      </c>
      <c r="N5203" s="28" t="s">
        <v>77</v>
      </c>
      <c r="Q5203" s="30"/>
    </row>
    <row r="5204">
      <c r="B5204" s="6"/>
      <c r="C5204" s="33" t="str">
        <f t="array" ref="C5204">IF(B5204="", "", XLOOKUP(B5204, Inventory!D:D,Inventory!E:E,"No Name Found"))</f>
        <v/>
      </c>
      <c r="D5204" s="6"/>
      <c r="E5204" s="6"/>
      <c r="F5204" s="6"/>
      <c r="G5204" s="24" t="str">
        <f>IF(F5204="", "", VLOOKUP(F5204, Inventory!A:BZ, 3, FALSE) - SUMIF($F$1:$F5203, F5204, $H$1:$H5203))
</f>
        <v/>
      </c>
      <c r="I5204" s="26"/>
      <c r="J5204" s="26" t="s">
        <v>77</v>
      </c>
      <c r="L5204" s="27" t="s">
        <v>77</v>
      </c>
      <c r="N5204" s="28" t="s">
        <v>77</v>
      </c>
      <c r="Q5204" s="30"/>
    </row>
    <row r="5205">
      <c r="B5205" s="6"/>
      <c r="C5205" s="33" t="str">
        <f t="array" ref="C5205">IF(B5205="", "", XLOOKUP(B5205, Inventory!D:D,Inventory!E:E,"No Name Found"))</f>
        <v/>
      </c>
      <c r="D5205" s="6"/>
      <c r="E5205" s="6"/>
      <c r="F5205" s="6"/>
      <c r="G5205" s="24" t="str">
        <f>IF(F5205="", "", VLOOKUP(F5205, Inventory!A:BZ, 3, FALSE) - SUMIF($F$1:$F5204, F5205, $H$1:$H5204))
</f>
        <v/>
      </c>
      <c r="I5205" s="26"/>
      <c r="J5205" s="26" t="s">
        <v>77</v>
      </c>
      <c r="L5205" s="27" t="s">
        <v>77</v>
      </c>
      <c r="N5205" s="28" t="s">
        <v>77</v>
      </c>
      <c r="Q5205" s="30"/>
    </row>
    <row r="5206">
      <c r="B5206" s="6"/>
      <c r="C5206" s="33" t="str">
        <f t="array" ref="C5206">IF(B5206="", "", XLOOKUP(B5206, Inventory!D:D,Inventory!E:E,"No Name Found"))</f>
        <v/>
      </c>
      <c r="D5206" s="6"/>
      <c r="E5206" s="6"/>
      <c r="F5206" s="6"/>
      <c r="G5206" s="24" t="str">
        <f>IF(F5206="", "", VLOOKUP(F5206, Inventory!A:BZ, 3, FALSE) - SUMIF($F$1:$F5205, F5206, $H$1:$H5205))
</f>
        <v/>
      </c>
      <c r="I5206" s="26"/>
      <c r="J5206" s="26" t="s">
        <v>77</v>
      </c>
      <c r="L5206" s="27" t="s">
        <v>77</v>
      </c>
      <c r="N5206" s="28" t="s">
        <v>77</v>
      </c>
      <c r="Q5206" s="30"/>
    </row>
    <row r="5207">
      <c r="B5207" s="6"/>
      <c r="C5207" s="33" t="str">
        <f t="array" ref="C5207">IF(B5207="", "", XLOOKUP(B5207, Inventory!D:D,Inventory!E:E,"No Name Found"))</f>
        <v/>
      </c>
      <c r="D5207" s="6"/>
      <c r="E5207" s="6"/>
      <c r="F5207" s="6"/>
      <c r="G5207" s="24" t="str">
        <f>IF(F5207="", "", VLOOKUP(F5207, Inventory!A:BZ, 3, FALSE) - SUMIF($F$1:$F5206, F5207, $H$1:$H5206))
</f>
        <v/>
      </c>
      <c r="I5207" s="26"/>
      <c r="J5207" s="26" t="s">
        <v>77</v>
      </c>
      <c r="L5207" s="27" t="s">
        <v>77</v>
      </c>
      <c r="N5207" s="28" t="s">
        <v>77</v>
      </c>
      <c r="Q5207" s="30"/>
    </row>
    <row r="5208">
      <c r="B5208" s="6"/>
      <c r="C5208" s="33" t="str">
        <f t="array" ref="C5208">IF(B5208="", "", XLOOKUP(B5208, Inventory!D:D,Inventory!E:E,"No Name Found"))</f>
        <v/>
      </c>
      <c r="D5208" s="6"/>
      <c r="E5208" s="6"/>
      <c r="F5208" s="6"/>
      <c r="G5208" s="24" t="str">
        <f>IF(F5208="", "", VLOOKUP(F5208, Inventory!A:BZ, 3, FALSE) - SUMIF($F$1:$F5207, F5208, $H$1:$H5207))
</f>
        <v/>
      </c>
      <c r="I5208" s="26"/>
      <c r="J5208" s="26" t="s">
        <v>77</v>
      </c>
      <c r="L5208" s="27" t="s">
        <v>77</v>
      </c>
      <c r="N5208" s="28" t="s">
        <v>77</v>
      </c>
      <c r="Q5208" s="30"/>
    </row>
    <row r="5209">
      <c r="B5209" s="6"/>
      <c r="C5209" s="33" t="str">
        <f t="array" ref="C5209">IF(B5209="", "", XLOOKUP(B5209, Inventory!D:D,Inventory!E:E,"No Name Found"))</f>
        <v/>
      </c>
      <c r="D5209" s="6"/>
      <c r="E5209" s="6"/>
      <c r="F5209" s="6"/>
      <c r="G5209" s="24" t="str">
        <f>IF(F5209="", "", VLOOKUP(F5209, Inventory!A:BZ, 3, FALSE) - SUMIF($F$1:$F5208, F5209, $H$1:$H5208))
</f>
        <v/>
      </c>
      <c r="I5209" s="26"/>
      <c r="J5209" s="26" t="s">
        <v>77</v>
      </c>
      <c r="L5209" s="27" t="s">
        <v>77</v>
      </c>
      <c r="N5209" s="28" t="s">
        <v>77</v>
      </c>
      <c r="Q5209" s="30"/>
    </row>
    <row r="5210">
      <c r="B5210" s="6"/>
      <c r="C5210" s="33" t="str">
        <f t="array" ref="C5210">IF(B5210="", "", XLOOKUP(B5210, Inventory!D:D,Inventory!E:E,"No Name Found"))</f>
        <v/>
      </c>
      <c r="D5210" s="6"/>
      <c r="E5210" s="6"/>
      <c r="F5210" s="6"/>
      <c r="G5210" s="24" t="str">
        <f>IF(F5210="", "", VLOOKUP(F5210, Inventory!A:BZ, 3, FALSE) - SUMIF($F$1:$F5209, F5210, $H$1:$H5209))
</f>
        <v/>
      </c>
      <c r="I5210" s="26"/>
      <c r="J5210" s="26" t="s">
        <v>77</v>
      </c>
      <c r="L5210" s="27" t="s">
        <v>77</v>
      </c>
      <c r="N5210" s="28" t="s">
        <v>77</v>
      </c>
      <c r="Q5210" s="30"/>
    </row>
    <row r="5211">
      <c r="B5211" s="6"/>
      <c r="C5211" s="33" t="str">
        <f t="array" ref="C5211">IF(B5211="", "", XLOOKUP(B5211, Inventory!D:D,Inventory!E:E,"No Name Found"))</f>
        <v/>
      </c>
      <c r="D5211" s="6"/>
      <c r="E5211" s="6"/>
      <c r="F5211" s="6"/>
      <c r="G5211" s="24" t="str">
        <f>IF(F5211="", "", VLOOKUP(F5211, Inventory!A:BZ, 3, FALSE) - SUMIF($F$1:$F5210, F5211, $H$1:$H5210))
</f>
        <v/>
      </c>
      <c r="I5211" s="26"/>
      <c r="J5211" s="26" t="s">
        <v>77</v>
      </c>
      <c r="L5211" s="27" t="s">
        <v>77</v>
      </c>
      <c r="N5211" s="28" t="s">
        <v>77</v>
      </c>
      <c r="Q5211" s="30"/>
    </row>
    <row r="5212">
      <c r="B5212" s="6"/>
      <c r="C5212" s="33" t="str">
        <f t="array" ref="C5212">IF(B5212="", "", XLOOKUP(B5212, Inventory!D:D,Inventory!E:E,"No Name Found"))</f>
        <v/>
      </c>
      <c r="D5212" s="6"/>
      <c r="E5212" s="6"/>
      <c r="F5212" s="6"/>
      <c r="G5212" s="24" t="str">
        <f>IF(F5212="", "", VLOOKUP(F5212, Inventory!A:BZ, 3, FALSE) - SUMIF($F$1:$F5211, F5212, $H$1:$H5211))
</f>
        <v/>
      </c>
      <c r="I5212" s="26"/>
      <c r="J5212" s="26" t="s">
        <v>77</v>
      </c>
      <c r="L5212" s="27" t="s">
        <v>77</v>
      </c>
      <c r="N5212" s="28" t="s">
        <v>77</v>
      </c>
      <c r="Q5212" s="30"/>
    </row>
    <row r="5213">
      <c r="B5213" s="6"/>
      <c r="C5213" s="33" t="str">
        <f t="array" ref="C5213">IF(B5213="", "", XLOOKUP(B5213, Inventory!D:D,Inventory!E:E,"No Name Found"))</f>
        <v/>
      </c>
      <c r="D5213" s="6"/>
      <c r="E5213" s="6"/>
      <c r="F5213" s="6"/>
      <c r="G5213" s="24" t="str">
        <f>IF(F5213="", "", VLOOKUP(F5213, Inventory!A:BZ, 3, FALSE) - SUMIF($F$1:$F5212, F5213, $H$1:$H5212))
</f>
        <v/>
      </c>
      <c r="I5213" s="26"/>
      <c r="J5213" s="26" t="s">
        <v>77</v>
      </c>
      <c r="L5213" s="27" t="s">
        <v>77</v>
      </c>
      <c r="N5213" s="28" t="s">
        <v>77</v>
      </c>
      <c r="Q5213" s="30"/>
    </row>
    <row r="5214">
      <c r="B5214" s="6"/>
      <c r="C5214" s="33" t="str">
        <f t="array" ref="C5214">IF(B5214="", "", XLOOKUP(B5214, Inventory!D:D,Inventory!E:E,"No Name Found"))</f>
        <v/>
      </c>
      <c r="D5214" s="6"/>
      <c r="E5214" s="6"/>
      <c r="F5214" s="6"/>
      <c r="G5214" s="24" t="str">
        <f>IF(F5214="", "", VLOOKUP(F5214, Inventory!A:BZ, 3, FALSE) - SUMIF($F$1:$F5213, F5214, $H$1:$H5213))
</f>
        <v/>
      </c>
      <c r="I5214" s="26"/>
      <c r="J5214" s="26" t="s">
        <v>77</v>
      </c>
      <c r="L5214" s="27" t="s">
        <v>77</v>
      </c>
      <c r="N5214" s="28" t="s">
        <v>77</v>
      </c>
      <c r="Q5214" s="30"/>
    </row>
    <row r="5215">
      <c r="B5215" s="6"/>
      <c r="C5215" s="33" t="str">
        <f t="array" ref="C5215">IF(B5215="", "", XLOOKUP(B5215, Inventory!D:D,Inventory!E:E,"No Name Found"))</f>
        <v/>
      </c>
      <c r="D5215" s="6"/>
      <c r="E5215" s="6"/>
      <c r="F5215" s="6"/>
      <c r="G5215" s="24" t="str">
        <f>IF(F5215="", "", VLOOKUP(F5215, Inventory!A:BZ, 3, FALSE) - SUMIF($F$1:$F5214, F5215, $H$1:$H5214))
</f>
        <v/>
      </c>
      <c r="I5215" s="26"/>
      <c r="J5215" s="26" t="s">
        <v>77</v>
      </c>
      <c r="L5215" s="27" t="s">
        <v>77</v>
      </c>
      <c r="N5215" s="28" t="s">
        <v>77</v>
      </c>
      <c r="Q5215" s="30"/>
    </row>
    <row r="5216">
      <c r="B5216" s="6"/>
      <c r="C5216" s="33" t="str">
        <f t="array" ref="C5216">IF(B5216="", "", XLOOKUP(B5216, Inventory!D:D,Inventory!E:E,"No Name Found"))</f>
        <v/>
      </c>
      <c r="D5216" s="6"/>
      <c r="E5216" s="6"/>
      <c r="F5216" s="6"/>
      <c r="G5216" s="24" t="str">
        <f>IF(F5216="", "", VLOOKUP(F5216, Inventory!A:BZ, 3, FALSE) - SUMIF($F$1:$F5215, F5216, $H$1:$H5215))
</f>
        <v/>
      </c>
      <c r="I5216" s="26"/>
      <c r="J5216" s="26" t="s">
        <v>77</v>
      </c>
      <c r="L5216" s="27" t="s">
        <v>77</v>
      </c>
      <c r="N5216" s="28" t="s">
        <v>77</v>
      </c>
      <c r="Q5216" s="30"/>
    </row>
    <row r="5217">
      <c r="B5217" s="6"/>
      <c r="C5217" s="33" t="str">
        <f t="array" ref="C5217">IF(B5217="", "", XLOOKUP(B5217, Inventory!D:D,Inventory!E:E,"No Name Found"))</f>
        <v/>
      </c>
      <c r="D5217" s="6"/>
      <c r="E5217" s="6"/>
      <c r="F5217" s="6"/>
      <c r="G5217" s="24" t="str">
        <f>IF(F5217="", "", VLOOKUP(F5217, Inventory!A:BZ, 3, FALSE) - SUMIF($F$1:$F5216, F5217, $H$1:$H5216))
</f>
        <v/>
      </c>
      <c r="I5217" s="26"/>
      <c r="J5217" s="26" t="s">
        <v>77</v>
      </c>
      <c r="L5217" s="27" t="s">
        <v>77</v>
      </c>
      <c r="N5217" s="28" t="s">
        <v>77</v>
      </c>
      <c r="Q5217" s="30"/>
    </row>
    <row r="5218">
      <c r="B5218" s="6"/>
      <c r="C5218" s="33" t="str">
        <f t="array" ref="C5218">IF(B5218="", "", XLOOKUP(B5218, Inventory!D:D,Inventory!E:E,"No Name Found"))</f>
        <v/>
      </c>
      <c r="D5218" s="6"/>
      <c r="E5218" s="6"/>
      <c r="F5218" s="6"/>
      <c r="G5218" s="24" t="str">
        <f>IF(F5218="", "", VLOOKUP(F5218, Inventory!A:BZ, 3, FALSE) - SUMIF($F$1:$F5217, F5218, $H$1:$H5217))
</f>
        <v/>
      </c>
      <c r="I5218" s="26"/>
      <c r="J5218" s="26" t="s">
        <v>77</v>
      </c>
      <c r="L5218" s="27" t="s">
        <v>77</v>
      </c>
      <c r="N5218" s="28" t="s">
        <v>77</v>
      </c>
      <c r="Q5218" s="30"/>
    </row>
    <row r="5219">
      <c r="B5219" s="6"/>
      <c r="C5219" s="33" t="str">
        <f t="array" ref="C5219">IF(B5219="", "", XLOOKUP(B5219, Inventory!D:D,Inventory!E:E,"No Name Found"))</f>
        <v/>
      </c>
      <c r="D5219" s="6"/>
      <c r="E5219" s="6"/>
      <c r="F5219" s="6"/>
      <c r="G5219" s="24" t="str">
        <f>IF(F5219="", "", VLOOKUP(F5219, Inventory!A:BZ, 3, FALSE) - SUMIF($F$1:$F5218, F5219, $H$1:$H5218))
</f>
        <v/>
      </c>
      <c r="I5219" s="26"/>
      <c r="J5219" s="26" t="s">
        <v>77</v>
      </c>
      <c r="L5219" s="27" t="s">
        <v>77</v>
      </c>
      <c r="N5219" s="28" t="s">
        <v>77</v>
      </c>
      <c r="Q5219" s="30"/>
    </row>
    <row r="5220">
      <c r="B5220" s="6"/>
      <c r="C5220" s="33" t="str">
        <f t="array" ref="C5220">IF(B5220="", "", XLOOKUP(B5220, Inventory!D:D,Inventory!E:E,"No Name Found"))</f>
        <v/>
      </c>
      <c r="D5220" s="6"/>
      <c r="E5220" s="6"/>
      <c r="F5220" s="6"/>
      <c r="G5220" s="24" t="str">
        <f>IF(F5220="", "", VLOOKUP(F5220, Inventory!A:BZ, 3, FALSE) - SUMIF($F$1:$F5219, F5220, $H$1:$H5219))
</f>
        <v/>
      </c>
      <c r="I5220" s="26"/>
      <c r="J5220" s="26" t="s">
        <v>77</v>
      </c>
      <c r="L5220" s="27" t="s">
        <v>77</v>
      </c>
      <c r="N5220" s="28" t="s">
        <v>77</v>
      </c>
      <c r="Q5220" s="30"/>
    </row>
    <row r="5221">
      <c r="B5221" s="6"/>
      <c r="C5221" s="33" t="str">
        <f t="array" ref="C5221">IF(B5221="", "", XLOOKUP(B5221, Inventory!D:D,Inventory!E:E,"No Name Found"))</f>
        <v/>
      </c>
      <c r="D5221" s="6"/>
      <c r="E5221" s="6"/>
      <c r="F5221" s="6"/>
      <c r="G5221" s="24" t="str">
        <f>IF(F5221="", "", VLOOKUP(F5221, Inventory!A:BZ, 3, FALSE) - SUMIF($F$1:$F5220, F5221, $H$1:$H5220))
</f>
        <v/>
      </c>
      <c r="I5221" s="26"/>
      <c r="J5221" s="26" t="s">
        <v>77</v>
      </c>
      <c r="L5221" s="27" t="s">
        <v>77</v>
      </c>
      <c r="N5221" s="28" t="s">
        <v>77</v>
      </c>
      <c r="Q5221" s="30"/>
    </row>
    <row r="5222">
      <c r="B5222" s="6"/>
      <c r="C5222" s="33" t="str">
        <f t="array" ref="C5222">IF(B5222="", "", XLOOKUP(B5222, Inventory!D:D,Inventory!E:E,"No Name Found"))</f>
        <v/>
      </c>
      <c r="D5222" s="6"/>
      <c r="E5222" s="6"/>
      <c r="F5222" s="6"/>
      <c r="G5222" s="24" t="str">
        <f>IF(F5222="", "", VLOOKUP(F5222, Inventory!A:BZ, 3, FALSE) - SUMIF($F$1:$F5221, F5222, $H$1:$H5221))
</f>
        <v/>
      </c>
      <c r="I5222" s="26"/>
      <c r="J5222" s="26" t="s">
        <v>77</v>
      </c>
      <c r="L5222" s="27" t="s">
        <v>77</v>
      </c>
      <c r="N5222" s="28" t="s">
        <v>77</v>
      </c>
      <c r="Q5222" s="30"/>
    </row>
    <row r="5223">
      <c r="B5223" s="6"/>
      <c r="C5223" s="33" t="str">
        <f t="array" ref="C5223">IF(B5223="", "", XLOOKUP(B5223, Inventory!D:D,Inventory!E:E,"No Name Found"))</f>
        <v/>
      </c>
      <c r="D5223" s="6"/>
      <c r="E5223" s="6"/>
      <c r="F5223" s="6"/>
      <c r="G5223" s="24" t="str">
        <f>IF(F5223="", "", VLOOKUP(F5223, Inventory!A:BZ, 3, FALSE) - SUMIF($F$1:$F5222, F5223, $H$1:$H5222))
</f>
        <v/>
      </c>
      <c r="I5223" s="26"/>
      <c r="J5223" s="26" t="s">
        <v>77</v>
      </c>
      <c r="L5223" s="27" t="s">
        <v>77</v>
      </c>
      <c r="N5223" s="28" t="s">
        <v>77</v>
      </c>
      <c r="Q5223" s="30"/>
    </row>
    <row r="5224">
      <c r="B5224" s="6"/>
      <c r="C5224" s="33" t="str">
        <f t="array" ref="C5224">IF(B5224="", "", XLOOKUP(B5224, Inventory!D:D,Inventory!E:E,"No Name Found"))</f>
        <v/>
      </c>
      <c r="D5224" s="6"/>
      <c r="E5224" s="6"/>
      <c r="F5224" s="6"/>
      <c r="G5224" s="24" t="str">
        <f>IF(F5224="", "", VLOOKUP(F5224, Inventory!A:BZ, 3, FALSE) - SUMIF($F$1:$F5223, F5224, $H$1:$H5223))
</f>
        <v/>
      </c>
      <c r="I5224" s="26"/>
      <c r="J5224" s="26" t="s">
        <v>77</v>
      </c>
      <c r="L5224" s="27" t="s">
        <v>77</v>
      </c>
      <c r="N5224" s="28" t="s">
        <v>77</v>
      </c>
      <c r="Q5224" s="30"/>
    </row>
    <row r="5225">
      <c r="B5225" s="6"/>
      <c r="C5225" s="33" t="str">
        <f t="array" ref="C5225">IF(B5225="", "", XLOOKUP(B5225, Inventory!D:D,Inventory!E:E,"No Name Found"))</f>
        <v/>
      </c>
      <c r="D5225" s="6"/>
      <c r="E5225" s="6"/>
      <c r="F5225" s="6"/>
      <c r="G5225" s="24" t="str">
        <f>IF(F5225="", "", VLOOKUP(F5225, Inventory!A:BZ, 3, FALSE) - SUMIF($F$1:$F5224, F5225, $H$1:$H5224))
</f>
        <v/>
      </c>
      <c r="I5225" s="26"/>
      <c r="J5225" s="26" t="s">
        <v>77</v>
      </c>
      <c r="L5225" s="27" t="s">
        <v>77</v>
      </c>
      <c r="N5225" s="28" t="s">
        <v>77</v>
      </c>
      <c r="Q5225" s="30"/>
    </row>
    <row r="5226">
      <c r="B5226" s="6"/>
      <c r="C5226" s="33" t="str">
        <f t="array" ref="C5226">IF(B5226="", "", XLOOKUP(B5226, Inventory!D:D,Inventory!E:E,"No Name Found"))</f>
        <v/>
      </c>
      <c r="D5226" s="6"/>
      <c r="E5226" s="6"/>
      <c r="F5226" s="6"/>
      <c r="G5226" s="24" t="str">
        <f>IF(F5226="", "", VLOOKUP(F5226, Inventory!A:BZ, 3, FALSE) - SUMIF($F$1:$F5225, F5226, $H$1:$H5225))
</f>
        <v/>
      </c>
      <c r="I5226" s="26"/>
      <c r="J5226" s="26" t="s">
        <v>77</v>
      </c>
      <c r="L5226" s="27" t="s">
        <v>77</v>
      </c>
      <c r="N5226" s="28" t="s">
        <v>77</v>
      </c>
      <c r="Q5226" s="30"/>
    </row>
    <row r="5227">
      <c r="B5227" s="6"/>
      <c r="C5227" s="33" t="str">
        <f t="array" ref="C5227">IF(B5227="", "", XLOOKUP(B5227, Inventory!D:D,Inventory!E:E,"No Name Found"))</f>
        <v/>
      </c>
      <c r="D5227" s="6"/>
      <c r="E5227" s="6"/>
      <c r="F5227" s="6"/>
      <c r="G5227" s="24" t="str">
        <f>IF(F5227="", "", VLOOKUP(F5227, Inventory!A:BZ, 3, FALSE) - SUMIF($F$1:$F5226, F5227, $H$1:$H5226))
</f>
        <v/>
      </c>
      <c r="I5227" s="26"/>
      <c r="J5227" s="26" t="s">
        <v>77</v>
      </c>
      <c r="L5227" s="27" t="s">
        <v>77</v>
      </c>
      <c r="N5227" s="28" t="s">
        <v>77</v>
      </c>
      <c r="Q5227" s="30"/>
    </row>
    <row r="5228">
      <c r="B5228" s="6"/>
      <c r="C5228" s="33" t="str">
        <f t="array" ref="C5228">IF(B5228="", "", XLOOKUP(B5228, Inventory!D:D,Inventory!E:E,"No Name Found"))</f>
        <v/>
      </c>
      <c r="D5228" s="6"/>
      <c r="E5228" s="6"/>
      <c r="F5228" s="6"/>
      <c r="G5228" s="24" t="str">
        <f>IF(F5228="", "", VLOOKUP(F5228, Inventory!A:BZ, 3, FALSE) - SUMIF($F$1:$F5227, F5228, $H$1:$H5227))
</f>
        <v/>
      </c>
      <c r="I5228" s="26"/>
      <c r="J5228" s="26" t="s">
        <v>77</v>
      </c>
      <c r="L5228" s="27" t="s">
        <v>77</v>
      </c>
      <c r="N5228" s="28" t="s">
        <v>77</v>
      </c>
      <c r="Q5228" s="30"/>
    </row>
    <row r="5229">
      <c r="B5229" s="6"/>
      <c r="C5229" s="33" t="str">
        <f t="array" ref="C5229">IF(B5229="", "", XLOOKUP(B5229, Inventory!D:D,Inventory!E:E,"No Name Found"))</f>
        <v/>
      </c>
      <c r="D5229" s="6"/>
      <c r="E5229" s="6"/>
      <c r="F5229" s="6"/>
      <c r="G5229" s="24" t="str">
        <f>IF(F5229="", "", VLOOKUP(F5229, Inventory!A:BZ, 3, FALSE) - SUMIF($F$1:$F5228, F5229, $H$1:$H5228))
</f>
        <v/>
      </c>
      <c r="I5229" s="26"/>
      <c r="J5229" s="26" t="s">
        <v>77</v>
      </c>
      <c r="L5229" s="27" t="s">
        <v>77</v>
      </c>
      <c r="N5229" s="28" t="s">
        <v>77</v>
      </c>
      <c r="Q5229" s="30"/>
    </row>
    <row r="5230">
      <c r="B5230" s="6"/>
      <c r="C5230" s="33" t="str">
        <f t="array" ref="C5230">IF(B5230="", "", XLOOKUP(B5230, Inventory!D:D,Inventory!E:E,"No Name Found"))</f>
        <v/>
      </c>
      <c r="D5230" s="6"/>
      <c r="E5230" s="6"/>
      <c r="F5230" s="6"/>
      <c r="G5230" s="24" t="str">
        <f>IF(F5230="", "", VLOOKUP(F5230, Inventory!A:BZ, 3, FALSE) - SUMIF($F$1:$F5229, F5230, $H$1:$H5229))
</f>
        <v/>
      </c>
      <c r="I5230" s="26"/>
      <c r="J5230" s="26" t="s">
        <v>77</v>
      </c>
      <c r="L5230" s="27" t="s">
        <v>77</v>
      </c>
      <c r="N5230" s="28" t="s">
        <v>77</v>
      </c>
      <c r="Q5230" s="30"/>
    </row>
    <row r="5231">
      <c r="B5231" s="6"/>
      <c r="C5231" s="33" t="str">
        <f t="array" ref="C5231">IF(B5231="", "", XLOOKUP(B5231, Inventory!D:D,Inventory!E:E,"No Name Found"))</f>
        <v/>
      </c>
      <c r="D5231" s="6"/>
      <c r="E5231" s="6"/>
      <c r="F5231" s="6"/>
      <c r="G5231" s="24" t="str">
        <f>IF(F5231="", "", VLOOKUP(F5231, Inventory!A:BZ, 3, FALSE) - SUMIF($F$1:$F5230, F5231, $H$1:$H5230))
</f>
        <v/>
      </c>
      <c r="I5231" s="26"/>
      <c r="J5231" s="26" t="s">
        <v>77</v>
      </c>
      <c r="L5231" s="27" t="s">
        <v>77</v>
      </c>
      <c r="N5231" s="28" t="s">
        <v>77</v>
      </c>
      <c r="Q5231" s="30"/>
    </row>
    <row r="5232">
      <c r="B5232" s="6"/>
      <c r="C5232" s="33" t="str">
        <f t="array" ref="C5232">IF(B5232="", "", XLOOKUP(B5232, Inventory!D:D,Inventory!E:E,"No Name Found"))</f>
        <v/>
      </c>
      <c r="D5232" s="6"/>
      <c r="E5232" s="6"/>
      <c r="F5232" s="6"/>
      <c r="G5232" s="24" t="str">
        <f>IF(F5232="", "", VLOOKUP(F5232, Inventory!A:BZ, 3, FALSE) - SUMIF($F$1:$F5231, F5232, $H$1:$H5231))
</f>
        <v/>
      </c>
      <c r="I5232" s="26"/>
      <c r="J5232" s="26" t="s">
        <v>77</v>
      </c>
      <c r="L5232" s="27" t="s">
        <v>77</v>
      </c>
      <c r="N5232" s="28" t="s">
        <v>77</v>
      </c>
      <c r="Q5232" s="30"/>
    </row>
    <row r="5233">
      <c r="B5233" s="6"/>
      <c r="C5233" s="33" t="str">
        <f t="array" ref="C5233">IF(B5233="", "", XLOOKUP(B5233, Inventory!D:D,Inventory!E:E,"No Name Found"))</f>
        <v/>
      </c>
      <c r="D5233" s="6"/>
      <c r="E5233" s="6"/>
      <c r="F5233" s="6"/>
      <c r="G5233" s="24" t="str">
        <f>IF(F5233="", "", VLOOKUP(F5233, Inventory!A:BZ, 3, FALSE) - SUMIF($F$1:$F5232, F5233, $H$1:$H5232))
</f>
        <v/>
      </c>
      <c r="I5233" s="26"/>
      <c r="J5233" s="26" t="s">
        <v>77</v>
      </c>
      <c r="L5233" s="27" t="s">
        <v>77</v>
      </c>
      <c r="N5233" s="28" t="s">
        <v>77</v>
      </c>
      <c r="Q5233" s="30"/>
    </row>
    <row r="5234">
      <c r="B5234" s="6"/>
      <c r="C5234" s="33" t="str">
        <f t="array" ref="C5234">IF(B5234="", "", XLOOKUP(B5234, Inventory!D:D,Inventory!E:E,"No Name Found"))</f>
        <v/>
      </c>
      <c r="D5234" s="6"/>
      <c r="E5234" s="6"/>
      <c r="F5234" s="6"/>
      <c r="G5234" s="24" t="str">
        <f>IF(F5234="", "", VLOOKUP(F5234, Inventory!A:BZ, 3, FALSE) - SUMIF($F$1:$F5233, F5234, $H$1:$H5233))
</f>
        <v/>
      </c>
      <c r="I5234" s="26"/>
      <c r="J5234" s="26" t="s">
        <v>77</v>
      </c>
      <c r="L5234" s="27" t="s">
        <v>77</v>
      </c>
      <c r="N5234" s="28" t="s">
        <v>77</v>
      </c>
      <c r="Q5234" s="30"/>
    </row>
    <row r="5235">
      <c r="B5235" s="6"/>
      <c r="C5235" s="33" t="str">
        <f t="array" ref="C5235">IF(B5235="", "", XLOOKUP(B5235, Inventory!D:D,Inventory!E:E,"No Name Found"))</f>
        <v/>
      </c>
      <c r="D5235" s="6"/>
      <c r="E5235" s="6"/>
      <c r="F5235" s="6"/>
      <c r="G5235" s="24" t="str">
        <f>IF(F5235="", "", VLOOKUP(F5235, Inventory!A:BZ, 3, FALSE) - SUMIF($F$1:$F5234, F5235, $H$1:$H5234))
</f>
        <v/>
      </c>
      <c r="I5235" s="26"/>
      <c r="J5235" s="26" t="s">
        <v>77</v>
      </c>
      <c r="L5235" s="27" t="s">
        <v>77</v>
      </c>
      <c r="N5235" s="28" t="s">
        <v>77</v>
      </c>
      <c r="Q5235" s="30"/>
    </row>
    <row r="5236">
      <c r="B5236" s="6"/>
      <c r="C5236" s="33" t="str">
        <f t="array" ref="C5236">IF(B5236="", "", XLOOKUP(B5236, Inventory!D:D,Inventory!E:E,"No Name Found"))</f>
        <v/>
      </c>
      <c r="D5236" s="6"/>
      <c r="E5236" s="6"/>
      <c r="F5236" s="6"/>
      <c r="G5236" s="24" t="str">
        <f>IF(F5236="", "", VLOOKUP(F5236, Inventory!A:BZ, 3, FALSE) - SUMIF($F$1:$F5235, F5236, $H$1:$H5235))
</f>
        <v/>
      </c>
      <c r="I5236" s="26"/>
      <c r="J5236" s="26" t="s">
        <v>77</v>
      </c>
      <c r="L5236" s="27" t="s">
        <v>77</v>
      </c>
      <c r="N5236" s="28" t="s">
        <v>77</v>
      </c>
      <c r="Q5236" s="30"/>
    </row>
    <row r="5237">
      <c r="B5237" s="6"/>
      <c r="C5237" s="33" t="str">
        <f t="array" ref="C5237">IF(B5237="", "", XLOOKUP(B5237, Inventory!D:D,Inventory!E:E,"No Name Found"))</f>
        <v/>
      </c>
      <c r="D5237" s="6"/>
      <c r="E5237" s="6"/>
      <c r="F5237" s="6"/>
      <c r="G5237" s="24" t="str">
        <f>IF(F5237="", "", VLOOKUP(F5237, Inventory!A:BZ, 3, FALSE) - SUMIF($F$1:$F5236, F5237, $H$1:$H5236))
</f>
        <v/>
      </c>
      <c r="I5237" s="26"/>
      <c r="J5237" s="26" t="s">
        <v>77</v>
      </c>
      <c r="L5237" s="27" t="s">
        <v>77</v>
      </c>
      <c r="N5237" s="28" t="s">
        <v>77</v>
      </c>
      <c r="Q5237" s="30"/>
    </row>
    <row r="5238">
      <c r="B5238" s="6"/>
      <c r="C5238" s="33" t="str">
        <f t="array" ref="C5238">IF(B5238="", "", XLOOKUP(B5238, Inventory!D:D,Inventory!E:E,"No Name Found"))</f>
        <v/>
      </c>
      <c r="D5238" s="6"/>
      <c r="E5238" s="6"/>
      <c r="F5238" s="6"/>
      <c r="G5238" s="24" t="str">
        <f>IF(F5238="", "", VLOOKUP(F5238, Inventory!A:BZ, 3, FALSE) - SUMIF($F$1:$F5237, F5238, $H$1:$H5237))
</f>
        <v/>
      </c>
      <c r="I5238" s="26"/>
      <c r="J5238" s="26" t="s">
        <v>77</v>
      </c>
      <c r="L5238" s="27" t="s">
        <v>77</v>
      </c>
      <c r="N5238" s="28" t="s">
        <v>77</v>
      </c>
      <c r="Q5238" s="30"/>
    </row>
    <row r="5239">
      <c r="B5239" s="6"/>
      <c r="C5239" s="33" t="str">
        <f t="array" ref="C5239">IF(B5239="", "", XLOOKUP(B5239, Inventory!D:D,Inventory!E:E,"No Name Found"))</f>
        <v/>
      </c>
      <c r="D5239" s="6"/>
      <c r="E5239" s="6"/>
      <c r="F5239" s="6"/>
      <c r="G5239" s="24" t="str">
        <f>IF(F5239="", "", VLOOKUP(F5239, Inventory!A:BZ, 3, FALSE) - SUMIF($F$1:$F5238, F5239, $H$1:$H5238))
</f>
        <v/>
      </c>
      <c r="I5239" s="26"/>
      <c r="J5239" s="26" t="s">
        <v>77</v>
      </c>
      <c r="L5239" s="27" t="s">
        <v>77</v>
      </c>
      <c r="N5239" s="28" t="s">
        <v>77</v>
      </c>
      <c r="Q5239" s="30"/>
    </row>
    <row r="5240">
      <c r="B5240" s="6"/>
      <c r="C5240" s="33" t="str">
        <f t="array" ref="C5240">IF(B5240="", "", XLOOKUP(B5240, Inventory!D:D,Inventory!E:E,"No Name Found"))</f>
        <v/>
      </c>
      <c r="D5240" s="6"/>
      <c r="E5240" s="6"/>
      <c r="F5240" s="6"/>
      <c r="G5240" s="24" t="str">
        <f>IF(F5240="", "", VLOOKUP(F5240, Inventory!A:BZ, 3, FALSE) - SUMIF($F$1:$F5239, F5240, $H$1:$H5239))
</f>
        <v/>
      </c>
      <c r="I5240" s="26"/>
      <c r="J5240" s="26" t="s">
        <v>77</v>
      </c>
      <c r="L5240" s="27" t="s">
        <v>77</v>
      </c>
      <c r="N5240" s="28" t="s">
        <v>77</v>
      </c>
      <c r="Q5240" s="30"/>
    </row>
    <row r="5241">
      <c r="B5241" s="6"/>
      <c r="C5241" s="33" t="str">
        <f t="array" ref="C5241">IF(B5241="", "", XLOOKUP(B5241, Inventory!D:D,Inventory!E:E,"No Name Found"))</f>
        <v/>
      </c>
      <c r="D5241" s="6"/>
      <c r="E5241" s="6"/>
      <c r="F5241" s="6"/>
      <c r="G5241" s="24" t="str">
        <f>IF(F5241="", "", VLOOKUP(F5241, Inventory!A:BZ, 3, FALSE) - SUMIF($F$1:$F5240, F5241, $H$1:$H5240))
</f>
        <v/>
      </c>
      <c r="I5241" s="26"/>
      <c r="J5241" s="26" t="s">
        <v>77</v>
      </c>
      <c r="L5241" s="27" t="s">
        <v>77</v>
      </c>
      <c r="N5241" s="28" t="s">
        <v>77</v>
      </c>
      <c r="Q5241" s="30"/>
    </row>
    <row r="5242">
      <c r="B5242" s="6"/>
      <c r="C5242" s="33" t="str">
        <f t="array" ref="C5242">IF(B5242="", "", XLOOKUP(B5242, Inventory!D:D,Inventory!E:E,"No Name Found"))</f>
        <v/>
      </c>
      <c r="D5242" s="6"/>
      <c r="E5242" s="6"/>
      <c r="F5242" s="6"/>
      <c r="G5242" s="24" t="str">
        <f>IF(F5242="", "", VLOOKUP(F5242, Inventory!A:BZ, 3, FALSE) - SUMIF($F$1:$F5241, F5242, $H$1:$H5241))
</f>
        <v/>
      </c>
      <c r="I5242" s="26"/>
      <c r="J5242" s="26" t="s">
        <v>77</v>
      </c>
      <c r="L5242" s="27" t="s">
        <v>77</v>
      </c>
      <c r="N5242" s="28" t="s">
        <v>77</v>
      </c>
      <c r="Q5242" s="30"/>
    </row>
    <row r="5243">
      <c r="B5243" s="6"/>
      <c r="C5243" s="33" t="str">
        <f t="array" ref="C5243">IF(B5243="", "", XLOOKUP(B5243, Inventory!D:D,Inventory!E:E,"No Name Found"))</f>
        <v/>
      </c>
      <c r="D5243" s="6"/>
      <c r="E5243" s="6"/>
      <c r="F5243" s="6"/>
      <c r="G5243" s="24" t="str">
        <f>IF(F5243="", "", VLOOKUP(F5243, Inventory!A:BZ, 3, FALSE) - SUMIF($F$1:$F5242, F5243, $H$1:$H5242))
</f>
        <v/>
      </c>
      <c r="I5243" s="26"/>
      <c r="J5243" s="26" t="s">
        <v>77</v>
      </c>
      <c r="L5243" s="27" t="s">
        <v>77</v>
      </c>
      <c r="N5243" s="28" t="s">
        <v>77</v>
      </c>
      <c r="Q5243" s="30"/>
    </row>
    <row r="5244">
      <c r="B5244" s="6"/>
      <c r="C5244" s="33" t="str">
        <f t="array" ref="C5244">IF(B5244="", "", XLOOKUP(B5244, Inventory!D:D,Inventory!E:E,"No Name Found"))</f>
        <v/>
      </c>
      <c r="D5244" s="6"/>
      <c r="E5244" s="6"/>
      <c r="F5244" s="6"/>
      <c r="G5244" s="24" t="str">
        <f>IF(F5244="", "", VLOOKUP(F5244, Inventory!A:BZ, 3, FALSE) - SUMIF($F$1:$F5243, F5244, $H$1:$H5243))
</f>
        <v/>
      </c>
      <c r="I5244" s="26"/>
      <c r="J5244" s="26" t="s">
        <v>77</v>
      </c>
      <c r="L5244" s="27" t="s">
        <v>77</v>
      </c>
      <c r="N5244" s="28" t="s">
        <v>77</v>
      </c>
      <c r="Q5244" s="30"/>
    </row>
    <row r="5245">
      <c r="B5245" s="6"/>
      <c r="C5245" s="33" t="str">
        <f t="array" ref="C5245">IF(B5245="", "", XLOOKUP(B5245, Inventory!D:D,Inventory!E:E,"No Name Found"))</f>
        <v/>
      </c>
      <c r="D5245" s="6"/>
      <c r="E5245" s="6"/>
      <c r="F5245" s="6"/>
      <c r="G5245" s="24" t="str">
        <f>IF(F5245="", "", VLOOKUP(F5245, Inventory!A:BZ, 3, FALSE) - SUMIF($F$1:$F5244, F5245, $H$1:$H5244))
</f>
        <v/>
      </c>
      <c r="I5245" s="26"/>
      <c r="J5245" s="26" t="s">
        <v>77</v>
      </c>
      <c r="L5245" s="27" t="s">
        <v>77</v>
      </c>
      <c r="N5245" s="28" t="s">
        <v>77</v>
      </c>
      <c r="Q5245" s="30"/>
    </row>
    <row r="5246">
      <c r="B5246" s="6"/>
      <c r="C5246" s="33" t="str">
        <f t="array" ref="C5246">IF(B5246="", "", XLOOKUP(B5246, Inventory!D:D,Inventory!E:E,"No Name Found"))</f>
        <v/>
      </c>
      <c r="D5246" s="6"/>
      <c r="E5246" s="6"/>
      <c r="F5246" s="6"/>
      <c r="G5246" s="24" t="str">
        <f>IF(F5246="", "", VLOOKUP(F5246, Inventory!A:BZ, 3, FALSE) - SUMIF($F$1:$F5245, F5246, $H$1:$H5245))
</f>
        <v/>
      </c>
      <c r="I5246" s="26"/>
      <c r="J5246" s="26" t="s">
        <v>77</v>
      </c>
      <c r="L5246" s="27" t="s">
        <v>77</v>
      </c>
      <c r="N5246" s="28" t="s">
        <v>77</v>
      </c>
      <c r="Q5246" s="30"/>
    </row>
    <row r="5247">
      <c r="B5247" s="6"/>
      <c r="C5247" s="33" t="str">
        <f t="array" ref="C5247">IF(B5247="", "", XLOOKUP(B5247, Inventory!D:D,Inventory!E:E,"No Name Found"))</f>
        <v/>
      </c>
      <c r="D5247" s="6"/>
      <c r="E5247" s="6"/>
      <c r="F5247" s="6"/>
      <c r="G5247" s="24" t="str">
        <f>IF(F5247="", "", VLOOKUP(F5247, Inventory!A:BZ, 3, FALSE) - SUMIF($F$1:$F5246, F5247, $H$1:$H5246))
</f>
        <v/>
      </c>
      <c r="I5247" s="26"/>
      <c r="J5247" s="26" t="s">
        <v>77</v>
      </c>
      <c r="L5247" s="27" t="s">
        <v>77</v>
      </c>
      <c r="N5247" s="28" t="s">
        <v>77</v>
      </c>
      <c r="Q5247" s="30"/>
    </row>
    <row r="5248">
      <c r="B5248" s="6"/>
      <c r="C5248" s="33" t="str">
        <f t="array" ref="C5248">IF(B5248="", "", XLOOKUP(B5248, Inventory!D:D,Inventory!E:E,"No Name Found"))</f>
        <v/>
      </c>
      <c r="D5248" s="6"/>
      <c r="E5248" s="6"/>
      <c r="F5248" s="6"/>
      <c r="G5248" s="24" t="str">
        <f>IF(F5248="", "", VLOOKUP(F5248, Inventory!A:BZ, 3, FALSE) - SUMIF($F$1:$F5247, F5248, $H$1:$H5247))
</f>
        <v/>
      </c>
      <c r="I5248" s="26"/>
      <c r="J5248" s="26" t="s">
        <v>77</v>
      </c>
      <c r="L5248" s="27" t="s">
        <v>77</v>
      </c>
      <c r="N5248" s="28" t="s">
        <v>77</v>
      </c>
      <c r="Q5248" s="30"/>
    </row>
    <row r="5249">
      <c r="B5249" s="6"/>
      <c r="C5249" s="33" t="str">
        <f t="array" ref="C5249">IF(B5249="", "", XLOOKUP(B5249, Inventory!D:D,Inventory!E:E,"No Name Found"))</f>
        <v/>
      </c>
      <c r="D5249" s="6"/>
      <c r="E5249" s="6"/>
      <c r="F5249" s="6"/>
      <c r="G5249" s="24" t="str">
        <f>IF(F5249="", "", VLOOKUP(F5249, Inventory!A:BZ, 3, FALSE) - SUMIF($F$1:$F5248, F5249, $H$1:$H5248))
</f>
        <v/>
      </c>
      <c r="I5249" s="26"/>
      <c r="J5249" s="26" t="s">
        <v>77</v>
      </c>
      <c r="L5249" s="27" t="s">
        <v>77</v>
      </c>
      <c r="N5249" s="28" t="s">
        <v>77</v>
      </c>
      <c r="Q5249" s="30"/>
    </row>
    <row r="5250">
      <c r="B5250" s="6"/>
      <c r="C5250" s="33" t="str">
        <f t="array" ref="C5250">IF(B5250="", "", XLOOKUP(B5250, Inventory!D:D,Inventory!E:E,"No Name Found"))</f>
        <v/>
      </c>
      <c r="D5250" s="6"/>
      <c r="E5250" s="6"/>
      <c r="F5250" s="6"/>
      <c r="G5250" s="24" t="str">
        <f>IF(F5250="", "", VLOOKUP(F5250, Inventory!A:BZ, 3, FALSE) - SUMIF($F$1:$F5249, F5250, $H$1:$H5249))
</f>
        <v/>
      </c>
      <c r="I5250" s="26"/>
      <c r="J5250" s="26" t="s">
        <v>77</v>
      </c>
      <c r="L5250" s="27" t="s">
        <v>77</v>
      </c>
      <c r="N5250" s="28" t="s">
        <v>77</v>
      </c>
      <c r="Q5250" s="30"/>
    </row>
    <row r="5251">
      <c r="B5251" s="6"/>
      <c r="C5251" s="33" t="str">
        <f t="array" ref="C5251">IF(B5251="", "", XLOOKUP(B5251, Inventory!D:D,Inventory!E:E,"No Name Found"))</f>
        <v/>
      </c>
      <c r="D5251" s="6"/>
      <c r="E5251" s="6"/>
      <c r="F5251" s="6"/>
      <c r="G5251" s="24" t="str">
        <f>IF(F5251="", "", VLOOKUP(F5251, Inventory!A:BZ, 3, FALSE) - SUMIF($F$1:$F5250, F5251, $H$1:$H5250))
</f>
        <v/>
      </c>
      <c r="I5251" s="26"/>
      <c r="J5251" s="26" t="s">
        <v>77</v>
      </c>
      <c r="L5251" s="27" t="s">
        <v>77</v>
      </c>
      <c r="N5251" s="28" t="s">
        <v>77</v>
      </c>
      <c r="Q5251" s="30"/>
    </row>
    <row r="5252">
      <c r="B5252" s="6"/>
      <c r="C5252" s="33" t="str">
        <f t="array" ref="C5252">IF(B5252="", "", XLOOKUP(B5252, Inventory!D:D,Inventory!E:E,"No Name Found"))</f>
        <v/>
      </c>
      <c r="D5252" s="6"/>
      <c r="E5252" s="6"/>
      <c r="F5252" s="6"/>
      <c r="G5252" s="24" t="str">
        <f>IF(F5252="", "", VLOOKUP(F5252, Inventory!A:BZ, 3, FALSE) - SUMIF($F$1:$F5251, F5252, $H$1:$H5251))
</f>
        <v/>
      </c>
      <c r="I5252" s="26"/>
      <c r="J5252" s="26" t="s">
        <v>77</v>
      </c>
      <c r="L5252" s="27" t="s">
        <v>77</v>
      </c>
      <c r="N5252" s="28" t="s">
        <v>77</v>
      </c>
      <c r="Q5252" s="30"/>
    </row>
    <row r="5253">
      <c r="B5253" s="6"/>
      <c r="C5253" s="33" t="str">
        <f t="array" ref="C5253">IF(B5253="", "", XLOOKUP(B5253, Inventory!D:D,Inventory!E:E,"No Name Found"))</f>
        <v/>
      </c>
      <c r="D5253" s="6"/>
      <c r="E5253" s="6"/>
      <c r="F5253" s="6"/>
      <c r="G5253" s="24" t="str">
        <f>IF(F5253="", "", VLOOKUP(F5253, Inventory!A:BZ, 3, FALSE) - SUMIF($F$1:$F5252, F5253, $H$1:$H5252))
</f>
        <v/>
      </c>
      <c r="I5253" s="26"/>
      <c r="J5253" s="26" t="s">
        <v>77</v>
      </c>
      <c r="L5253" s="27" t="s">
        <v>77</v>
      </c>
      <c r="N5253" s="28" t="s">
        <v>77</v>
      </c>
      <c r="Q5253" s="30"/>
    </row>
    <row r="5254">
      <c r="B5254" s="6"/>
      <c r="C5254" s="33" t="str">
        <f t="array" ref="C5254">IF(B5254="", "", XLOOKUP(B5254, Inventory!D:D,Inventory!E:E,"No Name Found"))</f>
        <v/>
      </c>
      <c r="D5254" s="6"/>
      <c r="E5254" s="6"/>
      <c r="F5254" s="6"/>
      <c r="G5254" s="24" t="str">
        <f>IF(F5254="", "", VLOOKUP(F5254, Inventory!A:BZ, 3, FALSE) - SUMIF($F$1:$F5253, F5254, $H$1:$H5253))
</f>
        <v/>
      </c>
      <c r="I5254" s="26"/>
      <c r="J5254" s="26" t="s">
        <v>77</v>
      </c>
      <c r="L5254" s="27" t="s">
        <v>77</v>
      </c>
      <c r="N5254" s="28" t="s">
        <v>77</v>
      </c>
      <c r="Q5254" s="30"/>
    </row>
    <row r="5255">
      <c r="B5255" s="6"/>
      <c r="C5255" s="33" t="str">
        <f t="array" ref="C5255">IF(B5255="", "", XLOOKUP(B5255, Inventory!D:D,Inventory!E:E,"No Name Found"))</f>
        <v/>
      </c>
      <c r="D5255" s="6"/>
      <c r="E5255" s="6"/>
      <c r="F5255" s="6"/>
      <c r="G5255" s="24" t="str">
        <f>IF(F5255="", "", VLOOKUP(F5255, Inventory!A:BZ, 3, FALSE) - SUMIF($F$1:$F5254, F5255, $H$1:$H5254))
</f>
        <v/>
      </c>
      <c r="I5255" s="26"/>
      <c r="J5255" s="26" t="s">
        <v>77</v>
      </c>
      <c r="L5255" s="27" t="s">
        <v>77</v>
      </c>
      <c r="N5255" s="28" t="s">
        <v>77</v>
      </c>
      <c r="Q5255" s="30"/>
    </row>
    <row r="5256">
      <c r="B5256" s="6"/>
      <c r="C5256" s="33" t="str">
        <f t="array" ref="C5256">IF(B5256="", "", XLOOKUP(B5256, Inventory!D:D,Inventory!E:E,"No Name Found"))</f>
        <v/>
      </c>
      <c r="D5256" s="6"/>
      <c r="E5256" s="6"/>
      <c r="F5256" s="6"/>
      <c r="G5256" s="24" t="str">
        <f>IF(F5256="", "", VLOOKUP(F5256, Inventory!A:BZ, 3, FALSE) - SUMIF($F$1:$F5255, F5256, $H$1:$H5255))
</f>
        <v/>
      </c>
      <c r="I5256" s="26"/>
      <c r="J5256" s="26" t="s">
        <v>77</v>
      </c>
      <c r="L5256" s="27" t="s">
        <v>77</v>
      </c>
      <c r="N5256" s="28" t="s">
        <v>77</v>
      </c>
      <c r="Q5256" s="30"/>
    </row>
    <row r="5257">
      <c r="B5257" s="6"/>
      <c r="C5257" s="33" t="str">
        <f t="array" ref="C5257">IF(B5257="", "", XLOOKUP(B5257, Inventory!D:D,Inventory!E:E,"No Name Found"))</f>
        <v/>
      </c>
      <c r="D5257" s="6"/>
      <c r="E5257" s="6"/>
      <c r="F5257" s="6"/>
      <c r="G5257" s="24" t="str">
        <f>IF(F5257="", "", VLOOKUP(F5257, Inventory!A:BZ, 3, FALSE) - SUMIF($F$1:$F5256, F5257, $H$1:$H5256))
</f>
        <v/>
      </c>
      <c r="I5257" s="26"/>
      <c r="J5257" s="26" t="s">
        <v>77</v>
      </c>
      <c r="L5257" s="27" t="s">
        <v>77</v>
      </c>
      <c r="N5257" s="28" t="s">
        <v>77</v>
      </c>
      <c r="Q5257" s="30"/>
    </row>
    <row r="5258">
      <c r="B5258" s="6"/>
      <c r="C5258" s="33" t="str">
        <f t="array" ref="C5258">IF(B5258="", "", XLOOKUP(B5258, Inventory!D:D,Inventory!E:E,"No Name Found"))</f>
        <v/>
      </c>
      <c r="D5258" s="6"/>
      <c r="E5258" s="6"/>
      <c r="F5258" s="6"/>
      <c r="G5258" s="24" t="str">
        <f>IF(F5258="", "", VLOOKUP(F5258, Inventory!A:BZ, 3, FALSE) - SUMIF($F$1:$F5257, F5258, $H$1:$H5257))
</f>
        <v/>
      </c>
      <c r="I5258" s="26"/>
      <c r="J5258" s="26" t="s">
        <v>77</v>
      </c>
      <c r="L5258" s="27" t="s">
        <v>77</v>
      </c>
      <c r="N5258" s="28" t="s">
        <v>77</v>
      </c>
      <c r="Q5258" s="30"/>
    </row>
    <row r="5259">
      <c r="B5259" s="6"/>
      <c r="C5259" s="33" t="str">
        <f t="array" ref="C5259">IF(B5259="", "", XLOOKUP(B5259, Inventory!D:D,Inventory!E:E,"No Name Found"))</f>
        <v/>
      </c>
      <c r="D5259" s="6"/>
      <c r="E5259" s="6"/>
      <c r="F5259" s="6"/>
      <c r="G5259" s="24" t="str">
        <f>IF(F5259="", "", VLOOKUP(F5259, Inventory!A:BZ, 3, FALSE) - SUMIF($F$1:$F5258, F5259, $H$1:$H5258))
</f>
        <v/>
      </c>
      <c r="I5259" s="26"/>
      <c r="J5259" s="26" t="s">
        <v>77</v>
      </c>
      <c r="L5259" s="27" t="s">
        <v>77</v>
      </c>
      <c r="N5259" s="28" t="s">
        <v>77</v>
      </c>
      <c r="Q5259" s="30"/>
    </row>
    <row r="5260">
      <c r="B5260" s="6"/>
      <c r="C5260" s="33" t="str">
        <f t="array" ref="C5260">IF(B5260="", "", XLOOKUP(B5260, Inventory!D:D,Inventory!E:E,"No Name Found"))</f>
        <v/>
      </c>
      <c r="D5260" s="6"/>
      <c r="E5260" s="6"/>
      <c r="F5260" s="6"/>
      <c r="G5260" s="24" t="str">
        <f>IF(F5260="", "", VLOOKUP(F5260, Inventory!A:BZ, 3, FALSE) - SUMIF($F$1:$F5259, F5260, $H$1:$H5259))
</f>
        <v/>
      </c>
      <c r="I5260" s="26"/>
      <c r="J5260" s="26" t="s">
        <v>77</v>
      </c>
      <c r="L5260" s="27" t="s">
        <v>77</v>
      </c>
      <c r="N5260" s="28" t="s">
        <v>77</v>
      </c>
      <c r="Q5260" s="30"/>
    </row>
    <row r="5261">
      <c r="B5261" s="6"/>
      <c r="C5261" s="33" t="str">
        <f t="array" ref="C5261">IF(B5261="", "", XLOOKUP(B5261, Inventory!D:D,Inventory!E:E,"No Name Found"))</f>
        <v/>
      </c>
      <c r="D5261" s="6"/>
      <c r="E5261" s="6"/>
      <c r="F5261" s="6"/>
      <c r="G5261" s="24" t="str">
        <f>IF(F5261="", "", VLOOKUP(F5261, Inventory!A:BZ, 3, FALSE) - SUMIF($F$1:$F5260, F5261, $H$1:$H5260))
</f>
        <v/>
      </c>
      <c r="I5261" s="26"/>
      <c r="J5261" s="26" t="s">
        <v>77</v>
      </c>
      <c r="L5261" s="27" t="s">
        <v>77</v>
      </c>
      <c r="N5261" s="28" t="s">
        <v>77</v>
      </c>
      <c r="Q5261" s="30"/>
    </row>
    <row r="5262">
      <c r="B5262" s="6"/>
      <c r="C5262" s="33" t="str">
        <f t="array" ref="C5262">IF(B5262="", "", XLOOKUP(B5262, Inventory!D:D,Inventory!E:E,"No Name Found"))</f>
        <v/>
      </c>
      <c r="D5262" s="6"/>
      <c r="E5262" s="6"/>
      <c r="F5262" s="6"/>
      <c r="G5262" s="24" t="str">
        <f>IF(F5262="", "", VLOOKUP(F5262, Inventory!A:BZ, 3, FALSE) - SUMIF($F$1:$F5261, F5262, $H$1:$H5261))
</f>
        <v/>
      </c>
      <c r="I5262" s="26"/>
      <c r="J5262" s="26" t="s">
        <v>77</v>
      </c>
      <c r="L5262" s="27" t="s">
        <v>77</v>
      </c>
      <c r="N5262" s="28" t="s">
        <v>77</v>
      </c>
      <c r="Q5262" s="30"/>
    </row>
    <row r="5263">
      <c r="B5263" s="6"/>
      <c r="C5263" s="33" t="str">
        <f t="array" ref="C5263">IF(B5263="", "", XLOOKUP(B5263, Inventory!D:D,Inventory!E:E,"No Name Found"))</f>
        <v/>
      </c>
      <c r="D5263" s="6"/>
      <c r="E5263" s="6"/>
      <c r="F5263" s="6"/>
      <c r="G5263" s="24" t="str">
        <f>IF(F5263="", "", VLOOKUP(F5263, Inventory!A:BZ, 3, FALSE) - SUMIF($F$1:$F5262, F5263, $H$1:$H5262))
</f>
        <v/>
      </c>
      <c r="I5263" s="26"/>
      <c r="J5263" s="26" t="s">
        <v>77</v>
      </c>
      <c r="L5263" s="27" t="s">
        <v>77</v>
      </c>
      <c r="N5263" s="28" t="s">
        <v>77</v>
      </c>
      <c r="Q5263" s="30"/>
    </row>
    <row r="5264">
      <c r="B5264" s="6"/>
      <c r="C5264" s="33" t="str">
        <f t="array" ref="C5264">IF(B5264="", "", XLOOKUP(B5264, Inventory!D:D,Inventory!E:E,"No Name Found"))</f>
        <v/>
      </c>
      <c r="D5264" s="6"/>
      <c r="E5264" s="6"/>
      <c r="F5264" s="6"/>
      <c r="G5264" s="24" t="str">
        <f>IF(F5264="", "", VLOOKUP(F5264, Inventory!A:BZ, 3, FALSE) - SUMIF($F$1:$F5263, F5264, $H$1:$H5263))
</f>
        <v/>
      </c>
      <c r="I5264" s="26"/>
      <c r="J5264" s="26" t="s">
        <v>77</v>
      </c>
      <c r="L5264" s="27" t="s">
        <v>77</v>
      </c>
      <c r="N5264" s="28" t="s">
        <v>77</v>
      </c>
      <c r="Q5264" s="30"/>
    </row>
    <row r="5265">
      <c r="B5265" s="6"/>
      <c r="C5265" s="33" t="str">
        <f t="array" ref="C5265">IF(B5265="", "", XLOOKUP(B5265, Inventory!D:D,Inventory!E:E,"No Name Found"))</f>
        <v/>
      </c>
      <c r="D5265" s="6"/>
      <c r="E5265" s="6"/>
      <c r="F5265" s="6"/>
      <c r="G5265" s="24" t="str">
        <f>IF(F5265="", "", VLOOKUP(F5265, Inventory!A:BZ, 3, FALSE) - SUMIF($F$1:$F5264, F5265, $H$1:$H5264))
</f>
        <v/>
      </c>
      <c r="I5265" s="26"/>
      <c r="J5265" s="26" t="s">
        <v>77</v>
      </c>
      <c r="L5265" s="27" t="s">
        <v>77</v>
      </c>
      <c r="N5265" s="28" t="s">
        <v>77</v>
      </c>
      <c r="Q5265" s="30"/>
    </row>
    <row r="5266">
      <c r="B5266" s="6"/>
      <c r="C5266" s="33" t="str">
        <f t="array" ref="C5266">IF(B5266="", "", XLOOKUP(B5266, Inventory!D:D,Inventory!E:E,"No Name Found"))</f>
        <v/>
      </c>
      <c r="D5266" s="6"/>
      <c r="E5266" s="6"/>
      <c r="F5266" s="6"/>
      <c r="G5266" s="24" t="str">
        <f>IF(F5266="", "", VLOOKUP(F5266, Inventory!A:BZ, 3, FALSE) - SUMIF($F$1:$F5265, F5266, $H$1:$H5265))
</f>
        <v/>
      </c>
      <c r="I5266" s="26"/>
      <c r="J5266" s="26" t="s">
        <v>77</v>
      </c>
      <c r="L5266" s="27" t="s">
        <v>77</v>
      </c>
      <c r="N5266" s="28" t="s">
        <v>77</v>
      </c>
      <c r="Q5266" s="30"/>
    </row>
    <row r="5267">
      <c r="B5267" s="6"/>
      <c r="C5267" s="33" t="str">
        <f t="array" ref="C5267">IF(B5267="", "", XLOOKUP(B5267, Inventory!D:D,Inventory!E:E,"No Name Found"))</f>
        <v/>
      </c>
      <c r="D5267" s="6"/>
      <c r="E5267" s="6"/>
      <c r="F5267" s="6"/>
      <c r="G5267" s="24" t="str">
        <f>IF(F5267="", "", VLOOKUP(F5267, Inventory!A:BZ, 3, FALSE) - SUMIF($F$1:$F5266, F5267, $H$1:$H5266))
</f>
        <v/>
      </c>
      <c r="I5267" s="26"/>
      <c r="J5267" s="26" t="s">
        <v>77</v>
      </c>
      <c r="L5267" s="27" t="s">
        <v>77</v>
      </c>
      <c r="N5267" s="28" t="s">
        <v>77</v>
      </c>
      <c r="Q5267" s="30"/>
    </row>
    <row r="5268">
      <c r="B5268" s="6"/>
      <c r="C5268" s="33" t="str">
        <f t="array" ref="C5268">IF(B5268="", "", XLOOKUP(B5268, Inventory!D:D,Inventory!E:E,"No Name Found"))</f>
        <v/>
      </c>
      <c r="D5268" s="6"/>
      <c r="E5268" s="6"/>
      <c r="F5268" s="6"/>
      <c r="G5268" s="24" t="str">
        <f>IF(F5268="", "", VLOOKUP(F5268, Inventory!A:BZ, 3, FALSE) - SUMIF($F$1:$F5267, F5268, $H$1:$H5267))
</f>
        <v/>
      </c>
      <c r="I5268" s="26"/>
      <c r="J5268" s="26" t="s">
        <v>77</v>
      </c>
      <c r="L5268" s="27" t="s">
        <v>77</v>
      </c>
      <c r="N5268" s="28" t="s">
        <v>77</v>
      </c>
      <c r="Q5268" s="30"/>
    </row>
    <row r="5269">
      <c r="B5269" s="6"/>
      <c r="C5269" s="33" t="str">
        <f t="array" ref="C5269">IF(B5269="", "", XLOOKUP(B5269, Inventory!D:D,Inventory!E:E,"No Name Found"))</f>
        <v/>
      </c>
      <c r="D5269" s="6"/>
      <c r="E5269" s="6"/>
      <c r="F5269" s="6"/>
      <c r="G5269" s="24" t="str">
        <f>IF(F5269="", "", VLOOKUP(F5269, Inventory!A:BZ, 3, FALSE) - SUMIF($F$1:$F5268, F5269, $H$1:$H5268))
</f>
        <v/>
      </c>
      <c r="I5269" s="26"/>
      <c r="J5269" s="26" t="s">
        <v>77</v>
      </c>
      <c r="L5269" s="27" t="s">
        <v>77</v>
      </c>
      <c r="N5269" s="28" t="s">
        <v>77</v>
      </c>
      <c r="Q5269" s="30"/>
    </row>
    <row r="5270">
      <c r="B5270" s="6"/>
      <c r="C5270" s="33" t="str">
        <f t="array" ref="C5270">IF(B5270="", "", XLOOKUP(B5270, Inventory!D:D,Inventory!E:E,"No Name Found"))</f>
        <v/>
      </c>
      <c r="D5270" s="6"/>
      <c r="E5270" s="6"/>
      <c r="F5270" s="6"/>
      <c r="G5270" s="24" t="str">
        <f>IF(F5270="", "", VLOOKUP(F5270, Inventory!A:BZ, 3, FALSE) - SUMIF($F$1:$F5269, F5270, $H$1:$H5269))
</f>
        <v/>
      </c>
      <c r="I5270" s="26"/>
      <c r="J5270" s="26" t="s">
        <v>77</v>
      </c>
      <c r="L5270" s="27" t="s">
        <v>77</v>
      </c>
      <c r="N5270" s="28" t="s">
        <v>77</v>
      </c>
      <c r="Q5270" s="30"/>
    </row>
    <row r="5271">
      <c r="B5271" s="6"/>
      <c r="C5271" s="33" t="str">
        <f t="array" ref="C5271">IF(B5271="", "", XLOOKUP(B5271, Inventory!D:D,Inventory!E:E,"No Name Found"))</f>
        <v/>
      </c>
      <c r="D5271" s="6"/>
      <c r="E5271" s="6"/>
      <c r="F5271" s="6"/>
      <c r="G5271" s="24" t="str">
        <f>IF(F5271="", "", VLOOKUP(F5271, Inventory!A:BZ, 3, FALSE) - SUMIF($F$1:$F5270, F5271, $H$1:$H5270))
</f>
        <v/>
      </c>
      <c r="I5271" s="26"/>
      <c r="J5271" s="26" t="s">
        <v>77</v>
      </c>
      <c r="L5271" s="27" t="s">
        <v>77</v>
      </c>
      <c r="N5271" s="28" t="s">
        <v>77</v>
      </c>
      <c r="Q5271" s="30"/>
    </row>
    <row r="5272">
      <c r="B5272" s="6"/>
      <c r="C5272" s="33" t="str">
        <f t="array" ref="C5272">IF(B5272="", "", XLOOKUP(B5272, Inventory!D:D,Inventory!E:E,"No Name Found"))</f>
        <v/>
      </c>
      <c r="D5272" s="6"/>
      <c r="E5272" s="6"/>
      <c r="F5272" s="6"/>
      <c r="G5272" s="24" t="str">
        <f>IF(F5272="", "", VLOOKUP(F5272, Inventory!A:BZ, 3, FALSE) - SUMIF($F$1:$F5271, F5272, $H$1:$H5271))
</f>
        <v/>
      </c>
      <c r="I5272" s="26"/>
      <c r="J5272" s="26" t="s">
        <v>77</v>
      </c>
      <c r="L5272" s="27" t="s">
        <v>77</v>
      </c>
      <c r="N5272" s="28" t="s">
        <v>77</v>
      </c>
      <c r="Q5272" s="30"/>
    </row>
    <row r="5273">
      <c r="B5273" s="6"/>
      <c r="C5273" s="33" t="str">
        <f t="array" ref="C5273">IF(B5273="", "", XLOOKUP(B5273, Inventory!D:D,Inventory!E:E,"No Name Found"))</f>
        <v/>
      </c>
      <c r="D5273" s="6"/>
      <c r="E5273" s="6"/>
      <c r="F5273" s="6"/>
      <c r="G5273" s="24" t="str">
        <f>IF(F5273="", "", VLOOKUP(F5273, Inventory!A:BZ, 3, FALSE) - SUMIF($F$1:$F5272, F5273, $H$1:$H5272))
</f>
        <v/>
      </c>
      <c r="I5273" s="26"/>
      <c r="J5273" s="26" t="s">
        <v>77</v>
      </c>
      <c r="L5273" s="27" t="s">
        <v>77</v>
      </c>
      <c r="N5273" s="28" t="s">
        <v>77</v>
      </c>
      <c r="Q5273" s="30"/>
    </row>
    <row r="5274">
      <c r="B5274" s="6"/>
      <c r="C5274" s="33" t="str">
        <f t="array" ref="C5274">IF(B5274="", "", XLOOKUP(B5274, Inventory!D:D,Inventory!E:E,"No Name Found"))</f>
        <v/>
      </c>
      <c r="D5274" s="6"/>
      <c r="E5274" s="6"/>
      <c r="F5274" s="6"/>
      <c r="G5274" s="24" t="str">
        <f>IF(F5274="", "", VLOOKUP(F5274, Inventory!A:BZ, 3, FALSE) - SUMIF($F$1:$F5273, F5274, $H$1:$H5273))
</f>
        <v/>
      </c>
      <c r="I5274" s="26"/>
      <c r="J5274" s="26" t="s">
        <v>77</v>
      </c>
      <c r="L5274" s="27" t="s">
        <v>77</v>
      </c>
      <c r="N5274" s="28" t="s">
        <v>77</v>
      </c>
      <c r="Q5274" s="30"/>
    </row>
    <row r="5275">
      <c r="B5275" s="6"/>
      <c r="C5275" s="33" t="str">
        <f t="array" ref="C5275">IF(B5275="", "", XLOOKUP(B5275, Inventory!D:D,Inventory!E:E,"No Name Found"))</f>
        <v/>
      </c>
      <c r="D5275" s="6"/>
      <c r="E5275" s="6"/>
      <c r="F5275" s="6"/>
      <c r="G5275" s="24" t="str">
        <f>IF(F5275="", "", VLOOKUP(F5275, Inventory!A:BZ, 3, FALSE) - SUMIF($F$1:$F5274, F5275, $H$1:$H5274))
</f>
        <v/>
      </c>
      <c r="I5275" s="26"/>
      <c r="J5275" s="26" t="s">
        <v>77</v>
      </c>
      <c r="L5275" s="27" t="s">
        <v>77</v>
      </c>
      <c r="N5275" s="28" t="s">
        <v>77</v>
      </c>
      <c r="Q5275" s="30"/>
    </row>
    <row r="5276">
      <c r="B5276" s="6"/>
      <c r="C5276" s="33" t="str">
        <f t="array" ref="C5276">IF(B5276="", "", XLOOKUP(B5276, Inventory!D:D,Inventory!E:E,"No Name Found"))</f>
        <v/>
      </c>
      <c r="D5276" s="6"/>
      <c r="E5276" s="6"/>
      <c r="F5276" s="6"/>
      <c r="G5276" s="24" t="str">
        <f>IF(F5276="", "", VLOOKUP(F5276, Inventory!A:BZ, 3, FALSE) - SUMIF($F$1:$F5275, F5276, $H$1:$H5275))
</f>
        <v/>
      </c>
      <c r="I5276" s="26"/>
      <c r="J5276" s="26" t="s">
        <v>77</v>
      </c>
      <c r="L5276" s="27" t="s">
        <v>77</v>
      </c>
      <c r="N5276" s="28" t="s">
        <v>77</v>
      </c>
      <c r="Q5276" s="30"/>
    </row>
    <row r="5277">
      <c r="B5277" s="6"/>
      <c r="C5277" s="33" t="str">
        <f t="array" ref="C5277">IF(B5277="", "", XLOOKUP(B5277, Inventory!D:D,Inventory!E:E,"No Name Found"))</f>
        <v/>
      </c>
      <c r="D5277" s="6"/>
      <c r="E5277" s="6"/>
      <c r="F5277" s="6"/>
      <c r="G5277" s="24" t="str">
        <f>IF(F5277="", "", VLOOKUP(F5277, Inventory!A:BZ, 3, FALSE) - SUMIF($F$1:$F5276, F5277, $H$1:$H5276))
</f>
        <v/>
      </c>
      <c r="I5277" s="26"/>
      <c r="J5277" s="26" t="s">
        <v>77</v>
      </c>
      <c r="L5277" s="27" t="s">
        <v>77</v>
      </c>
      <c r="N5277" s="28" t="s">
        <v>77</v>
      </c>
      <c r="Q5277" s="30"/>
    </row>
    <row r="5278">
      <c r="B5278" s="6"/>
      <c r="C5278" s="33" t="str">
        <f t="array" ref="C5278">IF(B5278="", "", XLOOKUP(B5278, Inventory!D:D,Inventory!E:E,"No Name Found"))</f>
        <v/>
      </c>
      <c r="D5278" s="6"/>
      <c r="E5278" s="6"/>
      <c r="F5278" s="6"/>
      <c r="G5278" s="24" t="str">
        <f>IF(F5278="", "", VLOOKUP(F5278, Inventory!A:BZ, 3, FALSE) - SUMIF($F$1:$F5277, F5278, $H$1:$H5277))
</f>
        <v/>
      </c>
      <c r="I5278" s="26"/>
      <c r="J5278" s="26" t="s">
        <v>77</v>
      </c>
      <c r="L5278" s="27" t="s">
        <v>77</v>
      </c>
      <c r="N5278" s="28" t="s">
        <v>77</v>
      </c>
      <c r="Q5278" s="30"/>
    </row>
    <row r="5279">
      <c r="B5279" s="6"/>
      <c r="C5279" s="33" t="str">
        <f t="array" ref="C5279">IF(B5279="", "", XLOOKUP(B5279, Inventory!D:D,Inventory!E:E,"No Name Found"))</f>
        <v/>
      </c>
      <c r="D5279" s="6"/>
      <c r="E5279" s="6"/>
      <c r="F5279" s="6"/>
      <c r="G5279" s="24" t="str">
        <f>IF(F5279="", "", VLOOKUP(F5279, Inventory!A:BZ, 3, FALSE) - SUMIF($F$1:$F5278, F5279, $H$1:$H5278))
</f>
        <v/>
      </c>
      <c r="I5279" s="26"/>
      <c r="J5279" s="26" t="s">
        <v>77</v>
      </c>
      <c r="L5279" s="27" t="s">
        <v>77</v>
      </c>
      <c r="N5279" s="28" t="s">
        <v>77</v>
      </c>
      <c r="Q5279" s="30"/>
    </row>
    <row r="5280">
      <c r="B5280" s="6"/>
      <c r="C5280" s="33" t="str">
        <f t="array" ref="C5280">IF(B5280="", "", XLOOKUP(B5280, Inventory!D:D,Inventory!E:E,"No Name Found"))</f>
        <v/>
      </c>
      <c r="D5280" s="6"/>
      <c r="E5280" s="6"/>
      <c r="F5280" s="6"/>
      <c r="G5280" s="24" t="str">
        <f>IF(F5280="", "", VLOOKUP(F5280, Inventory!A:BZ, 3, FALSE) - SUMIF($F$1:$F5279, F5280, $H$1:$H5279))
</f>
        <v/>
      </c>
      <c r="I5280" s="26"/>
      <c r="J5280" s="26" t="s">
        <v>77</v>
      </c>
      <c r="L5280" s="27" t="s">
        <v>77</v>
      </c>
      <c r="N5280" s="28" t="s">
        <v>77</v>
      </c>
      <c r="Q5280" s="30"/>
    </row>
    <row r="5281">
      <c r="B5281" s="6"/>
      <c r="C5281" s="33" t="str">
        <f t="array" ref="C5281">IF(B5281="", "", XLOOKUP(B5281, Inventory!D:D,Inventory!E:E,"No Name Found"))</f>
        <v/>
      </c>
      <c r="D5281" s="6"/>
      <c r="E5281" s="6"/>
      <c r="F5281" s="6"/>
      <c r="G5281" s="24" t="str">
        <f>IF(F5281="", "", VLOOKUP(F5281, Inventory!A:BZ, 3, FALSE) - SUMIF($F$1:$F5280, F5281, $H$1:$H5280))
</f>
        <v/>
      </c>
      <c r="I5281" s="26"/>
      <c r="J5281" s="26" t="s">
        <v>77</v>
      </c>
      <c r="L5281" s="27" t="s">
        <v>77</v>
      </c>
      <c r="N5281" s="28" t="s">
        <v>77</v>
      </c>
      <c r="Q5281" s="30"/>
    </row>
    <row r="5282">
      <c r="B5282" s="6"/>
      <c r="C5282" s="33" t="str">
        <f t="array" ref="C5282">IF(B5282="", "", XLOOKUP(B5282, Inventory!D:D,Inventory!E:E,"No Name Found"))</f>
        <v/>
      </c>
      <c r="D5282" s="6"/>
      <c r="E5282" s="6"/>
      <c r="F5282" s="6"/>
      <c r="G5282" s="24" t="str">
        <f>IF(F5282="", "", VLOOKUP(F5282, Inventory!A:BZ, 3, FALSE) - SUMIF($F$1:$F5281, F5282, $H$1:$H5281))
</f>
        <v/>
      </c>
      <c r="I5282" s="26"/>
      <c r="J5282" s="26" t="s">
        <v>77</v>
      </c>
      <c r="L5282" s="27" t="s">
        <v>77</v>
      </c>
      <c r="N5282" s="28" t="s">
        <v>77</v>
      </c>
      <c r="Q5282" s="30"/>
    </row>
    <row r="5283">
      <c r="B5283" s="6"/>
      <c r="C5283" s="33" t="str">
        <f t="array" ref="C5283">IF(B5283="", "", XLOOKUP(B5283, Inventory!D:D,Inventory!E:E,"No Name Found"))</f>
        <v/>
      </c>
      <c r="D5283" s="6"/>
      <c r="E5283" s="6"/>
      <c r="F5283" s="6"/>
      <c r="G5283" s="24" t="str">
        <f>IF(F5283="", "", VLOOKUP(F5283, Inventory!A:BZ, 3, FALSE) - SUMIF($F$1:$F5282, F5283, $H$1:$H5282))
</f>
        <v/>
      </c>
      <c r="I5283" s="26"/>
      <c r="J5283" s="26" t="s">
        <v>77</v>
      </c>
      <c r="L5283" s="27" t="s">
        <v>77</v>
      </c>
      <c r="N5283" s="28" t="s">
        <v>77</v>
      </c>
      <c r="Q5283" s="30"/>
    </row>
    <row r="5284">
      <c r="B5284" s="6"/>
      <c r="C5284" s="33" t="str">
        <f t="array" ref="C5284">IF(B5284="", "", XLOOKUP(B5284, Inventory!D:D,Inventory!E:E,"No Name Found"))</f>
        <v/>
      </c>
      <c r="D5284" s="6"/>
      <c r="E5284" s="6"/>
      <c r="F5284" s="6"/>
      <c r="G5284" s="24" t="str">
        <f>IF(F5284="", "", VLOOKUP(F5284, Inventory!A:BZ, 3, FALSE) - SUMIF($F$1:$F5283, F5284, $H$1:$H5283))
</f>
        <v/>
      </c>
      <c r="I5284" s="26"/>
      <c r="J5284" s="26" t="s">
        <v>77</v>
      </c>
      <c r="L5284" s="27" t="s">
        <v>77</v>
      </c>
      <c r="N5284" s="28" t="s">
        <v>77</v>
      </c>
      <c r="Q5284" s="30"/>
    </row>
    <row r="5285">
      <c r="B5285" s="6"/>
      <c r="C5285" s="33" t="str">
        <f t="array" ref="C5285">IF(B5285="", "", XLOOKUP(B5285, Inventory!D:D,Inventory!E:E,"No Name Found"))</f>
        <v/>
      </c>
      <c r="D5285" s="6"/>
      <c r="E5285" s="6"/>
      <c r="F5285" s="6"/>
      <c r="G5285" s="24" t="str">
        <f>IF(F5285="", "", VLOOKUP(F5285, Inventory!A:BZ, 3, FALSE) - SUMIF($F$1:$F5284, F5285, $H$1:$H5284))
</f>
        <v/>
      </c>
      <c r="I5285" s="26"/>
      <c r="J5285" s="26" t="s">
        <v>77</v>
      </c>
      <c r="L5285" s="27" t="s">
        <v>77</v>
      </c>
      <c r="N5285" s="28" t="s">
        <v>77</v>
      </c>
      <c r="Q5285" s="30"/>
    </row>
    <row r="5286">
      <c r="B5286" s="6"/>
      <c r="C5286" s="33" t="str">
        <f t="array" ref="C5286">IF(B5286="", "", XLOOKUP(B5286, Inventory!D:D,Inventory!E:E,"No Name Found"))</f>
        <v/>
      </c>
      <c r="D5286" s="6"/>
      <c r="E5286" s="6"/>
      <c r="F5286" s="6"/>
      <c r="G5286" s="24" t="str">
        <f>IF(F5286="", "", VLOOKUP(F5286, Inventory!A:BZ, 3, FALSE) - SUMIF($F$1:$F5285, F5286, $H$1:$H5285))
</f>
        <v/>
      </c>
      <c r="I5286" s="26"/>
      <c r="J5286" s="26" t="s">
        <v>77</v>
      </c>
      <c r="L5286" s="27" t="s">
        <v>77</v>
      </c>
      <c r="N5286" s="28" t="s">
        <v>77</v>
      </c>
      <c r="Q5286" s="30"/>
    </row>
    <row r="5287">
      <c r="B5287" s="6"/>
      <c r="C5287" s="33" t="str">
        <f t="array" ref="C5287">IF(B5287="", "", XLOOKUP(B5287, Inventory!D:D,Inventory!E:E,"No Name Found"))</f>
        <v/>
      </c>
      <c r="D5287" s="6"/>
      <c r="E5287" s="6"/>
      <c r="F5287" s="6"/>
      <c r="G5287" s="24" t="str">
        <f>IF(F5287="", "", VLOOKUP(F5287, Inventory!A:BZ, 3, FALSE) - SUMIF($F$1:$F5286, F5287, $H$1:$H5286))
</f>
        <v/>
      </c>
      <c r="I5287" s="26"/>
      <c r="J5287" s="26" t="s">
        <v>77</v>
      </c>
      <c r="L5287" s="27" t="s">
        <v>77</v>
      </c>
      <c r="N5287" s="28" t="s">
        <v>77</v>
      </c>
      <c r="Q5287" s="30"/>
    </row>
    <row r="5288">
      <c r="B5288" s="6"/>
      <c r="C5288" s="33" t="str">
        <f t="array" ref="C5288">IF(B5288="", "", XLOOKUP(B5288, Inventory!D:D,Inventory!E:E,"No Name Found"))</f>
        <v/>
      </c>
      <c r="D5288" s="6"/>
      <c r="E5288" s="6"/>
      <c r="F5288" s="6"/>
      <c r="G5288" s="24" t="str">
        <f>IF(F5288="", "", VLOOKUP(F5288, Inventory!A:BZ, 3, FALSE) - SUMIF($F$1:$F5287, F5288, $H$1:$H5287))
</f>
        <v/>
      </c>
      <c r="I5288" s="26"/>
      <c r="J5288" s="26" t="s">
        <v>77</v>
      </c>
      <c r="L5288" s="27" t="s">
        <v>77</v>
      </c>
      <c r="N5288" s="28" t="s">
        <v>77</v>
      </c>
      <c r="Q5288" s="30"/>
    </row>
    <row r="5289">
      <c r="B5289" s="6"/>
      <c r="C5289" s="33" t="str">
        <f t="array" ref="C5289">IF(B5289="", "", XLOOKUP(B5289, Inventory!D:D,Inventory!E:E,"No Name Found"))</f>
        <v/>
      </c>
      <c r="D5289" s="6"/>
      <c r="E5289" s="6"/>
      <c r="F5289" s="6"/>
      <c r="G5289" s="24" t="str">
        <f>IF(F5289="", "", VLOOKUP(F5289, Inventory!A:BZ, 3, FALSE) - SUMIF($F$1:$F5288, F5289, $H$1:$H5288))
</f>
        <v/>
      </c>
      <c r="I5289" s="26"/>
      <c r="J5289" s="26" t="s">
        <v>77</v>
      </c>
      <c r="L5289" s="27" t="s">
        <v>77</v>
      </c>
      <c r="N5289" s="28" t="s">
        <v>77</v>
      </c>
      <c r="Q5289" s="30"/>
    </row>
    <row r="5290">
      <c r="B5290" s="6"/>
      <c r="C5290" s="33" t="str">
        <f t="array" ref="C5290">IF(B5290="", "", XLOOKUP(B5290, Inventory!D:D,Inventory!E:E,"No Name Found"))</f>
        <v/>
      </c>
      <c r="D5290" s="6"/>
      <c r="E5290" s="6"/>
      <c r="F5290" s="6"/>
      <c r="G5290" s="24" t="str">
        <f>IF(F5290="", "", VLOOKUP(F5290, Inventory!A:BZ, 3, FALSE) - SUMIF($F$1:$F5289, F5290, $H$1:$H5289))
</f>
        <v/>
      </c>
      <c r="I5290" s="26"/>
      <c r="J5290" s="26" t="s">
        <v>77</v>
      </c>
      <c r="L5290" s="27" t="s">
        <v>77</v>
      </c>
      <c r="N5290" s="28" t="s">
        <v>77</v>
      </c>
      <c r="Q5290" s="30"/>
    </row>
    <row r="5291">
      <c r="B5291" s="6"/>
      <c r="C5291" s="33" t="str">
        <f t="array" ref="C5291">IF(B5291="", "", XLOOKUP(B5291, Inventory!D:D,Inventory!E:E,"No Name Found"))</f>
        <v/>
      </c>
      <c r="D5291" s="6"/>
      <c r="E5291" s="6"/>
      <c r="F5291" s="6"/>
      <c r="G5291" s="24" t="str">
        <f>IF(F5291="", "", VLOOKUP(F5291, Inventory!A:BZ, 3, FALSE) - SUMIF($F$1:$F5290, F5291, $H$1:$H5290))
</f>
        <v/>
      </c>
      <c r="I5291" s="26"/>
      <c r="J5291" s="26" t="s">
        <v>77</v>
      </c>
      <c r="L5291" s="27" t="s">
        <v>77</v>
      </c>
      <c r="N5291" s="28" t="s">
        <v>77</v>
      </c>
      <c r="Q5291" s="30"/>
    </row>
    <row r="5292">
      <c r="B5292" s="6"/>
      <c r="C5292" s="33" t="str">
        <f t="array" ref="C5292">IF(B5292="", "", XLOOKUP(B5292, Inventory!D:D,Inventory!E:E,"No Name Found"))</f>
        <v/>
      </c>
      <c r="D5292" s="6"/>
      <c r="E5292" s="6"/>
      <c r="F5292" s="6"/>
      <c r="G5292" s="24" t="str">
        <f>IF(F5292="", "", VLOOKUP(F5292, Inventory!A:BZ, 3, FALSE) - SUMIF($F$1:$F5291, F5292, $H$1:$H5291))
</f>
        <v/>
      </c>
      <c r="I5292" s="26"/>
      <c r="J5292" s="26" t="s">
        <v>77</v>
      </c>
      <c r="L5292" s="27" t="s">
        <v>77</v>
      </c>
      <c r="N5292" s="28" t="s">
        <v>77</v>
      </c>
      <c r="Q5292" s="30"/>
    </row>
    <row r="5293">
      <c r="B5293" s="6"/>
      <c r="C5293" s="33" t="str">
        <f t="array" ref="C5293">IF(B5293="", "", XLOOKUP(B5293, Inventory!D:D,Inventory!E:E,"No Name Found"))</f>
        <v/>
      </c>
      <c r="D5293" s="6"/>
      <c r="E5293" s="6"/>
      <c r="F5293" s="6"/>
      <c r="G5293" s="24" t="str">
        <f>IF(F5293="", "", VLOOKUP(F5293, Inventory!A:BZ, 3, FALSE) - SUMIF($F$1:$F5292, F5293, $H$1:$H5292))
</f>
        <v/>
      </c>
      <c r="I5293" s="26"/>
      <c r="J5293" s="26" t="s">
        <v>77</v>
      </c>
      <c r="L5293" s="27" t="s">
        <v>77</v>
      </c>
      <c r="N5293" s="28" t="s">
        <v>77</v>
      </c>
      <c r="Q5293" s="30"/>
    </row>
    <row r="5294">
      <c r="B5294" s="6"/>
      <c r="C5294" s="33" t="str">
        <f t="array" ref="C5294">IF(B5294="", "", XLOOKUP(B5294, Inventory!D:D,Inventory!E:E,"No Name Found"))</f>
        <v/>
      </c>
      <c r="D5294" s="6"/>
      <c r="E5294" s="6"/>
      <c r="F5294" s="6"/>
      <c r="G5294" s="24" t="str">
        <f>IF(F5294="", "", VLOOKUP(F5294, Inventory!A:BZ, 3, FALSE) - SUMIF($F$1:$F5293, F5294, $H$1:$H5293))
</f>
        <v/>
      </c>
      <c r="I5294" s="26"/>
      <c r="J5294" s="26" t="s">
        <v>77</v>
      </c>
      <c r="L5294" s="27" t="s">
        <v>77</v>
      </c>
      <c r="N5294" s="28" t="s">
        <v>77</v>
      </c>
      <c r="Q5294" s="30"/>
    </row>
    <row r="5295">
      <c r="B5295" s="6"/>
      <c r="C5295" s="33" t="str">
        <f t="array" ref="C5295">IF(B5295="", "", XLOOKUP(B5295, Inventory!D:D,Inventory!E:E,"No Name Found"))</f>
        <v/>
      </c>
      <c r="D5295" s="6"/>
      <c r="E5295" s="6"/>
      <c r="F5295" s="6"/>
      <c r="G5295" s="24" t="str">
        <f>IF(F5295="", "", VLOOKUP(F5295, Inventory!A:BZ, 3, FALSE) - SUMIF($F$1:$F5294, F5295, $H$1:$H5294))
</f>
        <v/>
      </c>
      <c r="I5295" s="26"/>
      <c r="J5295" s="26" t="s">
        <v>77</v>
      </c>
      <c r="L5295" s="27" t="s">
        <v>77</v>
      </c>
      <c r="N5295" s="28" t="s">
        <v>77</v>
      </c>
      <c r="Q5295" s="30"/>
    </row>
    <row r="5296">
      <c r="B5296" s="6"/>
      <c r="C5296" s="33" t="str">
        <f t="array" ref="C5296">IF(B5296="", "", XLOOKUP(B5296, Inventory!D:D,Inventory!E:E,"No Name Found"))</f>
        <v/>
      </c>
      <c r="D5296" s="6"/>
      <c r="E5296" s="6"/>
      <c r="F5296" s="6"/>
      <c r="G5296" s="24" t="str">
        <f>IF(F5296="", "", VLOOKUP(F5296, Inventory!A:BZ, 3, FALSE) - SUMIF($F$1:$F5295, F5296, $H$1:$H5295))
</f>
        <v/>
      </c>
      <c r="I5296" s="26"/>
      <c r="J5296" s="26" t="s">
        <v>77</v>
      </c>
      <c r="L5296" s="27" t="s">
        <v>77</v>
      </c>
      <c r="N5296" s="28" t="s">
        <v>77</v>
      </c>
      <c r="Q5296" s="30"/>
    </row>
    <row r="5297">
      <c r="B5297" s="6"/>
      <c r="C5297" s="33" t="str">
        <f t="array" ref="C5297">IF(B5297="", "", XLOOKUP(B5297, Inventory!D:D,Inventory!E:E,"No Name Found"))</f>
        <v/>
      </c>
      <c r="D5297" s="6"/>
      <c r="E5297" s="6"/>
      <c r="F5297" s="6"/>
      <c r="G5297" s="24" t="str">
        <f>IF(F5297="", "", VLOOKUP(F5297, Inventory!A:BZ, 3, FALSE) - SUMIF($F$1:$F5296, F5297, $H$1:$H5296))
</f>
        <v/>
      </c>
      <c r="I5297" s="26"/>
      <c r="J5297" s="26" t="s">
        <v>77</v>
      </c>
      <c r="L5297" s="27" t="s">
        <v>77</v>
      </c>
      <c r="N5297" s="28" t="s">
        <v>77</v>
      </c>
      <c r="Q5297" s="30"/>
    </row>
    <row r="5298">
      <c r="B5298" s="6"/>
      <c r="C5298" s="33" t="str">
        <f t="array" ref="C5298">IF(B5298="", "", XLOOKUP(B5298, Inventory!D:D,Inventory!E:E,"No Name Found"))</f>
        <v/>
      </c>
      <c r="D5298" s="6"/>
      <c r="E5298" s="6"/>
      <c r="F5298" s="6"/>
      <c r="G5298" s="24" t="str">
        <f>IF(F5298="", "", VLOOKUP(F5298, Inventory!A:BZ, 3, FALSE) - SUMIF($F$1:$F5297, F5298, $H$1:$H5297))
</f>
        <v/>
      </c>
      <c r="I5298" s="26"/>
      <c r="J5298" s="26" t="s">
        <v>77</v>
      </c>
      <c r="L5298" s="27" t="s">
        <v>77</v>
      </c>
      <c r="N5298" s="28" t="s">
        <v>77</v>
      </c>
      <c r="Q5298" s="30"/>
    </row>
    <row r="5299">
      <c r="B5299" s="6"/>
      <c r="C5299" s="33" t="str">
        <f t="array" ref="C5299">IF(B5299="", "", XLOOKUP(B5299, Inventory!D:D,Inventory!E:E,"No Name Found"))</f>
        <v/>
      </c>
      <c r="D5299" s="6"/>
      <c r="E5299" s="6"/>
      <c r="F5299" s="6"/>
      <c r="G5299" s="24" t="str">
        <f>IF(F5299="", "", VLOOKUP(F5299, Inventory!A:BZ, 3, FALSE) - SUMIF($F$1:$F5298, F5299, $H$1:$H5298))
</f>
        <v/>
      </c>
      <c r="I5299" s="26"/>
      <c r="J5299" s="26" t="s">
        <v>77</v>
      </c>
      <c r="L5299" s="27" t="s">
        <v>77</v>
      </c>
      <c r="N5299" s="28" t="s">
        <v>77</v>
      </c>
      <c r="Q5299" s="30"/>
    </row>
    <row r="5300">
      <c r="B5300" s="6"/>
      <c r="C5300" s="33" t="str">
        <f t="array" ref="C5300">IF(B5300="", "", XLOOKUP(B5300, Inventory!D:D,Inventory!E:E,"No Name Found"))</f>
        <v/>
      </c>
      <c r="D5300" s="6"/>
      <c r="E5300" s="6"/>
      <c r="F5300" s="6"/>
      <c r="G5300" s="24" t="str">
        <f>IF(F5300="", "", VLOOKUP(F5300, Inventory!A:BZ, 3, FALSE) - SUMIF($F$1:$F5299, F5300, $H$1:$H5299))
</f>
        <v/>
      </c>
      <c r="I5300" s="26"/>
      <c r="J5300" s="26" t="s">
        <v>77</v>
      </c>
      <c r="L5300" s="27" t="s">
        <v>77</v>
      </c>
      <c r="N5300" s="28" t="s">
        <v>77</v>
      </c>
      <c r="Q5300" s="30"/>
    </row>
    <row r="5301">
      <c r="B5301" s="6"/>
      <c r="C5301" s="33" t="str">
        <f t="array" ref="C5301">IF(B5301="", "", XLOOKUP(B5301, Inventory!D:D,Inventory!E:E,"No Name Found"))</f>
        <v/>
      </c>
      <c r="D5301" s="6"/>
      <c r="E5301" s="6"/>
      <c r="F5301" s="6"/>
      <c r="G5301" s="24" t="str">
        <f>IF(F5301="", "", VLOOKUP(F5301, Inventory!A:BZ, 3, FALSE) - SUMIF($F$1:$F5300, F5301, $H$1:$H5300))
</f>
        <v/>
      </c>
      <c r="I5301" s="26"/>
      <c r="J5301" s="26" t="s">
        <v>77</v>
      </c>
      <c r="L5301" s="27" t="s">
        <v>77</v>
      </c>
      <c r="N5301" s="28" t="s">
        <v>77</v>
      </c>
      <c r="Q5301" s="30"/>
    </row>
    <row r="5302">
      <c r="B5302" s="6"/>
      <c r="C5302" s="33" t="str">
        <f t="array" ref="C5302">IF(B5302="", "", XLOOKUP(B5302, Inventory!D:D,Inventory!E:E,"No Name Found"))</f>
        <v/>
      </c>
      <c r="D5302" s="6"/>
      <c r="E5302" s="6"/>
      <c r="F5302" s="6"/>
      <c r="G5302" s="24" t="str">
        <f>IF(F5302="", "", VLOOKUP(F5302, Inventory!A:BZ, 3, FALSE) - SUMIF($F$1:$F5301, F5302, $H$1:$H5301))
</f>
        <v/>
      </c>
      <c r="I5302" s="26"/>
      <c r="J5302" s="26" t="s">
        <v>77</v>
      </c>
      <c r="L5302" s="27" t="s">
        <v>77</v>
      </c>
      <c r="N5302" s="28" t="s">
        <v>77</v>
      </c>
      <c r="Q5302" s="30"/>
    </row>
    <row r="5303">
      <c r="B5303" s="6"/>
      <c r="C5303" s="33" t="str">
        <f t="array" ref="C5303">IF(B5303="", "", XLOOKUP(B5303, Inventory!D:D,Inventory!E:E,"No Name Found"))</f>
        <v/>
      </c>
      <c r="D5303" s="6"/>
      <c r="E5303" s="6"/>
      <c r="F5303" s="6"/>
      <c r="G5303" s="24" t="str">
        <f>IF(F5303="", "", VLOOKUP(F5303, Inventory!A:BZ, 3, FALSE) - SUMIF($F$1:$F5302, F5303, $H$1:$H5302))
</f>
        <v/>
      </c>
      <c r="I5303" s="26"/>
      <c r="J5303" s="26" t="s">
        <v>77</v>
      </c>
      <c r="L5303" s="27" t="s">
        <v>77</v>
      </c>
      <c r="N5303" s="28" t="s">
        <v>77</v>
      </c>
      <c r="Q5303" s="30"/>
    </row>
    <row r="5304">
      <c r="B5304" s="6"/>
      <c r="C5304" s="33" t="str">
        <f t="array" ref="C5304">IF(B5304="", "", XLOOKUP(B5304, Inventory!D:D,Inventory!E:E,"No Name Found"))</f>
        <v/>
      </c>
      <c r="D5304" s="6"/>
      <c r="E5304" s="6"/>
      <c r="F5304" s="6"/>
      <c r="G5304" s="24" t="str">
        <f>IF(F5304="", "", VLOOKUP(F5304, Inventory!A:BZ, 3, FALSE) - SUMIF($F$1:$F5303, F5304, $H$1:$H5303))
</f>
        <v/>
      </c>
      <c r="I5304" s="26"/>
      <c r="J5304" s="26" t="s">
        <v>77</v>
      </c>
      <c r="L5304" s="27" t="s">
        <v>77</v>
      </c>
      <c r="N5304" s="28" t="s">
        <v>77</v>
      </c>
      <c r="Q5304" s="30"/>
    </row>
    <row r="5305">
      <c r="B5305" s="6"/>
      <c r="C5305" s="33" t="str">
        <f t="array" ref="C5305">IF(B5305="", "", XLOOKUP(B5305, Inventory!D:D,Inventory!E:E,"No Name Found"))</f>
        <v/>
      </c>
      <c r="D5305" s="6"/>
      <c r="E5305" s="6"/>
      <c r="F5305" s="6"/>
      <c r="G5305" s="24" t="str">
        <f>IF(F5305="", "", VLOOKUP(F5305, Inventory!A:BZ, 3, FALSE) - SUMIF($F$1:$F5304, F5305, $H$1:$H5304))
</f>
        <v/>
      </c>
      <c r="I5305" s="26"/>
      <c r="J5305" s="26" t="s">
        <v>77</v>
      </c>
      <c r="L5305" s="27" t="s">
        <v>77</v>
      </c>
      <c r="N5305" s="28" t="s">
        <v>77</v>
      </c>
      <c r="Q5305" s="30"/>
    </row>
    <row r="5306">
      <c r="B5306" s="6"/>
      <c r="C5306" s="33" t="str">
        <f t="array" ref="C5306">IF(B5306="", "", XLOOKUP(B5306, Inventory!D:D,Inventory!E:E,"No Name Found"))</f>
        <v/>
      </c>
      <c r="D5306" s="6"/>
      <c r="E5306" s="6"/>
      <c r="F5306" s="6"/>
      <c r="G5306" s="24" t="str">
        <f>IF(F5306="", "", VLOOKUP(F5306, Inventory!A:BZ, 3, FALSE) - SUMIF($F$1:$F5305, F5306, $H$1:$H5305))
</f>
        <v/>
      </c>
      <c r="I5306" s="26"/>
      <c r="J5306" s="26" t="s">
        <v>77</v>
      </c>
      <c r="L5306" s="27" t="s">
        <v>77</v>
      </c>
      <c r="N5306" s="28" t="s">
        <v>77</v>
      </c>
      <c r="Q5306" s="30"/>
    </row>
    <row r="5307">
      <c r="B5307" s="6"/>
      <c r="C5307" s="33" t="str">
        <f t="array" ref="C5307">IF(B5307="", "", XLOOKUP(B5307, Inventory!D:D,Inventory!E:E,"No Name Found"))</f>
        <v/>
      </c>
      <c r="D5307" s="6"/>
      <c r="E5307" s="6"/>
      <c r="F5307" s="6"/>
      <c r="G5307" s="24" t="str">
        <f>IF(F5307="", "", VLOOKUP(F5307, Inventory!A:BZ, 3, FALSE) - SUMIF($F$1:$F5306, F5307, $H$1:$H5306))
</f>
        <v/>
      </c>
      <c r="I5307" s="26"/>
      <c r="J5307" s="26" t="s">
        <v>77</v>
      </c>
      <c r="L5307" s="27" t="s">
        <v>77</v>
      </c>
      <c r="N5307" s="28" t="s">
        <v>77</v>
      </c>
      <c r="Q5307" s="30"/>
    </row>
    <row r="5308">
      <c r="B5308" s="6"/>
      <c r="C5308" s="33" t="str">
        <f t="array" ref="C5308">IF(B5308="", "", XLOOKUP(B5308, Inventory!D:D,Inventory!E:E,"No Name Found"))</f>
        <v/>
      </c>
      <c r="D5308" s="6"/>
      <c r="E5308" s="6"/>
      <c r="F5308" s="6"/>
      <c r="G5308" s="24" t="str">
        <f>IF(F5308="", "", VLOOKUP(F5308, Inventory!A:BZ, 3, FALSE) - SUMIF($F$1:$F5307, F5308, $H$1:$H5307))
</f>
        <v/>
      </c>
      <c r="I5308" s="26"/>
      <c r="J5308" s="26" t="s">
        <v>77</v>
      </c>
      <c r="L5308" s="27" t="s">
        <v>77</v>
      </c>
      <c r="N5308" s="28" t="s">
        <v>77</v>
      </c>
      <c r="Q5308" s="30"/>
    </row>
    <row r="5309">
      <c r="B5309" s="6"/>
      <c r="C5309" s="33" t="str">
        <f t="array" ref="C5309">IF(B5309="", "", XLOOKUP(B5309, Inventory!D:D,Inventory!E:E,"No Name Found"))</f>
        <v/>
      </c>
      <c r="D5309" s="6"/>
      <c r="E5309" s="6"/>
      <c r="F5309" s="6"/>
      <c r="G5309" s="24" t="str">
        <f>IF(F5309="", "", VLOOKUP(F5309, Inventory!A:BZ, 3, FALSE) - SUMIF($F$1:$F5308, F5309, $H$1:$H5308))
</f>
        <v/>
      </c>
      <c r="I5309" s="26"/>
      <c r="J5309" s="26" t="s">
        <v>77</v>
      </c>
      <c r="L5309" s="27" t="s">
        <v>77</v>
      </c>
      <c r="N5309" s="28" t="s">
        <v>77</v>
      </c>
      <c r="Q5309" s="30"/>
    </row>
    <row r="5310">
      <c r="B5310" s="6"/>
      <c r="C5310" s="33" t="str">
        <f t="array" ref="C5310">IF(B5310="", "", XLOOKUP(B5310, Inventory!D:D,Inventory!E:E,"No Name Found"))</f>
        <v/>
      </c>
      <c r="D5310" s="6"/>
      <c r="E5310" s="6"/>
      <c r="F5310" s="6"/>
      <c r="G5310" s="24" t="str">
        <f>IF(F5310="", "", VLOOKUP(F5310, Inventory!A:BZ, 3, FALSE) - SUMIF($F$1:$F5309, F5310, $H$1:$H5309))
</f>
        <v/>
      </c>
      <c r="I5310" s="26"/>
      <c r="J5310" s="26" t="s">
        <v>77</v>
      </c>
      <c r="L5310" s="27" t="s">
        <v>77</v>
      </c>
      <c r="N5310" s="28" t="s">
        <v>77</v>
      </c>
      <c r="Q5310" s="30"/>
    </row>
    <row r="5311">
      <c r="B5311" s="6"/>
      <c r="C5311" s="33" t="str">
        <f t="array" ref="C5311">IF(B5311="", "", XLOOKUP(B5311, Inventory!D:D,Inventory!E:E,"No Name Found"))</f>
        <v/>
      </c>
      <c r="D5311" s="6"/>
      <c r="E5311" s="6"/>
      <c r="F5311" s="6"/>
      <c r="G5311" s="24" t="str">
        <f>IF(F5311="", "", VLOOKUP(F5311, Inventory!A:BZ, 3, FALSE) - SUMIF($F$1:$F5310, F5311, $H$1:$H5310))
</f>
        <v/>
      </c>
      <c r="I5311" s="26"/>
      <c r="J5311" s="26" t="s">
        <v>77</v>
      </c>
      <c r="L5311" s="27" t="s">
        <v>77</v>
      </c>
      <c r="N5311" s="28" t="s">
        <v>77</v>
      </c>
      <c r="Q5311" s="30"/>
    </row>
    <row r="5312">
      <c r="B5312" s="6"/>
      <c r="C5312" s="33" t="str">
        <f t="array" ref="C5312">IF(B5312="", "", XLOOKUP(B5312, Inventory!D:D,Inventory!E:E,"No Name Found"))</f>
        <v/>
      </c>
      <c r="D5312" s="6"/>
      <c r="E5312" s="6"/>
      <c r="F5312" s="6"/>
      <c r="G5312" s="24" t="str">
        <f>IF(F5312="", "", VLOOKUP(F5312, Inventory!A:BZ, 3, FALSE) - SUMIF($F$1:$F5311, F5312, $H$1:$H5311))
</f>
        <v/>
      </c>
      <c r="I5312" s="26"/>
      <c r="J5312" s="26" t="s">
        <v>77</v>
      </c>
      <c r="L5312" s="27" t="s">
        <v>77</v>
      </c>
      <c r="N5312" s="28" t="s">
        <v>77</v>
      </c>
      <c r="Q5312" s="30"/>
    </row>
    <row r="5313">
      <c r="B5313" s="6"/>
      <c r="C5313" s="33" t="str">
        <f t="array" ref="C5313">IF(B5313="", "", XLOOKUP(B5313, Inventory!D:D,Inventory!E:E,"No Name Found"))</f>
        <v/>
      </c>
      <c r="D5313" s="6"/>
      <c r="E5313" s="6"/>
      <c r="F5313" s="6"/>
      <c r="G5313" s="24" t="str">
        <f>IF(F5313="", "", VLOOKUP(F5313, Inventory!A:BZ, 3, FALSE) - SUMIF($F$1:$F5312, F5313, $H$1:$H5312))
</f>
        <v/>
      </c>
      <c r="I5313" s="26"/>
      <c r="J5313" s="26" t="s">
        <v>77</v>
      </c>
      <c r="L5313" s="27" t="s">
        <v>77</v>
      </c>
      <c r="N5313" s="28" t="s">
        <v>77</v>
      </c>
      <c r="Q5313" s="30"/>
    </row>
    <row r="5314">
      <c r="B5314" s="6"/>
      <c r="C5314" s="33" t="str">
        <f t="array" ref="C5314">IF(B5314="", "", XLOOKUP(B5314, Inventory!D:D,Inventory!E:E,"No Name Found"))</f>
        <v/>
      </c>
      <c r="D5314" s="6"/>
      <c r="E5314" s="6"/>
      <c r="F5314" s="6"/>
      <c r="G5314" s="24" t="str">
        <f>IF(F5314="", "", VLOOKUP(F5314, Inventory!A:BZ, 3, FALSE) - SUMIF($F$1:$F5313, F5314, $H$1:$H5313))
</f>
        <v/>
      </c>
      <c r="I5314" s="26"/>
      <c r="J5314" s="26" t="s">
        <v>77</v>
      </c>
      <c r="L5314" s="27" t="s">
        <v>77</v>
      </c>
      <c r="N5314" s="28" t="s">
        <v>77</v>
      </c>
      <c r="Q5314" s="30"/>
    </row>
    <row r="5315">
      <c r="B5315" s="6"/>
      <c r="C5315" s="33" t="str">
        <f t="array" ref="C5315">IF(B5315="", "", XLOOKUP(B5315, Inventory!D:D,Inventory!E:E,"No Name Found"))</f>
        <v/>
      </c>
      <c r="D5315" s="6"/>
      <c r="E5315" s="6"/>
      <c r="F5315" s="6"/>
      <c r="G5315" s="24" t="str">
        <f>IF(F5315="", "", VLOOKUP(F5315, Inventory!A:BZ, 3, FALSE) - SUMIF($F$1:$F5314, F5315, $H$1:$H5314))
</f>
        <v/>
      </c>
      <c r="I5315" s="26"/>
      <c r="J5315" s="26" t="s">
        <v>77</v>
      </c>
      <c r="L5315" s="27" t="s">
        <v>77</v>
      </c>
      <c r="N5315" s="28" t="s">
        <v>77</v>
      </c>
      <c r="Q5315" s="30"/>
    </row>
    <row r="5316">
      <c r="B5316" s="6"/>
      <c r="C5316" s="33" t="str">
        <f t="array" ref="C5316">IF(B5316="", "", XLOOKUP(B5316, Inventory!D:D,Inventory!E:E,"No Name Found"))</f>
        <v/>
      </c>
      <c r="D5316" s="6"/>
      <c r="E5316" s="6"/>
      <c r="F5316" s="6"/>
      <c r="G5316" s="24" t="str">
        <f>IF(F5316="", "", VLOOKUP(F5316, Inventory!A:BZ, 3, FALSE) - SUMIF($F$1:$F5315, F5316, $H$1:$H5315))
</f>
        <v/>
      </c>
      <c r="I5316" s="26"/>
      <c r="J5316" s="26" t="s">
        <v>77</v>
      </c>
      <c r="L5316" s="27" t="s">
        <v>77</v>
      </c>
      <c r="N5316" s="28" t="s">
        <v>77</v>
      </c>
      <c r="Q5316" s="30"/>
    </row>
    <row r="5317">
      <c r="B5317" s="6"/>
      <c r="C5317" s="33" t="str">
        <f t="array" ref="C5317">IF(B5317="", "", XLOOKUP(B5317, Inventory!D:D,Inventory!E:E,"No Name Found"))</f>
        <v/>
      </c>
      <c r="D5317" s="6"/>
      <c r="E5317" s="6"/>
      <c r="F5317" s="6"/>
      <c r="G5317" s="24" t="str">
        <f>IF(F5317="", "", VLOOKUP(F5317, Inventory!A:BZ, 3, FALSE) - SUMIF($F$1:$F5316, F5317, $H$1:$H5316))
</f>
        <v/>
      </c>
      <c r="I5317" s="26"/>
      <c r="J5317" s="26" t="s">
        <v>77</v>
      </c>
      <c r="L5317" s="27" t="s">
        <v>77</v>
      </c>
      <c r="N5317" s="28" t="s">
        <v>77</v>
      </c>
      <c r="Q5317" s="30"/>
    </row>
    <row r="5318">
      <c r="B5318" s="6"/>
      <c r="C5318" s="33" t="str">
        <f t="array" ref="C5318">IF(B5318="", "", XLOOKUP(B5318, Inventory!D:D,Inventory!E:E,"No Name Found"))</f>
        <v/>
      </c>
      <c r="D5318" s="6"/>
      <c r="E5318" s="6"/>
      <c r="F5318" s="6"/>
      <c r="G5318" s="24" t="str">
        <f>IF(F5318="", "", VLOOKUP(F5318, Inventory!A:BZ, 3, FALSE) - SUMIF($F$1:$F5317, F5318, $H$1:$H5317))
</f>
        <v/>
      </c>
      <c r="I5318" s="26"/>
      <c r="J5318" s="26" t="s">
        <v>77</v>
      </c>
      <c r="L5318" s="27" t="s">
        <v>77</v>
      </c>
      <c r="N5318" s="28" t="s">
        <v>77</v>
      </c>
      <c r="Q5318" s="30"/>
    </row>
    <row r="5319">
      <c r="B5319" s="6"/>
      <c r="C5319" s="33" t="str">
        <f t="array" ref="C5319">IF(B5319="", "", XLOOKUP(B5319, Inventory!D:D,Inventory!E:E,"No Name Found"))</f>
        <v/>
      </c>
      <c r="D5319" s="6"/>
      <c r="E5319" s="6"/>
      <c r="F5319" s="6"/>
      <c r="G5319" s="24" t="str">
        <f>IF(F5319="", "", VLOOKUP(F5319, Inventory!A:BZ, 3, FALSE) - SUMIF($F$1:$F5318, F5319, $H$1:$H5318))
</f>
        <v/>
      </c>
      <c r="I5319" s="26"/>
      <c r="J5319" s="26" t="s">
        <v>77</v>
      </c>
      <c r="L5319" s="27" t="s">
        <v>77</v>
      </c>
      <c r="N5319" s="28" t="s">
        <v>77</v>
      </c>
      <c r="Q5319" s="30"/>
    </row>
    <row r="5320">
      <c r="B5320" s="6"/>
      <c r="C5320" s="33" t="str">
        <f t="array" ref="C5320">IF(B5320="", "", XLOOKUP(B5320, Inventory!D:D,Inventory!E:E,"No Name Found"))</f>
        <v/>
      </c>
      <c r="D5320" s="6"/>
      <c r="E5320" s="6"/>
      <c r="F5320" s="6"/>
      <c r="G5320" s="24" t="str">
        <f>IF(F5320="", "", VLOOKUP(F5320, Inventory!A:BZ, 3, FALSE) - SUMIF($F$1:$F5319, F5320, $H$1:$H5319))
</f>
        <v/>
      </c>
      <c r="I5320" s="26"/>
      <c r="J5320" s="26" t="s">
        <v>77</v>
      </c>
      <c r="L5320" s="27" t="s">
        <v>77</v>
      </c>
      <c r="N5320" s="28" t="s">
        <v>77</v>
      </c>
      <c r="Q5320" s="30"/>
    </row>
    <row r="5321">
      <c r="B5321" s="6"/>
      <c r="C5321" s="33" t="str">
        <f t="array" ref="C5321">IF(B5321="", "", XLOOKUP(B5321, Inventory!D:D,Inventory!E:E,"No Name Found"))</f>
        <v/>
      </c>
      <c r="D5321" s="6"/>
      <c r="E5321" s="6"/>
      <c r="F5321" s="6"/>
      <c r="G5321" s="24" t="str">
        <f>IF(F5321="", "", VLOOKUP(F5321, Inventory!A:BZ, 3, FALSE) - SUMIF($F$1:$F5320, F5321, $H$1:$H5320))
</f>
        <v/>
      </c>
      <c r="I5321" s="26"/>
      <c r="J5321" s="26" t="s">
        <v>77</v>
      </c>
      <c r="L5321" s="27" t="s">
        <v>77</v>
      </c>
      <c r="N5321" s="28" t="s">
        <v>77</v>
      </c>
      <c r="Q5321" s="30"/>
    </row>
    <row r="5322">
      <c r="B5322" s="6"/>
      <c r="C5322" s="33" t="str">
        <f t="array" ref="C5322">IF(B5322="", "", XLOOKUP(B5322, Inventory!D:D,Inventory!E:E,"No Name Found"))</f>
        <v/>
      </c>
      <c r="D5322" s="6"/>
      <c r="E5322" s="6"/>
      <c r="F5322" s="6"/>
      <c r="G5322" s="24" t="str">
        <f>IF(F5322="", "", VLOOKUP(F5322, Inventory!A:BZ, 3, FALSE) - SUMIF($F$1:$F5321, F5322, $H$1:$H5321))
</f>
        <v/>
      </c>
      <c r="I5322" s="26"/>
      <c r="J5322" s="26" t="s">
        <v>77</v>
      </c>
      <c r="L5322" s="27" t="s">
        <v>77</v>
      </c>
      <c r="N5322" s="28" t="s">
        <v>77</v>
      </c>
      <c r="Q5322" s="30"/>
    </row>
    <row r="5323">
      <c r="B5323" s="6"/>
      <c r="C5323" s="33" t="str">
        <f t="array" ref="C5323">IF(B5323="", "", XLOOKUP(B5323, Inventory!D:D,Inventory!E:E,"No Name Found"))</f>
        <v/>
      </c>
      <c r="D5323" s="6"/>
      <c r="E5323" s="6"/>
      <c r="F5323" s="6"/>
      <c r="G5323" s="24" t="str">
        <f>IF(F5323="", "", VLOOKUP(F5323, Inventory!A:BZ, 3, FALSE) - SUMIF($F$1:$F5322, F5323, $H$1:$H5322))
</f>
        <v/>
      </c>
      <c r="I5323" s="26"/>
      <c r="J5323" s="26" t="s">
        <v>77</v>
      </c>
      <c r="L5323" s="27" t="s">
        <v>77</v>
      </c>
      <c r="N5323" s="28" t="s">
        <v>77</v>
      </c>
      <c r="Q5323" s="30"/>
    </row>
    <row r="5324">
      <c r="B5324" s="6"/>
      <c r="C5324" s="33" t="str">
        <f t="array" ref="C5324">IF(B5324="", "", XLOOKUP(B5324, Inventory!D:D,Inventory!E:E,"No Name Found"))</f>
        <v/>
      </c>
      <c r="D5324" s="6"/>
      <c r="E5324" s="6"/>
      <c r="F5324" s="6"/>
      <c r="G5324" s="24" t="str">
        <f>IF(F5324="", "", VLOOKUP(F5324, Inventory!A:BZ, 3, FALSE) - SUMIF($F$1:$F5323, F5324, $H$1:$H5323))
</f>
        <v/>
      </c>
      <c r="I5324" s="26"/>
      <c r="J5324" s="26" t="s">
        <v>77</v>
      </c>
      <c r="L5324" s="27" t="s">
        <v>77</v>
      </c>
      <c r="N5324" s="28" t="s">
        <v>77</v>
      </c>
      <c r="Q5324" s="30"/>
    </row>
    <row r="5325">
      <c r="B5325" s="6"/>
      <c r="C5325" s="33" t="str">
        <f t="array" ref="C5325">IF(B5325="", "", XLOOKUP(B5325, Inventory!D:D,Inventory!E:E,"No Name Found"))</f>
        <v/>
      </c>
      <c r="D5325" s="6"/>
      <c r="E5325" s="6"/>
      <c r="F5325" s="6"/>
      <c r="G5325" s="24" t="str">
        <f>IF(F5325="", "", VLOOKUP(F5325, Inventory!A:BZ, 3, FALSE) - SUMIF($F$1:$F5324, F5325, $H$1:$H5324))
</f>
        <v/>
      </c>
      <c r="I5325" s="26"/>
      <c r="J5325" s="26" t="s">
        <v>77</v>
      </c>
      <c r="L5325" s="27" t="s">
        <v>77</v>
      </c>
      <c r="N5325" s="28" t="s">
        <v>77</v>
      </c>
      <c r="Q5325" s="30"/>
    </row>
    <row r="5326">
      <c r="B5326" s="6"/>
      <c r="C5326" s="33" t="str">
        <f t="array" ref="C5326">IF(B5326="", "", XLOOKUP(B5326, Inventory!D:D,Inventory!E:E,"No Name Found"))</f>
        <v/>
      </c>
      <c r="D5326" s="6"/>
      <c r="E5326" s="6"/>
      <c r="F5326" s="6"/>
      <c r="G5326" s="24" t="str">
        <f>IF(F5326="", "", VLOOKUP(F5326, Inventory!A:BZ, 3, FALSE) - SUMIF($F$1:$F5325, F5326, $H$1:$H5325))
</f>
        <v/>
      </c>
      <c r="I5326" s="26"/>
      <c r="J5326" s="26" t="s">
        <v>77</v>
      </c>
      <c r="L5326" s="27" t="s">
        <v>77</v>
      </c>
      <c r="N5326" s="28" t="s">
        <v>77</v>
      </c>
      <c r="Q5326" s="30"/>
    </row>
    <row r="5327">
      <c r="B5327" s="6"/>
      <c r="C5327" s="33" t="str">
        <f t="array" ref="C5327">IF(B5327="", "", XLOOKUP(B5327, Inventory!D:D,Inventory!E:E,"No Name Found"))</f>
        <v/>
      </c>
      <c r="D5327" s="6"/>
      <c r="E5327" s="6"/>
      <c r="F5327" s="6"/>
      <c r="G5327" s="24" t="str">
        <f>IF(F5327="", "", VLOOKUP(F5327, Inventory!A:BZ, 3, FALSE) - SUMIF($F$1:$F5326, F5327, $H$1:$H5326))
</f>
        <v/>
      </c>
      <c r="I5327" s="26"/>
      <c r="J5327" s="26" t="s">
        <v>77</v>
      </c>
      <c r="L5327" s="27" t="s">
        <v>77</v>
      </c>
      <c r="N5327" s="28" t="s">
        <v>77</v>
      </c>
      <c r="Q5327" s="30"/>
    </row>
    <row r="5328">
      <c r="B5328" s="6"/>
      <c r="C5328" s="33" t="str">
        <f t="array" ref="C5328">IF(B5328="", "", XLOOKUP(B5328, Inventory!D:D,Inventory!E:E,"No Name Found"))</f>
        <v/>
      </c>
      <c r="D5328" s="6"/>
      <c r="E5328" s="6"/>
      <c r="F5328" s="6"/>
      <c r="G5328" s="24" t="str">
        <f>IF(F5328="", "", VLOOKUP(F5328, Inventory!A:BZ, 3, FALSE) - SUMIF($F$1:$F5327, F5328, $H$1:$H5327))
</f>
        <v/>
      </c>
      <c r="I5328" s="26"/>
      <c r="J5328" s="26" t="s">
        <v>77</v>
      </c>
      <c r="L5328" s="27" t="s">
        <v>77</v>
      </c>
      <c r="N5328" s="28" t="s">
        <v>77</v>
      </c>
      <c r="Q5328" s="30"/>
    </row>
    <row r="5329">
      <c r="B5329" s="6"/>
      <c r="C5329" s="33" t="str">
        <f t="array" ref="C5329">IF(B5329="", "", XLOOKUP(B5329, Inventory!D:D,Inventory!E:E,"No Name Found"))</f>
        <v/>
      </c>
      <c r="D5329" s="6"/>
      <c r="E5329" s="6"/>
      <c r="F5329" s="6"/>
      <c r="G5329" s="24" t="str">
        <f>IF(F5329="", "", VLOOKUP(F5329, Inventory!A:BZ, 3, FALSE) - SUMIF($F$1:$F5328, F5329, $H$1:$H5328))
</f>
        <v/>
      </c>
      <c r="I5329" s="26"/>
      <c r="J5329" s="26" t="s">
        <v>77</v>
      </c>
      <c r="L5329" s="27" t="s">
        <v>77</v>
      </c>
      <c r="N5329" s="28" t="s">
        <v>77</v>
      </c>
      <c r="Q5329" s="30"/>
    </row>
    <row r="5330">
      <c r="B5330" s="6"/>
      <c r="C5330" s="33" t="str">
        <f t="array" ref="C5330">IF(B5330="", "", XLOOKUP(B5330, Inventory!D:D,Inventory!E:E,"No Name Found"))</f>
        <v/>
      </c>
      <c r="D5330" s="6"/>
      <c r="E5330" s="6"/>
      <c r="F5330" s="6"/>
      <c r="G5330" s="24" t="str">
        <f>IF(F5330="", "", VLOOKUP(F5330, Inventory!A:BZ, 3, FALSE) - SUMIF($F$1:$F5329, F5330, $H$1:$H5329))
</f>
        <v/>
      </c>
      <c r="I5330" s="26"/>
      <c r="J5330" s="26" t="s">
        <v>77</v>
      </c>
      <c r="L5330" s="27" t="s">
        <v>77</v>
      </c>
      <c r="N5330" s="28" t="s">
        <v>77</v>
      </c>
      <c r="Q5330" s="30"/>
    </row>
    <row r="5331">
      <c r="B5331" s="6"/>
      <c r="C5331" s="33" t="str">
        <f t="array" ref="C5331">IF(B5331="", "", XLOOKUP(B5331, Inventory!D:D,Inventory!E:E,"No Name Found"))</f>
        <v/>
      </c>
      <c r="D5331" s="6"/>
      <c r="E5331" s="6"/>
      <c r="F5331" s="6"/>
      <c r="G5331" s="24" t="str">
        <f>IF(F5331="", "", VLOOKUP(F5331, Inventory!A:BZ, 3, FALSE) - SUMIF($F$1:$F5330, F5331, $H$1:$H5330))
</f>
        <v/>
      </c>
      <c r="I5331" s="26"/>
      <c r="J5331" s="26" t="s">
        <v>77</v>
      </c>
      <c r="L5331" s="27" t="s">
        <v>77</v>
      </c>
      <c r="N5331" s="28" t="s">
        <v>77</v>
      </c>
      <c r="Q5331" s="30"/>
    </row>
    <row r="5332">
      <c r="B5332" s="6"/>
      <c r="C5332" s="33" t="str">
        <f t="array" ref="C5332">IF(B5332="", "", XLOOKUP(B5332, Inventory!D:D,Inventory!E:E,"No Name Found"))</f>
        <v/>
      </c>
      <c r="D5332" s="6"/>
      <c r="E5332" s="6"/>
      <c r="F5332" s="6"/>
      <c r="G5332" s="24" t="str">
        <f>IF(F5332="", "", VLOOKUP(F5332, Inventory!A:BZ, 3, FALSE) - SUMIF($F$1:$F5331, F5332, $H$1:$H5331))
</f>
        <v/>
      </c>
      <c r="I5332" s="26"/>
      <c r="J5332" s="26" t="s">
        <v>77</v>
      </c>
      <c r="L5332" s="27" t="s">
        <v>77</v>
      </c>
      <c r="N5332" s="28" t="s">
        <v>77</v>
      </c>
      <c r="Q5332" s="30"/>
    </row>
    <row r="5333">
      <c r="B5333" s="6"/>
      <c r="C5333" s="33" t="str">
        <f t="array" ref="C5333">IF(B5333="", "", XLOOKUP(B5333, Inventory!D:D,Inventory!E:E,"No Name Found"))</f>
        <v/>
      </c>
      <c r="D5333" s="6"/>
      <c r="E5333" s="6"/>
      <c r="F5333" s="6"/>
      <c r="G5333" s="24" t="str">
        <f>IF(F5333="", "", VLOOKUP(F5333, Inventory!A:BZ, 3, FALSE) - SUMIF($F$1:$F5332, F5333, $H$1:$H5332))
</f>
        <v/>
      </c>
      <c r="I5333" s="26"/>
      <c r="J5333" s="26" t="s">
        <v>77</v>
      </c>
      <c r="L5333" s="27" t="s">
        <v>77</v>
      </c>
      <c r="N5333" s="28" t="s">
        <v>77</v>
      </c>
      <c r="Q5333" s="30"/>
    </row>
    <row r="5334">
      <c r="B5334" s="6"/>
      <c r="C5334" s="33" t="str">
        <f t="array" ref="C5334">IF(B5334="", "", XLOOKUP(B5334, Inventory!D:D,Inventory!E:E,"No Name Found"))</f>
        <v/>
      </c>
      <c r="D5334" s="6"/>
      <c r="E5334" s="6"/>
      <c r="F5334" s="6"/>
      <c r="G5334" s="24" t="str">
        <f>IF(F5334="", "", VLOOKUP(F5334, Inventory!A:BZ, 3, FALSE) - SUMIF($F$1:$F5333, F5334, $H$1:$H5333))
</f>
        <v/>
      </c>
      <c r="I5334" s="26"/>
      <c r="J5334" s="26" t="s">
        <v>77</v>
      </c>
      <c r="L5334" s="27" t="s">
        <v>77</v>
      </c>
      <c r="N5334" s="28" t="s">
        <v>77</v>
      </c>
      <c r="Q5334" s="30"/>
    </row>
    <row r="5335">
      <c r="B5335" s="6"/>
      <c r="C5335" s="33" t="str">
        <f t="array" ref="C5335">IF(B5335="", "", XLOOKUP(B5335, Inventory!D:D,Inventory!E:E,"No Name Found"))</f>
        <v/>
      </c>
      <c r="D5335" s="6"/>
      <c r="E5335" s="6"/>
      <c r="F5335" s="6"/>
      <c r="G5335" s="24" t="str">
        <f>IF(F5335="", "", VLOOKUP(F5335, Inventory!A:BZ, 3, FALSE) - SUMIF($F$1:$F5334, F5335, $H$1:$H5334))
</f>
        <v/>
      </c>
      <c r="I5335" s="26"/>
      <c r="J5335" s="26" t="s">
        <v>77</v>
      </c>
      <c r="L5335" s="27" t="s">
        <v>77</v>
      </c>
      <c r="N5335" s="28" t="s">
        <v>77</v>
      </c>
      <c r="Q5335" s="30"/>
    </row>
    <row r="5336">
      <c r="B5336" s="6"/>
      <c r="C5336" s="33" t="str">
        <f t="array" ref="C5336">IF(B5336="", "", XLOOKUP(B5336, Inventory!D:D,Inventory!E:E,"No Name Found"))</f>
        <v/>
      </c>
      <c r="D5336" s="6"/>
      <c r="E5336" s="6"/>
      <c r="F5336" s="6"/>
      <c r="G5336" s="24" t="str">
        <f>IF(F5336="", "", VLOOKUP(F5336, Inventory!A:BZ, 3, FALSE) - SUMIF($F$1:$F5335, F5336, $H$1:$H5335))
</f>
        <v/>
      </c>
      <c r="I5336" s="26"/>
      <c r="J5336" s="26" t="s">
        <v>77</v>
      </c>
      <c r="L5336" s="27" t="s">
        <v>77</v>
      </c>
      <c r="N5336" s="28" t="s">
        <v>77</v>
      </c>
      <c r="Q5336" s="30"/>
    </row>
    <row r="5337">
      <c r="B5337" s="6"/>
      <c r="C5337" s="33" t="str">
        <f t="array" ref="C5337">IF(B5337="", "", XLOOKUP(B5337, Inventory!D:D,Inventory!E:E,"No Name Found"))</f>
        <v/>
      </c>
      <c r="D5337" s="6"/>
      <c r="E5337" s="6"/>
      <c r="F5337" s="6"/>
      <c r="G5337" s="24" t="str">
        <f>IF(F5337="", "", VLOOKUP(F5337, Inventory!A:BZ, 3, FALSE) - SUMIF($F$1:$F5336, F5337, $H$1:$H5336))
</f>
        <v/>
      </c>
      <c r="I5337" s="26"/>
      <c r="J5337" s="26" t="s">
        <v>77</v>
      </c>
      <c r="L5337" s="27" t="s">
        <v>77</v>
      </c>
      <c r="N5337" s="28" t="s">
        <v>77</v>
      </c>
      <c r="Q5337" s="30"/>
    </row>
    <row r="5338">
      <c r="B5338" s="6"/>
      <c r="C5338" s="33" t="str">
        <f t="array" ref="C5338">IF(B5338="", "", XLOOKUP(B5338, Inventory!D:D,Inventory!E:E,"No Name Found"))</f>
        <v/>
      </c>
      <c r="D5338" s="6"/>
      <c r="E5338" s="6"/>
      <c r="F5338" s="6"/>
      <c r="G5338" s="24" t="str">
        <f>IF(F5338="", "", VLOOKUP(F5338, Inventory!A:BZ, 3, FALSE) - SUMIF($F$1:$F5337, F5338, $H$1:$H5337))
</f>
        <v/>
      </c>
      <c r="I5338" s="26"/>
      <c r="J5338" s="26" t="s">
        <v>77</v>
      </c>
      <c r="L5338" s="27" t="s">
        <v>77</v>
      </c>
      <c r="N5338" s="28" t="s">
        <v>77</v>
      </c>
      <c r="Q5338" s="30"/>
    </row>
    <row r="5339">
      <c r="B5339" s="6"/>
      <c r="C5339" s="33" t="str">
        <f t="array" ref="C5339">IF(B5339="", "", XLOOKUP(B5339, Inventory!D:D,Inventory!E:E,"No Name Found"))</f>
        <v/>
      </c>
      <c r="D5339" s="6"/>
      <c r="E5339" s="6"/>
      <c r="F5339" s="6"/>
      <c r="G5339" s="24" t="str">
        <f>IF(F5339="", "", VLOOKUP(F5339, Inventory!A:BZ, 3, FALSE) - SUMIF($F$1:$F5338, F5339, $H$1:$H5338))
</f>
        <v/>
      </c>
      <c r="I5339" s="26"/>
      <c r="J5339" s="26" t="s">
        <v>77</v>
      </c>
      <c r="L5339" s="27" t="s">
        <v>77</v>
      </c>
      <c r="N5339" s="28" t="s">
        <v>77</v>
      </c>
      <c r="Q5339" s="30"/>
    </row>
    <row r="5340">
      <c r="B5340" s="6"/>
      <c r="C5340" s="33" t="str">
        <f t="array" ref="C5340">IF(B5340="", "", XLOOKUP(B5340, Inventory!D:D,Inventory!E:E,"No Name Found"))</f>
        <v/>
      </c>
      <c r="D5340" s="6"/>
      <c r="E5340" s="6"/>
      <c r="F5340" s="6"/>
      <c r="G5340" s="24" t="str">
        <f>IF(F5340="", "", VLOOKUP(F5340, Inventory!A:BZ, 3, FALSE) - SUMIF($F$1:$F5339, F5340, $H$1:$H5339))
</f>
        <v/>
      </c>
      <c r="I5340" s="26"/>
      <c r="J5340" s="26" t="s">
        <v>77</v>
      </c>
      <c r="L5340" s="27" t="s">
        <v>77</v>
      </c>
      <c r="N5340" s="28" t="s">
        <v>77</v>
      </c>
      <c r="Q5340" s="30"/>
    </row>
    <row r="5341">
      <c r="B5341" s="6"/>
      <c r="C5341" s="33" t="str">
        <f t="array" ref="C5341">IF(B5341="", "", XLOOKUP(B5341, Inventory!D:D,Inventory!E:E,"No Name Found"))</f>
        <v/>
      </c>
      <c r="D5341" s="6"/>
      <c r="E5341" s="6"/>
      <c r="F5341" s="6"/>
      <c r="G5341" s="24" t="str">
        <f>IF(F5341="", "", VLOOKUP(F5341, Inventory!A:BZ, 3, FALSE) - SUMIF($F$1:$F5340, F5341, $H$1:$H5340))
</f>
        <v/>
      </c>
      <c r="I5341" s="26"/>
      <c r="J5341" s="26" t="s">
        <v>77</v>
      </c>
      <c r="L5341" s="27" t="s">
        <v>77</v>
      </c>
      <c r="N5341" s="28" t="s">
        <v>77</v>
      </c>
      <c r="Q5341" s="30"/>
    </row>
    <row r="5342">
      <c r="B5342" s="6"/>
      <c r="C5342" s="33" t="str">
        <f t="array" ref="C5342">IF(B5342="", "", XLOOKUP(B5342, Inventory!D:D,Inventory!E:E,"No Name Found"))</f>
        <v/>
      </c>
      <c r="D5342" s="6"/>
      <c r="E5342" s="6"/>
      <c r="F5342" s="6"/>
      <c r="G5342" s="24" t="str">
        <f>IF(F5342="", "", VLOOKUP(F5342, Inventory!A:BZ, 3, FALSE) - SUMIF($F$1:$F5341, F5342, $H$1:$H5341))
</f>
        <v/>
      </c>
      <c r="I5342" s="26"/>
      <c r="J5342" s="26" t="s">
        <v>77</v>
      </c>
      <c r="L5342" s="27" t="s">
        <v>77</v>
      </c>
      <c r="N5342" s="28" t="s">
        <v>77</v>
      </c>
      <c r="Q5342" s="30"/>
    </row>
    <row r="5343">
      <c r="B5343" s="6"/>
      <c r="C5343" s="33" t="str">
        <f t="array" ref="C5343">IF(B5343="", "", XLOOKUP(B5343, Inventory!D:D,Inventory!E:E,"No Name Found"))</f>
        <v/>
      </c>
      <c r="D5343" s="6"/>
      <c r="E5343" s="6"/>
      <c r="F5343" s="6"/>
      <c r="G5343" s="24" t="str">
        <f>IF(F5343="", "", VLOOKUP(F5343, Inventory!A:BZ, 3, FALSE) - SUMIF($F$1:$F5342, F5343, $H$1:$H5342))
</f>
        <v/>
      </c>
      <c r="I5343" s="26"/>
      <c r="J5343" s="26" t="s">
        <v>77</v>
      </c>
      <c r="L5343" s="27" t="s">
        <v>77</v>
      </c>
      <c r="N5343" s="28" t="s">
        <v>77</v>
      </c>
      <c r="Q5343" s="30"/>
    </row>
    <row r="5344">
      <c r="B5344" s="6"/>
      <c r="C5344" s="33" t="str">
        <f t="array" ref="C5344">IF(B5344="", "", XLOOKUP(B5344, Inventory!D:D,Inventory!E:E,"No Name Found"))</f>
        <v/>
      </c>
      <c r="D5344" s="6"/>
      <c r="E5344" s="6"/>
      <c r="F5344" s="6"/>
      <c r="G5344" s="24" t="str">
        <f>IF(F5344="", "", VLOOKUP(F5344, Inventory!A:BZ, 3, FALSE) - SUMIF($F$1:$F5343, F5344, $H$1:$H5343))
</f>
        <v/>
      </c>
      <c r="I5344" s="26"/>
      <c r="J5344" s="26" t="s">
        <v>77</v>
      </c>
      <c r="L5344" s="27" t="s">
        <v>77</v>
      </c>
      <c r="N5344" s="28" t="s">
        <v>77</v>
      </c>
      <c r="Q5344" s="30"/>
    </row>
    <row r="5345">
      <c r="B5345" s="6"/>
      <c r="C5345" s="33" t="str">
        <f t="array" ref="C5345">IF(B5345="", "", XLOOKUP(B5345, Inventory!D:D,Inventory!E:E,"No Name Found"))</f>
        <v/>
      </c>
      <c r="D5345" s="6"/>
      <c r="E5345" s="6"/>
      <c r="F5345" s="6"/>
      <c r="G5345" s="24" t="str">
        <f>IF(F5345="", "", VLOOKUP(F5345, Inventory!A:BZ, 3, FALSE) - SUMIF($F$1:$F5344, F5345, $H$1:$H5344))
</f>
        <v/>
      </c>
      <c r="I5345" s="26"/>
      <c r="J5345" s="26" t="s">
        <v>77</v>
      </c>
      <c r="L5345" s="27" t="s">
        <v>77</v>
      </c>
      <c r="N5345" s="28" t="s">
        <v>77</v>
      </c>
      <c r="Q5345" s="30"/>
    </row>
    <row r="5346">
      <c r="B5346" s="6"/>
      <c r="C5346" s="33" t="str">
        <f t="array" ref="C5346">IF(B5346="", "", XLOOKUP(B5346, Inventory!D:D,Inventory!E:E,"No Name Found"))</f>
        <v/>
      </c>
      <c r="D5346" s="6"/>
      <c r="E5346" s="6"/>
      <c r="F5346" s="6"/>
      <c r="G5346" s="24" t="str">
        <f>IF(F5346="", "", VLOOKUP(F5346, Inventory!A:BZ, 3, FALSE) - SUMIF($F$1:$F5345, F5346, $H$1:$H5345))
</f>
        <v/>
      </c>
      <c r="I5346" s="26"/>
      <c r="J5346" s="26" t="s">
        <v>77</v>
      </c>
      <c r="L5346" s="27" t="s">
        <v>77</v>
      </c>
      <c r="N5346" s="28" t="s">
        <v>77</v>
      </c>
      <c r="Q5346" s="30"/>
    </row>
    <row r="5347">
      <c r="B5347" s="6"/>
      <c r="C5347" s="33" t="str">
        <f t="array" ref="C5347">IF(B5347="", "", XLOOKUP(B5347, Inventory!D:D,Inventory!E:E,"No Name Found"))</f>
        <v/>
      </c>
      <c r="D5347" s="6"/>
      <c r="E5347" s="6"/>
      <c r="F5347" s="6"/>
      <c r="G5347" s="24" t="str">
        <f>IF(F5347="", "", VLOOKUP(F5347, Inventory!A:BZ, 3, FALSE) - SUMIF($F$1:$F5346, F5347, $H$1:$H5346))
</f>
        <v/>
      </c>
      <c r="I5347" s="26"/>
      <c r="J5347" s="26" t="s">
        <v>77</v>
      </c>
      <c r="L5347" s="27" t="s">
        <v>77</v>
      </c>
      <c r="N5347" s="28" t="s">
        <v>77</v>
      </c>
      <c r="Q5347" s="30"/>
    </row>
    <row r="5348">
      <c r="B5348" s="6"/>
      <c r="C5348" s="33" t="str">
        <f t="array" ref="C5348">IF(B5348="", "", XLOOKUP(B5348, Inventory!D:D,Inventory!E:E,"No Name Found"))</f>
        <v/>
      </c>
      <c r="D5348" s="6"/>
      <c r="E5348" s="6"/>
      <c r="F5348" s="6"/>
      <c r="G5348" s="24" t="str">
        <f>IF(F5348="", "", VLOOKUP(F5348, Inventory!A:BZ, 3, FALSE) - SUMIF($F$1:$F5347, F5348, $H$1:$H5347))
</f>
        <v/>
      </c>
      <c r="I5348" s="26"/>
      <c r="J5348" s="26" t="s">
        <v>77</v>
      </c>
      <c r="L5348" s="27" t="s">
        <v>77</v>
      </c>
      <c r="N5348" s="28" t="s">
        <v>77</v>
      </c>
      <c r="Q5348" s="30"/>
    </row>
    <row r="5349">
      <c r="B5349" s="6"/>
      <c r="C5349" s="33" t="str">
        <f t="array" ref="C5349">IF(B5349="", "", XLOOKUP(B5349, Inventory!D:D,Inventory!E:E,"No Name Found"))</f>
        <v/>
      </c>
      <c r="D5349" s="6"/>
      <c r="E5349" s="6"/>
      <c r="F5349" s="6"/>
      <c r="G5349" s="24" t="str">
        <f>IF(F5349="", "", VLOOKUP(F5349, Inventory!A:BZ, 3, FALSE) - SUMIF($F$1:$F5348, F5349, $H$1:$H5348))
</f>
        <v/>
      </c>
      <c r="I5349" s="26"/>
      <c r="J5349" s="26" t="s">
        <v>77</v>
      </c>
      <c r="L5349" s="27" t="s">
        <v>77</v>
      </c>
      <c r="N5349" s="28" t="s">
        <v>77</v>
      </c>
      <c r="Q5349" s="30"/>
    </row>
    <row r="5350">
      <c r="B5350" s="6"/>
      <c r="C5350" s="33" t="str">
        <f t="array" ref="C5350">IF(B5350="", "", XLOOKUP(B5350, Inventory!D:D,Inventory!E:E,"No Name Found"))</f>
        <v/>
      </c>
      <c r="D5350" s="6"/>
      <c r="E5350" s="6"/>
      <c r="F5350" s="6"/>
      <c r="G5350" s="24" t="str">
        <f>IF(F5350="", "", VLOOKUP(F5350, Inventory!A:BZ, 3, FALSE) - SUMIF($F$1:$F5349, F5350, $H$1:$H5349))
</f>
        <v/>
      </c>
      <c r="I5350" s="26"/>
      <c r="J5350" s="26" t="s">
        <v>77</v>
      </c>
      <c r="L5350" s="27" t="s">
        <v>77</v>
      </c>
      <c r="N5350" s="28" t="s">
        <v>77</v>
      </c>
      <c r="Q5350" s="30"/>
    </row>
    <row r="5351">
      <c r="B5351" s="6"/>
      <c r="C5351" s="33" t="str">
        <f t="array" ref="C5351">IF(B5351="", "", XLOOKUP(B5351, Inventory!D:D,Inventory!E:E,"No Name Found"))</f>
        <v/>
      </c>
      <c r="D5351" s="6"/>
      <c r="E5351" s="6"/>
      <c r="F5351" s="6"/>
      <c r="G5351" s="24" t="str">
        <f>IF(F5351="", "", VLOOKUP(F5351, Inventory!A:BZ, 3, FALSE) - SUMIF($F$1:$F5350, F5351, $H$1:$H5350))
</f>
        <v/>
      </c>
      <c r="I5351" s="26"/>
      <c r="J5351" s="26" t="s">
        <v>77</v>
      </c>
      <c r="L5351" s="27" t="s">
        <v>77</v>
      </c>
      <c r="N5351" s="28" t="s">
        <v>77</v>
      </c>
      <c r="Q5351" s="30"/>
    </row>
    <row r="5352">
      <c r="B5352" s="6"/>
      <c r="C5352" s="33" t="str">
        <f t="array" ref="C5352">IF(B5352="", "", XLOOKUP(B5352, Inventory!D:D,Inventory!E:E,"No Name Found"))</f>
        <v/>
      </c>
      <c r="D5352" s="6"/>
      <c r="E5352" s="6"/>
      <c r="F5352" s="6"/>
      <c r="G5352" s="24" t="str">
        <f>IF(F5352="", "", VLOOKUP(F5352, Inventory!A:BZ, 3, FALSE) - SUMIF($F$1:$F5351, F5352, $H$1:$H5351))
</f>
        <v/>
      </c>
      <c r="I5352" s="26"/>
      <c r="J5352" s="26" t="s">
        <v>77</v>
      </c>
      <c r="L5352" s="27" t="s">
        <v>77</v>
      </c>
      <c r="N5352" s="28" t="s">
        <v>77</v>
      </c>
      <c r="Q5352" s="30"/>
    </row>
    <row r="5353">
      <c r="B5353" s="6"/>
      <c r="C5353" s="33" t="str">
        <f t="array" ref="C5353">IF(B5353="", "", XLOOKUP(B5353, Inventory!D:D,Inventory!E:E,"No Name Found"))</f>
        <v/>
      </c>
      <c r="D5353" s="6"/>
      <c r="E5353" s="6"/>
      <c r="F5353" s="6"/>
      <c r="G5353" s="24" t="str">
        <f>IF(F5353="", "", VLOOKUP(F5353, Inventory!A:BZ, 3, FALSE) - SUMIF($F$1:$F5352, F5353, $H$1:$H5352))
</f>
        <v/>
      </c>
      <c r="I5353" s="26"/>
      <c r="J5353" s="26" t="s">
        <v>77</v>
      </c>
      <c r="L5353" s="27" t="s">
        <v>77</v>
      </c>
      <c r="N5353" s="28" t="s">
        <v>77</v>
      </c>
      <c r="Q5353" s="30"/>
    </row>
    <row r="5354">
      <c r="B5354" s="6"/>
      <c r="C5354" s="33" t="str">
        <f t="array" ref="C5354">IF(B5354="", "", XLOOKUP(B5354, Inventory!D:D,Inventory!E:E,"No Name Found"))</f>
        <v/>
      </c>
      <c r="D5354" s="6"/>
      <c r="E5354" s="6"/>
      <c r="F5354" s="6"/>
      <c r="G5354" s="24" t="str">
        <f>IF(F5354="", "", VLOOKUP(F5354, Inventory!A:BZ, 3, FALSE) - SUMIF($F$1:$F5353, F5354, $H$1:$H5353))
</f>
        <v/>
      </c>
      <c r="I5354" s="26"/>
      <c r="J5354" s="26" t="s">
        <v>77</v>
      </c>
      <c r="L5354" s="27" t="s">
        <v>77</v>
      </c>
      <c r="N5354" s="28" t="s">
        <v>77</v>
      </c>
      <c r="Q5354" s="30"/>
    </row>
    <row r="5355">
      <c r="B5355" s="6"/>
      <c r="C5355" s="33" t="str">
        <f t="array" ref="C5355">IF(B5355="", "", XLOOKUP(B5355, Inventory!D:D,Inventory!E:E,"No Name Found"))</f>
        <v/>
      </c>
      <c r="D5355" s="6"/>
      <c r="E5355" s="6"/>
      <c r="F5355" s="6"/>
      <c r="G5355" s="24" t="str">
        <f>IF(F5355="", "", VLOOKUP(F5355, Inventory!A:BZ, 3, FALSE) - SUMIF($F$1:$F5354, F5355, $H$1:$H5354))
</f>
        <v/>
      </c>
      <c r="I5355" s="26"/>
      <c r="J5355" s="26" t="s">
        <v>77</v>
      </c>
      <c r="L5355" s="27" t="s">
        <v>77</v>
      </c>
      <c r="N5355" s="28" t="s">
        <v>77</v>
      </c>
      <c r="Q5355" s="30"/>
    </row>
    <row r="5356">
      <c r="B5356" s="6"/>
      <c r="C5356" s="33" t="str">
        <f t="array" ref="C5356">IF(B5356="", "", XLOOKUP(B5356, Inventory!D:D,Inventory!E:E,"No Name Found"))</f>
        <v/>
      </c>
      <c r="D5356" s="6"/>
      <c r="E5356" s="6"/>
      <c r="F5356" s="6"/>
      <c r="G5356" s="24" t="str">
        <f>IF(F5356="", "", VLOOKUP(F5356, Inventory!A:BZ, 3, FALSE) - SUMIF($F$1:$F5355, F5356, $H$1:$H5355))
</f>
        <v/>
      </c>
      <c r="I5356" s="26"/>
      <c r="J5356" s="26" t="s">
        <v>77</v>
      </c>
      <c r="L5356" s="27" t="s">
        <v>77</v>
      </c>
      <c r="N5356" s="28" t="s">
        <v>77</v>
      </c>
      <c r="Q5356" s="30"/>
    </row>
    <row r="5357">
      <c r="B5357" s="6"/>
      <c r="C5357" s="33" t="str">
        <f t="array" ref="C5357">IF(B5357="", "", XLOOKUP(B5357, Inventory!D:D,Inventory!E:E,"No Name Found"))</f>
        <v/>
      </c>
      <c r="D5357" s="6"/>
      <c r="E5357" s="6"/>
      <c r="F5357" s="6"/>
      <c r="G5357" s="24" t="str">
        <f>IF(F5357="", "", VLOOKUP(F5357, Inventory!A:BZ, 3, FALSE) - SUMIF($F$1:$F5356, F5357, $H$1:$H5356))
</f>
        <v/>
      </c>
      <c r="I5357" s="26"/>
      <c r="J5357" s="26" t="s">
        <v>77</v>
      </c>
      <c r="L5357" s="27" t="s">
        <v>77</v>
      </c>
      <c r="N5357" s="28" t="s">
        <v>77</v>
      </c>
      <c r="Q5357" s="30"/>
    </row>
    <row r="5358">
      <c r="B5358" s="6"/>
      <c r="C5358" s="33" t="str">
        <f t="array" ref="C5358">IF(B5358="", "", XLOOKUP(B5358, Inventory!D:D,Inventory!E:E,"No Name Found"))</f>
        <v/>
      </c>
      <c r="D5358" s="6"/>
      <c r="E5358" s="6"/>
      <c r="F5358" s="6"/>
      <c r="G5358" s="24" t="str">
        <f>IF(F5358="", "", VLOOKUP(F5358, Inventory!A:BZ, 3, FALSE) - SUMIF($F$1:$F5357, F5358, $H$1:$H5357))
</f>
        <v/>
      </c>
      <c r="I5358" s="26"/>
      <c r="J5358" s="26" t="s">
        <v>77</v>
      </c>
      <c r="L5358" s="27" t="s">
        <v>77</v>
      </c>
      <c r="N5358" s="28" t="s">
        <v>77</v>
      </c>
      <c r="Q5358" s="30"/>
    </row>
    <row r="5359">
      <c r="B5359" s="6"/>
      <c r="C5359" s="33" t="str">
        <f t="array" ref="C5359">IF(B5359="", "", XLOOKUP(B5359, Inventory!D:D,Inventory!E:E,"No Name Found"))</f>
        <v/>
      </c>
      <c r="D5359" s="6"/>
      <c r="E5359" s="6"/>
      <c r="F5359" s="6"/>
      <c r="G5359" s="24" t="str">
        <f>IF(F5359="", "", VLOOKUP(F5359, Inventory!A:BZ, 3, FALSE) - SUMIF($F$1:$F5358, F5359, $H$1:$H5358))
</f>
        <v/>
      </c>
      <c r="I5359" s="26"/>
      <c r="J5359" s="26" t="s">
        <v>77</v>
      </c>
      <c r="L5359" s="27" t="s">
        <v>77</v>
      </c>
      <c r="N5359" s="28" t="s">
        <v>77</v>
      </c>
      <c r="Q5359" s="30"/>
    </row>
    <row r="5360">
      <c r="B5360" s="6"/>
      <c r="C5360" s="33" t="str">
        <f t="array" ref="C5360">IF(B5360="", "", XLOOKUP(B5360, Inventory!D:D,Inventory!E:E,"No Name Found"))</f>
        <v/>
      </c>
      <c r="D5360" s="6"/>
      <c r="E5360" s="6"/>
      <c r="F5360" s="6"/>
      <c r="G5360" s="24" t="str">
        <f>IF(F5360="", "", VLOOKUP(F5360, Inventory!A:BZ, 3, FALSE) - SUMIF($F$1:$F5359, F5360, $H$1:$H5359))
</f>
        <v/>
      </c>
      <c r="I5360" s="26"/>
      <c r="J5360" s="26" t="s">
        <v>77</v>
      </c>
      <c r="L5360" s="27" t="s">
        <v>77</v>
      </c>
      <c r="N5360" s="28" t="s">
        <v>77</v>
      </c>
      <c r="Q5360" s="30"/>
    </row>
    <row r="5361">
      <c r="B5361" s="6"/>
      <c r="C5361" s="33" t="str">
        <f t="array" ref="C5361">IF(B5361="", "", XLOOKUP(B5361, Inventory!D:D,Inventory!E:E,"No Name Found"))</f>
        <v/>
      </c>
      <c r="D5361" s="6"/>
      <c r="E5361" s="6"/>
      <c r="F5361" s="6"/>
      <c r="G5361" s="24" t="str">
        <f>IF(F5361="", "", VLOOKUP(F5361, Inventory!A:BZ, 3, FALSE) - SUMIF($F$1:$F5360, F5361, $H$1:$H5360))
</f>
        <v/>
      </c>
      <c r="I5361" s="26"/>
      <c r="J5361" s="26" t="s">
        <v>77</v>
      </c>
      <c r="L5361" s="27" t="s">
        <v>77</v>
      </c>
      <c r="N5361" s="28" t="s">
        <v>77</v>
      </c>
      <c r="Q5361" s="30"/>
    </row>
    <row r="5362">
      <c r="B5362" s="6"/>
      <c r="C5362" s="33" t="str">
        <f t="array" ref="C5362">IF(B5362="", "", XLOOKUP(B5362, Inventory!D:D,Inventory!E:E,"No Name Found"))</f>
        <v/>
      </c>
      <c r="D5362" s="6"/>
      <c r="E5362" s="6"/>
      <c r="F5362" s="6"/>
      <c r="G5362" s="24" t="str">
        <f>IF(F5362="", "", VLOOKUP(F5362, Inventory!A:BZ, 3, FALSE) - SUMIF($F$1:$F5361, F5362, $H$1:$H5361))
</f>
        <v/>
      </c>
      <c r="I5362" s="26"/>
      <c r="J5362" s="26" t="s">
        <v>77</v>
      </c>
      <c r="L5362" s="27" t="s">
        <v>77</v>
      </c>
      <c r="N5362" s="28" t="s">
        <v>77</v>
      </c>
      <c r="Q5362" s="30"/>
    </row>
    <row r="5363">
      <c r="B5363" s="6"/>
      <c r="C5363" s="33" t="str">
        <f t="array" ref="C5363">IF(B5363="", "", XLOOKUP(B5363, Inventory!D:D,Inventory!E:E,"No Name Found"))</f>
        <v/>
      </c>
      <c r="D5363" s="6"/>
      <c r="E5363" s="6"/>
      <c r="F5363" s="6"/>
      <c r="G5363" s="24" t="str">
        <f>IF(F5363="", "", VLOOKUP(F5363, Inventory!A:BZ, 3, FALSE) - SUMIF($F$1:$F5362, F5363, $H$1:$H5362))
</f>
        <v/>
      </c>
      <c r="I5363" s="26"/>
      <c r="J5363" s="26" t="s">
        <v>77</v>
      </c>
      <c r="L5363" s="27" t="s">
        <v>77</v>
      </c>
      <c r="N5363" s="28" t="s">
        <v>77</v>
      </c>
      <c r="Q5363" s="30"/>
    </row>
    <row r="5364">
      <c r="B5364" s="6"/>
      <c r="C5364" s="33" t="str">
        <f t="array" ref="C5364">IF(B5364="", "", XLOOKUP(B5364, Inventory!D:D,Inventory!E:E,"No Name Found"))</f>
        <v/>
      </c>
      <c r="D5364" s="6"/>
      <c r="E5364" s="6"/>
      <c r="F5364" s="6"/>
      <c r="G5364" s="24" t="str">
        <f>IF(F5364="", "", VLOOKUP(F5364, Inventory!A:BZ, 3, FALSE) - SUMIF($F$1:$F5363, F5364, $H$1:$H5363))
</f>
        <v/>
      </c>
      <c r="I5364" s="26"/>
      <c r="J5364" s="26" t="s">
        <v>77</v>
      </c>
      <c r="L5364" s="27" t="s">
        <v>77</v>
      </c>
      <c r="N5364" s="28" t="s">
        <v>77</v>
      </c>
      <c r="Q5364" s="30"/>
    </row>
    <row r="5365">
      <c r="B5365" s="6"/>
      <c r="C5365" s="33" t="str">
        <f t="array" ref="C5365">IF(B5365="", "", XLOOKUP(B5365, Inventory!D:D,Inventory!E:E,"No Name Found"))</f>
        <v/>
      </c>
      <c r="D5365" s="6"/>
      <c r="E5365" s="6"/>
      <c r="F5365" s="6"/>
      <c r="G5365" s="24" t="str">
        <f>IF(F5365="", "", VLOOKUP(F5365, Inventory!A:BZ, 3, FALSE) - SUMIF($F$1:$F5364, F5365, $H$1:$H5364))
</f>
        <v/>
      </c>
      <c r="I5365" s="26"/>
      <c r="J5365" s="26" t="s">
        <v>77</v>
      </c>
      <c r="L5365" s="27" t="s">
        <v>77</v>
      </c>
      <c r="N5365" s="28" t="s">
        <v>77</v>
      </c>
      <c r="Q5365" s="30"/>
    </row>
    <row r="5366">
      <c r="B5366" s="6"/>
      <c r="C5366" s="33" t="str">
        <f t="array" ref="C5366">IF(B5366="", "", XLOOKUP(B5366, Inventory!D:D,Inventory!E:E,"No Name Found"))</f>
        <v/>
      </c>
      <c r="D5366" s="6"/>
      <c r="E5366" s="6"/>
      <c r="F5366" s="6"/>
      <c r="G5366" s="24" t="str">
        <f>IF(F5366="", "", VLOOKUP(F5366, Inventory!A:BZ, 3, FALSE) - SUMIF($F$1:$F5365, F5366, $H$1:$H5365))
</f>
        <v/>
      </c>
      <c r="I5366" s="26"/>
      <c r="J5366" s="26" t="s">
        <v>77</v>
      </c>
      <c r="L5366" s="27" t="s">
        <v>77</v>
      </c>
      <c r="N5366" s="28" t="s">
        <v>77</v>
      </c>
      <c r="Q5366" s="30"/>
    </row>
    <row r="5367">
      <c r="B5367" s="6"/>
      <c r="C5367" s="33" t="str">
        <f t="array" ref="C5367">IF(B5367="", "", XLOOKUP(B5367, Inventory!D:D,Inventory!E:E,"No Name Found"))</f>
        <v/>
      </c>
      <c r="D5367" s="6"/>
      <c r="E5367" s="6"/>
      <c r="F5367" s="6"/>
      <c r="G5367" s="24" t="str">
        <f>IF(F5367="", "", VLOOKUP(F5367, Inventory!A:BZ, 3, FALSE) - SUMIF($F$1:$F5366, F5367, $H$1:$H5366))
</f>
        <v/>
      </c>
      <c r="I5367" s="26"/>
      <c r="J5367" s="26" t="s">
        <v>77</v>
      </c>
      <c r="L5367" s="27" t="s">
        <v>77</v>
      </c>
      <c r="N5367" s="28" t="s">
        <v>77</v>
      </c>
      <c r="Q5367" s="30"/>
    </row>
    <row r="5368">
      <c r="B5368" s="6"/>
      <c r="C5368" s="33" t="str">
        <f t="array" ref="C5368">IF(B5368="", "", XLOOKUP(B5368, Inventory!D:D,Inventory!E:E,"No Name Found"))</f>
        <v/>
      </c>
      <c r="D5368" s="6"/>
      <c r="E5368" s="6"/>
      <c r="F5368" s="6"/>
      <c r="G5368" s="24" t="str">
        <f>IF(F5368="", "", VLOOKUP(F5368, Inventory!A:BZ, 3, FALSE) - SUMIF($F$1:$F5367, F5368, $H$1:$H5367))
</f>
        <v/>
      </c>
      <c r="I5368" s="26"/>
      <c r="J5368" s="26" t="s">
        <v>77</v>
      </c>
      <c r="L5368" s="27" t="s">
        <v>77</v>
      </c>
      <c r="N5368" s="28" t="s">
        <v>77</v>
      </c>
      <c r="Q5368" s="30"/>
    </row>
    <row r="5369">
      <c r="B5369" s="6"/>
      <c r="C5369" s="33" t="str">
        <f t="array" ref="C5369">IF(B5369="", "", XLOOKUP(B5369, Inventory!D:D,Inventory!E:E,"No Name Found"))</f>
        <v/>
      </c>
      <c r="D5369" s="6"/>
      <c r="E5369" s="6"/>
      <c r="F5369" s="6"/>
      <c r="G5369" s="24" t="str">
        <f>IF(F5369="", "", VLOOKUP(F5369, Inventory!A:BZ, 3, FALSE) - SUMIF($F$1:$F5368, F5369, $H$1:$H5368))
</f>
        <v/>
      </c>
      <c r="I5369" s="26"/>
      <c r="J5369" s="26" t="s">
        <v>77</v>
      </c>
      <c r="L5369" s="27" t="s">
        <v>77</v>
      </c>
      <c r="N5369" s="28" t="s">
        <v>77</v>
      </c>
      <c r="Q5369" s="30"/>
    </row>
    <row r="5370">
      <c r="B5370" s="6"/>
      <c r="C5370" s="33" t="str">
        <f t="array" ref="C5370">IF(B5370="", "", XLOOKUP(B5370, Inventory!D:D,Inventory!E:E,"No Name Found"))</f>
        <v/>
      </c>
      <c r="D5370" s="6"/>
      <c r="E5370" s="6"/>
      <c r="F5370" s="6"/>
      <c r="G5370" s="24" t="str">
        <f>IF(F5370="", "", VLOOKUP(F5370, Inventory!A:BZ, 3, FALSE) - SUMIF($F$1:$F5369, F5370, $H$1:$H5369))
</f>
        <v/>
      </c>
      <c r="I5370" s="26"/>
      <c r="J5370" s="26" t="s">
        <v>77</v>
      </c>
      <c r="L5370" s="27" t="s">
        <v>77</v>
      </c>
      <c r="N5370" s="28" t="s">
        <v>77</v>
      </c>
      <c r="Q5370" s="30"/>
    </row>
    <row r="5371">
      <c r="B5371" s="6"/>
      <c r="C5371" s="33" t="str">
        <f t="array" ref="C5371">IF(B5371="", "", XLOOKUP(B5371, Inventory!D:D,Inventory!E:E,"No Name Found"))</f>
        <v/>
      </c>
      <c r="D5371" s="6"/>
      <c r="E5371" s="6"/>
      <c r="F5371" s="6"/>
      <c r="G5371" s="24" t="str">
        <f>IF(F5371="", "", VLOOKUP(F5371, Inventory!A:BZ, 3, FALSE) - SUMIF($F$1:$F5370, F5371, $H$1:$H5370))
</f>
        <v/>
      </c>
      <c r="I5371" s="26"/>
      <c r="J5371" s="26" t="s">
        <v>77</v>
      </c>
      <c r="L5371" s="27" t="s">
        <v>77</v>
      </c>
      <c r="N5371" s="28" t="s">
        <v>77</v>
      </c>
      <c r="Q5371" s="30"/>
    </row>
    <row r="5372">
      <c r="B5372" s="6"/>
      <c r="C5372" s="33" t="str">
        <f t="array" ref="C5372">IF(B5372="", "", XLOOKUP(B5372, Inventory!D:D,Inventory!E:E,"No Name Found"))</f>
        <v/>
      </c>
      <c r="D5372" s="6"/>
      <c r="E5372" s="6"/>
      <c r="F5372" s="6"/>
      <c r="G5372" s="24" t="str">
        <f>IF(F5372="", "", VLOOKUP(F5372, Inventory!A:BZ, 3, FALSE) - SUMIF($F$1:$F5371, F5372, $H$1:$H5371))
</f>
        <v/>
      </c>
      <c r="I5372" s="26"/>
      <c r="J5372" s="26" t="s">
        <v>77</v>
      </c>
      <c r="L5372" s="27" t="s">
        <v>77</v>
      </c>
      <c r="N5372" s="28" t="s">
        <v>77</v>
      </c>
      <c r="Q5372" s="30"/>
    </row>
    <row r="5373">
      <c r="B5373" s="6"/>
      <c r="C5373" s="33" t="str">
        <f t="array" ref="C5373">IF(B5373="", "", XLOOKUP(B5373, Inventory!D:D,Inventory!E:E,"No Name Found"))</f>
        <v/>
      </c>
      <c r="D5373" s="6"/>
      <c r="E5373" s="6"/>
      <c r="F5373" s="6"/>
      <c r="G5373" s="24" t="str">
        <f>IF(F5373="", "", VLOOKUP(F5373, Inventory!A:BZ, 3, FALSE) - SUMIF($F$1:$F5372, F5373, $H$1:$H5372))
</f>
        <v/>
      </c>
      <c r="I5373" s="26"/>
      <c r="J5373" s="26" t="s">
        <v>77</v>
      </c>
      <c r="L5373" s="27" t="s">
        <v>77</v>
      </c>
      <c r="N5373" s="28" t="s">
        <v>77</v>
      </c>
      <c r="Q5373" s="30"/>
    </row>
    <row r="5374">
      <c r="B5374" s="6"/>
      <c r="C5374" s="33" t="str">
        <f t="array" ref="C5374">IF(B5374="", "", XLOOKUP(B5374, Inventory!D:D,Inventory!E:E,"No Name Found"))</f>
        <v/>
      </c>
      <c r="D5374" s="6"/>
      <c r="E5374" s="6"/>
      <c r="F5374" s="6"/>
      <c r="G5374" s="24" t="str">
        <f>IF(F5374="", "", VLOOKUP(F5374, Inventory!A:BZ, 3, FALSE) - SUMIF($F$1:$F5373, F5374, $H$1:$H5373))
</f>
        <v/>
      </c>
      <c r="I5374" s="26"/>
      <c r="J5374" s="26" t="s">
        <v>77</v>
      </c>
      <c r="L5374" s="27" t="s">
        <v>77</v>
      </c>
      <c r="N5374" s="28" t="s">
        <v>77</v>
      </c>
      <c r="Q5374" s="30"/>
    </row>
    <row r="5375">
      <c r="B5375" s="6"/>
      <c r="C5375" s="33" t="str">
        <f t="array" ref="C5375">IF(B5375="", "", XLOOKUP(B5375, Inventory!D:D,Inventory!E:E,"No Name Found"))</f>
        <v/>
      </c>
      <c r="D5375" s="6"/>
      <c r="E5375" s="6"/>
      <c r="F5375" s="6"/>
      <c r="G5375" s="24" t="str">
        <f>IF(F5375="", "", VLOOKUP(F5375, Inventory!A:BZ, 3, FALSE) - SUMIF($F$1:$F5374, F5375, $H$1:$H5374))
</f>
        <v/>
      </c>
      <c r="I5375" s="26"/>
      <c r="J5375" s="26" t="s">
        <v>77</v>
      </c>
      <c r="L5375" s="27" t="s">
        <v>77</v>
      </c>
      <c r="N5375" s="28" t="s">
        <v>77</v>
      </c>
      <c r="Q5375" s="30"/>
    </row>
    <row r="5376">
      <c r="B5376" s="6"/>
      <c r="C5376" s="33" t="str">
        <f t="array" ref="C5376">IF(B5376="", "", XLOOKUP(B5376, Inventory!D:D,Inventory!E:E,"No Name Found"))</f>
        <v/>
      </c>
      <c r="D5376" s="6"/>
      <c r="E5376" s="6"/>
      <c r="F5376" s="6"/>
      <c r="G5376" s="24" t="str">
        <f>IF(F5376="", "", VLOOKUP(F5376, Inventory!A:BZ, 3, FALSE) - SUMIF($F$1:$F5375, F5376, $H$1:$H5375))
</f>
        <v/>
      </c>
      <c r="I5376" s="26"/>
      <c r="J5376" s="26" t="s">
        <v>77</v>
      </c>
      <c r="L5376" s="27" t="s">
        <v>77</v>
      </c>
      <c r="N5376" s="28" t="s">
        <v>77</v>
      </c>
      <c r="Q5376" s="30"/>
    </row>
    <row r="5377">
      <c r="B5377" s="6"/>
      <c r="C5377" s="33" t="str">
        <f t="array" ref="C5377">IF(B5377="", "", XLOOKUP(B5377, Inventory!D:D,Inventory!E:E,"No Name Found"))</f>
        <v/>
      </c>
      <c r="D5377" s="6"/>
      <c r="E5377" s="6"/>
      <c r="F5377" s="6"/>
      <c r="G5377" s="24" t="str">
        <f>IF(F5377="", "", VLOOKUP(F5377, Inventory!A:BZ, 3, FALSE) - SUMIF($F$1:$F5376, F5377, $H$1:$H5376))
</f>
        <v/>
      </c>
      <c r="I5377" s="26"/>
      <c r="J5377" s="26" t="s">
        <v>77</v>
      </c>
      <c r="L5377" s="27" t="s">
        <v>77</v>
      </c>
      <c r="N5377" s="28" t="s">
        <v>77</v>
      </c>
      <c r="Q5377" s="30"/>
    </row>
    <row r="5378">
      <c r="B5378" s="6"/>
      <c r="C5378" s="33" t="str">
        <f t="array" ref="C5378">IF(B5378="", "", XLOOKUP(B5378, Inventory!D:D,Inventory!E:E,"No Name Found"))</f>
        <v/>
      </c>
      <c r="D5378" s="6"/>
      <c r="E5378" s="6"/>
      <c r="F5378" s="6"/>
      <c r="G5378" s="24" t="str">
        <f>IF(F5378="", "", VLOOKUP(F5378, Inventory!A:BZ, 3, FALSE) - SUMIF($F$1:$F5377, F5378, $H$1:$H5377))
</f>
        <v/>
      </c>
      <c r="I5378" s="26"/>
      <c r="J5378" s="26" t="s">
        <v>77</v>
      </c>
      <c r="L5378" s="27" t="s">
        <v>77</v>
      </c>
      <c r="N5378" s="28" t="s">
        <v>77</v>
      </c>
      <c r="Q5378" s="30"/>
    </row>
    <row r="5379">
      <c r="B5379" s="6"/>
      <c r="C5379" s="33" t="str">
        <f t="array" ref="C5379">IF(B5379="", "", XLOOKUP(B5379, Inventory!D:D,Inventory!E:E,"No Name Found"))</f>
        <v/>
      </c>
      <c r="D5379" s="6"/>
      <c r="E5379" s="6"/>
      <c r="F5379" s="6"/>
      <c r="G5379" s="24" t="str">
        <f>IF(F5379="", "", VLOOKUP(F5379, Inventory!A:BZ, 3, FALSE) - SUMIF($F$1:$F5378, F5379, $H$1:$H5378))
</f>
        <v/>
      </c>
      <c r="I5379" s="26"/>
      <c r="J5379" s="26" t="s">
        <v>77</v>
      </c>
      <c r="L5379" s="27" t="s">
        <v>77</v>
      </c>
      <c r="N5379" s="28" t="s">
        <v>77</v>
      </c>
      <c r="Q5379" s="30"/>
    </row>
    <row r="5380">
      <c r="B5380" s="6"/>
      <c r="C5380" s="33" t="str">
        <f t="array" ref="C5380">IF(B5380="", "", XLOOKUP(B5380, Inventory!D:D,Inventory!E:E,"No Name Found"))</f>
        <v/>
      </c>
      <c r="D5380" s="6"/>
      <c r="E5380" s="6"/>
      <c r="F5380" s="6"/>
      <c r="G5380" s="24" t="str">
        <f>IF(F5380="", "", VLOOKUP(F5380, Inventory!A:BZ, 3, FALSE) - SUMIF($F$1:$F5379, F5380, $H$1:$H5379))
</f>
        <v/>
      </c>
      <c r="I5380" s="26"/>
      <c r="J5380" s="26" t="s">
        <v>77</v>
      </c>
      <c r="L5380" s="27" t="s">
        <v>77</v>
      </c>
      <c r="N5380" s="28" t="s">
        <v>77</v>
      </c>
      <c r="Q5380" s="30"/>
    </row>
    <row r="5381">
      <c r="B5381" s="6"/>
      <c r="C5381" s="33" t="str">
        <f t="array" ref="C5381">IF(B5381="", "", XLOOKUP(B5381, Inventory!D:D,Inventory!E:E,"No Name Found"))</f>
        <v/>
      </c>
      <c r="D5381" s="6"/>
      <c r="E5381" s="6"/>
      <c r="F5381" s="6"/>
      <c r="G5381" s="24" t="str">
        <f>IF(F5381="", "", VLOOKUP(F5381, Inventory!A:BZ, 3, FALSE) - SUMIF($F$1:$F5380, F5381, $H$1:$H5380))
</f>
        <v/>
      </c>
      <c r="I5381" s="26"/>
      <c r="J5381" s="26" t="s">
        <v>77</v>
      </c>
      <c r="L5381" s="27" t="s">
        <v>77</v>
      </c>
      <c r="N5381" s="28" t="s">
        <v>77</v>
      </c>
      <c r="Q5381" s="30"/>
    </row>
    <row r="5382">
      <c r="B5382" s="6"/>
      <c r="C5382" s="33" t="str">
        <f t="array" ref="C5382">IF(B5382="", "", XLOOKUP(B5382, Inventory!D:D,Inventory!E:E,"No Name Found"))</f>
        <v/>
      </c>
      <c r="D5382" s="6"/>
      <c r="E5382" s="6"/>
      <c r="F5382" s="6"/>
      <c r="G5382" s="24" t="str">
        <f>IF(F5382="", "", VLOOKUP(F5382, Inventory!A:BZ, 3, FALSE) - SUMIF($F$1:$F5381, F5382, $H$1:$H5381))
</f>
        <v/>
      </c>
      <c r="I5382" s="26"/>
      <c r="J5382" s="26" t="s">
        <v>77</v>
      </c>
      <c r="L5382" s="27" t="s">
        <v>77</v>
      </c>
      <c r="N5382" s="28" t="s">
        <v>77</v>
      </c>
      <c r="Q5382" s="30"/>
    </row>
    <row r="5383">
      <c r="B5383" s="6"/>
      <c r="C5383" s="33" t="str">
        <f t="array" ref="C5383">IF(B5383="", "", XLOOKUP(B5383, Inventory!D:D,Inventory!E:E,"No Name Found"))</f>
        <v/>
      </c>
      <c r="D5383" s="6"/>
      <c r="E5383" s="6"/>
      <c r="F5383" s="6"/>
      <c r="G5383" s="24" t="str">
        <f>IF(F5383="", "", VLOOKUP(F5383, Inventory!A:BZ, 3, FALSE) - SUMIF($F$1:$F5382, F5383, $H$1:$H5382))
</f>
        <v/>
      </c>
      <c r="I5383" s="26"/>
      <c r="J5383" s="26" t="s">
        <v>77</v>
      </c>
      <c r="L5383" s="27" t="s">
        <v>77</v>
      </c>
      <c r="N5383" s="28" t="s">
        <v>77</v>
      </c>
      <c r="Q5383" s="30"/>
    </row>
    <row r="5384">
      <c r="B5384" s="6"/>
      <c r="C5384" s="33" t="str">
        <f t="array" ref="C5384">IF(B5384="", "", XLOOKUP(B5384, Inventory!D:D,Inventory!E:E,"No Name Found"))</f>
        <v/>
      </c>
      <c r="D5384" s="6"/>
      <c r="E5384" s="6"/>
      <c r="F5384" s="6"/>
      <c r="G5384" s="24" t="str">
        <f>IF(F5384="", "", VLOOKUP(F5384, Inventory!A:BZ, 3, FALSE) - SUMIF($F$1:$F5383, F5384, $H$1:$H5383))
</f>
        <v/>
      </c>
      <c r="I5384" s="26"/>
      <c r="J5384" s="26" t="s">
        <v>77</v>
      </c>
      <c r="L5384" s="27" t="s">
        <v>77</v>
      </c>
      <c r="N5384" s="28" t="s">
        <v>77</v>
      </c>
      <c r="Q5384" s="30"/>
    </row>
    <row r="5385">
      <c r="B5385" s="6"/>
      <c r="C5385" s="33" t="str">
        <f t="array" ref="C5385">IF(B5385="", "", XLOOKUP(B5385, Inventory!D:D,Inventory!E:E,"No Name Found"))</f>
        <v/>
      </c>
      <c r="D5385" s="6"/>
      <c r="E5385" s="6"/>
      <c r="F5385" s="6"/>
      <c r="G5385" s="24" t="str">
        <f>IF(F5385="", "", VLOOKUP(F5385, Inventory!A:BZ, 3, FALSE) - SUMIF($F$1:$F5384, F5385, $H$1:$H5384))
</f>
        <v/>
      </c>
      <c r="I5385" s="26"/>
      <c r="J5385" s="26" t="s">
        <v>77</v>
      </c>
      <c r="L5385" s="27" t="s">
        <v>77</v>
      </c>
      <c r="N5385" s="28" t="s">
        <v>77</v>
      </c>
      <c r="Q5385" s="30"/>
    </row>
    <row r="5386">
      <c r="B5386" s="6"/>
      <c r="C5386" s="33" t="str">
        <f t="array" ref="C5386">IF(B5386="", "", XLOOKUP(B5386, Inventory!D:D,Inventory!E:E,"No Name Found"))</f>
        <v/>
      </c>
      <c r="D5386" s="6"/>
      <c r="E5386" s="6"/>
      <c r="F5386" s="6"/>
      <c r="G5386" s="24" t="str">
        <f>IF(F5386="", "", VLOOKUP(F5386, Inventory!A:BZ, 3, FALSE) - SUMIF($F$1:$F5385, F5386, $H$1:$H5385))
</f>
        <v/>
      </c>
      <c r="I5386" s="26"/>
      <c r="J5386" s="26" t="s">
        <v>77</v>
      </c>
      <c r="L5386" s="27" t="s">
        <v>77</v>
      </c>
      <c r="N5386" s="28" t="s">
        <v>77</v>
      </c>
      <c r="Q5386" s="30"/>
    </row>
    <row r="5387">
      <c r="B5387" s="6"/>
      <c r="C5387" s="33" t="str">
        <f t="array" ref="C5387">IF(B5387="", "", XLOOKUP(B5387, Inventory!D:D,Inventory!E:E,"No Name Found"))</f>
        <v/>
      </c>
      <c r="D5387" s="6"/>
      <c r="E5387" s="6"/>
      <c r="F5387" s="6"/>
      <c r="G5387" s="24" t="str">
        <f>IF(F5387="", "", VLOOKUP(F5387, Inventory!A:BZ, 3, FALSE) - SUMIF($F$1:$F5386, F5387, $H$1:$H5386))
</f>
        <v/>
      </c>
      <c r="I5387" s="26"/>
      <c r="J5387" s="26" t="s">
        <v>77</v>
      </c>
      <c r="L5387" s="27" t="s">
        <v>77</v>
      </c>
      <c r="N5387" s="28" t="s">
        <v>77</v>
      </c>
      <c r="Q5387" s="30"/>
    </row>
    <row r="5388">
      <c r="B5388" s="6"/>
      <c r="C5388" s="33" t="str">
        <f t="array" ref="C5388">IF(B5388="", "", XLOOKUP(B5388, Inventory!D:D,Inventory!E:E,"No Name Found"))</f>
        <v/>
      </c>
      <c r="D5388" s="6"/>
      <c r="E5388" s="6"/>
      <c r="F5388" s="6"/>
      <c r="G5388" s="24" t="str">
        <f>IF(F5388="", "", VLOOKUP(F5388, Inventory!A:BZ, 3, FALSE) - SUMIF($F$1:$F5387, F5388, $H$1:$H5387))
</f>
        <v/>
      </c>
      <c r="I5388" s="26"/>
      <c r="J5388" s="26" t="s">
        <v>77</v>
      </c>
      <c r="L5388" s="27" t="s">
        <v>77</v>
      </c>
      <c r="N5388" s="28" t="s">
        <v>77</v>
      </c>
      <c r="Q5388" s="30"/>
    </row>
    <row r="5389">
      <c r="B5389" s="6"/>
      <c r="C5389" s="33" t="str">
        <f t="array" ref="C5389">IF(B5389="", "", XLOOKUP(B5389, Inventory!D:D,Inventory!E:E,"No Name Found"))</f>
        <v/>
      </c>
      <c r="D5389" s="6"/>
      <c r="E5389" s="6"/>
      <c r="F5389" s="6"/>
      <c r="G5389" s="24" t="str">
        <f>IF(F5389="", "", VLOOKUP(F5389, Inventory!A:BZ, 3, FALSE) - SUMIF($F$1:$F5388, F5389, $H$1:$H5388))
</f>
        <v/>
      </c>
      <c r="I5389" s="26"/>
      <c r="J5389" s="26" t="s">
        <v>77</v>
      </c>
      <c r="L5389" s="27" t="s">
        <v>77</v>
      </c>
      <c r="N5389" s="28" t="s">
        <v>77</v>
      </c>
      <c r="Q5389" s="30"/>
    </row>
    <row r="5390">
      <c r="B5390" s="6"/>
      <c r="C5390" s="33" t="str">
        <f t="array" ref="C5390">IF(B5390="", "", XLOOKUP(B5390, Inventory!D:D,Inventory!E:E,"No Name Found"))</f>
        <v/>
      </c>
      <c r="D5390" s="6"/>
      <c r="E5390" s="6"/>
      <c r="F5390" s="6"/>
      <c r="G5390" s="24" t="str">
        <f>IF(F5390="", "", VLOOKUP(F5390, Inventory!A:BZ, 3, FALSE) - SUMIF($F$1:$F5389, F5390, $H$1:$H5389))
</f>
        <v/>
      </c>
      <c r="I5390" s="26"/>
      <c r="J5390" s="26" t="s">
        <v>77</v>
      </c>
      <c r="L5390" s="27" t="s">
        <v>77</v>
      </c>
      <c r="N5390" s="28" t="s">
        <v>77</v>
      </c>
      <c r="Q5390" s="30"/>
    </row>
    <row r="5391">
      <c r="B5391" s="6"/>
      <c r="C5391" s="33" t="str">
        <f t="array" ref="C5391">IF(B5391="", "", XLOOKUP(B5391, Inventory!D:D,Inventory!E:E,"No Name Found"))</f>
        <v/>
      </c>
      <c r="D5391" s="6"/>
      <c r="E5391" s="6"/>
      <c r="F5391" s="6"/>
      <c r="G5391" s="24" t="str">
        <f>IF(F5391="", "", VLOOKUP(F5391, Inventory!A:BZ, 3, FALSE) - SUMIF($F$1:$F5390, F5391, $H$1:$H5390))
</f>
        <v/>
      </c>
      <c r="I5391" s="26"/>
      <c r="J5391" s="26" t="s">
        <v>77</v>
      </c>
      <c r="L5391" s="27" t="s">
        <v>77</v>
      </c>
      <c r="N5391" s="28" t="s">
        <v>77</v>
      </c>
      <c r="Q5391" s="30"/>
    </row>
    <row r="5392">
      <c r="B5392" s="6"/>
      <c r="C5392" s="33" t="str">
        <f t="array" ref="C5392">IF(B5392="", "", XLOOKUP(B5392, Inventory!D:D,Inventory!E:E,"No Name Found"))</f>
        <v/>
      </c>
      <c r="D5392" s="6"/>
      <c r="E5392" s="6"/>
      <c r="F5392" s="6"/>
      <c r="G5392" s="24" t="str">
        <f>IF(F5392="", "", VLOOKUP(F5392, Inventory!A:BZ, 3, FALSE) - SUMIF($F$1:$F5391, F5392, $H$1:$H5391))
</f>
        <v/>
      </c>
      <c r="I5392" s="26"/>
      <c r="J5392" s="26" t="s">
        <v>77</v>
      </c>
      <c r="L5392" s="27" t="s">
        <v>77</v>
      </c>
      <c r="N5392" s="28" t="s">
        <v>77</v>
      </c>
      <c r="Q5392" s="30"/>
    </row>
    <row r="5393">
      <c r="B5393" s="6"/>
      <c r="C5393" s="33" t="str">
        <f t="array" ref="C5393">IF(B5393="", "", XLOOKUP(B5393, Inventory!D:D,Inventory!E:E,"No Name Found"))</f>
        <v/>
      </c>
      <c r="D5393" s="6"/>
      <c r="E5393" s="6"/>
      <c r="F5393" s="6"/>
      <c r="G5393" s="24" t="str">
        <f>IF(F5393="", "", VLOOKUP(F5393, Inventory!A:BZ, 3, FALSE) - SUMIF($F$1:$F5392, F5393, $H$1:$H5392))
</f>
        <v/>
      </c>
      <c r="I5393" s="26"/>
      <c r="J5393" s="26" t="s">
        <v>77</v>
      </c>
      <c r="L5393" s="27" t="s">
        <v>77</v>
      </c>
      <c r="N5393" s="28" t="s">
        <v>77</v>
      </c>
      <c r="Q5393" s="30"/>
    </row>
    <row r="5394">
      <c r="B5394" s="6"/>
      <c r="C5394" s="33" t="str">
        <f t="array" ref="C5394">IF(B5394="", "", XLOOKUP(B5394, Inventory!D:D,Inventory!E:E,"No Name Found"))</f>
        <v/>
      </c>
      <c r="D5394" s="6"/>
      <c r="E5394" s="6"/>
      <c r="F5394" s="6"/>
      <c r="G5394" s="24" t="str">
        <f>IF(F5394="", "", VLOOKUP(F5394, Inventory!A:BZ, 3, FALSE) - SUMIF($F$1:$F5393, F5394, $H$1:$H5393))
</f>
        <v/>
      </c>
      <c r="I5394" s="26"/>
      <c r="J5394" s="26" t="s">
        <v>77</v>
      </c>
      <c r="L5394" s="27" t="s">
        <v>77</v>
      </c>
      <c r="N5394" s="28" t="s">
        <v>77</v>
      </c>
      <c r="Q5394" s="30"/>
    </row>
    <row r="5395">
      <c r="B5395" s="6"/>
      <c r="C5395" s="33" t="str">
        <f t="array" ref="C5395">IF(B5395="", "", XLOOKUP(B5395, Inventory!D:D,Inventory!E:E,"No Name Found"))</f>
        <v/>
      </c>
      <c r="D5395" s="6"/>
      <c r="E5395" s="6"/>
      <c r="F5395" s="6"/>
      <c r="G5395" s="24" t="str">
        <f>IF(F5395="", "", VLOOKUP(F5395, Inventory!A:BZ, 3, FALSE) - SUMIF($F$1:$F5394, F5395, $H$1:$H5394))
</f>
        <v/>
      </c>
      <c r="I5395" s="26"/>
      <c r="J5395" s="26" t="s">
        <v>77</v>
      </c>
      <c r="L5395" s="27" t="s">
        <v>77</v>
      </c>
      <c r="N5395" s="28" t="s">
        <v>77</v>
      </c>
      <c r="Q5395" s="30"/>
    </row>
    <row r="5396">
      <c r="B5396" s="6"/>
      <c r="C5396" s="33" t="str">
        <f t="array" ref="C5396">IF(B5396="", "", XLOOKUP(B5396, Inventory!D:D,Inventory!E:E,"No Name Found"))</f>
        <v/>
      </c>
      <c r="D5396" s="6"/>
      <c r="E5396" s="6"/>
      <c r="F5396" s="6"/>
      <c r="G5396" s="24" t="str">
        <f>IF(F5396="", "", VLOOKUP(F5396, Inventory!A:BZ, 3, FALSE) - SUMIF($F$1:$F5395, F5396, $H$1:$H5395))
</f>
        <v/>
      </c>
      <c r="I5396" s="26"/>
      <c r="J5396" s="26" t="s">
        <v>77</v>
      </c>
      <c r="L5396" s="27" t="s">
        <v>77</v>
      </c>
      <c r="N5396" s="28" t="s">
        <v>77</v>
      </c>
      <c r="Q5396" s="30"/>
    </row>
    <row r="5397">
      <c r="B5397" s="6"/>
      <c r="C5397" s="33" t="str">
        <f t="array" ref="C5397">IF(B5397="", "", XLOOKUP(B5397, Inventory!D:D,Inventory!E:E,"No Name Found"))</f>
        <v/>
      </c>
      <c r="D5397" s="6"/>
      <c r="E5397" s="6"/>
      <c r="F5397" s="6"/>
      <c r="G5397" s="24" t="str">
        <f>IF(F5397="", "", VLOOKUP(F5397, Inventory!A:BZ, 3, FALSE) - SUMIF($F$1:$F5396, F5397, $H$1:$H5396))
</f>
        <v/>
      </c>
      <c r="I5397" s="26"/>
      <c r="J5397" s="26" t="s">
        <v>77</v>
      </c>
      <c r="L5397" s="27" t="s">
        <v>77</v>
      </c>
      <c r="N5397" s="28" t="s">
        <v>77</v>
      </c>
      <c r="Q5397" s="30"/>
    </row>
    <row r="5398">
      <c r="B5398" s="6"/>
      <c r="C5398" s="33" t="str">
        <f t="array" ref="C5398">IF(B5398="", "", XLOOKUP(B5398, Inventory!D:D,Inventory!E:E,"No Name Found"))</f>
        <v/>
      </c>
      <c r="D5398" s="6"/>
      <c r="E5398" s="6"/>
      <c r="F5398" s="6"/>
      <c r="G5398" s="24" t="str">
        <f>IF(F5398="", "", VLOOKUP(F5398, Inventory!A:BZ, 3, FALSE) - SUMIF($F$1:$F5397, F5398, $H$1:$H5397))
</f>
        <v/>
      </c>
      <c r="I5398" s="26"/>
      <c r="J5398" s="26" t="s">
        <v>77</v>
      </c>
      <c r="L5398" s="27" t="s">
        <v>77</v>
      </c>
      <c r="N5398" s="28" t="s">
        <v>77</v>
      </c>
      <c r="Q5398" s="30"/>
    </row>
    <row r="5399">
      <c r="B5399" s="6"/>
      <c r="C5399" s="33" t="str">
        <f t="array" ref="C5399">IF(B5399="", "", XLOOKUP(B5399, Inventory!D:D,Inventory!E:E,"No Name Found"))</f>
        <v/>
      </c>
      <c r="D5399" s="6"/>
      <c r="E5399" s="6"/>
      <c r="F5399" s="6"/>
      <c r="G5399" s="24" t="str">
        <f>IF(F5399="", "", VLOOKUP(F5399, Inventory!A:BZ, 3, FALSE) - SUMIF($F$1:$F5398, F5399, $H$1:$H5398))
</f>
        <v/>
      </c>
      <c r="I5399" s="26"/>
      <c r="J5399" s="26" t="s">
        <v>77</v>
      </c>
      <c r="L5399" s="27" t="s">
        <v>77</v>
      </c>
      <c r="N5399" s="28" t="s">
        <v>77</v>
      </c>
      <c r="Q5399" s="30"/>
    </row>
    <row r="5400">
      <c r="B5400" s="6"/>
      <c r="C5400" s="33" t="str">
        <f t="array" ref="C5400">IF(B5400="", "", XLOOKUP(B5400, Inventory!D:D,Inventory!E:E,"No Name Found"))</f>
        <v/>
      </c>
      <c r="D5400" s="6"/>
      <c r="E5400" s="6"/>
      <c r="F5400" s="6"/>
      <c r="G5400" s="24" t="str">
        <f>IF(F5400="", "", VLOOKUP(F5400, Inventory!A:BZ, 3, FALSE) - SUMIF($F$1:$F5399, F5400, $H$1:$H5399))
</f>
        <v/>
      </c>
      <c r="I5400" s="26"/>
      <c r="J5400" s="26" t="s">
        <v>77</v>
      </c>
      <c r="L5400" s="27" t="s">
        <v>77</v>
      </c>
      <c r="N5400" s="28" t="s">
        <v>77</v>
      </c>
      <c r="Q5400" s="30"/>
    </row>
    <row r="5401">
      <c r="B5401" s="6"/>
      <c r="C5401" s="33" t="str">
        <f t="array" ref="C5401">IF(B5401="", "", XLOOKUP(B5401, Inventory!D:D,Inventory!E:E,"No Name Found"))</f>
        <v/>
      </c>
      <c r="D5401" s="6"/>
      <c r="E5401" s="6"/>
      <c r="F5401" s="6"/>
      <c r="G5401" s="24" t="str">
        <f>IF(F5401="", "", VLOOKUP(F5401, Inventory!A:BZ, 3, FALSE) - SUMIF($F$1:$F5400, F5401, $H$1:$H5400))
</f>
        <v/>
      </c>
      <c r="I5401" s="26"/>
      <c r="J5401" s="26" t="s">
        <v>77</v>
      </c>
      <c r="L5401" s="27" t="s">
        <v>77</v>
      </c>
      <c r="N5401" s="28" t="s">
        <v>77</v>
      </c>
      <c r="Q5401" s="30"/>
    </row>
    <row r="5402">
      <c r="B5402" s="6"/>
      <c r="C5402" s="33" t="str">
        <f t="array" ref="C5402">IF(B5402="", "", XLOOKUP(B5402, Inventory!D:D,Inventory!E:E,"No Name Found"))</f>
        <v/>
      </c>
      <c r="D5402" s="6"/>
      <c r="E5402" s="6"/>
      <c r="F5402" s="6"/>
      <c r="G5402" s="24" t="str">
        <f>IF(F5402="", "", VLOOKUP(F5402, Inventory!A:BZ, 3, FALSE) - SUMIF($F$1:$F5401, F5402, $H$1:$H5401))
</f>
        <v/>
      </c>
      <c r="I5402" s="26"/>
      <c r="J5402" s="26" t="s">
        <v>77</v>
      </c>
      <c r="L5402" s="27" t="s">
        <v>77</v>
      </c>
      <c r="N5402" s="28" t="s">
        <v>77</v>
      </c>
      <c r="Q5402" s="30"/>
    </row>
    <row r="5403">
      <c r="B5403" s="6"/>
      <c r="C5403" s="33" t="str">
        <f t="array" ref="C5403">IF(B5403="", "", XLOOKUP(B5403, Inventory!D:D,Inventory!E:E,"No Name Found"))</f>
        <v/>
      </c>
      <c r="D5403" s="6"/>
      <c r="E5403" s="6"/>
      <c r="F5403" s="6"/>
      <c r="G5403" s="24" t="str">
        <f>IF(F5403="", "", VLOOKUP(F5403, Inventory!A:BZ, 3, FALSE) - SUMIF($F$1:$F5402, F5403, $H$1:$H5402))
</f>
        <v/>
      </c>
      <c r="I5403" s="26"/>
      <c r="J5403" s="26" t="s">
        <v>77</v>
      </c>
      <c r="L5403" s="27" t="s">
        <v>77</v>
      </c>
      <c r="N5403" s="28" t="s">
        <v>77</v>
      </c>
      <c r="Q5403" s="30"/>
    </row>
    <row r="5404">
      <c r="B5404" s="6"/>
      <c r="C5404" s="33" t="str">
        <f t="array" ref="C5404">IF(B5404="", "", XLOOKUP(B5404, Inventory!D:D,Inventory!E:E,"No Name Found"))</f>
        <v/>
      </c>
      <c r="D5404" s="6"/>
      <c r="E5404" s="6"/>
      <c r="F5404" s="6"/>
      <c r="G5404" s="24" t="str">
        <f>IF(F5404="", "", VLOOKUP(F5404, Inventory!A:BZ, 3, FALSE) - SUMIF($F$1:$F5403, F5404, $H$1:$H5403))
</f>
        <v/>
      </c>
      <c r="I5404" s="26"/>
      <c r="J5404" s="26" t="s">
        <v>77</v>
      </c>
      <c r="L5404" s="27" t="s">
        <v>77</v>
      </c>
      <c r="N5404" s="28" t="s">
        <v>77</v>
      </c>
      <c r="Q5404" s="30"/>
    </row>
    <row r="5405">
      <c r="B5405" s="6"/>
      <c r="C5405" s="33" t="str">
        <f t="array" ref="C5405">IF(B5405="", "", XLOOKUP(B5405, Inventory!D:D,Inventory!E:E,"No Name Found"))</f>
        <v/>
      </c>
      <c r="D5405" s="6"/>
      <c r="E5405" s="6"/>
      <c r="F5405" s="6"/>
      <c r="G5405" s="24" t="str">
        <f>IF(F5405="", "", VLOOKUP(F5405, Inventory!A:BZ, 3, FALSE) - SUMIF($F$1:$F5404, F5405, $H$1:$H5404))
</f>
        <v/>
      </c>
      <c r="I5405" s="26"/>
      <c r="J5405" s="26" t="s">
        <v>77</v>
      </c>
      <c r="L5405" s="27" t="s">
        <v>77</v>
      </c>
      <c r="N5405" s="28" t="s">
        <v>77</v>
      </c>
      <c r="Q5405" s="30"/>
    </row>
    <row r="5406">
      <c r="B5406" s="6"/>
      <c r="C5406" s="33" t="str">
        <f t="array" ref="C5406">IF(B5406="", "", XLOOKUP(B5406, Inventory!D:D,Inventory!E:E,"No Name Found"))</f>
        <v/>
      </c>
      <c r="D5406" s="6"/>
      <c r="E5406" s="6"/>
      <c r="F5406" s="6"/>
      <c r="G5406" s="24" t="str">
        <f>IF(F5406="", "", VLOOKUP(F5406, Inventory!A:BZ, 3, FALSE) - SUMIF($F$1:$F5405, F5406, $H$1:$H5405))
</f>
        <v/>
      </c>
      <c r="I5406" s="26"/>
      <c r="J5406" s="26" t="s">
        <v>77</v>
      </c>
      <c r="L5406" s="27" t="s">
        <v>77</v>
      </c>
      <c r="N5406" s="28" t="s">
        <v>77</v>
      </c>
      <c r="Q5406" s="30"/>
    </row>
    <row r="5407">
      <c r="B5407" s="6"/>
      <c r="C5407" s="33" t="str">
        <f t="array" ref="C5407">IF(B5407="", "", XLOOKUP(B5407, Inventory!D:D,Inventory!E:E,"No Name Found"))</f>
        <v/>
      </c>
      <c r="D5407" s="6"/>
      <c r="E5407" s="6"/>
      <c r="F5407" s="6"/>
      <c r="G5407" s="24" t="str">
        <f>IF(F5407="", "", VLOOKUP(F5407, Inventory!A:BZ, 3, FALSE) - SUMIF($F$1:$F5406, F5407, $H$1:$H5406))
</f>
        <v/>
      </c>
      <c r="I5407" s="26"/>
      <c r="J5407" s="26" t="s">
        <v>77</v>
      </c>
      <c r="L5407" s="27" t="s">
        <v>77</v>
      </c>
      <c r="N5407" s="28" t="s">
        <v>77</v>
      </c>
      <c r="Q5407" s="30"/>
    </row>
    <row r="5408">
      <c r="B5408" s="6"/>
      <c r="C5408" s="33" t="str">
        <f t="array" ref="C5408">IF(B5408="", "", XLOOKUP(B5408, Inventory!D:D,Inventory!E:E,"No Name Found"))</f>
        <v/>
      </c>
      <c r="D5408" s="6"/>
      <c r="E5408" s="6"/>
      <c r="F5408" s="6"/>
      <c r="G5408" s="24" t="str">
        <f>IF(F5408="", "", VLOOKUP(F5408, Inventory!A:BZ, 3, FALSE) - SUMIF($F$1:$F5407, F5408, $H$1:$H5407))
</f>
        <v/>
      </c>
      <c r="I5408" s="26"/>
      <c r="J5408" s="26" t="s">
        <v>77</v>
      </c>
      <c r="L5408" s="27" t="s">
        <v>77</v>
      </c>
      <c r="N5408" s="28" t="s">
        <v>77</v>
      </c>
      <c r="Q5408" s="30"/>
    </row>
    <row r="5409">
      <c r="B5409" s="6"/>
      <c r="C5409" s="33" t="str">
        <f t="array" ref="C5409">IF(B5409="", "", XLOOKUP(B5409, Inventory!D:D,Inventory!E:E,"No Name Found"))</f>
        <v/>
      </c>
      <c r="D5409" s="6"/>
      <c r="E5409" s="6"/>
      <c r="F5409" s="6"/>
      <c r="G5409" s="24" t="str">
        <f>IF(F5409="", "", VLOOKUP(F5409, Inventory!A:BZ, 3, FALSE) - SUMIF($F$1:$F5408, F5409, $H$1:$H5408))
</f>
        <v/>
      </c>
      <c r="I5409" s="26"/>
      <c r="J5409" s="26" t="s">
        <v>77</v>
      </c>
      <c r="L5409" s="27" t="s">
        <v>77</v>
      </c>
      <c r="N5409" s="28" t="s">
        <v>77</v>
      </c>
      <c r="Q5409" s="30"/>
    </row>
    <row r="5410">
      <c r="B5410" s="6"/>
      <c r="C5410" s="33" t="str">
        <f t="array" ref="C5410">IF(B5410="", "", XLOOKUP(B5410, Inventory!D:D,Inventory!E:E,"No Name Found"))</f>
        <v/>
      </c>
      <c r="D5410" s="6"/>
      <c r="E5410" s="6"/>
      <c r="F5410" s="6"/>
      <c r="G5410" s="24" t="str">
        <f>IF(F5410="", "", VLOOKUP(F5410, Inventory!A:BZ, 3, FALSE) - SUMIF($F$1:$F5409, F5410, $H$1:$H5409))
</f>
        <v/>
      </c>
      <c r="I5410" s="26"/>
      <c r="J5410" s="26" t="s">
        <v>77</v>
      </c>
      <c r="L5410" s="27" t="s">
        <v>77</v>
      </c>
      <c r="N5410" s="28" t="s">
        <v>77</v>
      </c>
      <c r="Q5410" s="30"/>
    </row>
    <row r="5411">
      <c r="B5411" s="6"/>
      <c r="C5411" s="33" t="str">
        <f t="array" ref="C5411">IF(B5411="", "", XLOOKUP(B5411, Inventory!D:D,Inventory!E:E,"No Name Found"))</f>
        <v/>
      </c>
      <c r="D5411" s="6"/>
      <c r="E5411" s="6"/>
      <c r="F5411" s="6"/>
      <c r="G5411" s="24" t="str">
        <f>IF(F5411="", "", VLOOKUP(F5411, Inventory!A:BZ, 3, FALSE) - SUMIF($F$1:$F5410, F5411, $H$1:$H5410))
</f>
        <v/>
      </c>
      <c r="I5411" s="26"/>
      <c r="J5411" s="26" t="s">
        <v>77</v>
      </c>
      <c r="L5411" s="27" t="s">
        <v>77</v>
      </c>
      <c r="N5411" s="28" t="s">
        <v>77</v>
      </c>
      <c r="Q5411" s="30"/>
    </row>
    <row r="5412">
      <c r="B5412" s="6"/>
      <c r="C5412" s="33" t="str">
        <f t="array" ref="C5412">IF(B5412="", "", XLOOKUP(B5412, Inventory!D:D,Inventory!E:E,"No Name Found"))</f>
        <v/>
      </c>
      <c r="D5412" s="6"/>
      <c r="E5412" s="6"/>
      <c r="F5412" s="6"/>
      <c r="G5412" s="24" t="str">
        <f>IF(F5412="", "", VLOOKUP(F5412, Inventory!A:BZ, 3, FALSE) - SUMIF($F$1:$F5411, F5412, $H$1:$H5411))
</f>
        <v/>
      </c>
      <c r="I5412" s="26"/>
      <c r="J5412" s="26" t="s">
        <v>77</v>
      </c>
      <c r="L5412" s="27" t="s">
        <v>77</v>
      </c>
      <c r="N5412" s="28" t="s">
        <v>77</v>
      </c>
      <c r="Q5412" s="30"/>
    </row>
    <row r="5413">
      <c r="B5413" s="6"/>
      <c r="C5413" s="33" t="str">
        <f t="array" ref="C5413">IF(B5413="", "", XLOOKUP(B5413, Inventory!D:D,Inventory!E:E,"No Name Found"))</f>
        <v/>
      </c>
      <c r="D5413" s="6"/>
      <c r="E5413" s="6"/>
      <c r="F5413" s="6"/>
      <c r="G5413" s="24" t="str">
        <f>IF(F5413="", "", VLOOKUP(F5413, Inventory!A:BZ, 3, FALSE) - SUMIF($F$1:$F5412, F5413, $H$1:$H5412))
</f>
        <v/>
      </c>
      <c r="I5413" s="26"/>
      <c r="J5413" s="26" t="s">
        <v>77</v>
      </c>
      <c r="L5413" s="27" t="s">
        <v>77</v>
      </c>
      <c r="N5413" s="28" t="s">
        <v>77</v>
      </c>
      <c r="Q5413" s="30"/>
    </row>
    <row r="5414">
      <c r="B5414" s="6"/>
      <c r="C5414" s="33" t="str">
        <f t="array" ref="C5414">IF(B5414="", "", XLOOKUP(B5414, Inventory!D:D,Inventory!E:E,"No Name Found"))</f>
        <v/>
      </c>
      <c r="D5414" s="6"/>
      <c r="E5414" s="6"/>
      <c r="F5414" s="6"/>
      <c r="G5414" s="24" t="str">
        <f>IF(F5414="", "", VLOOKUP(F5414, Inventory!A:BZ, 3, FALSE) - SUMIF($F$1:$F5413, F5414, $H$1:$H5413))
</f>
        <v/>
      </c>
      <c r="I5414" s="26"/>
      <c r="J5414" s="26" t="s">
        <v>77</v>
      </c>
      <c r="L5414" s="27" t="s">
        <v>77</v>
      </c>
      <c r="N5414" s="28" t="s">
        <v>77</v>
      </c>
      <c r="Q5414" s="30"/>
    </row>
    <row r="5415">
      <c r="B5415" s="6"/>
      <c r="C5415" s="33" t="str">
        <f t="array" ref="C5415">IF(B5415="", "", XLOOKUP(B5415, Inventory!D:D,Inventory!E:E,"No Name Found"))</f>
        <v/>
      </c>
      <c r="D5415" s="6"/>
      <c r="E5415" s="6"/>
      <c r="F5415" s="6"/>
      <c r="G5415" s="24" t="str">
        <f>IF(F5415="", "", VLOOKUP(F5415, Inventory!A:BZ, 3, FALSE) - SUMIF($F$1:$F5414, F5415, $H$1:$H5414))
</f>
        <v/>
      </c>
      <c r="I5415" s="26"/>
      <c r="J5415" s="26" t="s">
        <v>77</v>
      </c>
      <c r="L5415" s="27" t="s">
        <v>77</v>
      </c>
      <c r="N5415" s="28" t="s">
        <v>77</v>
      </c>
      <c r="Q5415" s="30"/>
    </row>
    <row r="5416">
      <c r="B5416" s="6"/>
      <c r="C5416" s="33" t="str">
        <f t="array" ref="C5416">IF(B5416="", "", XLOOKUP(B5416, Inventory!D:D,Inventory!E:E,"No Name Found"))</f>
        <v/>
      </c>
      <c r="D5416" s="6"/>
      <c r="E5416" s="6"/>
      <c r="F5416" s="6"/>
      <c r="G5416" s="24" t="str">
        <f>IF(F5416="", "", VLOOKUP(F5416, Inventory!A:BZ, 3, FALSE) - SUMIF($F$1:$F5415, F5416, $H$1:$H5415))
</f>
        <v/>
      </c>
      <c r="I5416" s="26"/>
      <c r="J5416" s="26" t="s">
        <v>77</v>
      </c>
      <c r="L5416" s="27" t="s">
        <v>77</v>
      </c>
      <c r="N5416" s="28" t="s">
        <v>77</v>
      </c>
      <c r="Q5416" s="30"/>
    </row>
    <row r="5417">
      <c r="B5417" s="6"/>
      <c r="C5417" s="33" t="str">
        <f t="array" ref="C5417">IF(B5417="", "", XLOOKUP(B5417, Inventory!D:D,Inventory!E:E,"No Name Found"))</f>
        <v/>
      </c>
      <c r="D5417" s="6"/>
      <c r="E5417" s="6"/>
      <c r="F5417" s="6"/>
      <c r="G5417" s="24" t="str">
        <f>IF(F5417="", "", VLOOKUP(F5417, Inventory!A:BZ, 3, FALSE) - SUMIF($F$1:$F5416, F5417, $H$1:$H5416))
</f>
        <v/>
      </c>
      <c r="I5417" s="26"/>
      <c r="J5417" s="26" t="s">
        <v>77</v>
      </c>
      <c r="L5417" s="27" t="s">
        <v>77</v>
      </c>
      <c r="N5417" s="28" t="s">
        <v>77</v>
      </c>
      <c r="Q5417" s="30"/>
    </row>
    <row r="5418">
      <c r="B5418" s="6"/>
      <c r="C5418" s="33" t="str">
        <f t="array" ref="C5418">IF(B5418="", "", XLOOKUP(B5418, Inventory!D:D,Inventory!E:E,"No Name Found"))</f>
        <v/>
      </c>
      <c r="D5418" s="6"/>
      <c r="E5418" s="6"/>
      <c r="F5418" s="6"/>
      <c r="G5418" s="24" t="str">
        <f>IF(F5418="", "", VLOOKUP(F5418, Inventory!A:BZ, 3, FALSE) - SUMIF($F$1:$F5417, F5418, $H$1:$H5417))
</f>
        <v/>
      </c>
      <c r="I5418" s="26"/>
      <c r="J5418" s="26" t="s">
        <v>77</v>
      </c>
      <c r="L5418" s="27" t="s">
        <v>77</v>
      </c>
      <c r="N5418" s="28" t="s">
        <v>77</v>
      </c>
      <c r="Q5418" s="30"/>
    </row>
    <row r="5419">
      <c r="B5419" s="6"/>
      <c r="C5419" s="33" t="str">
        <f t="array" ref="C5419">IF(B5419="", "", XLOOKUP(B5419, Inventory!D:D,Inventory!E:E,"No Name Found"))</f>
        <v/>
      </c>
      <c r="D5419" s="6"/>
      <c r="E5419" s="6"/>
      <c r="F5419" s="6"/>
      <c r="G5419" s="24" t="str">
        <f>IF(F5419="", "", VLOOKUP(F5419, Inventory!A:BZ, 3, FALSE) - SUMIF($F$1:$F5418, F5419, $H$1:$H5418))
</f>
        <v/>
      </c>
      <c r="I5419" s="26"/>
      <c r="J5419" s="26" t="s">
        <v>77</v>
      </c>
      <c r="L5419" s="27" t="s">
        <v>77</v>
      </c>
      <c r="N5419" s="28" t="s">
        <v>77</v>
      </c>
      <c r="Q5419" s="30"/>
    </row>
    <row r="5420">
      <c r="B5420" s="6"/>
      <c r="C5420" s="33" t="str">
        <f t="array" ref="C5420">IF(B5420="", "", XLOOKUP(B5420, Inventory!D:D,Inventory!E:E,"No Name Found"))</f>
        <v/>
      </c>
      <c r="D5420" s="6"/>
      <c r="E5420" s="6"/>
      <c r="F5420" s="6"/>
      <c r="G5420" s="24" t="str">
        <f>IF(F5420="", "", VLOOKUP(F5420, Inventory!A:BZ, 3, FALSE) - SUMIF($F$1:$F5419, F5420, $H$1:$H5419))
</f>
        <v/>
      </c>
      <c r="I5420" s="26"/>
      <c r="J5420" s="26" t="s">
        <v>77</v>
      </c>
      <c r="L5420" s="27" t="s">
        <v>77</v>
      </c>
      <c r="N5420" s="28" t="s">
        <v>77</v>
      </c>
      <c r="Q5420" s="30"/>
    </row>
    <row r="5421">
      <c r="B5421" s="6"/>
      <c r="C5421" s="33" t="str">
        <f t="array" ref="C5421">IF(B5421="", "", XLOOKUP(B5421, Inventory!D:D,Inventory!E:E,"No Name Found"))</f>
        <v/>
      </c>
      <c r="D5421" s="6"/>
      <c r="E5421" s="6"/>
      <c r="F5421" s="6"/>
      <c r="G5421" s="24" t="str">
        <f>IF(F5421="", "", VLOOKUP(F5421, Inventory!A:BZ, 3, FALSE) - SUMIF($F$1:$F5420, F5421, $H$1:$H5420))
</f>
        <v/>
      </c>
      <c r="I5421" s="26"/>
      <c r="J5421" s="26" t="s">
        <v>77</v>
      </c>
      <c r="L5421" s="27" t="s">
        <v>77</v>
      </c>
      <c r="N5421" s="28" t="s">
        <v>77</v>
      </c>
      <c r="Q5421" s="30"/>
    </row>
    <row r="5422">
      <c r="B5422" s="6"/>
      <c r="C5422" s="33" t="str">
        <f t="array" ref="C5422">IF(B5422="", "", XLOOKUP(B5422, Inventory!D:D,Inventory!E:E,"No Name Found"))</f>
        <v/>
      </c>
      <c r="D5422" s="6"/>
      <c r="E5422" s="6"/>
      <c r="F5422" s="6"/>
      <c r="G5422" s="24" t="str">
        <f>IF(F5422="", "", VLOOKUP(F5422, Inventory!A:BZ, 3, FALSE) - SUMIF($F$1:$F5421, F5422, $H$1:$H5421))
</f>
        <v/>
      </c>
      <c r="I5422" s="26"/>
      <c r="J5422" s="26" t="s">
        <v>77</v>
      </c>
      <c r="L5422" s="27" t="s">
        <v>77</v>
      </c>
      <c r="N5422" s="28" t="s">
        <v>77</v>
      </c>
      <c r="Q5422" s="30"/>
    </row>
    <row r="5423">
      <c r="B5423" s="6"/>
      <c r="C5423" s="33" t="str">
        <f t="array" ref="C5423">IF(B5423="", "", XLOOKUP(B5423, Inventory!D:D,Inventory!E:E,"No Name Found"))</f>
        <v/>
      </c>
      <c r="D5423" s="6"/>
      <c r="E5423" s="6"/>
      <c r="F5423" s="6"/>
      <c r="G5423" s="24" t="str">
        <f>IF(F5423="", "", VLOOKUP(F5423, Inventory!A:BZ, 3, FALSE) - SUMIF($F$1:$F5422, F5423, $H$1:$H5422))
</f>
        <v/>
      </c>
      <c r="I5423" s="26"/>
      <c r="J5423" s="26" t="s">
        <v>77</v>
      </c>
      <c r="L5423" s="27" t="s">
        <v>77</v>
      </c>
      <c r="N5423" s="28" t="s">
        <v>77</v>
      </c>
      <c r="Q5423" s="30"/>
    </row>
    <row r="5424">
      <c r="B5424" s="6"/>
      <c r="C5424" s="33" t="str">
        <f t="array" ref="C5424">IF(B5424="", "", XLOOKUP(B5424, Inventory!D:D,Inventory!E:E,"No Name Found"))</f>
        <v/>
      </c>
      <c r="D5424" s="6"/>
      <c r="E5424" s="6"/>
      <c r="F5424" s="6"/>
      <c r="G5424" s="24" t="str">
        <f>IF(F5424="", "", VLOOKUP(F5424, Inventory!A:BZ, 3, FALSE) - SUMIF($F$1:$F5423, F5424, $H$1:$H5423))
</f>
        <v/>
      </c>
      <c r="I5424" s="26"/>
      <c r="J5424" s="26" t="s">
        <v>77</v>
      </c>
      <c r="L5424" s="27" t="s">
        <v>77</v>
      </c>
      <c r="N5424" s="28" t="s">
        <v>77</v>
      </c>
      <c r="Q5424" s="30"/>
    </row>
    <row r="5425">
      <c r="B5425" s="6"/>
      <c r="C5425" s="33" t="str">
        <f t="array" ref="C5425">IF(B5425="", "", XLOOKUP(B5425, Inventory!D:D,Inventory!E:E,"No Name Found"))</f>
        <v/>
      </c>
      <c r="D5425" s="6"/>
      <c r="E5425" s="6"/>
      <c r="F5425" s="6"/>
      <c r="G5425" s="24" t="str">
        <f>IF(F5425="", "", VLOOKUP(F5425, Inventory!A:BZ, 3, FALSE) - SUMIF($F$1:$F5424, F5425, $H$1:$H5424))
</f>
        <v/>
      </c>
      <c r="I5425" s="26"/>
      <c r="J5425" s="26" t="s">
        <v>77</v>
      </c>
      <c r="L5425" s="27" t="s">
        <v>77</v>
      </c>
      <c r="N5425" s="28" t="s">
        <v>77</v>
      </c>
      <c r="Q5425" s="30"/>
    </row>
    <row r="5426">
      <c r="B5426" s="6"/>
      <c r="C5426" s="33" t="str">
        <f t="array" ref="C5426">IF(B5426="", "", XLOOKUP(B5426, Inventory!D:D,Inventory!E:E,"No Name Found"))</f>
        <v/>
      </c>
      <c r="D5426" s="6"/>
      <c r="E5426" s="6"/>
      <c r="F5426" s="6"/>
      <c r="G5426" s="24" t="str">
        <f>IF(F5426="", "", VLOOKUP(F5426, Inventory!A:BZ, 3, FALSE) - SUMIF($F$1:$F5425, F5426, $H$1:$H5425))
</f>
        <v/>
      </c>
      <c r="I5426" s="26"/>
      <c r="J5426" s="26" t="s">
        <v>77</v>
      </c>
      <c r="L5426" s="27" t="s">
        <v>77</v>
      </c>
      <c r="N5426" s="28" t="s">
        <v>77</v>
      </c>
      <c r="Q5426" s="30"/>
    </row>
    <row r="5427">
      <c r="B5427" s="6"/>
      <c r="C5427" s="33" t="str">
        <f t="array" ref="C5427">IF(B5427="", "", XLOOKUP(B5427, Inventory!D:D,Inventory!E:E,"No Name Found"))</f>
        <v/>
      </c>
      <c r="D5427" s="6"/>
      <c r="E5427" s="6"/>
      <c r="F5427" s="6"/>
      <c r="G5427" s="24" t="str">
        <f>IF(F5427="", "", VLOOKUP(F5427, Inventory!A:BZ, 3, FALSE) - SUMIF($F$1:$F5426, F5427, $H$1:$H5426))
</f>
        <v/>
      </c>
      <c r="I5427" s="26"/>
      <c r="J5427" s="26" t="s">
        <v>77</v>
      </c>
      <c r="L5427" s="27" t="s">
        <v>77</v>
      </c>
      <c r="N5427" s="28" t="s">
        <v>77</v>
      </c>
      <c r="Q5427" s="30"/>
    </row>
    <row r="5428">
      <c r="B5428" s="6"/>
      <c r="C5428" s="33" t="str">
        <f t="array" ref="C5428">IF(B5428="", "", XLOOKUP(B5428, Inventory!D:D,Inventory!E:E,"No Name Found"))</f>
        <v/>
      </c>
      <c r="D5428" s="6"/>
      <c r="E5428" s="6"/>
      <c r="F5428" s="6"/>
      <c r="G5428" s="24" t="str">
        <f>IF(F5428="", "", VLOOKUP(F5428, Inventory!A:BZ, 3, FALSE) - SUMIF($F$1:$F5427, F5428, $H$1:$H5427))
</f>
        <v/>
      </c>
      <c r="I5428" s="26"/>
      <c r="J5428" s="26" t="s">
        <v>77</v>
      </c>
      <c r="L5428" s="27" t="s">
        <v>77</v>
      </c>
      <c r="N5428" s="28" t="s">
        <v>77</v>
      </c>
      <c r="Q5428" s="30"/>
    </row>
    <row r="5429">
      <c r="B5429" s="6"/>
      <c r="C5429" s="33" t="str">
        <f t="array" ref="C5429">IF(B5429="", "", XLOOKUP(B5429, Inventory!D:D,Inventory!E:E,"No Name Found"))</f>
        <v/>
      </c>
      <c r="D5429" s="6"/>
      <c r="E5429" s="6"/>
      <c r="F5429" s="6"/>
      <c r="G5429" s="24" t="str">
        <f>IF(F5429="", "", VLOOKUP(F5429, Inventory!A:BZ, 3, FALSE) - SUMIF($F$1:$F5428, F5429, $H$1:$H5428))
</f>
        <v/>
      </c>
      <c r="I5429" s="26"/>
      <c r="J5429" s="26" t="s">
        <v>77</v>
      </c>
      <c r="L5429" s="27" t="s">
        <v>77</v>
      </c>
      <c r="N5429" s="28" t="s">
        <v>77</v>
      </c>
      <c r="Q5429" s="30"/>
    </row>
    <row r="5430">
      <c r="B5430" s="6"/>
      <c r="C5430" s="33" t="str">
        <f t="array" ref="C5430">IF(B5430="", "", XLOOKUP(B5430, Inventory!D:D,Inventory!E:E,"No Name Found"))</f>
        <v/>
      </c>
      <c r="D5430" s="6"/>
      <c r="E5430" s="6"/>
      <c r="F5430" s="6"/>
      <c r="G5430" s="24" t="str">
        <f>IF(F5430="", "", VLOOKUP(F5430, Inventory!A:BZ, 3, FALSE) - SUMIF($F$1:$F5429, F5430, $H$1:$H5429))
</f>
        <v/>
      </c>
      <c r="I5430" s="26"/>
      <c r="J5430" s="26" t="s">
        <v>77</v>
      </c>
      <c r="L5430" s="27" t="s">
        <v>77</v>
      </c>
      <c r="N5430" s="28" t="s">
        <v>77</v>
      </c>
      <c r="Q5430" s="30"/>
    </row>
    <row r="5431">
      <c r="B5431" s="6"/>
      <c r="C5431" s="33" t="str">
        <f t="array" ref="C5431">IF(B5431="", "", XLOOKUP(B5431, Inventory!D:D,Inventory!E:E,"No Name Found"))</f>
        <v/>
      </c>
      <c r="D5431" s="6"/>
      <c r="E5431" s="6"/>
      <c r="F5431" s="6"/>
      <c r="G5431" s="24" t="str">
        <f>IF(F5431="", "", VLOOKUP(F5431, Inventory!A:BZ, 3, FALSE) - SUMIF($F$1:$F5430, F5431, $H$1:$H5430))
</f>
        <v/>
      </c>
      <c r="I5431" s="26"/>
      <c r="J5431" s="26" t="s">
        <v>77</v>
      </c>
      <c r="L5431" s="27" t="s">
        <v>77</v>
      </c>
      <c r="N5431" s="28" t="s">
        <v>77</v>
      </c>
      <c r="Q5431" s="30"/>
    </row>
    <row r="5432">
      <c r="B5432" s="6"/>
      <c r="C5432" s="33" t="str">
        <f t="array" ref="C5432">IF(B5432="", "", XLOOKUP(B5432, Inventory!D:D,Inventory!E:E,"No Name Found"))</f>
        <v/>
      </c>
      <c r="D5432" s="6"/>
      <c r="E5432" s="6"/>
      <c r="F5432" s="6"/>
      <c r="G5432" s="24" t="str">
        <f>IF(F5432="", "", VLOOKUP(F5432, Inventory!A:BZ, 3, FALSE) - SUMIF($F$1:$F5431, F5432, $H$1:$H5431))
</f>
        <v/>
      </c>
      <c r="I5432" s="26"/>
      <c r="J5432" s="26" t="s">
        <v>77</v>
      </c>
      <c r="L5432" s="27" t="s">
        <v>77</v>
      </c>
      <c r="N5432" s="28" t="s">
        <v>77</v>
      </c>
      <c r="Q5432" s="30"/>
    </row>
    <row r="5433">
      <c r="B5433" s="6"/>
      <c r="C5433" s="33" t="str">
        <f t="array" ref="C5433">IF(B5433="", "", XLOOKUP(B5433, Inventory!D:D,Inventory!E:E,"No Name Found"))</f>
        <v/>
      </c>
      <c r="D5433" s="6"/>
      <c r="E5433" s="6"/>
      <c r="F5433" s="6"/>
      <c r="G5433" s="24" t="str">
        <f>IF(F5433="", "", VLOOKUP(F5433, Inventory!A:BZ, 3, FALSE) - SUMIF($F$1:$F5432, F5433, $H$1:$H5432))
</f>
        <v/>
      </c>
      <c r="I5433" s="26"/>
      <c r="J5433" s="26" t="s">
        <v>77</v>
      </c>
      <c r="L5433" s="27" t="s">
        <v>77</v>
      </c>
      <c r="N5433" s="28" t="s">
        <v>77</v>
      </c>
      <c r="Q5433" s="30"/>
    </row>
    <row r="5434">
      <c r="B5434" s="6"/>
      <c r="C5434" s="33" t="str">
        <f t="array" ref="C5434">IF(B5434="", "", XLOOKUP(B5434, Inventory!D:D,Inventory!E:E,"No Name Found"))</f>
        <v/>
      </c>
      <c r="D5434" s="6"/>
      <c r="E5434" s="6"/>
      <c r="F5434" s="6"/>
      <c r="G5434" s="24" t="str">
        <f>IF(F5434="", "", VLOOKUP(F5434, Inventory!A:BZ, 3, FALSE) - SUMIF($F$1:$F5433, F5434, $H$1:$H5433))
</f>
        <v/>
      </c>
      <c r="I5434" s="26"/>
      <c r="J5434" s="26" t="s">
        <v>77</v>
      </c>
      <c r="L5434" s="27" t="s">
        <v>77</v>
      </c>
      <c r="N5434" s="28" t="s">
        <v>77</v>
      </c>
      <c r="Q5434" s="30"/>
    </row>
    <row r="5435">
      <c r="B5435" s="6"/>
      <c r="C5435" s="33" t="str">
        <f t="array" ref="C5435">IF(B5435="", "", XLOOKUP(B5435, Inventory!D:D,Inventory!E:E,"No Name Found"))</f>
        <v/>
      </c>
      <c r="D5435" s="6"/>
      <c r="E5435" s="6"/>
      <c r="F5435" s="6"/>
      <c r="G5435" s="24" t="str">
        <f>IF(F5435="", "", VLOOKUP(F5435, Inventory!A:BZ, 3, FALSE) - SUMIF($F$1:$F5434, F5435, $H$1:$H5434))
</f>
        <v/>
      </c>
      <c r="I5435" s="26"/>
      <c r="J5435" s="26" t="s">
        <v>77</v>
      </c>
      <c r="L5435" s="27" t="s">
        <v>77</v>
      </c>
      <c r="N5435" s="28" t="s">
        <v>77</v>
      </c>
      <c r="Q5435" s="30"/>
    </row>
    <row r="5436">
      <c r="B5436" s="6"/>
      <c r="C5436" s="33" t="str">
        <f t="array" ref="C5436">IF(B5436="", "", XLOOKUP(B5436, Inventory!D:D,Inventory!E:E,"No Name Found"))</f>
        <v/>
      </c>
      <c r="D5436" s="6"/>
      <c r="E5436" s="6"/>
      <c r="F5436" s="6"/>
      <c r="G5436" s="24" t="str">
        <f>IF(F5436="", "", VLOOKUP(F5436, Inventory!A:BZ, 3, FALSE) - SUMIF($F$1:$F5435, F5436, $H$1:$H5435))
</f>
        <v/>
      </c>
      <c r="I5436" s="26"/>
      <c r="J5436" s="26" t="s">
        <v>77</v>
      </c>
      <c r="L5436" s="27" t="s">
        <v>77</v>
      </c>
      <c r="N5436" s="28" t="s">
        <v>77</v>
      </c>
      <c r="Q5436" s="30"/>
    </row>
    <row r="5437">
      <c r="B5437" s="6"/>
      <c r="C5437" s="33" t="str">
        <f t="array" ref="C5437">IF(B5437="", "", XLOOKUP(B5437, Inventory!D:D,Inventory!E:E,"No Name Found"))</f>
        <v/>
      </c>
      <c r="D5437" s="6"/>
      <c r="E5437" s="6"/>
      <c r="F5437" s="6"/>
      <c r="G5437" s="24" t="str">
        <f>IF(F5437="", "", VLOOKUP(F5437, Inventory!A:BZ, 3, FALSE) - SUMIF($F$1:$F5436, F5437, $H$1:$H5436))
</f>
        <v/>
      </c>
      <c r="I5437" s="26"/>
      <c r="J5437" s="26" t="s">
        <v>77</v>
      </c>
      <c r="L5437" s="27" t="s">
        <v>77</v>
      </c>
      <c r="N5437" s="28" t="s">
        <v>77</v>
      </c>
      <c r="Q5437" s="30"/>
    </row>
    <row r="5438">
      <c r="B5438" s="6"/>
      <c r="C5438" s="33" t="str">
        <f t="array" ref="C5438">IF(B5438="", "", XLOOKUP(B5438, Inventory!D:D,Inventory!E:E,"No Name Found"))</f>
        <v/>
      </c>
      <c r="D5438" s="6"/>
      <c r="E5438" s="6"/>
      <c r="F5438" s="6"/>
      <c r="G5438" s="24" t="str">
        <f>IF(F5438="", "", VLOOKUP(F5438, Inventory!A:BZ, 3, FALSE) - SUMIF($F$1:$F5437, F5438, $H$1:$H5437))
</f>
        <v/>
      </c>
      <c r="I5438" s="26"/>
      <c r="J5438" s="26" t="s">
        <v>77</v>
      </c>
      <c r="L5438" s="27" t="s">
        <v>77</v>
      </c>
      <c r="N5438" s="28" t="s">
        <v>77</v>
      </c>
      <c r="Q5438" s="30"/>
    </row>
    <row r="5439">
      <c r="B5439" s="6"/>
      <c r="C5439" s="33" t="str">
        <f t="array" ref="C5439">IF(B5439="", "", XLOOKUP(B5439, Inventory!D:D,Inventory!E:E,"No Name Found"))</f>
        <v/>
      </c>
      <c r="D5439" s="6"/>
      <c r="E5439" s="6"/>
      <c r="F5439" s="6"/>
      <c r="G5439" s="24" t="str">
        <f>IF(F5439="", "", VLOOKUP(F5439, Inventory!A:BZ, 3, FALSE) - SUMIF($F$1:$F5438, F5439, $H$1:$H5438))
</f>
        <v/>
      </c>
      <c r="I5439" s="26"/>
      <c r="J5439" s="26" t="s">
        <v>77</v>
      </c>
      <c r="L5439" s="27" t="s">
        <v>77</v>
      </c>
      <c r="N5439" s="28" t="s">
        <v>77</v>
      </c>
      <c r="Q5439" s="30"/>
    </row>
    <row r="5440">
      <c r="B5440" s="6"/>
      <c r="C5440" s="33" t="str">
        <f t="array" ref="C5440">IF(B5440="", "", XLOOKUP(B5440, Inventory!D:D,Inventory!E:E,"No Name Found"))</f>
        <v/>
      </c>
      <c r="D5440" s="6"/>
      <c r="E5440" s="6"/>
      <c r="F5440" s="6"/>
      <c r="G5440" s="24" t="str">
        <f>IF(F5440="", "", VLOOKUP(F5440, Inventory!A:BZ, 3, FALSE) - SUMIF($F$1:$F5439, F5440, $H$1:$H5439))
</f>
        <v/>
      </c>
      <c r="I5440" s="26"/>
      <c r="J5440" s="26" t="s">
        <v>77</v>
      </c>
      <c r="L5440" s="27" t="s">
        <v>77</v>
      </c>
      <c r="N5440" s="28" t="s">
        <v>77</v>
      </c>
      <c r="Q5440" s="30"/>
    </row>
    <row r="5441">
      <c r="B5441" s="6"/>
      <c r="C5441" s="33" t="str">
        <f t="array" ref="C5441">IF(B5441="", "", XLOOKUP(B5441, Inventory!D:D,Inventory!E:E,"No Name Found"))</f>
        <v/>
      </c>
      <c r="D5441" s="6"/>
      <c r="E5441" s="6"/>
      <c r="F5441" s="6"/>
      <c r="G5441" s="24" t="str">
        <f>IF(F5441="", "", VLOOKUP(F5441, Inventory!A:BZ, 3, FALSE) - SUMIF($F$1:$F5440, F5441, $H$1:$H5440))
</f>
        <v/>
      </c>
      <c r="I5441" s="26"/>
      <c r="J5441" s="26" t="s">
        <v>77</v>
      </c>
      <c r="L5441" s="27" t="s">
        <v>77</v>
      </c>
      <c r="N5441" s="28" t="s">
        <v>77</v>
      </c>
      <c r="Q5441" s="30"/>
    </row>
    <row r="5442">
      <c r="B5442" s="6"/>
      <c r="C5442" s="33" t="str">
        <f t="array" ref="C5442">IF(B5442="", "", XLOOKUP(B5442, Inventory!D:D,Inventory!E:E,"No Name Found"))</f>
        <v/>
      </c>
      <c r="D5442" s="6"/>
      <c r="E5442" s="6"/>
      <c r="F5442" s="6"/>
      <c r="G5442" s="24" t="str">
        <f>IF(F5442="", "", VLOOKUP(F5442, Inventory!A:BZ, 3, FALSE) - SUMIF($F$1:$F5441, F5442, $H$1:$H5441))
</f>
        <v/>
      </c>
      <c r="I5442" s="26"/>
      <c r="J5442" s="26" t="s">
        <v>77</v>
      </c>
      <c r="L5442" s="27" t="s">
        <v>77</v>
      </c>
      <c r="N5442" s="28" t="s">
        <v>77</v>
      </c>
      <c r="Q5442" s="30"/>
    </row>
    <row r="5443">
      <c r="B5443" s="6"/>
      <c r="C5443" s="33" t="str">
        <f t="array" ref="C5443">IF(B5443="", "", XLOOKUP(B5443, Inventory!D:D,Inventory!E:E,"No Name Found"))</f>
        <v/>
      </c>
      <c r="D5443" s="6"/>
      <c r="E5443" s="6"/>
      <c r="F5443" s="6"/>
      <c r="G5443" s="24" t="str">
        <f>IF(F5443="", "", VLOOKUP(F5443, Inventory!A:BZ, 3, FALSE) - SUMIF($F$1:$F5442, F5443, $H$1:$H5442))
</f>
        <v/>
      </c>
      <c r="I5443" s="26"/>
      <c r="J5443" s="26" t="s">
        <v>77</v>
      </c>
      <c r="L5443" s="27" t="s">
        <v>77</v>
      </c>
      <c r="N5443" s="28" t="s">
        <v>77</v>
      </c>
      <c r="Q5443" s="30"/>
    </row>
    <row r="5444">
      <c r="B5444" s="6"/>
      <c r="C5444" s="33" t="str">
        <f t="array" ref="C5444">IF(B5444="", "", XLOOKUP(B5444, Inventory!D:D,Inventory!E:E,"No Name Found"))</f>
        <v/>
      </c>
      <c r="D5444" s="6"/>
      <c r="E5444" s="6"/>
      <c r="F5444" s="6"/>
      <c r="G5444" s="24" t="str">
        <f>IF(F5444="", "", VLOOKUP(F5444, Inventory!A:BZ, 3, FALSE) - SUMIF($F$1:$F5443, F5444, $H$1:$H5443))
</f>
        <v/>
      </c>
      <c r="I5444" s="26"/>
      <c r="J5444" s="26" t="s">
        <v>77</v>
      </c>
      <c r="L5444" s="27" t="s">
        <v>77</v>
      </c>
      <c r="N5444" s="28" t="s">
        <v>77</v>
      </c>
      <c r="Q5444" s="30"/>
    </row>
    <row r="5445">
      <c r="B5445" s="6"/>
      <c r="C5445" s="33" t="str">
        <f t="array" ref="C5445">IF(B5445="", "", XLOOKUP(B5445, Inventory!D:D,Inventory!E:E,"No Name Found"))</f>
        <v/>
      </c>
      <c r="D5445" s="6"/>
      <c r="E5445" s="6"/>
      <c r="F5445" s="6"/>
      <c r="G5445" s="24" t="str">
        <f>IF(F5445="", "", VLOOKUP(F5445, Inventory!A:BZ, 3, FALSE) - SUMIF($F$1:$F5444, F5445, $H$1:$H5444))
</f>
        <v/>
      </c>
      <c r="I5445" s="26"/>
      <c r="J5445" s="26" t="s">
        <v>77</v>
      </c>
      <c r="L5445" s="27" t="s">
        <v>77</v>
      </c>
      <c r="N5445" s="28" t="s">
        <v>77</v>
      </c>
      <c r="Q5445" s="30"/>
    </row>
    <row r="5446">
      <c r="B5446" s="6"/>
      <c r="C5446" s="33" t="str">
        <f t="array" ref="C5446">IF(B5446="", "", XLOOKUP(B5446, Inventory!D:D,Inventory!E:E,"No Name Found"))</f>
        <v/>
      </c>
      <c r="D5446" s="6"/>
      <c r="E5446" s="6"/>
      <c r="F5446" s="6"/>
      <c r="G5446" s="24" t="str">
        <f>IF(F5446="", "", VLOOKUP(F5446, Inventory!A:BZ, 3, FALSE) - SUMIF($F$1:$F5445, F5446, $H$1:$H5445))
</f>
        <v/>
      </c>
      <c r="I5446" s="26"/>
      <c r="J5446" s="26" t="s">
        <v>77</v>
      </c>
      <c r="L5446" s="27" t="s">
        <v>77</v>
      </c>
      <c r="N5446" s="28" t="s">
        <v>77</v>
      </c>
      <c r="Q5446" s="30"/>
    </row>
    <row r="5447">
      <c r="B5447" s="6"/>
      <c r="C5447" s="33" t="str">
        <f t="array" ref="C5447">IF(B5447="", "", XLOOKUP(B5447, Inventory!D:D,Inventory!E:E,"No Name Found"))</f>
        <v/>
      </c>
      <c r="D5447" s="6"/>
      <c r="E5447" s="6"/>
      <c r="F5447" s="6"/>
      <c r="G5447" s="24" t="str">
        <f>IF(F5447="", "", VLOOKUP(F5447, Inventory!A:BZ, 3, FALSE) - SUMIF($F$1:$F5446, F5447, $H$1:$H5446))
</f>
        <v/>
      </c>
      <c r="I5447" s="26"/>
      <c r="J5447" s="26" t="s">
        <v>77</v>
      </c>
      <c r="L5447" s="27" t="s">
        <v>77</v>
      </c>
      <c r="N5447" s="28" t="s">
        <v>77</v>
      </c>
      <c r="Q5447" s="30"/>
    </row>
    <row r="5448">
      <c r="B5448" s="6"/>
      <c r="C5448" s="33" t="str">
        <f t="array" ref="C5448">IF(B5448="", "", XLOOKUP(B5448, Inventory!D:D,Inventory!E:E,"No Name Found"))</f>
        <v/>
      </c>
      <c r="D5448" s="6"/>
      <c r="E5448" s="6"/>
      <c r="F5448" s="6"/>
      <c r="G5448" s="24" t="str">
        <f>IF(F5448="", "", VLOOKUP(F5448, Inventory!A:BZ, 3, FALSE) - SUMIF($F$1:$F5447, F5448, $H$1:$H5447))
</f>
        <v/>
      </c>
      <c r="I5448" s="26"/>
      <c r="J5448" s="26" t="s">
        <v>77</v>
      </c>
      <c r="L5448" s="27" t="s">
        <v>77</v>
      </c>
      <c r="N5448" s="28" t="s">
        <v>77</v>
      </c>
      <c r="Q5448" s="30"/>
    </row>
    <row r="5449">
      <c r="B5449" s="6"/>
      <c r="C5449" s="33" t="str">
        <f t="array" ref="C5449">IF(B5449="", "", XLOOKUP(B5449, Inventory!D:D,Inventory!E:E,"No Name Found"))</f>
        <v/>
      </c>
      <c r="D5449" s="6"/>
      <c r="E5449" s="6"/>
      <c r="F5449" s="6"/>
      <c r="G5449" s="24" t="str">
        <f>IF(F5449="", "", VLOOKUP(F5449, Inventory!A:BZ, 3, FALSE) - SUMIF($F$1:$F5448, F5449, $H$1:$H5448))
</f>
        <v/>
      </c>
      <c r="I5449" s="26"/>
      <c r="J5449" s="26" t="s">
        <v>77</v>
      </c>
      <c r="L5449" s="27" t="s">
        <v>77</v>
      </c>
      <c r="N5449" s="28" t="s">
        <v>77</v>
      </c>
      <c r="Q5449" s="30"/>
    </row>
    <row r="5450">
      <c r="B5450" s="6"/>
      <c r="C5450" s="33" t="str">
        <f t="array" ref="C5450">IF(B5450="", "", XLOOKUP(B5450, Inventory!D:D,Inventory!E:E,"No Name Found"))</f>
        <v/>
      </c>
      <c r="D5450" s="6"/>
      <c r="E5450" s="6"/>
      <c r="F5450" s="6"/>
      <c r="G5450" s="24" t="str">
        <f>IF(F5450="", "", VLOOKUP(F5450, Inventory!A:BZ, 3, FALSE) - SUMIF($F$1:$F5449, F5450, $H$1:$H5449))
</f>
        <v/>
      </c>
      <c r="I5450" s="26"/>
      <c r="J5450" s="26" t="s">
        <v>77</v>
      </c>
      <c r="L5450" s="27" t="s">
        <v>77</v>
      </c>
      <c r="N5450" s="28" t="s">
        <v>77</v>
      </c>
      <c r="Q5450" s="30"/>
    </row>
    <row r="5451">
      <c r="B5451" s="6"/>
      <c r="C5451" s="33" t="str">
        <f t="array" ref="C5451">IF(B5451="", "", XLOOKUP(B5451, Inventory!D:D,Inventory!E:E,"No Name Found"))</f>
        <v/>
      </c>
      <c r="D5451" s="6"/>
      <c r="E5451" s="6"/>
      <c r="F5451" s="6"/>
      <c r="G5451" s="24" t="str">
        <f>IF(F5451="", "", VLOOKUP(F5451, Inventory!A:BZ, 3, FALSE) - SUMIF($F$1:$F5450, F5451, $H$1:$H5450))
</f>
        <v/>
      </c>
      <c r="I5451" s="26"/>
      <c r="J5451" s="26" t="s">
        <v>77</v>
      </c>
      <c r="L5451" s="27" t="s">
        <v>77</v>
      </c>
      <c r="N5451" s="28" t="s">
        <v>77</v>
      </c>
      <c r="Q5451" s="30"/>
    </row>
    <row r="5452">
      <c r="B5452" s="6"/>
      <c r="C5452" s="33" t="str">
        <f t="array" ref="C5452">IF(B5452="", "", XLOOKUP(B5452, Inventory!D:D,Inventory!E:E,"No Name Found"))</f>
        <v/>
      </c>
      <c r="D5452" s="6"/>
      <c r="E5452" s="6"/>
      <c r="F5452" s="6"/>
      <c r="G5452" s="24" t="str">
        <f>IF(F5452="", "", VLOOKUP(F5452, Inventory!A:BZ, 3, FALSE) - SUMIF($F$1:$F5451, F5452, $H$1:$H5451))
</f>
        <v/>
      </c>
      <c r="I5452" s="26"/>
      <c r="J5452" s="26" t="s">
        <v>77</v>
      </c>
      <c r="L5452" s="27" t="s">
        <v>77</v>
      </c>
      <c r="N5452" s="28" t="s">
        <v>77</v>
      </c>
      <c r="Q5452" s="30"/>
    </row>
    <row r="5453">
      <c r="B5453" s="6"/>
      <c r="C5453" s="33" t="str">
        <f t="array" ref="C5453">IF(B5453="", "", XLOOKUP(B5453, Inventory!D:D,Inventory!E:E,"No Name Found"))</f>
        <v/>
      </c>
      <c r="D5453" s="6"/>
      <c r="E5453" s="6"/>
      <c r="F5453" s="6"/>
      <c r="G5453" s="24" t="str">
        <f>IF(F5453="", "", VLOOKUP(F5453, Inventory!A:BZ, 3, FALSE) - SUMIF($F$1:$F5452, F5453, $H$1:$H5452))
</f>
        <v/>
      </c>
      <c r="I5453" s="26"/>
      <c r="J5453" s="26" t="s">
        <v>77</v>
      </c>
      <c r="L5453" s="27" t="s">
        <v>77</v>
      </c>
      <c r="N5453" s="28" t="s">
        <v>77</v>
      </c>
      <c r="Q5453" s="30"/>
    </row>
    <row r="5454">
      <c r="B5454" s="6"/>
      <c r="C5454" s="33" t="str">
        <f t="array" ref="C5454">IF(B5454="", "", XLOOKUP(B5454, Inventory!D:D,Inventory!E:E,"No Name Found"))</f>
        <v/>
      </c>
      <c r="D5454" s="6"/>
      <c r="E5454" s="6"/>
      <c r="F5454" s="6"/>
      <c r="G5454" s="24" t="str">
        <f>IF(F5454="", "", VLOOKUP(F5454, Inventory!A:BZ, 3, FALSE) - SUMIF($F$1:$F5453, F5454, $H$1:$H5453))
</f>
        <v/>
      </c>
      <c r="I5454" s="26"/>
      <c r="J5454" s="26" t="s">
        <v>77</v>
      </c>
      <c r="L5454" s="27" t="s">
        <v>77</v>
      </c>
      <c r="N5454" s="28" t="s">
        <v>77</v>
      </c>
      <c r="Q5454" s="30"/>
    </row>
    <row r="5455">
      <c r="B5455" s="6"/>
      <c r="C5455" s="33" t="str">
        <f t="array" ref="C5455">IF(B5455="", "", XLOOKUP(B5455, Inventory!D:D,Inventory!E:E,"No Name Found"))</f>
        <v/>
      </c>
      <c r="D5455" s="6"/>
      <c r="E5455" s="6"/>
      <c r="F5455" s="6"/>
      <c r="G5455" s="24" t="str">
        <f>IF(F5455="", "", VLOOKUP(F5455, Inventory!A:BZ, 3, FALSE) - SUMIF($F$1:$F5454, F5455, $H$1:$H5454))
</f>
        <v/>
      </c>
      <c r="I5455" s="26"/>
      <c r="J5455" s="26" t="s">
        <v>77</v>
      </c>
      <c r="L5455" s="27" t="s">
        <v>77</v>
      </c>
      <c r="N5455" s="28" t="s">
        <v>77</v>
      </c>
      <c r="Q5455" s="30"/>
    </row>
    <row r="5456">
      <c r="B5456" s="6"/>
      <c r="C5456" s="33" t="str">
        <f t="array" ref="C5456">IF(B5456="", "", XLOOKUP(B5456, Inventory!D:D,Inventory!E:E,"No Name Found"))</f>
        <v/>
      </c>
      <c r="D5456" s="6"/>
      <c r="E5456" s="6"/>
      <c r="F5456" s="6"/>
      <c r="G5456" s="24" t="str">
        <f>IF(F5456="", "", VLOOKUP(F5456, Inventory!A:BZ, 3, FALSE) - SUMIF($F$1:$F5455, F5456, $H$1:$H5455))
</f>
        <v/>
      </c>
      <c r="I5456" s="26"/>
      <c r="J5456" s="26" t="s">
        <v>77</v>
      </c>
      <c r="L5456" s="27" t="s">
        <v>77</v>
      </c>
      <c r="N5456" s="28" t="s">
        <v>77</v>
      </c>
      <c r="Q5456" s="30"/>
    </row>
    <row r="5457">
      <c r="B5457" s="6"/>
      <c r="C5457" s="33" t="str">
        <f t="array" ref="C5457">IF(B5457="", "", XLOOKUP(B5457, Inventory!D:D,Inventory!E:E,"No Name Found"))</f>
        <v/>
      </c>
      <c r="D5457" s="6"/>
      <c r="E5457" s="6"/>
      <c r="F5457" s="6"/>
      <c r="G5457" s="24" t="str">
        <f>IF(F5457="", "", VLOOKUP(F5457, Inventory!A:BZ, 3, FALSE) - SUMIF($F$1:$F5456, F5457, $H$1:$H5456))
</f>
        <v/>
      </c>
      <c r="I5457" s="26"/>
      <c r="J5457" s="26" t="s">
        <v>77</v>
      </c>
      <c r="L5457" s="27" t="s">
        <v>77</v>
      </c>
      <c r="N5457" s="28" t="s">
        <v>77</v>
      </c>
      <c r="Q5457" s="30"/>
    </row>
    <row r="5458">
      <c r="B5458" s="6"/>
      <c r="C5458" s="33" t="str">
        <f t="array" ref="C5458">IF(B5458="", "", XLOOKUP(B5458, Inventory!D:D,Inventory!E:E,"No Name Found"))</f>
        <v/>
      </c>
      <c r="D5458" s="6"/>
      <c r="E5458" s="6"/>
      <c r="F5458" s="6"/>
      <c r="G5458" s="24" t="str">
        <f>IF(F5458="", "", VLOOKUP(F5458, Inventory!A:BZ, 3, FALSE) - SUMIF($F$1:$F5457, F5458, $H$1:$H5457))
</f>
        <v/>
      </c>
      <c r="I5458" s="26"/>
      <c r="J5458" s="26" t="s">
        <v>77</v>
      </c>
      <c r="L5458" s="27" t="s">
        <v>77</v>
      </c>
      <c r="N5458" s="28" t="s">
        <v>77</v>
      </c>
      <c r="Q5458" s="30"/>
    </row>
    <row r="5459">
      <c r="B5459" s="6"/>
      <c r="C5459" s="33" t="str">
        <f t="array" ref="C5459">IF(B5459="", "", XLOOKUP(B5459, Inventory!D:D,Inventory!E:E,"No Name Found"))</f>
        <v/>
      </c>
      <c r="D5459" s="6"/>
      <c r="E5459" s="6"/>
      <c r="F5459" s="6"/>
      <c r="G5459" s="24" t="str">
        <f>IF(F5459="", "", VLOOKUP(F5459, Inventory!A:BZ, 3, FALSE) - SUMIF($F$1:$F5458, F5459, $H$1:$H5458))
</f>
        <v/>
      </c>
      <c r="I5459" s="26"/>
      <c r="J5459" s="26" t="s">
        <v>77</v>
      </c>
      <c r="L5459" s="27" t="s">
        <v>77</v>
      </c>
      <c r="N5459" s="28" t="s">
        <v>77</v>
      </c>
      <c r="Q5459" s="30"/>
    </row>
    <row r="5460">
      <c r="B5460" s="6"/>
      <c r="C5460" s="33" t="str">
        <f t="array" ref="C5460">IF(B5460="", "", XLOOKUP(B5460, Inventory!D:D,Inventory!E:E,"No Name Found"))</f>
        <v/>
      </c>
      <c r="D5460" s="6"/>
      <c r="E5460" s="6"/>
      <c r="F5460" s="6"/>
      <c r="G5460" s="24" t="str">
        <f>IF(F5460="", "", VLOOKUP(F5460, Inventory!A:BZ, 3, FALSE) - SUMIF($F$1:$F5459, F5460, $H$1:$H5459))
</f>
        <v/>
      </c>
      <c r="I5460" s="26"/>
      <c r="J5460" s="26" t="s">
        <v>77</v>
      </c>
      <c r="L5460" s="27" t="s">
        <v>77</v>
      </c>
      <c r="N5460" s="28" t="s">
        <v>77</v>
      </c>
      <c r="Q5460" s="30"/>
    </row>
    <row r="5461">
      <c r="B5461" s="6"/>
      <c r="C5461" s="33" t="str">
        <f t="array" ref="C5461">IF(B5461="", "", XLOOKUP(B5461, Inventory!D:D,Inventory!E:E,"No Name Found"))</f>
        <v/>
      </c>
      <c r="D5461" s="6"/>
      <c r="E5461" s="6"/>
      <c r="F5461" s="6"/>
      <c r="G5461" s="24" t="str">
        <f>IF(F5461="", "", VLOOKUP(F5461, Inventory!A:BZ, 3, FALSE) - SUMIF($F$1:$F5460, F5461, $H$1:$H5460))
</f>
        <v/>
      </c>
      <c r="I5461" s="26"/>
      <c r="J5461" s="26" t="s">
        <v>77</v>
      </c>
      <c r="L5461" s="27" t="s">
        <v>77</v>
      </c>
      <c r="N5461" s="28" t="s">
        <v>77</v>
      </c>
      <c r="Q5461" s="30"/>
    </row>
    <row r="5462">
      <c r="B5462" s="6"/>
      <c r="C5462" s="33" t="str">
        <f t="array" ref="C5462">IF(B5462="", "", XLOOKUP(B5462, Inventory!D:D,Inventory!E:E,"No Name Found"))</f>
        <v/>
      </c>
      <c r="D5462" s="6"/>
      <c r="E5462" s="6"/>
      <c r="F5462" s="6"/>
      <c r="G5462" s="24" t="str">
        <f>IF(F5462="", "", VLOOKUP(F5462, Inventory!A:BZ, 3, FALSE) - SUMIF($F$1:$F5461, F5462, $H$1:$H5461))
</f>
        <v/>
      </c>
      <c r="I5462" s="26"/>
      <c r="J5462" s="26" t="s">
        <v>77</v>
      </c>
      <c r="L5462" s="27" t="s">
        <v>77</v>
      </c>
      <c r="N5462" s="28" t="s">
        <v>77</v>
      </c>
      <c r="Q5462" s="30"/>
    </row>
    <row r="5463">
      <c r="B5463" s="6"/>
      <c r="C5463" s="33" t="str">
        <f t="array" ref="C5463">IF(B5463="", "", XLOOKUP(B5463, Inventory!D:D,Inventory!E:E,"No Name Found"))</f>
        <v/>
      </c>
      <c r="D5463" s="6"/>
      <c r="E5463" s="6"/>
      <c r="F5463" s="6"/>
      <c r="G5463" s="24" t="str">
        <f>IF(F5463="", "", VLOOKUP(F5463, Inventory!A:BZ, 3, FALSE) - SUMIF($F$1:$F5462, F5463, $H$1:$H5462))
</f>
        <v/>
      </c>
      <c r="I5463" s="26"/>
      <c r="J5463" s="26" t="s">
        <v>77</v>
      </c>
      <c r="L5463" s="27" t="s">
        <v>77</v>
      </c>
      <c r="N5463" s="28" t="s">
        <v>77</v>
      </c>
      <c r="Q5463" s="30"/>
    </row>
    <row r="5464">
      <c r="B5464" s="6"/>
      <c r="C5464" s="33" t="str">
        <f t="array" ref="C5464">IF(B5464="", "", XLOOKUP(B5464, Inventory!D:D,Inventory!E:E,"No Name Found"))</f>
        <v/>
      </c>
      <c r="D5464" s="6"/>
      <c r="E5464" s="6"/>
      <c r="F5464" s="6"/>
      <c r="G5464" s="24" t="str">
        <f>IF(F5464="", "", VLOOKUP(F5464, Inventory!A:BZ, 3, FALSE) - SUMIF($F$1:$F5463, F5464, $H$1:$H5463))
</f>
        <v/>
      </c>
      <c r="I5464" s="26"/>
      <c r="J5464" s="26" t="s">
        <v>77</v>
      </c>
      <c r="L5464" s="27" t="s">
        <v>77</v>
      </c>
      <c r="N5464" s="28" t="s">
        <v>77</v>
      </c>
      <c r="Q5464" s="30"/>
    </row>
    <row r="5465">
      <c r="B5465" s="6"/>
      <c r="C5465" s="33" t="str">
        <f t="array" ref="C5465">IF(B5465="", "", XLOOKUP(B5465, Inventory!D:D,Inventory!E:E,"No Name Found"))</f>
        <v/>
      </c>
      <c r="D5465" s="6"/>
      <c r="E5465" s="6"/>
      <c r="F5465" s="6"/>
      <c r="G5465" s="24" t="str">
        <f>IF(F5465="", "", VLOOKUP(F5465, Inventory!A:BZ, 3, FALSE) - SUMIF($F$1:$F5464, F5465, $H$1:$H5464))
</f>
        <v/>
      </c>
      <c r="I5465" s="26"/>
      <c r="J5465" s="26" t="s">
        <v>77</v>
      </c>
      <c r="L5465" s="27" t="s">
        <v>77</v>
      </c>
      <c r="N5465" s="28" t="s">
        <v>77</v>
      </c>
      <c r="Q5465" s="30"/>
    </row>
    <row r="5466">
      <c r="B5466" s="6"/>
      <c r="C5466" s="33" t="str">
        <f t="array" ref="C5466">IF(B5466="", "", XLOOKUP(B5466, Inventory!D:D,Inventory!E:E,"No Name Found"))</f>
        <v/>
      </c>
      <c r="D5466" s="6"/>
      <c r="E5466" s="6"/>
      <c r="F5466" s="6"/>
      <c r="G5466" s="24" t="str">
        <f>IF(F5466="", "", VLOOKUP(F5466, Inventory!A:BZ, 3, FALSE) - SUMIF($F$1:$F5465, F5466, $H$1:$H5465))
</f>
        <v/>
      </c>
      <c r="I5466" s="26"/>
      <c r="J5466" s="26" t="s">
        <v>77</v>
      </c>
      <c r="L5466" s="27" t="s">
        <v>77</v>
      </c>
      <c r="N5466" s="28" t="s">
        <v>77</v>
      </c>
      <c r="Q5466" s="30"/>
    </row>
    <row r="5467">
      <c r="B5467" s="6"/>
      <c r="C5467" s="33" t="str">
        <f t="array" ref="C5467">IF(B5467="", "", XLOOKUP(B5467, Inventory!D:D,Inventory!E:E,"No Name Found"))</f>
        <v/>
      </c>
      <c r="D5467" s="6"/>
      <c r="E5467" s="6"/>
      <c r="F5467" s="6"/>
      <c r="G5467" s="24" t="str">
        <f>IF(F5467="", "", VLOOKUP(F5467, Inventory!A:BZ, 3, FALSE) - SUMIF($F$1:$F5466, F5467, $H$1:$H5466))
</f>
        <v/>
      </c>
      <c r="I5467" s="26"/>
      <c r="J5467" s="26" t="s">
        <v>77</v>
      </c>
      <c r="L5467" s="27" t="s">
        <v>77</v>
      </c>
      <c r="N5467" s="28" t="s">
        <v>77</v>
      </c>
      <c r="Q5467" s="30"/>
    </row>
    <row r="5468">
      <c r="B5468" s="6"/>
      <c r="C5468" s="33" t="str">
        <f t="array" ref="C5468">IF(B5468="", "", XLOOKUP(B5468, Inventory!D:D,Inventory!E:E,"No Name Found"))</f>
        <v/>
      </c>
      <c r="D5468" s="6"/>
      <c r="E5468" s="6"/>
      <c r="F5468" s="6"/>
      <c r="G5468" s="24" t="str">
        <f>IF(F5468="", "", VLOOKUP(F5468, Inventory!A:BZ, 3, FALSE) - SUMIF($F$1:$F5467, F5468, $H$1:$H5467))
</f>
        <v/>
      </c>
      <c r="I5468" s="26"/>
      <c r="J5468" s="26" t="s">
        <v>77</v>
      </c>
      <c r="L5468" s="27" t="s">
        <v>77</v>
      </c>
      <c r="N5468" s="28" t="s">
        <v>77</v>
      </c>
      <c r="Q5468" s="30"/>
    </row>
    <row r="5469">
      <c r="B5469" s="6"/>
      <c r="C5469" s="33" t="str">
        <f t="array" ref="C5469">IF(B5469="", "", XLOOKUP(B5469, Inventory!D:D,Inventory!E:E,"No Name Found"))</f>
        <v/>
      </c>
      <c r="D5469" s="6"/>
      <c r="E5469" s="6"/>
      <c r="F5469" s="6"/>
      <c r="G5469" s="24" t="str">
        <f>IF(F5469="", "", VLOOKUP(F5469, Inventory!A:BZ, 3, FALSE) - SUMIF($F$1:$F5468, F5469, $H$1:$H5468))
</f>
        <v/>
      </c>
      <c r="I5469" s="26"/>
      <c r="J5469" s="26" t="s">
        <v>77</v>
      </c>
      <c r="L5469" s="27" t="s">
        <v>77</v>
      </c>
      <c r="N5469" s="28" t="s">
        <v>77</v>
      </c>
      <c r="Q5469" s="30"/>
    </row>
    <row r="5470">
      <c r="B5470" s="6"/>
      <c r="C5470" s="33" t="str">
        <f t="array" ref="C5470">IF(B5470="", "", XLOOKUP(B5470, Inventory!D:D,Inventory!E:E,"No Name Found"))</f>
        <v/>
      </c>
      <c r="D5470" s="6"/>
      <c r="E5470" s="6"/>
      <c r="F5470" s="6"/>
      <c r="G5470" s="24" t="str">
        <f>IF(F5470="", "", VLOOKUP(F5470, Inventory!A:BZ, 3, FALSE) - SUMIF($F$1:$F5469, F5470, $H$1:$H5469))
</f>
        <v/>
      </c>
      <c r="I5470" s="26"/>
      <c r="J5470" s="26" t="s">
        <v>77</v>
      </c>
      <c r="L5470" s="27" t="s">
        <v>77</v>
      </c>
      <c r="N5470" s="28" t="s">
        <v>77</v>
      </c>
      <c r="Q5470" s="30"/>
    </row>
    <row r="5471">
      <c r="B5471" s="6"/>
      <c r="C5471" s="33" t="str">
        <f t="array" ref="C5471">IF(B5471="", "", XLOOKUP(B5471, Inventory!D:D,Inventory!E:E,"No Name Found"))</f>
        <v/>
      </c>
      <c r="D5471" s="6"/>
      <c r="E5471" s="6"/>
      <c r="F5471" s="6"/>
      <c r="G5471" s="24" t="str">
        <f>IF(F5471="", "", VLOOKUP(F5471, Inventory!A:BZ, 3, FALSE) - SUMIF($F$1:$F5470, F5471, $H$1:$H5470))
</f>
        <v/>
      </c>
      <c r="I5471" s="26"/>
      <c r="J5471" s="26" t="s">
        <v>77</v>
      </c>
      <c r="L5471" s="27" t="s">
        <v>77</v>
      </c>
      <c r="N5471" s="28" t="s">
        <v>77</v>
      </c>
      <c r="Q5471" s="30"/>
    </row>
    <row r="5472">
      <c r="B5472" s="6"/>
      <c r="C5472" s="33" t="str">
        <f t="array" ref="C5472">IF(B5472="", "", XLOOKUP(B5472, Inventory!D:D,Inventory!E:E,"No Name Found"))</f>
        <v/>
      </c>
      <c r="D5472" s="6"/>
      <c r="E5472" s="6"/>
      <c r="F5472" s="6"/>
      <c r="G5472" s="24" t="str">
        <f>IF(F5472="", "", VLOOKUP(F5472, Inventory!A:BZ, 3, FALSE) - SUMIF($F$1:$F5471, F5472, $H$1:$H5471))
</f>
        <v/>
      </c>
      <c r="I5472" s="26"/>
      <c r="J5472" s="26" t="s">
        <v>77</v>
      </c>
      <c r="L5472" s="27" t="s">
        <v>77</v>
      </c>
      <c r="N5472" s="28" t="s">
        <v>77</v>
      </c>
      <c r="Q5472" s="30"/>
    </row>
    <row r="5473">
      <c r="B5473" s="6"/>
      <c r="C5473" s="33" t="str">
        <f t="array" ref="C5473">IF(B5473="", "", XLOOKUP(B5473, Inventory!D:D,Inventory!E:E,"No Name Found"))</f>
        <v/>
      </c>
      <c r="D5473" s="6"/>
      <c r="E5473" s="6"/>
      <c r="F5473" s="6"/>
      <c r="G5473" s="24" t="str">
        <f>IF(F5473="", "", VLOOKUP(F5473, Inventory!A:BZ, 3, FALSE) - SUMIF($F$1:$F5472, F5473, $H$1:$H5472))
</f>
        <v/>
      </c>
      <c r="I5473" s="26"/>
      <c r="J5473" s="26" t="s">
        <v>77</v>
      </c>
      <c r="L5473" s="27" t="s">
        <v>77</v>
      </c>
      <c r="N5473" s="28" t="s">
        <v>77</v>
      </c>
      <c r="Q5473" s="30"/>
    </row>
    <row r="5474">
      <c r="B5474" s="6"/>
      <c r="C5474" s="33" t="str">
        <f t="array" ref="C5474">IF(B5474="", "", XLOOKUP(B5474, Inventory!D:D,Inventory!E:E,"No Name Found"))</f>
        <v/>
      </c>
      <c r="D5474" s="6"/>
      <c r="E5474" s="6"/>
      <c r="F5474" s="6"/>
      <c r="G5474" s="24" t="str">
        <f>IF(F5474="", "", VLOOKUP(F5474, Inventory!A:BZ, 3, FALSE) - SUMIF($F$1:$F5473, F5474, $H$1:$H5473))
</f>
        <v/>
      </c>
      <c r="I5474" s="26"/>
      <c r="J5474" s="26" t="s">
        <v>77</v>
      </c>
      <c r="L5474" s="27" t="s">
        <v>77</v>
      </c>
      <c r="N5474" s="28" t="s">
        <v>77</v>
      </c>
      <c r="Q5474" s="30"/>
    </row>
    <row r="5475">
      <c r="B5475" s="6"/>
      <c r="C5475" s="33" t="str">
        <f t="array" ref="C5475">IF(B5475="", "", XLOOKUP(B5475, Inventory!D:D,Inventory!E:E,"No Name Found"))</f>
        <v/>
      </c>
      <c r="D5475" s="6"/>
      <c r="E5475" s="6"/>
      <c r="F5475" s="6"/>
      <c r="G5475" s="24" t="str">
        <f>IF(F5475="", "", VLOOKUP(F5475, Inventory!A:BZ, 3, FALSE) - SUMIF($F$1:$F5474, F5475, $H$1:$H5474))
</f>
        <v/>
      </c>
      <c r="I5475" s="26"/>
      <c r="J5475" s="26" t="s">
        <v>77</v>
      </c>
      <c r="L5475" s="27" t="s">
        <v>77</v>
      </c>
      <c r="N5475" s="28" t="s">
        <v>77</v>
      </c>
      <c r="Q5475" s="30"/>
    </row>
    <row r="5476">
      <c r="B5476" s="6"/>
      <c r="C5476" s="33" t="str">
        <f t="array" ref="C5476">IF(B5476="", "", XLOOKUP(B5476, Inventory!D:D,Inventory!E:E,"No Name Found"))</f>
        <v/>
      </c>
      <c r="D5476" s="6"/>
      <c r="E5476" s="6"/>
      <c r="F5476" s="6"/>
      <c r="G5476" s="24" t="str">
        <f>IF(F5476="", "", VLOOKUP(F5476, Inventory!A:BZ, 3, FALSE) - SUMIF($F$1:$F5475, F5476, $H$1:$H5475))
</f>
        <v/>
      </c>
      <c r="I5476" s="26"/>
      <c r="J5476" s="26" t="s">
        <v>77</v>
      </c>
      <c r="L5476" s="27" t="s">
        <v>77</v>
      </c>
      <c r="N5476" s="28" t="s">
        <v>77</v>
      </c>
      <c r="Q5476" s="30"/>
    </row>
    <row r="5477">
      <c r="B5477" s="6"/>
      <c r="C5477" s="33" t="str">
        <f t="array" ref="C5477">IF(B5477="", "", XLOOKUP(B5477, Inventory!D:D,Inventory!E:E,"No Name Found"))</f>
        <v/>
      </c>
      <c r="D5477" s="6"/>
      <c r="E5477" s="6"/>
      <c r="F5477" s="6"/>
      <c r="G5477" s="24" t="str">
        <f>IF(F5477="", "", VLOOKUP(F5477, Inventory!A:BZ, 3, FALSE) - SUMIF($F$1:$F5476, F5477, $H$1:$H5476))
</f>
        <v/>
      </c>
      <c r="I5477" s="26"/>
      <c r="J5477" s="26" t="s">
        <v>77</v>
      </c>
      <c r="L5477" s="27" t="s">
        <v>77</v>
      </c>
      <c r="N5477" s="28" t="s">
        <v>77</v>
      </c>
      <c r="Q5477" s="30"/>
    </row>
    <row r="5478">
      <c r="B5478" s="6"/>
      <c r="C5478" s="33" t="str">
        <f t="array" ref="C5478">IF(B5478="", "", XLOOKUP(B5478, Inventory!D:D,Inventory!E:E,"No Name Found"))</f>
        <v/>
      </c>
      <c r="D5478" s="6"/>
      <c r="E5478" s="6"/>
      <c r="F5478" s="6"/>
      <c r="G5478" s="24" t="str">
        <f>IF(F5478="", "", VLOOKUP(F5478, Inventory!A:BZ, 3, FALSE) - SUMIF($F$1:$F5477, F5478, $H$1:$H5477))
</f>
        <v/>
      </c>
      <c r="I5478" s="26"/>
      <c r="J5478" s="26" t="s">
        <v>77</v>
      </c>
      <c r="L5478" s="27" t="s">
        <v>77</v>
      </c>
      <c r="N5478" s="28" t="s">
        <v>77</v>
      </c>
      <c r="Q5478" s="30"/>
    </row>
    <row r="5479">
      <c r="B5479" s="6"/>
      <c r="C5479" s="33" t="str">
        <f t="array" ref="C5479">IF(B5479="", "", XLOOKUP(B5479, Inventory!D:D,Inventory!E:E,"No Name Found"))</f>
        <v/>
      </c>
      <c r="D5479" s="6"/>
      <c r="E5479" s="6"/>
      <c r="F5479" s="6"/>
      <c r="G5479" s="24" t="str">
        <f>IF(F5479="", "", VLOOKUP(F5479, Inventory!A:BZ, 3, FALSE) - SUMIF($F$1:$F5478, F5479, $H$1:$H5478))
</f>
        <v/>
      </c>
      <c r="I5479" s="26"/>
      <c r="J5479" s="26" t="s">
        <v>77</v>
      </c>
      <c r="L5479" s="27" t="s">
        <v>77</v>
      </c>
      <c r="N5479" s="28" t="s">
        <v>77</v>
      </c>
      <c r="Q5479" s="30"/>
    </row>
    <row r="5480">
      <c r="B5480" s="6"/>
      <c r="C5480" s="33" t="str">
        <f t="array" ref="C5480">IF(B5480="", "", XLOOKUP(B5480, Inventory!D:D,Inventory!E:E,"No Name Found"))</f>
        <v/>
      </c>
      <c r="D5480" s="6"/>
      <c r="E5480" s="6"/>
      <c r="F5480" s="6"/>
      <c r="G5480" s="24" t="str">
        <f>IF(F5480="", "", VLOOKUP(F5480, Inventory!A:BZ, 3, FALSE) - SUMIF($F$1:$F5479, F5480, $H$1:$H5479))
</f>
        <v/>
      </c>
      <c r="I5480" s="26"/>
      <c r="J5480" s="26" t="s">
        <v>77</v>
      </c>
      <c r="L5480" s="27" t="s">
        <v>77</v>
      </c>
      <c r="N5480" s="28" t="s">
        <v>77</v>
      </c>
      <c r="Q5480" s="30"/>
    </row>
    <row r="5481">
      <c r="B5481" s="6"/>
      <c r="C5481" s="33" t="str">
        <f t="array" ref="C5481">IF(B5481="", "", XLOOKUP(B5481, Inventory!D:D,Inventory!E:E,"No Name Found"))</f>
        <v/>
      </c>
      <c r="D5481" s="6"/>
      <c r="E5481" s="6"/>
      <c r="F5481" s="6"/>
      <c r="G5481" s="24" t="str">
        <f>IF(F5481="", "", VLOOKUP(F5481, Inventory!A:BZ, 3, FALSE) - SUMIF($F$1:$F5480, F5481, $H$1:$H5480))
</f>
        <v/>
      </c>
      <c r="I5481" s="26"/>
      <c r="J5481" s="26" t="s">
        <v>77</v>
      </c>
      <c r="L5481" s="27" t="s">
        <v>77</v>
      </c>
      <c r="N5481" s="28" t="s">
        <v>77</v>
      </c>
      <c r="Q5481" s="30"/>
    </row>
    <row r="5482">
      <c r="B5482" s="6"/>
      <c r="C5482" s="33" t="str">
        <f t="array" ref="C5482">IF(B5482="", "", XLOOKUP(B5482, Inventory!D:D,Inventory!E:E,"No Name Found"))</f>
        <v/>
      </c>
      <c r="D5482" s="6"/>
      <c r="E5482" s="6"/>
      <c r="F5482" s="6"/>
      <c r="G5482" s="24" t="str">
        <f>IF(F5482="", "", VLOOKUP(F5482, Inventory!A:BZ, 3, FALSE) - SUMIF($F$1:$F5481, F5482, $H$1:$H5481))
</f>
        <v/>
      </c>
      <c r="I5482" s="26"/>
      <c r="J5482" s="26" t="s">
        <v>77</v>
      </c>
      <c r="L5482" s="27" t="s">
        <v>77</v>
      </c>
      <c r="N5482" s="28" t="s">
        <v>77</v>
      </c>
      <c r="Q5482" s="30"/>
    </row>
    <row r="5483">
      <c r="B5483" s="6"/>
      <c r="C5483" s="33" t="str">
        <f t="array" ref="C5483">IF(B5483="", "", XLOOKUP(B5483, Inventory!D:D,Inventory!E:E,"No Name Found"))</f>
        <v/>
      </c>
      <c r="D5483" s="6"/>
      <c r="E5483" s="6"/>
      <c r="F5483" s="6"/>
      <c r="G5483" s="24" t="str">
        <f>IF(F5483="", "", VLOOKUP(F5483, Inventory!A:BZ, 3, FALSE) - SUMIF($F$1:$F5482, F5483, $H$1:$H5482))
</f>
        <v/>
      </c>
      <c r="I5483" s="26"/>
      <c r="J5483" s="26" t="s">
        <v>77</v>
      </c>
      <c r="L5483" s="27" t="s">
        <v>77</v>
      </c>
      <c r="N5483" s="28" t="s">
        <v>77</v>
      </c>
      <c r="Q5483" s="30"/>
    </row>
    <row r="5484">
      <c r="B5484" s="6"/>
      <c r="C5484" s="33" t="str">
        <f t="array" ref="C5484">IF(B5484="", "", XLOOKUP(B5484, Inventory!D:D,Inventory!E:E,"No Name Found"))</f>
        <v/>
      </c>
      <c r="D5484" s="6"/>
      <c r="E5484" s="6"/>
      <c r="F5484" s="6"/>
      <c r="G5484" s="24" t="str">
        <f>IF(F5484="", "", VLOOKUP(F5484, Inventory!A:BZ, 3, FALSE) - SUMIF($F$1:$F5483, F5484, $H$1:$H5483))
</f>
        <v/>
      </c>
      <c r="I5484" s="26"/>
      <c r="J5484" s="26" t="s">
        <v>77</v>
      </c>
      <c r="L5484" s="27" t="s">
        <v>77</v>
      </c>
      <c r="N5484" s="28" t="s">
        <v>77</v>
      </c>
      <c r="Q5484" s="30"/>
    </row>
    <row r="5485">
      <c r="B5485" s="6"/>
      <c r="C5485" s="33" t="str">
        <f t="array" ref="C5485">IF(B5485="", "", XLOOKUP(B5485, Inventory!D:D,Inventory!E:E,"No Name Found"))</f>
        <v/>
      </c>
      <c r="D5485" s="6"/>
      <c r="E5485" s="6"/>
      <c r="F5485" s="6"/>
      <c r="G5485" s="24" t="str">
        <f>IF(F5485="", "", VLOOKUP(F5485, Inventory!A:BZ, 3, FALSE) - SUMIF($F$1:$F5484, F5485, $H$1:$H5484))
</f>
        <v/>
      </c>
      <c r="I5485" s="26"/>
      <c r="J5485" s="26" t="s">
        <v>77</v>
      </c>
      <c r="L5485" s="27" t="s">
        <v>77</v>
      </c>
      <c r="N5485" s="28" t="s">
        <v>77</v>
      </c>
      <c r="Q5485" s="30"/>
    </row>
    <row r="5486">
      <c r="B5486" s="6"/>
      <c r="C5486" s="33" t="str">
        <f t="array" ref="C5486">IF(B5486="", "", XLOOKUP(B5486, Inventory!D:D,Inventory!E:E,"No Name Found"))</f>
        <v/>
      </c>
      <c r="D5486" s="6"/>
      <c r="E5486" s="6"/>
      <c r="F5486" s="6"/>
      <c r="G5486" s="24" t="str">
        <f>IF(F5486="", "", VLOOKUP(F5486, Inventory!A:BZ, 3, FALSE) - SUMIF($F$1:$F5485, F5486, $H$1:$H5485))
</f>
        <v/>
      </c>
      <c r="I5486" s="26"/>
      <c r="J5486" s="26" t="s">
        <v>77</v>
      </c>
      <c r="L5486" s="27" t="s">
        <v>77</v>
      </c>
      <c r="N5486" s="28" t="s">
        <v>77</v>
      </c>
      <c r="Q5486" s="30"/>
    </row>
    <row r="5487">
      <c r="B5487" s="6"/>
      <c r="C5487" s="33" t="str">
        <f t="array" ref="C5487">IF(B5487="", "", XLOOKUP(B5487, Inventory!D:D,Inventory!E:E,"No Name Found"))</f>
        <v/>
      </c>
      <c r="D5487" s="6"/>
      <c r="E5487" s="6"/>
      <c r="F5487" s="6"/>
      <c r="G5487" s="24" t="str">
        <f>IF(F5487="", "", VLOOKUP(F5487, Inventory!A:BZ, 3, FALSE) - SUMIF($F$1:$F5486, F5487, $H$1:$H5486))
</f>
        <v/>
      </c>
      <c r="I5487" s="26"/>
      <c r="J5487" s="26" t="s">
        <v>77</v>
      </c>
      <c r="L5487" s="27" t="s">
        <v>77</v>
      </c>
      <c r="N5487" s="28" t="s">
        <v>77</v>
      </c>
      <c r="Q5487" s="30"/>
    </row>
    <row r="5488">
      <c r="B5488" s="6"/>
      <c r="C5488" s="33" t="str">
        <f t="array" ref="C5488">IF(B5488="", "", XLOOKUP(B5488, Inventory!D:D,Inventory!E:E,"No Name Found"))</f>
        <v/>
      </c>
      <c r="D5488" s="6"/>
      <c r="E5488" s="6"/>
      <c r="F5488" s="6"/>
      <c r="G5488" s="24" t="str">
        <f>IF(F5488="", "", VLOOKUP(F5488, Inventory!A:BZ, 3, FALSE) - SUMIF($F$1:$F5487, F5488, $H$1:$H5487))
</f>
        <v/>
      </c>
      <c r="I5488" s="26"/>
      <c r="J5488" s="26" t="s">
        <v>77</v>
      </c>
      <c r="L5488" s="27" t="s">
        <v>77</v>
      </c>
      <c r="N5488" s="28" t="s">
        <v>77</v>
      </c>
      <c r="Q5488" s="30"/>
    </row>
    <row r="5489">
      <c r="B5489" s="6"/>
      <c r="C5489" s="33" t="str">
        <f t="array" ref="C5489">IF(B5489="", "", XLOOKUP(B5489, Inventory!D:D,Inventory!E:E,"No Name Found"))</f>
        <v/>
      </c>
      <c r="D5489" s="6"/>
      <c r="E5489" s="6"/>
      <c r="F5489" s="6"/>
      <c r="G5489" s="24" t="str">
        <f>IF(F5489="", "", VLOOKUP(F5489, Inventory!A:BZ, 3, FALSE) - SUMIF($F$1:$F5488, F5489, $H$1:$H5488))
</f>
        <v/>
      </c>
      <c r="I5489" s="26"/>
      <c r="J5489" s="26" t="s">
        <v>77</v>
      </c>
      <c r="L5489" s="27" t="s">
        <v>77</v>
      </c>
      <c r="N5489" s="28" t="s">
        <v>77</v>
      </c>
      <c r="Q5489" s="30"/>
    </row>
    <row r="5490">
      <c r="B5490" s="6"/>
      <c r="C5490" s="33" t="str">
        <f t="array" ref="C5490">IF(B5490="", "", XLOOKUP(B5490, Inventory!D:D,Inventory!E:E,"No Name Found"))</f>
        <v/>
      </c>
      <c r="D5490" s="6"/>
      <c r="E5490" s="6"/>
      <c r="F5490" s="6"/>
      <c r="G5490" s="24" t="str">
        <f>IF(F5490="", "", VLOOKUP(F5490, Inventory!A:BZ, 3, FALSE) - SUMIF($F$1:$F5489, F5490, $H$1:$H5489))
</f>
        <v/>
      </c>
      <c r="I5490" s="26"/>
      <c r="J5490" s="26" t="s">
        <v>77</v>
      </c>
      <c r="L5490" s="27" t="s">
        <v>77</v>
      </c>
      <c r="N5490" s="28" t="s">
        <v>77</v>
      </c>
      <c r="Q5490" s="30"/>
    </row>
    <row r="5491">
      <c r="B5491" s="6"/>
      <c r="C5491" s="33" t="str">
        <f t="array" ref="C5491">IF(B5491="", "", XLOOKUP(B5491, Inventory!D:D,Inventory!E:E,"No Name Found"))</f>
        <v/>
      </c>
      <c r="D5491" s="6"/>
      <c r="E5491" s="6"/>
      <c r="F5491" s="6"/>
      <c r="G5491" s="24" t="str">
        <f>IF(F5491="", "", VLOOKUP(F5491, Inventory!A:BZ, 3, FALSE) - SUMIF($F$1:$F5490, F5491, $H$1:$H5490))
</f>
        <v/>
      </c>
      <c r="I5491" s="26"/>
      <c r="J5491" s="26" t="s">
        <v>77</v>
      </c>
      <c r="L5491" s="27" t="s">
        <v>77</v>
      </c>
      <c r="N5491" s="28" t="s">
        <v>77</v>
      </c>
      <c r="Q5491" s="30"/>
    </row>
    <row r="5492">
      <c r="B5492" s="6"/>
      <c r="C5492" s="33" t="str">
        <f t="array" ref="C5492">IF(B5492="", "", XLOOKUP(B5492, Inventory!D:D,Inventory!E:E,"No Name Found"))</f>
        <v/>
      </c>
      <c r="D5492" s="6"/>
      <c r="E5492" s="6"/>
      <c r="F5492" s="6"/>
      <c r="G5492" s="24" t="str">
        <f>IF(F5492="", "", VLOOKUP(F5492, Inventory!A:BZ, 3, FALSE) - SUMIF($F$1:$F5491, F5492, $H$1:$H5491))
</f>
        <v/>
      </c>
      <c r="I5492" s="26"/>
      <c r="J5492" s="26" t="s">
        <v>77</v>
      </c>
      <c r="L5492" s="27" t="s">
        <v>77</v>
      </c>
      <c r="N5492" s="28" t="s">
        <v>77</v>
      </c>
      <c r="Q5492" s="30"/>
    </row>
    <row r="5493">
      <c r="B5493" s="6"/>
      <c r="C5493" s="33" t="str">
        <f t="array" ref="C5493">IF(B5493="", "", XLOOKUP(B5493, Inventory!D:D,Inventory!E:E,"No Name Found"))</f>
        <v/>
      </c>
      <c r="D5493" s="6"/>
      <c r="E5493" s="6"/>
      <c r="F5493" s="6"/>
      <c r="G5493" s="24" t="str">
        <f>IF(F5493="", "", VLOOKUP(F5493, Inventory!A:BZ, 3, FALSE) - SUMIF($F$1:$F5492, F5493, $H$1:$H5492))
</f>
        <v/>
      </c>
      <c r="I5493" s="26"/>
      <c r="J5493" s="26" t="s">
        <v>77</v>
      </c>
      <c r="L5493" s="27" t="s">
        <v>77</v>
      </c>
      <c r="N5493" s="28" t="s">
        <v>77</v>
      </c>
      <c r="Q5493" s="30"/>
    </row>
    <row r="5494">
      <c r="B5494" s="6"/>
      <c r="C5494" s="33" t="str">
        <f t="array" ref="C5494">IF(B5494="", "", XLOOKUP(B5494, Inventory!D:D,Inventory!E:E,"No Name Found"))</f>
        <v/>
      </c>
      <c r="D5494" s="6"/>
      <c r="E5494" s="6"/>
      <c r="F5494" s="6"/>
      <c r="G5494" s="24" t="str">
        <f>IF(F5494="", "", VLOOKUP(F5494, Inventory!A:BZ, 3, FALSE) - SUMIF($F$1:$F5493, F5494, $H$1:$H5493))
</f>
        <v/>
      </c>
      <c r="I5494" s="26"/>
      <c r="J5494" s="26" t="s">
        <v>77</v>
      </c>
      <c r="L5494" s="27" t="s">
        <v>77</v>
      </c>
      <c r="N5494" s="28" t="s">
        <v>77</v>
      </c>
      <c r="Q5494" s="30"/>
    </row>
    <row r="5495">
      <c r="B5495" s="6"/>
      <c r="C5495" s="33" t="str">
        <f t="array" ref="C5495">IF(B5495="", "", XLOOKUP(B5495, Inventory!D:D,Inventory!E:E,"No Name Found"))</f>
        <v/>
      </c>
      <c r="D5495" s="6"/>
      <c r="E5495" s="6"/>
      <c r="F5495" s="6"/>
      <c r="G5495" s="24" t="str">
        <f>IF(F5495="", "", VLOOKUP(F5495, Inventory!A:BZ, 3, FALSE) - SUMIF($F$1:$F5494, F5495, $H$1:$H5494))
</f>
        <v/>
      </c>
      <c r="I5495" s="26"/>
      <c r="J5495" s="26" t="s">
        <v>77</v>
      </c>
      <c r="L5495" s="27" t="s">
        <v>77</v>
      </c>
      <c r="N5495" s="28" t="s">
        <v>77</v>
      </c>
      <c r="Q5495" s="30"/>
    </row>
    <row r="5496">
      <c r="B5496" s="6"/>
      <c r="C5496" s="33" t="str">
        <f t="array" ref="C5496">IF(B5496="", "", XLOOKUP(B5496, Inventory!D:D,Inventory!E:E,"No Name Found"))</f>
        <v/>
      </c>
      <c r="D5496" s="6"/>
      <c r="E5496" s="6"/>
      <c r="F5496" s="6"/>
      <c r="G5496" s="24" t="str">
        <f>IF(F5496="", "", VLOOKUP(F5496, Inventory!A:BZ, 3, FALSE) - SUMIF($F$1:$F5495, F5496, $H$1:$H5495))
</f>
        <v/>
      </c>
      <c r="I5496" s="26"/>
      <c r="J5496" s="26" t="s">
        <v>77</v>
      </c>
      <c r="L5496" s="27" t="s">
        <v>77</v>
      </c>
      <c r="N5496" s="28" t="s">
        <v>77</v>
      </c>
      <c r="Q5496" s="30"/>
    </row>
    <row r="5497">
      <c r="B5497" s="6"/>
      <c r="C5497" s="33" t="str">
        <f t="array" ref="C5497">IF(B5497="", "", XLOOKUP(B5497, Inventory!D:D,Inventory!E:E,"No Name Found"))</f>
        <v/>
      </c>
      <c r="D5497" s="6"/>
      <c r="E5497" s="6"/>
      <c r="F5497" s="6"/>
      <c r="G5497" s="24" t="str">
        <f>IF(F5497="", "", VLOOKUP(F5497, Inventory!A:BZ, 3, FALSE) - SUMIF($F$1:$F5496, F5497, $H$1:$H5496))
</f>
        <v/>
      </c>
      <c r="I5497" s="26"/>
      <c r="J5497" s="26" t="s">
        <v>77</v>
      </c>
      <c r="L5497" s="27" t="s">
        <v>77</v>
      </c>
      <c r="N5497" s="28" t="s">
        <v>77</v>
      </c>
      <c r="Q5497" s="30"/>
    </row>
    <row r="5498">
      <c r="B5498" s="6"/>
      <c r="C5498" s="33" t="str">
        <f t="array" ref="C5498">IF(B5498="", "", XLOOKUP(B5498, Inventory!D:D,Inventory!E:E,"No Name Found"))</f>
        <v/>
      </c>
      <c r="D5498" s="6"/>
      <c r="E5498" s="6"/>
      <c r="F5498" s="6"/>
      <c r="G5498" s="24" t="str">
        <f>IF(F5498="", "", VLOOKUP(F5498, Inventory!A:BZ, 3, FALSE) - SUMIF($F$1:$F5497, F5498, $H$1:$H5497))
</f>
        <v/>
      </c>
      <c r="I5498" s="26"/>
      <c r="J5498" s="26" t="s">
        <v>77</v>
      </c>
      <c r="L5498" s="27" t="s">
        <v>77</v>
      </c>
      <c r="N5498" s="28" t="s">
        <v>77</v>
      </c>
      <c r="Q5498" s="30"/>
    </row>
    <row r="5499">
      <c r="B5499" s="6"/>
      <c r="C5499" s="33" t="str">
        <f t="array" ref="C5499">IF(B5499="", "", XLOOKUP(B5499, Inventory!D:D,Inventory!E:E,"No Name Found"))</f>
        <v/>
      </c>
      <c r="D5499" s="6"/>
      <c r="E5499" s="6"/>
      <c r="F5499" s="6"/>
      <c r="G5499" s="24" t="str">
        <f>IF(F5499="", "", VLOOKUP(F5499, Inventory!A:BZ, 3, FALSE) - SUMIF($F$1:$F5498, F5499, $H$1:$H5498))
</f>
        <v/>
      </c>
      <c r="I5499" s="26"/>
      <c r="J5499" s="26" t="s">
        <v>77</v>
      </c>
      <c r="L5499" s="27" t="s">
        <v>77</v>
      </c>
      <c r="N5499" s="28" t="s">
        <v>77</v>
      </c>
      <c r="Q5499" s="30"/>
    </row>
    <row r="5500">
      <c r="B5500" s="6"/>
      <c r="C5500" s="33" t="str">
        <f t="array" ref="C5500">IF(B5500="", "", XLOOKUP(B5500, Inventory!D:D,Inventory!E:E,"No Name Found"))</f>
        <v/>
      </c>
      <c r="D5500" s="6"/>
      <c r="E5500" s="6"/>
      <c r="F5500" s="6"/>
      <c r="G5500" s="24" t="str">
        <f>IF(F5500="", "", VLOOKUP(F5500, Inventory!A:BZ, 3, FALSE) - SUMIF($F$1:$F5499, F5500, $H$1:$H5499))
</f>
        <v/>
      </c>
      <c r="I5500" s="26"/>
      <c r="J5500" s="26" t="s">
        <v>77</v>
      </c>
      <c r="L5500" s="27" t="s">
        <v>77</v>
      </c>
      <c r="N5500" s="28" t="s">
        <v>77</v>
      </c>
      <c r="Q5500" s="30"/>
    </row>
    <row r="5501">
      <c r="B5501" s="6"/>
      <c r="C5501" s="33" t="str">
        <f t="array" ref="C5501">IF(B5501="", "", XLOOKUP(B5501, Inventory!D:D,Inventory!E:E,"No Name Found"))</f>
        <v/>
      </c>
      <c r="D5501" s="6"/>
      <c r="E5501" s="6"/>
      <c r="F5501" s="6"/>
      <c r="G5501" s="24" t="str">
        <f>IF(F5501="", "", VLOOKUP(F5501, Inventory!A:BZ, 3, FALSE) - SUMIF($F$1:$F5500, F5501, $H$1:$H5500))
</f>
        <v/>
      </c>
      <c r="I5501" s="26"/>
      <c r="J5501" s="26" t="s">
        <v>77</v>
      </c>
      <c r="L5501" s="27" t="s">
        <v>77</v>
      </c>
      <c r="N5501" s="28" t="s">
        <v>77</v>
      </c>
      <c r="Q5501" s="30"/>
    </row>
    <row r="5502">
      <c r="B5502" s="6"/>
      <c r="C5502" s="33" t="str">
        <f t="array" ref="C5502">IF(B5502="", "", XLOOKUP(B5502, Inventory!D:D,Inventory!E:E,"No Name Found"))</f>
        <v/>
      </c>
      <c r="D5502" s="6"/>
      <c r="E5502" s="6"/>
      <c r="F5502" s="6"/>
      <c r="G5502" s="24" t="str">
        <f>IF(F5502="", "", VLOOKUP(F5502, Inventory!A:BZ, 3, FALSE) - SUMIF($F$1:$F5501, F5502, $H$1:$H5501))
</f>
        <v/>
      </c>
      <c r="I5502" s="26"/>
      <c r="J5502" s="26" t="s">
        <v>77</v>
      </c>
      <c r="L5502" s="27" t="s">
        <v>77</v>
      </c>
      <c r="N5502" s="28" t="s">
        <v>77</v>
      </c>
      <c r="Q5502" s="30"/>
    </row>
    <row r="5503">
      <c r="B5503" s="6"/>
      <c r="C5503" s="33" t="str">
        <f t="array" ref="C5503">IF(B5503="", "", XLOOKUP(B5503, Inventory!D:D,Inventory!E:E,"No Name Found"))</f>
        <v/>
      </c>
      <c r="D5503" s="6"/>
      <c r="E5503" s="6"/>
      <c r="F5503" s="6"/>
      <c r="G5503" s="24" t="str">
        <f>IF(F5503="", "", VLOOKUP(F5503, Inventory!A:BZ, 3, FALSE) - SUMIF($F$1:$F5502, F5503, $H$1:$H5502))
</f>
        <v/>
      </c>
      <c r="I5503" s="26"/>
      <c r="J5503" s="26" t="s">
        <v>77</v>
      </c>
      <c r="L5503" s="27" t="s">
        <v>77</v>
      </c>
      <c r="N5503" s="28" t="s">
        <v>77</v>
      </c>
      <c r="Q5503" s="30"/>
    </row>
    <row r="5504">
      <c r="B5504" s="6"/>
      <c r="C5504" s="33" t="str">
        <f t="array" ref="C5504">IF(B5504="", "", XLOOKUP(B5504, Inventory!D:D,Inventory!E:E,"No Name Found"))</f>
        <v/>
      </c>
      <c r="D5504" s="6"/>
      <c r="E5504" s="6"/>
      <c r="F5504" s="6"/>
      <c r="G5504" s="24" t="str">
        <f>IF(F5504="", "", VLOOKUP(F5504, Inventory!A:BZ, 3, FALSE) - SUMIF($F$1:$F5503, F5504, $H$1:$H5503))
</f>
        <v/>
      </c>
      <c r="I5504" s="26"/>
      <c r="J5504" s="26" t="s">
        <v>77</v>
      </c>
      <c r="L5504" s="27" t="s">
        <v>77</v>
      </c>
      <c r="N5504" s="28" t="s">
        <v>77</v>
      </c>
      <c r="Q5504" s="30"/>
    </row>
    <row r="5505">
      <c r="B5505" s="6"/>
      <c r="C5505" s="33" t="str">
        <f t="array" ref="C5505">IF(B5505="", "", XLOOKUP(B5505, Inventory!D:D,Inventory!E:E,"No Name Found"))</f>
        <v/>
      </c>
      <c r="D5505" s="6"/>
      <c r="E5505" s="6"/>
      <c r="F5505" s="6"/>
      <c r="G5505" s="24" t="str">
        <f>IF(F5505="", "", VLOOKUP(F5505, Inventory!A:BZ, 3, FALSE) - SUMIF($F$1:$F5504, F5505, $H$1:$H5504))
</f>
        <v/>
      </c>
      <c r="I5505" s="26"/>
      <c r="J5505" s="26" t="s">
        <v>77</v>
      </c>
      <c r="L5505" s="27" t="s">
        <v>77</v>
      </c>
      <c r="N5505" s="28" t="s">
        <v>77</v>
      </c>
      <c r="Q5505" s="30"/>
    </row>
    <row r="5506">
      <c r="B5506" s="6"/>
      <c r="C5506" s="33" t="str">
        <f t="array" ref="C5506">IF(B5506="", "", XLOOKUP(B5506, Inventory!D:D,Inventory!E:E,"No Name Found"))</f>
        <v/>
      </c>
      <c r="D5506" s="6"/>
      <c r="E5506" s="6"/>
      <c r="F5506" s="6"/>
      <c r="G5506" s="24" t="str">
        <f>IF(F5506="", "", VLOOKUP(F5506, Inventory!A:BZ, 3, FALSE) - SUMIF($F$1:$F5505, F5506, $H$1:$H5505))
</f>
        <v/>
      </c>
      <c r="I5506" s="26"/>
      <c r="J5506" s="26" t="s">
        <v>77</v>
      </c>
      <c r="L5506" s="27" t="s">
        <v>77</v>
      </c>
      <c r="N5506" s="28" t="s">
        <v>77</v>
      </c>
      <c r="Q5506" s="30"/>
    </row>
    <row r="5507">
      <c r="B5507" s="6"/>
      <c r="C5507" s="33" t="str">
        <f t="array" ref="C5507">IF(B5507="", "", XLOOKUP(B5507, Inventory!D:D,Inventory!E:E,"No Name Found"))</f>
        <v/>
      </c>
      <c r="D5507" s="6"/>
      <c r="E5507" s="6"/>
      <c r="F5507" s="6"/>
      <c r="G5507" s="24" t="str">
        <f>IF(F5507="", "", VLOOKUP(F5507, Inventory!A:BZ, 3, FALSE) - SUMIF($F$1:$F5506, F5507, $H$1:$H5506))
</f>
        <v/>
      </c>
      <c r="I5507" s="26"/>
      <c r="J5507" s="26" t="s">
        <v>77</v>
      </c>
      <c r="L5507" s="27" t="s">
        <v>77</v>
      </c>
      <c r="N5507" s="28" t="s">
        <v>77</v>
      </c>
      <c r="Q5507" s="30"/>
    </row>
    <row r="5508">
      <c r="B5508" s="6"/>
      <c r="C5508" s="33" t="str">
        <f t="array" ref="C5508">IF(B5508="", "", XLOOKUP(B5508, Inventory!D:D,Inventory!E:E,"No Name Found"))</f>
        <v/>
      </c>
      <c r="D5508" s="6"/>
      <c r="E5508" s="6"/>
      <c r="F5508" s="6"/>
      <c r="G5508" s="24" t="str">
        <f>IF(F5508="", "", VLOOKUP(F5508, Inventory!A:BZ, 3, FALSE) - SUMIF($F$1:$F5507, F5508, $H$1:$H5507))
</f>
        <v/>
      </c>
      <c r="I5508" s="26"/>
      <c r="J5508" s="26" t="s">
        <v>77</v>
      </c>
      <c r="L5508" s="27" t="s">
        <v>77</v>
      </c>
      <c r="N5508" s="28" t="s">
        <v>77</v>
      </c>
      <c r="Q5508" s="30"/>
    </row>
    <row r="5509">
      <c r="B5509" s="6"/>
      <c r="C5509" s="33" t="str">
        <f t="array" ref="C5509">IF(B5509="", "", XLOOKUP(B5509, Inventory!D:D,Inventory!E:E,"No Name Found"))</f>
        <v/>
      </c>
      <c r="D5509" s="6"/>
      <c r="E5509" s="6"/>
      <c r="F5509" s="6"/>
      <c r="G5509" s="24" t="str">
        <f>IF(F5509="", "", VLOOKUP(F5509, Inventory!A:BZ, 3, FALSE) - SUMIF($F$1:$F5508, F5509, $H$1:$H5508))
</f>
        <v/>
      </c>
      <c r="I5509" s="26"/>
      <c r="J5509" s="26" t="s">
        <v>77</v>
      </c>
      <c r="L5509" s="27" t="s">
        <v>77</v>
      </c>
      <c r="N5509" s="28" t="s">
        <v>77</v>
      </c>
      <c r="Q5509" s="30"/>
    </row>
    <row r="5510">
      <c r="B5510" s="6"/>
      <c r="C5510" s="33" t="str">
        <f t="array" ref="C5510">IF(B5510="", "", XLOOKUP(B5510, Inventory!D:D,Inventory!E:E,"No Name Found"))</f>
        <v/>
      </c>
      <c r="D5510" s="6"/>
      <c r="E5510" s="6"/>
      <c r="F5510" s="6"/>
      <c r="G5510" s="24" t="str">
        <f>IF(F5510="", "", VLOOKUP(F5510, Inventory!A:BZ, 3, FALSE) - SUMIF($F$1:$F5509, F5510, $H$1:$H5509))
</f>
        <v/>
      </c>
      <c r="I5510" s="26"/>
      <c r="J5510" s="26" t="s">
        <v>77</v>
      </c>
      <c r="L5510" s="27" t="s">
        <v>77</v>
      </c>
      <c r="N5510" s="28" t="s">
        <v>77</v>
      </c>
      <c r="Q5510" s="30"/>
    </row>
    <row r="5511">
      <c r="B5511" s="6"/>
      <c r="C5511" s="33" t="str">
        <f t="array" ref="C5511">IF(B5511="", "", XLOOKUP(B5511, Inventory!D:D,Inventory!E:E,"No Name Found"))</f>
        <v/>
      </c>
      <c r="D5511" s="6"/>
      <c r="E5511" s="6"/>
      <c r="F5511" s="6"/>
      <c r="G5511" s="24" t="str">
        <f>IF(F5511="", "", VLOOKUP(F5511, Inventory!A:BZ, 3, FALSE) - SUMIF($F$1:$F5510, F5511, $H$1:$H5510))
</f>
        <v/>
      </c>
      <c r="I5511" s="26"/>
      <c r="J5511" s="26" t="s">
        <v>77</v>
      </c>
      <c r="L5511" s="27" t="s">
        <v>77</v>
      </c>
      <c r="N5511" s="28" t="s">
        <v>77</v>
      </c>
      <c r="Q5511" s="30"/>
    </row>
    <row r="5512">
      <c r="B5512" s="6"/>
      <c r="C5512" s="33" t="str">
        <f t="array" ref="C5512">IF(B5512="", "", XLOOKUP(B5512, Inventory!D:D,Inventory!E:E,"No Name Found"))</f>
        <v/>
      </c>
      <c r="D5512" s="6"/>
      <c r="E5512" s="6"/>
      <c r="F5512" s="6"/>
      <c r="G5512" s="24" t="str">
        <f>IF(F5512="", "", VLOOKUP(F5512, Inventory!A:BZ, 3, FALSE) - SUMIF($F$1:$F5511, F5512, $H$1:$H5511))
</f>
        <v/>
      </c>
      <c r="I5512" s="26"/>
      <c r="J5512" s="26" t="s">
        <v>77</v>
      </c>
      <c r="L5512" s="27" t="s">
        <v>77</v>
      </c>
      <c r="N5512" s="28" t="s">
        <v>77</v>
      </c>
      <c r="Q5512" s="30"/>
    </row>
    <row r="5513">
      <c r="B5513" s="6"/>
      <c r="C5513" s="33" t="str">
        <f t="array" ref="C5513">IF(B5513="", "", XLOOKUP(B5513, Inventory!D:D,Inventory!E:E,"No Name Found"))</f>
        <v/>
      </c>
      <c r="D5513" s="6"/>
      <c r="E5513" s="6"/>
      <c r="F5513" s="6"/>
      <c r="G5513" s="24" t="str">
        <f>IF(F5513="", "", VLOOKUP(F5513, Inventory!A:BZ, 3, FALSE) - SUMIF($F$1:$F5512, F5513, $H$1:$H5512))
</f>
        <v/>
      </c>
      <c r="I5513" s="26"/>
      <c r="J5513" s="26" t="s">
        <v>77</v>
      </c>
      <c r="L5513" s="27" t="s">
        <v>77</v>
      </c>
      <c r="N5513" s="28" t="s">
        <v>77</v>
      </c>
      <c r="Q5513" s="30"/>
    </row>
    <row r="5514">
      <c r="B5514" s="6"/>
      <c r="C5514" s="33" t="str">
        <f t="array" ref="C5514">IF(B5514="", "", XLOOKUP(B5514, Inventory!D:D,Inventory!E:E,"No Name Found"))</f>
        <v/>
      </c>
      <c r="D5514" s="6"/>
      <c r="E5514" s="6"/>
      <c r="F5514" s="6"/>
      <c r="G5514" s="24" t="str">
        <f>IF(F5514="", "", VLOOKUP(F5514, Inventory!A:BZ, 3, FALSE) - SUMIF($F$1:$F5513, F5514, $H$1:$H5513))
</f>
        <v/>
      </c>
      <c r="I5514" s="26"/>
      <c r="J5514" s="26" t="s">
        <v>77</v>
      </c>
      <c r="L5514" s="27" t="s">
        <v>77</v>
      </c>
      <c r="N5514" s="28" t="s">
        <v>77</v>
      </c>
      <c r="Q5514" s="30"/>
    </row>
    <row r="5515">
      <c r="B5515" s="6"/>
      <c r="C5515" s="33" t="str">
        <f t="array" ref="C5515">IF(B5515="", "", XLOOKUP(B5515, Inventory!D:D,Inventory!E:E,"No Name Found"))</f>
        <v/>
      </c>
      <c r="D5515" s="6"/>
      <c r="E5515" s="6"/>
      <c r="F5515" s="6"/>
      <c r="G5515" s="24" t="str">
        <f>IF(F5515="", "", VLOOKUP(F5515, Inventory!A:BZ, 3, FALSE) - SUMIF($F$1:$F5514, F5515, $H$1:$H5514))
</f>
        <v/>
      </c>
      <c r="I5515" s="26"/>
      <c r="J5515" s="26" t="s">
        <v>77</v>
      </c>
      <c r="L5515" s="27" t="s">
        <v>77</v>
      </c>
      <c r="N5515" s="28" t="s">
        <v>77</v>
      </c>
      <c r="Q5515" s="30"/>
    </row>
    <row r="5516">
      <c r="B5516" s="6"/>
      <c r="C5516" s="33" t="str">
        <f t="array" ref="C5516">IF(B5516="", "", XLOOKUP(B5516, Inventory!D:D,Inventory!E:E,"No Name Found"))</f>
        <v/>
      </c>
      <c r="D5516" s="6"/>
      <c r="E5516" s="6"/>
      <c r="F5516" s="6"/>
      <c r="G5516" s="24" t="str">
        <f>IF(F5516="", "", VLOOKUP(F5516, Inventory!A:BZ, 3, FALSE) - SUMIF($F$1:$F5515, F5516, $H$1:$H5515))
</f>
        <v/>
      </c>
      <c r="I5516" s="26"/>
      <c r="J5516" s="26" t="s">
        <v>77</v>
      </c>
      <c r="L5516" s="27" t="s">
        <v>77</v>
      </c>
      <c r="N5516" s="28" t="s">
        <v>77</v>
      </c>
      <c r="Q5516" s="30"/>
    </row>
    <row r="5517">
      <c r="B5517" s="6"/>
      <c r="C5517" s="33" t="str">
        <f t="array" ref="C5517">IF(B5517="", "", XLOOKUP(B5517, Inventory!D:D,Inventory!E:E,"No Name Found"))</f>
        <v/>
      </c>
      <c r="D5517" s="6"/>
      <c r="E5517" s="6"/>
      <c r="F5517" s="6"/>
      <c r="G5517" s="24" t="str">
        <f>IF(F5517="", "", VLOOKUP(F5517, Inventory!A:BZ, 3, FALSE) - SUMIF($F$1:$F5516, F5517, $H$1:$H5516))
</f>
        <v/>
      </c>
      <c r="I5517" s="26"/>
      <c r="J5517" s="26" t="s">
        <v>77</v>
      </c>
      <c r="L5517" s="27" t="s">
        <v>77</v>
      </c>
      <c r="N5517" s="28" t="s">
        <v>77</v>
      </c>
      <c r="Q5517" s="30"/>
    </row>
    <row r="5518">
      <c r="B5518" s="6"/>
      <c r="C5518" s="33" t="str">
        <f t="array" ref="C5518">IF(B5518="", "", XLOOKUP(B5518, Inventory!D:D,Inventory!E:E,"No Name Found"))</f>
        <v/>
      </c>
      <c r="D5518" s="6"/>
      <c r="E5518" s="6"/>
      <c r="F5518" s="6"/>
      <c r="G5518" s="24" t="str">
        <f>IF(F5518="", "", VLOOKUP(F5518, Inventory!A:BZ, 3, FALSE) - SUMIF($F$1:$F5517, F5518, $H$1:$H5517))
</f>
        <v/>
      </c>
      <c r="I5518" s="26"/>
      <c r="J5518" s="26" t="s">
        <v>77</v>
      </c>
      <c r="L5518" s="27" t="s">
        <v>77</v>
      </c>
      <c r="N5518" s="28" t="s">
        <v>77</v>
      </c>
      <c r="Q5518" s="30"/>
    </row>
    <row r="5519">
      <c r="B5519" s="6"/>
      <c r="C5519" s="33" t="str">
        <f t="array" ref="C5519">IF(B5519="", "", XLOOKUP(B5519, Inventory!D:D,Inventory!E:E,"No Name Found"))</f>
        <v/>
      </c>
      <c r="D5519" s="6"/>
      <c r="E5519" s="6"/>
      <c r="F5519" s="6"/>
      <c r="G5519" s="24" t="str">
        <f>IF(F5519="", "", VLOOKUP(F5519, Inventory!A:BZ, 3, FALSE) - SUMIF($F$1:$F5518, F5519, $H$1:$H5518))
</f>
        <v/>
      </c>
      <c r="I5519" s="26"/>
      <c r="J5519" s="26" t="s">
        <v>77</v>
      </c>
      <c r="L5519" s="27" t="s">
        <v>77</v>
      </c>
      <c r="N5519" s="28" t="s">
        <v>77</v>
      </c>
      <c r="Q5519" s="30"/>
    </row>
    <row r="5520">
      <c r="B5520" s="6"/>
      <c r="C5520" s="33" t="str">
        <f t="array" ref="C5520">IF(B5520="", "", XLOOKUP(B5520, Inventory!D:D,Inventory!E:E,"No Name Found"))</f>
        <v/>
      </c>
      <c r="D5520" s="6"/>
      <c r="E5520" s="6"/>
      <c r="F5520" s="6"/>
      <c r="G5520" s="24" t="str">
        <f>IF(F5520="", "", VLOOKUP(F5520, Inventory!A:BZ, 3, FALSE) - SUMIF($F$1:$F5519, F5520, $H$1:$H5519))
</f>
        <v/>
      </c>
      <c r="I5520" s="26"/>
      <c r="J5520" s="26" t="s">
        <v>77</v>
      </c>
      <c r="L5520" s="27" t="s">
        <v>77</v>
      </c>
      <c r="N5520" s="28" t="s">
        <v>77</v>
      </c>
      <c r="Q5520" s="30"/>
    </row>
    <row r="5521">
      <c r="B5521" s="6"/>
      <c r="C5521" s="33" t="str">
        <f t="array" ref="C5521">IF(B5521="", "", XLOOKUP(B5521, Inventory!D:D,Inventory!E:E,"No Name Found"))</f>
        <v/>
      </c>
      <c r="D5521" s="6"/>
      <c r="E5521" s="6"/>
      <c r="F5521" s="6"/>
      <c r="G5521" s="24" t="str">
        <f>IF(F5521="", "", VLOOKUP(F5521, Inventory!A:BZ, 3, FALSE) - SUMIF($F$1:$F5520, F5521, $H$1:$H5520))
</f>
        <v/>
      </c>
      <c r="I5521" s="26"/>
      <c r="J5521" s="26" t="s">
        <v>77</v>
      </c>
      <c r="L5521" s="27" t="s">
        <v>77</v>
      </c>
      <c r="N5521" s="28" t="s">
        <v>77</v>
      </c>
      <c r="Q5521" s="30"/>
    </row>
    <row r="5522">
      <c r="B5522" s="6"/>
      <c r="C5522" s="33" t="str">
        <f t="array" ref="C5522">IF(B5522="", "", XLOOKUP(B5522, Inventory!D:D,Inventory!E:E,"No Name Found"))</f>
        <v/>
      </c>
      <c r="D5522" s="6"/>
      <c r="E5522" s="6"/>
      <c r="F5522" s="6"/>
      <c r="G5522" s="24" t="str">
        <f>IF(F5522="", "", VLOOKUP(F5522, Inventory!A:BZ, 3, FALSE) - SUMIF($F$1:$F5521, F5522, $H$1:$H5521))
</f>
        <v/>
      </c>
      <c r="I5522" s="26"/>
      <c r="J5522" s="26" t="s">
        <v>77</v>
      </c>
      <c r="L5522" s="27" t="s">
        <v>77</v>
      </c>
      <c r="N5522" s="28" t="s">
        <v>77</v>
      </c>
      <c r="Q5522" s="30"/>
    </row>
    <row r="5523">
      <c r="B5523" s="6"/>
      <c r="C5523" s="33" t="str">
        <f t="array" ref="C5523">IF(B5523="", "", XLOOKUP(B5523, Inventory!D:D,Inventory!E:E,"No Name Found"))</f>
        <v/>
      </c>
      <c r="D5523" s="6"/>
      <c r="E5523" s="6"/>
      <c r="F5523" s="6"/>
      <c r="G5523" s="24" t="str">
        <f>IF(F5523="", "", VLOOKUP(F5523, Inventory!A:BZ, 3, FALSE) - SUMIF($F$1:$F5522, F5523, $H$1:$H5522))
</f>
        <v/>
      </c>
      <c r="I5523" s="26"/>
      <c r="J5523" s="26" t="s">
        <v>77</v>
      </c>
      <c r="L5523" s="27" t="s">
        <v>77</v>
      </c>
      <c r="N5523" s="28" t="s">
        <v>77</v>
      </c>
      <c r="Q5523" s="30"/>
    </row>
    <row r="5524">
      <c r="B5524" s="6"/>
      <c r="C5524" s="33" t="str">
        <f t="array" ref="C5524">IF(B5524="", "", XLOOKUP(B5524, Inventory!D:D,Inventory!E:E,"No Name Found"))</f>
        <v/>
      </c>
      <c r="D5524" s="6"/>
      <c r="E5524" s="6"/>
      <c r="F5524" s="6"/>
      <c r="G5524" s="24" t="str">
        <f>IF(F5524="", "", VLOOKUP(F5524, Inventory!A:BZ, 3, FALSE) - SUMIF($F$1:$F5523, F5524, $H$1:$H5523))
</f>
        <v/>
      </c>
      <c r="I5524" s="26"/>
      <c r="J5524" s="26" t="s">
        <v>77</v>
      </c>
      <c r="L5524" s="27" t="s">
        <v>77</v>
      </c>
      <c r="N5524" s="28" t="s">
        <v>77</v>
      </c>
      <c r="Q5524" s="30"/>
    </row>
    <row r="5525">
      <c r="B5525" s="6"/>
      <c r="C5525" s="33" t="str">
        <f t="array" ref="C5525">IF(B5525="", "", XLOOKUP(B5525, Inventory!D:D,Inventory!E:E,"No Name Found"))</f>
        <v/>
      </c>
      <c r="D5525" s="6"/>
      <c r="E5525" s="6"/>
      <c r="F5525" s="6"/>
      <c r="G5525" s="24" t="str">
        <f>IF(F5525="", "", VLOOKUP(F5525, Inventory!A:BZ, 3, FALSE) - SUMIF($F$1:$F5524, F5525, $H$1:$H5524))
</f>
        <v/>
      </c>
      <c r="I5525" s="26"/>
      <c r="J5525" s="26" t="s">
        <v>77</v>
      </c>
      <c r="L5525" s="27" t="s">
        <v>77</v>
      </c>
      <c r="N5525" s="28" t="s">
        <v>77</v>
      </c>
      <c r="Q5525" s="30"/>
    </row>
    <row r="5526">
      <c r="B5526" s="6"/>
      <c r="C5526" s="33" t="str">
        <f t="array" ref="C5526">IF(B5526="", "", XLOOKUP(B5526, Inventory!D:D,Inventory!E:E,"No Name Found"))</f>
        <v/>
      </c>
      <c r="D5526" s="6"/>
      <c r="E5526" s="6"/>
      <c r="F5526" s="6"/>
      <c r="G5526" s="24" t="str">
        <f>IF(F5526="", "", VLOOKUP(F5526, Inventory!A:BZ, 3, FALSE) - SUMIF($F$1:$F5525, F5526, $H$1:$H5525))
</f>
        <v/>
      </c>
      <c r="I5526" s="26"/>
      <c r="J5526" s="26" t="s">
        <v>77</v>
      </c>
      <c r="L5526" s="27" t="s">
        <v>77</v>
      </c>
      <c r="N5526" s="28" t="s">
        <v>77</v>
      </c>
      <c r="Q5526" s="30"/>
    </row>
    <row r="5527">
      <c r="B5527" s="6"/>
      <c r="C5527" s="33" t="str">
        <f t="array" ref="C5527">IF(B5527="", "", XLOOKUP(B5527, Inventory!D:D,Inventory!E:E,"No Name Found"))</f>
        <v/>
      </c>
      <c r="D5527" s="6"/>
      <c r="E5527" s="6"/>
      <c r="F5527" s="6"/>
      <c r="G5527" s="24" t="str">
        <f>IF(F5527="", "", VLOOKUP(F5527, Inventory!A:BZ, 3, FALSE) - SUMIF($F$1:$F5526, F5527, $H$1:$H5526))
</f>
        <v/>
      </c>
      <c r="I5527" s="26"/>
      <c r="J5527" s="26" t="s">
        <v>77</v>
      </c>
      <c r="L5527" s="27" t="s">
        <v>77</v>
      </c>
      <c r="N5527" s="28" t="s">
        <v>77</v>
      </c>
      <c r="Q5527" s="30"/>
    </row>
    <row r="5528">
      <c r="B5528" s="6"/>
      <c r="C5528" s="33" t="str">
        <f t="array" ref="C5528">IF(B5528="", "", XLOOKUP(B5528, Inventory!D:D,Inventory!E:E,"No Name Found"))</f>
        <v/>
      </c>
      <c r="D5528" s="6"/>
      <c r="E5528" s="6"/>
      <c r="F5528" s="6"/>
      <c r="G5528" s="24" t="str">
        <f>IF(F5528="", "", VLOOKUP(F5528, Inventory!A:BZ, 3, FALSE) - SUMIF($F$1:$F5527, F5528, $H$1:$H5527))
</f>
        <v/>
      </c>
      <c r="I5528" s="26"/>
      <c r="J5528" s="26" t="s">
        <v>77</v>
      </c>
      <c r="L5528" s="27" t="s">
        <v>77</v>
      </c>
      <c r="N5528" s="28" t="s">
        <v>77</v>
      </c>
      <c r="Q5528" s="30"/>
    </row>
    <row r="5529">
      <c r="B5529" s="6"/>
      <c r="C5529" s="33" t="str">
        <f t="array" ref="C5529">IF(B5529="", "", XLOOKUP(B5529, Inventory!D:D,Inventory!E:E,"No Name Found"))</f>
        <v/>
      </c>
      <c r="D5529" s="6"/>
      <c r="E5529" s="6"/>
      <c r="F5529" s="6"/>
      <c r="G5529" s="24" t="str">
        <f>IF(F5529="", "", VLOOKUP(F5529, Inventory!A:BZ, 3, FALSE) - SUMIF($F$1:$F5528, F5529, $H$1:$H5528))
</f>
        <v/>
      </c>
      <c r="I5529" s="26"/>
      <c r="J5529" s="26" t="s">
        <v>77</v>
      </c>
      <c r="L5529" s="27" t="s">
        <v>77</v>
      </c>
      <c r="N5529" s="28" t="s">
        <v>77</v>
      </c>
      <c r="Q5529" s="30"/>
    </row>
    <row r="5530">
      <c r="B5530" s="6"/>
      <c r="C5530" s="33" t="str">
        <f t="array" ref="C5530">IF(B5530="", "", XLOOKUP(B5530, Inventory!D:D,Inventory!E:E,"No Name Found"))</f>
        <v/>
      </c>
      <c r="D5530" s="6"/>
      <c r="E5530" s="6"/>
      <c r="F5530" s="6"/>
      <c r="G5530" s="24" t="str">
        <f>IF(F5530="", "", VLOOKUP(F5530, Inventory!A:BZ, 3, FALSE) - SUMIF($F$1:$F5529, F5530, $H$1:$H5529))
</f>
        <v/>
      </c>
      <c r="I5530" s="26"/>
      <c r="J5530" s="26" t="s">
        <v>77</v>
      </c>
      <c r="L5530" s="27" t="s">
        <v>77</v>
      </c>
      <c r="N5530" s="28" t="s">
        <v>77</v>
      </c>
      <c r="Q5530" s="30"/>
    </row>
    <row r="5531">
      <c r="B5531" s="6"/>
      <c r="C5531" s="33" t="str">
        <f t="array" ref="C5531">IF(B5531="", "", XLOOKUP(B5531, Inventory!D:D,Inventory!E:E,"No Name Found"))</f>
        <v/>
      </c>
      <c r="D5531" s="6"/>
      <c r="E5531" s="6"/>
      <c r="F5531" s="6"/>
      <c r="G5531" s="24" t="str">
        <f>IF(F5531="", "", VLOOKUP(F5531, Inventory!A:BZ, 3, FALSE) - SUMIF($F$1:$F5530, F5531, $H$1:$H5530))
</f>
        <v/>
      </c>
      <c r="I5531" s="26"/>
      <c r="J5531" s="26" t="s">
        <v>77</v>
      </c>
      <c r="L5531" s="27" t="s">
        <v>77</v>
      </c>
      <c r="N5531" s="28" t="s">
        <v>77</v>
      </c>
      <c r="Q5531" s="30"/>
    </row>
    <row r="5532">
      <c r="B5532" s="6"/>
      <c r="C5532" s="33" t="str">
        <f t="array" ref="C5532">IF(B5532="", "", XLOOKUP(B5532, Inventory!D:D,Inventory!E:E,"No Name Found"))</f>
        <v/>
      </c>
      <c r="D5532" s="6"/>
      <c r="E5532" s="6"/>
      <c r="F5532" s="6"/>
      <c r="G5532" s="24" t="str">
        <f>IF(F5532="", "", VLOOKUP(F5532, Inventory!A:BZ, 3, FALSE) - SUMIF($F$1:$F5531, F5532, $H$1:$H5531))
</f>
        <v/>
      </c>
      <c r="I5532" s="26"/>
      <c r="J5532" s="26" t="s">
        <v>77</v>
      </c>
      <c r="L5532" s="27" t="s">
        <v>77</v>
      </c>
      <c r="N5532" s="28" t="s">
        <v>77</v>
      </c>
      <c r="Q5532" s="30"/>
    </row>
    <row r="5533">
      <c r="B5533" s="6"/>
      <c r="C5533" s="33" t="str">
        <f t="array" ref="C5533">IF(B5533="", "", XLOOKUP(B5533, Inventory!D:D,Inventory!E:E,"No Name Found"))</f>
        <v/>
      </c>
      <c r="D5533" s="6"/>
      <c r="E5533" s="6"/>
      <c r="F5533" s="6"/>
      <c r="G5533" s="24" t="str">
        <f>IF(F5533="", "", VLOOKUP(F5533, Inventory!A:BZ, 3, FALSE) - SUMIF($F$1:$F5532, F5533, $H$1:$H5532))
</f>
        <v/>
      </c>
      <c r="I5533" s="26"/>
      <c r="J5533" s="26" t="s">
        <v>77</v>
      </c>
      <c r="L5533" s="27" t="s">
        <v>77</v>
      </c>
      <c r="N5533" s="28" t="s">
        <v>77</v>
      </c>
      <c r="Q5533" s="30"/>
    </row>
    <row r="5534">
      <c r="B5534" s="6"/>
      <c r="C5534" s="33" t="str">
        <f t="array" ref="C5534">IF(B5534="", "", XLOOKUP(B5534, Inventory!D:D,Inventory!E:E,"No Name Found"))</f>
        <v/>
      </c>
      <c r="D5534" s="6"/>
      <c r="E5534" s="6"/>
      <c r="F5534" s="6"/>
      <c r="G5534" s="24" t="str">
        <f>IF(F5534="", "", VLOOKUP(F5534, Inventory!A:BZ, 3, FALSE) - SUMIF($F$1:$F5533, F5534, $H$1:$H5533))
</f>
        <v/>
      </c>
      <c r="I5534" s="26"/>
      <c r="J5534" s="26" t="s">
        <v>77</v>
      </c>
      <c r="L5534" s="27" t="s">
        <v>77</v>
      </c>
      <c r="N5534" s="28" t="s">
        <v>77</v>
      </c>
      <c r="Q5534" s="30"/>
    </row>
    <row r="5535">
      <c r="B5535" s="6"/>
      <c r="C5535" s="33" t="str">
        <f t="array" ref="C5535">IF(B5535="", "", XLOOKUP(B5535, Inventory!D:D,Inventory!E:E,"No Name Found"))</f>
        <v/>
      </c>
      <c r="D5535" s="6"/>
      <c r="E5535" s="6"/>
      <c r="F5535" s="6"/>
      <c r="G5535" s="24" t="str">
        <f>IF(F5535="", "", VLOOKUP(F5535, Inventory!A:BZ, 3, FALSE) - SUMIF($F$1:$F5534, F5535, $H$1:$H5534))
</f>
        <v/>
      </c>
      <c r="I5535" s="26"/>
      <c r="J5535" s="26" t="s">
        <v>77</v>
      </c>
      <c r="L5535" s="27" t="s">
        <v>77</v>
      </c>
      <c r="N5535" s="28" t="s">
        <v>77</v>
      </c>
      <c r="Q5535" s="30"/>
    </row>
    <row r="5536">
      <c r="B5536" s="6"/>
      <c r="C5536" s="33" t="str">
        <f t="array" ref="C5536">IF(B5536="", "", XLOOKUP(B5536, Inventory!D:D,Inventory!E:E,"No Name Found"))</f>
        <v/>
      </c>
      <c r="D5536" s="6"/>
      <c r="E5536" s="6"/>
      <c r="F5536" s="6"/>
      <c r="G5536" s="24" t="str">
        <f>IF(F5536="", "", VLOOKUP(F5536, Inventory!A:BZ, 3, FALSE) - SUMIF($F$1:$F5535, F5536, $H$1:$H5535))
</f>
        <v/>
      </c>
      <c r="I5536" s="26"/>
      <c r="J5536" s="26" t="s">
        <v>77</v>
      </c>
      <c r="L5536" s="27" t="s">
        <v>77</v>
      </c>
      <c r="N5536" s="28" t="s">
        <v>77</v>
      </c>
      <c r="Q5536" s="30"/>
    </row>
    <row r="5537">
      <c r="B5537" s="6"/>
      <c r="C5537" s="33" t="str">
        <f t="array" ref="C5537">IF(B5537="", "", XLOOKUP(B5537, Inventory!D:D,Inventory!E:E,"No Name Found"))</f>
        <v/>
      </c>
      <c r="D5537" s="6"/>
      <c r="E5537" s="6"/>
      <c r="F5537" s="6"/>
      <c r="G5537" s="24" t="str">
        <f>IF(F5537="", "", VLOOKUP(F5537, Inventory!A:BZ, 3, FALSE) - SUMIF($F$1:$F5536, F5537, $H$1:$H5536))
</f>
        <v/>
      </c>
      <c r="I5537" s="26"/>
      <c r="J5537" s="26" t="s">
        <v>77</v>
      </c>
      <c r="L5537" s="27" t="s">
        <v>77</v>
      </c>
      <c r="N5537" s="28" t="s">
        <v>77</v>
      </c>
      <c r="Q5537" s="30"/>
    </row>
    <row r="5538">
      <c r="B5538" s="6"/>
      <c r="C5538" s="33" t="str">
        <f t="array" ref="C5538">IF(B5538="", "", XLOOKUP(B5538, Inventory!D:D,Inventory!E:E,"No Name Found"))</f>
        <v/>
      </c>
      <c r="D5538" s="6"/>
      <c r="E5538" s="6"/>
      <c r="F5538" s="6"/>
      <c r="G5538" s="24" t="str">
        <f>IF(F5538="", "", VLOOKUP(F5538, Inventory!A:BZ, 3, FALSE) - SUMIF($F$1:$F5537, F5538, $H$1:$H5537))
</f>
        <v/>
      </c>
      <c r="I5538" s="26"/>
      <c r="J5538" s="26" t="s">
        <v>77</v>
      </c>
      <c r="L5538" s="27" t="s">
        <v>77</v>
      </c>
      <c r="N5538" s="28" t="s">
        <v>77</v>
      </c>
      <c r="Q5538" s="30"/>
    </row>
    <row r="5539">
      <c r="B5539" s="6"/>
      <c r="C5539" s="33" t="str">
        <f t="array" ref="C5539">IF(B5539="", "", XLOOKUP(B5539, Inventory!D:D,Inventory!E:E,"No Name Found"))</f>
        <v/>
      </c>
      <c r="D5539" s="6"/>
      <c r="E5539" s="6"/>
      <c r="F5539" s="6"/>
      <c r="G5539" s="24" t="str">
        <f>IF(F5539="", "", VLOOKUP(F5539, Inventory!A:BZ, 3, FALSE) - SUMIF($F$1:$F5538, F5539, $H$1:$H5538))
</f>
        <v/>
      </c>
      <c r="I5539" s="26"/>
      <c r="J5539" s="26" t="s">
        <v>77</v>
      </c>
      <c r="L5539" s="27" t="s">
        <v>77</v>
      </c>
      <c r="N5539" s="28" t="s">
        <v>77</v>
      </c>
      <c r="Q5539" s="30"/>
    </row>
    <row r="5540">
      <c r="B5540" s="6"/>
      <c r="C5540" s="33" t="str">
        <f t="array" ref="C5540">IF(B5540="", "", XLOOKUP(B5540, Inventory!D:D,Inventory!E:E,"No Name Found"))</f>
        <v/>
      </c>
      <c r="D5540" s="6"/>
      <c r="E5540" s="6"/>
      <c r="F5540" s="6"/>
      <c r="G5540" s="24" t="str">
        <f>IF(F5540="", "", VLOOKUP(F5540, Inventory!A:BZ, 3, FALSE) - SUMIF($F$1:$F5539, F5540, $H$1:$H5539))
</f>
        <v/>
      </c>
      <c r="I5540" s="26"/>
      <c r="J5540" s="26" t="s">
        <v>77</v>
      </c>
      <c r="L5540" s="27" t="s">
        <v>77</v>
      </c>
      <c r="N5540" s="28" t="s">
        <v>77</v>
      </c>
      <c r="Q5540" s="30"/>
    </row>
    <row r="5541">
      <c r="B5541" s="6"/>
      <c r="C5541" s="33" t="str">
        <f t="array" ref="C5541">IF(B5541="", "", XLOOKUP(B5541, Inventory!D:D,Inventory!E:E,"No Name Found"))</f>
        <v/>
      </c>
      <c r="D5541" s="6"/>
      <c r="E5541" s="6"/>
      <c r="F5541" s="6"/>
      <c r="G5541" s="24" t="str">
        <f>IF(F5541="", "", VLOOKUP(F5541, Inventory!A:BZ, 3, FALSE) - SUMIF($F$1:$F5540, F5541, $H$1:$H5540))
</f>
        <v/>
      </c>
      <c r="I5541" s="26"/>
      <c r="J5541" s="26" t="s">
        <v>77</v>
      </c>
      <c r="L5541" s="27" t="s">
        <v>77</v>
      </c>
      <c r="N5541" s="28" t="s">
        <v>77</v>
      </c>
      <c r="Q5541" s="30"/>
    </row>
    <row r="5542">
      <c r="B5542" s="6"/>
      <c r="C5542" s="33" t="str">
        <f t="array" ref="C5542">IF(B5542="", "", XLOOKUP(B5542, Inventory!D:D,Inventory!E:E,"No Name Found"))</f>
        <v/>
      </c>
      <c r="D5542" s="6"/>
      <c r="E5542" s="6"/>
      <c r="F5542" s="6"/>
      <c r="G5542" s="24" t="str">
        <f>IF(F5542="", "", VLOOKUP(F5542, Inventory!A:BZ, 3, FALSE) - SUMIF($F$1:$F5541, F5542, $H$1:$H5541))
</f>
        <v/>
      </c>
      <c r="I5542" s="26"/>
      <c r="J5542" s="26" t="s">
        <v>77</v>
      </c>
      <c r="L5542" s="27" t="s">
        <v>77</v>
      </c>
      <c r="N5542" s="28" t="s">
        <v>77</v>
      </c>
      <c r="Q5542" s="30"/>
    </row>
    <row r="5543">
      <c r="B5543" s="6"/>
      <c r="C5543" s="33" t="str">
        <f t="array" ref="C5543">IF(B5543="", "", XLOOKUP(B5543, Inventory!D:D,Inventory!E:E,"No Name Found"))</f>
        <v/>
      </c>
      <c r="D5543" s="6"/>
      <c r="E5543" s="6"/>
      <c r="F5543" s="6"/>
      <c r="G5543" s="24" t="str">
        <f>IF(F5543="", "", VLOOKUP(F5543, Inventory!A:BZ, 3, FALSE) - SUMIF($F$1:$F5542, F5543, $H$1:$H5542))
</f>
        <v/>
      </c>
      <c r="I5543" s="26"/>
      <c r="J5543" s="26" t="s">
        <v>77</v>
      </c>
      <c r="L5543" s="27" t="s">
        <v>77</v>
      </c>
      <c r="N5543" s="28" t="s">
        <v>77</v>
      </c>
      <c r="Q5543" s="30"/>
    </row>
    <row r="5544">
      <c r="B5544" s="6"/>
      <c r="C5544" s="33" t="str">
        <f t="array" ref="C5544">IF(B5544="", "", XLOOKUP(B5544, Inventory!D:D,Inventory!E:E,"No Name Found"))</f>
        <v/>
      </c>
      <c r="D5544" s="6"/>
      <c r="E5544" s="6"/>
      <c r="F5544" s="6"/>
      <c r="G5544" s="24" t="str">
        <f>IF(F5544="", "", VLOOKUP(F5544, Inventory!A:BZ, 3, FALSE) - SUMIF($F$1:$F5543, F5544, $H$1:$H5543))
</f>
        <v/>
      </c>
      <c r="I5544" s="26"/>
      <c r="J5544" s="26" t="s">
        <v>77</v>
      </c>
      <c r="L5544" s="27" t="s">
        <v>77</v>
      </c>
      <c r="N5544" s="28" t="s">
        <v>77</v>
      </c>
      <c r="Q5544" s="30"/>
    </row>
    <row r="5545">
      <c r="B5545" s="6"/>
      <c r="C5545" s="33" t="str">
        <f t="array" ref="C5545">IF(B5545="", "", XLOOKUP(B5545, Inventory!D:D,Inventory!E:E,"No Name Found"))</f>
        <v/>
      </c>
      <c r="D5545" s="6"/>
      <c r="E5545" s="6"/>
      <c r="F5545" s="6"/>
      <c r="G5545" s="24" t="str">
        <f>IF(F5545="", "", VLOOKUP(F5545, Inventory!A:BZ, 3, FALSE) - SUMIF($F$1:$F5544, F5545, $H$1:$H5544))
</f>
        <v/>
      </c>
      <c r="I5545" s="26"/>
      <c r="J5545" s="26" t="s">
        <v>77</v>
      </c>
      <c r="L5545" s="27" t="s">
        <v>77</v>
      </c>
      <c r="N5545" s="28" t="s">
        <v>77</v>
      </c>
      <c r="Q5545" s="30"/>
    </row>
    <row r="5546">
      <c r="B5546" s="6"/>
      <c r="C5546" s="33" t="str">
        <f t="array" ref="C5546">IF(B5546="", "", XLOOKUP(B5546, Inventory!D:D,Inventory!E:E,"No Name Found"))</f>
        <v/>
      </c>
      <c r="D5546" s="6"/>
      <c r="E5546" s="6"/>
      <c r="F5546" s="6"/>
      <c r="G5546" s="24" t="str">
        <f>IF(F5546="", "", VLOOKUP(F5546, Inventory!A:BZ, 3, FALSE) - SUMIF($F$1:$F5545, F5546, $H$1:$H5545))
</f>
        <v/>
      </c>
      <c r="I5546" s="26"/>
      <c r="J5546" s="26" t="s">
        <v>77</v>
      </c>
      <c r="L5546" s="27" t="s">
        <v>77</v>
      </c>
      <c r="N5546" s="28" t="s">
        <v>77</v>
      </c>
      <c r="Q5546" s="30"/>
    </row>
    <row r="5547">
      <c r="B5547" s="6"/>
      <c r="C5547" s="33" t="str">
        <f t="array" ref="C5547">IF(B5547="", "", XLOOKUP(B5547, Inventory!D:D,Inventory!E:E,"No Name Found"))</f>
        <v/>
      </c>
      <c r="D5547" s="6"/>
      <c r="E5547" s="6"/>
      <c r="F5547" s="6"/>
      <c r="G5547" s="24" t="str">
        <f>IF(F5547="", "", VLOOKUP(F5547, Inventory!A:BZ, 3, FALSE) - SUMIF($F$1:$F5546, F5547, $H$1:$H5546))
</f>
        <v/>
      </c>
      <c r="I5547" s="26"/>
      <c r="J5547" s="26" t="s">
        <v>77</v>
      </c>
      <c r="L5547" s="27" t="s">
        <v>77</v>
      </c>
      <c r="N5547" s="28" t="s">
        <v>77</v>
      </c>
      <c r="Q5547" s="30"/>
    </row>
    <row r="5548">
      <c r="B5548" s="6"/>
      <c r="C5548" s="33" t="str">
        <f t="array" ref="C5548">IF(B5548="", "", XLOOKUP(B5548, Inventory!D:D,Inventory!E:E,"No Name Found"))</f>
        <v/>
      </c>
      <c r="D5548" s="6"/>
      <c r="E5548" s="6"/>
      <c r="F5548" s="6"/>
      <c r="G5548" s="24" t="str">
        <f>IF(F5548="", "", VLOOKUP(F5548, Inventory!A:BZ, 3, FALSE) - SUMIF($F$1:$F5547, F5548, $H$1:$H5547))
</f>
        <v/>
      </c>
      <c r="I5548" s="26"/>
      <c r="J5548" s="26" t="s">
        <v>77</v>
      </c>
      <c r="L5548" s="27" t="s">
        <v>77</v>
      </c>
      <c r="N5548" s="28" t="s">
        <v>77</v>
      </c>
      <c r="Q5548" s="30"/>
    </row>
    <row r="5549">
      <c r="B5549" s="6"/>
      <c r="C5549" s="33" t="str">
        <f t="array" ref="C5549">IF(B5549="", "", XLOOKUP(B5549, Inventory!D:D,Inventory!E:E,"No Name Found"))</f>
        <v/>
      </c>
      <c r="D5549" s="6"/>
      <c r="E5549" s="6"/>
      <c r="F5549" s="6"/>
      <c r="G5549" s="24" t="str">
        <f>IF(F5549="", "", VLOOKUP(F5549, Inventory!A:BZ, 3, FALSE) - SUMIF($F$1:$F5548, F5549, $H$1:$H5548))
</f>
        <v/>
      </c>
      <c r="I5549" s="26"/>
      <c r="J5549" s="26" t="s">
        <v>77</v>
      </c>
      <c r="L5549" s="27" t="s">
        <v>77</v>
      </c>
      <c r="N5549" s="28" t="s">
        <v>77</v>
      </c>
      <c r="Q5549" s="30"/>
    </row>
    <row r="5550">
      <c r="B5550" s="6"/>
      <c r="C5550" s="33" t="str">
        <f t="array" ref="C5550">IF(B5550="", "", XLOOKUP(B5550, Inventory!D:D,Inventory!E:E,"No Name Found"))</f>
        <v/>
      </c>
      <c r="D5550" s="6"/>
      <c r="E5550" s="6"/>
      <c r="F5550" s="6"/>
      <c r="G5550" s="24" t="str">
        <f>IF(F5550="", "", VLOOKUP(F5550, Inventory!A:BZ, 3, FALSE) - SUMIF($F$1:$F5549, F5550, $H$1:$H5549))
</f>
        <v/>
      </c>
      <c r="I5550" s="26"/>
      <c r="J5550" s="26" t="s">
        <v>77</v>
      </c>
      <c r="L5550" s="27" t="s">
        <v>77</v>
      </c>
      <c r="N5550" s="28" t="s">
        <v>77</v>
      </c>
      <c r="Q5550" s="30"/>
    </row>
    <row r="5551">
      <c r="B5551" s="6"/>
      <c r="C5551" s="33" t="str">
        <f t="array" ref="C5551">IF(B5551="", "", XLOOKUP(B5551, Inventory!D:D,Inventory!E:E,"No Name Found"))</f>
        <v/>
      </c>
      <c r="D5551" s="6"/>
      <c r="E5551" s="6"/>
      <c r="F5551" s="6"/>
      <c r="G5551" s="24" t="str">
        <f>IF(F5551="", "", VLOOKUP(F5551, Inventory!A:BZ, 3, FALSE) - SUMIF($F$1:$F5550, F5551, $H$1:$H5550))
</f>
        <v/>
      </c>
      <c r="I5551" s="26"/>
      <c r="J5551" s="26" t="s">
        <v>77</v>
      </c>
      <c r="L5551" s="27" t="s">
        <v>77</v>
      </c>
      <c r="N5551" s="28" t="s">
        <v>77</v>
      </c>
      <c r="Q5551" s="30"/>
    </row>
    <row r="5552">
      <c r="B5552" s="6"/>
      <c r="C5552" s="33" t="str">
        <f t="array" ref="C5552">IF(B5552="", "", XLOOKUP(B5552, Inventory!D:D,Inventory!E:E,"No Name Found"))</f>
        <v/>
      </c>
      <c r="D5552" s="6"/>
      <c r="E5552" s="6"/>
      <c r="F5552" s="6"/>
      <c r="G5552" s="24" t="str">
        <f>IF(F5552="", "", VLOOKUP(F5552, Inventory!A:BZ, 3, FALSE) - SUMIF($F$1:$F5551, F5552, $H$1:$H5551))
</f>
        <v/>
      </c>
      <c r="I5552" s="26"/>
      <c r="J5552" s="26" t="s">
        <v>77</v>
      </c>
      <c r="L5552" s="27" t="s">
        <v>77</v>
      </c>
      <c r="N5552" s="28" t="s">
        <v>77</v>
      </c>
      <c r="Q5552" s="30"/>
    </row>
    <row r="5553">
      <c r="B5553" s="6"/>
      <c r="C5553" s="33" t="str">
        <f t="array" ref="C5553">IF(B5553="", "", XLOOKUP(B5553, Inventory!D:D,Inventory!E:E,"No Name Found"))</f>
        <v/>
      </c>
      <c r="D5553" s="6"/>
      <c r="E5553" s="6"/>
      <c r="F5553" s="6"/>
      <c r="G5553" s="24" t="str">
        <f>IF(F5553="", "", VLOOKUP(F5553, Inventory!A:BZ, 3, FALSE) - SUMIF($F$1:$F5552, F5553, $H$1:$H5552))
</f>
        <v/>
      </c>
      <c r="I5553" s="26"/>
      <c r="J5553" s="26" t="s">
        <v>77</v>
      </c>
      <c r="L5553" s="27" t="s">
        <v>77</v>
      </c>
      <c r="N5553" s="28" t="s">
        <v>77</v>
      </c>
      <c r="Q5553" s="30"/>
    </row>
    <row r="5554">
      <c r="B5554" s="6"/>
      <c r="C5554" s="33" t="str">
        <f t="array" ref="C5554">IF(B5554="", "", XLOOKUP(B5554, Inventory!D:D,Inventory!E:E,"No Name Found"))</f>
        <v/>
      </c>
      <c r="D5554" s="6"/>
      <c r="E5554" s="6"/>
      <c r="F5554" s="6"/>
      <c r="G5554" s="24" t="str">
        <f>IF(F5554="", "", VLOOKUP(F5554, Inventory!A:BZ, 3, FALSE) - SUMIF($F$1:$F5553, F5554, $H$1:$H5553))
</f>
        <v/>
      </c>
      <c r="I5554" s="26"/>
      <c r="J5554" s="26" t="s">
        <v>77</v>
      </c>
      <c r="L5554" s="27" t="s">
        <v>77</v>
      </c>
      <c r="N5554" s="28" t="s">
        <v>77</v>
      </c>
      <c r="Q5554" s="30"/>
    </row>
    <row r="5555">
      <c r="B5555" s="6"/>
      <c r="C5555" s="33" t="str">
        <f t="array" ref="C5555">IF(B5555="", "", XLOOKUP(B5555, Inventory!D:D,Inventory!E:E,"No Name Found"))</f>
        <v/>
      </c>
      <c r="D5555" s="6"/>
      <c r="E5555" s="6"/>
      <c r="F5555" s="6"/>
      <c r="G5555" s="24" t="str">
        <f>IF(F5555="", "", VLOOKUP(F5555, Inventory!A:BZ, 3, FALSE) - SUMIF($F$1:$F5554, F5555, $H$1:$H5554))
</f>
        <v/>
      </c>
      <c r="I5555" s="26"/>
      <c r="J5555" s="26" t="s">
        <v>77</v>
      </c>
      <c r="L5555" s="27" t="s">
        <v>77</v>
      </c>
      <c r="N5555" s="28" t="s">
        <v>77</v>
      </c>
      <c r="Q5555" s="30"/>
    </row>
    <row r="5556">
      <c r="B5556" s="6"/>
      <c r="C5556" s="33" t="str">
        <f t="array" ref="C5556">IF(B5556="", "", XLOOKUP(B5556, Inventory!D:D,Inventory!E:E,"No Name Found"))</f>
        <v/>
      </c>
      <c r="D5556" s="6"/>
      <c r="E5556" s="6"/>
      <c r="F5556" s="6"/>
      <c r="G5556" s="24" t="str">
        <f>IF(F5556="", "", VLOOKUP(F5556, Inventory!A:BZ, 3, FALSE) - SUMIF($F$1:$F5555, F5556, $H$1:$H5555))
</f>
        <v/>
      </c>
      <c r="I5556" s="26"/>
      <c r="J5556" s="26" t="s">
        <v>77</v>
      </c>
      <c r="L5556" s="27" t="s">
        <v>77</v>
      </c>
      <c r="N5556" s="28" t="s">
        <v>77</v>
      </c>
      <c r="Q5556" s="30"/>
    </row>
    <row r="5557">
      <c r="B5557" s="6"/>
      <c r="C5557" s="33" t="str">
        <f t="array" ref="C5557">IF(B5557="", "", XLOOKUP(B5557, Inventory!D:D,Inventory!E:E,"No Name Found"))</f>
        <v/>
      </c>
      <c r="D5557" s="6"/>
      <c r="E5557" s="6"/>
      <c r="F5557" s="6"/>
      <c r="G5557" s="24" t="str">
        <f>IF(F5557="", "", VLOOKUP(F5557, Inventory!A:BZ, 3, FALSE) - SUMIF($F$1:$F5556, F5557, $H$1:$H5556))
</f>
        <v/>
      </c>
      <c r="I5557" s="26"/>
      <c r="J5557" s="26" t="s">
        <v>77</v>
      </c>
      <c r="L5557" s="27" t="s">
        <v>77</v>
      </c>
      <c r="N5557" s="28" t="s">
        <v>77</v>
      </c>
      <c r="Q5557" s="30"/>
    </row>
    <row r="5558">
      <c r="B5558" s="6"/>
      <c r="C5558" s="33" t="str">
        <f t="array" ref="C5558">IF(B5558="", "", XLOOKUP(B5558, Inventory!D:D,Inventory!E:E,"No Name Found"))</f>
        <v/>
      </c>
      <c r="D5558" s="6"/>
      <c r="E5558" s="6"/>
      <c r="F5558" s="6"/>
      <c r="G5558" s="24" t="str">
        <f>IF(F5558="", "", VLOOKUP(F5558, Inventory!A:BZ, 3, FALSE) - SUMIF($F$1:$F5557, F5558, $H$1:$H5557))
</f>
        <v/>
      </c>
      <c r="I5558" s="26"/>
      <c r="J5558" s="26" t="s">
        <v>77</v>
      </c>
      <c r="L5558" s="27" t="s">
        <v>77</v>
      </c>
      <c r="N5558" s="28" t="s">
        <v>77</v>
      </c>
      <c r="Q5558" s="30"/>
    </row>
    <row r="5559">
      <c r="B5559" s="6"/>
      <c r="C5559" s="33" t="str">
        <f t="array" ref="C5559">IF(B5559="", "", XLOOKUP(B5559, Inventory!D:D,Inventory!E:E,"No Name Found"))</f>
        <v/>
      </c>
      <c r="D5559" s="6"/>
      <c r="E5559" s="6"/>
      <c r="F5559" s="6"/>
      <c r="G5559" s="24" t="str">
        <f>IF(F5559="", "", VLOOKUP(F5559, Inventory!A:BZ, 3, FALSE) - SUMIF($F$1:$F5558, F5559, $H$1:$H5558))
</f>
        <v/>
      </c>
      <c r="I5559" s="26"/>
      <c r="J5559" s="26" t="s">
        <v>77</v>
      </c>
      <c r="L5559" s="27" t="s">
        <v>77</v>
      </c>
      <c r="N5559" s="28" t="s">
        <v>77</v>
      </c>
      <c r="Q5559" s="30"/>
    </row>
    <row r="5560">
      <c r="B5560" s="6"/>
      <c r="C5560" s="33" t="str">
        <f t="array" ref="C5560">IF(B5560="", "", XLOOKUP(B5560, Inventory!D:D,Inventory!E:E,"No Name Found"))</f>
        <v/>
      </c>
      <c r="D5560" s="6"/>
      <c r="E5560" s="6"/>
      <c r="F5560" s="6"/>
      <c r="G5560" s="24" t="str">
        <f>IF(F5560="", "", VLOOKUP(F5560, Inventory!A:BZ, 3, FALSE) - SUMIF($F$1:$F5559, F5560, $H$1:$H5559))
</f>
        <v/>
      </c>
      <c r="I5560" s="26"/>
      <c r="J5560" s="26" t="s">
        <v>77</v>
      </c>
      <c r="L5560" s="27" t="s">
        <v>77</v>
      </c>
      <c r="N5560" s="28" t="s">
        <v>77</v>
      </c>
      <c r="Q5560" s="30"/>
    </row>
    <row r="5561">
      <c r="B5561" s="6"/>
      <c r="C5561" s="33" t="str">
        <f t="array" ref="C5561">IF(B5561="", "", XLOOKUP(B5561, Inventory!D:D,Inventory!E:E,"No Name Found"))</f>
        <v/>
      </c>
      <c r="D5561" s="6"/>
      <c r="E5561" s="6"/>
      <c r="F5561" s="6"/>
      <c r="G5561" s="24" t="str">
        <f>IF(F5561="", "", VLOOKUP(F5561, Inventory!A:BZ, 3, FALSE) - SUMIF($F$1:$F5560, F5561, $H$1:$H5560))
</f>
        <v/>
      </c>
      <c r="I5561" s="26"/>
      <c r="J5561" s="26" t="s">
        <v>77</v>
      </c>
      <c r="L5561" s="27" t="s">
        <v>77</v>
      </c>
      <c r="N5561" s="28" t="s">
        <v>77</v>
      </c>
      <c r="Q5561" s="30"/>
    </row>
    <row r="5562">
      <c r="B5562" s="6"/>
      <c r="C5562" s="33" t="str">
        <f t="array" ref="C5562">IF(B5562="", "", XLOOKUP(B5562, Inventory!D:D,Inventory!E:E,"No Name Found"))</f>
        <v/>
      </c>
      <c r="D5562" s="6"/>
      <c r="E5562" s="6"/>
      <c r="F5562" s="6"/>
      <c r="G5562" s="24" t="str">
        <f>IF(F5562="", "", VLOOKUP(F5562, Inventory!A:BZ, 3, FALSE) - SUMIF($F$1:$F5561, F5562, $H$1:$H5561))
</f>
        <v/>
      </c>
      <c r="I5562" s="26"/>
      <c r="J5562" s="26" t="s">
        <v>77</v>
      </c>
      <c r="L5562" s="27" t="s">
        <v>77</v>
      </c>
      <c r="N5562" s="28" t="s">
        <v>77</v>
      </c>
      <c r="Q5562" s="30"/>
    </row>
    <row r="5563">
      <c r="B5563" s="6"/>
      <c r="C5563" s="33" t="str">
        <f t="array" ref="C5563">IF(B5563="", "", XLOOKUP(B5563, Inventory!D:D,Inventory!E:E,"No Name Found"))</f>
        <v/>
      </c>
      <c r="D5563" s="6"/>
      <c r="E5563" s="6"/>
      <c r="F5563" s="6"/>
      <c r="G5563" s="24" t="str">
        <f>IF(F5563="", "", VLOOKUP(F5563, Inventory!A:BZ, 3, FALSE) - SUMIF($F$1:$F5562, F5563, $H$1:$H5562))
</f>
        <v/>
      </c>
      <c r="I5563" s="26"/>
      <c r="J5563" s="26" t="s">
        <v>77</v>
      </c>
      <c r="L5563" s="27" t="s">
        <v>77</v>
      </c>
      <c r="N5563" s="28" t="s">
        <v>77</v>
      </c>
      <c r="Q5563" s="30"/>
    </row>
    <row r="5564">
      <c r="B5564" s="6"/>
      <c r="C5564" s="33" t="str">
        <f t="array" ref="C5564">IF(B5564="", "", XLOOKUP(B5564, Inventory!D:D,Inventory!E:E,"No Name Found"))</f>
        <v/>
      </c>
      <c r="D5564" s="6"/>
      <c r="E5564" s="6"/>
      <c r="F5564" s="6"/>
      <c r="G5564" s="24" t="str">
        <f>IF(F5564="", "", VLOOKUP(F5564, Inventory!A:BZ, 3, FALSE) - SUMIF($F$1:$F5563, F5564, $H$1:$H5563))
</f>
        <v/>
      </c>
      <c r="I5564" s="26"/>
      <c r="J5564" s="26" t="s">
        <v>77</v>
      </c>
      <c r="L5564" s="27" t="s">
        <v>77</v>
      </c>
      <c r="N5564" s="28" t="s">
        <v>77</v>
      </c>
      <c r="Q5564" s="30"/>
    </row>
    <row r="5565">
      <c r="B5565" s="6"/>
      <c r="C5565" s="33" t="str">
        <f t="array" ref="C5565">IF(B5565="", "", XLOOKUP(B5565, Inventory!D:D,Inventory!E:E,"No Name Found"))</f>
        <v/>
      </c>
      <c r="D5565" s="6"/>
      <c r="E5565" s="6"/>
      <c r="F5565" s="6"/>
      <c r="G5565" s="24" t="str">
        <f>IF(F5565="", "", VLOOKUP(F5565, Inventory!A:BZ, 3, FALSE) - SUMIF($F$1:$F5564, F5565, $H$1:$H5564))
</f>
        <v/>
      </c>
      <c r="I5565" s="26"/>
      <c r="J5565" s="26" t="s">
        <v>77</v>
      </c>
      <c r="L5565" s="27" t="s">
        <v>77</v>
      </c>
      <c r="N5565" s="28" t="s">
        <v>77</v>
      </c>
      <c r="Q5565" s="30"/>
    </row>
    <row r="5566">
      <c r="B5566" s="6"/>
      <c r="C5566" s="33" t="str">
        <f t="array" ref="C5566">IF(B5566="", "", XLOOKUP(B5566, Inventory!D:D,Inventory!E:E,"No Name Found"))</f>
        <v/>
      </c>
      <c r="D5566" s="6"/>
      <c r="E5566" s="6"/>
      <c r="F5566" s="6"/>
      <c r="G5566" s="24" t="str">
        <f>IF(F5566="", "", VLOOKUP(F5566, Inventory!A:BZ, 3, FALSE) - SUMIF($F$1:$F5565, F5566, $H$1:$H5565))
</f>
        <v/>
      </c>
      <c r="I5566" s="26"/>
      <c r="J5566" s="26" t="s">
        <v>77</v>
      </c>
      <c r="L5566" s="27" t="s">
        <v>77</v>
      </c>
      <c r="N5566" s="28" t="s">
        <v>77</v>
      </c>
      <c r="Q5566" s="30"/>
    </row>
    <row r="5567">
      <c r="B5567" s="6"/>
      <c r="C5567" s="33" t="str">
        <f t="array" ref="C5567">IF(B5567="", "", XLOOKUP(B5567, Inventory!D:D,Inventory!E:E,"No Name Found"))</f>
        <v/>
      </c>
      <c r="D5567" s="6"/>
      <c r="E5567" s="6"/>
      <c r="F5567" s="6"/>
      <c r="G5567" s="24" t="str">
        <f>IF(F5567="", "", VLOOKUP(F5567, Inventory!A:BZ, 3, FALSE) - SUMIF($F$1:$F5566, F5567, $H$1:$H5566))
</f>
        <v/>
      </c>
      <c r="I5567" s="26"/>
      <c r="J5567" s="26" t="s">
        <v>77</v>
      </c>
      <c r="L5567" s="27" t="s">
        <v>77</v>
      </c>
      <c r="N5567" s="28" t="s">
        <v>77</v>
      </c>
      <c r="Q5567" s="30"/>
    </row>
    <row r="5568">
      <c r="B5568" s="6"/>
      <c r="C5568" s="33" t="str">
        <f t="array" ref="C5568">IF(B5568="", "", XLOOKUP(B5568, Inventory!D:D,Inventory!E:E,"No Name Found"))</f>
        <v/>
      </c>
      <c r="D5568" s="6"/>
      <c r="E5568" s="6"/>
      <c r="F5568" s="6"/>
      <c r="G5568" s="24" t="str">
        <f>IF(F5568="", "", VLOOKUP(F5568, Inventory!A:BZ, 3, FALSE) - SUMIF($F$1:$F5567, F5568, $H$1:$H5567))
</f>
        <v/>
      </c>
      <c r="I5568" s="26"/>
      <c r="J5568" s="26" t="s">
        <v>77</v>
      </c>
      <c r="L5568" s="27" t="s">
        <v>77</v>
      </c>
      <c r="N5568" s="28" t="s">
        <v>77</v>
      </c>
      <c r="Q5568" s="30"/>
    </row>
    <row r="5569">
      <c r="B5569" s="6"/>
      <c r="C5569" s="33" t="str">
        <f t="array" ref="C5569">IF(B5569="", "", XLOOKUP(B5569, Inventory!D:D,Inventory!E:E,"No Name Found"))</f>
        <v/>
      </c>
      <c r="D5569" s="6"/>
      <c r="E5569" s="6"/>
      <c r="F5569" s="6"/>
      <c r="G5569" s="24" t="str">
        <f>IF(F5569="", "", VLOOKUP(F5569, Inventory!A:BZ, 3, FALSE) - SUMIF($F$1:$F5568, F5569, $H$1:$H5568))
</f>
        <v/>
      </c>
      <c r="I5569" s="26"/>
      <c r="J5569" s="26" t="s">
        <v>77</v>
      </c>
      <c r="L5569" s="27" t="s">
        <v>77</v>
      </c>
      <c r="N5569" s="28" t="s">
        <v>77</v>
      </c>
      <c r="Q5569" s="30"/>
    </row>
    <row r="5570">
      <c r="B5570" s="6"/>
      <c r="C5570" s="33" t="str">
        <f t="array" ref="C5570">IF(B5570="", "", XLOOKUP(B5570, Inventory!D:D,Inventory!E:E,"No Name Found"))</f>
        <v/>
      </c>
      <c r="D5570" s="6"/>
      <c r="E5570" s="6"/>
      <c r="F5570" s="6"/>
      <c r="G5570" s="24" t="str">
        <f>IF(F5570="", "", VLOOKUP(F5570, Inventory!A:BZ, 3, FALSE) - SUMIF($F$1:$F5569, F5570, $H$1:$H5569))
</f>
        <v/>
      </c>
      <c r="I5570" s="26"/>
      <c r="J5570" s="26" t="s">
        <v>77</v>
      </c>
      <c r="L5570" s="27" t="s">
        <v>77</v>
      </c>
      <c r="N5570" s="28" t="s">
        <v>77</v>
      </c>
      <c r="Q5570" s="30"/>
    </row>
    <row r="5571">
      <c r="B5571" s="6"/>
      <c r="C5571" s="33" t="str">
        <f t="array" ref="C5571">IF(B5571="", "", XLOOKUP(B5571, Inventory!D:D,Inventory!E:E,"No Name Found"))</f>
        <v/>
      </c>
      <c r="D5571" s="6"/>
      <c r="E5571" s="6"/>
      <c r="F5571" s="6"/>
      <c r="G5571" s="24" t="str">
        <f>IF(F5571="", "", VLOOKUP(F5571, Inventory!A:BZ, 3, FALSE) - SUMIF($F$1:$F5570, F5571, $H$1:$H5570))
</f>
        <v/>
      </c>
      <c r="I5571" s="26"/>
      <c r="J5571" s="26" t="s">
        <v>77</v>
      </c>
      <c r="L5571" s="27" t="s">
        <v>77</v>
      </c>
      <c r="N5571" s="28" t="s">
        <v>77</v>
      </c>
      <c r="Q5571" s="30"/>
    </row>
    <row r="5572">
      <c r="B5572" s="6"/>
      <c r="C5572" s="33" t="str">
        <f t="array" ref="C5572">IF(B5572="", "", XLOOKUP(B5572, Inventory!D:D,Inventory!E:E,"No Name Found"))</f>
        <v/>
      </c>
      <c r="D5572" s="6"/>
      <c r="E5572" s="6"/>
      <c r="F5572" s="6"/>
      <c r="G5572" s="24" t="str">
        <f>IF(F5572="", "", VLOOKUP(F5572, Inventory!A:BZ, 3, FALSE) - SUMIF($F$1:$F5571, F5572, $H$1:$H5571))
</f>
        <v/>
      </c>
      <c r="I5572" s="26"/>
      <c r="J5572" s="26" t="s">
        <v>77</v>
      </c>
      <c r="L5572" s="27" t="s">
        <v>77</v>
      </c>
      <c r="N5572" s="28" t="s">
        <v>77</v>
      </c>
      <c r="Q5572" s="30"/>
    </row>
    <row r="5573">
      <c r="B5573" s="6"/>
      <c r="C5573" s="33" t="str">
        <f t="array" ref="C5573">IF(B5573="", "", XLOOKUP(B5573, Inventory!D:D,Inventory!E:E,"No Name Found"))</f>
        <v/>
      </c>
      <c r="D5573" s="6"/>
      <c r="E5573" s="6"/>
      <c r="F5573" s="6"/>
      <c r="G5573" s="24" t="str">
        <f>IF(F5573="", "", VLOOKUP(F5573, Inventory!A:BZ, 3, FALSE) - SUMIF($F$1:$F5572, F5573, $H$1:$H5572))
</f>
        <v/>
      </c>
      <c r="I5573" s="26"/>
      <c r="J5573" s="26" t="s">
        <v>77</v>
      </c>
      <c r="L5573" s="27" t="s">
        <v>77</v>
      </c>
      <c r="N5573" s="28" t="s">
        <v>77</v>
      </c>
      <c r="Q5573" s="30"/>
    </row>
    <row r="5574">
      <c r="B5574" s="6"/>
      <c r="C5574" s="33" t="str">
        <f t="array" ref="C5574">IF(B5574="", "", XLOOKUP(B5574, Inventory!D:D,Inventory!E:E,"No Name Found"))</f>
        <v/>
      </c>
      <c r="D5574" s="6"/>
      <c r="E5574" s="6"/>
      <c r="F5574" s="6"/>
      <c r="G5574" s="24" t="str">
        <f>IF(F5574="", "", VLOOKUP(F5574, Inventory!A:BZ, 3, FALSE) - SUMIF($F$1:$F5573, F5574, $H$1:$H5573))
</f>
        <v/>
      </c>
      <c r="I5574" s="26"/>
      <c r="J5574" s="26" t="s">
        <v>77</v>
      </c>
      <c r="L5574" s="27" t="s">
        <v>77</v>
      </c>
      <c r="N5574" s="28" t="s">
        <v>77</v>
      </c>
      <c r="Q5574" s="30"/>
    </row>
    <row r="5575">
      <c r="B5575" s="6"/>
      <c r="C5575" s="33" t="str">
        <f t="array" ref="C5575">IF(B5575="", "", XLOOKUP(B5575, Inventory!D:D,Inventory!E:E,"No Name Found"))</f>
        <v/>
      </c>
      <c r="D5575" s="6"/>
      <c r="E5575" s="6"/>
      <c r="F5575" s="6"/>
      <c r="G5575" s="24" t="str">
        <f>IF(F5575="", "", VLOOKUP(F5575, Inventory!A:BZ, 3, FALSE) - SUMIF($F$1:$F5574, F5575, $H$1:$H5574))
</f>
        <v/>
      </c>
      <c r="I5575" s="26"/>
      <c r="J5575" s="26" t="s">
        <v>77</v>
      </c>
      <c r="L5575" s="27" t="s">
        <v>77</v>
      </c>
      <c r="N5575" s="28" t="s">
        <v>77</v>
      </c>
      <c r="Q5575" s="30"/>
    </row>
    <row r="5576">
      <c r="B5576" s="6"/>
      <c r="C5576" s="33" t="str">
        <f t="array" ref="C5576">IF(B5576="", "", XLOOKUP(B5576, Inventory!D:D,Inventory!E:E,"No Name Found"))</f>
        <v/>
      </c>
      <c r="D5576" s="6"/>
      <c r="E5576" s="6"/>
      <c r="F5576" s="6"/>
      <c r="G5576" s="24" t="str">
        <f>IF(F5576="", "", VLOOKUP(F5576, Inventory!A:BZ, 3, FALSE) - SUMIF($F$1:$F5575, F5576, $H$1:$H5575))
</f>
        <v/>
      </c>
      <c r="I5576" s="26"/>
      <c r="J5576" s="26" t="s">
        <v>77</v>
      </c>
      <c r="L5576" s="27" t="s">
        <v>77</v>
      </c>
      <c r="N5576" s="28" t="s">
        <v>77</v>
      </c>
      <c r="Q5576" s="30"/>
    </row>
    <row r="5577">
      <c r="B5577" s="6"/>
      <c r="C5577" s="33" t="str">
        <f t="array" ref="C5577">IF(B5577="", "", XLOOKUP(B5577, Inventory!D:D,Inventory!E:E,"No Name Found"))</f>
        <v/>
      </c>
      <c r="D5577" s="6"/>
      <c r="E5577" s="6"/>
      <c r="F5577" s="6"/>
      <c r="G5577" s="24" t="str">
        <f>IF(F5577="", "", VLOOKUP(F5577, Inventory!A:BZ, 3, FALSE) - SUMIF($F$1:$F5576, F5577, $H$1:$H5576))
</f>
        <v/>
      </c>
      <c r="I5577" s="26"/>
      <c r="J5577" s="26" t="s">
        <v>77</v>
      </c>
      <c r="L5577" s="27" t="s">
        <v>77</v>
      </c>
      <c r="N5577" s="28" t="s">
        <v>77</v>
      </c>
      <c r="Q5577" s="30"/>
    </row>
    <row r="5578">
      <c r="B5578" s="6"/>
      <c r="C5578" s="33" t="str">
        <f t="array" ref="C5578">IF(B5578="", "", XLOOKUP(B5578, Inventory!D:D,Inventory!E:E,"No Name Found"))</f>
        <v/>
      </c>
      <c r="D5578" s="6"/>
      <c r="E5578" s="6"/>
      <c r="F5578" s="6"/>
      <c r="G5578" s="24" t="str">
        <f>IF(F5578="", "", VLOOKUP(F5578, Inventory!A:BZ, 3, FALSE) - SUMIF($F$1:$F5577, F5578, $H$1:$H5577))
</f>
        <v/>
      </c>
      <c r="I5578" s="26"/>
      <c r="J5578" s="26" t="s">
        <v>77</v>
      </c>
      <c r="L5578" s="27" t="s">
        <v>77</v>
      </c>
      <c r="N5578" s="28" t="s">
        <v>77</v>
      </c>
      <c r="Q5578" s="30"/>
    </row>
    <row r="5579">
      <c r="B5579" s="6"/>
      <c r="C5579" s="33" t="str">
        <f t="array" ref="C5579">IF(B5579="", "", XLOOKUP(B5579, Inventory!D:D,Inventory!E:E,"No Name Found"))</f>
        <v/>
      </c>
      <c r="D5579" s="6"/>
      <c r="E5579" s="6"/>
      <c r="F5579" s="6"/>
      <c r="G5579" s="24" t="str">
        <f>IF(F5579="", "", VLOOKUP(F5579, Inventory!A:BZ, 3, FALSE) - SUMIF($F$1:$F5578, F5579, $H$1:$H5578))
</f>
        <v/>
      </c>
      <c r="I5579" s="26"/>
      <c r="J5579" s="26" t="s">
        <v>77</v>
      </c>
      <c r="L5579" s="27" t="s">
        <v>77</v>
      </c>
      <c r="N5579" s="28" t="s">
        <v>77</v>
      </c>
      <c r="Q5579" s="30"/>
    </row>
    <row r="5580">
      <c r="B5580" s="6"/>
      <c r="C5580" s="33" t="str">
        <f t="array" ref="C5580">IF(B5580="", "", XLOOKUP(B5580, Inventory!D:D,Inventory!E:E,"No Name Found"))</f>
        <v/>
      </c>
      <c r="D5580" s="6"/>
      <c r="E5580" s="6"/>
      <c r="F5580" s="6"/>
      <c r="G5580" s="24" t="str">
        <f>IF(F5580="", "", VLOOKUP(F5580, Inventory!A:BZ, 3, FALSE) - SUMIF($F$1:$F5579, F5580, $H$1:$H5579))
</f>
        <v/>
      </c>
      <c r="I5580" s="26"/>
      <c r="J5580" s="26" t="s">
        <v>77</v>
      </c>
      <c r="L5580" s="27" t="s">
        <v>77</v>
      </c>
      <c r="N5580" s="28" t="s">
        <v>77</v>
      </c>
      <c r="Q5580" s="30"/>
    </row>
    <row r="5581">
      <c r="B5581" s="6"/>
      <c r="C5581" s="33" t="str">
        <f t="array" ref="C5581">IF(B5581="", "", XLOOKUP(B5581, Inventory!D:D,Inventory!E:E,"No Name Found"))</f>
        <v/>
      </c>
      <c r="D5581" s="6"/>
      <c r="E5581" s="6"/>
      <c r="F5581" s="6"/>
      <c r="G5581" s="24" t="str">
        <f>IF(F5581="", "", VLOOKUP(F5581, Inventory!A:BZ, 3, FALSE) - SUMIF($F$1:$F5580, F5581, $H$1:$H5580))
</f>
        <v/>
      </c>
      <c r="I5581" s="26"/>
      <c r="J5581" s="26" t="s">
        <v>77</v>
      </c>
      <c r="L5581" s="27" t="s">
        <v>77</v>
      </c>
      <c r="N5581" s="28" t="s">
        <v>77</v>
      </c>
      <c r="Q5581" s="30"/>
    </row>
    <row r="5582">
      <c r="B5582" s="6"/>
      <c r="C5582" s="33" t="str">
        <f t="array" ref="C5582">IF(B5582="", "", XLOOKUP(B5582, Inventory!D:D,Inventory!E:E,"No Name Found"))</f>
        <v/>
      </c>
      <c r="D5582" s="6"/>
      <c r="E5582" s="6"/>
      <c r="F5582" s="6"/>
      <c r="G5582" s="24" t="str">
        <f>IF(F5582="", "", VLOOKUP(F5582, Inventory!A:BZ, 3, FALSE) - SUMIF($F$1:$F5581, F5582, $H$1:$H5581))
</f>
        <v/>
      </c>
      <c r="I5582" s="26"/>
      <c r="J5582" s="26" t="s">
        <v>77</v>
      </c>
      <c r="L5582" s="27" t="s">
        <v>77</v>
      </c>
      <c r="N5582" s="28" t="s">
        <v>77</v>
      </c>
      <c r="Q5582" s="30"/>
    </row>
    <row r="5583">
      <c r="B5583" s="6"/>
      <c r="C5583" s="33" t="str">
        <f t="array" ref="C5583">IF(B5583="", "", XLOOKUP(B5583, Inventory!D:D,Inventory!E:E,"No Name Found"))</f>
        <v/>
      </c>
      <c r="D5583" s="6"/>
      <c r="E5583" s="6"/>
      <c r="F5583" s="6"/>
      <c r="G5583" s="24" t="str">
        <f>IF(F5583="", "", VLOOKUP(F5583, Inventory!A:BZ, 3, FALSE) - SUMIF($F$1:$F5582, F5583, $H$1:$H5582))
</f>
        <v/>
      </c>
      <c r="I5583" s="26"/>
      <c r="J5583" s="26" t="s">
        <v>77</v>
      </c>
      <c r="L5583" s="27" t="s">
        <v>77</v>
      </c>
      <c r="N5583" s="28" t="s">
        <v>77</v>
      </c>
      <c r="Q5583" s="30"/>
    </row>
    <row r="5584">
      <c r="B5584" s="6"/>
      <c r="C5584" s="33" t="str">
        <f t="array" ref="C5584">IF(B5584="", "", XLOOKUP(B5584, Inventory!D:D,Inventory!E:E,"No Name Found"))</f>
        <v/>
      </c>
      <c r="D5584" s="6"/>
      <c r="E5584" s="6"/>
      <c r="F5584" s="6"/>
      <c r="G5584" s="24" t="str">
        <f>IF(F5584="", "", VLOOKUP(F5584, Inventory!A:BZ, 3, FALSE) - SUMIF($F$1:$F5583, F5584, $H$1:$H5583))
</f>
        <v/>
      </c>
      <c r="I5584" s="26"/>
      <c r="J5584" s="26" t="s">
        <v>77</v>
      </c>
      <c r="L5584" s="27" t="s">
        <v>77</v>
      </c>
      <c r="N5584" s="28" t="s">
        <v>77</v>
      </c>
      <c r="Q5584" s="30"/>
    </row>
    <row r="5585">
      <c r="B5585" s="6"/>
      <c r="C5585" s="33" t="str">
        <f t="array" ref="C5585">IF(B5585="", "", XLOOKUP(B5585, Inventory!D:D,Inventory!E:E,"No Name Found"))</f>
        <v/>
      </c>
      <c r="D5585" s="6"/>
      <c r="E5585" s="6"/>
      <c r="F5585" s="6"/>
      <c r="G5585" s="24" t="str">
        <f>IF(F5585="", "", VLOOKUP(F5585, Inventory!A:BZ, 3, FALSE) - SUMIF($F$1:$F5584, F5585, $H$1:$H5584))
</f>
        <v/>
      </c>
      <c r="I5585" s="26"/>
      <c r="J5585" s="26" t="s">
        <v>77</v>
      </c>
      <c r="L5585" s="27" t="s">
        <v>77</v>
      </c>
      <c r="N5585" s="28" t="s">
        <v>77</v>
      </c>
      <c r="Q5585" s="30"/>
    </row>
    <row r="5586">
      <c r="B5586" s="6"/>
      <c r="C5586" s="33" t="str">
        <f t="array" ref="C5586">IF(B5586="", "", XLOOKUP(B5586, Inventory!D:D,Inventory!E:E,"No Name Found"))</f>
        <v/>
      </c>
      <c r="D5586" s="6"/>
      <c r="E5586" s="6"/>
      <c r="F5586" s="6"/>
      <c r="G5586" s="24" t="str">
        <f>IF(F5586="", "", VLOOKUP(F5586, Inventory!A:BZ, 3, FALSE) - SUMIF($F$1:$F5585, F5586, $H$1:$H5585))
</f>
        <v/>
      </c>
      <c r="I5586" s="26"/>
      <c r="J5586" s="26" t="s">
        <v>77</v>
      </c>
      <c r="L5586" s="27" t="s">
        <v>77</v>
      </c>
      <c r="N5586" s="28" t="s">
        <v>77</v>
      </c>
      <c r="Q5586" s="30"/>
    </row>
    <row r="5587">
      <c r="B5587" s="6"/>
      <c r="C5587" s="33" t="str">
        <f t="array" ref="C5587">IF(B5587="", "", XLOOKUP(B5587, Inventory!D:D,Inventory!E:E,"No Name Found"))</f>
        <v/>
      </c>
      <c r="D5587" s="6"/>
      <c r="E5587" s="6"/>
      <c r="F5587" s="6"/>
      <c r="G5587" s="24" t="str">
        <f>IF(F5587="", "", VLOOKUP(F5587, Inventory!A:BZ, 3, FALSE) - SUMIF($F$1:$F5586, F5587, $H$1:$H5586))
</f>
        <v/>
      </c>
      <c r="I5587" s="26"/>
      <c r="J5587" s="26" t="s">
        <v>77</v>
      </c>
      <c r="L5587" s="27" t="s">
        <v>77</v>
      </c>
      <c r="N5587" s="28" t="s">
        <v>77</v>
      </c>
      <c r="Q5587" s="30"/>
    </row>
    <row r="5588">
      <c r="B5588" s="6"/>
      <c r="C5588" s="33" t="str">
        <f t="array" ref="C5588">IF(B5588="", "", XLOOKUP(B5588, Inventory!D:D,Inventory!E:E,"No Name Found"))</f>
        <v/>
      </c>
      <c r="D5588" s="6"/>
      <c r="E5588" s="6"/>
      <c r="F5588" s="6"/>
      <c r="G5588" s="24" t="str">
        <f>IF(F5588="", "", VLOOKUP(F5588, Inventory!A:BZ, 3, FALSE) - SUMIF($F$1:$F5587, F5588, $H$1:$H5587))
</f>
        <v/>
      </c>
      <c r="I5588" s="26"/>
      <c r="J5588" s="26" t="s">
        <v>77</v>
      </c>
      <c r="L5588" s="27" t="s">
        <v>77</v>
      </c>
      <c r="N5588" s="28" t="s">
        <v>77</v>
      </c>
      <c r="Q5588" s="30"/>
    </row>
    <row r="5589">
      <c r="B5589" s="6"/>
      <c r="C5589" s="33" t="str">
        <f t="array" ref="C5589">IF(B5589="", "", XLOOKUP(B5589, Inventory!D:D,Inventory!E:E,"No Name Found"))</f>
        <v/>
      </c>
      <c r="D5589" s="6"/>
      <c r="E5589" s="6"/>
      <c r="F5589" s="6"/>
      <c r="G5589" s="24" t="str">
        <f>IF(F5589="", "", VLOOKUP(F5589, Inventory!A:BZ, 3, FALSE) - SUMIF($F$1:$F5588, F5589, $H$1:$H5588))
</f>
        <v/>
      </c>
      <c r="I5589" s="26"/>
      <c r="J5589" s="26" t="s">
        <v>77</v>
      </c>
      <c r="L5589" s="27" t="s">
        <v>77</v>
      </c>
      <c r="N5589" s="28" t="s">
        <v>77</v>
      </c>
      <c r="Q5589" s="30"/>
    </row>
    <row r="5590">
      <c r="B5590" s="6"/>
      <c r="C5590" s="33" t="str">
        <f t="array" ref="C5590">IF(B5590="", "", XLOOKUP(B5590, Inventory!D:D,Inventory!E:E,"No Name Found"))</f>
        <v/>
      </c>
      <c r="D5590" s="6"/>
      <c r="E5590" s="6"/>
      <c r="F5590" s="6"/>
      <c r="G5590" s="24" t="str">
        <f>IF(F5590="", "", VLOOKUP(F5590, Inventory!A:BZ, 3, FALSE) - SUMIF($F$1:$F5589, F5590, $H$1:$H5589))
</f>
        <v/>
      </c>
      <c r="I5590" s="26"/>
      <c r="J5590" s="26" t="s">
        <v>77</v>
      </c>
      <c r="L5590" s="27" t="s">
        <v>77</v>
      </c>
      <c r="N5590" s="28" t="s">
        <v>77</v>
      </c>
      <c r="Q5590" s="30"/>
    </row>
    <row r="5591">
      <c r="B5591" s="6"/>
      <c r="C5591" s="33" t="str">
        <f t="array" ref="C5591">IF(B5591="", "", XLOOKUP(B5591, Inventory!D:D,Inventory!E:E,"No Name Found"))</f>
        <v/>
      </c>
      <c r="D5591" s="6"/>
      <c r="E5591" s="6"/>
      <c r="F5591" s="6"/>
      <c r="G5591" s="24" t="str">
        <f>IF(F5591="", "", VLOOKUP(F5591, Inventory!A:BZ, 3, FALSE) - SUMIF($F$1:$F5590, F5591, $H$1:$H5590))
</f>
        <v/>
      </c>
      <c r="I5591" s="26"/>
      <c r="J5591" s="26" t="s">
        <v>77</v>
      </c>
      <c r="L5591" s="27" t="s">
        <v>77</v>
      </c>
      <c r="N5591" s="28" t="s">
        <v>77</v>
      </c>
      <c r="Q5591" s="30"/>
    </row>
    <row r="5592">
      <c r="B5592" s="6"/>
      <c r="C5592" s="33" t="str">
        <f t="array" ref="C5592">IF(B5592="", "", XLOOKUP(B5592, Inventory!D:D,Inventory!E:E,"No Name Found"))</f>
        <v/>
      </c>
      <c r="D5592" s="6"/>
      <c r="E5592" s="6"/>
      <c r="F5592" s="6"/>
      <c r="G5592" s="24" t="str">
        <f>IF(F5592="", "", VLOOKUP(F5592, Inventory!A:BZ, 3, FALSE) - SUMIF($F$1:$F5591, F5592, $H$1:$H5591))
</f>
        <v/>
      </c>
      <c r="I5592" s="26"/>
      <c r="J5592" s="26" t="s">
        <v>77</v>
      </c>
      <c r="L5592" s="27" t="s">
        <v>77</v>
      </c>
      <c r="N5592" s="28" t="s">
        <v>77</v>
      </c>
      <c r="Q5592" s="30"/>
    </row>
    <row r="5593">
      <c r="B5593" s="6"/>
      <c r="C5593" s="33" t="str">
        <f t="array" ref="C5593">IF(B5593="", "", XLOOKUP(B5593, Inventory!D:D,Inventory!E:E,"No Name Found"))</f>
        <v/>
      </c>
      <c r="D5593" s="6"/>
      <c r="E5593" s="6"/>
      <c r="F5593" s="6"/>
      <c r="G5593" s="24" t="str">
        <f>IF(F5593="", "", VLOOKUP(F5593, Inventory!A:BZ, 3, FALSE) - SUMIF($F$1:$F5592, F5593, $H$1:$H5592))
</f>
        <v/>
      </c>
      <c r="I5593" s="26"/>
      <c r="J5593" s="26" t="s">
        <v>77</v>
      </c>
      <c r="L5593" s="27" t="s">
        <v>77</v>
      </c>
      <c r="N5593" s="28" t="s">
        <v>77</v>
      </c>
      <c r="Q5593" s="30"/>
    </row>
    <row r="5594">
      <c r="B5594" s="6"/>
      <c r="C5594" s="33" t="str">
        <f t="array" ref="C5594">IF(B5594="", "", XLOOKUP(B5594, Inventory!D:D,Inventory!E:E,"No Name Found"))</f>
        <v/>
      </c>
      <c r="D5594" s="6"/>
      <c r="E5594" s="6"/>
      <c r="F5594" s="6"/>
      <c r="G5594" s="24" t="str">
        <f>IF(F5594="", "", VLOOKUP(F5594, Inventory!A:BZ, 3, FALSE) - SUMIF($F$1:$F5593, F5594, $H$1:$H5593))
</f>
        <v/>
      </c>
      <c r="I5594" s="26"/>
      <c r="J5594" s="26" t="s">
        <v>77</v>
      </c>
      <c r="L5594" s="27" t="s">
        <v>77</v>
      </c>
      <c r="N5594" s="28" t="s">
        <v>77</v>
      </c>
      <c r="Q5594" s="30"/>
    </row>
    <row r="5595">
      <c r="B5595" s="6"/>
      <c r="C5595" s="33" t="str">
        <f t="array" ref="C5595">IF(B5595="", "", XLOOKUP(B5595, Inventory!D:D,Inventory!E:E,"No Name Found"))</f>
        <v/>
      </c>
      <c r="D5595" s="6"/>
      <c r="E5595" s="6"/>
      <c r="F5595" s="6"/>
      <c r="G5595" s="24" t="str">
        <f>IF(F5595="", "", VLOOKUP(F5595, Inventory!A:BZ, 3, FALSE) - SUMIF($F$1:$F5594, F5595, $H$1:$H5594))
</f>
        <v/>
      </c>
      <c r="I5595" s="26"/>
      <c r="J5595" s="26" t="s">
        <v>77</v>
      </c>
      <c r="L5595" s="27" t="s">
        <v>77</v>
      </c>
      <c r="N5595" s="28" t="s">
        <v>77</v>
      </c>
      <c r="Q5595" s="30"/>
    </row>
    <row r="5596">
      <c r="B5596" s="6"/>
      <c r="C5596" s="33" t="str">
        <f t="array" ref="C5596">IF(B5596="", "", XLOOKUP(B5596, Inventory!D:D,Inventory!E:E,"No Name Found"))</f>
        <v/>
      </c>
      <c r="D5596" s="6"/>
      <c r="E5596" s="6"/>
      <c r="F5596" s="6"/>
      <c r="G5596" s="24" t="str">
        <f>IF(F5596="", "", VLOOKUP(F5596, Inventory!A:BZ, 3, FALSE) - SUMIF($F$1:$F5595, F5596, $H$1:$H5595))
</f>
        <v/>
      </c>
      <c r="I5596" s="26"/>
      <c r="J5596" s="26" t="s">
        <v>77</v>
      </c>
      <c r="L5596" s="27" t="s">
        <v>77</v>
      </c>
      <c r="N5596" s="28" t="s">
        <v>77</v>
      </c>
      <c r="Q5596" s="30"/>
    </row>
    <row r="5597">
      <c r="B5597" s="6"/>
      <c r="C5597" s="33" t="str">
        <f t="array" ref="C5597">IF(B5597="", "", XLOOKUP(B5597, Inventory!D:D,Inventory!E:E,"No Name Found"))</f>
        <v/>
      </c>
      <c r="D5597" s="6"/>
      <c r="E5597" s="6"/>
      <c r="F5597" s="6"/>
      <c r="G5597" s="24" t="str">
        <f>IF(F5597="", "", VLOOKUP(F5597, Inventory!A:BZ, 3, FALSE) - SUMIF($F$1:$F5596, F5597, $H$1:$H5596))
</f>
        <v/>
      </c>
      <c r="I5597" s="26"/>
      <c r="J5597" s="26" t="s">
        <v>77</v>
      </c>
      <c r="L5597" s="27" t="s">
        <v>77</v>
      </c>
      <c r="N5597" s="28" t="s">
        <v>77</v>
      </c>
      <c r="Q5597" s="30"/>
    </row>
    <row r="5598">
      <c r="B5598" s="6"/>
      <c r="C5598" s="33" t="str">
        <f t="array" ref="C5598">IF(B5598="", "", XLOOKUP(B5598, Inventory!D:D,Inventory!E:E,"No Name Found"))</f>
        <v/>
      </c>
      <c r="D5598" s="6"/>
      <c r="E5598" s="6"/>
      <c r="F5598" s="6"/>
      <c r="G5598" s="24" t="str">
        <f>IF(F5598="", "", VLOOKUP(F5598, Inventory!A:BZ, 3, FALSE) - SUMIF($F$1:$F5597, F5598, $H$1:$H5597))
</f>
        <v/>
      </c>
      <c r="I5598" s="26"/>
      <c r="J5598" s="26" t="s">
        <v>77</v>
      </c>
      <c r="L5598" s="27" t="s">
        <v>77</v>
      </c>
      <c r="N5598" s="28" t="s">
        <v>77</v>
      </c>
      <c r="Q5598" s="30"/>
    </row>
    <row r="5599">
      <c r="B5599" s="6"/>
      <c r="C5599" s="33" t="str">
        <f t="array" ref="C5599">IF(B5599="", "", XLOOKUP(B5599, Inventory!D:D,Inventory!E:E,"No Name Found"))</f>
        <v/>
      </c>
      <c r="D5599" s="6"/>
      <c r="E5599" s="6"/>
      <c r="F5599" s="6"/>
      <c r="G5599" s="24" t="str">
        <f>IF(F5599="", "", VLOOKUP(F5599, Inventory!A:BZ, 3, FALSE) - SUMIF($F$1:$F5598, F5599, $H$1:$H5598))
</f>
        <v/>
      </c>
      <c r="I5599" s="26"/>
      <c r="J5599" s="26" t="s">
        <v>77</v>
      </c>
      <c r="L5599" s="27" t="s">
        <v>77</v>
      </c>
      <c r="N5599" s="28" t="s">
        <v>77</v>
      </c>
      <c r="Q5599" s="30"/>
    </row>
    <row r="5600">
      <c r="B5600" s="6"/>
      <c r="C5600" s="33" t="str">
        <f t="array" ref="C5600">IF(B5600="", "", XLOOKUP(B5600, Inventory!D:D,Inventory!E:E,"No Name Found"))</f>
        <v/>
      </c>
      <c r="D5600" s="6"/>
      <c r="E5600" s="6"/>
      <c r="F5600" s="6"/>
      <c r="G5600" s="24" t="str">
        <f>IF(F5600="", "", VLOOKUP(F5600, Inventory!A:BZ, 3, FALSE) - SUMIF($F$1:$F5599, F5600, $H$1:$H5599))
</f>
        <v/>
      </c>
      <c r="I5600" s="26"/>
      <c r="J5600" s="26" t="s">
        <v>77</v>
      </c>
      <c r="L5600" s="27" t="s">
        <v>77</v>
      </c>
      <c r="N5600" s="28" t="s">
        <v>77</v>
      </c>
      <c r="Q5600" s="30"/>
    </row>
    <row r="5601">
      <c r="B5601" s="6"/>
      <c r="C5601" s="33" t="str">
        <f t="array" ref="C5601">IF(B5601="", "", XLOOKUP(B5601, Inventory!D:D,Inventory!E:E,"No Name Found"))</f>
        <v/>
      </c>
      <c r="D5601" s="6"/>
      <c r="E5601" s="6"/>
      <c r="F5601" s="6"/>
      <c r="G5601" s="24" t="str">
        <f>IF(F5601="", "", VLOOKUP(F5601, Inventory!A:BZ, 3, FALSE) - SUMIF($F$1:$F5600, F5601, $H$1:$H5600))
</f>
        <v/>
      </c>
      <c r="I5601" s="26"/>
      <c r="J5601" s="26" t="s">
        <v>77</v>
      </c>
      <c r="L5601" s="27" t="s">
        <v>77</v>
      </c>
      <c r="N5601" s="28" t="s">
        <v>77</v>
      </c>
      <c r="Q5601" s="30"/>
    </row>
    <row r="5602">
      <c r="B5602" s="6"/>
      <c r="C5602" s="33" t="str">
        <f t="array" ref="C5602">IF(B5602="", "", XLOOKUP(B5602, Inventory!D:D,Inventory!E:E,"No Name Found"))</f>
        <v/>
      </c>
      <c r="D5602" s="6"/>
      <c r="E5602" s="6"/>
      <c r="F5602" s="6"/>
      <c r="G5602" s="24" t="str">
        <f>IF(F5602="", "", VLOOKUP(F5602, Inventory!A:BZ, 3, FALSE) - SUMIF($F$1:$F5601, F5602, $H$1:$H5601))
</f>
        <v/>
      </c>
      <c r="I5602" s="26"/>
      <c r="J5602" s="26" t="s">
        <v>77</v>
      </c>
      <c r="L5602" s="27" t="s">
        <v>77</v>
      </c>
      <c r="N5602" s="28" t="s">
        <v>77</v>
      </c>
      <c r="Q5602" s="30"/>
    </row>
    <row r="5603">
      <c r="B5603" s="6"/>
      <c r="C5603" s="33" t="str">
        <f t="array" ref="C5603">IF(B5603="", "", XLOOKUP(B5603, Inventory!D:D,Inventory!E:E,"No Name Found"))</f>
        <v/>
      </c>
      <c r="D5603" s="6"/>
      <c r="E5603" s="6"/>
      <c r="F5603" s="6"/>
      <c r="G5603" s="24" t="str">
        <f>IF(F5603="", "", VLOOKUP(F5603, Inventory!A:BZ, 3, FALSE) - SUMIF($F$1:$F5602, F5603, $H$1:$H5602))
</f>
        <v/>
      </c>
      <c r="I5603" s="26"/>
      <c r="J5603" s="26" t="s">
        <v>77</v>
      </c>
      <c r="L5603" s="27" t="s">
        <v>77</v>
      </c>
      <c r="N5603" s="28" t="s">
        <v>77</v>
      </c>
      <c r="Q5603" s="30"/>
    </row>
    <row r="5604">
      <c r="B5604" s="6"/>
      <c r="C5604" s="33" t="str">
        <f t="array" ref="C5604">IF(B5604="", "", XLOOKUP(B5604, Inventory!D:D,Inventory!E:E,"No Name Found"))</f>
        <v/>
      </c>
      <c r="D5604" s="6"/>
      <c r="E5604" s="6"/>
      <c r="F5604" s="6"/>
      <c r="G5604" s="24" t="str">
        <f>IF(F5604="", "", VLOOKUP(F5604, Inventory!A:BZ, 3, FALSE) - SUMIF($F$1:$F5603, F5604, $H$1:$H5603))
</f>
        <v/>
      </c>
      <c r="I5604" s="26"/>
      <c r="J5604" s="26" t="s">
        <v>77</v>
      </c>
      <c r="L5604" s="27" t="s">
        <v>77</v>
      </c>
      <c r="N5604" s="28" t="s">
        <v>77</v>
      </c>
      <c r="Q5604" s="30"/>
    </row>
    <row r="5605">
      <c r="B5605" s="6"/>
      <c r="C5605" s="33" t="str">
        <f t="array" ref="C5605">IF(B5605="", "", XLOOKUP(B5605, Inventory!D:D,Inventory!E:E,"No Name Found"))</f>
        <v/>
      </c>
      <c r="D5605" s="6"/>
      <c r="E5605" s="6"/>
      <c r="F5605" s="6"/>
      <c r="G5605" s="24" t="str">
        <f>IF(F5605="", "", VLOOKUP(F5605, Inventory!A:BZ, 3, FALSE) - SUMIF($F$1:$F5604, F5605, $H$1:$H5604))
</f>
        <v/>
      </c>
      <c r="I5605" s="26"/>
      <c r="J5605" s="26" t="s">
        <v>77</v>
      </c>
      <c r="L5605" s="27" t="s">
        <v>77</v>
      </c>
      <c r="N5605" s="28" t="s">
        <v>77</v>
      </c>
      <c r="Q5605" s="30"/>
    </row>
    <row r="5606">
      <c r="B5606" s="6"/>
      <c r="C5606" s="33" t="str">
        <f t="array" ref="C5606">IF(B5606="", "", XLOOKUP(B5606, Inventory!D:D,Inventory!E:E,"No Name Found"))</f>
        <v/>
      </c>
      <c r="D5606" s="6"/>
      <c r="E5606" s="6"/>
      <c r="F5606" s="6"/>
      <c r="G5606" s="24" t="str">
        <f>IF(F5606="", "", VLOOKUP(F5606, Inventory!A:BZ, 3, FALSE) - SUMIF($F$1:$F5605, F5606, $H$1:$H5605))
</f>
        <v/>
      </c>
      <c r="I5606" s="26"/>
      <c r="J5606" s="26" t="s">
        <v>77</v>
      </c>
      <c r="L5606" s="27" t="s">
        <v>77</v>
      </c>
      <c r="N5606" s="28" t="s">
        <v>77</v>
      </c>
      <c r="Q5606" s="30"/>
    </row>
    <row r="5607">
      <c r="B5607" s="6"/>
      <c r="C5607" s="33" t="str">
        <f t="array" ref="C5607">IF(B5607="", "", XLOOKUP(B5607, Inventory!D:D,Inventory!E:E,"No Name Found"))</f>
        <v/>
      </c>
      <c r="D5607" s="6"/>
      <c r="E5607" s="6"/>
      <c r="F5607" s="6"/>
      <c r="G5607" s="24" t="str">
        <f>IF(F5607="", "", VLOOKUP(F5607, Inventory!A:BZ, 3, FALSE) - SUMIF($F$1:$F5606, F5607, $H$1:$H5606))
</f>
        <v/>
      </c>
      <c r="I5607" s="26"/>
      <c r="J5607" s="26" t="s">
        <v>77</v>
      </c>
      <c r="L5607" s="27" t="s">
        <v>77</v>
      </c>
      <c r="N5607" s="28" t="s">
        <v>77</v>
      </c>
      <c r="Q5607" s="30"/>
    </row>
    <row r="5608">
      <c r="B5608" s="6"/>
      <c r="C5608" s="33" t="str">
        <f t="array" ref="C5608">IF(B5608="", "", XLOOKUP(B5608, Inventory!D:D,Inventory!E:E,"No Name Found"))</f>
        <v/>
      </c>
      <c r="D5608" s="6"/>
      <c r="E5608" s="6"/>
      <c r="F5608" s="6"/>
      <c r="G5608" s="24" t="str">
        <f>IF(F5608="", "", VLOOKUP(F5608, Inventory!A:BZ, 3, FALSE) - SUMIF($F$1:$F5607, F5608, $H$1:$H5607))
</f>
        <v/>
      </c>
      <c r="I5608" s="26"/>
      <c r="J5608" s="26" t="s">
        <v>77</v>
      </c>
      <c r="L5608" s="27" t="s">
        <v>77</v>
      </c>
      <c r="N5608" s="28" t="s">
        <v>77</v>
      </c>
      <c r="Q5608" s="30"/>
    </row>
    <row r="5609">
      <c r="B5609" s="6"/>
      <c r="C5609" s="33" t="str">
        <f t="array" ref="C5609">IF(B5609="", "", XLOOKUP(B5609, Inventory!D:D,Inventory!E:E,"No Name Found"))</f>
        <v/>
      </c>
      <c r="D5609" s="6"/>
      <c r="E5609" s="6"/>
      <c r="F5609" s="6"/>
      <c r="G5609" s="24" t="str">
        <f>IF(F5609="", "", VLOOKUP(F5609, Inventory!A:BZ, 3, FALSE) - SUMIF($F$1:$F5608, F5609, $H$1:$H5608))
</f>
        <v/>
      </c>
      <c r="I5609" s="26"/>
      <c r="J5609" s="26" t="s">
        <v>77</v>
      </c>
      <c r="L5609" s="27" t="s">
        <v>77</v>
      </c>
      <c r="N5609" s="28" t="s">
        <v>77</v>
      </c>
      <c r="Q5609" s="30"/>
    </row>
    <row r="5610">
      <c r="B5610" s="6"/>
      <c r="C5610" s="33" t="str">
        <f t="array" ref="C5610">IF(B5610="", "", XLOOKUP(B5610, Inventory!D:D,Inventory!E:E,"No Name Found"))</f>
        <v/>
      </c>
      <c r="D5610" s="6"/>
      <c r="E5610" s="6"/>
      <c r="F5610" s="6"/>
      <c r="G5610" s="24" t="str">
        <f>IF(F5610="", "", VLOOKUP(F5610, Inventory!A:BZ, 3, FALSE) - SUMIF($F$1:$F5609, F5610, $H$1:$H5609))
</f>
        <v/>
      </c>
      <c r="I5610" s="26"/>
      <c r="J5610" s="26" t="s">
        <v>77</v>
      </c>
      <c r="L5610" s="27" t="s">
        <v>77</v>
      </c>
      <c r="N5610" s="28" t="s">
        <v>77</v>
      </c>
      <c r="Q5610" s="30"/>
    </row>
    <row r="5611">
      <c r="B5611" s="6"/>
      <c r="C5611" s="33" t="str">
        <f t="array" ref="C5611">IF(B5611="", "", XLOOKUP(B5611, Inventory!D:D,Inventory!E:E,"No Name Found"))</f>
        <v/>
      </c>
      <c r="D5611" s="6"/>
      <c r="E5611" s="6"/>
      <c r="F5611" s="6"/>
      <c r="G5611" s="24" t="str">
        <f>IF(F5611="", "", VLOOKUP(F5611, Inventory!A:BZ, 3, FALSE) - SUMIF($F$1:$F5610, F5611, $H$1:$H5610))
</f>
        <v/>
      </c>
      <c r="I5611" s="26"/>
      <c r="J5611" s="26" t="s">
        <v>77</v>
      </c>
      <c r="L5611" s="27" t="s">
        <v>77</v>
      </c>
      <c r="N5611" s="28" t="s">
        <v>77</v>
      </c>
      <c r="Q5611" s="30"/>
    </row>
    <row r="5612">
      <c r="B5612" s="6"/>
      <c r="C5612" s="33" t="str">
        <f t="array" ref="C5612">IF(B5612="", "", XLOOKUP(B5612, Inventory!D:D,Inventory!E:E,"No Name Found"))</f>
        <v/>
      </c>
      <c r="D5612" s="6"/>
      <c r="E5612" s="6"/>
      <c r="F5612" s="6"/>
      <c r="G5612" s="24" t="str">
        <f>IF(F5612="", "", VLOOKUP(F5612, Inventory!A:BZ, 3, FALSE) - SUMIF($F$1:$F5611, F5612, $H$1:$H5611))
</f>
        <v/>
      </c>
      <c r="I5612" s="26"/>
      <c r="J5612" s="26" t="s">
        <v>77</v>
      </c>
      <c r="L5612" s="27" t="s">
        <v>77</v>
      </c>
      <c r="N5612" s="28" t="s">
        <v>77</v>
      </c>
      <c r="Q5612" s="30"/>
    </row>
    <row r="5613">
      <c r="B5613" s="6"/>
      <c r="C5613" s="33" t="str">
        <f t="array" ref="C5613">IF(B5613="", "", XLOOKUP(B5613, Inventory!D:D,Inventory!E:E,"No Name Found"))</f>
        <v/>
      </c>
      <c r="D5613" s="6"/>
      <c r="E5613" s="6"/>
      <c r="F5613" s="6"/>
      <c r="G5613" s="24" t="str">
        <f>IF(F5613="", "", VLOOKUP(F5613, Inventory!A:BZ, 3, FALSE) - SUMIF($F$1:$F5612, F5613, $H$1:$H5612))
</f>
        <v/>
      </c>
      <c r="I5613" s="26"/>
      <c r="J5613" s="26" t="s">
        <v>77</v>
      </c>
      <c r="L5613" s="27" t="s">
        <v>77</v>
      </c>
      <c r="N5613" s="28" t="s">
        <v>77</v>
      </c>
      <c r="Q5613" s="30"/>
    </row>
    <row r="5614">
      <c r="B5614" s="6"/>
      <c r="C5614" s="33" t="str">
        <f t="array" ref="C5614">IF(B5614="", "", XLOOKUP(B5614, Inventory!D:D,Inventory!E:E,"No Name Found"))</f>
        <v/>
      </c>
      <c r="D5614" s="6"/>
      <c r="E5614" s="6"/>
      <c r="F5614" s="6"/>
      <c r="G5614" s="24" t="str">
        <f>IF(F5614="", "", VLOOKUP(F5614, Inventory!A:BZ, 3, FALSE) - SUMIF($F$1:$F5613, F5614, $H$1:$H5613))
</f>
        <v/>
      </c>
      <c r="I5614" s="26"/>
      <c r="J5614" s="26" t="s">
        <v>77</v>
      </c>
      <c r="L5614" s="27" t="s">
        <v>77</v>
      </c>
      <c r="N5614" s="28" t="s">
        <v>77</v>
      </c>
      <c r="Q5614" s="30"/>
    </row>
    <row r="5615">
      <c r="B5615" s="6"/>
      <c r="C5615" s="33" t="str">
        <f t="array" ref="C5615">IF(B5615="", "", XLOOKUP(B5615, Inventory!D:D,Inventory!E:E,"No Name Found"))</f>
        <v/>
      </c>
      <c r="D5615" s="6"/>
      <c r="E5615" s="6"/>
      <c r="F5615" s="6"/>
      <c r="G5615" s="24" t="str">
        <f>IF(F5615="", "", VLOOKUP(F5615, Inventory!A:BZ, 3, FALSE) - SUMIF($F$1:$F5614, F5615, $H$1:$H5614))
</f>
        <v/>
      </c>
      <c r="I5615" s="26"/>
      <c r="J5615" s="26" t="s">
        <v>77</v>
      </c>
      <c r="L5615" s="27" t="s">
        <v>77</v>
      </c>
      <c r="N5615" s="28" t="s">
        <v>77</v>
      </c>
      <c r="Q5615" s="30"/>
    </row>
    <row r="5616">
      <c r="B5616" s="6"/>
      <c r="C5616" s="33" t="str">
        <f t="array" ref="C5616">IF(B5616="", "", XLOOKUP(B5616, Inventory!D:D,Inventory!E:E,"No Name Found"))</f>
        <v/>
      </c>
      <c r="D5616" s="6"/>
      <c r="E5616" s="6"/>
      <c r="F5616" s="6"/>
      <c r="G5616" s="24" t="str">
        <f>IF(F5616="", "", VLOOKUP(F5616, Inventory!A:BZ, 3, FALSE) - SUMIF($F$1:$F5615, F5616, $H$1:$H5615))
</f>
        <v/>
      </c>
      <c r="I5616" s="26"/>
      <c r="J5616" s="26" t="s">
        <v>77</v>
      </c>
      <c r="L5616" s="27" t="s">
        <v>77</v>
      </c>
      <c r="N5616" s="28" t="s">
        <v>77</v>
      </c>
      <c r="Q5616" s="30"/>
    </row>
    <row r="5617">
      <c r="B5617" s="6"/>
      <c r="C5617" s="33" t="str">
        <f t="array" ref="C5617">IF(B5617="", "", XLOOKUP(B5617, Inventory!D:D,Inventory!E:E,"No Name Found"))</f>
        <v/>
      </c>
      <c r="D5617" s="6"/>
      <c r="E5617" s="6"/>
      <c r="F5617" s="6"/>
      <c r="G5617" s="24" t="str">
        <f>IF(F5617="", "", VLOOKUP(F5617, Inventory!A:BZ, 3, FALSE) - SUMIF($F$1:$F5616, F5617, $H$1:$H5616))
</f>
        <v/>
      </c>
      <c r="I5617" s="26"/>
      <c r="J5617" s="26" t="s">
        <v>77</v>
      </c>
      <c r="L5617" s="27" t="s">
        <v>77</v>
      </c>
      <c r="N5617" s="28" t="s">
        <v>77</v>
      </c>
      <c r="Q5617" s="30"/>
    </row>
    <row r="5618">
      <c r="B5618" s="6"/>
      <c r="C5618" s="33" t="str">
        <f t="array" ref="C5618">IF(B5618="", "", XLOOKUP(B5618, Inventory!D:D,Inventory!E:E,"No Name Found"))</f>
        <v/>
      </c>
      <c r="D5618" s="6"/>
      <c r="E5618" s="6"/>
      <c r="F5618" s="6"/>
      <c r="G5618" s="24" t="str">
        <f>IF(F5618="", "", VLOOKUP(F5618, Inventory!A:BZ, 3, FALSE) - SUMIF($F$1:$F5617, F5618, $H$1:$H5617))
</f>
        <v/>
      </c>
      <c r="I5618" s="26"/>
      <c r="J5618" s="26" t="s">
        <v>77</v>
      </c>
      <c r="L5618" s="27" t="s">
        <v>77</v>
      </c>
      <c r="N5618" s="28" t="s">
        <v>77</v>
      </c>
      <c r="Q5618" s="30"/>
    </row>
    <row r="5619">
      <c r="B5619" s="6"/>
      <c r="C5619" s="33" t="str">
        <f t="array" ref="C5619">IF(B5619="", "", XLOOKUP(B5619, Inventory!D:D,Inventory!E:E,"No Name Found"))</f>
        <v/>
      </c>
      <c r="D5619" s="6"/>
      <c r="E5619" s="6"/>
      <c r="F5619" s="6"/>
      <c r="G5619" s="24" t="str">
        <f>IF(F5619="", "", VLOOKUP(F5619, Inventory!A:BZ, 3, FALSE) - SUMIF($F$1:$F5618, F5619, $H$1:$H5618))
</f>
        <v/>
      </c>
      <c r="I5619" s="26"/>
      <c r="J5619" s="26" t="s">
        <v>77</v>
      </c>
      <c r="L5619" s="27" t="s">
        <v>77</v>
      </c>
      <c r="N5619" s="28" t="s">
        <v>77</v>
      </c>
      <c r="Q5619" s="30"/>
    </row>
    <row r="5620">
      <c r="B5620" s="6"/>
      <c r="C5620" s="33" t="str">
        <f t="array" ref="C5620">IF(B5620="", "", XLOOKUP(B5620, Inventory!D:D,Inventory!E:E,"No Name Found"))</f>
        <v/>
      </c>
      <c r="D5620" s="6"/>
      <c r="E5620" s="6"/>
      <c r="F5620" s="6"/>
      <c r="G5620" s="24" t="str">
        <f>IF(F5620="", "", VLOOKUP(F5620, Inventory!A:BZ, 3, FALSE) - SUMIF($F$1:$F5619, F5620, $H$1:$H5619))
</f>
        <v/>
      </c>
      <c r="I5620" s="26"/>
      <c r="J5620" s="26" t="s">
        <v>77</v>
      </c>
      <c r="L5620" s="27" t="s">
        <v>77</v>
      </c>
      <c r="N5620" s="28" t="s">
        <v>77</v>
      </c>
      <c r="Q5620" s="30"/>
    </row>
    <row r="5621">
      <c r="B5621" s="6"/>
      <c r="C5621" s="33" t="str">
        <f t="array" ref="C5621">IF(B5621="", "", XLOOKUP(B5621, Inventory!D:D,Inventory!E:E,"No Name Found"))</f>
        <v/>
      </c>
      <c r="D5621" s="6"/>
      <c r="E5621" s="6"/>
      <c r="F5621" s="6"/>
      <c r="G5621" s="24" t="str">
        <f>IF(F5621="", "", VLOOKUP(F5621, Inventory!A:BZ, 3, FALSE) - SUMIF($F$1:$F5620, F5621, $H$1:$H5620))
</f>
        <v/>
      </c>
      <c r="I5621" s="26"/>
      <c r="J5621" s="26" t="s">
        <v>77</v>
      </c>
      <c r="L5621" s="27" t="s">
        <v>77</v>
      </c>
      <c r="N5621" s="28" t="s">
        <v>77</v>
      </c>
      <c r="Q5621" s="30"/>
    </row>
    <row r="5622">
      <c r="B5622" s="6"/>
      <c r="C5622" s="33" t="str">
        <f t="array" ref="C5622">IF(B5622="", "", XLOOKUP(B5622, Inventory!D:D,Inventory!E:E,"No Name Found"))</f>
        <v/>
      </c>
      <c r="D5622" s="6"/>
      <c r="E5622" s="6"/>
      <c r="F5622" s="6"/>
      <c r="G5622" s="24" t="str">
        <f>IF(F5622="", "", VLOOKUP(F5622, Inventory!A:BZ, 3, FALSE) - SUMIF($F$1:$F5621, F5622, $H$1:$H5621))
</f>
        <v/>
      </c>
      <c r="I5622" s="26"/>
      <c r="J5622" s="26" t="s">
        <v>77</v>
      </c>
      <c r="L5622" s="27" t="s">
        <v>77</v>
      </c>
      <c r="N5622" s="28" t="s">
        <v>77</v>
      </c>
      <c r="Q5622" s="30"/>
    </row>
    <row r="5623">
      <c r="B5623" s="6"/>
      <c r="C5623" s="33" t="str">
        <f t="array" ref="C5623">IF(B5623="", "", XLOOKUP(B5623, Inventory!D:D,Inventory!E:E,"No Name Found"))</f>
        <v/>
      </c>
      <c r="D5623" s="6"/>
      <c r="E5623" s="6"/>
      <c r="F5623" s="6"/>
      <c r="G5623" s="24" t="str">
        <f>IF(F5623="", "", VLOOKUP(F5623, Inventory!A:BZ, 3, FALSE) - SUMIF($F$1:$F5622, F5623, $H$1:$H5622))
</f>
        <v/>
      </c>
      <c r="I5623" s="26"/>
      <c r="J5623" s="26" t="s">
        <v>77</v>
      </c>
      <c r="L5623" s="27" t="s">
        <v>77</v>
      </c>
      <c r="N5623" s="28" t="s">
        <v>77</v>
      </c>
      <c r="Q5623" s="30"/>
    </row>
    <row r="5624">
      <c r="B5624" s="6"/>
      <c r="C5624" s="33" t="str">
        <f t="array" ref="C5624">IF(B5624="", "", XLOOKUP(B5624, Inventory!D:D,Inventory!E:E,"No Name Found"))</f>
        <v/>
      </c>
      <c r="D5624" s="6"/>
      <c r="E5624" s="6"/>
      <c r="F5624" s="6"/>
      <c r="G5624" s="24" t="str">
        <f>IF(F5624="", "", VLOOKUP(F5624, Inventory!A:BZ, 3, FALSE) - SUMIF($F$1:$F5623, F5624, $H$1:$H5623))
</f>
        <v/>
      </c>
      <c r="I5624" s="26"/>
      <c r="J5624" s="26" t="s">
        <v>77</v>
      </c>
      <c r="L5624" s="27" t="s">
        <v>77</v>
      </c>
      <c r="N5624" s="28" t="s">
        <v>77</v>
      </c>
      <c r="Q5624" s="30"/>
    </row>
    <row r="5625">
      <c r="B5625" s="6"/>
      <c r="C5625" s="33" t="str">
        <f t="array" ref="C5625">IF(B5625="", "", XLOOKUP(B5625, Inventory!D:D,Inventory!E:E,"No Name Found"))</f>
        <v/>
      </c>
      <c r="D5625" s="6"/>
      <c r="E5625" s="6"/>
      <c r="F5625" s="6"/>
      <c r="G5625" s="24" t="str">
        <f>IF(F5625="", "", VLOOKUP(F5625, Inventory!A:BZ, 3, FALSE) - SUMIF($F$1:$F5624, F5625, $H$1:$H5624))
</f>
        <v/>
      </c>
      <c r="I5625" s="26"/>
      <c r="J5625" s="26" t="s">
        <v>77</v>
      </c>
      <c r="L5625" s="27" t="s">
        <v>77</v>
      </c>
      <c r="N5625" s="28" t="s">
        <v>77</v>
      </c>
      <c r="Q5625" s="30"/>
    </row>
    <row r="5626">
      <c r="B5626" s="6"/>
      <c r="C5626" s="33" t="str">
        <f t="array" ref="C5626">IF(B5626="", "", XLOOKUP(B5626, Inventory!D:D,Inventory!E:E,"No Name Found"))</f>
        <v/>
      </c>
      <c r="D5626" s="6"/>
      <c r="E5626" s="6"/>
      <c r="F5626" s="6"/>
      <c r="G5626" s="24" t="str">
        <f>IF(F5626="", "", VLOOKUP(F5626, Inventory!A:BZ, 3, FALSE) - SUMIF($F$1:$F5625, F5626, $H$1:$H5625))
</f>
        <v/>
      </c>
      <c r="I5626" s="26"/>
      <c r="J5626" s="26" t="s">
        <v>77</v>
      </c>
      <c r="L5626" s="27" t="s">
        <v>77</v>
      </c>
      <c r="N5626" s="28" t="s">
        <v>77</v>
      </c>
      <c r="Q5626" s="30"/>
    </row>
    <row r="5627">
      <c r="B5627" s="6"/>
      <c r="C5627" s="33" t="str">
        <f t="array" ref="C5627">IF(B5627="", "", XLOOKUP(B5627, Inventory!D:D,Inventory!E:E,"No Name Found"))</f>
        <v/>
      </c>
      <c r="D5627" s="6"/>
      <c r="E5627" s="6"/>
      <c r="F5627" s="6"/>
      <c r="G5627" s="24" t="str">
        <f>IF(F5627="", "", VLOOKUP(F5627, Inventory!A:BZ, 3, FALSE) - SUMIF($F$1:$F5626, F5627, $H$1:$H5626))
</f>
        <v/>
      </c>
      <c r="I5627" s="26"/>
      <c r="J5627" s="26" t="s">
        <v>77</v>
      </c>
      <c r="L5627" s="27" t="s">
        <v>77</v>
      </c>
      <c r="N5627" s="28" t="s">
        <v>77</v>
      </c>
      <c r="Q5627" s="30"/>
    </row>
    <row r="5628">
      <c r="B5628" s="6"/>
      <c r="C5628" s="33" t="str">
        <f t="array" ref="C5628">IF(B5628="", "", XLOOKUP(B5628, Inventory!D:D,Inventory!E:E,"No Name Found"))</f>
        <v/>
      </c>
      <c r="D5628" s="6"/>
      <c r="E5628" s="6"/>
      <c r="F5628" s="6"/>
      <c r="G5628" s="24" t="str">
        <f>IF(F5628="", "", VLOOKUP(F5628, Inventory!A:BZ, 3, FALSE) - SUMIF($F$1:$F5627, F5628, $H$1:$H5627))
</f>
        <v/>
      </c>
      <c r="I5628" s="26"/>
      <c r="J5628" s="26" t="s">
        <v>77</v>
      </c>
      <c r="L5628" s="27" t="s">
        <v>77</v>
      </c>
      <c r="N5628" s="28" t="s">
        <v>77</v>
      </c>
      <c r="Q5628" s="30"/>
    </row>
    <row r="5629">
      <c r="B5629" s="6"/>
      <c r="C5629" s="33" t="str">
        <f t="array" ref="C5629">IF(B5629="", "", XLOOKUP(B5629, Inventory!D:D,Inventory!E:E,"No Name Found"))</f>
        <v/>
      </c>
      <c r="D5629" s="6"/>
      <c r="E5629" s="6"/>
      <c r="F5629" s="6"/>
      <c r="G5629" s="24" t="str">
        <f>IF(F5629="", "", VLOOKUP(F5629, Inventory!A:BZ, 3, FALSE) - SUMIF($F$1:$F5628, F5629, $H$1:$H5628))
</f>
        <v/>
      </c>
      <c r="I5629" s="26"/>
      <c r="J5629" s="26" t="s">
        <v>77</v>
      </c>
      <c r="L5629" s="27" t="s">
        <v>77</v>
      </c>
      <c r="N5629" s="28" t="s">
        <v>77</v>
      </c>
      <c r="Q5629" s="30"/>
    </row>
    <row r="5630">
      <c r="B5630" s="6"/>
      <c r="C5630" s="33" t="str">
        <f t="array" ref="C5630">IF(B5630="", "", XLOOKUP(B5630, Inventory!D:D,Inventory!E:E,"No Name Found"))</f>
        <v/>
      </c>
      <c r="D5630" s="6"/>
      <c r="E5630" s="6"/>
      <c r="F5630" s="6"/>
      <c r="G5630" s="24" t="str">
        <f>IF(F5630="", "", VLOOKUP(F5630, Inventory!A:BZ, 3, FALSE) - SUMIF($F$1:$F5629, F5630, $H$1:$H5629))
</f>
        <v/>
      </c>
      <c r="I5630" s="26"/>
      <c r="J5630" s="26" t="s">
        <v>77</v>
      </c>
      <c r="L5630" s="27" t="s">
        <v>77</v>
      </c>
      <c r="N5630" s="28" t="s">
        <v>77</v>
      </c>
      <c r="Q5630" s="30"/>
    </row>
    <row r="5631">
      <c r="B5631" s="6"/>
      <c r="C5631" s="33" t="str">
        <f t="array" ref="C5631">IF(B5631="", "", XLOOKUP(B5631, Inventory!D:D,Inventory!E:E,"No Name Found"))</f>
        <v/>
      </c>
      <c r="D5631" s="6"/>
      <c r="E5631" s="6"/>
      <c r="F5631" s="6"/>
      <c r="G5631" s="24" t="str">
        <f>IF(F5631="", "", VLOOKUP(F5631, Inventory!A:BZ, 3, FALSE) - SUMIF($F$1:$F5630, F5631, $H$1:$H5630))
</f>
        <v/>
      </c>
      <c r="I5631" s="26"/>
      <c r="J5631" s="26" t="s">
        <v>77</v>
      </c>
      <c r="L5631" s="27" t="s">
        <v>77</v>
      </c>
      <c r="N5631" s="28" t="s">
        <v>77</v>
      </c>
      <c r="Q5631" s="30"/>
    </row>
    <row r="5632">
      <c r="B5632" s="6"/>
      <c r="C5632" s="33" t="str">
        <f t="array" ref="C5632">IF(B5632="", "", XLOOKUP(B5632, Inventory!D:D,Inventory!E:E,"No Name Found"))</f>
        <v/>
      </c>
      <c r="D5632" s="6"/>
      <c r="E5632" s="6"/>
      <c r="F5632" s="6"/>
      <c r="G5632" s="24" t="str">
        <f>IF(F5632="", "", VLOOKUP(F5632, Inventory!A:BZ, 3, FALSE) - SUMIF($F$1:$F5631, F5632, $H$1:$H5631))
</f>
        <v/>
      </c>
      <c r="I5632" s="26"/>
      <c r="J5632" s="26" t="s">
        <v>77</v>
      </c>
      <c r="L5632" s="27" t="s">
        <v>77</v>
      </c>
      <c r="N5632" s="28" t="s">
        <v>77</v>
      </c>
      <c r="Q5632" s="30"/>
    </row>
    <row r="5633">
      <c r="B5633" s="6"/>
      <c r="C5633" s="33" t="str">
        <f t="array" ref="C5633">IF(B5633="", "", XLOOKUP(B5633, Inventory!D:D,Inventory!E:E,"No Name Found"))</f>
        <v/>
      </c>
      <c r="D5633" s="6"/>
      <c r="E5633" s="6"/>
      <c r="F5633" s="6"/>
      <c r="G5633" s="24" t="str">
        <f>IF(F5633="", "", VLOOKUP(F5633, Inventory!A:BZ, 3, FALSE) - SUMIF($F$1:$F5632, F5633, $H$1:$H5632))
</f>
        <v/>
      </c>
      <c r="I5633" s="26"/>
      <c r="J5633" s="26" t="s">
        <v>77</v>
      </c>
      <c r="L5633" s="27" t="s">
        <v>77</v>
      </c>
      <c r="N5633" s="28" t="s">
        <v>77</v>
      </c>
      <c r="Q5633" s="30"/>
    </row>
    <row r="5634">
      <c r="B5634" s="6"/>
      <c r="C5634" s="33" t="str">
        <f t="array" ref="C5634">IF(B5634="", "", XLOOKUP(B5634, Inventory!D:D,Inventory!E:E,"No Name Found"))</f>
        <v/>
      </c>
      <c r="D5634" s="6"/>
      <c r="E5634" s="6"/>
      <c r="F5634" s="6"/>
      <c r="G5634" s="24" t="str">
        <f>IF(F5634="", "", VLOOKUP(F5634, Inventory!A:BZ, 3, FALSE) - SUMIF($F$1:$F5633, F5634, $H$1:$H5633))
</f>
        <v/>
      </c>
      <c r="I5634" s="26"/>
      <c r="J5634" s="26" t="s">
        <v>77</v>
      </c>
      <c r="L5634" s="27" t="s">
        <v>77</v>
      </c>
      <c r="N5634" s="28" t="s">
        <v>77</v>
      </c>
      <c r="Q5634" s="30"/>
    </row>
    <row r="5635">
      <c r="B5635" s="6"/>
      <c r="C5635" s="33" t="str">
        <f t="array" ref="C5635">IF(B5635="", "", XLOOKUP(B5635, Inventory!D:D,Inventory!E:E,"No Name Found"))</f>
        <v/>
      </c>
      <c r="D5635" s="6"/>
      <c r="E5635" s="6"/>
      <c r="F5635" s="6"/>
      <c r="G5635" s="24" t="str">
        <f>IF(F5635="", "", VLOOKUP(F5635, Inventory!A:BZ, 3, FALSE) - SUMIF($F$1:$F5634, F5635, $H$1:$H5634))
</f>
        <v/>
      </c>
      <c r="I5635" s="26"/>
      <c r="J5635" s="26" t="s">
        <v>77</v>
      </c>
      <c r="L5635" s="27" t="s">
        <v>77</v>
      </c>
      <c r="N5635" s="28" t="s">
        <v>77</v>
      </c>
      <c r="Q5635" s="30"/>
    </row>
    <row r="5636">
      <c r="B5636" s="6"/>
      <c r="C5636" s="33" t="str">
        <f t="array" ref="C5636">IF(B5636="", "", XLOOKUP(B5636, Inventory!D:D,Inventory!E:E,"No Name Found"))</f>
        <v/>
      </c>
      <c r="D5636" s="6"/>
      <c r="E5636" s="6"/>
      <c r="F5636" s="6"/>
      <c r="G5636" s="24" t="str">
        <f>IF(F5636="", "", VLOOKUP(F5636, Inventory!A:BZ, 3, FALSE) - SUMIF($F$1:$F5635, F5636, $H$1:$H5635))
</f>
        <v/>
      </c>
      <c r="I5636" s="26"/>
      <c r="J5636" s="26" t="s">
        <v>77</v>
      </c>
      <c r="L5636" s="27" t="s">
        <v>77</v>
      </c>
      <c r="N5636" s="28" t="s">
        <v>77</v>
      </c>
      <c r="Q5636" s="30"/>
    </row>
    <row r="5637">
      <c r="B5637" s="6"/>
      <c r="C5637" s="33" t="str">
        <f t="array" ref="C5637">IF(B5637="", "", XLOOKUP(B5637, Inventory!D:D,Inventory!E:E,"No Name Found"))</f>
        <v/>
      </c>
      <c r="D5637" s="6"/>
      <c r="E5637" s="6"/>
      <c r="F5637" s="6"/>
      <c r="G5637" s="24" t="str">
        <f>IF(F5637="", "", VLOOKUP(F5637, Inventory!A:BZ, 3, FALSE) - SUMIF($F$1:$F5636, F5637, $H$1:$H5636))
</f>
        <v/>
      </c>
      <c r="I5637" s="26"/>
      <c r="J5637" s="26" t="s">
        <v>77</v>
      </c>
      <c r="L5637" s="27" t="s">
        <v>77</v>
      </c>
      <c r="N5637" s="28" t="s">
        <v>77</v>
      </c>
      <c r="Q5637" s="30"/>
    </row>
    <row r="5638">
      <c r="B5638" s="6"/>
      <c r="C5638" s="33" t="str">
        <f t="array" ref="C5638">IF(B5638="", "", XLOOKUP(B5638, Inventory!D:D,Inventory!E:E,"No Name Found"))</f>
        <v/>
      </c>
      <c r="D5638" s="6"/>
      <c r="E5638" s="6"/>
      <c r="F5638" s="6"/>
      <c r="G5638" s="24" t="str">
        <f>IF(F5638="", "", VLOOKUP(F5638, Inventory!A:BZ, 3, FALSE) - SUMIF($F$1:$F5637, F5638, $H$1:$H5637))
</f>
        <v/>
      </c>
      <c r="I5638" s="26"/>
      <c r="J5638" s="26" t="s">
        <v>77</v>
      </c>
      <c r="L5638" s="27" t="s">
        <v>77</v>
      </c>
      <c r="N5638" s="28" t="s">
        <v>77</v>
      </c>
      <c r="Q5638" s="30"/>
    </row>
    <row r="5639">
      <c r="B5639" s="6"/>
      <c r="C5639" s="33" t="str">
        <f t="array" ref="C5639">IF(B5639="", "", XLOOKUP(B5639, Inventory!D:D,Inventory!E:E,"No Name Found"))</f>
        <v/>
      </c>
      <c r="D5639" s="6"/>
      <c r="E5639" s="6"/>
      <c r="F5639" s="6"/>
      <c r="G5639" s="24" t="str">
        <f>IF(F5639="", "", VLOOKUP(F5639, Inventory!A:BZ, 3, FALSE) - SUMIF($F$1:$F5638, F5639, $H$1:$H5638))
</f>
        <v/>
      </c>
      <c r="I5639" s="26"/>
      <c r="J5639" s="26" t="s">
        <v>77</v>
      </c>
      <c r="L5639" s="27" t="s">
        <v>77</v>
      </c>
      <c r="N5639" s="28" t="s">
        <v>77</v>
      </c>
      <c r="Q5639" s="30"/>
    </row>
    <row r="5640">
      <c r="B5640" s="6"/>
      <c r="C5640" s="33" t="str">
        <f t="array" ref="C5640">IF(B5640="", "", XLOOKUP(B5640, Inventory!D:D,Inventory!E:E,"No Name Found"))</f>
        <v/>
      </c>
      <c r="D5640" s="6"/>
      <c r="E5640" s="6"/>
      <c r="F5640" s="6"/>
      <c r="G5640" s="24" t="str">
        <f>IF(F5640="", "", VLOOKUP(F5640, Inventory!A:BZ, 3, FALSE) - SUMIF($F$1:$F5639, F5640, $H$1:$H5639))
</f>
        <v/>
      </c>
      <c r="I5640" s="26"/>
      <c r="J5640" s="26" t="s">
        <v>77</v>
      </c>
      <c r="L5640" s="27" t="s">
        <v>77</v>
      </c>
      <c r="N5640" s="28" t="s">
        <v>77</v>
      </c>
      <c r="Q5640" s="30"/>
    </row>
    <row r="5641">
      <c r="B5641" s="6"/>
      <c r="C5641" s="33" t="str">
        <f t="array" ref="C5641">IF(B5641="", "", XLOOKUP(B5641, Inventory!D:D,Inventory!E:E,"No Name Found"))</f>
        <v/>
      </c>
      <c r="D5641" s="6"/>
      <c r="E5641" s="6"/>
      <c r="F5641" s="6"/>
      <c r="G5641" s="24" t="str">
        <f>IF(F5641="", "", VLOOKUP(F5641, Inventory!A:BZ, 3, FALSE) - SUMIF($F$1:$F5640, F5641, $H$1:$H5640))
</f>
        <v/>
      </c>
      <c r="I5641" s="26"/>
      <c r="J5641" s="26" t="s">
        <v>77</v>
      </c>
      <c r="L5641" s="27" t="s">
        <v>77</v>
      </c>
      <c r="N5641" s="28" t="s">
        <v>77</v>
      </c>
      <c r="Q5641" s="30"/>
    </row>
    <row r="5642">
      <c r="B5642" s="6"/>
      <c r="C5642" s="33" t="str">
        <f t="array" ref="C5642">IF(B5642="", "", XLOOKUP(B5642, Inventory!D:D,Inventory!E:E,"No Name Found"))</f>
        <v/>
      </c>
      <c r="D5642" s="6"/>
      <c r="E5642" s="6"/>
      <c r="F5642" s="6"/>
      <c r="G5642" s="24" t="str">
        <f>IF(F5642="", "", VLOOKUP(F5642, Inventory!A:BZ, 3, FALSE) - SUMIF($F$1:$F5641, F5642, $H$1:$H5641))
</f>
        <v/>
      </c>
      <c r="I5642" s="26"/>
      <c r="J5642" s="26" t="s">
        <v>77</v>
      </c>
      <c r="L5642" s="27" t="s">
        <v>77</v>
      </c>
      <c r="N5642" s="28" t="s">
        <v>77</v>
      </c>
      <c r="Q5642" s="30"/>
    </row>
    <row r="5643">
      <c r="B5643" s="6"/>
      <c r="C5643" s="33" t="str">
        <f t="array" ref="C5643">IF(B5643="", "", XLOOKUP(B5643, Inventory!D:D,Inventory!E:E,"No Name Found"))</f>
        <v/>
      </c>
      <c r="D5643" s="6"/>
      <c r="E5643" s="6"/>
      <c r="F5643" s="6"/>
      <c r="G5643" s="24" t="str">
        <f>IF(F5643="", "", VLOOKUP(F5643, Inventory!A:BZ, 3, FALSE) - SUMIF($F$1:$F5642, F5643, $H$1:$H5642))
</f>
        <v/>
      </c>
      <c r="I5643" s="26"/>
      <c r="J5643" s="26" t="s">
        <v>77</v>
      </c>
      <c r="L5643" s="27" t="s">
        <v>77</v>
      </c>
      <c r="N5643" s="28" t="s">
        <v>77</v>
      </c>
      <c r="Q5643" s="30"/>
    </row>
    <row r="5644">
      <c r="B5644" s="6"/>
      <c r="C5644" s="33" t="str">
        <f t="array" ref="C5644">IF(B5644="", "", XLOOKUP(B5644, Inventory!D:D,Inventory!E:E,"No Name Found"))</f>
        <v/>
      </c>
      <c r="D5644" s="6"/>
      <c r="E5644" s="6"/>
      <c r="F5644" s="6"/>
      <c r="G5644" s="24" t="str">
        <f>IF(F5644="", "", VLOOKUP(F5644, Inventory!A:BZ, 3, FALSE) - SUMIF($F$1:$F5643, F5644, $H$1:$H5643))
</f>
        <v/>
      </c>
      <c r="I5644" s="26"/>
      <c r="J5644" s="26" t="s">
        <v>77</v>
      </c>
      <c r="L5644" s="27" t="s">
        <v>77</v>
      </c>
      <c r="N5644" s="28" t="s">
        <v>77</v>
      </c>
      <c r="Q5644" s="30"/>
    </row>
    <row r="5645">
      <c r="B5645" s="6"/>
      <c r="C5645" s="33" t="str">
        <f t="array" ref="C5645">IF(B5645="", "", XLOOKUP(B5645, Inventory!D:D,Inventory!E:E,"No Name Found"))</f>
        <v/>
      </c>
      <c r="D5645" s="6"/>
      <c r="E5645" s="6"/>
      <c r="F5645" s="6"/>
      <c r="G5645" s="24" t="str">
        <f>IF(F5645="", "", VLOOKUP(F5645, Inventory!A:BZ, 3, FALSE) - SUMIF($F$1:$F5644, F5645, $H$1:$H5644))
</f>
        <v/>
      </c>
      <c r="I5645" s="26"/>
      <c r="J5645" s="26" t="s">
        <v>77</v>
      </c>
      <c r="L5645" s="27" t="s">
        <v>77</v>
      </c>
      <c r="N5645" s="28" t="s">
        <v>77</v>
      </c>
      <c r="Q5645" s="30"/>
    </row>
    <row r="5646">
      <c r="B5646" s="6"/>
      <c r="C5646" s="33" t="str">
        <f t="array" ref="C5646">IF(B5646="", "", XLOOKUP(B5646, Inventory!D:D,Inventory!E:E,"No Name Found"))</f>
        <v/>
      </c>
      <c r="D5646" s="6"/>
      <c r="E5646" s="6"/>
      <c r="F5646" s="6"/>
      <c r="G5646" s="24" t="str">
        <f>IF(F5646="", "", VLOOKUP(F5646, Inventory!A:BZ, 3, FALSE) - SUMIF($F$1:$F5645, F5646, $H$1:$H5645))
</f>
        <v/>
      </c>
      <c r="I5646" s="26"/>
      <c r="J5646" s="26" t="s">
        <v>77</v>
      </c>
      <c r="L5646" s="27" t="s">
        <v>77</v>
      </c>
      <c r="N5646" s="28" t="s">
        <v>77</v>
      </c>
      <c r="Q5646" s="30"/>
    </row>
    <row r="5647">
      <c r="B5647" s="6"/>
      <c r="C5647" s="33" t="str">
        <f t="array" ref="C5647">IF(B5647="", "", XLOOKUP(B5647, Inventory!D:D,Inventory!E:E,"No Name Found"))</f>
        <v/>
      </c>
      <c r="D5647" s="6"/>
      <c r="E5647" s="6"/>
      <c r="F5647" s="6"/>
      <c r="G5647" s="24" t="str">
        <f>IF(F5647="", "", VLOOKUP(F5647, Inventory!A:BZ, 3, FALSE) - SUMIF($F$1:$F5646, F5647, $H$1:$H5646))
</f>
        <v/>
      </c>
      <c r="I5647" s="26"/>
      <c r="J5647" s="26" t="s">
        <v>77</v>
      </c>
      <c r="L5647" s="27" t="s">
        <v>77</v>
      </c>
      <c r="N5647" s="28" t="s">
        <v>77</v>
      </c>
      <c r="Q5647" s="30"/>
    </row>
    <row r="5648">
      <c r="B5648" s="6"/>
      <c r="C5648" s="33" t="str">
        <f t="array" ref="C5648">IF(B5648="", "", XLOOKUP(B5648, Inventory!D:D,Inventory!E:E,"No Name Found"))</f>
        <v/>
      </c>
      <c r="D5648" s="6"/>
      <c r="E5648" s="6"/>
      <c r="F5648" s="6"/>
      <c r="G5648" s="24" t="str">
        <f>IF(F5648="", "", VLOOKUP(F5648, Inventory!A:BZ, 3, FALSE) - SUMIF($F$1:$F5647, F5648, $H$1:$H5647))
</f>
        <v/>
      </c>
      <c r="I5648" s="26"/>
      <c r="J5648" s="26" t="s">
        <v>77</v>
      </c>
      <c r="L5648" s="27" t="s">
        <v>77</v>
      </c>
      <c r="N5648" s="28" t="s">
        <v>77</v>
      </c>
      <c r="Q5648" s="30"/>
    </row>
    <row r="5649">
      <c r="B5649" s="6"/>
      <c r="C5649" s="33" t="str">
        <f t="array" ref="C5649">IF(B5649="", "", XLOOKUP(B5649, Inventory!D:D,Inventory!E:E,"No Name Found"))</f>
        <v/>
      </c>
      <c r="D5649" s="6"/>
      <c r="E5649" s="6"/>
      <c r="F5649" s="6"/>
      <c r="G5649" s="24" t="str">
        <f>IF(F5649="", "", VLOOKUP(F5649, Inventory!A:BZ, 3, FALSE) - SUMIF($F$1:$F5648, F5649, $H$1:$H5648))
</f>
        <v/>
      </c>
      <c r="I5649" s="26"/>
      <c r="J5649" s="26" t="s">
        <v>77</v>
      </c>
      <c r="L5649" s="27" t="s">
        <v>77</v>
      </c>
      <c r="N5649" s="28" t="s">
        <v>77</v>
      </c>
      <c r="Q5649" s="30"/>
    </row>
    <row r="5650">
      <c r="B5650" s="6"/>
      <c r="C5650" s="33" t="str">
        <f t="array" ref="C5650">IF(B5650="", "", XLOOKUP(B5650, Inventory!D:D,Inventory!E:E,"No Name Found"))</f>
        <v/>
      </c>
      <c r="D5650" s="6"/>
      <c r="E5650" s="6"/>
      <c r="F5650" s="6"/>
      <c r="G5650" s="24" t="str">
        <f>IF(F5650="", "", VLOOKUP(F5650, Inventory!A:BZ, 3, FALSE) - SUMIF($F$1:$F5649, F5650, $H$1:$H5649))
</f>
        <v/>
      </c>
      <c r="I5650" s="26"/>
      <c r="J5650" s="26" t="s">
        <v>77</v>
      </c>
      <c r="L5650" s="27" t="s">
        <v>77</v>
      </c>
      <c r="N5650" s="28" t="s">
        <v>77</v>
      </c>
      <c r="Q5650" s="30"/>
    </row>
    <row r="5651">
      <c r="B5651" s="6"/>
      <c r="C5651" s="33" t="str">
        <f t="array" ref="C5651">IF(B5651="", "", XLOOKUP(B5651, Inventory!D:D,Inventory!E:E,"No Name Found"))</f>
        <v/>
      </c>
      <c r="D5651" s="6"/>
      <c r="E5651" s="6"/>
      <c r="F5651" s="6"/>
      <c r="G5651" s="24" t="str">
        <f>IF(F5651="", "", VLOOKUP(F5651, Inventory!A:BZ, 3, FALSE) - SUMIF($F$1:$F5650, F5651, $H$1:$H5650))
</f>
        <v/>
      </c>
      <c r="I5651" s="26"/>
      <c r="J5651" s="26" t="s">
        <v>77</v>
      </c>
      <c r="L5651" s="27" t="s">
        <v>77</v>
      </c>
      <c r="N5651" s="28" t="s">
        <v>77</v>
      </c>
      <c r="Q5651" s="30"/>
    </row>
    <row r="5652">
      <c r="B5652" s="6"/>
      <c r="C5652" s="33" t="str">
        <f t="array" ref="C5652">IF(B5652="", "", XLOOKUP(B5652, Inventory!D:D,Inventory!E:E,"No Name Found"))</f>
        <v/>
      </c>
      <c r="D5652" s="6"/>
      <c r="E5652" s="6"/>
      <c r="F5652" s="6"/>
      <c r="G5652" s="24" t="str">
        <f>IF(F5652="", "", VLOOKUP(F5652, Inventory!A:BZ, 3, FALSE) - SUMIF($F$1:$F5651, F5652, $H$1:$H5651))
</f>
        <v/>
      </c>
      <c r="I5652" s="26"/>
      <c r="J5652" s="26" t="s">
        <v>77</v>
      </c>
      <c r="L5652" s="27" t="s">
        <v>77</v>
      </c>
      <c r="N5652" s="28" t="s">
        <v>77</v>
      </c>
      <c r="Q5652" s="30"/>
    </row>
    <row r="5653">
      <c r="B5653" s="6"/>
      <c r="C5653" s="33" t="str">
        <f t="array" ref="C5653">IF(B5653="", "", XLOOKUP(B5653, Inventory!D:D,Inventory!E:E,"No Name Found"))</f>
        <v/>
      </c>
      <c r="D5653" s="6"/>
      <c r="E5653" s="6"/>
      <c r="F5653" s="6"/>
      <c r="G5653" s="24" t="str">
        <f>IF(F5653="", "", VLOOKUP(F5653, Inventory!A:BZ, 3, FALSE) - SUMIF($F$1:$F5652, F5653, $H$1:$H5652))
</f>
        <v/>
      </c>
      <c r="I5653" s="26"/>
      <c r="J5653" s="26" t="s">
        <v>77</v>
      </c>
      <c r="L5653" s="27" t="s">
        <v>77</v>
      </c>
      <c r="N5653" s="28" t="s">
        <v>77</v>
      </c>
      <c r="Q5653" s="30"/>
    </row>
    <row r="5654">
      <c r="B5654" s="6"/>
      <c r="C5654" s="33" t="str">
        <f t="array" ref="C5654">IF(B5654="", "", XLOOKUP(B5654, Inventory!D:D,Inventory!E:E,"No Name Found"))</f>
        <v/>
      </c>
      <c r="D5654" s="6"/>
      <c r="E5654" s="6"/>
      <c r="F5654" s="6"/>
      <c r="G5654" s="24" t="str">
        <f>IF(F5654="", "", VLOOKUP(F5654, Inventory!A:BZ, 3, FALSE) - SUMIF($F$1:$F5653, F5654, $H$1:$H5653))
</f>
        <v/>
      </c>
      <c r="I5654" s="26"/>
      <c r="J5654" s="26" t="s">
        <v>77</v>
      </c>
      <c r="L5654" s="27" t="s">
        <v>77</v>
      </c>
      <c r="N5654" s="28" t="s">
        <v>77</v>
      </c>
      <c r="Q5654" s="30"/>
    </row>
    <row r="5655">
      <c r="B5655" s="6"/>
      <c r="C5655" s="33" t="str">
        <f t="array" ref="C5655">IF(B5655="", "", XLOOKUP(B5655, Inventory!D:D,Inventory!E:E,"No Name Found"))</f>
        <v/>
      </c>
      <c r="D5655" s="6"/>
      <c r="E5655" s="6"/>
      <c r="F5655" s="6"/>
      <c r="G5655" s="24" t="str">
        <f>IF(F5655="", "", VLOOKUP(F5655, Inventory!A:BZ, 3, FALSE) - SUMIF($F$1:$F5654, F5655, $H$1:$H5654))
</f>
        <v/>
      </c>
      <c r="I5655" s="26"/>
      <c r="J5655" s="26" t="s">
        <v>77</v>
      </c>
      <c r="L5655" s="27" t="s">
        <v>77</v>
      </c>
      <c r="N5655" s="28" t="s">
        <v>77</v>
      </c>
      <c r="Q5655" s="30"/>
    </row>
    <row r="5656">
      <c r="B5656" s="6"/>
      <c r="C5656" s="33" t="str">
        <f t="array" ref="C5656">IF(B5656="", "", XLOOKUP(B5656, Inventory!D:D,Inventory!E:E,"No Name Found"))</f>
        <v/>
      </c>
      <c r="D5656" s="6"/>
      <c r="E5656" s="6"/>
      <c r="F5656" s="6"/>
      <c r="G5656" s="24" t="str">
        <f>IF(F5656="", "", VLOOKUP(F5656, Inventory!A:BZ, 3, FALSE) - SUMIF($F$1:$F5655, F5656, $H$1:$H5655))
</f>
        <v/>
      </c>
      <c r="I5656" s="26"/>
      <c r="J5656" s="26" t="s">
        <v>77</v>
      </c>
      <c r="L5656" s="27" t="s">
        <v>77</v>
      </c>
      <c r="N5656" s="28" t="s">
        <v>77</v>
      </c>
      <c r="Q5656" s="30"/>
    </row>
    <row r="5657">
      <c r="B5657" s="6"/>
      <c r="C5657" s="33" t="str">
        <f t="array" ref="C5657">IF(B5657="", "", XLOOKUP(B5657, Inventory!D:D,Inventory!E:E,"No Name Found"))</f>
        <v/>
      </c>
      <c r="D5657" s="6"/>
      <c r="E5657" s="6"/>
      <c r="F5657" s="6"/>
      <c r="G5657" s="24" t="str">
        <f>IF(F5657="", "", VLOOKUP(F5657, Inventory!A:BZ, 3, FALSE) - SUMIF($F$1:$F5656, F5657, $H$1:$H5656))
</f>
        <v/>
      </c>
      <c r="I5657" s="26"/>
      <c r="J5657" s="26" t="s">
        <v>77</v>
      </c>
      <c r="L5657" s="27" t="s">
        <v>77</v>
      </c>
      <c r="N5657" s="28" t="s">
        <v>77</v>
      </c>
      <c r="Q5657" s="30"/>
    </row>
    <row r="5658">
      <c r="B5658" s="6"/>
      <c r="C5658" s="33" t="str">
        <f t="array" ref="C5658">IF(B5658="", "", XLOOKUP(B5658, Inventory!D:D,Inventory!E:E,"No Name Found"))</f>
        <v/>
      </c>
      <c r="D5658" s="6"/>
      <c r="E5658" s="6"/>
      <c r="F5658" s="6"/>
      <c r="G5658" s="24" t="str">
        <f>IF(F5658="", "", VLOOKUP(F5658, Inventory!A:BZ, 3, FALSE) - SUMIF($F$1:$F5657, F5658, $H$1:$H5657))
</f>
        <v/>
      </c>
      <c r="I5658" s="26"/>
      <c r="J5658" s="26" t="s">
        <v>77</v>
      </c>
      <c r="L5658" s="27" t="s">
        <v>77</v>
      </c>
      <c r="N5658" s="28" t="s">
        <v>77</v>
      </c>
      <c r="Q5658" s="30"/>
    </row>
    <row r="5659">
      <c r="B5659" s="6"/>
      <c r="C5659" s="33" t="str">
        <f t="array" ref="C5659">IF(B5659="", "", XLOOKUP(B5659, Inventory!D:D,Inventory!E:E,"No Name Found"))</f>
        <v/>
      </c>
      <c r="D5659" s="6"/>
      <c r="E5659" s="6"/>
      <c r="F5659" s="6"/>
      <c r="G5659" s="24" t="str">
        <f>IF(F5659="", "", VLOOKUP(F5659, Inventory!A:BZ, 3, FALSE) - SUMIF($F$1:$F5658, F5659, $H$1:$H5658))
</f>
        <v/>
      </c>
      <c r="I5659" s="26"/>
      <c r="J5659" s="26" t="s">
        <v>77</v>
      </c>
      <c r="L5659" s="27" t="s">
        <v>77</v>
      </c>
      <c r="N5659" s="28" t="s">
        <v>77</v>
      </c>
      <c r="Q5659" s="30"/>
    </row>
    <row r="5660">
      <c r="B5660" s="6"/>
      <c r="C5660" s="33" t="str">
        <f t="array" ref="C5660">IF(B5660="", "", XLOOKUP(B5660, Inventory!D:D,Inventory!E:E,"No Name Found"))</f>
        <v/>
      </c>
      <c r="D5660" s="6"/>
      <c r="E5660" s="6"/>
      <c r="F5660" s="6"/>
      <c r="G5660" s="24" t="str">
        <f>IF(F5660="", "", VLOOKUP(F5660, Inventory!A:BZ, 3, FALSE) - SUMIF($F$1:$F5659, F5660, $H$1:$H5659))
</f>
        <v/>
      </c>
      <c r="I5660" s="26"/>
      <c r="J5660" s="26" t="s">
        <v>77</v>
      </c>
      <c r="L5660" s="27" t="s">
        <v>77</v>
      </c>
      <c r="N5660" s="28" t="s">
        <v>77</v>
      </c>
      <c r="Q5660" s="30"/>
    </row>
    <row r="5661">
      <c r="B5661" s="6"/>
      <c r="C5661" s="33" t="str">
        <f t="array" ref="C5661">IF(B5661="", "", XLOOKUP(B5661, Inventory!D:D,Inventory!E:E,"No Name Found"))</f>
        <v/>
      </c>
      <c r="D5661" s="6"/>
      <c r="E5661" s="6"/>
      <c r="F5661" s="6"/>
      <c r="G5661" s="24" t="str">
        <f>IF(F5661="", "", VLOOKUP(F5661, Inventory!A:BZ, 3, FALSE) - SUMIF($F$1:$F5660, F5661, $H$1:$H5660))
</f>
        <v/>
      </c>
      <c r="I5661" s="26"/>
      <c r="J5661" s="26" t="s">
        <v>77</v>
      </c>
      <c r="L5661" s="27" t="s">
        <v>77</v>
      </c>
      <c r="N5661" s="28" t="s">
        <v>77</v>
      </c>
      <c r="Q5661" s="30"/>
    </row>
    <row r="5662">
      <c r="B5662" s="6"/>
      <c r="C5662" s="33" t="str">
        <f t="array" ref="C5662">IF(B5662="", "", XLOOKUP(B5662, Inventory!D:D,Inventory!E:E,"No Name Found"))</f>
        <v/>
      </c>
      <c r="D5662" s="6"/>
      <c r="E5662" s="6"/>
      <c r="F5662" s="6"/>
      <c r="G5662" s="24" t="str">
        <f>IF(F5662="", "", VLOOKUP(F5662, Inventory!A:BZ, 3, FALSE) - SUMIF($F$1:$F5661, F5662, $H$1:$H5661))
</f>
        <v/>
      </c>
      <c r="I5662" s="26"/>
      <c r="J5662" s="26" t="s">
        <v>77</v>
      </c>
      <c r="L5662" s="27" t="s">
        <v>77</v>
      </c>
      <c r="N5662" s="28" t="s">
        <v>77</v>
      </c>
      <c r="Q5662" s="30"/>
    </row>
    <row r="5663">
      <c r="B5663" s="6"/>
      <c r="C5663" s="33" t="str">
        <f t="array" ref="C5663">IF(B5663="", "", XLOOKUP(B5663, Inventory!D:D,Inventory!E:E,"No Name Found"))</f>
        <v/>
      </c>
      <c r="D5663" s="6"/>
      <c r="E5663" s="6"/>
      <c r="F5663" s="6"/>
      <c r="G5663" s="24" t="str">
        <f>IF(F5663="", "", VLOOKUP(F5663, Inventory!A:BZ, 3, FALSE) - SUMIF($F$1:$F5662, F5663, $H$1:$H5662))
</f>
        <v/>
      </c>
      <c r="I5663" s="26"/>
      <c r="J5663" s="26" t="s">
        <v>77</v>
      </c>
      <c r="L5663" s="27" t="s">
        <v>77</v>
      </c>
      <c r="N5663" s="28" t="s">
        <v>77</v>
      </c>
      <c r="Q5663" s="30"/>
    </row>
    <row r="5664">
      <c r="B5664" s="6"/>
      <c r="C5664" s="33" t="str">
        <f t="array" ref="C5664">IF(B5664="", "", XLOOKUP(B5664, Inventory!D:D,Inventory!E:E,"No Name Found"))</f>
        <v/>
      </c>
      <c r="D5664" s="6"/>
      <c r="E5664" s="6"/>
      <c r="F5664" s="6"/>
      <c r="G5664" s="24" t="str">
        <f>IF(F5664="", "", VLOOKUP(F5664, Inventory!A:BZ, 3, FALSE) - SUMIF($F$1:$F5663, F5664, $H$1:$H5663))
</f>
        <v/>
      </c>
      <c r="I5664" s="26"/>
      <c r="J5664" s="26" t="s">
        <v>77</v>
      </c>
      <c r="L5664" s="27" t="s">
        <v>77</v>
      </c>
      <c r="N5664" s="28" t="s">
        <v>77</v>
      </c>
      <c r="Q5664" s="30"/>
    </row>
    <row r="5665">
      <c r="B5665" s="6"/>
      <c r="C5665" s="33" t="str">
        <f t="array" ref="C5665">IF(B5665="", "", XLOOKUP(B5665, Inventory!D:D,Inventory!E:E,"No Name Found"))</f>
        <v/>
      </c>
      <c r="D5665" s="6"/>
      <c r="E5665" s="6"/>
      <c r="F5665" s="6"/>
      <c r="G5665" s="24" t="str">
        <f>IF(F5665="", "", VLOOKUP(F5665, Inventory!A:BZ, 3, FALSE) - SUMIF($F$1:$F5664, F5665, $H$1:$H5664))
</f>
        <v/>
      </c>
      <c r="I5665" s="26"/>
      <c r="J5665" s="26" t="s">
        <v>77</v>
      </c>
      <c r="L5665" s="27" t="s">
        <v>77</v>
      </c>
      <c r="N5665" s="28" t="s">
        <v>77</v>
      </c>
      <c r="Q5665" s="30"/>
    </row>
    <row r="5666">
      <c r="B5666" s="6"/>
      <c r="C5666" s="33" t="str">
        <f t="array" ref="C5666">IF(B5666="", "", XLOOKUP(B5666, Inventory!D:D,Inventory!E:E,"No Name Found"))</f>
        <v/>
      </c>
      <c r="D5666" s="6"/>
      <c r="E5666" s="6"/>
      <c r="F5666" s="6"/>
      <c r="G5666" s="24" t="str">
        <f>IF(F5666="", "", VLOOKUP(F5666, Inventory!A:BZ, 3, FALSE) - SUMIF($F$1:$F5665, F5666, $H$1:$H5665))
</f>
        <v/>
      </c>
      <c r="I5666" s="26"/>
      <c r="J5666" s="26" t="s">
        <v>77</v>
      </c>
      <c r="L5666" s="27" t="s">
        <v>77</v>
      </c>
      <c r="N5666" s="28" t="s">
        <v>77</v>
      </c>
      <c r="Q5666" s="30"/>
    </row>
    <row r="5667">
      <c r="B5667" s="6"/>
      <c r="C5667" s="33" t="str">
        <f t="array" ref="C5667">IF(B5667="", "", XLOOKUP(B5667, Inventory!D:D,Inventory!E:E,"No Name Found"))</f>
        <v/>
      </c>
      <c r="D5667" s="6"/>
      <c r="E5667" s="6"/>
      <c r="F5667" s="6"/>
      <c r="G5667" s="24" t="str">
        <f>IF(F5667="", "", VLOOKUP(F5667, Inventory!A:BZ, 3, FALSE) - SUMIF($F$1:$F5666, F5667, $H$1:$H5666))
</f>
        <v/>
      </c>
      <c r="I5667" s="26"/>
      <c r="J5667" s="26" t="s">
        <v>77</v>
      </c>
      <c r="L5667" s="27" t="s">
        <v>77</v>
      </c>
      <c r="N5667" s="28" t="s">
        <v>77</v>
      </c>
      <c r="Q5667" s="30"/>
    </row>
    <row r="5668">
      <c r="B5668" s="6"/>
      <c r="C5668" s="33" t="str">
        <f t="array" ref="C5668">IF(B5668="", "", XLOOKUP(B5668, Inventory!D:D,Inventory!E:E,"No Name Found"))</f>
        <v/>
      </c>
      <c r="D5668" s="6"/>
      <c r="E5668" s="6"/>
      <c r="F5668" s="6"/>
      <c r="G5668" s="24" t="str">
        <f>IF(F5668="", "", VLOOKUP(F5668, Inventory!A:BZ, 3, FALSE) - SUMIF($F$1:$F5667, F5668, $H$1:$H5667))
</f>
        <v/>
      </c>
      <c r="I5668" s="26"/>
      <c r="J5668" s="26" t="s">
        <v>77</v>
      </c>
      <c r="L5668" s="27" t="s">
        <v>77</v>
      </c>
      <c r="N5668" s="28" t="s">
        <v>77</v>
      </c>
      <c r="Q5668" s="30"/>
    </row>
    <row r="5669">
      <c r="B5669" s="6"/>
      <c r="C5669" s="33" t="str">
        <f t="array" ref="C5669">IF(B5669="", "", XLOOKUP(B5669, Inventory!D:D,Inventory!E:E,"No Name Found"))</f>
        <v/>
      </c>
      <c r="D5669" s="6"/>
      <c r="E5669" s="6"/>
      <c r="F5669" s="6"/>
      <c r="G5669" s="24" t="str">
        <f>IF(F5669="", "", VLOOKUP(F5669, Inventory!A:BZ, 3, FALSE) - SUMIF($F$1:$F5668, F5669, $H$1:$H5668))
</f>
        <v/>
      </c>
      <c r="I5669" s="26"/>
      <c r="J5669" s="26" t="s">
        <v>77</v>
      </c>
      <c r="L5669" s="27" t="s">
        <v>77</v>
      </c>
      <c r="N5669" s="28" t="s">
        <v>77</v>
      </c>
      <c r="Q5669" s="30"/>
    </row>
    <row r="5670">
      <c r="B5670" s="6"/>
      <c r="C5670" s="33" t="str">
        <f t="array" ref="C5670">IF(B5670="", "", XLOOKUP(B5670, Inventory!D:D,Inventory!E:E,"No Name Found"))</f>
        <v/>
      </c>
      <c r="D5670" s="6"/>
      <c r="E5670" s="6"/>
      <c r="F5670" s="6"/>
      <c r="G5670" s="24" t="str">
        <f>IF(F5670="", "", VLOOKUP(F5670, Inventory!A:BZ, 3, FALSE) - SUMIF($F$1:$F5669, F5670, $H$1:$H5669))
</f>
        <v/>
      </c>
      <c r="I5670" s="26"/>
      <c r="J5670" s="26" t="s">
        <v>77</v>
      </c>
      <c r="L5670" s="27" t="s">
        <v>77</v>
      </c>
      <c r="N5670" s="28" t="s">
        <v>77</v>
      </c>
      <c r="Q5670" s="30"/>
    </row>
    <row r="5671">
      <c r="B5671" s="6"/>
      <c r="C5671" s="33" t="str">
        <f t="array" ref="C5671">IF(B5671="", "", XLOOKUP(B5671, Inventory!D:D,Inventory!E:E,"No Name Found"))</f>
        <v/>
      </c>
      <c r="D5671" s="6"/>
      <c r="E5671" s="6"/>
      <c r="F5671" s="6"/>
      <c r="G5671" s="24" t="str">
        <f>IF(F5671="", "", VLOOKUP(F5671, Inventory!A:BZ, 3, FALSE) - SUMIF($F$1:$F5670, F5671, $H$1:$H5670))
</f>
        <v/>
      </c>
      <c r="I5671" s="26"/>
      <c r="J5671" s="26" t="s">
        <v>77</v>
      </c>
      <c r="L5671" s="27" t="s">
        <v>77</v>
      </c>
      <c r="N5671" s="28" t="s">
        <v>77</v>
      </c>
      <c r="Q5671" s="30"/>
    </row>
    <row r="5672">
      <c r="B5672" s="6"/>
      <c r="C5672" s="33" t="str">
        <f t="array" ref="C5672">IF(B5672="", "", XLOOKUP(B5672, Inventory!D:D,Inventory!E:E,"No Name Found"))</f>
        <v/>
      </c>
      <c r="D5672" s="6"/>
      <c r="E5672" s="6"/>
      <c r="F5672" s="6"/>
      <c r="G5672" s="24" t="str">
        <f>IF(F5672="", "", VLOOKUP(F5672, Inventory!A:BZ, 3, FALSE) - SUMIF($F$1:$F5671, F5672, $H$1:$H5671))
</f>
        <v/>
      </c>
      <c r="I5672" s="26"/>
      <c r="J5672" s="26" t="s">
        <v>77</v>
      </c>
      <c r="L5672" s="27" t="s">
        <v>77</v>
      </c>
      <c r="N5672" s="28" t="s">
        <v>77</v>
      </c>
      <c r="Q5672" s="30"/>
    </row>
    <row r="5673">
      <c r="B5673" s="6"/>
      <c r="C5673" s="33" t="str">
        <f t="array" ref="C5673">IF(B5673="", "", XLOOKUP(B5673, Inventory!D:D,Inventory!E:E,"No Name Found"))</f>
        <v/>
      </c>
      <c r="D5673" s="6"/>
      <c r="E5673" s="6"/>
      <c r="F5673" s="6"/>
      <c r="G5673" s="24" t="str">
        <f>IF(F5673="", "", VLOOKUP(F5673, Inventory!A:BZ, 3, FALSE) - SUMIF($F$1:$F5672, F5673, $H$1:$H5672))
</f>
        <v/>
      </c>
      <c r="I5673" s="26"/>
      <c r="J5673" s="26" t="s">
        <v>77</v>
      </c>
      <c r="L5673" s="27" t="s">
        <v>77</v>
      </c>
      <c r="N5673" s="28" t="s">
        <v>77</v>
      </c>
      <c r="Q5673" s="30"/>
    </row>
    <row r="5674">
      <c r="B5674" s="6"/>
      <c r="C5674" s="33" t="str">
        <f t="array" ref="C5674">IF(B5674="", "", XLOOKUP(B5674, Inventory!D:D,Inventory!E:E,"No Name Found"))</f>
        <v/>
      </c>
      <c r="D5674" s="6"/>
      <c r="E5674" s="6"/>
      <c r="F5674" s="6"/>
      <c r="G5674" s="24" t="str">
        <f>IF(F5674="", "", VLOOKUP(F5674, Inventory!A:BZ, 3, FALSE) - SUMIF($F$1:$F5673, F5674, $H$1:$H5673))
</f>
        <v/>
      </c>
      <c r="I5674" s="26"/>
      <c r="J5674" s="26" t="s">
        <v>77</v>
      </c>
      <c r="L5674" s="27" t="s">
        <v>77</v>
      </c>
      <c r="N5674" s="28" t="s">
        <v>77</v>
      </c>
      <c r="Q5674" s="30"/>
    </row>
    <row r="5675">
      <c r="B5675" s="6"/>
      <c r="C5675" s="33" t="str">
        <f t="array" ref="C5675">IF(B5675="", "", XLOOKUP(B5675, Inventory!D:D,Inventory!E:E,"No Name Found"))</f>
        <v/>
      </c>
      <c r="D5675" s="6"/>
      <c r="E5675" s="6"/>
      <c r="F5675" s="6"/>
      <c r="G5675" s="24" t="str">
        <f>IF(F5675="", "", VLOOKUP(F5675, Inventory!A:BZ, 3, FALSE) - SUMIF($F$1:$F5674, F5675, $H$1:$H5674))
</f>
        <v/>
      </c>
      <c r="I5675" s="26"/>
      <c r="J5675" s="26" t="s">
        <v>77</v>
      </c>
      <c r="L5675" s="27" t="s">
        <v>77</v>
      </c>
      <c r="N5675" s="28" t="s">
        <v>77</v>
      </c>
      <c r="Q5675" s="30"/>
    </row>
    <row r="5676">
      <c r="B5676" s="6"/>
      <c r="C5676" s="33" t="str">
        <f t="array" ref="C5676">IF(B5676="", "", XLOOKUP(B5676, Inventory!D:D,Inventory!E:E,"No Name Found"))</f>
        <v/>
      </c>
      <c r="D5676" s="6"/>
      <c r="E5676" s="6"/>
      <c r="F5676" s="6"/>
      <c r="G5676" s="24" t="str">
        <f>IF(F5676="", "", VLOOKUP(F5676, Inventory!A:BZ, 3, FALSE) - SUMIF($F$1:$F5675, F5676, $H$1:$H5675))
</f>
        <v/>
      </c>
      <c r="I5676" s="26"/>
      <c r="J5676" s="26" t="s">
        <v>77</v>
      </c>
      <c r="L5676" s="27" t="s">
        <v>77</v>
      </c>
      <c r="N5676" s="28" t="s">
        <v>77</v>
      </c>
      <c r="Q5676" s="30"/>
    </row>
    <row r="5677">
      <c r="B5677" s="6"/>
      <c r="C5677" s="33" t="str">
        <f t="array" ref="C5677">IF(B5677="", "", XLOOKUP(B5677, Inventory!D:D,Inventory!E:E,"No Name Found"))</f>
        <v/>
      </c>
      <c r="D5677" s="6"/>
      <c r="E5677" s="6"/>
      <c r="F5677" s="6"/>
      <c r="G5677" s="24" t="str">
        <f>IF(F5677="", "", VLOOKUP(F5677, Inventory!A:BZ, 3, FALSE) - SUMIF($F$1:$F5676, F5677, $H$1:$H5676))
</f>
        <v/>
      </c>
      <c r="I5677" s="26"/>
      <c r="J5677" s="26" t="s">
        <v>77</v>
      </c>
      <c r="L5677" s="27" t="s">
        <v>77</v>
      </c>
      <c r="N5677" s="28" t="s">
        <v>77</v>
      </c>
      <c r="Q5677" s="30"/>
    </row>
    <row r="5678">
      <c r="B5678" s="6"/>
      <c r="C5678" s="33" t="str">
        <f t="array" ref="C5678">IF(B5678="", "", XLOOKUP(B5678, Inventory!D:D,Inventory!E:E,"No Name Found"))</f>
        <v/>
      </c>
      <c r="D5678" s="6"/>
      <c r="E5678" s="6"/>
      <c r="F5678" s="6"/>
      <c r="G5678" s="24" t="str">
        <f>IF(F5678="", "", VLOOKUP(F5678, Inventory!A:BZ, 3, FALSE) - SUMIF($F$1:$F5677, F5678, $H$1:$H5677))
</f>
        <v/>
      </c>
      <c r="I5678" s="26"/>
      <c r="J5678" s="26" t="s">
        <v>77</v>
      </c>
      <c r="L5678" s="27" t="s">
        <v>77</v>
      </c>
      <c r="N5678" s="28" t="s">
        <v>77</v>
      </c>
      <c r="Q5678" s="30"/>
    </row>
    <row r="5679">
      <c r="B5679" s="6"/>
      <c r="C5679" s="33" t="str">
        <f t="array" ref="C5679">IF(B5679="", "", XLOOKUP(B5679, Inventory!D:D,Inventory!E:E,"No Name Found"))</f>
        <v/>
      </c>
      <c r="D5679" s="6"/>
      <c r="E5679" s="6"/>
      <c r="F5679" s="6"/>
      <c r="G5679" s="24" t="str">
        <f>IF(F5679="", "", VLOOKUP(F5679, Inventory!A:BZ, 3, FALSE) - SUMIF($F$1:$F5678, F5679, $H$1:$H5678))
</f>
        <v/>
      </c>
      <c r="I5679" s="26"/>
      <c r="J5679" s="26" t="s">
        <v>77</v>
      </c>
      <c r="L5679" s="27" t="s">
        <v>77</v>
      </c>
      <c r="N5679" s="28" t="s">
        <v>77</v>
      </c>
      <c r="Q5679" s="30"/>
    </row>
    <row r="5680">
      <c r="B5680" s="6"/>
      <c r="C5680" s="33" t="str">
        <f t="array" ref="C5680">IF(B5680="", "", XLOOKUP(B5680, Inventory!D:D,Inventory!E:E,"No Name Found"))</f>
        <v/>
      </c>
      <c r="D5680" s="6"/>
      <c r="E5680" s="6"/>
      <c r="F5680" s="6"/>
      <c r="G5680" s="24" t="str">
        <f>IF(F5680="", "", VLOOKUP(F5680, Inventory!A:BZ, 3, FALSE) - SUMIF($F$1:$F5679, F5680, $H$1:$H5679))
</f>
        <v/>
      </c>
      <c r="I5680" s="26"/>
      <c r="J5680" s="26" t="s">
        <v>77</v>
      </c>
      <c r="L5680" s="27" t="s">
        <v>77</v>
      </c>
      <c r="N5680" s="28" t="s">
        <v>77</v>
      </c>
      <c r="Q5680" s="30"/>
    </row>
    <row r="5681">
      <c r="B5681" s="6"/>
      <c r="C5681" s="33" t="str">
        <f t="array" ref="C5681">IF(B5681="", "", XLOOKUP(B5681, Inventory!D:D,Inventory!E:E,"No Name Found"))</f>
        <v/>
      </c>
      <c r="D5681" s="6"/>
      <c r="E5681" s="6"/>
      <c r="F5681" s="6"/>
      <c r="G5681" s="24" t="str">
        <f>IF(F5681="", "", VLOOKUP(F5681, Inventory!A:BZ, 3, FALSE) - SUMIF($F$1:$F5680, F5681, $H$1:$H5680))
</f>
        <v/>
      </c>
      <c r="I5681" s="26"/>
      <c r="J5681" s="26" t="s">
        <v>77</v>
      </c>
      <c r="L5681" s="27" t="s">
        <v>77</v>
      </c>
      <c r="N5681" s="28" t="s">
        <v>77</v>
      </c>
      <c r="Q5681" s="30"/>
    </row>
    <row r="5682">
      <c r="B5682" s="6"/>
      <c r="C5682" s="33" t="str">
        <f t="array" ref="C5682">IF(B5682="", "", XLOOKUP(B5682, Inventory!D:D,Inventory!E:E,"No Name Found"))</f>
        <v/>
      </c>
      <c r="D5682" s="6"/>
      <c r="E5682" s="6"/>
      <c r="F5682" s="6"/>
      <c r="G5682" s="24" t="str">
        <f>IF(F5682="", "", VLOOKUP(F5682, Inventory!A:BZ, 3, FALSE) - SUMIF($F$1:$F5681, F5682, $H$1:$H5681))
</f>
        <v/>
      </c>
      <c r="I5682" s="26"/>
      <c r="J5682" s="26" t="s">
        <v>77</v>
      </c>
      <c r="L5682" s="27" t="s">
        <v>77</v>
      </c>
      <c r="N5682" s="28" t="s">
        <v>77</v>
      </c>
      <c r="Q5682" s="30"/>
    </row>
    <row r="5683">
      <c r="B5683" s="6"/>
      <c r="C5683" s="33" t="str">
        <f t="array" ref="C5683">IF(B5683="", "", XLOOKUP(B5683, Inventory!D:D,Inventory!E:E,"No Name Found"))</f>
        <v/>
      </c>
      <c r="D5683" s="6"/>
      <c r="E5683" s="6"/>
      <c r="F5683" s="6"/>
      <c r="G5683" s="24" t="str">
        <f>IF(F5683="", "", VLOOKUP(F5683, Inventory!A:BZ, 3, FALSE) - SUMIF($F$1:$F5682, F5683, $H$1:$H5682))
</f>
        <v/>
      </c>
      <c r="I5683" s="26"/>
      <c r="J5683" s="26" t="s">
        <v>77</v>
      </c>
      <c r="L5683" s="27" t="s">
        <v>77</v>
      </c>
      <c r="N5683" s="28" t="s">
        <v>77</v>
      </c>
      <c r="Q5683" s="30"/>
    </row>
    <row r="5684">
      <c r="B5684" s="6"/>
      <c r="C5684" s="33" t="str">
        <f t="array" ref="C5684">IF(B5684="", "", XLOOKUP(B5684, Inventory!D:D,Inventory!E:E,"No Name Found"))</f>
        <v/>
      </c>
      <c r="D5684" s="6"/>
      <c r="E5684" s="6"/>
      <c r="F5684" s="6"/>
      <c r="G5684" s="24" t="str">
        <f>IF(F5684="", "", VLOOKUP(F5684, Inventory!A:BZ, 3, FALSE) - SUMIF($F$1:$F5683, F5684, $H$1:$H5683))
</f>
        <v/>
      </c>
      <c r="I5684" s="26"/>
      <c r="J5684" s="26" t="s">
        <v>77</v>
      </c>
      <c r="L5684" s="27" t="s">
        <v>77</v>
      </c>
      <c r="N5684" s="28" t="s">
        <v>77</v>
      </c>
      <c r="Q5684" s="30"/>
    </row>
    <row r="5685">
      <c r="B5685" s="6"/>
      <c r="C5685" s="33" t="str">
        <f t="array" ref="C5685">IF(B5685="", "", XLOOKUP(B5685, Inventory!D:D,Inventory!E:E,"No Name Found"))</f>
        <v/>
      </c>
      <c r="D5685" s="6"/>
      <c r="E5685" s="6"/>
      <c r="F5685" s="6"/>
      <c r="G5685" s="24" t="str">
        <f>IF(F5685="", "", VLOOKUP(F5685, Inventory!A:BZ, 3, FALSE) - SUMIF($F$1:$F5684, F5685, $H$1:$H5684))
</f>
        <v/>
      </c>
      <c r="I5685" s="26"/>
      <c r="J5685" s="26" t="s">
        <v>77</v>
      </c>
      <c r="L5685" s="27" t="s">
        <v>77</v>
      </c>
      <c r="N5685" s="28" t="s">
        <v>77</v>
      </c>
      <c r="Q5685" s="30"/>
    </row>
    <row r="5686">
      <c r="B5686" s="6"/>
      <c r="C5686" s="33" t="str">
        <f t="array" ref="C5686">IF(B5686="", "", XLOOKUP(B5686, Inventory!D:D,Inventory!E:E,"No Name Found"))</f>
        <v/>
      </c>
      <c r="D5686" s="6"/>
      <c r="E5686" s="6"/>
      <c r="F5686" s="6"/>
      <c r="G5686" s="24" t="str">
        <f>IF(F5686="", "", VLOOKUP(F5686, Inventory!A:BZ, 3, FALSE) - SUMIF($F$1:$F5685, F5686, $H$1:$H5685))
</f>
        <v/>
      </c>
      <c r="I5686" s="26"/>
      <c r="J5686" s="26" t="s">
        <v>77</v>
      </c>
      <c r="L5686" s="27" t="s">
        <v>77</v>
      </c>
      <c r="N5686" s="28" t="s">
        <v>77</v>
      </c>
      <c r="Q5686" s="30"/>
    </row>
    <row r="5687">
      <c r="B5687" s="6"/>
      <c r="C5687" s="33" t="str">
        <f t="array" ref="C5687">IF(B5687="", "", XLOOKUP(B5687, Inventory!D:D,Inventory!E:E,"No Name Found"))</f>
        <v/>
      </c>
      <c r="D5687" s="6"/>
      <c r="E5687" s="6"/>
      <c r="F5687" s="6"/>
      <c r="G5687" s="24" t="str">
        <f>IF(F5687="", "", VLOOKUP(F5687, Inventory!A:BZ, 3, FALSE) - SUMIF($F$1:$F5686, F5687, $H$1:$H5686))
</f>
        <v/>
      </c>
      <c r="I5687" s="26"/>
      <c r="J5687" s="26" t="s">
        <v>77</v>
      </c>
      <c r="L5687" s="27" t="s">
        <v>77</v>
      </c>
      <c r="N5687" s="28" t="s">
        <v>77</v>
      </c>
      <c r="Q5687" s="30"/>
    </row>
    <row r="5688">
      <c r="B5688" s="6"/>
      <c r="C5688" s="33" t="str">
        <f t="array" ref="C5688">IF(B5688="", "", XLOOKUP(B5688, Inventory!D:D,Inventory!E:E,"No Name Found"))</f>
        <v/>
      </c>
      <c r="D5688" s="6"/>
      <c r="E5688" s="6"/>
      <c r="F5688" s="6"/>
      <c r="G5688" s="24" t="str">
        <f>IF(F5688="", "", VLOOKUP(F5688, Inventory!A:BZ, 3, FALSE) - SUMIF($F$1:$F5687, F5688, $H$1:$H5687))
</f>
        <v/>
      </c>
      <c r="I5688" s="26"/>
      <c r="J5688" s="26" t="s">
        <v>77</v>
      </c>
      <c r="L5688" s="27" t="s">
        <v>77</v>
      </c>
      <c r="N5688" s="28" t="s">
        <v>77</v>
      </c>
      <c r="Q5688" s="30"/>
    </row>
    <row r="5689">
      <c r="B5689" s="6"/>
      <c r="C5689" s="33" t="str">
        <f t="array" ref="C5689">IF(B5689="", "", XLOOKUP(B5689, Inventory!D:D,Inventory!E:E,"No Name Found"))</f>
        <v/>
      </c>
      <c r="D5689" s="6"/>
      <c r="E5689" s="6"/>
      <c r="F5689" s="6"/>
      <c r="G5689" s="24" t="str">
        <f>IF(F5689="", "", VLOOKUP(F5689, Inventory!A:BZ, 3, FALSE) - SUMIF($F$1:$F5688, F5689, $H$1:$H5688))
</f>
        <v/>
      </c>
      <c r="I5689" s="26"/>
      <c r="J5689" s="26" t="s">
        <v>77</v>
      </c>
      <c r="L5689" s="27" t="s">
        <v>77</v>
      </c>
      <c r="N5689" s="28" t="s">
        <v>77</v>
      </c>
      <c r="Q5689" s="30"/>
    </row>
    <row r="5690">
      <c r="B5690" s="6"/>
      <c r="C5690" s="33" t="str">
        <f t="array" ref="C5690">IF(B5690="", "", XLOOKUP(B5690, Inventory!D:D,Inventory!E:E,"No Name Found"))</f>
        <v/>
      </c>
      <c r="D5690" s="6"/>
      <c r="E5690" s="6"/>
      <c r="F5690" s="6"/>
      <c r="G5690" s="24" t="str">
        <f>IF(F5690="", "", VLOOKUP(F5690, Inventory!A:BZ, 3, FALSE) - SUMIF($F$1:$F5689, F5690, $H$1:$H5689))
</f>
        <v/>
      </c>
      <c r="I5690" s="26"/>
      <c r="J5690" s="26" t="s">
        <v>77</v>
      </c>
      <c r="L5690" s="27" t="s">
        <v>77</v>
      </c>
      <c r="N5690" s="28" t="s">
        <v>77</v>
      </c>
      <c r="Q5690" s="30"/>
    </row>
    <row r="5691">
      <c r="B5691" s="6"/>
      <c r="C5691" s="33" t="str">
        <f t="array" ref="C5691">IF(B5691="", "", XLOOKUP(B5691, Inventory!D:D,Inventory!E:E,"No Name Found"))</f>
        <v/>
      </c>
      <c r="D5691" s="6"/>
      <c r="E5691" s="6"/>
      <c r="F5691" s="6"/>
      <c r="G5691" s="24" t="str">
        <f>IF(F5691="", "", VLOOKUP(F5691, Inventory!A:BZ, 3, FALSE) - SUMIF($F$1:$F5690, F5691, $H$1:$H5690))
</f>
        <v/>
      </c>
      <c r="I5691" s="26"/>
      <c r="J5691" s="26" t="s">
        <v>77</v>
      </c>
      <c r="L5691" s="27" t="s">
        <v>77</v>
      </c>
      <c r="N5691" s="28" t="s">
        <v>77</v>
      </c>
      <c r="Q5691" s="30"/>
    </row>
    <row r="5692">
      <c r="B5692" s="6"/>
      <c r="C5692" s="33" t="str">
        <f t="array" ref="C5692">IF(B5692="", "", XLOOKUP(B5692, Inventory!D:D,Inventory!E:E,"No Name Found"))</f>
        <v/>
      </c>
      <c r="D5692" s="6"/>
      <c r="E5692" s="6"/>
      <c r="F5692" s="6"/>
      <c r="G5692" s="24" t="str">
        <f>IF(F5692="", "", VLOOKUP(F5692, Inventory!A:BZ, 3, FALSE) - SUMIF($F$1:$F5691, F5692, $H$1:$H5691))
</f>
        <v/>
      </c>
      <c r="I5692" s="26"/>
      <c r="J5692" s="26" t="s">
        <v>77</v>
      </c>
      <c r="L5692" s="27" t="s">
        <v>77</v>
      </c>
      <c r="N5692" s="28" t="s">
        <v>77</v>
      </c>
      <c r="Q5692" s="30"/>
    </row>
    <row r="5693">
      <c r="B5693" s="6"/>
      <c r="C5693" s="33" t="str">
        <f t="array" ref="C5693">IF(B5693="", "", XLOOKUP(B5693, Inventory!D:D,Inventory!E:E,"No Name Found"))</f>
        <v/>
      </c>
      <c r="D5693" s="6"/>
      <c r="E5693" s="6"/>
      <c r="F5693" s="6"/>
      <c r="G5693" s="24" t="str">
        <f>IF(F5693="", "", VLOOKUP(F5693, Inventory!A:BZ, 3, FALSE) - SUMIF($F$1:$F5692, F5693, $H$1:$H5692))
</f>
        <v/>
      </c>
      <c r="I5693" s="26"/>
      <c r="J5693" s="26" t="s">
        <v>77</v>
      </c>
      <c r="L5693" s="27" t="s">
        <v>77</v>
      </c>
      <c r="N5693" s="28" t="s">
        <v>77</v>
      </c>
      <c r="Q5693" s="30"/>
    </row>
    <row r="5694">
      <c r="B5694" s="6"/>
      <c r="C5694" s="33" t="str">
        <f t="array" ref="C5694">IF(B5694="", "", XLOOKUP(B5694, Inventory!D:D,Inventory!E:E,"No Name Found"))</f>
        <v/>
      </c>
      <c r="D5694" s="6"/>
      <c r="E5694" s="6"/>
      <c r="F5694" s="6"/>
      <c r="G5694" s="24" t="str">
        <f>IF(F5694="", "", VLOOKUP(F5694, Inventory!A:BZ, 3, FALSE) - SUMIF($F$1:$F5693, F5694, $H$1:$H5693))
</f>
        <v/>
      </c>
      <c r="I5694" s="26"/>
      <c r="J5694" s="26" t="s">
        <v>77</v>
      </c>
      <c r="L5694" s="27" t="s">
        <v>77</v>
      </c>
      <c r="N5694" s="28" t="s">
        <v>77</v>
      </c>
      <c r="Q5694" s="30"/>
    </row>
    <row r="5695">
      <c r="B5695" s="6"/>
      <c r="C5695" s="33" t="str">
        <f t="array" ref="C5695">IF(B5695="", "", XLOOKUP(B5695, Inventory!D:D,Inventory!E:E,"No Name Found"))</f>
        <v/>
      </c>
      <c r="D5695" s="6"/>
      <c r="E5695" s="6"/>
      <c r="F5695" s="6"/>
      <c r="G5695" s="24" t="str">
        <f>IF(F5695="", "", VLOOKUP(F5695, Inventory!A:BZ, 3, FALSE) - SUMIF($F$1:$F5694, F5695, $H$1:$H5694))
</f>
        <v/>
      </c>
      <c r="I5695" s="26"/>
      <c r="J5695" s="26" t="s">
        <v>77</v>
      </c>
      <c r="L5695" s="27" t="s">
        <v>77</v>
      </c>
      <c r="N5695" s="28" t="s">
        <v>77</v>
      </c>
      <c r="Q5695" s="30"/>
    </row>
    <row r="5696">
      <c r="B5696" s="6"/>
      <c r="C5696" s="33" t="str">
        <f t="array" ref="C5696">IF(B5696="", "", XLOOKUP(B5696, Inventory!D:D,Inventory!E:E,"No Name Found"))</f>
        <v/>
      </c>
      <c r="D5696" s="6"/>
      <c r="E5696" s="6"/>
      <c r="F5696" s="6"/>
      <c r="G5696" s="24" t="str">
        <f>IF(F5696="", "", VLOOKUP(F5696, Inventory!A:BZ, 3, FALSE) - SUMIF($F$1:$F5695, F5696, $H$1:$H5695))
</f>
        <v/>
      </c>
      <c r="I5696" s="26"/>
      <c r="J5696" s="26" t="s">
        <v>77</v>
      </c>
      <c r="L5696" s="27" t="s">
        <v>77</v>
      </c>
      <c r="N5696" s="28" t="s">
        <v>77</v>
      </c>
      <c r="Q5696" s="30"/>
    </row>
    <row r="5697">
      <c r="B5697" s="6"/>
      <c r="C5697" s="33" t="str">
        <f t="array" ref="C5697">IF(B5697="", "", XLOOKUP(B5697, Inventory!D:D,Inventory!E:E,"No Name Found"))</f>
        <v/>
      </c>
      <c r="D5697" s="6"/>
      <c r="E5697" s="6"/>
      <c r="F5697" s="6"/>
      <c r="G5697" s="24" t="str">
        <f>IF(F5697="", "", VLOOKUP(F5697, Inventory!A:BZ, 3, FALSE) - SUMIF($F$1:$F5696, F5697, $H$1:$H5696))
</f>
        <v/>
      </c>
      <c r="I5697" s="26"/>
      <c r="J5697" s="26" t="s">
        <v>77</v>
      </c>
      <c r="L5697" s="27" t="s">
        <v>77</v>
      </c>
      <c r="N5697" s="28" t="s">
        <v>77</v>
      </c>
      <c r="Q5697" s="30"/>
    </row>
    <row r="5698">
      <c r="B5698" s="6"/>
      <c r="C5698" s="33" t="str">
        <f t="array" ref="C5698">IF(B5698="", "", XLOOKUP(B5698, Inventory!D:D,Inventory!E:E,"No Name Found"))</f>
        <v/>
      </c>
      <c r="D5698" s="6"/>
      <c r="E5698" s="6"/>
      <c r="F5698" s="6"/>
      <c r="G5698" s="24" t="str">
        <f>IF(F5698="", "", VLOOKUP(F5698, Inventory!A:BZ, 3, FALSE) - SUMIF($F$1:$F5697, F5698, $H$1:$H5697))
</f>
        <v/>
      </c>
      <c r="I5698" s="26"/>
      <c r="J5698" s="26" t="s">
        <v>77</v>
      </c>
      <c r="L5698" s="27" t="s">
        <v>77</v>
      </c>
      <c r="N5698" s="28" t="s">
        <v>77</v>
      </c>
      <c r="Q5698" s="30"/>
    </row>
    <row r="5699">
      <c r="B5699" s="6"/>
      <c r="C5699" s="33" t="str">
        <f t="array" ref="C5699">IF(B5699="", "", XLOOKUP(B5699, Inventory!D:D,Inventory!E:E,"No Name Found"))</f>
        <v/>
      </c>
      <c r="D5699" s="6"/>
      <c r="E5699" s="6"/>
      <c r="F5699" s="6"/>
      <c r="G5699" s="24" t="str">
        <f>IF(F5699="", "", VLOOKUP(F5699, Inventory!A:BZ, 3, FALSE) - SUMIF($F$1:$F5698, F5699, $H$1:$H5698))
</f>
        <v/>
      </c>
      <c r="I5699" s="26"/>
      <c r="J5699" s="26" t="s">
        <v>77</v>
      </c>
      <c r="L5699" s="27" t="s">
        <v>77</v>
      </c>
      <c r="N5699" s="28" t="s">
        <v>77</v>
      </c>
      <c r="Q5699" s="30"/>
    </row>
    <row r="5700">
      <c r="B5700" s="6"/>
      <c r="C5700" s="33" t="str">
        <f t="array" ref="C5700">IF(B5700="", "", XLOOKUP(B5700, Inventory!D:D,Inventory!E:E,"No Name Found"))</f>
        <v/>
      </c>
      <c r="D5700" s="6"/>
      <c r="E5700" s="6"/>
      <c r="F5700" s="6"/>
      <c r="G5700" s="24" t="str">
        <f>IF(F5700="", "", VLOOKUP(F5700, Inventory!A:BZ, 3, FALSE) - SUMIF($F$1:$F5699, F5700, $H$1:$H5699))
</f>
        <v/>
      </c>
      <c r="I5700" s="26"/>
      <c r="J5700" s="26" t="s">
        <v>77</v>
      </c>
      <c r="L5700" s="27" t="s">
        <v>77</v>
      </c>
      <c r="N5700" s="28" t="s">
        <v>77</v>
      </c>
      <c r="Q5700" s="30"/>
    </row>
    <row r="5701">
      <c r="B5701" s="6"/>
      <c r="C5701" s="33" t="str">
        <f t="array" ref="C5701">IF(B5701="", "", XLOOKUP(B5701, Inventory!D:D,Inventory!E:E,"No Name Found"))</f>
        <v/>
      </c>
      <c r="D5701" s="6"/>
      <c r="E5701" s="6"/>
      <c r="F5701" s="6"/>
      <c r="G5701" s="24" t="str">
        <f>IF(F5701="", "", VLOOKUP(F5701, Inventory!A:BZ, 3, FALSE) - SUMIF($F$1:$F5700, F5701, $H$1:$H5700))
</f>
        <v/>
      </c>
      <c r="I5701" s="26"/>
      <c r="J5701" s="26" t="s">
        <v>77</v>
      </c>
      <c r="L5701" s="27" t="s">
        <v>77</v>
      </c>
      <c r="N5701" s="28" t="s">
        <v>77</v>
      </c>
      <c r="Q5701" s="30"/>
    </row>
    <row r="5702">
      <c r="B5702" s="6"/>
      <c r="C5702" s="33" t="str">
        <f t="array" ref="C5702">IF(B5702="", "", XLOOKUP(B5702, Inventory!D:D,Inventory!E:E,"No Name Found"))</f>
        <v/>
      </c>
      <c r="D5702" s="6"/>
      <c r="E5702" s="6"/>
      <c r="F5702" s="6"/>
      <c r="G5702" s="24" t="str">
        <f>IF(F5702="", "", VLOOKUP(F5702, Inventory!A:BZ, 3, FALSE) - SUMIF($F$1:$F5701, F5702, $H$1:$H5701))
</f>
        <v/>
      </c>
      <c r="I5702" s="26"/>
      <c r="J5702" s="26" t="s">
        <v>77</v>
      </c>
      <c r="L5702" s="27" t="s">
        <v>77</v>
      </c>
      <c r="N5702" s="28" t="s">
        <v>77</v>
      </c>
      <c r="Q5702" s="30"/>
    </row>
    <row r="5703">
      <c r="B5703" s="6"/>
      <c r="C5703" s="33" t="str">
        <f t="array" ref="C5703">IF(B5703="", "", XLOOKUP(B5703, Inventory!D:D,Inventory!E:E,"No Name Found"))</f>
        <v/>
      </c>
      <c r="D5703" s="6"/>
      <c r="E5703" s="6"/>
      <c r="F5703" s="6"/>
      <c r="G5703" s="24" t="str">
        <f>IF(F5703="", "", VLOOKUP(F5703, Inventory!A:BZ, 3, FALSE) - SUMIF($F$1:$F5702, F5703, $H$1:$H5702))
</f>
        <v/>
      </c>
      <c r="I5703" s="26"/>
      <c r="J5703" s="26" t="s">
        <v>77</v>
      </c>
      <c r="L5703" s="27" t="s">
        <v>77</v>
      </c>
      <c r="N5703" s="28" t="s">
        <v>77</v>
      </c>
      <c r="Q5703" s="30"/>
    </row>
    <row r="5704">
      <c r="B5704" s="6"/>
      <c r="C5704" s="33" t="str">
        <f t="array" ref="C5704">IF(B5704="", "", XLOOKUP(B5704, Inventory!D:D,Inventory!E:E,"No Name Found"))</f>
        <v/>
      </c>
      <c r="D5704" s="6"/>
      <c r="E5704" s="6"/>
      <c r="F5704" s="6"/>
      <c r="G5704" s="24" t="str">
        <f>IF(F5704="", "", VLOOKUP(F5704, Inventory!A:BZ, 3, FALSE) - SUMIF($F$1:$F5703, F5704, $H$1:$H5703))
</f>
        <v/>
      </c>
      <c r="I5704" s="26"/>
      <c r="J5704" s="26" t="s">
        <v>77</v>
      </c>
      <c r="L5704" s="27" t="s">
        <v>77</v>
      </c>
      <c r="N5704" s="28" t="s">
        <v>77</v>
      </c>
      <c r="Q5704" s="30"/>
    </row>
    <row r="5705">
      <c r="B5705" s="6"/>
      <c r="C5705" s="33" t="str">
        <f t="array" ref="C5705">IF(B5705="", "", XLOOKUP(B5705, Inventory!D:D,Inventory!E:E,"No Name Found"))</f>
        <v/>
      </c>
      <c r="D5705" s="6"/>
      <c r="E5705" s="6"/>
      <c r="F5705" s="6"/>
      <c r="G5705" s="24" t="str">
        <f>IF(F5705="", "", VLOOKUP(F5705, Inventory!A:BZ, 3, FALSE) - SUMIF($F$1:$F5704, F5705, $H$1:$H5704))
</f>
        <v/>
      </c>
      <c r="I5705" s="26"/>
      <c r="J5705" s="26" t="s">
        <v>77</v>
      </c>
      <c r="L5705" s="27" t="s">
        <v>77</v>
      </c>
      <c r="N5705" s="28" t="s">
        <v>77</v>
      </c>
      <c r="Q5705" s="30"/>
    </row>
    <row r="5706">
      <c r="B5706" s="6"/>
      <c r="C5706" s="33" t="str">
        <f t="array" ref="C5706">IF(B5706="", "", XLOOKUP(B5706, Inventory!D:D,Inventory!E:E,"No Name Found"))</f>
        <v/>
      </c>
      <c r="D5706" s="6"/>
      <c r="E5706" s="6"/>
      <c r="F5706" s="6"/>
      <c r="G5706" s="24" t="str">
        <f>IF(F5706="", "", VLOOKUP(F5706, Inventory!A:BZ, 3, FALSE) - SUMIF($F$1:$F5705, F5706, $H$1:$H5705))
</f>
        <v/>
      </c>
      <c r="I5706" s="26"/>
      <c r="J5706" s="26" t="s">
        <v>77</v>
      </c>
      <c r="L5706" s="27" t="s">
        <v>77</v>
      </c>
      <c r="N5706" s="28" t="s">
        <v>77</v>
      </c>
      <c r="Q5706" s="30"/>
    </row>
    <row r="5707">
      <c r="B5707" s="6"/>
      <c r="C5707" s="33" t="str">
        <f t="array" ref="C5707">IF(B5707="", "", XLOOKUP(B5707, Inventory!D:D,Inventory!E:E,"No Name Found"))</f>
        <v/>
      </c>
      <c r="D5707" s="6"/>
      <c r="E5707" s="6"/>
      <c r="F5707" s="6"/>
      <c r="G5707" s="24" t="str">
        <f>IF(F5707="", "", VLOOKUP(F5707, Inventory!A:BZ, 3, FALSE) - SUMIF($F$1:$F5706, F5707, $H$1:$H5706))
</f>
        <v/>
      </c>
      <c r="I5707" s="26"/>
      <c r="J5707" s="26" t="s">
        <v>77</v>
      </c>
      <c r="L5707" s="27" t="s">
        <v>77</v>
      </c>
      <c r="N5707" s="28" t="s">
        <v>77</v>
      </c>
      <c r="Q5707" s="30"/>
    </row>
    <row r="5708">
      <c r="B5708" s="6"/>
      <c r="C5708" s="33" t="str">
        <f t="array" ref="C5708">IF(B5708="", "", XLOOKUP(B5708, Inventory!D:D,Inventory!E:E,"No Name Found"))</f>
        <v/>
      </c>
      <c r="D5708" s="6"/>
      <c r="E5708" s="6"/>
      <c r="F5708" s="6"/>
      <c r="G5708" s="24" t="str">
        <f>IF(F5708="", "", VLOOKUP(F5708, Inventory!A:BZ, 3, FALSE) - SUMIF($F$1:$F5707, F5708, $H$1:$H5707))
</f>
        <v/>
      </c>
      <c r="I5708" s="26"/>
      <c r="J5708" s="26" t="s">
        <v>77</v>
      </c>
      <c r="L5708" s="27" t="s">
        <v>77</v>
      </c>
      <c r="N5708" s="28" t="s">
        <v>77</v>
      </c>
      <c r="Q5708" s="30"/>
    </row>
    <row r="5709">
      <c r="B5709" s="6"/>
      <c r="C5709" s="33" t="str">
        <f t="array" ref="C5709">IF(B5709="", "", XLOOKUP(B5709, Inventory!D:D,Inventory!E:E,"No Name Found"))</f>
        <v/>
      </c>
      <c r="D5709" s="6"/>
      <c r="E5709" s="6"/>
      <c r="F5709" s="6"/>
      <c r="G5709" s="24" t="str">
        <f>IF(F5709="", "", VLOOKUP(F5709, Inventory!A:BZ, 3, FALSE) - SUMIF($F$1:$F5708, F5709, $H$1:$H5708))
</f>
        <v/>
      </c>
      <c r="I5709" s="26"/>
      <c r="J5709" s="26" t="s">
        <v>77</v>
      </c>
      <c r="L5709" s="27" t="s">
        <v>77</v>
      </c>
      <c r="N5709" s="28" t="s">
        <v>77</v>
      </c>
      <c r="Q5709" s="30"/>
    </row>
    <row r="5710">
      <c r="B5710" s="6"/>
      <c r="C5710" s="33" t="str">
        <f t="array" ref="C5710">IF(B5710="", "", XLOOKUP(B5710, Inventory!D:D,Inventory!E:E,"No Name Found"))</f>
        <v/>
      </c>
      <c r="D5710" s="6"/>
      <c r="E5710" s="6"/>
      <c r="F5710" s="6"/>
      <c r="G5710" s="24" t="str">
        <f>IF(F5710="", "", VLOOKUP(F5710, Inventory!A:BZ, 3, FALSE) - SUMIF($F$1:$F5709, F5710, $H$1:$H5709))
</f>
        <v/>
      </c>
      <c r="I5710" s="26"/>
      <c r="J5710" s="26" t="s">
        <v>77</v>
      </c>
      <c r="L5710" s="27" t="s">
        <v>77</v>
      </c>
      <c r="N5710" s="28" t="s">
        <v>77</v>
      </c>
      <c r="Q5710" s="30"/>
    </row>
    <row r="5711">
      <c r="B5711" s="6"/>
      <c r="C5711" s="33" t="str">
        <f t="array" ref="C5711">IF(B5711="", "", XLOOKUP(B5711, Inventory!D:D,Inventory!E:E,"No Name Found"))</f>
        <v/>
      </c>
      <c r="D5711" s="6"/>
      <c r="E5711" s="6"/>
      <c r="F5711" s="6"/>
      <c r="G5711" s="24" t="str">
        <f>IF(F5711="", "", VLOOKUP(F5711, Inventory!A:BZ, 3, FALSE) - SUMIF($F$1:$F5710, F5711, $H$1:$H5710))
</f>
        <v/>
      </c>
      <c r="I5711" s="26"/>
      <c r="J5711" s="26" t="s">
        <v>77</v>
      </c>
      <c r="L5711" s="27" t="s">
        <v>77</v>
      </c>
      <c r="N5711" s="28" t="s">
        <v>77</v>
      </c>
      <c r="Q5711" s="30"/>
    </row>
    <row r="5712">
      <c r="B5712" s="6"/>
      <c r="C5712" s="33" t="str">
        <f t="array" ref="C5712">IF(B5712="", "", XLOOKUP(B5712, Inventory!D:D,Inventory!E:E,"No Name Found"))</f>
        <v/>
      </c>
      <c r="D5712" s="6"/>
      <c r="E5712" s="6"/>
      <c r="F5712" s="6"/>
      <c r="G5712" s="24" t="str">
        <f>IF(F5712="", "", VLOOKUP(F5712, Inventory!A:BZ, 3, FALSE) - SUMIF($F$1:$F5711, F5712, $H$1:$H5711))
</f>
        <v/>
      </c>
      <c r="I5712" s="26"/>
      <c r="J5712" s="26" t="s">
        <v>77</v>
      </c>
      <c r="L5712" s="27" t="s">
        <v>77</v>
      </c>
      <c r="N5712" s="28" t="s">
        <v>77</v>
      </c>
      <c r="Q5712" s="30"/>
    </row>
    <row r="5713">
      <c r="B5713" s="6"/>
      <c r="C5713" s="33" t="str">
        <f t="array" ref="C5713">IF(B5713="", "", XLOOKUP(B5713, Inventory!D:D,Inventory!E:E,"No Name Found"))</f>
        <v/>
      </c>
      <c r="D5713" s="6"/>
      <c r="E5713" s="6"/>
      <c r="F5713" s="6"/>
      <c r="G5713" s="24" t="str">
        <f>IF(F5713="", "", VLOOKUP(F5713, Inventory!A:BZ, 3, FALSE) - SUMIF($F$1:$F5712, F5713, $H$1:$H5712))
</f>
        <v/>
      </c>
      <c r="I5713" s="26"/>
      <c r="J5713" s="26" t="s">
        <v>77</v>
      </c>
      <c r="L5713" s="27" t="s">
        <v>77</v>
      </c>
      <c r="N5713" s="28" t="s">
        <v>77</v>
      </c>
      <c r="Q5713" s="30"/>
    </row>
    <row r="5714">
      <c r="B5714" s="6"/>
      <c r="C5714" s="33" t="str">
        <f t="array" ref="C5714">IF(B5714="", "", XLOOKUP(B5714, Inventory!D:D,Inventory!E:E,"No Name Found"))</f>
        <v/>
      </c>
      <c r="D5714" s="6"/>
      <c r="E5714" s="6"/>
      <c r="F5714" s="6"/>
      <c r="G5714" s="24" t="str">
        <f>IF(F5714="", "", VLOOKUP(F5714, Inventory!A:BZ, 3, FALSE) - SUMIF($F$1:$F5713, F5714, $H$1:$H5713))
</f>
        <v/>
      </c>
      <c r="I5714" s="26"/>
      <c r="J5714" s="26" t="s">
        <v>77</v>
      </c>
      <c r="L5714" s="27" t="s">
        <v>77</v>
      </c>
      <c r="N5714" s="28" t="s">
        <v>77</v>
      </c>
      <c r="Q5714" s="30"/>
    </row>
    <row r="5715">
      <c r="B5715" s="6"/>
      <c r="C5715" s="33" t="str">
        <f t="array" ref="C5715">IF(B5715="", "", XLOOKUP(B5715, Inventory!D:D,Inventory!E:E,"No Name Found"))</f>
        <v/>
      </c>
      <c r="D5715" s="6"/>
      <c r="E5715" s="6"/>
      <c r="F5715" s="6"/>
      <c r="G5715" s="24" t="str">
        <f>IF(F5715="", "", VLOOKUP(F5715, Inventory!A:BZ, 3, FALSE) - SUMIF($F$1:$F5714, F5715, $H$1:$H5714))
</f>
        <v/>
      </c>
      <c r="I5715" s="26"/>
      <c r="J5715" s="26" t="s">
        <v>77</v>
      </c>
      <c r="L5715" s="27" t="s">
        <v>77</v>
      </c>
      <c r="N5715" s="28" t="s">
        <v>77</v>
      </c>
      <c r="Q5715" s="30"/>
    </row>
    <row r="5716">
      <c r="B5716" s="6"/>
      <c r="C5716" s="33" t="str">
        <f t="array" ref="C5716">IF(B5716="", "", XLOOKUP(B5716, Inventory!D:D,Inventory!E:E,"No Name Found"))</f>
        <v/>
      </c>
      <c r="D5716" s="6"/>
      <c r="E5716" s="6"/>
      <c r="F5716" s="6"/>
      <c r="G5716" s="24" t="str">
        <f>IF(F5716="", "", VLOOKUP(F5716, Inventory!A:BZ, 3, FALSE) - SUMIF($F$1:$F5715, F5716, $H$1:$H5715))
</f>
        <v/>
      </c>
      <c r="I5716" s="26"/>
      <c r="J5716" s="26" t="s">
        <v>77</v>
      </c>
      <c r="L5716" s="27" t="s">
        <v>77</v>
      </c>
      <c r="N5716" s="28" t="s">
        <v>77</v>
      </c>
      <c r="Q5716" s="30"/>
    </row>
    <row r="5717">
      <c r="B5717" s="6"/>
      <c r="C5717" s="33" t="str">
        <f t="array" ref="C5717">IF(B5717="", "", XLOOKUP(B5717, Inventory!D:D,Inventory!E:E,"No Name Found"))</f>
        <v/>
      </c>
      <c r="D5717" s="6"/>
      <c r="E5717" s="6"/>
      <c r="F5717" s="6"/>
      <c r="G5717" s="24" t="str">
        <f>IF(F5717="", "", VLOOKUP(F5717, Inventory!A:BZ, 3, FALSE) - SUMIF($F$1:$F5716, F5717, $H$1:$H5716))
</f>
        <v/>
      </c>
      <c r="I5717" s="26"/>
      <c r="J5717" s="26" t="s">
        <v>77</v>
      </c>
      <c r="L5717" s="27" t="s">
        <v>77</v>
      </c>
      <c r="N5717" s="28" t="s">
        <v>77</v>
      </c>
      <c r="Q5717" s="30"/>
    </row>
    <row r="5718">
      <c r="B5718" s="6"/>
      <c r="C5718" s="33" t="str">
        <f t="array" ref="C5718">IF(B5718="", "", XLOOKUP(B5718, Inventory!D:D,Inventory!E:E,"No Name Found"))</f>
        <v/>
      </c>
      <c r="D5718" s="6"/>
      <c r="E5718" s="6"/>
      <c r="F5718" s="6"/>
      <c r="G5718" s="24" t="str">
        <f>IF(F5718="", "", VLOOKUP(F5718, Inventory!A:BZ, 3, FALSE) - SUMIF($F$1:$F5717, F5718, $H$1:$H5717))
</f>
        <v/>
      </c>
      <c r="I5718" s="26"/>
      <c r="J5718" s="26" t="s">
        <v>77</v>
      </c>
      <c r="L5718" s="27" t="s">
        <v>77</v>
      </c>
      <c r="N5718" s="28" t="s">
        <v>77</v>
      </c>
      <c r="Q5718" s="30"/>
    </row>
    <row r="5719">
      <c r="B5719" s="6"/>
      <c r="C5719" s="33" t="str">
        <f t="array" ref="C5719">IF(B5719="", "", XLOOKUP(B5719, Inventory!D:D,Inventory!E:E,"No Name Found"))</f>
        <v/>
      </c>
      <c r="D5719" s="6"/>
      <c r="E5719" s="6"/>
      <c r="F5719" s="6"/>
      <c r="G5719" s="24" t="str">
        <f>IF(F5719="", "", VLOOKUP(F5719, Inventory!A:BZ, 3, FALSE) - SUMIF($F$1:$F5718, F5719, $H$1:$H5718))
</f>
        <v/>
      </c>
      <c r="I5719" s="26"/>
      <c r="J5719" s="26" t="s">
        <v>77</v>
      </c>
      <c r="L5719" s="27" t="s">
        <v>77</v>
      </c>
      <c r="N5719" s="28" t="s">
        <v>77</v>
      </c>
      <c r="Q5719" s="30"/>
    </row>
    <row r="5720">
      <c r="B5720" s="6"/>
      <c r="C5720" s="33" t="str">
        <f t="array" ref="C5720">IF(B5720="", "", XLOOKUP(B5720, Inventory!D:D,Inventory!E:E,"No Name Found"))</f>
        <v/>
      </c>
      <c r="D5720" s="6"/>
      <c r="E5720" s="6"/>
      <c r="F5720" s="6"/>
      <c r="G5720" s="24" t="str">
        <f>IF(F5720="", "", VLOOKUP(F5720, Inventory!A:BZ, 3, FALSE) - SUMIF($F$1:$F5719, F5720, $H$1:$H5719))
</f>
        <v/>
      </c>
      <c r="I5720" s="26"/>
      <c r="J5720" s="26" t="s">
        <v>77</v>
      </c>
      <c r="L5720" s="27" t="s">
        <v>77</v>
      </c>
      <c r="N5720" s="28" t="s">
        <v>77</v>
      </c>
      <c r="Q5720" s="30"/>
    </row>
    <row r="5721">
      <c r="B5721" s="6"/>
      <c r="C5721" s="33" t="str">
        <f t="array" ref="C5721">IF(B5721="", "", XLOOKUP(B5721, Inventory!D:D,Inventory!E:E,"No Name Found"))</f>
        <v/>
      </c>
      <c r="D5721" s="6"/>
      <c r="E5721" s="6"/>
      <c r="F5721" s="6"/>
      <c r="G5721" s="24" t="str">
        <f>IF(F5721="", "", VLOOKUP(F5721, Inventory!A:BZ, 3, FALSE) - SUMIF($F$1:$F5720, F5721, $H$1:$H5720))
</f>
        <v/>
      </c>
      <c r="I5721" s="26"/>
      <c r="J5721" s="26" t="s">
        <v>77</v>
      </c>
      <c r="L5721" s="27" t="s">
        <v>77</v>
      </c>
      <c r="N5721" s="28" t="s">
        <v>77</v>
      </c>
      <c r="Q5721" s="30"/>
    </row>
    <row r="5722">
      <c r="B5722" s="6"/>
      <c r="C5722" s="33" t="str">
        <f t="array" ref="C5722">IF(B5722="", "", XLOOKUP(B5722, Inventory!D:D,Inventory!E:E,"No Name Found"))</f>
        <v/>
      </c>
      <c r="D5722" s="6"/>
      <c r="E5722" s="6"/>
      <c r="F5722" s="6"/>
      <c r="G5722" s="24" t="str">
        <f>IF(F5722="", "", VLOOKUP(F5722, Inventory!A:BZ, 3, FALSE) - SUMIF($F$1:$F5721, F5722, $H$1:$H5721))
</f>
        <v/>
      </c>
      <c r="I5722" s="26"/>
      <c r="J5722" s="26" t="s">
        <v>77</v>
      </c>
      <c r="L5722" s="27" t="s">
        <v>77</v>
      </c>
      <c r="N5722" s="28" t="s">
        <v>77</v>
      </c>
      <c r="Q5722" s="30"/>
    </row>
    <row r="5723">
      <c r="B5723" s="6"/>
      <c r="C5723" s="33" t="str">
        <f t="array" ref="C5723">IF(B5723="", "", XLOOKUP(B5723, Inventory!D:D,Inventory!E:E,"No Name Found"))</f>
        <v/>
      </c>
      <c r="D5723" s="6"/>
      <c r="E5723" s="6"/>
      <c r="F5723" s="6"/>
      <c r="G5723" s="24" t="str">
        <f>IF(F5723="", "", VLOOKUP(F5723, Inventory!A:BZ, 3, FALSE) - SUMIF($F$1:$F5722, F5723, $H$1:$H5722))
</f>
        <v/>
      </c>
      <c r="I5723" s="26"/>
      <c r="J5723" s="26" t="s">
        <v>77</v>
      </c>
      <c r="L5723" s="27" t="s">
        <v>77</v>
      </c>
      <c r="N5723" s="28" t="s">
        <v>77</v>
      </c>
      <c r="Q5723" s="30"/>
    </row>
    <row r="5724">
      <c r="B5724" s="6"/>
      <c r="C5724" s="33" t="str">
        <f t="array" ref="C5724">IF(B5724="", "", XLOOKUP(B5724, Inventory!D:D,Inventory!E:E,"No Name Found"))</f>
        <v/>
      </c>
      <c r="D5724" s="6"/>
      <c r="E5724" s="6"/>
      <c r="F5724" s="6"/>
      <c r="G5724" s="24" t="str">
        <f>IF(F5724="", "", VLOOKUP(F5724, Inventory!A:BZ, 3, FALSE) - SUMIF($F$1:$F5723, F5724, $H$1:$H5723))
</f>
        <v/>
      </c>
      <c r="I5724" s="26"/>
      <c r="J5724" s="26" t="s">
        <v>77</v>
      </c>
      <c r="L5724" s="27" t="s">
        <v>77</v>
      </c>
      <c r="N5724" s="28" t="s">
        <v>77</v>
      </c>
      <c r="Q5724" s="30"/>
    </row>
    <row r="5725">
      <c r="B5725" s="6"/>
      <c r="C5725" s="33" t="str">
        <f t="array" ref="C5725">IF(B5725="", "", XLOOKUP(B5725, Inventory!D:D,Inventory!E:E,"No Name Found"))</f>
        <v/>
      </c>
      <c r="D5725" s="6"/>
      <c r="E5725" s="6"/>
      <c r="F5725" s="6"/>
      <c r="G5725" s="24" t="str">
        <f>IF(F5725="", "", VLOOKUP(F5725, Inventory!A:BZ, 3, FALSE) - SUMIF($F$1:$F5724, F5725, $H$1:$H5724))
</f>
        <v/>
      </c>
      <c r="I5725" s="26"/>
      <c r="J5725" s="26" t="s">
        <v>77</v>
      </c>
      <c r="L5725" s="27" t="s">
        <v>77</v>
      </c>
      <c r="N5725" s="28" t="s">
        <v>77</v>
      </c>
      <c r="Q5725" s="30"/>
    </row>
    <row r="5726">
      <c r="B5726" s="6"/>
      <c r="C5726" s="33" t="str">
        <f t="array" ref="C5726">IF(B5726="", "", XLOOKUP(B5726, Inventory!D:D,Inventory!E:E,"No Name Found"))</f>
        <v/>
      </c>
      <c r="D5726" s="6"/>
      <c r="E5726" s="6"/>
      <c r="F5726" s="6"/>
      <c r="G5726" s="24" t="str">
        <f>IF(F5726="", "", VLOOKUP(F5726, Inventory!A:BZ, 3, FALSE) - SUMIF($F$1:$F5725, F5726, $H$1:$H5725))
</f>
        <v/>
      </c>
      <c r="I5726" s="26"/>
      <c r="J5726" s="26" t="s">
        <v>77</v>
      </c>
      <c r="L5726" s="27" t="s">
        <v>77</v>
      </c>
      <c r="N5726" s="28" t="s">
        <v>77</v>
      </c>
      <c r="Q5726" s="30"/>
    </row>
    <row r="5727">
      <c r="B5727" s="6"/>
      <c r="C5727" s="33" t="str">
        <f t="array" ref="C5727">IF(B5727="", "", XLOOKUP(B5727, Inventory!D:D,Inventory!E:E,"No Name Found"))</f>
        <v/>
      </c>
      <c r="D5727" s="6"/>
      <c r="E5727" s="6"/>
      <c r="F5727" s="6"/>
      <c r="G5727" s="24" t="str">
        <f>IF(F5727="", "", VLOOKUP(F5727, Inventory!A:BZ, 3, FALSE) - SUMIF($F$1:$F5726, F5727, $H$1:$H5726))
</f>
        <v/>
      </c>
      <c r="I5727" s="26"/>
      <c r="J5727" s="26" t="s">
        <v>77</v>
      </c>
      <c r="L5727" s="27" t="s">
        <v>77</v>
      </c>
      <c r="N5727" s="28" t="s">
        <v>77</v>
      </c>
      <c r="Q5727" s="30"/>
    </row>
    <row r="5728">
      <c r="B5728" s="6"/>
      <c r="C5728" s="33" t="str">
        <f t="array" ref="C5728">IF(B5728="", "", XLOOKUP(B5728, Inventory!D:D,Inventory!E:E,"No Name Found"))</f>
        <v/>
      </c>
      <c r="D5728" s="6"/>
      <c r="E5728" s="6"/>
      <c r="F5728" s="6"/>
      <c r="G5728" s="24" t="str">
        <f>IF(F5728="", "", VLOOKUP(F5728, Inventory!A:BZ, 3, FALSE) - SUMIF($F$1:$F5727, F5728, $H$1:$H5727))
</f>
        <v/>
      </c>
      <c r="I5728" s="26"/>
      <c r="J5728" s="26" t="s">
        <v>77</v>
      </c>
      <c r="L5728" s="27" t="s">
        <v>77</v>
      </c>
      <c r="N5728" s="28" t="s">
        <v>77</v>
      </c>
      <c r="Q5728" s="30"/>
    </row>
    <row r="5729">
      <c r="B5729" s="6"/>
      <c r="C5729" s="33" t="str">
        <f t="array" ref="C5729">IF(B5729="", "", XLOOKUP(B5729, Inventory!D:D,Inventory!E:E,"No Name Found"))</f>
        <v/>
      </c>
      <c r="D5729" s="6"/>
      <c r="E5729" s="6"/>
      <c r="F5729" s="6"/>
      <c r="G5729" s="24" t="str">
        <f>IF(F5729="", "", VLOOKUP(F5729, Inventory!A:BZ, 3, FALSE) - SUMIF($F$1:$F5728, F5729, $H$1:$H5728))
</f>
        <v/>
      </c>
      <c r="I5729" s="26"/>
      <c r="J5729" s="26" t="s">
        <v>77</v>
      </c>
      <c r="L5729" s="27" t="s">
        <v>77</v>
      </c>
      <c r="N5729" s="28" t="s">
        <v>77</v>
      </c>
      <c r="Q5729" s="30"/>
    </row>
    <row r="5730">
      <c r="B5730" s="6"/>
      <c r="C5730" s="33" t="str">
        <f t="array" ref="C5730">IF(B5730="", "", XLOOKUP(B5730, Inventory!D:D,Inventory!E:E,"No Name Found"))</f>
        <v/>
      </c>
      <c r="D5730" s="6"/>
      <c r="E5730" s="6"/>
      <c r="F5730" s="6"/>
      <c r="G5730" s="24" t="str">
        <f>IF(F5730="", "", VLOOKUP(F5730, Inventory!A:BZ, 3, FALSE) - SUMIF($F$1:$F5729, F5730, $H$1:$H5729))
</f>
        <v/>
      </c>
      <c r="I5730" s="26"/>
      <c r="J5730" s="26" t="s">
        <v>77</v>
      </c>
      <c r="L5730" s="27" t="s">
        <v>77</v>
      </c>
      <c r="N5730" s="28" t="s">
        <v>77</v>
      </c>
      <c r="Q5730" s="30"/>
    </row>
    <row r="5731">
      <c r="B5731" s="6"/>
      <c r="C5731" s="33" t="str">
        <f t="array" ref="C5731">IF(B5731="", "", XLOOKUP(B5731, Inventory!D:D,Inventory!E:E,"No Name Found"))</f>
        <v/>
      </c>
      <c r="D5731" s="6"/>
      <c r="E5731" s="6"/>
      <c r="F5731" s="6"/>
      <c r="G5731" s="24" t="str">
        <f>IF(F5731="", "", VLOOKUP(F5731, Inventory!A:BZ, 3, FALSE) - SUMIF($F$1:$F5730, F5731, $H$1:$H5730))
</f>
        <v/>
      </c>
      <c r="I5731" s="26"/>
      <c r="J5731" s="26" t="s">
        <v>77</v>
      </c>
      <c r="L5731" s="27" t="s">
        <v>77</v>
      </c>
      <c r="N5731" s="28" t="s">
        <v>77</v>
      </c>
      <c r="Q5731" s="30"/>
    </row>
    <row r="5732">
      <c r="B5732" s="6"/>
      <c r="C5732" s="33" t="str">
        <f t="array" ref="C5732">IF(B5732="", "", XLOOKUP(B5732, Inventory!D:D,Inventory!E:E,"No Name Found"))</f>
        <v/>
      </c>
      <c r="D5732" s="6"/>
      <c r="E5732" s="6"/>
      <c r="F5732" s="6"/>
      <c r="G5732" s="24" t="str">
        <f>IF(F5732="", "", VLOOKUP(F5732, Inventory!A:BZ, 3, FALSE) - SUMIF($F$1:$F5731, F5732, $H$1:$H5731))
</f>
        <v/>
      </c>
      <c r="I5732" s="26"/>
      <c r="J5732" s="26" t="s">
        <v>77</v>
      </c>
      <c r="L5732" s="27" t="s">
        <v>77</v>
      </c>
      <c r="N5732" s="28" t="s">
        <v>77</v>
      </c>
      <c r="Q5732" s="30"/>
    </row>
    <row r="5733">
      <c r="B5733" s="6"/>
      <c r="C5733" s="33" t="str">
        <f t="array" ref="C5733">IF(B5733="", "", XLOOKUP(B5733, Inventory!D:D,Inventory!E:E,"No Name Found"))</f>
        <v/>
      </c>
      <c r="D5733" s="6"/>
      <c r="E5733" s="6"/>
      <c r="F5733" s="6"/>
      <c r="G5733" s="24" t="str">
        <f>IF(F5733="", "", VLOOKUP(F5733, Inventory!A:BZ, 3, FALSE) - SUMIF($F$1:$F5732, F5733, $H$1:$H5732))
</f>
        <v/>
      </c>
      <c r="I5733" s="26"/>
      <c r="J5733" s="26" t="s">
        <v>77</v>
      </c>
      <c r="L5733" s="27" t="s">
        <v>77</v>
      </c>
      <c r="N5733" s="28" t="s">
        <v>77</v>
      </c>
      <c r="Q5733" s="30"/>
    </row>
    <row r="5734">
      <c r="B5734" s="6"/>
      <c r="C5734" s="33" t="str">
        <f t="array" ref="C5734">IF(B5734="", "", XLOOKUP(B5734, Inventory!D:D,Inventory!E:E,"No Name Found"))</f>
        <v/>
      </c>
      <c r="D5734" s="6"/>
      <c r="E5734" s="6"/>
      <c r="F5734" s="6"/>
      <c r="G5734" s="24" t="str">
        <f>IF(F5734="", "", VLOOKUP(F5734, Inventory!A:BZ, 3, FALSE) - SUMIF($F$1:$F5733, F5734, $H$1:$H5733))
</f>
        <v/>
      </c>
      <c r="I5734" s="26"/>
      <c r="J5734" s="26" t="s">
        <v>77</v>
      </c>
      <c r="L5734" s="27" t="s">
        <v>77</v>
      </c>
      <c r="N5734" s="28" t="s">
        <v>77</v>
      </c>
      <c r="Q5734" s="30"/>
    </row>
    <row r="5735">
      <c r="B5735" s="6"/>
      <c r="C5735" s="33" t="str">
        <f t="array" ref="C5735">IF(B5735="", "", XLOOKUP(B5735, Inventory!D:D,Inventory!E:E,"No Name Found"))</f>
        <v/>
      </c>
      <c r="D5735" s="6"/>
      <c r="E5735" s="6"/>
      <c r="F5735" s="6"/>
      <c r="G5735" s="24" t="str">
        <f>IF(F5735="", "", VLOOKUP(F5735, Inventory!A:BZ, 3, FALSE) - SUMIF($F$1:$F5734, F5735, $H$1:$H5734))
</f>
        <v/>
      </c>
      <c r="I5735" s="26"/>
      <c r="J5735" s="26" t="s">
        <v>77</v>
      </c>
      <c r="L5735" s="27" t="s">
        <v>77</v>
      </c>
      <c r="N5735" s="28" t="s">
        <v>77</v>
      </c>
      <c r="Q5735" s="30"/>
    </row>
    <row r="5736">
      <c r="B5736" s="6"/>
      <c r="C5736" s="33" t="str">
        <f t="array" ref="C5736">IF(B5736="", "", XLOOKUP(B5736, Inventory!D:D,Inventory!E:E,"No Name Found"))</f>
        <v/>
      </c>
      <c r="D5736" s="6"/>
      <c r="E5736" s="6"/>
      <c r="F5736" s="6"/>
      <c r="G5736" s="24" t="str">
        <f>IF(F5736="", "", VLOOKUP(F5736, Inventory!A:BZ, 3, FALSE) - SUMIF($F$1:$F5735, F5736, $H$1:$H5735))
</f>
        <v/>
      </c>
      <c r="I5736" s="26"/>
      <c r="J5736" s="26" t="s">
        <v>77</v>
      </c>
      <c r="L5736" s="27" t="s">
        <v>77</v>
      </c>
      <c r="N5736" s="28" t="s">
        <v>77</v>
      </c>
      <c r="Q5736" s="30"/>
    </row>
    <row r="5737">
      <c r="B5737" s="6"/>
      <c r="C5737" s="33" t="str">
        <f t="array" ref="C5737">IF(B5737="", "", XLOOKUP(B5737, Inventory!D:D,Inventory!E:E,"No Name Found"))</f>
        <v/>
      </c>
      <c r="D5737" s="6"/>
      <c r="E5737" s="6"/>
      <c r="F5737" s="6"/>
      <c r="G5737" s="24" t="str">
        <f>IF(F5737="", "", VLOOKUP(F5737, Inventory!A:BZ, 3, FALSE) - SUMIF($F$1:$F5736, F5737, $H$1:$H5736))
</f>
        <v/>
      </c>
      <c r="I5737" s="26"/>
      <c r="J5737" s="26" t="s">
        <v>77</v>
      </c>
      <c r="L5737" s="27" t="s">
        <v>77</v>
      </c>
      <c r="N5737" s="28" t="s">
        <v>77</v>
      </c>
      <c r="Q5737" s="30"/>
    </row>
    <row r="5738">
      <c r="B5738" s="6"/>
      <c r="C5738" s="33" t="str">
        <f t="array" ref="C5738">IF(B5738="", "", XLOOKUP(B5738, Inventory!D:D,Inventory!E:E,"No Name Found"))</f>
        <v/>
      </c>
      <c r="D5738" s="6"/>
      <c r="E5738" s="6"/>
      <c r="F5738" s="6"/>
      <c r="G5738" s="24" t="str">
        <f>IF(F5738="", "", VLOOKUP(F5738, Inventory!A:BZ, 3, FALSE) - SUMIF($F$1:$F5737, F5738, $H$1:$H5737))
</f>
        <v/>
      </c>
      <c r="I5738" s="26"/>
      <c r="J5738" s="26" t="s">
        <v>77</v>
      </c>
      <c r="L5738" s="27" t="s">
        <v>77</v>
      </c>
      <c r="N5738" s="28" t="s">
        <v>77</v>
      </c>
      <c r="Q5738" s="30"/>
    </row>
    <row r="5739">
      <c r="B5739" s="6"/>
      <c r="C5739" s="33" t="str">
        <f t="array" ref="C5739">IF(B5739="", "", XLOOKUP(B5739, Inventory!D:D,Inventory!E:E,"No Name Found"))</f>
        <v/>
      </c>
      <c r="D5739" s="6"/>
      <c r="E5739" s="6"/>
      <c r="F5739" s="6"/>
      <c r="G5739" s="24" t="str">
        <f>IF(F5739="", "", VLOOKUP(F5739, Inventory!A:BZ, 3, FALSE) - SUMIF($F$1:$F5738, F5739, $H$1:$H5738))
</f>
        <v/>
      </c>
      <c r="I5739" s="26"/>
      <c r="J5739" s="26" t="s">
        <v>77</v>
      </c>
      <c r="L5739" s="27" t="s">
        <v>77</v>
      </c>
      <c r="N5739" s="28" t="s">
        <v>77</v>
      </c>
      <c r="Q5739" s="30"/>
    </row>
    <row r="5740">
      <c r="B5740" s="6"/>
      <c r="C5740" s="33" t="str">
        <f t="array" ref="C5740">IF(B5740="", "", XLOOKUP(B5740, Inventory!D:D,Inventory!E:E,"No Name Found"))</f>
        <v/>
      </c>
      <c r="D5740" s="6"/>
      <c r="E5740" s="6"/>
      <c r="F5740" s="6"/>
      <c r="G5740" s="24" t="str">
        <f>IF(F5740="", "", VLOOKUP(F5740, Inventory!A:BZ, 3, FALSE) - SUMIF($F$1:$F5739, F5740, $H$1:$H5739))
</f>
        <v/>
      </c>
      <c r="I5740" s="26"/>
      <c r="J5740" s="26" t="s">
        <v>77</v>
      </c>
      <c r="L5740" s="27" t="s">
        <v>77</v>
      </c>
      <c r="N5740" s="28" t="s">
        <v>77</v>
      </c>
      <c r="Q5740" s="30"/>
    </row>
    <row r="5741">
      <c r="B5741" s="6"/>
      <c r="C5741" s="33" t="str">
        <f t="array" ref="C5741">IF(B5741="", "", XLOOKUP(B5741, Inventory!D:D,Inventory!E:E,"No Name Found"))</f>
        <v/>
      </c>
      <c r="D5741" s="6"/>
      <c r="E5741" s="6"/>
      <c r="F5741" s="6"/>
      <c r="G5741" s="24" t="str">
        <f>IF(F5741="", "", VLOOKUP(F5741, Inventory!A:BZ, 3, FALSE) - SUMIF($F$1:$F5740, F5741, $H$1:$H5740))
</f>
        <v/>
      </c>
      <c r="I5741" s="26"/>
      <c r="J5741" s="26" t="s">
        <v>77</v>
      </c>
      <c r="L5741" s="27" t="s">
        <v>77</v>
      </c>
      <c r="N5741" s="28" t="s">
        <v>77</v>
      </c>
      <c r="Q5741" s="30"/>
    </row>
    <row r="5742">
      <c r="B5742" s="6"/>
      <c r="C5742" s="33" t="str">
        <f t="array" ref="C5742">IF(B5742="", "", XLOOKUP(B5742, Inventory!D:D,Inventory!E:E,"No Name Found"))</f>
        <v/>
      </c>
      <c r="D5742" s="6"/>
      <c r="E5742" s="6"/>
      <c r="F5742" s="6"/>
      <c r="G5742" s="24" t="str">
        <f>IF(F5742="", "", VLOOKUP(F5742, Inventory!A:BZ, 3, FALSE) - SUMIF($F$1:$F5741, F5742, $H$1:$H5741))
</f>
        <v/>
      </c>
      <c r="I5742" s="26"/>
      <c r="J5742" s="26" t="s">
        <v>77</v>
      </c>
      <c r="L5742" s="27" t="s">
        <v>77</v>
      </c>
      <c r="N5742" s="28" t="s">
        <v>77</v>
      </c>
      <c r="Q5742" s="30"/>
    </row>
    <row r="5743">
      <c r="B5743" s="6"/>
      <c r="C5743" s="33" t="str">
        <f t="array" ref="C5743">IF(B5743="", "", XLOOKUP(B5743, Inventory!D:D,Inventory!E:E,"No Name Found"))</f>
        <v/>
      </c>
      <c r="D5743" s="6"/>
      <c r="E5743" s="6"/>
      <c r="F5743" s="6"/>
      <c r="G5743" s="24" t="str">
        <f>IF(F5743="", "", VLOOKUP(F5743, Inventory!A:BZ, 3, FALSE) - SUMIF($F$1:$F5742, F5743, $H$1:$H5742))
</f>
        <v/>
      </c>
      <c r="I5743" s="26"/>
      <c r="J5743" s="26" t="s">
        <v>77</v>
      </c>
      <c r="L5743" s="27" t="s">
        <v>77</v>
      </c>
      <c r="N5743" s="28" t="s">
        <v>77</v>
      </c>
      <c r="Q5743" s="30"/>
    </row>
    <row r="5744">
      <c r="B5744" s="6"/>
      <c r="C5744" s="33" t="str">
        <f t="array" ref="C5744">IF(B5744="", "", XLOOKUP(B5744, Inventory!D:D,Inventory!E:E,"No Name Found"))</f>
        <v/>
      </c>
      <c r="D5744" s="6"/>
      <c r="E5744" s="6"/>
      <c r="F5744" s="6"/>
      <c r="G5744" s="24" t="str">
        <f>IF(F5744="", "", VLOOKUP(F5744, Inventory!A:BZ, 3, FALSE) - SUMIF($F$1:$F5743, F5744, $H$1:$H5743))
</f>
        <v/>
      </c>
      <c r="I5744" s="26"/>
      <c r="J5744" s="26" t="s">
        <v>77</v>
      </c>
      <c r="L5744" s="27" t="s">
        <v>77</v>
      </c>
      <c r="N5744" s="28" t="s">
        <v>77</v>
      </c>
      <c r="Q5744" s="30"/>
    </row>
    <row r="5745">
      <c r="B5745" s="6"/>
      <c r="C5745" s="33" t="str">
        <f t="array" ref="C5745">IF(B5745="", "", XLOOKUP(B5745, Inventory!D:D,Inventory!E:E,"No Name Found"))</f>
        <v/>
      </c>
      <c r="D5745" s="6"/>
      <c r="E5745" s="6"/>
      <c r="F5745" s="6"/>
      <c r="G5745" s="24" t="str">
        <f>IF(F5745="", "", VLOOKUP(F5745, Inventory!A:BZ, 3, FALSE) - SUMIF($F$1:$F5744, F5745, $H$1:$H5744))
</f>
        <v/>
      </c>
      <c r="I5745" s="26"/>
      <c r="J5745" s="26" t="s">
        <v>77</v>
      </c>
      <c r="L5745" s="27" t="s">
        <v>77</v>
      </c>
      <c r="N5745" s="28" t="s">
        <v>77</v>
      </c>
      <c r="Q5745" s="30"/>
    </row>
    <row r="5746">
      <c r="B5746" s="6"/>
      <c r="C5746" s="33" t="str">
        <f t="array" ref="C5746">IF(B5746="", "", XLOOKUP(B5746, Inventory!D:D,Inventory!E:E,"No Name Found"))</f>
        <v/>
      </c>
      <c r="D5746" s="6"/>
      <c r="E5746" s="6"/>
      <c r="F5746" s="6"/>
      <c r="G5746" s="24" t="str">
        <f>IF(F5746="", "", VLOOKUP(F5746, Inventory!A:BZ, 3, FALSE) - SUMIF($F$1:$F5745, F5746, $H$1:$H5745))
</f>
        <v/>
      </c>
      <c r="I5746" s="26"/>
      <c r="J5746" s="26" t="s">
        <v>77</v>
      </c>
      <c r="L5746" s="27" t="s">
        <v>77</v>
      </c>
      <c r="N5746" s="28" t="s">
        <v>77</v>
      </c>
      <c r="Q5746" s="30"/>
    </row>
    <row r="5747">
      <c r="B5747" s="6"/>
      <c r="C5747" s="33" t="str">
        <f t="array" ref="C5747">IF(B5747="", "", XLOOKUP(B5747, Inventory!D:D,Inventory!E:E,"No Name Found"))</f>
        <v/>
      </c>
      <c r="D5747" s="6"/>
      <c r="E5747" s="6"/>
      <c r="F5747" s="6"/>
      <c r="G5747" s="24" t="str">
        <f>IF(F5747="", "", VLOOKUP(F5747, Inventory!A:BZ, 3, FALSE) - SUMIF($F$1:$F5746, F5747, $H$1:$H5746))
</f>
        <v/>
      </c>
      <c r="I5747" s="26"/>
      <c r="J5747" s="26" t="s">
        <v>77</v>
      </c>
      <c r="L5747" s="27" t="s">
        <v>77</v>
      </c>
      <c r="N5747" s="28" t="s">
        <v>77</v>
      </c>
      <c r="Q5747" s="30"/>
    </row>
    <row r="5748">
      <c r="B5748" s="6"/>
      <c r="C5748" s="33" t="str">
        <f t="array" ref="C5748">IF(B5748="", "", XLOOKUP(B5748, Inventory!D:D,Inventory!E:E,"No Name Found"))</f>
        <v/>
      </c>
      <c r="D5748" s="6"/>
      <c r="E5748" s="6"/>
      <c r="F5748" s="6"/>
      <c r="G5748" s="24" t="str">
        <f>IF(F5748="", "", VLOOKUP(F5748, Inventory!A:BZ, 3, FALSE) - SUMIF($F$1:$F5747, F5748, $H$1:$H5747))
</f>
        <v/>
      </c>
      <c r="I5748" s="26"/>
      <c r="J5748" s="26" t="s">
        <v>77</v>
      </c>
      <c r="L5748" s="27" t="s">
        <v>77</v>
      </c>
      <c r="N5748" s="28" t="s">
        <v>77</v>
      </c>
      <c r="Q5748" s="30"/>
    </row>
    <row r="5749">
      <c r="B5749" s="6"/>
      <c r="C5749" s="33" t="str">
        <f t="array" ref="C5749">IF(B5749="", "", XLOOKUP(B5749, Inventory!D:D,Inventory!E:E,"No Name Found"))</f>
        <v/>
      </c>
      <c r="D5749" s="6"/>
      <c r="E5749" s="6"/>
      <c r="F5749" s="6"/>
      <c r="G5749" s="24" t="str">
        <f>IF(F5749="", "", VLOOKUP(F5749, Inventory!A:BZ, 3, FALSE) - SUMIF($F$1:$F5748, F5749, $H$1:$H5748))
</f>
        <v/>
      </c>
      <c r="I5749" s="26"/>
      <c r="J5749" s="26" t="s">
        <v>77</v>
      </c>
      <c r="L5749" s="27" t="s">
        <v>77</v>
      </c>
      <c r="N5749" s="28" t="s">
        <v>77</v>
      </c>
      <c r="Q5749" s="30"/>
    </row>
    <row r="5750">
      <c r="B5750" s="6"/>
      <c r="C5750" s="33" t="str">
        <f t="array" ref="C5750">IF(B5750="", "", XLOOKUP(B5750, Inventory!D:D,Inventory!E:E,"No Name Found"))</f>
        <v/>
      </c>
      <c r="D5750" s="6"/>
      <c r="E5750" s="6"/>
      <c r="F5750" s="6"/>
      <c r="G5750" s="24" t="str">
        <f>IF(F5750="", "", VLOOKUP(F5750, Inventory!A:BZ, 3, FALSE) - SUMIF($F$1:$F5749, F5750, $H$1:$H5749))
</f>
        <v/>
      </c>
      <c r="I5750" s="26"/>
      <c r="J5750" s="26" t="s">
        <v>77</v>
      </c>
      <c r="L5750" s="27" t="s">
        <v>77</v>
      </c>
      <c r="N5750" s="28" t="s">
        <v>77</v>
      </c>
      <c r="Q5750" s="30"/>
    </row>
    <row r="5751">
      <c r="B5751" s="6"/>
      <c r="C5751" s="33" t="str">
        <f t="array" ref="C5751">IF(B5751="", "", XLOOKUP(B5751, Inventory!D:D,Inventory!E:E,"No Name Found"))</f>
        <v/>
      </c>
      <c r="D5751" s="6"/>
      <c r="E5751" s="6"/>
      <c r="F5751" s="6"/>
      <c r="G5751" s="24" t="str">
        <f>IF(F5751="", "", VLOOKUP(F5751, Inventory!A:BZ, 3, FALSE) - SUMIF($F$1:$F5750, F5751, $H$1:$H5750))
</f>
        <v/>
      </c>
      <c r="I5751" s="26"/>
      <c r="J5751" s="26" t="s">
        <v>77</v>
      </c>
      <c r="L5751" s="27" t="s">
        <v>77</v>
      </c>
      <c r="N5751" s="28" t="s">
        <v>77</v>
      </c>
      <c r="Q5751" s="30"/>
    </row>
    <row r="5752">
      <c r="B5752" s="6"/>
      <c r="C5752" s="33" t="str">
        <f t="array" ref="C5752">IF(B5752="", "", XLOOKUP(B5752, Inventory!D:D,Inventory!E:E,"No Name Found"))</f>
        <v/>
      </c>
      <c r="D5752" s="6"/>
      <c r="E5752" s="6"/>
      <c r="F5752" s="6"/>
      <c r="G5752" s="24" t="str">
        <f>IF(F5752="", "", VLOOKUP(F5752, Inventory!A:BZ, 3, FALSE) - SUMIF($F$1:$F5751, F5752, $H$1:$H5751))
</f>
        <v/>
      </c>
      <c r="I5752" s="26"/>
      <c r="J5752" s="26" t="s">
        <v>77</v>
      </c>
      <c r="L5752" s="27" t="s">
        <v>77</v>
      </c>
      <c r="N5752" s="28" t="s">
        <v>77</v>
      </c>
      <c r="Q5752" s="30"/>
    </row>
    <row r="5753">
      <c r="B5753" s="6"/>
      <c r="C5753" s="33" t="str">
        <f t="array" ref="C5753">IF(B5753="", "", XLOOKUP(B5753, Inventory!D:D,Inventory!E:E,"No Name Found"))</f>
        <v/>
      </c>
      <c r="D5753" s="6"/>
      <c r="E5753" s="6"/>
      <c r="F5753" s="6"/>
      <c r="G5753" s="24" t="str">
        <f>IF(F5753="", "", VLOOKUP(F5753, Inventory!A:BZ, 3, FALSE) - SUMIF($F$1:$F5752, F5753, $H$1:$H5752))
</f>
        <v/>
      </c>
      <c r="I5753" s="26"/>
      <c r="J5753" s="26" t="s">
        <v>77</v>
      </c>
      <c r="L5753" s="27" t="s">
        <v>77</v>
      </c>
      <c r="N5753" s="28" t="s">
        <v>77</v>
      </c>
      <c r="Q5753" s="30"/>
    </row>
    <row r="5754">
      <c r="B5754" s="6"/>
      <c r="C5754" s="33" t="str">
        <f t="array" ref="C5754">IF(B5754="", "", XLOOKUP(B5754, Inventory!D:D,Inventory!E:E,"No Name Found"))</f>
        <v/>
      </c>
      <c r="D5754" s="6"/>
      <c r="E5754" s="6"/>
      <c r="F5754" s="6"/>
      <c r="G5754" s="24" t="str">
        <f>IF(F5754="", "", VLOOKUP(F5754, Inventory!A:BZ, 3, FALSE) - SUMIF($F$1:$F5753, F5754, $H$1:$H5753))
</f>
        <v/>
      </c>
      <c r="I5754" s="26"/>
      <c r="J5754" s="26" t="s">
        <v>77</v>
      </c>
      <c r="L5754" s="27" t="s">
        <v>77</v>
      </c>
      <c r="N5754" s="28" t="s">
        <v>77</v>
      </c>
      <c r="Q5754" s="30"/>
    </row>
    <row r="5755">
      <c r="B5755" s="6"/>
      <c r="C5755" s="33" t="str">
        <f t="array" ref="C5755">IF(B5755="", "", XLOOKUP(B5755, Inventory!D:D,Inventory!E:E,"No Name Found"))</f>
        <v/>
      </c>
      <c r="D5755" s="6"/>
      <c r="E5755" s="6"/>
      <c r="F5755" s="6"/>
      <c r="G5755" s="24" t="str">
        <f>IF(F5755="", "", VLOOKUP(F5755, Inventory!A:BZ, 3, FALSE) - SUMIF($F$1:$F5754, F5755, $H$1:$H5754))
</f>
        <v/>
      </c>
      <c r="I5755" s="26"/>
      <c r="J5755" s="26" t="s">
        <v>77</v>
      </c>
      <c r="L5755" s="27" t="s">
        <v>77</v>
      </c>
      <c r="N5755" s="28" t="s">
        <v>77</v>
      </c>
      <c r="Q5755" s="30"/>
    </row>
    <row r="5756">
      <c r="B5756" s="6"/>
      <c r="C5756" s="33" t="str">
        <f t="array" ref="C5756">IF(B5756="", "", XLOOKUP(B5756, Inventory!D:D,Inventory!E:E,"No Name Found"))</f>
        <v/>
      </c>
      <c r="D5756" s="6"/>
      <c r="E5756" s="6"/>
      <c r="F5756" s="6"/>
      <c r="G5756" s="24" t="str">
        <f>IF(F5756="", "", VLOOKUP(F5756, Inventory!A:BZ, 3, FALSE) - SUMIF($F$1:$F5755, F5756, $H$1:$H5755))
</f>
        <v/>
      </c>
      <c r="I5756" s="26"/>
      <c r="J5756" s="26" t="s">
        <v>77</v>
      </c>
      <c r="L5756" s="27" t="s">
        <v>77</v>
      </c>
      <c r="N5756" s="28" t="s">
        <v>77</v>
      </c>
      <c r="Q5756" s="30"/>
    </row>
    <row r="5757">
      <c r="B5757" s="6"/>
      <c r="C5757" s="33" t="str">
        <f t="array" ref="C5757">IF(B5757="", "", XLOOKUP(B5757, Inventory!D:D,Inventory!E:E,"No Name Found"))</f>
        <v/>
      </c>
      <c r="D5757" s="6"/>
      <c r="E5757" s="6"/>
      <c r="F5757" s="6"/>
      <c r="G5757" s="24" t="str">
        <f>IF(F5757="", "", VLOOKUP(F5757, Inventory!A:BZ, 3, FALSE) - SUMIF($F$1:$F5756, F5757, $H$1:$H5756))
</f>
        <v/>
      </c>
      <c r="I5757" s="26"/>
      <c r="J5757" s="26" t="s">
        <v>77</v>
      </c>
      <c r="L5757" s="27" t="s">
        <v>77</v>
      </c>
      <c r="N5757" s="28" t="s">
        <v>77</v>
      </c>
      <c r="Q5757" s="30"/>
    </row>
    <row r="5758">
      <c r="B5758" s="6"/>
      <c r="C5758" s="33" t="str">
        <f t="array" ref="C5758">IF(B5758="", "", XLOOKUP(B5758, Inventory!D:D,Inventory!E:E,"No Name Found"))</f>
        <v/>
      </c>
      <c r="D5758" s="6"/>
      <c r="E5758" s="6"/>
      <c r="F5758" s="6"/>
      <c r="G5758" s="24" t="str">
        <f>IF(F5758="", "", VLOOKUP(F5758, Inventory!A:BZ, 3, FALSE) - SUMIF($F$1:$F5757, F5758, $H$1:$H5757))
</f>
        <v/>
      </c>
      <c r="I5758" s="26"/>
      <c r="J5758" s="26" t="s">
        <v>77</v>
      </c>
      <c r="L5758" s="27" t="s">
        <v>77</v>
      </c>
      <c r="N5758" s="28" t="s">
        <v>77</v>
      </c>
      <c r="Q5758" s="30"/>
    </row>
    <row r="5759">
      <c r="B5759" s="6"/>
      <c r="C5759" s="33" t="str">
        <f t="array" ref="C5759">IF(B5759="", "", XLOOKUP(B5759, Inventory!D:D,Inventory!E:E,"No Name Found"))</f>
        <v/>
      </c>
      <c r="D5759" s="6"/>
      <c r="E5759" s="6"/>
      <c r="F5759" s="6"/>
      <c r="G5759" s="24" t="str">
        <f>IF(F5759="", "", VLOOKUP(F5759, Inventory!A:BZ, 3, FALSE) - SUMIF($F$1:$F5758, F5759, $H$1:$H5758))
</f>
        <v/>
      </c>
      <c r="I5759" s="26"/>
      <c r="J5759" s="26" t="s">
        <v>77</v>
      </c>
      <c r="L5759" s="27" t="s">
        <v>77</v>
      </c>
      <c r="N5759" s="28" t="s">
        <v>77</v>
      </c>
      <c r="Q5759" s="30"/>
    </row>
    <row r="5760">
      <c r="B5760" s="6"/>
      <c r="C5760" s="33" t="str">
        <f t="array" ref="C5760">IF(B5760="", "", XLOOKUP(B5760, Inventory!D:D,Inventory!E:E,"No Name Found"))</f>
        <v/>
      </c>
      <c r="D5760" s="6"/>
      <c r="E5760" s="6"/>
      <c r="F5760" s="6"/>
      <c r="G5760" s="24" t="str">
        <f>IF(F5760="", "", VLOOKUP(F5760, Inventory!A:BZ, 3, FALSE) - SUMIF($F$1:$F5759, F5760, $H$1:$H5759))
</f>
        <v/>
      </c>
      <c r="I5760" s="26"/>
      <c r="J5760" s="26" t="s">
        <v>77</v>
      </c>
      <c r="L5760" s="27" t="s">
        <v>77</v>
      </c>
      <c r="N5760" s="28" t="s">
        <v>77</v>
      </c>
      <c r="Q5760" s="30"/>
    </row>
    <row r="5761">
      <c r="B5761" s="6"/>
      <c r="C5761" s="33" t="str">
        <f t="array" ref="C5761">IF(B5761="", "", XLOOKUP(B5761, Inventory!D:D,Inventory!E:E,"No Name Found"))</f>
        <v/>
      </c>
      <c r="D5761" s="6"/>
      <c r="E5761" s="6"/>
      <c r="F5761" s="6"/>
      <c r="G5761" s="24" t="str">
        <f>IF(F5761="", "", VLOOKUP(F5761, Inventory!A:BZ, 3, FALSE) - SUMIF($F$1:$F5760, F5761, $H$1:$H5760))
</f>
        <v/>
      </c>
      <c r="I5761" s="26"/>
      <c r="J5761" s="26" t="s">
        <v>77</v>
      </c>
      <c r="L5761" s="27" t="s">
        <v>77</v>
      </c>
      <c r="N5761" s="28" t="s">
        <v>77</v>
      </c>
      <c r="Q5761" s="30"/>
    </row>
    <row r="5762">
      <c r="B5762" s="6"/>
      <c r="C5762" s="33" t="str">
        <f t="array" ref="C5762">IF(B5762="", "", XLOOKUP(B5762, Inventory!D:D,Inventory!E:E,"No Name Found"))</f>
        <v/>
      </c>
      <c r="D5762" s="6"/>
      <c r="E5762" s="6"/>
      <c r="F5762" s="6"/>
      <c r="G5762" s="24" t="str">
        <f>IF(F5762="", "", VLOOKUP(F5762, Inventory!A:BZ, 3, FALSE) - SUMIF($F$1:$F5761, F5762, $H$1:$H5761))
</f>
        <v/>
      </c>
      <c r="I5762" s="26"/>
      <c r="J5762" s="26" t="s">
        <v>77</v>
      </c>
      <c r="L5762" s="27" t="s">
        <v>77</v>
      </c>
      <c r="N5762" s="28" t="s">
        <v>77</v>
      </c>
      <c r="Q5762" s="30"/>
    </row>
    <row r="5763">
      <c r="B5763" s="6"/>
      <c r="C5763" s="33" t="str">
        <f t="array" ref="C5763">IF(B5763="", "", XLOOKUP(B5763, Inventory!D:D,Inventory!E:E,"No Name Found"))</f>
        <v/>
      </c>
      <c r="D5763" s="6"/>
      <c r="E5763" s="6"/>
      <c r="F5763" s="6"/>
      <c r="G5763" s="24" t="str">
        <f>IF(F5763="", "", VLOOKUP(F5763, Inventory!A:BZ, 3, FALSE) - SUMIF($F$1:$F5762, F5763, $H$1:$H5762))
</f>
        <v/>
      </c>
      <c r="I5763" s="26"/>
      <c r="J5763" s="26" t="s">
        <v>77</v>
      </c>
      <c r="L5763" s="27" t="s">
        <v>77</v>
      </c>
      <c r="N5763" s="28" t="s">
        <v>77</v>
      </c>
      <c r="Q5763" s="30"/>
    </row>
    <row r="5764">
      <c r="B5764" s="6"/>
      <c r="C5764" s="33" t="str">
        <f t="array" ref="C5764">IF(B5764="", "", XLOOKUP(B5764, Inventory!D:D,Inventory!E:E,"No Name Found"))</f>
        <v/>
      </c>
      <c r="D5764" s="6"/>
      <c r="E5764" s="6"/>
      <c r="F5764" s="6"/>
      <c r="G5764" s="24" t="str">
        <f>IF(F5764="", "", VLOOKUP(F5764, Inventory!A:BZ, 3, FALSE) - SUMIF($F$1:$F5763, F5764, $H$1:$H5763))
</f>
        <v/>
      </c>
      <c r="I5764" s="26"/>
      <c r="J5764" s="26" t="s">
        <v>77</v>
      </c>
      <c r="L5764" s="27" t="s">
        <v>77</v>
      </c>
      <c r="N5764" s="28" t="s">
        <v>77</v>
      </c>
      <c r="Q5764" s="30"/>
    </row>
    <row r="5765">
      <c r="B5765" s="6"/>
      <c r="C5765" s="33" t="str">
        <f t="array" ref="C5765">IF(B5765="", "", XLOOKUP(B5765, Inventory!D:D,Inventory!E:E,"No Name Found"))</f>
        <v/>
      </c>
      <c r="D5765" s="6"/>
      <c r="E5765" s="6"/>
      <c r="F5765" s="6"/>
      <c r="G5765" s="24" t="str">
        <f>IF(F5765="", "", VLOOKUP(F5765, Inventory!A:BZ, 3, FALSE) - SUMIF($F$1:$F5764, F5765, $H$1:$H5764))
</f>
        <v/>
      </c>
      <c r="I5765" s="26"/>
      <c r="J5765" s="26" t="s">
        <v>77</v>
      </c>
      <c r="L5765" s="27" t="s">
        <v>77</v>
      </c>
      <c r="N5765" s="28" t="s">
        <v>77</v>
      </c>
      <c r="Q5765" s="30"/>
    </row>
    <row r="5766">
      <c r="B5766" s="6"/>
      <c r="C5766" s="33" t="str">
        <f t="array" ref="C5766">IF(B5766="", "", XLOOKUP(B5766, Inventory!D:D,Inventory!E:E,"No Name Found"))</f>
        <v/>
      </c>
      <c r="D5766" s="6"/>
      <c r="E5766" s="6"/>
      <c r="F5766" s="6"/>
      <c r="G5766" s="24" t="str">
        <f>IF(F5766="", "", VLOOKUP(F5766, Inventory!A:BZ, 3, FALSE) - SUMIF($F$1:$F5765, F5766, $H$1:$H5765))
</f>
        <v/>
      </c>
      <c r="I5766" s="26"/>
      <c r="J5766" s="26" t="s">
        <v>77</v>
      </c>
      <c r="L5766" s="27" t="s">
        <v>77</v>
      </c>
      <c r="N5766" s="28" t="s">
        <v>77</v>
      </c>
      <c r="Q5766" s="30"/>
    </row>
    <row r="5767">
      <c r="B5767" s="6"/>
      <c r="C5767" s="33" t="str">
        <f t="array" ref="C5767">IF(B5767="", "", XLOOKUP(B5767, Inventory!D:D,Inventory!E:E,"No Name Found"))</f>
        <v/>
      </c>
      <c r="D5767" s="6"/>
      <c r="E5767" s="6"/>
      <c r="F5767" s="6"/>
      <c r="G5767" s="24" t="str">
        <f>IF(F5767="", "", VLOOKUP(F5767, Inventory!A:BZ, 3, FALSE) - SUMIF($F$1:$F5766, F5767, $H$1:$H5766))
</f>
        <v/>
      </c>
      <c r="I5767" s="26"/>
      <c r="J5767" s="26" t="s">
        <v>77</v>
      </c>
      <c r="L5767" s="27" t="s">
        <v>77</v>
      </c>
      <c r="N5767" s="28" t="s">
        <v>77</v>
      </c>
      <c r="Q5767" s="30"/>
    </row>
    <row r="5768">
      <c r="B5768" s="6"/>
      <c r="C5768" s="33" t="str">
        <f t="array" ref="C5768">IF(B5768="", "", XLOOKUP(B5768, Inventory!D:D,Inventory!E:E,"No Name Found"))</f>
        <v/>
      </c>
      <c r="D5768" s="6"/>
      <c r="E5768" s="6"/>
      <c r="F5768" s="6"/>
      <c r="G5768" s="24" t="str">
        <f>IF(F5768="", "", VLOOKUP(F5768, Inventory!A:BZ, 3, FALSE) - SUMIF($F$1:$F5767, F5768, $H$1:$H5767))
</f>
        <v/>
      </c>
      <c r="I5768" s="26"/>
      <c r="J5768" s="26" t="s">
        <v>77</v>
      </c>
      <c r="L5768" s="27" t="s">
        <v>77</v>
      </c>
      <c r="N5768" s="28" t="s">
        <v>77</v>
      </c>
      <c r="Q5768" s="30"/>
    </row>
    <row r="5769">
      <c r="B5769" s="6"/>
      <c r="C5769" s="33" t="str">
        <f t="array" ref="C5769">IF(B5769="", "", XLOOKUP(B5769, Inventory!D:D,Inventory!E:E,"No Name Found"))</f>
        <v/>
      </c>
      <c r="D5769" s="6"/>
      <c r="E5769" s="6"/>
      <c r="F5769" s="6"/>
      <c r="G5769" s="24" t="str">
        <f>IF(F5769="", "", VLOOKUP(F5769, Inventory!A:BZ, 3, FALSE) - SUMIF($F$1:$F5768, F5769, $H$1:$H5768))
</f>
        <v/>
      </c>
      <c r="I5769" s="26"/>
      <c r="J5769" s="26" t="s">
        <v>77</v>
      </c>
      <c r="L5769" s="27" t="s">
        <v>77</v>
      </c>
      <c r="N5769" s="28" t="s">
        <v>77</v>
      </c>
      <c r="Q5769" s="30"/>
    </row>
    <row r="5770">
      <c r="B5770" s="6"/>
      <c r="C5770" s="33" t="str">
        <f t="array" ref="C5770">IF(B5770="", "", XLOOKUP(B5770, Inventory!D:D,Inventory!E:E,"No Name Found"))</f>
        <v/>
      </c>
      <c r="D5770" s="6"/>
      <c r="E5770" s="6"/>
      <c r="F5770" s="6"/>
      <c r="G5770" s="24" t="str">
        <f>IF(F5770="", "", VLOOKUP(F5770, Inventory!A:BZ, 3, FALSE) - SUMIF($F$1:$F5769, F5770, $H$1:$H5769))
</f>
        <v/>
      </c>
      <c r="I5770" s="26"/>
      <c r="J5770" s="26" t="s">
        <v>77</v>
      </c>
      <c r="L5770" s="27" t="s">
        <v>77</v>
      </c>
      <c r="N5770" s="28" t="s">
        <v>77</v>
      </c>
      <c r="Q5770" s="30"/>
    </row>
    <row r="5771">
      <c r="B5771" s="6"/>
      <c r="C5771" s="33" t="str">
        <f t="array" ref="C5771">IF(B5771="", "", XLOOKUP(B5771, Inventory!D:D,Inventory!E:E,"No Name Found"))</f>
        <v/>
      </c>
      <c r="D5771" s="6"/>
      <c r="E5771" s="6"/>
      <c r="F5771" s="6"/>
      <c r="G5771" s="24" t="str">
        <f>IF(F5771="", "", VLOOKUP(F5771, Inventory!A:BZ, 3, FALSE) - SUMIF($F$1:$F5770, F5771, $H$1:$H5770))
</f>
        <v/>
      </c>
      <c r="I5771" s="26"/>
      <c r="J5771" s="26" t="s">
        <v>77</v>
      </c>
      <c r="L5771" s="27" t="s">
        <v>77</v>
      </c>
      <c r="N5771" s="28" t="s">
        <v>77</v>
      </c>
      <c r="Q5771" s="30"/>
    </row>
    <row r="5772">
      <c r="B5772" s="6"/>
      <c r="C5772" s="33" t="str">
        <f t="array" ref="C5772">IF(B5772="", "", XLOOKUP(B5772, Inventory!D:D,Inventory!E:E,"No Name Found"))</f>
        <v/>
      </c>
      <c r="D5772" s="6"/>
      <c r="E5772" s="6"/>
      <c r="F5772" s="6"/>
      <c r="G5772" s="24" t="str">
        <f>IF(F5772="", "", VLOOKUP(F5772, Inventory!A:BZ, 3, FALSE) - SUMIF($F$1:$F5771, F5772, $H$1:$H5771))
</f>
        <v/>
      </c>
      <c r="I5772" s="26"/>
      <c r="J5772" s="26" t="s">
        <v>77</v>
      </c>
      <c r="L5772" s="27" t="s">
        <v>77</v>
      </c>
      <c r="N5772" s="28" t="s">
        <v>77</v>
      </c>
      <c r="Q5772" s="30"/>
    </row>
    <row r="5773">
      <c r="B5773" s="6"/>
      <c r="C5773" s="33" t="str">
        <f t="array" ref="C5773">IF(B5773="", "", XLOOKUP(B5773, Inventory!D:D,Inventory!E:E,"No Name Found"))</f>
        <v/>
      </c>
      <c r="D5773" s="6"/>
      <c r="E5773" s="6"/>
      <c r="F5773" s="6"/>
      <c r="G5773" s="24" t="str">
        <f>IF(F5773="", "", VLOOKUP(F5773, Inventory!A:BZ, 3, FALSE) - SUMIF($F$1:$F5772, F5773, $H$1:$H5772))
</f>
        <v/>
      </c>
      <c r="I5773" s="26"/>
      <c r="J5773" s="26" t="s">
        <v>77</v>
      </c>
      <c r="L5773" s="27" t="s">
        <v>77</v>
      </c>
      <c r="N5773" s="28" t="s">
        <v>77</v>
      </c>
      <c r="Q5773" s="30"/>
    </row>
    <row r="5774">
      <c r="B5774" s="6"/>
      <c r="C5774" s="33" t="str">
        <f t="array" ref="C5774">IF(B5774="", "", XLOOKUP(B5774, Inventory!D:D,Inventory!E:E,"No Name Found"))</f>
        <v/>
      </c>
      <c r="D5774" s="6"/>
      <c r="E5774" s="6"/>
      <c r="F5774" s="6"/>
      <c r="G5774" s="24" t="str">
        <f>IF(F5774="", "", VLOOKUP(F5774, Inventory!A:BZ, 3, FALSE) - SUMIF($F$1:$F5773, F5774, $H$1:$H5773))
</f>
        <v/>
      </c>
      <c r="I5774" s="26"/>
      <c r="J5774" s="26" t="s">
        <v>77</v>
      </c>
      <c r="L5774" s="27" t="s">
        <v>77</v>
      </c>
      <c r="N5774" s="28" t="s">
        <v>77</v>
      </c>
      <c r="Q5774" s="30"/>
    </row>
    <row r="5775">
      <c r="B5775" s="6"/>
      <c r="C5775" s="33" t="str">
        <f t="array" ref="C5775">IF(B5775="", "", XLOOKUP(B5775, Inventory!D:D,Inventory!E:E,"No Name Found"))</f>
        <v/>
      </c>
      <c r="D5775" s="6"/>
      <c r="E5775" s="6"/>
      <c r="F5775" s="6"/>
      <c r="G5775" s="24" t="str">
        <f>IF(F5775="", "", VLOOKUP(F5775, Inventory!A:BZ, 3, FALSE) - SUMIF($F$1:$F5774, F5775, $H$1:$H5774))
</f>
        <v/>
      </c>
      <c r="I5775" s="26"/>
      <c r="J5775" s="26" t="s">
        <v>77</v>
      </c>
      <c r="L5775" s="27" t="s">
        <v>77</v>
      </c>
      <c r="N5775" s="28" t="s">
        <v>77</v>
      </c>
      <c r="Q5775" s="30"/>
    </row>
    <row r="5776">
      <c r="B5776" s="6"/>
      <c r="C5776" s="33" t="str">
        <f t="array" ref="C5776">IF(B5776="", "", XLOOKUP(B5776, Inventory!D:D,Inventory!E:E,"No Name Found"))</f>
        <v/>
      </c>
      <c r="D5776" s="6"/>
      <c r="E5776" s="6"/>
      <c r="F5776" s="6"/>
      <c r="G5776" s="24" t="str">
        <f>IF(F5776="", "", VLOOKUP(F5776, Inventory!A:BZ, 3, FALSE) - SUMIF($F$1:$F5775, F5776, $H$1:$H5775))
</f>
        <v/>
      </c>
      <c r="I5776" s="26"/>
      <c r="J5776" s="26" t="s">
        <v>77</v>
      </c>
      <c r="L5776" s="27" t="s">
        <v>77</v>
      </c>
      <c r="N5776" s="28" t="s">
        <v>77</v>
      </c>
      <c r="Q5776" s="30"/>
    </row>
    <row r="5777">
      <c r="B5777" s="6"/>
      <c r="C5777" s="33" t="str">
        <f t="array" ref="C5777">IF(B5777="", "", XLOOKUP(B5777, Inventory!D:D,Inventory!E:E,"No Name Found"))</f>
        <v/>
      </c>
      <c r="D5777" s="6"/>
      <c r="E5777" s="6"/>
      <c r="F5777" s="6"/>
      <c r="G5777" s="24" t="str">
        <f>IF(F5777="", "", VLOOKUP(F5777, Inventory!A:BZ, 3, FALSE) - SUMIF($F$1:$F5776, F5777, $H$1:$H5776))
</f>
        <v/>
      </c>
      <c r="I5777" s="26"/>
      <c r="J5777" s="26" t="s">
        <v>77</v>
      </c>
      <c r="L5777" s="27" t="s">
        <v>77</v>
      </c>
      <c r="N5777" s="28" t="s">
        <v>77</v>
      </c>
      <c r="Q5777" s="30"/>
    </row>
    <row r="5778">
      <c r="B5778" s="6"/>
      <c r="C5778" s="33" t="str">
        <f t="array" ref="C5778">IF(B5778="", "", XLOOKUP(B5778, Inventory!D:D,Inventory!E:E,"No Name Found"))</f>
        <v/>
      </c>
      <c r="D5778" s="6"/>
      <c r="E5778" s="6"/>
      <c r="F5778" s="6"/>
      <c r="G5778" s="24" t="str">
        <f>IF(F5778="", "", VLOOKUP(F5778, Inventory!A:BZ, 3, FALSE) - SUMIF($F$1:$F5777, F5778, $H$1:$H5777))
</f>
        <v/>
      </c>
      <c r="I5778" s="26"/>
      <c r="J5778" s="26" t="s">
        <v>77</v>
      </c>
      <c r="L5778" s="27" t="s">
        <v>77</v>
      </c>
      <c r="N5778" s="28" t="s">
        <v>77</v>
      </c>
      <c r="Q5778" s="30"/>
    </row>
    <row r="5779">
      <c r="B5779" s="6"/>
      <c r="C5779" s="33" t="str">
        <f t="array" ref="C5779">IF(B5779="", "", XLOOKUP(B5779, Inventory!D:D,Inventory!E:E,"No Name Found"))</f>
        <v/>
      </c>
      <c r="D5779" s="6"/>
      <c r="E5779" s="6"/>
      <c r="F5779" s="6"/>
      <c r="G5779" s="24" t="str">
        <f>IF(F5779="", "", VLOOKUP(F5779, Inventory!A:BZ, 3, FALSE) - SUMIF($F$1:$F5778, F5779, $H$1:$H5778))
</f>
        <v/>
      </c>
      <c r="I5779" s="26"/>
      <c r="J5779" s="26" t="s">
        <v>77</v>
      </c>
      <c r="L5779" s="27" t="s">
        <v>77</v>
      </c>
      <c r="N5779" s="28" t="s">
        <v>77</v>
      </c>
      <c r="Q5779" s="30"/>
    </row>
    <row r="5780">
      <c r="B5780" s="6"/>
      <c r="C5780" s="33" t="str">
        <f t="array" ref="C5780">IF(B5780="", "", XLOOKUP(B5780, Inventory!D:D,Inventory!E:E,"No Name Found"))</f>
        <v/>
      </c>
      <c r="D5780" s="6"/>
      <c r="E5780" s="6"/>
      <c r="F5780" s="6"/>
      <c r="G5780" s="24" t="str">
        <f>IF(F5780="", "", VLOOKUP(F5780, Inventory!A:BZ, 3, FALSE) - SUMIF($F$1:$F5779, F5780, $H$1:$H5779))
</f>
        <v/>
      </c>
      <c r="I5780" s="26"/>
      <c r="J5780" s="26" t="s">
        <v>77</v>
      </c>
      <c r="L5780" s="27" t="s">
        <v>77</v>
      </c>
      <c r="N5780" s="28" t="s">
        <v>77</v>
      </c>
      <c r="Q5780" s="30"/>
    </row>
    <row r="5781">
      <c r="B5781" s="6"/>
      <c r="C5781" s="33" t="str">
        <f t="array" ref="C5781">IF(B5781="", "", XLOOKUP(B5781, Inventory!D:D,Inventory!E:E,"No Name Found"))</f>
        <v/>
      </c>
      <c r="D5781" s="6"/>
      <c r="E5781" s="6"/>
      <c r="F5781" s="6"/>
      <c r="G5781" s="24" t="str">
        <f>IF(F5781="", "", VLOOKUP(F5781, Inventory!A:BZ, 3, FALSE) - SUMIF($F$1:$F5780, F5781, $H$1:$H5780))
</f>
        <v/>
      </c>
      <c r="I5781" s="26"/>
      <c r="J5781" s="26" t="s">
        <v>77</v>
      </c>
      <c r="L5781" s="27" t="s">
        <v>77</v>
      </c>
      <c r="N5781" s="28" t="s">
        <v>77</v>
      </c>
      <c r="Q5781" s="30"/>
    </row>
    <row r="5782">
      <c r="B5782" s="6"/>
      <c r="C5782" s="33" t="str">
        <f t="array" ref="C5782">IF(B5782="", "", XLOOKUP(B5782, Inventory!D:D,Inventory!E:E,"No Name Found"))</f>
        <v/>
      </c>
      <c r="D5782" s="6"/>
      <c r="E5782" s="6"/>
      <c r="F5782" s="6"/>
      <c r="G5782" s="24" t="str">
        <f>IF(F5782="", "", VLOOKUP(F5782, Inventory!A:BZ, 3, FALSE) - SUMIF($F$1:$F5781, F5782, $H$1:$H5781))
</f>
        <v/>
      </c>
      <c r="I5782" s="26"/>
      <c r="J5782" s="26" t="s">
        <v>77</v>
      </c>
      <c r="L5782" s="27" t="s">
        <v>77</v>
      </c>
      <c r="N5782" s="28" t="s">
        <v>77</v>
      </c>
      <c r="Q5782" s="30"/>
    </row>
    <row r="5783">
      <c r="B5783" s="6"/>
      <c r="C5783" s="33" t="str">
        <f t="array" ref="C5783">IF(B5783="", "", XLOOKUP(B5783, Inventory!D:D,Inventory!E:E,"No Name Found"))</f>
        <v/>
      </c>
      <c r="D5783" s="6"/>
      <c r="E5783" s="6"/>
      <c r="F5783" s="6"/>
      <c r="G5783" s="24" t="str">
        <f>IF(F5783="", "", VLOOKUP(F5783, Inventory!A:BZ, 3, FALSE) - SUMIF($F$1:$F5782, F5783, $H$1:$H5782))
</f>
        <v/>
      </c>
      <c r="I5783" s="26"/>
      <c r="J5783" s="26" t="s">
        <v>77</v>
      </c>
      <c r="L5783" s="27" t="s">
        <v>77</v>
      </c>
      <c r="N5783" s="28" t="s">
        <v>77</v>
      </c>
      <c r="Q5783" s="30"/>
    </row>
    <row r="5784">
      <c r="B5784" s="6"/>
      <c r="C5784" s="33" t="str">
        <f t="array" ref="C5784">IF(B5784="", "", XLOOKUP(B5784, Inventory!D:D,Inventory!E:E,"No Name Found"))</f>
        <v/>
      </c>
      <c r="D5784" s="6"/>
      <c r="E5784" s="6"/>
      <c r="F5784" s="6"/>
      <c r="G5784" s="24" t="str">
        <f>IF(F5784="", "", VLOOKUP(F5784, Inventory!A:BZ, 3, FALSE) - SUMIF($F$1:$F5783, F5784, $H$1:$H5783))
</f>
        <v/>
      </c>
      <c r="I5784" s="26"/>
      <c r="J5784" s="26" t="s">
        <v>77</v>
      </c>
      <c r="L5784" s="27" t="s">
        <v>77</v>
      </c>
      <c r="N5784" s="28" t="s">
        <v>77</v>
      </c>
      <c r="Q5784" s="30"/>
    </row>
    <row r="5785">
      <c r="B5785" s="6"/>
      <c r="C5785" s="33" t="str">
        <f t="array" ref="C5785">IF(B5785="", "", XLOOKUP(B5785, Inventory!D:D,Inventory!E:E,"No Name Found"))</f>
        <v/>
      </c>
      <c r="D5785" s="6"/>
      <c r="E5785" s="6"/>
      <c r="F5785" s="6"/>
      <c r="G5785" s="24" t="str">
        <f>IF(F5785="", "", VLOOKUP(F5785, Inventory!A:BZ, 3, FALSE) - SUMIF($F$1:$F5784, F5785, $H$1:$H5784))
</f>
        <v/>
      </c>
      <c r="I5785" s="26"/>
      <c r="J5785" s="26" t="s">
        <v>77</v>
      </c>
      <c r="L5785" s="27" t="s">
        <v>77</v>
      </c>
      <c r="N5785" s="28" t="s">
        <v>77</v>
      </c>
      <c r="Q5785" s="30"/>
    </row>
    <row r="5786">
      <c r="B5786" s="6"/>
      <c r="C5786" s="33" t="str">
        <f t="array" ref="C5786">IF(B5786="", "", XLOOKUP(B5786, Inventory!D:D,Inventory!E:E,"No Name Found"))</f>
        <v/>
      </c>
      <c r="D5786" s="6"/>
      <c r="E5786" s="6"/>
      <c r="F5786" s="6"/>
      <c r="G5786" s="24" t="str">
        <f>IF(F5786="", "", VLOOKUP(F5786, Inventory!A:BZ, 3, FALSE) - SUMIF($F$1:$F5785, F5786, $H$1:$H5785))
</f>
        <v/>
      </c>
      <c r="I5786" s="26"/>
      <c r="J5786" s="26" t="s">
        <v>77</v>
      </c>
      <c r="L5786" s="27" t="s">
        <v>77</v>
      </c>
      <c r="N5786" s="28" t="s">
        <v>77</v>
      </c>
      <c r="Q5786" s="30"/>
    </row>
    <row r="5787">
      <c r="B5787" s="6"/>
      <c r="C5787" s="33" t="str">
        <f t="array" ref="C5787">IF(B5787="", "", XLOOKUP(B5787, Inventory!D:D,Inventory!E:E,"No Name Found"))</f>
        <v/>
      </c>
      <c r="D5787" s="6"/>
      <c r="E5787" s="6"/>
      <c r="F5787" s="6"/>
      <c r="G5787" s="24" t="str">
        <f>IF(F5787="", "", VLOOKUP(F5787, Inventory!A:BZ, 3, FALSE) - SUMIF($F$1:$F5786, F5787, $H$1:$H5786))
</f>
        <v/>
      </c>
      <c r="I5787" s="26"/>
      <c r="J5787" s="26" t="s">
        <v>77</v>
      </c>
      <c r="L5787" s="27" t="s">
        <v>77</v>
      </c>
      <c r="N5787" s="28" t="s">
        <v>77</v>
      </c>
      <c r="Q5787" s="30"/>
    </row>
    <row r="5788">
      <c r="B5788" s="6"/>
      <c r="C5788" s="33" t="str">
        <f t="array" ref="C5788">IF(B5788="", "", XLOOKUP(B5788, Inventory!D:D,Inventory!E:E,"No Name Found"))</f>
        <v/>
      </c>
      <c r="D5788" s="6"/>
      <c r="E5788" s="6"/>
      <c r="F5788" s="6"/>
      <c r="G5788" s="24" t="str">
        <f>IF(F5788="", "", VLOOKUP(F5788, Inventory!A:BZ, 3, FALSE) - SUMIF($F$1:$F5787, F5788, $H$1:$H5787))
</f>
        <v/>
      </c>
      <c r="I5788" s="26"/>
      <c r="J5788" s="26" t="s">
        <v>77</v>
      </c>
      <c r="L5788" s="27" t="s">
        <v>77</v>
      </c>
      <c r="N5788" s="28" t="s">
        <v>77</v>
      </c>
      <c r="Q5788" s="30"/>
    </row>
    <row r="5789">
      <c r="B5789" s="6"/>
      <c r="C5789" s="33" t="str">
        <f t="array" ref="C5789">IF(B5789="", "", XLOOKUP(B5789, Inventory!D:D,Inventory!E:E,"No Name Found"))</f>
        <v/>
      </c>
      <c r="D5789" s="6"/>
      <c r="E5789" s="6"/>
      <c r="F5789" s="6"/>
      <c r="G5789" s="24" t="str">
        <f>IF(F5789="", "", VLOOKUP(F5789, Inventory!A:BZ, 3, FALSE) - SUMIF($F$1:$F5788, F5789, $H$1:$H5788))
</f>
        <v/>
      </c>
      <c r="I5789" s="26"/>
      <c r="J5789" s="26" t="s">
        <v>77</v>
      </c>
      <c r="L5789" s="27" t="s">
        <v>77</v>
      </c>
      <c r="N5789" s="28" t="s">
        <v>77</v>
      </c>
      <c r="Q5789" s="30"/>
    </row>
    <row r="5790">
      <c r="B5790" s="6"/>
      <c r="C5790" s="33" t="str">
        <f t="array" ref="C5790">IF(B5790="", "", XLOOKUP(B5790, Inventory!D:D,Inventory!E:E,"No Name Found"))</f>
        <v/>
      </c>
      <c r="D5790" s="6"/>
      <c r="E5790" s="6"/>
      <c r="F5790" s="6"/>
      <c r="G5790" s="24" t="str">
        <f>IF(F5790="", "", VLOOKUP(F5790, Inventory!A:BZ, 3, FALSE) - SUMIF($F$1:$F5789, F5790, $H$1:$H5789))
</f>
        <v/>
      </c>
      <c r="I5790" s="26"/>
      <c r="J5790" s="26" t="s">
        <v>77</v>
      </c>
      <c r="L5790" s="27" t="s">
        <v>77</v>
      </c>
      <c r="N5790" s="28" t="s">
        <v>77</v>
      </c>
      <c r="Q5790" s="30"/>
    </row>
    <row r="5791">
      <c r="B5791" s="6"/>
      <c r="C5791" s="33" t="str">
        <f t="array" ref="C5791">IF(B5791="", "", XLOOKUP(B5791, Inventory!D:D,Inventory!E:E,"No Name Found"))</f>
        <v/>
      </c>
      <c r="D5791" s="6"/>
      <c r="E5791" s="6"/>
      <c r="F5791" s="6"/>
      <c r="G5791" s="24" t="str">
        <f>IF(F5791="", "", VLOOKUP(F5791, Inventory!A:BZ, 3, FALSE) - SUMIF($F$1:$F5790, F5791, $H$1:$H5790))
</f>
        <v/>
      </c>
      <c r="I5791" s="26"/>
      <c r="J5791" s="26" t="s">
        <v>77</v>
      </c>
      <c r="L5791" s="27" t="s">
        <v>77</v>
      </c>
      <c r="N5791" s="28" t="s">
        <v>77</v>
      </c>
      <c r="Q5791" s="30"/>
    </row>
    <row r="5792">
      <c r="B5792" s="6"/>
      <c r="C5792" s="33" t="str">
        <f t="array" ref="C5792">IF(B5792="", "", XLOOKUP(B5792, Inventory!D:D,Inventory!E:E,"No Name Found"))</f>
        <v/>
      </c>
      <c r="D5792" s="6"/>
      <c r="E5792" s="6"/>
      <c r="F5792" s="6"/>
      <c r="G5792" s="24" t="str">
        <f>IF(F5792="", "", VLOOKUP(F5792, Inventory!A:BZ, 3, FALSE) - SUMIF($F$1:$F5791, F5792, $H$1:$H5791))
</f>
        <v/>
      </c>
      <c r="I5792" s="26"/>
      <c r="J5792" s="26" t="s">
        <v>77</v>
      </c>
      <c r="L5792" s="27" t="s">
        <v>77</v>
      </c>
      <c r="N5792" s="28" t="s">
        <v>77</v>
      </c>
      <c r="Q5792" s="30"/>
    </row>
    <row r="5793">
      <c r="B5793" s="6"/>
      <c r="C5793" s="33" t="str">
        <f t="array" ref="C5793">IF(B5793="", "", XLOOKUP(B5793, Inventory!D:D,Inventory!E:E,"No Name Found"))</f>
        <v/>
      </c>
      <c r="D5793" s="6"/>
      <c r="E5793" s="6"/>
      <c r="F5793" s="6"/>
      <c r="G5793" s="24" t="str">
        <f>IF(F5793="", "", VLOOKUP(F5793, Inventory!A:BZ, 3, FALSE) - SUMIF($F$1:$F5792, F5793, $H$1:$H5792))
</f>
        <v/>
      </c>
      <c r="I5793" s="26"/>
      <c r="J5793" s="26" t="s">
        <v>77</v>
      </c>
      <c r="L5793" s="27" t="s">
        <v>77</v>
      </c>
      <c r="N5793" s="28" t="s">
        <v>77</v>
      </c>
      <c r="Q5793" s="30"/>
    </row>
    <row r="5794">
      <c r="B5794" s="6"/>
      <c r="C5794" s="33" t="str">
        <f t="array" ref="C5794">IF(B5794="", "", XLOOKUP(B5794, Inventory!D:D,Inventory!E:E,"No Name Found"))</f>
        <v/>
      </c>
      <c r="D5794" s="6"/>
      <c r="E5794" s="6"/>
      <c r="F5794" s="6"/>
      <c r="G5794" s="24" t="str">
        <f>IF(F5794="", "", VLOOKUP(F5794, Inventory!A:BZ, 3, FALSE) - SUMIF($F$1:$F5793, F5794, $H$1:$H5793))
</f>
        <v/>
      </c>
      <c r="I5794" s="26"/>
      <c r="J5794" s="26" t="s">
        <v>77</v>
      </c>
      <c r="L5794" s="27" t="s">
        <v>77</v>
      </c>
      <c r="N5794" s="28" t="s">
        <v>77</v>
      </c>
      <c r="Q5794" s="30"/>
    </row>
    <row r="5795">
      <c r="B5795" s="6"/>
      <c r="C5795" s="33" t="str">
        <f t="array" ref="C5795">IF(B5795="", "", XLOOKUP(B5795, Inventory!D:D,Inventory!E:E,"No Name Found"))</f>
        <v/>
      </c>
      <c r="D5795" s="6"/>
      <c r="E5795" s="6"/>
      <c r="F5795" s="6"/>
      <c r="G5795" s="24" t="str">
        <f>IF(F5795="", "", VLOOKUP(F5795, Inventory!A:BZ, 3, FALSE) - SUMIF($F$1:$F5794, F5795, $H$1:$H5794))
</f>
        <v/>
      </c>
      <c r="I5795" s="26"/>
      <c r="J5795" s="26" t="s">
        <v>77</v>
      </c>
      <c r="L5795" s="27" t="s">
        <v>77</v>
      </c>
      <c r="N5795" s="28" t="s">
        <v>77</v>
      </c>
      <c r="Q5795" s="30"/>
    </row>
    <row r="5796">
      <c r="B5796" s="6"/>
      <c r="C5796" s="33" t="str">
        <f t="array" ref="C5796">IF(B5796="", "", XLOOKUP(B5796, Inventory!D:D,Inventory!E:E,"No Name Found"))</f>
        <v/>
      </c>
      <c r="D5796" s="6"/>
      <c r="E5796" s="6"/>
      <c r="F5796" s="6"/>
      <c r="G5796" s="24" t="str">
        <f>IF(F5796="", "", VLOOKUP(F5796, Inventory!A:BZ, 3, FALSE) - SUMIF($F$1:$F5795, F5796, $H$1:$H5795))
</f>
        <v/>
      </c>
      <c r="I5796" s="26"/>
      <c r="J5796" s="26" t="s">
        <v>77</v>
      </c>
      <c r="L5796" s="27" t="s">
        <v>77</v>
      </c>
      <c r="N5796" s="28" t="s">
        <v>77</v>
      </c>
      <c r="Q5796" s="30"/>
    </row>
    <row r="5797">
      <c r="B5797" s="6"/>
      <c r="C5797" s="33" t="str">
        <f t="array" ref="C5797">IF(B5797="", "", XLOOKUP(B5797, Inventory!D:D,Inventory!E:E,"No Name Found"))</f>
        <v/>
      </c>
      <c r="D5797" s="6"/>
      <c r="E5797" s="6"/>
      <c r="F5797" s="6"/>
      <c r="G5797" s="24" t="str">
        <f>IF(F5797="", "", VLOOKUP(F5797, Inventory!A:BZ, 3, FALSE) - SUMIF($F$1:$F5796, F5797, $H$1:$H5796))
</f>
        <v/>
      </c>
      <c r="I5797" s="26"/>
      <c r="J5797" s="26" t="s">
        <v>77</v>
      </c>
      <c r="L5797" s="27" t="s">
        <v>77</v>
      </c>
      <c r="N5797" s="28" t="s">
        <v>77</v>
      </c>
      <c r="Q5797" s="30"/>
    </row>
    <row r="5798">
      <c r="B5798" s="6"/>
      <c r="C5798" s="33" t="str">
        <f t="array" ref="C5798">IF(B5798="", "", XLOOKUP(B5798, Inventory!D:D,Inventory!E:E,"No Name Found"))</f>
        <v/>
      </c>
      <c r="D5798" s="6"/>
      <c r="E5798" s="6"/>
      <c r="F5798" s="6"/>
      <c r="G5798" s="24" t="str">
        <f>IF(F5798="", "", VLOOKUP(F5798, Inventory!A:BZ, 3, FALSE) - SUMIF($F$1:$F5797, F5798, $H$1:$H5797))
</f>
        <v/>
      </c>
      <c r="I5798" s="26"/>
      <c r="J5798" s="26" t="s">
        <v>77</v>
      </c>
      <c r="L5798" s="27" t="s">
        <v>77</v>
      </c>
      <c r="N5798" s="28" t="s">
        <v>77</v>
      </c>
      <c r="Q5798" s="30"/>
    </row>
    <row r="5799">
      <c r="B5799" s="6"/>
      <c r="C5799" s="33" t="str">
        <f t="array" ref="C5799">IF(B5799="", "", XLOOKUP(B5799, Inventory!D:D,Inventory!E:E,"No Name Found"))</f>
        <v/>
      </c>
      <c r="D5799" s="6"/>
      <c r="E5799" s="6"/>
      <c r="F5799" s="6"/>
      <c r="G5799" s="24" t="str">
        <f>IF(F5799="", "", VLOOKUP(F5799, Inventory!A:BZ, 3, FALSE) - SUMIF($F$1:$F5798, F5799, $H$1:$H5798))
</f>
        <v/>
      </c>
      <c r="I5799" s="26"/>
      <c r="J5799" s="26" t="s">
        <v>77</v>
      </c>
      <c r="L5799" s="27" t="s">
        <v>77</v>
      </c>
      <c r="N5799" s="28" t="s">
        <v>77</v>
      </c>
      <c r="Q5799" s="30"/>
    </row>
    <row r="5800">
      <c r="B5800" s="6"/>
      <c r="C5800" s="33" t="str">
        <f t="array" ref="C5800">IF(B5800="", "", XLOOKUP(B5800, Inventory!D:D,Inventory!E:E,"No Name Found"))</f>
        <v/>
      </c>
      <c r="D5800" s="6"/>
      <c r="E5800" s="6"/>
      <c r="F5800" s="6"/>
      <c r="G5800" s="24" t="str">
        <f>IF(F5800="", "", VLOOKUP(F5800, Inventory!A:BZ, 3, FALSE) - SUMIF($F$1:$F5799, F5800, $H$1:$H5799))
</f>
        <v/>
      </c>
      <c r="I5800" s="26"/>
      <c r="J5800" s="26" t="s">
        <v>77</v>
      </c>
      <c r="L5800" s="27" t="s">
        <v>77</v>
      </c>
      <c r="N5800" s="28" t="s">
        <v>77</v>
      </c>
      <c r="Q5800" s="30"/>
    </row>
    <row r="5801">
      <c r="B5801" s="6"/>
      <c r="C5801" s="33" t="str">
        <f t="array" ref="C5801">IF(B5801="", "", XLOOKUP(B5801, Inventory!D:D,Inventory!E:E,"No Name Found"))</f>
        <v/>
      </c>
      <c r="D5801" s="6"/>
      <c r="E5801" s="6"/>
      <c r="F5801" s="6"/>
      <c r="G5801" s="24" t="str">
        <f>IF(F5801="", "", VLOOKUP(F5801, Inventory!A:BZ, 3, FALSE) - SUMIF($F$1:$F5800, F5801, $H$1:$H5800))
</f>
        <v/>
      </c>
      <c r="I5801" s="26"/>
      <c r="J5801" s="26" t="s">
        <v>77</v>
      </c>
      <c r="L5801" s="27" t="s">
        <v>77</v>
      </c>
      <c r="N5801" s="28" t="s">
        <v>77</v>
      </c>
      <c r="Q5801" s="30"/>
    </row>
    <row r="5802">
      <c r="B5802" s="6"/>
      <c r="C5802" s="33" t="str">
        <f t="array" ref="C5802">IF(B5802="", "", XLOOKUP(B5802, Inventory!D:D,Inventory!E:E,"No Name Found"))</f>
        <v/>
      </c>
      <c r="D5802" s="6"/>
      <c r="E5802" s="6"/>
      <c r="F5802" s="6"/>
      <c r="G5802" s="24" t="str">
        <f>IF(F5802="", "", VLOOKUP(F5802, Inventory!A:BZ, 3, FALSE) - SUMIF($F$1:$F5801, F5802, $H$1:$H5801))
</f>
        <v/>
      </c>
      <c r="I5802" s="26"/>
      <c r="J5802" s="26" t="s">
        <v>77</v>
      </c>
      <c r="L5802" s="27" t="s">
        <v>77</v>
      </c>
      <c r="N5802" s="28" t="s">
        <v>77</v>
      </c>
      <c r="Q5802" s="30"/>
    </row>
    <row r="5803">
      <c r="B5803" s="6"/>
      <c r="C5803" s="33" t="str">
        <f t="array" ref="C5803">IF(B5803="", "", XLOOKUP(B5803, Inventory!D:D,Inventory!E:E,"No Name Found"))</f>
        <v/>
      </c>
      <c r="D5803" s="6"/>
      <c r="E5803" s="6"/>
      <c r="F5803" s="6"/>
      <c r="G5803" s="24" t="str">
        <f>IF(F5803="", "", VLOOKUP(F5803, Inventory!A:BZ, 3, FALSE) - SUMIF($F$1:$F5802, F5803, $H$1:$H5802))
</f>
        <v/>
      </c>
      <c r="I5803" s="26"/>
      <c r="J5803" s="26" t="s">
        <v>77</v>
      </c>
      <c r="L5803" s="27" t="s">
        <v>77</v>
      </c>
      <c r="N5803" s="28" t="s">
        <v>77</v>
      </c>
      <c r="Q5803" s="30"/>
    </row>
    <row r="5804">
      <c r="B5804" s="6"/>
      <c r="C5804" s="33" t="str">
        <f t="array" ref="C5804">IF(B5804="", "", XLOOKUP(B5804, Inventory!D:D,Inventory!E:E,"No Name Found"))</f>
        <v/>
      </c>
      <c r="D5804" s="6"/>
      <c r="E5804" s="6"/>
      <c r="F5804" s="6"/>
      <c r="G5804" s="24" t="str">
        <f>IF(F5804="", "", VLOOKUP(F5804, Inventory!A:BZ, 3, FALSE) - SUMIF($F$1:$F5803, F5804, $H$1:$H5803))
</f>
        <v/>
      </c>
      <c r="I5804" s="26"/>
      <c r="J5804" s="26" t="s">
        <v>77</v>
      </c>
      <c r="L5804" s="27" t="s">
        <v>77</v>
      </c>
      <c r="N5804" s="28" t="s">
        <v>77</v>
      </c>
      <c r="Q5804" s="30"/>
    </row>
    <row r="5805">
      <c r="B5805" s="6"/>
      <c r="C5805" s="33" t="str">
        <f t="array" ref="C5805">IF(B5805="", "", XLOOKUP(B5805, Inventory!D:D,Inventory!E:E,"No Name Found"))</f>
        <v/>
      </c>
      <c r="D5805" s="6"/>
      <c r="E5805" s="6"/>
      <c r="F5805" s="6"/>
      <c r="G5805" s="24" t="str">
        <f>IF(F5805="", "", VLOOKUP(F5805, Inventory!A:BZ, 3, FALSE) - SUMIF($F$1:$F5804, F5805, $H$1:$H5804))
</f>
        <v/>
      </c>
      <c r="I5805" s="26"/>
      <c r="J5805" s="26" t="s">
        <v>77</v>
      </c>
      <c r="L5805" s="27" t="s">
        <v>77</v>
      </c>
      <c r="N5805" s="28" t="s">
        <v>77</v>
      </c>
      <c r="Q5805" s="30"/>
    </row>
    <row r="5806">
      <c r="B5806" s="6"/>
      <c r="C5806" s="33" t="str">
        <f t="array" ref="C5806">IF(B5806="", "", XLOOKUP(B5806, Inventory!D:D,Inventory!E:E,"No Name Found"))</f>
        <v/>
      </c>
      <c r="D5806" s="6"/>
      <c r="E5806" s="6"/>
      <c r="F5806" s="6"/>
      <c r="G5806" s="24" t="str">
        <f>IF(F5806="", "", VLOOKUP(F5806, Inventory!A:BZ, 3, FALSE) - SUMIF($F$1:$F5805, F5806, $H$1:$H5805))
</f>
        <v/>
      </c>
      <c r="I5806" s="26"/>
      <c r="J5806" s="26" t="s">
        <v>77</v>
      </c>
      <c r="L5806" s="27" t="s">
        <v>77</v>
      </c>
      <c r="N5806" s="28" t="s">
        <v>77</v>
      </c>
      <c r="Q5806" s="30"/>
    </row>
    <row r="5807">
      <c r="B5807" s="6"/>
      <c r="C5807" s="33" t="str">
        <f t="array" ref="C5807">IF(B5807="", "", XLOOKUP(B5807, Inventory!D:D,Inventory!E:E,"No Name Found"))</f>
        <v/>
      </c>
      <c r="D5807" s="6"/>
      <c r="E5807" s="6"/>
      <c r="F5807" s="6"/>
      <c r="G5807" s="24" t="str">
        <f>IF(F5807="", "", VLOOKUP(F5807, Inventory!A:BZ, 3, FALSE) - SUMIF($F$1:$F5806, F5807, $H$1:$H5806))
</f>
        <v/>
      </c>
      <c r="I5807" s="26"/>
      <c r="J5807" s="26" t="s">
        <v>77</v>
      </c>
      <c r="L5807" s="27" t="s">
        <v>77</v>
      </c>
      <c r="N5807" s="28" t="s">
        <v>77</v>
      </c>
      <c r="Q5807" s="30"/>
    </row>
    <row r="5808">
      <c r="B5808" s="6"/>
      <c r="C5808" s="33" t="str">
        <f t="array" ref="C5808">IF(B5808="", "", XLOOKUP(B5808, Inventory!D:D,Inventory!E:E,"No Name Found"))</f>
        <v/>
      </c>
      <c r="D5808" s="6"/>
      <c r="E5808" s="6"/>
      <c r="F5808" s="6"/>
      <c r="G5808" s="24" t="str">
        <f>IF(F5808="", "", VLOOKUP(F5808, Inventory!A:BZ, 3, FALSE) - SUMIF($F$1:$F5807, F5808, $H$1:$H5807))
</f>
        <v/>
      </c>
      <c r="I5808" s="26"/>
      <c r="J5808" s="26" t="s">
        <v>77</v>
      </c>
      <c r="L5808" s="27" t="s">
        <v>77</v>
      </c>
      <c r="N5808" s="28" t="s">
        <v>77</v>
      </c>
      <c r="Q5808" s="30"/>
    </row>
    <row r="5809">
      <c r="B5809" s="6"/>
      <c r="C5809" s="33" t="str">
        <f t="array" ref="C5809">IF(B5809="", "", XLOOKUP(B5809, Inventory!D:D,Inventory!E:E,"No Name Found"))</f>
        <v/>
      </c>
      <c r="D5809" s="6"/>
      <c r="E5809" s="6"/>
      <c r="F5809" s="6"/>
      <c r="G5809" s="24" t="str">
        <f>IF(F5809="", "", VLOOKUP(F5809, Inventory!A:BZ, 3, FALSE) - SUMIF($F$1:$F5808, F5809, $H$1:$H5808))
</f>
        <v/>
      </c>
      <c r="I5809" s="26"/>
      <c r="J5809" s="26" t="s">
        <v>77</v>
      </c>
      <c r="L5809" s="27" t="s">
        <v>77</v>
      </c>
      <c r="N5809" s="28" t="s">
        <v>77</v>
      </c>
      <c r="Q5809" s="30"/>
    </row>
    <row r="5810">
      <c r="B5810" s="6"/>
      <c r="C5810" s="33" t="str">
        <f t="array" ref="C5810">IF(B5810="", "", XLOOKUP(B5810, Inventory!D:D,Inventory!E:E,"No Name Found"))</f>
        <v/>
      </c>
      <c r="D5810" s="6"/>
      <c r="E5810" s="6"/>
      <c r="F5810" s="6"/>
      <c r="G5810" s="24" t="str">
        <f>IF(F5810="", "", VLOOKUP(F5810, Inventory!A:BZ, 3, FALSE) - SUMIF($F$1:$F5809, F5810, $H$1:$H5809))
</f>
        <v/>
      </c>
      <c r="I5810" s="26"/>
      <c r="J5810" s="26" t="s">
        <v>77</v>
      </c>
      <c r="L5810" s="27" t="s">
        <v>77</v>
      </c>
      <c r="N5810" s="28" t="s">
        <v>77</v>
      </c>
      <c r="Q5810" s="30"/>
    </row>
    <row r="5811">
      <c r="B5811" s="6"/>
      <c r="C5811" s="33" t="str">
        <f t="array" ref="C5811">IF(B5811="", "", XLOOKUP(B5811, Inventory!D:D,Inventory!E:E,"No Name Found"))</f>
        <v/>
      </c>
      <c r="D5811" s="6"/>
      <c r="E5811" s="6"/>
      <c r="F5811" s="6"/>
      <c r="G5811" s="24" t="str">
        <f>IF(F5811="", "", VLOOKUP(F5811, Inventory!A:BZ, 3, FALSE) - SUMIF($F$1:$F5810, F5811, $H$1:$H5810))
</f>
        <v/>
      </c>
      <c r="I5811" s="26"/>
      <c r="J5811" s="26" t="s">
        <v>77</v>
      </c>
      <c r="L5811" s="27" t="s">
        <v>77</v>
      </c>
      <c r="N5811" s="28" t="s">
        <v>77</v>
      </c>
      <c r="Q5811" s="30"/>
    </row>
    <row r="5812">
      <c r="B5812" s="6"/>
      <c r="C5812" s="33" t="str">
        <f t="array" ref="C5812">IF(B5812="", "", XLOOKUP(B5812, Inventory!D:D,Inventory!E:E,"No Name Found"))</f>
        <v/>
      </c>
      <c r="D5812" s="6"/>
      <c r="E5812" s="6"/>
      <c r="F5812" s="6"/>
      <c r="G5812" s="24" t="str">
        <f>IF(F5812="", "", VLOOKUP(F5812, Inventory!A:BZ, 3, FALSE) - SUMIF($F$1:$F5811, F5812, $H$1:$H5811))
</f>
        <v/>
      </c>
      <c r="I5812" s="26"/>
      <c r="J5812" s="26" t="s">
        <v>77</v>
      </c>
      <c r="L5812" s="27" t="s">
        <v>77</v>
      </c>
      <c r="N5812" s="28" t="s">
        <v>77</v>
      </c>
      <c r="Q5812" s="30"/>
    </row>
    <row r="5813">
      <c r="B5813" s="6"/>
      <c r="C5813" s="33" t="str">
        <f t="array" ref="C5813">IF(B5813="", "", XLOOKUP(B5813, Inventory!D:D,Inventory!E:E,"No Name Found"))</f>
        <v/>
      </c>
      <c r="D5813" s="6"/>
      <c r="E5813" s="6"/>
      <c r="F5813" s="6"/>
      <c r="G5813" s="24" t="str">
        <f>IF(F5813="", "", VLOOKUP(F5813, Inventory!A:BZ, 3, FALSE) - SUMIF($F$1:$F5812, F5813, $H$1:$H5812))
</f>
        <v/>
      </c>
      <c r="I5813" s="26"/>
      <c r="J5813" s="26" t="s">
        <v>77</v>
      </c>
      <c r="L5813" s="27" t="s">
        <v>77</v>
      </c>
      <c r="N5813" s="28" t="s">
        <v>77</v>
      </c>
      <c r="Q5813" s="30"/>
    </row>
    <row r="5814">
      <c r="B5814" s="6"/>
      <c r="C5814" s="33" t="str">
        <f t="array" ref="C5814">IF(B5814="", "", XLOOKUP(B5814, Inventory!D:D,Inventory!E:E,"No Name Found"))</f>
        <v/>
      </c>
      <c r="D5814" s="6"/>
      <c r="E5814" s="6"/>
      <c r="F5814" s="6"/>
      <c r="G5814" s="24" t="str">
        <f>IF(F5814="", "", VLOOKUP(F5814, Inventory!A:BZ, 3, FALSE) - SUMIF($F$1:$F5813, F5814, $H$1:$H5813))
</f>
        <v/>
      </c>
      <c r="I5814" s="26"/>
      <c r="J5814" s="26" t="s">
        <v>77</v>
      </c>
      <c r="L5814" s="27" t="s">
        <v>77</v>
      </c>
      <c r="N5814" s="28" t="s">
        <v>77</v>
      </c>
      <c r="Q5814" s="30"/>
    </row>
    <row r="5815">
      <c r="B5815" s="6"/>
      <c r="C5815" s="33" t="str">
        <f t="array" ref="C5815">IF(B5815="", "", XLOOKUP(B5815, Inventory!D:D,Inventory!E:E,"No Name Found"))</f>
        <v/>
      </c>
      <c r="D5815" s="6"/>
      <c r="E5815" s="6"/>
      <c r="F5815" s="6"/>
      <c r="G5815" s="24" t="str">
        <f>IF(F5815="", "", VLOOKUP(F5815, Inventory!A:BZ, 3, FALSE) - SUMIF($F$1:$F5814, F5815, $H$1:$H5814))
</f>
        <v/>
      </c>
      <c r="I5815" s="26"/>
      <c r="J5815" s="26" t="s">
        <v>77</v>
      </c>
      <c r="L5815" s="27" t="s">
        <v>77</v>
      </c>
      <c r="N5815" s="28" t="s">
        <v>77</v>
      </c>
      <c r="Q5815" s="30"/>
    </row>
    <row r="5816">
      <c r="B5816" s="6"/>
      <c r="C5816" s="33" t="str">
        <f t="array" ref="C5816">IF(B5816="", "", XLOOKUP(B5816, Inventory!D:D,Inventory!E:E,"No Name Found"))</f>
        <v/>
      </c>
      <c r="D5816" s="6"/>
      <c r="E5816" s="6"/>
      <c r="F5816" s="6"/>
      <c r="G5816" s="24" t="str">
        <f>IF(F5816="", "", VLOOKUP(F5816, Inventory!A:BZ, 3, FALSE) - SUMIF($F$1:$F5815, F5816, $H$1:$H5815))
</f>
        <v/>
      </c>
      <c r="I5816" s="26"/>
      <c r="J5816" s="26" t="s">
        <v>77</v>
      </c>
      <c r="L5816" s="27" t="s">
        <v>77</v>
      </c>
      <c r="N5816" s="28" t="s">
        <v>77</v>
      </c>
      <c r="Q5816" s="30"/>
    </row>
    <row r="5817">
      <c r="B5817" s="6"/>
      <c r="C5817" s="33" t="str">
        <f t="array" ref="C5817">IF(B5817="", "", XLOOKUP(B5817, Inventory!D:D,Inventory!E:E,"No Name Found"))</f>
        <v/>
      </c>
      <c r="D5817" s="6"/>
      <c r="E5817" s="6"/>
      <c r="F5817" s="6"/>
      <c r="G5817" s="24" t="str">
        <f>IF(F5817="", "", VLOOKUP(F5817, Inventory!A:BZ, 3, FALSE) - SUMIF($F$1:$F5816, F5817, $H$1:$H5816))
</f>
        <v/>
      </c>
      <c r="I5817" s="26"/>
      <c r="J5817" s="26" t="s">
        <v>77</v>
      </c>
      <c r="L5817" s="27" t="s">
        <v>77</v>
      </c>
      <c r="N5817" s="28" t="s">
        <v>77</v>
      </c>
      <c r="Q5817" s="30"/>
    </row>
    <row r="5818">
      <c r="B5818" s="6"/>
      <c r="C5818" s="33" t="str">
        <f t="array" ref="C5818">IF(B5818="", "", XLOOKUP(B5818, Inventory!D:D,Inventory!E:E,"No Name Found"))</f>
        <v/>
      </c>
      <c r="D5818" s="6"/>
      <c r="E5818" s="6"/>
      <c r="F5818" s="6"/>
      <c r="G5818" s="24" t="str">
        <f>IF(F5818="", "", VLOOKUP(F5818, Inventory!A:BZ, 3, FALSE) - SUMIF($F$1:$F5817, F5818, $H$1:$H5817))
</f>
        <v/>
      </c>
      <c r="I5818" s="26"/>
      <c r="J5818" s="26" t="s">
        <v>77</v>
      </c>
      <c r="L5818" s="27" t="s">
        <v>77</v>
      </c>
      <c r="N5818" s="28" t="s">
        <v>77</v>
      </c>
      <c r="Q5818" s="30"/>
    </row>
    <row r="5819">
      <c r="B5819" s="6"/>
      <c r="C5819" s="33" t="str">
        <f t="array" ref="C5819">IF(B5819="", "", XLOOKUP(B5819, Inventory!D:D,Inventory!E:E,"No Name Found"))</f>
        <v/>
      </c>
      <c r="D5819" s="6"/>
      <c r="E5819" s="6"/>
      <c r="F5819" s="6"/>
      <c r="G5819" s="24" t="str">
        <f>IF(F5819="", "", VLOOKUP(F5819, Inventory!A:BZ, 3, FALSE) - SUMIF($F$1:$F5818, F5819, $H$1:$H5818))
</f>
        <v/>
      </c>
      <c r="I5819" s="26"/>
      <c r="J5819" s="26" t="s">
        <v>77</v>
      </c>
      <c r="L5819" s="27" t="s">
        <v>77</v>
      </c>
      <c r="N5819" s="28" t="s">
        <v>77</v>
      </c>
      <c r="Q5819" s="30"/>
    </row>
    <row r="5820">
      <c r="B5820" s="6"/>
      <c r="C5820" s="33" t="str">
        <f t="array" ref="C5820">IF(B5820="", "", XLOOKUP(B5820, Inventory!D:D,Inventory!E:E,"No Name Found"))</f>
        <v/>
      </c>
      <c r="D5820" s="6"/>
      <c r="E5820" s="6"/>
      <c r="F5820" s="6"/>
      <c r="G5820" s="24" t="str">
        <f>IF(F5820="", "", VLOOKUP(F5820, Inventory!A:BZ, 3, FALSE) - SUMIF($F$1:$F5819, F5820, $H$1:$H5819))
</f>
        <v/>
      </c>
      <c r="I5820" s="26"/>
      <c r="J5820" s="26" t="s">
        <v>77</v>
      </c>
      <c r="L5820" s="27" t="s">
        <v>77</v>
      </c>
      <c r="N5820" s="28" t="s">
        <v>77</v>
      </c>
      <c r="Q5820" s="30"/>
    </row>
    <row r="5821">
      <c r="B5821" s="6"/>
      <c r="C5821" s="33" t="str">
        <f t="array" ref="C5821">IF(B5821="", "", XLOOKUP(B5821, Inventory!D:D,Inventory!E:E,"No Name Found"))</f>
        <v/>
      </c>
      <c r="D5821" s="6"/>
      <c r="E5821" s="6"/>
      <c r="F5821" s="6"/>
      <c r="G5821" s="24" t="str">
        <f>IF(F5821="", "", VLOOKUP(F5821, Inventory!A:BZ, 3, FALSE) - SUMIF($F$1:$F5820, F5821, $H$1:$H5820))
</f>
        <v/>
      </c>
      <c r="I5821" s="26"/>
      <c r="J5821" s="26" t="s">
        <v>77</v>
      </c>
      <c r="L5821" s="27" t="s">
        <v>77</v>
      </c>
      <c r="N5821" s="28" t="s">
        <v>77</v>
      </c>
      <c r="Q5821" s="30"/>
    </row>
    <row r="5822">
      <c r="B5822" s="6"/>
      <c r="C5822" s="33" t="str">
        <f t="array" ref="C5822">IF(B5822="", "", XLOOKUP(B5822, Inventory!D:D,Inventory!E:E,"No Name Found"))</f>
        <v/>
      </c>
      <c r="D5822" s="6"/>
      <c r="E5822" s="6"/>
      <c r="F5822" s="6"/>
      <c r="G5822" s="24" t="str">
        <f>IF(F5822="", "", VLOOKUP(F5822, Inventory!A:BZ, 3, FALSE) - SUMIF($F$1:$F5821, F5822, $H$1:$H5821))
</f>
        <v/>
      </c>
      <c r="I5822" s="26"/>
      <c r="J5822" s="26" t="s">
        <v>77</v>
      </c>
      <c r="L5822" s="27" t="s">
        <v>77</v>
      </c>
      <c r="N5822" s="28" t="s">
        <v>77</v>
      </c>
      <c r="Q5822" s="30"/>
    </row>
    <row r="5823">
      <c r="B5823" s="6"/>
      <c r="C5823" s="33" t="str">
        <f t="array" ref="C5823">IF(B5823="", "", XLOOKUP(B5823, Inventory!D:D,Inventory!E:E,"No Name Found"))</f>
        <v/>
      </c>
      <c r="D5823" s="6"/>
      <c r="E5823" s="6"/>
      <c r="F5823" s="6"/>
      <c r="G5823" s="24" t="str">
        <f>IF(F5823="", "", VLOOKUP(F5823, Inventory!A:BZ, 3, FALSE) - SUMIF($F$1:$F5822, F5823, $H$1:$H5822))
</f>
        <v/>
      </c>
      <c r="I5823" s="26"/>
      <c r="J5823" s="26" t="s">
        <v>77</v>
      </c>
      <c r="L5823" s="27" t="s">
        <v>77</v>
      </c>
      <c r="N5823" s="28" t="s">
        <v>77</v>
      </c>
      <c r="Q5823" s="30"/>
    </row>
    <row r="5824">
      <c r="B5824" s="6"/>
      <c r="C5824" s="33" t="str">
        <f t="array" ref="C5824">IF(B5824="", "", XLOOKUP(B5824, Inventory!D:D,Inventory!E:E,"No Name Found"))</f>
        <v/>
      </c>
      <c r="D5824" s="6"/>
      <c r="E5824" s="6"/>
      <c r="F5824" s="6"/>
      <c r="G5824" s="24" t="str">
        <f>IF(F5824="", "", VLOOKUP(F5824, Inventory!A:BZ, 3, FALSE) - SUMIF($F$1:$F5823, F5824, $H$1:$H5823))
</f>
        <v/>
      </c>
      <c r="I5824" s="26"/>
      <c r="J5824" s="26" t="s">
        <v>77</v>
      </c>
      <c r="L5824" s="27" t="s">
        <v>77</v>
      </c>
      <c r="N5824" s="28" t="s">
        <v>77</v>
      </c>
      <c r="Q5824" s="30"/>
    </row>
    <row r="5825">
      <c r="B5825" s="6"/>
      <c r="C5825" s="33" t="str">
        <f t="array" ref="C5825">IF(B5825="", "", XLOOKUP(B5825, Inventory!D:D,Inventory!E:E,"No Name Found"))</f>
        <v/>
      </c>
      <c r="D5825" s="6"/>
      <c r="E5825" s="6"/>
      <c r="F5825" s="6"/>
      <c r="G5825" s="24" t="str">
        <f>IF(F5825="", "", VLOOKUP(F5825, Inventory!A:BZ, 3, FALSE) - SUMIF($F$1:$F5824, F5825, $H$1:$H5824))
</f>
        <v/>
      </c>
      <c r="I5825" s="26"/>
      <c r="J5825" s="26" t="s">
        <v>77</v>
      </c>
      <c r="L5825" s="27" t="s">
        <v>77</v>
      </c>
      <c r="N5825" s="28" t="s">
        <v>77</v>
      </c>
      <c r="Q5825" s="30"/>
    </row>
    <row r="5826">
      <c r="B5826" s="6"/>
      <c r="C5826" s="33" t="str">
        <f t="array" ref="C5826">IF(B5826="", "", XLOOKUP(B5826, Inventory!D:D,Inventory!E:E,"No Name Found"))</f>
        <v/>
      </c>
      <c r="D5826" s="6"/>
      <c r="E5826" s="6"/>
      <c r="F5826" s="6"/>
      <c r="G5826" s="24" t="str">
        <f>IF(F5826="", "", VLOOKUP(F5826, Inventory!A:BZ, 3, FALSE) - SUMIF($F$1:$F5825, F5826, $H$1:$H5825))
</f>
        <v/>
      </c>
      <c r="I5826" s="26"/>
      <c r="J5826" s="26" t="s">
        <v>77</v>
      </c>
      <c r="L5826" s="27" t="s">
        <v>77</v>
      </c>
      <c r="N5826" s="28" t="s">
        <v>77</v>
      </c>
      <c r="Q5826" s="30"/>
    </row>
    <row r="5827">
      <c r="B5827" s="6"/>
      <c r="C5827" s="33" t="str">
        <f t="array" ref="C5827">IF(B5827="", "", XLOOKUP(B5827, Inventory!D:D,Inventory!E:E,"No Name Found"))</f>
        <v/>
      </c>
      <c r="D5827" s="6"/>
      <c r="E5827" s="6"/>
      <c r="F5827" s="6"/>
      <c r="G5827" s="24" t="str">
        <f>IF(F5827="", "", VLOOKUP(F5827, Inventory!A:BZ, 3, FALSE) - SUMIF($F$1:$F5826, F5827, $H$1:$H5826))
</f>
        <v/>
      </c>
      <c r="I5827" s="26"/>
      <c r="J5827" s="26" t="s">
        <v>77</v>
      </c>
      <c r="L5827" s="27" t="s">
        <v>77</v>
      </c>
      <c r="N5827" s="28" t="s">
        <v>77</v>
      </c>
      <c r="Q5827" s="30"/>
    </row>
    <row r="5828">
      <c r="B5828" s="6"/>
      <c r="C5828" s="33" t="str">
        <f t="array" ref="C5828">IF(B5828="", "", XLOOKUP(B5828, Inventory!D:D,Inventory!E:E,"No Name Found"))</f>
        <v/>
      </c>
      <c r="D5828" s="6"/>
      <c r="E5828" s="6"/>
      <c r="F5828" s="6"/>
      <c r="G5828" s="24" t="str">
        <f>IF(F5828="", "", VLOOKUP(F5828, Inventory!A:BZ, 3, FALSE) - SUMIF($F$1:$F5827, F5828, $H$1:$H5827))
</f>
        <v/>
      </c>
      <c r="I5828" s="26"/>
      <c r="J5828" s="26" t="s">
        <v>77</v>
      </c>
      <c r="L5828" s="27" t="s">
        <v>77</v>
      </c>
      <c r="N5828" s="28" t="s">
        <v>77</v>
      </c>
      <c r="Q5828" s="30"/>
    </row>
    <row r="5829">
      <c r="B5829" s="6"/>
      <c r="C5829" s="33" t="str">
        <f t="array" ref="C5829">IF(B5829="", "", XLOOKUP(B5829, Inventory!D:D,Inventory!E:E,"No Name Found"))</f>
        <v/>
      </c>
      <c r="D5829" s="6"/>
      <c r="E5829" s="6"/>
      <c r="F5829" s="6"/>
      <c r="G5829" s="24" t="str">
        <f>IF(F5829="", "", VLOOKUP(F5829, Inventory!A:BZ, 3, FALSE) - SUMIF($F$1:$F5828, F5829, $H$1:$H5828))
</f>
        <v/>
      </c>
      <c r="I5829" s="26"/>
      <c r="J5829" s="26" t="s">
        <v>77</v>
      </c>
      <c r="L5829" s="27" t="s">
        <v>77</v>
      </c>
      <c r="N5829" s="28" t="s">
        <v>77</v>
      </c>
      <c r="Q5829" s="30"/>
    </row>
    <row r="5830">
      <c r="B5830" s="6"/>
      <c r="C5830" s="33" t="str">
        <f t="array" ref="C5830">IF(B5830="", "", XLOOKUP(B5830, Inventory!D:D,Inventory!E:E,"No Name Found"))</f>
        <v/>
      </c>
      <c r="D5830" s="6"/>
      <c r="E5830" s="6"/>
      <c r="F5830" s="6"/>
      <c r="G5830" s="24" t="str">
        <f>IF(F5830="", "", VLOOKUP(F5830, Inventory!A:BZ, 3, FALSE) - SUMIF($F$1:$F5829, F5830, $H$1:$H5829))
</f>
        <v/>
      </c>
      <c r="I5830" s="26"/>
      <c r="J5830" s="26" t="s">
        <v>77</v>
      </c>
      <c r="L5830" s="27" t="s">
        <v>77</v>
      </c>
      <c r="N5830" s="28" t="s">
        <v>77</v>
      </c>
      <c r="Q5830" s="30"/>
    </row>
    <row r="5831">
      <c r="B5831" s="6"/>
      <c r="C5831" s="33" t="str">
        <f t="array" ref="C5831">IF(B5831="", "", XLOOKUP(B5831, Inventory!D:D,Inventory!E:E,"No Name Found"))</f>
        <v/>
      </c>
      <c r="D5831" s="6"/>
      <c r="E5831" s="6"/>
      <c r="F5831" s="6"/>
      <c r="G5831" s="24" t="str">
        <f>IF(F5831="", "", VLOOKUP(F5831, Inventory!A:BZ, 3, FALSE) - SUMIF($F$1:$F5830, F5831, $H$1:$H5830))
</f>
        <v/>
      </c>
      <c r="I5831" s="26"/>
      <c r="J5831" s="26" t="s">
        <v>77</v>
      </c>
      <c r="L5831" s="27" t="s">
        <v>77</v>
      </c>
      <c r="N5831" s="28" t="s">
        <v>77</v>
      </c>
      <c r="Q5831" s="30"/>
    </row>
    <row r="5832">
      <c r="B5832" s="6"/>
      <c r="C5832" s="33" t="str">
        <f t="array" ref="C5832">IF(B5832="", "", XLOOKUP(B5832, Inventory!D:D,Inventory!E:E,"No Name Found"))</f>
        <v/>
      </c>
      <c r="D5832" s="6"/>
      <c r="E5832" s="6"/>
      <c r="F5832" s="6"/>
      <c r="G5832" s="24" t="str">
        <f>IF(F5832="", "", VLOOKUP(F5832, Inventory!A:BZ, 3, FALSE) - SUMIF($F$1:$F5831, F5832, $H$1:$H5831))
</f>
        <v/>
      </c>
      <c r="I5832" s="26"/>
      <c r="J5832" s="26" t="s">
        <v>77</v>
      </c>
      <c r="L5832" s="27" t="s">
        <v>77</v>
      </c>
      <c r="N5832" s="28" t="s">
        <v>77</v>
      </c>
      <c r="Q5832" s="30"/>
    </row>
    <row r="5833">
      <c r="B5833" s="6"/>
      <c r="C5833" s="33" t="str">
        <f t="array" ref="C5833">IF(B5833="", "", XLOOKUP(B5833, Inventory!D:D,Inventory!E:E,"No Name Found"))</f>
        <v/>
      </c>
      <c r="D5833" s="6"/>
      <c r="E5833" s="6"/>
      <c r="F5833" s="6"/>
      <c r="G5833" s="24" t="str">
        <f>IF(F5833="", "", VLOOKUP(F5833, Inventory!A:BZ, 3, FALSE) - SUMIF($F$1:$F5832, F5833, $H$1:$H5832))
</f>
        <v/>
      </c>
      <c r="I5833" s="26"/>
      <c r="J5833" s="26" t="s">
        <v>77</v>
      </c>
      <c r="L5833" s="27" t="s">
        <v>77</v>
      </c>
      <c r="N5833" s="28" t="s">
        <v>77</v>
      </c>
      <c r="Q5833" s="30"/>
    </row>
    <row r="5834">
      <c r="B5834" s="6"/>
      <c r="C5834" s="33" t="str">
        <f t="array" ref="C5834">IF(B5834="", "", XLOOKUP(B5834, Inventory!D:D,Inventory!E:E,"No Name Found"))</f>
        <v/>
      </c>
      <c r="D5834" s="6"/>
      <c r="E5834" s="6"/>
      <c r="F5834" s="6"/>
      <c r="G5834" s="24" t="str">
        <f>IF(F5834="", "", VLOOKUP(F5834, Inventory!A:BZ, 3, FALSE) - SUMIF($F$1:$F5833, F5834, $H$1:$H5833))
</f>
        <v/>
      </c>
      <c r="I5834" s="26"/>
      <c r="J5834" s="26" t="s">
        <v>77</v>
      </c>
      <c r="L5834" s="27" t="s">
        <v>77</v>
      </c>
      <c r="N5834" s="28" t="s">
        <v>77</v>
      </c>
      <c r="Q5834" s="30"/>
    </row>
    <row r="5835">
      <c r="B5835" s="6"/>
      <c r="C5835" s="33" t="str">
        <f t="array" ref="C5835">IF(B5835="", "", XLOOKUP(B5835, Inventory!D:D,Inventory!E:E,"No Name Found"))</f>
        <v/>
      </c>
      <c r="D5835" s="6"/>
      <c r="E5835" s="6"/>
      <c r="F5835" s="6"/>
      <c r="G5835" s="24" t="str">
        <f>IF(F5835="", "", VLOOKUP(F5835, Inventory!A:BZ, 3, FALSE) - SUMIF($F$1:$F5834, F5835, $H$1:$H5834))
</f>
        <v/>
      </c>
      <c r="I5835" s="26"/>
      <c r="J5835" s="26" t="s">
        <v>77</v>
      </c>
      <c r="L5835" s="27" t="s">
        <v>77</v>
      </c>
      <c r="N5835" s="28" t="s">
        <v>77</v>
      </c>
      <c r="Q5835" s="30"/>
    </row>
    <row r="5836">
      <c r="B5836" s="6"/>
      <c r="C5836" s="33" t="str">
        <f t="array" ref="C5836">IF(B5836="", "", XLOOKUP(B5836, Inventory!D:D,Inventory!E:E,"No Name Found"))</f>
        <v/>
      </c>
      <c r="D5836" s="6"/>
      <c r="E5836" s="6"/>
      <c r="F5836" s="6"/>
      <c r="G5836" s="24" t="str">
        <f>IF(F5836="", "", VLOOKUP(F5836, Inventory!A:BZ, 3, FALSE) - SUMIF($F$1:$F5835, F5836, $H$1:$H5835))
</f>
        <v/>
      </c>
      <c r="I5836" s="26"/>
      <c r="J5836" s="26" t="s">
        <v>77</v>
      </c>
      <c r="L5836" s="27" t="s">
        <v>77</v>
      </c>
      <c r="N5836" s="28" t="s">
        <v>77</v>
      </c>
      <c r="Q5836" s="30"/>
    </row>
    <row r="5837">
      <c r="B5837" s="6"/>
      <c r="C5837" s="33" t="str">
        <f t="array" ref="C5837">IF(B5837="", "", XLOOKUP(B5837, Inventory!D:D,Inventory!E:E,"No Name Found"))</f>
        <v/>
      </c>
      <c r="D5837" s="6"/>
      <c r="E5837" s="6"/>
      <c r="F5837" s="6"/>
      <c r="G5837" s="24" t="str">
        <f>IF(F5837="", "", VLOOKUP(F5837, Inventory!A:BZ, 3, FALSE) - SUMIF($F$1:$F5836, F5837, $H$1:$H5836))
</f>
        <v/>
      </c>
      <c r="I5837" s="26"/>
      <c r="J5837" s="26" t="s">
        <v>77</v>
      </c>
      <c r="L5837" s="27" t="s">
        <v>77</v>
      </c>
      <c r="N5837" s="28" t="s">
        <v>77</v>
      </c>
      <c r="Q5837" s="30"/>
    </row>
    <row r="5838">
      <c r="B5838" s="6"/>
      <c r="C5838" s="33" t="str">
        <f t="array" ref="C5838">IF(B5838="", "", XLOOKUP(B5838, Inventory!D:D,Inventory!E:E,"No Name Found"))</f>
        <v/>
      </c>
      <c r="D5838" s="6"/>
      <c r="E5838" s="6"/>
      <c r="F5838" s="6"/>
      <c r="G5838" s="24" t="str">
        <f>IF(F5838="", "", VLOOKUP(F5838, Inventory!A:BZ, 3, FALSE) - SUMIF($F$1:$F5837, F5838, $H$1:$H5837))
</f>
        <v/>
      </c>
      <c r="I5838" s="26"/>
      <c r="J5838" s="26" t="s">
        <v>77</v>
      </c>
      <c r="L5838" s="27" t="s">
        <v>77</v>
      </c>
      <c r="N5838" s="28" t="s">
        <v>77</v>
      </c>
      <c r="Q5838" s="30"/>
    </row>
    <row r="5839">
      <c r="B5839" s="6"/>
      <c r="C5839" s="33" t="str">
        <f t="array" ref="C5839">IF(B5839="", "", XLOOKUP(B5839, Inventory!D:D,Inventory!E:E,"No Name Found"))</f>
        <v/>
      </c>
      <c r="D5839" s="6"/>
      <c r="E5839" s="6"/>
      <c r="F5839" s="6"/>
      <c r="G5839" s="24" t="str">
        <f>IF(F5839="", "", VLOOKUP(F5839, Inventory!A:BZ, 3, FALSE) - SUMIF($F$1:$F5838, F5839, $H$1:$H5838))
</f>
        <v/>
      </c>
      <c r="I5839" s="26"/>
      <c r="J5839" s="26" t="s">
        <v>77</v>
      </c>
      <c r="L5839" s="27" t="s">
        <v>77</v>
      </c>
      <c r="N5839" s="28" t="s">
        <v>77</v>
      </c>
      <c r="Q5839" s="30"/>
    </row>
    <row r="5840">
      <c r="B5840" s="6"/>
      <c r="C5840" s="33" t="str">
        <f t="array" ref="C5840">IF(B5840="", "", XLOOKUP(B5840, Inventory!D:D,Inventory!E:E,"No Name Found"))</f>
        <v/>
      </c>
      <c r="D5840" s="6"/>
      <c r="E5840" s="6"/>
      <c r="F5840" s="6"/>
      <c r="G5840" s="24" t="str">
        <f>IF(F5840="", "", VLOOKUP(F5840, Inventory!A:BZ, 3, FALSE) - SUMIF($F$1:$F5839, F5840, $H$1:$H5839))
</f>
        <v/>
      </c>
      <c r="I5840" s="26"/>
      <c r="J5840" s="26" t="s">
        <v>77</v>
      </c>
      <c r="L5840" s="27" t="s">
        <v>77</v>
      </c>
      <c r="N5840" s="28" t="s">
        <v>77</v>
      </c>
      <c r="Q5840" s="30"/>
    </row>
    <row r="5841">
      <c r="B5841" s="6"/>
      <c r="C5841" s="33" t="str">
        <f t="array" ref="C5841">IF(B5841="", "", XLOOKUP(B5841, Inventory!D:D,Inventory!E:E,"No Name Found"))</f>
        <v/>
      </c>
      <c r="D5841" s="6"/>
      <c r="E5841" s="6"/>
      <c r="F5841" s="6"/>
      <c r="G5841" s="24" t="str">
        <f>IF(F5841="", "", VLOOKUP(F5841, Inventory!A:BZ, 3, FALSE) - SUMIF($F$1:$F5840, F5841, $H$1:$H5840))
</f>
        <v/>
      </c>
      <c r="I5841" s="26"/>
      <c r="J5841" s="26" t="s">
        <v>77</v>
      </c>
      <c r="L5841" s="27" t="s">
        <v>77</v>
      </c>
      <c r="N5841" s="28" t="s">
        <v>77</v>
      </c>
      <c r="Q5841" s="30"/>
    </row>
    <row r="5842">
      <c r="B5842" s="6"/>
      <c r="C5842" s="33" t="str">
        <f t="array" ref="C5842">IF(B5842="", "", XLOOKUP(B5842, Inventory!D:D,Inventory!E:E,"No Name Found"))</f>
        <v/>
      </c>
      <c r="D5842" s="6"/>
      <c r="E5842" s="6"/>
      <c r="F5842" s="6"/>
      <c r="G5842" s="24" t="str">
        <f>IF(F5842="", "", VLOOKUP(F5842, Inventory!A:BZ, 3, FALSE) - SUMIF($F$1:$F5841, F5842, $H$1:$H5841))
</f>
        <v/>
      </c>
      <c r="I5842" s="26"/>
      <c r="J5842" s="26" t="s">
        <v>77</v>
      </c>
      <c r="L5842" s="27" t="s">
        <v>77</v>
      </c>
      <c r="N5842" s="28" t="s">
        <v>77</v>
      </c>
      <c r="Q5842" s="30"/>
    </row>
    <row r="5843">
      <c r="B5843" s="6"/>
      <c r="C5843" s="33" t="str">
        <f t="array" ref="C5843">IF(B5843="", "", XLOOKUP(B5843, Inventory!D:D,Inventory!E:E,"No Name Found"))</f>
        <v/>
      </c>
      <c r="D5843" s="6"/>
      <c r="E5843" s="6"/>
      <c r="F5843" s="6"/>
      <c r="G5843" s="24" t="str">
        <f>IF(F5843="", "", VLOOKUP(F5843, Inventory!A:BZ, 3, FALSE) - SUMIF($F$1:$F5842, F5843, $H$1:$H5842))
</f>
        <v/>
      </c>
      <c r="I5843" s="26"/>
      <c r="J5843" s="26" t="s">
        <v>77</v>
      </c>
      <c r="L5843" s="27" t="s">
        <v>77</v>
      </c>
      <c r="N5843" s="28" t="s">
        <v>77</v>
      </c>
      <c r="Q5843" s="30"/>
    </row>
    <row r="5844">
      <c r="B5844" s="6"/>
      <c r="C5844" s="33" t="str">
        <f t="array" ref="C5844">IF(B5844="", "", XLOOKUP(B5844, Inventory!D:D,Inventory!E:E,"No Name Found"))</f>
        <v/>
      </c>
      <c r="D5844" s="6"/>
      <c r="E5844" s="6"/>
      <c r="F5844" s="6"/>
      <c r="G5844" s="24" t="str">
        <f>IF(F5844="", "", VLOOKUP(F5844, Inventory!A:BZ, 3, FALSE) - SUMIF($F$1:$F5843, F5844, $H$1:$H5843))
</f>
        <v/>
      </c>
      <c r="I5844" s="26"/>
      <c r="J5844" s="26" t="s">
        <v>77</v>
      </c>
      <c r="L5844" s="27" t="s">
        <v>77</v>
      </c>
      <c r="N5844" s="28" t="s">
        <v>77</v>
      </c>
      <c r="Q5844" s="30"/>
    </row>
    <row r="5845">
      <c r="B5845" s="6"/>
      <c r="C5845" s="33" t="str">
        <f t="array" ref="C5845">IF(B5845="", "", XLOOKUP(B5845, Inventory!D:D,Inventory!E:E,"No Name Found"))</f>
        <v/>
      </c>
      <c r="D5845" s="6"/>
      <c r="E5845" s="6"/>
      <c r="F5845" s="6"/>
      <c r="G5845" s="24" t="str">
        <f>IF(F5845="", "", VLOOKUP(F5845, Inventory!A:BZ, 3, FALSE) - SUMIF($F$1:$F5844, F5845, $H$1:$H5844))
</f>
        <v/>
      </c>
      <c r="I5845" s="26"/>
      <c r="J5845" s="26" t="s">
        <v>77</v>
      </c>
      <c r="L5845" s="27" t="s">
        <v>77</v>
      </c>
      <c r="N5845" s="28" t="s">
        <v>77</v>
      </c>
      <c r="Q5845" s="30"/>
    </row>
    <row r="5846">
      <c r="B5846" s="6"/>
      <c r="C5846" s="33" t="str">
        <f t="array" ref="C5846">IF(B5846="", "", XLOOKUP(B5846, Inventory!D:D,Inventory!E:E,"No Name Found"))</f>
        <v/>
      </c>
      <c r="D5846" s="6"/>
      <c r="E5846" s="6"/>
      <c r="F5846" s="6"/>
      <c r="G5846" s="24" t="str">
        <f>IF(F5846="", "", VLOOKUP(F5846, Inventory!A:BZ, 3, FALSE) - SUMIF($F$1:$F5845, F5846, $H$1:$H5845))
</f>
        <v/>
      </c>
      <c r="I5846" s="26"/>
      <c r="J5846" s="26" t="s">
        <v>77</v>
      </c>
      <c r="L5846" s="27" t="s">
        <v>77</v>
      </c>
      <c r="N5846" s="28" t="s">
        <v>77</v>
      </c>
      <c r="Q5846" s="30"/>
    </row>
    <row r="5847">
      <c r="B5847" s="6"/>
      <c r="C5847" s="33" t="str">
        <f t="array" ref="C5847">IF(B5847="", "", XLOOKUP(B5847, Inventory!D:D,Inventory!E:E,"No Name Found"))</f>
        <v/>
      </c>
      <c r="D5847" s="6"/>
      <c r="E5847" s="6"/>
      <c r="F5847" s="6"/>
      <c r="G5847" s="24" t="str">
        <f>IF(F5847="", "", VLOOKUP(F5847, Inventory!A:BZ, 3, FALSE) - SUMIF($F$1:$F5846, F5847, $H$1:$H5846))
</f>
        <v/>
      </c>
      <c r="I5847" s="26"/>
      <c r="J5847" s="26" t="s">
        <v>77</v>
      </c>
      <c r="L5847" s="27" t="s">
        <v>77</v>
      </c>
      <c r="N5847" s="28" t="s">
        <v>77</v>
      </c>
      <c r="Q5847" s="30"/>
    </row>
    <row r="5848">
      <c r="B5848" s="6"/>
      <c r="C5848" s="33" t="str">
        <f t="array" ref="C5848">IF(B5848="", "", XLOOKUP(B5848, Inventory!D:D,Inventory!E:E,"No Name Found"))</f>
        <v/>
      </c>
      <c r="D5848" s="6"/>
      <c r="E5848" s="6"/>
      <c r="F5848" s="6"/>
      <c r="G5848" s="24" t="str">
        <f>IF(F5848="", "", VLOOKUP(F5848, Inventory!A:BZ, 3, FALSE) - SUMIF($F$1:$F5847, F5848, $H$1:$H5847))
</f>
        <v/>
      </c>
      <c r="I5848" s="26"/>
      <c r="J5848" s="26" t="s">
        <v>77</v>
      </c>
      <c r="L5848" s="27" t="s">
        <v>77</v>
      </c>
      <c r="N5848" s="28" t="s">
        <v>77</v>
      </c>
      <c r="Q5848" s="30"/>
    </row>
    <row r="5849">
      <c r="B5849" s="6"/>
      <c r="C5849" s="33" t="str">
        <f t="array" ref="C5849">IF(B5849="", "", XLOOKUP(B5849, Inventory!D:D,Inventory!E:E,"No Name Found"))</f>
        <v/>
      </c>
      <c r="D5849" s="6"/>
      <c r="E5849" s="6"/>
      <c r="F5849" s="6"/>
      <c r="G5849" s="24" t="str">
        <f>IF(F5849="", "", VLOOKUP(F5849, Inventory!A:BZ, 3, FALSE) - SUMIF($F$1:$F5848, F5849, $H$1:$H5848))
</f>
        <v/>
      </c>
      <c r="I5849" s="26"/>
      <c r="J5849" s="26" t="s">
        <v>77</v>
      </c>
      <c r="L5849" s="27" t="s">
        <v>77</v>
      </c>
      <c r="N5849" s="28" t="s">
        <v>77</v>
      </c>
      <c r="Q5849" s="30"/>
    </row>
    <row r="5850">
      <c r="B5850" s="6"/>
      <c r="C5850" s="33" t="str">
        <f t="array" ref="C5850">IF(B5850="", "", XLOOKUP(B5850, Inventory!D:D,Inventory!E:E,"No Name Found"))</f>
        <v/>
      </c>
      <c r="D5850" s="6"/>
      <c r="E5850" s="6"/>
      <c r="F5850" s="6"/>
      <c r="G5850" s="24" t="str">
        <f>IF(F5850="", "", VLOOKUP(F5850, Inventory!A:BZ, 3, FALSE) - SUMIF($F$1:$F5849, F5850, $H$1:$H5849))
</f>
        <v/>
      </c>
      <c r="I5850" s="26"/>
      <c r="J5850" s="26" t="s">
        <v>77</v>
      </c>
      <c r="L5850" s="27" t="s">
        <v>77</v>
      </c>
      <c r="N5850" s="28" t="s">
        <v>77</v>
      </c>
      <c r="Q5850" s="30"/>
    </row>
    <row r="5851">
      <c r="B5851" s="6"/>
      <c r="C5851" s="33" t="str">
        <f t="array" ref="C5851">IF(B5851="", "", XLOOKUP(B5851, Inventory!D:D,Inventory!E:E,"No Name Found"))</f>
        <v/>
      </c>
      <c r="D5851" s="6"/>
      <c r="E5851" s="6"/>
      <c r="F5851" s="6"/>
      <c r="G5851" s="24" t="str">
        <f>IF(F5851="", "", VLOOKUP(F5851, Inventory!A:BZ, 3, FALSE) - SUMIF($F$1:$F5850, F5851, $H$1:$H5850))
</f>
        <v/>
      </c>
      <c r="I5851" s="26"/>
      <c r="J5851" s="26" t="s">
        <v>77</v>
      </c>
      <c r="L5851" s="27" t="s">
        <v>77</v>
      </c>
      <c r="N5851" s="28" t="s">
        <v>77</v>
      </c>
      <c r="Q5851" s="30"/>
    </row>
    <row r="5852">
      <c r="B5852" s="6"/>
      <c r="C5852" s="33" t="str">
        <f t="array" ref="C5852">IF(B5852="", "", XLOOKUP(B5852, Inventory!D:D,Inventory!E:E,"No Name Found"))</f>
        <v/>
      </c>
      <c r="D5852" s="6"/>
      <c r="E5852" s="6"/>
      <c r="F5852" s="6"/>
      <c r="G5852" s="24" t="str">
        <f>IF(F5852="", "", VLOOKUP(F5852, Inventory!A:BZ, 3, FALSE) - SUMIF($F$1:$F5851, F5852, $H$1:$H5851))
</f>
        <v/>
      </c>
      <c r="I5852" s="26"/>
      <c r="J5852" s="26" t="s">
        <v>77</v>
      </c>
      <c r="L5852" s="27" t="s">
        <v>77</v>
      </c>
      <c r="N5852" s="28" t="s">
        <v>77</v>
      </c>
      <c r="Q5852" s="30"/>
    </row>
    <row r="5853">
      <c r="B5853" s="6"/>
      <c r="C5853" s="33" t="str">
        <f t="array" ref="C5853">IF(B5853="", "", XLOOKUP(B5853, Inventory!D:D,Inventory!E:E,"No Name Found"))</f>
        <v/>
      </c>
      <c r="D5853" s="6"/>
      <c r="E5853" s="6"/>
      <c r="F5853" s="6"/>
      <c r="G5853" s="24" t="str">
        <f>IF(F5853="", "", VLOOKUP(F5853, Inventory!A:BZ, 3, FALSE) - SUMIF($F$1:$F5852, F5853, $H$1:$H5852))
</f>
        <v/>
      </c>
      <c r="I5853" s="26"/>
      <c r="J5853" s="26" t="s">
        <v>77</v>
      </c>
      <c r="L5853" s="27" t="s">
        <v>77</v>
      </c>
      <c r="N5853" s="28" t="s">
        <v>77</v>
      </c>
      <c r="Q5853" s="30"/>
    </row>
    <row r="5854">
      <c r="B5854" s="6"/>
      <c r="C5854" s="33" t="str">
        <f t="array" ref="C5854">IF(B5854="", "", XLOOKUP(B5854, Inventory!D:D,Inventory!E:E,"No Name Found"))</f>
        <v/>
      </c>
      <c r="D5854" s="6"/>
      <c r="E5854" s="6"/>
      <c r="F5854" s="6"/>
      <c r="G5854" s="24" t="str">
        <f>IF(F5854="", "", VLOOKUP(F5854, Inventory!A:BZ, 3, FALSE) - SUMIF($F$1:$F5853, F5854, $H$1:$H5853))
</f>
        <v/>
      </c>
      <c r="I5854" s="26"/>
      <c r="J5854" s="26" t="s">
        <v>77</v>
      </c>
      <c r="L5854" s="27" t="s">
        <v>77</v>
      </c>
      <c r="N5854" s="28" t="s">
        <v>77</v>
      </c>
      <c r="Q5854" s="30"/>
    </row>
    <row r="5855">
      <c r="B5855" s="6"/>
      <c r="C5855" s="33" t="str">
        <f t="array" ref="C5855">IF(B5855="", "", XLOOKUP(B5855, Inventory!D:D,Inventory!E:E,"No Name Found"))</f>
        <v/>
      </c>
      <c r="D5855" s="6"/>
      <c r="E5855" s="6"/>
      <c r="F5855" s="6"/>
      <c r="G5855" s="24" t="str">
        <f>IF(F5855="", "", VLOOKUP(F5855, Inventory!A:BZ, 3, FALSE) - SUMIF($F$1:$F5854, F5855, $H$1:$H5854))
</f>
        <v/>
      </c>
      <c r="I5855" s="26"/>
      <c r="J5855" s="26" t="s">
        <v>77</v>
      </c>
      <c r="L5855" s="27" t="s">
        <v>77</v>
      </c>
      <c r="N5855" s="28" t="s">
        <v>77</v>
      </c>
      <c r="Q5855" s="30"/>
    </row>
    <row r="5856">
      <c r="B5856" s="6"/>
      <c r="C5856" s="33" t="str">
        <f t="array" ref="C5856">IF(B5856="", "", XLOOKUP(B5856, Inventory!D:D,Inventory!E:E,"No Name Found"))</f>
        <v/>
      </c>
      <c r="D5856" s="6"/>
      <c r="E5856" s="6"/>
      <c r="F5856" s="6"/>
      <c r="G5856" s="24" t="str">
        <f>IF(F5856="", "", VLOOKUP(F5856, Inventory!A:BZ, 3, FALSE) - SUMIF($F$1:$F5855, F5856, $H$1:$H5855))
</f>
        <v/>
      </c>
      <c r="I5856" s="26"/>
      <c r="J5856" s="26" t="s">
        <v>77</v>
      </c>
      <c r="L5856" s="27" t="s">
        <v>77</v>
      </c>
      <c r="N5856" s="28" t="s">
        <v>77</v>
      </c>
      <c r="Q5856" s="30"/>
    </row>
    <row r="5857">
      <c r="B5857" s="6"/>
      <c r="C5857" s="33" t="str">
        <f t="array" ref="C5857">IF(B5857="", "", XLOOKUP(B5857, Inventory!D:D,Inventory!E:E,"No Name Found"))</f>
        <v/>
      </c>
      <c r="D5857" s="6"/>
      <c r="E5857" s="6"/>
      <c r="F5857" s="6"/>
      <c r="G5857" s="24" t="str">
        <f>IF(F5857="", "", VLOOKUP(F5857, Inventory!A:BZ, 3, FALSE) - SUMIF($F$1:$F5856, F5857, $H$1:$H5856))
</f>
        <v/>
      </c>
      <c r="I5857" s="26"/>
      <c r="J5857" s="26" t="s">
        <v>77</v>
      </c>
      <c r="L5857" s="27" t="s">
        <v>77</v>
      </c>
      <c r="N5857" s="28" t="s">
        <v>77</v>
      </c>
      <c r="Q5857" s="30"/>
    </row>
    <row r="5858">
      <c r="B5858" s="6"/>
      <c r="C5858" s="33" t="str">
        <f t="array" ref="C5858">IF(B5858="", "", XLOOKUP(B5858, Inventory!D:D,Inventory!E:E,"No Name Found"))</f>
        <v/>
      </c>
      <c r="D5858" s="6"/>
      <c r="E5858" s="6"/>
      <c r="F5858" s="6"/>
      <c r="G5858" s="24" t="str">
        <f>IF(F5858="", "", VLOOKUP(F5858, Inventory!A:BZ, 3, FALSE) - SUMIF($F$1:$F5857, F5858, $H$1:$H5857))
</f>
        <v/>
      </c>
      <c r="I5858" s="26"/>
      <c r="J5858" s="26" t="s">
        <v>77</v>
      </c>
      <c r="L5858" s="27" t="s">
        <v>77</v>
      </c>
      <c r="N5858" s="28" t="s">
        <v>77</v>
      </c>
      <c r="Q5858" s="30"/>
    </row>
    <row r="5859">
      <c r="B5859" s="6"/>
      <c r="C5859" s="33" t="str">
        <f t="array" ref="C5859">IF(B5859="", "", XLOOKUP(B5859, Inventory!D:D,Inventory!E:E,"No Name Found"))</f>
        <v/>
      </c>
      <c r="D5859" s="6"/>
      <c r="E5859" s="6"/>
      <c r="F5859" s="6"/>
      <c r="G5859" s="24" t="str">
        <f>IF(F5859="", "", VLOOKUP(F5859, Inventory!A:BZ, 3, FALSE) - SUMIF($F$1:$F5858, F5859, $H$1:$H5858))
</f>
        <v/>
      </c>
      <c r="I5859" s="26"/>
      <c r="J5859" s="26" t="s">
        <v>77</v>
      </c>
      <c r="L5859" s="27" t="s">
        <v>77</v>
      </c>
      <c r="N5859" s="28" t="s">
        <v>77</v>
      </c>
      <c r="Q5859" s="30"/>
    </row>
    <row r="5860">
      <c r="B5860" s="6"/>
      <c r="C5860" s="33" t="str">
        <f t="array" ref="C5860">IF(B5860="", "", XLOOKUP(B5860, Inventory!D:D,Inventory!E:E,"No Name Found"))</f>
        <v/>
      </c>
      <c r="D5860" s="6"/>
      <c r="E5860" s="6"/>
      <c r="F5860" s="6"/>
      <c r="G5860" s="24" t="str">
        <f>IF(F5860="", "", VLOOKUP(F5860, Inventory!A:BZ, 3, FALSE) - SUMIF($F$1:$F5859, F5860, $H$1:$H5859))
</f>
        <v/>
      </c>
      <c r="I5860" s="26"/>
      <c r="J5860" s="26" t="s">
        <v>77</v>
      </c>
      <c r="L5860" s="27" t="s">
        <v>77</v>
      </c>
      <c r="N5860" s="28" t="s">
        <v>77</v>
      </c>
      <c r="Q5860" s="30"/>
    </row>
    <row r="5861">
      <c r="B5861" s="6"/>
      <c r="C5861" s="33" t="str">
        <f t="array" ref="C5861">IF(B5861="", "", XLOOKUP(B5861, Inventory!D:D,Inventory!E:E,"No Name Found"))</f>
        <v/>
      </c>
      <c r="D5861" s="6"/>
      <c r="E5861" s="6"/>
      <c r="F5861" s="6"/>
      <c r="G5861" s="24" t="str">
        <f>IF(F5861="", "", VLOOKUP(F5861, Inventory!A:BZ, 3, FALSE) - SUMIF($F$1:$F5860, F5861, $H$1:$H5860))
</f>
        <v/>
      </c>
      <c r="I5861" s="26"/>
      <c r="J5861" s="26" t="s">
        <v>77</v>
      </c>
      <c r="L5861" s="27" t="s">
        <v>77</v>
      </c>
      <c r="N5861" s="28" t="s">
        <v>77</v>
      </c>
      <c r="Q5861" s="30"/>
    </row>
    <row r="5862">
      <c r="B5862" s="6"/>
      <c r="C5862" s="33" t="str">
        <f t="array" ref="C5862">IF(B5862="", "", XLOOKUP(B5862, Inventory!D:D,Inventory!E:E,"No Name Found"))</f>
        <v/>
      </c>
      <c r="D5862" s="6"/>
      <c r="E5862" s="6"/>
      <c r="F5862" s="6"/>
      <c r="G5862" s="24" t="str">
        <f>IF(F5862="", "", VLOOKUP(F5862, Inventory!A:BZ, 3, FALSE) - SUMIF($F$1:$F5861, F5862, $H$1:$H5861))
</f>
        <v/>
      </c>
      <c r="I5862" s="26"/>
      <c r="J5862" s="26" t="s">
        <v>77</v>
      </c>
      <c r="L5862" s="27" t="s">
        <v>77</v>
      </c>
      <c r="N5862" s="28" t="s">
        <v>77</v>
      </c>
      <c r="Q5862" s="30"/>
    </row>
    <row r="5863">
      <c r="B5863" s="6"/>
      <c r="C5863" s="33" t="str">
        <f t="array" ref="C5863">IF(B5863="", "", XLOOKUP(B5863, Inventory!D:D,Inventory!E:E,"No Name Found"))</f>
        <v/>
      </c>
      <c r="D5863" s="6"/>
      <c r="E5863" s="6"/>
      <c r="F5863" s="6"/>
      <c r="G5863" s="24" t="str">
        <f>IF(F5863="", "", VLOOKUP(F5863, Inventory!A:BZ, 3, FALSE) - SUMIF($F$1:$F5862, F5863, $H$1:$H5862))
</f>
        <v/>
      </c>
      <c r="I5863" s="26"/>
      <c r="J5863" s="26" t="s">
        <v>77</v>
      </c>
      <c r="L5863" s="27" t="s">
        <v>77</v>
      </c>
      <c r="N5863" s="28" t="s">
        <v>77</v>
      </c>
      <c r="Q5863" s="30"/>
    </row>
    <row r="5864">
      <c r="B5864" s="6"/>
      <c r="C5864" s="33" t="str">
        <f t="array" ref="C5864">IF(B5864="", "", XLOOKUP(B5864, Inventory!D:D,Inventory!E:E,"No Name Found"))</f>
        <v/>
      </c>
      <c r="D5864" s="6"/>
      <c r="E5864" s="6"/>
      <c r="F5864" s="6"/>
      <c r="G5864" s="24" t="str">
        <f>IF(F5864="", "", VLOOKUP(F5864, Inventory!A:BZ, 3, FALSE) - SUMIF($F$1:$F5863, F5864, $H$1:$H5863))
</f>
        <v/>
      </c>
      <c r="I5864" s="26"/>
      <c r="J5864" s="26" t="s">
        <v>77</v>
      </c>
      <c r="L5864" s="27" t="s">
        <v>77</v>
      </c>
      <c r="N5864" s="28" t="s">
        <v>77</v>
      </c>
      <c r="Q5864" s="30"/>
    </row>
    <row r="5865">
      <c r="B5865" s="6"/>
      <c r="C5865" s="33" t="str">
        <f t="array" ref="C5865">IF(B5865="", "", XLOOKUP(B5865, Inventory!D:D,Inventory!E:E,"No Name Found"))</f>
        <v/>
      </c>
      <c r="D5865" s="6"/>
      <c r="E5865" s="6"/>
      <c r="F5865" s="6"/>
      <c r="G5865" s="24" t="str">
        <f>IF(F5865="", "", VLOOKUP(F5865, Inventory!A:BZ, 3, FALSE) - SUMIF($F$1:$F5864, F5865, $H$1:$H5864))
</f>
        <v/>
      </c>
      <c r="I5865" s="26"/>
      <c r="J5865" s="26" t="s">
        <v>77</v>
      </c>
      <c r="L5865" s="27" t="s">
        <v>77</v>
      </c>
      <c r="N5865" s="28" t="s">
        <v>77</v>
      </c>
      <c r="Q5865" s="30"/>
    </row>
    <row r="5866">
      <c r="B5866" s="6"/>
      <c r="C5866" s="33" t="str">
        <f t="array" ref="C5866">IF(B5866="", "", XLOOKUP(B5866, Inventory!D:D,Inventory!E:E,"No Name Found"))</f>
        <v/>
      </c>
      <c r="D5866" s="6"/>
      <c r="E5866" s="6"/>
      <c r="F5866" s="6"/>
      <c r="G5866" s="24" t="str">
        <f>IF(F5866="", "", VLOOKUP(F5866, Inventory!A:BZ, 3, FALSE) - SUMIF($F$1:$F5865, F5866, $H$1:$H5865))
</f>
        <v/>
      </c>
      <c r="I5866" s="26"/>
      <c r="J5866" s="26" t="s">
        <v>77</v>
      </c>
      <c r="L5866" s="27" t="s">
        <v>77</v>
      </c>
      <c r="N5866" s="28" t="s">
        <v>77</v>
      </c>
      <c r="Q5866" s="30"/>
    </row>
    <row r="5867">
      <c r="B5867" s="6"/>
      <c r="C5867" s="33" t="str">
        <f t="array" ref="C5867">IF(B5867="", "", XLOOKUP(B5867, Inventory!D:D,Inventory!E:E,"No Name Found"))</f>
        <v/>
      </c>
      <c r="D5867" s="6"/>
      <c r="E5867" s="6"/>
      <c r="F5867" s="6"/>
      <c r="G5867" s="24" t="str">
        <f>IF(F5867="", "", VLOOKUP(F5867, Inventory!A:BZ, 3, FALSE) - SUMIF($F$1:$F5866, F5867, $H$1:$H5866))
</f>
        <v/>
      </c>
      <c r="I5867" s="26"/>
      <c r="J5867" s="26" t="s">
        <v>77</v>
      </c>
      <c r="L5867" s="27" t="s">
        <v>77</v>
      </c>
      <c r="N5867" s="28" t="s">
        <v>77</v>
      </c>
      <c r="Q5867" s="30"/>
    </row>
    <row r="5868">
      <c r="B5868" s="6"/>
      <c r="C5868" s="33" t="str">
        <f t="array" ref="C5868">IF(B5868="", "", XLOOKUP(B5868, Inventory!D:D,Inventory!E:E,"No Name Found"))</f>
        <v/>
      </c>
      <c r="D5868" s="6"/>
      <c r="E5868" s="6"/>
      <c r="F5868" s="6"/>
      <c r="G5868" s="24" t="str">
        <f>IF(F5868="", "", VLOOKUP(F5868, Inventory!A:BZ, 3, FALSE) - SUMIF($F$1:$F5867, F5868, $H$1:$H5867))
</f>
        <v/>
      </c>
      <c r="I5868" s="26"/>
      <c r="J5868" s="26" t="s">
        <v>77</v>
      </c>
      <c r="L5868" s="27" t="s">
        <v>77</v>
      </c>
      <c r="N5868" s="28" t="s">
        <v>77</v>
      </c>
      <c r="Q5868" s="30"/>
    </row>
    <row r="5869">
      <c r="B5869" s="6"/>
      <c r="C5869" s="33" t="str">
        <f t="array" ref="C5869">IF(B5869="", "", XLOOKUP(B5869, Inventory!D:D,Inventory!E:E,"No Name Found"))</f>
        <v/>
      </c>
      <c r="D5869" s="6"/>
      <c r="E5869" s="6"/>
      <c r="F5869" s="6"/>
      <c r="G5869" s="24" t="str">
        <f>IF(F5869="", "", VLOOKUP(F5869, Inventory!A:BZ, 3, FALSE) - SUMIF($F$1:$F5868, F5869, $H$1:$H5868))
</f>
        <v/>
      </c>
      <c r="I5869" s="26"/>
      <c r="J5869" s="26" t="s">
        <v>77</v>
      </c>
      <c r="L5869" s="27" t="s">
        <v>77</v>
      </c>
      <c r="N5869" s="28" t="s">
        <v>77</v>
      </c>
      <c r="Q5869" s="30"/>
    </row>
    <row r="5870">
      <c r="B5870" s="6"/>
      <c r="C5870" s="33" t="str">
        <f t="array" ref="C5870">IF(B5870="", "", XLOOKUP(B5870, Inventory!D:D,Inventory!E:E,"No Name Found"))</f>
        <v/>
      </c>
      <c r="D5870" s="6"/>
      <c r="E5870" s="6"/>
      <c r="F5870" s="6"/>
      <c r="G5870" s="24" t="str">
        <f>IF(F5870="", "", VLOOKUP(F5870, Inventory!A:BZ, 3, FALSE) - SUMIF($F$1:$F5869, F5870, $H$1:$H5869))
</f>
        <v/>
      </c>
      <c r="I5870" s="26"/>
      <c r="J5870" s="26" t="s">
        <v>77</v>
      </c>
      <c r="L5870" s="27" t="s">
        <v>77</v>
      </c>
      <c r="N5870" s="28" t="s">
        <v>77</v>
      </c>
      <c r="Q5870" s="30"/>
    </row>
    <row r="5871">
      <c r="B5871" s="6"/>
      <c r="C5871" s="33" t="str">
        <f t="array" ref="C5871">IF(B5871="", "", XLOOKUP(B5871, Inventory!D:D,Inventory!E:E,"No Name Found"))</f>
        <v/>
      </c>
      <c r="D5871" s="6"/>
      <c r="E5871" s="6"/>
      <c r="F5871" s="6"/>
      <c r="G5871" s="24" t="str">
        <f>IF(F5871="", "", VLOOKUP(F5871, Inventory!A:BZ, 3, FALSE) - SUMIF($F$1:$F5870, F5871, $H$1:$H5870))
</f>
        <v/>
      </c>
      <c r="I5871" s="26"/>
      <c r="J5871" s="26" t="s">
        <v>77</v>
      </c>
      <c r="L5871" s="27" t="s">
        <v>77</v>
      </c>
      <c r="N5871" s="28" t="s">
        <v>77</v>
      </c>
      <c r="Q5871" s="30"/>
    </row>
    <row r="5872">
      <c r="B5872" s="6"/>
      <c r="C5872" s="33" t="str">
        <f t="array" ref="C5872">IF(B5872="", "", XLOOKUP(B5872, Inventory!D:D,Inventory!E:E,"No Name Found"))</f>
        <v/>
      </c>
      <c r="D5872" s="6"/>
      <c r="E5872" s="6"/>
      <c r="F5872" s="6"/>
      <c r="G5872" s="24" t="str">
        <f>IF(F5872="", "", VLOOKUP(F5872, Inventory!A:BZ, 3, FALSE) - SUMIF($F$1:$F5871, F5872, $H$1:$H5871))
</f>
        <v/>
      </c>
      <c r="I5872" s="26"/>
      <c r="J5872" s="26" t="s">
        <v>77</v>
      </c>
      <c r="L5872" s="27" t="s">
        <v>77</v>
      </c>
      <c r="N5872" s="28" t="s">
        <v>77</v>
      </c>
      <c r="Q5872" s="30"/>
    </row>
    <row r="5873">
      <c r="B5873" s="6"/>
      <c r="C5873" s="33" t="str">
        <f t="array" ref="C5873">IF(B5873="", "", XLOOKUP(B5873, Inventory!D:D,Inventory!E:E,"No Name Found"))</f>
        <v/>
      </c>
      <c r="D5873" s="6"/>
      <c r="E5873" s="6"/>
      <c r="F5873" s="6"/>
      <c r="G5873" s="24" t="str">
        <f>IF(F5873="", "", VLOOKUP(F5873, Inventory!A:BZ, 3, FALSE) - SUMIF($F$1:$F5872, F5873, $H$1:$H5872))
</f>
        <v/>
      </c>
      <c r="I5873" s="26"/>
      <c r="J5873" s="26" t="s">
        <v>77</v>
      </c>
      <c r="L5873" s="27" t="s">
        <v>77</v>
      </c>
      <c r="N5873" s="28" t="s">
        <v>77</v>
      </c>
      <c r="Q5873" s="30"/>
    </row>
    <row r="5874">
      <c r="B5874" s="6"/>
      <c r="C5874" s="33" t="str">
        <f t="array" ref="C5874">IF(B5874="", "", XLOOKUP(B5874, Inventory!D:D,Inventory!E:E,"No Name Found"))</f>
        <v/>
      </c>
      <c r="D5874" s="6"/>
      <c r="E5874" s="6"/>
      <c r="F5874" s="6"/>
      <c r="G5874" s="24" t="str">
        <f>IF(F5874="", "", VLOOKUP(F5874, Inventory!A:BZ, 3, FALSE) - SUMIF($F$1:$F5873, F5874, $H$1:$H5873))
</f>
        <v/>
      </c>
      <c r="I5874" s="26"/>
      <c r="J5874" s="26" t="s">
        <v>77</v>
      </c>
      <c r="L5874" s="27" t="s">
        <v>77</v>
      </c>
      <c r="N5874" s="28" t="s">
        <v>77</v>
      </c>
      <c r="Q5874" s="30"/>
    </row>
    <row r="5875">
      <c r="B5875" s="6"/>
      <c r="C5875" s="33" t="str">
        <f t="array" ref="C5875">IF(B5875="", "", XLOOKUP(B5875, Inventory!D:D,Inventory!E:E,"No Name Found"))</f>
        <v/>
      </c>
      <c r="D5875" s="6"/>
      <c r="E5875" s="6"/>
      <c r="F5875" s="6"/>
      <c r="G5875" s="24" t="str">
        <f>IF(F5875="", "", VLOOKUP(F5875, Inventory!A:BZ, 3, FALSE) - SUMIF($F$1:$F5874, F5875, $H$1:$H5874))
</f>
        <v/>
      </c>
      <c r="I5875" s="26"/>
      <c r="J5875" s="26" t="s">
        <v>77</v>
      </c>
      <c r="L5875" s="27" t="s">
        <v>77</v>
      </c>
      <c r="N5875" s="28" t="s">
        <v>77</v>
      </c>
      <c r="Q5875" s="30"/>
    </row>
    <row r="5876">
      <c r="B5876" s="6"/>
      <c r="C5876" s="33" t="str">
        <f t="array" ref="C5876">IF(B5876="", "", XLOOKUP(B5876, Inventory!D:D,Inventory!E:E,"No Name Found"))</f>
        <v/>
      </c>
      <c r="D5876" s="6"/>
      <c r="E5876" s="6"/>
      <c r="F5876" s="6"/>
      <c r="G5876" s="24" t="str">
        <f>IF(F5876="", "", VLOOKUP(F5876, Inventory!A:BZ, 3, FALSE) - SUMIF($F$1:$F5875, F5876, $H$1:$H5875))
</f>
        <v/>
      </c>
      <c r="I5876" s="26"/>
      <c r="J5876" s="26" t="s">
        <v>77</v>
      </c>
      <c r="L5876" s="27" t="s">
        <v>77</v>
      </c>
      <c r="N5876" s="28" t="s">
        <v>77</v>
      </c>
      <c r="Q5876" s="30"/>
    </row>
    <row r="5877">
      <c r="B5877" s="6"/>
      <c r="C5877" s="33" t="str">
        <f t="array" ref="C5877">IF(B5877="", "", XLOOKUP(B5877, Inventory!D:D,Inventory!E:E,"No Name Found"))</f>
        <v/>
      </c>
      <c r="D5877" s="6"/>
      <c r="E5877" s="6"/>
      <c r="F5877" s="6"/>
      <c r="G5877" s="24" t="str">
        <f>IF(F5877="", "", VLOOKUP(F5877, Inventory!A:BZ, 3, FALSE) - SUMIF($F$1:$F5876, F5877, $H$1:$H5876))
</f>
        <v/>
      </c>
      <c r="I5877" s="26"/>
      <c r="J5877" s="26" t="s">
        <v>77</v>
      </c>
      <c r="L5877" s="27" t="s">
        <v>77</v>
      </c>
      <c r="N5877" s="28" t="s">
        <v>77</v>
      </c>
      <c r="Q5877" s="30"/>
    </row>
    <row r="5878">
      <c r="B5878" s="6"/>
      <c r="C5878" s="33" t="str">
        <f t="array" ref="C5878">IF(B5878="", "", XLOOKUP(B5878, Inventory!D:D,Inventory!E:E,"No Name Found"))</f>
        <v/>
      </c>
      <c r="D5878" s="6"/>
      <c r="E5878" s="6"/>
      <c r="F5878" s="6"/>
      <c r="G5878" s="24" t="str">
        <f>IF(F5878="", "", VLOOKUP(F5878, Inventory!A:BZ, 3, FALSE) - SUMIF($F$1:$F5877, F5878, $H$1:$H5877))
</f>
        <v/>
      </c>
      <c r="I5878" s="26"/>
      <c r="J5878" s="26" t="s">
        <v>77</v>
      </c>
      <c r="L5878" s="27" t="s">
        <v>77</v>
      </c>
      <c r="N5878" s="28" t="s">
        <v>77</v>
      </c>
      <c r="Q5878" s="30"/>
    </row>
    <row r="5879">
      <c r="B5879" s="6"/>
      <c r="C5879" s="33" t="str">
        <f t="array" ref="C5879">IF(B5879="", "", XLOOKUP(B5879, Inventory!D:D,Inventory!E:E,"No Name Found"))</f>
        <v/>
      </c>
      <c r="D5879" s="6"/>
      <c r="E5879" s="6"/>
      <c r="F5879" s="6"/>
      <c r="G5879" s="24" t="str">
        <f>IF(F5879="", "", VLOOKUP(F5879, Inventory!A:BZ, 3, FALSE) - SUMIF($F$1:$F5878, F5879, $H$1:$H5878))
</f>
        <v/>
      </c>
      <c r="I5879" s="26"/>
      <c r="J5879" s="26" t="s">
        <v>77</v>
      </c>
      <c r="L5879" s="27" t="s">
        <v>77</v>
      </c>
      <c r="N5879" s="28" t="s">
        <v>77</v>
      </c>
      <c r="Q5879" s="30"/>
    </row>
    <row r="5880">
      <c r="B5880" s="6"/>
      <c r="C5880" s="33" t="str">
        <f t="array" ref="C5880">IF(B5880="", "", XLOOKUP(B5880, Inventory!D:D,Inventory!E:E,"No Name Found"))</f>
        <v/>
      </c>
      <c r="D5880" s="6"/>
      <c r="E5880" s="6"/>
      <c r="F5880" s="6"/>
      <c r="G5880" s="24" t="str">
        <f>IF(F5880="", "", VLOOKUP(F5880, Inventory!A:BZ, 3, FALSE) - SUMIF($F$1:$F5879, F5880, $H$1:$H5879))
</f>
        <v/>
      </c>
      <c r="I5880" s="26"/>
      <c r="J5880" s="26" t="s">
        <v>77</v>
      </c>
      <c r="L5880" s="27" t="s">
        <v>77</v>
      </c>
      <c r="N5880" s="28" t="s">
        <v>77</v>
      </c>
      <c r="Q5880" s="30"/>
    </row>
    <row r="5881">
      <c r="B5881" s="6"/>
      <c r="C5881" s="33" t="str">
        <f t="array" ref="C5881">IF(B5881="", "", XLOOKUP(B5881, Inventory!D:D,Inventory!E:E,"No Name Found"))</f>
        <v/>
      </c>
      <c r="D5881" s="6"/>
      <c r="E5881" s="6"/>
      <c r="F5881" s="6"/>
      <c r="G5881" s="24" t="str">
        <f>IF(F5881="", "", VLOOKUP(F5881, Inventory!A:BZ, 3, FALSE) - SUMIF($F$1:$F5880, F5881, $H$1:$H5880))
</f>
        <v/>
      </c>
      <c r="I5881" s="26"/>
      <c r="J5881" s="26" t="s">
        <v>77</v>
      </c>
      <c r="L5881" s="27" t="s">
        <v>77</v>
      </c>
      <c r="N5881" s="28" t="s">
        <v>77</v>
      </c>
      <c r="Q5881" s="30"/>
    </row>
    <row r="5882">
      <c r="B5882" s="6"/>
      <c r="C5882" s="33" t="str">
        <f t="array" ref="C5882">IF(B5882="", "", XLOOKUP(B5882, Inventory!D:D,Inventory!E:E,"No Name Found"))</f>
        <v/>
      </c>
      <c r="D5882" s="6"/>
      <c r="E5882" s="6"/>
      <c r="F5882" s="6"/>
      <c r="G5882" s="24" t="str">
        <f>IF(F5882="", "", VLOOKUP(F5882, Inventory!A:BZ, 3, FALSE) - SUMIF($F$1:$F5881, F5882, $H$1:$H5881))
</f>
        <v/>
      </c>
      <c r="I5882" s="26"/>
      <c r="J5882" s="26" t="s">
        <v>77</v>
      </c>
      <c r="L5882" s="27" t="s">
        <v>77</v>
      </c>
      <c r="N5882" s="28" t="s">
        <v>77</v>
      </c>
      <c r="Q5882" s="30"/>
    </row>
    <row r="5883">
      <c r="B5883" s="6"/>
      <c r="C5883" s="33" t="str">
        <f t="array" ref="C5883">IF(B5883="", "", XLOOKUP(B5883, Inventory!D:D,Inventory!E:E,"No Name Found"))</f>
        <v/>
      </c>
      <c r="D5883" s="6"/>
      <c r="E5883" s="6"/>
      <c r="F5883" s="6"/>
      <c r="G5883" s="24" t="str">
        <f>IF(F5883="", "", VLOOKUP(F5883, Inventory!A:BZ, 3, FALSE) - SUMIF($F$1:$F5882, F5883, $H$1:$H5882))
</f>
        <v/>
      </c>
      <c r="I5883" s="26"/>
      <c r="J5883" s="26" t="s">
        <v>77</v>
      </c>
      <c r="L5883" s="27" t="s">
        <v>77</v>
      </c>
      <c r="N5883" s="28" t="s">
        <v>77</v>
      </c>
      <c r="Q5883" s="30"/>
    </row>
    <row r="5884">
      <c r="B5884" s="6"/>
      <c r="C5884" s="33" t="str">
        <f t="array" ref="C5884">IF(B5884="", "", XLOOKUP(B5884, Inventory!D:D,Inventory!E:E,"No Name Found"))</f>
        <v/>
      </c>
      <c r="D5884" s="6"/>
      <c r="E5884" s="6"/>
      <c r="F5884" s="6"/>
      <c r="G5884" s="24" t="str">
        <f>IF(F5884="", "", VLOOKUP(F5884, Inventory!A:BZ, 3, FALSE) - SUMIF($F$1:$F5883, F5884, $H$1:$H5883))
</f>
        <v/>
      </c>
      <c r="I5884" s="26"/>
      <c r="J5884" s="26" t="s">
        <v>77</v>
      </c>
      <c r="L5884" s="27" t="s">
        <v>77</v>
      </c>
      <c r="N5884" s="28" t="s">
        <v>77</v>
      </c>
      <c r="Q5884" s="30"/>
    </row>
    <row r="5885">
      <c r="B5885" s="6"/>
      <c r="C5885" s="33" t="str">
        <f t="array" ref="C5885">IF(B5885="", "", XLOOKUP(B5885, Inventory!D:D,Inventory!E:E,"No Name Found"))</f>
        <v/>
      </c>
      <c r="D5885" s="6"/>
      <c r="E5885" s="6"/>
      <c r="F5885" s="6"/>
      <c r="G5885" s="24" t="str">
        <f>IF(F5885="", "", VLOOKUP(F5885, Inventory!A:BZ, 3, FALSE) - SUMIF($F$1:$F5884, F5885, $H$1:$H5884))
</f>
        <v/>
      </c>
      <c r="I5885" s="26"/>
      <c r="J5885" s="26" t="s">
        <v>77</v>
      </c>
      <c r="L5885" s="27" t="s">
        <v>77</v>
      </c>
      <c r="N5885" s="28" t="s">
        <v>77</v>
      </c>
      <c r="Q5885" s="30"/>
    </row>
    <row r="5886">
      <c r="B5886" s="6"/>
      <c r="C5886" s="33" t="str">
        <f t="array" ref="C5886">IF(B5886="", "", XLOOKUP(B5886, Inventory!D:D,Inventory!E:E,"No Name Found"))</f>
        <v/>
      </c>
      <c r="D5886" s="6"/>
      <c r="E5886" s="6"/>
      <c r="F5886" s="6"/>
      <c r="G5886" s="24" t="str">
        <f>IF(F5886="", "", VLOOKUP(F5886, Inventory!A:BZ, 3, FALSE) - SUMIF($F$1:$F5885, F5886, $H$1:$H5885))
</f>
        <v/>
      </c>
      <c r="I5886" s="26"/>
      <c r="J5886" s="26" t="s">
        <v>77</v>
      </c>
      <c r="L5886" s="27" t="s">
        <v>77</v>
      </c>
      <c r="N5886" s="28" t="s">
        <v>77</v>
      </c>
      <c r="Q5886" s="30"/>
    </row>
    <row r="5887">
      <c r="B5887" s="6"/>
      <c r="C5887" s="33" t="str">
        <f t="array" ref="C5887">IF(B5887="", "", XLOOKUP(B5887, Inventory!D:D,Inventory!E:E,"No Name Found"))</f>
        <v/>
      </c>
      <c r="D5887" s="6"/>
      <c r="E5887" s="6"/>
      <c r="F5887" s="6"/>
      <c r="G5887" s="24" t="str">
        <f>IF(F5887="", "", VLOOKUP(F5887, Inventory!A:BZ, 3, FALSE) - SUMIF($F$1:$F5886, F5887, $H$1:$H5886))
</f>
        <v/>
      </c>
      <c r="I5887" s="26"/>
      <c r="J5887" s="26" t="s">
        <v>77</v>
      </c>
      <c r="L5887" s="27" t="s">
        <v>77</v>
      </c>
      <c r="N5887" s="28" t="s">
        <v>77</v>
      </c>
      <c r="Q5887" s="30"/>
    </row>
    <row r="5888">
      <c r="B5888" s="6"/>
      <c r="C5888" s="33" t="str">
        <f t="array" ref="C5888">IF(B5888="", "", XLOOKUP(B5888, Inventory!D:D,Inventory!E:E,"No Name Found"))</f>
        <v/>
      </c>
      <c r="D5888" s="6"/>
      <c r="E5888" s="6"/>
      <c r="F5888" s="6"/>
      <c r="G5888" s="24" t="str">
        <f>IF(F5888="", "", VLOOKUP(F5888, Inventory!A:BZ, 3, FALSE) - SUMIF($F$1:$F5887, F5888, $H$1:$H5887))
</f>
        <v/>
      </c>
      <c r="I5888" s="26"/>
      <c r="J5888" s="26" t="s">
        <v>77</v>
      </c>
      <c r="L5888" s="27" t="s">
        <v>77</v>
      </c>
      <c r="N5888" s="28" t="s">
        <v>77</v>
      </c>
      <c r="Q5888" s="30"/>
    </row>
    <row r="5889">
      <c r="B5889" s="6"/>
      <c r="C5889" s="33" t="str">
        <f t="array" ref="C5889">IF(B5889="", "", XLOOKUP(B5889, Inventory!D:D,Inventory!E:E,"No Name Found"))</f>
        <v/>
      </c>
      <c r="D5889" s="6"/>
      <c r="E5889" s="6"/>
      <c r="F5889" s="6"/>
      <c r="G5889" s="24" t="str">
        <f>IF(F5889="", "", VLOOKUP(F5889, Inventory!A:BZ, 3, FALSE) - SUMIF($F$1:$F5888, F5889, $H$1:$H5888))
</f>
        <v/>
      </c>
      <c r="I5889" s="26"/>
      <c r="J5889" s="26" t="s">
        <v>77</v>
      </c>
      <c r="L5889" s="27" t="s">
        <v>77</v>
      </c>
      <c r="N5889" s="28" t="s">
        <v>77</v>
      </c>
      <c r="Q5889" s="30"/>
    </row>
    <row r="5890">
      <c r="B5890" s="6"/>
      <c r="C5890" s="33" t="str">
        <f t="array" ref="C5890">IF(B5890="", "", XLOOKUP(B5890, Inventory!D:D,Inventory!E:E,"No Name Found"))</f>
        <v/>
      </c>
      <c r="D5890" s="6"/>
      <c r="E5890" s="6"/>
      <c r="F5890" s="6"/>
      <c r="G5890" s="24" t="str">
        <f>IF(F5890="", "", VLOOKUP(F5890, Inventory!A:BZ, 3, FALSE) - SUMIF($F$1:$F5889, F5890, $H$1:$H5889))
</f>
        <v/>
      </c>
      <c r="I5890" s="26"/>
      <c r="J5890" s="26" t="s">
        <v>77</v>
      </c>
      <c r="L5890" s="27" t="s">
        <v>77</v>
      </c>
      <c r="N5890" s="28" t="s">
        <v>77</v>
      </c>
      <c r="Q5890" s="30"/>
    </row>
    <row r="5891">
      <c r="B5891" s="6"/>
      <c r="C5891" s="33" t="str">
        <f t="array" ref="C5891">IF(B5891="", "", XLOOKUP(B5891, Inventory!D:D,Inventory!E:E,"No Name Found"))</f>
        <v/>
      </c>
      <c r="D5891" s="6"/>
      <c r="E5891" s="6"/>
      <c r="F5891" s="6"/>
      <c r="G5891" s="24" t="str">
        <f>IF(F5891="", "", VLOOKUP(F5891, Inventory!A:BZ, 3, FALSE) - SUMIF($F$1:$F5890, F5891, $H$1:$H5890))
</f>
        <v/>
      </c>
      <c r="I5891" s="26"/>
      <c r="J5891" s="26" t="s">
        <v>77</v>
      </c>
      <c r="L5891" s="27" t="s">
        <v>77</v>
      </c>
      <c r="N5891" s="28" t="s">
        <v>77</v>
      </c>
      <c r="Q5891" s="30"/>
    </row>
    <row r="5892">
      <c r="B5892" s="6"/>
      <c r="C5892" s="33" t="str">
        <f t="array" ref="C5892">IF(B5892="", "", XLOOKUP(B5892, Inventory!D:D,Inventory!E:E,"No Name Found"))</f>
        <v/>
      </c>
      <c r="D5892" s="6"/>
      <c r="E5892" s="6"/>
      <c r="F5892" s="6"/>
      <c r="G5892" s="24" t="str">
        <f>IF(F5892="", "", VLOOKUP(F5892, Inventory!A:BZ, 3, FALSE) - SUMIF($F$1:$F5891, F5892, $H$1:$H5891))
</f>
        <v/>
      </c>
      <c r="I5892" s="26"/>
      <c r="J5892" s="26" t="s">
        <v>77</v>
      </c>
      <c r="L5892" s="27" t="s">
        <v>77</v>
      </c>
      <c r="N5892" s="28" t="s">
        <v>77</v>
      </c>
      <c r="Q5892" s="30"/>
    </row>
    <row r="5893">
      <c r="B5893" s="6"/>
      <c r="C5893" s="33" t="str">
        <f t="array" ref="C5893">IF(B5893="", "", XLOOKUP(B5893, Inventory!D:D,Inventory!E:E,"No Name Found"))</f>
        <v/>
      </c>
      <c r="D5893" s="6"/>
      <c r="E5893" s="6"/>
      <c r="F5893" s="6"/>
      <c r="G5893" s="24" t="str">
        <f>IF(F5893="", "", VLOOKUP(F5893, Inventory!A:BZ, 3, FALSE) - SUMIF($F$1:$F5892, F5893, $H$1:$H5892))
</f>
        <v/>
      </c>
      <c r="I5893" s="26"/>
      <c r="J5893" s="26" t="s">
        <v>77</v>
      </c>
      <c r="L5893" s="27" t="s">
        <v>77</v>
      </c>
      <c r="N5893" s="28" t="s">
        <v>77</v>
      </c>
      <c r="Q5893" s="30"/>
    </row>
    <row r="5894">
      <c r="B5894" s="6"/>
      <c r="C5894" s="33" t="str">
        <f t="array" ref="C5894">IF(B5894="", "", XLOOKUP(B5894, Inventory!D:D,Inventory!E:E,"No Name Found"))</f>
        <v/>
      </c>
      <c r="D5894" s="6"/>
      <c r="E5894" s="6"/>
      <c r="F5894" s="6"/>
      <c r="G5894" s="24" t="str">
        <f>IF(F5894="", "", VLOOKUP(F5894, Inventory!A:BZ, 3, FALSE) - SUMIF($F$1:$F5893, F5894, $H$1:$H5893))
</f>
        <v/>
      </c>
      <c r="I5894" s="26"/>
      <c r="J5894" s="26" t="s">
        <v>77</v>
      </c>
      <c r="L5894" s="27" t="s">
        <v>77</v>
      </c>
      <c r="N5894" s="28" t="s">
        <v>77</v>
      </c>
      <c r="Q5894" s="30"/>
    </row>
    <row r="5895">
      <c r="B5895" s="6"/>
      <c r="C5895" s="33" t="str">
        <f t="array" ref="C5895">IF(B5895="", "", XLOOKUP(B5895, Inventory!D:D,Inventory!E:E,"No Name Found"))</f>
        <v/>
      </c>
      <c r="D5895" s="6"/>
      <c r="E5895" s="6"/>
      <c r="F5895" s="6"/>
      <c r="G5895" s="24" t="str">
        <f>IF(F5895="", "", VLOOKUP(F5895, Inventory!A:BZ, 3, FALSE) - SUMIF($F$1:$F5894, F5895, $H$1:$H5894))
</f>
        <v/>
      </c>
      <c r="I5895" s="26"/>
      <c r="J5895" s="26" t="s">
        <v>77</v>
      </c>
      <c r="L5895" s="27" t="s">
        <v>77</v>
      </c>
      <c r="N5895" s="28" t="s">
        <v>77</v>
      </c>
      <c r="Q5895" s="30"/>
    </row>
    <row r="5896">
      <c r="B5896" s="6"/>
      <c r="C5896" s="33" t="str">
        <f t="array" ref="C5896">IF(B5896="", "", XLOOKUP(B5896, Inventory!D:D,Inventory!E:E,"No Name Found"))</f>
        <v/>
      </c>
      <c r="D5896" s="6"/>
      <c r="E5896" s="6"/>
      <c r="F5896" s="6"/>
      <c r="G5896" s="24" t="str">
        <f>IF(F5896="", "", VLOOKUP(F5896, Inventory!A:BZ, 3, FALSE) - SUMIF($F$1:$F5895, F5896, $H$1:$H5895))
</f>
        <v/>
      </c>
      <c r="I5896" s="26"/>
      <c r="J5896" s="26" t="s">
        <v>77</v>
      </c>
      <c r="L5896" s="27" t="s">
        <v>77</v>
      </c>
      <c r="N5896" s="28" t="s">
        <v>77</v>
      </c>
      <c r="Q5896" s="30"/>
    </row>
    <row r="5897">
      <c r="B5897" s="6"/>
      <c r="C5897" s="33" t="str">
        <f t="array" ref="C5897">IF(B5897="", "", XLOOKUP(B5897, Inventory!D:D,Inventory!E:E,"No Name Found"))</f>
        <v/>
      </c>
      <c r="D5897" s="6"/>
      <c r="E5897" s="6"/>
      <c r="F5897" s="6"/>
      <c r="G5897" s="24" t="str">
        <f>IF(F5897="", "", VLOOKUP(F5897, Inventory!A:BZ, 3, FALSE) - SUMIF($F$1:$F5896, F5897, $H$1:$H5896))
</f>
        <v/>
      </c>
      <c r="I5897" s="26"/>
      <c r="J5897" s="26" t="s">
        <v>77</v>
      </c>
      <c r="L5897" s="27" t="s">
        <v>77</v>
      </c>
      <c r="N5897" s="28" t="s">
        <v>77</v>
      </c>
      <c r="Q5897" s="30"/>
    </row>
    <row r="5898">
      <c r="B5898" s="6"/>
      <c r="C5898" s="33" t="str">
        <f t="array" ref="C5898">IF(B5898="", "", XLOOKUP(B5898, Inventory!D:D,Inventory!E:E,"No Name Found"))</f>
        <v/>
      </c>
      <c r="D5898" s="6"/>
      <c r="E5898" s="6"/>
      <c r="F5898" s="6"/>
      <c r="G5898" s="24" t="str">
        <f>IF(F5898="", "", VLOOKUP(F5898, Inventory!A:BZ, 3, FALSE) - SUMIF($F$1:$F5897, F5898, $H$1:$H5897))
</f>
        <v/>
      </c>
      <c r="I5898" s="26"/>
      <c r="J5898" s="26" t="s">
        <v>77</v>
      </c>
      <c r="L5898" s="27" t="s">
        <v>77</v>
      </c>
      <c r="N5898" s="28" t="s">
        <v>77</v>
      </c>
      <c r="Q5898" s="30"/>
    </row>
    <row r="5899">
      <c r="B5899" s="6"/>
      <c r="C5899" s="33" t="str">
        <f t="array" ref="C5899">IF(B5899="", "", XLOOKUP(B5899, Inventory!D:D,Inventory!E:E,"No Name Found"))</f>
        <v/>
      </c>
      <c r="D5899" s="6"/>
      <c r="E5899" s="6"/>
      <c r="F5899" s="6"/>
      <c r="G5899" s="24" t="str">
        <f>IF(F5899="", "", VLOOKUP(F5899, Inventory!A:BZ, 3, FALSE) - SUMIF($F$1:$F5898, F5899, $H$1:$H5898))
</f>
        <v/>
      </c>
      <c r="I5899" s="26"/>
      <c r="J5899" s="26" t="s">
        <v>77</v>
      </c>
      <c r="L5899" s="27" t="s">
        <v>77</v>
      </c>
      <c r="N5899" s="28" t="s">
        <v>77</v>
      </c>
      <c r="Q5899" s="30"/>
    </row>
    <row r="5900">
      <c r="B5900" s="6"/>
      <c r="C5900" s="33" t="str">
        <f t="array" ref="C5900">IF(B5900="", "", XLOOKUP(B5900, Inventory!D:D,Inventory!E:E,"No Name Found"))</f>
        <v/>
      </c>
      <c r="D5900" s="6"/>
      <c r="E5900" s="6"/>
      <c r="F5900" s="6"/>
      <c r="G5900" s="24" t="str">
        <f>IF(F5900="", "", VLOOKUP(F5900, Inventory!A:BZ, 3, FALSE) - SUMIF($F$1:$F5899, F5900, $H$1:$H5899))
</f>
        <v/>
      </c>
      <c r="I5900" s="26"/>
      <c r="J5900" s="26" t="s">
        <v>77</v>
      </c>
      <c r="L5900" s="27" t="s">
        <v>77</v>
      </c>
      <c r="N5900" s="28" t="s">
        <v>77</v>
      </c>
      <c r="Q5900" s="30"/>
    </row>
    <row r="5901">
      <c r="B5901" s="6"/>
      <c r="C5901" s="33" t="str">
        <f t="array" ref="C5901">IF(B5901="", "", XLOOKUP(B5901, Inventory!D:D,Inventory!E:E,"No Name Found"))</f>
        <v/>
      </c>
      <c r="D5901" s="6"/>
      <c r="E5901" s="6"/>
      <c r="F5901" s="6"/>
      <c r="G5901" s="24" t="str">
        <f>IF(F5901="", "", VLOOKUP(F5901, Inventory!A:BZ, 3, FALSE) - SUMIF($F$1:$F5900, F5901, $H$1:$H5900))
</f>
        <v/>
      </c>
      <c r="I5901" s="26"/>
      <c r="J5901" s="26" t="s">
        <v>77</v>
      </c>
      <c r="L5901" s="27" t="s">
        <v>77</v>
      </c>
      <c r="N5901" s="28" t="s">
        <v>77</v>
      </c>
      <c r="Q5901" s="30"/>
    </row>
    <row r="5902">
      <c r="B5902" s="6"/>
      <c r="C5902" s="33" t="str">
        <f t="array" ref="C5902">IF(B5902="", "", XLOOKUP(B5902, Inventory!D:D,Inventory!E:E,"No Name Found"))</f>
        <v/>
      </c>
      <c r="D5902" s="6"/>
      <c r="E5902" s="6"/>
      <c r="F5902" s="6"/>
      <c r="G5902" s="24" t="str">
        <f>IF(F5902="", "", VLOOKUP(F5902, Inventory!A:BZ, 3, FALSE) - SUMIF($F$1:$F5901, F5902, $H$1:$H5901))
</f>
        <v/>
      </c>
      <c r="I5902" s="26"/>
      <c r="J5902" s="26" t="s">
        <v>77</v>
      </c>
      <c r="L5902" s="27" t="s">
        <v>77</v>
      </c>
      <c r="N5902" s="28" t="s">
        <v>77</v>
      </c>
      <c r="Q5902" s="30"/>
    </row>
    <row r="5903">
      <c r="B5903" s="6"/>
      <c r="C5903" s="33" t="str">
        <f t="array" ref="C5903">IF(B5903="", "", XLOOKUP(B5903, Inventory!D:D,Inventory!E:E,"No Name Found"))</f>
        <v/>
      </c>
      <c r="D5903" s="6"/>
      <c r="E5903" s="6"/>
      <c r="F5903" s="6"/>
      <c r="G5903" s="24" t="str">
        <f>IF(F5903="", "", VLOOKUP(F5903, Inventory!A:BZ, 3, FALSE) - SUMIF($F$1:$F5902, F5903, $H$1:$H5902))
</f>
        <v/>
      </c>
      <c r="I5903" s="26"/>
      <c r="J5903" s="26" t="s">
        <v>77</v>
      </c>
      <c r="L5903" s="27" t="s">
        <v>77</v>
      </c>
      <c r="N5903" s="28" t="s">
        <v>77</v>
      </c>
      <c r="Q5903" s="30"/>
    </row>
    <row r="5904">
      <c r="B5904" s="6"/>
      <c r="C5904" s="33" t="str">
        <f t="array" ref="C5904">IF(B5904="", "", XLOOKUP(B5904, Inventory!D:D,Inventory!E:E,"No Name Found"))</f>
        <v/>
      </c>
      <c r="D5904" s="6"/>
      <c r="E5904" s="6"/>
      <c r="F5904" s="6"/>
      <c r="G5904" s="24" t="str">
        <f>IF(F5904="", "", VLOOKUP(F5904, Inventory!A:BZ, 3, FALSE) - SUMIF($F$1:$F5903, F5904, $H$1:$H5903))
</f>
        <v/>
      </c>
      <c r="I5904" s="26"/>
      <c r="J5904" s="26" t="s">
        <v>77</v>
      </c>
      <c r="L5904" s="27" t="s">
        <v>77</v>
      </c>
      <c r="N5904" s="28" t="s">
        <v>77</v>
      </c>
      <c r="Q5904" s="30"/>
    </row>
    <row r="5905">
      <c r="B5905" s="6"/>
      <c r="C5905" s="33" t="str">
        <f t="array" ref="C5905">IF(B5905="", "", XLOOKUP(B5905, Inventory!D:D,Inventory!E:E,"No Name Found"))</f>
        <v/>
      </c>
      <c r="D5905" s="6"/>
      <c r="E5905" s="6"/>
      <c r="F5905" s="6"/>
      <c r="G5905" s="24" t="str">
        <f>IF(F5905="", "", VLOOKUP(F5905, Inventory!A:BZ, 3, FALSE) - SUMIF($F$1:$F5904, F5905, $H$1:$H5904))
</f>
        <v/>
      </c>
      <c r="I5905" s="26"/>
      <c r="J5905" s="26" t="s">
        <v>77</v>
      </c>
      <c r="L5905" s="27" t="s">
        <v>77</v>
      </c>
      <c r="N5905" s="28" t="s">
        <v>77</v>
      </c>
      <c r="Q5905" s="30"/>
    </row>
    <row r="5906">
      <c r="B5906" s="6"/>
      <c r="C5906" s="33" t="str">
        <f t="array" ref="C5906">IF(B5906="", "", XLOOKUP(B5906, Inventory!D:D,Inventory!E:E,"No Name Found"))</f>
        <v/>
      </c>
      <c r="D5906" s="6"/>
      <c r="E5906" s="6"/>
      <c r="F5906" s="6"/>
      <c r="G5906" s="24" t="str">
        <f>IF(F5906="", "", VLOOKUP(F5906, Inventory!A:BZ, 3, FALSE) - SUMIF($F$1:$F5905, F5906, $H$1:$H5905))
</f>
        <v/>
      </c>
      <c r="I5906" s="26"/>
      <c r="J5906" s="26" t="s">
        <v>77</v>
      </c>
      <c r="L5906" s="27" t="s">
        <v>77</v>
      </c>
      <c r="N5906" s="28" t="s">
        <v>77</v>
      </c>
      <c r="Q5906" s="30"/>
    </row>
    <row r="5907">
      <c r="B5907" s="6"/>
      <c r="C5907" s="33" t="str">
        <f t="array" ref="C5907">IF(B5907="", "", XLOOKUP(B5907, Inventory!D:D,Inventory!E:E,"No Name Found"))</f>
        <v/>
      </c>
      <c r="D5907" s="6"/>
      <c r="E5907" s="6"/>
      <c r="F5907" s="6"/>
      <c r="G5907" s="24" t="str">
        <f>IF(F5907="", "", VLOOKUP(F5907, Inventory!A:BZ, 3, FALSE) - SUMIF($F$1:$F5906, F5907, $H$1:$H5906))
</f>
        <v/>
      </c>
      <c r="I5907" s="26"/>
      <c r="J5907" s="26" t="s">
        <v>77</v>
      </c>
      <c r="L5907" s="27" t="s">
        <v>77</v>
      </c>
      <c r="N5907" s="28" t="s">
        <v>77</v>
      </c>
      <c r="Q5907" s="30"/>
    </row>
    <row r="5908">
      <c r="B5908" s="6"/>
      <c r="C5908" s="33" t="str">
        <f t="array" ref="C5908">IF(B5908="", "", XLOOKUP(B5908, Inventory!D:D,Inventory!E:E,"No Name Found"))</f>
        <v/>
      </c>
      <c r="D5908" s="6"/>
      <c r="E5908" s="6"/>
      <c r="F5908" s="6"/>
      <c r="G5908" s="24" t="str">
        <f>IF(F5908="", "", VLOOKUP(F5908, Inventory!A:BZ, 3, FALSE) - SUMIF($F$1:$F5907, F5908, $H$1:$H5907))
</f>
        <v/>
      </c>
      <c r="I5908" s="26"/>
      <c r="J5908" s="26" t="s">
        <v>77</v>
      </c>
      <c r="L5908" s="27" t="s">
        <v>77</v>
      </c>
      <c r="N5908" s="28" t="s">
        <v>77</v>
      </c>
      <c r="Q5908" s="30"/>
    </row>
    <row r="5909">
      <c r="B5909" s="6"/>
      <c r="C5909" s="33" t="str">
        <f t="array" ref="C5909">IF(B5909="", "", XLOOKUP(B5909, Inventory!D:D,Inventory!E:E,"No Name Found"))</f>
        <v/>
      </c>
      <c r="D5909" s="6"/>
      <c r="E5909" s="6"/>
      <c r="F5909" s="6"/>
      <c r="G5909" s="24" t="str">
        <f>IF(F5909="", "", VLOOKUP(F5909, Inventory!A:BZ, 3, FALSE) - SUMIF($F$1:$F5908, F5909, $H$1:$H5908))
</f>
        <v/>
      </c>
      <c r="I5909" s="26"/>
      <c r="J5909" s="26" t="s">
        <v>77</v>
      </c>
      <c r="L5909" s="27" t="s">
        <v>77</v>
      </c>
      <c r="N5909" s="28" t="s">
        <v>77</v>
      </c>
      <c r="Q5909" s="30"/>
    </row>
    <row r="5910">
      <c r="B5910" s="6"/>
      <c r="C5910" s="33" t="str">
        <f t="array" ref="C5910">IF(B5910="", "", XLOOKUP(B5910, Inventory!D:D,Inventory!E:E,"No Name Found"))</f>
        <v/>
      </c>
      <c r="D5910" s="6"/>
      <c r="E5910" s="6"/>
      <c r="F5910" s="6"/>
      <c r="G5910" s="24" t="str">
        <f>IF(F5910="", "", VLOOKUP(F5910, Inventory!A:BZ, 3, FALSE) - SUMIF($F$1:$F5909, F5910, $H$1:$H5909))
</f>
        <v/>
      </c>
      <c r="I5910" s="26"/>
      <c r="J5910" s="26" t="s">
        <v>77</v>
      </c>
      <c r="L5910" s="27" t="s">
        <v>77</v>
      </c>
      <c r="N5910" s="28" t="s">
        <v>77</v>
      </c>
      <c r="Q5910" s="30"/>
    </row>
    <row r="5911">
      <c r="B5911" s="6"/>
      <c r="C5911" s="33" t="str">
        <f t="array" ref="C5911">IF(B5911="", "", XLOOKUP(B5911, Inventory!D:D,Inventory!E:E,"No Name Found"))</f>
        <v/>
      </c>
      <c r="D5911" s="6"/>
      <c r="E5911" s="6"/>
      <c r="F5911" s="6"/>
      <c r="G5911" s="24" t="str">
        <f>IF(F5911="", "", VLOOKUP(F5911, Inventory!A:BZ, 3, FALSE) - SUMIF($F$1:$F5910, F5911, $H$1:$H5910))
</f>
        <v/>
      </c>
      <c r="I5911" s="26"/>
      <c r="J5911" s="26" t="s">
        <v>77</v>
      </c>
      <c r="L5911" s="27" t="s">
        <v>77</v>
      </c>
      <c r="N5911" s="28" t="s">
        <v>77</v>
      </c>
      <c r="Q5911" s="30"/>
    </row>
    <row r="5912">
      <c r="B5912" s="6"/>
      <c r="C5912" s="33" t="str">
        <f t="array" ref="C5912">IF(B5912="", "", XLOOKUP(B5912, Inventory!D:D,Inventory!E:E,"No Name Found"))</f>
        <v/>
      </c>
      <c r="D5912" s="6"/>
      <c r="E5912" s="6"/>
      <c r="F5912" s="6"/>
      <c r="G5912" s="24" t="str">
        <f>IF(F5912="", "", VLOOKUP(F5912, Inventory!A:BZ, 3, FALSE) - SUMIF($F$1:$F5911, F5912, $H$1:$H5911))
</f>
        <v/>
      </c>
      <c r="I5912" s="26"/>
      <c r="J5912" s="26" t="s">
        <v>77</v>
      </c>
      <c r="L5912" s="27" t="s">
        <v>77</v>
      </c>
      <c r="N5912" s="28" t="s">
        <v>77</v>
      </c>
      <c r="Q5912" s="30"/>
    </row>
    <row r="5913">
      <c r="B5913" s="6"/>
      <c r="C5913" s="33" t="str">
        <f t="array" ref="C5913">IF(B5913="", "", XLOOKUP(B5913, Inventory!D:D,Inventory!E:E,"No Name Found"))</f>
        <v/>
      </c>
      <c r="D5913" s="6"/>
      <c r="E5913" s="6"/>
      <c r="F5913" s="6"/>
      <c r="G5913" s="24" t="str">
        <f>IF(F5913="", "", VLOOKUP(F5913, Inventory!A:BZ, 3, FALSE) - SUMIF($F$1:$F5912, F5913, $H$1:$H5912))
</f>
        <v/>
      </c>
      <c r="I5913" s="26"/>
      <c r="J5913" s="26" t="s">
        <v>77</v>
      </c>
      <c r="L5913" s="27" t="s">
        <v>77</v>
      </c>
      <c r="N5913" s="28" t="s">
        <v>77</v>
      </c>
      <c r="Q5913" s="30"/>
    </row>
    <row r="5914">
      <c r="B5914" s="6"/>
      <c r="C5914" s="33" t="str">
        <f t="array" ref="C5914">IF(B5914="", "", XLOOKUP(B5914, Inventory!D:D,Inventory!E:E,"No Name Found"))</f>
        <v/>
      </c>
      <c r="D5914" s="6"/>
      <c r="E5914" s="6"/>
      <c r="F5914" s="6"/>
      <c r="G5914" s="24" t="str">
        <f>IF(F5914="", "", VLOOKUP(F5914, Inventory!A:BZ, 3, FALSE) - SUMIF($F$1:$F5913, F5914, $H$1:$H5913))
</f>
        <v/>
      </c>
      <c r="I5914" s="26"/>
      <c r="J5914" s="26" t="s">
        <v>77</v>
      </c>
      <c r="L5914" s="27" t="s">
        <v>77</v>
      </c>
      <c r="N5914" s="28" t="s">
        <v>77</v>
      </c>
      <c r="Q5914" s="30"/>
    </row>
    <row r="5915">
      <c r="B5915" s="6"/>
      <c r="C5915" s="33" t="str">
        <f t="array" ref="C5915">IF(B5915="", "", XLOOKUP(B5915, Inventory!D:D,Inventory!E:E,"No Name Found"))</f>
        <v/>
      </c>
      <c r="D5915" s="6"/>
      <c r="E5915" s="6"/>
      <c r="F5915" s="6"/>
      <c r="G5915" s="24" t="str">
        <f>IF(F5915="", "", VLOOKUP(F5915, Inventory!A:BZ, 3, FALSE) - SUMIF($F$1:$F5914, F5915, $H$1:$H5914))
</f>
        <v/>
      </c>
      <c r="I5915" s="26"/>
      <c r="J5915" s="26" t="s">
        <v>77</v>
      </c>
      <c r="L5915" s="27" t="s">
        <v>77</v>
      </c>
      <c r="N5915" s="28" t="s">
        <v>77</v>
      </c>
      <c r="Q5915" s="30"/>
    </row>
    <row r="5916">
      <c r="B5916" s="6"/>
      <c r="C5916" s="33" t="str">
        <f t="array" ref="C5916">IF(B5916="", "", XLOOKUP(B5916, Inventory!D:D,Inventory!E:E,"No Name Found"))</f>
        <v/>
      </c>
      <c r="D5916" s="6"/>
      <c r="E5916" s="6"/>
      <c r="F5916" s="6"/>
      <c r="G5916" s="24" t="str">
        <f>IF(F5916="", "", VLOOKUP(F5916, Inventory!A:BZ, 3, FALSE) - SUMIF($F$1:$F5915, F5916, $H$1:$H5915))
</f>
        <v/>
      </c>
      <c r="I5916" s="26"/>
      <c r="J5916" s="26" t="s">
        <v>77</v>
      </c>
      <c r="L5916" s="27" t="s">
        <v>77</v>
      </c>
      <c r="N5916" s="28" t="s">
        <v>77</v>
      </c>
      <c r="Q5916" s="30"/>
    </row>
    <row r="5917">
      <c r="B5917" s="6"/>
      <c r="C5917" s="33" t="str">
        <f t="array" ref="C5917">IF(B5917="", "", XLOOKUP(B5917, Inventory!D:D,Inventory!E:E,"No Name Found"))</f>
        <v/>
      </c>
      <c r="D5917" s="6"/>
      <c r="E5917" s="6"/>
      <c r="F5917" s="6"/>
      <c r="G5917" s="24" t="str">
        <f>IF(F5917="", "", VLOOKUP(F5917, Inventory!A:BZ, 3, FALSE) - SUMIF($F$1:$F5916, F5917, $H$1:$H5916))
</f>
        <v/>
      </c>
      <c r="I5917" s="26"/>
      <c r="J5917" s="26" t="s">
        <v>77</v>
      </c>
      <c r="L5917" s="27" t="s">
        <v>77</v>
      </c>
      <c r="N5917" s="28" t="s">
        <v>77</v>
      </c>
      <c r="Q5917" s="30"/>
    </row>
    <row r="5918">
      <c r="B5918" s="6"/>
      <c r="C5918" s="33" t="str">
        <f t="array" ref="C5918">IF(B5918="", "", XLOOKUP(B5918, Inventory!D:D,Inventory!E:E,"No Name Found"))</f>
        <v/>
      </c>
      <c r="D5918" s="6"/>
      <c r="E5918" s="6"/>
      <c r="F5918" s="6"/>
      <c r="G5918" s="24" t="str">
        <f>IF(F5918="", "", VLOOKUP(F5918, Inventory!A:BZ, 3, FALSE) - SUMIF($F$1:$F5917, F5918, $H$1:$H5917))
</f>
        <v/>
      </c>
      <c r="I5918" s="26"/>
      <c r="J5918" s="26" t="s">
        <v>77</v>
      </c>
      <c r="L5918" s="27" t="s">
        <v>77</v>
      </c>
      <c r="N5918" s="28" t="s">
        <v>77</v>
      </c>
      <c r="Q5918" s="30"/>
    </row>
    <row r="5919">
      <c r="B5919" s="6"/>
      <c r="C5919" s="33" t="str">
        <f t="array" ref="C5919">IF(B5919="", "", XLOOKUP(B5919, Inventory!D:D,Inventory!E:E,"No Name Found"))</f>
        <v/>
      </c>
      <c r="D5919" s="6"/>
      <c r="E5919" s="6"/>
      <c r="F5919" s="6"/>
      <c r="G5919" s="24" t="str">
        <f>IF(F5919="", "", VLOOKUP(F5919, Inventory!A:BZ, 3, FALSE) - SUMIF($F$1:$F5918, F5919, $H$1:$H5918))
</f>
        <v/>
      </c>
      <c r="I5919" s="26"/>
      <c r="J5919" s="26" t="s">
        <v>77</v>
      </c>
      <c r="L5919" s="27" t="s">
        <v>77</v>
      </c>
      <c r="N5919" s="28" t="s">
        <v>77</v>
      </c>
      <c r="Q5919" s="30"/>
    </row>
    <row r="5920">
      <c r="B5920" s="6"/>
      <c r="C5920" s="33" t="str">
        <f t="array" ref="C5920">IF(B5920="", "", XLOOKUP(B5920, Inventory!D:D,Inventory!E:E,"No Name Found"))</f>
        <v/>
      </c>
      <c r="D5920" s="6"/>
      <c r="E5920" s="6"/>
      <c r="F5920" s="6"/>
      <c r="G5920" s="24" t="str">
        <f>IF(F5920="", "", VLOOKUP(F5920, Inventory!A:BZ, 3, FALSE) - SUMIF($F$1:$F5919, F5920, $H$1:$H5919))
</f>
        <v/>
      </c>
      <c r="I5920" s="26"/>
      <c r="J5920" s="26" t="s">
        <v>77</v>
      </c>
      <c r="L5920" s="27" t="s">
        <v>77</v>
      </c>
      <c r="N5920" s="28" t="s">
        <v>77</v>
      </c>
      <c r="Q5920" s="30"/>
    </row>
    <row r="5921">
      <c r="B5921" s="6"/>
      <c r="C5921" s="33" t="str">
        <f t="array" ref="C5921">IF(B5921="", "", XLOOKUP(B5921, Inventory!D:D,Inventory!E:E,"No Name Found"))</f>
        <v/>
      </c>
      <c r="D5921" s="6"/>
      <c r="E5921" s="6"/>
      <c r="F5921" s="6"/>
      <c r="G5921" s="24" t="str">
        <f>IF(F5921="", "", VLOOKUP(F5921, Inventory!A:BZ, 3, FALSE) - SUMIF($F$1:$F5920, F5921, $H$1:$H5920))
</f>
        <v/>
      </c>
      <c r="I5921" s="26"/>
      <c r="J5921" s="26" t="s">
        <v>77</v>
      </c>
      <c r="L5921" s="27" t="s">
        <v>77</v>
      </c>
      <c r="N5921" s="28" t="s">
        <v>77</v>
      </c>
      <c r="Q5921" s="30"/>
    </row>
    <row r="5922">
      <c r="B5922" s="6"/>
      <c r="C5922" s="33" t="str">
        <f t="array" ref="C5922">IF(B5922="", "", XLOOKUP(B5922, Inventory!D:D,Inventory!E:E,"No Name Found"))</f>
        <v/>
      </c>
      <c r="D5922" s="6"/>
      <c r="E5922" s="6"/>
      <c r="F5922" s="6"/>
      <c r="G5922" s="24" t="str">
        <f>IF(F5922="", "", VLOOKUP(F5922, Inventory!A:BZ, 3, FALSE) - SUMIF($F$1:$F5921, F5922, $H$1:$H5921))
</f>
        <v/>
      </c>
      <c r="I5922" s="26"/>
      <c r="J5922" s="26" t="s">
        <v>77</v>
      </c>
      <c r="L5922" s="27" t="s">
        <v>77</v>
      </c>
      <c r="N5922" s="28" t="s">
        <v>77</v>
      </c>
      <c r="Q5922" s="30"/>
    </row>
    <row r="5923">
      <c r="B5923" s="6"/>
      <c r="C5923" s="33" t="str">
        <f t="array" ref="C5923">IF(B5923="", "", XLOOKUP(B5923, Inventory!D:D,Inventory!E:E,"No Name Found"))</f>
        <v/>
      </c>
      <c r="D5923" s="6"/>
      <c r="E5923" s="6"/>
      <c r="F5923" s="6"/>
      <c r="G5923" s="24" t="str">
        <f>IF(F5923="", "", VLOOKUP(F5923, Inventory!A:BZ, 3, FALSE) - SUMIF($F$1:$F5922, F5923, $H$1:$H5922))
</f>
        <v/>
      </c>
      <c r="I5923" s="26"/>
      <c r="J5923" s="26" t="s">
        <v>77</v>
      </c>
      <c r="L5923" s="27" t="s">
        <v>77</v>
      </c>
      <c r="N5923" s="28" t="s">
        <v>77</v>
      </c>
      <c r="Q5923" s="30"/>
    </row>
    <row r="5924">
      <c r="B5924" s="6"/>
      <c r="C5924" s="33" t="str">
        <f t="array" ref="C5924">IF(B5924="", "", XLOOKUP(B5924, Inventory!D:D,Inventory!E:E,"No Name Found"))</f>
        <v/>
      </c>
      <c r="D5924" s="6"/>
      <c r="E5924" s="6"/>
      <c r="F5924" s="6"/>
      <c r="G5924" s="24" t="str">
        <f>IF(F5924="", "", VLOOKUP(F5924, Inventory!A:BZ, 3, FALSE) - SUMIF($F$1:$F5923, F5924, $H$1:$H5923))
</f>
        <v/>
      </c>
      <c r="I5924" s="26"/>
      <c r="J5924" s="26" t="s">
        <v>77</v>
      </c>
      <c r="L5924" s="27" t="s">
        <v>77</v>
      </c>
      <c r="N5924" s="28" t="s">
        <v>77</v>
      </c>
      <c r="Q5924" s="30"/>
    </row>
    <row r="5925">
      <c r="B5925" s="6"/>
      <c r="C5925" s="33" t="str">
        <f t="array" ref="C5925">IF(B5925="", "", XLOOKUP(B5925, Inventory!D:D,Inventory!E:E,"No Name Found"))</f>
        <v/>
      </c>
      <c r="D5925" s="6"/>
      <c r="E5925" s="6"/>
      <c r="F5925" s="6"/>
      <c r="G5925" s="24" t="str">
        <f>IF(F5925="", "", VLOOKUP(F5925, Inventory!A:BZ, 3, FALSE) - SUMIF($F$1:$F5924, F5925, $H$1:$H5924))
</f>
        <v/>
      </c>
      <c r="I5925" s="26"/>
      <c r="J5925" s="26" t="s">
        <v>77</v>
      </c>
      <c r="L5925" s="27" t="s">
        <v>77</v>
      </c>
      <c r="N5925" s="28" t="s">
        <v>77</v>
      </c>
      <c r="Q5925" s="30"/>
    </row>
    <row r="5926">
      <c r="B5926" s="6"/>
      <c r="C5926" s="33" t="str">
        <f t="array" ref="C5926">IF(B5926="", "", XLOOKUP(B5926, Inventory!D:D,Inventory!E:E,"No Name Found"))</f>
        <v/>
      </c>
      <c r="D5926" s="6"/>
      <c r="E5926" s="6"/>
      <c r="F5926" s="6"/>
      <c r="G5926" s="24" t="str">
        <f>IF(F5926="", "", VLOOKUP(F5926, Inventory!A:BZ, 3, FALSE) - SUMIF($F$1:$F5925, F5926, $H$1:$H5925))
</f>
        <v/>
      </c>
      <c r="I5926" s="26"/>
      <c r="J5926" s="26" t="s">
        <v>77</v>
      </c>
      <c r="L5926" s="27" t="s">
        <v>77</v>
      </c>
      <c r="N5926" s="28" t="s">
        <v>77</v>
      </c>
      <c r="Q5926" s="30"/>
    </row>
    <row r="5927">
      <c r="B5927" s="6"/>
      <c r="C5927" s="33" t="str">
        <f t="array" ref="C5927">IF(B5927="", "", XLOOKUP(B5927, Inventory!D:D,Inventory!E:E,"No Name Found"))</f>
        <v/>
      </c>
      <c r="D5927" s="6"/>
      <c r="E5927" s="6"/>
      <c r="F5927" s="6"/>
      <c r="G5927" s="24" t="str">
        <f>IF(F5927="", "", VLOOKUP(F5927, Inventory!A:BZ, 3, FALSE) - SUMIF($F$1:$F5926, F5927, $H$1:$H5926))
</f>
        <v/>
      </c>
      <c r="I5927" s="26"/>
      <c r="J5927" s="26" t="s">
        <v>77</v>
      </c>
      <c r="L5927" s="27" t="s">
        <v>77</v>
      </c>
      <c r="N5927" s="28" t="s">
        <v>77</v>
      </c>
      <c r="Q5927" s="30"/>
    </row>
    <row r="5928">
      <c r="B5928" s="6"/>
      <c r="C5928" s="33" t="str">
        <f t="array" ref="C5928">IF(B5928="", "", XLOOKUP(B5928, Inventory!D:D,Inventory!E:E,"No Name Found"))</f>
        <v/>
      </c>
      <c r="D5928" s="6"/>
      <c r="E5928" s="6"/>
      <c r="F5928" s="6"/>
      <c r="G5928" s="24" t="str">
        <f>IF(F5928="", "", VLOOKUP(F5928, Inventory!A:BZ, 3, FALSE) - SUMIF($F$1:$F5927, F5928, $H$1:$H5927))
</f>
        <v/>
      </c>
      <c r="I5928" s="26"/>
      <c r="J5928" s="26" t="s">
        <v>77</v>
      </c>
      <c r="L5928" s="27" t="s">
        <v>77</v>
      </c>
      <c r="N5928" s="28" t="s">
        <v>77</v>
      </c>
      <c r="Q5928" s="30"/>
    </row>
    <row r="5929">
      <c r="B5929" s="6"/>
      <c r="C5929" s="33" t="str">
        <f t="array" ref="C5929">IF(B5929="", "", XLOOKUP(B5929, Inventory!D:D,Inventory!E:E,"No Name Found"))</f>
        <v/>
      </c>
      <c r="D5929" s="6"/>
      <c r="E5929" s="6"/>
      <c r="F5929" s="6"/>
      <c r="G5929" s="24" t="str">
        <f>IF(F5929="", "", VLOOKUP(F5929, Inventory!A:BZ, 3, FALSE) - SUMIF($F$1:$F5928, F5929, $H$1:$H5928))
</f>
        <v/>
      </c>
      <c r="I5929" s="26"/>
      <c r="J5929" s="26" t="s">
        <v>77</v>
      </c>
      <c r="L5929" s="27" t="s">
        <v>77</v>
      </c>
      <c r="N5929" s="28" t="s">
        <v>77</v>
      </c>
      <c r="Q5929" s="30"/>
    </row>
    <row r="5930">
      <c r="B5930" s="6"/>
      <c r="C5930" s="33" t="str">
        <f t="array" ref="C5930">IF(B5930="", "", XLOOKUP(B5930, Inventory!D:D,Inventory!E:E,"No Name Found"))</f>
        <v/>
      </c>
      <c r="D5930" s="6"/>
      <c r="E5930" s="6"/>
      <c r="F5930" s="6"/>
      <c r="G5930" s="24" t="str">
        <f>IF(F5930="", "", VLOOKUP(F5930, Inventory!A:BZ, 3, FALSE) - SUMIF($F$1:$F5929, F5930, $H$1:$H5929))
</f>
        <v/>
      </c>
      <c r="I5930" s="26"/>
      <c r="J5930" s="26" t="s">
        <v>77</v>
      </c>
      <c r="L5930" s="27" t="s">
        <v>77</v>
      </c>
      <c r="N5930" s="28" t="s">
        <v>77</v>
      </c>
      <c r="Q5930" s="30"/>
    </row>
    <row r="5931">
      <c r="B5931" s="6"/>
      <c r="C5931" s="33" t="str">
        <f t="array" ref="C5931">IF(B5931="", "", XLOOKUP(B5931, Inventory!D:D,Inventory!E:E,"No Name Found"))</f>
        <v/>
      </c>
      <c r="D5931" s="6"/>
      <c r="E5931" s="6"/>
      <c r="F5931" s="6"/>
      <c r="G5931" s="24" t="str">
        <f>IF(F5931="", "", VLOOKUP(F5931, Inventory!A:BZ, 3, FALSE) - SUMIF($F$1:$F5930, F5931, $H$1:$H5930))
</f>
        <v/>
      </c>
      <c r="I5931" s="26"/>
      <c r="J5931" s="26" t="s">
        <v>77</v>
      </c>
      <c r="L5931" s="27" t="s">
        <v>77</v>
      </c>
      <c r="N5931" s="28" t="s">
        <v>77</v>
      </c>
      <c r="Q5931" s="30"/>
    </row>
    <row r="5932">
      <c r="B5932" s="6"/>
      <c r="C5932" s="33" t="str">
        <f t="array" ref="C5932">IF(B5932="", "", XLOOKUP(B5932, Inventory!D:D,Inventory!E:E,"No Name Found"))</f>
        <v/>
      </c>
      <c r="D5932" s="6"/>
      <c r="E5932" s="6"/>
      <c r="F5932" s="6"/>
      <c r="G5932" s="24" t="str">
        <f>IF(F5932="", "", VLOOKUP(F5932, Inventory!A:BZ, 3, FALSE) - SUMIF($F$1:$F5931, F5932, $H$1:$H5931))
</f>
        <v/>
      </c>
      <c r="I5932" s="26"/>
      <c r="J5932" s="26" t="s">
        <v>77</v>
      </c>
      <c r="L5932" s="27" t="s">
        <v>77</v>
      </c>
      <c r="N5932" s="28" t="s">
        <v>77</v>
      </c>
      <c r="Q5932" s="30"/>
    </row>
    <row r="5933">
      <c r="B5933" s="6"/>
      <c r="C5933" s="33" t="str">
        <f t="array" ref="C5933">IF(B5933="", "", XLOOKUP(B5933, Inventory!D:D,Inventory!E:E,"No Name Found"))</f>
        <v/>
      </c>
      <c r="D5933" s="6"/>
      <c r="E5933" s="6"/>
      <c r="F5933" s="6"/>
      <c r="G5933" s="24" t="str">
        <f>IF(F5933="", "", VLOOKUP(F5933, Inventory!A:BZ, 3, FALSE) - SUMIF($F$1:$F5932, F5933, $H$1:$H5932))
</f>
        <v/>
      </c>
      <c r="I5933" s="26"/>
      <c r="J5933" s="26" t="s">
        <v>77</v>
      </c>
      <c r="L5933" s="27" t="s">
        <v>77</v>
      </c>
      <c r="N5933" s="28" t="s">
        <v>77</v>
      </c>
      <c r="Q5933" s="30"/>
    </row>
    <row r="5934">
      <c r="B5934" s="6"/>
      <c r="C5934" s="33" t="str">
        <f t="array" ref="C5934">IF(B5934="", "", XLOOKUP(B5934, Inventory!D:D,Inventory!E:E,"No Name Found"))</f>
        <v/>
      </c>
      <c r="D5934" s="6"/>
      <c r="E5934" s="6"/>
      <c r="F5934" s="6"/>
      <c r="G5934" s="24" t="str">
        <f>IF(F5934="", "", VLOOKUP(F5934, Inventory!A:BZ, 3, FALSE) - SUMIF($F$1:$F5933, F5934, $H$1:$H5933))
</f>
        <v/>
      </c>
      <c r="I5934" s="26"/>
      <c r="J5934" s="26" t="s">
        <v>77</v>
      </c>
      <c r="L5934" s="27" t="s">
        <v>77</v>
      </c>
      <c r="N5934" s="28" t="s">
        <v>77</v>
      </c>
      <c r="Q5934" s="30"/>
    </row>
    <row r="5935">
      <c r="B5935" s="6"/>
      <c r="C5935" s="33" t="str">
        <f t="array" ref="C5935">IF(B5935="", "", XLOOKUP(B5935, Inventory!D:D,Inventory!E:E,"No Name Found"))</f>
        <v/>
      </c>
      <c r="D5935" s="6"/>
      <c r="E5935" s="6"/>
      <c r="F5935" s="6"/>
      <c r="G5935" s="24" t="str">
        <f>IF(F5935="", "", VLOOKUP(F5935, Inventory!A:BZ, 3, FALSE) - SUMIF($F$1:$F5934, F5935, $H$1:$H5934))
</f>
        <v/>
      </c>
      <c r="I5935" s="26"/>
      <c r="J5935" s="26" t="s">
        <v>77</v>
      </c>
      <c r="L5935" s="27" t="s">
        <v>77</v>
      </c>
      <c r="N5935" s="28" t="s">
        <v>77</v>
      </c>
      <c r="Q5935" s="30"/>
    </row>
    <row r="5936">
      <c r="B5936" s="6"/>
      <c r="C5936" s="33" t="str">
        <f t="array" ref="C5936">IF(B5936="", "", XLOOKUP(B5936, Inventory!D:D,Inventory!E:E,"No Name Found"))</f>
        <v/>
      </c>
      <c r="D5936" s="6"/>
      <c r="E5936" s="6"/>
      <c r="F5936" s="6"/>
      <c r="G5936" s="24" t="str">
        <f>IF(F5936="", "", VLOOKUP(F5936, Inventory!A:BZ, 3, FALSE) - SUMIF($F$1:$F5935, F5936, $H$1:$H5935))
</f>
        <v/>
      </c>
      <c r="I5936" s="26"/>
      <c r="J5936" s="26" t="s">
        <v>77</v>
      </c>
      <c r="L5936" s="27" t="s">
        <v>77</v>
      </c>
      <c r="N5936" s="28" t="s">
        <v>77</v>
      </c>
      <c r="Q5936" s="30"/>
    </row>
    <row r="5937">
      <c r="B5937" s="6"/>
      <c r="C5937" s="33" t="str">
        <f t="array" ref="C5937">IF(B5937="", "", XLOOKUP(B5937, Inventory!D:D,Inventory!E:E,"No Name Found"))</f>
        <v/>
      </c>
      <c r="D5937" s="6"/>
      <c r="E5937" s="6"/>
      <c r="F5937" s="6"/>
      <c r="G5937" s="24" t="str">
        <f>IF(F5937="", "", VLOOKUP(F5937, Inventory!A:BZ, 3, FALSE) - SUMIF($F$1:$F5936, F5937, $H$1:$H5936))
</f>
        <v/>
      </c>
      <c r="I5937" s="26"/>
      <c r="J5937" s="26" t="s">
        <v>77</v>
      </c>
      <c r="L5937" s="27" t="s">
        <v>77</v>
      </c>
      <c r="N5937" s="28" t="s">
        <v>77</v>
      </c>
      <c r="Q5937" s="30"/>
    </row>
    <row r="5938">
      <c r="B5938" s="6"/>
      <c r="C5938" s="33" t="str">
        <f t="array" ref="C5938">IF(B5938="", "", XLOOKUP(B5938, Inventory!D:D,Inventory!E:E,"No Name Found"))</f>
        <v/>
      </c>
      <c r="D5938" s="6"/>
      <c r="E5938" s="6"/>
      <c r="F5938" s="6"/>
      <c r="G5938" s="24" t="str">
        <f>IF(F5938="", "", VLOOKUP(F5938, Inventory!A:BZ, 3, FALSE) - SUMIF($F$1:$F5937, F5938, $H$1:$H5937))
</f>
        <v/>
      </c>
      <c r="I5938" s="26"/>
      <c r="J5938" s="26" t="s">
        <v>77</v>
      </c>
      <c r="L5938" s="27" t="s">
        <v>77</v>
      </c>
      <c r="N5938" s="28" t="s">
        <v>77</v>
      </c>
      <c r="Q5938" s="30"/>
    </row>
    <row r="5939">
      <c r="B5939" s="6"/>
      <c r="C5939" s="33" t="str">
        <f t="array" ref="C5939">IF(B5939="", "", XLOOKUP(B5939, Inventory!D:D,Inventory!E:E,"No Name Found"))</f>
        <v/>
      </c>
      <c r="D5939" s="6"/>
      <c r="E5939" s="6"/>
      <c r="F5939" s="6"/>
      <c r="G5939" s="24" t="str">
        <f>IF(F5939="", "", VLOOKUP(F5939, Inventory!A:BZ, 3, FALSE) - SUMIF($F$1:$F5938, F5939, $H$1:$H5938))
</f>
        <v/>
      </c>
      <c r="I5939" s="26"/>
      <c r="J5939" s="26" t="s">
        <v>77</v>
      </c>
      <c r="L5939" s="27" t="s">
        <v>77</v>
      </c>
      <c r="N5939" s="28" t="s">
        <v>77</v>
      </c>
      <c r="Q5939" s="30"/>
    </row>
    <row r="5940">
      <c r="B5940" s="6"/>
      <c r="C5940" s="33" t="str">
        <f t="array" ref="C5940">IF(B5940="", "", XLOOKUP(B5940, Inventory!D:D,Inventory!E:E,"No Name Found"))</f>
        <v/>
      </c>
      <c r="D5940" s="6"/>
      <c r="E5940" s="6"/>
      <c r="F5940" s="6"/>
      <c r="G5940" s="24" t="str">
        <f>IF(F5940="", "", VLOOKUP(F5940, Inventory!A:BZ, 3, FALSE) - SUMIF($F$1:$F5939, F5940, $H$1:$H5939))
</f>
        <v/>
      </c>
      <c r="I5940" s="26"/>
      <c r="J5940" s="26" t="s">
        <v>77</v>
      </c>
      <c r="L5940" s="27" t="s">
        <v>77</v>
      </c>
      <c r="N5940" s="28" t="s">
        <v>77</v>
      </c>
      <c r="Q5940" s="30"/>
    </row>
    <row r="5941">
      <c r="B5941" s="6"/>
      <c r="C5941" s="33" t="str">
        <f t="array" ref="C5941">IF(B5941="", "", XLOOKUP(B5941, Inventory!D:D,Inventory!E:E,"No Name Found"))</f>
        <v/>
      </c>
      <c r="D5941" s="6"/>
      <c r="E5941" s="6"/>
      <c r="F5941" s="6"/>
      <c r="G5941" s="24" t="str">
        <f>IF(F5941="", "", VLOOKUP(F5941, Inventory!A:BZ, 3, FALSE) - SUMIF($F$1:$F5940, F5941, $H$1:$H5940))
</f>
        <v/>
      </c>
      <c r="I5941" s="26"/>
      <c r="J5941" s="26" t="s">
        <v>77</v>
      </c>
      <c r="L5941" s="27" t="s">
        <v>77</v>
      </c>
      <c r="N5941" s="28" t="s">
        <v>77</v>
      </c>
      <c r="Q5941" s="30"/>
    </row>
    <row r="5942">
      <c r="B5942" s="6"/>
      <c r="C5942" s="33" t="str">
        <f t="array" ref="C5942">IF(B5942="", "", XLOOKUP(B5942, Inventory!D:D,Inventory!E:E,"No Name Found"))</f>
        <v/>
      </c>
      <c r="D5942" s="6"/>
      <c r="E5942" s="6"/>
      <c r="F5942" s="6"/>
      <c r="G5942" s="24" t="str">
        <f>IF(F5942="", "", VLOOKUP(F5942, Inventory!A:BZ, 3, FALSE) - SUMIF($F$1:$F5941, F5942, $H$1:$H5941))
</f>
        <v/>
      </c>
      <c r="I5942" s="26"/>
      <c r="J5942" s="26" t="s">
        <v>77</v>
      </c>
      <c r="L5942" s="27" t="s">
        <v>77</v>
      </c>
      <c r="N5942" s="28" t="s">
        <v>77</v>
      </c>
      <c r="Q5942" s="30"/>
    </row>
    <row r="5943">
      <c r="B5943" s="6"/>
      <c r="C5943" s="33" t="str">
        <f t="array" ref="C5943">IF(B5943="", "", XLOOKUP(B5943, Inventory!D:D,Inventory!E:E,"No Name Found"))</f>
        <v/>
      </c>
      <c r="D5943" s="6"/>
      <c r="E5943" s="6"/>
      <c r="F5943" s="6"/>
      <c r="G5943" s="24" t="str">
        <f>IF(F5943="", "", VLOOKUP(F5943, Inventory!A:BZ, 3, FALSE) - SUMIF($F$1:$F5942, F5943, $H$1:$H5942))
</f>
        <v/>
      </c>
      <c r="I5943" s="26"/>
      <c r="J5943" s="26" t="s">
        <v>77</v>
      </c>
      <c r="L5943" s="27" t="s">
        <v>77</v>
      </c>
      <c r="N5943" s="28" t="s">
        <v>77</v>
      </c>
      <c r="Q5943" s="30"/>
    </row>
    <row r="5944">
      <c r="B5944" s="6"/>
      <c r="C5944" s="33" t="str">
        <f t="array" ref="C5944">IF(B5944="", "", XLOOKUP(B5944, Inventory!D:D,Inventory!E:E,"No Name Found"))</f>
        <v/>
      </c>
      <c r="D5944" s="6"/>
      <c r="E5944" s="6"/>
      <c r="F5944" s="6"/>
      <c r="G5944" s="24" t="str">
        <f>IF(F5944="", "", VLOOKUP(F5944, Inventory!A:BZ, 3, FALSE) - SUMIF($F$1:$F5943, F5944, $H$1:$H5943))
</f>
        <v/>
      </c>
      <c r="I5944" s="26"/>
      <c r="J5944" s="26" t="s">
        <v>77</v>
      </c>
      <c r="L5944" s="27" t="s">
        <v>77</v>
      </c>
      <c r="N5944" s="28" t="s">
        <v>77</v>
      </c>
      <c r="Q5944" s="30"/>
    </row>
    <row r="5945">
      <c r="B5945" s="6"/>
      <c r="C5945" s="33" t="str">
        <f t="array" ref="C5945">IF(B5945="", "", XLOOKUP(B5945, Inventory!D:D,Inventory!E:E,"No Name Found"))</f>
        <v/>
      </c>
      <c r="D5945" s="6"/>
      <c r="E5945" s="6"/>
      <c r="F5945" s="6"/>
      <c r="G5945" s="24" t="str">
        <f>IF(F5945="", "", VLOOKUP(F5945, Inventory!A:BZ, 3, FALSE) - SUMIF($F$1:$F5944, F5945, $H$1:$H5944))
</f>
        <v/>
      </c>
      <c r="I5945" s="26"/>
      <c r="J5945" s="26" t="s">
        <v>77</v>
      </c>
      <c r="L5945" s="27" t="s">
        <v>77</v>
      </c>
      <c r="N5945" s="28" t="s">
        <v>77</v>
      </c>
      <c r="Q5945" s="30"/>
    </row>
    <row r="5946">
      <c r="B5946" s="6"/>
      <c r="C5946" s="33" t="str">
        <f t="array" ref="C5946">IF(B5946="", "", XLOOKUP(B5946, Inventory!D:D,Inventory!E:E,"No Name Found"))</f>
        <v/>
      </c>
      <c r="D5946" s="6"/>
      <c r="E5946" s="6"/>
      <c r="F5946" s="6"/>
      <c r="G5946" s="24" t="str">
        <f>IF(F5946="", "", VLOOKUP(F5946, Inventory!A:BZ, 3, FALSE) - SUMIF($F$1:$F5945, F5946, $H$1:$H5945))
</f>
        <v/>
      </c>
      <c r="I5946" s="26"/>
      <c r="J5946" s="26" t="s">
        <v>77</v>
      </c>
      <c r="L5946" s="27" t="s">
        <v>77</v>
      </c>
      <c r="N5946" s="28" t="s">
        <v>77</v>
      </c>
      <c r="Q5946" s="30"/>
    </row>
    <row r="5947">
      <c r="B5947" s="6"/>
      <c r="C5947" s="33" t="str">
        <f t="array" ref="C5947">IF(B5947="", "", XLOOKUP(B5947, Inventory!D:D,Inventory!E:E,"No Name Found"))</f>
        <v/>
      </c>
      <c r="D5947" s="6"/>
      <c r="E5947" s="6"/>
      <c r="F5947" s="6"/>
      <c r="G5947" s="24" t="str">
        <f>IF(F5947="", "", VLOOKUP(F5947, Inventory!A:BZ, 3, FALSE) - SUMIF($F$1:$F5946, F5947, $H$1:$H5946))
</f>
        <v/>
      </c>
      <c r="I5947" s="26"/>
      <c r="J5947" s="26" t="s">
        <v>77</v>
      </c>
      <c r="L5947" s="27" t="s">
        <v>77</v>
      </c>
      <c r="N5947" s="28" t="s">
        <v>77</v>
      </c>
      <c r="Q5947" s="30"/>
    </row>
    <row r="5948">
      <c r="B5948" s="6"/>
      <c r="C5948" s="33" t="str">
        <f t="array" ref="C5948">IF(B5948="", "", XLOOKUP(B5948, Inventory!D:D,Inventory!E:E,"No Name Found"))</f>
        <v/>
      </c>
      <c r="D5948" s="6"/>
      <c r="E5948" s="6"/>
      <c r="F5948" s="6"/>
      <c r="G5948" s="24" t="str">
        <f>IF(F5948="", "", VLOOKUP(F5948, Inventory!A:BZ, 3, FALSE) - SUMIF($F$1:$F5947, F5948, $H$1:$H5947))
</f>
        <v/>
      </c>
      <c r="I5948" s="26"/>
      <c r="J5948" s="26" t="s">
        <v>77</v>
      </c>
      <c r="L5948" s="27" t="s">
        <v>77</v>
      </c>
      <c r="N5948" s="28" t="s">
        <v>77</v>
      </c>
      <c r="Q5948" s="30"/>
    </row>
    <row r="5949">
      <c r="B5949" s="6"/>
      <c r="C5949" s="33" t="str">
        <f t="array" ref="C5949">IF(B5949="", "", XLOOKUP(B5949, Inventory!D:D,Inventory!E:E,"No Name Found"))</f>
        <v/>
      </c>
      <c r="D5949" s="6"/>
      <c r="E5949" s="6"/>
      <c r="F5949" s="6"/>
      <c r="G5949" s="24" t="str">
        <f>IF(F5949="", "", VLOOKUP(F5949, Inventory!A:BZ, 3, FALSE) - SUMIF($F$1:$F5948, F5949, $H$1:$H5948))
</f>
        <v/>
      </c>
      <c r="I5949" s="26"/>
      <c r="J5949" s="26" t="s">
        <v>77</v>
      </c>
      <c r="L5949" s="27" t="s">
        <v>77</v>
      </c>
      <c r="N5949" s="28" t="s">
        <v>77</v>
      </c>
      <c r="Q5949" s="30"/>
    </row>
    <row r="5950">
      <c r="B5950" s="6"/>
      <c r="C5950" s="33" t="str">
        <f t="array" ref="C5950">IF(B5950="", "", XLOOKUP(B5950, Inventory!D:D,Inventory!E:E,"No Name Found"))</f>
        <v/>
      </c>
      <c r="D5950" s="6"/>
      <c r="E5950" s="6"/>
      <c r="F5950" s="6"/>
      <c r="G5950" s="24" t="str">
        <f>IF(F5950="", "", VLOOKUP(F5950, Inventory!A:BZ, 3, FALSE) - SUMIF($F$1:$F5949, F5950, $H$1:$H5949))
</f>
        <v/>
      </c>
      <c r="I5950" s="26"/>
      <c r="J5950" s="26" t="s">
        <v>77</v>
      </c>
      <c r="L5950" s="27" t="s">
        <v>77</v>
      </c>
      <c r="N5950" s="28" t="s">
        <v>77</v>
      </c>
      <c r="Q5950" s="30"/>
    </row>
    <row r="5951">
      <c r="B5951" s="6"/>
      <c r="C5951" s="33" t="str">
        <f t="array" ref="C5951">IF(B5951="", "", XLOOKUP(B5951, Inventory!D:D,Inventory!E:E,"No Name Found"))</f>
        <v/>
      </c>
      <c r="D5951" s="6"/>
      <c r="E5951" s="6"/>
      <c r="F5951" s="6"/>
      <c r="G5951" s="24" t="str">
        <f>IF(F5951="", "", VLOOKUP(F5951, Inventory!A:BZ, 3, FALSE) - SUMIF($F$1:$F5950, F5951, $H$1:$H5950))
</f>
        <v/>
      </c>
      <c r="I5951" s="26"/>
      <c r="J5951" s="26" t="s">
        <v>77</v>
      </c>
      <c r="L5951" s="27" t="s">
        <v>77</v>
      </c>
      <c r="N5951" s="28" t="s">
        <v>77</v>
      </c>
      <c r="Q5951" s="30"/>
    </row>
    <row r="5952">
      <c r="B5952" s="6"/>
      <c r="C5952" s="33" t="str">
        <f t="array" ref="C5952">IF(B5952="", "", XLOOKUP(B5952, Inventory!D:D,Inventory!E:E,"No Name Found"))</f>
        <v/>
      </c>
      <c r="D5952" s="6"/>
      <c r="E5952" s="6"/>
      <c r="F5952" s="6"/>
      <c r="G5952" s="24" t="str">
        <f>IF(F5952="", "", VLOOKUP(F5952, Inventory!A:BZ, 3, FALSE) - SUMIF($F$1:$F5951, F5952, $H$1:$H5951))
</f>
        <v/>
      </c>
      <c r="I5952" s="26"/>
      <c r="J5952" s="26" t="s">
        <v>77</v>
      </c>
      <c r="L5952" s="27" t="s">
        <v>77</v>
      </c>
      <c r="N5952" s="28" t="s">
        <v>77</v>
      </c>
      <c r="Q5952" s="30"/>
    </row>
    <row r="5953">
      <c r="B5953" s="6"/>
      <c r="C5953" s="33" t="str">
        <f t="array" ref="C5953">IF(B5953="", "", XLOOKUP(B5953, Inventory!D:D,Inventory!E:E,"No Name Found"))</f>
        <v/>
      </c>
      <c r="D5953" s="6"/>
      <c r="E5953" s="6"/>
      <c r="F5953" s="6"/>
      <c r="G5953" s="24" t="str">
        <f>IF(F5953="", "", VLOOKUP(F5953, Inventory!A:BZ, 3, FALSE) - SUMIF($F$1:$F5952, F5953, $H$1:$H5952))
</f>
        <v/>
      </c>
      <c r="I5953" s="26"/>
      <c r="J5953" s="26" t="s">
        <v>77</v>
      </c>
      <c r="L5953" s="27" t="s">
        <v>77</v>
      </c>
      <c r="N5953" s="28" t="s">
        <v>77</v>
      </c>
      <c r="Q5953" s="30"/>
    </row>
    <row r="5954">
      <c r="B5954" s="6"/>
      <c r="C5954" s="33" t="str">
        <f t="array" ref="C5954">IF(B5954="", "", XLOOKUP(B5954, Inventory!D:D,Inventory!E:E,"No Name Found"))</f>
        <v/>
      </c>
      <c r="D5954" s="6"/>
      <c r="E5954" s="6"/>
      <c r="F5954" s="6"/>
      <c r="G5954" s="24" t="str">
        <f>IF(F5954="", "", VLOOKUP(F5954, Inventory!A:BZ, 3, FALSE) - SUMIF($F$1:$F5953, F5954, $H$1:$H5953))
</f>
        <v/>
      </c>
      <c r="I5954" s="26"/>
      <c r="J5954" s="26" t="s">
        <v>77</v>
      </c>
      <c r="L5954" s="27" t="s">
        <v>77</v>
      </c>
      <c r="N5954" s="28" t="s">
        <v>77</v>
      </c>
      <c r="Q5954" s="30"/>
    </row>
    <row r="5955">
      <c r="B5955" s="6"/>
      <c r="C5955" s="33" t="str">
        <f t="array" ref="C5955">IF(B5955="", "", XLOOKUP(B5955, Inventory!D:D,Inventory!E:E,"No Name Found"))</f>
        <v/>
      </c>
      <c r="D5955" s="6"/>
      <c r="E5955" s="6"/>
      <c r="F5955" s="6"/>
      <c r="G5955" s="24" t="str">
        <f>IF(F5955="", "", VLOOKUP(F5955, Inventory!A:BZ, 3, FALSE) - SUMIF($F$1:$F5954, F5955, $H$1:$H5954))
</f>
        <v/>
      </c>
      <c r="I5955" s="26"/>
      <c r="J5955" s="26" t="s">
        <v>77</v>
      </c>
      <c r="L5955" s="27" t="s">
        <v>77</v>
      </c>
      <c r="N5955" s="28" t="s">
        <v>77</v>
      </c>
      <c r="Q5955" s="30"/>
    </row>
    <row r="5956">
      <c r="B5956" s="6"/>
      <c r="C5956" s="33" t="str">
        <f t="array" ref="C5956">IF(B5956="", "", XLOOKUP(B5956, Inventory!D:D,Inventory!E:E,"No Name Found"))</f>
        <v/>
      </c>
      <c r="D5956" s="6"/>
      <c r="E5956" s="6"/>
      <c r="F5956" s="6"/>
      <c r="G5956" s="24" t="str">
        <f>IF(F5956="", "", VLOOKUP(F5956, Inventory!A:BZ, 3, FALSE) - SUMIF($F$1:$F5955, F5956, $H$1:$H5955))
</f>
        <v/>
      </c>
      <c r="I5956" s="26"/>
      <c r="J5956" s="26" t="s">
        <v>77</v>
      </c>
      <c r="L5956" s="27" t="s">
        <v>77</v>
      </c>
      <c r="N5956" s="28" t="s">
        <v>77</v>
      </c>
      <c r="Q5956" s="30"/>
    </row>
    <row r="5957">
      <c r="B5957" s="6"/>
      <c r="C5957" s="33" t="str">
        <f t="array" ref="C5957">IF(B5957="", "", XLOOKUP(B5957, Inventory!D:D,Inventory!E:E,"No Name Found"))</f>
        <v/>
      </c>
      <c r="D5957" s="6"/>
      <c r="E5957" s="6"/>
      <c r="F5957" s="6"/>
      <c r="G5957" s="24" t="str">
        <f>IF(F5957="", "", VLOOKUP(F5957, Inventory!A:BZ, 3, FALSE) - SUMIF($F$1:$F5956, F5957, $H$1:$H5956))
</f>
        <v/>
      </c>
      <c r="I5957" s="26"/>
      <c r="J5957" s="26" t="s">
        <v>77</v>
      </c>
      <c r="L5957" s="27" t="s">
        <v>77</v>
      </c>
      <c r="N5957" s="28" t="s">
        <v>77</v>
      </c>
      <c r="Q5957" s="30"/>
    </row>
    <row r="5958">
      <c r="B5958" s="6"/>
      <c r="C5958" s="33" t="str">
        <f t="array" ref="C5958">IF(B5958="", "", XLOOKUP(B5958, Inventory!D:D,Inventory!E:E,"No Name Found"))</f>
        <v/>
      </c>
      <c r="D5958" s="6"/>
      <c r="E5958" s="6"/>
      <c r="F5958" s="6"/>
      <c r="G5958" s="24" t="str">
        <f>IF(F5958="", "", VLOOKUP(F5958, Inventory!A:BZ, 3, FALSE) - SUMIF($F$1:$F5957, F5958, $H$1:$H5957))
</f>
        <v/>
      </c>
      <c r="I5958" s="26"/>
      <c r="J5958" s="26" t="s">
        <v>77</v>
      </c>
      <c r="L5958" s="27" t="s">
        <v>77</v>
      </c>
      <c r="N5958" s="28" t="s">
        <v>77</v>
      </c>
      <c r="Q5958" s="30"/>
    </row>
    <row r="5959">
      <c r="B5959" s="6"/>
      <c r="C5959" s="33" t="str">
        <f t="array" ref="C5959">IF(B5959="", "", XLOOKUP(B5959, Inventory!D:D,Inventory!E:E,"No Name Found"))</f>
        <v/>
      </c>
      <c r="D5959" s="6"/>
      <c r="E5959" s="6"/>
      <c r="F5959" s="6"/>
      <c r="G5959" s="24" t="str">
        <f>IF(F5959="", "", VLOOKUP(F5959, Inventory!A:BZ, 3, FALSE) - SUMIF($F$1:$F5958, F5959, $H$1:$H5958))
</f>
        <v/>
      </c>
      <c r="I5959" s="26"/>
      <c r="J5959" s="26" t="s">
        <v>77</v>
      </c>
      <c r="L5959" s="27" t="s">
        <v>77</v>
      </c>
      <c r="N5959" s="28" t="s">
        <v>77</v>
      </c>
      <c r="Q5959" s="30"/>
    </row>
    <row r="5960">
      <c r="B5960" s="6"/>
      <c r="C5960" s="33" t="str">
        <f t="array" ref="C5960">IF(B5960="", "", XLOOKUP(B5960, Inventory!D:D,Inventory!E:E,"No Name Found"))</f>
        <v/>
      </c>
      <c r="D5960" s="6"/>
      <c r="E5960" s="6"/>
      <c r="F5960" s="6"/>
      <c r="G5960" s="24" t="str">
        <f>IF(F5960="", "", VLOOKUP(F5960, Inventory!A:BZ, 3, FALSE) - SUMIF($F$1:$F5959, F5960, $H$1:$H5959))
</f>
        <v/>
      </c>
      <c r="I5960" s="26"/>
      <c r="J5960" s="26" t="s">
        <v>77</v>
      </c>
      <c r="L5960" s="27" t="s">
        <v>77</v>
      </c>
      <c r="N5960" s="28" t="s">
        <v>77</v>
      </c>
      <c r="Q5960" s="30"/>
    </row>
    <row r="5961">
      <c r="B5961" s="6"/>
      <c r="C5961" s="33" t="str">
        <f t="array" ref="C5961">IF(B5961="", "", XLOOKUP(B5961, Inventory!D:D,Inventory!E:E,"No Name Found"))</f>
        <v/>
      </c>
      <c r="D5961" s="6"/>
      <c r="E5961" s="6"/>
      <c r="F5961" s="6"/>
      <c r="G5961" s="24" t="str">
        <f>IF(F5961="", "", VLOOKUP(F5961, Inventory!A:BZ, 3, FALSE) - SUMIF($F$1:$F5960, F5961, $H$1:$H5960))
</f>
        <v/>
      </c>
      <c r="I5961" s="26"/>
      <c r="J5961" s="26" t="s">
        <v>77</v>
      </c>
      <c r="L5961" s="27" t="s">
        <v>77</v>
      </c>
      <c r="N5961" s="28" t="s">
        <v>77</v>
      </c>
      <c r="Q5961" s="30"/>
    </row>
    <row r="5962">
      <c r="B5962" s="6"/>
      <c r="C5962" s="33" t="str">
        <f t="array" ref="C5962">IF(B5962="", "", XLOOKUP(B5962, Inventory!D:D,Inventory!E:E,"No Name Found"))</f>
        <v/>
      </c>
      <c r="D5962" s="6"/>
      <c r="E5962" s="6"/>
      <c r="F5962" s="6"/>
      <c r="G5962" s="24" t="str">
        <f>IF(F5962="", "", VLOOKUP(F5962, Inventory!A:BZ, 3, FALSE) - SUMIF($F$1:$F5961, F5962, $H$1:$H5961))
</f>
        <v/>
      </c>
      <c r="I5962" s="26"/>
      <c r="J5962" s="26" t="s">
        <v>77</v>
      </c>
      <c r="L5962" s="27" t="s">
        <v>77</v>
      </c>
      <c r="N5962" s="28" t="s">
        <v>77</v>
      </c>
      <c r="Q5962" s="30"/>
    </row>
    <row r="5963">
      <c r="B5963" s="6"/>
      <c r="C5963" s="33" t="str">
        <f t="array" ref="C5963">IF(B5963="", "", XLOOKUP(B5963, Inventory!D:D,Inventory!E:E,"No Name Found"))</f>
        <v/>
      </c>
      <c r="D5963" s="6"/>
      <c r="E5963" s="6"/>
      <c r="F5963" s="6"/>
      <c r="G5963" s="24" t="str">
        <f>IF(F5963="", "", VLOOKUP(F5963, Inventory!A:BZ, 3, FALSE) - SUMIF($F$1:$F5962, F5963, $H$1:$H5962))
</f>
        <v/>
      </c>
      <c r="I5963" s="26"/>
      <c r="J5963" s="26" t="s">
        <v>77</v>
      </c>
      <c r="L5963" s="27" t="s">
        <v>77</v>
      </c>
      <c r="N5963" s="28" t="s">
        <v>77</v>
      </c>
      <c r="Q5963" s="30"/>
    </row>
    <row r="5964">
      <c r="B5964" s="6"/>
      <c r="C5964" s="33" t="str">
        <f t="array" ref="C5964">IF(B5964="", "", XLOOKUP(B5964, Inventory!D:D,Inventory!E:E,"No Name Found"))</f>
        <v/>
      </c>
      <c r="D5964" s="6"/>
      <c r="E5964" s="6"/>
      <c r="F5964" s="6"/>
      <c r="G5964" s="24" t="str">
        <f>IF(F5964="", "", VLOOKUP(F5964, Inventory!A:BZ, 3, FALSE) - SUMIF($F$1:$F5963, F5964, $H$1:$H5963))
</f>
        <v/>
      </c>
      <c r="I5964" s="26"/>
      <c r="J5964" s="26" t="s">
        <v>77</v>
      </c>
      <c r="L5964" s="27" t="s">
        <v>77</v>
      </c>
      <c r="N5964" s="28" t="s">
        <v>77</v>
      </c>
      <c r="Q5964" s="30"/>
    </row>
    <row r="5965">
      <c r="B5965" s="6"/>
      <c r="C5965" s="33" t="str">
        <f t="array" ref="C5965">IF(B5965="", "", XLOOKUP(B5965, Inventory!D:D,Inventory!E:E,"No Name Found"))</f>
        <v/>
      </c>
      <c r="D5965" s="6"/>
      <c r="E5965" s="6"/>
      <c r="F5965" s="6"/>
      <c r="G5965" s="24" t="str">
        <f>IF(F5965="", "", VLOOKUP(F5965, Inventory!A:BZ, 3, FALSE) - SUMIF($F$1:$F5964, F5965, $H$1:$H5964))
</f>
        <v/>
      </c>
      <c r="I5965" s="26"/>
      <c r="J5965" s="26" t="s">
        <v>77</v>
      </c>
      <c r="L5965" s="27" t="s">
        <v>77</v>
      </c>
      <c r="N5965" s="28" t="s">
        <v>77</v>
      </c>
      <c r="Q5965" s="30"/>
    </row>
    <row r="5966">
      <c r="B5966" s="6"/>
      <c r="C5966" s="33" t="str">
        <f t="array" ref="C5966">IF(B5966="", "", XLOOKUP(B5966, Inventory!D:D,Inventory!E:E,"No Name Found"))</f>
        <v/>
      </c>
      <c r="D5966" s="6"/>
      <c r="E5966" s="6"/>
      <c r="F5966" s="6"/>
      <c r="G5966" s="24" t="str">
        <f>IF(F5966="", "", VLOOKUP(F5966, Inventory!A:BZ, 3, FALSE) - SUMIF($F$1:$F5965, F5966, $H$1:$H5965))
</f>
        <v/>
      </c>
      <c r="I5966" s="26"/>
      <c r="J5966" s="26" t="s">
        <v>77</v>
      </c>
      <c r="L5966" s="27" t="s">
        <v>77</v>
      </c>
      <c r="N5966" s="28" t="s">
        <v>77</v>
      </c>
      <c r="Q5966" s="30"/>
    </row>
    <row r="5967">
      <c r="B5967" s="6"/>
      <c r="C5967" s="33" t="str">
        <f t="array" ref="C5967">IF(B5967="", "", XLOOKUP(B5967, Inventory!D:D,Inventory!E:E,"No Name Found"))</f>
        <v/>
      </c>
      <c r="D5967" s="6"/>
      <c r="E5967" s="6"/>
      <c r="F5967" s="6"/>
      <c r="G5967" s="24" t="str">
        <f>IF(F5967="", "", VLOOKUP(F5967, Inventory!A:BZ, 3, FALSE) - SUMIF($F$1:$F5966, F5967, $H$1:$H5966))
</f>
        <v/>
      </c>
      <c r="I5967" s="26"/>
      <c r="J5967" s="26" t="s">
        <v>77</v>
      </c>
      <c r="L5967" s="27" t="s">
        <v>77</v>
      </c>
      <c r="N5967" s="28" t="s">
        <v>77</v>
      </c>
      <c r="Q5967" s="30"/>
    </row>
    <row r="5968">
      <c r="B5968" s="6"/>
      <c r="C5968" s="33" t="str">
        <f t="array" ref="C5968">IF(B5968="", "", XLOOKUP(B5968, Inventory!D:D,Inventory!E:E,"No Name Found"))</f>
        <v/>
      </c>
      <c r="D5968" s="6"/>
      <c r="E5968" s="6"/>
      <c r="F5968" s="6"/>
      <c r="G5968" s="24" t="str">
        <f>IF(F5968="", "", VLOOKUP(F5968, Inventory!A:BZ, 3, FALSE) - SUMIF($F$1:$F5967, F5968, $H$1:$H5967))
</f>
        <v/>
      </c>
      <c r="I5968" s="26"/>
      <c r="J5968" s="26" t="s">
        <v>77</v>
      </c>
      <c r="L5968" s="27" t="s">
        <v>77</v>
      </c>
      <c r="N5968" s="28" t="s">
        <v>77</v>
      </c>
      <c r="Q5968" s="30"/>
    </row>
    <row r="5969">
      <c r="B5969" s="6"/>
      <c r="C5969" s="33" t="str">
        <f t="array" ref="C5969">IF(B5969="", "", XLOOKUP(B5969, Inventory!D:D,Inventory!E:E,"No Name Found"))</f>
        <v/>
      </c>
      <c r="D5969" s="6"/>
      <c r="E5969" s="6"/>
      <c r="F5969" s="6"/>
      <c r="G5969" s="24" t="str">
        <f>IF(F5969="", "", VLOOKUP(F5969, Inventory!A:BZ, 3, FALSE) - SUMIF($F$1:$F5968, F5969, $H$1:$H5968))
</f>
        <v/>
      </c>
      <c r="I5969" s="26"/>
      <c r="J5969" s="26" t="s">
        <v>77</v>
      </c>
      <c r="L5969" s="27" t="s">
        <v>77</v>
      </c>
      <c r="N5969" s="28" t="s">
        <v>77</v>
      </c>
      <c r="Q5969" s="30"/>
    </row>
    <row r="5970">
      <c r="B5970" s="6"/>
      <c r="C5970" s="33" t="str">
        <f t="array" ref="C5970">IF(B5970="", "", XLOOKUP(B5970, Inventory!D:D,Inventory!E:E,"No Name Found"))</f>
        <v/>
      </c>
      <c r="D5970" s="6"/>
      <c r="E5970" s="6"/>
      <c r="F5970" s="6"/>
      <c r="G5970" s="24" t="str">
        <f>IF(F5970="", "", VLOOKUP(F5970, Inventory!A:BZ, 3, FALSE) - SUMIF($F$1:$F5969, F5970, $H$1:$H5969))
</f>
        <v/>
      </c>
      <c r="I5970" s="26"/>
      <c r="J5970" s="26" t="s">
        <v>77</v>
      </c>
      <c r="L5970" s="27" t="s">
        <v>77</v>
      </c>
      <c r="N5970" s="28" t="s">
        <v>77</v>
      </c>
      <c r="Q5970" s="30"/>
    </row>
    <row r="5971">
      <c r="B5971" s="6"/>
      <c r="C5971" s="33" t="str">
        <f t="array" ref="C5971">IF(B5971="", "", XLOOKUP(B5971, Inventory!D:D,Inventory!E:E,"No Name Found"))</f>
        <v/>
      </c>
      <c r="D5971" s="6"/>
      <c r="E5971" s="6"/>
      <c r="F5971" s="6"/>
      <c r="G5971" s="24" t="str">
        <f>IF(F5971="", "", VLOOKUP(F5971, Inventory!A:BZ, 3, FALSE) - SUMIF($F$1:$F5970, F5971, $H$1:$H5970))
</f>
        <v/>
      </c>
      <c r="I5971" s="26"/>
      <c r="J5971" s="26" t="s">
        <v>77</v>
      </c>
      <c r="L5971" s="27" t="s">
        <v>77</v>
      </c>
      <c r="N5971" s="28" t="s">
        <v>77</v>
      </c>
      <c r="Q5971" s="30"/>
    </row>
    <row r="5972">
      <c r="B5972" s="6"/>
      <c r="C5972" s="33" t="str">
        <f t="array" ref="C5972">IF(B5972="", "", XLOOKUP(B5972, Inventory!D:D,Inventory!E:E,"No Name Found"))</f>
        <v/>
      </c>
      <c r="D5972" s="6"/>
      <c r="E5972" s="6"/>
      <c r="F5972" s="6"/>
      <c r="G5972" s="24" t="str">
        <f>IF(F5972="", "", VLOOKUP(F5972, Inventory!A:BZ, 3, FALSE) - SUMIF($F$1:$F5971, F5972, $H$1:$H5971))
</f>
        <v/>
      </c>
      <c r="I5972" s="26"/>
      <c r="J5972" s="26" t="s">
        <v>77</v>
      </c>
      <c r="L5972" s="27" t="s">
        <v>77</v>
      </c>
      <c r="N5972" s="28" t="s">
        <v>77</v>
      </c>
      <c r="Q5972" s="30"/>
    </row>
    <row r="5973">
      <c r="B5973" s="6"/>
      <c r="C5973" s="33" t="str">
        <f t="array" ref="C5973">IF(B5973="", "", XLOOKUP(B5973, Inventory!D:D,Inventory!E:E,"No Name Found"))</f>
        <v/>
      </c>
      <c r="D5973" s="6"/>
      <c r="E5973" s="6"/>
      <c r="F5973" s="6"/>
      <c r="G5973" s="24" t="str">
        <f>IF(F5973="", "", VLOOKUP(F5973, Inventory!A:BZ, 3, FALSE) - SUMIF($F$1:$F5972, F5973, $H$1:$H5972))
</f>
        <v/>
      </c>
      <c r="I5973" s="26"/>
      <c r="J5973" s="26" t="s">
        <v>77</v>
      </c>
      <c r="L5973" s="27" t="s">
        <v>77</v>
      </c>
      <c r="N5973" s="28" t="s">
        <v>77</v>
      </c>
      <c r="Q5973" s="30"/>
    </row>
    <row r="5974">
      <c r="B5974" s="6"/>
      <c r="C5974" s="33" t="str">
        <f t="array" ref="C5974">IF(B5974="", "", XLOOKUP(B5974, Inventory!D:D,Inventory!E:E,"No Name Found"))</f>
        <v/>
      </c>
      <c r="D5974" s="6"/>
      <c r="E5974" s="6"/>
      <c r="F5974" s="6"/>
      <c r="G5974" s="24" t="str">
        <f>IF(F5974="", "", VLOOKUP(F5974, Inventory!A:BZ, 3, FALSE) - SUMIF($F$1:$F5973, F5974, $H$1:$H5973))
</f>
        <v/>
      </c>
      <c r="I5974" s="26"/>
      <c r="J5974" s="26" t="s">
        <v>77</v>
      </c>
      <c r="L5974" s="27" t="s">
        <v>77</v>
      </c>
      <c r="N5974" s="28" t="s">
        <v>77</v>
      </c>
      <c r="Q5974" s="30"/>
    </row>
    <row r="5975">
      <c r="B5975" s="6"/>
      <c r="C5975" s="33" t="str">
        <f t="array" ref="C5975">IF(B5975="", "", XLOOKUP(B5975, Inventory!D:D,Inventory!E:E,"No Name Found"))</f>
        <v/>
      </c>
      <c r="D5975" s="6"/>
      <c r="E5975" s="6"/>
      <c r="F5975" s="6"/>
      <c r="G5975" s="24" t="str">
        <f>IF(F5975="", "", VLOOKUP(F5975, Inventory!A:BZ, 3, FALSE) - SUMIF($F$1:$F5974, F5975, $H$1:$H5974))
</f>
        <v/>
      </c>
      <c r="I5975" s="26"/>
      <c r="J5975" s="26" t="s">
        <v>77</v>
      </c>
      <c r="L5975" s="27" t="s">
        <v>77</v>
      </c>
      <c r="N5975" s="28" t="s">
        <v>77</v>
      </c>
      <c r="Q5975" s="30"/>
    </row>
    <row r="5976">
      <c r="B5976" s="6"/>
      <c r="C5976" s="33" t="str">
        <f t="array" ref="C5976">IF(B5976="", "", XLOOKUP(B5976, Inventory!D:D,Inventory!E:E,"No Name Found"))</f>
        <v/>
      </c>
      <c r="D5976" s="6"/>
      <c r="E5976" s="6"/>
      <c r="F5976" s="6"/>
      <c r="G5976" s="24" t="str">
        <f>IF(F5976="", "", VLOOKUP(F5976, Inventory!A:BZ, 3, FALSE) - SUMIF($F$1:$F5975, F5976, $H$1:$H5975))
</f>
        <v/>
      </c>
      <c r="I5976" s="26"/>
      <c r="J5976" s="26" t="s">
        <v>77</v>
      </c>
      <c r="L5976" s="27" t="s">
        <v>77</v>
      </c>
      <c r="N5976" s="28" t="s">
        <v>77</v>
      </c>
      <c r="Q5976" s="30"/>
    </row>
    <row r="5977">
      <c r="B5977" s="6"/>
      <c r="C5977" s="33" t="str">
        <f t="array" ref="C5977">IF(B5977="", "", XLOOKUP(B5977, Inventory!D:D,Inventory!E:E,"No Name Found"))</f>
        <v/>
      </c>
      <c r="D5977" s="6"/>
      <c r="E5977" s="6"/>
      <c r="F5977" s="6"/>
      <c r="G5977" s="24" t="str">
        <f>IF(F5977="", "", VLOOKUP(F5977, Inventory!A:BZ, 3, FALSE) - SUMIF($F$1:$F5976, F5977, $H$1:$H5976))
</f>
        <v/>
      </c>
      <c r="I5977" s="26"/>
      <c r="J5977" s="26" t="s">
        <v>77</v>
      </c>
      <c r="L5977" s="27" t="s">
        <v>77</v>
      </c>
      <c r="N5977" s="28" t="s">
        <v>77</v>
      </c>
      <c r="Q5977" s="30"/>
    </row>
    <row r="5978">
      <c r="B5978" s="6"/>
      <c r="C5978" s="33" t="str">
        <f t="array" ref="C5978">IF(B5978="", "", XLOOKUP(B5978, Inventory!D:D,Inventory!E:E,"No Name Found"))</f>
        <v/>
      </c>
      <c r="D5978" s="6"/>
      <c r="E5978" s="6"/>
      <c r="F5978" s="6"/>
      <c r="G5978" s="24" t="str">
        <f>IF(F5978="", "", VLOOKUP(F5978, Inventory!A:BZ, 3, FALSE) - SUMIF($F$1:$F5977, F5978, $H$1:$H5977))
</f>
        <v/>
      </c>
      <c r="I5978" s="26"/>
      <c r="J5978" s="26" t="s">
        <v>77</v>
      </c>
      <c r="L5978" s="27" t="s">
        <v>77</v>
      </c>
      <c r="N5978" s="28" t="s">
        <v>77</v>
      </c>
      <c r="Q5978" s="30"/>
    </row>
    <row r="5979">
      <c r="B5979" s="6"/>
      <c r="C5979" s="33" t="str">
        <f t="array" ref="C5979">IF(B5979="", "", XLOOKUP(B5979, Inventory!D:D,Inventory!E:E,"No Name Found"))</f>
        <v/>
      </c>
      <c r="D5979" s="6"/>
      <c r="E5979" s="6"/>
      <c r="F5979" s="6"/>
      <c r="G5979" s="24" t="str">
        <f>IF(F5979="", "", VLOOKUP(F5979, Inventory!A:BZ, 3, FALSE) - SUMIF($F$1:$F5978, F5979, $H$1:$H5978))
</f>
        <v/>
      </c>
      <c r="I5979" s="26"/>
      <c r="J5979" s="26" t="s">
        <v>77</v>
      </c>
      <c r="L5979" s="27" t="s">
        <v>77</v>
      </c>
      <c r="N5979" s="28" t="s">
        <v>77</v>
      </c>
      <c r="Q5979" s="30"/>
    </row>
    <row r="5980">
      <c r="B5980" s="6"/>
      <c r="C5980" s="33" t="str">
        <f t="array" ref="C5980">IF(B5980="", "", XLOOKUP(B5980, Inventory!D:D,Inventory!E:E,"No Name Found"))</f>
        <v/>
      </c>
      <c r="D5980" s="6"/>
      <c r="E5980" s="6"/>
      <c r="F5980" s="6"/>
      <c r="G5980" s="24" t="str">
        <f>IF(F5980="", "", VLOOKUP(F5980, Inventory!A:BZ, 3, FALSE) - SUMIF($F$1:$F5979, F5980, $H$1:$H5979))
</f>
        <v/>
      </c>
      <c r="I5980" s="26"/>
      <c r="J5980" s="26" t="s">
        <v>77</v>
      </c>
      <c r="L5980" s="27" t="s">
        <v>77</v>
      </c>
      <c r="N5980" s="28" t="s">
        <v>77</v>
      </c>
      <c r="Q5980" s="30"/>
    </row>
    <row r="5981">
      <c r="B5981" s="6"/>
      <c r="C5981" s="33" t="str">
        <f t="array" ref="C5981">IF(B5981="", "", XLOOKUP(B5981, Inventory!D:D,Inventory!E:E,"No Name Found"))</f>
        <v/>
      </c>
      <c r="D5981" s="6"/>
      <c r="E5981" s="6"/>
      <c r="F5981" s="6"/>
      <c r="G5981" s="24" t="str">
        <f>IF(F5981="", "", VLOOKUP(F5981, Inventory!A:BZ, 3, FALSE) - SUMIF($F$1:$F5980, F5981, $H$1:$H5980))
</f>
        <v/>
      </c>
      <c r="I5981" s="26"/>
      <c r="J5981" s="26" t="s">
        <v>77</v>
      </c>
      <c r="L5981" s="27" t="s">
        <v>77</v>
      </c>
      <c r="N5981" s="28" t="s">
        <v>77</v>
      </c>
      <c r="Q5981" s="30"/>
    </row>
    <row r="5982">
      <c r="B5982" s="6"/>
      <c r="C5982" s="33" t="str">
        <f t="array" ref="C5982">IF(B5982="", "", XLOOKUP(B5982, Inventory!D:D,Inventory!E:E,"No Name Found"))</f>
        <v/>
      </c>
      <c r="D5982" s="6"/>
      <c r="E5982" s="6"/>
      <c r="F5982" s="6"/>
      <c r="G5982" s="24" t="str">
        <f>IF(F5982="", "", VLOOKUP(F5982, Inventory!A:BZ, 3, FALSE) - SUMIF($F$1:$F5981, F5982, $H$1:$H5981))
</f>
        <v/>
      </c>
      <c r="I5982" s="26"/>
      <c r="J5982" s="26" t="s">
        <v>77</v>
      </c>
      <c r="L5982" s="27" t="s">
        <v>77</v>
      </c>
      <c r="N5982" s="28" t="s">
        <v>77</v>
      </c>
      <c r="Q5982" s="30"/>
    </row>
    <row r="5983">
      <c r="B5983" s="6"/>
      <c r="C5983" s="33" t="str">
        <f t="array" ref="C5983">IF(B5983="", "", XLOOKUP(B5983, Inventory!D:D,Inventory!E:E,"No Name Found"))</f>
        <v/>
      </c>
      <c r="D5983" s="6"/>
      <c r="E5983" s="6"/>
      <c r="F5983" s="6"/>
      <c r="G5983" s="24" t="str">
        <f>IF(F5983="", "", VLOOKUP(F5983, Inventory!A:BZ, 3, FALSE) - SUMIF($F$1:$F5982, F5983, $H$1:$H5982))
</f>
        <v/>
      </c>
      <c r="I5983" s="26"/>
      <c r="J5983" s="26" t="s">
        <v>77</v>
      </c>
      <c r="L5983" s="27" t="s">
        <v>77</v>
      </c>
      <c r="N5983" s="28" t="s">
        <v>77</v>
      </c>
      <c r="Q5983" s="30"/>
    </row>
    <row r="5984">
      <c r="B5984" s="6"/>
      <c r="C5984" s="33" t="str">
        <f t="array" ref="C5984">IF(B5984="", "", XLOOKUP(B5984, Inventory!D:D,Inventory!E:E,"No Name Found"))</f>
        <v/>
      </c>
      <c r="D5984" s="6"/>
      <c r="E5984" s="6"/>
      <c r="F5984" s="6"/>
      <c r="G5984" s="24" t="str">
        <f>IF(F5984="", "", VLOOKUP(F5984, Inventory!A:BZ, 3, FALSE) - SUMIF($F$1:$F5983, F5984, $H$1:$H5983))
</f>
        <v/>
      </c>
      <c r="I5984" s="26"/>
      <c r="J5984" s="26" t="s">
        <v>77</v>
      </c>
      <c r="L5984" s="27" t="s">
        <v>77</v>
      </c>
      <c r="N5984" s="28" t="s">
        <v>77</v>
      </c>
      <c r="Q5984" s="30"/>
    </row>
    <row r="5985">
      <c r="B5985" s="6"/>
      <c r="C5985" s="33" t="str">
        <f t="array" ref="C5985">IF(B5985="", "", XLOOKUP(B5985, Inventory!D:D,Inventory!E:E,"No Name Found"))</f>
        <v/>
      </c>
      <c r="D5985" s="6"/>
      <c r="E5985" s="6"/>
      <c r="F5985" s="6"/>
      <c r="G5985" s="24" t="str">
        <f>IF(F5985="", "", VLOOKUP(F5985, Inventory!A:BZ, 3, FALSE) - SUMIF($F$1:$F5984, F5985, $H$1:$H5984))
</f>
        <v/>
      </c>
      <c r="I5985" s="26"/>
      <c r="J5985" s="26" t="s">
        <v>77</v>
      </c>
      <c r="L5985" s="27" t="s">
        <v>77</v>
      </c>
      <c r="N5985" s="28" t="s">
        <v>77</v>
      </c>
      <c r="Q5985" s="30"/>
    </row>
    <row r="5986">
      <c r="B5986" s="6"/>
      <c r="C5986" s="33" t="str">
        <f t="array" ref="C5986">IF(B5986="", "", XLOOKUP(B5986, Inventory!D:D,Inventory!E:E,"No Name Found"))</f>
        <v/>
      </c>
      <c r="D5986" s="6"/>
      <c r="E5986" s="6"/>
      <c r="F5986" s="6"/>
      <c r="G5986" s="24" t="str">
        <f>IF(F5986="", "", VLOOKUP(F5986, Inventory!A:BZ, 3, FALSE) - SUMIF($F$1:$F5985, F5986, $H$1:$H5985))
</f>
        <v/>
      </c>
      <c r="I5986" s="26"/>
      <c r="J5986" s="26" t="s">
        <v>77</v>
      </c>
      <c r="L5986" s="27" t="s">
        <v>77</v>
      </c>
      <c r="N5986" s="28" t="s">
        <v>77</v>
      </c>
      <c r="Q5986" s="30"/>
    </row>
    <row r="5987">
      <c r="B5987" s="6"/>
      <c r="C5987" s="33" t="str">
        <f t="array" ref="C5987">IF(B5987="", "", XLOOKUP(B5987, Inventory!D:D,Inventory!E:E,"No Name Found"))</f>
        <v/>
      </c>
      <c r="D5987" s="6"/>
      <c r="E5987" s="6"/>
      <c r="F5987" s="6"/>
      <c r="G5987" s="24" t="str">
        <f>IF(F5987="", "", VLOOKUP(F5987, Inventory!A:BZ, 3, FALSE) - SUMIF($F$1:$F5986, F5987, $H$1:$H5986))
</f>
        <v/>
      </c>
      <c r="I5987" s="26"/>
      <c r="J5987" s="26" t="s">
        <v>77</v>
      </c>
      <c r="L5987" s="27" t="s">
        <v>77</v>
      </c>
      <c r="N5987" s="28" t="s">
        <v>77</v>
      </c>
      <c r="Q5987" s="30"/>
    </row>
    <row r="5988">
      <c r="B5988" s="6"/>
      <c r="C5988" s="33" t="str">
        <f t="array" ref="C5988">IF(B5988="", "", XLOOKUP(B5988, Inventory!D:D,Inventory!E:E,"No Name Found"))</f>
        <v/>
      </c>
      <c r="D5988" s="6"/>
      <c r="E5988" s="6"/>
      <c r="F5988" s="6"/>
      <c r="G5988" s="24" t="str">
        <f>IF(F5988="", "", VLOOKUP(F5988, Inventory!A:BZ, 3, FALSE) - SUMIF($F$1:$F5987, F5988, $H$1:$H5987))
</f>
        <v/>
      </c>
      <c r="I5988" s="26"/>
      <c r="J5988" s="26" t="s">
        <v>77</v>
      </c>
      <c r="L5988" s="27" t="s">
        <v>77</v>
      </c>
      <c r="N5988" s="28" t="s">
        <v>77</v>
      </c>
      <c r="Q5988" s="30"/>
    </row>
    <row r="5989">
      <c r="B5989" s="6"/>
      <c r="C5989" s="33" t="str">
        <f t="array" ref="C5989">IF(B5989="", "", XLOOKUP(B5989, Inventory!D:D,Inventory!E:E,"No Name Found"))</f>
        <v/>
      </c>
      <c r="D5989" s="6"/>
      <c r="E5989" s="6"/>
      <c r="G5989" s="24" t="str">
        <f>IF(F5989="", "", VLOOKUP(F5989, Inventory!A:BZ, 3, FALSE) - SUMIF($F$1:$F5988, F5989, $H$1:$H5988))
</f>
        <v/>
      </c>
      <c r="I5989" s="26"/>
      <c r="J5989" s="26" t="s">
        <v>77</v>
      </c>
      <c r="L5989" s="27" t="s">
        <v>77</v>
      </c>
      <c r="N5989" s="28" t="s">
        <v>77</v>
      </c>
      <c r="Q5989" s="30"/>
    </row>
    <row r="5990">
      <c r="B5990" s="6"/>
      <c r="C5990" s="33" t="str">
        <f t="array" ref="C5990">IF(B5990="", "", XLOOKUP(B5990, Inventory!D:D,Inventory!E:E,"No Name Found"))</f>
        <v/>
      </c>
      <c r="D5990" s="6"/>
      <c r="E5990" s="6"/>
      <c r="G5990" s="24" t="str">
        <f>IF(F5990="", "", VLOOKUP(F5990, Inventory!A:BZ, 3, FALSE) - SUMIF($F$1:$F5989, F5990, $H$1:$H5989))
</f>
        <v/>
      </c>
      <c r="I5990" s="26"/>
      <c r="J5990" s="26" t="s">
        <v>77</v>
      </c>
      <c r="L5990" s="27" t="s">
        <v>77</v>
      </c>
      <c r="N5990" s="28" t="s">
        <v>77</v>
      </c>
      <c r="Q5990" s="30"/>
    </row>
    <row r="5991">
      <c r="B5991" s="6"/>
      <c r="C5991" s="33" t="str">
        <f t="array" ref="C5991">IF(B5991="", "", XLOOKUP(B5991, Inventory!D:D,Inventory!E:E,"No Name Found"))</f>
        <v/>
      </c>
      <c r="D5991" s="6"/>
      <c r="E5991" s="6"/>
      <c r="G5991" s="24" t="str">
        <f>IF(F5991="", "", VLOOKUP(F5991, Inventory!A:BZ, 3, FALSE) - SUMIF($F$1:$F5990, F5991, $H$1:$H5990))
</f>
        <v/>
      </c>
      <c r="I5991" s="26"/>
      <c r="J5991" s="26" t="s">
        <v>77</v>
      </c>
      <c r="L5991" s="27" t="s">
        <v>77</v>
      </c>
      <c r="N5991" s="28" t="s">
        <v>77</v>
      </c>
      <c r="Q5991" s="30"/>
    </row>
    <row r="5992">
      <c r="B5992" s="6"/>
      <c r="C5992" s="33" t="str">
        <f t="array" ref="C5992">IF(B5992="", "", XLOOKUP(B5992, Inventory!D:D,Inventory!E:E,"No Name Found"))</f>
        <v/>
      </c>
      <c r="D5992" s="6"/>
      <c r="E5992" s="6"/>
      <c r="G5992" s="24" t="str">
        <f>IF(F5992="", "", VLOOKUP(F5992, Inventory!A:BZ, 3, FALSE) - SUMIF($F$1:$F5991, F5992, $H$1:$H5991))
</f>
        <v/>
      </c>
      <c r="I5992" s="26"/>
      <c r="J5992" s="26" t="s">
        <v>77</v>
      </c>
      <c r="L5992" s="27" t="s">
        <v>77</v>
      </c>
      <c r="N5992" s="28" t="s">
        <v>77</v>
      </c>
      <c r="Q5992" s="30"/>
    </row>
    <row r="5993">
      <c r="B5993" s="6"/>
      <c r="C5993" s="33" t="str">
        <f t="array" ref="C5993">IF(B5993="", "", XLOOKUP(B5993, Inventory!D:D,Inventory!E:E,"No Name Found"))</f>
        <v/>
      </c>
      <c r="D5993" s="6"/>
      <c r="E5993" s="6"/>
      <c r="G5993" s="24" t="str">
        <f>IF(F5993="", "", VLOOKUP(F5993, Inventory!A:BZ, 3, FALSE) - SUMIF($F$1:$F5992, F5993, $H$1:$H5992))
</f>
        <v/>
      </c>
      <c r="I5993" s="26"/>
      <c r="J5993" s="26" t="s">
        <v>77</v>
      </c>
      <c r="L5993" s="27" t="s">
        <v>77</v>
      </c>
      <c r="N5993" s="28" t="s">
        <v>77</v>
      </c>
      <c r="Q5993" s="30"/>
    </row>
    <row r="5994">
      <c r="B5994" s="6"/>
      <c r="C5994" s="33" t="str">
        <f t="array" ref="C5994">IF(B5994="", "", XLOOKUP(B5994, Inventory!D:D,Inventory!E:E,"No Name Found"))</f>
        <v/>
      </c>
      <c r="D5994" s="6"/>
      <c r="E5994" s="6"/>
      <c r="G5994" s="24" t="str">
        <f>IF(F5994="", "", VLOOKUP(F5994, Inventory!A:BZ, 3, FALSE) - SUMIF($F$1:$F5993, F5994, $H$1:$H5993))
</f>
        <v/>
      </c>
      <c r="I5994" s="26"/>
      <c r="J5994" s="26" t="s">
        <v>77</v>
      </c>
      <c r="L5994" s="27" t="s">
        <v>77</v>
      </c>
      <c r="N5994" s="28" t="s">
        <v>77</v>
      </c>
      <c r="Q5994" s="30"/>
    </row>
    <row r="5995">
      <c r="B5995" s="6"/>
      <c r="C5995" s="33" t="str">
        <f t="array" ref="C5995">IF(B5995="", "", XLOOKUP(B5995, Inventory!D:D,Inventory!E:E,"No Name Found"))</f>
        <v/>
      </c>
      <c r="D5995" s="6"/>
      <c r="E5995" s="6"/>
      <c r="G5995" s="24" t="str">
        <f>IF(F5995="", "", VLOOKUP(F5995, Inventory!A:BZ, 3, FALSE) - SUMIF($F$1:$F5994, F5995, $H$1:$H5994))
</f>
        <v/>
      </c>
      <c r="I5995" s="26"/>
      <c r="J5995" s="26" t="s">
        <v>77</v>
      </c>
      <c r="L5995" s="27" t="s">
        <v>77</v>
      </c>
      <c r="N5995" s="28" t="s">
        <v>77</v>
      </c>
      <c r="Q5995" s="30"/>
    </row>
    <row r="5996">
      <c r="B5996" s="6"/>
      <c r="C5996" s="33" t="str">
        <f t="array" ref="C5996">IF(B5996="", "", XLOOKUP(B5996, Inventory!D:D,Inventory!E:E,"No Name Found"))</f>
        <v/>
      </c>
      <c r="D5996" s="6"/>
      <c r="E5996" s="6"/>
      <c r="G5996" s="24" t="str">
        <f>IF(F5996="", "", VLOOKUP(F5996, Inventory!A:BZ, 3, FALSE) - SUMIF($F$1:$F5995, F5996, $H$1:$H5995))
</f>
        <v/>
      </c>
      <c r="I5996" s="26"/>
      <c r="J5996" s="26" t="s">
        <v>77</v>
      </c>
      <c r="L5996" s="27" t="s">
        <v>77</v>
      </c>
      <c r="N5996" s="28" t="s">
        <v>77</v>
      </c>
      <c r="Q5996" s="30"/>
    </row>
    <row r="5997">
      <c r="B5997" s="6"/>
      <c r="C5997" s="33" t="str">
        <f t="array" ref="C5997">IF(B5997="", "", XLOOKUP(B5997, Inventory!D:D,Inventory!E:E,"No Name Found"))</f>
        <v/>
      </c>
      <c r="D5997" s="6"/>
      <c r="E5997" s="6"/>
      <c r="G5997" s="24" t="str">
        <f>IF(F5997="", "", VLOOKUP(F5997, Inventory!A:BZ, 3, FALSE) - SUMIF($F$1:$F5996, F5997, $H$1:$H5996))
</f>
        <v/>
      </c>
      <c r="H5997" s="22"/>
      <c r="I5997" s="25"/>
      <c r="J5997" s="26" t="s">
        <v>77</v>
      </c>
      <c r="L5997" s="27" t="s">
        <v>77</v>
      </c>
      <c r="N5997" s="28" t="s">
        <v>77</v>
      </c>
      <c r="Q5997" s="30"/>
    </row>
    <row r="5998">
      <c r="B5998" s="6"/>
      <c r="C5998" s="33" t="str">
        <f t="array" ref="C5998">IF(B5998="", "", XLOOKUP(B5998, Inventory!D:D,Inventory!E:E,"No Name Found"))</f>
        <v/>
      </c>
      <c r="D5998" s="6"/>
      <c r="E5998" s="6"/>
      <c r="G5998" s="24" t="str">
        <f>IF(F5998="", "", VLOOKUP(F5998, Inventory!A:BZ, 3, FALSE) - SUMIF($F$1:$F5997, F5998, $H$1:$H5997))
</f>
        <v/>
      </c>
      <c r="H5998" s="22"/>
      <c r="I5998" s="25"/>
      <c r="J5998" s="26" t="s">
        <v>77</v>
      </c>
      <c r="L5998" s="27" t="s">
        <v>77</v>
      </c>
      <c r="N5998" s="28" t="s">
        <v>77</v>
      </c>
      <c r="Q5998" s="30"/>
    </row>
    <row r="5999">
      <c r="C5999" s="28"/>
      <c r="G5999" s="28"/>
      <c r="I5999" s="26">
        <f t="shared" ref="I5999:L5999" si="1">SUM(I2:I5998)</f>
        <v>121860</v>
      </c>
      <c r="J5999" s="26">
        <f t="shared" si="1"/>
        <v>3519550</v>
      </c>
      <c r="K5999" s="18">
        <f t="shared" si="1"/>
        <v>3330600</v>
      </c>
      <c r="L5999" s="27">
        <f t="shared" si="1"/>
        <v>-188950</v>
      </c>
      <c r="N5999" s="28"/>
      <c r="Q5999" s="30"/>
    </row>
    <row r="6000">
      <c r="C6000" s="28"/>
      <c r="G6000" s="28"/>
      <c r="I6000" s="26"/>
      <c r="J6000" s="28"/>
      <c r="L6000" s="30"/>
      <c r="N6000" s="28"/>
      <c r="Q6000" s="30"/>
    </row>
  </sheetData>
  <conditionalFormatting sqref="L2:L5998">
    <cfRule type="expression" dxfId="0" priority="1">
      <formula>L2:L5998&lt;0</formula>
    </cfRule>
  </conditionalFormatting>
  <conditionalFormatting sqref="T2">
    <cfRule type="expression" dxfId="1" priority="2">
      <formula>T2&gt;0</formula>
    </cfRule>
  </conditionalFormatting>
  <conditionalFormatting sqref="T2">
    <cfRule type="expression" dxfId="2" priority="3">
      <formula>T2&lt;0</formula>
    </cfRule>
  </conditionalFormatting>
  <conditionalFormatting sqref="L2:L5999">
    <cfRule type="expression" dxfId="3" priority="4">
      <formula>L2:L5998&gt;0</formula>
    </cfRule>
  </conditionalFormatting>
  <dataValidations>
    <dataValidation type="list" allowBlank="1" showErrorMessage="1" sqref="D2:D5998">
      <formula1>"Credit,Debit"</formula1>
    </dataValidation>
    <dataValidation type="list" allowBlank="1" showErrorMessage="1" sqref="E2:E5998">
      <formula1>"Transfer,Cash"</formula1>
    </dataValidation>
    <dataValidation type="list" allowBlank="1" showErrorMessage="1" sqref="F2:F5988">
      <formula1>Inventory!$A$2:$A$5998</formula1>
    </dataValidation>
    <dataValidation type="list" allowBlank="1" showErrorMessage="1" sqref="B2:B5998">
      <formula1>Inventory!$D$2:$D$5998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5.38"/>
    <col customWidth="1" min="3" max="3" width="16.75"/>
    <col customWidth="1" min="4" max="4" width="15.88"/>
    <col customWidth="1" min="5" max="5" width="14.38"/>
    <col customWidth="1" min="6" max="6" width="15.13"/>
    <col customWidth="1" min="8" max="9" width="15.25"/>
    <col customWidth="1" min="11" max="11" width="21.38"/>
    <col customWidth="1" min="12" max="12" width="18.5"/>
    <col customWidth="1" min="13" max="13" width="35.25"/>
    <col customWidth="1" min="14" max="14" width="14.75"/>
    <col customWidth="1" min="15" max="15" width="21.0"/>
    <col customWidth="1" min="16" max="16" width="18.75"/>
    <col customWidth="1" min="17" max="17" width="18.5"/>
    <col customWidth="1" min="18" max="18" width="17.63"/>
    <col customWidth="1" min="19" max="19" width="17.0"/>
    <col customWidth="1" min="21" max="21" width="17.5"/>
  </cols>
  <sheetData>
    <row r="1">
      <c r="A1" s="36" t="s">
        <v>62</v>
      </c>
      <c r="B1" s="37" t="s">
        <v>3</v>
      </c>
      <c r="C1" s="37" t="s">
        <v>4</v>
      </c>
      <c r="D1" s="37" t="s">
        <v>63</v>
      </c>
      <c r="E1" s="37" t="s">
        <v>64</v>
      </c>
      <c r="F1" s="37" t="s">
        <v>0</v>
      </c>
      <c r="G1" s="37" t="s">
        <v>65</v>
      </c>
      <c r="H1" s="38" t="s">
        <v>66</v>
      </c>
      <c r="I1" s="37" t="s">
        <v>78</v>
      </c>
      <c r="J1" s="37" t="s">
        <v>68</v>
      </c>
      <c r="K1" s="38" t="s">
        <v>69</v>
      </c>
      <c r="L1" s="37" t="s">
        <v>70</v>
      </c>
      <c r="M1" s="38" t="s">
        <v>79</v>
      </c>
      <c r="N1" s="37" t="s">
        <v>72</v>
      </c>
      <c r="O1" s="37" t="s">
        <v>80</v>
      </c>
      <c r="P1" s="39"/>
      <c r="Q1" s="40"/>
      <c r="R1" s="41" t="s">
        <v>81</v>
      </c>
      <c r="S1" s="41" t="s">
        <v>82</v>
      </c>
      <c r="T1" s="41" t="s">
        <v>83</v>
      </c>
      <c r="U1" s="41" t="s">
        <v>84</v>
      </c>
      <c r="V1" s="42"/>
      <c r="W1" s="42"/>
      <c r="X1" s="42"/>
      <c r="Y1" s="42"/>
      <c r="Z1" s="42"/>
      <c r="AA1" s="42"/>
      <c r="AB1" s="42"/>
    </row>
    <row r="2">
      <c r="A2" s="43">
        <f t="array" ref="A2:A5998">IF(Sales_Person!A2:A5998="", "", Sales_Person!A2:A5998)</f>
        <v>46032</v>
      </c>
      <c r="B2" s="44" t="str">
        <f t="array" ref="B2:B5998">IF(Sales_Person!B2:B5998="", "", Sales_Person!B2:B5998)</f>
        <v>001</v>
      </c>
      <c r="C2" s="28" t="str">
        <f t="array" ref="C2:C5998">IF(Sales_Person!C2:C5998="", "", Sales_Person!C2:C5998)</f>
        <v>Mama Ada</v>
      </c>
      <c r="D2" s="44" t="str">
        <f t="array" ref="D2:D5998">IF(Sales_Person!D2:D5998="", "", Sales_Person!D2:D5998)</f>
        <v>Credit</v>
      </c>
      <c r="E2" s="44" t="str">
        <f t="array" ref="E2:E5998">IF(Sales_Person!E2:E5998="", "", Sales_Person!E2:E5998)</f>
        <v>Transfer</v>
      </c>
      <c r="F2" s="44" t="str">
        <f t="array" ref="F2:F5998">IF(Sales_Person!F2:F5998="", "", Sales_Person!F2:F5998)</f>
        <v>Gala</v>
      </c>
      <c r="G2" s="28">
        <f t="array" ref="G2:G5998">IF(Sales_Person!G2:G5998="", "", Sales_Person!G2:G5998)</f>
        <v>130</v>
      </c>
      <c r="H2" s="22">
        <v>20.0</v>
      </c>
      <c r="I2" s="26">
        <f t="array" ref="I2:I5998">IF(Sales_Person!I2:I5998="", "", Sales_Person!I2:I5998)</f>
        <v>10500</v>
      </c>
      <c r="J2" s="26">
        <f t="array" ref="J2:J5998">IF(Sales_Person!J2:J5998="", "", Sales_Person!J2:J5998)</f>
        <v>210000</v>
      </c>
      <c r="K2" s="10">
        <v>150000.0</v>
      </c>
      <c r="L2" s="26">
        <f t="array" ref="L2:L5998">IF(Sales_Person!L2:L5998="", "", Sales_Person!L2:L5998)</f>
        <v>-60000</v>
      </c>
      <c r="M2" s="45" t="str">
        <f t="array" ref="M2:M5998">IF(Sales_Person!M2:M5998="", "", Sales_Person!M2:M5998)</f>
        <v/>
      </c>
      <c r="N2" s="46">
        <f t="array" ref="N2:N5998">IF(Sales_Person!N2:N5998="", "", Sales_Person!N2:N5998)</f>
        <v>110</v>
      </c>
      <c r="O2" s="47">
        <f t="array" ref="O2:O5998">IF(N2:N5998="","",I2:I5998*N2:N5998)</f>
        <v>1155000</v>
      </c>
      <c r="P2" s="48"/>
      <c r="Q2" s="49" t="s">
        <v>4</v>
      </c>
      <c r="R2" s="50" t="s">
        <v>41</v>
      </c>
      <c r="S2" s="51">
        <f>SUMIF(C2:C5998,R2,J2:J5998)</f>
        <v>102600</v>
      </c>
      <c r="T2" s="51">
        <f>SUMIF(C2:C5998,R2,K2:K5998)</f>
        <v>102600</v>
      </c>
      <c r="U2" s="51">
        <f>SUMIF(C2:C5998,R2,L2:L5998)</f>
        <v>0</v>
      </c>
    </row>
    <row r="3">
      <c r="A3" s="43">
        <v>46034.0</v>
      </c>
      <c r="B3" s="44" t="s">
        <v>13</v>
      </c>
      <c r="C3" s="28" t="s">
        <v>14</v>
      </c>
      <c r="D3" s="44" t="s">
        <v>73</v>
      </c>
      <c r="E3" s="28" t="s">
        <v>74</v>
      </c>
      <c r="F3" s="44" t="s">
        <v>12</v>
      </c>
      <c r="G3" s="28">
        <v>78.0</v>
      </c>
      <c r="H3" s="22">
        <v>40.0</v>
      </c>
      <c r="I3" s="26">
        <v>20000.0</v>
      </c>
      <c r="J3" s="26">
        <v>800000.0</v>
      </c>
      <c r="K3" s="10">
        <v>800000.0</v>
      </c>
      <c r="L3" s="26">
        <v>0.0</v>
      </c>
      <c r="M3" s="6" t="s">
        <v>77</v>
      </c>
      <c r="N3" s="33">
        <v>38.0</v>
      </c>
      <c r="O3" s="26">
        <v>760000.0</v>
      </c>
    </row>
    <row r="4">
      <c r="A4" s="43">
        <v>46037.0</v>
      </c>
      <c r="B4" s="44" t="s">
        <v>10</v>
      </c>
      <c r="C4" s="28" t="s">
        <v>11</v>
      </c>
      <c r="D4" s="44" t="s">
        <v>73</v>
      </c>
      <c r="E4" s="44" t="s">
        <v>74</v>
      </c>
      <c r="F4" s="44" t="s">
        <v>15</v>
      </c>
      <c r="G4" s="28">
        <v>114.0</v>
      </c>
      <c r="H4" s="22">
        <v>50.0</v>
      </c>
      <c r="I4" s="26">
        <v>12300.0</v>
      </c>
      <c r="J4" s="26">
        <v>615000.0</v>
      </c>
      <c r="K4" s="10">
        <v>1000000.0</v>
      </c>
      <c r="L4" s="26">
        <v>385000.0</v>
      </c>
      <c r="M4" s="6" t="s">
        <v>77</v>
      </c>
      <c r="N4" s="28">
        <v>64.0</v>
      </c>
      <c r="O4" s="26">
        <v>787200.0</v>
      </c>
    </row>
    <row r="5">
      <c r="A5" s="52">
        <v>46042.0</v>
      </c>
      <c r="B5" s="44" t="s">
        <v>19</v>
      </c>
      <c r="C5" s="28" t="s">
        <v>20</v>
      </c>
      <c r="D5" s="28" t="s">
        <v>70</v>
      </c>
      <c r="E5" s="28" t="s">
        <v>77</v>
      </c>
      <c r="F5" s="28" t="s">
        <v>18</v>
      </c>
      <c r="G5" s="28">
        <v>160.0</v>
      </c>
      <c r="H5" s="22">
        <v>20.0</v>
      </c>
      <c r="I5" s="26">
        <v>14680.0</v>
      </c>
      <c r="J5" s="26">
        <v>293600.0</v>
      </c>
      <c r="K5" s="18"/>
      <c r="L5" s="26">
        <v>-293600.0</v>
      </c>
      <c r="M5" s="6" t="s">
        <v>77</v>
      </c>
      <c r="N5" s="28">
        <v>140.0</v>
      </c>
      <c r="O5" s="26">
        <v>2055200.0</v>
      </c>
    </row>
    <row r="6">
      <c r="A6" s="52">
        <v>46044.0</v>
      </c>
      <c r="B6" s="44" t="s">
        <v>22</v>
      </c>
      <c r="C6" s="28" t="s">
        <v>23</v>
      </c>
      <c r="D6" s="28" t="s">
        <v>73</v>
      </c>
      <c r="E6" s="28" t="s">
        <v>75</v>
      </c>
      <c r="F6" s="28" t="s">
        <v>21</v>
      </c>
      <c r="G6" s="28">
        <v>95.0</v>
      </c>
      <c r="H6" s="22">
        <v>35.0</v>
      </c>
      <c r="I6" s="26">
        <v>16530.0</v>
      </c>
      <c r="J6" s="26">
        <v>578550.0</v>
      </c>
      <c r="K6" s="10">
        <v>500000.0</v>
      </c>
      <c r="L6" s="26">
        <v>-78550.0</v>
      </c>
      <c r="M6" s="6" t="s">
        <v>77</v>
      </c>
      <c r="N6" s="28">
        <v>60.0</v>
      </c>
      <c r="O6" s="26">
        <v>991800.0</v>
      </c>
    </row>
    <row r="7">
      <c r="A7" s="52">
        <v>46044.0</v>
      </c>
      <c r="B7" s="28" t="s">
        <v>25</v>
      </c>
      <c r="C7" s="28" t="s">
        <v>26</v>
      </c>
      <c r="D7" s="28" t="s">
        <v>70</v>
      </c>
      <c r="E7" s="28" t="s">
        <v>77</v>
      </c>
      <c r="F7" s="28" t="s">
        <v>9</v>
      </c>
      <c r="G7" s="28">
        <v>110.0</v>
      </c>
      <c r="H7" s="22">
        <v>10.0</v>
      </c>
      <c r="I7" s="26">
        <v>10500.0</v>
      </c>
      <c r="J7" s="26">
        <v>105000.0</v>
      </c>
      <c r="K7" s="18"/>
      <c r="L7" s="26">
        <v>-105000.0</v>
      </c>
      <c r="M7" s="6" t="s">
        <v>77</v>
      </c>
      <c r="N7" s="28">
        <v>100.0</v>
      </c>
      <c r="O7" s="26">
        <v>1050000.0</v>
      </c>
    </row>
    <row r="8">
      <c r="A8" s="52">
        <v>46044.0</v>
      </c>
      <c r="B8" s="28" t="s">
        <v>16</v>
      </c>
      <c r="C8" s="28" t="s">
        <v>17</v>
      </c>
      <c r="D8" s="28" t="s">
        <v>73</v>
      </c>
      <c r="E8" s="28" t="s">
        <v>74</v>
      </c>
      <c r="F8" s="28" t="s">
        <v>36</v>
      </c>
      <c r="G8" s="28">
        <v>128.0</v>
      </c>
      <c r="H8" s="22">
        <v>40.0</v>
      </c>
      <c r="I8" s="26">
        <v>11950.0</v>
      </c>
      <c r="J8" s="26">
        <v>478000.0</v>
      </c>
      <c r="K8" s="10">
        <v>478000.0</v>
      </c>
      <c r="L8" s="26">
        <v>0.0</v>
      </c>
      <c r="M8" s="6" t="s">
        <v>77</v>
      </c>
      <c r="N8" s="28">
        <v>88.0</v>
      </c>
      <c r="O8" s="26">
        <v>1051600.0</v>
      </c>
      <c r="Q8" s="9" t="s">
        <v>85</v>
      </c>
      <c r="R8" s="53" t="s">
        <v>86</v>
      </c>
      <c r="S8" s="53" t="s">
        <v>87</v>
      </c>
      <c r="T8" s="53" t="s">
        <v>88</v>
      </c>
      <c r="U8" s="53" t="s">
        <v>89</v>
      </c>
    </row>
    <row r="9">
      <c r="A9" s="52">
        <v>46046.0</v>
      </c>
      <c r="B9" s="28" t="s">
        <v>10</v>
      </c>
      <c r="C9" s="28" t="s">
        <v>11</v>
      </c>
      <c r="D9" s="28" t="s">
        <v>73</v>
      </c>
      <c r="E9" s="28" t="s">
        <v>74</v>
      </c>
      <c r="F9" s="28" t="s">
        <v>24</v>
      </c>
      <c r="G9" s="28">
        <v>117.0</v>
      </c>
      <c r="H9" s="22">
        <v>32.0</v>
      </c>
      <c r="I9" s="26">
        <v>8200.0</v>
      </c>
      <c r="J9" s="26">
        <v>262400.0</v>
      </c>
      <c r="K9" s="10">
        <v>300000.0</v>
      </c>
      <c r="L9" s="26">
        <v>37600.0</v>
      </c>
      <c r="M9" s="6" t="s">
        <v>77</v>
      </c>
      <c r="N9" s="28">
        <v>85.0</v>
      </c>
      <c r="O9" s="26">
        <v>697000.0</v>
      </c>
      <c r="R9" s="22" t="s">
        <v>33</v>
      </c>
      <c r="S9" s="6">
        <f>SUMIF(Inventory!A2:A100,Admin!R9,Inventory!C2:C100)</f>
        <v>25</v>
      </c>
      <c r="T9" s="6">
        <f>SUMIF(F2:F100,R9,H2:H100)</f>
        <v>0</v>
      </c>
      <c r="U9" s="6">
        <f>S9-T9</f>
        <v>25</v>
      </c>
    </row>
    <row r="10">
      <c r="A10" s="52">
        <v>46047.0</v>
      </c>
      <c r="B10" s="28" t="s">
        <v>60</v>
      </c>
      <c r="C10" s="28" t="s">
        <v>61</v>
      </c>
      <c r="D10" s="28" t="s">
        <v>70</v>
      </c>
      <c r="E10" s="28" t="s">
        <v>77</v>
      </c>
      <c r="F10" s="28" t="s">
        <v>57</v>
      </c>
      <c r="G10" s="28">
        <v>96.0</v>
      </c>
      <c r="H10" s="22">
        <v>12.0</v>
      </c>
      <c r="I10" s="26">
        <v>6200.0</v>
      </c>
      <c r="J10" s="26">
        <v>74400.0</v>
      </c>
      <c r="K10" s="18"/>
      <c r="L10" s="26">
        <v>-74400.0</v>
      </c>
      <c r="M10" s="6" t="s">
        <v>77</v>
      </c>
      <c r="N10" s="28">
        <v>84.0</v>
      </c>
      <c r="O10" s="26">
        <v>520800.0</v>
      </c>
    </row>
    <row r="11">
      <c r="A11" s="52">
        <v>46048.0</v>
      </c>
      <c r="B11" s="28" t="s">
        <v>40</v>
      </c>
      <c r="C11" s="28" t="s">
        <v>41</v>
      </c>
      <c r="D11" s="28" t="s">
        <v>73</v>
      </c>
      <c r="E11" s="28" t="s">
        <v>75</v>
      </c>
      <c r="F11" s="28" t="s">
        <v>39</v>
      </c>
      <c r="G11" s="28">
        <v>70.0</v>
      </c>
      <c r="H11" s="22">
        <v>5.0</v>
      </c>
      <c r="I11" s="26">
        <v>4200.0</v>
      </c>
      <c r="J11" s="26">
        <v>21000.0</v>
      </c>
      <c r="K11" s="10">
        <v>21000.0</v>
      </c>
      <c r="L11" s="26">
        <v>0.0</v>
      </c>
      <c r="M11" s="6" t="s">
        <v>77</v>
      </c>
      <c r="N11" s="28">
        <v>65.0</v>
      </c>
      <c r="O11" s="26">
        <v>273000.0</v>
      </c>
    </row>
    <row r="12">
      <c r="A12" s="52">
        <v>46049.0</v>
      </c>
      <c r="B12" s="28" t="s">
        <v>40</v>
      </c>
      <c r="C12" s="28" t="s">
        <v>41</v>
      </c>
      <c r="D12" s="28" t="s">
        <v>73</v>
      </c>
      <c r="E12" s="28" t="s">
        <v>74</v>
      </c>
      <c r="F12" s="28" t="s">
        <v>30</v>
      </c>
      <c r="G12" s="28">
        <v>214.0</v>
      </c>
      <c r="H12" s="22">
        <v>12.0</v>
      </c>
      <c r="I12" s="26">
        <v>6800.0</v>
      </c>
      <c r="J12" s="26">
        <v>81600.0</v>
      </c>
      <c r="K12" s="10">
        <v>81600.0</v>
      </c>
      <c r="L12" s="26">
        <v>0.0</v>
      </c>
      <c r="M12" s="6" t="s">
        <v>77</v>
      </c>
      <c r="N12" s="28">
        <v>202.0</v>
      </c>
      <c r="O12" s="26">
        <v>1373600.0</v>
      </c>
    </row>
    <row r="13">
      <c r="A13" s="52" t="s">
        <v>77</v>
      </c>
      <c r="B13" s="28" t="s">
        <v>77</v>
      </c>
      <c r="C13" s="28" t="s">
        <v>77</v>
      </c>
      <c r="D13" s="28" t="s">
        <v>77</v>
      </c>
      <c r="E13" s="28" t="s">
        <v>77</v>
      </c>
      <c r="F13" s="28" t="s">
        <v>77</v>
      </c>
      <c r="G13" s="28" t="s">
        <v>77</v>
      </c>
      <c r="I13" s="26" t="s">
        <v>77</v>
      </c>
      <c r="J13" s="26" t="s">
        <v>77</v>
      </c>
      <c r="K13" s="18"/>
      <c r="L13" s="26" t="s">
        <v>77</v>
      </c>
      <c r="M13" s="6" t="s">
        <v>77</v>
      </c>
      <c r="N13" s="28" t="s">
        <v>77</v>
      </c>
      <c r="O13" s="26" t="s">
        <v>77</v>
      </c>
    </row>
    <row r="14">
      <c r="A14" s="52" t="s">
        <v>77</v>
      </c>
      <c r="B14" s="28" t="s">
        <v>77</v>
      </c>
      <c r="C14" s="28" t="s">
        <v>77</v>
      </c>
      <c r="D14" s="28" t="s">
        <v>77</v>
      </c>
      <c r="E14" s="28" t="s">
        <v>77</v>
      </c>
      <c r="F14" s="28" t="s">
        <v>77</v>
      </c>
      <c r="G14" s="28" t="s">
        <v>77</v>
      </c>
      <c r="I14" s="26" t="s">
        <v>77</v>
      </c>
      <c r="J14" s="26" t="s">
        <v>77</v>
      </c>
      <c r="K14" s="18"/>
      <c r="L14" s="26" t="s">
        <v>77</v>
      </c>
      <c r="M14" s="6" t="s">
        <v>77</v>
      </c>
      <c r="N14" s="28" t="s">
        <v>77</v>
      </c>
      <c r="O14" s="26" t="s">
        <v>77</v>
      </c>
    </row>
    <row r="15">
      <c r="A15" s="52" t="s">
        <v>77</v>
      </c>
      <c r="B15" s="28" t="s">
        <v>77</v>
      </c>
      <c r="C15" s="28" t="s">
        <v>77</v>
      </c>
      <c r="D15" s="28" t="s">
        <v>77</v>
      </c>
      <c r="E15" s="28" t="s">
        <v>77</v>
      </c>
      <c r="F15" s="28" t="s">
        <v>77</v>
      </c>
      <c r="G15" s="28" t="s">
        <v>77</v>
      </c>
      <c r="I15" s="26" t="s">
        <v>77</v>
      </c>
      <c r="J15" s="26" t="s">
        <v>77</v>
      </c>
      <c r="K15" s="18"/>
      <c r="L15" s="26" t="s">
        <v>77</v>
      </c>
      <c r="M15" s="6" t="s">
        <v>77</v>
      </c>
      <c r="N15" s="28" t="s">
        <v>77</v>
      </c>
      <c r="O15" s="26" t="s">
        <v>77</v>
      </c>
    </row>
    <row r="16">
      <c r="A16" s="52" t="s">
        <v>77</v>
      </c>
      <c r="B16" s="28" t="s">
        <v>77</v>
      </c>
      <c r="C16" s="28" t="s">
        <v>77</v>
      </c>
      <c r="D16" s="28" t="s">
        <v>77</v>
      </c>
      <c r="E16" s="28" t="s">
        <v>77</v>
      </c>
      <c r="F16" s="28" t="s">
        <v>77</v>
      </c>
      <c r="G16" s="28" t="s">
        <v>77</v>
      </c>
      <c r="I16" s="26" t="s">
        <v>77</v>
      </c>
      <c r="J16" s="26" t="s">
        <v>77</v>
      </c>
      <c r="K16" s="18"/>
      <c r="L16" s="26" t="s">
        <v>77</v>
      </c>
      <c r="M16" s="6" t="s">
        <v>77</v>
      </c>
      <c r="N16" s="28" t="s">
        <v>77</v>
      </c>
      <c r="O16" s="26" t="s">
        <v>77</v>
      </c>
    </row>
    <row r="17">
      <c r="A17" s="52" t="s">
        <v>77</v>
      </c>
      <c r="B17" s="28" t="s">
        <v>77</v>
      </c>
      <c r="C17" s="28" t="s">
        <v>77</v>
      </c>
      <c r="D17" s="28" t="s">
        <v>77</v>
      </c>
      <c r="E17" s="28" t="s">
        <v>77</v>
      </c>
      <c r="F17" s="28" t="s">
        <v>77</v>
      </c>
      <c r="G17" s="28" t="s">
        <v>77</v>
      </c>
      <c r="I17" s="26" t="s">
        <v>77</v>
      </c>
      <c r="J17" s="26" t="s">
        <v>77</v>
      </c>
      <c r="K17" s="18"/>
      <c r="L17" s="26" t="s">
        <v>77</v>
      </c>
      <c r="M17" s="6" t="s">
        <v>77</v>
      </c>
      <c r="N17" s="28" t="s">
        <v>77</v>
      </c>
      <c r="O17" s="26" t="s">
        <v>77</v>
      </c>
    </row>
    <row r="18">
      <c r="A18" s="52" t="s">
        <v>77</v>
      </c>
      <c r="B18" s="28" t="s">
        <v>77</v>
      </c>
      <c r="C18" s="28" t="s">
        <v>77</v>
      </c>
      <c r="D18" s="28" t="s">
        <v>77</v>
      </c>
      <c r="E18" s="28" t="s">
        <v>77</v>
      </c>
      <c r="F18" s="28" t="s">
        <v>77</v>
      </c>
      <c r="G18" s="28" t="s">
        <v>77</v>
      </c>
      <c r="I18" s="26" t="s">
        <v>77</v>
      </c>
      <c r="J18" s="26" t="s">
        <v>77</v>
      </c>
      <c r="K18" s="18"/>
      <c r="L18" s="26" t="s">
        <v>77</v>
      </c>
      <c r="M18" s="6" t="s">
        <v>77</v>
      </c>
      <c r="N18" s="28" t="s">
        <v>77</v>
      </c>
      <c r="O18" s="26" t="s">
        <v>77</v>
      </c>
    </row>
    <row r="19">
      <c r="A19" s="52" t="s">
        <v>77</v>
      </c>
      <c r="B19" s="28" t="s">
        <v>77</v>
      </c>
      <c r="C19" s="28" t="s">
        <v>77</v>
      </c>
      <c r="D19" s="28" t="s">
        <v>77</v>
      </c>
      <c r="E19" s="28" t="s">
        <v>77</v>
      </c>
      <c r="F19" s="28" t="s">
        <v>77</v>
      </c>
      <c r="G19" s="28" t="s">
        <v>77</v>
      </c>
      <c r="I19" s="26" t="s">
        <v>77</v>
      </c>
      <c r="J19" s="26" t="s">
        <v>77</v>
      </c>
      <c r="K19" s="18"/>
      <c r="L19" s="26" t="s">
        <v>77</v>
      </c>
      <c r="M19" s="6" t="s">
        <v>77</v>
      </c>
      <c r="N19" s="28" t="s">
        <v>77</v>
      </c>
      <c r="O19" s="26" t="s">
        <v>77</v>
      </c>
    </row>
    <row r="20">
      <c r="A20" s="52" t="s">
        <v>77</v>
      </c>
      <c r="B20" s="28" t="s">
        <v>77</v>
      </c>
      <c r="C20" s="28" t="s">
        <v>77</v>
      </c>
      <c r="D20" s="28" t="s">
        <v>77</v>
      </c>
      <c r="E20" s="28" t="s">
        <v>77</v>
      </c>
      <c r="F20" s="28" t="s">
        <v>77</v>
      </c>
      <c r="G20" s="28" t="s">
        <v>77</v>
      </c>
      <c r="I20" s="26" t="s">
        <v>77</v>
      </c>
      <c r="J20" s="26" t="s">
        <v>77</v>
      </c>
      <c r="K20" s="18"/>
      <c r="L20" s="26" t="s">
        <v>77</v>
      </c>
      <c r="M20" s="6" t="s">
        <v>77</v>
      </c>
      <c r="N20" s="28" t="s">
        <v>77</v>
      </c>
      <c r="O20" s="26" t="s">
        <v>77</v>
      </c>
    </row>
    <row r="21">
      <c r="A21" s="52" t="s">
        <v>77</v>
      </c>
      <c r="B21" s="28" t="s">
        <v>77</v>
      </c>
      <c r="C21" s="28" t="s">
        <v>77</v>
      </c>
      <c r="D21" s="28" t="s">
        <v>77</v>
      </c>
      <c r="E21" s="28" t="s">
        <v>77</v>
      </c>
      <c r="F21" s="28" t="s">
        <v>77</v>
      </c>
      <c r="G21" s="28" t="s">
        <v>77</v>
      </c>
      <c r="I21" s="26" t="s">
        <v>77</v>
      </c>
      <c r="J21" s="26" t="s">
        <v>77</v>
      </c>
      <c r="K21" s="18"/>
      <c r="L21" s="26" t="s">
        <v>77</v>
      </c>
      <c r="M21" s="6" t="s">
        <v>77</v>
      </c>
      <c r="N21" s="28" t="s">
        <v>77</v>
      </c>
      <c r="O21" s="26" t="s">
        <v>77</v>
      </c>
    </row>
    <row r="22">
      <c r="A22" s="52" t="s">
        <v>77</v>
      </c>
      <c r="B22" s="28" t="s">
        <v>77</v>
      </c>
      <c r="C22" s="28" t="s">
        <v>77</v>
      </c>
      <c r="D22" s="28" t="s">
        <v>77</v>
      </c>
      <c r="E22" s="28" t="s">
        <v>77</v>
      </c>
      <c r="F22" s="28" t="s">
        <v>77</v>
      </c>
      <c r="G22" s="28" t="s">
        <v>77</v>
      </c>
      <c r="I22" s="26" t="s">
        <v>77</v>
      </c>
      <c r="J22" s="26" t="s">
        <v>77</v>
      </c>
      <c r="K22" s="18"/>
      <c r="L22" s="26" t="s">
        <v>77</v>
      </c>
      <c r="M22" s="6" t="s">
        <v>77</v>
      </c>
      <c r="N22" s="28" t="s">
        <v>77</v>
      </c>
      <c r="O22" s="26" t="s">
        <v>77</v>
      </c>
    </row>
    <row r="23">
      <c r="A23" s="52" t="s">
        <v>77</v>
      </c>
      <c r="B23" s="28" t="s">
        <v>77</v>
      </c>
      <c r="C23" s="28" t="s">
        <v>77</v>
      </c>
      <c r="D23" s="28" t="s">
        <v>77</v>
      </c>
      <c r="E23" s="28" t="s">
        <v>77</v>
      </c>
      <c r="F23" s="28" t="s">
        <v>77</v>
      </c>
      <c r="G23" s="28" t="s">
        <v>77</v>
      </c>
      <c r="I23" s="26" t="s">
        <v>77</v>
      </c>
      <c r="J23" s="26" t="s">
        <v>77</v>
      </c>
      <c r="K23" s="18"/>
      <c r="L23" s="26" t="s">
        <v>77</v>
      </c>
      <c r="M23" s="6" t="s">
        <v>77</v>
      </c>
      <c r="N23" s="28" t="s">
        <v>77</v>
      </c>
      <c r="O23" s="26" t="s">
        <v>77</v>
      </c>
    </row>
    <row r="24">
      <c r="A24" s="52" t="s">
        <v>77</v>
      </c>
      <c r="B24" s="28" t="s">
        <v>77</v>
      </c>
      <c r="C24" s="28" t="s">
        <v>77</v>
      </c>
      <c r="D24" s="28" t="s">
        <v>77</v>
      </c>
      <c r="E24" s="28" t="s">
        <v>77</v>
      </c>
      <c r="F24" s="28" t="s">
        <v>77</v>
      </c>
      <c r="G24" s="28" t="s">
        <v>77</v>
      </c>
      <c r="I24" s="26" t="s">
        <v>77</v>
      </c>
      <c r="J24" s="26" t="s">
        <v>77</v>
      </c>
      <c r="K24" s="18"/>
      <c r="L24" s="26" t="s">
        <v>77</v>
      </c>
      <c r="M24" s="6" t="s">
        <v>77</v>
      </c>
      <c r="N24" s="28" t="s">
        <v>77</v>
      </c>
      <c r="O24" s="26" t="s">
        <v>77</v>
      </c>
    </row>
    <row r="25">
      <c r="A25" s="52" t="s">
        <v>77</v>
      </c>
      <c r="B25" s="28" t="s">
        <v>77</v>
      </c>
      <c r="C25" s="28" t="s">
        <v>77</v>
      </c>
      <c r="D25" s="28" t="s">
        <v>77</v>
      </c>
      <c r="E25" s="28" t="s">
        <v>77</v>
      </c>
      <c r="F25" s="28" t="s">
        <v>77</v>
      </c>
      <c r="G25" s="28" t="s">
        <v>77</v>
      </c>
      <c r="I25" s="26" t="s">
        <v>77</v>
      </c>
      <c r="J25" s="26" t="s">
        <v>77</v>
      </c>
      <c r="K25" s="18"/>
      <c r="L25" s="26" t="s">
        <v>77</v>
      </c>
      <c r="M25" s="6" t="s">
        <v>77</v>
      </c>
      <c r="N25" s="28" t="s">
        <v>77</v>
      </c>
      <c r="O25" s="26" t="s">
        <v>77</v>
      </c>
    </row>
    <row r="26">
      <c r="A26" s="52" t="s">
        <v>77</v>
      </c>
      <c r="B26" s="28" t="s">
        <v>77</v>
      </c>
      <c r="C26" s="28" t="s">
        <v>77</v>
      </c>
      <c r="D26" s="28" t="s">
        <v>77</v>
      </c>
      <c r="E26" s="28" t="s">
        <v>77</v>
      </c>
      <c r="F26" s="28" t="s">
        <v>77</v>
      </c>
      <c r="G26" s="28" t="s">
        <v>77</v>
      </c>
      <c r="I26" s="26" t="s">
        <v>77</v>
      </c>
      <c r="J26" s="26" t="s">
        <v>77</v>
      </c>
      <c r="K26" s="18"/>
      <c r="L26" s="26" t="s">
        <v>77</v>
      </c>
      <c r="M26" s="6" t="s">
        <v>77</v>
      </c>
      <c r="N26" s="28" t="s">
        <v>77</v>
      </c>
      <c r="O26" s="26" t="s">
        <v>77</v>
      </c>
    </row>
    <row r="27">
      <c r="A27" s="52" t="s">
        <v>77</v>
      </c>
      <c r="B27" s="28" t="s">
        <v>77</v>
      </c>
      <c r="C27" s="28" t="s">
        <v>77</v>
      </c>
      <c r="D27" s="28" t="s">
        <v>77</v>
      </c>
      <c r="E27" s="28" t="s">
        <v>77</v>
      </c>
      <c r="F27" s="28" t="s">
        <v>77</v>
      </c>
      <c r="G27" s="28" t="s">
        <v>77</v>
      </c>
      <c r="I27" s="26" t="s">
        <v>77</v>
      </c>
      <c r="J27" s="26" t="s">
        <v>77</v>
      </c>
      <c r="K27" s="18"/>
      <c r="L27" s="26" t="s">
        <v>77</v>
      </c>
      <c r="M27" s="6" t="s">
        <v>77</v>
      </c>
      <c r="N27" s="28" t="s">
        <v>77</v>
      </c>
      <c r="O27" s="26" t="s">
        <v>77</v>
      </c>
    </row>
    <row r="28">
      <c r="A28" s="52" t="s">
        <v>77</v>
      </c>
      <c r="B28" s="28" t="s">
        <v>77</v>
      </c>
      <c r="C28" s="28" t="s">
        <v>77</v>
      </c>
      <c r="D28" s="28" t="s">
        <v>77</v>
      </c>
      <c r="E28" s="28" t="s">
        <v>77</v>
      </c>
      <c r="F28" s="28" t="s">
        <v>77</v>
      </c>
      <c r="G28" s="28" t="s">
        <v>77</v>
      </c>
      <c r="I28" s="26" t="s">
        <v>77</v>
      </c>
      <c r="J28" s="26" t="s">
        <v>77</v>
      </c>
      <c r="K28" s="18"/>
      <c r="L28" s="26" t="s">
        <v>77</v>
      </c>
      <c r="M28" s="6" t="s">
        <v>77</v>
      </c>
      <c r="N28" s="28" t="s">
        <v>77</v>
      </c>
      <c r="O28" s="26" t="s">
        <v>77</v>
      </c>
    </row>
    <row r="29">
      <c r="A29" s="52" t="s">
        <v>77</v>
      </c>
      <c r="B29" s="28" t="s">
        <v>77</v>
      </c>
      <c r="C29" s="28" t="s">
        <v>77</v>
      </c>
      <c r="D29" s="28" t="s">
        <v>77</v>
      </c>
      <c r="E29" s="28" t="s">
        <v>77</v>
      </c>
      <c r="F29" s="28" t="s">
        <v>77</v>
      </c>
      <c r="G29" s="28" t="s">
        <v>77</v>
      </c>
      <c r="I29" s="26" t="s">
        <v>77</v>
      </c>
      <c r="J29" s="26" t="s">
        <v>77</v>
      </c>
      <c r="K29" s="18"/>
      <c r="L29" s="26" t="s">
        <v>77</v>
      </c>
      <c r="M29" s="6" t="s">
        <v>77</v>
      </c>
      <c r="N29" s="28" t="s">
        <v>77</v>
      </c>
      <c r="O29" s="26" t="s">
        <v>77</v>
      </c>
    </row>
    <row r="30">
      <c r="A30" s="52" t="s">
        <v>77</v>
      </c>
      <c r="B30" s="28" t="s">
        <v>77</v>
      </c>
      <c r="C30" s="28" t="s">
        <v>77</v>
      </c>
      <c r="D30" s="28" t="s">
        <v>77</v>
      </c>
      <c r="E30" s="28" t="s">
        <v>77</v>
      </c>
      <c r="F30" s="28" t="s">
        <v>77</v>
      </c>
      <c r="G30" s="28" t="s">
        <v>77</v>
      </c>
      <c r="I30" s="26" t="s">
        <v>77</v>
      </c>
      <c r="J30" s="26" t="s">
        <v>77</v>
      </c>
      <c r="K30" s="18"/>
      <c r="L30" s="26" t="s">
        <v>77</v>
      </c>
      <c r="M30" s="6" t="s">
        <v>77</v>
      </c>
      <c r="N30" s="28" t="s">
        <v>77</v>
      </c>
      <c r="O30" s="26" t="s">
        <v>77</v>
      </c>
    </row>
    <row r="31">
      <c r="A31" s="52" t="s">
        <v>77</v>
      </c>
      <c r="B31" s="28" t="s">
        <v>77</v>
      </c>
      <c r="C31" s="28" t="s">
        <v>77</v>
      </c>
      <c r="D31" s="28" t="s">
        <v>77</v>
      </c>
      <c r="E31" s="28" t="s">
        <v>77</v>
      </c>
      <c r="F31" s="28" t="s">
        <v>77</v>
      </c>
      <c r="G31" s="28" t="s">
        <v>77</v>
      </c>
      <c r="I31" s="26" t="s">
        <v>77</v>
      </c>
      <c r="J31" s="26" t="s">
        <v>77</v>
      </c>
      <c r="K31" s="18"/>
      <c r="L31" s="26" t="s">
        <v>77</v>
      </c>
      <c r="M31" s="6" t="s">
        <v>77</v>
      </c>
      <c r="N31" s="28" t="s">
        <v>77</v>
      </c>
      <c r="O31" s="26" t="s">
        <v>77</v>
      </c>
    </row>
    <row r="32">
      <c r="A32" s="52" t="s">
        <v>77</v>
      </c>
      <c r="B32" s="28" t="s">
        <v>77</v>
      </c>
      <c r="C32" s="28" t="s">
        <v>77</v>
      </c>
      <c r="D32" s="28" t="s">
        <v>77</v>
      </c>
      <c r="E32" s="28" t="s">
        <v>77</v>
      </c>
      <c r="F32" s="28" t="s">
        <v>77</v>
      </c>
      <c r="G32" s="28" t="s">
        <v>77</v>
      </c>
      <c r="I32" s="26" t="s">
        <v>77</v>
      </c>
      <c r="J32" s="26" t="s">
        <v>77</v>
      </c>
      <c r="K32" s="18"/>
      <c r="L32" s="26" t="s">
        <v>77</v>
      </c>
      <c r="M32" s="6" t="s">
        <v>77</v>
      </c>
      <c r="N32" s="28" t="s">
        <v>77</v>
      </c>
      <c r="O32" s="26" t="s">
        <v>77</v>
      </c>
    </row>
    <row r="33">
      <c r="A33" s="52" t="s">
        <v>77</v>
      </c>
      <c r="B33" s="28" t="s">
        <v>77</v>
      </c>
      <c r="C33" s="28" t="s">
        <v>77</v>
      </c>
      <c r="D33" s="28" t="s">
        <v>77</v>
      </c>
      <c r="E33" s="28" t="s">
        <v>77</v>
      </c>
      <c r="F33" s="28" t="s">
        <v>77</v>
      </c>
      <c r="G33" s="28" t="s">
        <v>77</v>
      </c>
      <c r="I33" s="26" t="s">
        <v>77</v>
      </c>
      <c r="J33" s="26" t="s">
        <v>77</v>
      </c>
      <c r="K33" s="18"/>
      <c r="L33" s="26" t="s">
        <v>77</v>
      </c>
      <c r="M33" s="6" t="s">
        <v>77</v>
      </c>
      <c r="N33" s="28" t="s">
        <v>77</v>
      </c>
      <c r="O33" s="26" t="s">
        <v>77</v>
      </c>
    </row>
    <row r="34">
      <c r="A34" s="52" t="s">
        <v>77</v>
      </c>
      <c r="B34" s="28" t="s">
        <v>77</v>
      </c>
      <c r="C34" s="28" t="s">
        <v>77</v>
      </c>
      <c r="D34" s="28" t="s">
        <v>77</v>
      </c>
      <c r="E34" s="28" t="s">
        <v>77</v>
      </c>
      <c r="F34" s="28" t="s">
        <v>77</v>
      </c>
      <c r="G34" s="28" t="s">
        <v>77</v>
      </c>
      <c r="I34" s="26" t="s">
        <v>77</v>
      </c>
      <c r="J34" s="26" t="s">
        <v>77</v>
      </c>
      <c r="K34" s="18"/>
      <c r="L34" s="26" t="s">
        <v>77</v>
      </c>
      <c r="M34" s="6" t="s">
        <v>77</v>
      </c>
      <c r="N34" s="28" t="s">
        <v>77</v>
      </c>
      <c r="O34" s="26" t="s">
        <v>77</v>
      </c>
    </row>
    <row r="35">
      <c r="A35" s="52" t="s">
        <v>77</v>
      </c>
      <c r="B35" s="28" t="s">
        <v>77</v>
      </c>
      <c r="C35" s="28" t="s">
        <v>77</v>
      </c>
      <c r="D35" s="28" t="s">
        <v>77</v>
      </c>
      <c r="E35" s="28" t="s">
        <v>77</v>
      </c>
      <c r="F35" s="28" t="s">
        <v>77</v>
      </c>
      <c r="G35" s="28" t="s">
        <v>77</v>
      </c>
      <c r="I35" s="26" t="s">
        <v>77</v>
      </c>
      <c r="J35" s="26" t="s">
        <v>77</v>
      </c>
      <c r="K35" s="18"/>
      <c r="L35" s="26" t="s">
        <v>77</v>
      </c>
      <c r="M35" s="6" t="s">
        <v>77</v>
      </c>
      <c r="N35" s="28" t="s">
        <v>77</v>
      </c>
      <c r="O35" s="26" t="s">
        <v>77</v>
      </c>
    </row>
    <row r="36">
      <c r="A36" s="52" t="s">
        <v>77</v>
      </c>
      <c r="B36" s="28" t="s">
        <v>77</v>
      </c>
      <c r="C36" s="28" t="s">
        <v>77</v>
      </c>
      <c r="D36" s="28" t="s">
        <v>77</v>
      </c>
      <c r="E36" s="28" t="s">
        <v>77</v>
      </c>
      <c r="F36" s="28" t="s">
        <v>77</v>
      </c>
      <c r="G36" s="28" t="s">
        <v>77</v>
      </c>
      <c r="I36" s="26" t="s">
        <v>77</v>
      </c>
      <c r="J36" s="26" t="s">
        <v>77</v>
      </c>
      <c r="K36" s="18"/>
      <c r="L36" s="26" t="s">
        <v>77</v>
      </c>
      <c r="M36" s="6" t="s">
        <v>77</v>
      </c>
      <c r="N36" s="28" t="s">
        <v>77</v>
      </c>
      <c r="O36" s="26" t="s">
        <v>77</v>
      </c>
    </row>
    <row r="37">
      <c r="A37" s="52" t="s">
        <v>77</v>
      </c>
      <c r="B37" s="28" t="s">
        <v>77</v>
      </c>
      <c r="C37" s="28" t="s">
        <v>77</v>
      </c>
      <c r="D37" s="28" t="s">
        <v>77</v>
      </c>
      <c r="E37" s="28" t="s">
        <v>77</v>
      </c>
      <c r="F37" s="28" t="s">
        <v>77</v>
      </c>
      <c r="G37" s="28" t="s">
        <v>77</v>
      </c>
      <c r="I37" s="26" t="s">
        <v>77</v>
      </c>
      <c r="J37" s="26" t="s">
        <v>77</v>
      </c>
      <c r="K37" s="18"/>
      <c r="L37" s="26" t="s">
        <v>77</v>
      </c>
      <c r="M37" s="6" t="s">
        <v>77</v>
      </c>
      <c r="N37" s="28" t="s">
        <v>77</v>
      </c>
      <c r="O37" s="26" t="s">
        <v>77</v>
      </c>
    </row>
    <row r="38">
      <c r="A38" s="52" t="s">
        <v>77</v>
      </c>
      <c r="B38" s="28" t="s">
        <v>77</v>
      </c>
      <c r="C38" s="28" t="s">
        <v>77</v>
      </c>
      <c r="D38" s="28" t="s">
        <v>77</v>
      </c>
      <c r="E38" s="28" t="s">
        <v>77</v>
      </c>
      <c r="F38" s="28" t="s">
        <v>77</v>
      </c>
      <c r="G38" s="28" t="s">
        <v>77</v>
      </c>
      <c r="I38" s="26" t="s">
        <v>77</v>
      </c>
      <c r="J38" s="26" t="s">
        <v>77</v>
      </c>
      <c r="K38" s="18"/>
      <c r="L38" s="26" t="s">
        <v>77</v>
      </c>
      <c r="M38" s="6" t="s">
        <v>77</v>
      </c>
      <c r="N38" s="28" t="s">
        <v>77</v>
      </c>
      <c r="O38" s="26" t="s">
        <v>77</v>
      </c>
    </row>
    <row r="39">
      <c r="A39" s="52" t="s">
        <v>77</v>
      </c>
      <c r="B39" s="28" t="s">
        <v>77</v>
      </c>
      <c r="C39" s="28" t="s">
        <v>77</v>
      </c>
      <c r="D39" s="28" t="s">
        <v>77</v>
      </c>
      <c r="E39" s="28" t="s">
        <v>77</v>
      </c>
      <c r="F39" s="28" t="s">
        <v>77</v>
      </c>
      <c r="G39" s="28" t="s">
        <v>77</v>
      </c>
      <c r="I39" s="26" t="s">
        <v>77</v>
      </c>
      <c r="J39" s="26" t="s">
        <v>77</v>
      </c>
      <c r="K39" s="18"/>
      <c r="L39" s="26" t="s">
        <v>77</v>
      </c>
      <c r="M39" s="6" t="s">
        <v>77</v>
      </c>
      <c r="N39" s="28" t="s">
        <v>77</v>
      </c>
      <c r="O39" s="26" t="s">
        <v>77</v>
      </c>
    </row>
    <row r="40">
      <c r="A40" s="52" t="s">
        <v>77</v>
      </c>
      <c r="B40" s="28" t="s">
        <v>77</v>
      </c>
      <c r="C40" s="28" t="s">
        <v>77</v>
      </c>
      <c r="D40" s="28" t="s">
        <v>77</v>
      </c>
      <c r="E40" s="28" t="s">
        <v>77</v>
      </c>
      <c r="F40" s="28" t="s">
        <v>77</v>
      </c>
      <c r="G40" s="28" t="s">
        <v>77</v>
      </c>
      <c r="I40" s="26" t="s">
        <v>77</v>
      </c>
      <c r="J40" s="26" t="s">
        <v>77</v>
      </c>
      <c r="K40" s="18"/>
      <c r="L40" s="26" t="s">
        <v>77</v>
      </c>
      <c r="M40" s="6" t="s">
        <v>77</v>
      </c>
      <c r="N40" s="28" t="s">
        <v>77</v>
      </c>
      <c r="O40" s="26" t="s">
        <v>77</v>
      </c>
    </row>
    <row r="41">
      <c r="A41" s="52" t="s">
        <v>77</v>
      </c>
      <c r="B41" s="28" t="s">
        <v>77</v>
      </c>
      <c r="C41" s="28" t="s">
        <v>77</v>
      </c>
      <c r="D41" s="28" t="s">
        <v>77</v>
      </c>
      <c r="E41" s="28" t="s">
        <v>77</v>
      </c>
      <c r="F41" s="28" t="s">
        <v>77</v>
      </c>
      <c r="G41" s="28" t="s">
        <v>77</v>
      </c>
      <c r="I41" s="26" t="s">
        <v>77</v>
      </c>
      <c r="J41" s="26" t="s">
        <v>77</v>
      </c>
      <c r="K41" s="18"/>
      <c r="L41" s="26" t="s">
        <v>77</v>
      </c>
      <c r="M41" s="6" t="s">
        <v>77</v>
      </c>
      <c r="N41" s="28" t="s">
        <v>77</v>
      </c>
      <c r="O41" s="26" t="s">
        <v>77</v>
      </c>
    </row>
    <row r="42">
      <c r="A42" s="52" t="s">
        <v>77</v>
      </c>
      <c r="B42" s="28" t="s">
        <v>77</v>
      </c>
      <c r="C42" s="28" t="s">
        <v>77</v>
      </c>
      <c r="D42" s="28" t="s">
        <v>77</v>
      </c>
      <c r="E42" s="28" t="s">
        <v>77</v>
      </c>
      <c r="F42" s="28" t="s">
        <v>77</v>
      </c>
      <c r="G42" s="28" t="s">
        <v>77</v>
      </c>
      <c r="I42" s="26" t="s">
        <v>77</v>
      </c>
      <c r="J42" s="26" t="s">
        <v>77</v>
      </c>
      <c r="K42" s="18"/>
      <c r="L42" s="26" t="s">
        <v>77</v>
      </c>
      <c r="M42" s="6" t="s">
        <v>77</v>
      </c>
      <c r="N42" s="28" t="s">
        <v>77</v>
      </c>
      <c r="O42" s="26" t="s">
        <v>77</v>
      </c>
    </row>
    <row r="43">
      <c r="A43" s="52" t="s">
        <v>77</v>
      </c>
      <c r="B43" s="28" t="s">
        <v>77</v>
      </c>
      <c r="C43" s="28" t="s">
        <v>77</v>
      </c>
      <c r="D43" s="28" t="s">
        <v>77</v>
      </c>
      <c r="E43" s="28" t="s">
        <v>77</v>
      </c>
      <c r="F43" s="28" t="s">
        <v>77</v>
      </c>
      <c r="G43" s="28" t="s">
        <v>77</v>
      </c>
      <c r="I43" s="26" t="s">
        <v>77</v>
      </c>
      <c r="J43" s="26" t="s">
        <v>77</v>
      </c>
      <c r="K43" s="18"/>
      <c r="L43" s="26" t="s">
        <v>77</v>
      </c>
      <c r="M43" s="6" t="s">
        <v>77</v>
      </c>
      <c r="N43" s="28" t="s">
        <v>77</v>
      </c>
      <c r="O43" s="26" t="s">
        <v>77</v>
      </c>
    </row>
    <row r="44">
      <c r="A44" s="52" t="s">
        <v>77</v>
      </c>
      <c r="B44" s="28" t="s">
        <v>77</v>
      </c>
      <c r="C44" s="28" t="s">
        <v>77</v>
      </c>
      <c r="D44" s="28" t="s">
        <v>77</v>
      </c>
      <c r="E44" s="28" t="s">
        <v>77</v>
      </c>
      <c r="F44" s="28" t="s">
        <v>77</v>
      </c>
      <c r="G44" s="28" t="s">
        <v>77</v>
      </c>
      <c r="I44" s="26" t="s">
        <v>77</v>
      </c>
      <c r="J44" s="26" t="s">
        <v>77</v>
      </c>
      <c r="K44" s="18"/>
      <c r="L44" s="26" t="s">
        <v>77</v>
      </c>
      <c r="M44" s="6" t="s">
        <v>77</v>
      </c>
      <c r="N44" s="28" t="s">
        <v>77</v>
      </c>
      <c r="O44" s="26" t="s">
        <v>77</v>
      </c>
    </row>
    <row r="45">
      <c r="A45" s="52" t="s">
        <v>77</v>
      </c>
      <c r="B45" s="28" t="s">
        <v>77</v>
      </c>
      <c r="C45" s="28" t="s">
        <v>77</v>
      </c>
      <c r="D45" s="28" t="s">
        <v>77</v>
      </c>
      <c r="E45" s="28" t="s">
        <v>77</v>
      </c>
      <c r="F45" s="28" t="s">
        <v>77</v>
      </c>
      <c r="G45" s="28" t="s">
        <v>77</v>
      </c>
      <c r="I45" s="26" t="s">
        <v>77</v>
      </c>
      <c r="J45" s="26" t="s">
        <v>77</v>
      </c>
      <c r="K45" s="18"/>
      <c r="L45" s="26" t="s">
        <v>77</v>
      </c>
      <c r="M45" s="6" t="s">
        <v>77</v>
      </c>
      <c r="N45" s="28" t="s">
        <v>77</v>
      </c>
      <c r="O45" s="26" t="s">
        <v>77</v>
      </c>
    </row>
    <row r="46">
      <c r="A46" s="52" t="s">
        <v>77</v>
      </c>
      <c r="B46" s="28" t="s">
        <v>77</v>
      </c>
      <c r="C46" s="28" t="s">
        <v>77</v>
      </c>
      <c r="D46" s="28" t="s">
        <v>77</v>
      </c>
      <c r="E46" s="28" t="s">
        <v>77</v>
      </c>
      <c r="F46" s="28" t="s">
        <v>77</v>
      </c>
      <c r="G46" s="28" t="s">
        <v>77</v>
      </c>
      <c r="I46" s="26" t="s">
        <v>77</v>
      </c>
      <c r="J46" s="26" t="s">
        <v>77</v>
      </c>
      <c r="K46" s="18"/>
      <c r="L46" s="26" t="s">
        <v>77</v>
      </c>
      <c r="M46" s="6" t="s">
        <v>77</v>
      </c>
      <c r="N46" s="28" t="s">
        <v>77</v>
      </c>
      <c r="O46" s="26" t="s">
        <v>77</v>
      </c>
    </row>
    <row r="47">
      <c r="A47" s="52" t="s">
        <v>77</v>
      </c>
      <c r="B47" s="28" t="s">
        <v>77</v>
      </c>
      <c r="C47" s="28" t="s">
        <v>77</v>
      </c>
      <c r="D47" s="28" t="s">
        <v>77</v>
      </c>
      <c r="E47" s="28" t="s">
        <v>77</v>
      </c>
      <c r="F47" s="28" t="s">
        <v>77</v>
      </c>
      <c r="G47" s="28" t="s">
        <v>77</v>
      </c>
      <c r="I47" s="26" t="s">
        <v>77</v>
      </c>
      <c r="J47" s="26" t="s">
        <v>77</v>
      </c>
      <c r="K47" s="18"/>
      <c r="L47" s="26" t="s">
        <v>77</v>
      </c>
      <c r="M47" s="6" t="s">
        <v>77</v>
      </c>
      <c r="N47" s="28" t="s">
        <v>77</v>
      </c>
      <c r="O47" s="26" t="s">
        <v>77</v>
      </c>
    </row>
    <row r="48">
      <c r="A48" s="52" t="s">
        <v>77</v>
      </c>
      <c r="B48" s="28" t="s">
        <v>77</v>
      </c>
      <c r="C48" s="28" t="s">
        <v>77</v>
      </c>
      <c r="D48" s="28" t="s">
        <v>77</v>
      </c>
      <c r="E48" s="28" t="s">
        <v>77</v>
      </c>
      <c r="F48" s="28" t="s">
        <v>77</v>
      </c>
      <c r="G48" s="28" t="s">
        <v>77</v>
      </c>
      <c r="I48" s="26" t="s">
        <v>77</v>
      </c>
      <c r="J48" s="26" t="s">
        <v>77</v>
      </c>
      <c r="K48" s="18"/>
      <c r="L48" s="26" t="s">
        <v>77</v>
      </c>
      <c r="M48" s="6" t="s">
        <v>77</v>
      </c>
      <c r="N48" s="28" t="s">
        <v>77</v>
      </c>
      <c r="O48" s="26" t="s">
        <v>77</v>
      </c>
    </row>
    <row r="49">
      <c r="A49" s="52" t="s">
        <v>77</v>
      </c>
      <c r="B49" s="28" t="s">
        <v>77</v>
      </c>
      <c r="C49" s="28" t="s">
        <v>77</v>
      </c>
      <c r="D49" s="28" t="s">
        <v>77</v>
      </c>
      <c r="E49" s="28" t="s">
        <v>77</v>
      </c>
      <c r="F49" s="28" t="s">
        <v>77</v>
      </c>
      <c r="G49" s="28" t="s">
        <v>77</v>
      </c>
      <c r="I49" s="26" t="s">
        <v>77</v>
      </c>
      <c r="J49" s="26" t="s">
        <v>77</v>
      </c>
      <c r="K49" s="18"/>
      <c r="L49" s="26" t="s">
        <v>77</v>
      </c>
      <c r="M49" s="6" t="s">
        <v>77</v>
      </c>
      <c r="N49" s="28" t="s">
        <v>77</v>
      </c>
      <c r="O49" s="26" t="s">
        <v>77</v>
      </c>
    </row>
    <row r="50">
      <c r="A50" s="52" t="s">
        <v>77</v>
      </c>
      <c r="B50" s="28" t="s">
        <v>77</v>
      </c>
      <c r="C50" s="28" t="s">
        <v>77</v>
      </c>
      <c r="D50" s="28" t="s">
        <v>77</v>
      </c>
      <c r="E50" s="28" t="s">
        <v>77</v>
      </c>
      <c r="F50" s="28" t="s">
        <v>77</v>
      </c>
      <c r="G50" s="28" t="s">
        <v>77</v>
      </c>
      <c r="I50" s="26" t="s">
        <v>77</v>
      </c>
      <c r="J50" s="26" t="s">
        <v>77</v>
      </c>
      <c r="K50" s="18"/>
      <c r="L50" s="26" t="s">
        <v>77</v>
      </c>
      <c r="M50" s="6" t="s">
        <v>77</v>
      </c>
      <c r="N50" s="28" t="s">
        <v>77</v>
      </c>
      <c r="O50" s="26" t="s">
        <v>77</v>
      </c>
    </row>
    <row r="51">
      <c r="A51" s="52" t="s">
        <v>77</v>
      </c>
      <c r="B51" s="28" t="s">
        <v>77</v>
      </c>
      <c r="C51" s="28" t="s">
        <v>77</v>
      </c>
      <c r="D51" s="28" t="s">
        <v>77</v>
      </c>
      <c r="E51" s="28" t="s">
        <v>77</v>
      </c>
      <c r="F51" s="28" t="s">
        <v>77</v>
      </c>
      <c r="G51" s="28" t="s">
        <v>77</v>
      </c>
      <c r="I51" s="26" t="s">
        <v>77</v>
      </c>
      <c r="J51" s="26" t="s">
        <v>77</v>
      </c>
      <c r="K51" s="18"/>
      <c r="L51" s="26" t="s">
        <v>77</v>
      </c>
      <c r="M51" s="6" t="s">
        <v>77</v>
      </c>
      <c r="N51" s="28" t="s">
        <v>77</v>
      </c>
      <c r="O51" s="26" t="s">
        <v>77</v>
      </c>
    </row>
    <row r="52">
      <c r="A52" s="52" t="s">
        <v>77</v>
      </c>
      <c r="B52" s="28" t="s">
        <v>77</v>
      </c>
      <c r="C52" s="28" t="s">
        <v>77</v>
      </c>
      <c r="D52" s="28" t="s">
        <v>77</v>
      </c>
      <c r="E52" s="28" t="s">
        <v>77</v>
      </c>
      <c r="F52" s="28" t="s">
        <v>77</v>
      </c>
      <c r="G52" s="28" t="s">
        <v>77</v>
      </c>
      <c r="I52" s="26" t="s">
        <v>77</v>
      </c>
      <c r="J52" s="26" t="s">
        <v>77</v>
      </c>
      <c r="K52" s="18"/>
      <c r="L52" s="26" t="s">
        <v>77</v>
      </c>
      <c r="M52" s="6" t="s">
        <v>77</v>
      </c>
      <c r="N52" s="28" t="s">
        <v>77</v>
      </c>
      <c r="O52" s="26" t="s">
        <v>77</v>
      </c>
    </row>
    <row r="53">
      <c r="A53" s="52" t="s">
        <v>77</v>
      </c>
      <c r="B53" s="28" t="s">
        <v>77</v>
      </c>
      <c r="C53" s="28" t="s">
        <v>77</v>
      </c>
      <c r="D53" s="28" t="s">
        <v>77</v>
      </c>
      <c r="E53" s="28" t="s">
        <v>77</v>
      </c>
      <c r="F53" s="28" t="s">
        <v>77</v>
      </c>
      <c r="G53" s="28" t="s">
        <v>77</v>
      </c>
      <c r="I53" s="26" t="s">
        <v>77</v>
      </c>
      <c r="J53" s="26" t="s">
        <v>77</v>
      </c>
      <c r="K53" s="18"/>
      <c r="L53" s="26" t="s">
        <v>77</v>
      </c>
      <c r="M53" s="6" t="s">
        <v>77</v>
      </c>
      <c r="N53" s="28" t="s">
        <v>77</v>
      </c>
      <c r="O53" s="26" t="s">
        <v>77</v>
      </c>
    </row>
    <row r="54">
      <c r="A54" s="52" t="s">
        <v>77</v>
      </c>
      <c r="B54" s="28" t="s">
        <v>77</v>
      </c>
      <c r="C54" s="28" t="s">
        <v>77</v>
      </c>
      <c r="D54" s="28" t="s">
        <v>77</v>
      </c>
      <c r="E54" s="28" t="s">
        <v>77</v>
      </c>
      <c r="F54" s="28" t="s">
        <v>77</v>
      </c>
      <c r="G54" s="28" t="s">
        <v>77</v>
      </c>
      <c r="I54" s="26" t="s">
        <v>77</v>
      </c>
      <c r="J54" s="26" t="s">
        <v>77</v>
      </c>
      <c r="K54" s="18"/>
      <c r="L54" s="26" t="s">
        <v>77</v>
      </c>
      <c r="M54" s="6" t="s">
        <v>77</v>
      </c>
      <c r="N54" s="28" t="s">
        <v>77</v>
      </c>
      <c r="O54" s="26" t="s">
        <v>77</v>
      </c>
    </row>
    <row r="55">
      <c r="A55" s="52" t="s">
        <v>77</v>
      </c>
      <c r="B55" s="28" t="s">
        <v>77</v>
      </c>
      <c r="C55" s="28" t="s">
        <v>77</v>
      </c>
      <c r="D55" s="28" t="s">
        <v>77</v>
      </c>
      <c r="E55" s="28" t="s">
        <v>77</v>
      </c>
      <c r="F55" s="28" t="s">
        <v>77</v>
      </c>
      <c r="G55" s="28" t="s">
        <v>77</v>
      </c>
      <c r="I55" s="26" t="s">
        <v>77</v>
      </c>
      <c r="J55" s="26" t="s">
        <v>77</v>
      </c>
      <c r="K55" s="18"/>
      <c r="L55" s="26" t="s">
        <v>77</v>
      </c>
      <c r="M55" s="6" t="s">
        <v>77</v>
      </c>
      <c r="N55" s="28" t="s">
        <v>77</v>
      </c>
      <c r="O55" s="26" t="s">
        <v>77</v>
      </c>
    </row>
    <row r="56">
      <c r="A56" s="52" t="s">
        <v>77</v>
      </c>
      <c r="B56" s="28" t="s">
        <v>77</v>
      </c>
      <c r="C56" s="28" t="s">
        <v>77</v>
      </c>
      <c r="D56" s="28" t="s">
        <v>77</v>
      </c>
      <c r="E56" s="28" t="s">
        <v>77</v>
      </c>
      <c r="F56" s="28" t="s">
        <v>77</v>
      </c>
      <c r="G56" s="28" t="s">
        <v>77</v>
      </c>
      <c r="I56" s="26" t="s">
        <v>77</v>
      </c>
      <c r="J56" s="26" t="s">
        <v>77</v>
      </c>
      <c r="K56" s="18"/>
      <c r="L56" s="26" t="s">
        <v>77</v>
      </c>
      <c r="M56" s="6" t="s">
        <v>77</v>
      </c>
      <c r="N56" s="28" t="s">
        <v>77</v>
      </c>
      <c r="O56" s="26" t="s">
        <v>77</v>
      </c>
    </row>
    <row r="57">
      <c r="A57" s="52" t="s">
        <v>77</v>
      </c>
      <c r="B57" s="28" t="s">
        <v>77</v>
      </c>
      <c r="C57" s="28" t="s">
        <v>77</v>
      </c>
      <c r="D57" s="28" t="s">
        <v>77</v>
      </c>
      <c r="E57" s="28" t="s">
        <v>77</v>
      </c>
      <c r="F57" s="28" t="s">
        <v>77</v>
      </c>
      <c r="G57" s="28" t="s">
        <v>77</v>
      </c>
      <c r="I57" s="26" t="s">
        <v>77</v>
      </c>
      <c r="J57" s="26" t="s">
        <v>77</v>
      </c>
      <c r="K57" s="18"/>
      <c r="L57" s="26" t="s">
        <v>77</v>
      </c>
      <c r="M57" s="6" t="s">
        <v>77</v>
      </c>
      <c r="N57" s="28" t="s">
        <v>77</v>
      </c>
      <c r="O57" s="26" t="s">
        <v>77</v>
      </c>
    </row>
    <row r="58">
      <c r="A58" s="52" t="s">
        <v>77</v>
      </c>
      <c r="B58" s="28" t="s">
        <v>77</v>
      </c>
      <c r="C58" s="28" t="s">
        <v>77</v>
      </c>
      <c r="D58" s="28" t="s">
        <v>77</v>
      </c>
      <c r="E58" s="28" t="s">
        <v>77</v>
      </c>
      <c r="F58" s="28" t="s">
        <v>77</v>
      </c>
      <c r="G58" s="28" t="s">
        <v>77</v>
      </c>
      <c r="I58" s="26" t="s">
        <v>77</v>
      </c>
      <c r="J58" s="26" t="s">
        <v>77</v>
      </c>
      <c r="K58" s="18"/>
      <c r="L58" s="26" t="s">
        <v>77</v>
      </c>
      <c r="M58" s="6" t="s">
        <v>77</v>
      </c>
      <c r="N58" s="28" t="s">
        <v>77</v>
      </c>
      <c r="O58" s="26" t="s">
        <v>77</v>
      </c>
    </row>
    <row r="59">
      <c r="A59" s="52" t="s">
        <v>77</v>
      </c>
      <c r="B59" s="28" t="s">
        <v>77</v>
      </c>
      <c r="C59" s="28" t="s">
        <v>77</v>
      </c>
      <c r="D59" s="28" t="s">
        <v>77</v>
      </c>
      <c r="E59" s="28" t="s">
        <v>77</v>
      </c>
      <c r="F59" s="28" t="s">
        <v>77</v>
      </c>
      <c r="G59" s="28" t="s">
        <v>77</v>
      </c>
      <c r="I59" s="26" t="s">
        <v>77</v>
      </c>
      <c r="J59" s="26" t="s">
        <v>77</v>
      </c>
      <c r="K59" s="18"/>
      <c r="L59" s="26" t="s">
        <v>77</v>
      </c>
      <c r="M59" s="6" t="s">
        <v>77</v>
      </c>
      <c r="N59" s="28" t="s">
        <v>77</v>
      </c>
      <c r="O59" s="26" t="s">
        <v>77</v>
      </c>
    </row>
    <row r="60">
      <c r="A60" s="52" t="s">
        <v>77</v>
      </c>
      <c r="B60" s="28" t="s">
        <v>77</v>
      </c>
      <c r="C60" s="28" t="s">
        <v>77</v>
      </c>
      <c r="D60" s="28" t="s">
        <v>77</v>
      </c>
      <c r="E60" s="28" t="s">
        <v>77</v>
      </c>
      <c r="F60" s="28" t="s">
        <v>77</v>
      </c>
      <c r="G60" s="28" t="s">
        <v>77</v>
      </c>
      <c r="I60" s="26" t="s">
        <v>77</v>
      </c>
      <c r="J60" s="26" t="s">
        <v>77</v>
      </c>
      <c r="K60" s="18"/>
      <c r="L60" s="26" t="s">
        <v>77</v>
      </c>
      <c r="M60" s="6" t="s">
        <v>77</v>
      </c>
      <c r="N60" s="28" t="s">
        <v>77</v>
      </c>
      <c r="O60" s="26" t="s">
        <v>77</v>
      </c>
    </row>
    <row r="61">
      <c r="A61" s="52" t="s">
        <v>77</v>
      </c>
      <c r="B61" s="28" t="s">
        <v>77</v>
      </c>
      <c r="C61" s="28" t="s">
        <v>77</v>
      </c>
      <c r="D61" s="28" t="s">
        <v>77</v>
      </c>
      <c r="E61" s="28" t="s">
        <v>77</v>
      </c>
      <c r="F61" s="28" t="s">
        <v>77</v>
      </c>
      <c r="G61" s="28" t="s">
        <v>77</v>
      </c>
      <c r="I61" s="26" t="s">
        <v>77</v>
      </c>
      <c r="J61" s="26" t="s">
        <v>77</v>
      </c>
      <c r="K61" s="18"/>
      <c r="L61" s="26" t="s">
        <v>77</v>
      </c>
      <c r="M61" s="6" t="s">
        <v>77</v>
      </c>
      <c r="N61" s="28" t="s">
        <v>77</v>
      </c>
      <c r="O61" s="26" t="s">
        <v>77</v>
      </c>
    </row>
    <row r="62">
      <c r="A62" s="52" t="s">
        <v>77</v>
      </c>
      <c r="B62" s="28" t="s">
        <v>77</v>
      </c>
      <c r="C62" s="28" t="s">
        <v>77</v>
      </c>
      <c r="D62" s="28" t="s">
        <v>77</v>
      </c>
      <c r="E62" s="28" t="s">
        <v>77</v>
      </c>
      <c r="F62" s="28" t="s">
        <v>77</v>
      </c>
      <c r="G62" s="28" t="s">
        <v>77</v>
      </c>
      <c r="I62" s="26" t="s">
        <v>77</v>
      </c>
      <c r="J62" s="26" t="s">
        <v>77</v>
      </c>
      <c r="K62" s="18"/>
      <c r="L62" s="26" t="s">
        <v>77</v>
      </c>
      <c r="M62" s="6" t="s">
        <v>77</v>
      </c>
      <c r="N62" s="28" t="s">
        <v>77</v>
      </c>
      <c r="O62" s="26" t="s">
        <v>77</v>
      </c>
    </row>
    <row r="63">
      <c r="A63" s="52" t="s">
        <v>77</v>
      </c>
      <c r="B63" s="28" t="s">
        <v>77</v>
      </c>
      <c r="C63" s="28" t="s">
        <v>77</v>
      </c>
      <c r="D63" s="28" t="s">
        <v>77</v>
      </c>
      <c r="E63" s="28" t="s">
        <v>77</v>
      </c>
      <c r="F63" s="28" t="s">
        <v>77</v>
      </c>
      <c r="G63" s="28" t="s">
        <v>77</v>
      </c>
      <c r="I63" s="26" t="s">
        <v>77</v>
      </c>
      <c r="J63" s="26" t="s">
        <v>77</v>
      </c>
      <c r="K63" s="18"/>
      <c r="L63" s="26" t="s">
        <v>77</v>
      </c>
      <c r="M63" s="6" t="s">
        <v>77</v>
      </c>
      <c r="N63" s="28" t="s">
        <v>77</v>
      </c>
      <c r="O63" s="26" t="s">
        <v>77</v>
      </c>
    </row>
    <row r="64">
      <c r="A64" s="52" t="s">
        <v>77</v>
      </c>
      <c r="B64" s="28" t="s">
        <v>77</v>
      </c>
      <c r="C64" s="28" t="s">
        <v>77</v>
      </c>
      <c r="D64" s="28" t="s">
        <v>77</v>
      </c>
      <c r="E64" s="28" t="s">
        <v>77</v>
      </c>
      <c r="F64" s="28" t="s">
        <v>77</v>
      </c>
      <c r="G64" s="28" t="s">
        <v>77</v>
      </c>
      <c r="I64" s="26" t="s">
        <v>77</v>
      </c>
      <c r="J64" s="26" t="s">
        <v>77</v>
      </c>
      <c r="K64" s="18"/>
      <c r="L64" s="26" t="s">
        <v>77</v>
      </c>
      <c r="M64" s="6" t="s">
        <v>77</v>
      </c>
      <c r="N64" s="28" t="s">
        <v>77</v>
      </c>
      <c r="O64" s="26" t="s">
        <v>77</v>
      </c>
    </row>
    <row r="65">
      <c r="A65" s="52" t="s">
        <v>77</v>
      </c>
      <c r="B65" s="28" t="s">
        <v>77</v>
      </c>
      <c r="C65" s="28" t="s">
        <v>77</v>
      </c>
      <c r="D65" s="28" t="s">
        <v>77</v>
      </c>
      <c r="E65" s="28" t="s">
        <v>77</v>
      </c>
      <c r="F65" s="28" t="s">
        <v>77</v>
      </c>
      <c r="G65" s="28" t="s">
        <v>77</v>
      </c>
      <c r="I65" s="26" t="s">
        <v>77</v>
      </c>
      <c r="J65" s="26" t="s">
        <v>77</v>
      </c>
      <c r="K65" s="18"/>
      <c r="L65" s="26" t="s">
        <v>77</v>
      </c>
      <c r="M65" s="6" t="s">
        <v>77</v>
      </c>
      <c r="N65" s="28" t="s">
        <v>77</v>
      </c>
      <c r="O65" s="26" t="s">
        <v>77</v>
      </c>
    </row>
    <row r="66">
      <c r="A66" s="52" t="s">
        <v>77</v>
      </c>
      <c r="B66" s="28" t="s">
        <v>77</v>
      </c>
      <c r="C66" s="28" t="s">
        <v>77</v>
      </c>
      <c r="D66" s="28" t="s">
        <v>77</v>
      </c>
      <c r="E66" s="28" t="s">
        <v>77</v>
      </c>
      <c r="F66" s="28" t="s">
        <v>77</v>
      </c>
      <c r="G66" s="28" t="s">
        <v>77</v>
      </c>
      <c r="I66" s="26" t="s">
        <v>77</v>
      </c>
      <c r="J66" s="26" t="s">
        <v>77</v>
      </c>
      <c r="K66" s="18"/>
      <c r="L66" s="26" t="s">
        <v>77</v>
      </c>
      <c r="M66" s="6" t="s">
        <v>77</v>
      </c>
      <c r="N66" s="28" t="s">
        <v>77</v>
      </c>
      <c r="O66" s="26" t="s">
        <v>77</v>
      </c>
    </row>
    <row r="67">
      <c r="A67" s="52" t="s">
        <v>77</v>
      </c>
      <c r="B67" s="28" t="s">
        <v>77</v>
      </c>
      <c r="C67" s="28" t="s">
        <v>77</v>
      </c>
      <c r="D67" s="28" t="s">
        <v>77</v>
      </c>
      <c r="E67" s="28" t="s">
        <v>77</v>
      </c>
      <c r="F67" s="28" t="s">
        <v>77</v>
      </c>
      <c r="G67" s="28" t="s">
        <v>77</v>
      </c>
      <c r="I67" s="26" t="s">
        <v>77</v>
      </c>
      <c r="J67" s="26" t="s">
        <v>77</v>
      </c>
      <c r="K67" s="18"/>
      <c r="L67" s="26" t="s">
        <v>77</v>
      </c>
      <c r="M67" s="6" t="s">
        <v>77</v>
      </c>
      <c r="N67" s="28" t="s">
        <v>77</v>
      </c>
      <c r="O67" s="26" t="s">
        <v>77</v>
      </c>
    </row>
    <row r="68">
      <c r="A68" s="52" t="s">
        <v>77</v>
      </c>
      <c r="B68" s="28" t="s">
        <v>77</v>
      </c>
      <c r="C68" s="28" t="s">
        <v>77</v>
      </c>
      <c r="D68" s="28" t="s">
        <v>77</v>
      </c>
      <c r="E68" s="28" t="s">
        <v>77</v>
      </c>
      <c r="F68" s="28" t="s">
        <v>77</v>
      </c>
      <c r="G68" s="28" t="s">
        <v>77</v>
      </c>
      <c r="I68" s="26" t="s">
        <v>77</v>
      </c>
      <c r="J68" s="26" t="s">
        <v>77</v>
      </c>
      <c r="K68" s="18"/>
      <c r="L68" s="26" t="s">
        <v>77</v>
      </c>
      <c r="M68" s="6" t="s">
        <v>77</v>
      </c>
      <c r="N68" s="28" t="s">
        <v>77</v>
      </c>
      <c r="O68" s="26" t="s">
        <v>77</v>
      </c>
    </row>
    <row r="69">
      <c r="A69" s="52" t="s">
        <v>77</v>
      </c>
      <c r="B69" s="28" t="s">
        <v>77</v>
      </c>
      <c r="C69" s="28" t="s">
        <v>77</v>
      </c>
      <c r="D69" s="28" t="s">
        <v>77</v>
      </c>
      <c r="E69" s="28" t="s">
        <v>77</v>
      </c>
      <c r="F69" s="28" t="s">
        <v>77</v>
      </c>
      <c r="G69" s="28" t="s">
        <v>77</v>
      </c>
      <c r="I69" s="26" t="s">
        <v>77</v>
      </c>
      <c r="J69" s="26" t="s">
        <v>77</v>
      </c>
      <c r="K69" s="18"/>
      <c r="L69" s="26" t="s">
        <v>77</v>
      </c>
      <c r="M69" s="6" t="s">
        <v>77</v>
      </c>
      <c r="N69" s="28" t="s">
        <v>77</v>
      </c>
      <c r="O69" s="26" t="s">
        <v>77</v>
      </c>
    </row>
    <row r="70">
      <c r="A70" s="52" t="s">
        <v>77</v>
      </c>
      <c r="B70" s="28" t="s">
        <v>77</v>
      </c>
      <c r="C70" s="28" t="s">
        <v>77</v>
      </c>
      <c r="D70" s="28" t="s">
        <v>77</v>
      </c>
      <c r="E70" s="28" t="s">
        <v>77</v>
      </c>
      <c r="F70" s="28" t="s">
        <v>77</v>
      </c>
      <c r="G70" s="28" t="s">
        <v>77</v>
      </c>
      <c r="I70" s="26" t="s">
        <v>77</v>
      </c>
      <c r="J70" s="26" t="s">
        <v>77</v>
      </c>
      <c r="K70" s="18"/>
      <c r="L70" s="26" t="s">
        <v>77</v>
      </c>
      <c r="M70" s="6" t="s">
        <v>77</v>
      </c>
      <c r="N70" s="28" t="s">
        <v>77</v>
      </c>
      <c r="O70" s="26" t="s">
        <v>77</v>
      </c>
    </row>
    <row r="71">
      <c r="A71" s="52" t="s">
        <v>77</v>
      </c>
      <c r="B71" s="28" t="s">
        <v>77</v>
      </c>
      <c r="C71" s="28" t="s">
        <v>77</v>
      </c>
      <c r="D71" s="28" t="s">
        <v>77</v>
      </c>
      <c r="E71" s="28" t="s">
        <v>77</v>
      </c>
      <c r="F71" s="28" t="s">
        <v>77</v>
      </c>
      <c r="G71" s="28" t="s">
        <v>77</v>
      </c>
      <c r="I71" s="26" t="s">
        <v>77</v>
      </c>
      <c r="J71" s="26" t="s">
        <v>77</v>
      </c>
      <c r="K71" s="18"/>
      <c r="L71" s="26" t="s">
        <v>77</v>
      </c>
      <c r="M71" s="6" t="s">
        <v>77</v>
      </c>
      <c r="N71" s="28" t="s">
        <v>77</v>
      </c>
      <c r="O71" s="26" t="s">
        <v>77</v>
      </c>
    </row>
    <row r="72">
      <c r="A72" s="52" t="s">
        <v>77</v>
      </c>
      <c r="B72" s="28" t="s">
        <v>77</v>
      </c>
      <c r="C72" s="28" t="s">
        <v>77</v>
      </c>
      <c r="D72" s="28" t="s">
        <v>77</v>
      </c>
      <c r="E72" s="28" t="s">
        <v>77</v>
      </c>
      <c r="F72" s="28" t="s">
        <v>77</v>
      </c>
      <c r="G72" s="28" t="s">
        <v>77</v>
      </c>
      <c r="I72" s="26" t="s">
        <v>77</v>
      </c>
      <c r="J72" s="26" t="s">
        <v>77</v>
      </c>
      <c r="K72" s="18"/>
      <c r="L72" s="26" t="s">
        <v>77</v>
      </c>
      <c r="M72" s="6" t="s">
        <v>77</v>
      </c>
      <c r="N72" s="28" t="s">
        <v>77</v>
      </c>
      <c r="O72" s="26" t="s">
        <v>77</v>
      </c>
    </row>
    <row r="73">
      <c r="A73" s="52" t="s">
        <v>77</v>
      </c>
      <c r="B73" s="28" t="s">
        <v>77</v>
      </c>
      <c r="C73" s="28" t="s">
        <v>77</v>
      </c>
      <c r="D73" s="28" t="s">
        <v>77</v>
      </c>
      <c r="E73" s="28" t="s">
        <v>77</v>
      </c>
      <c r="F73" s="28" t="s">
        <v>77</v>
      </c>
      <c r="G73" s="28" t="s">
        <v>77</v>
      </c>
      <c r="I73" s="26" t="s">
        <v>77</v>
      </c>
      <c r="J73" s="26" t="s">
        <v>77</v>
      </c>
      <c r="K73" s="18"/>
      <c r="L73" s="26" t="s">
        <v>77</v>
      </c>
      <c r="M73" s="6" t="s">
        <v>77</v>
      </c>
      <c r="N73" s="28" t="s">
        <v>77</v>
      </c>
      <c r="O73" s="26" t="s">
        <v>77</v>
      </c>
    </row>
    <row r="74">
      <c r="A74" s="52" t="s">
        <v>77</v>
      </c>
      <c r="B74" s="28" t="s">
        <v>77</v>
      </c>
      <c r="C74" s="28" t="s">
        <v>77</v>
      </c>
      <c r="D74" s="28" t="s">
        <v>77</v>
      </c>
      <c r="E74" s="28" t="s">
        <v>77</v>
      </c>
      <c r="F74" s="28" t="s">
        <v>77</v>
      </c>
      <c r="G74" s="28" t="s">
        <v>77</v>
      </c>
      <c r="I74" s="26" t="s">
        <v>77</v>
      </c>
      <c r="J74" s="26" t="s">
        <v>77</v>
      </c>
      <c r="K74" s="18"/>
      <c r="L74" s="26" t="s">
        <v>77</v>
      </c>
      <c r="M74" s="6" t="s">
        <v>77</v>
      </c>
      <c r="N74" s="28" t="s">
        <v>77</v>
      </c>
      <c r="O74" s="26" t="s">
        <v>77</v>
      </c>
    </row>
    <row r="75">
      <c r="A75" s="52" t="s">
        <v>77</v>
      </c>
      <c r="B75" s="28" t="s">
        <v>77</v>
      </c>
      <c r="C75" s="28" t="s">
        <v>77</v>
      </c>
      <c r="D75" s="28" t="s">
        <v>77</v>
      </c>
      <c r="E75" s="28" t="s">
        <v>77</v>
      </c>
      <c r="F75" s="28" t="s">
        <v>77</v>
      </c>
      <c r="G75" s="28" t="s">
        <v>77</v>
      </c>
      <c r="I75" s="26" t="s">
        <v>77</v>
      </c>
      <c r="J75" s="26" t="s">
        <v>77</v>
      </c>
      <c r="K75" s="18"/>
      <c r="L75" s="26" t="s">
        <v>77</v>
      </c>
      <c r="M75" s="6" t="s">
        <v>77</v>
      </c>
      <c r="N75" s="28" t="s">
        <v>77</v>
      </c>
      <c r="O75" s="26" t="s">
        <v>77</v>
      </c>
    </row>
    <row r="76">
      <c r="A76" s="52" t="s">
        <v>77</v>
      </c>
      <c r="B76" s="28" t="s">
        <v>77</v>
      </c>
      <c r="C76" s="28" t="s">
        <v>77</v>
      </c>
      <c r="D76" s="28" t="s">
        <v>77</v>
      </c>
      <c r="E76" s="28" t="s">
        <v>77</v>
      </c>
      <c r="F76" s="28" t="s">
        <v>77</v>
      </c>
      <c r="G76" s="28" t="s">
        <v>77</v>
      </c>
      <c r="I76" s="26" t="s">
        <v>77</v>
      </c>
      <c r="J76" s="26" t="s">
        <v>77</v>
      </c>
      <c r="K76" s="18"/>
      <c r="L76" s="26" t="s">
        <v>77</v>
      </c>
      <c r="M76" s="6" t="s">
        <v>77</v>
      </c>
      <c r="N76" s="28" t="s">
        <v>77</v>
      </c>
      <c r="O76" s="26" t="s">
        <v>77</v>
      </c>
    </row>
    <row r="77">
      <c r="A77" s="52" t="s">
        <v>77</v>
      </c>
      <c r="B77" s="28" t="s">
        <v>77</v>
      </c>
      <c r="C77" s="28" t="s">
        <v>77</v>
      </c>
      <c r="D77" s="28" t="s">
        <v>77</v>
      </c>
      <c r="E77" s="28" t="s">
        <v>77</v>
      </c>
      <c r="F77" s="28" t="s">
        <v>77</v>
      </c>
      <c r="G77" s="28" t="s">
        <v>77</v>
      </c>
      <c r="I77" s="26" t="s">
        <v>77</v>
      </c>
      <c r="J77" s="26" t="s">
        <v>77</v>
      </c>
      <c r="K77" s="18"/>
      <c r="L77" s="26" t="s">
        <v>77</v>
      </c>
      <c r="M77" s="6" t="s">
        <v>77</v>
      </c>
      <c r="N77" s="28" t="s">
        <v>77</v>
      </c>
      <c r="O77" s="26" t="s">
        <v>77</v>
      </c>
    </row>
    <row r="78">
      <c r="A78" s="52" t="s">
        <v>77</v>
      </c>
      <c r="B78" s="28" t="s">
        <v>77</v>
      </c>
      <c r="C78" s="28" t="s">
        <v>77</v>
      </c>
      <c r="D78" s="28" t="s">
        <v>77</v>
      </c>
      <c r="E78" s="28" t="s">
        <v>77</v>
      </c>
      <c r="F78" s="28" t="s">
        <v>77</v>
      </c>
      <c r="G78" s="28" t="s">
        <v>77</v>
      </c>
      <c r="I78" s="26" t="s">
        <v>77</v>
      </c>
      <c r="J78" s="26" t="s">
        <v>77</v>
      </c>
      <c r="K78" s="18"/>
      <c r="L78" s="26" t="s">
        <v>77</v>
      </c>
      <c r="M78" s="6" t="s">
        <v>77</v>
      </c>
      <c r="N78" s="28" t="s">
        <v>77</v>
      </c>
      <c r="O78" s="26" t="s">
        <v>77</v>
      </c>
    </row>
    <row r="79">
      <c r="A79" s="52" t="s">
        <v>77</v>
      </c>
      <c r="B79" s="28" t="s">
        <v>77</v>
      </c>
      <c r="C79" s="28" t="s">
        <v>77</v>
      </c>
      <c r="D79" s="28" t="s">
        <v>77</v>
      </c>
      <c r="E79" s="28" t="s">
        <v>77</v>
      </c>
      <c r="F79" s="28" t="s">
        <v>77</v>
      </c>
      <c r="G79" s="28" t="s">
        <v>77</v>
      </c>
      <c r="I79" s="26" t="s">
        <v>77</v>
      </c>
      <c r="J79" s="26" t="s">
        <v>77</v>
      </c>
      <c r="K79" s="18"/>
      <c r="L79" s="26" t="s">
        <v>77</v>
      </c>
      <c r="M79" s="6" t="s">
        <v>77</v>
      </c>
      <c r="N79" s="28" t="s">
        <v>77</v>
      </c>
      <c r="O79" s="26" t="s">
        <v>77</v>
      </c>
    </row>
    <row r="80">
      <c r="A80" s="52" t="s">
        <v>77</v>
      </c>
      <c r="B80" s="28" t="s">
        <v>77</v>
      </c>
      <c r="C80" s="28" t="s">
        <v>77</v>
      </c>
      <c r="D80" s="28" t="s">
        <v>77</v>
      </c>
      <c r="E80" s="28" t="s">
        <v>77</v>
      </c>
      <c r="F80" s="28" t="s">
        <v>77</v>
      </c>
      <c r="G80" s="28" t="s">
        <v>77</v>
      </c>
      <c r="I80" s="26" t="s">
        <v>77</v>
      </c>
      <c r="J80" s="26" t="s">
        <v>77</v>
      </c>
      <c r="K80" s="18"/>
      <c r="L80" s="26" t="s">
        <v>77</v>
      </c>
      <c r="M80" s="6" t="s">
        <v>77</v>
      </c>
      <c r="N80" s="28" t="s">
        <v>77</v>
      </c>
      <c r="O80" s="26" t="s">
        <v>77</v>
      </c>
    </row>
    <row r="81">
      <c r="A81" s="52" t="s">
        <v>77</v>
      </c>
      <c r="B81" s="28" t="s">
        <v>77</v>
      </c>
      <c r="C81" s="28" t="s">
        <v>77</v>
      </c>
      <c r="D81" s="28" t="s">
        <v>77</v>
      </c>
      <c r="E81" s="28" t="s">
        <v>77</v>
      </c>
      <c r="F81" s="28" t="s">
        <v>77</v>
      </c>
      <c r="G81" s="28" t="s">
        <v>77</v>
      </c>
      <c r="I81" s="26" t="s">
        <v>77</v>
      </c>
      <c r="J81" s="26" t="s">
        <v>77</v>
      </c>
      <c r="K81" s="18"/>
      <c r="L81" s="26" t="s">
        <v>77</v>
      </c>
      <c r="M81" s="6" t="s">
        <v>77</v>
      </c>
      <c r="N81" s="28" t="s">
        <v>77</v>
      </c>
      <c r="O81" s="26" t="s">
        <v>77</v>
      </c>
    </row>
    <row r="82">
      <c r="A82" s="52" t="s">
        <v>77</v>
      </c>
      <c r="B82" s="28" t="s">
        <v>77</v>
      </c>
      <c r="C82" s="28" t="s">
        <v>77</v>
      </c>
      <c r="D82" s="28" t="s">
        <v>77</v>
      </c>
      <c r="E82" s="28" t="s">
        <v>77</v>
      </c>
      <c r="F82" s="28" t="s">
        <v>77</v>
      </c>
      <c r="G82" s="28" t="s">
        <v>77</v>
      </c>
      <c r="I82" s="26" t="s">
        <v>77</v>
      </c>
      <c r="J82" s="26" t="s">
        <v>77</v>
      </c>
      <c r="K82" s="18"/>
      <c r="L82" s="26" t="s">
        <v>77</v>
      </c>
      <c r="M82" s="6" t="s">
        <v>77</v>
      </c>
      <c r="N82" s="28" t="s">
        <v>77</v>
      </c>
      <c r="O82" s="26" t="s">
        <v>77</v>
      </c>
    </row>
    <row r="83">
      <c r="A83" s="52" t="s">
        <v>77</v>
      </c>
      <c r="B83" s="28" t="s">
        <v>77</v>
      </c>
      <c r="C83" s="28" t="s">
        <v>77</v>
      </c>
      <c r="D83" s="28" t="s">
        <v>77</v>
      </c>
      <c r="E83" s="28" t="s">
        <v>77</v>
      </c>
      <c r="F83" s="28" t="s">
        <v>77</v>
      </c>
      <c r="G83" s="28" t="s">
        <v>77</v>
      </c>
      <c r="I83" s="26" t="s">
        <v>77</v>
      </c>
      <c r="J83" s="26" t="s">
        <v>77</v>
      </c>
      <c r="K83" s="18"/>
      <c r="L83" s="26" t="s">
        <v>77</v>
      </c>
      <c r="M83" s="6" t="s">
        <v>77</v>
      </c>
      <c r="N83" s="28" t="s">
        <v>77</v>
      </c>
      <c r="O83" s="26" t="s">
        <v>77</v>
      </c>
    </row>
    <row r="84">
      <c r="A84" s="52" t="s">
        <v>77</v>
      </c>
      <c r="B84" s="28" t="s">
        <v>77</v>
      </c>
      <c r="C84" s="28" t="s">
        <v>77</v>
      </c>
      <c r="D84" s="28" t="s">
        <v>77</v>
      </c>
      <c r="E84" s="28" t="s">
        <v>77</v>
      </c>
      <c r="F84" s="28" t="s">
        <v>77</v>
      </c>
      <c r="G84" s="28" t="s">
        <v>77</v>
      </c>
      <c r="I84" s="26" t="s">
        <v>77</v>
      </c>
      <c r="J84" s="26" t="s">
        <v>77</v>
      </c>
      <c r="K84" s="18"/>
      <c r="L84" s="26" t="s">
        <v>77</v>
      </c>
      <c r="M84" s="6" t="s">
        <v>77</v>
      </c>
      <c r="N84" s="28" t="s">
        <v>77</v>
      </c>
      <c r="O84" s="26" t="s">
        <v>77</v>
      </c>
    </row>
    <row r="85">
      <c r="A85" s="52" t="s">
        <v>77</v>
      </c>
      <c r="B85" s="28" t="s">
        <v>77</v>
      </c>
      <c r="C85" s="28" t="s">
        <v>77</v>
      </c>
      <c r="D85" s="28" t="s">
        <v>77</v>
      </c>
      <c r="E85" s="28" t="s">
        <v>77</v>
      </c>
      <c r="F85" s="28" t="s">
        <v>77</v>
      </c>
      <c r="G85" s="28" t="s">
        <v>77</v>
      </c>
      <c r="I85" s="26" t="s">
        <v>77</v>
      </c>
      <c r="J85" s="26" t="s">
        <v>77</v>
      </c>
      <c r="K85" s="18"/>
      <c r="L85" s="26" t="s">
        <v>77</v>
      </c>
      <c r="M85" s="6" t="s">
        <v>77</v>
      </c>
      <c r="N85" s="28" t="s">
        <v>77</v>
      </c>
      <c r="O85" s="26" t="s">
        <v>77</v>
      </c>
    </row>
    <row r="86">
      <c r="A86" s="52" t="s">
        <v>77</v>
      </c>
      <c r="B86" s="28" t="s">
        <v>77</v>
      </c>
      <c r="C86" s="28" t="s">
        <v>77</v>
      </c>
      <c r="D86" s="28" t="s">
        <v>77</v>
      </c>
      <c r="E86" s="28" t="s">
        <v>77</v>
      </c>
      <c r="F86" s="28" t="s">
        <v>77</v>
      </c>
      <c r="G86" s="28" t="s">
        <v>77</v>
      </c>
      <c r="I86" s="26" t="s">
        <v>77</v>
      </c>
      <c r="J86" s="26" t="s">
        <v>77</v>
      </c>
      <c r="K86" s="18"/>
      <c r="L86" s="26" t="s">
        <v>77</v>
      </c>
      <c r="M86" s="6" t="s">
        <v>77</v>
      </c>
      <c r="N86" s="28" t="s">
        <v>77</v>
      </c>
      <c r="O86" s="26" t="s">
        <v>77</v>
      </c>
    </row>
    <row r="87">
      <c r="A87" s="52" t="s">
        <v>77</v>
      </c>
      <c r="B87" s="28" t="s">
        <v>77</v>
      </c>
      <c r="C87" s="28" t="s">
        <v>77</v>
      </c>
      <c r="D87" s="28" t="s">
        <v>77</v>
      </c>
      <c r="E87" s="28" t="s">
        <v>77</v>
      </c>
      <c r="F87" s="28" t="s">
        <v>77</v>
      </c>
      <c r="G87" s="28" t="s">
        <v>77</v>
      </c>
      <c r="I87" s="26" t="s">
        <v>77</v>
      </c>
      <c r="J87" s="26" t="s">
        <v>77</v>
      </c>
      <c r="K87" s="18"/>
      <c r="L87" s="26" t="s">
        <v>77</v>
      </c>
      <c r="M87" s="6" t="s">
        <v>77</v>
      </c>
      <c r="N87" s="28" t="s">
        <v>77</v>
      </c>
      <c r="O87" s="26" t="s">
        <v>77</v>
      </c>
    </row>
    <row r="88">
      <c r="A88" s="52" t="s">
        <v>77</v>
      </c>
      <c r="B88" s="28" t="s">
        <v>77</v>
      </c>
      <c r="C88" s="28" t="s">
        <v>77</v>
      </c>
      <c r="D88" s="28" t="s">
        <v>77</v>
      </c>
      <c r="E88" s="28" t="s">
        <v>77</v>
      </c>
      <c r="F88" s="28" t="s">
        <v>77</v>
      </c>
      <c r="G88" s="28" t="s">
        <v>77</v>
      </c>
      <c r="I88" s="26" t="s">
        <v>77</v>
      </c>
      <c r="J88" s="26" t="s">
        <v>77</v>
      </c>
      <c r="K88" s="18"/>
      <c r="L88" s="26" t="s">
        <v>77</v>
      </c>
      <c r="M88" s="6" t="s">
        <v>77</v>
      </c>
      <c r="N88" s="28" t="s">
        <v>77</v>
      </c>
      <c r="O88" s="26" t="s">
        <v>77</v>
      </c>
    </row>
    <row r="89">
      <c r="A89" s="52" t="s">
        <v>77</v>
      </c>
      <c r="B89" s="28" t="s">
        <v>77</v>
      </c>
      <c r="C89" s="28" t="s">
        <v>77</v>
      </c>
      <c r="D89" s="28" t="s">
        <v>77</v>
      </c>
      <c r="E89" s="28" t="s">
        <v>77</v>
      </c>
      <c r="F89" s="28" t="s">
        <v>77</v>
      </c>
      <c r="G89" s="28" t="s">
        <v>77</v>
      </c>
      <c r="I89" s="26" t="s">
        <v>77</v>
      </c>
      <c r="J89" s="26" t="s">
        <v>77</v>
      </c>
      <c r="K89" s="18"/>
      <c r="L89" s="26" t="s">
        <v>77</v>
      </c>
      <c r="M89" s="6" t="s">
        <v>77</v>
      </c>
      <c r="N89" s="28" t="s">
        <v>77</v>
      </c>
      <c r="O89" s="26" t="s">
        <v>77</v>
      </c>
    </row>
    <row r="90">
      <c r="A90" s="52" t="s">
        <v>77</v>
      </c>
      <c r="B90" s="28" t="s">
        <v>77</v>
      </c>
      <c r="C90" s="28" t="s">
        <v>77</v>
      </c>
      <c r="D90" s="28" t="s">
        <v>77</v>
      </c>
      <c r="E90" s="28" t="s">
        <v>77</v>
      </c>
      <c r="F90" s="28" t="s">
        <v>77</v>
      </c>
      <c r="G90" s="28" t="s">
        <v>77</v>
      </c>
      <c r="I90" s="26" t="s">
        <v>77</v>
      </c>
      <c r="J90" s="26" t="s">
        <v>77</v>
      </c>
      <c r="K90" s="18"/>
      <c r="L90" s="26" t="s">
        <v>77</v>
      </c>
      <c r="M90" s="6" t="s">
        <v>77</v>
      </c>
      <c r="N90" s="28" t="s">
        <v>77</v>
      </c>
      <c r="O90" s="26" t="s">
        <v>77</v>
      </c>
    </row>
    <row r="91">
      <c r="A91" s="52" t="s">
        <v>77</v>
      </c>
      <c r="B91" s="28" t="s">
        <v>77</v>
      </c>
      <c r="C91" s="28" t="s">
        <v>77</v>
      </c>
      <c r="D91" s="28" t="s">
        <v>77</v>
      </c>
      <c r="E91" s="28" t="s">
        <v>77</v>
      </c>
      <c r="F91" s="28" t="s">
        <v>77</v>
      </c>
      <c r="G91" s="28" t="s">
        <v>77</v>
      </c>
      <c r="I91" s="26" t="s">
        <v>77</v>
      </c>
      <c r="J91" s="26" t="s">
        <v>77</v>
      </c>
      <c r="K91" s="18"/>
      <c r="L91" s="26" t="s">
        <v>77</v>
      </c>
      <c r="M91" s="6" t="s">
        <v>77</v>
      </c>
      <c r="N91" s="28" t="s">
        <v>77</v>
      </c>
      <c r="O91" s="26" t="s">
        <v>77</v>
      </c>
    </row>
    <row r="92">
      <c r="A92" s="52" t="s">
        <v>77</v>
      </c>
      <c r="B92" s="28" t="s">
        <v>77</v>
      </c>
      <c r="C92" s="28" t="s">
        <v>77</v>
      </c>
      <c r="D92" s="28" t="s">
        <v>77</v>
      </c>
      <c r="E92" s="28" t="s">
        <v>77</v>
      </c>
      <c r="F92" s="28" t="s">
        <v>77</v>
      </c>
      <c r="G92" s="28" t="s">
        <v>77</v>
      </c>
      <c r="I92" s="26" t="s">
        <v>77</v>
      </c>
      <c r="J92" s="26" t="s">
        <v>77</v>
      </c>
      <c r="K92" s="18"/>
      <c r="L92" s="26" t="s">
        <v>77</v>
      </c>
      <c r="M92" s="6" t="s">
        <v>77</v>
      </c>
      <c r="N92" s="28" t="s">
        <v>77</v>
      </c>
      <c r="O92" s="26" t="s">
        <v>77</v>
      </c>
    </row>
    <row r="93">
      <c r="A93" s="52" t="s">
        <v>77</v>
      </c>
      <c r="B93" s="28" t="s">
        <v>77</v>
      </c>
      <c r="C93" s="28" t="s">
        <v>77</v>
      </c>
      <c r="D93" s="28" t="s">
        <v>77</v>
      </c>
      <c r="E93" s="28" t="s">
        <v>77</v>
      </c>
      <c r="F93" s="28" t="s">
        <v>77</v>
      </c>
      <c r="G93" s="28" t="s">
        <v>77</v>
      </c>
      <c r="I93" s="26" t="s">
        <v>77</v>
      </c>
      <c r="J93" s="26" t="s">
        <v>77</v>
      </c>
      <c r="K93" s="18"/>
      <c r="L93" s="26" t="s">
        <v>77</v>
      </c>
      <c r="M93" s="6" t="s">
        <v>77</v>
      </c>
      <c r="N93" s="28" t="s">
        <v>77</v>
      </c>
      <c r="O93" s="26" t="s">
        <v>77</v>
      </c>
    </row>
    <row r="94">
      <c r="A94" s="52" t="s">
        <v>77</v>
      </c>
      <c r="B94" s="28" t="s">
        <v>77</v>
      </c>
      <c r="C94" s="28" t="s">
        <v>77</v>
      </c>
      <c r="D94" s="28" t="s">
        <v>77</v>
      </c>
      <c r="E94" s="28" t="s">
        <v>77</v>
      </c>
      <c r="F94" s="28" t="s">
        <v>77</v>
      </c>
      <c r="G94" s="28" t="s">
        <v>77</v>
      </c>
      <c r="I94" s="26" t="s">
        <v>77</v>
      </c>
      <c r="J94" s="26" t="s">
        <v>77</v>
      </c>
      <c r="K94" s="18"/>
      <c r="L94" s="26" t="s">
        <v>77</v>
      </c>
      <c r="M94" s="6" t="s">
        <v>77</v>
      </c>
      <c r="N94" s="28" t="s">
        <v>77</v>
      </c>
      <c r="O94" s="26" t="s">
        <v>77</v>
      </c>
    </row>
    <row r="95">
      <c r="A95" s="52" t="s">
        <v>77</v>
      </c>
      <c r="B95" s="28" t="s">
        <v>77</v>
      </c>
      <c r="C95" s="28" t="s">
        <v>77</v>
      </c>
      <c r="D95" s="28" t="s">
        <v>77</v>
      </c>
      <c r="E95" s="28" t="s">
        <v>77</v>
      </c>
      <c r="F95" s="28" t="s">
        <v>77</v>
      </c>
      <c r="G95" s="28" t="s">
        <v>77</v>
      </c>
      <c r="I95" s="26" t="s">
        <v>77</v>
      </c>
      <c r="J95" s="26" t="s">
        <v>77</v>
      </c>
      <c r="K95" s="18"/>
      <c r="L95" s="26" t="s">
        <v>77</v>
      </c>
      <c r="M95" s="6" t="s">
        <v>77</v>
      </c>
      <c r="N95" s="28" t="s">
        <v>77</v>
      </c>
      <c r="O95" s="26" t="s">
        <v>77</v>
      </c>
    </row>
    <row r="96">
      <c r="A96" s="52" t="s">
        <v>77</v>
      </c>
      <c r="B96" s="28" t="s">
        <v>77</v>
      </c>
      <c r="C96" s="28" t="s">
        <v>77</v>
      </c>
      <c r="D96" s="28" t="s">
        <v>77</v>
      </c>
      <c r="E96" s="28" t="s">
        <v>77</v>
      </c>
      <c r="F96" s="28" t="s">
        <v>77</v>
      </c>
      <c r="G96" s="28" t="s">
        <v>77</v>
      </c>
      <c r="I96" s="26" t="s">
        <v>77</v>
      </c>
      <c r="J96" s="26" t="s">
        <v>77</v>
      </c>
      <c r="K96" s="18"/>
      <c r="L96" s="26" t="s">
        <v>77</v>
      </c>
      <c r="M96" s="6" t="s">
        <v>77</v>
      </c>
      <c r="N96" s="28" t="s">
        <v>77</v>
      </c>
      <c r="O96" s="26" t="s">
        <v>77</v>
      </c>
    </row>
    <row r="97">
      <c r="A97" s="52" t="s">
        <v>77</v>
      </c>
      <c r="B97" s="28" t="s">
        <v>77</v>
      </c>
      <c r="C97" s="28" t="s">
        <v>77</v>
      </c>
      <c r="D97" s="28" t="s">
        <v>77</v>
      </c>
      <c r="E97" s="28" t="s">
        <v>77</v>
      </c>
      <c r="F97" s="28" t="s">
        <v>77</v>
      </c>
      <c r="G97" s="28" t="s">
        <v>77</v>
      </c>
      <c r="I97" s="26" t="s">
        <v>77</v>
      </c>
      <c r="J97" s="26" t="s">
        <v>77</v>
      </c>
      <c r="K97" s="18"/>
      <c r="L97" s="26" t="s">
        <v>77</v>
      </c>
      <c r="M97" s="6" t="s">
        <v>77</v>
      </c>
      <c r="N97" s="28" t="s">
        <v>77</v>
      </c>
      <c r="O97" s="26" t="s">
        <v>77</v>
      </c>
    </row>
    <row r="98">
      <c r="A98" s="52" t="s">
        <v>77</v>
      </c>
      <c r="B98" s="28" t="s">
        <v>77</v>
      </c>
      <c r="C98" s="28" t="s">
        <v>77</v>
      </c>
      <c r="D98" s="28" t="s">
        <v>77</v>
      </c>
      <c r="E98" s="28" t="s">
        <v>77</v>
      </c>
      <c r="F98" s="28" t="s">
        <v>77</v>
      </c>
      <c r="G98" s="28" t="s">
        <v>77</v>
      </c>
      <c r="I98" s="26" t="s">
        <v>77</v>
      </c>
      <c r="J98" s="26" t="s">
        <v>77</v>
      </c>
      <c r="K98" s="18"/>
      <c r="L98" s="26" t="s">
        <v>77</v>
      </c>
      <c r="M98" s="6" t="s">
        <v>77</v>
      </c>
      <c r="N98" s="28" t="s">
        <v>77</v>
      </c>
      <c r="O98" s="26" t="s">
        <v>77</v>
      </c>
    </row>
    <row r="99">
      <c r="A99" s="52" t="s">
        <v>77</v>
      </c>
      <c r="B99" s="28" t="s">
        <v>77</v>
      </c>
      <c r="C99" s="28" t="s">
        <v>77</v>
      </c>
      <c r="D99" s="28" t="s">
        <v>77</v>
      </c>
      <c r="E99" s="28" t="s">
        <v>77</v>
      </c>
      <c r="F99" s="28" t="s">
        <v>77</v>
      </c>
      <c r="G99" s="28" t="s">
        <v>77</v>
      </c>
      <c r="I99" s="26" t="s">
        <v>77</v>
      </c>
      <c r="J99" s="26" t="s">
        <v>77</v>
      </c>
      <c r="K99" s="18"/>
      <c r="L99" s="26" t="s">
        <v>77</v>
      </c>
      <c r="M99" s="6" t="s">
        <v>77</v>
      </c>
      <c r="N99" s="28" t="s">
        <v>77</v>
      </c>
      <c r="O99" s="26" t="s">
        <v>77</v>
      </c>
    </row>
    <row r="100">
      <c r="A100" s="52" t="s">
        <v>77</v>
      </c>
      <c r="B100" s="28" t="s">
        <v>77</v>
      </c>
      <c r="C100" s="28" t="s">
        <v>77</v>
      </c>
      <c r="D100" s="28" t="s">
        <v>77</v>
      </c>
      <c r="E100" s="28" t="s">
        <v>77</v>
      </c>
      <c r="F100" s="28" t="s">
        <v>77</v>
      </c>
      <c r="G100" s="28" t="s">
        <v>77</v>
      </c>
      <c r="I100" s="26" t="s">
        <v>77</v>
      </c>
      <c r="J100" s="26" t="s">
        <v>77</v>
      </c>
      <c r="K100" s="18"/>
      <c r="L100" s="26" t="s">
        <v>77</v>
      </c>
      <c r="M100" s="6" t="s">
        <v>77</v>
      </c>
      <c r="N100" s="28" t="s">
        <v>77</v>
      </c>
      <c r="O100" s="26" t="s">
        <v>77</v>
      </c>
    </row>
    <row r="101">
      <c r="A101" s="52" t="s">
        <v>77</v>
      </c>
      <c r="B101" s="28" t="s">
        <v>77</v>
      </c>
      <c r="C101" s="28" t="s">
        <v>77</v>
      </c>
      <c r="D101" s="28" t="s">
        <v>77</v>
      </c>
      <c r="E101" s="28" t="s">
        <v>77</v>
      </c>
      <c r="F101" s="28" t="s">
        <v>77</v>
      </c>
      <c r="G101" s="28" t="s">
        <v>77</v>
      </c>
      <c r="I101" s="26" t="s">
        <v>77</v>
      </c>
      <c r="J101" s="26" t="s">
        <v>77</v>
      </c>
      <c r="K101" s="18"/>
      <c r="L101" s="26" t="s">
        <v>77</v>
      </c>
      <c r="M101" s="6" t="s">
        <v>77</v>
      </c>
      <c r="N101" s="28" t="s">
        <v>77</v>
      </c>
      <c r="O101" s="26" t="s">
        <v>77</v>
      </c>
    </row>
    <row r="102">
      <c r="A102" s="52" t="s">
        <v>77</v>
      </c>
      <c r="B102" s="28" t="s">
        <v>77</v>
      </c>
      <c r="C102" s="28" t="s">
        <v>77</v>
      </c>
      <c r="D102" s="28" t="s">
        <v>77</v>
      </c>
      <c r="E102" s="28" t="s">
        <v>77</v>
      </c>
      <c r="F102" s="28" t="s">
        <v>77</v>
      </c>
      <c r="G102" s="28" t="s">
        <v>77</v>
      </c>
      <c r="I102" s="26" t="s">
        <v>77</v>
      </c>
      <c r="J102" s="26" t="s">
        <v>77</v>
      </c>
      <c r="K102" s="18"/>
      <c r="L102" s="26" t="s">
        <v>77</v>
      </c>
      <c r="M102" s="6" t="s">
        <v>77</v>
      </c>
      <c r="N102" s="28" t="s">
        <v>77</v>
      </c>
      <c r="O102" s="26" t="s">
        <v>77</v>
      </c>
    </row>
    <row r="103">
      <c r="A103" s="52" t="s">
        <v>77</v>
      </c>
      <c r="B103" s="28" t="s">
        <v>77</v>
      </c>
      <c r="C103" s="28" t="s">
        <v>77</v>
      </c>
      <c r="D103" s="28" t="s">
        <v>77</v>
      </c>
      <c r="E103" s="28" t="s">
        <v>77</v>
      </c>
      <c r="F103" s="28" t="s">
        <v>77</v>
      </c>
      <c r="G103" s="28" t="s">
        <v>77</v>
      </c>
      <c r="I103" s="26" t="s">
        <v>77</v>
      </c>
      <c r="J103" s="26" t="s">
        <v>77</v>
      </c>
      <c r="K103" s="18"/>
      <c r="L103" s="26" t="s">
        <v>77</v>
      </c>
      <c r="M103" s="6" t="s">
        <v>77</v>
      </c>
      <c r="N103" s="28" t="s">
        <v>77</v>
      </c>
      <c r="O103" s="26" t="s">
        <v>77</v>
      </c>
    </row>
    <row r="104">
      <c r="A104" s="52" t="s">
        <v>77</v>
      </c>
      <c r="B104" s="28" t="s">
        <v>77</v>
      </c>
      <c r="C104" s="28" t="s">
        <v>77</v>
      </c>
      <c r="D104" s="28" t="s">
        <v>77</v>
      </c>
      <c r="E104" s="28" t="s">
        <v>77</v>
      </c>
      <c r="F104" s="28" t="s">
        <v>77</v>
      </c>
      <c r="G104" s="28" t="s">
        <v>77</v>
      </c>
      <c r="I104" s="26" t="s">
        <v>77</v>
      </c>
      <c r="J104" s="26" t="s">
        <v>77</v>
      </c>
      <c r="K104" s="18"/>
      <c r="L104" s="26" t="s">
        <v>77</v>
      </c>
      <c r="M104" s="6" t="s">
        <v>77</v>
      </c>
      <c r="N104" s="28" t="s">
        <v>77</v>
      </c>
      <c r="O104" s="26" t="s">
        <v>77</v>
      </c>
    </row>
    <row r="105">
      <c r="A105" s="52" t="s">
        <v>77</v>
      </c>
      <c r="B105" s="28" t="s">
        <v>77</v>
      </c>
      <c r="C105" s="28" t="s">
        <v>77</v>
      </c>
      <c r="D105" s="28" t="s">
        <v>77</v>
      </c>
      <c r="E105" s="28" t="s">
        <v>77</v>
      </c>
      <c r="F105" s="28" t="s">
        <v>77</v>
      </c>
      <c r="G105" s="28" t="s">
        <v>77</v>
      </c>
      <c r="I105" s="26" t="s">
        <v>77</v>
      </c>
      <c r="J105" s="26" t="s">
        <v>77</v>
      </c>
      <c r="K105" s="18"/>
      <c r="L105" s="26" t="s">
        <v>77</v>
      </c>
      <c r="M105" s="6" t="s">
        <v>77</v>
      </c>
      <c r="N105" s="28" t="s">
        <v>77</v>
      </c>
      <c r="O105" s="26" t="s">
        <v>77</v>
      </c>
    </row>
    <row r="106">
      <c r="A106" s="52" t="s">
        <v>77</v>
      </c>
      <c r="B106" s="28" t="s">
        <v>77</v>
      </c>
      <c r="C106" s="28" t="s">
        <v>77</v>
      </c>
      <c r="D106" s="28" t="s">
        <v>77</v>
      </c>
      <c r="E106" s="28" t="s">
        <v>77</v>
      </c>
      <c r="F106" s="28" t="s">
        <v>77</v>
      </c>
      <c r="G106" s="28" t="s">
        <v>77</v>
      </c>
      <c r="I106" s="26" t="s">
        <v>77</v>
      </c>
      <c r="J106" s="26" t="s">
        <v>77</v>
      </c>
      <c r="K106" s="18"/>
      <c r="L106" s="26" t="s">
        <v>77</v>
      </c>
      <c r="M106" s="6" t="s">
        <v>77</v>
      </c>
      <c r="N106" s="28" t="s">
        <v>77</v>
      </c>
      <c r="O106" s="26" t="s">
        <v>77</v>
      </c>
    </row>
    <row r="107">
      <c r="A107" s="52" t="s">
        <v>77</v>
      </c>
      <c r="B107" s="28" t="s">
        <v>77</v>
      </c>
      <c r="C107" s="28" t="s">
        <v>77</v>
      </c>
      <c r="D107" s="28" t="s">
        <v>77</v>
      </c>
      <c r="E107" s="28" t="s">
        <v>77</v>
      </c>
      <c r="F107" s="28" t="s">
        <v>77</v>
      </c>
      <c r="G107" s="28" t="s">
        <v>77</v>
      </c>
      <c r="I107" s="26" t="s">
        <v>77</v>
      </c>
      <c r="J107" s="26" t="s">
        <v>77</v>
      </c>
      <c r="K107" s="18"/>
      <c r="L107" s="26" t="s">
        <v>77</v>
      </c>
      <c r="M107" s="6" t="s">
        <v>77</v>
      </c>
      <c r="N107" s="28" t="s">
        <v>77</v>
      </c>
      <c r="O107" s="26" t="s">
        <v>77</v>
      </c>
    </row>
    <row r="108">
      <c r="A108" s="52" t="s">
        <v>77</v>
      </c>
      <c r="B108" s="28" t="s">
        <v>77</v>
      </c>
      <c r="C108" s="28" t="s">
        <v>77</v>
      </c>
      <c r="D108" s="28" t="s">
        <v>77</v>
      </c>
      <c r="E108" s="28" t="s">
        <v>77</v>
      </c>
      <c r="F108" s="28" t="s">
        <v>77</v>
      </c>
      <c r="G108" s="28" t="s">
        <v>77</v>
      </c>
      <c r="I108" s="26" t="s">
        <v>77</v>
      </c>
      <c r="J108" s="26" t="s">
        <v>77</v>
      </c>
      <c r="K108" s="18"/>
      <c r="L108" s="26" t="s">
        <v>77</v>
      </c>
      <c r="M108" s="6" t="s">
        <v>77</v>
      </c>
      <c r="N108" s="28" t="s">
        <v>77</v>
      </c>
      <c r="O108" s="26" t="s">
        <v>77</v>
      </c>
    </row>
    <row r="109">
      <c r="A109" s="52" t="s">
        <v>77</v>
      </c>
      <c r="B109" s="28" t="s">
        <v>77</v>
      </c>
      <c r="C109" s="28" t="s">
        <v>77</v>
      </c>
      <c r="D109" s="28" t="s">
        <v>77</v>
      </c>
      <c r="E109" s="28" t="s">
        <v>77</v>
      </c>
      <c r="F109" s="28" t="s">
        <v>77</v>
      </c>
      <c r="G109" s="28" t="s">
        <v>77</v>
      </c>
      <c r="I109" s="26" t="s">
        <v>77</v>
      </c>
      <c r="J109" s="26" t="s">
        <v>77</v>
      </c>
      <c r="K109" s="18"/>
      <c r="L109" s="26" t="s">
        <v>77</v>
      </c>
      <c r="M109" s="6" t="s">
        <v>77</v>
      </c>
      <c r="N109" s="28" t="s">
        <v>77</v>
      </c>
      <c r="O109" s="26" t="s">
        <v>77</v>
      </c>
    </row>
    <row r="110">
      <c r="A110" s="52" t="s">
        <v>77</v>
      </c>
      <c r="B110" s="28" t="s">
        <v>77</v>
      </c>
      <c r="C110" s="28" t="s">
        <v>77</v>
      </c>
      <c r="D110" s="28" t="s">
        <v>77</v>
      </c>
      <c r="E110" s="28" t="s">
        <v>77</v>
      </c>
      <c r="F110" s="28" t="s">
        <v>77</v>
      </c>
      <c r="G110" s="28" t="s">
        <v>77</v>
      </c>
      <c r="I110" s="26" t="s">
        <v>77</v>
      </c>
      <c r="J110" s="26" t="s">
        <v>77</v>
      </c>
      <c r="K110" s="18"/>
      <c r="L110" s="26" t="s">
        <v>77</v>
      </c>
      <c r="M110" s="6" t="s">
        <v>77</v>
      </c>
      <c r="N110" s="28" t="s">
        <v>77</v>
      </c>
      <c r="O110" s="26" t="s">
        <v>77</v>
      </c>
    </row>
    <row r="111">
      <c r="A111" s="52" t="s">
        <v>77</v>
      </c>
      <c r="B111" s="28" t="s">
        <v>77</v>
      </c>
      <c r="C111" s="28" t="s">
        <v>77</v>
      </c>
      <c r="D111" s="28" t="s">
        <v>77</v>
      </c>
      <c r="E111" s="28" t="s">
        <v>77</v>
      </c>
      <c r="F111" s="28" t="s">
        <v>77</v>
      </c>
      <c r="G111" s="28" t="s">
        <v>77</v>
      </c>
      <c r="I111" s="26" t="s">
        <v>77</v>
      </c>
      <c r="J111" s="26" t="s">
        <v>77</v>
      </c>
      <c r="K111" s="18"/>
      <c r="L111" s="26" t="s">
        <v>77</v>
      </c>
      <c r="M111" s="6" t="s">
        <v>77</v>
      </c>
      <c r="N111" s="28" t="s">
        <v>77</v>
      </c>
      <c r="O111" s="26" t="s">
        <v>77</v>
      </c>
    </row>
    <row r="112">
      <c r="A112" s="52" t="s">
        <v>77</v>
      </c>
      <c r="B112" s="28" t="s">
        <v>77</v>
      </c>
      <c r="C112" s="28" t="s">
        <v>77</v>
      </c>
      <c r="D112" s="28" t="s">
        <v>77</v>
      </c>
      <c r="E112" s="28" t="s">
        <v>77</v>
      </c>
      <c r="F112" s="28" t="s">
        <v>77</v>
      </c>
      <c r="G112" s="28" t="s">
        <v>77</v>
      </c>
      <c r="I112" s="26" t="s">
        <v>77</v>
      </c>
      <c r="J112" s="26" t="s">
        <v>77</v>
      </c>
      <c r="K112" s="18"/>
      <c r="L112" s="26" t="s">
        <v>77</v>
      </c>
      <c r="M112" s="6" t="s">
        <v>77</v>
      </c>
      <c r="N112" s="28" t="s">
        <v>77</v>
      </c>
      <c r="O112" s="26" t="s">
        <v>77</v>
      </c>
    </row>
    <row r="113">
      <c r="A113" s="52" t="s">
        <v>77</v>
      </c>
      <c r="B113" s="28" t="s">
        <v>77</v>
      </c>
      <c r="C113" s="28" t="s">
        <v>77</v>
      </c>
      <c r="D113" s="28" t="s">
        <v>77</v>
      </c>
      <c r="E113" s="28" t="s">
        <v>77</v>
      </c>
      <c r="F113" s="28" t="s">
        <v>77</v>
      </c>
      <c r="G113" s="28" t="s">
        <v>77</v>
      </c>
      <c r="I113" s="26" t="s">
        <v>77</v>
      </c>
      <c r="J113" s="26" t="s">
        <v>77</v>
      </c>
      <c r="K113" s="18"/>
      <c r="L113" s="26" t="s">
        <v>77</v>
      </c>
      <c r="M113" s="6" t="s">
        <v>77</v>
      </c>
      <c r="N113" s="28" t="s">
        <v>77</v>
      </c>
      <c r="O113" s="26" t="s">
        <v>77</v>
      </c>
    </row>
    <row r="114">
      <c r="A114" s="52" t="s">
        <v>77</v>
      </c>
      <c r="B114" s="28" t="s">
        <v>77</v>
      </c>
      <c r="C114" s="28" t="s">
        <v>77</v>
      </c>
      <c r="D114" s="28" t="s">
        <v>77</v>
      </c>
      <c r="E114" s="28" t="s">
        <v>77</v>
      </c>
      <c r="F114" s="28" t="s">
        <v>77</v>
      </c>
      <c r="G114" s="28" t="s">
        <v>77</v>
      </c>
      <c r="I114" s="26" t="s">
        <v>77</v>
      </c>
      <c r="J114" s="26" t="s">
        <v>77</v>
      </c>
      <c r="K114" s="18"/>
      <c r="L114" s="26" t="s">
        <v>77</v>
      </c>
      <c r="M114" s="6" t="s">
        <v>77</v>
      </c>
      <c r="N114" s="28" t="s">
        <v>77</v>
      </c>
      <c r="O114" s="26" t="s">
        <v>77</v>
      </c>
    </row>
    <row r="115">
      <c r="A115" s="52" t="s">
        <v>77</v>
      </c>
      <c r="B115" s="28" t="s">
        <v>77</v>
      </c>
      <c r="C115" s="28" t="s">
        <v>77</v>
      </c>
      <c r="D115" s="28" t="s">
        <v>77</v>
      </c>
      <c r="E115" s="28" t="s">
        <v>77</v>
      </c>
      <c r="F115" s="28" t="s">
        <v>77</v>
      </c>
      <c r="G115" s="28" t="s">
        <v>77</v>
      </c>
      <c r="I115" s="26" t="s">
        <v>77</v>
      </c>
      <c r="J115" s="26" t="s">
        <v>77</v>
      </c>
      <c r="K115" s="18"/>
      <c r="L115" s="26" t="s">
        <v>77</v>
      </c>
      <c r="M115" s="6" t="s">
        <v>77</v>
      </c>
      <c r="N115" s="28" t="s">
        <v>77</v>
      </c>
      <c r="O115" s="26" t="s">
        <v>77</v>
      </c>
    </row>
    <row r="116">
      <c r="A116" s="52" t="s">
        <v>77</v>
      </c>
      <c r="B116" s="28" t="s">
        <v>77</v>
      </c>
      <c r="C116" s="28" t="s">
        <v>77</v>
      </c>
      <c r="D116" s="28" t="s">
        <v>77</v>
      </c>
      <c r="E116" s="28" t="s">
        <v>77</v>
      </c>
      <c r="F116" s="28" t="s">
        <v>77</v>
      </c>
      <c r="G116" s="28" t="s">
        <v>77</v>
      </c>
      <c r="I116" s="26" t="s">
        <v>77</v>
      </c>
      <c r="J116" s="26" t="s">
        <v>77</v>
      </c>
      <c r="K116" s="18"/>
      <c r="L116" s="26" t="s">
        <v>77</v>
      </c>
      <c r="M116" s="6" t="s">
        <v>77</v>
      </c>
      <c r="N116" s="28" t="s">
        <v>77</v>
      </c>
      <c r="O116" s="26" t="s">
        <v>77</v>
      </c>
    </row>
    <row r="117">
      <c r="A117" s="52" t="s">
        <v>77</v>
      </c>
      <c r="B117" s="28" t="s">
        <v>77</v>
      </c>
      <c r="C117" s="28" t="s">
        <v>77</v>
      </c>
      <c r="D117" s="28" t="s">
        <v>77</v>
      </c>
      <c r="E117" s="28" t="s">
        <v>77</v>
      </c>
      <c r="F117" s="28" t="s">
        <v>77</v>
      </c>
      <c r="G117" s="28" t="s">
        <v>77</v>
      </c>
      <c r="I117" s="26" t="s">
        <v>77</v>
      </c>
      <c r="J117" s="26" t="s">
        <v>77</v>
      </c>
      <c r="K117" s="18"/>
      <c r="L117" s="26" t="s">
        <v>77</v>
      </c>
      <c r="M117" s="6" t="s">
        <v>77</v>
      </c>
      <c r="N117" s="28" t="s">
        <v>77</v>
      </c>
      <c r="O117" s="26" t="s">
        <v>77</v>
      </c>
    </row>
    <row r="118">
      <c r="A118" s="52" t="s">
        <v>77</v>
      </c>
      <c r="B118" s="28" t="s">
        <v>77</v>
      </c>
      <c r="C118" s="28" t="s">
        <v>77</v>
      </c>
      <c r="D118" s="28" t="s">
        <v>77</v>
      </c>
      <c r="E118" s="28" t="s">
        <v>77</v>
      </c>
      <c r="F118" s="28" t="s">
        <v>77</v>
      </c>
      <c r="G118" s="28" t="s">
        <v>77</v>
      </c>
      <c r="I118" s="26" t="s">
        <v>77</v>
      </c>
      <c r="J118" s="26" t="s">
        <v>77</v>
      </c>
      <c r="K118" s="18"/>
      <c r="L118" s="26" t="s">
        <v>77</v>
      </c>
      <c r="M118" s="6" t="s">
        <v>77</v>
      </c>
      <c r="N118" s="28" t="s">
        <v>77</v>
      </c>
      <c r="O118" s="26" t="s">
        <v>77</v>
      </c>
    </row>
    <row r="119">
      <c r="A119" s="52" t="s">
        <v>77</v>
      </c>
      <c r="B119" s="28" t="s">
        <v>77</v>
      </c>
      <c r="C119" s="28" t="s">
        <v>77</v>
      </c>
      <c r="D119" s="28" t="s">
        <v>77</v>
      </c>
      <c r="E119" s="28" t="s">
        <v>77</v>
      </c>
      <c r="F119" s="28" t="s">
        <v>77</v>
      </c>
      <c r="G119" s="28" t="s">
        <v>77</v>
      </c>
      <c r="I119" s="26" t="s">
        <v>77</v>
      </c>
      <c r="J119" s="26" t="s">
        <v>77</v>
      </c>
      <c r="K119" s="18"/>
      <c r="L119" s="26" t="s">
        <v>77</v>
      </c>
      <c r="M119" s="6" t="s">
        <v>77</v>
      </c>
      <c r="N119" s="28" t="s">
        <v>77</v>
      </c>
      <c r="O119" s="26" t="s">
        <v>77</v>
      </c>
    </row>
    <row r="120">
      <c r="A120" s="52" t="s">
        <v>77</v>
      </c>
      <c r="B120" s="28" t="s">
        <v>77</v>
      </c>
      <c r="C120" s="28" t="s">
        <v>77</v>
      </c>
      <c r="D120" s="28" t="s">
        <v>77</v>
      </c>
      <c r="E120" s="28" t="s">
        <v>77</v>
      </c>
      <c r="F120" s="28" t="s">
        <v>77</v>
      </c>
      <c r="G120" s="28" t="s">
        <v>77</v>
      </c>
      <c r="I120" s="26" t="s">
        <v>77</v>
      </c>
      <c r="J120" s="26" t="s">
        <v>77</v>
      </c>
      <c r="K120" s="18"/>
      <c r="L120" s="26" t="s">
        <v>77</v>
      </c>
      <c r="M120" s="6" t="s">
        <v>77</v>
      </c>
      <c r="N120" s="28" t="s">
        <v>77</v>
      </c>
      <c r="O120" s="26" t="s">
        <v>77</v>
      </c>
    </row>
    <row r="121">
      <c r="A121" s="52" t="s">
        <v>77</v>
      </c>
      <c r="B121" s="28" t="s">
        <v>77</v>
      </c>
      <c r="C121" s="28" t="s">
        <v>77</v>
      </c>
      <c r="D121" s="28" t="s">
        <v>77</v>
      </c>
      <c r="E121" s="28" t="s">
        <v>77</v>
      </c>
      <c r="F121" s="28" t="s">
        <v>77</v>
      </c>
      <c r="G121" s="28" t="s">
        <v>77</v>
      </c>
      <c r="I121" s="26" t="s">
        <v>77</v>
      </c>
      <c r="J121" s="26" t="s">
        <v>77</v>
      </c>
      <c r="K121" s="18"/>
      <c r="L121" s="26" t="s">
        <v>77</v>
      </c>
      <c r="M121" s="6" t="s">
        <v>77</v>
      </c>
      <c r="N121" s="28" t="s">
        <v>77</v>
      </c>
      <c r="O121" s="26" t="s">
        <v>77</v>
      </c>
    </row>
    <row r="122">
      <c r="A122" s="52" t="s">
        <v>77</v>
      </c>
      <c r="B122" s="28" t="s">
        <v>77</v>
      </c>
      <c r="C122" s="28" t="s">
        <v>77</v>
      </c>
      <c r="D122" s="28" t="s">
        <v>77</v>
      </c>
      <c r="E122" s="28" t="s">
        <v>77</v>
      </c>
      <c r="F122" s="28" t="s">
        <v>77</v>
      </c>
      <c r="G122" s="28" t="s">
        <v>77</v>
      </c>
      <c r="I122" s="26" t="s">
        <v>77</v>
      </c>
      <c r="J122" s="26" t="s">
        <v>77</v>
      </c>
      <c r="K122" s="18"/>
      <c r="L122" s="26" t="s">
        <v>77</v>
      </c>
      <c r="M122" s="6" t="s">
        <v>77</v>
      </c>
      <c r="N122" s="28" t="s">
        <v>77</v>
      </c>
      <c r="O122" s="26" t="s">
        <v>77</v>
      </c>
    </row>
    <row r="123">
      <c r="A123" s="52" t="s">
        <v>77</v>
      </c>
      <c r="B123" s="28" t="s">
        <v>77</v>
      </c>
      <c r="C123" s="28" t="s">
        <v>77</v>
      </c>
      <c r="D123" s="28" t="s">
        <v>77</v>
      </c>
      <c r="E123" s="28" t="s">
        <v>77</v>
      </c>
      <c r="F123" s="28" t="s">
        <v>77</v>
      </c>
      <c r="G123" s="28" t="s">
        <v>77</v>
      </c>
      <c r="I123" s="26" t="s">
        <v>77</v>
      </c>
      <c r="J123" s="26" t="s">
        <v>77</v>
      </c>
      <c r="K123" s="18"/>
      <c r="L123" s="26" t="s">
        <v>77</v>
      </c>
      <c r="M123" s="6" t="s">
        <v>77</v>
      </c>
      <c r="N123" s="28" t="s">
        <v>77</v>
      </c>
      <c r="O123" s="26" t="s">
        <v>77</v>
      </c>
    </row>
    <row r="124">
      <c r="A124" s="52" t="s">
        <v>77</v>
      </c>
      <c r="B124" s="28" t="s">
        <v>77</v>
      </c>
      <c r="C124" s="28" t="s">
        <v>77</v>
      </c>
      <c r="D124" s="28" t="s">
        <v>77</v>
      </c>
      <c r="E124" s="28" t="s">
        <v>77</v>
      </c>
      <c r="F124" s="28" t="s">
        <v>77</v>
      </c>
      <c r="G124" s="28" t="s">
        <v>77</v>
      </c>
      <c r="I124" s="26" t="s">
        <v>77</v>
      </c>
      <c r="J124" s="26" t="s">
        <v>77</v>
      </c>
      <c r="K124" s="18"/>
      <c r="L124" s="26" t="s">
        <v>77</v>
      </c>
      <c r="M124" s="6" t="s">
        <v>77</v>
      </c>
      <c r="N124" s="28" t="s">
        <v>77</v>
      </c>
      <c r="O124" s="26" t="s">
        <v>77</v>
      </c>
    </row>
    <row r="125">
      <c r="A125" s="52" t="s">
        <v>77</v>
      </c>
      <c r="B125" s="28" t="s">
        <v>77</v>
      </c>
      <c r="C125" s="28" t="s">
        <v>77</v>
      </c>
      <c r="D125" s="28" t="s">
        <v>77</v>
      </c>
      <c r="E125" s="28" t="s">
        <v>77</v>
      </c>
      <c r="F125" s="28" t="s">
        <v>77</v>
      </c>
      <c r="G125" s="28" t="s">
        <v>77</v>
      </c>
      <c r="I125" s="26" t="s">
        <v>77</v>
      </c>
      <c r="J125" s="26" t="s">
        <v>77</v>
      </c>
      <c r="K125" s="18"/>
      <c r="L125" s="26" t="s">
        <v>77</v>
      </c>
      <c r="M125" s="6" t="s">
        <v>77</v>
      </c>
      <c r="N125" s="28" t="s">
        <v>77</v>
      </c>
      <c r="O125" s="26" t="s">
        <v>77</v>
      </c>
    </row>
    <row r="126">
      <c r="A126" s="52" t="s">
        <v>77</v>
      </c>
      <c r="B126" s="28" t="s">
        <v>77</v>
      </c>
      <c r="C126" s="28" t="s">
        <v>77</v>
      </c>
      <c r="D126" s="28" t="s">
        <v>77</v>
      </c>
      <c r="E126" s="28" t="s">
        <v>77</v>
      </c>
      <c r="F126" s="28" t="s">
        <v>77</v>
      </c>
      <c r="G126" s="28" t="s">
        <v>77</v>
      </c>
      <c r="I126" s="26" t="s">
        <v>77</v>
      </c>
      <c r="J126" s="26" t="s">
        <v>77</v>
      </c>
      <c r="K126" s="18"/>
      <c r="L126" s="26" t="s">
        <v>77</v>
      </c>
      <c r="M126" s="6" t="s">
        <v>77</v>
      </c>
      <c r="N126" s="28" t="s">
        <v>77</v>
      </c>
      <c r="O126" s="26" t="s">
        <v>77</v>
      </c>
    </row>
    <row r="127">
      <c r="A127" s="52" t="s">
        <v>77</v>
      </c>
      <c r="B127" s="28" t="s">
        <v>77</v>
      </c>
      <c r="C127" s="28" t="s">
        <v>77</v>
      </c>
      <c r="D127" s="28" t="s">
        <v>77</v>
      </c>
      <c r="E127" s="28" t="s">
        <v>77</v>
      </c>
      <c r="F127" s="28" t="s">
        <v>77</v>
      </c>
      <c r="G127" s="28" t="s">
        <v>77</v>
      </c>
      <c r="I127" s="26" t="s">
        <v>77</v>
      </c>
      <c r="J127" s="26" t="s">
        <v>77</v>
      </c>
      <c r="K127" s="18"/>
      <c r="L127" s="26" t="s">
        <v>77</v>
      </c>
      <c r="M127" s="6" t="s">
        <v>77</v>
      </c>
      <c r="N127" s="28" t="s">
        <v>77</v>
      </c>
      <c r="O127" s="26" t="s">
        <v>77</v>
      </c>
    </row>
    <row r="128">
      <c r="A128" s="52" t="s">
        <v>77</v>
      </c>
      <c r="B128" s="28" t="s">
        <v>77</v>
      </c>
      <c r="C128" s="28" t="s">
        <v>77</v>
      </c>
      <c r="D128" s="28" t="s">
        <v>77</v>
      </c>
      <c r="E128" s="28" t="s">
        <v>77</v>
      </c>
      <c r="F128" s="28" t="s">
        <v>77</v>
      </c>
      <c r="G128" s="28" t="s">
        <v>77</v>
      </c>
      <c r="I128" s="26" t="s">
        <v>77</v>
      </c>
      <c r="J128" s="26" t="s">
        <v>77</v>
      </c>
      <c r="K128" s="18"/>
      <c r="L128" s="26" t="s">
        <v>77</v>
      </c>
      <c r="M128" s="6" t="s">
        <v>77</v>
      </c>
      <c r="N128" s="28" t="s">
        <v>77</v>
      </c>
      <c r="O128" s="26" t="s">
        <v>77</v>
      </c>
    </row>
    <row r="129">
      <c r="A129" s="52" t="s">
        <v>77</v>
      </c>
      <c r="B129" s="28" t="s">
        <v>77</v>
      </c>
      <c r="C129" s="28" t="s">
        <v>77</v>
      </c>
      <c r="D129" s="28" t="s">
        <v>77</v>
      </c>
      <c r="E129" s="28" t="s">
        <v>77</v>
      </c>
      <c r="F129" s="28" t="s">
        <v>77</v>
      </c>
      <c r="G129" s="28" t="s">
        <v>77</v>
      </c>
      <c r="I129" s="26" t="s">
        <v>77</v>
      </c>
      <c r="J129" s="26" t="s">
        <v>77</v>
      </c>
      <c r="K129" s="18"/>
      <c r="L129" s="26" t="s">
        <v>77</v>
      </c>
      <c r="M129" s="6" t="s">
        <v>77</v>
      </c>
      <c r="N129" s="28" t="s">
        <v>77</v>
      </c>
      <c r="O129" s="26" t="s">
        <v>77</v>
      </c>
    </row>
    <row r="130">
      <c r="A130" s="52" t="s">
        <v>77</v>
      </c>
      <c r="B130" s="28" t="s">
        <v>77</v>
      </c>
      <c r="C130" s="28" t="s">
        <v>77</v>
      </c>
      <c r="D130" s="28" t="s">
        <v>77</v>
      </c>
      <c r="E130" s="28" t="s">
        <v>77</v>
      </c>
      <c r="F130" s="28" t="s">
        <v>77</v>
      </c>
      <c r="G130" s="28" t="s">
        <v>77</v>
      </c>
      <c r="I130" s="26" t="s">
        <v>77</v>
      </c>
      <c r="J130" s="26" t="s">
        <v>77</v>
      </c>
      <c r="K130" s="18"/>
      <c r="L130" s="26" t="s">
        <v>77</v>
      </c>
      <c r="M130" s="6" t="s">
        <v>77</v>
      </c>
      <c r="N130" s="28" t="s">
        <v>77</v>
      </c>
      <c r="O130" s="26" t="s">
        <v>77</v>
      </c>
    </row>
    <row r="131">
      <c r="A131" s="52" t="s">
        <v>77</v>
      </c>
      <c r="B131" s="28" t="s">
        <v>77</v>
      </c>
      <c r="C131" s="28" t="s">
        <v>77</v>
      </c>
      <c r="D131" s="28" t="s">
        <v>77</v>
      </c>
      <c r="E131" s="28" t="s">
        <v>77</v>
      </c>
      <c r="F131" s="28" t="s">
        <v>77</v>
      </c>
      <c r="G131" s="28" t="s">
        <v>77</v>
      </c>
      <c r="I131" s="26" t="s">
        <v>77</v>
      </c>
      <c r="J131" s="26" t="s">
        <v>77</v>
      </c>
      <c r="K131" s="18"/>
      <c r="L131" s="26" t="s">
        <v>77</v>
      </c>
      <c r="M131" s="6" t="s">
        <v>77</v>
      </c>
      <c r="N131" s="28" t="s">
        <v>77</v>
      </c>
      <c r="O131" s="26" t="s">
        <v>77</v>
      </c>
    </row>
    <row r="132">
      <c r="A132" s="52" t="s">
        <v>77</v>
      </c>
      <c r="B132" s="28" t="s">
        <v>77</v>
      </c>
      <c r="C132" s="28" t="s">
        <v>77</v>
      </c>
      <c r="D132" s="28" t="s">
        <v>77</v>
      </c>
      <c r="E132" s="28" t="s">
        <v>77</v>
      </c>
      <c r="F132" s="28" t="s">
        <v>77</v>
      </c>
      <c r="G132" s="28" t="s">
        <v>77</v>
      </c>
      <c r="I132" s="26" t="s">
        <v>77</v>
      </c>
      <c r="J132" s="26" t="s">
        <v>77</v>
      </c>
      <c r="K132" s="18"/>
      <c r="L132" s="26" t="s">
        <v>77</v>
      </c>
      <c r="M132" s="6" t="s">
        <v>77</v>
      </c>
      <c r="N132" s="28" t="s">
        <v>77</v>
      </c>
      <c r="O132" s="26" t="s">
        <v>77</v>
      </c>
    </row>
    <row r="133">
      <c r="A133" s="52" t="s">
        <v>77</v>
      </c>
      <c r="B133" s="28" t="s">
        <v>77</v>
      </c>
      <c r="C133" s="28" t="s">
        <v>77</v>
      </c>
      <c r="D133" s="28" t="s">
        <v>77</v>
      </c>
      <c r="E133" s="28" t="s">
        <v>77</v>
      </c>
      <c r="F133" s="28" t="s">
        <v>77</v>
      </c>
      <c r="G133" s="28" t="s">
        <v>77</v>
      </c>
      <c r="I133" s="26" t="s">
        <v>77</v>
      </c>
      <c r="J133" s="26" t="s">
        <v>77</v>
      </c>
      <c r="K133" s="18"/>
      <c r="L133" s="26" t="s">
        <v>77</v>
      </c>
      <c r="M133" s="6" t="s">
        <v>77</v>
      </c>
      <c r="N133" s="28" t="s">
        <v>77</v>
      </c>
      <c r="O133" s="26" t="s">
        <v>77</v>
      </c>
    </row>
    <row r="134">
      <c r="A134" s="52" t="s">
        <v>77</v>
      </c>
      <c r="B134" s="28" t="s">
        <v>77</v>
      </c>
      <c r="C134" s="28" t="s">
        <v>77</v>
      </c>
      <c r="D134" s="28" t="s">
        <v>77</v>
      </c>
      <c r="E134" s="28" t="s">
        <v>77</v>
      </c>
      <c r="F134" s="28" t="s">
        <v>77</v>
      </c>
      <c r="G134" s="28" t="s">
        <v>77</v>
      </c>
      <c r="I134" s="26" t="s">
        <v>77</v>
      </c>
      <c r="J134" s="26" t="s">
        <v>77</v>
      </c>
      <c r="K134" s="18"/>
      <c r="L134" s="26" t="s">
        <v>77</v>
      </c>
      <c r="M134" s="6" t="s">
        <v>77</v>
      </c>
      <c r="N134" s="28" t="s">
        <v>77</v>
      </c>
      <c r="O134" s="26" t="s">
        <v>77</v>
      </c>
    </row>
    <row r="135">
      <c r="A135" s="52" t="s">
        <v>77</v>
      </c>
      <c r="B135" s="28" t="s">
        <v>77</v>
      </c>
      <c r="C135" s="28" t="s">
        <v>77</v>
      </c>
      <c r="D135" s="28" t="s">
        <v>77</v>
      </c>
      <c r="E135" s="28" t="s">
        <v>77</v>
      </c>
      <c r="F135" s="28" t="s">
        <v>77</v>
      </c>
      <c r="G135" s="28" t="s">
        <v>77</v>
      </c>
      <c r="I135" s="26" t="s">
        <v>77</v>
      </c>
      <c r="J135" s="26" t="s">
        <v>77</v>
      </c>
      <c r="K135" s="18"/>
      <c r="L135" s="26" t="s">
        <v>77</v>
      </c>
      <c r="M135" s="6" t="s">
        <v>77</v>
      </c>
      <c r="N135" s="28" t="s">
        <v>77</v>
      </c>
      <c r="O135" s="26" t="s">
        <v>77</v>
      </c>
    </row>
    <row r="136">
      <c r="A136" s="52" t="s">
        <v>77</v>
      </c>
      <c r="B136" s="28" t="s">
        <v>77</v>
      </c>
      <c r="C136" s="28" t="s">
        <v>77</v>
      </c>
      <c r="D136" s="28" t="s">
        <v>77</v>
      </c>
      <c r="E136" s="28" t="s">
        <v>77</v>
      </c>
      <c r="F136" s="28" t="s">
        <v>77</v>
      </c>
      <c r="G136" s="28" t="s">
        <v>77</v>
      </c>
      <c r="I136" s="26" t="s">
        <v>77</v>
      </c>
      <c r="J136" s="26" t="s">
        <v>77</v>
      </c>
      <c r="K136" s="18"/>
      <c r="L136" s="26" t="s">
        <v>77</v>
      </c>
      <c r="M136" s="6" t="s">
        <v>77</v>
      </c>
      <c r="N136" s="28" t="s">
        <v>77</v>
      </c>
      <c r="O136" s="26" t="s">
        <v>77</v>
      </c>
    </row>
    <row r="137">
      <c r="A137" s="52" t="s">
        <v>77</v>
      </c>
      <c r="B137" s="28" t="s">
        <v>77</v>
      </c>
      <c r="C137" s="28" t="s">
        <v>77</v>
      </c>
      <c r="D137" s="28" t="s">
        <v>77</v>
      </c>
      <c r="E137" s="28" t="s">
        <v>77</v>
      </c>
      <c r="F137" s="28" t="s">
        <v>77</v>
      </c>
      <c r="G137" s="28" t="s">
        <v>77</v>
      </c>
      <c r="I137" s="26" t="s">
        <v>77</v>
      </c>
      <c r="J137" s="26" t="s">
        <v>77</v>
      </c>
      <c r="K137" s="18"/>
      <c r="L137" s="26" t="s">
        <v>77</v>
      </c>
      <c r="M137" s="6" t="s">
        <v>77</v>
      </c>
      <c r="N137" s="28" t="s">
        <v>77</v>
      </c>
      <c r="O137" s="26" t="s">
        <v>77</v>
      </c>
    </row>
    <row r="138">
      <c r="A138" s="52" t="s">
        <v>77</v>
      </c>
      <c r="B138" s="28" t="s">
        <v>77</v>
      </c>
      <c r="C138" s="28" t="s">
        <v>77</v>
      </c>
      <c r="D138" s="28" t="s">
        <v>77</v>
      </c>
      <c r="E138" s="28" t="s">
        <v>77</v>
      </c>
      <c r="F138" s="28" t="s">
        <v>77</v>
      </c>
      <c r="G138" s="28" t="s">
        <v>77</v>
      </c>
      <c r="I138" s="26" t="s">
        <v>77</v>
      </c>
      <c r="J138" s="26" t="s">
        <v>77</v>
      </c>
      <c r="K138" s="18"/>
      <c r="L138" s="26" t="s">
        <v>77</v>
      </c>
      <c r="M138" s="6" t="s">
        <v>77</v>
      </c>
      <c r="N138" s="28" t="s">
        <v>77</v>
      </c>
      <c r="O138" s="26" t="s">
        <v>77</v>
      </c>
    </row>
    <row r="139">
      <c r="A139" s="52" t="s">
        <v>77</v>
      </c>
      <c r="B139" s="28" t="s">
        <v>77</v>
      </c>
      <c r="C139" s="28" t="s">
        <v>77</v>
      </c>
      <c r="D139" s="28" t="s">
        <v>77</v>
      </c>
      <c r="E139" s="28" t="s">
        <v>77</v>
      </c>
      <c r="F139" s="28" t="s">
        <v>77</v>
      </c>
      <c r="G139" s="28" t="s">
        <v>77</v>
      </c>
      <c r="I139" s="26" t="s">
        <v>77</v>
      </c>
      <c r="J139" s="26" t="s">
        <v>77</v>
      </c>
      <c r="K139" s="18"/>
      <c r="L139" s="26" t="s">
        <v>77</v>
      </c>
      <c r="M139" s="6" t="s">
        <v>77</v>
      </c>
      <c r="N139" s="28" t="s">
        <v>77</v>
      </c>
      <c r="O139" s="26" t="s">
        <v>77</v>
      </c>
    </row>
    <row r="140">
      <c r="A140" s="52" t="s">
        <v>77</v>
      </c>
      <c r="B140" s="28" t="s">
        <v>77</v>
      </c>
      <c r="C140" s="28" t="s">
        <v>77</v>
      </c>
      <c r="D140" s="28" t="s">
        <v>77</v>
      </c>
      <c r="E140" s="28" t="s">
        <v>77</v>
      </c>
      <c r="F140" s="28" t="s">
        <v>77</v>
      </c>
      <c r="G140" s="28" t="s">
        <v>77</v>
      </c>
      <c r="I140" s="26" t="s">
        <v>77</v>
      </c>
      <c r="J140" s="26" t="s">
        <v>77</v>
      </c>
      <c r="K140" s="18"/>
      <c r="L140" s="26" t="s">
        <v>77</v>
      </c>
      <c r="M140" s="6" t="s">
        <v>77</v>
      </c>
      <c r="N140" s="28" t="s">
        <v>77</v>
      </c>
      <c r="O140" s="26" t="s">
        <v>77</v>
      </c>
    </row>
    <row r="141">
      <c r="A141" s="52" t="s">
        <v>77</v>
      </c>
      <c r="B141" s="28" t="s">
        <v>77</v>
      </c>
      <c r="C141" s="28" t="s">
        <v>77</v>
      </c>
      <c r="D141" s="28" t="s">
        <v>77</v>
      </c>
      <c r="E141" s="28" t="s">
        <v>77</v>
      </c>
      <c r="F141" s="28" t="s">
        <v>77</v>
      </c>
      <c r="G141" s="28" t="s">
        <v>77</v>
      </c>
      <c r="I141" s="26" t="s">
        <v>77</v>
      </c>
      <c r="J141" s="26" t="s">
        <v>77</v>
      </c>
      <c r="K141" s="18"/>
      <c r="L141" s="26" t="s">
        <v>77</v>
      </c>
      <c r="M141" s="6" t="s">
        <v>77</v>
      </c>
      <c r="N141" s="28" t="s">
        <v>77</v>
      </c>
      <c r="O141" s="26" t="s">
        <v>77</v>
      </c>
    </row>
    <row r="142">
      <c r="A142" s="52" t="s">
        <v>77</v>
      </c>
      <c r="B142" s="28" t="s">
        <v>77</v>
      </c>
      <c r="C142" s="28" t="s">
        <v>77</v>
      </c>
      <c r="D142" s="28" t="s">
        <v>77</v>
      </c>
      <c r="E142" s="28" t="s">
        <v>77</v>
      </c>
      <c r="F142" s="28" t="s">
        <v>77</v>
      </c>
      <c r="G142" s="28" t="s">
        <v>77</v>
      </c>
      <c r="I142" s="26" t="s">
        <v>77</v>
      </c>
      <c r="J142" s="26" t="s">
        <v>77</v>
      </c>
      <c r="K142" s="18"/>
      <c r="L142" s="26" t="s">
        <v>77</v>
      </c>
      <c r="M142" s="6" t="s">
        <v>77</v>
      </c>
      <c r="N142" s="28" t="s">
        <v>77</v>
      </c>
      <c r="O142" s="26" t="s">
        <v>77</v>
      </c>
    </row>
    <row r="143">
      <c r="A143" s="52" t="s">
        <v>77</v>
      </c>
      <c r="B143" s="28" t="s">
        <v>77</v>
      </c>
      <c r="C143" s="28" t="s">
        <v>77</v>
      </c>
      <c r="D143" s="28" t="s">
        <v>77</v>
      </c>
      <c r="E143" s="28" t="s">
        <v>77</v>
      </c>
      <c r="F143" s="28" t="s">
        <v>77</v>
      </c>
      <c r="G143" s="28" t="s">
        <v>77</v>
      </c>
      <c r="I143" s="26" t="s">
        <v>77</v>
      </c>
      <c r="J143" s="26" t="s">
        <v>77</v>
      </c>
      <c r="K143" s="18"/>
      <c r="L143" s="26" t="s">
        <v>77</v>
      </c>
      <c r="M143" s="6" t="s">
        <v>77</v>
      </c>
      <c r="N143" s="28" t="s">
        <v>77</v>
      </c>
      <c r="O143" s="26" t="s">
        <v>77</v>
      </c>
    </row>
    <row r="144">
      <c r="A144" s="52" t="s">
        <v>77</v>
      </c>
      <c r="B144" s="28" t="s">
        <v>77</v>
      </c>
      <c r="C144" s="28" t="s">
        <v>77</v>
      </c>
      <c r="D144" s="28" t="s">
        <v>77</v>
      </c>
      <c r="E144" s="28" t="s">
        <v>77</v>
      </c>
      <c r="F144" s="28" t="s">
        <v>77</v>
      </c>
      <c r="G144" s="28" t="s">
        <v>77</v>
      </c>
      <c r="I144" s="26" t="s">
        <v>77</v>
      </c>
      <c r="J144" s="26" t="s">
        <v>77</v>
      </c>
      <c r="K144" s="18"/>
      <c r="L144" s="26" t="s">
        <v>77</v>
      </c>
      <c r="M144" s="6" t="s">
        <v>77</v>
      </c>
      <c r="N144" s="28" t="s">
        <v>77</v>
      </c>
      <c r="O144" s="26" t="s">
        <v>77</v>
      </c>
    </row>
    <row r="145">
      <c r="A145" s="52" t="s">
        <v>77</v>
      </c>
      <c r="B145" s="28" t="s">
        <v>77</v>
      </c>
      <c r="C145" s="28" t="s">
        <v>77</v>
      </c>
      <c r="D145" s="28" t="s">
        <v>77</v>
      </c>
      <c r="E145" s="28" t="s">
        <v>77</v>
      </c>
      <c r="F145" s="28" t="s">
        <v>77</v>
      </c>
      <c r="G145" s="28" t="s">
        <v>77</v>
      </c>
      <c r="I145" s="26" t="s">
        <v>77</v>
      </c>
      <c r="J145" s="26" t="s">
        <v>77</v>
      </c>
      <c r="K145" s="18"/>
      <c r="L145" s="26" t="s">
        <v>77</v>
      </c>
      <c r="M145" s="6" t="s">
        <v>77</v>
      </c>
      <c r="N145" s="28" t="s">
        <v>77</v>
      </c>
      <c r="O145" s="26" t="s">
        <v>77</v>
      </c>
    </row>
    <row r="146">
      <c r="A146" s="52" t="s">
        <v>77</v>
      </c>
      <c r="B146" s="28" t="s">
        <v>77</v>
      </c>
      <c r="C146" s="28" t="s">
        <v>77</v>
      </c>
      <c r="D146" s="28" t="s">
        <v>77</v>
      </c>
      <c r="E146" s="28" t="s">
        <v>77</v>
      </c>
      <c r="F146" s="28" t="s">
        <v>77</v>
      </c>
      <c r="G146" s="28" t="s">
        <v>77</v>
      </c>
      <c r="I146" s="26" t="s">
        <v>77</v>
      </c>
      <c r="J146" s="26" t="s">
        <v>77</v>
      </c>
      <c r="K146" s="18"/>
      <c r="L146" s="26" t="s">
        <v>77</v>
      </c>
      <c r="M146" s="6" t="s">
        <v>77</v>
      </c>
      <c r="N146" s="28" t="s">
        <v>77</v>
      </c>
      <c r="O146" s="26" t="s">
        <v>77</v>
      </c>
    </row>
    <row r="147">
      <c r="A147" s="52" t="s">
        <v>77</v>
      </c>
      <c r="B147" s="28" t="s">
        <v>77</v>
      </c>
      <c r="C147" s="28" t="s">
        <v>77</v>
      </c>
      <c r="D147" s="28" t="s">
        <v>77</v>
      </c>
      <c r="E147" s="28" t="s">
        <v>77</v>
      </c>
      <c r="F147" s="28" t="s">
        <v>77</v>
      </c>
      <c r="G147" s="28" t="s">
        <v>77</v>
      </c>
      <c r="I147" s="26" t="s">
        <v>77</v>
      </c>
      <c r="J147" s="26" t="s">
        <v>77</v>
      </c>
      <c r="K147" s="18"/>
      <c r="L147" s="26" t="s">
        <v>77</v>
      </c>
      <c r="M147" s="6" t="s">
        <v>77</v>
      </c>
      <c r="N147" s="28" t="s">
        <v>77</v>
      </c>
      <c r="O147" s="26" t="s">
        <v>77</v>
      </c>
    </row>
    <row r="148">
      <c r="A148" s="52" t="s">
        <v>77</v>
      </c>
      <c r="B148" s="28" t="s">
        <v>77</v>
      </c>
      <c r="C148" s="28" t="s">
        <v>77</v>
      </c>
      <c r="D148" s="28" t="s">
        <v>77</v>
      </c>
      <c r="E148" s="28" t="s">
        <v>77</v>
      </c>
      <c r="F148" s="28" t="s">
        <v>77</v>
      </c>
      <c r="G148" s="28" t="s">
        <v>77</v>
      </c>
      <c r="I148" s="26" t="s">
        <v>77</v>
      </c>
      <c r="J148" s="26" t="s">
        <v>77</v>
      </c>
      <c r="K148" s="18"/>
      <c r="L148" s="26" t="s">
        <v>77</v>
      </c>
      <c r="M148" s="6" t="s">
        <v>77</v>
      </c>
      <c r="N148" s="28" t="s">
        <v>77</v>
      </c>
      <c r="O148" s="26" t="s">
        <v>77</v>
      </c>
    </row>
    <row r="149">
      <c r="A149" s="52" t="s">
        <v>77</v>
      </c>
      <c r="B149" s="28" t="s">
        <v>77</v>
      </c>
      <c r="C149" s="28" t="s">
        <v>77</v>
      </c>
      <c r="D149" s="28" t="s">
        <v>77</v>
      </c>
      <c r="E149" s="28" t="s">
        <v>77</v>
      </c>
      <c r="F149" s="28" t="s">
        <v>77</v>
      </c>
      <c r="G149" s="28" t="s">
        <v>77</v>
      </c>
      <c r="I149" s="26" t="s">
        <v>77</v>
      </c>
      <c r="J149" s="26" t="s">
        <v>77</v>
      </c>
      <c r="K149" s="18"/>
      <c r="L149" s="26" t="s">
        <v>77</v>
      </c>
      <c r="M149" s="6" t="s">
        <v>77</v>
      </c>
      <c r="N149" s="28" t="s">
        <v>77</v>
      </c>
      <c r="O149" s="26" t="s">
        <v>77</v>
      </c>
    </row>
    <row r="150">
      <c r="A150" s="52" t="s">
        <v>77</v>
      </c>
      <c r="B150" s="28" t="s">
        <v>77</v>
      </c>
      <c r="C150" s="28" t="s">
        <v>77</v>
      </c>
      <c r="D150" s="28" t="s">
        <v>77</v>
      </c>
      <c r="E150" s="28" t="s">
        <v>77</v>
      </c>
      <c r="F150" s="28" t="s">
        <v>77</v>
      </c>
      <c r="G150" s="28" t="s">
        <v>77</v>
      </c>
      <c r="I150" s="26" t="s">
        <v>77</v>
      </c>
      <c r="J150" s="26" t="s">
        <v>77</v>
      </c>
      <c r="K150" s="18"/>
      <c r="L150" s="26" t="s">
        <v>77</v>
      </c>
      <c r="M150" s="6" t="s">
        <v>77</v>
      </c>
      <c r="N150" s="28" t="s">
        <v>77</v>
      </c>
      <c r="O150" s="26" t="s">
        <v>77</v>
      </c>
    </row>
    <row r="151">
      <c r="A151" s="52" t="s">
        <v>77</v>
      </c>
      <c r="B151" s="28" t="s">
        <v>77</v>
      </c>
      <c r="C151" s="28" t="s">
        <v>77</v>
      </c>
      <c r="D151" s="28" t="s">
        <v>77</v>
      </c>
      <c r="E151" s="28" t="s">
        <v>77</v>
      </c>
      <c r="F151" s="28" t="s">
        <v>77</v>
      </c>
      <c r="G151" s="28" t="s">
        <v>77</v>
      </c>
      <c r="I151" s="26" t="s">
        <v>77</v>
      </c>
      <c r="J151" s="26" t="s">
        <v>77</v>
      </c>
      <c r="K151" s="18"/>
      <c r="L151" s="26" t="s">
        <v>77</v>
      </c>
      <c r="M151" s="6" t="s">
        <v>77</v>
      </c>
      <c r="N151" s="28" t="s">
        <v>77</v>
      </c>
      <c r="O151" s="26" t="s">
        <v>77</v>
      </c>
    </row>
    <row r="152">
      <c r="A152" s="52" t="s">
        <v>77</v>
      </c>
      <c r="B152" s="28" t="s">
        <v>77</v>
      </c>
      <c r="C152" s="28" t="s">
        <v>77</v>
      </c>
      <c r="D152" s="28" t="s">
        <v>77</v>
      </c>
      <c r="E152" s="28" t="s">
        <v>77</v>
      </c>
      <c r="F152" s="28" t="s">
        <v>77</v>
      </c>
      <c r="G152" s="28" t="s">
        <v>77</v>
      </c>
      <c r="I152" s="26" t="s">
        <v>77</v>
      </c>
      <c r="J152" s="26" t="s">
        <v>77</v>
      </c>
      <c r="K152" s="18"/>
      <c r="L152" s="26" t="s">
        <v>77</v>
      </c>
      <c r="M152" s="6" t="s">
        <v>77</v>
      </c>
      <c r="N152" s="28" t="s">
        <v>77</v>
      </c>
      <c r="O152" s="26" t="s">
        <v>77</v>
      </c>
    </row>
    <row r="153">
      <c r="A153" s="52" t="s">
        <v>77</v>
      </c>
      <c r="B153" s="28" t="s">
        <v>77</v>
      </c>
      <c r="C153" s="28" t="s">
        <v>77</v>
      </c>
      <c r="D153" s="28" t="s">
        <v>77</v>
      </c>
      <c r="E153" s="28" t="s">
        <v>77</v>
      </c>
      <c r="F153" s="28" t="s">
        <v>77</v>
      </c>
      <c r="G153" s="28" t="s">
        <v>77</v>
      </c>
      <c r="I153" s="26" t="s">
        <v>77</v>
      </c>
      <c r="J153" s="26" t="s">
        <v>77</v>
      </c>
      <c r="K153" s="18"/>
      <c r="L153" s="26" t="s">
        <v>77</v>
      </c>
      <c r="M153" s="6" t="s">
        <v>77</v>
      </c>
      <c r="N153" s="28" t="s">
        <v>77</v>
      </c>
      <c r="O153" s="26" t="s">
        <v>77</v>
      </c>
    </row>
    <row r="154">
      <c r="A154" s="52" t="s">
        <v>77</v>
      </c>
      <c r="B154" s="28" t="s">
        <v>77</v>
      </c>
      <c r="C154" s="28" t="s">
        <v>77</v>
      </c>
      <c r="D154" s="28" t="s">
        <v>77</v>
      </c>
      <c r="E154" s="28" t="s">
        <v>77</v>
      </c>
      <c r="F154" s="28" t="s">
        <v>77</v>
      </c>
      <c r="G154" s="28" t="s">
        <v>77</v>
      </c>
      <c r="I154" s="26" t="s">
        <v>77</v>
      </c>
      <c r="J154" s="26" t="s">
        <v>77</v>
      </c>
      <c r="K154" s="18"/>
      <c r="L154" s="26" t="s">
        <v>77</v>
      </c>
      <c r="M154" s="6" t="s">
        <v>77</v>
      </c>
      <c r="N154" s="28" t="s">
        <v>77</v>
      </c>
      <c r="O154" s="26" t="s">
        <v>77</v>
      </c>
    </row>
    <row r="155">
      <c r="A155" s="52" t="s">
        <v>77</v>
      </c>
      <c r="B155" s="28" t="s">
        <v>77</v>
      </c>
      <c r="C155" s="28" t="s">
        <v>77</v>
      </c>
      <c r="D155" s="28" t="s">
        <v>77</v>
      </c>
      <c r="E155" s="28" t="s">
        <v>77</v>
      </c>
      <c r="F155" s="28" t="s">
        <v>77</v>
      </c>
      <c r="G155" s="28" t="s">
        <v>77</v>
      </c>
      <c r="I155" s="26" t="s">
        <v>77</v>
      </c>
      <c r="J155" s="26" t="s">
        <v>77</v>
      </c>
      <c r="K155" s="18"/>
      <c r="L155" s="26" t="s">
        <v>77</v>
      </c>
      <c r="M155" s="6" t="s">
        <v>77</v>
      </c>
      <c r="N155" s="28" t="s">
        <v>77</v>
      </c>
      <c r="O155" s="26" t="s">
        <v>77</v>
      </c>
    </row>
    <row r="156">
      <c r="A156" s="52" t="s">
        <v>77</v>
      </c>
      <c r="B156" s="28" t="s">
        <v>77</v>
      </c>
      <c r="C156" s="28" t="s">
        <v>77</v>
      </c>
      <c r="D156" s="28" t="s">
        <v>77</v>
      </c>
      <c r="E156" s="28" t="s">
        <v>77</v>
      </c>
      <c r="F156" s="28" t="s">
        <v>77</v>
      </c>
      <c r="G156" s="28" t="s">
        <v>77</v>
      </c>
      <c r="I156" s="26" t="s">
        <v>77</v>
      </c>
      <c r="J156" s="26" t="s">
        <v>77</v>
      </c>
      <c r="K156" s="18"/>
      <c r="L156" s="26" t="s">
        <v>77</v>
      </c>
      <c r="M156" s="6" t="s">
        <v>77</v>
      </c>
      <c r="N156" s="28" t="s">
        <v>77</v>
      </c>
      <c r="O156" s="26" t="s">
        <v>77</v>
      </c>
    </row>
    <row r="157">
      <c r="A157" s="52" t="s">
        <v>77</v>
      </c>
      <c r="B157" s="28" t="s">
        <v>77</v>
      </c>
      <c r="C157" s="28" t="s">
        <v>77</v>
      </c>
      <c r="D157" s="28" t="s">
        <v>77</v>
      </c>
      <c r="E157" s="28" t="s">
        <v>77</v>
      </c>
      <c r="F157" s="28" t="s">
        <v>77</v>
      </c>
      <c r="G157" s="28" t="s">
        <v>77</v>
      </c>
      <c r="I157" s="26" t="s">
        <v>77</v>
      </c>
      <c r="J157" s="26" t="s">
        <v>77</v>
      </c>
      <c r="K157" s="18"/>
      <c r="L157" s="26" t="s">
        <v>77</v>
      </c>
      <c r="M157" s="6" t="s">
        <v>77</v>
      </c>
      <c r="N157" s="28" t="s">
        <v>77</v>
      </c>
      <c r="O157" s="26" t="s">
        <v>77</v>
      </c>
    </row>
    <row r="158">
      <c r="A158" s="52" t="s">
        <v>77</v>
      </c>
      <c r="B158" s="28" t="s">
        <v>77</v>
      </c>
      <c r="C158" s="28" t="s">
        <v>77</v>
      </c>
      <c r="D158" s="28" t="s">
        <v>77</v>
      </c>
      <c r="E158" s="28" t="s">
        <v>77</v>
      </c>
      <c r="F158" s="28" t="s">
        <v>77</v>
      </c>
      <c r="G158" s="28" t="s">
        <v>77</v>
      </c>
      <c r="I158" s="26" t="s">
        <v>77</v>
      </c>
      <c r="J158" s="26" t="s">
        <v>77</v>
      </c>
      <c r="K158" s="18"/>
      <c r="L158" s="26" t="s">
        <v>77</v>
      </c>
      <c r="M158" s="6" t="s">
        <v>77</v>
      </c>
      <c r="N158" s="28" t="s">
        <v>77</v>
      </c>
      <c r="O158" s="26" t="s">
        <v>77</v>
      </c>
    </row>
    <row r="159">
      <c r="A159" s="52" t="s">
        <v>77</v>
      </c>
      <c r="B159" s="28" t="s">
        <v>77</v>
      </c>
      <c r="C159" s="28" t="s">
        <v>77</v>
      </c>
      <c r="D159" s="28" t="s">
        <v>77</v>
      </c>
      <c r="E159" s="28" t="s">
        <v>77</v>
      </c>
      <c r="F159" s="28" t="s">
        <v>77</v>
      </c>
      <c r="G159" s="28" t="s">
        <v>77</v>
      </c>
      <c r="I159" s="26" t="s">
        <v>77</v>
      </c>
      <c r="J159" s="26" t="s">
        <v>77</v>
      </c>
      <c r="K159" s="18"/>
      <c r="L159" s="26" t="s">
        <v>77</v>
      </c>
      <c r="M159" s="6" t="s">
        <v>77</v>
      </c>
      <c r="N159" s="28" t="s">
        <v>77</v>
      </c>
      <c r="O159" s="26" t="s">
        <v>77</v>
      </c>
    </row>
    <row r="160">
      <c r="A160" s="52" t="s">
        <v>77</v>
      </c>
      <c r="B160" s="28" t="s">
        <v>77</v>
      </c>
      <c r="C160" s="28" t="s">
        <v>77</v>
      </c>
      <c r="D160" s="28" t="s">
        <v>77</v>
      </c>
      <c r="E160" s="28" t="s">
        <v>77</v>
      </c>
      <c r="F160" s="28" t="s">
        <v>77</v>
      </c>
      <c r="G160" s="28" t="s">
        <v>77</v>
      </c>
      <c r="I160" s="26" t="s">
        <v>77</v>
      </c>
      <c r="J160" s="26" t="s">
        <v>77</v>
      </c>
      <c r="K160" s="18"/>
      <c r="L160" s="26" t="s">
        <v>77</v>
      </c>
      <c r="M160" s="6" t="s">
        <v>77</v>
      </c>
      <c r="N160" s="28" t="s">
        <v>77</v>
      </c>
      <c r="O160" s="26" t="s">
        <v>77</v>
      </c>
    </row>
    <row r="161">
      <c r="A161" s="52" t="s">
        <v>77</v>
      </c>
      <c r="B161" s="28" t="s">
        <v>77</v>
      </c>
      <c r="C161" s="28" t="s">
        <v>77</v>
      </c>
      <c r="D161" s="28" t="s">
        <v>77</v>
      </c>
      <c r="E161" s="28" t="s">
        <v>77</v>
      </c>
      <c r="F161" s="28" t="s">
        <v>77</v>
      </c>
      <c r="G161" s="28" t="s">
        <v>77</v>
      </c>
      <c r="I161" s="26" t="s">
        <v>77</v>
      </c>
      <c r="J161" s="26" t="s">
        <v>77</v>
      </c>
      <c r="K161" s="18"/>
      <c r="L161" s="26" t="s">
        <v>77</v>
      </c>
      <c r="M161" s="6" t="s">
        <v>77</v>
      </c>
      <c r="N161" s="28" t="s">
        <v>77</v>
      </c>
      <c r="O161" s="26" t="s">
        <v>77</v>
      </c>
    </row>
    <row r="162">
      <c r="A162" s="52" t="s">
        <v>77</v>
      </c>
      <c r="B162" s="28" t="s">
        <v>77</v>
      </c>
      <c r="C162" s="28" t="s">
        <v>77</v>
      </c>
      <c r="D162" s="28" t="s">
        <v>77</v>
      </c>
      <c r="E162" s="28" t="s">
        <v>77</v>
      </c>
      <c r="F162" s="28" t="s">
        <v>77</v>
      </c>
      <c r="G162" s="28" t="s">
        <v>77</v>
      </c>
      <c r="I162" s="26" t="s">
        <v>77</v>
      </c>
      <c r="J162" s="26" t="s">
        <v>77</v>
      </c>
      <c r="K162" s="18"/>
      <c r="L162" s="26" t="s">
        <v>77</v>
      </c>
      <c r="M162" s="6" t="s">
        <v>77</v>
      </c>
      <c r="N162" s="28" t="s">
        <v>77</v>
      </c>
      <c r="O162" s="26" t="s">
        <v>77</v>
      </c>
    </row>
    <row r="163">
      <c r="A163" s="52" t="s">
        <v>77</v>
      </c>
      <c r="B163" s="28" t="s">
        <v>77</v>
      </c>
      <c r="C163" s="28" t="s">
        <v>77</v>
      </c>
      <c r="D163" s="28" t="s">
        <v>77</v>
      </c>
      <c r="E163" s="28" t="s">
        <v>77</v>
      </c>
      <c r="F163" s="28" t="s">
        <v>77</v>
      </c>
      <c r="G163" s="28" t="s">
        <v>77</v>
      </c>
      <c r="I163" s="26" t="s">
        <v>77</v>
      </c>
      <c r="J163" s="26" t="s">
        <v>77</v>
      </c>
      <c r="K163" s="18"/>
      <c r="L163" s="26" t="s">
        <v>77</v>
      </c>
      <c r="M163" s="6" t="s">
        <v>77</v>
      </c>
      <c r="N163" s="28" t="s">
        <v>77</v>
      </c>
      <c r="O163" s="26" t="s">
        <v>77</v>
      </c>
    </row>
    <row r="164">
      <c r="A164" s="52" t="s">
        <v>77</v>
      </c>
      <c r="B164" s="28" t="s">
        <v>77</v>
      </c>
      <c r="C164" s="28" t="s">
        <v>77</v>
      </c>
      <c r="D164" s="28" t="s">
        <v>77</v>
      </c>
      <c r="E164" s="28" t="s">
        <v>77</v>
      </c>
      <c r="F164" s="28" t="s">
        <v>77</v>
      </c>
      <c r="G164" s="28" t="s">
        <v>77</v>
      </c>
      <c r="I164" s="26" t="s">
        <v>77</v>
      </c>
      <c r="J164" s="26" t="s">
        <v>77</v>
      </c>
      <c r="K164" s="18"/>
      <c r="L164" s="26" t="s">
        <v>77</v>
      </c>
      <c r="M164" s="6" t="s">
        <v>77</v>
      </c>
      <c r="N164" s="28" t="s">
        <v>77</v>
      </c>
      <c r="O164" s="26" t="s">
        <v>77</v>
      </c>
    </row>
    <row r="165">
      <c r="A165" s="52" t="s">
        <v>77</v>
      </c>
      <c r="B165" s="28" t="s">
        <v>77</v>
      </c>
      <c r="C165" s="28" t="s">
        <v>77</v>
      </c>
      <c r="D165" s="28" t="s">
        <v>77</v>
      </c>
      <c r="E165" s="28" t="s">
        <v>77</v>
      </c>
      <c r="F165" s="28" t="s">
        <v>77</v>
      </c>
      <c r="G165" s="28" t="s">
        <v>77</v>
      </c>
      <c r="I165" s="26" t="s">
        <v>77</v>
      </c>
      <c r="J165" s="26" t="s">
        <v>77</v>
      </c>
      <c r="K165" s="18"/>
      <c r="L165" s="26" t="s">
        <v>77</v>
      </c>
      <c r="M165" s="6" t="s">
        <v>77</v>
      </c>
      <c r="N165" s="28" t="s">
        <v>77</v>
      </c>
      <c r="O165" s="26" t="s">
        <v>77</v>
      </c>
    </row>
    <row r="166">
      <c r="A166" s="52" t="s">
        <v>77</v>
      </c>
      <c r="B166" s="28" t="s">
        <v>77</v>
      </c>
      <c r="C166" s="28" t="s">
        <v>77</v>
      </c>
      <c r="D166" s="28" t="s">
        <v>77</v>
      </c>
      <c r="E166" s="28" t="s">
        <v>77</v>
      </c>
      <c r="F166" s="28" t="s">
        <v>77</v>
      </c>
      <c r="G166" s="28" t="s">
        <v>77</v>
      </c>
      <c r="I166" s="26" t="s">
        <v>77</v>
      </c>
      <c r="J166" s="26" t="s">
        <v>77</v>
      </c>
      <c r="K166" s="18"/>
      <c r="L166" s="26" t="s">
        <v>77</v>
      </c>
      <c r="M166" s="6" t="s">
        <v>77</v>
      </c>
      <c r="N166" s="28" t="s">
        <v>77</v>
      </c>
      <c r="O166" s="26" t="s">
        <v>77</v>
      </c>
    </row>
    <row r="167">
      <c r="A167" s="52" t="s">
        <v>77</v>
      </c>
      <c r="B167" s="28" t="s">
        <v>77</v>
      </c>
      <c r="C167" s="28" t="s">
        <v>77</v>
      </c>
      <c r="D167" s="28" t="s">
        <v>77</v>
      </c>
      <c r="E167" s="28" t="s">
        <v>77</v>
      </c>
      <c r="F167" s="28" t="s">
        <v>77</v>
      </c>
      <c r="G167" s="28" t="s">
        <v>77</v>
      </c>
      <c r="I167" s="26" t="s">
        <v>77</v>
      </c>
      <c r="J167" s="26" t="s">
        <v>77</v>
      </c>
      <c r="K167" s="18"/>
      <c r="L167" s="26" t="s">
        <v>77</v>
      </c>
      <c r="M167" s="6" t="s">
        <v>77</v>
      </c>
      <c r="N167" s="28" t="s">
        <v>77</v>
      </c>
      <c r="O167" s="26" t="s">
        <v>77</v>
      </c>
    </row>
    <row r="168">
      <c r="A168" s="52" t="s">
        <v>77</v>
      </c>
      <c r="B168" s="28" t="s">
        <v>77</v>
      </c>
      <c r="C168" s="28" t="s">
        <v>77</v>
      </c>
      <c r="D168" s="28" t="s">
        <v>77</v>
      </c>
      <c r="E168" s="28" t="s">
        <v>77</v>
      </c>
      <c r="F168" s="28" t="s">
        <v>77</v>
      </c>
      <c r="G168" s="28" t="s">
        <v>77</v>
      </c>
      <c r="I168" s="26" t="s">
        <v>77</v>
      </c>
      <c r="J168" s="26" t="s">
        <v>77</v>
      </c>
      <c r="K168" s="18"/>
      <c r="L168" s="26" t="s">
        <v>77</v>
      </c>
      <c r="M168" s="6" t="s">
        <v>77</v>
      </c>
      <c r="N168" s="28" t="s">
        <v>77</v>
      </c>
      <c r="O168" s="26" t="s">
        <v>77</v>
      </c>
    </row>
    <row r="169">
      <c r="A169" s="52" t="s">
        <v>77</v>
      </c>
      <c r="B169" s="28" t="s">
        <v>77</v>
      </c>
      <c r="C169" s="28" t="s">
        <v>77</v>
      </c>
      <c r="D169" s="28" t="s">
        <v>77</v>
      </c>
      <c r="E169" s="28" t="s">
        <v>77</v>
      </c>
      <c r="F169" s="28" t="s">
        <v>77</v>
      </c>
      <c r="G169" s="28" t="s">
        <v>77</v>
      </c>
      <c r="I169" s="26" t="s">
        <v>77</v>
      </c>
      <c r="J169" s="26" t="s">
        <v>77</v>
      </c>
      <c r="K169" s="18"/>
      <c r="L169" s="26" t="s">
        <v>77</v>
      </c>
      <c r="M169" s="6" t="s">
        <v>77</v>
      </c>
      <c r="N169" s="28" t="s">
        <v>77</v>
      </c>
      <c r="O169" s="26" t="s">
        <v>77</v>
      </c>
    </row>
    <row r="170">
      <c r="A170" s="52" t="s">
        <v>77</v>
      </c>
      <c r="B170" s="28" t="s">
        <v>77</v>
      </c>
      <c r="C170" s="28" t="s">
        <v>77</v>
      </c>
      <c r="D170" s="28" t="s">
        <v>77</v>
      </c>
      <c r="E170" s="28" t="s">
        <v>77</v>
      </c>
      <c r="F170" s="28" t="s">
        <v>77</v>
      </c>
      <c r="G170" s="28" t="s">
        <v>77</v>
      </c>
      <c r="I170" s="26" t="s">
        <v>77</v>
      </c>
      <c r="J170" s="26" t="s">
        <v>77</v>
      </c>
      <c r="K170" s="18"/>
      <c r="L170" s="26" t="s">
        <v>77</v>
      </c>
      <c r="M170" s="6" t="s">
        <v>77</v>
      </c>
      <c r="N170" s="28" t="s">
        <v>77</v>
      </c>
      <c r="O170" s="26" t="s">
        <v>77</v>
      </c>
    </row>
    <row r="171">
      <c r="A171" s="52" t="s">
        <v>77</v>
      </c>
      <c r="B171" s="28" t="s">
        <v>77</v>
      </c>
      <c r="C171" s="28" t="s">
        <v>77</v>
      </c>
      <c r="D171" s="28" t="s">
        <v>77</v>
      </c>
      <c r="E171" s="28" t="s">
        <v>77</v>
      </c>
      <c r="F171" s="28" t="s">
        <v>77</v>
      </c>
      <c r="G171" s="28" t="s">
        <v>77</v>
      </c>
      <c r="I171" s="26" t="s">
        <v>77</v>
      </c>
      <c r="J171" s="26" t="s">
        <v>77</v>
      </c>
      <c r="K171" s="18"/>
      <c r="L171" s="26" t="s">
        <v>77</v>
      </c>
      <c r="M171" s="6" t="s">
        <v>77</v>
      </c>
      <c r="N171" s="28" t="s">
        <v>77</v>
      </c>
      <c r="O171" s="26" t="s">
        <v>77</v>
      </c>
    </row>
    <row r="172">
      <c r="A172" s="52" t="s">
        <v>77</v>
      </c>
      <c r="B172" s="28" t="s">
        <v>77</v>
      </c>
      <c r="C172" s="28" t="s">
        <v>77</v>
      </c>
      <c r="D172" s="28" t="s">
        <v>77</v>
      </c>
      <c r="E172" s="28" t="s">
        <v>77</v>
      </c>
      <c r="F172" s="28" t="s">
        <v>77</v>
      </c>
      <c r="G172" s="28" t="s">
        <v>77</v>
      </c>
      <c r="I172" s="26" t="s">
        <v>77</v>
      </c>
      <c r="J172" s="26" t="s">
        <v>77</v>
      </c>
      <c r="K172" s="18"/>
      <c r="L172" s="26" t="s">
        <v>77</v>
      </c>
      <c r="M172" s="6" t="s">
        <v>77</v>
      </c>
      <c r="N172" s="28" t="s">
        <v>77</v>
      </c>
      <c r="O172" s="26" t="s">
        <v>77</v>
      </c>
    </row>
    <row r="173">
      <c r="A173" s="52" t="s">
        <v>77</v>
      </c>
      <c r="B173" s="28" t="s">
        <v>77</v>
      </c>
      <c r="C173" s="28" t="s">
        <v>77</v>
      </c>
      <c r="D173" s="28" t="s">
        <v>77</v>
      </c>
      <c r="E173" s="28" t="s">
        <v>77</v>
      </c>
      <c r="F173" s="28" t="s">
        <v>77</v>
      </c>
      <c r="G173" s="28" t="s">
        <v>77</v>
      </c>
      <c r="I173" s="26" t="s">
        <v>77</v>
      </c>
      <c r="J173" s="26" t="s">
        <v>77</v>
      </c>
      <c r="K173" s="18"/>
      <c r="L173" s="26" t="s">
        <v>77</v>
      </c>
      <c r="M173" s="6" t="s">
        <v>77</v>
      </c>
      <c r="N173" s="28" t="s">
        <v>77</v>
      </c>
      <c r="O173" s="26" t="s">
        <v>77</v>
      </c>
    </row>
    <row r="174">
      <c r="A174" s="52" t="s">
        <v>77</v>
      </c>
      <c r="B174" s="28" t="s">
        <v>77</v>
      </c>
      <c r="C174" s="28" t="s">
        <v>77</v>
      </c>
      <c r="D174" s="28" t="s">
        <v>77</v>
      </c>
      <c r="E174" s="28" t="s">
        <v>77</v>
      </c>
      <c r="F174" s="28" t="s">
        <v>77</v>
      </c>
      <c r="G174" s="28" t="s">
        <v>77</v>
      </c>
      <c r="I174" s="26" t="s">
        <v>77</v>
      </c>
      <c r="J174" s="26" t="s">
        <v>77</v>
      </c>
      <c r="K174" s="18"/>
      <c r="L174" s="26" t="s">
        <v>77</v>
      </c>
      <c r="M174" s="6" t="s">
        <v>77</v>
      </c>
      <c r="N174" s="28" t="s">
        <v>77</v>
      </c>
      <c r="O174" s="26" t="s">
        <v>77</v>
      </c>
    </row>
    <row r="175">
      <c r="A175" s="52" t="s">
        <v>77</v>
      </c>
      <c r="B175" s="28" t="s">
        <v>77</v>
      </c>
      <c r="C175" s="28" t="s">
        <v>77</v>
      </c>
      <c r="D175" s="28" t="s">
        <v>77</v>
      </c>
      <c r="E175" s="28" t="s">
        <v>77</v>
      </c>
      <c r="F175" s="28" t="s">
        <v>77</v>
      </c>
      <c r="G175" s="28" t="s">
        <v>77</v>
      </c>
      <c r="I175" s="26" t="s">
        <v>77</v>
      </c>
      <c r="J175" s="26" t="s">
        <v>77</v>
      </c>
      <c r="K175" s="18"/>
      <c r="L175" s="26" t="s">
        <v>77</v>
      </c>
      <c r="M175" s="6" t="s">
        <v>77</v>
      </c>
      <c r="N175" s="28" t="s">
        <v>77</v>
      </c>
      <c r="O175" s="26" t="s">
        <v>77</v>
      </c>
    </row>
    <row r="176">
      <c r="A176" s="52" t="s">
        <v>77</v>
      </c>
      <c r="B176" s="28" t="s">
        <v>77</v>
      </c>
      <c r="C176" s="28" t="s">
        <v>77</v>
      </c>
      <c r="D176" s="28" t="s">
        <v>77</v>
      </c>
      <c r="E176" s="28" t="s">
        <v>77</v>
      </c>
      <c r="F176" s="28" t="s">
        <v>77</v>
      </c>
      <c r="G176" s="28" t="s">
        <v>77</v>
      </c>
      <c r="I176" s="26" t="s">
        <v>77</v>
      </c>
      <c r="J176" s="26" t="s">
        <v>77</v>
      </c>
      <c r="K176" s="18"/>
      <c r="L176" s="26" t="s">
        <v>77</v>
      </c>
      <c r="M176" s="6" t="s">
        <v>77</v>
      </c>
      <c r="N176" s="28" t="s">
        <v>77</v>
      </c>
      <c r="O176" s="26" t="s">
        <v>77</v>
      </c>
    </row>
    <row r="177">
      <c r="A177" s="52" t="s">
        <v>77</v>
      </c>
      <c r="B177" s="28" t="s">
        <v>77</v>
      </c>
      <c r="C177" s="28" t="s">
        <v>77</v>
      </c>
      <c r="D177" s="28" t="s">
        <v>77</v>
      </c>
      <c r="E177" s="28" t="s">
        <v>77</v>
      </c>
      <c r="F177" s="28" t="s">
        <v>77</v>
      </c>
      <c r="G177" s="28" t="s">
        <v>77</v>
      </c>
      <c r="I177" s="26" t="s">
        <v>77</v>
      </c>
      <c r="J177" s="26" t="s">
        <v>77</v>
      </c>
      <c r="K177" s="18"/>
      <c r="L177" s="26" t="s">
        <v>77</v>
      </c>
      <c r="M177" s="6" t="s">
        <v>77</v>
      </c>
      <c r="N177" s="28" t="s">
        <v>77</v>
      </c>
      <c r="O177" s="26" t="s">
        <v>77</v>
      </c>
    </row>
    <row r="178">
      <c r="A178" s="52" t="s">
        <v>77</v>
      </c>
      <c r="B178" s="28" t="s">
        <v>77</v>
      </c>
      <c r="C178" s="28" t="s">
        <v>77</v>
      </c>
      <c r="D178" s="28" t="s">
        <v>77</v>
      </c>
      <c r="E178" s="28" t="s">
        <v>77</v>
      </c>
      <c r="F178" s="28" t="s">
        <v>77</v>
      </c>
      <c r="G178" s="28" t="s">
        <v>77</v>
      </c>
      <c r="I178" s="26" t="s">
        <v>77</v>
      </c>
      <c r="J178" s="26" t="s">
        <v>77</v>
      </c>
      <c r="K178" s="18"/>
      <c r="L178" s="26" t="s">
        <v>77</v>
      </c>
      <c r="M178" s="6" t="s">
        <v>77</v>
      </c>
      <c r="N178" s="28" t="s">
        <v>77</v>
      </c>
      <c r="O178" s="26" t="s">
        <v>77</v>
      </c>
    </row>
    <row r="179">
      <c r="A179" s="52" t="s">
        <v>77</v>
      </c>
      <c r="B179" s="28" t="s">
        <v>77</v>
      </c>
      <c r="C179" s="28" t="s">
        <v>77</v>
      </c>
      <c r="D179" s="28" t="s">
        <v>77</v>
      </c>
      <c r="E179" s="28" t="s">
        <v>77</v>
      </c>
      <c r="F179" s="28" t="s">
        <v>77</v>
      </c>
      <c r="G179" s="28" t="s">
        <v>77</v>
      </c>
      <c r="I179" s="26" t="s">
        <v>77</v>
      </c>
      <c r="J179" s="26" t="s">
        <v>77</v>
      </c>
      <c r="K179" s="18"/>
      <c r="L179" s="26" t="s">
        <v>77</v>
      </c>
      <c r="M179" s="6" t="s">
        <v>77</v>
      </c>
      <c r="N179" s="28" t="s">
        <v>77</v>
      </c>
      <c r="O179" s="26" t="s">
        <v>77</v>
      </c>
    </row>
    <row r="180">
      <c r="A180" s="52" t="s">
        <v>77</v>
      </c>
      <c r="B180" s="28" t="s">
        <v>77</v>
      </c>
      <c r="C180" s="28" t="s">
        <v>77</v>
      </c>
      <c r="D180" s="28" t="s">
        <v>77</v>
      </c>
      <c r="E180" s="28" t="s">
        <v>77</v>
      </c>
      <c r="F180" s="28" t="s">
        <v>77</v>
      </c>
      <c r="G180" s="28" t="s">
        <v>77</v>
      </c>
      <c r="I180" s="26" t="s">
        <v>77</v>
      </c>
      <c r="J180" s="26" t="s">
        <v>77</v>
      </c>
      <c r="K180" s="18"/>
      <c r="L180" s="26" t="s">
        <v>77</v>
      </c>
      <c r="M180" s="6" t="s">
        <v>77</v>
      </c>
      <c r="N180" s="28" t="s">
        <v>77</v>
      </c>
      <c r="O180" s="26" t="s">
        <v>77</v>
      </c>
    </row>
    <row r="181">
      <c r="A181" s="52" t="s">
        <v>77</v>
      </c>
      <c r="B181" s="28" t="s">
        <v>77</v>
      </c>
      <c r="C181" s="28" t="s">
        <v>77</v>
      </c>
      <c r="D181" s="28" t="s">
        <v>77</v>
      </c>
      <c r="E181" s="28" t="s">
        <v>77</v>
      </c>
      <c r="F181" s="28" t="s">
        <v>77</v>
      </c>
      <c r="G181" s="28" t="s">
        <v>77</v>
      </c>
      <c r="I181" s="26" t="s">
        <v>77</v>
      </c>
      <c r="J181" s="26" t="s">
        <v>77</v>
      </c>
      <c r="K181" s="18"/>
      <c r="L181" s="26" t="s">
        <v>77</v>
      </c>
      <c r="M181" s="6" t="s">
        <v>77</v>
      </c>
      <c r="N181" s="28" t="s">
        <v>77</v>
      </c>
      <c r="O181" s="26" t="s">
        <v>77</v>
      </c>
    </row>
    <row r="182">
      <c r="A182" s="52" t="s">
        <v>77</v>
      </c>
      <c r="B182" s="28" t="s">
        <v>77</v>
      </c>
      <c r="C182" s="28" t="s">
        <v>77</v>
      </c>
      <c r="D182" s="28" t="s">
        <v>77</v>
      </c>
      <c r="E182" s="28" t="s">
        <v>77</v>
      </c>
      <c r="F182" s="28" t="s">
        <v>77</v>
      </c>
      <c r="G182" s="28" t="s">
        <v>77</v>
      </c>
      <c r="I182" s="26" t="s">
        <v>77</v>
      </c>
      <c r="J182" s="26" t="s">
        <v>77</v>
      </c>
      <c r="K182" s="18"/>
      <c r="L182" s="26" t="s">
        <v>77</v>
      </c>
      <c r="M182" s="6" t="s">
        <v>77</v>
      </c>
      <c r="N182" s="28" t="s">
        <v>77</v>
      </c>
      <c r="O182" s="26" t="s">
        <v>77</v>
      </c>
    </row>
    <row r="183">
      <c r="A183" s="52" t="s">
        <v>77</v>
      </c>
      <c r="B183" s="28" t="s">
        <v>77</v>
      </c>
      <c r="C183" s="28" t="s">
        <v>77</v>
      </c>
      <c r="D183" s="28" t="s">
        <v>77</v>
      </c>
      <c r="E183" s="28" t="s">
        <v>77</v>
      </c>
      <c r="F183" s="28" t="s">
        <v>77</v>
      </c>
      <c r="G183" s="28" t="s">
        <v>77</v>
      </c>
      <c r="I183" s="26" t="s">
        <v>77</v>
      </c>
      <c r="J183" s="26" t="s">
        <v>77</v>
      </c>
      <c r="K183" s="18"/>
      <c r="L183" s="26" t="s">
        <v>77</v>
      </c>
      <c r="M183" s="6" t="s">
        <v>77</v>
      </c>
      <c r="N183" s="28" t="s">
        <v>77</v>
      </c>
      <c r="O183" s="26" t="s">
        <v>77</v>
      </c>
    </row>
    <row r="184">
      <c r="A184" s="52" t="s">
        <v>77</v>
      </c>
      <c r="B184" s="28" t="s">
        <v>77</v>
      </c>
      <c r="C184" s="28" t="s">
        <v>77</v>
      </c>
      <c r="D184" s="28" t="s">
        <v>77</v>
      </c>
      <c r="E184" s="28" t="s">
        <v>77</v>
      </c>
      <c r="F184" s="28" t="s">
        <v>77</v>
      </c>
      <c r="G184" s="28" t="s">
        <v>77</v>
      </c>
      <c r="I184" s="26" t="s">
        <v>77</v>
      </c>
      <c r="J184" s="26" t="s">
        <v>77</v>
      </c>
      <c r="K184" s="18"/>
      <c r="L184" s="26" t="s">
        <v>77</v>
      </c>
      <c r="M184" s="6" t="s">
        <v>77</v>
      </c>
      <c r="N184" s="28" t="s">
        <v>77</v>
      </c>
      <c r="O184" s="26" t="s">
        <v>77</v>
      </c>
    </row>
    <row r="185">
      <c r="A185" s="52" t="s">
        <v>77</v>
      </c>
      <c r="B185" s="28" t="s">
        <v>77</v>
      </c>
      <c r="C185" s="28" t="s">
        <v>77</v>
      </c>
      <c r="D185" s="28" t="s">
        <v>77</v>
      </c>
      <c r="E185" s="28" t="s">
        <v>77</v>
      </c>
      <c r="F185" s="28" t="s">
        <v>77</v>
      </c>
      <c r="G185" s="28" t="s">
        <v>77</v>
      </c>
      <c r="I185" s="26" t="s">
        <v>77</v>
      </c>
      <c r="J185" s="26" t="s">
        <v>77</v>
      </c>
      <c r="K185" s="18"/>
      <c r="L185" s="26" t="s">
        <v>77</v>
      </c>
      <c r="M185" s="6" t="s">
        <v>77</v>
      </c>
      <c r="N185" s="28" t="s">
        <v>77</v>
      </c>
      <c r="O185" s="26" t="s">
        <v>77</v>
      </c>
    </row>
    <row r="186">
      <c r="A186" s="52" t="s">
        <v>77</v>
      </c>
      <c r="B186" s="28" t="s">
        <v>77</v>
      </c>
      <c r="C186" s="28" t="s">
        <v>77</v>
      </c>
      <c r="D186" s="28" t="s">
        <v>77</v>
      </c>
      <c r="E186" s="28" t="s">
        <v>77</v>
      </c>
      <c r="F186" s="28" t="s">
        <v>77</v>
      </c>
      <c r="G186" s="28" t="s">
        <v>77</v>
      </c>
      <c r="I186" s="26" t="s">
        <v>77</v>
      </c>
      <c r="J186" s="26" t="s">
        <v>77</v>
      </c>
      <c r="K186" s="18"/>
      <c r="L186" s="26" t="s">
        <v>77</v>
      </c>
      <c r="M186" s="6" t="s">
        <v>77</v>
      </c>
      <c r="N186" s="28" t="s">
        <v>77</v>
      </c>
      <c r="O186" s="26" t="s">
        <v>77</v>
      </c>
    </row>
    <row r="187">
      <c r="A187" s="52" t="s">
        <v>77</v>
      </c>
      <c r="B187" s="28" t="s">
        <v>77</v>
      </c>
      <c r="C187" s="28" t="s">
        <v>77</v>
      </c>
      <c r="D187" s="28" t="s">
        <v>77</v>
      </c>
      <c r="E187" s="28" t="s">
        <v>77</v>
      </c>
      <c r="F187" s="28" t="s">
        <v>77</v>
      </c>
      <c r="G187" s="28" t="s">
        <v>77</v>
      </c>
      <c r="I187" s="26" t="s">
        <v>77</v>
      </c>
      <c r="J187" s="26" t="s">
        <v>77</v>
      </c>
      <c r="K187" s="18"/>
      <c r="L187" s="26" t="s">
        <v>77</v>
      </c>
      <c r="M187" s="6" t="s">
        <v>77</v>
      </c>
      <c r="N187" s="28" t="s">
        <v>77</v>
      </c>
      <c r="O187" s="26" t="s">
        <v>77</v>
      </c>
    </row>
    <row r="188">
      <c r="A188" s="52" t="s">
        <v>77</v>
      </c>
      <c r="B188" s="28" t="s">
        <v>77</v>
      </c>
      <c r="C188" s="28" t="s">
        <v>77</v>
      </c>
      <c r="D188" s="28" t="s">
        <v>77</v>
      </c>
      <c r="E188" s="28" t="s">
        <v>77</v>
      </c>
      <c r="F188" s="28" t="s">
        <v>77</v>
      </c>
      <c r="G188" s="28" t="s">
        <v>77</v>
      </c>
      <c r="I188" s="26" t="s">
        <v>77</v>
      </c>
      <c r="J188" s="26" t="s">
        <v>77</v>
      </c>
      <c r="K188" s="18"/>
      <c r="L188" s="26" t="s">
        <v>77</v>
      </c>
      <c r="M188" s="6" t="s">
        <v>77</v>
      </c>
      <c r="N188" s="28" t="s">
        <v>77</v>
      </c>
      <c r="O188" s="26" t="s">
        <v>77</v>
      </c>
    </row>
    <row r="189">
      <c r="A189" s="52" t="s">
        <v>77</v>
      </c>
      <c r="B189" s="28" t="s">
        <v>77</v>
      </c>
      <c r="C189" s="28" t="s">
        <v>77</v>
      </c>
      <c r="D189" s="28" t="s">
        <v>77</v>
      </c>
      <c r="E189" s="28" t="s">
        <v>77</v>
      </c>
      <c r="F189" s="28" t="s">
        <v>77</v>
      </c>
      <c r="G189" s="28" t="s">
        <v>77</v>
      </c>
      <c r="I189" s="26" t="s">
        <v>77</v>
      </c>
      <c r="J189" s="26" t="s">
        <v>77</v>
      </c>
      <c r="K189" s="18"/>
      <c r="L189" s="26" t="s">
        <v>77</v>
      </c>
      <c r="M189" s="6" t="s">
        <v>77</v>
      </c>
      <c r="N189" s="28" t="s">
        <v>77</v>
      </c>
      <c r="O189" s="26" t="s">
        <v>77</v>
      </c>
    </row>
    <row r="190">
      <c r="A190" s="52" t="s">
        <v>77</v>
      </c>
      <c r="B190" s="28" t="s">
        <v>77</v>
      </c>
      <c r="C190" s="28" t="s">
        <v>77</v>
      </c>
      <c r="D190" s="28" t="s">
        <v>77</v>
      </c>
      <c r="E190" s="28" t="s">
        <v>77</v>
      </c>
      <c r="F190" s="28" t="s">
        <v>77</v>
      </c>
      <c r="G190" s="28" t="s">
        <v>77</v>
      </c>
      <c r="I190" s="26" t="s">
        <v>77</v>
      </c>
      <c r="J190" s="26" t="s">
        <v>77</v>
      </c>
      <c r="K190" s="18"/>
      <c r="L190" s="26" t="s">
        <v>77</v>
      </c>
      <c r="M190" s="6" t="s">
        <v>77</v>
      </c>
      <c r="N190" s="28" t="s">
        <v>77</v>
      </c>
      <c r="O190" s="26" t="s">
        <v>77</v>
      </c>
    </row>
    <row r="191">
      <c r="A191" s="52" t="s">
        <v>77</v>
      </c>
      <c r="B191" s="28" t="s">
        <v>77</v>
      </c>
      <c r="C191" s="28" t="s">
        <v>77</v>
      </c>
      <c r="D191" s="28" t="s">
        <v>77</v>
      </c>
      <c r="E191" s="28" t="s">
        <v>77</v>
      </c>
      <c r="F191" s="28" t="s">
        <v>77</v>
      </c>
      <c r="G191" s="28" t="s">
        <v>77</v>
      </c>
      <c r="I191" s="26" t="s">
        <v>77</v>
      </c>
      <c r="J191" s="26" t="s">
        <v>77</v>
      </c>
      <c r="K191" s="18"/>
      <c r="L191" s="26" t="s">
        <v>77</v>
      </c>
      <c r="M191" s="6" t="s">
        <v>77</v>
      </c>
      <c r="N191" s="28" t="s">
        <v>77</v>
      </c>
      <c r="O191" s="26" t="s">
        <v>77</v>
      </c>
    </row>
    <row r="192">
      <c r="A192" s="52" t="s">
        <v>77</v>
      </c>
      <c r="B192" s="28" t="s">
        <v>77</v>
      </c>
      <c r="C192" s="28" t="s">
        <v>77</v>
      </c>
      <c r="D192" s="28" t="s">
        <v>77</v>
      </c>
      <c r="E192" s="28" t="s">
        <v>77</v>
      </c>
      <c r="F192" s="28" t="s">
        <v>77</v>
      </c>
      <c r="G192" s="28" t="s">
        <v>77</v>
      </c>
      <c r="I192" s="26" t="s">
        <v>77</v>
      </c>
      <c r="J192" s="26" t="s">
        <v>77</v>
      </c>
      <c r="K192" s="18"/>
      <c r="L192" s="26" t="s">
        <v>77</v>
      </c>
      <c r="M192" s="6" t="s">
        <v>77</v>
      </c>
      <c r="N192" s="28" t="s">
        <v>77</v>
      </c>
      <c r="O192" s="26" t="s">
        <v>77</v>
      </c>
    </row>
    <row r="193">
      <c r="A193" s="52" t="s">
        <v>77</v>
      </c>
      <c r="B193" s="28" t="s">
        <v>77</v>
      </c>
      <c r="C193" s="28" t="s">
        <v>77</v>
      </c>
      <c r="D193" s="28" t="s">
        <v>77</v>
      </c>
      <c r="E193" s="28" t="s">
        <v>77</v>
      </c>
      <c r="F193" s="28" t="s">
        <v>77</v>
      </c>
      <c r="G193" s="28" t="s">
        <v>77</v>
      </c>
      <c r="I193" s="26" t="s">
        <v>77</v>
      </c>
      <c r="J193" s="26" t="s">
        <v>77</v>
      </c>
      <c r="K193" s="18"/>
      <c r="L193" s="26" t="s">
        <v>77</v>
      </c>
      <c r="M193" s="6" t="s">
        <v>77</v>
      </c>
      <c r="N193" s="28" t="s">
        <v>77</v>
      </c>
      <c r="O193" s="26" t="s">
        <v>77</v>
      </c>
    </row>
    <row r="194">
      <c r="A194" s="52" t="s">
        <v>77</v>
      </c>
      <c r="B194" s="28" t="s">
        <v>77</v>
      </c>
      <c r="C194" s="28" t="s">
        <v>77</v>
      </c>
      <c r="D194" s="28" t="s">
        <v>77</v>
      </c>
      <c r="E194" s="28" t="s">
        <v>77</v>
      </c>
      <c r="F194" s="28" t="s">
        <v>77</v>
      </c>
      <c r="G194" s="28" t="s">
        <v>77</v>
      </c>
      <c r="I194" s="26" t="s">
        <v>77</v>
      </c>
      <c r="J194" s="26" t="s">
        <v>77</v>
      </c>
      <c r="K194" s="18"/>
      <c r="L194" s="26" t="s">
        <v>77</v>
      </c>
      <c r="M194" s="6" t="s">
        <v>77</v>
      </c>
      <c r="N194" s="28" t="s">
        <v>77</v>
      </c>
      <c r="O194" s="26" t="s">
        <v>77</v>
      </c>
    </row>
    <row r="195">
      <c r="A195" s="52" t="s">
        <v>77</v>
      </c>
      <c r="B195" s="28" t="s">
        <v>77</v>
      </c>
      <c r="C195" s="28" t="s">
        <v>77</v>
      </c>
      <c r="D195" s="28" t="s">
        <v>77</v>
      </c>
      <c r="E195" s="28" t="s">
        <v>77</v>
      </c>
      <c r="F195" s="28" t="s">
        <v>77</v>
      </c>
      <c r="G195" s="28" t="s">
        <v>77</v>
      </c>
      <c r="I195" s="26" t="s">
        <v>77</v>
      </c>
      <c r="J195" s="26" t="s">
        <v>77</v>
      </c>
      <c r="K195" s="18"/>
      <c r="L195" s="26" t="s">
        <v>77</v>
      </c>
      <c r="M195" s="6" t="s">
        <v>77</v>
      </c>
      <c r="N195" s="28" t="s">
        <v>77</v>
      </c>
      <c r="O195" s="26" t="s">
        <v>77</v>
      </c>
    </row>
    <row r="196">
      <c r="A196" s="52" t="s">
        <v>77</v>
      </c>
      <c r="B196" s="28" t="s">
        <v>77</v>
      </c>
      <c r="C196" s="28" t="s">
        <v>77</v>
      </c>
      <c r="D196" s="28" t="s">
        <v>77</v>
      </c>
      <c r="E196" s="28" t="s">
        <v>77</v>
      </c>
      <c r="F196" s="28" t="s">
        <v>77</v>
      </c>
      <c r="G196" s="28" t="s">
        <v>77</v>
      </c>
      <c r="I196" s="26" t="s">
        <v>77</v>
      </c>
      <c r="J196" s="26" t="s">
        <v>77</v>
      </c>
      <c r="K196" s="18"/>
      <c r="L196" s="26" t="s">
        <v>77</v>
      </c>
      <c r="M196" s="6" t="s">
        <v>77</v>
      </c>
      <c r="N196" s="28" t="s">
        <v>77</v>
      </c>
      <c r="O196" s="26" t="s">
        <v>77</v>
      </c>
    </row>
    <row r="197">
      <c r="A197" s="52" t="s">
        <v>77</v>
      </c>
      <c r="B197" s="28" t="s">
        <v>77</v>
      </c>
      <c r="C197" s="28" t="s">
        <v>77</v>
      </c>
      <c r="D197" s="28" t="s">
        <v>77</v>
      </c>
      <c r="E197" s="28" t="s">
        <v>77</v>
      </c>
      <c r="F197" s="28" t="s">
        <v>77</v>
      </c>
      <c r="G197" s="28" t="s">
        <v>77</v>
      </c>
      <c r="I197" s="26" t="s">
        <v>77</v>
      </c>
      <c r="J197" s="26" t="s">
        <v>77</v>
      </c>
      <c r="K197" s="18"/>
      <c r="L197" s="26" t="s">
        <v>77</v>
      </c>
      <c r="M197" s="6" t="s">
        <v>77</v>
      </c>
      <c r="N197" s="28" t="s">
        <v>77</v>
      </c>
      <c r="O197" s="26" t="s">
        <v>77</v>
      </c>
    </row>
    <row r="198">
      <c r="A198" s="52" t="s">
        <v>77</v>
      </c>
      <c r="B198" s="28" t="s">
        <v>77</v>
      </c>
      <c r="C198" s="28" t="s">
        <v>77</v>
      </c>
      <c r="D198" s="28" t="s">
        <v>77</v>
      </c>
      <c r="E198" s="28" t="s">
        <v>77</v>
      </c>
      <c r="F198" s="28" t="s">
        <v>77</v>
      </c>
      <c r="G198" s="28" t="s">
        <v>77</v>
      </c>
      <c r="I198" s="26" t="s">
        <v>77</v>
      </c>
      <c r="J198" s="26" t="s">
        <v>77</v>
      </c>
      <c r="K198" s="18"/>
      <c r="L198" s="26" t="s">
        <v>77</v>
      </c>
      <c r="M198" s="6" t="s">
        <v>77</v>
      </c>
      <c r="N198" s="28" t="s">
        <v>77</v>
      </c>
      <c r="O198" s="26" t="s">
        <v>77</v>
      </c>
    </row>
    <row r="199">
      <c r="A199" s="52" t="s">
        <v>77</v>
      </c>
      <c r="B199" s="28" t="s">
        <v>77</v>
      </c>
      <c r="C199" s="28" t="s">
        <v>77</v>
      </c>
      <c r="D199" s="28" t="s">
        <v>77</v>
      </c>
      <c r="E199" s="28" t="s">
        <v>77</v>
      </c>
      <c r="F199" s="28" t="s">
        <v>77</v>
      </c>
      <c r="G199" s="28" t="s">
        <v>77</v>
      </c>
      <c r="I199" s="26" t="s">
        <v>77</v>
      </c>
      <c r="J199" s="26" t="s">
        <v>77</v>
      </c>
      <c r="K199" s="18"/>
      <c r="L199" s="26" t="s">
        <v>77</v>
      </c>
      <c r="M199" s="6" t="s">
        <v>77</v>
      </c>
      <c r="N199" s="28" t="s">
        <v>77</v>
      </c>
      <c r="O199" s="26" t="s">
        <v>77</v>
      </c>
    </row>
    <row r="200">
      <c r="A200" s="52" t="s">
        <v>77</v>
      </c>
      <c r="B200" s="28" t="s">
        <v>77</v>
      </c>
      <c r="C200" s="28" t="s">
        <v>77</v>
      </c>
      <c r="D200" s="28" t="s">
        <v>77</v>
      </c>
      <c r="E200" s="28" t="s">
        <v>77</v>
      </c>
      <c r="F200" s="28" t="s">
        <v>77</v>
      </c>
      <c r="G200" s="28" t="s">
        <v>77</v>
      </c>
      <c r="I200" s="26" t="s">
        <v>77</v>
      </c>
      <c r="J200" s="26" t="s">
        <v>77</v>
      </c>
      <c r="K200" s="18"/>
      <c r="L200" s="26" t="s">
        <v>77</v>
      </c>
      <c r="M200" s="6" t="s">
        <v>77</v>
      </c>
      <c r="N200" s="28" t="s">
        <v>77</v>
      </c>
      <c r="O200" s="26" t="s">
        <v>77</v>
      </c>
    </row>
    <row r="201">
      <c r="A201" s="52" t="s">
        <v>77</v>
      </c>
      <c r="B201" s="28" t="s">
        <v>77</v>
      </c>
      <c r="C201" s="28" t="s">
        <v>77</v>
      </c>
      <c r="D201" s="28" t="s">
        <v>77</v>
      </c>
      <c r="E201" s="28" t="s">
        <v>77</v>
      </c>
      <c r="F201" s="28" t="s">
        <v>77</v>
      </c>
      <c r="G201" s="28" t="s">
        <v>77</v>
      </c>
      <c r="I201" s="26" t="s">
        <v>77</v>
      </c>
      <c r="J201" s="26" t="s">
        <v>77</v>
      </c>
      <c r="K201" s="18"/>
      <c r="L201" s="26" t="s">
        <v>77</v>
      </c>
      <c r="M201" s="6" t="s">
        <v>77</v>
      </c>
      <c r="N201" s="28" t="s">
        <v>77</v>
      </c>
      <c r="O201" s="26" t="s">
        <v>77</v>
      </c>
    </row>
    <row r="202">
      <c r="A202" s="52" t="s">
        <v>77</v>
      </c>
      <c r="B202" s="28" t="s">
        <v>77</v>
      </c>
      <c r="C202" s="28" t="s">
        <v>77</v>
      </c>
      <c r="D202" s="28" t="s">
        <v>77</v>
      </c>
      <c r="E202" s="28" t="s">
        <v>77</v>
      </c>
      <c r="F202" s="28" t="s">
        <v>77</v>
      </c>
      <c r="G202" s="28" t="s">
        <v>77</v>
      </c>
      <c r="I202" s="26" t="s">
        <v>77</v>
      </c>
      <c r="J202" s="26" t="s">
        <v>77</v>
      </c>
      <c r="K202" s="18"/>
      <c r="L202" s="26" t="s">
        <v>77</v>
      </c>
      <c r="M202" s="6" t="s">
        <v>77</v>
      </c>
      <c r="N202" s="28" t="s">
        <v>77</v>
      </c>
      <c r="O202" s="26" t="s">
        <v>77</v>
      </c>
    </row>
    <row r="203">
      <c r="A203" s="52" t="s">
        <v>77</v>
      </c>
      <c r="B203" s="28" t="s">
        <v>77</v>
      </c>
      <c r="C203" s="28" t="s">
        <v>77</v>
      </c>
      <c r="D203" s="28" t="s">
        <v>77</v>
      </c>
      <c r="E203" s="28" t="s">
        <v>77</v>
      </c>
      <c r="F203" s="28" t="s">
        <v>77</v>
      </c>
      <c r="G203" s="28" t="s">
        <v>77</v>
      </c>
      <c r="I203" s="26" t="s">
        <v>77</v>
      </c>
      <c r="J203" s="26" t="s">
        <v>77</v>
      </c>
      <c r="K203" s="18"/>
      <c r="L203" s="26" t="s">
        <v>77</v>
      </c>
      <c r="M203" s="6" t="s">
        <v>77</v>
      </c>
      <c r="N203" s="28" t="s">
        <v>77</v>
      </c>
      <c r="O203" s="26" t="s">
        <v>77</v>
      </c>
    </row>
    <row r="204">
      <c r="A204" s="52" t="s">
        <v>77</v>
      </c>
      <c r="B204" s="28" t="s">
        <v>77</v>
      </c>
      <c r="C204" s="28" t="s">
        <v>77</v>
      </c>
      <c r="D204" s="28" t="s">
        <v>77</v>
      </c>
      <c r="E204" s="28" t="s">
        <v>77</v>
      </c>
      <c r="F204" s="28" t="s">
        <v>77</v>
      </c>
      <c r="G204" s="28" t="s">
        <v>77</v>
      </c>
      <c r="I204" s="26" t="s">
        <v>77</v>
      </c>
      <c r="J204" s="26" t="s">
        <v>77</v>
      </c>
      <c r="K204" s="18"/>
      <c r="L204" s="26" t="s">
        <v>77</v>
      </c>
      <c r="M204" s="6" t="s">
        <v>77</v>
      </c>
      <c r="N204" s="28" t="s">
        <v>77</v>
      </c>
      <c r="O204" s="26" t="s">
        <v>77</v>
      </c>
    </row>
    <row r="205">
      <c r="A205" s="52" t="s">
        <v>77</v>
      </c>
      <c r="B205" s="28" t="s">
        <v>77</v>
      </c>
      <c r="C205" s="28" t="s">
        <v>77</v>
      </c>
      <c r="D205" s="28" t="s">
        <v>77</v>
      </c>
      <c r="E205" s="28" t="s">
        <v>77</v>
      </c>
      <c r="F205" s="28" t="s">
        <v>77</v>
      </c>
      <c r="G205" s="28" t="s">
        <v>77</v>
      </c>
      <c r="I205" s="26" t="s">
        <v>77</v>
      </c>
      <c r="J205" s="26" t="s">
        <v>77</v>
      </c>
      <c r="K205" s="18"/>
      <c r="L205" s="26" t="s">
        <v>77</v>
      </c>
      <c r="M205" s="6" t="s">
        <v>77</v>
      </c>
      <c r="N205" s="28" t="s">
        <v>77</v>
      </c>
      <c r="O205" s="26" t="s">
        <v>77</v>
      </c>
    </row>
    <row r="206">
      <c r="A206" s="52" t="s">
        <v>77</v>
      </c>
      <c r="B206" s="28" t="s">
        <v>77</v>
      </c>
      <c r="C206" s="28" t="s">
        <v>77</v>
      </c>
      <c r="D206" s="28" t="s">
        <v>77</v>
      </c>
      <c r="E206" s="28" t="s">
        <v>77</v>
      </c>
      <c r="F206" s="28" t="s">
        <v>77</v>
      </c>
      <c r="G206" s="28" t="s">
        <v>77</v>
      </c>
      <c r="I206" s="26" t="s">
        <v>77</v>
      </c>
      <c r="J206" s="26" t="s">
        <v>77</v>
      </c>
      <c r="K206" s="18"/>
      <c r="L206" s="26" t="s">
        <v>77</v>
      </c>
      <c r="M206" s="6" t="s">
        <v>77</v>
      </c>
      <c r="N206" s="28" t="s">
        <v>77</v>
      </c>
      <c r="O206" s="26" t="s">
        <v>77</v>
      </c>
    </row>
    <row r="207">
      <c r="A207" s="52" t="s">
        <v>77</v>
      </c>
      <c r="B207" s="28" t="s">
        <v>77</v>
      </c>
      <c r="C207" s="28" t="s">
        <v>77</v>
      </c>
      <c r="D207" s="28" t="s">
        <v>77</v>
      </c>
      <c r="E207" s="28" t="s">
        <v>77</v>
      </c>
      <c r="F207" s="28" t="s">
        <v>77</v>
      </c>
      <c r="G207" s="28" t="s">
        <v>77</v>
      </c>
      <c r="I207" s="26" t="s">
        <v>77</v>
      </c>
      <c r="J207" s="26" t="s">
        <v>77</v>
      </c>
      <c r="K207" s="18"/>
      <c r="L207" s="26" t="s">
        <v>77</v>
      </c>
      <c r="M207" s="6" t="s">
        <v>77</v>
      </c>
      <c r="N207" s="28" t="s">
        <v>77</v>
      </c>
      <c r="O207" s="26" t="s">
        <v>77</v>
      </c>
    </row>
    <row r="208">
      <c r="A208" s="52" t="s">
        <v>77</v>
      </c>
      <c r="B208" s="28" t="s">
        <v>77</v>
      </c>
      <c r="C208" s="28" t="s">
        <v>77</v>
      </c>
      <c r="D208" s="28" t="s">
        <v>77</v>
      </c>
      <c r="E208" s="28" t="s">
        <v>77</v>
      </c>
      <c r="F208" s="28" t="s">
        <v>77</v>
      </c>
      <c r="G208" s="28" t="s">
        <v>77</v>
      </c>
      <c r="I208" s="26" t="s">
        <v>77</v>
      </c>
      <c r="J208" s="26" t="s">
        <v>77</v>
      </c>
      <c r="K208" s="18"/>
      <c r="L208" s="26" t="s">
        <v>77</v>
      </c>
      <c r="M208" s="6" t="s">
        <v>77</v>
      </c>
      <c r="N208" s="28" t="s">
        <v>77</v>
      </c>
      <c r="O208" s="26" t="s">
        <v>77</v>
      </c>
    </row>
    <row r="209">
      <c r="A209" s="52" t="s">
        <v>77</v>
      </c>
      <c r="B209" s="28" t="s">
        <v>77</v>
      </c>
      <c r="C209" s="28" t="s">
        <v>77</v>
      </c>
      <c r="D209" s="28" t="s">
        <v>77</v>
      </c>
      <c r="E209" s="28" t="s">
        <v>77</v>
      </c>
      <c r="F209" s="28" t="s">
        <v>77</v>
      </c>
      <c r="G209" s="28" t="s">
        <v>77</v>
      </c>
      <c r="I209" s="26" t="s">
        <v>77</v>
      </c>
      <c r="J209" s="26" t="s">
        <v>77</v>
      </c>
      <c r="K209" s="18"/>
      <c r="L209" s="26" t="s">
        <v>77</v>
      </c>
      <c r="M209" s="6" t="s">
        <v>77</v>
      </c>
      <c r="N209" s="28" t="s">
        <v>77</v>
      </c>
      <c r="O209" s="26" t="s">
        <v>77</v>
      </c>
    </row>
    <row r="210">
      <c r="A210" s="52" t="s">
        <v>77</v>
      </c>
      <c r="B210" s="28" t="s">
        <v>77</v>
      </c>
      <c r="C210" s="28" t="s">
        <v>77</v>
      </c>
      <c r="D210" s="28" t="s">
        <v>77</v>
      </c>
      <c r="E210" s="28" t="s">
        <v>77</v>
      </c>
      <c r="F210" s="28" t="s">
        <v>77</v>
      </c>
      <c r="G210" s="28" t="s">
        <v>77</v>
      </c>
      <c r="I210" s="26" t="s">
        <v>77</v>
      </c>
      <c r="J210" s="26" t="s">
        <v>77</v>
      </c>
      <c r="K210" s="18"/>
      <c r="L210" s="26" t="s">
        <v>77</v>
      </c>
      <c r="M210" s="6" t="s">
        <v>77</v>
      </c>
      <c r="N210" s="28" t="s">
        <v>77</v>
      </c>
      <c r="O210" s="26" t="s">
        <v>77</v>
      </c>
    </row>
    <row r="211">
      <c r="A211" s="52" t="s">
        <v>77</v>
      </c>
      <c r="B211" s="28" t="s">
        <v>77</v>
      </c>
      <c r="C211" s="28" t="s">
        <v>77</v>
      </c>
      <c r="D211" s="28" t="s">
        <v>77</v>
      </c>
      <c r="E211" s="28" t="s">
        <v>77</v>
      </c>
      <c r="F211" s="28" t="s">
        <v>77</v>
      </c>
      <c r="G211" s="28" t="s">
        <v>77</v>
      </c>
      <c r="I211" s="26" t="s">
        <v>77</v>
      </c>
      <c r="J211" s="26" t="s">
        <v>77</v>
      </c>
      <c r="K211" s="18"/>
      <c r="L211" s="26" t="s">
        <v>77</v>
      </c>
      <c r="M211" s="6" t="s">
        <v>77</v>
      </c>
      <c r="N211" s="28" t="s">
        <v>77</v>
      </c>
      <c r="O211" s="26" t="s">
        <v>77</v>
      </c>
    </row>
    <row r="212">
      <c r="A212" s="52" t="s">
        <v>77</v>
      </c>
      <c r="B212" s="28" t="s">
        <v>77</v>
      </c>
      <c r="C212" s="28" t="s">
        <v>77</v>
      </c>
      <c r="D212" s="28" t="s">
        <v>77</v>
      </c>
      <c r="E212" s="28" t="s">
        <v>77</v>
      </c>
      <c r="F212" s="28" t="s">
        <v>77</v>
      </c>
      <c r="G212" s="28" t="s">
        <v>77</v>
      </c>
      <c r="I212" s="26" t="s">
        <v>77</v>
      </c>
      <c r="J212" s="26" t="s">
        <v>77</v>
      </c>
      <c r="K212" s="18"/>
      <c r="L212" s="26" t="s">
        <v>77</v>
      </c>
      <c r="M212" s="6" t="s">
        <v>77</v>
      </c>
      <c r="N212" s="28" t="s">
        <v>77</v>
      </c>
      <c r="O212" s="26" t="s">
        <v>77</v>
      </c>
    </row>
    <row r="213">
      <c r="A213" s="52" t="s">
        <v>77</v>
      </c>
      <c r="B213" s="28" t="s">
        <v>77</v>
      </c>
      <c r="C213" s="28" t="s">
        <v>77</v>
      </c>
      <c r="D213" s="28" t="s">
        <v>77</v>
      </c>
      <c r="E213" s="28" t="s">
        <v>77</v>
      </c>
      <c r="F213" s="28" t="s">
        <v>77</v>
      </c>
      <c r="G213" s="28" t="s">
        <v>77</v>
      </c>
      <c r="I213" s="26" t="s">
        <v>77</v>
      </c>
      <c r="J213" s="26" t="s">
        <v>77</v>
      </c>
      <c r="K213" s="18"/>
      <c r="L213" s="26" t="s">
        <v>77</v>
      </c>
      <c r="M213" s="6" t="s">
        <v>77</v>
      </c>
      <c r="N213" s="28" t="s">
        <v>77</v>
      </c>
      <c r="O213" s="26" t="s">
        <v>77</v>
      </c>
    </row>
    <row r="214">
      <c r="A214" s="52" t="s">
        <v>77</v>
      </c>
      <c r="B214" s="28" t="s">
        <v>77</v>
      </c>
      <c r="C214" s="28" t="s">
        <v>77</v>
      </c>
      <c r="D214" s="28" t="s">
        <v>77</v>
      </c>
      <c r="E214" s="28" t="s">
        <v>77</v>
      </c>
      <c r="F214" s="28" t="s">
        <v>77</v>
      </c>
      <c r="G214" s="28" t="s">
        <v>77</v>
      </c>
      <c r="I214" s="26" t="s">
        <v>77</v>
      </c>
      <c r="J214" s="26" t="s">
        <v>77</v>
      </c>
      <c r="K214" s="18"/>
      <c r="L214" s="26" t="s">
        <v>77</v>
      </c>
      <c r="M214" s="6" t="s">
        <v>77</v>
      </c>
      <c r="N214" s="28" t="s">
        <v>77</v>
      </c>
      <c r="O214" s="26" t="s">
        <v>77</v>
      </c>
    </row>
    <row r="215">
      <c r="A215" s="52" t="s">
        <v>77</v>
      </c>
      <c r="B215" s="28" t="s">
        <v>77</v>
      </c>
      <c r="C215" s="28" t="s">
        <v>77</v>
      </c>
      <c r="D215" s="28" t="s">
        <v>77</v>
      </c>
      <c r="E215" s="28" t="s">
        <v>77</v>
      </c>
      <c r="F215" s="28" t="s">
        <v>77</v>
      </c>
      <c r="G215" s="28" t="s">
        <v>77</v>
      </c>
      <c r="I215" s="26" t="s">
        <v>77</v>
      </c>
      <c r="J215" s="26" t="s">
        <v>77</v>
      </c>
      <c r="K215" s="18"/>
      <c r="L215" s="26" t="s">
        <v>77</v>
      </c>
      <c r="M215" s="6" t="s">
        <v>77</v>
      </c>
      <c r="N215" s="28" t="s">
        <v>77</v>
      </c>
      <c r="O215" s="26" t="s">
        <v>77</v>
      </c>
    </row>
    <row r="216">
      <c r="A216" s="52" t="s">
        <v>77</v>
      </c>
      <c r="B216" s="28" t="s">
        <v>77</v>
      </c>
      <c r="C216" s="28" t="s">
        <v>77</v>
      </c>
      <c r="D216" s="28" t="s">
        <v>77</v>
      </c>
      <c r="E216" s="28" t="s">
        <v>77</v>
      </c>
      <c r="F216" s="28" t="s">
        <v>77</v>
      </c>
      <c r="G216" s="28" t="s">
        <v>77</v>
      </c>
      <c r="I216" s="26" t="s">
        <v>77</v>
      </c>
      <c r="J216" s="26" t="s">
        <v>77</v>
      </c>
      <c r="K216" s="18"/>
      <c r="L216" s="26" t="s">
        <v>77</v>
      </c>
      <c r="M216" s="6" t="s">
        <v>77</v>
      </c>
      <c r="N216" s="28" t="s">
        <v>77</v>
      </c>
      <c r="O216" s="26" t="s">
        <v>77</v>
      </c>
    </row>
    <row r="217">
      <c r="A217" s="52" t="s">
        <v>77</v>
      </c>
      <c r="B217" s="28" t="s">
        <v>77</v>
      </c>
      <c r="C217" s="28" t="s">
        <v>77</v>
      </c>
      <c r="D217" s="28" t="s">
        <v>77</v>
      </c>
      <c r="E217" s="28" t="s">
        <v>77</v>
      </c>
      <c r="F217" s="28" t="s">
        <v>77</v>
      </c>
      <c r="G217" s="28" t="s">
        <v>77</v>
      </c>
      <c r="I217" s="26" t="s">
        <v>77</v>
      </c>
      <c r="J217" s="26" t="s">
        <v>77</v>
      </c>
      <c r="K217" s="18"/>
      <c r="L217" s="26" t="s">
        <v>77</v>
      </c>
      <c r="M217" s="6" t="s">
        <v>77</v>
      </c>
      <c r="N217" s="28" t="s">
        <v>77</v>
      </c>
      <c r="O217" s="26" t="s">
        <v>77</v>
      </c>
    </row>
    <row r="218">
      <c r="A218" s="52" t="s">
        <v>77</v>
      </c>
      <c r="B218" s="28" t="s">
        <v>77</v>
      </c>
      <c r="C218" s="28" t="s">
        <v>77</v>
      </c>
      <c r="D218" s="28" t="s">
        <v>77</v>
      </c>
      <c r="E218" s="28" t="s">
        <v>77</v>
      </c>
      <c r="F218" s="28" t="s">
        <v>77</v>
      </c>
      <c r="G218" s="28" t="s">
        <v>77</v>
      </c>
      <c r="I218" s="26" t="s">
        <v>77</v>
      </c>
      <c r="J218" s="26" t="s">
        <v>77</v>
      </c>
      <c r="K218" s="18"/>
      <c r="L218" s="26" t="s">
        <v>77</v>
      </c>
      <c r="M218" s="6" t="s">
        <v>77</v>
      </c>
      <c r="N218" s="28" t="s">
        <v>77</v>
      </c>
      <c r="O218" s="26" t="s">
        <v>77</v>
      </c>
    </row>
    <row r="219">
      <c r="A219" s="52" t="s">
        <v>77</v>
      </c>
      <c r="B219" s="28" t="s">
        <v>77</v>
      </c>
      <c r="C219" s="28" t="s">
        <v>77</v>
      </c>
      <c r="D219" s="28" t="s">
        <v>77</v>
      </c>
      <c r="E219" s="28" t="s">
        <v>77</v>
      </c>
      <c r="F219" s="28" t="s">
        <v>77</v>
      </c>
      <c r="G219" s="28" t="s">
        <v>77</v>
      </c>
      <c r="I219" s="26" t="s">
        <v>77</v>
      </c>
      <c r="J219" s="26" t="s">
        <v>77</v>
      </c>
      <c r="K219" s="18"/>
      <c r="L219" s="26" t="s">
        <v>77</v>
      </c>
      <c r="M219" s="6" t="s">
        <v>77</v>
      </c>
      <c r="N219" s="28" t="s">
        <v>77</v>
      </c>
      <c r="O219" s="26" t="s">
        <v>77</v>
      </c>
    </row>
    <row r="220">
      <c r="A220" s="52" t="s">
        <v>77</v>
      </c>
      <c r="B220" s="28" t="s">
        <v>77</v>
      </c>
      <c r="C220" s="28" t="s">
        <v>77</v>
      </c>
      <c r="D220" s="28" t="s">
        <v>77</v>
      </c>
      <c r="E220" s="28" t="s">
        <v>77</v>
      </c>
      <c r="F220" s="28" t="s">
        <v>77</v>
      </c>
      <c r="G220" s="28" t="s">
        <v>77</v>
      </c>
      <c r="I220" s="26" t="s">
        <v>77</v>
      </c>
      <c r="J220" s="26" t="s">
        <v>77</v>
      </c>
      <c r="K220" s="18"/>
      <c r="L220" s="26" t="s">
        <v>77</v>
      </c>
      <c r="M220" s="6" t="s">
        <v>77</v>
      </c>
      <c r="N220" s="28" t="s">
        <v>77</v>
      </c>
      <c r="O220" s="26" t="s">
        <v>77</v>
      </c>
    </row>
    <row r="221">
      <c r="A221" s="52" t="s">
        <v>77</v>
      </c>
      <c r="B221" s="28" t="s">
        <v>77</v>
      </c>
      <c r="C221" s="28" t="s">
        <v>77</v>
      </c>
      <c r="D221" s="28" t="s">
        <v>77</v>
      </c>
      <c r="E221" s="28" t="s">
        <v>77</v>
      </c>
      <c r="F221" s="28" t="s">
        <v>77</v>
      </c>
      <c r="G221" s="28" t="s">
        <v>77</v>
      </c>
      <c r="I221" s="26" t="s">
        <v>77</v>
      </c>
      <c r="J221" s="26" t="s">
        <v>77</v>
      </c>
      <c r="K221" s="18"/>
      <c r="L221" s="26" t="s">
        <v>77</v>
      </c>
      <c r="M221" s="6" t="s">
        <v>77</v>
      </c>
      <c r="N221" s="28" t="s">
        <v>77</v>
      </c>
      <c r="O221" s="26" t="s">
        <v>77</v>
      </c>
    </row>
    <row r="222">
      <c r="A222" s="52" t="s">
        <v>77</v>
      </c>
      <c r="B222" s="28" t="s">
        <v>77</v>
      </c>
      <c r="C222" s="28" t="s">
        <v>77</v>
      </c>
      <c r="D222" s="28" t="s">
        <v>77</v>
      </c>
      <c r="E222" s="28" t="s">
        <v>77</v>
      </c>
      <c r="F222" s="28" t="s">
        <v>77</v>
      </c>
      <c r="G222" s="28" t="s">
        <v>77</v>
      </c>
      <c r="I222" s="26" t="s">
        <v>77</v>
      </c>
      <c r="J222" s="26" t="s">
        <v>77</v>
      </c>
      <c r="K222" s="18"/>
      <c r="L222" s="26" t="s">
        <v>77</v>
      </c>
      <c r="M222" s="6" t="s">
        <v>77</v>
      </c>
      <c r="N222" s="28" t="s">
        <v>77</v>
      </c>
      <c r="O222" s="26" t="s">
        <v>77</v>
      </c>
    </row>
    <row r="223">
      <c r="A223" s="52" t="s">
        <v>77</v>
      </c>
      <c r="B223" s="28" t="s">
        <v>77</v>
      </c>
      <c r="C223" s="28" t="s">
        <v>77</v>
      </c>
      <c r="D223" s="28" t="s">
        <v>77</v>
      </c>
      <c r="E223" s="28" t="s">
        <v>77</v>
      </c>
      <c r="F223" s="28" t="s">
        <v>77</v>
      </c>
      <c r="G223" s="28" t="s">
        <v>77</v>
      </c>
      <c r="I223" s="26" t="s">
        <v>77</v>
      </c>
      <c r="J223" s="26" t="s">
        <v>77</v>
      </c>
      <c r="K223" s="18"/>
      <c r="L223" s="26" t="s">
        <v>77</v>
      </c>
      <c r="M223" s="6" t="s">
        <v>77</v>
      </c>
      <c r="N223" s="28" t="s">
        <v>77</v>
      </c>
      <c r="O223" s="26" t="s">
        <v>77</v>
      </c>
    </row>
    <row r="224">
      <c r="A224" s="52" t="s">
        <v>77</v>
      </c>
      <c r="B224" s="28" t="s">
        <v>77</v>
      </c>
      <c r="C224" s="28" t="s">
        <v>77</v>
      </c>
      <c r="D224" s="28" t="s">
        <v>77</v>
      </c>
      <c r="E224" s="28" t="s">
        <v>77</v>
      </c>
      <c r="F224" s="28" t="s">
        <v>77</v>
      </c>
      <c r="G224" s="28" t="s">
        <v>77</v>
      </c>
      <c r="I224" s="26" t="s">
        <v>77</v>
      </c>
      <c r="J224" s="26" t="s">
        <v>77</v>
      </c>
      <c r="K224" s="18"/>
      <c r="L224" s="26" t="s">
        <v>77</v>
      </c>
      <c r="M224" s="6" t="s">
        <v>77</v>
      </c>
      <c r="N224" s="28" t="s">
        <v>77</v>
      </c>
      <c r="O224" s="26" t="s">
        <v>77</v>
      </c>
    </row>
    <row r="225">
      <c r="A225" s="52" t="s">
        <v>77</v>
      </c>
      <c r="B225" s="28" t="s">
        <v>77</v>
      </c>
      <c r="C225" s="28" t="s">
        <v>77</v>
      </c>
      <c r="D225" s="28" t="s">
        <v>77</v>
      </c>
      <c r="E225" s="28" t="s">
        <v>77</v>
      </c>
      <c r="F225" s="28" t="s">
        <v>77</v>
      </c>
      <c r="G225" s="28" t="s">
        <v>77</v>
      </c>
      <c r="I225" s="26" t="s">
        <v>77</v>
      </c>
      <c r="J225" s="26" t="s">
        <v>77</v>
      </c>
      <c r="K225" s="18"/>
      <c r="L225" s="26" t="s">
        <v>77</v>
      </c>
      <c r="M225" s="6" t="s">
        <v>77</v>
      </c>
      <c r="N225" s="28" t="s">
        <v>77</v>
      </c>
      <c r="O225" s="26" t="s">
        <v>77</v>
      </c>
    </row>
    <row r="226">
      <c r="A226" s="52" t="s">
        <v>77</v>
      </c>
      <c r="B226" s="28" t="s">
        <v>77</v>
      </c>
      <c r="C226" s="28" t="s">
        <v>77</v>
      </c>
      <c r="D226" s="28" t="s">
        <v>77</v>
      </c>
      <c r="E226" s="28" t="s">
        <v>77</v>
      </c>
      <c r="F226" s="28" t="s">
        <v>77</v>
      </c>
      <c r="G226" s="28" t="s">
        <v>77</v>
      </c>
      <c r="I226" s="26" t="s">
        <v>77</v>
      </c>
      <c r="J226" s="26" t="s">
        <v>77</v>
      </c>
      <c r="K226" s="18"/>
      <c r="L226" s="26" t="s">
        <v>77</v>
      </c>
      <c r="M226" s="6" t="s">
        <v>77</v>
      </c>
      <c r="N226" s="28" t="s">
        <v>77</v>
      </c>
      <c r="O226" s="26" t="s">
        <v>77</v>
      </c>
    </row>
    <row r="227">
      <c r="A227" s="52" t="s">
        <v>77</v>
      </c>
      <c r="B227" s="28" t="s">
        <v>77</v>
      </c>
      <c r="C227" s="28" t="s">
        <v>77</v>
      </c>
      <c r="D227" s="28" t="s">
        <v>77</v>
      </c>
      <c r="E227" s="28" t="s">
        <v>77</v>
      </c>
      <c r="F227" s="28" t="s">
        <v>77</v>
      </c>
      <c r="G227" s="28" t="s">
        <v>77</v>
      </c>
      <c r="I227" s="26" t="s">
        <v>77</v>
      </c>
      <c r="J227" s="26" t="s">
        <v>77</v>
      </c>
      <c r="K227" s="18"/>
      <c r="L227" s="26" t="s">
        <v>77</v>
      </c>
      <c r="M227" s="6" t="s">
        <v>77</v>
      </c>
      <c r="N227" s="28" t="s">
        <v>77</v>
      </c>
      <c r="O227" s="26" t="s">
        <v>77</v>
      </c>
    </row>
    <row r="228">
      <c r="A228" s="52" t="s">
        <v>77</v>
      </c>
      <c r="B228" s="28" t="s">
        <v>77</v>
      </c>
      <c r="C228" s="28" t="s">
        <v>77</v>
      </c>
      <c r="D228" s="28" t="s">
        <v>77</v>
      </c>
      <c r="E228" s="28" t="s">
        <v>77</v>
      </c>
      <c r="F228" s="28" t="s">
        <v>77</v>
      </c>
      <c r="G228" s="28" t="s">
        <v>77</v>
      </c>
      <c r="I228" s="26" t="s">
        <v>77</v>
      </c>
      <c r="J228" s="26" t="s">
        <v>77</v>
      </c>
      <c r="K228" s="18"/>
      <c r="L228" s="26" t="s">
        <v>77</v>
      </c>
      <c r="M228" s="6" t="s">
        <v>77</v>
      </c>
      <c r="N228" s="28" t="s">
        <v>77</v>
      </c>
      <c r="O228" s="26" t="s">
        <v>77</v>
      </c>
    </row>
    <row r="229">
      <c r="A229" s="52" t="s">
        <v>77</v>
      </c>
      <c r="B229" s="28" t="s">
        <v>77</v>
      </c>
      <c r="C229" s="28" t="s">
        <v>77</v>
      </c>
      <c r="D229" s="28" t="s">
        <v>77</v>
      </c>
      <c r="E229" s="28" t="s">
        <v>77</v>
      </c>
      <c r="F229" s="28" t="s">
        <v>77</v>
      </c>
      <c r="G229" s="28" t="s">
        <v>77</v>
      </c>
      <c r="I229" s="26" t="s">
        <v>77</v>
      </c>
      <c r="J229" s="26" t="s">
        <v>77</v>
      </c>
      <c r="K229" s="18"/>
      <c r="L229" s="26" t="s">
        <v>77</v>
      </c>
      <c r="M229" s="6" t="s">
        <v>77</v>
      </c>
      <c r="N229" s="28" t="s">
        <v>77</v>
      </c>
      <c r="O229" s="26" t="s">
        <v>77</v>
      </c>
    </row>
    <row r="230">
      <c r="A230" s="52" t="s">
        <v>77</v>
      </c>
      <c r="B230" s="28" t="s">
        <v>77</v>
      </c>
      <c r="C230" s="28" t="s">
        <v>77</v>
      </c>
      <c r="D230" s="28" t="s">
        <v>77</v>
      </c>
      <c r="E230" s="28" t="s">
        <v>77</v>
      </c>
      <c r="F230" s="28" t="s">
        <v>77</v>
      </c>
      <c r="G230" s="28" t="s">
        <v>77</v>
      </c>
      <c r="I230" s="26" t="s">
        <v>77</v>
      </c>
      <c r="J230" s="26" t="s">
        <v>77</v>
      </c>
      <c r="K230" s="18"/>
      <c r="L230" s="26" t="s">
        <v>77</v>
      </c>
      <c r="M230" s="6" t="s">
        <v>77</v>
      </c>
      <c r="N230" s="28" t="s">
        <v>77</v>
      </c>
      <c r="O230" s="26" t="s">
        <v>77</v>
      </c>
    </row>
    <row r="231">
      <c r="A231" s="52" t="s">
        <v>77</v>
      </c>
      <c r="B231" s="28" t="s">
        <v>77</v>
      </c>
      <c r="C231" s="28" t="s">
        <v>77</v>
      </c>
      <c r="D231" s="28" t="s">
        <v>77</v>
      </c>
      <c r="E231" s="28" t="s">
        <v>77</v>
      </c>
      <c r="F231" s="28" t="s">
        <v>77</v>
      </c>
      <c r="G231" s="28" t="s">
        <v>77</v>
      </c>
      <c r="I231" s="26" t="s">
        <v>77</v>
      </c>
      <c r="J231" s="26" t="s">
        <v>77</v>
      </c>
      <c r="K231" s="18"/>
      <c r="L231" s="26" t="s">
        <v>77</v>
      </c>
      <c r="M231" s="6" t="s">
        <v>77</v>
      </c>
      <c r="N231" s="28" t="s">
        <v>77</v>
      </c>
      <c r="O231" s="26" t="s">
        <v>77</v>
      </c>
    </row>
    <row r="232">
      <c r="A232" s="52" t="s">
        <v>77</v>
      </c>
      <c r="B232" s="28" t="s">
        <v>77</v>
      </c>
      <c r="C232" s="28" t="s">
        <v>77</v>
      </c>
      <c r="D232" s="28" t="s">
        <v>77</v>
      </c>
      <c r="E232" s="28" t="s">
        <v>77</v>
      </c>
      <c r="F232" s="28" t="s">
        <v>77</v>
      </c>
      <c r="G232" s="28" t="s">
        <v>77</v>
      </c>
      <c r="I232" s="26" t="s">
        <v>77</v>
      </c>
      <c r="J232" s="26" t="s">
        <v>77</v>
      </c>
      <c r="K232" s="18"/>
      <c r="L232" s="26" t="s">
        <v>77</v>
      </c>
      <c r="M232" s="6" t="s">
        <v>77</v>
      </c>
      <c r="N232" s="28" t="s">
        <v>77</v>
      </c>
      <c r="O232" s="26" t="s">
        <v>77</v>
      </c>
    </row>
    <row r="233">
      <c r="A233" s="52" t="s">
        <v>77</v>
      </c>
      <c r="B233" s="28" t="s">
        <v>77</v>
      </c>
      <c r="C233" s="28" t="s">
        <v>77</v>
      </c>
      <c r="D233" s="28" t="s">
        <v>77</v>
      </c>
      <c r="E233" s="28" t="s">
        <v>77</v>
      </c>
      <c r="F233" s="28" t="s">
        <v>77</v>
      </c>
      <c r="G233" s="28" t="s">
        <v>77</v>
      </c>
      <c r="I233" s="26" t="s">
        <v>77</v>
      </c>
      <c r="J233" s="26" t="s">
        <v>77</v>
      </c>
      <c r="K233" s="18"/>
      <c r="L233" s="26" t="s">
        <v>77</v>
      </c>
      <c r="M233" s="6" t="s">
        <v>77</v>
      </c>
      <c r="N233" s="28" t="s">
        <v>77</v>
      </c>
      <c r="O233" s="26" t="s">
        <v>77</v>
      </c>
    </row>
    <row r="234">
      <c r="A234" s="52" t="s">
        <v>77</v>
      </c>
      <c r="B234" s="28" t="s">
        <v>77</v>
      </c>
      <c r="C234" s="28" t="s">
        <v>77</v>
      </c>
      <c r="D234" s="28" t="s">
        <v>77</v>
      </c>
      <c r="E234" s="28" t="s">
        <v>77</v>
      </c>
      <c r="F234" s="28" t="s">
        <v>77</v>
      </c>
      <c r="G234" s="28" t="s">
        <v>77</v>
      </c>
      <c r="I234" s="26" t="s">
        <v>77</v>
      </c>
      <c r="J234" s="26" t="s">
        <v>77</v>
      </c>
      <c r="K234" s="18"/>
      <c r="L234" s="26" t="s">
        <v>77</v>
      </c>
      <c r="M234" s="6" t="s">
        <v>77</v>
      </c>
      <c r="N234" s="28" t="s">
        <v>77</v>
      </c>
      <c r="O234" s="26" t="s">
        <v>77</v>
      </c>
    </row>
    <row r="235">
      <c r="A235" s="52" t="s">
        <v>77</v>
      </c>
      <c r="B235" s="28" t="s">
        <v>77</v>
      </c>
      <c r="C235" s="28" t="s">
        <v>77</v>
      </c>
      <c r="D235" s="28" t="s">
        <v>77</v>
      </c>
      <c r="E235" s="28" t="s">
        <v>77</v>
      </c>
      <c r="F235" s="28" t="s">
        <v>77</v>
      </c>
      <c r="G235" s="28" t="s">
        <v>77</v>
      </c>
      <c r="I235" s="26" t="s">
        <v>77</v>
      </c>
      <c r="J235" s="26" t="s">
        <v>77</v>
      </c>
      <c r="K235" s="18"/>
      <c r="L235" s="26" t="s">
        <v>77</v>
      </c>
      <c r="M235" s="6" t="s">
        <v>77</v>
      </c>
      <c r="N235" s="28" t="s">
        <v>77</v>
      </c>
      <c r="O235" s="26" t="s">
        <v>77</v>
      </c>
    </row>
    <row r="236">
      <c r="A236" s="52" t="s">
        <v>77</v>
      </c>
      <c r="B236" s="28" t="s">
        <v>77</v>
      </c>
      <c r="C236" s="28" t="s">
        <v>77</v>
      </c>
      <c r="D236" s="28" t="s">
        <v>77</v>
      </c>
      <c r="E236" s="28" t="s">
        <v>77</v>
      </c>
      <c r="F236" s="28" t="s">
        <v>77</v>
      </c>
      <c r="G236" s="28" t="s">
        <v>77</v>
      </c>
      <c r="I236" s="26" t="s">
        <v>77</v>
      </c>
      <c r="J236" s="26" t="s">
        <v>77</v>
      </c>
      <c r="K236" s="18"/>
      <c r="L236" s="26" t="s">
        <v>77</v>
      </c>
      <c r="M236" s="6" t="s">
        <v>77</v>
      </c>
      <c r="N236" s="28" t="s">
        <v>77</v>
      </c>
      <c r="O236" s="26" t="s">
        <v>77</v>
      </c>
    </row>
    <row r="237">
      <c r="A237" s="52" t="s">
        <v>77</v>
      </c>
      <c r="B237" s="28" t="s">
        <v>77</v>
      </c>
      <c r="C237" s="28" t="s">
        <v>77</v>
      </c>
      <c r="D237" s="28" t="s">
        <v>77</v>
      </c>
      <c r="E237" s="28" t="s">
        <v>77</v>
      </c>
      <c r="F237" s="28" t="s">
        <v>77</v>
      </c>
      <c r="G237" s="28" t="s">
        <v>77</v>
      </c>
      <c r="I237" s="26" t="s">
        <v>77</v>
      </c>
      <c r="J237" s="26" t="s">
        <v>77</v>
      </c>
      <c r="K237" s="18"/>
      <c r="L237" s="26" t="s">
        <v>77</v>
      </c>
      <c r="M237" s="6" t="s">
        <v>77</v>
      </c>
      <c r="N237" s="28" t="s">
        <v>77</v>
      </c>
      <c r="O237" s="26" t="s">
        <v>77</v>
      </c>
    </row>
    <row r="238">
      <c r="A238" s="52" t="s">
        <v>77</v>
      </c>
      <c r="B238" s="28" t="s">
        <v>77</v>
      </c>
      <c r="C238" s="28" t="s">
        <v>77</v>
      </c>
      <c r="D238" s="28" t="s">
        <v>77</v>
      </c>
      <c r="E238" s="28" t="s">
        <v>77</v>
      </c>
      <c r="F238" s="28" t="s">
        <v>77</v>
      </c>
      <c r="G238" s="28" t="s">
        <v>77</v>
      </c>
      <c r="I238" s="26" t="s">
        <v>77</v>
      </c>
      <c r="J238" s="26" t="s">
        <v>77</v>
      </c>
      <c r="K238" s="18"/>
      <c r="L238" s="26" t="s">
        <v>77</v>
      </c>
      <c r="M238" s="6" t="s">
        <v>77</v>
      </c>
      <c r="N238" s="28" t="s">
        <v>77</v>
      </c>
      <c r="O238" s="26" t="s">
        <v>77</v>
      </c>
    </row>
    <row r="239">
      <c r="A239" s="52" t="s">
        <v>77</v>
      </c>
      <c r="B239" s="28" t="s">
        <v>77</v>
      </c>
      <c r="C239" s="28" t="s">
        <v>77</v>
      </c>
      <c r="D239" s="28" t="s">
        <v>77</v>
      </c>
      <c r="E239" s="28" t="s">
        <v>77</v>
      </c>
      <c r="F239" s="28" t="s">
        <v>77</v>
      </c>
      <c r="G239" s="28" t="s">
        <v>77</v>
      </c>
      <c r="I239" s="26" t="s">
        <v>77</v>
      </c>
      <c r="J239" s="26" t="s">
        <v>77</v>
      </c>
      <c r="K239" s="18"/>
      <c r="L239" s="26" t="s">
        <v>77</v>
      </c>
      <c r="M239" s="6" t="s">
        <v>77</v>
      </c>
      <c r="N239" s="28" t="s">
        <v>77</v>
      </c>
      <c r="O239" s="26" t="s">
        <v>77</v>
      </c>
    </row>
    <row r="240">
      <c r="A240" s="52" t="s">
        <v>77</v>
      </c>
      <c r="B240" s="28" t="s">
        <v>77</v>
      </c>
      <c r="C240" s="28" t="s">
        <v>77</v>
      </c>
      <c r="D240" s="28" t="s">
        <v>77</v>
      </c>
      <c r="E240" s="28" t="s">
        <v>77</v>
      </c>
      <c r="F240" s="28" t="s">
        <v>77</v>
      </c>
      <c r="G240" s="28" t="s">
        <v>77</v>
      </c>
      <c r="I240" s="26" t="s">
        <v>77</v>
      </c>
      <c r="J240" s="26" t="s">
        <v>77</v>
      </c>
      <c r="K240" s="18"/>
      <c r="L240" s="26" t="s">
        <v>77</v>
      </c>
      <c r="M240" s="6" t="s">
        <v>77</v>
      </c>
      <c r="N240" s="28" t="s">
        <v>77</v>
      </c>
      <c r="O240" s="26" t="s">
        <v>77</v>
      </c>
    </row>
    <row r="241">
      <c r="A241" s="52" t="s">
        <v>77</v>
      </c>
      <c r="B241" s="28" t="s">
        <v>77</v>
      </c>
      <c r="C241" s="28" t="s">
        <v>77</v>
      </c>
      <c r="D241" s="28" t="s">
        <v>77</v>
      </c>
      <c r="E241" s="28" t="s">
        <v>77</v>
      </c>
      <c r="F241" s="28" t="s">
        <v>77</v>
      </c>
      <c r="G241" s="28" t="s">
        <v>77</v>
      </c>
      <c r="I241" s="26" t="s">
        <v>77</v>
      </c>
      <c r="J241" s="26" t="s">
        <v>77</v>
      </c>
      <c r="K241" s="18"/>
      <c r="L241" s="26" t="s">
        <v>77</v>
      </c>
      <c r="M241" s="6" t="s">
        <v>77</v>
      </c>
      <c r="N241" s="28" t="s">
        <v>77</v>
      </c>
      <c r="O241" s="26" t="s">
        <v>77</v>
      </c>
    </row>
    <row r="242">
      <c r="A242" s="52" t="s">
        <v>77</v>
      </c>
      <c r="B242" s="28" t="s">
        <v>77</v>
      </c>
      <c r="C242" s="28" t="s">
        <v>77</v>
      </c>
      <c r="D242" s="28" t="s">
        <v>77</v>
      </c>
      <c r="E242" s="28" t="s">
        <v>77</v>
      </c>
      <c r="F242" s="28" t="s">
        <v>77</v>
      </c>
      <c r="G242" s="28" t="s">
        <v>77</v>
      </c>
      <c r="I242" s="26" t="s">
        <v>77</v>
      </c>
      <c r="J242" s="26" t="s">
        <v>77</v>
      </c>
      <c r="K242" s="18"/>
      <c r="L242" s="26" t="s">
        <v>77</v>
      </c>
      <c r="M242" s="6" t="s">
        <v>77</v>
      </c>
      <c r="N242" s="28" t="s">
        <v>77</v>
      </c>
      <c r="O242" s="26" t="s">
        <v>77</v>
      </c>
    </row>
    <row r="243">
      <c r="A243" s="52" t="s">
        <v>77</v>
      </c>
      <c r="B243" s="28" t="s">
        <v>77</v>
      </c>
      <c r="C243" s="28" t="s">
        <v>77</v>
      </c>
      <c r="D243" s="28" t="s">
        <v>77</v>
      </c>
      <c r="E243" s="28" t="s">
        <v>77</v>
      </c>
      <c r="F243" s="28" t="s">
        <v>77</v>
      </c>
      <c r="G243" s="28" t="s">
        <v>77</v>
      </c>
      <c r="I243" s="26" t="s">
        <v>77</v>
      </c>
      <c r="J243" s="26" t="s">
        <v>77</v>
      </c>
      <c r="K243" s="18"/>
      <c r="L243" s="26" t="s">
        <v>77</v>
      </c>
      <c r="M243" s="6" t="s">
        <v>77</v>
      </c>
      <c r="N243" s="28" t="s">
        <v>77</v>
      </c>
      <c r="O243" s="26" t="s">
        <v>77</v>
      </c>
    </row>
    <row r="244">
      <c r="A244" s="52" t="s">
        <v>77</v>
      </c>
      <c r="B244" s="28" t="s">
        <v>77</v>
      </c>
      <c r="C244" s="28" t="s">
        <v>77</v>
      </c>
      <c r="D244" s="28" t="s">
        <v>77</v>
      </c>
      <c r="E244" s="28" t="s">
        <v>77</v>
      </c>
      <c r="F244" s="28" t="s">
        <v>77</v>
      </c>
      <c r="G244" s="28" t="s">
        <v>77</v>
      </c>
      <c r="I244" s="26" t="s">
        <v>77</v>
      </c>
      <c r="J244" s="26" t="s">
        <v>77</v>
      </c>
      <c r="K244" s="18"/>
      <c r="L244" s="26" t="s">
        <v>77</v>
      </c>
      <c r="M244" s="6" t="s">
        <v>77</v>
      </c>
      <c r="N244" s="28" t="s">
        <v>77</v>
      </c>
      <c r="O244" s="26" t="s">
        <v>77</v>
      </c>
    </row>
    <row r="245">
      <c r="A245" s="52" t="s">
        <v>77</v>
      </c>
      <c r="B245" s="28" t="s">
        <v>77</v>
      </c>
      <c r="C245" s="28" t="s">
        <v>77</v>
      </c>
      <c r="D245" s="28" t="s">
        <v>77</v>
      </c>
      <c r="E245" s="28" t="s">
        <v>77</v>
      </c>
      <c r="F245" s="28" t="s">
        <v>77</v>
      </c>
      <c r="G245" s="28" t="s">
        <v>77</v>
      </c>
      <c r="I245" s="26" t="s">
        <v>77</v>
      </c>
      <c r="J245" s="26" t="s">
        <v>77</v>
      </c>
      <c r="K245" s="18"/>
      <c r="L245" s="26" t="s">
        <v>77</v>
      </c>
      <c r="M245" s="6" t="s">
        <v>77</v>
      </c>
      <c r="N245" s="28" t="s">
        <v>77</v>
      </c>
      <c r="O245" s="26" t="s">
        <v>77</v>
      </c>
    </row>
    <row r="246">
      <c r="A246" s="52" t="s">
        <v>77</v>
      </c>
      <c r="B246" s="28" t="s">
        <v>77</v>
      </c>
      <c r="C246" s="28" t="s">
        <v>77</v>
      </c>
      <c r="D246" s="28" t="s">
        <v>77</v>
      </c>
      <c r="E246" s="28" t="s">
        <v>77</v>
      </c>
      <c r="F246" s="28" t="s">
        <v>77</v>
      </c>
      <c r="G246" s="28" t="s">
        <v>77</v>
      </c>
      <c r="I246" s="26" t="s">
        <v>77</v>
      </c>
      <c r="J246" s="26" t="s">
        <v>77</v>
      </c>
      <c r="K246" s="18"/>
      <c r="L246" s="26" t="s">
        <v>77</v>
      </c>
      <c r="M246" s="6" t="s">
        <v>77</v>
      </c>
      <c r="N246" s="28" t="s">
        <v>77</v>
      </c>
      <c r="O246" s="26" t="s">
        <v>77</v>
      </c>
    </row>
    <row r="247">
      <c r="A247" s="52" t="s">
        <v>77</v>
      </c>
      <c r="B247" s="28" t="s">
        <v>77</v>
      </c>
      <c r="C247" s="28" t="s">
        <v>77</v>
      </c>
      <c r="D247" s="28" t="s">
        <v>77</v>
      </c>
      <c r="E247" s="28" t="s">
        <v>77</v>
      </c>
      <c r="F247" s="28" t="s">
        <v>77</v>
      </c>
      <c r="G247" s="28" t="s">
        <v>77</v>
      </c>
      <c r="I247" s="26" t="s">
        <v>77</v>
      </c>
      <c r="J247" s="26" t="s">
        <v>77</v>
      </c>
      <c r="K247" s="18"/>
      <c r="L247" s="26" t="s">
        <v>77</v>
      </c>
      <c r="M247" s="6" t="s">
        <v>77</v>
      </c>
      <c r="N247" s="28" t="s">
        <v>77</v>
      </c>
      <c r="O247" s="26" t="s">
        <v>77</v>
      </c>
    </row>
    <row r="248">
      <c r="A248" s="52" t="s">
        <v>77</v>
      </c>
      <c r="B248" s="28" t="s">
        <v>77</v>
      </c>
      <c r="C248" s="28" t="s">
        <v>77</v>
      </c>
      <c r="D248" s="28" t="s">
        <v>77</v>
      </c>
      <c r="E248" s="28" t="s">
        <v>77</v>
      </c>
      <c r="F248" s="28" t="s">
        <v>77</v>
      </c>
      <c r="G248" s="28" t="s">
        <v>77</v>
      </c>
      <c r="I248" s="26" t="s">
        <v>77</v>
      </c>
      <c r="J248" s="26" t="s">
        <v>77</v>
      </c>
      <c r="K248" s="18"/>
      <c r="L248" s="26" t="s">
        <v>77</v>
      </c>
      <c r="M248" s="6" t="s">
        <v>77</v>
      </c>
      <c r="N248" s="28" t="s">
        <v>77</v>
      </c>
      <c r="O248" s="26" t="s">
        <v>77</v>
      </c>
    </row>
    <row r="249">
      <c r="A249" s="52" t="s">
        <v>77</v>
      </c>
      <c r="B249" s="28" t="s">
        <v>77</v>
      </c>
      <c r="C249" s="28" t="s">
        <v>77</v>
      </c>
      <c r="D249" s="28" t="s">
        <v>77</v>
      </c>
      <c r="E249" s="28" t="s">
        <v>77</v>
      </c>
      <c r="F249" s="28" t="s">
        <v>77</v>
      </c>
      <c r="G249" s="28" t="s">
        <v>77</v>
      </c>
      <c r="I249" s="26" t="s">
        <v>77</v>
      </c>
      <c r="J249" s="26" t="s">
        <v>77</v>
      </c>
      <c r="K249" s="18"/>
      <c r="L249" s="26" t="s">
        <v>77</v>
      </c>
      <c r="M249" s="6" t="s">
        <v>77</v>
      </c>
      <c r="N249" s="28" t="s">
        <v>77</v>
      </c>
      <c r="O249" s="26" t="s">
        <v>77</v>
      </c>
    </row>
    <row r="250">
      <c r="A250" s="52" t="s">
        <v>77</v>
      </c>
      <c r="B250" s="28" t="s">
        <v>77</v>
      </c>
      <c r="C250" s="28" t="s">
        <v>77</v>
      </c>
      <c r="D250" s="28" t="s">
        <v>77</v>
      </c>
      <c r="E250" s="28" t="s">
        <v>77</v>
      </c>
      <c r="F250" s="28" t="s">
        <v>77</v>
      </c>
      <c r="G250" s="28" t="s">
        <v>77</v>
      </c>
      <c r="I250" s="26" t="s">
        <v>77</v>
      </c>
      <c r="J250" s="26" t="s">
        <v>77</v>
      </c>
      <c r="K250" s="18"/>
      <c r="L250" s="26" t="s">
        <v>77</v>
      </c>
      <c r="M250" s="6" t="s">
        <v>77</v>
      </c>
      <c r="N250" s="28" t="s">
        <v>77</v>
      </c>
      <c r="O250" s="26" t="s">
        <v>77</v>
      </c>
    </row>
    <row r="251">
      <c r="A251" s="52" t="s">
        <v>77</v>
      </c>
      <c r="B251" s="28" t="s">
        <v>77</v>
      </c>
      <c r="C251" s="28" t="s">
        <v>77</v>
      </c>
      <c r="D251" s="28" t="s">
        <v>77</v>
      </c>
      <c r="E251" s="28" t="s">
        <v>77</v>
      </c>
      <c r="F251" s="28" t="s">
        <v>77</v>
      </c>
      <c r="G251" s="28" t="s">
        <v>77</v>
      </c>
      <c r="I251" s="26" t="s">
        <v>77</v>
      </c>
      <c r="J251" s="26" t="s">
        <v>77</v>
      </c>
      <c r="K251" s="18"/>
      <c r="L251" s="26" t="s">
        <v>77</v>
      </c>
      <c r="M251" s="6" t="s">
        <v>77</v>
      </c>
      <c r="N251" s="28" t="s">
        <v>77</v>
      </c>
      <c r="O251" s="26" t="s">
        <v>77</v>
      </c>
    </row>
    <row r="252">
      <c r="A252" s="52" t="s">
        <v>77</v>
      </c>
      <c r="B252" s="28" t="s">
        <v>77</v>
      </c>
      <c r="C252" s="28" t="s">
        <v>77</v>
      </c>
      <c r="D252" s="28" t="s">
        <v>77</v>
      </c>
      <c r="E252" s="28" t="s">
        <v>77</v>
      </c>
      <c r="F252" s="28" t="s">
        <v>77</v>
      </c>
      <c r="G252" s="28" t="s">
        <v>77</v>
      </c>
      <c r="I252" s="26" t="s">
        <v>77</v>
      </c>
      <c r="J252" s="26" t="s">
        <v>77</v>
      </c>
      <c r="K252" s="18"/>
      <c r="L252" s="26" t="s">
        <v>77</v>
      </c>
      <c r="M252" s="6" t="s">
        <v>77</v>
      </c>
      <c r="N252" s="28" t="s">
        <v>77</v>
      </c>
      <c r="O252" s="26" t="s">
        <v>77</v>
      </c>
    </row>
    <row r="253">
      <c r="A253" s="52" t="s">
        <v>77</v>
      </c>
      <c r="B253" s="28" t="s">
        <v>77</v>
      </c>
      <c r="C253" s="28" t="s">
        <v>77</v>
      </c>
      <c r="D253" s="28" t="s">
        <v>77</v>
      </c>
      <c r="E253" s="28" t="s">
        <v>77</v>
      </c>
      <c r="F253" s="28" t="s">
        <v>77</v>
      </c>
      <c r="G253" s="28" t="s">
        <v>77</v>
      </c>
      <c r="I253" s="26" t="s">
        <v>77</v>
      </c>
      <c r="J253" s="26" t="s">
        <v>77</v>
      </c>
      <c r="K253" s="18"/>
      <c r="L253" s="26" t="s">
        <v>77</v>
      </c>
      <c r="M253" s="6" t="s">
        <v>77</v>
      </c>
      <c r="N253" s="28" t="s">
        <v>77</v>
      </c>
      <c r="O253" s="26" t="s">
        <v>77</v>
      </c>
    </row>
    <row r="254">
      <c r="A254" s="52" t="s">
        <v>77</v>
      </c>
      <c r="B254" s="28" t="s">
        <v>77</v>
      </c>
      <c r="C254" s="28" t="s">
        <v>77</v>
      </c>
      <c r="D254" s="28" t="s">
        <v>77</v>
      </c>
      <c r="E254" s="28" t="s">
        <v>77</v>
      </c>
      <c r="F254" s="28" t="s">
        <v>77</v>
      </c>
      <c r="G254" s="28" t="s">
        <v>77</v>
      </c>
      <c r="I254" s="26" t="s">
        <v>77</v>
      </c>
      <c r="J254" s="26" t="s">
        <v>77</v>
      </c>
      <c r="K254" s="18"/>
      <c r="L254" s="26" t="s">
        <v>77</v>
      </c>
      <c r="M254" s="6" t="s">
        <v>77</v>
      </c>
      <c r="N254" s="28" t="s">
        <v>77</v>
      </c>
      <c r="O254" s="26" t="s">
        <v>77</v>
      </c>
    </row>
    <row r="255">
      <c r="A255" s="52" t="s">
        <v>77</v>
      </c>
      <c r="B255" s="28" t="s">
        <v>77</v>
      </c>
      <c r="C255" s="28" t="s">
        <v>77</v>
      </c>
      <c r="D255" s="28" t="s">
        <v>77</v>
      </c>
      <c r="E255" s="28" t="s">
        <v>77</v>
      </c>
      <c r="F255" s="28" t="s">
        <v>77</v>
      </c>
      <c r="G255" s="28" t="s">
        <v>77</v>
      </c>
      <c r="I255" s="26" t="s">
        <v>77</v>
      </c>
      <c r="J255" s="26" t="s">
        <v>77</v>
      </c>
      <c r="K255" s="18"/>
      <c r="L255" s="26" t="s">
        <v>77</v>
      </c>
      <c r="M255" s="6" t="s">
        <v>77</v>
      </c>
      <c r="N255" s="28" t="s">
        <v>77</v>
      </c>
      <c r="O255" s="26" t="s">
        <v>77</v>
      </c>
    </row>
    <row r="256">
      <c r="A256" s="52" t="s">
        <v>77</v>
      </c>
      <c r="B256" s="28" t="s">
        <v>77</v>
      </c>
      <c r="C256" s="28" t="s">
        <v>77</v>
      </c>
      <c r="D256" s="28" t="s">
        <v>77</v>
      </c>
      <c r="E256" s="28" t="s">
        <v>77</v>
      </c>
      <c r="F256" s="28" t="s">
        <v>77</v>
      </c>
      <c r="G256" s="28" t="s">
        <v>77</v>
      </c>
      <c r="I256" s="26" t="s">
        <v>77</v>
      </c>
      <c r="J256" s="26" t="s">
        <v>77</v>
      </c>
      <c r="K256" s="18"/>
      <c r="L256" s="26" t="s">
        <v>77</v>
      </c>
      <c r="M256" s="6" t="s">
        <v>77</v>
      </c>
      <c r="N256" s="28" t="s">
        <v>77</v>
      </c>
      <c r="O256" s="26" t="s">
        <v>77</v>
      </c>
    </row>
    <row r="257">
      <c r="A257" s="52" t="s">
        <v>77</v>
      </c>
      <c r="B257" s="28" t="s">
        <v>77</v>
      </c>
      <c r="C257" s="28" t="s">
        <v>77</v>
      </c>
      <c r="D257" s="28" t="s">
        <v>77</v>
      </c>
      <c r="E257" s="28" t="s">
        <v>77</v>
      </c>
      <c r="F257" s="28" t="s">
        <v>77</v>
      </c>
      <c r="G257" s="28" t="s">
        <v>77</v>
      </c>
      <c r="I257" s="26" t="s">
        <v>77</v>
      </c>
      <c r="J257" s="26" t="s">
        <v>77</v>
      </c>
      <c r="K257" s="18"/>
      <c r="L257" s="26" t="s">
        <v>77</v>
      </c>
      <c r="M257" s="6" t="s">
        <v>77</v>
      </c>
      <c r="N257" s="28" t="s">
        <v>77</v>
      </c>
      <c r="O257" s="26" t="s">
        <v>77</v>
      </c>
    </row>
    <row r="258">
      <c r="A258" s="52" t="s">
        <v>77</v>
      </c>
      <c r="B258" s="28" t="s">
        <v>77</v>
      </c>
      <c r="C258" s="28" t="s">
        <v>77</v>
      </c>
      <c r="D258" s="28" t="s">
        <v>77</v>
      </c>
      <c r="E258" s="28" t="s">
        <v>77</v>
      </c>
      <c r="F258" s="28" t="s">
        <v>77</v>
      </c>
      <c r="G258" s="28" t="s">
        <v>77</v>
      </c>
      <c r="I258" s="26" t="s">
        <v>77</v>
      </c>
      <c r="J258" s="26" t="s">
        <v>77</v>
      </c>
      <c r="K258" s="18"/>
      <c r="L258" s="26" t="s">
        <v>77</v>
      </c>
      <c r="M258" s="6" t="s">
        <v>77</v>
      </c>
      <c r="N258" s="28" t="s">
        <v>77</v>
      </c>
      <c r="O258" s="26" t="s">
        <v>77</v>
      </c>
    </row>
    <row r="259">
      <c r="A259" s="52" t="s">
        <v>77</v>
      </c>
      <c r="B259" s="28" t="s">
        <v>77</v>
      </c>
      <c r="C259" s="28" t="s">
        <v>77</v>
      </c>
      <c r="D259" s="28" t="s">
        <v>77</v>
      </c>
      <c r="E259" s="28" t="s">
        <v>77</v>
      </c>
      <c r="F259" s="28" t="s">
        <v>77</v>
      </c>
      <c r="G259" s="28" t="s">
        <v>77</v>
      </c>
      <c r="I259" s="26" t="s">
        <v>77</v>
      </c>
      <c r="J259" s="26" t="s">
        <v>77</v>
      </c>
      <c r="K259" s="18"/>
      <c r="L259" s="26" t="s">
        <v>77</v>
      </c>
      <c r="M259" s="6" t="s">
        <v>77</v>
      </c>
      <c r="N259" s="28" t="s">
        <v>77</v>
      </c>
      <c r="O259" s="26" t="s">
        <v>77</v>
      </c>
    </row>
    <row r="260">
      <c r="A260" s="52" t="s">
        <v>77</v>
      </c>
      <c r="B260" s="28" t="s">
        <v>77</v>
      </c>
      <c r="C260" s="28" t="s">
        <v>77</v>
      </c>
      <c r="D260" s="28" t="s">
        <v>77</v>
      </c>
      <c r="E260" s="28" t="s">
        <v>77</v>
      </c>
      <c r="F260" s="28" t="s">
        <v>77</v>
      </c>
      <c r="G260" s="28" t="s">
        <v>77</v>
      </c>
      <c r="I260" s="26" t="s">
        <v>77</v>
      </c>
      <c r="J260" s="26" t="s">
        <v>77</v>
      </c>
      <c r="K260" s="18"/>
      <c r="L260" s="26" t="s">
        <v>77</v>
      </c>
      <c r="M260" s="6" t="s">
        <v>77</v>
      </c>
      <c r="N260" s="28" t="s">
        <v>77</v>
      </c>
      <c r="O260" s="26" t="s">
        <v>77</v>
      </c>
    </row>
    <row r="261">
      <c r="A261" s="52" t="s">
        <v>77</v>
      </c>
      <c r="B261" s="28" t="s">
        <v>77</v>
      </c>
      <c r="C261" s="28" t="s">
        <v>77</v>
      </c>
      <c r="D261" s="28" t="s">
        <v>77</v>
      </c>
      <c r="E261" s="28" t="s">
        <v>77</v>
      </c>
      <c r="F261" s="28" t="s">
        <v>77</v>
      </c>
      <c r="G261" s="28" t="s">
        <v>77</v>
      </c>
      <c r="I261" s="26" t="s">
        <v>77</v>
      </c>
      <c r="J261" s="26" t="s">
        <v>77</v>
      </c>
      <c r="K261" s="18"/>
      <c r="L261" s="26" t="s">
        <v>77</v>
      </c>
      <c r="M261" s="6" t="s">
        <v>77</v>
      </c>
      <c r="N261" s="28" t="s">
        <v>77</v>
      </c>
      <c r="O261" s="26" t="s">
        <v>77</v>
      </c>
    </row>
    <row r="262">
      <c r="A262" s="52" t="s">
        <v>77</v>
      </c>
      <c r="B262" s="28" t="s">
        <v>77</v>
      </c>
      <c r="C262" s="28" t="s">
        <v>77</v>
      </c>
      <c r="D262" s="28" t="s">
        <v>77</v>
      </c>
      <c r="E262" s="28" t="s">
        <v>77</v>
      </c>
      <c r="F262" s="28" t="s">
        <v>77</v>
      </c>
      <c r="G262" s="28" t="s">
        <v>77</v>
      </c>
      <c r="I262" s="26" t="s">
        <v>77</v>
      </c>
      <c r="J262" s="26" t="s">
        <v>77</v>
      </c>
      <c r="K262" s="18"/>
      <c r="L262" s="26" t="s">
        <v>77</v>
      </c>
      <c r="M262" s="6" t="s">
        <v>77</v>
      </c>
      <c r="N262" s="28" t="s">
        <v>77</v>
      </c>
      <c r="O262" s="26" t="s">
        <v>77</v>
      </c>
    </row>
    <row r="263">
      <c r="A263" s="52" t="s">
        <v>77</v>
      </c>
      <c r="B263" s="28" t="s">
        <v>77</v>
      </c>
      <c r="C263" s="28" t="s">
        <v>77</v>
      </c>
      <c r="D263" s="28" t="s">
        <v>77</v>
      </c>
      <c r="E263" s="28" t="s">
        <v>77</v>
      </c>
      <c r="F263" s="28" t="s">
        <v>77</v>
      </c>
      <c r="G263" s="28" t="s">
        <v>77</v>
      </c>
      <c r="I263" s="26" t="s">
        <v>77</v>
      </c>
      <c r="J263" s="26" t="s">
        <v>77</v>
      </c>
      <c r="K263" s="18"/>
      <c r="L263" s="26" t="s">
        <v>77</v>
      </c>
      <c r="M263" s="6" t="s">
        <v>77</v>
      </c>
      <c r="N263" s="28" t="s">
        <v>77</v>
      </c>
      <c r="O263" s="26" t="s">
        <v>77</v>
      </c>
    </row>
    <row r="264">
      <c r="A264" s="52" t="s">
        <v>77</v>
      </c>
      <c r="B264" s="28" t="s">
        <v>77</v>
      </c>
      <c r="C264" s="28" t="s">
        <v>77</v>
      </c>
      <c r="D264" s="28" t="s">
        <v>77</v>
      </c>
      <c r="E264" s="28" t="s">
        <v>77</v>
      </c>
      <c r="F264" s="28" t="s">
        <v>77</v>
      </c>
      <c r="G264" s="28" t="s">
        <v>77</v>
      </c>
      <c r="I264" s="26" t="s">
        <v>77</v>
      </c>
      <c r="J264" s="26" t="s">
        <v>77</v>
      </c>
      <c r="K264" s="18"/>
      <c r="L264" s="26" t="s">
        <v>77</v>
      </c>
      <c r="M264" s="6" t="s">
        <v>77</v>
      </c>
      <c r="N264" s="28" t="s">
        <v>77</v>
      </c>
      <c r="O264" s="26" t="s">
        <v>77</v>
      </c>
    </row>
    <row r="265">
      <c r="A265" s="52" t="s">
        <v>77</v>
      </c>
      <c r="B265" s="28" t="s">
        <v>77</v>
      </c>
      <c r="C265" s="28" t="s">
        <v>77</v>
      </c>
      <c r="D265" s="28" t="s">
        <v>77</v>
      </c>
      <c r="E265" s="28" t="s">
        <v>77</v>
      </c>
      <c r="F265" s="28" t="s">
        <v>77</v>
      </c>
      <c r="G265" s="28" t="s">
        <v>77</v>
      </c>
      <c r="I265" s="26" t="s">
        <v>77</v>
      </c>
      <c r="J265" s="26" t="s">
        <v>77</v>
      </c>
      <c r="K265" s="18"/>
      <c r="L265" s="26" t="s">
        <v>77</v>
      </c>
      <c r="M265" s="6" t="s">
        <v>77</v>
      </c>
      <c r="N265" s="28" t="s">
        <v>77</v>
      </c>
      <c r="O265" s="26" t="s">
        <v>77</v>
      </c>
    </row>
    <row r="266">
      <c r="A266" s="52" t="s">
        <v>77</v>
      </c>
      <c r="B266" s="28" t="s">
        <v>77</v>
      </c>
      <c r="C266" s="28" t="s">
        <v>77</v>
      </c>
      <c r="D266" s="28" t="s">
        <v>77</v>
      </c>
      <c r="E266" s="28" t="s">
        <v>77</v>
      </c>
      <c r="F266" s="28" t="s">
        <v>77</v>
      </c>
      <c r="G266" s="28" t="s">
        <v>77</v>
      </c>
      <c r="I266" s="26" t="s">
        <v>77</v>
      </c>
      <c r="J266" s="26" t="s">
        <v>77</v>
      </c>
      <c r="K266" s="18"/>
      <c r="L266" s="26" t="s">
        <v>77</v>
      </c>
      <c r="M266" s="6" t="s">
        <v>77</v>
      </c>
      <c r="N266" s="28" t="s">
        <v>77</v>
      </c>
      <c r="O266" s="26" t="s">
        <v>77</v>
      </c>
    </row>
    <row r="267">
      <c r="A267" s="52" t="s">
        <v>77</v>
      </c>
      <c r="B267" s="28" t="s">
        <v>77</v>
      </c>
      <c r="C267" s="28" t="s">
        <v>77</v>
      </c>
      <c r="D267" s="28" t="s">
        <v>77</v>
      </c>
      <c r="E267" s="28" t="s">
        <v>77</v>
      </c>
      <c r="F267" s="28" t="s">
        <v>77</v>
      </c>
      <c r="G267" s="28" t="s">
        <v>77</v>
      </c>
      <c r="I267" s="26" t="s">
        <v>77</v>
      </c>
      <c r="J267" s="26" t="s">
        <v>77</v>
      </c>
      <c r="K267" s="18"/>
      <c r="L267" s="26" t="s">
        <v>77</v>
      </c>
      <c r="M267" s="6" t="s">
        <v>77</v>
      </c>
      <c r="N267" s="28" t="s">
        <v>77</v>
      </c>
      <c r="O267" s="26" t="s">
        <v>77</v>
      </c>
    </row>
    <row r="268">
      <c r="A268" s="52" t="s">
        <v>77</v>
      </c>
      <c r="B268" s="28" t="s">
        <v>77</v>
      </c>
      <c r="C268" s="28" t="s">
        <v>77</v>
      </c>
      <c r="D268" s="28" t="s">
        <v>77</v>
      </c>
      <c r="E268" s="28" t="s">
        <v>77</v>
      </c>
      <c r="F268" s="28" t="s">
        <v>77</v>
      </c>
      <c r="G268" s="28" t="s">
        <v>77</v>
      </c>
      <c r="I268" s="26" t="s">
        <v>77</v>
      </c>
      <c r="J268" s="26" t="s">
        <v>77</v>
      </c>
      <c r="K268" s="18"/>
      <c r="L268" s="26" t="s">
        <v>77</v>
      </c>
      <c r="M268" s="6" t="s">
        <v>77</v>
      </c>
      <c r="N268" s="28" t="s">
        <v>77</v>
      </c>
      <c r="O268" s="26" t="s">
        <v>77</v>
      </c>
    </row>
    <row r="269">
      <c r="A269" s="52" t="s">
        <v>77</v>
      </c>
      <c r="B269" s="28" t="s">
        <v>77</v>
      </c>
      <c r="C269" s="28" t="s">
        <v>77</v>
      </c>
      <c r="D269" s="28" t="s">
        <v>77</v>
      </c>
      <c r="E269" s="28" t="s">
        <v>77</v>
      </c>
      <c r="F269" s="28" t="s">
        <v>77</v>
      </c>
      <c r="G269" s="28" t="s">
        <v>77</v>
      </c>
      <c r="I269" s="26" t="s">
        <v>77</v>
      </c>
      <c r="J269" s="26" t="s">
        <v>77</v>
      </c>
      <c r="K269" s="18"/>
      <c r="L269" s="26" t="s">
        <v>77</v>
      </c>
      <c r="M269" s="6" t="s">
        <v>77</v>
      </c>
      <c r="N269" s="28" t="s">
        <v>77</v>
      </c>
      <c r="O269" s="26" t="s">
        <v>77</v>
      </c>
    </row>
    <row r="270">
      <c r="A270" s="52" t="s">
        <v>77</v>
      </c>
      <c r="B270" s="28" t="s">
        <v>77</v>
      </c>
      <c r="C270" s="28" t="s">
        <v>77</v>
      </c>
      <c r="D270" s="28" t="s">
        <v>77</v>
      </c>
      <c r="E270" s="28" t="s">
        <v>77</v>
      </c>
      <c r="F270" s="28" t="s">
        <v>77</v>
      </c>
      <c r="G270" s="28" t="s">
        <v>77</v>
      </c>
      <c r="I270" s="26" t="s">
        <v>77</v>
      </c>
      <c r="J270" s="26" t="s">
        <v>77</v>
      </c>
      <c r="K270" s="18"/>
      <c r="L270" s="26" t="s">
        <v>77</v>
      </c>
      <c r="M270" s="6" t="s">
        <v>77</v>
      </c>
      <c r="N270" s="28" t="s">
        <v>77</v>
      </c>
      <c r="O270" s="26" t="s">
        <v>77</v>
      </c>
    </row>
    <row r="271">
      <c r="A271" s="52" t="s">
        <v>77</v>
      </c>
      <c r="B271" s="28" t="s">
        <v>77</v>
      </c>
      <c r="C271" s="28" t="s">
        <v>77</v>
      </c>
      <c r="D271" s="28" t="s">
        <v>77</v>
      </c>
      <c r="E271" s="28" t="s">
        <v>77</v>
      </c>
      <c r="F271" s="28" t="s">
        <v>77</v>
      </c>
      <c r="G271" s="28" t="s">
        <v>77</v>
      </c>
      <c r="I271" s="26" t="s">
        <v>77</v>
      </c>
      <c r="J271" s="26" t="s">
        <v>77</v>
      </c>
      <c r="K271" s="18"/>
      <c r="L271" s="26" t="s">
        <v>77</v>
      </c>
      <c r="M271" s="6" t="s">
        <v>77</v>
      </c>
      <c r="N271" s="28" t="s">
        <v>77</v>
      </c>
      <c r="O271" s="26" t="s">
        <v>77</v>
      </c>
    </row>
    <row r="272">
      <c r="A272" s="52" t="s">
        <v>77</v>
      </c>
      <c r="B272" s="28" t="s">
        <v>77</v>
      </c>
      <c r="C272" s="28" t="s">
        <v>77</v>
      </c>
      <c r="D272" s="28" t="s">
        <v>77</v>
      </c>
      <c r="E272" s="28" t="s">
        <v>77</v>
      </c>
      <c r="F272" s="28" t="s">
        <v>77</v>
      </c>
      <c r="G272" s="28" t="s">
        <v>77</v>
      </c>
      <c r="I272" s="26" t="s">
        <v>77</v>
      </c>
      <c r="J272" s="26" t="s">
        <v>77</v>
      </c>
      <c r="K272" s="18"/>
      <c r="L272" s="26" t="s">
        <v>77</v>
      </c>
      <c r="M272" s="6" t="s">
        <v>77</v>
      </c>
      <c r="N272" s="28" t="s">
        <v>77</v>
      </c>
      <c r="O272" s="26" t="s">
        <v>77</v>
      </c>
    </row>
    <row r="273">
      <c r="A273" s="52" t="s">
        <v>77</v>
      </c>
      <c r="B273" s="28" t="s">
        <v>77</v>
      </c>
      <c r="C273" s="28" t="s">
        <v>77</v>
      </c>
      <c r="D273" s="28" t="s">
        <v>77</v>
      </c>
      <c r="E273" s="28" t="s">
        <v>77</v>
      </c>
      <c r="F273" s="28" t="s">
        <v>77</v>
      </c>
      <c r="G273" s="28" t="s">
        <v>77</v>
      </c>
      <c r="I273" s="26" t="s">
        <v>77</v>
      </c>
      <c r="J273" s="26" t="s">
        <v>77</v>
      </c>
      <c r="K273" s="18"/>
      <c r="L273" s="26" t="s">
        <v>77</v>
      </c>
      <c r="M273" s="6" t="s">
        <v>77</v>
      </c>
      <c r="N273" s="28" t="s">
        <v>77</v>
      </c>
      <c r="O273" s="26" t="s">
        <v>77</v>
      </c>
    </row>
    <row r="274">
      <c r="A274" s="52" t="s">
        <v>77</v>
      </c>
      <c r="B274" s="28" t="s">
        <v>77</v>
      </c>
      <c r="C274" s="28" t="s">
        <v>77</v>
      </c>
      <c r="D274" s="28" t="s">
        <v>77</v>
      </c>
      <c r="E274" s="28" t="s">
        <v>77</v>
      </c>
      <c r="F274" s="28" t="s">
        <v>77</v>
      </c>
      <c r="G274" s="28" t="s">
        <v>77</v>
      </c>
      <c r="I274" s="26" t="s">
        <v>77</v>
      </c>
      <c r="J274" s="26" t="s">
        <v>77</v>
      </c>
      <c r="K274" s="18"/>
      <c r="L274" s="26" t="s">
        <v>77</v>
      </c>
      <c r="M274" s="6" t="s">
        <v>77</v>
      </c>
      <c r="N274" s="28" t="s">
        <v>77</v>
      </c>
      <c r="O274" s="26" t="s">
        <v>77</v>
      </c>
    </row>
    <row r="275">
      <c r="A275" s="52" t="s">
        <v>77</v>
      </c>
      <c r="B275" s="28" t="s">
        <v>77</v>
      </c>
      <c r="C275" s="28" t="s">
        <v>77</v>
      </c>
      <c r="D275" s="28" t="s">
        <v>77</v>
      </c>
      <c r="E275" s="28" t="s">
        <v>77</v>
      </c>
      <c r="F275" s="28" t="s">
        <v>77</v>
      </c>
      <c r="G275" s="28" t="s">
        <v>77</v>
      </c>
      <c r="I275" s="26" t="s">
        <v>77</v>
      </c>
      <c r="J275" s="26" t="s">
        <v>77</v>
      </c>
      <c r="K275" s="18"/>
      <c r="L275" s="26" t="s">
        <v>77</v>
      </c>
      <c r="M275" s="6" t="s">
        <v>77</v>
      </c>
      <c r="N275" s="28" t="s">
        <v>77</v>
      </c>
      <c r="O275" s="26" t="s">
        <v>77</v>
      </c>
    </row>
    <row r="276">
      <c r="A276" s="52" t="s">
        <v>77</v>
      </c>
      <c r="B276" s="28" t="s">
        <v>77</v>
      </c>
      <c r="C276" s="28" t="s">
        <v>77</v>
      </c>
      <c r="D276" s="28" t="s">
        <v>77</v>
      </c>
      <c r="E276" s="28" t="s">
        <v>77</v>
      </c>
      <c r="F276" s="28" t="s">
        <v>77</v>
      </c>
      <c r="G276" s="28" t="s">
        <v>77</v>
      </c>
      <c r="I276" s="26" t="s">
        <v>77</v>
      </c>
      <c r="J276" s="26" t="s">
        <v>77</v>
      </c>
      <c r="K276" s="18"/>
      <c r="L276" s="26" t="s">
        <v>77</v>
      </c>
      <c r="M276" s="6" t="s">
        <v>77</v>
      </c>
      <c r="N276" s="28" t="s">
        <v>77</v>
      </c>
      <c r="O276" s="26" t="s">
        <v>77</v>
      </c>
    </row>
    <row r="277">
      <c r="A277" s="52" t="s">
        <v>77</v>
      </c>
      <c r="B277" s="28" t="s">
        <v>77</v>
      </c>
      <c r="C277" s="28" t="s">
        <v>77</v>
      </c>
      <c r="D277" s="28" t="s">
        <v>77</v>
      </c>
      <c r="E277" s="28" t="s">
        <v>77</v>
      </c>
      <c r="F277" s="28" t="s">
        <v>77</v>
      </c>
      <c r="G277" s="28" t="s">
        <v>77</v>
      </c>
      <c r="I277" s="26" t="s">
        <v>77</v>
      </c>
      <c r="J277" s="26" t="s">
        <v>77</v>
      </c>
      <c r="K277" s="18"/>
      <c r="L277" s="26" t="s">
        <v>77</v>
      </c>
      <c r="M277" s="6" t="s">
        <v>77</v>
      </c>
      <c r="N277" s="28" t="s">
        <v>77</v>
      </c>
      <c r="O277" s="26" t="s">
        <v>77</v>
      </c>
    </row>
    <row r="278">
      <c r="A278" s="52" t="s">
        <v>77</v>
      </c>
      <c r="B278" s="28" t="s">
        <v>77</v>
      </c>
      <c r="C278" s="28" t="s">
        <v>77</v>
      </c>
      <c r="D278" s="28" t="s">
        <v>77</v>
      </c>
      <c r="E278" s="28" t="s">
        <v>77</v>
      </c>
      <c r="F278" s="28" t="s">
        <v>77</v>
      </c>
      <c r="G278" s="28" t="s">
        <v>77</v>
      </c>
      <c r="I278" s="26" t="s">
        <v>77</v>
      </c>
      <c r="J278" s="26" t="s">
        <v>77</v>
      </c>
      <c r="K278" s="18"/>
      <c r="L278" s="26" t="s">
        <v>77</v>
      </c>
      <c r="M278" s="6" t="s">
        <v>77</v>
      </c>
      <c r="N278" s="28" t="s">
        <v>77</v>
      </c>
      <c r="O278" s="26" t="s">
        <v>77</v>
      </c>
    </row>
    <row r="279">
      <c r="A279" s="52" t="s">
        <v>77</v>
      </c>
      <c r="B279" s="28" t="s">
        <v>77</v>
      </c>
      <c r="C279" s="28" t="s">
        <v>77</v>
      </c>
      <c r="D279" s="28" t="s">
        <v>77</v>
      </c>
      <c r="E279" s="28" t="s">
        <v>77</v>
      </c>
      <c r="F279" s="28" t="s">
        <v>77</v>
      </c>
      <c r="G279" s="28" t="s">
        <v>77</v>
      </c>
      <c r="I279" s="26" t="s">
        <v>77</v>
      </c>
      <c r="J279" s="26" t="s">
        <v>77</v>
      </c>
      <c r="K279" s="18"/>
      <c r="L279" s="26" t="s">
        <v>77</v>
      </c>
      <c r="M279" s="6" t="s">
        <v>77</v>
      </c>
      <c r="N279" s="28" t="s">
        <v>77</v>
      </c>
      <c r="O279" s="26" t="s">
        <v>77</v>
      </c>
    </row>
    <row r="280">
      <c r="A280" s="52" t="s">
        <v>77</v>
      </c>
      <c r="B280" s="28" t="s">
        <v>77</v>
      </c>
      <c r="C280" s="28" t="s">
        <v>77</v>
      </c>
      <c r="D280" s="28" t="s">
        <v>77</v>
      </c>
      <c r="E280" s="28" t="s">
        <v>77</v>
      </c>
      <c r="F280" s="28" t="s">
        <v>77</v>
      </c>
      <c r="G280" s="28" t="s">
        <v>77</v>
      </c>
      <c r="I280" s="26" t="s">
        <v>77</v>
      </c>
      <c r="J280" s="26" t="s">
        <v>77</v>
      </c>
      <c r="K280" s="18"/>
      <c r="L280" s="26" t="s">
        <v>77</v>
      </c>
      <c r="M280" s="6" t="s">
        <v>77</v>
      </c>
      <c r="N280" s="28" t="s">
        <v>77</v>
      </c>
      <c r="O280" s="26" t="s">
        <v>77</v>
      </c>
    </row>
    <row r="281">
      <c r="A281" s="52" t="s">
        <v>77</v>
      </c>
      <c r="B281" s="28" t="s">
        <v>77</v>
      </c>
      <c r="C281" s="28" t="s">
        <v>77</v>
      </c>
      <c r="D281" s="28" t="s">
        <v>77</v>
      </c>
      <c r="E281" s="28" t="s">
        <v>77</v>
      </c>
      <c r="F281" s="28" t="s">
        <v>77</v>
      </c>
      <c r="G281" s="28" t="s">
        <v>77</v>
      </c>
      <c r="I281" s="26" t="s">
        <v>77</v>
      </c>
      <c r="J281" s="26" t="s">
        <v>77</v>
      </c>
      <c r="K281" s="18"/>
      <c r="L281" s="26" t="s">
        <v>77</v>
      </c>
      <c r="M281" s="6" t="s">
        <v>77</v>
      </c>
      <c r="N281" s="28" t="s">
        <v>77</v>
      </c>
      <c r="O281" s="26" t="s">
        <v>77</v>
      </c>
    </row>
    <row r="282">
      <c r="A282" s="52" t="s">
        <v>77</v>
      </c>
      <c r="B282" s="28" t="s">
        <v>77</v>
      </c>
      <c r="C282" s="28" t="s">
        <v>77</v>
      </c>
      <c r="D282" s="28" t="s">
        <v>77</v>
      </c>
      <c r="E282" s="28" t="s">
        <v>77</v>
      </c>
      <c r="F282" s="28" t="s">
        <v>77</v>
      </c>
      <c r="G282" s="28" t="s">
        <v>77</v>
      </c>
      <c r="I282" s="26" t="s">
        <v>77</v>
      </c>
      <c r="J282" s="26" t="s">
        <v>77</v>
      </c>
      <c r="K282" s="18"/>
      <c r="L282" s="26" t="s">
        <v>77</v>
      </c>
      <c r="M282" s="6" t="s">
        <v>77</v>
      </c>
      <c r="N282" s="28" t="s">
        <v>77</v>
      </c>
      <c r="O282" s="26" t="s">
        <v>77</v>
      </c>
    </row>
    <row r="283">
      <c r="A283" s="52" t="s">
        <v>77</v>
      </c>
      <c r="B283" s="28" t="s">
        <v>77</v>
      </c>
      <c r="C283" s="28" t="s">
        <v>77</v>
      </c>
      <c r="D283" s="28" t="s">
        <v>77</v>
      </c>
      <c r="E283" s="28" t="s">
        <v>77</v>
      </c>
      <c r="F283" s="28" t="s">
        <v>77</v>
      </c>
      <c r="G283" s="28" t="s">
        <v>77</v>
      </c>
      <c r="I283" s="26" t="s">
        <v>77</v>
      </c>
      <c r="J283" s="26" t="s">
        <v>77</v>
      </c>
      <c r="K283" s="18"/>
      <c r="L283" s="26" t="s">
        <v>77</v>
      </c>
      <c r="M283" s="6" t="s">
        <v>77</v>
      </c>
      <c r="N283" s="28" t="s">
        <v>77</v>
      </c>
      <c r="O283" s="26" t="s">
        <v>77</v>
      </c>
    </row>
    <row r="284">
      <c r="A284" s="52" t="s">
        <v>77</v>
      </c>
      <c r="B284" s="28" t="s">
        <v>77</v>
      </c>
      <c r="C284" s="28" t="s">
        <v>77</v>
      </c>
      <c r="D284" s="28" t="s">
        <v>77</v>
      </c>
      <c r="E284" s="28" t="s">
        <v>77</v>
      </c>
      <c r="F284" s="28" t="s">
        <v>77</v>
      </c>
      <c r="G284" s="28" t="s">
        <v>77</v>
      </c>
      <c r="I284" s="26" t="s">
        <v>77</v>
      </c>
      <c r="J284" s="26" t="s">
        <v>77</v>
      </c>
      <c r="K284" s="18"/>
      <c r="L284" s="26" t="s">
        <v>77</v>
      </c>
      <c r="M284" s="6" t="s">
        <v>77</v>
      </c>
      <c r="N284" s="28" t="s">
        <v>77</v>
      </c>
      <c r="O284" s="26" t="s">
        <v>77</v>
      </c>
    </row>
    <row r="285">
      <c r="A285" s="52" t="s">
        <v>77</v>
      </c>
      <c r="B285" s="28" t="s">
        <v>77</v>
      </c>
      <c r="C285" s="28" t="s">
        <v>77</v>
      </c>
      <c r="D285" s="28" t="s">
        <v>77</v>
      </c>
      <c r="E285" s="28" t="s">
        <v>77</v>
      </c>
      <c r="F285" s="28" t="s">
        <v>77</v>
      </c>
      <c r="G285" s="28" t="s">
        <v>77</v>
      </c>
      <c r="I285" s="26" t="s">
        <v>77</v>
      </c>
      <c r="J285" s="26" t="s">
        <v>77</v>
      </c>
      <c r="K285" s="18"/>
      <c r="L285" s="26" t="s">
        <v>77</v>
      </c>
      <c r="M285" s="6" t="s">
        <v>77</v>
      </c>
      <c r="N285" s="28" t="s">
        <v>77</v>
      </c>
      <c r="O285" s="26" t="s">
        <v>77</v>
      </c>
    </row>
    <row r="286">
      <c r="A286" s="52" t="s">
        <v>77</v>
      </c>
      <c r="B286" s="28" t="s">
        <v>77</v>
      </c>
      <c r="C286" s="28" t="s">
        <v>77</v>
      </c>
      <c r="D286" s="28" t="s">
        <v>77</v>
      </c>
      <c r="E286" s="28" t="s">
        <v>77</v>
      </c>
      <c r="F286" s="28" t="s">
        <v>77</v>
      </c>
      <c r="G286" s="28" t="s">
        <v>77</v>
      </c>
      <c r="I286" s="26" t="s">
        <v>77</v>
      </c>
      <c r="J286" s="26" t="s">
        <v>77</v>
      </c>
      <c r="K286" s="18"/>
      <c r="L286" s="26" t="s">
        <v>77</v>
      </c>
      <c r="M286" s="6" t="s">
        <v>77</v>
      </c>
      <c r="N286" s="28" t="s">
        <v>77</v>
      </c>
      <c r="O286" s="26" t="s">
        <v>77</v>
      </c>
    </row>
    <row r="287">
      <c r="A287" s="52" t="s">
        <v>77</v>
      </c>
      <c r="B287" s="28" t="s">
        <v>77</v>
      </c>
      <c r="C287" s="28" t="s">
        <v>77</v>
      </c>
      <c r="D287" s="28" t="s">
        <v>77</v>
      </c>
      <c r="E287" s="28" t="s">
        <v>77</v>
      </c>
      <c r="F287" s="28" t="s">
        <v>77</v>
      </c>
      <c r="G287" s="28" t="s">
        <v>77</v>
      </c>
      <c r="I287" s="26" t="s">
        <v>77</v>
      </c>
      <c r="J287" s="26" t="s">
        <v>77</v>
      </c>
      <c r="K287" s="18"/>
      <c r="L287" s="26" t="s">
        <v>77</v>
      </c>
      <c r="M287" s="6" t="s">
        <v>77</v>
      </c>
      <c r="N287" s="28" t="s">
        <v>77</v>
      </c>
      <c r="O287" s="26" t="s">
        <v>77</v>
      </c>
    </row>
    <row r="288">
      <c r="A288" s="52" t="s">
        <v>77</v>
      </c>
      <c r="B288" s="28" t="s">
        <v>77</v>
      </c>
      <c r="C288" s="28" t="s">
        <v>77</v>
      </c>
      <c r="D288" s="28" t="s">
        <v>77</v>
      </c>
      <c r="E288" s="28" t="s">
        <v>77</v>
      </c>
      <c r="F288" s="28" t="s">
        <v>77</v>
      </c>
      <c r="G288" s="28" t="s">
        <v>77</v>
      </c>
      <c r="I288" s="26" t="s">
        <v>77</v>
      </c>
      <c r="J288" s="26" t="s">
        <v>77</v>
      </c>
      <c r="K288" s="18"/>
      <c r="L288" s="26" t="s">
        <v>77</v>
      </c>
      <c r="M288" s="6" t="s">
        <v>77</v>
      </c>
      <c r="N288" s="28" t="s">
        <v>77</v>
      </c>
      <c r="O288" s="26" t="s">
        <v>77</v>
      </c>
    </row>
    <row r="289">
      <c r="A289" s="52" t="s">
        <v>77</v>
      </c>
      <c r="B289" s="28" t="s">
        <v>77</v>
      </c>
      <c r="C289" s="28" t="s">
        <v>77</v>
      </c>
      <c r="D289" s="28" t="s">
        <v>77</v>
      </c>
      <c r="E289" s="28" t="s">
        <v>77</v>
      </c>
      <c r="F289" s="28" t="s">
        <v>77</v>
      </c>
      <c r="G289" s="28" t="s">
        <v>77</v>
      </c>
      <c r="I289" s="26" t="s">
        <v>77</v>
      </c>
      <c r="J289" s="26" t="s">
        <v>77</v>
      </c>
      <c r="K289" s="18"/>
      <c r="L289" s="26" t="s">
        <v>77</v>
      </c>
      <c r="M289" s="6" t="s">
        <v>77</v>
      </c>
      <c r="N289" s="28" t="s">
        <v>77</v>
      </c>
      <c r="O289" s="26" t="s">
        <v>77</v>
      </c>
    </row>
    <row r="290">
      <c r="A290" s="52" t="s">
        <v>77</v>
      </c>
      <c r="B290" s="28" t="s">
        <v>77</v>
      </c>
      <c r="C290" s="28" t="s">
        <v>77</v>
      </c>
      <c r="D290" s="28" t="s">
        <v>77</v>
      </c>
      <c r="E290" s="28" t="s">
        <v>77</v>
      </c>
      <c r="F290" s="28" t="s">
        <v>77</v>
      </c>
      <c r="G290" s="28" t="s">
        <v>77</v>
      </c>
      <c r="I290" s="26" t="s">
        <v>77</v>
      </c>
      <c r="J290" s="26" t="s">
        <v>77</v>
      </c>
      <c r="K290" s="18"/>
      <c r="L290" s="26" t="s">
        <v>77</v>
      </c>
      <c r="M290" s="6" t="s">
        <v>77</v>
      </c>
      <c r="N290" s="28" t="s">
        <v>77</v>
      </c>
      <c r="O290" s="26" t="s">
        <v>77</v>
      </c>
    </row>
    <row r="291">
      <c r="A291" s="52" t="s">
        <v>77</v>
      </c>
      <c r="B291" s="28" t="s">
        <v>77</v>
      </c>
      <c r="C291" s="28" t="s">
        <v>77</v>
      </c>
      <c r="D291" s="28" t="s">
        <v>77</v>
      </c>
      <c r="E291" s="28" t="s">
        <v>77</v>
      </c>
      <c r="F291" s="28" t="s">
        <v>77</v>
      </c>
      <c r="G291" s="28" t="s">
        <v>77</v>
      </c>
      <c r="I291" s="26" t="s">
        <v>77</v>
      </c>
      <c r="J291" s="26" t="s">
        <v>77</v>
      </c>
      <c r="K291" s="18"/>
      <c r="L291" s="26" t="s">
        <v>77</v>
      </c>
      <c r="M291" s="6" t="s">
        <v>77</v>
      </c>
      <c r="N291" s="28" t="s">
        <v>77</v>
      </c>
      <c r="O291" s="26" t="s">
        <v>77</v>
      </c>
    </row>
    <row r="292">
      <c r="A292" s="52" t="s">
        <v>77</v>
      </c>
      <c r="B292" s="28" t="s">
        <v>77</v>
      </c>
      <c r="C292" s="28" t="s">
        <v>77</v>
      </c>
      <c r="D292" s="28" t="s">
        <v>77</v>
      </c>
      <c r="E292" s="28" t="s">
        <v>77</v>
      </c>
      <c r="F292" s="28" t="s">
        <v>77</v>
      </c>
      <c r="G292" s="28" t="s">
        <v>77</v>
      </c>
      <c r="I292" s="26" t="s">
        <v>77</v>
      </c>
      <c r="J292" s="26" t="s">
        <v>77</v>
      </c>
      <c r="K292" s="18"/>
      <c r="L292" s="26" t="s">
        <v>77</v>
      </c>
      <c r="M292" s="6" t="s">
        <v>77</v>
      </c>
      <c r="N292" s="28" t="s">
        <v>77</v>
      </c>
      <c r="O292" s="26" t="s">
        <v>77</v>
      </c>
    </row>
    <row r="293">
      <c r="A293" s="52" t="s">
        <v>77</v>
      </c>
      <c r="B293" s="28" t="s">
        <v>77</v>
      </c>
      <c r="C293" s="28" t="s">
        <v>77</v>
      </c>
      <c r="D293" s="28" t="s">
        <v>77</v>
      </c>
      <c r="E293" s="28" t="s">
        <v>77</v>
      </c>
      <c r="F293" s="28" t="s">
        <v>77</v>
      </c>
      <c r="G293" s="28" t="s">
        <v>77</v>
      </c>
      <c r="I293" s="26" t="s">
        <v>77</v>
      </c>
      <c r="J293" s="26" t="s">
        <v>77</v>
      </c>
      <c r="K293" s="18"/>
      <c r="L293" s="26" t="s">
        <v>77</v>
      </c>
      <c r="M293" s="6" t="s">
        <v>77</v>
      </c>
      <c r="N293" s="28" t="s">
        <v>77</v>
      </c>
      <c r="O293" s="26" t="s">
        <v>77</v>
      </c>
    </row>
    <row r="294">
      <c r="A294" s="52" t="s">
        <v>77</v>
      </c>
      <c r="B294" s="28" t="s">
        <v>77</v>
      </c>
      <c r="C294" s="28" t="s">
        <v>77</v>
      </c>
      <c r="D294" s="28" t="s">
        <v>77</v>
      </c>
      <c r="E294" s="28" t="s">
        <v>77</v>
      </c>
      <c r="F294" s="28" t="s">
        <v>77</v>
      </c>
      <c r="G294" s="28" t="s">
        <v>77</v>
      </c>
      <c r="I294" s="26" t="s">
        <v>77</v>
      </c>
      <c r="J294" s="26" t="s">
        <v>77</v>
      </c>
      <c r="K294" s="18"/>
      <c r="L294" s="26" t="s">
        <v>77</v>
      </c>
      <c r="M294" s="6" t="s">
        <v>77</v>
      </c>
      <c r="N294" s="28" t="s">
        <v>77</v>
      </c>
      <c r="O294" s="26" t="s">
        <v>77</v>
      </c>
    </row>
    <row r="295">
      <c r="A295" s="52" t="s">
        <v>77</v>
      </c>
      <c r="B295" s="28" t="s">
        <v>77</v>
      </c>
      <c r="C295" s="28" t="s">
        <v>77</v>
      </c>
      <c r="D295" s="28" t="s">
        <v>77</v>
      </c>
      <c r="E295" s="28" t="s">
        <v>77</v>
      </c>
      <c r="F295" s="28" t="s">
        <v>77</v>
      </c>
      <c r="G295" s="28" t="s">
        <v>77</v>
      </c>
      <c r="I295" s="26" t="s">
        <v>77</v>
      </c>
      <c r="J295" s="26" t="s">
        <v>77</v>
      </c>
      <c r="K295" s="18"/>
      <c r="L295" s="26" t="s">
        <v>77</v>
      </c>
      <c r="M295" s="6" t="s">
        <v>77</v>
      </c>
      <c r="N295" s="28" t="s">
        <v>77</v>
      </c>
      <c r="O295" s="26" t="s">
        <v>77</v>
      </c>
    </row>
    <row r="296">
      <c r="A296" s="52" t="s">
        <v>77</v>
      </c>
      <c r="B296" s="28" t="s">
        <v>77</v>
      </c>
      <c r="C296" s="28" t="s">
        <v>77</v>
      </c>
      <c r="D296" s="28" t="s">
        <v>77</v>
      </c>
      <c r="E296" s="28" t="s">
        <v>77</v>
      </c>
      <c r="F296" s="28" t="s">
        <v>77</v>
      </c>
      <c r="G296" s="28" t="s">
        <v>77</v>
      </c>
      <c r="I296" s="26" t="s">
        <v>77</v>
      </c>
      <c r="J296" s="26" t="s">
        <v>77</v>
      </c>
      <c r="K296" s="18"/>
      <c r="L296" s="26" t="s">
        <v>77</v>
      </c>
      <c r="M296" s="6" t="s">
        <v>77</v>
      </c>
      <c r="N296" s="28" t="s">
        <v>77</v>
      </c>
      <c r="O296" s="26" t="s">
        <v>77</v>
      </c>
    </row>
    <row r="297">
      <c r="A297" s="52" t="s">
        <v>77</v>
      </c>
      <c r="B297" s="28" t="s">
        <v>77</v>
      </c>
      <c r="C297" s="28" t="s">
        <v>77</v>
      </c>
      <c r="D297" s="28" t="s">
        <v>77</v>
      </c>
      <c r="E297" s="28" t="s">
        <v>77</v>
      </c>
      <c r="F297" s="28" t="s">
        <v>77</v>
      </c>
      <c r="G297" s="28" t="s">
        <v>77</v>
      </c>
      <c r="I297" s="26" t="s">
        <v>77</v>
      </c>
      <c r="J297" s="26" t="s">
        <v>77</v>
      </c>
      <c r="K297" s="18"/>
      <c r="L297" s="26" t="s">
        <v>77</v>
      </c>
      <c r="M297" s="6" t="s">
        <v>77</v>
      </c>
      <c r="N297" s="28" t="s">
        <v>77</v>
      </c>
      <c r="O297" s="26" t="s">
        <v>77</v>
      </c>
    </row>
    <row r="298">
      <c r="A298" s="52" t="s">
        <v>77</v>
      </c>
      <c r="B298" s="28" t="s">
        <v>77</v>
      </c>
      <c r="C298" s="28" t="s">
        <v>77</v>
      </c>
      <c r="D298" s="28" t="s">
        <v>77</v>
      </c>
      <c r="E298" s="28" t="s">
        <v>77</v>
      </c>
      <c r="F298" s="28" t="s">
        <v>77</v>
      </c>
      <c r="G298" s="28" t="s">
        <v>77</v>
      </c>
      <c r="I298" s="26" t="s">
        <v>77</v>
      </c>
      <c r="J298" s="26" t="s">
        <v>77</v>
      </c>
      <c r="K298" s="18"/>
      <c r="L298" s="26" t="s">
        <v>77</v>
      </c>
      <c r="M298" s="6" t="s">
        <v>77</v>
      </c>
      <c r="N298" s="28" t="s">
        <v>77</v>
      </c>
      <c r="O298" s="26" t="s">
        <v>77</v>
      </c>
    </row>
    <row r="299">
      <c r="A299" s="52" t="s">
        <v>77</v>
      </c>
      <c r="B299" s="28" t="s">
        <v>77</v>
      </c>
      <c r="C299" s="28" t="s">
        <v>77</v>
      </c>
      <c r="D299" s="28" t="s">
        <v>77</v>
      </c>
      <c r="E299" s="28" t="s">
        <v>77</v>
      </c>
      <c r="F299" s="28" t="s">
        <v>77</v>
      </c>
      <c r="G299" s="28" t="s">
        <v>77</v>
      </c>
      <c r="I299" s="26" t="s">
        <v>77</v>
      </c>
      <c r="J299" s="26" t="s">
        <v>77</v>
      </c>
      <c r="K299" s="18"/>
      <c r="L299" s="26" t="s">
        <v>77</v>
      </c>
      <c r="M299" s="6" t="s">
        <v>77</v>
      </c>
      <c r="N299" s="28" t="s">
        <v>77</v>
      </c>
      <c r="O299" s="26" t="s">
        <v>77</v>
      </c>
    </row>
    <row r="300">
      <c r="A300" s="52" t="s">
        <v>77</v>
      </c>
      <c r="B300" s="28" t="s">
        <v>77</v>
      </c>
      <c r="C300" s="28" t="s">
        <v>77</v>
      </c>
      <c r="D300" s="28" t="s">
        <v>77</v>
      </c>
      <c r="E300" s="28" t="s">
        <v>77</v>
      </c>
      <c r="F300" s="28" t="s">
        <v>77</v>
      </c>
      <c r="G300" s="28" t="s">
        <v>77</v>
      </c>
      <c r="I300" s="26" t="s">
        <v>77</v>
      </c>
      <c r="J300" s="26" t="s">
        <v>77</v>
      </c>
      <c r="K300" s="18"/>
      <c r="L300" s="26" t="s">
        <v>77</v>
      </c>
      <c r="M300" s="6" t="s">
        <v>77</v>
      </c>
      <c r="N300" s="28" t="s">
        <v>77</v>
      </c>
      <c r="O300" s="26" t="s">
        <v>77</v>
      </c>
    </row>
    <row r="301">
      <c r="A301" s="52" t="s">
        <v>77</v>
      </c>
      <c r="B301" s="28" t="s">
        <v>77</v>
      </c>
      <c r="C301" s="28" t="s">
        <v>77</v>
      </c>
      <c r="D301" s="28" t="s">
        <v>77</v>
      </c>
      <c r="E301" s="28" t="s">
        <v>77</v>
      </c>
      <c r="F301" s="28" t="s">
        <v>77</v>
      </c>
      <c r="G301" s="28" t="s">
        <v>77</v>
      </c>
      <c r="I301" s="26" t="s">
        <v>77</v>
      </c>
      <c r="J301" s="26" t="s">
        <v>77</v>
      </c>
      <c r="K301" s="18"/>
      <c r="L301" s="26" t="s">
        <v>77</v>
      </c>
      <c r="M301" s="6" t="s">
        <v>77</v>
      </c>
      <c r="N301" s="28" t="s">
        <v>77</v>
      </c>
      <c r="O301" s="26" t="s">
        <v>77</v>
      </c>
    </row>
    <row r="302">
      <c r="A302" s="52" t="s">
        <v>77</v>
      </c>
      <c r="B302" s="28" t="s">
        <v>77</v>
      </c>
      <c r="C302" s="28" t="s">
        <v>77</v>
      </c>
      <c r="D302" s="28" t="s">
        <v>77</v>
      </c>
      <c r="E302" s="28" t="s">
        <v>77</v>
      </c>
      <c r="F302" s="28" t="s">
        <v>77</v>
      </c>
      <c r="G302" s="28" t="s">
        <v>77</v>
      </c>
      <c r="I302" s="26" t="s">
        <v>77</v>
      </c>
      <c r="J302" s="26" t="s">
        <v>77</v>
      </c>
      <c r="K302" s="18"/>
      <c r="L302" s="26" t="s">
        <v>77</v>
      </c>
      <c r="M302" s="6" t="s">
        <v>77</v>
      </c>
      <c r="N302" s="28" t="s">
        <v>77</v>
      </c>
      <c r="O302" s="26" t="s">
        <v>77</v>
      </c>
    </row>
    <row r="303">
      <c r="A303" s="52" t="s">
        <v>77</v>
      </c>
      <c r="B303" s="28" t="s">
        <v>77</v>
      </c>
      <c r="C303" s="28" t="s">
        <v>77</v>
      </c>
      <c r="D303" s="28" t="s">
        <v>77</v>
      </c>
      <c r="E303" s="28" t="s">
        <v>77</v>
      </c>
      <c r="F303" s="28" t="s">
        <v>77</v>
      </c>
      <c r="G303" s="28" t="s">
        <v>77</v>
      </c>
      <c r="I303" s="26" t="s">
        <v>77</v>
      </c>
      <c r="J303" s="26" t="s">
        <v>77</v>
      </c>
      <c r="K303" s="18"/>
      <c r="L303" s="26" t="s">
        <v>77</v>
      </c>
      <c r="M303" s="6" t="s">
        <v>77</v>
      </c>
      <c r="N303" s="28" t="s">
        <v>77</v>
      </c>
      <c r="O303" s="26" t="s">
        <v>77</v>
      </c>
    </row>
    <row r="304">
      <c r="A304" s="52" t="s">
        <v>77</v>
      </c>
      <c r="B304" s="28" t="s">
        <v>77</v>
      </c>
      <c r="C304" s="28" t="s">
        <v>77</v>
      </c>
      <c r="D304" s="28" t="s">
        <v>77</v>
      </c>
      <c r="E304" s="28" t="s">
        <v>77</v>
      </c>
      <c r="F304" s="28" t="s">
        <v>77</v>
      </c>
      <c r="G304" s="28" t="s">
        <v>77</v>
      </c>
      <c r="I304" s="26" t="s">
        <v>77</v>
      </c>
      <c r="J304" s="26" t="s">
        <v>77</v>
      </c>
      <c r="K304" s="18"/>
      <c r="L304" s="26" t="s">
        <v>77</v>
      </c>
      <c r="M304" s="6" t="s">
        <v>77</v>
      </c>
      <c r="N304" s="28" t="s">
        <v>77</v>
      </c>
      <c r="O304" s="26" t="s">
        <v>77</v>
      </c>
    </row>
    <row r="305">
      <c r="A305" s="52" t="s">
        <v>77</v>
      </c>
      <c r="B305" s="28" t="s">
        <v>77</v>
      </c>
      <c r="C305" s="28" t="s">
        <v>77</v>
      </c>
      <c r="D305" s="28" t="s">
        <v>77</v>
      </c>
      <c r="E305" s="28" t="s">
        <v>77</v>
      </c>
      <c r="F305" s="28" t="s">
        <v>77</v>
      </c>
      <c r="G305" s="28" t="s">
        <v>77</v>
      </c>
      <c r="I305" s="26" t="s">
        <v>77</v>
      </c>
      <c r="J305" s="26" t="s">
        <v>77</v>
      </c>
      <c r="K305" s="18"/>
      <c r="L305" s="26" t="s">
        <v>77</v>
      </c>
      <c r="M305" s="6" t="s">
        <v>77</v>
      </c>
      <c r="N305" s="28" t="s">
        <v>77</v>
      </c>
      <c r="O305" s="26" t="s">
        <v>77</v>
      </c>
    </row>
    <row r="306">
      <c r="A306" s="52" t="s">
        <v>77</v>
      </c>
      <c r="B306" s="28" t="s">
        <v>77</v>
      </c>
      <c r="C306" s="28" t="s">
        <v>77</v>
      </c>
      <c r="D306" s="28" t="s">
        <v>77</v>
      </c>
      <c r="E306" s="28" t="s">
        <v>77</v>
      </c>
      <c r="F306" s="28" t="s">
        <v>77</v>
      </c>
      <c r="G306" s="28" t="s">
        <v>77</v>
      </c>
      <c r="I306" s="26" t="s">
        <v>77</v>
      </c>
      <c r="J306" s="26" t="s">
        <v>77</v>
      </c>
      <c r="K306" s="18"/>
      <c r="L306" s="26" t="s">
        <v>77</v>
      </c>
      <c r="M306" s="6" t="s">
        <v>77</v>
      </c>
      <c r="N306" s="28" t="s">
        <v>77</v>
      </c>
      <c r="O306" s="26" t="s">
        <v>77</v>
      </c>
    </row>
    <row r="307">
      <c r="A307" s="52" t="s">
        <v>77</v>
      </c>
      <c r="B307" s="28" t="s">
        <v>77</v>
      </c>
      <c r="C307" s="28" t="s">
        <v>77</v>
      </c>
      <c r="D307" s="28" t="s">
        <v>77</v>
      </c>
      <c r="E307" s="28" t="s">
        <v>77</v>
      </c>
      <c r="F307" s="28" t="s">
        <v>77</v>
      </c>
      <c r="G307" s="28" t="s">
        <v>77</v>
      </c>
      <c r="I307" s="26" t="s">
        <v>77</v>
      </c>
      <c r="J307" s="26" t="s">
        <v>77</v>
      </c>
      <c r="K307" s="18"/>
      <c r="L307" s="26" t="s">
        <v>77</v>
      </c>
      <c r="M307" s="6" t="s">
        <v>77</v>
      </c>
      <c r="N307" s="28" t="s">
        <v>77</v>
      </c>
      <c r="O307" s="26" t="s">
        <v>77</v>
      </c>
    </row>
    <row r="308">
      <c r="A308" s="52" t="s">
        <v>77</v>
      </c>
      <c r="B308" s="28" t="s">
        <v>77</v>
      </c>
      <c r="C308" s="28" t="s">
        <v>77</v>
      </c>
      <c r="D308" s="28" t="s">
        <v>77</v>
      </c>
      <c r="E308" s="28" t="s">
        <v>77</v>
      </c>
      <c r="F308" s="28" t="s">
        <v>77</v>
      </c>
      <c r="G308" s="28" t="s">
        <v>77</v>
      </c>
      <c r="I308" s="26" t="s">
        <v>77</v>
      </c>
      <c r="J308" s="26" t="s">
        <v>77</v>
      </c>
      <c r="K308" s="18"/>
      <c r="L308" s="26" t="s">
        <v>77</v>
      </c>
      <c r="M308" s="6" t="s">
        <v>77</v>
      </c>
      <c r="N308" s="28" t="s">
        <v>77</v>
      </c>
      <c r="O308" s="26" t="s">
        <v>77</v>
      </c>
    </row>
    <row r="309">
      <c r="A309" s="52" t="s">
        <v>77</v>
      </c>
      <c r="B309" s="28" t="s">
        <v>77</v>
      </c>
      <c r="C309" s="28" t="s">
        <v>77</v>
      </c>
      <c r="D309" s="28" t="s">
        <v>77</v>
      </c>
      <c r="E309" s="28" t="s">
        <v>77</v>
      </c>
      <c r="F309" s="28" t="s">
        <v>77</v>
      </c>
      <c r="G309" s="28" t="s">
        <v>77</v>
      </c>
      <c r="I309" s="26" t="s">
        <v>77</v>
      </c>
      <c r="J309" s="26" t="s">
        <v>77</v>
      </c>
      <c r="K309" s="18"/>
      <c r="L309" s="26" t="s">
        <v>77</v>
      </c>
      <c r="M309" s="6" t="s">
        <v>77</v>
      </c>
      <c r="N309" s="28" t="s">
        <v>77</v>
      </c>
      <c r="O309" s="26" t="s">
        <v>77</v>
      </c>
    </row>
    <row r="310">
      <c r="A310" s="52" t="s">
        <v>77</v>
      </c>
      <c r="B310" s="28" t="s">
        <v>77</v>
      </c>
      <c r="C310" s="28" t="s">
        <v>77</v>
      </c>
      <c r="D310" s="28" t="s">
        <v>77</v>
      </c>
      <c r="E310" s="28" t="s">
        <v>77</v>
      </c>
      <c r="F310" s="28" t="s">
        <v>77</v>
      </c>
      <c r="G310" s="28" t="s">
        <v>77</v>
      </c>
      <c r="I310" s="26" t="s">
        <v>77</v>
      </c>
      <c r="J310" s="26" t="s">
        <v>77</v>
      </c>
      <c r="K310" s="18"/>
      <c r="L310" s="26" t="s">
        <v>77</v>
      </c>
      <c r="M310" s="6" t="s">
        <v>77</v>
      </c>
      <c r="N310" s="28" t="s">
        <v>77</v>
      </c>
      <c r="O310" s="26" t="s">
        <v>77</v>
      </c>
    </row>
    <row r="311">
      <c r="A311" s="52" t="s">
        <v>77</v>
      </c>
      <c r="B311" s="28" t="s">
        <v>77</v>
      </c>
      <c r="C311" s="28" t="s">
        <v>77</v>
      </c>
      <c r="D311" s="28" t="s">
        <v>77</v>
      </c>
      <c r="E311" s="28" t="s">
        <v>77</v>
      </c>
      <c r="F311" s="28" t="s">
        <v>77</v>
      </c>
      <c r="G311" s="28" t="s">
        <v>77</v>
      </c>
      <c r="I311" s="26" t="s">
        <v>77</v>
      </c>
      <c r="J311" s="26" t="s">
        <v>77</v>
      </c>
      <c r="K311" s="18"/>
      <c r="L311" s="26" t="s">
        <v>77</v>
      </c>
      <c r="M311" s="6" t="s">
        <v>77</v>
      </c>
      <c r="N311" s="28" t="s">
        <v>77</v>
      </c>
      <c r="O311" s="26" t="s">
        <v>77</v>
      </c>
    </row>
    <row r="312">
      <c r="A312" s="52" t="s">
        <v>77</v>
      </c>
      <c r="B312" s="28" t="s">
        <v>77</v>
      </c>
      <c r="C312" s="28" t="s">
        <v>77</v>
      </c>
      <c r="D312" s="28" t="s">
        <v>77</v>
      </c>
      <c r="E312" s="28" t="s">
        <v>77</v>
      </c>
      <c r="F312" s="28" t="s">
        <v>77</v>
      </c>
      <c r="G312" s="28" t="s">
        <v>77</v>
      </c>
      <c r="I312" s="26" t="s">
        <v>77</v>
      </c>
      <c r="J312" s="26" t="s">
        <v>77</v>
      </c>
      <c r="K312" s="18"/>
      <c r="L312" s="26" t="s">
        <v>77</v>
      </c>
      <c r="M312" s="6" t="s">
        <v>77</v>
      </c>
      <c r="N312" s="28" t="s">
        <v>77</v>
      </c>
      <c r="O312" s="26" t="s">
        <v>77</v>
      </c>
    </row>
    <row r="313">
      <c r="A313" s="52" t="s">
        <v>77</v>
      </c>
      <c r="B313" s="28" t="s">
        <v>77</v>
      </c>
      <c r="C313" s="28" t="s">
        <v>77</v>
      </c>
      <c r="D313" s="28" t="s">
        <v>77</v>
      </c>
      <c r="E313" s="28" t="s">
        <v>77</v>
      </c>
      <c r="F313" s="28" t="s">
        <v>77</v>
      </c>
      <c r="G313" s="28" t="s">
        <v>77</v>
      </c>
      <c r="I313" s="26" t="s">
        <v>77</v>
      </c>
      <c r="J313" s="26" t="s">
        <v>77</v>
      </c>
      <c r="K313" s="18"/>
      <c r="L313" s="26" t="s">
        <v>77</v>
      </c>
      <c r="M313" s="6" t="s">
        <v>77</v>
      </c>
      <c r="N313" s="28" t="s">
        <v>77</v>
      </c>
      <c r="O313" s="26" t="s">
        <v>77</v>
      </c>
    </row>
    <row r="314">
      <c r="A314" s="52" t="s">
        <v>77</v>
      </c>
      <c r="B314" s="28" t="s">
        <v>77</v>
      </c>
      <c r="C314" s="28" t="s">
        <v>77</v>
      </c>
      <c r="D314" s="28" t="s">
        <v>77</v>
      </c>
      <c r="E314" s="28" t="s">
        <v>77</v>
      </c>
      <c r="F314" s="28" t="s">
        <v>77</v>
      </c>
      <c r="G314" s="28" t="s">
        <v>77</v>
      </c>
      <c r="I314" s="26" t="s">
        <v>77</v>
      </c>
      <c r="J314" s="26" t="s">
        <v>77</v>
      </c>
      <c r="K314" s="18"/>
      <c r="L314" s="26" t="s">
        <v>77</v>
      </c>
      <c r="M314" s="6" t="s">
        <v>77</v>
      </c>
      <c r="N314" s="28" t="s">
        <v>77</v>
      </c>
      <c r="O314" s="26" t="s">
        <v>77</v>
      </c>
    </row>
    <row r="315">
      <c r="A315" s="52" t="s">
        <v>77</v>
      </c>
      <c r="B315" s="28" t="s">
        <v>77</v>
      </c>
      <c r="C315" s="28" t="s">
        <v>77</v>
      </c>
      <c r="D315" s="28" t="s">
        <v>77</v>
      </c>
      <c r="E315" s="28" t="s">
        <v>77</v>
      </c>
      <c r="F315" s="28" t="s">
        <v>77</v>
      </c>
      <c r="G315" s="28" t="s">
        <v>77</v>
      </c>
      <c r="I315" s="26" t="s">
        <v>77</v>
      </c>
      <c r="J315" s="26" t="s">
        <v>77</v>
      </c>
      <c r="K315" s="18"/>
      <c r="L315" s="26" t="s">
        <v>77</v>
      </c>
      <c r="M315" s="6" t="s">
        <v>77</v>
      </c>
      <c r="N315" s="28" t="s">
        <v>77</v>
      </c>
      <c r="O315" s="26" t="s">
        <v>77</v>
      </c>
    </row>
    <row r="316">
      <c r="A316" s="52" t="s">
        <v>77</v>
      </c>
      <c r="B316" s="28" t="s">
        <v>77</v>
      </c>
      <c r="C316" s="28" t="s">
        <v>77</v>
      </c>
      <c r="D316" s="28" t="s">
        <v>77</v>
      </c>
      <c r="E316" s="28" t="s">
        <v>77</v>
      </c>
      <c r="F316" s="28" t="s">
        <v>77</v>
      </c>
      <c r="G316" s="28" t="s">
        <v>77</v>
      </c>
      <c r="I316" s="26" t="s">
        <v>77</v>
      </c>
      <c r="J316" s="26" t="s">
        <v>77</v>
      </c>
      <c r="K316" s="18"/>
      <c r="L316" s="26" t="s">
        <v>77</v>
      </c>
      <c r="M316" s="6" t="s">
        <v>77</v>
      </c>
      <c r="N316" s="28" t="s">
        <v>77</v>
      </c>
      <c r="O316" s="26" t="s">
        <v>77</v>
      </c>
    </row>
    <row r="317">
      <c r="A317" s="52" t="s">
        <v>77</v>
      </c>
      <c r="B317" s="28" t="s">
        <v>77</v>
      </c>
      <c r="C317" s="28" t="s">
        <v>77</v>
      </c>
      <c r="D317" s="28" t="s">
        <v>77</v>
      </c>
      <c r="E317" s="28" t="s">
        <v>77</v>
      </c>
      <c r="F317" s="28" t="s">
        <v>77</v>
      </c>
      <c r="G317" s="28" t="s">
        <v>77</v>
      </c>
      <c r="I317" s="26" t="s">
        <v>77</v>
      </c>
      <c r="J317" s="26" t="s">
        <v>77</v>
      </c>
      <c r="K317" s="18"/>
      <c r="L317" s="26" t="s">
        <v>77</v>
      </c>
      <c r="M317" s="6" t="s">
        <v>77</v>
      </c>
      <c r="N317" s="28" t="s">
        <v>77</v>
      </c>
      <c r="O317" s="26" t="s">
        <v>77</v>
      </c>
    </row>
    <row r="318">
      <c r="A318" s="52" t="s">
        <v>77</v>
      </c>
      <c r="B318" s="28" t="s">
        <v>77</v>
      </c>
      <c r="C318" s="28" t="s">
        <v>77</v>
      </c>
      <c r="D318" s="28" t="s">
        <v>77</v>
      </c>
      <c r="E318" s="28" t="s">
        <v>77</v>
      </c>
      <c r="F318" s="28" t="s">
        <v>77</v>
      </c>
      <c r="G318" s="28" t="s">
        <v>77</v>
      </c>
      <c r="I318" s="26" t="s">
        <v>77</v>
      </c>
      <c r="J318" s="26" t="s">
        <v>77</v>
      </c>
      <c r="K318" s="18"/>
      <c r="L318" s="26" t="s">
        <v>77</v>
      </c>
      <c r="M318" s="6" t="s">
        <v>77</v>
      </c>
      <c r="N318" s="28" t="s">
        <v>77</v>
      </c>
      <c r="O318" s="26" t="s">
        <v>77</v>
      </c>
    </row>
    <row r="319">
      <c r="A319" s="52" t="s">
        <v>77</v>
      </c>
      <c r="B319" s="28" t="s">
        <v>77</v>
      </c>
      <c r="C319" s="28" t="s">
        <v>77</v>
      </c>
      <c r="D319" s="28" t="s">
        <v>77</v>
      </c>
      <c r="E319" s="28" t="s">
        <v>77</v>
      </c>
      <c r="F319" s="28" t="s">
        <v>77</v>
      </c>
      <c r="G319" s="28" t="s">
        <v>77</v>
      </c>
      <c r="I319" s="26" t="s">
        <v>77</v>
      </c>
      <c r="J319" s="26" t="s">
        <v>77</v>
      </c>
      <c r="K319" s="18"/>
      <c r="L319" s="26" t="s">
        <v>77</v>
      </c>
      <c r="M319" s="6" t="s">
        <v>77</v>
      </c>
      <c r="N319" s="28" t="s">
        <v>77</v>
      </c>
      <c r="O319" s="26" t="s">
        <v>77</v>
      </c>
    </row>
    <row r="320">
      <c r="A320" s="52" t="s">
        <v>77</v>
      </c>
      <c r="B320" s="28" t="s">
        <v>77</v>
      </c>
      <c r="C320" s="28" t="s">
        <v>77</v>
      </c>
      <c r="D320" s="28" t="s">
        <v>77</v>
      </c>
      <c r="E320" s="28" t="s">
        <v>77</v>
      </c>
      <c r="F320" s="28" t="s">
        <v>77</v>
      </c>
      <c r="G320" s="28" t="s">
        <v>77</v>
      </c>
      <c r="I320" s="26" t="s">
        <v>77</v>
      </c>
      <c r="J320" s="26" t="s">
        <v>77</v>
      </c>
      <c r="K320" s="18"/>
      <c r="L320" s="26" t="s">
        <v>77</v>
      </c>
      <c r="M320" s="6" t="s">
        <v>77</v>
      </c>
      <c r="N320" s="28" t="s">
        <v>77</v>
      </c>
      <c r="O320" s="26" t="s">
        <v>77</v>
      </c>
    </row>
    <row r="321">
      <c r="A321" s="52" t="s">
        <v>77</v>
      </c>
      <c r="B321" s="28" t="s">
        <v>77</v>
      </c>
      <c r="C321" s="28" t="s">
        <v>77</v>
      </c>
      <c r="D321" s="28" t="s">
        <v>77</v>
      </c>
      <c r="E321" s="28" t="s">
        <v>77</v>
      </c>
      <c r="F321" s="28" t="s">
        <v>77</v>
      </c>
      <c r="G321" s="28" t="s">
        <v>77</v>
      </c>
      <c r="I321" s="26" t="s">
        <v>77</v>
      </c>
      <c r="J321" s="26" t="s">
        <v>77</v>
      </c>
      <c r="K321" s="18"/>
      <c r="L321" s="26" t="s">
        <v>77</v>
      </c>
      <c r="M321" s="6" t="s">
        <v>77</v>
      </c>
      <c r="N321" s="28" t="s">
        <v>77</v>
      </c>
      <c r="O321" s="26" t="s">
        <v>77</v>
      </c>
    </row>
    <row r="322">
      <c r="A322" s="52" t="s">
        <v>77</v>
      </c>
      <c r="B322" s="28" t="s">
        <v>77</v>
      </c>
      <c r="C322" s="28" t="s">
        <v>77</v>
      </c>
      <c r="D322" s="28" t="s">
        <v>77</v>
      </c>
      <c r="E322" s="28" t="s">
        <v>77</v>
      </c>
      <c r="F322" s="28" t="s">
        <v>77</v>
      </c>
      <c r="G322" s="28" t="s">
        <v>77</v>
      </c>
      <c r="I322" s="26" t="s">
        <v>77</v>
      </c>
      <c r="J322" s="26" t="s">
        <v>77</v>
      </c>
      <c r="K322" s="18"/>
      <c r="L322" s="26" t="s">
        <v>77</v>
      </c>
      <c r="M322" s="6" t="s">
        <v>77</v>
      </c>
      <c r="N322" s="28" t="s">
        <v>77</v>
      </c>
      <c r="O322" s="26" t="s">
        <v>77</v>
      </c>
    </row>
    <row r="323">
      <c r="A323" s="52" t="s">
        <v>77</v>
      </c>
      <c r="B323" s="28" t="s">
        <v>77</v>
      </c>
      <c r="C323" s="28" t="s">
        <v>77</v>
      </c>
      <c r="D323" s="28" t="s">
        <v>77</v>
      </c>
      <c r="E323" s="28" t="s">
        <v>77</v>
      </c>
      <c r="F323" s="28" t="s">
        <v>77</v>
      </c>
      <c r="G323" s="28" t="s">
        <v>77</v>
      </c>
      <c r="I323" s="26" t="s">
        <v>77</v>
      </c>
      <c r="J323" s="26" t="s">
        <v>77</v>
      </c>
      <c r="K323" s="18"/>
      <c r="L323" s="26" t="s">
        <v>77</v>
      </c>
      <c r="M323" s="6" t="s">
        <v>77</v>
      </c>
      <c r="N323" s="28" t="s">
        <v>77</v>
      </c>
      <c r="O323" s="26" t="s">
        <v>77</v>
      </c>
    </row>
    <row r="324">
      <c r="A324" s="52" t="s">
        <v>77</v>
      </c>
      <c r="B324" s="28" t="s">
        <v>77</v>
      </c>
      <c r="C324" s="28" t="s">
        <v>77</v>
      </c>
      <c r="D324" s="28" t="s">
        <v>77</v>
      </c>
      <c r="E324" s="28" t="s">
        <v>77</v>
      </c>
      <c r="F324" s="28" t="s">
        <v>77</v>
      </c>
      <c r="G324" s="28" t="s">
        <v>77</v>
      </c>
      <c r="I324" s="26" t="s">
        <v>77</v>
      </c>
      <c r="J324" s="26" t="s">
        <v>77</v>
      </c>
      <c r="K324" s="18"/>
      <c r="L324" s="26" t="s">
        <v>77</v>
      </c>
      <c r="M324" s="6" t="s">
        <v>77</v>
      </c>
      <c r="N324" s="28" t="s">
        <v>77</v>
      </c>
      <c r="O324" s="26" t="s">
        <v>77</v>
      </c>
    </row>
    <row r="325">
      <c r="A325" s="52" t="s">
        <v>77</v>
      </c>
      <c r="B325" s="28" t="s">
        <v>77</v>
      </c>
      <c r="C325" s="28" t="s">
        <v>77</v>
      </c>
      <c r="D325" s="28" t="s">
        <v>77</v>
      </c>
      <c r="E325" s="28" t="s">
        <v>77</v>
      </c>
      <c r="F325" s="28" t="s">
        <v>77</v>
      </c>
      <c r="G325" s="28" t="s">
        <v>77</v>
      </c>
      <c r="I325" s="26" t="s">
        <v>77</v>
      </c>
      <c r="J325" s="26" t="s">
        <v>77</v>
      </c>
      <c r="K325" s="18"/>
      <c r="L325" s="26" t="s">
        <v>77</v>
      </c>
      <c r="M325" s="6" t="s">
        <v>77</v>
      </c>
      <c r="N325" s="28" t="s">
        <v>77</v>
      </c>
      <c r="O325" s="26" t="s">
        <v>77</v>
      </c>
    </row>
    <row r="326">
      <c r="A326" s="52" t="s">
        <v>77</v>
      </c>
      <c r="B326" s="28" t="s">
        <v>77</v>
      </c>
      <c r="C326" s="28" t="s">
        <v>77</v>
      </c>
      <c r="D326" s="28" t="s">
        <v>77</v>
      </c>
      <c r="E326" s="28" t="s">
        <v>77</v>
      </c>
      <c r="F326" s="28" t="s">
        <v>77</v>
      </c>
      <c r="G326" s="28" t="s">
        <v>77</v>
      </c>
      <c r="I326" s="26" t="s">
        <v>77</v>
      </c>
      <c r="J326" s="26" t="s">
        <v>77</v>
      </c>
      <c r="K326" s="18"/>
      <c r="L326" s="26" t="s">
        <v>77</v>
      </c>
      <c r="M326" s="6" t="s">
        <v>77</v>
      </c>
      <c r="N326" s="28" t="s">
        <v>77</v>
      </c>
      <c r="O326" s="26" t="s">
        <v>77</v>
      </c>
    </row>
    <row r="327">
      <c r="A327" s="52" t="s">
        <v>77</v>
      </c>
      <c r="B327" s="28" t="s">
        <v>77</v>
      </c>
      <c r="C327" s="28" t="s">
        <v>77</v>
      </c>
      <c r="D327" s="28" t="s">
        <v>77</v>
      </c>
      <c r="E327" s="28" t="s">
        <v>77</v>
      </c>
      <c r="F327" s="28" t="s">
        <v>77</v>
      </c>
      <c r="G327" s="28" t="s">
        <v>77</v>
      </c>
      <c r="I327" s="26" t="s">
        <v>77</v>
      </c>
      <c r="J327" s="26" t="s">
        <v>77</v>
      </c>
      <c r="K327" s="18"/>
      <c r="L327" s="26" t="s">
        <v>77</v>
      </c>
      <c r="M327" s="6" t="s">
        <v>77</v>
      </c>
      <c r="N327" s="28" t="s">
        <v>77</v>
      </c>
      <c r="O327" s="26" t="s">
        <v>77</v>
      </c>
    </row>
    <row r="328">
      <c r="A328" s="52" t="s">
        <v>77</v>
      </c>
      <c r="B328" s="28" t="s">
        <v>77</v>
      </c>
      <c r="C328" s="28" t="s">
        <v>77</v>
      </c>
      <c r="D328" s="28" t="s">
        <v>77</v>
      </c>
      <c r="E328" s="28" t="s">
        <v>77</v>
      </c>
      <c r="F328" s="28" t="s">
        <v>77</v>
      </c>
      <c r="G328" s="28" t="s">
        <v>77</v>
      </c>
      <c r="I328" s="26" t="s">
        <v>77</v>
      </c>
      <c r="J328" s="26" t="s">
        <v>77</v>
      </c>
      <c r="K328" s="18"/>
      <c r="L328" s="26" t="s">
        <v>77</v>
      </c>
      <c r="M328" s="6" t="s">
        <v>77</v>
      </c>
      <c r="N328" s="28" t="s">
        <v>77</v>
      </c>
      <c r="O328" s="26" t="s">
        <v>77</v>
      </c>
    </row>
    <row r="329">
      <c r="A329" s="52" t="s">
        <v>77</v>
      </c>
      <c r="B329" s="28" t="s">
        <v>77</v>
      </c>
      <c r="C329" s="28" t="s">
        <v>77</v>
      </c>
      <c r="D329" s="28" t="s">
        <v>77</v>
      </c>
      <c r="E329" s="28" t="s">
        <v>77</v>
      </c>
      <c r="F329" s="28" t="s">
        <v>77</v>
      </c>
      <c r="G329" s="28" t="s">
        <v>77</v>
      </c>
      <c r="I329" s="26" t="s">
        <v>77</v>
      </c>
      <c r="J329" s="26" t="s">
        <v>77</v>
      </c>
      <c r="K329" s="18"/>
      <c r="L329" s="26" t="s">
        <v>77</v>
      </c>
      <c r="M329" s="6" t="s">
        <v>77</v>
      </c>
      <c r="N329" s="28" t="s">
        <v>77</v>
      </c>
      <c r="O329" s="26" t="s">
        <v>77</v>
      </c>
    </row>
    <row r="330">
      <c r="A330" s="52" t="s">
        <v>77</v>
      </c>
      <c r="B330" s="28" t="s">
        <v>77</v>
      </c>
      <c r="C330" s="28" t="s">
        <v>77</v>
      </c>
      <c r="D330" s="28" t="s">
        <v>77</v>
      </c>
      <c r="E330" s="28" t="s">
        <v>77</v>
      </c>
      <c r="F330" s="28" t="s">
        <v>77</v>
      </c>
      <c r="G330" s="28" t="s">
        <v>77</v>
      </c>
      <c r="I330" s="26" t="s">
        <v>77</v>
      </c>
      <c r="J330" s="26" t="s">
        <v>77</v>
      </c>
      <c r="K330" s="18"/>
      <c r="L330" s="26" t="s">
        <v>77</v>
      </c>
      <c r="M330" s="6" t="s">
        <v>77</v>
      </c>
      <c r="N330" s="28" t="s">
        <v>77</v>
      </c>
      <c r="O330" s="26" t="s">
        <v>77</v>
      </c>
    </row>
    <row r="331">
      <c r="A331" s="52" t="s">
        <v>77</v>
      </c>
      <c r="B331" s="28" t="s">
        <v>77</v>
      </c>
      <c r="C331" s="28" t="s">
        <v>77</v>
      </c>
      <c r="D331" s="28" t="s">
        <v>77</v>
      </c>
      <c r="E331" s="28" t="s">
        <v>77</v>
      </c>
      <c r="F331" s="28" t="s">
        <v>77</v>
      </c>
      <c r="G331" s="28" t="s">
        <v>77</v>
      </c>
      <c r="I331" s="26" t="s">
        <v>77</v>
      </c>
      <c r="J331" s="26" t="s">
        <v>77</v>
      </c>
      <c r="K331" s="18"/>
      <c r="L331" s="26" t="s">
        <v>77</v>
      </c>
      <c r="M331" s="6" t="s">
        <v>77</v>
      </c>
      <c r="N331" s="28" t="s">
        <v>77</v>
      </c>
      <c r="O331" s="26" t="s">
        <v>77</v>
      </c>
    </row>
    <row r="332">
      <c r="A332" s="52" t="s">
        <v>77</v>
      </c>
      <c r="B332" s="28" t="s">
        <v>77</v>
      </c>
      <c r="C332" s="28" t="s">
        <v>77</v>
      </c>
      <c r="D332" s="28" t="s">
        <v>77</v>
      </c>
      <c r="E332" s="28" t="s">
        <v>77</v>
      </c>
      <c r="F332" s="28" t="s">
        <v>77</v>
      </c>
      <c r="G332" s="28" t="s">
        <v>77</v>
      </c>
      <c r="I332" s="26" t="s">
        <v>77</v>
      </c>
      <c r="J332" s="26" t="s">
        <v>77</v>
      </c>
      <c r="K332" s="18"/>
      <c r="L332" s="26" t="s">
        <v>77</v>
      </c>
      <c r="M332" s="6" t="s">
        <v>77</v>
      </c>
      <c r="N332" s="28" t="s">
        <v>77</v>
      </c>
      <c r="O332" s="26" t="s">
        <v>77</v>
      </c>
    </row>
    <row r="333">
      <c r="A333" s="52" t="s">
        <v>77</v>
      </c>
      <c r="B333" s="28" t="s">
        <v>77</v>
      </c>
      <c r="C333" s="28" t="s">
        <v>77</v>
      </c>
      <c r="D333" s="28" t="s">
        <v>77</v>
      </c>
      <c r="E333" s="28" t="s">
        <v>77</v>
      </c>
      <c r="F333" s="28" t="s">
        <v>77</v>
      </c>
      <c r="G333" s="28" t="s">
        <v>77</v>
      </c>
      <c r="I333" s="26" t="s">
        <v>77</v>
      </c>
      <c r="J333" s="26" t="s">
        <v>77</v>
      </c>
      <c r="K333" s="18"/>
      <c r="L333" s="26" t="s">
        <v>77</v>
      </c>
      <c r="M333" s="6" t="s">
        <v>77</v>
      </c>
      <c r="N333" s="28" t="s">
        <v>77</v>
      </c>
      <c r="O333" s="26" t="s">
        <v>77</v>
      </c>
    </row>
    <row r="334">
      <c r="A334" s="52" t="s">
        <v>77</v>
      </c>
      <c r="B334" s="28" t="s">
        <v>77</v>
      </c>
      <c r="C334" s="28" t="s">
        <v>77</v>
      </c>
      <c r="D334" s="28" t="s">
        <v>77</v>
      </c>
      <c r="E334" s="28" t="s">
        <v>77</v>
      </c>
      <c r="F334" s="28" t="s">
        <v>77</v>
      </c>
      <c r="G334" s="28" t="s">
        <v>77</v>
      </c>
      <c r="I334" s="26" t="s">
        <v>77</v>
      </c>
      <c r="J334" s="26" t="s">
        <v>77</v>
      </c>
      <c r="K334" s="18"/>
      <c r="L334" s="26" t="s">
        <v>77</v>
      </c>
      <c r="M334" s="6" t="s">
        <v>77</v>
      </c>
      <c r="N334" s="28" t="s">
        <v>77</v>
      </c>
      <c r="O334" s="26" t="s">
        <v>77</v>
      </c>
    </row>
    <row r="335">
      <c r="A335" s="52" t="s">
        <v>77</v>
      </c>
      <c r="B335" s="28" t="s">
        <v>77</v>
      </c>
      <c r="C335" s="28" t="s">
        <v>77</v>
      </c>
      <c r="D335" s="28" t="s">
        <v>77</v>
      </c>
      <c r="E335" s="28" t="s">
        <v>77</v>
      </c>
      <c r="F335" s="28" t="s">
        <v>77</v>
      </c>
      <c r="G335" s="28" t="s">
        <v>77</v>
      </c>
      <c r="I335" s="26" t="s">
        <v>77</v>
      </c>
      <c r="J335" s="26" t="s">
        <v>77</v>
      </c>
      <c r="K335" s="18"/>
      <c r="L335" s="26" t="s">
        <v>77</v>
      </c>
      <c r="M335" s="6" t="s">
        <v>77</v>
      </c>
      <c r="N335" s="28" t="s">
        <v>77</v>
      </c>
      <c r="O335" s="26" t="s">
        <v>77</v>
      </c>
    </row>
    <row r="336">
      <c r="A336" s="52" t="s">
        <v>77</v>
      </c>
      <c r="B336" s="28" t="s">
        <v>77</v>
      </c>
      <c r="C336" s="28" t="s">
        <v>77</v>
      </c>
      <c r="D336" s="28" t="s">
        <v>77</v>
      </c>
      <c r="E336" s="28" t="s">
        <v>77</v>
      </c>
      <c r="F336" s="28" t="s">
        <v>77</v>
      </c>
      <c r="G336" s="28" t="s">
        <v>77</v>
      </c>
      <c r="I336" s="26" t="s">
        <v>77</v>
      </c>
      <c r="J336" s="26" t="s">
        <v>77</v>
      </c>
      <c r="K336" s="18"/>
      <c r="L336" s="26" t="s">
        <v>77</v>
      </c>
      <c r="M336" s="6" t="s">
        <v>77</v>
      </c>
      <c r="N336" s="28" t="s">
        <v>77</v>
      </c>
      <c r="O336" s="26" t="s">
        <v>77</v>
      </c>
    </row>
    <row r="337">
      <c r="A337" s="52" t="s">
        <v>77</v>
      </c>
      <c r="B337" s="28" t="s">
        <v>77</v>
      </c>
      <c r="C337" s="28" t="s">
        <v>77</v>
      </c>
      <c r="D337" s="28" t="s">
        <v>77</v>
      </c>
      <c r="E337" s="28" t="s">
        <v>77</v>
      </c>
      <c r="F337" s="28" t="s">
        <v>77</v>
      </c>
      <c r="G337" s="28" t="s">
        <v>77</v>
      </c>
      <c r="I337" s="26" t="s">
        <v>77</v>
      </c>
      <c r="J337" s="26" t="s">
        <v>77</v>
      </c>
      <c r="K337" s="18"/>
      <c r="L337" s="26" t="s">
        <v>77</v>
      </c>
      <c r="M337" s="6" t="s">
        <v>77</v>
      </c>
      <c r="N337" s="28" t="s">
        <v>77</v>
      </c>
      <c r="O337" s="26" t="s">
        <v>77</v>
      </c>
    </row>
    <row r="338">
      <c r="A338" s="52" t="s">
        <v>77</v>
      </c>
      <c r="B338" s="28" t="s">
        <v>77</v>
      </c>
      <c r="C338" s="28" t="s">
        <v>77</v>
      </c>
      <c r="D338" s="28" t="s">
        <v>77</v>
      </c>
      <c r="E338" s="28" t="s">
        <v>77</v>
      </c>
      <c r="F338" s="28" t="s">
        <v>77</v>
      </c>
      <c r="G338" s="28" t="s">
        <v>77</v>
      </c>
      <c r="I338" s="26" t="s">
        <v>77</v>
      </c>
      <c r="J338" s="26" t="s">
        <v>77</v>
      </c>
      <c r="K338" s="18"/>
      <c r="L338" s="26" t="s">
        <v>77</v>
      </c>
      <c r="M338" s="6" t="s">
        <v>77</v>
      </c>
      <c r="N338" s="28" t="s">
        <v>77</v>
      </c>
      <c r="O338" s="26" t="s">
        <v>77</v>
      </c>
    </row>
    <row r="339">
      <c r="A339" s="52" t="s">
        <v>77</v>
      </c>
      <c r="B339" s="28" t="s">
        <v>77</v>
      </c>
      <c r="C339" s="28" t="s">
        <v>77</v>
      </c>
      <c r="D339" s="28" t="s">
        <v>77</v>
      </c>
      <c r="E339" s="28" t="s">
        <v>77</v>
      </c>
      <c r="F339" s="28" t="s">
        <v>77</v>
      </c>
      <c r="G339" s="28" t="s">
        <v>77</v>
      </c>
      <c r="I339" s="26" t="s">
        <v>77</v>
      </c>
      <c r="J339" s="26" t="s">
        <v>77</v>
      </c>
      <c r="K339" s="18"/>
      <c r="L339" s="26" t="s">
        <v>77</v>
      </c>
      <c r="M339" s="6" t="s">
        <v>77</v>
      </c>
      <c r="N339" s="28" t="s">
        <v>77</v>
      </c>
      <c r="O339" s="26" t="s">
        <v>77</v>
      </c>
    </row>
    <row r="340">
      <c r="A340" s="52" t="s">
        <v>77</v>
      </c>
      <c r="B340" s="28" t="s">
        <v>77</v>
      </c>
      <c r="C340" s="28" t="s">
        <v>77</v>
      </c>
      <c r="D340" s="28" t="s">
        <v>77</v>
      </c>
      <c r="E340" s="28" t="s">
        <v>77</v>
      </c>
      <c r="F340" s="28" t="s">
        <v>77</v>
      </c>
      <c r="G340" s="28" t="s">
        <v>77</v>
      </c>
      <c r="I340" s="26" t="s">
        <v>77</v>
      </c>
      <c r="J340" s="26" t="s">
        <v>77</v>
      </c>
      <c r="K340" s="18"/>
      <c r="L340" s="26" t="s">
        <v>77</v>
      </c>
      <c r="M340" s="6" t="s">
        <v>77</v>
      </c>
      <c r="N340" s="28" t="s">
        <v>77</v>
      </c>
      <c r="O340" s="26" t="s">
        <v>77</v>
      </c>
    </row>
    <row r="341">
      <c r="A341" s="52" t="s">
        <v>77</v>
      </c>
      <c r="B341" s="28" t="s">
        <v>77</v>
      </c>
      <c r="C341" s="28" t="s">
        <v>77</v>
      </c>
      <c r="D341" s="28" t="s">
        <v>77</v>
      </c>
      <c r="E341" s="28" t="s">
        <v>77</v>
      </c>
      <c r="F341" s="28" t="s">
        <v>77</v>
      </c>
      <c r="G341" s="28" t="s">
        <v>77</v>
      </c>
      <c r="I341" s="26" t="s">
        <v>77</v>
      </c>
      <c r="J341" s="26" t="s">
        <v>77</v>
      </c>
      <c r="K341" s="18"/>
      <c r="L341" s="26" t="s">
        <v>77</v>
      </c>
      <c r="M341" s="6" t="s">
        <v>77</v>
      </c>
      <c r="N341" s="28" t="s">
        <v>77</v>
      </c>
      <c r="O341" s="26" t="s">
        <v>77</v>
      </c>
    </row>
    <row r="342">
      <c r="A342" s="52" t="s">
        <v>77</v>
      </c>
      <c r="B342" s="28" t="s">
        <v>77</v>
      </c>
      <c r="C342" s="28" t="s">
        <v>77</v>
      </c>
      <c r="D342" s="28" t="s">
        <v>77</v>
      </c>
      <c r="E342" s="28" t="s">
        <v>77</v>
      </c>
      <c r="F342" s="28" t="s">
        <v>77</v>
      </c>
      <c r="G342" s="28" t="s">
        <v>77</v>
      </c>
      <c r="I342" s="26" t="s">
        <v>77</v>
      </c>
      <c r="J342" s="26" t="s">
        <v>77</v>
      </c>
      <c r="K342" s="18"/>
      <c r="L342" s="26" t="s">
        <v>77</v>
      </c>
      <c r="M342" s="6" t="s">
        <v>77</v>
      </c>
      <c r="N342" s="28" t="s">
        <v>77</v>
      </c>
      <c r="O342" s="26" t="s">
        <v>77</v>
      </c>
    </row>
    <row r="343">
      <c r="A343" s="52" t="s">
        <v>77</v>
      </c>
      <c r="B343" s="28" t="s">
        <v>77</v>
      </c>
      <c r="C343" s="28" t="s">
        <v>77</v>
      </c>
      <c r="D343" s="28" t="s">
        <v>77</v>
      </c>
      <c r="E343" s="28" t="s">
        <v>77</v>
      </c>
      <c r="F343" s="28" t="s">
        <v>77</v>
      </c>
      <c r="G343" s="28" t="s">
        <v>77</v>
      </c>
      <c r="I343" s="26" t="s">
        <v>77</v>
      </c>
      <c r="J343" s="26" t="s">
        <v>77</v>
      </c>
      <c r="K343" s="18"/>
      <c r="L343" s="26" t="s">
        <v>77</v>
      </c>
      <c r="M343" s="6" t="s">
        <v>77</v>
      </c>
      <c r="N343" s="28" t="s">
        <v>77</v>
      </c>
      <c r="O343" s="26" t="s">
        <v>77</v>
      </c>
    </row>
    <row r="344">
      <c r="A344" s="52" t="s">
        <v>77</v>
      </c>
      <c r="B344" s="28" t="s">
        <v>77</v>
      </c>
      <c r="C344" s="28" t="s">
        <v>77</v>
      </c>
      <c r="D344" s="28" t="s">
        <v>77</v>
      </c>
      <c r="E344" s="28" t="s">
        <v>77</v>
      </c>
      <c r="F344" s="28" t="s">
        <v>77</v>
      </c>
      <c r="G344" s="28" t="s">
        <v>77</v>
      </c>
      <c r="I344" s="26" t="s">
        <v>77</v>
      </c>
      <c r="J344" s="26" t="s">
        <v>77</v>
      </c>
      <c r="K344" s="18"/>
      <c r="L344" s="26" t="s">
        <v>77</v>
      </c>
      <c r="M344" s="6" t="s">
        <v>77</v>
      </c>
      <c r="N344" s="28" t="s">
        <v>77</v>
      </c>
      <c r="O344" s="26" t="s">
        <v>77</v>
      </c>
    </row>
    <row r="345">
      <c r="A345" s="52" t="s">
        <v>77</v>
      </c>
      <c r="B345" s="28" t="s">
        <v>77</v>
      </c>
      <c r="C345" s="28" t="s">
        <v>77</v>
      </c>
      <c r="D345" s="28" t="s">
        <v>77</v>
      </c>
      <c r="E345" s="28" t="s">
        <v>77</v>
      </c>
      <c r="F345" s="28" t="s">
        <v>77</v>
      </c>
      <c r="G345" s="28" t="s">
        <v>77</v>
      </c>
      <c r="I345" s="26" t="s">
        <v>77</v>
      </c>
      <c r="J345" s="26" t="s">
        <v>77</v>
      </c>
      <c r="K345" s="18"/>
      <c r="L345" s="26" t="s">
        <v>77</v>
      </c>
      <c r="M345" s="6" t="s">
        <v>77</v>
      </c>
      <c r="N345" s="28" t="s">
        <v>77</v>
      </c>
      <c r="O345" s="26" t="s">
        <v>77</v>
      </c>
    </row>
    <row r="346">
      <c r="A346" s="52" t="s">
        <v>77</v>
      </c>
      <c r="B346" s="28" t="s">
        <v>77</v>
      </c>
      <c r="C346" s="28" t="s">
        <v>77</v>
      </c>
      <c r="D346" s="28" t="s">
        <v>77</v>
      </c>
      <c r="E346" s="28" t="s">
        <v>77</v>
      </c>
      <c r="F346" s="28" t="s">
        <v>77</v>
      </c>
      <c r="G346" s="28" t="s">
        <v>77</v>
      </c>
      <c r="I346" s="26" t="s">
        <v>77</v>
      </c>
      <c r="J346" s="26" t="s">
        <v>77</v>
      </c>
      <c r="K346" s="18"/>
      <c r="L346" s="26" t="s">
        <v>77</v>
      </c>
      <c r="M346" s="6" t="s">
        <v>77</v>
      </c>
      <c r="N346" s="28" t="s">
        <v>77</v>
      </c>
      <c r="O346" s="26" t="s">
        <v>77</v>
      </c>
    </row>
    <row r="347">
      <c r="A347" s="52" t="s">
        <v>77</v>
      </c>
      <c r="B347" s="28" t="s">
        <v>77</v>
      </c>
      <c r="C347" s="28" t="s">
        <v>77</v>
      </c>
      <c r="D347" s="28" t="s">
        <v>77</v>
      </c>
      <c r="E347" s="28" t="s">
        <v>77</v>
      </c>
      <c r="F347" s="28" t="s">
        <v>77</v>
      </c>
      <c r="G347" s="28" t="s">
        <v>77</v>
      </c>
      <c r="I347" s="26" t="s">
        <v>77</v>
      </c>
      <c r="J347" s="26" t="s">
        <v>77</v>
      </c>
      <c r="K347" s="18"/>
      <c r="L347" s="26" t="s">
        <v>77</v>
      </c>
      <c r="M347" s="6" t="s">
        <v>77</v>
      </c>
      <c r="N347" s="28" t="s">
        <v>77</v>
      </c>
      <c r="O347" s="26" t="s">
        <v>77</v>
      </c>
    </row>
    <row r="348">
      <c r="A348" s="52" t="s">
        <v>77</v>
      </c>
      <c r="B348" s="28" t="s">
        <v>77</v>
      </c>
      <c r="C348" s="28" t="s">
        <v>77</v>
      </c>
      <c r="D348" s="28" t="s">
        <v>77</v>
      </c>
      <c r="E348" s="28" t="s">
        <v>77</v>
      </c>
      <c r="F348" s="28" t="s">
        <v>77</v>
      </c>
      <c r="G348" s="28" t="s">
        <v>77</v>
      </c>
      <c r="I348" s="26" t="s">
        <v>77</v>
      </c>
      <c r="J348" s="26" t="s">
        <v>77</v>
      </c>
      <c r="K348" s="18"/>
      <c r="L348" s="26" t="s">
        <v>77</v>
      </c>
      <c r="M348" s="6" t="s">
        <v>77</v>
      </c>
      <c r="N348" s="28" t="s">
        <v>77</v>
      </c>
      <c r="O348" s="26" t="s">
        <v>77</v>
      </c>
    </row>
    <row r="349">
      <c r="A349" s="52" t="s">
        <v>77</v>
      </c>
      <c r="B349" s="28" t="s">
        <v>77</v>
      </c>
      <c r="C349" s="28" t="s">
        <v>77</v>
      </c>
      <c r="D349" s="28" t="s">
        <v>77</v>
      </c>
      <c r="E349" s="28" t="s">
        <v>77</v>
      </c>
      <c r="F349" s="28" t="s">
        <v>77</v>
      </c>
      <c r="G349" s="28" t="s">
        <v>77</v>
      </c>
      <c r="I349" s="26" t="s">
        <v>77</v>
      </c>
      <c r="J349" s="26" t="s">
        <v>77</v>
      </c>
      <c r="K349" s="18"/>
      <c r="L349" s="26" t="s">
        <v>77</v>
      </c>
      <c r="M349" s="6" t="s">
        <v>77</v>
      </c>
      <c r="N349" s="28" t="s">
        <v>77</v>
      </c>
      <c r="O349" s="26" t="s">
        <v>77</v>
      </c>
    </row>
    <row r="350">
      <c r="A350" s="52" t="s">
        <v>77</v>
      </c>
      <c r="B350" s="28" t="s">
        <v>77</v>
      </c>
      <c r="C350" s="28" t="s">
        <v>77</v>
      </c>
      <c r="D350" s="28" t="s">
        <v>77</v>
      </c>
      <c r="E350" s="28" t="s">
        <v>77</v>
      </c>
      <c r="F350" s="28" t="s">
        <v>77</v>
      </c>
      <c r="G350" s="28" t="s">
        <v>77</v>
      </c>
      <c r="I350" s="26" t="s">
        <v>77</v>
      </c>
      <c r="J350" s="26" t="s">
        <v>77</v>
      </c>
      <c r="K350" s="18"/>
      <c r="L350" s="26" t="s">
        <v>77</v>
      </c>
      <c r="M350" s="6" t="s">
        <v>77</v>
      </c>
      <c r="N350" s="28" t="s">
        <v>77</v>
      </c>
      <c r="O350" s="26" t="s">
        <v>77</v>
      </c>
    </row>
    <row r="351">
      <c r="A351" s="52" t="s">
        <v>77</v>
      </c>
      <c r="B351" s="28" t="s">
        <v>77</v>
      </c>
      <c r="C351" s="28" t="s">
        <v>77</v>
      </c>
      <c r="D351" s="28" t="s">
        <v>77</v>
      </c>
      <c r="E351" s="28" t="s">
        <v>77</v>
      </c>
      <c r="F351" s="28" t="s">
        <v>77</v>
      </c>
      <c r="G351" s="28" t="s">
        <v>77</v>
      </c>
      <c r="I351" s="26" t="s">
        <v>77</v>
      </c>
      <c r="J351" s="26" t="s">
        <v>77</v>
      </c>
      <c r="K351" s="18"/>
      <c r="L351" s="26" t="s">
        <v>77</v>
      </c>
      <c r="M351" s="6" t="s">
        <v>77</v>
      </c>
      <c r="N351" s="28" t="s">
        <v>77</v>
      </c>
      <c r="O351" s="26" t="s">
        <v>77</v>
      </c>
    </row>
    <row r="352">
      <c r="A352" s="52" t="s">
        <v>77</v>
      </c>
      <c r="B352" s="28" t="s">
        <v>77</v>
      </c>
      <c r="C352" s="28" t="s">
        <v>77</v>
      </c>
      <c r="D352" s="28" t="s">
        <v>77</v>
      </c>
      <c r="E352" s="28" t="s">
        <v>77</v>
      </c>
      <c r="F352" s="28" t="s">
        <v>77</v>
      </c>
      <c r="G352" s="28" t="s">
        <v>77</v>
      </c>
      <c r="I352" s="26" t="s">
        <v>77</v>
      </c>
      <c r="J352" s="26" t="s">
        <v>77</v>
      </c>
      <c r="K352" s="18"/>
      <c r="L352" s="26" t="s">
        <v>77</v>
      </c>
      <c r="M352" s="6" t="s">
        <v>77</v>
      </c>
      <c r="N352" s="28" t="s">
        <v>77</v>
      </c>
      <c r="O352" s="26" t="s">
        <v>77</v>
      </c>
    </row>
    <row r="353">
      <c r="A353" s="52" t="s">
        <v>77</v>
      </c>
      <c r="B353" s="28" t="s">
        <v>77</v>
      </c>
      <c r="C353" s="28" t="s">
        <v>77</v>
      </c>
      <c r="D353" s="28" t="s">
        <v>77</v>
      </c>
      <c r="E353" s="28" t="s">
        <v>77</v>
      </c>
      <c r="F353" s="28" t="s">
        <v>77</v>
      </c>
      <c r="G353" s="28" t="s">
        <v>77</v>
      </c>
      <c r="I353" s="26" t="s">
        <v>77</v>
      </c>
      <c r="J353" s="26" t="s">
        <v>77</v>
      </c>
      <c r="K353" s="18"/>
      <c r="L353" s="26" t="s">
        <v>77</v>
      </c>
      <c r="M353" s="6" t="s">
        <v>77</v>
      </c>
      <c r="N353" s="28" t="s">
        <v>77</v>
      </c>
      <c r="O353" s="26" t="s">
        <v>77</v>
      </c>
    </row>
    <row r="354">
      <c r="A354" s="52" t="s">
        <v>77</v>
      </c>
      <c r="B354" s="28" t="s">
        <v>77</v>
      </c>
      <c r="C354" s="28" t="s">
        <v>77</v>
      </c>
      <c r="D354" s="28" t="s">
        <v>77</v>
      </c>
      <c r="E354" s="28" t="s">
        <v>77</v>
      </c>
      <c r="F354" s="28" t="s">
        <v>77</v>
      </c>
      <c r="G354" s="28" t="s">
        <v>77</v>
      </c>
      <c r="I354" s="26" t="s">
        <v>77</v>
      </c>
      <c r="J354" s="26" t="s">
        <v>77</v>
      </c>
      <c r="K354" s="18"/>
      <c r="L354" s="26" t="s">
        <v>77</v>
      </c>
      <c r="M354" s="6" t="s">
        <v>77</v>
      </c>
      <c r="N354" s="28" t="s">
        <v>77</v>
      </c>
      <c r="O354" s="26" t="s">
        <v>77</v>
      </c>
    </row>
    <row r="355">
      <c r="A355" s="52" t="s">
        <v>77</v>
      </c>
      <c r="B355" s="28" t="s">
        <v>77</v>
      </c>
      <c r="C355" s="28" t="s">
        <v>77</v>
      </c>
      <c r="D355" s="28" t="s">
        <v>77</v>
      </c>
      <c r="E355" s="28" t="s">
        <v>77</v>
      </c>
      <c r="F355" s="28" t="s">
        <v>77</v>
      </c>
      <c r="G355" s="28" t="s">
        <v>77</v>
      </c>
      <c r="I355" s="26" t="s">
        <v>77</v>
      </c>
      <c r="J355" s="26" t="s">
        <v>77</v>
      </c>
      <c r="K355" s="18"/>
      <c r="L355" s="26" t="s">
        <v>77</v>
      </c>
      <c r="M355" s="6" t="s">
        <v>77</v>
      </c>
      <c r="N355" s="28" t="s">
        <v>77</v>
      </c>
      <c r="O355" s="26" t="s">
        <v>77</v>
      </c>
    </row>
    <row r="356">
      <c r="A356" s="52" t="s">
        <v>77</v>
      </c>
      <c r="B356" s="28" t="s">
        <v>77</v>
      </c>
      <c r="C356" s="28" t="s">
        <v>77</v>
      </c>
      <c r="D356" s="28" t="s">
        <v>77</v>
      </c>
      <c r="E356" s="28" t="s">
        <v>77</v>
      </c>
      <c r="F356" s="28" t="s">
        <v>77</v>
      </c>
      <c r="G356" s="28" t="s">
        <v>77</v>
      </c>
      <c r="I356" s="26" t="s">
        <v>77</v>
      </c>
      <c r="J356" s="26" t="s">
        <v>77</v>
      </c>
      <c r="K356" s="18"/>
      <c r="L356" s="26" t="s">
        <v>77</v>
      </c>
      <c r="M356" s="6" t="s">
        <v>77</v>
      </c>
      <c r="N356" s="28" t="s">
        <v>77</v>
      </c>
      <c r="O356" s="26" t="s">
        <v>77</v>
      </c>
    </row>
    <row r="357">
      <c r="A357" s="52" t="s">
        <v>77</v>
      </c>
      <c r="B357" s="28" t="s">
        <v>77</v>
      </c>
      <c r="C357" s="28" t="s">
        <v>77</v>
      </c>
      <c r="D357" s="28" t="s">
        <v>77</v>
      </c>
      <c r="E357" s="28" t="s">
        <v>77</v>
      </c>
      <c r="F357" s="28" t="s">
        <v>77</v>
      </c>
      <c r="G357" s="28" t="s">
        <v>77</v>
      </c>
      <c r="I357" s="26" t="s">
        <v>77</v>
      </c>
      <c r="J357" s="26" t="s">
        <v>77</v>
      </c>
      <c r="K357" s="18"/>
      <c r="L357" s="26" t="s">
        <v>77</v>
      </c>
      <c r="M357" s="6" t="s">
        <v>77</v>
      </c>
      <c r="N357" s="28" t="s">
        <v>77</v>
      </c>
      <c r="O357" s="26" t="s">
        <v>77</v>
      </c>
    </row>
    <row r="358">
      <c r="A358" s="52" t="s">
        <v>77</v>
      </c>
      <c r="B358" s="28" t="s">
        <v>77</v>
      </c>
      <c r="C358" s="28" t="s">
        <v>77</v>
      </c>
      <c r="D358" s="28" t="s">
        <v>77</v>
      </c>
      <c r="E358" s="28" t="s">
        <v>77</v>
      </c>
      <c r="F358" s="28" t="s">
        <v>77</v>
      </c>
      <c r="G358" s="28" t="s">
        <v>77</v>
      </c>
      <c r="I358" s="26" t="s">
        <v>77</v>
      </c>
      <c r="J358" s="26" t="s">
        <v>77</v>
      </c>
      <c r="K358" s="18"/>
      <c r="L358" s="26" t="s">
        <v>77</v>
      </c>
      <c r="M358" s="6" t="s">
        <v>77</v>
      </c>
      <c r="N358" s="28" t="s">
        <v>77</v>
      </c>
      <c r="O358" s="26" t="s">
        <v>77</v>
      </c>
    </row>
    <row r="359">
      <c r="A359" s="52" t="s">
        <v>77</v>
      </c>
      <c r="B359" s="28" t="s">
        <v>77</v>
      </c>
      <c r="C359" s="28" t="s">
        <v>77</v>
      </c>
      <c r="D359" s="28" t="s">
        <v>77</v>
      </c>
      <c r="E359" s="28" t="s">
        <v>77</v>
      </c>
      <c r="F359" s="28" t="s">
        <v>77</v>
      </c>
      <c r="G359" s="28" t="s">
        <v>77</v>
      </c>
      <c r="I359" s="26" t="s">
        <v>77</v>
      </c>
      <c r="J359" s="26" t="s">
        <v>77</v>
      </c>
      <c r="K359" s="18"/>
      <c r="L359" s="26" t="s">
        <v>77</v>
      </c>
      <c r="M359" s="6" t="s">
        <v>77</v>
      </c>
      <c r="N359" s="28" t="s">
        <v>77</v>
      </c>
      <c r="O359" s="26" t="s">
        <v>77</v>
      </c>
    </row>
    <row r="360">
      <c r="A360" s="52" t="s">
        <v>77</v>
      </c>
      <c r="B360" s="28" t="s">
        <v>77</v>
      </c>
      <c r="C360" s="28" t="s">
        <v>77</v>
      </c>
      <c r="D360" s="28" t="s">
        <v>77</v>
      </c>
      <c r="E360" s="28" t="s">
        <v>77</v>
      </c>
      <c r="F360" s="28" t="s">
        <v>77</v>
      </c>
      <c r="G360" s="28" t="s">
        <v>77</v>
      </c>
      <c r="I360" s="26" t="s">
        <v>77</v>
      </c>
      <c r="J360" s="26" t="s">
        <v>77</v>
      </c>
      <c r="K360" s="18"/>
      <c r="L360" s="26" t="s">
        <v>77</v>
      </c>
      <c r="M360" s="6" t="s">
        <v>77</v>
      </c>
      <c r="N360" s="28" t="s">
        <v>77</v>
      </c>
      <c r="O360" s="26" t="s">
        <v>77</v>
      </c>
    </row>
    <row r="361">
      <c r="A361" s="52" t="s">
        <v>77</v>
      </c>
      <c r="B361" s="28" t="s">
        <v>77</v>
      </c>
      <c r="C361" s="28" t="s">
        <v>77</v>
      </c>
      <c r="D361" s="28" t="s">
        <v>77</v>
      </c>
      <c r="E361" s="28" t="s">
        <v>77</v>
      </c>
      <c r="F361" s="28" t="s">
        <v>77</v>
      </c>
      <c r="G361" s="28" t="s">
        <v>77</v>
      </c>
      <c r="I361" s="26" t="s">
        <v>77</v>
      </c>
      <c r="J361" s="26" t="s">
        <v>77</v>
      </c>
      <c r="K361" s="18"/>
      <c r="L361" s="26" t="s">
        <v>77</v>
      </c>
      <c r="M361" s="6" t="s">
        <v>77</v>
      </c>
      <c r="N361" s="28" t="s">
        <v>77</v>
      </c>
      <c r="O361" s="26" t="s">
        <v>77</v>
      </c>
    </row>
    <row r="362">
      <c r="A362" s="52" t="s">
        <v>77</v>
      </c>
      <c r="B362" s="28" t="s">
        <v>77</v>
      </c>
      <c r="C362" s="28" t="s">
        <v>77</v>
      </c>
      <c r="D362" s="28" t="s">
        <v>77</v>
      </c>
      <c r="E362" s="28" t="s">
        <v>77</v>
      </c>
      <c r="F362" s="28" t="s">
        <v>77</v>
      </c>
      <c r="G362" s="28" t="s">
        <v>77</v>
      </c>
      <c r="I362" s="26" t="s">
        <v>77</v>
      </c>
      <c r="J362" s="26" t="s">
        <v>77</v>
      </c>
      <c r="K362" s="18"/>
      <c r="L362" s="26" t="s">
        <v>77</v>
      </c>
      <c r="M362" s="6" t="s">
        <v>77</v>
      </c>
      <c r="N362" s="28" t="s">
        <v>77</v>
      </c>
      <c r="O362" s="26" t="s">
        <v>77</v>
      </c>
    </row>
    <row r="363">
      <c r="A363" s="52" t="s">
        <v>77</v>
      </c>
      <c r="B363" s="28" t="s">
        <v>77</v>
      </c>
      <c r="C363" s="28" t="s">
        <v>77</v>
      </c>
      <c r="D363" s="28" t="s">
        <v>77</v>
      </c>
      <c r="E363" s="28" t="s">
        <v>77</v>
      </c>
      <c r="F363" s="28" t="s">
        <v>77</v>
      </c>
      <c r="G363" s="28" t="s">
        <v>77</v>
      </c>
      <c r="I363" s="26" t="s">
        <v>77</v>
      </c>
      <c r="J363" s="26" t="s">
        <v>77</v>
      </c>
      <c r="K363" s="18"/>
      <c r="L363" s="26" t="s">
        <v>77</v>
      </c>
      <c r="M363" s="6" t="s">
        <v>77</v>
      </c>
      <c r="N363" s="28" t="s">
        <v>77</v>
      </c>
      <c r="O363" s="26" t="s">
        <v>77</v>
      </c>
    </row>
    <row r="364">
      <c r="A364" s="52" t="s">
        <v>77</v>
      </c>
      <c r="B364" s="28" t="s">
        <v>77</v>
      </c>
      <c r="C364" s="28" t="s">
        <v>77</v>
      </c>
      <c r="D364" s="28" t="s">
        <v>77</v>
      </c>
      <c r="E364" s="28" t="s">
        <v>77</v>
      </c>
      <c r="F364" s="28" t="s">
        <v>77</v>
      </c>
      <c r="G364" s="28" t="s">
        <v>77</v>
      </c>
      <c r="I364" s="26" t="s">
        <v>77</v>
      </c>
      <c r="J364" s="26" t="s">
        <v>77</v>
      </c>
      <c r="K364" s="18"/>
      <c r="L364" s="26" t="s">
        <v>77</v>
      </c>
      <c r="M364" s="6" t="s">
        <v>77</v>
      </c>
      <c r="N364" s="28" t="s">
        <v>77</v>
      </c>
      <c r="O364" s="26" t="s">
        <v>77</v>
      </c>
    </row>
    <row r="365">
      <c r="A365" s="52" t="s">
        <v>77</v>
      </c>
      <c r="B365" s="28" t="s">
        <v>77</v>
      </c>
      <c r="C365" s="28" t="s">
        <v>77</v>
      </c>
      <c r="D365" s="28" t="s">
        <v>77</v>
      </c>
      <c r="E365" s="28" t="s">
        <v>77</v>
      </c>
      <c r="F365" s="28" t="s">
        <v>77</v>
      </c>
      <c r="G365" s="28" t="s">
        <v>77</v>
      </c>
      <c r="I365" s="26" t="s">
        <v>77</v>
      </c>
      <c r="J365" s="26" t="s">
        <v>77</v>
      </c>
      <c r="K365" s="18"/>
      <c r="L365" s="26" t="s">
        <v>77</v>
      </c>
      <c r="M365" s="6" t="s">
        <v>77</v>
      </c>
      <c r="N365" s="28" t="s">
        <v>77</v>
      </c>
      <c r="O365" s="26" t="s">
        <v>77</v>
      </c>
    </row>
    <row r="366">
      <c r="A366" s="52" t="s">
        <v>77</v>
      </c>
      <c r="B366" s="28" t="s">
        <v>77</v>
      </c>
      <c r="C366" s="28" t="s">
        <v>77</v>
      </c>
      <c r="D366" s="28" t="s">
        <v>77</v>
      </c>
      <c r="E366" s="28" t="s">
        <v>77</v>
      </c>
      <c r="F366" s="28" t="s">
        <v>77</v>
      </c>
      <c r="G366" s="28" t="s">
        <v>77</v>
      </c>
      <c r="I366" s="26" t="s">
        <v>77</v>
      </c>
      <c r="J366" s="26" t="s">
        <v>77</v>
      </c>
      <c r="K366" s="18"/>
      <c r="L366" s="26" t="s">
        <v>77</v>
      </c>
      <c r="M366" s="6" t="s">
        <v>77</v>
      </c>
      <c r="N366" s="28" t="s">
        <v>77</v>
      </c>
      <c r="O366" s="26" t="s">
        <v>77</v>
      </c>
    </row>
    <row r="367">
      <c r="A367" s="52" t="s">
        <v>77</v>
      </c>
      <c r="B367" s="28" t="s">
        <v>77</v>
      </c>
      <c r="C367" s="28" t="s">
        <v>77</v>
      </c>
      <c r="D367" s="28" t="s">
        <v>77</v>
      </c>
      <c r="E367" s="28" t="s">
        <v>77</v>
      </c>
      <c r="F367" s="28" t="s">
        <v>77</v>
      </c>
      <c r="G367" s="28" t="s">
        <v>77</v>
      </c>
      <c r="I367" s="26" t="s">
        <v>77</v>
      </c>
      <c r="J367" s="26" t="s">
        <v>77</v>
      </c>
      <c r="K367" s="18"/>
      <c r="L367" s="26" t="s">
        <v>77</v>
      </c>
      <c r="M367" s="6" t="s">
        <v>77</v>
      </c>
      <c r="N367" s="28" t="s">
        <v>77</v>
      </c>
      <c r="O367" s="26" t="s">
        <v>77</v>
      </c>
    </row>
    <row r="368">
      <c r="A368" s="52" t="s">
        <v>77</v>
      </c>
      <c r="B368" s="28" t="s">
        <v>77</v>
      </c>
      <c r="C368" s="28" t="s">
        <v>77</v>
      </c>
      <c r="D368" s="28" t="s">
        <v>77</v>
      </c>
      <c r="E368" s="28" t="s">
        <v>77</v>
      </c>
      <c r="F368" s="28" t="s">
        <v>77</v>
      </c>
      <c r="G368" s="28" t="s">
        <v>77</v>
      </c>
      <c r="I368" s="26" t="s">
        <v>77</v>
      </c>
      <c r="J368" s="26" t="s">
        <v>77</v>
      </c>
      <c r="K368" s="18"/>
      <c r="L368" s="26" t="s">
        <v>77</v>
      </c>
      <c r="M368" s="6" t="s">
        <v>77</v>
      </c>
      <c r="N368" s="28" t="s">
        <v>77</v>
      </c>
      <c r="O368" s="26" t="s">
        <v>77</v>
      </c>
    </row>
    <row r="369">
      <c r="A369" s="52" t="s">
        <v>77</v>
      </c>
      <c r="B369" s="28" t="s">
        <v>77</v>
      </c>
      <c r="C369" s="28" t="s">
        <v>77</v>
      </c>
      <c r="D369" s="28" t="s">
        <v>77</v>
      </c>
      <c r="E369" s="28" t="s">
        <v>77</v>
      </c>
      <c r="F369" s="28" t="s">
        <v>77</v>
      </c>
      <c r="G369" s="28" t="s">
        <v>77</v>
      </c>
      <c r="I369" s="26" t="s">
        <v>77</v>
      </c>
      <c r="J369" s="26" t="s">
        <v>77</v>
      </c>
      <c r="K369" s="18"/>
      <c r="L369" s="26" t="s">
        <v>77</v>
      </c>
      <c r="M369" s="6" t="s">
        <v>77</v>
      </c>
      <c r="N369" s="28" t="s">
        <v>77</v>
      </c>
      <c r="O369" s="26" t="s">
        <v>77</v>
      </c>
    </row>
    <row r="370">
      <c r="A370" s="52" t="s">
        <v>77</v>
      </c>
      <c r="B370" s="28" t="s">
        <v>77</v>
      </c>
      <c r="C370" s="28" t="s">
        <v>77</v>
      </c>
      <c r="D370" s="28" t="s">
        <v>77</v>
      </c>
      <c r="E370" s="28" t="s">
        <v>77</v>
      </c>
      <c r="F370" s="28" t="s">
        <v>77</v>
      </c>
      <c r="G370" s="28" t="s">
        <v>77</v>
      </c>
      <c r="I370" s="26" t="s">
        <v>77</v>
      </c>
      <c r="J370" s="26" t="s">
        <v>77</v>
      </c>
      <c r="K370" s="18"/>
      <c r="L370" s="26" t="s">
        <v>77</v>
      </c>
      <c r="M370" s="6" t="s">
        <v>77</v>
      </c>
      <c r="N370" s="28" t="s">
        <v>77</v>
      </c>
      <c r="O370" s="26" t="s">
        <v>77</v>
      </c>
    </row>
    <row r="371">
      <c r="A371" s="52" t="s">
        <v>77</v>
      </c>
      <c r="B371" s="28" t="s">
        <v>77</v>
      </c>
      <c r="C371" s="28" t="s">
        <v>77</v>
      </c>
      <c r="D371" s="28" t="s">
        <v>77</v>
      </c>
      <c r="E371" s="28" t="s">
        <v>77</v>
      </c>
      <c r="F371" s="28" t="s">
        <v>77</v>
      </c>
      <c r="G371" s="28" t="s">
        <v>77</v>
      </c>
      <c r="I371" s="26" t="s">
        <v>77</v>
      </c>
      <c r="J371" s="26" t="s">
        <v>77</v>
      </c>
      <c r="K371" s="18"/>
      <c r="L371" s="26" t="s">
        <v>77</v>
      </c>
      <c r="M371" s="6" t="s">
        <v>77</v>
      </c>
      <c r="N371" s="28" t="s">
        <v>77</v>
      </c>
      <c r="O371" s="26" t="s">
        <v>77</v>
      </c>
    </row>
    <row r="372">
      <c r="A372" s="52" t="s">
        <v>77</v>
      </c>
      <c r="B372" s="28" t="s">
        <v>77</v>
      </c>
      <c r="C372" s="28" t="s">
        <v>77</v>
      </c>
      <c r="D372" s="28" t="s">
        <v>77</v>
      </c>
      <c r="E372" s="28" t="s">
        <v>77</v>
      </c>
      <c r="F372" s="28" t="s">
        <v>77</v>
      </c>
      <c r="G372" s="28" t="s">
        <v>77</v>
      </c>
      <c r="I372" s="26" t="s">
        <v>77</v>
      </c>
      <c r="J372" s="26" t="s">
        <v>77</v>
      </c>
      <c r="K372" s="18"/>
      <c r="L372" s="26" t="s">
        <v>77</v>
      </c>
      <c r="M372" s="6" t="s">
        <v>77</v>
      </c>
      <c r="N372" s="28" t="s">
        <v>77</v>
      </c>
      <c r="O372" s="26" t="s">
        <v>77</v>
      </c>
    </row>
    <row r="373">
      <c r="A373" s="52" t="s">
        <v>77</v>
      </c>
      <c r="B373" s="28" t="s">
        <v>77</v>
      </c>
      <c r="C373" s="28" t="s">
        <v>77</v>
      </c>
      <c r="D373" s="28" t="s">
        <v>77</v>
      </c>
      <c r="E373" s="28" t="s">
        <v>77</v>
      </c>
      <c r="F373" s="28" t="s">
        <v>77</v>
      </c>
      <c r="G373" s="28" t="s">
        <v>77</v>
      </c>
      <c r="I373" s="26" t="s">
        <v>77</v>
      </c>
      <c r="J373" s="26" t="s">
        <v>77</v>
      </c>
      <c r="K373" s="18"/>
      <c r="L373" s="26" t="s">
        <v>77</v>
      </c>
      <c r="M373" s="6" t="s">
        <v>77</v>
      </c>
      <c r="N373" s="28" t="s">
        <v>77</v>
      </c>
      <c r="O373" s="26" t="s">
        <v>77</v>
      </c>
    </row>
    <row r="374">
      <c r="A374" s="52" t="s">
        <v>77</v>
      </c>
      <c r="B374" s="28" t="s">
        <v>77</v>
      </c>
      <c r="C374" s="28" t="s">
        <v>77</v>
      </c>
      <c r="D374" s="28" t="s">
        <v>77</v>
      </c>
      <c r="E374" s="28" t="s">
        <v>77</v>
      </c>
      <c r="F374" s="28" t="s">
        <v>77</v>
      </c>
      <c r="G374" s="28" t="s">
        <v>77</v>
      </c>
      <c r="I374" s="26" t="s">
        <v>77</v>
      </c>
      <c r="J374" s="26" t="s">
        <v>77</v>
      </c>
      <c r="K374" s="18"/>
      <c r="L374" s="26" t="s">
        <v>77</v>
      </c>
      <c r="M374" s="6" t="s">
        <v>77</v>
      </c>
      <c r="N374" s="28" t="s">
        <v>77</v>
      </c>
      <c r="O374" s="26" t="s">
        <v>77</v>
      </c>
    </row>
    <row r="375">
      <c r="A375" s="52" t="s">
        <v>77</v>
      </c>
      <c r="B375" s="28" t="s">
        <v>77</v>
      </c>
      <c r="C375" s="28" t="s">
        <v>77</v>
      </c>
      <c r="D375" s="28" t="s">
        <v>77</v>
      </c>
      <c r="E375" s="28" t="s">
        <v>77</v>
      </c>
      <c r="F375" s="28" t="s">
        <v>77</v>
      </c>
      <c r="G375" s="28" t="s">
        <v>77</v>
      </c>
      <c r="I375" s="26" t="s">
        <v>77</v>
      </c>
      <c r="J375" s="26" t="s">
        <v>77</v>
      </c>
      <c r="K375" s="18"/>
      <c r="L375" s="26" t="s">
        <v>77</v>
      </c>
      <c r="M375" s="6" t="s">
        <v>77</v>
      </c>
      <c r="N375" s="28" t="s">
        <v>77</v>
      </c>
      <c r="O375" s="26" t="s">
        <v>77</v>
      </c>
    </row>
    <row r="376">
      <c r="A376" s="52" t="s">
        <v>77</v>
      </c>
      <c r="B376" s="28" t="s">
        <v>77</v>
      </c>
      <c r="C376" s="28" t="s">
        <v>77</v>
      </c>
      <c r="D376" s="28" t="s">
        <v>77</v>
      </c>
      <c r="E376" s="28" t="s">
        <v>77</v>
      </c>
      <c r="F376" s="28" t="s">
        <v>77</v>
      </c>
      <c r="G376" s="28" t="s">
        <v>77</v>
      </c>
      <c r="I376" s="26" t="s">
        <v>77</v>
      </c>
      <c r="J376" s="26" t="s">
        <v>77</v>
      </c>
      <c r="K376" s="18"/>
      <c r="L376" s="26" t="s">
        <v>77</v>
      </c>
      <c r="M376" s="6" t="s">
        <v>77</v>
      </c>
      <c r="N376" s="28" t="s">
        <v>77</v>
      </c>
      <c r="O376" s="26" t="s">
        <v>77</v>
      </c>
    </row>
    <row r="377">
      <c r="A377" s="52" t="s">
        <v>77</v>
      </c>
      <c r="B377" s="28" t="s">
        <v>77</v>
      </c>
      <c r="C377" s="28" t="s">
        <v>77</v>
      </c>
      <c r="D377" s="28" t="s">
        <v>77</v>
      </c>
      <c r="E377" s="28" t="s">
        <v>77</v>
      </c>
      <c r="F377" s="28" t="s">
        <v>77</v>
      </c>
      <c r="G377" s="28" t="s">
        <v>77</v>
      </c>
      <c r="I377" s="26" t="s">
        <v>77</v>
      </c>
      <c r="J377" s="26" t="s">
        <v>77</v>
      </c>
      <c r="K377" s="18"/>
      <c r="L377" s="26" t="s">
        <v>77</v>
      </c>
      <c r="M377" s="6" t="s">
        <v>77</v>
      </c>
      <c r="N377" s="28" t="s">
        <v>77</v>
      </c>
      <c r="O377" s="26" t="s">
        <v>77</v>
      </c>
    </row>
    <row r="378">
      <c r="A378" s="52" t="s">
        <v>77</v>
      </c>
      <c r="B378" s="28" t="s">
        <v>77</v>
      </c>
      <c r="C378" s="28" t="s">
        <v>77</v>
      </c>
      <c r="D378" s="28" t="s">
        <v>77</v>
      </c>
      <c r="E378" s="28" t="s">
        <v>77</v>
      </c>
      <c r="F378" s="28" t="s">
        <v>77</v>
      </c>
      <c r="G378" s="28" t="s">
        <v>77</v>
      </c>
      <c r="I378" s="26" t="s">
        <v>77</v>
      </c>
      <c r="J378" s="26" t="s">
        <v>77</v>
      </c>
      <c r="K378" s="18"/>
      <c r="L378" s="26" t="s">
        <v>77</v>
      </c>
      <c r="M378" s="6" t="s">
        <v>77</v>
      </c>
      <c r="N378" s="28" t="s">
        <v>77</v>
      </c>
      <c r="O378" s="26" t="s">
        <v>77</v>
      </c>
    </row>
    <row r="379">
      <c r="A379" s="52" t="s">
        <v>77</v>
      </c>
      <c r="B379" s="28" t="s">
        <v>77</v>
      </c>
      <c r="C379" s="28" t="s">
        <v>77</v>
      </c>
      <c r="D379" s="28" t="s">
        <v>77</v>
      </c>
      <c r="E379" s="28" t="s">
        <v>77</v>
      </c>
      <c r="F379" s="28" t="s">
        <v>77</v>
      </c>
      <c r="G379" s="28" t="s">
        <v>77</v>
      </c>
      <c r="I379" s="26" t="s">
        <v>77</v>
      </c>
      <c r="J379" s="26" t="s">
        <v>77</v>
      </c>
      <c r="K379" s="18"/>
      <c r="L379" s="26" t="s">
        <v>77</v>
      </c>
      <c r="M379" s="6" t="s">
        <v>77</v>
      </c>
      <c r="N379" s="28" t="s">
        <v>77</v>
      </c>
      <c r="O379" s="26" t="s">
        <v>77</v>
      </c>
    </row>
    <row r="380">
      <c r="A380" s="52" t="s">
        <v>77</v>
      </c>
      <c r="B380" s="28" t="s">
        <v>77</v>
      </c>
      <c r="C380" s="28" t="s">
        <v>77</v>
      </c>
      <c r="D380" s="28" t="s">
        <v>77</v>
      </c>
      <c r="E380" s="28" t="s">
        <v>77</v>
      </c>
      <c r="F380" s="28" t="s">
        <v>77</v>
      </c>
      <c r="G380" s="28" t="s">
        <v>77</v>
      </c>
      <c r="I380" s="26" t="s">
        <v>77</v>
      </c>
      <c r="J380" s="26" t="s">
        <v>77</v>
      </c>
      <c r="K380" s="18"/>
      <c r="L380" s="26" t="s">
        <v>77</v>
      </c>
      <c r="M380" s="6" t="s">
        <v>77</v>
      </c>
      <c r="N380" s="28" t="s">
        <v>77</v>
      </c>
      <c r="O380" s="26" t="s">
        <v>77</v>
      </c>
    </row>
    <row r="381">
      <c r="A381" s="52" t="s">
        <v>77</v>
      </c>
      <c r="B381" s="28" t="s">
        <v>77</v>
      </c>
      <c r="C381" s="28" t="s">
        <v>77</v>
      </c>
      <c r="D381" s="28" t="s">
        <v>77</v>
      </c>
      <c r="E381" s="28" t="s">
        <v>77</v>
      </c>
      <c r="F381" s="28" t="s">
        <v>77</v>
      </c>
      <c r="G381" s="28" t="s">
        <v>77</v>
      </c>
      <c r="I381" s="26" t="s">
        <v>77</v>
      </c>
      <c r="J381" s="26" t="s">
        <v>77</v>
      </c>
      <c r="K381" s="18"/>
      <c r="L381" s="26" t="s">
        <v>77</v>
      </c>
      <c r="M381" s="6" t="s">
        <v>77</v>
      </c>
      <c r="N381" s="28" t="s">
        <v>77</v>
      </c>
      <c r="O381" s="26" t="s">
        <v>77</v>
      </c>
    </row>
    <row r="382">
      <c r="A382" s="52" t="s">
        <v>77</v>
      </c>
      <c r="B382" s="28" t="s">
        <v>77</v>
      </c>
      <c r="C382" s="28" t="s">
        <v>77</v>
      </c>
      <c r="D382" s="28" t="s">
        <v>77</v>
      </c>
      <c r="E382" s="28" t="s">
        <v>77</v>
      </c>
      <c r="F382" s="28" t="s">
        <v>77</v>
      </c>
      <c r="G382" s="28" t="s">
        <v>77</v>
      </c>
      <c r="I382" s="26" t="s">
        <v>77</v>
      </c>
      <c r="J382" s="26" t="s">
        <v>77</v>
      </c>
      <c r="K382" s="18"/>
      <c r="L382" s="26" t="s">
        <v>77</v>
      </c>
      <c r="M382" s="6" t="s">
        <v>77</v>
      </c>
      <c r="N382" s="28" t="s">
        <v>77</v>
      </c>
      <c r="O382" s="26" t="s">
        <v>77</v>
      </c>
    </row>
    <row r="383">
      <c r="A383" s="52" t="s">
        <v>77</v>
      </c>
      <c r="B383" s="28" t="s">
        <v>77</v>
      </c>
      <c r="C383" s="28" t="s">
        <v>77</v>
      </c>
      <c r="D383" s="28" t="s">
        <v>77</v>
      </c>
      <c r="E383" s="28" t="s">
        <v>77</v>
      </c>
      <c r="F383" s="28" t="s">
        <v>77</v>
      </c>
      <c r="G383" s="28" t="s">
        <v>77</v>
      </c>
      <c r="I383" s="26" t="s">
        <v>77</v>
      </c>
      <c r="J383" s="26" t="s">
        <v>77</v>
      </c>
      <c r="K383" s="18"/>
      <c r="L383" s="26" t="s">
        <v>77</v>
      </c>
      <c r="M383" s="6" t="s">
        <v>77</v>
      </c>
      <c r="N383" s="28" t="s">
        <v>77</v>
      </c>
      <c r="O383" s="26" t="s">
        <v>77</v>
      </c>
    </row>
    <row r="384">
      <c r="A384" s="52" t="s">
        <v>77</v>
      </c>
      <c r="B384" s="28" t="s">
        <v>77</v>
      </c>
      <c r="C384" s="28" t="s">
        <v>77</v>
      </c>
      <c r="D384" s="28" t="s">
        <v>77</v>
      </c>
      <c r="E384" s="28" t="s">
        <v>77</v>
      </c>
      <c r="F384" s="28" t="s">
        <v>77</v>
      </c>
      <c r="G384" s="28" t="s">
        <v>77</v>
      </c>
      <c r="I384" s="26" t="s">
        <v>77</v>
      </c>
      <c r="J384" s="26" t="s">
        <v>77</v>
      </c>
      <c r="K384" s="18"/>
      <c r="L384" s="26" t="s">
        <v>77</v>
      </c>
      <c r="M384" s="6" t="s">
        <v>77</v>
      </c>
      <c r="N384" s="28" t="s">
        <v>77</v>
      </c>
      <c r="O384" s="26" t="s">
        <v>77</v>
      </c>
    </row>
    <row r="385">
      <c r="A385" s="52" t="s">
        <v>77</v>
      </c>
      <c r="B385" s="28" t="s">
        <v>77</v>
      </c>
      <c r="C385" s="28" t="s">
        <v>77</v>
      </c>
      <c r="D385" s="28" t="s">
        <v>77</v>
      </c>
      <c r="E385" s="28" t="s">
        <v>77</v>
      </c>
      <c r="F385" s="28" t="s">
        <v>77</v>
      </c>
      <c r="G385" s="28" t="s">
        <v>77</v>
      </c>
      <c r="I385" s="26" t="s">
        <v>77</v>
      </c>
      <c r="J385" s="26" t="s">
        <v>77</v>
      </c>
      <c r="K385" s="18"/>
      <c r="L385" s="26" t="s">
        <v>77</v>
      </c>
      <c r="M385" s="6" t="s">
        <v>77</v>
      </c>
      <c r="N385" s="28" t="s">
        <v>77</v>
      </c>
      <c r="O385" s="26" t="s">
        <v>77</v>
      </c>
    </row>
    <row r="386">
      <c r="A386" s="52" t="s">
        <v>77</v>
      </c>
      <c r="B386" s="28" t="s">
        <v>77</v>
      </c>
      <c r="C386" s="28" t="s">
        <v>77</v>
      </c>
      <c r="D386" s="28" t="s">
        <v>77</v>
      </c>
      <c r="E386" s="28" t="s">
        <v>77</v>
      </c>
      <c r="F386" s="28" t="s">
        <v>77</v>
      </c>
      <c r="G386" s="28" t="s">
        <v>77</v>
      </c>
      <c r="I386" s="26" t="s">
        <v>77</v>
      </c>
      <c r="J386" s="26" t="s">
        <v>77</v>
      </c>
      <c r="K386" s="18"/>
      <c r="L386" s="26" t="s">
        <v>77</v>
      </c>
      <c r="M386" s="6" t="s">
        <v>77</v>
      </c>
      <c r="N386" s="28" t="s">
        <v>77</v>
      </c>
      <c r="O386" s="26" t="s">
        <v>77</v>
      </c>
    </row>
    <row r="387">
      <c r="A387" s="52" t="s">
        <v>77</v>
      </c>
      <c r="B387" s="28" t="s">
        <v>77</v>
      </c>
      <c r="C387" s="28" t="s">
        <v>77</v>
      </c>
      <c r="D387" s="28" t="s">
        <v>77</v>
      </c>
      <c r="E387" s="28" t="s">
        <v>77</v>
      </c>
      <c r="F387" s="28" t="s">
        <v>77</v>
      </c>
      <c r="G387" s="28" t="s">
        <v>77</v>
      </c>
      <c r="I387" s="26" t="s">
        <v>77</v>
      </c>
      <c r="J387" s="26" t="s">
        <v>77</v>
      </c>
      <c r="K387" s="18"/>
      <c r="L387" s="26" t="s">
        <v>77</v>
      </c>
      <c r="M387" s="6" t="s">
        <v>77</v>
      </c>
      <c r="N387" s="28" t="s">
        <v>77</v>
      </c>
      <c r="O387" s="26" t="s">
        <v>77</v>
      </c>
    </row>
    <row r="388">
      <c r="A388" s="52" t="s">
        <v>77</v>
      </c>
      <c r="B388" s="28" t="s">
        <v>77</v>
      </c>
      <c r="C388" s="28" t="s">
        <v>77</v>
      </c>
      <c r="D388" s="28" t="s">
        <v>77</v>
      </c>
      <c r="E388" s="28" t="s">
        <v>77</v>
      </c>
      <c r="F388" s="28" t="s">
        <v>77</v>
      </c>
      <c r="G388" s="28" t="s">
        <v>77</v>
      </c>
      <c r="I388" s="26" t="s">
        <v>77</v>
      </c>
      <c r="J388" s="26" t="s">
        <v>77</v>
      </c>
      <c r="K388" s="18"/>
      <c r="L388" s="26" t="s">
        <v>77</v>
      </c>
      <c r="M388" s="6" t="s">
        <v>77</v>
      </c>
      <c r="N388" s="28" t="s">
        <v>77</v>
      </c>
      <c r="O388" s="26" t="s">
        <v>77</v>
      </c>
    </row>
    <row r="389">
      <c r="A389" s="52" t="s">
        <v>77</v>
      </c>
      <c r="B389" s="28" t="s">
        <v>77</v>
      </c>
      <c r="C389" s="28" t="s">
        <v>77</v>
      </c>
      <c r="D389" s="28" t="s">
        <v>77</v>
      </c>
      <c r="E389" s="28" t="s">
        <v>77</v>
      </c>
      <c r="F389" s="28" t="s">
        <v>77</v>
      </c>
      <c r="G389" s="28" t="s">
        <v>77</v>
      </c>
      <c r="I389" s="26" t="s">
        <v>77</v>
      </c>
      <c r="J389" s="26" t="s">
        <v>77</v>
      </c>
      <c r="K389" s="18"/>
      <c r="L389" s="26" t="s">
        <v>77</v>
      </c>
      <c r="M389" s="6" t="s">
        <v>77</v>
      </c>
      <c r="N389" s="28" t="s">
        <v>77</v>
      </c>
      <c r="O389" s="26" t="s">
        <v>77</v>
      </c>
    </row>
    <row r="390">
      <c r="A390" s="52" t="s">
        <v>77</v>
      </c>
      <c r="B390" s="28" t="s">
        <v>77</v>
      </c>
      <c r="C390" s="28" t="s">
        <v>77</v>
      </c>
      <c r="D390" s="28" t="s">
        <v>77</v>
      </c>
      <c r="E390" s="28" t="s">
        <v>77</v>
      </c>
      <c r="F390" s="28" t="s">
        <v>77</v>
      </c>
      <c r="G390" s="28" t="s">
        <v>77</v>
      </c>
      <c r="I390" s="26" t="s">
        <v>77</v>
      </c>
      <c r="J390" s="26" t="s">
        <v>77</v>
      </c>
      <c r="K390" s="18"/>
      <c r="L390" s="26" t="s">
        <v>77</v>
      </c>
      <c r="M390" s="6" t="s">
        <v>77</v>
      </c>
      <c r="N390" s="28" t="s">
        <v>77</v>
      </c>
      <c r="O390" s="26" t="s">
        <v>77</v>
      </c>
    </row>
    <row r="391">
      <c r="A391" s="52" t="s">
        <v>77</v>
      </c>
      <c r="B391" s="28" t="s">
        <v>77</v>
      </c>
      <c r="C391" s="28" t="s">
        <v>77</v>
      </c>
      <c r="D391" s="28" t="s">
        <v>77</v>
      </c>
      <c r="E391" s="28" t="s">
        <v>77</v>
      </c>
      <c r="F391" s="28" t="s">
        <v>77</v>
      </c>
      <c r="G391" s="28" t="s">
        <v>77</v>
      </c>
      <c r="I391" s="26" t="s">
        <v>77</v>
      </c>
      <c r="J391" s="26" t="s">
        <v>77</v>
      </c>
      <c r="K391" s="18"/>
      <c r="L391" s="26" t="s">
        <v>77</v>
      </c>
      <c r="M391" s="6" t="s">
        <v>77</v>
      </c>
      <c r="N391" s="28" t="s">
        <v>77</v>
      </c>
      <c r="O391" s="26" t="s">
        <v>77</v>
      </c>
    </row>
    <row r="392">
      <c r="A392" s="52" t="s">
        <v>77</v>
      </c>
      <c r="B392" s="28" t="s">
        <v>77</v>
      </c>
      <c r="C392" s="28" t="s">
        <v>77</v>
      </c>
      <c r="D392" s="28" t="s">
        <v>77</v>
      </c>
      <c r="E392" s="28" t="s">
        <v>77</v>
      </c>
      <c r="F392" s="28" t="s">
        <v>77</v>
      </c>
      <c r="G392" s="28" t="s">
        <v>77</v>
      </c>
      <c r="I392" s="26" t="s">
        <v>77</v>
      </c>
      <c r="J392" s="26" t="s">
        <v>77</v>
      </c>
      <c r="K392" s="18"/>
      <c r="L392" s="26" t="s">
        <v>77</v>
      </c>
      <c r="M392" s="6" t="s">
        <v>77</v>
      </c>
      <c r="N392" s="28" t="s">
        <v>77</v>
      </c>
      <c r="O392" s="26" t="s">
        <v>77</v>
      </c>
    </row>
    <row r="393">
      <c r="A393" s="52" t="s">
        <v>77</v>
      </c>
      <c r="B393" s="28" t="s">
        <v>77</v>
      </c>
      <c r="C393" s="28" t="s">
        <v>77</v>
      </c>
      <c r="D393" s="28" t="s">
        <v>77</v>
      </c>
      <c r="E393" s="28" t="s">
        <v>77</v>
      </c>
      <c r="F393" s="28" t="s">
        <v>77</v>
      </c>
      <c r="G393" s="28" t="s">
        <v>77</v>
      </c>
      <c r="I393" s="26" t="s">
        <v>77</v>
      </c>
      <c r="J393" s="26" t="s">
        <v>77</v>
      </c>
      <c r="K393" s="18"/>
      <c r="L393" s="26" t="s">
        <v>77</v>
      </c>
      <c r="M393" s="6" t="s">
        <v>77</v>
      </c>
      <c r="N393" s="28" t="s">
        <v>77</v>
      </c>
      <c r="O393" s="26" t="s">
        <v>77</v>
      </c>
    </row>
    <row r="394">
      <c r="A394" s="52" t="s">
        <v>77</v>
      </c>
      <c r="B394" s="28" t="s">
        <v>77</v>
      </c>
      <c r="C394" s="28" t="s">
        <v>77</v>
      </c>
      <c r="D394" s="28" t="s">
        <v>77</v>
      </c>
      <c r="E394" s="28" t="s">
        <v>77</v>
      </c>
      <c r="F394" s="28" t="s">
        <v>77</v>
      </c>
      <c r="G394" s="28" t="s">
        <v>77</v>
      </c>
      <c r="I394" s="26" t="s">
        <v>77</v>
      </c>
      <c r="J394" s="26" t="s">
        <v>77</v>
      </c>
      <c r="K394" s="18"/>
      <c r="L394" s="26" t="s">
        <v>77</v>
      </c>
      <c r="M394" s="6" t="s">
        <v>77</v>
      </c>
      <c r="N394" s="28" t="s">
        <v>77</v>
      </c>
      <c r="O394" s="26" t="s">
        <v>77</v>
      </c>
    </row>
    <row r="395">
      <c r="A395" s="52" t="s">
        <v>77</v>
      </c>
      <c r="B395" s="28" t="s">
        <v>77</v>
      </c>
      <c r="C395" s="28" t="s">
        <v>77</v>
      </c>
      <c r="D395" s="28" t="s">
        <v>77</v>
      </c>
      <c r="E395" s="28" t="s">
        <v>77</v>
      </c>
      <c r="F395" s="28" t="s">
        <v>77</v>
      </c>
      <c r="G395" s="28" t="s">
        <v>77</v>
      </c>
      <c r="I395" s="26" t="s">
        <v>77</v>
      </c>
      <c r="J395" s="26" t="s">
        <v>77</v>
      </c>
      <c r="K395" s="18"/>
      <c r="L395" s="26" t="s">
        <v>77</v>
      </c>
      <c r="M395" s="6" t="s">
        <v>77</v>
      </c>
      <c r="N395" s="28" t="s">
        <v>77</v>
      </c>
      <c r="O395" s="26" t="s">
        <v>77</v>
      </c>
    </row>
    <row r="396">
      <c r="A396" s="52" t="s">
        <v>77</v>
      </c>
      <c r="B396" s="28" t="s">
        <v>77</v>
      </c>
      <c r="C396" s="28" t="s">
        <v>77</v>
      </c>
      <c r="D396" s="28" t="s">
        <v>77</v>
      </c>
      <c r="E396" s="28" t="s">
        <v>77</v>
      </c>
      <c r="F396" s="28" t="s">
        <v>77</v>
      </c>
      <c r="G396" s="28" t="s">
        <v>77</v>
      </c>
      <c r="I396" s="26" t="s">
        <v>77</v>
      </c>
      <c r="J396" s="26" t="s">
        <v>77</v>
      </c>
      <c r="K396" s="18"/>
      <c r="L396" s="26" t="s">
        <v>77</v>
      </c>
      <c r="M396" s="6" t="s">
        <v>77</v>
      </c>
      <c r="N396" s="28" t="s">
        <v>77</v>
      </c>
      <c r="O396" s="26" t="s">
        <v>77</v>
      </c>
    </row>
    <row r="397">
      <c r="A397" s="52" t="s">
        <v>77</v>
      </c>
      <c r="B397" s="28" t="s">
        <v>77</v>
      </c>
      <c r="C397" s="28" t="s">
        <v>77</v>
      </c>
      <c r="D397" s="28" t="s">
        <v>77</v>
      </c>
      <c r="E397" s="28" t="s">
        <v>77</v>
      </c>
      <c r="F397" s="28" t="s">
        <v>77</v>
      </c>
      <c r="G397" s="28" t="s">
        <v>77</v>
      </c>
      <c r="I397" s="26" t="s">
        <v>77</v>
      </c>
      <c r="J397" s="26" t="s">
        <v>77</v>
      </c>
      <c r="K397" s="18"/>
      <c r="L397" s="26" t="s">
        <v>77</v>
      </c>
      <c r="M397" s="6" t="s">
        <v>77</v>
      </c>
      <c r="N397" s="28" t="s">
        <v>77</v>
      </c>
      <c r="O397" s="26" t="s">
        <v>77</v>
      </c>
    </row>
    <row r="398">
      <c r="A398" s="52" t="s">
        <v>77</v>
      </c>
      <c r="B398" s="28" t="s">
        <v>77</v>
      </c>
      <c r="C398" s="28" t="s">
        <v>77</v>
      </c>
      <c r="D398" s="28" t="s">
        <v>77</v>
      </c>
      <c r="E398" s="28" t="s">
        <v>77</v>
      </c>
      <c r="F398" s="28" t="s">
        <v>77</v>
      </c>
      <c r="G398" s="28" t="s">
        <v>77</v>
      </c>
      <c r="I398" s="26" t="s">
        <v>77</v>
      </c>
      <c r="J398" s="26" t="s">
        <v>77</v>
      </c>
      <c r="K398" s="18"/>
      <c r="L398" s="26" t="s">
        <v>77</v>
      </c>
      <c r="M398" s="6" t="s">
        <v>77</v>
      </c>
      <c r="N398" s="28" t="s">
        <v>77</v>
      </c>
      <c r="O398" s="26" t="s">
        <v>77</v>
      </c>
    </row>
    <row r="399">
      <c r="A399" s="52" t="s">
        <v>77</v>
      </c>
      <c r="B399" s="28" t="s">
        <v>77</v>
      </c>
      <c r="C399" s="28" t="s">
        <v>77</v>
      </c>
      <c r="D399" s="28" t="s">
        <v>77</v>
      </c>
      <c r="E399" s="28" t="s">
        <v>77</v>
      </c>
      <c r="F399" s="28" t="s">
        <v>77</v>
      </c>
      <c r="G399" s="28" t="s">
        <v>77</v>
      </c>
      <c r="I399" s="26" t="s">
        <v>77</v>
      </c>
      <c r="J399" s="26" t="s">
        <v>77</v>
      </c>
      <c r="K399" s="18"/>
      <c r="L399" s="26" t="s">
        <v>77</v>
      </c>
      <c r="M399" s="6" t="s">
        <v>77</v>
      </c>
      <c r="N399" s="28" t="s">
        <v>77</v>
      </c>
      <c r="O399" s="26" t="s">
        <v>77</v>
      </c>
    </row>
    <row r="400">
      <c r="A400" s="52" t="s">
        <v>77</v>
      </c>
      <c r="B400" s="28" t="s">
        <v>77</v>
      </c>
      <c r="C400" s="28" t="s">
        <v>77</v>
      </c>
      <c r="D400" s="28" t="s">
        <v>77</v>
      </c>
      <c r="E400" s="28" t="s">
        <v>77</v>
      </c>
      <c r="F400" s="28" t="s">
        <v>77</v>
      </c>
      <c r="G400" s="28" t="s">
        <v>77</v>
      </c>
      <c r="I400" s="26" t="s">
        <v>77</v>
      </c>
      <c r="J400" s="26" t="s">
        <v>77</v>
      </c>
      <c r="K400" s="18"/>
      <c r="L400" s="26" t="s">
        <v>77</v>
      </c>
      <c r="M400" s="6" t="s">
        <v>77</v>
      </c>
      <c r="N400" s="28" t="s">
        <v>77</v>
      </c>
      <c r="O400" s="26" t="s">
        <v>77</v>
      </c>
    </row>
    <row r="401">
      <c r="A401" s="52" t="s">
        <v>77</v>
      </c>
      <c r="B401" s="28" t="s">
        <v>77</v>
      </c>
      <c r="C401" s="28" t="s">
        <v>77</v>
      </c>
      <c r="D401" s="28" t="s">
        <v>77</v>
      </c>
      <c r="E401" s="28" t="s">
        <v>77</v>
      </c>
      <c r="F401" s="28" t="s">
        <v>77</v>
      </c>
      <c r="G401" s="28" t="s">
        <v>77</v>
      </c>
      <c r="I401" s="26" t="s">
        <v>77</v>
      </c>
      <c r="J401" s="26" t="s">
        <v>77</v>
      </c>
      <c r="K401" s="18"/>
      <c r="L401" s="26" t="s">
        <v>77</v>
      </c>
      <c r="M401" s="6" t="s">
        <v>77</v>
      </c>
      <c r="N401" s="28" t="s">
        <v>77</v>
      </c>
      <c r="O401" s="26" t="s">
        <v>77</v>
      </c>
    </row>
    <row r="402">
      <c r="A402" s="52" t="s">
        <v>77</v>
      </c>
      <c r="B402" s="28" t="s">
        <v>77</v>
      </c>
      <c r="C402" s="28" t="s">
        <v>77</v>
      </c>
      <c r="D402" s="28" t="s">
        <v>77</v>
      </c>
      <c r="E402" s="28" t="s">
        <v>77</v>
      </c>
      <c r="F402" s="28" t="s">
        <v>77</v>
      </c>
      <c r="G402" s="28" t="s">
        <v>77</v>
      </c>
      <c r="I402" s="26" t="s">
        <v>77</v>
      </c>
      <c r="J402" s="26" t="s">
        <v>77</v>
      </c>
      <c r="K402" s="18"/>
      <c r="L402" s="26" t="s">
        <v>77</v>
      </c>
      <c r="M402" s="6" t="s">
        <v>77</v>
      </c>
      <c r="N402" s="28" t="s">
        <v>77</v>
      </c>
      <c r="O402" s="26" t="s">
        <v>77</v>
      </c>
    </row>
    <row r="403">
      <c r="A403" s="52" t="s">
        <v>77</v>
      </c>
      <c r="B403" s="28" t="s">
        <v>77</v>
      </c>
      <c r="C403" s="28" t="s">
        <v>77</v>
      </c>
      <c r="D403" s="28" t="s">
        <v>77</v>
      </c>
      <c r="E403" s="28" t="s">
        <v>77</v>
      </c>
      <c r="F403" s="28" t="s">
        <v>77</v>
      </c>
      <c r="G403" s="28" t="s">
        <v>77</v>
      </c>
      <c r="I403" s="26" t="s">
        <v>77</v>
      </c>
      <c r="J403" s="26" t="s">
        <v>77</v>
      </c>
      <c r="K403" s="18"/>
      <c r="L403" s="26" t="s">
        <v>77</v>
      </c>
      <c r="M403" s="6" t="s">
        <v>77</v>
      </c>
      <c r="N403" s="28" t="s">
        <v>77</v>
      </c>
      <c r="O403" s="26" t="s">
        <v>77</v>
      </c>
    </row>
    <row r="404">
      <c r="A404" s="52" t="s">
        <v>77</v>
      </c>
      <c r="B404" s="28" t="s">
        <v>77</v>
      </c>
      <c r="C404" s="28" t="s">
        <v>77</v>
      </c>
      <c r="D404" s="28" t="s">
        <v>77</v>
      </c>
      <c r="E404" s="28" t="s">
        <v>77</v>
      </c>
      <c r="F404" s="28" t="s">
        <v>77</v>
      </c>
      <c r="G404" s="28" t="s">
        <v>77</v>
      </c>
      <c r="I404" s="26" t="s">
        <v>77</v>
      </c>
      <c r="J404" s="26" t="s">
        <v>77</v>
      </c>
      <c r="K404" s="18"/>
      <c r="L404" s="26" t="s">
        <v>77</v>
      </c>
      <c r="M404" s="6" t="s">
        <v>77</v>
      </c>
      <c r="N404" s="28" t="s">
        <v>77</v>
      </c>
      <c r="O404" s="26" t="s">
        <v>77</v>
      </c>
    </row>
    <row r="405">
      <c r="A405" s="52" t="s">
        <v>77</v>
      </c>
      <c r="B405" s="28" t="s">
        <v>77</v>
      </c>
      <c r="C405" s="28" t="s">
        <v>77</v>
      </c>
      <c r="D405" s="28" t="s">
        <v>77</v>
      </c>
      <c r="E405" s="28" t="s">
        <v>77</v>
      </c>
      <c r="F405" s="28" t="s">
        <v>77</v>
      </c>
      <c r="G405" s="28" t="s">
        <v>77</v>
      </c>
      <c r="I405" s="26" t="s">
        <v>77</v>
      </c>
      <c r="J405" s="26" t="s">
        <v>77</v>
      </c>
      <c r="K405" s="18"/>
      <c r="L405" s="26" t="s">
        <v>77</v>
      </c>
      <c r="M405" s="6" t="s">
        <v>77</v>
      </c>
      <c r="N405" s="28" t="s">
        <v>77</v>
      </c>
      <c r="O405" s="26" t="s">
        <v>77</v>
      </c>
    </row>
    <row r="406">
      <c r="A406" s="52" t="s">
        <v>77</v>
      </c>
      <c r="B406" s="28" t="s">
        <v>77</v>
      </c>
      <c r="C406" s="28" t="s">
        <v>77</v>
      </c>
      <c r="D406" s="28" t="s">
        <v>77</v>
      </c>
      <c r="E406" s="28" t="s">
        <v>77</v>
      </c>
      <c r="F406" s="28" t="s">
        <v>77</v>
      </c>
      <c r="G406" s="28" t="s">
        <v>77</v>
      </c>
      <c r="I406" s="26" t="s">
        <v>77</v>
      </c>
      <c r="J406" s="26" t="s">
        <v>77</v>
      </c>
      <c r="K406" s="18"/>
      <c r="L406" s="26" t="s">
        <v>77</v>
      </c>
      <c r="M406" s="6" t="s">
        <v>77</v>
      </c>
      <c r="N406" s="28" t="s">
        <v>77</v>
      </c>
      <c r="O406" s="26" t="s">
        <v>77</v>
      </c>
    </row>
    <row r="407">
      <c r="A407" s="52" t="s">
        <v>77</v>
      </c>
      <c r="B407" s="28" t="s">
        <v>77</v>
      </c>
      <c r="C407" s="28" t="s">
        <v>77</v>
      </c>
      <c r="D407" s="28" t="s">
        <v>77</v>
      </c>
      <c r="E407" s="28" t="s">
        <v>77</v>
      </c>
      <c r="F407" s="28" t="s">
        <v>77</v>
      </c>
      <c r="G407" s="28" t="s">
        <v>77</v>
      </c>
      <c r="I407" s="26" t="s">
        <v>77</v>
      </c>
      <c r="J407" s="26" t="s">
        <v>77</v>
      </c>
      <c r="K407" s="18"/>
      <c r="L407" s="26" t="s">
        <v>77</v>
      </c>
      <c r="M407" s="6" t="s">
        <v>77</v>
      </c>
      <c r="N407" s="28" t="s">
        <v>77</v>
      </c>
      <c r="O407" s="26" t="s">
        <v>77</v>
      </c>
    </row>
    <row r="408">
      <c r="A408" s="52" t="s">
        <v>77</v>
      </c>
      <c r="B408" s="28" t="s">
        <v>77</v>
      </c>
      <c r="C408" s="28" t="s">
        <v>77</v>
      </c>
      <c r="D408" s="28" t="s">
        <v>77</v>
      </c>
      <c r="E408" s="28" t="s">
        <v>77</v>
      </c>
      <c r="F408" s="28" t="s">
        <v>77</v>
      </c>
      <c r="G408" s="28" t="s">
        <v>77</v>
      </c>
      <c r="I408" s="26" t="s">
        <v>77</v>
      </c>
      <c r="J408" s="26" t="s">
        <v>77</v>
      </c>
      <c r="K408" s="18"/>
      <c r="L408" s="26" t="s">
        <v>77</v>
      </c>
      <c r="M408" s="6" t="s">
        <v>77</v>
      </c>
      <c r="N408" s="28" t="s">
        <v>77</v>
      </c>
      <c r="O408" s="26" t="s">
        <v>77</v>
      </c>
    </row>
    <row r="409">
      <c r="A409" s="52" t="s">
        <v>77</v>
      </c>
      <c r="B409" s="28" t="s">
        <v>77</v>
      </c>
      <c r="C409" s="28" t="s">
        <v>77</v>
      </c>
      <c r="D409" s="28" t="s">
        <v>77</v>
      </c>
      <c r="E409" s="28" t="s">
        <v>77</v>
      </c>
      <c r="F409" s="28" t="s">
        <v>77</v>
      </c>
      <c r="G409" s="28" t="s">
        <v>77</v>
      </c>
      <c r="I409" s="26" t="s">
        <v>77</v>
      </c>
      <c r="J409" s="26" t="s">
        <v>77</v>
      </c>
      <c r="K409" s="18"/>
      <c r="L409" s="26" t="s">
        <v>77</v>
      </c>
      <c r="M409" s="6" t="s">
        <v>77</v>
      </c>
      <c r="N409" s="28" t="s">
        <v>77</v>
      </c>
      <c r="O409" s="26" t="s">
        <v>77</v>
      </c>
    </row>
    <row r="410">
      <c r="A410" s="52" t="s">
        <v>77</v>
      </c>
      <c r="B410" s="28" t="s">
        <v>77</v>
      </c>
      <c r="C410" s="28" t="s">
        <v>77</v>
      </c>
      <c r="D410" s="28" t="s">
        <v>77</v>
      </c>
      <c r="E410" s="28" t="s">
        <v>77</v>
      </c>
      <c r="F410" s="28" t="s">
        <v>77</v>
      </c>
      <c r="G410" s="28" t="s">
        <v>77</v>
      </c>
      <c r="I410" s="26" t="s">
        <v>77</v>
      </c>
      <c r="J410" s="26" t="s">
        <v>77</v>
      </c>
      <c r="K410" s="18"/>
      <c r="L410" s="26" t="s">
        <v>77</v>
      </c>
      <c r="M410" s="6" t="s">
        <v>77</v>
      </c>
      <c r="N410" s="28" t="s">
        <v>77</v>
      </c>
      <c r="O410" s="26" t="s">
        <v>77</v>
      </c>
    </row>
    <row r="411">
      <c r="A411" s="52" t="s">
        <v>77</v>
      </c>
      <c r="B411" s="28" t="s">
        <v>77</v>
      </c>
      <c r="C411" s="28" t="s">
        <v>77</v>
      </c>
      <c r="D411" s="28" t="s">
        <v>77</v>
      </c>
      <c r="E411" s="28" t="s">
        <v>77</v>
      </c>
      <c r="F411" s="28" t="s">
        <v>77</v>
      </c>
      <c r="G411" s="28" t="s">
        <v>77</v>
      </c>
      <c r="I411" s="26" t="s">
        <v>77</v>
      </c>
      <c r="J411" s="26" t="s">
        <v>77</v>
      </c>
      <c r="K411" s="18"/>
      <c r="L411" s="26" t="s">
        <v>77</v>
      </c>
      <c r="M411" s="6" t="s">
        <v>77</v>
      </c>
      <c r="N411" s="28" t="s">
        <v>77</v>
      </c>
      <c r="O411" s="26" t="s">
        <v>77</v>
      </c>
    </row>
    <row r="412">
      <c r="A412" s="52" t="s">
        <v>77</v>
      </c>
      <c r="B412" s="28" t="s">
        <v>77</v>
      </c>
      <c r="C412" s="28" t="s">
        <v>77</v>
      </c>
      <c r="D412" s="28" t="s">
        <v>77</v>
      </c>
      <c r="E412" s="28" t="s">
        <v>77</v>
      </c>
      <c r="F412" s="28" t="s">
        <v>77</v>
      </c>
      <c r="G412" s="28" t="s">
        <v>77</v>
      </c>
      <c r="I412" s="26" t="s">
        <v>77</v>
      </c>
      <c r="J412" s="26" t="s">
        <v>77</v>
      </c>
      <c r="K412" s="18"/>
      <c r="L412" s="26" t="s">
        <v>77</v>
      </c>
      <c r="M412" s="6" t="s">
        <v>77</v>
      </c>
      <c r="N412" s="28" t="s">
        <v>77</v>
      </c>
      <c r="O412" s="26" t="s">
        <v>77</v>
      </c>
    </row>
    <row r="413">
      <c r="A413" s="52" t="s">
        <v>77</v>
      </c>
      <c r="B413" s="28" t="s">
        <v>77</v>
      </c>
      <c r="C413" s="28" t="s">
        <v>77</v>
      </c>
      <c r="D413" s="28" t="s">
        <v>77</v>
      </c>
      <c r="E413" s="28" t="s">
        <v>77</v>
      </c>
      <c r="F413" s="28" t="s">
        <v>77</v>
      </c>
      <c r="G413" s="28" t="s">
        <v>77</v>
      </c>
      <c r="I413" s="26" t="s">
        <v>77</v>
      </c>
      <c r="J413" s="26" t="s">
        <v>77</v>
      </c>
      <c r="K413" s="18"/>
      <c r="L413" s="26" t="s">
        <v>77</v>
      </c>
      <c r="M413" s="6" t="s">
        <v>77</v>
      </c>
      <c r="N413" s="28" t="s">
        <v>77</v>
      </c>
      <c r="O413" s="26" t="s">
        <v>77</v>
      </c>
    </row>
    <row r="414">
      <c r="A414" s="52" t="s">
        <v>77</v>
      </c>
      <c r="B414" s="28" t="s">
        <v>77</v>
      </c>
      <c r="C414" s="28" t="s">
        <v>77</v>
      </c>
      <c r="D414" s="28" t="s">
        <v>77</v>
      </c>
      <c r="E414" s="28" t="s">
        <v>77</v>
      </c>
      <c r="F414" s="28" t="s">
        <v>77</v>
      </c>
      <c r="G414" s="28" t="s">
        <v>77</v>
      </c>
      <c r="I414" s="26" t="s">
        <v>77</v>
      </c>
      <c r="J414" s="26" t="s">
        <v>77</v>
      </c>
      <c r="K414" s="18"/>
      <c r="L414" s="26" t="s">
        <v>77</v>
      </c>
      <c r="M414" s="6" t="s">
        <v>77</v>
      </c>
      <c r="N414" s="28" t="s">
        <v>77</v>
      </c>
      <c r="O414" s="26" t="s">
        <v>77</v>
      </c>
    </row>
    <row r="415">
      <c r="A415" s="52" t="s">
        <v>77</v>
      </c>
      <c r="B415" s="28" t="s">
        <v>77</v>
      </c>
      <c r="C415" s="28" t="s">
        <v>77</v>
      </c>
      <c r="D415" s="28" t="s">
        <v>77</v>
      </c>
      <c r="E415" s="28" t="s">
        <v>77</v>
      </c>
      <c r="F415" s="28" t="s">
        <v>77</v>
      </c>
      <c r="G415" s="28" t="s">
        <v>77</v>
      </c>
      <c r="I415" s="26" t="s">
        <v>77</v>
      </c>
      <c r="J415" s="26" t="s">
        <v>77</v>
      </c>
      <c r="K415" s="18"/>
      <c r="L415" s="26" t="s">
        <v>77</v>
      </c>
      <c r="M415" s="6" t="s">
        <v>77</v>
      </c>
      <c r="N415" s="28" t="s">
        <v>77</v>
      </c>
      <c r="O415" s="26" t="s">
        <v>77</v>
      </c>
    </row>
    <row r="416">
      <c r="A416" s="52" t="s">
        <v>77</v>
      </c>
      <c r="B416" s="28" t="s">
        <v>77</v>
      </c>
      <c r="C416" s="28" t="s">
        <v>77</v>
      </c>
      <c r="D416" s="28" t="s">
        <v>77</v>
      </c>
      <c r="E416" s="28" t="s">
        <v>77</v>
      </c>
      <c r="F416" s="28" t="s">
        <v>77</v>
      </c>
      <c r="G416" s="28" t="s">
        <v>77</v>
      </c>
      <c r="I416" s="26" t="s">
        <v>77</v>
      </c>
      <c r="J416" s="26" t="s">
        <v>77</v>
      </c>
      <c r="K416" s="18"/>
      <c r="L416" s="26" t="s">
        <v>77</v>
      </c>
      <c r="M416" s="6" t="s">
        <v>77</v>
      </c>
      <c r="N416" s="28" t="s">
        <v>77</v>
      </c>
      <c r="O416" s="26" t="s">
        <v>77</v>
      </c>
    </row>
    <row r="417">
      <c r="A417" s="52" t="s">
        <v>77</v>
      </c>
      <c r="B417" s="28" t="s">
        <v>77</v>
      </c>
      <c r="C417" s="28" t="s">
        <v>77</v>
      </c>
      <c r="D417" s="28" t="s">
        <v>77</v>
      </c>
      <c r="E417" s="28" t="s">
        <v>77</v>
      </c>
      <c r="F417" s="28" t="s">
        <v>77</v>
      </c>
      <c r="G417" s="28" t="s">
        <v>77</v>
      </c>
      <c r="I417" s="26" t="s">
        <v>77</v>
      </c>
      <c r="J417" s="26" t="s">
        <v>77</v>
      </c>
      <c r="K417" s="18"/>
      <c r="L417" s="26" t="s">
        <v>77</v>
      </c>
      <c r="M417" s="6" t="s">
        <v>77</v>
      </c>
      <c r="N417" s="28" t="s">
        <v>77</v>
      </c>
      <c r="O417" s="26" t="s">
        <v>77</v>
      </c>
    </row>
    <row r="418">
      <c r="A418" s="52" t="s">
        <v>77</v>
      </c>
      <c r="B418" s="28" t="s">
        <v>77</v>
      </c>
      <c r="C418" s="28" t="s">
        <v>77</v>
      </c>
      <c r="D418" s="28" t="s">
        <v>77</v>
      </c>
      <c r="E418" s="28" t="s">
        <v>77</v>
      </c>
      <c r="F418" s="28" t="s">
        <v>77</v>
      </c>
      <c r="G418" s="28" t="s">
        <v>77</v>
      </c>
      <c r="I418" s="26" t="s">
        <v>77</v>
      </c>
      <c r="J418" s="26" t="s">
        <v>77</v>
      </c>
      <c r="K418" s="18"/>
      <c r="L418" s="26" t="s">
        <v>77</v>
      </c>
      <c r="M418" s="6" t="s">
        <v>77</v>
      </c>
      <c r="N418" s="28" t="s">
        <v>77</v>
      </c>
      <c r="O418" s="26" t="s">
        <v>77</v>
      </c>
    </row>
    <row r="419">
      <c r="A419" s="52" t="s">
        <v>77</v>
      </c>
      <c r="B419" s="28" t="s">
        <v>77</v>
      </c>
      <c r="C419" s="28" t="s">
        <v>77</v>
      </c>
      <c r="D419" s="28" t="s">
        <v>77</v>
      </c>
      <c r="E419" s="28" t="s">
        <v>77</v>
      </c>
      <c r="F419" s="28" t="s">
        <v>77</v>
      </c>
      <c r="G419" s="28" t="s">
        <v>77</v>
      </c>
      <c r="I419" s="26" t="s">
        <v>77</v>
      </c>
      <c r="J419" s="26" t="s">
        <v>77</v>
      </c>
      <c r="K419" s="18"/>
      <c r="L419" s="26" t="s">
        <v>77</v>
      </c>
      <c r="M419" s="6" t="s">
        <v>77</v>
      </c>
      <c r="N419" s="28" t="s">
        <v>77</v>
      </c>
      <c r="O419" s="26" t="s">
        <v>77</v>
      </c>
    </row>
    <row r="420">
      <c r="A420" s="52" t="s">
        <v>77</v>
      </c>
      <c r="B420" s="28" t="s">
        <v>77</v>
      </c>
      <c r="C420" s="28" t="s">
        <v>77</v>
      </c>
      <c r="D420" s="28" t="s">
        <v>77</v>
      </c>
      <c r="E420" s="28" t="s">
        <v>77</v>
      </c>
      <c r="F420" s="28" t="s">
        <v>77</v>
      </c>
      <c r="G420" s="28" t="s">
        <v>77</v>
      </c>
      <c r="I420" s="26" t="s">
        <v>77</v>
      </c>
      <c r="J420" s="26" t="s">
        <v>77</v>
      </c>
      <c r="K420" s="18"/>
      <c r="L420" s="26" t="s">
        <v>77</v>
      </c>
      <c r="M420" s="6" t="s">
        <v>77</v>
      </c>
      <c r="N420" s="28" t="s">
        <v>77</v>
      </c>
      <c r="O420" s="26" t="s">
        <v>77</v>
      </c>
    </row>
    <row r="421">
      <c r="A421" s="52" t="s">
        <v>77</v>
      </c>
      <c r="B421" s="28" t="s">
        <v>77</v>
      </c>
      <c r="C421" s="28" t="s">
        <v>77</v>
      </c>
      <c r="D421" s="28" t="s">
        <v>77</v>
      </c>
      <c r="E421" s="28" t="s">
        <v>77</v>
      </c>
      <c r="F421" s="28" t="s">
        <v>77</v>
      </c>
      <c r="G421" s="28" t="s">
        <v>77</v>
      </c>
      <c r="I421" s="26" t="s">
        <v>77</v>
      </c>
      <c r="J421" s="26" t="s">
        <v>77</v>
      </c>
      <c r="K421" s="18"/>
      <c r="L421" s="26" t="s">
        <v>77</v>
      </c>
      <c r="M421" s="6" t="s">
        <v>77</v>
      </c>
      <c r="N421" s="28" t="s">
        <v>77</v>
      </c>
      <c r="O421" s="26" t="s">
        <v>77</v>
      </c>
    </row>
    <row r="422">
      <c r="A422" s="52" t="s">
        <v>77</v>
      </c>
      <c r="B422" s="28" t="s">
        <v>77</v>
      </c>
      <c r="C422" s="28" t="s">
        <v>77</v>
      </c>
      <c r="D422" s="28" t="s">
        <v>77</v>
      </c>
      <c r="E422" s="28" t="s">
        <v>77</v>
      </c>
      <c r="F422" s="28" t="s">
        <v>77</v>
      </c>
      <c r="G422" s="28" t="s">
        <v>77</v>
      </c>
      <c r="I422" s="26" t="s">
        <v>77</v>
      </c>
      <c r="J422" s="26" t="s">
        <v>77</v>
      </c>
      <c r="K422" s="18"/>
      <c r="L422" s="26" t="s">
        <v>77</v>
      </c>
      <c r="M422" s="6" t="s">
        <v>77</v>
      </c>
      <c r="N422" s="28" t="s">
        <v>77</v>
      </c>
      <c r="O422" s="26" t="s">
        <v>77</v>
      </c>
    </row>
    <row r="423">
      <c r="A423" s="52" t="s">
        <v>77</v>
      </c>
      <c r="B423" s="28" t="s">
        <v>77</v>
      </c>
      <c r="C423" s="28" t="s">
        <v>77</v>
      </c>
      <c r="D423" s="28" t="s">
        <v>77</v>
      </c>
      <c r="E423" s="28" t="s">
        <v>77</v>
      </c>
      <c r="F423" s="28" t="s">
        <v>77</v>
      </c>
      <c r="G423" s="28" t="s">
        <v>77</v>
      </c>
      <c r="I423" s="26" t="s">
        <v>77</v>
      </c>
      <c r="J423" s="26" t="s">
        <v>77</v>
      </c>
      <c r="K423" s="18"/>
      <c r="L423" s="26" t="s">
        <v>77</v>
      </c>
      <c r="M423" s="6" t="s">
        <v>77</v>
      </c>
      <c r="N423" s="28" t="s">
        <v>77</v>
      </c>
      <c r="O423" s="26" t="s">
        <v>77</v>
      </c>
    </row>
    <row r="424">
      <c r="A424" s="52" t="s">
        <v>77</v>
      </c>
      <c r="B424" s="28" t="s">
        <v>77</v>
      </c>
      <c r="C424" s="28" t="s">
        <v>77</v>
      </c>
      <c r="D424" s="28" t="s">
        <v>77</v>
      </c>
      <c r="E424" s="28" t="s">
        <v>77</v>
      </c>
      <c r="F424" s="28" t="s">
        <v>77</v>
      </c>
      <c r="G424" s="28" t="s">
        <v>77</v>
      </c>
      <c r="I424" s="26" t="s">
        <v>77</v>
      </c>
      <c r="J424" s="26" t="s">
        <v>77</v>
      </c>
      <c r="K424" s="18"/>
      <c r="L424" s="26" t="s">
        <v>77</v>
      </c>
      <c r="M424" s="6" t="s">
        <v>77</v>
      </c>
      <c r="N424" s="28" t="s">
        <v>77</v>
      </c>
      <c r="O424" s="26" t="s">
        <v>77</v>
      </c>
    </row>
    <row r="425">
      <c r="A425" s="52" t="s">
        <v>77</v>
      </c>
      <c r="B425" s="28" t="s">
        <v>77</v>
      </c>
      <c r="C425" s="28" t="s">
        <v>77</v>
      </c>
      <c r="D425" s="28" t="s">
        <v>77</v>
      </c>
      <c r="E425" s="28" t="s">
        <v>77</v>
      </c>
      <c r="F425" s="28" t="s">
        <v>77</v>
      </c>
      <c r="G425" s="28" t="s">
        <v>77</v>
      </c>
      <c r="I425" s="26" t="s">
        <v>77</v>
      </c>
      <c r="J425" s="26" t="s">
        <v>77</v>
      </c>
      <c r="K425" s="18"/>
      <c r="L425" s="26" t="s">
        <v>77</v>
      </c>
      <c r="M425" s="6" t="s">
        <v>77</v>
      </c>
      <c r="N425" s="28" t="s">
        <v>77</v>
      </c>
      <c r="O425" s="26" t="s">
        <v>77</v>
      </c>
    </row>
    <row r="426">
      <c r="A426" s="52" t="s">
        <v>77</v>
      </c>
      <c r="B426" s="28" t="s">
        <v>77</v>
      </c>
      <c r="C426" s="28" t="s">
        <v>77</v>
      </c>
      <c r="D426" s="28" t="s">
        <v>77</v>
      </c>
      <c r="E426" s="28" t="s">
        <v>77</v>
      </c>
      <c r="F426" s="28" t="s">
        <v>77</v>
      </c>
      <c r="G426" s="28" t="s">
        <v>77</v>
      </c>
      <c r="I426" s="26" t="s">
        <v>77</v>
      </c>
      <c r="J426" s="26" t="s">
        <v>77</v>
      </c>
      <c r="K426" s="18"/>
      <c r="L426" s="26" t="s">
        <v>77</v>
      </c>
      <c r="M426" s="6" t="s">
        <v>77</v>
      </c>
      <c r="N426" s="28" t="s">
        <v>77</v>
      </c>
      <c r="O426" s="26" t="s">
        <v>77</v>
      </c>
    </row>
    <row r="427">
      <c r="A427" s="52" t="s">
        <v>77</v>
      </c>
      <c r="B427" s="28" t="s">
        <v>77</v>
      </c>
      <c r="C427" s="28" t="s">
        <v>77</v>
      </c>
      <c r="D427" s="28" t="s">
        <v>77</v>
      </c>
      <c r="E427" s="28" t="s">
        <v>77</v>
      </c>
      <c r="F427" s="28" t="s">
        <v>77</v>
      </c>
      <c r="G427" s="28" t="s">
        <v>77</v>
      </c>
      <c r="I427" s="26" t="s">
        <v>77</v>
      </c>
      <c r="J427" s="26" t="s">
        <v>77</v>
      </c>
      <c r="K427" s="18"/>
      <c r="L427" s="26" t="s">
        <v>77</v>
      </c>
      <c r="M427" s="6" t="s">
        <v>77</v>
      </c>
      <c r="N427" s="28" t="s">
        <v>77</v>
      </c>
      <c r="O427" s="26" t="s">
        <v>77</v>
      </c>
    </row>
    <row r="428">
      <c r="A428" s="52" t="s">
        <v>77</v>
      </c>
      <c r="B428" s="28" t="s">
        <v>77</v>
      </c>
      <c r="C428" s="28" t="s">
        <v>77</v>
      </c>
      <c r="D428" s="28" t="s">
        <v>77</v>
      </c>
      <c r="E428" s="28" t="s">
        <v>77</v>
      </c>
      <c r="F428" s="28" t="s">
        <v>77</v>
      </c>
      <c r="G428" s="28" t="s">
        <v>77</v>
      </c>
      <c r="I428" s="26" t="s">
        <v>77</v>
      </c>
      <c r="J428" s="26" t="s">
        <v>77</v>
      </c>
      <c r="K428" s="18"/>
      <c r="L428" s="26" t="s">
        <v>77</v>
      </c>
      <c r="M428" s="6" t="s">
        <v>77</v>
      </c>
      <c r="N428" s="28" t="s">
        <v>77</v>
      </c>
      <c r="O428" s="26" t="s">
        <v>77</v>
      </c>
    </row>
    <row r="429">
      <c r="A429" s="52" t="s">
        <v>77</v>
      </c>
      <c r="B429" s="28" t="s">
        <v>77</v>
      </c>
      <c r="C429" s="28" t="s">
        <v>77</v>
      </c>
      <c r="D429" s="28" t="s">
        <v>77</v>
      </c>
      <c r="E429" s="28" t="s">
        <v>77</v>
      </c>
      <c r="F429" s="28" t="s">
        <v>77</v>
      </c>
      <c r="G429" s="28" t="s">
        <v>77</v>
      </c>
      <c r="I429" s="26" t="s">
        <v>77</v>
      </c>
      <c r="J429" s="26" t="s">
        <v>77</v>
      </c>
      <c r="K429" s="18"/>
      <c r="L429" s="26" t="s">
        <v>77</v>
      </c>
      <c r="M429" s="6" t="s">
        <v>77</v>
      </c>
      <c r="N429" s="28" t="s">
        <v>77</v>
      </c>
      <c r="O429" s="26" t="s">
        <v>77</v>
      </c>
    </row>
    <row r="430">
      <c r="A430" s="52" t="s">
        <v>77</v>
      </c>
      <c r="B430" s="28" t="s">
        <v>77</v>
      </c>
      <c r="C430" s="28" t="s">
        <v>77</v>
      </c>
      <c r="D430" s="28" t="s">
        <v>77</v>
      </c>
      <c r="E430" s="28" t="s">
        <v>77</v>
      </c>
      <c r="F430" s="28" t="s">
        <v>77</v>
      </c>
      <c r="G430" s="28" t="s">
        <v>77</v>
      </c>
      <c r="I430" s="26" t="s">
        <v>77</v>
      </c>
      <c r="J430" s="26" t="s">
        <v>77</v>
      </c>
      <c r="K430" s="18"/>
      <c r="L430" s="26" t="s">
        <v>77</v>
      </c>
      <c r="M430" s="6" t="s">
        <v>77</v>
      </c>
      <c r="N430" s="28" t="s">
        <v>77</v>
      </c>
      <c r="O430" s="26" t="s">
        <v>77</v>
      </c>
    </row>
    <row r="431">
      <c r="A431" s="52" t="s">
        <v>77</v>
      </c>
      <c r="B431" s="28" t="s">
        <v>77</v>
      </c>
      <c r="C431" s="28" t="s">
        <v>77</v>
      </c>
      <c r="D431" s="28" t="s">
        <v>77</v>
      </c>
      <c r="E431" s="28" t="s">
        <v>77</v>
      </c>
      <c r="F431" s="28" t="s">
        <v>77</v>
      </c>
      <c r="G431" s="28" t="s">
        <v>77</v>
      </c>
      <c r="I431" s="26" t="s">
        <v>77</v>
      </c>
      <c r="J431" s="26" t="s">
        <v>77</v>
      </c>
      <c r="K431" s="18"/>
      <c r="L431" s="26" t="s">
        <v>77</v>
      </c>
      <c r="M431" s="6" t="s">
        <v>77</v>
      </c>
      <c r="N431" s="28" t="s">
        <v>77</v>
      </c>
      <c r="O431" s="26" t="s">
        <v>77</v>
      </c>
    </row>
    <row r="432">
      <c r="A432" s="52" t="s">
        <v>77</v>
      </c>
      <c r="B432" s="28" t="s">
        <v>77</v>
      </c>
      <c r="C432" s="28" t="s">
        <v>77</v>
      </c>
      <c r="D432" s="28" t="s">
        <v>77</v>
      </c>
      <c r="E432" s="28" t="s">
        <v>77</v>
      </c>
      <c r="F432" s="28" t="s">
        <v>77</v>
      </c>
      <c r="G432" s="28" t="s">
        <v>77</v>
      </c>
      <c r="I432" s="26" t="s">
        <v>77</v>
      </c>
      <c r="J432" s="26" t="s">
        <v>77</v>
      </c>
      <c r="K432" s="18"/>
      <c r="L432" s="26" t="s">
        <v>77</v>
      </c>
      <c r="M432" s="6" t="s">
        <v>77</v>
      </c>
      <c r="N432" s="28" t="s">
        <v>77</v>
      </c>
      <c r="O432" s="26" t="s">
        <v>77</v>
      </c>
    </row>
    <row r="433">
      <c r="A433" s="52" t="s">
        <v>77</v>
      </c>
      <c r="B433" s="28" t="s">
        <v>77</v>
      </c>
      <c r="C433" s="28" t="s">
        <v>77</v>
      </c>
      <c r="D433" s="28" t="s">
        <v>77</v>
      </c>
      <c r="E433" s="28" t="s">
        <v>77</v>
      </c>
      <c r="F433" s="28" t="s">
        <v>77</v>
      </c>
      <c r="G433" s="28" t="s">
        <v>77</v>
      </c>
      <c r="I433" s="26" t="s">
        <v>77</v>
      </c>
      <c r="J433" s="26" t="s">
        <v>77</v>
      </c>
      <c r="K433" s="18"/>
      <c r="L433" s="26" t="s">
        <v>77</v>
      </c>
      <c r="M433" s="6" t="s">
        <v>77</v>
      </c>
      <c r="N433" s="28" t="s">
        <v>77</v>
      </c>
      <c r="O433" s="26" t="s">
        <v>77</v>
      </c>
    </row>
    <row r="434">
      <c r="A434" s="52" t="s">
        <v>77</v>
      </c>
      <c r="B434" s="28" t="s">
        <v>77</v>
      </c>
      <c r="C434" s="28" t="s">
        <v>77</v>
      </c>
      <c r="D434" s="28" t="s">
        <v>77</v>
      </c>
      <c r="E434" s="28" t="s">
        <v>77</v>
      </c>
      <c r="F434" s="28" t="s">
        <v>77</v>
      </c>
      <c r="G434" s="28" t="s">
        <v>77</v>
      </c>
      <c r="I434" s="26" t="s">
        <v>77</v>
      </c>
      <c r="J434" s="26" t="s">
        <v>77</v>
      </c>
      <c r="K434" s="18"/>
      <c r="L434" s="26" t="s">
        <v>77</v>
      </c>
      <c r="M434" s="6" t="s">
        <v>77</v>
      </c>
      <c r="N434" s="28" t="s">
        <v>77</v>
      </c>
      <c r="O434" s="26" t="s">
        <v>77</v>
      </c>
    </row>
    <row r="435">
      <c r="A435" s="52" t="s">
        <v>77</v>
      </c>
      <c r="B435" s="28" t="s">
        <v>77</v>
      </c>
      <c r="C435" s="28" t="s">
        <v>77</v>
      </c>
      <c r="D435" s="28" t="s">
        <v>77</v>
      </c>
      <c r="E435" s="28" t="s">
        <v>77</v>
      </c>
      <c r="F435" s="28" t="s">
        <v>77</v>
      </c>
      <c r="G435" s="28" t="s">
        <v>77</v>
      </c>
      <c r="I435" s="26" t="s">
        <v>77</v>
      </c>
      <c r="J435" s="26" t="s">
        <v>77</v>
      </c>
      <c r="K435" s="18"/>
      <c r="L435" s="26" t="s">
        <v>77</v>
      </c>
      <c r="M435" s="6" t="s">
        <v>77</v>
      </c>
      <c r="N435" s="28" t="s">
        <v>77</v>
      </c>
      <c r="O435" s="26" t="s">
        <v>77</v>
      </c>
    </row>
    <row r="436">
      <c r="A436" s="52" t="s">
        <v>77</v>
      </c>
      <c r="B436" s="28" t="s">
        <v>77</v>
      </c>
      <c r="C436" s="28" t="s">
        <v>77</v>
      </c>
      <c r="D436" s="28" t="s">
        <v>77</v>
      </c>
      <c r="E436" s="28" t="s">
        <v>77</v>
      </c>
      <c r="F436" s="28" t="s">
        <v>77</v>
      </c>
      <c r="G436" s="28" t="s">
        <v>77</v>
      </c>
      <c r="I436" s="26" t="s">
        <v>77</v>
      </c>
      <c r="J436" s="26" t="s">
        <v>77</v>
      </c>
      <c r="K436" s="18"/>
      <c r="L436" s="26" t="s">
        <v>77</v>
      </c>
      <c r="M436" s="6" t="s">
        <v>77</v>
      </c>
      <c r="N436" s="28" t="s">
        <v>77</v>
      </c>
      <c r="O436" s="26" t="s">
        <v>77</v>
      </c>
    </row>
    <row r="437">
      <c r="A437" s="52" t="s">
        <v>77</v>
      </c>
      <c r="B437" s="28" t="s">
        <v>77</v>
      </c>
      <c r="C437" s="28" t="s">
        <v>77</v>
      </c>
      <c r="D437" s="28" t="s">
        <v>77</v>
      </c>
      <c r="E437" s="28" t="s">
        <v>77</v>
      </c>
      <c r="F437" s="28" t="s">
        <v>77</v>
      </c>
      <c r="G437" s="28" t="s">
        <v>77</v>
      </c>
      <c r="I437" s="26" t="s">
        <v>77</v>
      </c>
      <c r="J437" s="26" t="s">
        <v>77</v>
      </c>
      <c r="K437" s="18"/>
      <c r="L437" s="26" t="s">
        <v>77</v>
      </c>
      <c r="M437" s="6" t="s">
        <v>77</v>
      </c>
      <c r="N437" s="28" t="s">
        <v>77</v>
      </c>
      <c r="O437" s="26" t="s">
        <v>77</v>
      </c>
    </row>
    <row r="438">
      <c r="A438" s="52" t="s">
        <v>77</v>
      </c>
      <c r="B438" s="28" t="s">
        <v>77</v>
      </c>
      <c r="C438" s="28" t="s">
        <v>77</v>
      </c>
      <c r="D438" s="28" t="s">
        <v>77</v>
      </c>
      <c r="E438" s="28" t="s">
        <v>77</v>
      </c>
      <c r="F438" s="28" t="s">
        <v>77</v>
      </c>
      <c r="G438" s="28" t="s">
        <v>77</v>
      </c>
      <c r="I438" s="26" t="s">
        <v>77</v>
      </c>
      <c r="J438" s="26" t="s">
        <v>77</v>
      </c>
      <c r="K438" s="18"/>
      <c r="L438" s="26" t="s">
        <v>77</v>
      </c>
      <c r="M438" s="6" t="s">
        <v>77</v>
      </c>
      <c r="N438" s="28" t="s">
        <v>77</v>
      </c>
      <c r="O438" s="26" t="s">
        <v>77</v>
      </c>
    </row>
    <row r="439">
      <c r="A439" s="52" t="s">
        <v>77</v>
      </c>
      <c r="B439" s="28" t="s">
        <v>77</v>
      </c>
      <c r="C439" s="28" t="s">
        <v>77</v>
      </c>
      <c r="D439" s="28" t="s">
        <v>77</v>
      </c>
      <c r="E439" s="28" t="s">
        <v>77</v>
      </c>
      <c r="F439" s="28" t="s">
        <v>77</v>
      </c>
      <c r="G439" s="28" t="s">
        <v>77</v>
      </c>
      <c r="I439" s="26" t="s">
        <v>77</v>
      </c>
      <c r="J439" s="26" t="s">
        <v>77</v>
      </c>
      <c r="K439" s="18"/>
      <c r="L439" s="26" t="s">
        <v>77</v>
      </c>
      <c r="M439" s="6" t="s">
        <v>77</v>
      </c>
      <c r="N439" s="28" t="s">
        <v>77</v>
      </c>
      <c r="O439" s="26" t="s">
        <v>77</v>
      </c>
    </row>
    <row r="440">
      <c r="A440" s="52" t="s">
        <v>77</v>
      </c>
      <c r="B440" s="28" t="s">
        <v>77</v>
      </c>
      <c r="C440" s="28" t="s">
        <v>77</v>
      </c>
      <c r="D440" s="28" t="s">
        <v>77</v>
      </c>
      <c r="E440" s="28" t="s">
        <v>77</v>
      </c>
      <c r="F440" s="28" t="s">
        <v>77</v>
      </c>
      <c r="G440" s="28" t="s">
        <v>77</v>
      </c>
      <c r="I440" s="26" t="s">
        <v>77</v>
      </c>
      <c r="J440" s="26" t="s">
        <v>77</v>
      </c>
      <c r="K440" s="18"/>
      <c r="L440" s="26" t="s">
        <v>77</v>
      </c>
      <c r="M440" s="6" t="s">
        <v>77</v>
      </c>
      <c r="N440" s="28" t="s">
        <v>77</v>
      </c>
      <c r="O440" s="26" t="s">
        <v>77</v>
      </c>
    </row>
    <row r="441">
      <c r="A441" s="52" t="s">
        <v>77</v>
      </c>
      <c r="B441" s="28" t="s">
        <v>77</v>
      </c>
      <c r="C441" s="28" t="s">
        <v>77</v>
      </c>
      <c r="D441" s="28" t="s">
        <v>77</v>
      </c>
      <c r="E441" s="28" t="s">
        <v>77</v>
      </c>
      <c r="F441" s="28" t="s">
        <v>77</v>
      </c>
      <c r="G441" s="28" t="s">
        <v>77</v>
      </c>
      <c r="I441" s="26" t="s">
        <v>77</v>
      </c>
      <c r="J441" s="26" t="s">
        <v>77</v>
      </c>
      <c r="K441" s="18"/>
      <c r="L441" s="26" t="s">
        <v>77</v>
      </c>
      <c r="M441" s="6" t="s">
        <v>77</v>
      </c>
      <c r="N441" s="28" t="s">
        <v>77</v>
      </c>
      <c r="O441" s="26" t="s">
        <v>77</v>
      </c>
    </row>
    <row r="442">
      <c r="A442" s="52" t="s">
        <v>77</v>
      </c>
      <c r="B442" s="28" t="s">
        <v>77</v>
      </c>
      <c r="C442" s="28" t="s">
        <v>77</v>
      </c>
      <c r="D442" s="28" t="s">
        <v>77</v>
      </c>
      <c r="E442" s="28" t="s">
        <v>77</v>
      </c>
      <c r="F442" s="28" t="s">
        <v>77</v>
      </c>
      <c r="G442" s="28" t="s">
        <v>77</v>
      </c>
      <c r="I442" s="26" t="s">
        <v>77</v>
      </c>
      <c r="J442" s="26" t="s">
        <v>77</v>
      </c>
      <c r="K442" s="18"/>
      <c r="L442" s="26" t="s">
        <v>77</v>
      </c>
      <c r="M442" s="6" t="s">
        <v>77</v>
      </c>
      <c r="N442" s="28" t="s">
        <v>77</v>
      </c>
      <c r="O442" s="26" t="s">
        <v>77</v>
      </c>
    </row>
    <row r="443">
      <c r="A443" s="52" t="s">
        <v>77</v>
      </c>
      <c r="B443" s="28" t="s">
        <v>77</v>
      </c>
      <c r="C443" s="28" t="s">
        <v>77</v>
      </c>
      <c r="D443" s="28" t="s">
        <v>77</v>
      </c>
      <c r="E443" s="28" t="s">
        <v>77</v>
      </c>
      <c r="F443" s="28" t="s">
        <v>77</v>
      </c>
      <c r="G443" s="28" t="s">
        <v>77</v>
      </c>
      <c r="I443" s="26" t="s">
        <v>77</v>
      </c>
      <c r="J443" s="26" t="s">
        <v>77</v>
      </c>
      <c r="K443" s="18"/>
      <c r="L443" s="26" t="s">
        <v>77</v>
      </c>
      <c r="M443" s="6" t="s">
        <v>77</v>
      </c>
      <c r="N443" s="28" t="s">
        <v>77</v>
      </c>
      <c r="O443" s="26" t="s">
        <v>77</v>
      </c>
    </row>
    <row r="444">
      <c r="A444" s="52" t="s">
        <v>77</v>
      </c>
      <c r="B444" s="28" t="s">
        <v>77</v>
      </c>
      <c r="C444" s="28" t="s">
        <v>77</v>
      </c>
      <c r="D444" s="28" t="s">
        <v>77</v>
      </c>
      <c r="E444" s="28" t="s">
        <v>77</v>
      </c>
      <c r="F444" s="28" t="s">
        <v>77</v>
      </c>
      <c r="G444" s="28" t="s">
        <v>77</v>
      </c>
      <c r="I444" s="26" t="s">
        <v>77</v>
      </c>
      <c r="J444" s="26" t="s">
        <v>77</v>
      </c>
      <c r="K444" s="18"/>
      <c r="L444" s="26" t="s">
        <v>77</v>
      </c>
      <c r="M444" s="6" t="s">
        <v>77</v>
      </c>
      <c r="N444" s="28" t="s">
        <v>77</v>
      </c>
      <c r="O444" s="26" t="s">
        <v>77</v>
      </c>
    </row>
    <row r="445">
      <c r="A445" s="52" t="s">
        <v>77</v>
      </c>
      <c r="B445" s="28" t="s">
        <v>77</v>
      </c>
      <c r="C445" s="28" t="s">
        <v>77</v>
      </c>
      <c r="D445" s="28" t="s">
        <v>77</v>
      </c>
      <c r="E445" s="28" t="s">
        <v>77</v>
      </c>
      <c r="F445" s="28" t="s">
        <v>77</v>
      </c>
      <c r="G445" s="28" t="s">
        <v>77</v>
      </c>
      <c r="I445" s="26" t="s">
        <v>77</v>
      </c>
      <c r="J445" s="26" t="s">
        <v>77</v>
      </c>
      <c r="K445" s="18"/>
      <c r="L445" s="26" t="s">
        <v>77</v>
      </c>
      <c r="M445" s="6" t="s">
        <v>77</v>
      </c>
      <c r="N445" s="28" t="s">
        <v>77</v>
      </c>
      <c r="O445" s="26" t="s">
        <v>77</v>
      </c>
    </row>
    <row r="446">
      <c r="A446" s="52" t="s">
        <v>77</v>
      </c>
      <c r="B446" s="28" t="s">
        <v>77</v>
      </c>
      <c r="C446" s="28" t="s">
        <v>77</v>
      </c>
      <c r="D446" s="28" t="s">
        <v>77</v>
      </c>
      <c r="E446" s="28" t="s">
        <v>77</v>
      </c>
      <c r="F446" s="28" t="s">
        <v>77</v>
      </c>
      <c r="G446" s="28" t="s">
        <v>77</v>
      </c>
      <c r="I446" s="26" t="s">
        <v>77</v>
      </c>
      <c r="J446" s="26" t="s">
        <v>77</v>
      </c>
      <c r="K446" s="18"/>
      <c r="L446" s="26" t="s">
        <v>77</v>
      </c>
      <c r="M446" s="6" t="s">
        <v>77</v>
      </c>
      <c r="N446" s="28" t="s">
        <v>77</v>
      </c>
      <c r="O446" s="26" t="s">
        <v>77</v>
      </c>
    </row>
    <row r="447">
      <c r="A447" s="52" t="s">
        <v>77</v>
      </c>
      <c r="B447" s="28" t="s">
        <v>77</v>
      </c>
      <c r="C447" s="28" t="s">
        <v>77</v>
      </c>
      <c r="D447" s="28" t="s">
        <v>77</v>
      </c>
      <c r="E447" s="28" t="s">
        <v>77</v>
      </c>
      <c r="F447" s="28" t="s">
        <v>77</v>
      </c>
      <c r="G447" s="28" t="s">
        <v>77</v>
      </c>
      <c r="I447" s="26" t="s">
        <v>77</v>
      </c>
      <c r="J447" s="26" t="s">
        <v>77</v>
      </c>
      <c r="K447" s="18"/>
      <c r="L447" s="26" t="s">
        <v>77</v>
      </c>
      <c r="M447" s="6" t="s">
        <v>77</v>
      </c>
      <c r="N447" s="28" t="s">
        <v>77</v>
      </c>
      <c r="O447" s="26" t="s">
        <v>77</v>
      </c>
    </row>
    <row r="448">
      <c r="A448" s="52" t="s">
        <v>77</v>
      </c>
      <c r="B448" s="28" t="s">
        <v>77</v>
      </c>
      <c r="C448" s="28" t="s">
        <v>77</v>
      </c>
      <c r="D448" s="28" t="s">
        <v>77</v>
      </c>
      <c r="E448" s="28" t="s">
        <v>77</v>
      </c>
      <c r="F448" s="28" t="s">
        <v>77</v>
      </c>
      <c r="G448" s="28" t="s">
        <v>77</v>
      </c>
      <c r="I448" s="26" t="s">
        <v>77</v>
      </c>
      <c r="J448" s="26" t="s">
        <v>77</v>
      </c>
      <c r="K448" s="18"/>
      <c r="L448" s="26" t="s">
        <v>77</v>
      </c>
      <c r="M448" s="6" t="s">
        <v>77</v>
      </c>
      <c r="N448" s="28" t="s">
        <v>77</v>
      </c>
      <c r="O448" s="26" t="s">
        <v>77</v>
      </c>
    </row>
    <row r="449">
      <c r="A449" s="52" t="s">
        <v>77</v>
      </c>
      <c r="B449" s="28" t="s">
        <v>77</v>
      </c>
      <c r="C449" s="28" t="s">
        <v>77</v>
      </c>
      <c r="D449" s="28" t="s">
        <v>77</v>
      </c>
      <c r="E449" s="28" t="s">
        <v>77</v>
      </c>
      <c r="F449" s="28" t="s">
        <v>77</v>
      </c>
      <c r="G449" s="28" t="s">
        <v>77</v>
      </c>
      <c r="I449" s="26" t="s">
        <v>77</v>
      </c>
      <c r="J449" s="26" t="s">
        <v>77</v>
      </c>
      <c r="K449" s="18"/>
      <c r="L449" s="26" t="s">
        <v>77</v>
      </c>
      <c r="M449" s="6" t="s">
        <v>77</v>
      </c>
      <c r="N449" s="28" t="s">
        <v>77</v>
      </c>
      <c r="O449" s="26" t="s">
        <v>77</v>
      </c>
    </row>
    <row r="450">
      <c r="A450" s="52" t="s">
        <v>77</v>
      </c>
      <c r="B450" s="28" t="s">
        <v>77</v>
      </c>
      <c r="C450" s="28" t="s">
        <v>77</v>
      </c>
      <c r="D450" s="28" t="s">
        <v>77</v>
      </c>
      <c r="E450" s="28" t="s">
        <v>77</v>
      </c>
      <c r="F450" s="28" t="s">
        <v>77</v>
      </c>
      <c r="G450" s="28" t="s">
        <v>77</v>
      </c>
      <c r="I450" s="26" t="s">
        <v>77</v>
      </c>
      <c r="J450" s="26" t="s">
        <v>77</v>
      </c>
      <c r="K450" s="18"/>
      <c r="L450" s="26" t="s">
        <v>77</v>
      </c>
      <c r="M450" s="6" t="s">
        <v>77</v>
      </c>
      <c r="N450" s="28" t="s">
        <v>77</v>
      </c>
      <c r="O450" s="26" t="s">
        <v>77</v>
      </c>
    </row>
    <row r="451">
      <c r="A451" s="52" t="s">
        <v>77</v>
      </c>
      <c r="B451" s="28" t="s">
        <v>77</v>
      </c>
      <c r="C451" s="28" t="s">
        <v>77</v>
      </c>
      <c r="D451" s="28" t="s">
        <v>77</v>
      </c>
      <c r="E451" s="28" t="s">
        <v>77</v>
      </c>
      <c r="F451" s="28" t="s">
        <v>77</v>
      </c>
      <c r="G451" s="28" t="s">
        <v>77</v>
      </c>
      <c r="I451" s="26" t="s">
        <v>77</v>
      </c>
      <c r="J451" s="26" t="s">
        <v>77</v>
      </c>
      <c r="K451" s="18"/>
      <c r="L451" s="26" t="s">
        <v>77</v>
      </c>
      <c r="M451" s="6" t="s">
        <v>77</v>
      </c>
      <c r="N451" s="28" t="s">
        <v>77</v>
      </c>
      <c r="O451" s="26" t="s">
        <v>77</v>
      </c>
    </row>
    <row r="452">
      <c r="A452" s="52" t="s">
        <v>77</v>
      </c>
      <c r="B452" s="28" t="s">
        <v>77</v>
      </c>
      <c r="C452" s="28" t="s">
        <v>77</v>
      </c>
      <c r="D452" s="28" t="s">
        <v>77</v>
      </c>
      <c r="E452" s="28" t="s">
        <v>77</v>
      </c>
      <c r="F452" s="28" t="s">
        <v>77</v>
      </c>
      <c r="G452" s="28" t="s">
        <v>77</v>
      </c>
      <c r="I452" s="26" t="s">
        <v>77</v>
      </c>
      <c r="J452" s="26" t="s">
        <v>77</v>
      </c>
      <c r="K452" s="18"/>
      <c r="L452" s="26" t="s">
        <v>77</v>
      </c>
      <c r="M452" s="6" t="s">
        <v>77</v>
      </c>
      <c r="N452" s="28" t="s">
        <v>77</v>
      </c>
      <c r="O452" s="26" t="s">
        <v>77</v>
      </c>
    </row>
    <row r="453">
      <c r="A453" s="52" t="s">
        <v>77</v>
      </c>
      <c r="B453" s="28" t="s">
        <v>77</v>
      </c>
      <c r="C453" s="28" t="s">
        <v>77</v>
      </c>
      <c r="D453" s="28" t="s">
        <v>77</v>
      </c>
      <c r="E453" s="28" t="s">
        <v>77</v>
      </c>
      <c r="F453" s="28" t="s">
        <v>77</v>
      </c>
      <c r="G453" s="28" t="s">
        <v>77</v>
      </c>
      <c r="I453" s="26" t="s">
        <v>77</v>
      </c>
      <c r="J453" s="26" t="s">
        <v>77</v>
      </c>
      <c r="K453" s="18"/>
      <c r="L453" s="26" t="s">
        <v>77</v>
      </c>
      <c r="M453" s="6" t="s">
        <v>77</v>
      </c>
      <c r="N453" s="28" t="s">
        <v>77</v>
      </c>
      <c r="O453" s="26" t="s">
        <v>77</v>
      </c>
    </row>
    <row r="454">
      <c r="A454" s="52" t="s">
        <v>77</v>
      </c>
      <c r="B454" s="28" t="s">
        <v>77</v>
      </c>
      <c r="C454" s="28" t="s">
        <v>77</v>
      </c>
      <c r="D454" s="28" t="s">
        <v>77</v>
      </c>
      <c r="E454" s="28" t="s">
        <v>77</v>
      </c>
      <c r="F454" s="28" t="s">
        <v>77</v>
      </c>
      <c r="G454" s="28" t="s">
        <v>77</v>
      </c>
      <c r="I454" s="26" t="s">
        <v>77</v>
      </c>
      <c r="J454" s="26" t="s">
        <v>77</v>
      </c>
      <c r="K454" s="18"/>
      <c r="L454" s="26" t="s">
        <v>77</v>
      </c>
      <c r="M454" s="6" t="s">
        <v>77</v>
      </c>
      <c r="N454" s="28" t="s">
        <v>77</v>
      </c>
      <c r="O454" s="26" t="s">
        <v>77</v>
      </c>
    </row>
    <row r="455">
      <c r="A455" s="52" t="s">
        <v>77</v>
      </c>
      <c r="B455" s="28" t="s">
        <v>77</v>
      </c>
      <c r="C455" s="28" t="s">
        <v>77</v>
      </c>
      <c r="D455" s="28" t="s">
        <v>77</v>
      </c>
      <c r="E455" s="28" t="s">
        <v>77</v>
      </c>
      <c r="F455" s="28" t="s">
        <v>77</v>
      </c>
      <c r="G455" s="28" t="s">
        <v>77</v>
      </c>
      <c r="I455" s="26" t="s">
        <v>77</v>
      </c>
      <c r="J455" s="26" t="s">
        <v>77</v>
      </c>
      <c r="K455" s="18"/>
      <c r="L455" s="26" t="s">
        <v>77</v>
      </c>
      <c r="M455" s="6" t="s">
        <v>77</v>
      </c>
      <c r="N455" s="28" t="s">
        <v>77</v>
      </c>
      <c r="O455" s="26" t="s">
        <v>77</v>
      </c>
    </row>
    <row r="456">
      <c r="A456" s="52" t="s">
        <v>77</v>
      </c>
      <c r="B456" s="28" t="s">
        <v>77</v>
      </c>
      <c r="C456" s="28" t="s">
        <v>77</v>
      </c>
      <c r="D456" s="28" t="s">
        <v>77</v>
      </c>
      <c r="E456" s="28" t="s">
        <v>77</v>
      </c>
      <c r="F456" s="28" t="s">
        <v>77</v>
      </c>
      <c r="G456" s="28" t="s">
        <v>77</v>
      </c>
      <c r="I456" s="26" t="s">
        <v>77</v>
      </c>
      <c r="J456" s="26" t="s">
        <v>77</v>
      </c>
      <c r="K456" s="18"/>
      <c r="L456" s="26" t="s">
        <v>77</v>
      </c>
      <c r="M456" s="6" t="s">
        <v>77</v>
      </c>
      <c r="N456" s="28" t="s">
        <v>77</v>
      </c>
      <c r="O456" s="26" t="s">
        <v>77</v>
      </c>
    </row>
    <row r="457">
      <c r="A457" s="52" t="s">
        <v>77</v>
      </c>
      <c r="B457" s="28" t="s">
        <v>77</v>
      </c>
      <c r="C457" s="28" t="s">
        <v>77</v>
      </c>
      <c r="D457" s="28" t="s">
        <v>77</v>
      </c>
      <c r="E457" s="28" t="s">
        <v>77</v>
      </c>
      <c r="F457" s="28" t="s">
        <v>77</v>
      </c>
      <c r="G457" s="28" t="s">
        <v>77</v>
      </c>
      <c r="I457" s="26" t="s">
        <v>77</v>
      </c>
      <c r="J457" s="26" t="s">
        <v>77</v>
      </c>
      <c r="K457" s="18"/>
      <c r="L457" s="26" t="s">
        <v>77</v>
      </c>
      <c r="M457" s="6" t="s">
        <v>77</v>
      </c>
      <c r="N457" s="28" t="s">
        <v>77</v>
      </c>
      <c r="O457" s="26" t="s">
        <v>77</v>
      </c>
    </row>
    <row r="458">
      <c r="A458" s="52" t="s">
        <v>77</v>
      </c>
      <c r="B458" s="28" t="s">
        <v>77</v>
      </c>
      <c r="C458" s="28" t="s">
        <v>77</v>
      </c>
      <c r="D458" s="28" t="s">
        <v>77</v>
      </c>
      <c r="E458" s="28" t="s">
        <v>77</v>
      </c>
      <c r="F458" s="28" t="s">
        <v>77</v>
      </c>
      <c r="G458" s="28" t="s">
        <v>77</v>
      </c>
      <c r="I458" s="26" t="s">
        <v>77</v>
      </c>
      <c r="J458" s="26" t="s">
        <v>77</v>
      </c>
      <c r="K458" s="18"/>
      <c r="L458" s="26" t="s">
        <v>77</v>
      </c>
      <c r="M458" s="6" t="s">
        <v>77</v>
      </c>
      <c r="N458" s="28" t="s">
        <v>77</v>
      </c>
      <c r="O458" s="26" t="s">
        <v>77</v>
      </c>
    </row>
    <row r="459">
      <c r="A459" s="52" t="s">
        <v>77</v>
      </c>
      <c r="B459" s="28" t="s">
        <v>77</v>
      </c>
      <c r="C459" s="28" t="s">
        <v>77</v>
      </c>
      <c r="D459" s="28" t="s">
        <v>77</v>
      </c>
      <c r="E459" s="28" t="s">
        <v>77</v>
      </c>
      <c r="F459" s="28" t="s">
        <v>77</v>
      </c>
      <c r="G459" s="28" t="s">
        <v>77</v>
      </c>
      <c r="I459" s="26" t="s">
        <v>77</v>
      </c>
      <c r="J459" s="26" t="s">
        <v>77</v>
      </c>
      <c r="K459" s="18"/>
      <c r="L459" s="26" t="s">
        <v>77</v>
      </c>
      <c r="M459" s="6" t="s">
        <v>77</v>
      </c>
      <c r="N459" s="28" t="s">
        <v>77</v>
      </c>
      <c r="O459" s="26" t="s">
        <v>77</v>
      </c>
    </row>
    <row r="460">
      <c r="A460" s="52" t="s">
        <v>77</v>
      </c>
      <c r="B460" s="28" t="s">
        <v>77</v>
      </c>
      <c r="C460" s="28" t="s">
        <v>77</v>
      </c>
      <c r="D460" s="28" t="s">
        <v>77</v>
      </c>
      <c r="E460" s="28" t="s">
        <v>77</v>
      </c>
      <c r="F460" s="28" t="s">
        <v>77</v>
      </c>
      <c r="G460" s="28" t="s">
        <v>77</v>
      </c>
      <c r="I460" s="26" t="s">
        <v>77</v>
      </c>
      <c r="J460" s="26" t="s">
        <v>77</v>
      </c>
      <c r="K460" s="18"/>
      <c r="L460" s="26" t="s">
        <v>77</v>
      </c>
      <c r="M460" s="6" t="s">
        <v>77</v>
      </c>
      <c r="N460" s="28" t="s">
        <v>77</v>
      </c>
      <c r="O460" s="26" t="s">
        <v>77</v>
      </c>
    </row>
    <row r="461">
      <c r="A461" s="52" t="s">
        <v>77</v>
      </c>
      <c r="B461" s="28" t="s">
        <v>77</v>
      </c>
      <c r="C461" s="28" t="s">
        <v>77</v>
      </c>
      <c r="D461" s="28" t="s">
        <v>77</v>
      </c>
      <c r="E461" s="28" t="s">
        <v>77</v>
      </c>
      <c r="F461" s="28" t="s">
        <v>77</v>
      </c>
      <c r="G461" s="28" t="s">
        <v>77</v>
      </c>
      <c r="I461" s="26" t="s">
        <v>77</v>
      </c>
      <c r="J461" s="26" t="s">
        <v>77</v>
      </c>
      <c r="K461" s="18"/>
      <c r="L461" s="26" t="s">
        <v>77</v>
      </c>
      <c r="M461" s="6" t="s">
        <v>77</v>
      </c>
      <c r="N461" s="28" t="s">
        <v>77</v>
      </c>
      <c r="O461" s="26" t="s">
        <v>77</v>
      </c>
    </row>
    <row r="462">
      <c r="A462" s="52" t="s">
        <v>77</v>
      </c>
      <c r="B462" s="28" t="s">
        <v>77</v>
      </c>
      <c r="C462" s="28" t="s">
        <v>77</v>
      </c>
      <c r="D462" s="28" t="s">
        <v>77</v>
      </c>
      <c r="E462" s="28" t="s">
        <v>77</v>
      </c>
      <c r="F462" s="28" t="s">
        <v>77</v>
      </c>
      <c r="G462" s="28" t="s">
        <v>77</v>
      </c>
      <c r="I462" s="26" t="s">
        <v>77</v>
      </c>
      <c r="J462" s="26" t="s">
        <v>77</v>
      </c>
      <c r="K462" s="18"/>
      <c r="L462" s="26" t="s">
        <v>77</v>
      </c>
      <c r="M462" s="6" t="s">
        <v>77</v>
      </c>
      <c r="N462" s="28" t="s">
        <v>77</v>
      </c>
      <c r="O462" s="26" t="s">
        <v>77</v>
      </c>
    </row>
    <row r="463">
      <c r="A463" s="52" t="s">
        <v>77</v>
      </c>
      <c r="B463" s="28" t="s">
        <v>77</v>
      </c>
      <c r="C463" s="28" t="s">
        <v>77</v>
      </c>
      <c r="D463" s="28" t="s">
        <v>77</v>
      </c>
      <c r="E463" s="28" t="s">
        <v>77</v>
      </c>
      <c r="F463" s="28" t="s">
        <v>77</v>
      </c>
      <c r="G463" s="28" t="s">
        <v>77</v>
      </c>
      <c r="I463" s="26" t="s">
        <v>77</v>
      </c>
      <c r="J463" s="26" t="s">
        <v>77</v>
      </c>
      <c r="K463" s="18"/>
      <c r="L463" s="26" t="s">
        <v>77</v>
      </c>
      <c r="M463" s="6" t="s">
        <v>77</v>
      </c>
      <c r="N463" s="28" t="s">
        <v>77</v>
      </c>
      <c r="O463" s="26" t="s">
        <v>77</v>
      </c>
    </row>
    <row r="464">
      <c r="A464" s="52" t="s">
        <v>77</v>
      </c>
      <c r="B464" s="28" t="s">
        <v>77</v>
      </c>
      <c r="C464" s="28" t="s">
        <v>77</v>
      </c>
      <c r="D464" s="28" t="s">
        <v>77</v>
      </c>
      <c r="E464" s="28" t="s">
        <v>77</v>
      </c>
      <c r="F464" s="28" t="s">
        <v>77</v>
      </c>
      <c r="G464" s="28" t="s">
        <v>77</v>
      </c>
      <c r="I464" s="26" t="s">
        <v>77</v>
      </c>
      <c r="J464" s="26" t="s">
        <v>77</v>
      </c>
      <c r="K464" s="18"/>
      <c r="L464" s="26" t="s">
        <v>77</v>
      </c>
      <c r="M464" s="6" t="s">
        <v>77</v>
      </c>
      <c r="N464" s="28" t="s">
        <v>77</v>
      </c>
      <c r="O464" s="26" t="s">
        <v>77</v>
      </c>
    </row>
    <row r="465">
      <c r="A465" s="52" t="s">
        <v>77</v>
      </c>
      <c r="B465" s="28" t="s">
        <v>77</v>
      </c>
      <c r="C465" s="28" t="s">
        <v>77</v>
      </c>
      <c r="D465" s="28" t="s">
        <v>77</v>
      </c>
      <c r="E465" s="28" t="s">
        <v>77</v>
      </c>
      <c r="F465" s="28" t="s">
        <v>77</v>
      </c>
      <c r="G465" s="28" t="s">
        <v>77</v>
      </c>
      <c r="I465" s="26" t="s">
        <v>77</v>
      </c>
      <c r="J465" s="26" t="s">
        <v>77</v>
      </c>
      <c r="K465" s="18"/>
      <c r="L465" s="26" t="s">
        <v>77</v>
      </c>
      <c r="M465" s="6" t="s">
        <v>77</v>
      </c>
      <c r="N465" s="28" t="s">
        <v>77</v>
      </c>
      <c r="O465" s="26" t="s">
        <v>77</v>
      </c>
    </row>
    <row r="466">
      <c r="A466" s="52" t="s">
        <v>77</v>
      </c>
      <c r="B466" s="28" t="s">
        <v>77</v>
      </c>
      <c r="C466" s="28" t="s">
        <v>77</v>
      </c>
      <c r="D466" s="28" t="s">
        <v>77</v>
      </c>
      <c r="E466" s="28" t="s">
        <v>77</v>
      </c>
      <c r="F466" s="28" t="s">
        <v>77</v>
      </c>
      <c r="G466" s="28" t="s">
        <v>77</v>
      </c>
      <c r="I466" s="26" t="s">
        <v>77</v>
      </c>
      <c r="J466" s="26" t="s">
        <v>77</v>
      </c>
      <c r="K466" s="18"/>
      <c r="L466" s="26" t="s">
        <v>77</v>
      </c>
      <c r="M466" s="6" t="s">
        <v>77</v>
      </c>
      <c r="N466" s="28" t="s">
        <v>77</v>
      </c>
      <c r="O466" s="26" t="s">
        <v>77</v>
      </c>
    </row>
    <row r="467">
      <c r="A467" s="52" t="s">
        <v>77</v>
      </c>
      <c r="B467" s="28" t="s">
        <v>77</v>
      </c>
      <c r="C467" s="28" t="s">
        <v>77</v>
      </c>
      <c r="D467" s="28" t="s">
        <v>77</v>
      </c>
      <c r="E467" s="28" t="s">
        <v>77</v>
      </c>
      <c r="F467" s="28" t="s">
        <v>77</v>
      </c>
      <c r="G467" s="28" t="s">
        <v>77</v>
      </c>
      <c r="I467" s="26" t="s">
        <v>77</v>
      </c>
      <c r="J467" s="26" t="s">
        <v>77</v>
      </c>
      <c r="K467" s="18"/>
      <c r="L467" s="26" t="s">
        <v>77</v>
      </c>
      <c r="M467" s="6" t="s">
        <v>77</v>
      </c>
      <c r="N467" s="28" t="s">
        <v>77</v>
      </c>
      <c r="O467" s="26" t="s">
        <v>77</v>
      </c>
    </row>
    <row r="468">
      <c r="A468" s="52" t="s">
        <v>77</v>
      </c>
      <c r="B468" s="28" t="s">
        <v>77</v>
      </c>
      <c r="C468" s="28" t="s">
        <v>77</v>
      </c>
      <c r="D468" s="28" t="s">
        <v>77</v>
      </c>
      <c r="E468" s="28" t="s">
        <v>77</v>
      </c>
      <c r="F468" s="28" t="s">
        <v>77</v>
      </c>
      <c r="G468" s="28" t="s">
        <v>77</v>
      </c>
      <c r="I468" s="26" t="s">
        <v>77</v>
      </c>
      <c r="J468" s="26" t="s">
        <v>77</v>
      </c>
      <c r="K468" s="18"/>
      <c r="L468" s="26" t="s">
        <v>77</v>
      </c>
      <c r="M468" s="6" t="s">
        <v>77</v>
      </c>
      <c r="N468" s="28" t="s">
        <v>77</v>
      </c>
      <c r="O468" s="26" t="s">
        <v>77</v>
      </c>
    </row>
    <row r="469">
      <c r="A469" s="52" t="s">
        <v>77</v>
      </c>
      <c r="B469" s="28" t="s">
        <v>77</v>
      </c>
      <c r="C469" s="28" t="s">
        <v>77</v>
      </c>
      <c r="D469" s="28" t="s">
        <v>77</v>
      </c>
      <c r="E469" s="28" t="s">
        <v>77</v>
      </c>
      <c r="F469" s="28" t="s">
        <v>77</v>
      </c>
      <c r="G469" s="28" t="s">
        <v>77</v>
      </c>
      <c r="I469" s="26" t="s">
        <v>77</v>
      </c>
      <c r="J469" s="26" t="s">
        <v>77</v>
      </c>
      <c r="K469" s="18"/>
      <c r="L469" s="26" t="s">
        <v>77</v>
      </c>
      <c r="M469" s="6" t="s">
        <v>77</v>
      </c>
      <c r="N469" s="28" t="s">
        <v>77</v>
      </c>
      <c r="O469" s="26" t="s">
        <v>77</v>
      </c>
    </row>
    <row r="470">
      <c r="A470" s="52" t="s">
        <v>77</v>
      </c>
      <c r="B470" s="28" t="s">
        <v>77</v>
      </c>
      <c r="C470" s="28" t="s">
        <v>77</v>
      </c>
      <c r="D470" s="28" t="s">
        <v>77</v>
      </c>
      <c r="E470" s="28" t="s">
        <v>77</v>
      </c>
      <c r="F470" s="28" t="s">
        <v>77</v>
      </c>
      <c r="G470" s="28" t="s">
        <v>77</v>
      </c>
      <c r="I470" s="26" t="s">
        <v>77</v>
      </c>
      <c r="J470" s="26" t="s">
        <v>77</v>
      </c>
      <c r="K470" s="18"/>
      <c r="L470" s="26" t="s">
        <v>77</v>
      </c>
      <c r="M470" s="6" t="s">
        <v>77</v>
      </c>
      <c r="N470" s="28" t="s">
        <v>77</v>
      </c>
      <c r="O470" s="26" t="s">
        <v>77</v>
      </c>
    </row>
    <row r="471">
      <c r="A471" s="52" t="s">
        <v>77</v>
      </c>
      <c r="B471" s="28" t="s">
        <v>77</v>
      </c>
      <c r="C471" s="28" t="s">
        <v>77</v>
      </c>
      <c r="D471" s="28" t="s">
        <v>77</v>
      </c>
      <c r="E471" s="28" t="s">
        <v>77</v>
      </c>
      <c r="F471" s="28" t="s">
        <v>77</v>
      </c>
      <c r="G471" s="28" t="s">
        <v>77</v>
      </c>
      <c r="I471" s="26" t="s">
        <v>77</v>
      </c>
      <c r="J471" s="26" t="s">
        <v>77</v>
      </c>
      <c r="K471" s="18"/>
      <c r="L471" s="26" t="s">
        <v>77</v>
      </c>
      <c r="M471" s="6" t="s">
        <v>77</v>
      </c>
      <c r="N471" s="28" t="s">
        <v>77</v>
      </c>
      <c r="O471" s="26" t="s">
        <v>77</v>
      </c>
    </row>
    <row r="472">
      <c r="A472" s="52" t="s">
        <v>77</v>
      </c>
      <c r="B472" s="28" t="s">
        <v>77</v>
      </c>
      <c r="C472" s="28" t="s">
        <v>77</v>
      </c>
      <c r="D472" s="28" t="s">
        <v>77</v>
      </c>
      <c r="E472" s="28" t="s">
        <v>77</v>
      </c>
      <c r="F472" s="28" t="s">
        <v>77</v>
      </c>
      <c r="G472" s="28" t="s">
        <v>77</v>
      </c>
      <c r="I472" s="26" t="s">
        <v>77</v>
      </c>
      <c r="J472" s="26" t="s">
        <v>77</v>
      </c>
      <c r="K472" s="18"/>
      <c r="L472" s="26" t="s">
        <v>77</v>
      </c>
      <c r="M472" s="6" t="s">
        <v>77</v>
      </c>
      <c r="N472" s="28" t="s">
        <v>77</v>
      </c>
      <c r="O472" s="26" t="s">
        <v>77</v>
      </c>
    </row>
    <row r="473">
      <c r="A473" s="52" t="s">
        <v>77</v>
      </c>
      <c r="B473" s="28" t="s">
        <v>77</v>
      </c>
      <c r="C473" s="28" t="s">
        <v>77</v>
      </c>
      <c r="D473" s="28" t="s">
        <v>77</v>
      </c>
      <c r="E473" s="28" t="s">
        <v>77</v>
      </c>
      <c r="F473" s="28" t="s">
        <v>77</v>
      </c>
      <c r="G473" s="28" t="s">
        <v>77</v>
      </c>
      <c r="I473" s="26" t="s">
        <v>77</v>
      </c>
      <c r="J473" s="26" t="s">
        <v>77</v>
      </c>
      <c r="K473" s="18"/>
      <c r="L473" s="26" t="s">
        <v>77</v>
      </c>
      <c r="M473" s="6" t="s">
        <v>77</v>
      </c>
      <c r="N473" s="28" t="s">
        <v>77</v>
      </c>
      <c r="O473" s="26" t="s">
        <v>77</v>
      </c>
    </row>
    <row r="474">
      <c r="A474" s="52" t="s">
        <v>77</v>
      </c>
      <c r="B474" s="28" t="s">
        <v>77</v>
      </c>
      <c r="C474" s="28" t="s">
        <v>77</v>
      </c>
      <c r="D474" s="28" t="s">
        <v>77</v>
      </c>
      <c r="E474" s="28" t="s">
        <v>77</v>
      </c>
      <c r="F474" s="28" t="s">
        <v>77</v>
      </c>
      <c r="G474" s="28" t="s">
        <v>77</v>
      </c>
      <c r="I474" s="26" t="s">
        <v>77</v>
      </c>
      <c r="J474" s="26" t="s">
        <v>77</v>
      </c>
      <c r="K474" s="18"/>
      <c r="L474" s="26" t="s">
        <v>77</v>
      </c>
      <c r="M474" s="6" t="s">
        <v>77</v>
      </c>
      <c r="N474" s="28" t="s">
        <v>77</v>
      </c>
      <c r="O474" s="26" t="s">
        <v>77</v>
      </c>
    </row>
    <row r="475">
      <c r="A475" s="52" t="s">
        <v>77</v>
      </c>
      <c r="B475" s="28" t="s">
        <v>77</v>
      </c>
      <c r="C475" s="28" t="s">
        <v>77</v>
      </c>
      <c r="D475" s="28" t="s">
        <v>77</v>
      </c>
      <c r="E475" s="28" t="s">
        <v>77</v>
      </c>
      <c r="F475" s="28" t="s">
        <v>77</v>
      </c>
      <c r="G475" s="28" t="s">
        <v>77</v>
      </c>
      <c r="I475" s="26" t="s">
        <v>77</v>
      </c>
      <c r="J475" s="26" t="s">
        <v>77</v>
      </c>
      <c r="K475" s="18"/>
      <c r="L475" s="26" t="s">
        <v>77</v>
      </c>
      <c r="M475" s="6" t="s">
        <v>77</v>
      </c>
      <c r="N475" s="28" t="s">
        <v>77</v>
      </c>
      <c r="O475" s="26" t="s">
        <v>77</v>
      </c>
    </row>
    <row r="476">
      <c r="A476" s="52" t="s">
        <v>77</v>
      </c>
      <c r="B476" s="28" t="s">
        <v>77</v>
      </c>
      <c r="C476" s="28" t="s">
        <v>77</v>
      </c>
      <c r="D476" s="28" t="s">
        <v>77</v>
      </c>
      <c r="E476" s="28" t="s">
        <v>77</v>
      </c>
      <c r="F476" s="28" t="s">
        <v>77</v>
      </c>
      <c r="G476" s="28" t="s">
        <v>77</v>
      </c>
      <c r="I476" s="26" t="s">
        <v>77</v>
      </c>
      <c r="J476" s="26" t="s">
        <v>77</v>
      </c>
      <c r="K476" s="18"/>
      <c r="L476" s="26" t="s">
        <v>77</v>
      </c>
      <c r="M476" s="6" t="s">
        <v>77</v>
      </c>
      <c r="N476" s="28" t="s">
        <v>77</v>
      </c>
      <c r="O476" s="26" t="s">
        <v>77</v>
      </c>
    </row>
    <row r="477">
      <c r="A477" s="52" t="s">
        <v>77</v>
      </c>
      <c r="B477" s="28" t="s">
        <v>77</v>
      </c>
      <c r="C477" s="28" t="s">
        <v>77</v>
      </c>
      <c r="D477" s="28" t="s">
        <v>77</v>
      </c>
      <c r="E477" s="28" t="s">
        <v>77</v>
      </c>
      <c r="F477" s="28" t="s">
        <v>77</v>
      </c>
      <c r="G477" s="28" t="s">
        <v>77</v>
      </c>
      <c r="I477" s="26" t="s">
        <v>77</v>
      </c>
      <c r="J477" s="26" t="s">
        <v>77</v>
      </c>
      <c r="K477" s="18"/>
      <c r="L477" s="26" t="s">
        <v>77</v>
      </c>
      <c r="M477" s="6" t="s">
        <v>77</v>
      </c>
      <c r="N477" s="28" t="s">
        <v>77</v>
      </c>
      <c r="O477" s="26" t="s">
        <v>77</v>
      </c>
    </row>
    <row r="478">
      <c r="A478" s="52" t="s">
        <v>77</v>
      </c>
      <c r="B478" s="28" t="s">
        <v>77</v>
      </c>
      <c r="C478" s="28" t="s">
        <v>77</v>
      </c>
      <c r="D478" s="28" t="s">
        <v>77</v>
      </c>
      <c r="E478" s="28" t="s">
        <v>77</v>
      </c>
      <c r="F478" s="28" t="s">
        <v>77</v>
      </c>
      <c r="G478" s="28" t="s">
        <v>77</v>
      </c>
      <c r="I478" s="26" t="s">
        <v>77</v>
      </c>
      <c r="J478" s="26" t="s">
        <v>77</v>
      </c>
      <c r="K478" s="18"/>
      <c r="L478" s="26" t="s">
        <v>77</v>
      </c>
      <c r="M478" s="6" t="s">
        <v>77</v>
      </c>
      <c r="N478" s="28" t="s">
        <v>77</v>
      </c>
      <c r="O478" s="26" t="s">
        <v>77</v>
      </c>
    </row>
    <row r="479">
      <c r="A479" s="52" t="s">
        <v>77</v>
      </c>
      <c r="B479" s="28" t="s">
        <v>77</v>
      </c>
      <c r="C479" s="28" t="s">
        <v>77</v>
      </c>
      <c r="D479" s="28" t="s">
        <v>77</v>
      </c>
      <c r="E479" s="28" t="s">
        <v>77</v>
      </c>
      <c r="F479" s="28" t="s">
        <v>77</v>
      </c>
      <c r="G479" s="28" t="s">
        <v>77</v>
      </c>
      <c r="I479" s="26" t="s">
        <v>77</v>
      </c>
      <c r="J479" s="26" t="s">
        <v>77</v>
      </c>
      <c r="K479" s="18"/>
      <c r="L479" s="26" t="s">
        <v>77</v>
      </c>
      <c r="M479" s="6" t="s">
        <v>77</v>
      </c>
      <c r="N479" s="28" t="s">
        <v>77</v>
      </c>
      <c r="O479" s="26" t="s">
        <v>77</v>
      </c>
    </row>
    <row r="480">
      <c r="A480" s="52" t="s">
        <v>77</v>
      </c>
      <c r="B480" s="28" t="s">
        <v>77</v>
      </c>
      <c r="C480" s="28" t="s">
        <v>77</v>
      </c>
      <c r="D480" s="28" t="s">
        <v>77</v>
      </c>
      <c r="E480" s="28" t="s">
        <v>77</v>
      </c>
      <c r="F480" s="28" t="s">
        <v>77</v>
      </c>
      <c r="G480" s="28" t="s">
        <v>77</v>
      </c>
      <c r="I480" s="26" t="s">
        <v>77</v>
      </c>
      <c r="J480" s="26" t="s">
        <v>77</v>
      </c>
      <c r="K480" s="18"/>
      <c r="L480" s="26" t="s">
        <v>77</v>
      </c>
      <c r="M480" s="6" t="s">
        <v>77</v>
      </c>
      <c r="N480" s="28" t="s">
        <v>77</v>
      </c>
      <c r="O480" s="26" t="s">
        <v>77</v>
      </c>
    </row>
    <row r="481">
      <c r="A481" s="52" t="s">
        <v>77</v>
      </c>
      <c r="B481" s="28" t="s">
        <v>77</v>
      </c>
      <c r="C481" s="28" t="s">
        <v>77</v>
      </c>
      <c r="D481" s="28" t="s">
        <v>77</v>
      </c>
      <c r="E481" s="28" t="s">
        <v>77</v>
      </c>
      <c r="F481" s="28" t="s">
        <v>77</v>
      </c>
      <c r="G481" s="28" t="s">
        <v>77</v>
      </c>
      <c r="I481" s="26" t="s">
        <v>77</v>
      </c>
      <c r="J481" s="26" t="s">
        <v>77</v>
      </c>
      <c r="K481" s="18"/>
      <c r="L481" s="26" t="s">
        <v>77</v>
      </c>
      <c r="M481" s="6" t="s">
        <v>77</v>
      </c>
      <c r="N481" s="28" t="s">
        <v>77</v>
      </c>
      <c r="O481" s="26" t="s">
        <v>77</v>
      </c>
    </row>
    <row r="482">
      <c r="A482" s="52" t="s">
        <v>77</v>
      </c>
      <c r="B482" s="28" t="s">
        <v>77</v>
      </c>
      <c r="C482" s="28" t="s">
        <v>77</v>
      </c>
      <c r="D482" s="28" t="s">
        <v>77</v>
      </c>
      <c r="E482" s="28" t="s">
        <v>77</v>
      </c>
      <c r="F482" s="28" t="s">
        <v>77</v>
      </c>
      <c r="G482" s="28" t="s">
        <v>77</v>
      </c>
      <c r="I482" s="26" t="s">
        <v>77</v>
      </c>
      <c r="J482" s="26" t="s">
        <v>77</v>
      </c>
      <c r="K482" s="18"/>
      <c r="L482" s="26" t="s">
        <v>77</v>
      </c>
      <c r="M482" s="6" t="s">
        <v>77</v>
      </c>
      <c r="N482" s="28" t="s">
        <v>77</v>
      </c>
      <c r="O482" s="26" t="s">
        <v>77</v>
      </c>
    </row>
    <row r="483">
      <c r="A483" s="52" t="s">
        <v>77</v>
      </c>
      <c r="B483" s="28" t="s">
        <v>77</v>
      </c>
      <c r="C483" s="28" t="s">
        <v>77</v>
      </c>
      <c r="D483" s="28" t="s">
        <v>77</v>
      </c>
      <c r="E483" s="28" t="s">
        <v>77</v>
      </c>
      <c r="F483" s="28" t="s">
        <v>77</v>
      </c>
      <c r="G483" s="28" t="s">
        <v>77</v>
      </c>
      <c r="I483" s="26" t="s">
        <v>77</v>
      </c>
      <c r="J483" s="26" t="s">
        <v>77</v>
      </c>
      <c r="K483" s="18"/>
      <c r="L483" s="26" t="s">
        <v>77</v>
      </c>
      <c r="M483" s="6" t="s">
        <v>77</v>
      </c>
      <c r="N483" s="28" t="s">
        <v>77</v>
      </c>
      <c r="O483" s="26" t="s">
        <v>77</v>
      </c>
    </row>
    <row r="484">
      <c r="A484" s="52" t="s">
        <v>77</v>
      </c>
      <c r="B484" s="28" t="s">
        <v>77</v>
      </c>
      <c r="C484" s="28" t="s">
        <v>77</v>
      </c>
      <c r="D484" s="28" t="s">
        <v>77</v>
      </c>
      <c r="E484" s="28" t="s">
        <v>77</v>
      </c>
      <c r="F484" s="28" t="s">
        <v>77</v>
      </c>
      <c r="G484" s="28" t="s">
        <v>77</v>
      </c>
      <c r="I484" s="26" t="s">
        <v>77</v>
      </c>
      <c r="J484" s="26" t="s">
        <v>77</v>
      </c>
      <c r="K484" s="18"/>
      <c r="L484" s="26" t="s">
        <v>77</v>
      </c>
      <c r="M484" s="6" t="s">
        <v>77</v>
      </c>
      <c r="N484" s="28" t="s">
        <v>77</v>
      </c>
      <c r="O484" s="26" t="s">
        <v>77</v>
      </c>
    </row>
    <row r="485">
      <c r="A485" s="52" t="s">
        <v>77</v>
      </c>
      <c r="B485" s="28" t="s">
        <v>77</v>
      </c>
      <c r="C485" s="28" t="s">
        <v>77</v>
      </c>
      <c r="D485" s="28" t="s">
        <v>77</v>
      </c>
      <c r="E485" s="28" t="s">
        <v>77</v>
      </c>
      <c r="F485" s="28" t="s">
        <v>77</v>
      </c>
      <c r="G485" s="28" t="s">
        <v>77</v>
      </c>
      <c r="I485" s="26" t="s">
        <v>77</v>
      </c>
      <c r="J485" s="26" t="s">
        <v>77</v>
      </c>
      <c r="K485" s="18"/>
      <c r="L485" s="26" t="s">
        <v>77</v>
      </c>
      <c r="M485" s="6" t="s">
        <v>77</v>
      </c>
      <c r="N485" s="28" t="s">
        <v>77</v>
      </c>
      <c r="O485" s="26" t="s">
        <v>77</v>
      </c>
    </row>
    <row r="486">
      <c r="A486" s="52" t="s">
        <v>77</v>
      </c>
      <c r="B486" s="28" t="s">
        <v>77</v>
      </c>
      <c r="C486" s="28" t="s">
        <v>77</v>
      </c>
      <c r="D486" s="28" t="s">
        <v>77</v>
      </c>
      <c r="E486" s="28" t="s">
        <v>77</v>
      </c>
      <c r="F486" s="28" t="s">
        <v>77</v>
      </c>
      <c r="G486" s="28" t="s">
        <v>77</v>
      </c>
      <c r="I486" s="26" t="s">
        <v>77</v>
      </c>
      <c r="J486" s="26" t="s">
        <v>77</v>
      </c>
      <c r="K486" s="18"/>
      <c r="L486" s="26" t="s">
        <v>77</v>
      </c>
      <c r="M486" s="6" t="s">
        <v>77</v>
      </c>
      <c r="N486" s="28" t="s">
        <v>77</v>
      </c>
      <c r="O486" s="26" t="s">
        <v>77</v>
      </c>
    </row>
    <row r="487">
      <c r="A487" s="52" t="s">
        <v>77</v>
      </c>
      <c r="B487" s="28" t="s">
        <v>77</v>
      </c>
      <c r="C487" s="28" t="s">
        <v>77</v>
      </c>
      <c r="D487" s="28" t="s">
        <v>77</v>
      </c>
      <c r="E487" s="28" t="s">
        <v>77</v>
      </c>
      <c r="F487" s="28" t="s">
        <v>77</v>
      </c>
      <c r="G487" s="28" t="s">
        <v>77</v>
      </c>
      <c r="I487" s="26" t="s">
        <v>77</v>
      </c>
      <c r="J487" s="26" t="s">
        <v>77</v>
      </c>
      <c r="K487" s="18"/>
      <c r="L487" s="26" t="s">
        <v>77</v>
      </c>
      <c r="M487" s="6" t="s">
        <v>77</v>
      </c>
      <c r="N487" s="28" t="s">
        <v>77</v>
      </c>
      <c r="O487" s="26" t="s">
        <v>77</v>
      </c>
    </row>
    <row r="488">
      <c r="A488" s="52" t="s">
        <v>77</v>
      </c>
      <c r="B488" s="28" t="s">
        <v>77</v>
      </c>
      <c r="C488" s="28" t="s">
        <v>77</v>
      </c>
      <c r="D488" s="28" t="s">
        <v>77</v>
      </c>
      <c r="E488" s="28" t="s">
        <v>77</v>
      </c>
      <c r="F488" s="28" t="s">
        <v>77</v>
      </c>
      <c r="G488" s="28" t="s">
        <v>77</v>
      </c>
      <c r="I488" s="26" t="s">
        <v>77</v>
      </c>
      <c r="J488" s="26" t="s">
        <v>77</v>
      </c>
      <c r="K488" s="18"/>
      <c r="L488" s="26" t="s">
        <v>77</v>
      </c>
      <c r="M488" s="6" t="s">
        <v>77</v>
      </c>
      <c r="N488" s="28" t="s">
        <v>77</v>
      </c>
      <c r="O488" s="26" t="s">
        <v>77</v>
      </c>
    </row>
    <row r="489">
      <c r="A489" s="52" t="s">
        <v>77</v>
      </c>
      <c r="B489" s="28" t="s">
        <v>77</v>
      </c>
      <c r="C489" s="28" t="s">
        <v>77</v>
      </c>
      <c r="D489" s="28" t="s">
        <v>77</v>
      </c>
      <c r="E489" s="28" t="s">
        <v>77</v>
      </c>
      <c r="F489" s="28" t="s">
        <v>77</v>
      </c>
      <c r="G489" s="28" t="s">
        <v>77</v>
      </c>
      <c r="I489" s="26" t="s">
        <v>77</v>
      </c>
      <c r="J489" s="26" t="s">
        <v>77</v>
      </c>
      <c r="K489" s="18"/>
      <c r="L489" s="26" t="s">
        <v>77</v>
      </c>
      <c r="M489" s="6" t="s">
        <v>77</v>
      </c>
      <c r="N489" s="28" t="s">
        <v>77</v>
      </c>
      <c r="O489" s="26" t="s">
        <v>77</v>
      </c>
    </row>
    <row r="490">
      <c r="A490" s="52" t="s">
        <v>77</v>
      </c>
      <c r="B490" s="28" t="s">
        <v>77</v>
      </c>
      <c r="C490" s="28" t="s">
        <v>77</v>
      </c>
      <c r="D490" s="28" t="s">
        <v>77</v>
      </c>
      <c r="E490" s="28" t="s">
        <v>77</v>
      </c>
      <c r="F490" s="28" t="s">
        <v>77</v>
      </c>
      <c r="G490" s="28" t="s">
        <v>77</v>
      </c>
      <c r="I490" s="26" t="s">
        <v>77</v>
      </c>
      <c r="J490" s="26" t="s">
        <v>77</v>
      </c>
      <c r="K490" s="18"/>
      <c r="L490" s="26" t="s">
        <v>77</v>
      </c>
      <c r="M490" s="6" t="s">
        <v>77</v>
      </c>
      <c r="N490" s="28" t="s">
        <v>77</v>
      </c>
      <c r="O490" s="26" t="s">
        <v>77</v>
      </c>
    </row>
    <row r="491">
      <c r="A491" s="52" t="s">
        <v>77</v>
      </c>
      <c r="B491" s="28" t="s">
        <v>77</v>
      </c>
      <c r="C491" s="28" t="s">
        <v>77</v>
      </c>
      <c r="D491" s="28" t="s">
        <v>77</v>
      </c>
      <c r="E491" s="28" t="s">
        <v>77</v>
      </c>
      <c r="F491" s="28" t="s">
        <v>77</v>
      </c>
      <c r="G491" s="28" t="s">
        <v>77</v>
      </c>
      <c r="I491" s="26" t="s">
        <v>77</v>
      </c>
      <c r="J491" s="26" t="s">
        <v>77</v>
      </c>
      <c r="K491" s="18"/>
      <c r="L491" s="26" t="s">
        <v>77</v>
      </c>
      <c r="M491" s="6" t="s">
        <v>77</v>
      </c>
      <c r="N491" s="28" t="s">
        <v>77</v>
      </c>
      <c r="O491" s="26" t="s">
        <v>77</v>
      </c>
    </row>
    <row r="492">
      <c r="A492" s="52" t="s">
        <v>77</v>
      </c>
      <c r="B492" s="28" t="s">
        <v>77</v>
      </c>
      <c r="C492" s="28" t="s">
        <v>77</v>
      </c>
      <c r="D492" s="28" t="s">
        <v>77</v>
      </c>
      <c r="E492" s="28" t="s">
        <v>77</v>
      </c>
      <c r="F492" s="28" t="s">
        <v>77</v>
      </c>
      <c r="G492" s="28" t="s">
        <v>77</v>
      </c>
      <c r="I492" s="26" t="s">
        <v>77</v>
      </c>
      <c r="J492" s="26" t="s">
        <v>77</v>
      </c>
      <c r="K492" s="18"/>
      <c r="L492" s="26" t="s">
        <v>77</v>
      </c>
      <c r="M492" s="6" t="s">
        <v>77</v>
      </c>
      <c r="N492" s="28" t="s">
        <v>77</v>
      </c>
      <c r="O492" s="26" t="s">
        <v>77</v>
      </c>
    </row>
    <row r="493">
      <c r="A493" s="52" t="s">
        <v>77</v>
      </c>
      <c r="B493" s="28" t="s">
        <v>77</v>
      </c>
      <c r="C493" s="28" t="s">
        <v>77</v>
      </c>
      <c r="D493" s="28" t="s">
        <v>77</v>
      </c>
      <c r="E493" s="28" t="s">
        <v>77</v>
      </c>
      <c r="F493" s="28" t="s">
        <v>77</v>
      </c>
      <c r="G493" s="28" t="s">
        <v>77</v>
      </c>
      <c r="I493" s="26" t="s">
        <v>77</v>
      </c>
      <c r="J493" s="26" t="s">
        <v>77</v>
      </c>
      <c r="K493" s="18"/>
      <c r="L493" s="26" t="s">
        <v>77</v>
      </c>
      <c r="M493" s="6" t="s">
        <v>77</v>
      </c>
      <c r="N493" s="28" t="s">
        <v>77</v>
      </c>
      <c r="O493" s="26" t="s">
        <v>77</v>
      </c>
    </row>
    <row r="494">
      <c r="A494" s="52" t="s">
        <v>77</v>
      </c>
      <c r="B494" s="28" t="s">
        <v>77</v>
      </c>
      <c r="C494" s="28" t="s">
        <v>77</v>
      </c>
      <c r="D494" s="28" t="s">
        <v>77</v>
      </c>
      <c r="E494" s="28" t="s">
        <v>77</v>
      </c>
      <c r="F494" s="28" t="s">
        <v>77</v>
      </c>
      <c r="G494" s="28" t="s">
        <v>77</v>
      </c>
      <c r="I494" s="26" t="s">
        <v>77</v>
      </c>
      <c r="J494" s="26" t="s">
        <v>77</v>
      </c>
      <c r="K494" s="18"/>
      <c r="L494" s="26" t="s">
        <v>77</v>
      </c>
      <c r="M494" s="6" t="s">
        <v>77</v>
      </c>
      <c r="N494" s="28" t="s">
        <v>77</v>
      </c>
      <c r="O494" s="26" t="s">
        <v>77</v>
      </c>
    </row>
    <row r="495">
      <c r="A495" s="52" t="s">
        <v>77</v>
      </c>
      <c r="B495" s="28" t="s">
        <v>77</v>
      </c>
      <c r="C495" s="28" t="s">
        <v>77</v>
      </c>
      <c r="D495" s="28" t="s">
        <v>77</v>
      </c>
      <c r="E495" s="28" t="s">
        <v>77</v>
      </c>
      <c r="F495" s="28" t="s">
        <v>77</v>
      </c>
      <c r="G495" s="28" t="s">
        <v>77</v>
      </c>
      <c r="I495" s="26" t="s">
        <v>77</v>
      </c>
      <c r="J495" s="26" t="s">
        <v>77</v>
      </c>
      <c r="K495" s="18"/>
      <c r="L495" s="26" t="s">
        <v>77</v>
      </c>
      <c r="M495" s="6" t="s">
        <v>77</v>
      </c>
      <c r="N495" s="28" t="s">
        <v>77</v>
      </c>
      <c r="O495" s="26" t="s">
        <v>77</v>
      </c>
    </row>
    <row r="496">
      <c r="A496" s="52" t="s">
        <v>77</v>
      </c>
      <c r="B496" s="28" t="s">
        <v>77</v>
      </c>
      <c r="C496" s="28" t="s">
        <v>77</v>
      </c>
      <c r="D496" s="28" t="s">
        <v>77</v>
      </c>
      <c r="E496" s="28" t="s">
        <v>77</v>
      </c>
      <c r="F496" s="28" t="s">
        <v>77</v>
      </c>
      <c r="G496" s="28" t="s">
        <v>77</v>
      </c>
      <c r="I496" s="26" t="s">
        <v>77</v>
      </c>
      <c r="J496" s="26" t="s">
        <v>77</v>
      </c>
      <c r="K496" s="18"/>
      <c r="L496" s="26" t="s">
        <v>77</v>
      </c>
      <c r="M496" s="6" t="s">
        <v>77</v>
      </c>
      <c r="N496" s="28" t="s">
        <v>77</v>
      </c>
      <c r="O496" s="26" t="s">
        <v>77</v>
      </c>
    </row>
    <row r="497">
      <c r="A497" s="52" t="s">
        <v>77</v>
      </c>
      <c r="B497" s="28" t="s">
        <v>77</v>
      </c>
      <c r="C497" s="28" t="s">
        <v>77</v>
      </c>
      <c r="D497" s="28" t="s">
        <v>77</v>
      </c>
      <c r="E497" s="28" t="s">
        <v>77</v>
      </c>
      <c r="F497" s="28" t="s">
        <v>77</v>
      </c>
      <c r="G497" s="28" t="s">
        <v>77</v>
      </c>
      <c r="I497" s="26" t="s">
        <v>77</v>
      </c>
      <c r="J497" s="26" t="s">
        <v>77</v>
      </c>
      <c r="K497" s="18"/>
      <c r="L497" s="26" t="s">
        <v>77</v>
      </c>
      <c r="M497" s="6" t="s">
        <v>77</v>
      </c>
      <c r="N497" s="28" t="s">
        <v>77</v>
      </c>
      <c r="O497" s="26" t="s">
        <v>77</v>
      </c>
    </row>
    <row r="498">
      <c r="A498" s="52" t="s">
        <v>77</v>
      </c>
      <c r="B498" s="28" t="s">
        <v>77</v>
      </c>
      <c r="C498" s="28" t="s">
        <v>77</v>
      </c>
      <c r="D498" s="28" t="s">
        <v>77</v>
      </c>
      <c r="E498" s="28" t="s">
        <v>77</v>
      </c>
      <c r="F498" s="28" t="s">
        <v>77</v>
      </c>
      <c r="G498" s="28" t="s">
        <v>77</v>
      </c>
      <c r="I498" s="26" t="s">
        <v>77</v>
      </c>
      <c r="J498" s="26" t="s">
        <v>77</v>
      </c>
      <c r="K498" s="18"/>
      <c r="L498" s="26" t="s">
        <v>77</v>
      </c>
      <c r="M498" s="6" t="s">
        <v>77</v>
      </c>
      <c r="N498" s="28" t="s">
        <v>77</v>
      </c>
      <c r="O498" s="26" t="s">
        <v>77</v>
      </c>
    </row>
    <row r="499">
      <c r="A499" s="52" t="s">
        <v>77</v>
      </c>
      <c r="B499" s="28" t="s">
        <v>77</v>
      </c>
      <c r="C499" s="28" t="s">
        <v>77</v>
      </c>
      <c r="D499" s="28" t="s">
        <v>77</v>
      </c>
      <c r="E499" s="28" t="s">
        <v>77</v>
      </c>
      <c r="F499" s="28" t="s">
        <v>77</v>
      </c>
      <c r="G499" s="28" t="s">
        <v>77</v>
      </c>
      <c r="I499" s="26" t="s">
        <v>77</v>
      </c>
      <c r="J499" s="26" t="s">
        <v>77</v>
      </c>
      <c r="K499" s="18"/>
      <c r="L499" s="26" t="s">
        <v>77</v>
      </c>
      <c r="M499" s="6" t="s">
        <v>77</v>
      </c>
      <c r="N499" s="28" t="s">
        <v>77</v>
      </c>
      <c r="O499" s="26" t="s">
        <v>77</v>
      </c>
    </row>
    <row r="500">
      <c r="A500" s="52" t="s">
        <v>77</v>
      </c>
      <c r="B500" s="28" t="s">
        <v>77</v>
      </c>
      <c r="C500" s="28" t="s">
        <v>77</v>
      </c>
      <c r="D500" s="28" t="s">
        <v>77</v>
      </c>
      <c r="E500" s="28" t="s">
        <v>77</v>
      </c>
      <c r="F500" s="28" t="s">
        <v>77</v>
      </c>
      <c r="G500" s="28" t="s">
        <v>77</v>
      </c>
      <c r="I500" s="26" t="s">
        <v>77</v>
      </c>
      <c r="J500" s="26" t="s">
        <v>77</v>
      </c>
      <c r="K500" s="18"/>
      <c r="L500" s="26" t="s">
        <v>77</v>
      </c>
      <c r="M500" s="6" t="s">
        <v>77</v>
      </c>
      <c r="N500" s="28" t="s">
        <v>77</v>
      </c>
      <c r="O500" s="26" t="s">
        <v>77</v>
      </c>
    </row>
    <row r="501">
      <c r="A501" s="52" t="s">
        <v>77</v>
      </c>
      <c r="B501" s="28" t="s">
        <v>77</v>
      </c>
      <c r="C501" s="28" t="s">
        <v>77</v>
      </c>
      <c r="D501" s="28" t="s">
        <v>77</v>
      </c>
      <c r="E501" s="28" t="s">
        <v>77</v>
      </c>
      <c r="F501" s="28" t="s">
        <v>77</v>
      </c>
      <c r="G501" s="28" t="s">
        <v>77</v>
      </c>
      <c r="I501" s="26" t="s">
        <v>77</v>
      </c>
      <c r="J501" s="26" t="s">
        <v>77</v>
      </c>
      <c r="K501" s="18"/>
      <c r="L501" s="26" t="s">
        <v>77</v>
      </c>
      <c r="M501" s="6" t="s">
        <v>77</v>
      </c>
      <c r="N501" s="28" t="s">
        <v>77</v>
      </c>
      <c r="O501" s="26" t="s">
        <v>77</v>
      </c>
    </row>
    <row r="502">
      <c r="A502" s="52" t="s">
        <v>77</v>
      </c>
      <c r="B502" s="28" t="s">
        <v>77</v>
      </c>
      <c r="C502" s="28" t="s">
        <v>77</v>
      </c>
      <c r="D502" s="28" t="s">
        <v>77</v>
      </c>
      <c r="E502" s="28" t="s">
        <v>77</v>
      </c>
      <c r="F502" s="28" t="s">
        <v>77</v>
      </c>
      <c r="G502" s="28" t="s">
        <v>77</v>
      </c>
      <c r="I502" s="26" t="s">
        <v>77</v>
      </c>
      <c r="J502" s="26" t="s">
        <v>77</v>
      </c>
      <c r="K502" s="18"/>
      <c r="L502" s="26" t="s">
        <v>77</v>
      </c>
      <c r="M502" s="6" t="s">
        <v>77</v>
      </c>
      <c r="N502" s="28" t="s">
        <v>77</v>
      </c>
      <c r="O502" s="26" t="s">
        <v>77</v>
      </c>
    </row>
    <row r="503">
      <c r="A503" s="52" t="s">
        <v>77</v>
      </c>
      <c r="B503" s="28" t="s">
        <v>77</v>
      </c>
      <c r="C503" s="28" t="s">
        <v>77</v>
      </c>
      <c r="D503" s="28" t="s">
        <v>77</v>
      </c>
      <c r="E503" s="28" t="s">
        <v>77</v>
      </c>
      <c r="F503" s="28" t="s">
        <v>77</v>
      </c>
      <c r="G503" s="28" t="s">
        <v>77</v>
      </c>
      <c r="I503" s="26" t="s">
        <v>77</v>
      </c>
      <c r="J503" s="26" t="s">
        <v>77</v>
      </c>
      <c r="K503" s="18"/>
      <c r="L503" s="26" t="s">
        <v>77</v>
      </c>
      <c r="M503" s="6" t="s">
        <v>77</v>
      </c>
      <c r="N503" s="28" t="s">
        <v>77</v>
      </c>
      <c r="O503" s="26" t="s">
        <v>77</v>
      </c>
    </row>
    <row r="504">
      <c r="A504" s="52" t="s">
        <v>77</v>
      </c>
      <c r="B504" s="28" t="s">
        <v>77</v>
      </c>
      <c r="C504" s="28" t="s">
        <v>77</v>
      </c>
      <c r="D504" s="28" t="s">
        <v>77</v>
      </c>
      <c r="E504" s="28" t="s">
        <v>77</v>
      </c>
      <c r="F504" s="28" t="s">
        <v>77</v>
      </c>
      <c r="G504" s="28" t="s">
        <v>77</v>
      </c>
      <c r="I504" s="26" t="s">
        <v>77</v>
      </c>
      <c r="J504" s="26" t="s">
        <v>77</v>
      </c>
      <c r="K504" s="18"/>
      <c r="L504" s="26" t="s">
        <v>77</v>
      </c>
      <c r="M504" s="6" t="s">
        <v>77</v>
      </c>
      <c r="N504" s="28" t="s">
        <v>77</v>
      </c>
      <c r="O504" s="26" t="s">
        <v>77</v>
      </c>
    </row>
    <row r="505">
      <c r="A505" s="52" t="s">
        <v>77</v>
      </c>
      <c r="B505" s="28" t="s">
        <v>77</v>
      </c>
      <c r="C505" s="28" t="s">
        <v>77</v>
      </c>
      <c r="D505" s="28" t="s">
        <v>77</v>
      </c>
      <c r="E505" s="28" t="s">
        <v>77</v>
      </c>
      <c r="F505" s="28" t="s">
        <v>77</v>
      </c>
      <c r="G505" s="28" t="s">
        <v>77</v>
      </c>
      <c r="I505" s="26" t="s">
        <v>77</v>
      </c>
      <c r="J505" s="26" t="s">
        <v>77</v>
      </c>
      <c r="K505" s="18"/>
      <c r="L505" s="26" t="s">
        <v>77</v>
      </c>
      <c r="M505" s="6" t="s">
        <v>77</v>
      </c>
      <c r="N505" s="28" t="s">
        <v>77</v>
      </c>
      <c r="O505" s="26" t="s">
        <v>77</v>
      </c>
    </row>
    <row r="506">
      <c r="A506" s="52" t="s">
        <v>77</v>
      </c>
      <c r="B506" s="28" t="s">
        <v>77</v>
      </c>
      <c r="C506" s="28" t="s">
        <v>77</v>
      </c>
      <c r="D506" s="28" t="s">
        <v>77</v>
      </c>
      <c r="E506" s="28" t="s">
        <v>77</v>
      </c>
      <c r="F506" s="28" t="s">
        <v>77</v>
      </c>
      <c r="G506" s="28" t="s">
        <v>77</v>
      </c>
      <c r="I506" s="26" t="s">
        <v>77</v>
      </c>
      <c r="J506" s="26" t="s">
        <v>77</v>
      </c>
      <c r="K506" s="18"/>
      <c r="L506" s="26" t="s">
        <v>77</v>
      </c>
      <c r="M506" s="6" t="s">
        <v>77</v>
      </c>
      <c r="N506" s="28" t="s">
        <v>77</v>
      </c>
      <c r="O506" s="26" t="s">
        <v>77</v>
      </c>
    </row>
    <row r="507">
      <c r="A507" s="52" t="s">
        <v>77</v>
      </c>
      <c r="B507" s="28" t="s">
        <v>77</v>
      </c>
      <c r="C507" s="28" t="s">
        <v>77</v>
      </c>
      <c r="D507" s="28" t="s">
        <v>77</v>
      </c>
      <c r="E507" s="28" t="s">
        <v>77</v>
      </c>
      <c r="F507" s="28" t="s">
        <v>77</v>
      </c>
      <c r="G507" s="28" t="s">
        <v>77</v>
      </c>
      <c r="I507" s="26" t="s">
        <v>77</v>
      </c>
      <c r="J507" s="26" t="s">
        <v>77</v>
      </c>
      <c r="K507" s="18"/>
      <c r="L507" s="26" t="s">
        <v>77</v>
      </c>
      <c r="M507" s="6" t="s">
        <v>77</v>
      </c>
      <c r="N507" s="28" t="s">
        <v>77</v>
      </c>
      <c r="O507" s="26" t="s">
        <v>77</v>
      </c>
    </row>
    <row r="508">
      <c r="A508" s="52" t="s">
        <v>77</v>
      </c>
      <c r="B508" s="28" t="s">
        <v>77</v>
      </c>
      <c r="C508" s="28" t="s">
        <v>77</v>
      </c>
      <c r="D508" s="28" t="s">
        <v>77</v>
      </c>
      <c r="E508" s="28" t="s">
        <v>77</v>
      </c>
      <c r="F508" s="28" t="s">
        <v>77</v>
      </c>
      <c r="G508" s="28" t="s">
        <v>77</v>
      </c>
      <c r="I508" s="26" t="s">
        <v>77</v>
      </c>
      <c r="J508" s="26" t="s">
        <v>77</v>
      </c>
      <c r="K508" s="18"/>
      <c r="L508" s="26" t="s">
        <v>77</v>
      </c>
      <c r="M508" s="6" t="s">
        <v>77</v>
      </c>
      <c r="N508" s="28" t="s">
        <v>77</v>
      </c>
      <c r="O508" s="26" t="s">
        <v>77</v>
      </c>
    </row>
    <row r="509">
      <c r="A509" s="52" t="s">
        <v>77</v>
      </c>
      <c r="B509" s="28" t="s">
        <v>77</v>
      </c>
      <c r="C509" s="28" t="s">
        <v>77</v>
      </c>
      <c r="D509" s="28" t="s">
        <v>77</v>
      </c>
      <c r="E509" s="28" t="s">
        <v>77</v>
      </c>
      <c r="F509" s="28" t="s">
        <v>77</v>
      </c>
      <c r="G509" s="28" t="s">
        <v>77</v>
      </c>
      <c r="I509" s="26" t="s">
        <v>77</v>
      </c>
      <c r="J509" s="26" t="s">
        <v>77</v>
      </c>
      <c r="K509" s="18"/>
      <c r="L509" s="26" t="s">
        <v>77</v>
      </c>
      <c r="M509" s="6" t="s">
        <v>77</v>
      </c>
      <c r="N509" s="28" t="s">
        <v>77</v>
      </c>
      <c r="O509" s="26" t="s">
        <v>77</v>
      </c>
    </row>
    <row r="510">
      <c r="A510" s="52" t="s">
        <v>77</v>
      </c>
      <c r="B510" s="28" t="s">
        <v>77</v>
      </c>
      <c r="C510" s="28" t="s">
        <v>77</v>
      </c>
      <c r="D510" s="28" t="s">
        <v>77</v>
      </c>
      <c r="E510" s="28" t="s">
        <v>77</v>
      </c>
      <c r="F510" s="28" t="s">
        <v>77</v>
      </c>
      <c r="G510" s="28" t="s">
        <v>77</v>
      </c>
      <c r="I510" s="26" t="s">
        <v>77</v>
      </c>
      <c r="J510" s="26" t="s">
        <v>77</v>
      </c>
      <c r="K510" s="18"/>
      <c r="L510" s="26" t="s">
        <v>77</v>
      </c>
      <c r="M510" s="6" t="s">
        <v>77</v>
      </c>
      <c r="N510" s="28" t="s">
        <v>77</v>
      </c>
      <c r="O510" s="26" t="s">
        <v>77</v>
      </c>
    </row>
    <row r="511">
      <c r="A511" s="52" t="s">
        <v>77</v>
      </c>
      <c r="B511" s="28" t="s">
        <v>77</v>
      </c>
      <c r="C511" s="28" t="s">
        <v>77</v>
      </c>
      <c r="D511" s="28" t="s">
        <v>77</v>
      </c>
      <c r="E511" s="28" t="s">
        <v>77</v>
      </c>
      <c r="F511" s="28" t="s">
        <v>77</v>
      </c>
      <c r="G511" s="28" t="s">
        <v>77</v>
      </c>
      <c r="I511" s="26" t="s">
        <v>77</v>
      </c>
      <c r="J511" s="26" t="s">
        <v>77</v>
      </c>
      <c r="K511" s="18"/>
      <c r="L511" s="26" t="s">
        <v>77</v>
      </c>
      <c r="M511" s="6" t="s">
        <v>77</v>
      </c>
      <c r="N511" s="28" t="s">
        <v>77</v>
      </c>
      <c r="O511" s="26" t="s">
        <v>77</v>
      </c>
    </row>
    <row r="512">
      <c r="A512" s="52" t="s">
        <v>77</v>
      </c>
      <c r="B512" s="28" t="s">
        <v>77</v>
      </c>
      <c r="C512" s="28" t="s">
        <v>77</v>
      </c>
      <c r="D512" s="28" t="s">
        <v>77</v>
      </c>
      <c r="E512" s="28" t="s">
        <v>77</v>
      </c>
      <c r="F512" s="28" t="s">
        <v>77</v>
      </c>
      <c r="G512" s="28" t="s">
        <v>77</v>
      </c>
      <c r="I512" s="26" t="s">
        <v>77</v>
      </c>
      <c r="J512" s="26" t="s">
        <v>77</v>
      </c>
      <c r="K512" s="18"/>
      <c r="L512" s="26" t="s">
        <v>77</v>
      </c>
      <c r="M512" s="6" t="s">
        <v>77</v>
      </c>
      <c r="N512" s="28" t="s">
        <v>77</v>
      </c>
      <c r="O512" s="26" t="s">
        <v>77</v>
      </c>
    </row>
    <row r="513">
      <c r="A513" s="52" t="s">
        <v>77</v>
      </c>
      <c r="B513" s="28" t="s">
        <v>77</v>
      </c>
      <c r="C513" s="28" t="s">
        <v>77</v>
      </c>
      <c r="D513" s="28" t="s">
        <v>77</v>
      </c>
      <c r="E513" s="28" t="s">
        <v>77</v>
      </c>
      <c r="F513" s="28" t="s">
        <v>77</v>
      </c>
      <c r="G513" s="28" t="s">
        <v>77</v>
      </c>
      <c r="I513" s="26" t="s">
        <v>77</v>
      </c>
      <c r="J513" s="26" t="s">
        <v>77</v>
      </c>
      <c r="K513" s="18"/>
      <c r="L513" s="26" t="s">
        <v>77</v>
      </c>
      <c r="M513" s="6" t="s">
        <v>77</v>
      </c>
      <c r="N513" s="28" t="s">
        <v>77</v>
      </c>
      <c r="O513" s="26" t="s">
        <v>77</v>
      </c>
    </row>
    <row r="514">
      <c r="A514" s="52" t="s">
        <v>77</v>
      </c>
      <c r="B514" s="28" t="s">
        <v>77</v>
      </c>
      <c r="C514" s="28" t="s">
        <v>77</v>
      </c>
      <c r="D514" s="28" t="s">
        <v>77</v>
      </c>
      <c r="E514" s="28" t="s">
        <v>77</v>
      </c>
      <c r="F514" s="28" t="s">
        <v>77</v>
      </c>
      <c r="G514" s="28" t="s">
        <v>77</v>
      </c>
      <c r="I514" s="26" t="s">
        <v>77</v>
      </c>
      <c r="J514" s="26" t="s">
        <v>77</v>
      </c>
      <c r="K514" s="18"/>
      <c r="L514" s="26" t="s">
        <v>77</v>
      </c>
      <c r="M514" s="6" t="s">
        <v>77</v>
      </c>
      <c r="N514" s="28" t="s">
        <v>77</v>
      </c>
      <c r="O514" s="26" t="s">
        <v>77</v>
      </c>
    </row>
    <row r="515">
      <c r="A515" s="52" t="s">
        <v>77</v>
      </c>
      <c r="B515" s="28" t="s">
        <v>77</v>
      </c>
      <c r="C515" s="28" t="s">
        <v>77</v>
      </c>
      <c r="D515" s="28" t="s">
        <v>77</v>
      </c>
      <c r="E515" s="28" t="s">
        <v>77</v>
      </c>
      <c r="F515" s="28" t="s">
        <v>77</v>
      </c>
      <c r="G515" s="28" t="s">
        <v>77</v>
      </c>
      <c r="I515" s="26" t="s">
        <v>77</v>
      </c>
      <c r="J515" s="26" t="s">
        <v>77</v>
      </c>
      <c r="K515" s="18"/>
      <c r="L515" s="26" t="s">
        <v>77</v>
      </c>
      <c r="M515" s="6" t="s">
        <v>77</v>
      </c>
      <c r="N515" s="28" t="s">
        <v>77</v>
      </c>
      <c r="O515" s="26" t="s">
        <v>77</v>
      </c>
    </row>
    <row r="516">
      <c r="A516" s="52" t="s">
        <v>77</v>
      </c>
      <c r="B516" s="28" t="s">
        <v>77</v>
      </c>
      <c r="C516" s="28" t="s">
        <v>77</v>
      </c>
      <c r="D516" s="28" t="s">
        <v>77</v>
      </c>
      <c r="E516" s="28" t="s">
        <v>77</v>
      </c>
      <c r="F516" s="28" t="s">
        <v>77</v>
      </c>
      <c r="G516" s="28" t="s">
        <v>77</v>
      </c>
      <c r="I516" s="26" t="s">
        <v>77</v>
      </c>
      <c r="J516" s="26" t="s">
        <v>77</v>
      </c>
      <c r="K516" s="18"/>
      <c r="L516" s="26" t="s">
        <v>77</v>
      </c>
      <c r="M516" s="6" t="s">
        <v>77</v>
      </c>
      <c r="N516" s="28" t="s">
        <v>77</v>
      </c>
      <c r="O516" s="26" t="s">
        <v>77</v>
      </c>
    </row>
    <row r="517">
      <c r="A517" s="52" t="s">
        <v>77</v>
      </c>
      <c r="B517" s="28" t="s">
        <v>77</v>
      </c>
      <c r="C517" s="28" t="s">
        <v>77</v>
      </c>
      <c r="D517" s="28" t="s">
        <v>77</v>
      </c>
      <c r="E517" s="28" t="s">
        <v>77</v>
      </c>
      <c r="F517" s="28" t="s">
        <v>77</v>
      </c>
      <c r="G517" s="28" t="s">
        <v>77</v>
      </c>
      <c r="I517" s="26" t="s">
        <v>77</v>
      </c>
      <c r="J517" s="26" t="s">
        <v>77</v>
      </c>
      <c r="K517" s="18"/>
      <c r="L517" s="26" t="s">
        <v>77</v>
      </c>
      <c r="M517" s="6" t="s">
        <v>77</v>
      </c>
      <c r="N517" s="28" t="s">
        <v>77</v>
      </c>
      <c r="O517" s="26" t="s">
        <v>77</v>
      </c>
    </row>
    <row r="518">
      <c r="A518" s="52" t="s">
        <v>77</v>
      </c>
      <c r="B518" s="28" t="s">
        <v>77</v>
      </c>
      <c r="C518" s="28" t="s">
        <v>77</v>
      </c>
      <c r="D518" s="28" t="s">
        <v>77</v>
      </c>
      <c r="E518" s="28" t="s">
        <v>77</v>
      </c>
      <c r="F518" s="28" t="s">
        <v>77</v>
      </c>
      <c r="G518" s="28" t="s">
        <v>77</v>
      </c>
      <c r="I518" s="26" t="s">
        <v>77</v>
      </c>
      <c r="J518" s="26" t="s">
        <v>77</v>
      </c>
      <c r="K518" s="18"/>
      <c r="L518" s="26" t="s">
        <v>77</v>
      </c>
      <c r="M518" s="6" t="s">
        <v>77</v>
      </c>
      <c r="N518" s="28" t="s">
        <v>77</v>
      </c>
      <c r="O518" s="26" t="s">
        <v>77</v>
      </c>
    </row>
    <row r="519">
      <c r="A519" s="52" t="s">
        <v>77</v>
      </c>
      <c r="B519" s="28" t="s">
        <v>77</v>
      </c>
      <c r="C519" s="28" t="s">
        <v>77</v>
      </c>
      <c r="D519" s="28" t="s">
        <v>77</v>
      </c>
      <c r="E519" s="28" t="s">
        <v>77</v>
      </c>
      <c r="F519" s="28" t="s">
        <v>77</v>
      </c>
      <c r="G519" s="28" t="s">
        <v>77</v>
      </c>
      <c r="I519" s="26" t="s">
        <v>77</v>
      </c>
      <c r="J519" s="26" t="s">
        <v>77</v>
      </c>
      <c r="K519" s="18"/>
      <c r="L519" s="26" t="s">
        <v>77</v>
      </c>
      <c r="M519" s="6" t="s">
        <v>77</v>
      </c>
      <c r="N519" s="28" t="s">
        <v>77</v>
      </c>
      <c r="O519" s="26" t="s">
        <v>77</v>
      </c>
    </row>
    <row r="520">
      <c r="A520" s="52" t="s">
        <v>77</v>
      </c>
      <c r="B520" s="28" t="s">
        <v>77</v>
      </c>
      <c r="C520" s="28" t="s">
        <v>77</v>
      </c>
      <c r="D520" s="28" t="s">
        <v>77</v>
      </c>
      <c r="E520" s="28" t="s">
        <v>77</v>
      </c>
      <c r="F520" s="28" t="s">
        <v>77</v>
      </c>
      <c r="G520" s="28" t="s">
        <v>77</v>
      </c>
      <c r="I520" s="26" t="s">
        <v>77</v>
      </c>
      <c r="J520" s="26" t="s">
        <v>77</v>
      </c>
      <c r="K520" s="18"/>
      <c r="L520" s="26" t="s">
        <v>77</v>
      </c>
      <c r="M520" s="6" t="s">
        <v>77</v>
      </c>
      <c r="N520" s="28" t="s">
        <v>77</v>
      </c>
      <c r="O520" s="26" t="s">
        <v>77</v>
      </c>
    </row>
    <row r="521">
      <c r="A521" s="52" t="s">
        <v>77</v>
      </c>
      <c r="B521" s="28" t="s">
        <v>77</v>
      </c>
      <c r="C521" s="28" t="s">
        <v>77</v>
      </c>
      <c r="D521" s="28" t="s">
        <v>77</v>
      </c>
      <c r="E521" s="28" t="s">
        <v>77</v>
      </c>
      <c r="F521" s="28" t="s">
        <v>77</v>
      </c>
      <c r="G521" s="28" t="s">
        <v>77</v>
      </c>
      <c r="I521" s="26" t="s">
        <v>77</v>
      </c>
      <c r="J521" s="26" t="s">
        <v>77</v>
      </c>
      <c r="K521" s="18"/>
      <c r="L521" s="26" t="s">
        <v>77</v>
      </c>
      <c r="M521" s="6" t="s">
        <v>77</v>
      </c>
      <c r="N521" s="28" t="s">
        <v>77</v>
      </c>
      <c r="O521" s="26" t="s">
        <v>77</v>
      </c>
    </row>
    <row r="522">
      <c r="A522" s="52" t="s">
        <v>77</v>
      </c>
      <c r="B522" s="28" t="s">
        <v>77</v>
      </c>
      <c r="C522" s="28" t="s">
        <v>77</v>
      </c>
      <c r="D522" s="28" t="s">
        <v>77</v>
      </c>
      <c r="E522" s="28" t="s">
        <v>77</v>
      </c>
      <c r="F522" s="28" t="s">
        <v>77</v>
      </c>
      <c r="G522" s="28" t="s">
        <v>77</v>
      </c>
      <c r="I522" s="26" t="s">
        <v>77</v>
      </c>
      <c r="J522" s="26" t="s">
        <v>77</v>
      </c>
      <c r="K522" s="18"/>
      <c r="L522" s="26" t="s">
        <v>77</v>
      </c>
      <c r="M522" s="6" t="s">
        <v>77</v>
      </c>
      <c r="N522" s="28" t="s">
        <v>77</v>
      </c>
      <c r="O522" s="26" t="s">
        <v>77</v>
      </c>
    </row>
    <row r="523">
      <c r="A523" s="52" t="s">
        <v>77</v>
      </c>
      <c r="B523" s="28" t="s">
        <v>77</v>
      </c>
      <c r="C523" s="28" t="s">
        <v>77</v>
      </c>
      <c r="D523" s="28" t="s">
        <v>77</v>
      </c>
      <c r="E523" s="28" t="s">
        <v>77</v>
      </c>
      <c r="F523" s="28" t="s">
        <v>77</v>
      </c>
      <c r="G523" s="28" t="s">
        <v>77</v>
      </c>
      <c r="I523" s="26" t="s">
        <v>77</v>
      </c>
      <c r="J523" s="26" t="s">
        <v>77</v>
      </c>
      <c r="K523" s="18"/>
      <c r="L523" s="26" t="s">
        <v>77</v>
      </c>
      <c r="M523" s="6" t="s">
        <v>77</v>
      </c>
      <c r="N523" s="28" t="s">
        <v>77</v>
      </c>
      <c r="O523" s="26" t="s">
        <v>77</v>
      </c>
    </row>
    <row r="524">
      <c r="A524" s="52" t="s">
        <v>77</v>
      </c>
      <c r="B524" s="28" t="s">
        <v>77</v>
      </c>
      <c r="C524" s="28" t="s">
        <v>77</v>
      </c>
      <c r="D524" s="28" t="s">
        <v>77</v>
      </c>
      <c r="E524" s="28" t="s">
        <v>77</v>
      </c>
      <c r="F524" s="28" t="s">
        <v>77</v>
      </c>
      <c r="G524" s="28" t="s">
        <v>77</v>
      </c>
      <c r="I524" s="26" t="s">
        <v>77</v>
      </c>
      <c r="J524" s="26" t="s">
        <v>77</v>
      </c>
      <c r="K524" s="18"/>
      <c r="L524" s="26" t="s">
        <v>77</v>
      </c>
      <c r="M524" s="6" t="s">
        <v>77</v>
      </c>
      <c r="N524" s="28" t="s">
        <v>77</v>
      </c>
      <c r="O524" s="26" t="s">
        <v>77</v>
      </c>
    </row>
    <row r="525">
      <c r="A525" s="52" t="s">
        <v>77</v>
      </c>
      <c r="B525" s="28" t="s">
        <v>77</v>
      </c>
      <c r="C525" s="28" t="s">
        <v>77</v>
      </c>
      <c r="D525" s="28" t="s">
        <v>77</v>
      </c>
      <c r="E525" s="28" t="s">
        <v>77</v>
      </c>
      <c r="F525" s="28" t="s">
        <v>77</v>
      </c>
      <c r="G525" s="28" t="s">
        <v>77</v>
      </c>
      <c r="I525" s="26" t="s">
        <v>77</v>
      </c>
      <c r="J525" s="26" t="s">
        <v>77</v>
      </c>
      <c r="K525" s="18"/>
      <c r="L525" s="26" t="s">
        <v>77</v>
      </c>
      <c r="M525" s="6" t="s">
        <v>77</v>
      </c>
      <c r="N525" s="28" t="s">
        <v>77</v>
      </c>
      <c r="O525" s="26" t="s">
        <v>77</v>
      </c>
    </row>
    <row r="526">
      <c r="A526" s="52" t="s">
        <v>77</v>
      </c>
      <c r="B526" s="28" t="s">
        <v>77</v>
      </c>
      <c r="C526" s="28" t="s">
        <v>77</v>
      </c>
      <c r="D526" s="28" t="s">
        <v>77</v>
      </c>
      <c r="E526" s="28" t="s">
        <v>77</v>
      </c>
      <c r="F526" s="28" t="s">
        <v>77</v>
      </c>
      <c r="G526" s="28" t="s">
        <v>77</v>
      </c>
      <c r="I526" s="26" t="s">
        <v>77</v>
      </c>
      <c r="J526" s="26" t="s">
        <v>77</v>
      </c>
      <c r="K526" s="18"/>
      <c r="L526" s="26" t="s">
        <v>77</v>
      </c>
      <c r="M526" s="6" t="s">
        <v>77</v>
      </c>
      <c r="N526" s="28" t="s">
        <v>77</v>
      </c>
      <c r="O526" s="26" t="s">
        <v>77</v>
      </c>
    </row>
    <row r="527">
      <c r="A527" s="52" t="s">
        <v>77</v>
      </c>
      <c r="B527" s="28" t="s">
        <v>77</v>
      </c>
      <c r="C527" s="28" t="s">
        <v>77</v>
      </c>
      <c r="D527" s="28" t="s">
        <v>77</v>
      </c>
      <c r="E527" s="28" t="s">
        <v>77</v>
      </c>
      <c r="F527" s="28" t="s">
        <v>77</v>
      </c>
      <c r="G527" s="28" t="s">
        <v>77</v>
      </c>
      <c r="I527" s="26" t="s">
        <v>77</v>
      </c>
      <c r="J527" s="26" t="s">
        <v>77</v>
      </c>
      <c r="K527" s="18"/>
      <c r="L527" s="26" t="s">
        <v>77</v>
      </c>
      <c r="M527" s="6" t="s">
        <v>77</v>
      </c>
      <c r="N527" s="28" t="s">
        <v>77</v>
      </c>
      <c r="O527" s="26" t="s">
        <v>77</v>
      </c>
    </row>
    <row r="528">
      <c r="A528" s="52" t="s">
        <v>77</v>
      </c>
      <c r="B528" s="28" t="s">
        <v>77</v>
      </c>
      <c r="C528" s="28" t="s">
        <v>77</v>
      </c>
      <c r="D528" s="28" t="s">
        <v>77</v>
      </c>
      <c r="E528" s="28" t="s">
        <v>77</v>
      </c>
      <c r="F528" s="28" t="s">
        <v>77</v>
      </c>
      <c r="G528" s="28" t="s">
        <v>77</v>
      </c>
      <c r="I528" s="26" t="s">
        <v>77</v>
      </c>
      <c r="J528" s="26" t="s">
        <v>77</v>
      </c>
      <c r="K528" s="18"/>
      <c r="L528" s="26" t="s">
        <v>77</v>
      </c>
      <c r="M528" s="6" t="s">
        <v>77</v>
      </c>
      <c r="N528" s="28" t="s">
        <v>77</v>
      </c>
      <c r="O528" s="26" t="s">
        <v>77</v>
      </c>
    </row>
    <row r="529">
      <c r="A529" s="52" t="s">
        <v>77</v>
      </c>
      <c r="B529" s="28" t="s">
        <v>77</v>
      </c>
      <c r="C529" s="28" t="s">
        <v>77</v>
      </c>
      <c r="D529" s="28" t="s">
        <v>77</v>
      </c>
      <c r="E529" s="28" t="s">
        <v>77</v>
      </c>
      <c r="F529" s="28" t="s">
        <v>77</v>
      </c>
      <c r="G529" s="28" t="s">
        <v>77</v>
      </c>
      <c r="I529" s="26" t="s">
        <v>77</v>
      </c>
      <c r="J529" s="26" t="s">
        <v>77</v>
      </c>
      <c r="K529" s="18"/>
      <c r="L529" s="26" t="s">
        <v>77</v>
      </c>
      <c r="M529" s="6" t="s">
        <v>77</v>
      </c>
      <c r="N529" s="28" t="s">
        <v>77</v>
      </c>
      <c r="O529" s="26" t="s">
        <v>77</v>
      </c>
    </row>
    <row r="530">
      <c r="A530" s="52" t="s">
        <v>77</v>
      </c>
      <c r="B530" s="28" t="s">
        <v>77</v>
      </c>
      <c r="C530" s="28" t="s">
        <v>77</v>
      </c>
      <c r="D530" s="28" t="s">
        <v>77</v>
      </c>
      <c r="E530" s="28" t="s">
        <v>77</v>
      </c>
      <c r="F530" s="28" t="s">
        <v>77</v>
      </c>
      <c r="G530" s="28" t="s">
        <v>77</v>
      </c>
      <c r="I530" s="26" t="s">
        <v>77</v>
      </c>
      <c r="J530" s="26" t="s">
        <v>77</v>
      </c>
      <c r="K530" s="18"/>
      <c r="L530" s="26" t="s">
        <v>77</v>
      </c>
      <c r="M530" s="6" t="s">
        <v>77</v>
      </c>
      <c r="N530" s="28" t="s">
        <v>77</v>
      </c>
      <c r="O530" s="26" t="s">
        <v>77</v>
      </c>
    </row>
    <row r="531">
      <c r="A531" s="52" t="s">
        <v>77</v>
      </c>
      <c r="B531" s="28" t="s">
        <v>77</v>
      </c>
      <c r="C531" s="28" t="s">
        <v>77</v>
      </c>
      <c r="D531" s="28" t="s">
        <v>77</v>
      </c>
      <c r="E531" s="28" t="s">
        <v>77</v>
      </c>
      <c r="F531" s="28" t="s">
        <v>77</v>
      </c>
      <c r="G531" s="28" t="s">
        <v>77</v>
      </c>
      <c r="I531" s="26" t="s">
        <v>77</v>
      </c>
      <c r="J531" s="26" t="s">
        <v>77</v>
      </c>
      <c r="K531" s="18"/>
      <c r="L531" s="26" t="s">
        <v>77</v>
      </c>
      <c r="M531" s="6" t="s">
        <v>77</v>
      </c>
      <c r="N531" s="28" t="s">
        <v>77</v>
      </c>
      <c r="O531" s="26" t="s">
        <v>77</v>
      </c>
    </row>
    <row r="532">
      <c r="A532" s="52" t="s">
        <v>77</v>
      </c>
      <c r="B532" s="28" t="s">
        <v>77</v>
      </c>
      <c r="C532" s="28" t="s">
        <v>77</v>
      </c>
      <c r="D532" s="28" t="s">
        <v>77</v>
      </c>
      <c r="E532" s="28" t="s">
        <v>77</v>
      </c>
      <c r="F532" s="28" t="s">
        <v>77</v>
      </c>
      <c r="G532" s="28" t="s">
        <v>77</v>
      </c>
      <c r="I532" s="26" t="s">
        <v>77</v>
      </c>
      <c r="J532" s="26" t="s">
        <v>77</v>
      </c>
      <c r="K532" s="18"/>
      <c r="L532" s="26" t="s">
        <v>77</v>
      </c>
      <c r="M532" s="6" t="s">
        <v>77</v>
      </c>
      <c r="N532" s="28" t="s">
        <v>77</v>
      </c>
      <c r="O532" s="26" t="s">
        <v>77</v>
      </c>
    </row>
    <row r="533">
      <c r="A533" s="52" t="s">
        <v>77</v>
      </c>
      <c r="B533" s="28" t="s">
        <v>77</v>
      </c>
      <c r="C533" s="28" t="s">
        <v>77</v>
      </c>
      <c r="D533" s="28" t="s">
        <v>77</v>
      </c>
      <c r="E533" s="28" t="s">
        <v>77</v>
      </c>
      <c r="F533" s="28" t="s">
        <v>77</v>
      </c>
      <c r="G533" s="28" t="s">
        <v>77</v>
      </c>
      <c r="I533" s="26" t="s">
        <v>77</v>
      </c>
      <c r="J533" s="26" t="s">
        <v>77</v>
      </c>
      <c r="K533" s="18"/>
      <c r="L533" s="26" t="s">
        <v>77</v>
      </c>
      <c r="M533" s="6" t="s">
        <v>77</v>
      </c>
      <c r="N533" s="28" t="s">
        <v>77</v>
      </c>
      <c r="O533" s="26" t="s">
        <v>77</v>
      </c>
    </row>
    <row r="534">
      <c r="A534" s="52" t="s">
        <v>77</v>
      </c>
      <c r="B534" s="28" t="s">
        <v>77</v>
      </c>
      <c r="C534" s="28" t="s">
        <v>77</v>
      </c>
      <c r="D534" s="28" t="s">
        <v>77</v>
      </c>
      <c r="E534" s="28" t="s">
        <v>77</v>
      </c>
      <c r="F534" s="28" t="s">
        <v>77</v>
      </c>
      <c r="G534" s="28" t="s">
        <v>77</v>
      </c>
      <c r="I534" s="26" t="s">
        <v>77</v>
      </c>
      <c r="J534" s="26" t="s">
        <v>77</v>
      </c>
      <c r="K534" s="18"/>
      <c r="L534" s="26" t="s">
        <v>77</v>
      </c>
      <c r="M534" s="6" t="s">
        <v>77</v>
      </c>
      <c r="N534" s="28" t="s">
        <v>77</v>
      </c>
      <c r="O534" s="26" t="s">
        <v>77</v>
      </c>
    </row>
    <row r="535">
      <c r="A535" s="52" t="s">
        <v>77</v>
      </c>
      <c r="B535" s="28" t="s">
        <v>77</v>
      </c>
      <c r="C535" s="28" t="s">
        <v>77</v>
      </c>
      <c r="D535" s="28" t="s">
        <v>77</v>
      </c>
      <c r="E535" s="28" t="s">
        <v>77</v>
      </c>
      <c r="F535" s="28" t="s">
        <v>77</v>
      </c>
      <c r="G535" s="28" t="s">
        <v>77</v>
      </c>
      <c r="I535" s="26" t="s">
        <v>77</v>
      </c>
      <c r="J535" s="26" t="s">
        <v>77</v>
      </c>
      <c r="K535" s="18"/>
      <c r="L535" s="26" t="s">
        <v>77</v>
      </c>
      <c r="M535" s="6" t="s">
        <v>77</v>
      </c>
      <c r="N535" s="28" t="s">
        <v>77</v>
      </c>
      <c r="O535" s="26" t="s">
        <v>77</v>
      </c>
    </row>
    <row r="536">
      <c r="A536" s="52" t="s">
        <v>77</v>
      </c>
      <c r="B536" s="28" t="s">
        <v>77</v>
      </c>
      <c r="C536" s="28" t="s">
        <v>77</v>
      </c>
      <c r="D536" s="28" t="s">
        <v>77</v>
      </c>
      <c r="E536" s="28" t="s">
        <v>77</v>
      </c>
      <c r="F536" s="28" t="s">
        <v>77</v>
      </c>
      <c r="G536" s="28" t="s">
        <v>77</v>
      </c>
      <c r="I536" s="26" t="s">
        <v>77</v>
      </c>
      <c r="J536" s="26" t="s">
        <v>77</v>
      </c>
      <c r="K536" s="18"/>
      <c r="L536" s="26" t="s">
        <v>77</v>
      </c>
      <c r="M536" s="6" t="s">
        <v>77</v>
      </c>
      <c r="N536" s="28" t="s">
        <v>77</v>
      </c>
      <c r="O536" s="26" t="s">
        <v>77</v>
      </c>
    </row>
    <row r="537">
      <c r="A537" s="52" t="s">
        <v>77</v>
      </c>
      <c r="B537" s="28" t="s">
        <v>77</v>
      </c>
      <c r="C537" s="28" t="s">
        <v>77</v>
      </c>
      <c r="D537" s="28" t="s">
        <v>77</v>
      </c>
      <c r="E537" s="28" t="s">
        <v>77</v>
      </c>
      <c r="F537" s="28" t="s">
        <v>77</v>
      </c>
      <c r="G537" s="28" t="s">
        <v>77</v>
      </c>
      <c r="I537" s="26" t="s">
        <v>77</v>
      </c>
      <c r="J537" s="26" t="s">
        <v>77</v>
      </c>
      <c r="K537" s="18"/>
      <c r="L537" s="26" t="s">
        <v>77</v>
      </c>
      <c r="M537" s="6" t="s">
        <v>77</v>
      </c>
      <c r="N537" s="28" t="s">
        <v>77</v>
      </c>
      <c r="O537" s="26" t="s">
        <v>77</v>
      </c>
    </row>
    <row r="538">
      <c r="A538" s="52" t="s">
        <v>77</v>
      </c>
      <c r="B538" s="28" t="s">
        <v>77</v>
      </c>
      <c r="C538" s="28" t="s">
        <v>77</v>
      </c>
      <c r="D538" s="28" t="s">
        <v>77</v>
      </c>
      <c r="E538" s="28" t="s">
        <v>77</v>
      </c>
      <c r="F538" s="28" t="s">
        <v>77</v>
      </c>
      <c r="G538" s="28" t="s">
        <v>77</v>
      </c>
      <c r="I538" s="26" t="s">
        <v>77</v>
      </c>
      <c r="J538" s="26" t="s">
        <v>77</v>
      </c>
      <c r="K538" s="18"/>
      <c r="L538" s="26" t="s">
        <v>77</v>
      </c>
      <c r="M538" s="6" t="s">
        <v>77</v>
      </c>
      <c r="N538" s="28" t="s">
        <v>77</v>
      </c>
      <c r="O538" s="26" t="s">
        <v>77</v>
      </c>
    </row>
    <row r="539">
      <c r="A539" s="52" t="s">
        <v>77</v>
      </c>
      <c r="B539" s="28" t="s">
        <v>77</v>
      </c>
      <c r="C539" s="28" t="s">
        <v>77</v>
      </c>
      <c r="D539" s="28" t="s">
        <v>77</v>
      </c>
      <c r="E539" s="28" t="s">
        <v>77</v>
      </c>
      <c r="F539" s="28" t="s">
        <v>77</v>
      </c>
      <c r="G539" s="28" t="s">
        <v>77</v>
      </c>
      <c r="I539" s="26" t="s">
        <v>77</v>
      </c>
      <c r="J539" s="26" t="s">
        <v>77</v>
      </c>
      <c r="K539" s="18"/>
      <c r="L539" s="26" t="s">
        <v>77</v>
      </c>
      <c r="M539" s="6" t="s">
        <v>77</v>
      </c>
      <c r="N539" s="28" t="s">
        <v>77</v>
      </c>
      <c r="O539" s="26" t="s">
        <v>77</v>
      </c>
    </row>
    <row r="540">
      <c r="A540" s="52" t="s">
        <v>77</v>
      </c>
      <c r="B540" s="28" t="s">
        <v>77</v>
      </c>
      <c r="C540" s="28" t="s">
        <v>77</v>
      </c>
      <c r="D540" s="28" t="s">
        <v>77</v>
      </c>
      <c r="E540" s="28" t="s">
        <v>77</v>
      </c>
      <c r="F540" s="28" t="s">
        <v>77</v>
      </c>
      <c r="G540" s="28" t="s">
        <v>77</v>
      </c>
      <c r="I540" s="26" t="s">
        <v>77</v>
      </c>
      <c r="J540" s="26" t="s">
        <v>77</v>
      </c>
      <c r="K540" s="18"/>
      <c r="L540" s="26" t="s">
        <v>77</v>
      </c>
      <c r="M540" s="6" t="s">
        <v>77</v>
      </c>
      <c r="N540" s="28" t="s">
        <v>77</v>
      </c>
      <c r="O540" s="26" t="s">
        <v>77</v>
      </c>
    </row>
    <row r="541">
      <c r="A541" s="52" t="s">
        <v>77</v>
      </c>
      <c r="B541" s="28" t="s">
        <v>77</v>
      </c>
      <c r="C541" s="28" t="s">
        <v>77</v>
      </c>
      <c r="D541" s="28" t="s">
        <v>77</v>
      </c>
      <c r="E541" s="28" t="s">
        <v>77</v>
      </c>
      <c r="F541" s="28" t="s">
        <v>77</v>
      </c>
      <c r="G541" s="28" t="s">
        <v>77</v>
      </c>
      <c r="I541" s="26" t="s">
        <v>77</v>
      </c>
      <c r="J541" s="26" t="s">
        <v>77</v>
      </c>
      <c r="K541" s="18"/>
      <c r="L541" s="26" t="s">
        <v>77</v>
      </c>
      <c r="M541" s="6" t="s">
        <v>77</v>
      </c>
      <c r="N541" s="28" t="s">
        <v>77</v>
      </c>
      <c r="O541" s="26" t="s">
        <v>77</v>
      </c>
    </row>
    <row r="542">
      <c r="A542" s="52" t="s">
        <v>77</v>
      </c>
      <c r="B542" s="28" t="s">
        <v>77</v>
      </c>
      <c r="C542" s="28" t="s">
        <v>77</v>
      </c>
      <c r="D542" s="28" t="s">
        <v>77</v>
      </c>
      <c r="E542" s="28" t="s">
        <v>77</v>
      </c>
      <c r="F542" s="28" t="s">
        <v>77</v>
      </c>
      <c r="G542" s="28" t="s">
        <v>77</v>
      </c>
      <c r="I542" s="26" t="s">
        <v>77</v>
      </c>
      <c r="J542" s="26" t="s">
        <v>77</v>
      </c>
      <c r="K542" s="18"/>
      <c r="L542" s="26" t="s">
        <v>77</v>
      </c>
      <c r="M542" s="6" t="s">
        <v>77</v>
      </c>
      <c r="N542" s="28" t="s">
        <v>77</v>
      </c>
      <c r="O542" s="26" t="s">
        <v>77</v>
      </c>
    </row>
    <row r="543">
      <c r="A543" s="52" t="s">
        <v>77</v>
      </c>
      <c r="B543" s="28" t="s">
        <v>77</v>
      </c>
      <c r="C543" s="28" t="s">
        <v>77</v>
      </c>
      <c r="D543" s="28" t="s">
        <v>77</v>
      </c>
      <c r="E543" s="28" t="s">
        <v>77</v>
      </c>
      <c r="F543" s="28" t="s">
        <v>77</v>
      </c>
      <c r="G543" s="28" t="s">
        <v>77</v>
      </c>
      <c r="I543" s="26" t="s">
        <v>77</v>
      </c>
      <c r="J543" s="26" t="s">
        <v>77</v>
      </c>
      <c r="K543" s="18"/>
      <c r="L543" s="26" t="s">
        <v>77</v>
      </c>
      <c r="M543" s="6" t="s">
        <v>77</v>
      </c>
      <c r="N543" s="28" t="s">
        <v>77</v>
      </c>
      <c r="O543" s="26" t="s">
        <v>77</v>
      </c>
    </row>
    <row r="544">
      <c r="A544" s="52" t="s">
        <v>77</v>
      </c>
      <c r="B544" s="28" t="s">
        <v>77</v>
      </c>
      <c r="C544" s="28" t="s">
        <v>77</v>
      </c>
      <c r="D544" s="28" t="s">
        <v>77</v>
      </c>
      <c r="E544" s="28" t="s">
        <v>77</v>
      </c>
      <c r="F544" s="28" t="s">
        <v>77</v>
      </c>
      <c r="G544" s="28" t="s">
        <v>77</v>
      </c>
      <c r="I544" s="26" t="s">
        <v>77</v>
      </c>
      <c r="J544" s="26" t="s">
        <v>77</v>
      </c>
      <c r="K544" s="18"/>
      <c r="L544" s="26" t="s">
        <v>77</v>
      </c>
      <c r="M544" s="6" t="s">
        <v>77</v>
      </c>
      <c r="N544" s="28" t="s">
        <v>77</v>
      </c>
      <c r="O544" s="26" t="s">
        <v>77</v>
      </c>
    </row>
    <row r="545">
      <c r="A545" s="52" t="s">
        <v>77</v>
      </c>
      <c r="B545" s="28" t="s">
        <v>77</v>
      </c>
      <c r="C545" s="28" t="s">
        <v>77</v>
      </c>
      <c r="D545" s="28" t="s">
        <v>77</v>
      </c>
      <c r="E545" s="28" t="s">
        <v>77</v>
      </c>
      <c r="F545" s="28" t="s">
        <v>77</v>
      </c>
      <c r="G545" s="28" t="s">
        <v>77</v>
      </c>
      <c r="I545" s="26" t="s">
        <v>77</v>
      </c>
      <c r="J545" s="26" t="s">
        <v>77</v>
      </c>
      <c r="K545" s="18"/>
      <c r="L545" s="26" t="s">
        <v>77</v>
      </c>
      <c r="M545" s="6" t="s">
        <v>77</v>
      </c>
      <c r="N545" s="28" t="s">
        <v>77</v>
      </c>
      <c r="O545" s="26" t="s">
        <v>77</v>
      </c>
    </row>
    <row r="546">
      <c r="A546" s="52" t="s">
        <v>77</v>
      </c>
      <c r="B546" s="28" t="s">
        <v>77</v>
      </c>
      <c r="C546" s="28" t="s">
        <v>77</v>
      </c>
      <c r="D546" s="28" t="s">
        <v>77</v>
      </c>
      <c r="E546" s="28" t="s">
        <v>77</v>
      </c>
      <c r="F546" s="28" t="s">
        <v>77</v>
      </c>
      <c r="G546" s="28" t="s">
        <v>77</v>
      </c>
      <c r="I546" s="26" t="s">
        <v>77</v>
      </c>
      <c r="J546" s="26" t="s">
        <v>77</v>
      </c>
      <c r="K546" s="18"/>
      <c r="L546" s="26" t="s">
        <v>77</v>
      </c>
      <c r="M546" s="6" t="s">
        <v>77</v>
      </c>
      <c r="N546" s="28" t="s">
        <v>77</v>
      </c>
      <c r="O546" s="26" t="s">
        <v>77</v>
      </c>
    </row>
    <row r="547">
      <c r="A547" s="52" t="s">
        <v>77</v>
      </c>
      <c r="B547" s="28" t="s">
        <v>77</v>
      </c>
      <c r="C547" s="28" t="s">
        <v>77</v>
      </c>
      <c r="D547" s="28" t="s">
        <v>77</v>
      </c>
      <c r="E547" s="28" t="s">
        <v>77</v>
      </c>
      <c r="F547" s="28" t="s">
        <v>77</v>
      </c>
      <c r="G547" s="28" t="s">
        <v>77</v>
      </c>
      <c r="I547" s="26" t="s">
        <v>77</v>
      </c>
      <c r="J547" s="26" t="s">
        <v>77</v>
      </c>
      <c r="K547" s="18"/>
      <c r="L547" s="26" t="s">
        <v>77</v>
      </c>
      <c r="M547" s="6" t="s">
        <v>77</v>
      </c>
      <c r="N547" s="28" t="s">
        <v>77</v>
      </c>
      <c r="O547" s="26" t="s">
        <v>77</v>
      </c>
    </row>
    <row r="548">
      <c r="A548" s="52" t="s">
        <v>77</v>
      </c>
      <c r="B548" s="28" t="s">
        <v>77</v>
      </c>
      <c r="C548" s="28" t="s">
        <v>77</v>
      </c>
      <c r="D548" s="28" t="s">
        <v>77</v>
      </c>
      <c r="E548" s="28" t="s">
        <v>77</v>
      </c>
      <c r="F548" s="28" t="s">
        <v>77</v>
      </c>
      <c r="G548" s="28" t="s">
        <v>77</v>
      </c>
      <c r="I548" s="26" t="s">
        <v>77</v>
      </c>
      <c r="J548" s="26" t="s">
        <v>77</v>
      </c>
      <c r="K548" s="18"/>
      <c r="L548" s="26" t="s">
        <v>77</v>
      </c>
      <c r="M548" s="6" t="s">
        <v>77</v>
      </c>
      <c r="N548" s="28" t="s">
        <v>77</v>
      </c>
      <c r="O548" s="26" t="s">
        <v>77</v>
      </c>
    </row>
    <row r="549">
      <c r="A549" s="52" t="s">
        <v>77</v>
      </c>
      <c r="B549" s="28" t="s">
        <v>77</v>
      </c>
      <c r="C549" s="28" t="s">
        <v>77</v>
      </c>
      <c r="D549" s="28" t="s">
        <v>77</v>
      </c>
      <c r="E549" s="28" t="s">
        <v>77</v>
      </c>
      <c r="F549" s="28" t="s">
        <v>77</v>
      </c>
      <c r="G549" s="28" t="s">
        <v>77</v>
      </c>
      <c r="I549" s="26" t="s">
        <v>77</v>
      </c>
      <c r="J549" s="26" t="s">
        <v>77</v>
      </c>
      <c r="K549" s="18"/>
      <c r="L549" s="26" t="s">
        <v>77</v>
      </c>
      <c r="M549" s="6" t="s">
        <v>77</v>
      </c>
      <c r="N549" s="28" t="s">
        <v>77</v>
      </c>
      <c r="O549" s="26" t="s">
        <v>77</v>
      </c>
    </row>
    <row r="550">
      <c r="A550" s="52" t="s">
        <v>77</v>
      </c>
      <c r="B550" s="28" t="s">
        <v>77</v>
      </c>
      <c r="C550" s="28" t="s">
        <v>77</v>
      </c>
      <c r="D550" s="28" t="s">
        <v>77</v>
      </c>
      <c r="E550" s="28" t="s">
        <v>77</v>
      </c>
      <c r="F550" s="28" t="s">
        <v>77</v>
      </c>
      <c r="G550" s="28" t="s">
        <v>77</v>
      </c>
      <c r="I550" s="26" t="s">
        <v>77</v>
      </c>
      <c r="J550" s="26" t="s">
        <v>77</v>
      </c>
      <c r="K550" s="18"/>
      <c r="L550" s="26" t="s">
        <v>77</v>
      </c>
      <c r="M550" s="6" t="s">
        <v>77</v>
      </c>
      <c r="N550" s="28" t="s">
        <v>77</v>
      </c>
      <c r="O550" s="26" t="s">
        <v>77</v>
      </c>
    </row>
    <row r="551">
      <c r="A551" s="52" t="s">
        <v>77</v>
      </c>
      <c r="B551" s="28" t="s">
        <v>77</v>
      </c>
      <c r="C551" s="28" t="s">
        <v>77</v>
      </c>
      <c r="D551" s="28" t="s">
        <v>77</v>
      </c>
      <c r="E551" s="28" t="s">
        <v>77</v>
      </c>
      <c r="F551" s="28" t="s">
        <v>77</v>
      </c>
      <c r="G551" s="28" t="s">
        <v>77</v>
      </c>
      <c r="I551" s="26" t="s">
        <v>77</v>
      </c>
      <c r="J551" s="26" t="s">
        <v>77</v>
      </c>
      <c r="K551" s="18"/>
      <c r="L551" s="26" t="s">
        <v>77</v>
      </c>
      <c r="M551" s="6" t="s">
        <v>77</v>
      </c>
      <c r="N551" s="28" t="s">
        <v>77</v>
      </c>
      <c r="O551" s="26" t="s">
        <v>77</v>
      </c>
    </row>
    <row r="552">
      <c r="A552" s="52" t="s">
        <v>77</v>
      </c>
      <c r="B552" s="28" t="s">
        <v>77</v>
      </c>
      <c r="C552" s="28" t="s">
        <v>77</v>
      </c>
      <c r="D552" s="28" t="s">
        <v>77</v>
      </c>
      <c r="E552" s="28" t="s">
        <v>77</v>
      </c>
      <c r="F552" s="28" t="s">
        <v>77</v>
      </c>
      <c r="G552" s="28" t="s">
        <v>77</v>
      </c>
      <c r="I552" s="26" t="s">
        <v>77</v>
      </c>
      <c r="J552" s="26" t="s">
        <v>77</v>
      </c>
      <c r="K552" s="18"/>
      <c r="L552" s="26" t="s">
        <v>77</v>
      </c>
      <c r="M552" s="6" t="s">
        <v>77</v>
      </c>
      <c r="N552" s="28" t="s">
        <v>77</v>
      </c>
      <c r="O552" s="26" t="s">
        <v>77</v>
      </c>
    </row>
    <row r="553">
      <c r="A553" s="52" t="s">
        <v>77</v>
      </c>
      <c r="B553" s="28" t="s">
        <v>77</v>
      </c>
      <c r="C553" s="28" t="s">
        <v>77</v>
      </c>
      <c r="D553" s="28" t="s">
        <v>77</v>
      </c>
      <c r="E553" s="28" t="s">
        <v>77</v>
      </c>
      <c r="F553" s="28" t="s">
        <v>77</v>
      </c>
      <c r="G553" s="28" t="s">
        <v>77</v>
      </c>
      <c r="I553" s="26" t="s">
        <v>77</v>
      </c>
      <c r="J553" s="26" t="s">
        <v>77</v>
      </c>
      <c r="K553" s="18"/>
      <c r="L553" s="26" t="s">
        <v>77</v>
      </c>
      <c r="M553" s="6" t="s">
        <v>77</v>
      </c>
      <c r="N553" s="28" t="s">
        <v>77</v>
      </c>
      <c r="O553" s="26" t="s">
        <v>77</v>
      </c>
    </row>
    <row r="554">
      <c r="A554" s="52" t="s">
        <v>77</v>
      </c>
      <c r="B554" s="28" t="s">
        <v>77</v>
      </c>
      <c r="C554" s="28" t="s">
        <v>77</v>
      </c>
      <c r="D554" s="28" t="s">
        <v>77</v>
      </c>
      <c r="E554" s="28" t="s">
        <v>77</v>
      </c>
      <c r="F554" s="28" t="s">
        <v>77</v>
      </c>
      <c r="G554" s="28" t="s">
        <v>77</v>
      </c>
      <c r="I554" s="26" t="s">
        <v>77</v>
      </c>
      <c r="J554" s="26" t="s">
        <v>77</v>
      </c>
      <c r="K554" s="18"/>
      <c r="L554" s="26" t="s">
        <v>77</v>
      </c>
      <c r="M554" s="6" t="s">
        <v>77</v>
      </c>
      <c r="N554" s="28" t="s">
        <v>77</v>
      </c>
      <c r="O554" s="26" t="s">
        <v>77</v>
      </c>
    </row>
    <row r="555">
      <c r="A555" s="52" t="s">
        <v>77</v>
      </c>
      <c r="B555" s="28" t="s">
        <v>77</v>
      </c>
      <c r="C555" s="28" t="s">
        <v>77</v>
      </c>
      <c r="D555" s="28" t="s">
        <v>77</v>
      </c>
      <c r="E555" s="28" t="s">
        <v>77</v>
      </c>
      <c r="F555" s="28" t="s">
        <v>77</v>
      </c>
      <c r="G555" s="28" t="s">
        <v>77</v>
      </c>
      <c r="I555" s="26" t="s">
        <v>77</v>
      </c>
      <c r="J555" s="26" t="s">
        <v>77</v>
      </c>
      <c r="K555" s="18"/>
      <c r="L555" s="26" t="s">
        <v>77</v>
      </c>
      <c r="M555" s="6" t="s">
        <v>77</v>
      </c>
      <c r="N555" s="28" t="s">
        <v>77</v>
      </c>
      <c r="O555" s="26" t="s">
        <v>77</v>
      </c>
    </row>
    <row r="556">
      <c r="A556" s="52" t="s">
        <v>77</v>
      </c>
      <c r="B556" s="28" t="s">
        <v>77</v>
      </c>
      <c r="C556" s="28" t="s">
        <v>77</v>
      </c>
      <c r="D556" s="28" t="s">
        <v>77</v>
      </c>
      <c r="E556" s="28" t="s">
        <v>77</v>
      </c>
      <c r="F556" s="28" t="s">
        <v>77</v>
      </c>
      <c r="G556" s="28" t="s">
        <v>77</v>
      </c>
      <c r="I556" s="26" t="s">
        <v>77</v>
      </c>
      <c r="J556" s="26" t="s">
        <v>77</v>
      </c>
      <c r="K556" s="18"/>
      <c r="L556" s="26" t="s">
        <v>77</v>
      </c>
      <c r="M556" s="6" t="s">
        <v>77</v>
      </c>
      <c r="N556" s="28" t="s">
        <v>77</v>
      </c>
      <c r="O556" s="26" t="s">
        <v>77</v>
      </c>
    </row>
    <row r="557">
      <c r="A557" s="52" t="s">
        <v>77</v>
      </c>
      <c r="B557" s="28" t="s">
        <v>77</v>
      </c>
      <c r="C557" s="28" t="s">
        <v>77</v>
      </c>
      <c r="D557" s="28" t="s">
        <v>77</v>
      </c>
      <c r="E557" s="28" t="s">
        <v>77</v>
      </c>
      <c r="F557" s="28" t="s">
        <v>77</v>
      </c>
      <c r="G557" s="28" t="s">
        <v>77</v>
      </c>
      <c r="I557" s="26" t="s">
        <v>77</v>
      </c>
      <c r="J557" s="26" t="s">
        <v>77</v>
      </c>
      <c r="K557" s="18"/>
      <c r="L557" s="26" t="s">
        <v>77</v>
      </c>
      <c r="M557" s="6" t="s">
        <v>77</v>
      </c>
      <c r="N557" s="28" t="s">
        <v>77</v>
      </c>
      <c r="O557" s="26" t="s">
        <v>77</v>
      </c>
    </row>
    <row r="558">
      <c r="A558" s="52" t="s">
        <v>77</v>
      </c>
      <c r="B558" s="28" t="s">
        <v>77</v>
      </c>
      <c r="C558" s="28" t="s">
        <v>77</v>
      </c>
      <c r="D558" s="28" t="s">
        <v>77</v>
      </c>
      <c r="E558" s="28" t="s">
        <v>77</v>
      </c>
      <c r="F558" s="28" t="s">
        <v>77</v>
      </c>
      <c r="G558" s="28" t="s">
        <v>77</v>
      </c>
      <c r="I558" s="26" t="s">
        <v>77</v>
      </c>
      <c r="J558" s="26" t="s">
        <v>77</v>
      </c>
      <c r="K558" s="18"/>
      <c r="L558" s="26" t="s">
        <v>77</v>
      </c>
      <c r="M558" s="6" t="s">
        <v>77</v>
      </c>
      <c r="N558" s="28" t="s">
        <v>77</v>
      </c>
      <c r="O558" s="26" t="s">
        <v>77</v>
      </c>
    </row>
    <row r="559">
      <c r="A559" s="52" t="s">
        <v>77</v>
      </c>
      <c r="B559" s="28" t="s">
        <v>77</v>
      </c>
      <c r="C559" s="28" t="s">
        <v>77</v>
      </c>
      <c r="D559" s="28" t="s">
        <v>77</v>
      </c>
      <c r="E559" s="28" t="s">
        <v>77</v>
      </c>
      <c r="F559" s="28" t="s">
        <v>77</v>
      </c>
      <c r="G559" s="28" t="s">
        <v>77</v>
      </c>
      <c r="I559" s="26" t="s">
        <v>77</v>
      </c>
      <c r="J559" s="26" t="s">
        <v>77</v>
      </c>
      <c r="K559" s="18"/>
      <c r="L559" s="26" t="s">
        <v>77</v>
      </c>
      <c r="M559" s="6" t="s">
        <v>77</v>
      </c>
      <c r="N559" s="28" t="s">
        <v>77</v>
      </c>
      <c r="O559" s="26" t="s">
        <v>77</v>
      </c>
    </row>
    <row r="560">
      <c r="A560" s="52" t="s">
        <v>77</v>
      </c>
      <c r="B560" s="28" t="s">
        <v>77</v>
      </c>
      <c r="C560" s="28" t="s">
        <v>77</v>
      </c>
      <c r="D560" s="28" t="s">
        <v>77</v>
      </c>
      <c r="E560" s="28" t="s">
        <v>77</v>
      </c>
      <c r="F560" s="28" t="s">
        <v>77</v>
      </c>
      <c r="G560" s="28" t="s">
        <v>77</v>
      </c>
      <c r="I560" s="26" t="s">
        <v>77</v>
      </c>
      <c r="J560" s="26" t="s">
        <v>77</v>
      </c>
      <c r="K560" s="18"/>
      <c r="L560" s="26" t="s">
        <v>77</v>
      </c>
      <c r="M560" s="6" t="s">
        <v>77</v>
      </c>
      <c r="N560" s="28" t="s">
        <v>77</v>
      </c>
      <c r="O560" s="26" t="s">
        <v>77</v>
      </c>
    </row>
    <row r="561">
      <c r="A561" s="52" t="s">
        <v>77</v>
      </c>
      <c r="B561" s="28" t="s">
        <v>77</v>
      </c>
      <c r="C561" s="28" t="s">
        <v>77</v>
      </c>
      <c r="D561" s="28" t="s">
        <v>77</v>
      </c>
      <c r="E561" s="28" t="s">
        <v>77</v>
      </c>
      <c r="F561" s="28" t="s">
        <v>77</v>
      </c>
      <c r="G561" s="28" t="s">
        <v>77</v>
      </c>
      <c r="I561" s="26" t="s">
        <v>77</v>
      </c>
      <c r="J561" s="26" t="s">
        <v>77</v>
      </c>
      <c r="K561" s="18"/>
      <c r="L561" s="26" t="s">
        <v>77</v>
      </c>
      <c r="M561" s="6" t="s">
        <v>77</v>
      </c>
      <c r="N561" s="28" t="s">
        <v>77</v>
      </c>
      <c r="O561" s="26" t="s">
        <v>77</v>
      </c>
    </row>
    <row r="562">
      <c r="A562" s="52" t="s">
        <v>77</v>
      </c>
      <c r="B562" s="28" t="s">
        <v>77</v>
      </c>
      <c r="C562" s="28" t="s">
        <v>77</v>
      </c>
      <c r="D562" s="28" t="s">
        <v>77</v>
      </c>
      <c r="E562" s="28" t="s">
        <v>77</v>
      </c>
      <c r="F562" s="28" t="s">
        <v>77</v>
      </c>
      <c r="G562" s="28" t="s">
        <v>77</v>
      </c>
      <c r="I562" s="26" t="s">
        <v>77</v>
      </c>
      <c r="J562" s="26" t="s">
        <v>77</v>
      </c>
      <c r="K562" s="18"/>
      <c r="L562" s="26" t="s">
        <v>77</v>
      </c>
      <c r="M562" s="6" t="s">
        <v>77</v>
      </c>
      <c r="N562" s="28" t="s">
        <v>77</v>
      </c>
      <c r="O562" s="26" t="s">
        <v>77</v>
      </c>
    </row>
    <row r="563">
      <c r="A563" s="52" t="s">
        <v>77</v>
      </c>
      <c r="B563" s="28" t="s">
        <v>77</v>
      </c>
      <c r="C563" s="28" t="s">
        <v>77</v>
      </c>
      <c r="D563" s="28" t="s">
        <v>77</v>
      </c>
      <c r="E563" s="28" t="s">
        <v>77</v>
      </c>
      <c r="F563" s="28" t="s">
        <v>77</v>
      </c>
      <c r="G563" s="28" t="s">
        <v>77</v>
      </c>
      <c r="I563" s="26" t="s">
        <v>77</v>
      </c>
      <c r="J563" s="26" t="s">
        <v>77</v>
      </c>
      <c r="K563" s="18"/>
      <c r="L563" s="26" t="s">
        <v>77</v>
      </c>
      <c r="M563" s="6" t="s">
        <v>77</v>
      </c>
      <c r="N563" s="28" t="s">
        <v>77</v>
      </c>
      <c r="O563" s="26" t="s">
        <v>77</v>
      </c>
    </row>
    <row r="564">
      <c r="A564" s="52" t="s">
        <v>77</v>
      </c>
      <c r="B564" s="28" t="s">
        <v>77</v>
      </c>
      <c r="C564" s="28" t="s">
        <v>77</v>
      </c>
      <c r="D564" s="28" t="s">
        <v>77</v>
      </c>
      <c r="E564" s="28" t="s">
        <v>77</v>
      </c>
      <c r="F564" s="28" t="s">
        <v>77</v>
      </c>
      <c r="G564" s="28" t="s">
        <v>77</v>
      </c>
      <c r="I564" s="26" t="s">
        <v>77</v>
      </c>
      <c r="J564" s="26" t="s">
        <v>77</v>
      </c>
      <c r="K564" s="18"/>
      <c r="L564" s="26" t="s">
        <v>77</v>
      </c>
      <c r="M564" s="6" t="s">
        <v>77</v>
      </c>
      <c r="N564" s="28" t="s">
        <v>77</v>
      </c>
      <c r="O564" s="26" t="s">
        <v>77</v>
      </c>
    </row>
    <row r="565">
      <c r="A565" s="52" t="s">
        <v>77</v>
      </c>
      <c r="B565" s="28" t="s">
        <v>77</v>
      </c>
      <c r="C565" s="28" t="s">
        <v>77</v>
      </c>
      <c r="D565" s="28" t="s">
        <v>77</v>
      </c>
      <c r="E565" s="28" t="s">
        <v>77</v>
      </c>
      <c r="F565" s="28" t="s">
        <v>77</v>
      </c>
      <c r="G565" s="28" t="s">
        <v>77</v>
      </c>
      <c r="I565" s="26" t="s">
        <v>77</v>
      </c>
      <c r="J565" s="26" t="s">
        <v>77</v>
      </c>
      <c r="K565" s="18"/>
      <c r="L565" s="26" t="s">
        <v>77</v>
      </c>
      <c r="M565" s="6" t="s">
        <v>77</v>
      </c>
      <c r="N565" s="28" t="s">
        <v>77</v>
      </c>
      <c r="O565" s="26" t="s">
        <v>77</v>
      </c>
    </row>
    <row r="566">
      <c r="A566" s="52" t="s">
        <v>77</v>
      </c>
      <c r="B566" s="28" t="s">
        <v>77</v>
      </c>
      <c r="C566" s="28" t="s">
        <v>77</v>
      </c>
      <c r="D566" s="28" t="s">
        <v>77</v>
      </c>
      <c r="E566" s="28" t="s">
        <v>77</v>
      </c>
      <c r="F566" s="28" t="s">
        <v>77</v>
      </c>
      <c r="G566" s="28" t="s">
        <v>77</v>
      </c>
      <c r="I566" s="26" t="s">
        <v>77</v>
      </c>
      <c r="J566" s="26" t="s">
        <v>77</v>
      </c>
      <c r="K566" s="18"/>
      <c r="L566" s="26" t="s">
        <v>77</v>
      </c>
      <c r="M566" s="6" t="s">
        <v>77</v>
      </c>
      <c r="N566" s="28" t="s">
        <v>77</v>
      </c>
      <c r="O566" s="26" t="s">
        <v>77</v>
      </c>
    </row>
    <row r="567">
      <c r="A567" s="52" t="s">
        <v>77</v>
      </c>
      <c r="B567" s="28" t="s">
        <v>77</v>
      </c>
      <c r="C567" s="28" t="s">
        <v>77</v>
      </c>
      <c r="D567" s="28" t="s">
        <v>77</v>
      </c>
      <c r="E567" s="28" t="s">
        <v>77</v>
      </c>
      <c r="F567" s="28" t="s">
        <v>77</v>
      </c>
      <c r="G567" s="28" t="s">
        <v>77</v>
      </c>
      <c r="I567" s="26" t="s">
        <v>77</v>
      </c>
      <c r="J567" s="26" t="s">
        <v>77</v>
      </c>
      <c r="K567" s="18"/>
      <c r="L567" s="26" t="s">
        <v>77</v>
      </c>
      <c r="M567" s="6" t="s">
        <v>77</v>
      </c>
      <c r="N567" s="28" t="s">
        <v>77</v>
      </c>
      <c r="O567" s="26" t="s">
        <v>77</v>
      </c>
    </row>
    <row r="568">
      <c r="A568" s="52" t="s">
        <v>77</v>
      </c>
      <c r="B568" s="28" t="s">
        <v>77</v>
      </c>
      <c r="C568" s="28" t="s">
        <v>77</v>
      </c>
      <c r="D568" s="28" t="s">
        <v>77</v>
      </c>
      <c r="E568" s="28" t="s">
        <v>77</v>
      </c>
      <c r="F568" s="28" t="s">
        <v>77</v>
      </c>
      <c r="G568" s="28" t="s">
        <v>77</v>
      </c>
      <c r="I568" s="26" t="s">
        <v>77</v>
      </c>
      <c r="J568" s="26" t="s">
        <v>77</v>
      </c>
      <c r="K568" s="18"/>
      <c r="L568" s="26" t="s">
        <v>77</v>
      </c>
      <c r="M568" s="6" t="s">
        <v>77</v>
      </c>
      <c r="N568" s="28" t="s">
        <v>77</v>
      </c>
      <c r="O568" s="26" t="s">
        <v>77</v>
      </c>
    </row>
    <row r="569">
      <c r="A569" s="52" t="s">
        <v>77</v>
      </c>
      <c r="B569" s="28" t="s">
        <v>77</v>
      </c>
      <c r="C569" s="28" t="s">
        <v>77</v>
      </c>
      <c r="D569" s="28" t="s">
        <v>77</v>
      </c>
      <c r="E569" s="28" t="s">
        <v>77</v>
      </c>
      <c r="F569" s="28" t="s">
        <v>77</v>
      </c>
      <c r="G569" s="28" t="s">
        <v>77</v>
      </c>
      <c r="I569" s="26" t="s">
        <v>77</v>
      </c>
      <c r="J569" s="26" t="s">
        <v>77</v>
      </c>
      <c r="K569" s="18"/>
      <c r="L569" s="26" t="s">
        <v>77</v>
      </c>
      <c r="M569" s="6" t="s">
        <v>77</v>
      </c>
      <c r="N569" s="28" t="s">
        <v>77</v>
      </c>
      <c r="O569" s="26" t="s">
        <v>77</v>
      </c>
    </row>
    <row r="570">
      <c r="A570" s="52" t="s">
        <v>77</v>
      </c>
      <c r="B570" s="28" t="s">
        <v>77</v>
      </c>
      <c r="C570" s="28" t="s">
        <v>77</v>
      </c>
      <c r="D570" s="28" t="s">
        <v>77</v>
      </c>
      <c r="E570" s="28" t="s">
        <v>77</v>
      </c>
      <c r="F570" s="28" t="s">
        <v>77</v>
      </c>
      <c r="G570" s="28" t="s">
        <v>77</v>
      </c>
      <c r="I570" s="26" t="s">
        <v>77</v>
      </c>
      <c r="J570" s="26" t="s">
        <v>77</v>
      </c>
      <c r="K570" s="18"/>
      <c r="L570" s="26" t="s">
        <v>77</v>
      </c>
      <c r="M570" s="6" t="s">
        <v>77</v>
      </c>
      <c r="N570" s="28" t="s">
        <v>77</v>
      </c>
      <c r="O570" s="26" t="s">
        <v>77</v>
      </c>
    </row>
    <row r="571">
      <c r="A571" s="52" t="s">
        <v>77</v>
      </c>
      <c r="B571" s="28" t="s">
        <v>77</v>
      </c>
      <c r="C571" s="28" t="s">
        <v>77</v>
      </c>
      <c r="D571" s="28" t="s">
        <v>77</v>
      </c>
      <c r="E571" s="28" t="s">
        <v>77</v>
      </c>
      <c r="F571" s="28" t="s">
        <v>77</v>
      </c>
      <c r="G571" s="28" t="s">
        <v>77</v>
      </c>
      <c r="I571" s="26" t="s">
        <v>77</v>
      </c>
      <c r="J571" s="26" t="s">
        <v>77</v>
      </c>
      <c r="K571" s="18"/>
      <c r="L571" s="26" t="s">
        <v>77</v>
      </c>
      <c r="M571" s="6" t="s">
        <v>77</v>
      </c>
      <c r="N571" s="28" t="s">
        <v>77</v>
      </c>
      <c r="O571" s="26" t="s">
        <v>77</v>
      </c>
    </row>
    <row r="572">
      <c r="A572" s="52" t="s">
        <v>77</v>
      </c>
      <c r="B572" s="28" t="s">
        <v>77</v>
      </c>
      <c r="C572" s="28" t="s">
        <v>77</v>
      </c>
      <c r="D572" s="28" t="s">
        <v>77</v>
      </c>
      <c r="E572" s="28" t="s">
        <v>77</v>
      </c>
      <c r="F572" s="28" t="s">
        <v>77</v>
      </c>
      <c r="G572" s="28" t="s">
        <v>77</v>
      </c>
      <c r="I572" s="26" t="s">
        <v>77</v>
      </c>
      <c r="J572" s="26" t="s">
        <v>77</v>
      </c>
      <c r="K572" s="18"/>
      <c r="L572" s="26" t="s">
        <v>77</v>
      </c>
      <c r="M572" s="6" t="s">
        <v>77</v>
      </c>
      <c r="N572" s="28" t="s">
        <v>77</v>
      </c>
      <c r="O572" s="26" t="s">
        <v>77</v>
      </c>
    </row>
    <row r="573">
      <c r="A573" s="52" t="s">
        <v>77</v>
      </c>
      <c r="B573" s="28" t="s">
        <v>77</v>
      </c>
      <c r="C573" s="28" t="s">
        <v>77</v>
      </c>
      <c r="D573" s="28" t="s">
        <v>77</v>
      </c>
      <c r="E573" s="28" t="s">
        <v>77</v>
      </c>
      <c r="F573" s="28" t="s">
        <v>77</v>
      </c>
      <c r="G573" s="28" t="s">
        <v>77</v>
      </c>
      <c r="I573" s="26" t="s">
        <v>77</v>
      </c>
      <c r="J573" s="26" t="s">
        <v>77</v>
      </c>
      <c r="K573" s="18"/>
      <c r="L573" s="26" t="s">
        <v>77</v>
      </c>
      <c r="M573" s="6" t="s">
        <v>77</v>
      </c>
      <c r="N573" s="28" t="s">
        <v>77</v>
      </c>
      <c r="O573" s="26" t="s">
        <v>77</v>
      </c>
    </row>
    <row r="574">
      <c r="A574" s="52" t="s">
        <v>77</v>
      </c>
      <c r="B574" s="28" t="s">
        <v>77</v>
      </c>
      <c r="C574" s="28" t="s">
        <v>77</v>
      </c>
      <c r="D574" s="28" t="s">
        <v>77</v>
      </c>
      <c r="E574" s="28" t="s">
        <v>77</v>
      </c>
      <c r="F574" s="28" t="s">
        <v>77</v>
      </c>
      <c r="G574" s="28" t="s">
        <v>77</v>
      </c>
      <c r="I574" s="26" t="s">
        <v>77</v>
      </c>
      <c r="J574" s="26" t="s">
        <v>77</v>
      </c>
      <c r="K574" s="18"/>
      <c r="L574" s="26" t="s">
        <v>77</v>
      </c>
      <c r="M574" s="6" t="s">
        <v>77</v>
      </c>
      <c r="N574" s="28" t="s">
        <v>77</v>
      </c>
      <c r="O574" s="26" t="s">
        <v>77</v>
      </c>
    </row>
    <row r="575">
      <c r="A575" s="52" t="s">
        <v>77</v>
      </c>
      <c r="B575" s="28" t="s">
        <v>77</v>
      </c>
      <c r="C575" s="28" t="s">
        <v>77</v>
      </c>
      <c r="D575" s="28" t="s">
        <v>77</v>
      </c>
      <c r="E575" s="28" t="s">
        <v>77</v>
      </c>
      <c r="F575" s="28" t="s">
        <v>77</v>
      </c>
      <c r="G575" s="28" t="s">
        <v>77</v>
      </c>
      <c r="I575" s="26" t="s">
        <v>77</v>
      </c>
      <c r="J575" s="26" t="s">
        <v>77</v>
      </c>
      <c r="K575" s="18"/>
      <c r="L575" s="26" t="s">
        <v>77</v>
      </c>
      <c r="M575" s="6" t="s">
        <v>77</v>
      </c>
      <c r="N575" s="28" t="s">
        <v>77</v>
      </c>
      <c r="O575" s="26" t="s">
        <v>77</v>
      </c>
    </row>
    <row r="576">
      <c r="A576" s="52" t="s">
        <v>77</v>
      </c>
      <c r="B576" s="28" t="s">
        <v>77</v>
      </c>
      <c r="C576" s="28" t="s">
        <v>77</v>
      </c>
      <c r="D576" s="28" t="s">
        <v>77</v>
      </c>
      <c r="E576" s="28" t="s">
        <v>77</v>
      </c>
      <c r="F576" s="28" t="s">
        <v>77</v>
      </c>
      <c r="G576" s="28" t="s">
        <v>77</v>
      </c>
      <c r="I576" s="26" t="s">
        <v>77</v>
      </c>
      <c r="J576" s="26" t="s">
        <v>77</v>
      </c>
      <c r="K576" s="18"/>
      <c r="L576" s="26" t="s">
        <v>77</v>
      </c>
      <c r="M576" s="6" t="s">
        <v>77</v>
      </c>
      <c r="N576" s="28" t="s">
        <v>77</v>
      </c>
      <c r="O576" s="26" t="s">
        <v>77</v>
      </c>
    </row>
    <row r="577">
      <c r="A577" s="52" t="s">
        <v>77</v>
      </c>
      <c r="B577" s="28" t="s">
        <v>77</v>
      </c>
      <c r="C577" s="28" t="s">
        <v>77</v>
      </c>
      <c r="D577" s="28" t="s">
        <v>77</v>
      </c>
      <c r="E577" s="28" t="s">
        <v>77</v>
      </c>
      <c r="F577" s="28" t="s">
        <v>77</v>
      </c>
      <c r="G577" s="28" t="s">
        <v>77</v>
      </c>
      <c r="I577" s="26" t="s">
        <v>77</v>
      </c>
      <c r="J577" s="26" t="s">
        <v>77</v>
      </c>
      <c r="K577" s="18"/>
      <c r="L577" s="26" t="s">
        <v>77</v>
      </c>
      <c r="M577" s="6" t="s">
        <v>77</v>
      </c>
      <c r="N577" s="28" t="s">
        <v>77</v>
      </c>
      <c r="O577" s="26" t="s">
        <v>77</v>
      </c>
    </row>
    <row r="578">
      <c r="A578" s="52" t="s">
        <v>77</v>
      </c>
      <c r="B578" s="28" t="s">
        <v>77</v>
      </c>
      <c r="C578" s="28" t="s">
        <v>77</v>
      </c>
      <c r="D578" s="28" t="s">
        <v>77</v>
      </c>
      <c r="E578" s="28" t="s">
        <v>77</v>
      </c>
      <c r="F578" s="28" t="s">
        <v>77</v>
      </c>
      <c r="G578" s="28" t="s">
        <v>77</v>
      </c>
      <c r="I578" s="26" t="s">
        <v>77</v>
      </c>
      <c r="J578" s="26" t="s">
        <v>77</v>
      </c>
      <c r="K578" s="18"/>
      <c r="L578" s="26" t="s">
        <v>77</v>
      </c>
      <c r="M578" s="6" t="s">
        <v>77</v>
      </c>
      <c r="N578" s="28" t="s">
        <v>77</v>
      </c>
      <c r="O578" s="26" t="s">
        <v>77</v>
      </c>
    </row>
    <row r="579">
      <c r="A579" s="52" t="s">
        <v>77</v>
      </c>
      <c r="B579" s="28" t="s">
        <v>77</v>
      </c>
      <c r="C579" s="28" t="s">
        <v>77</v>
      </c>
      <c r="D579" s="28" t="s">
        <v>77</v>
      </c>
      <c r="E579" s="28" t="s">
        <v>77</v>
      </c>
      <c r="F579" s="28" t="s">
        <v>77</v>
      </c>
      <c r="G579" s="28" t="s">
        <v>77</v>
      </c>
      <c r="I579" s="26" t="s">
        <v>77</v>
      </c>
      <c r="J579" s="26" t="s">
        <v>77</v>
      </c>
      <c r="K579" s="18"/>
      <c r="L579" s="26" t="s">
        <v>77</v>
      </c>
      <c r="M579" s="6" t="s">
        <v>77</v>
      </c>
      <c r="N579" s="28" t="s">
        <v>77</v>
      </c>
      <c r="O579" s="26" t="s">
        <v>77</v>
      </c>
    </row>
    <row r="580">
      <c r="A580" s="52" t="s">
        <v>77</v>
      </c>
      <c r="B580" s="28" t="s">
        <v>77</v>
      </c>
      <c r="C580" s="28" t="s">
        <v>77</v>
      </c>
      <c r="D580" s="28" t="s">
        <v>77</v>
      </c>
      <c r="E580" s="28" t="s">
        <v>77</v>
      </c>
      <c r="F580" s="28" t="s">
        <v>77</v>
      </c>
      <c r="G580" s="28" t="s">
        <v>77</v>
      </c>
      <c r="I580" s="26" t="s">
        <v>77</v>
      </c>
      <c r="J580" s="26" t="s">
        <v>77</v>
      </c>
      <c r="K580" s="18"/>
      <c r="L580" s="26" t="s">
        <v>77</v>
      </c>
      <c r="M580" s="6" t="s">
        <v>77</v>
      </c>
      <c r="N580" s="28" t="s">
        <v>77</v>
      </c>
      <c r="O580" s="26" t="s">
        <v>77</v>
      </c>
    </row>
    <row r="581">
      <c r="A581" s="52" t="s">
        <v>77</v>
      </c>
      <c r="B581" s="28" t="s">
        <v>77</v>
      </c>
      <c r="C581" s="28" t="s">
        <v>77</v>
      </c>
      <c r="D581" s="28" t="s">
        <v>77</v>
      </c>
      <c r="E581" s="28" t="s">
        <v>77</v>
      </c>
      <c r="F581" s="28" t="s">
        <v>77</v>
      </c>
      <c r="G581" s="28" t="s">
        <v>77</v>
      </c>
      <c r="I581" s="26" t="s">
        <v>77</v>
      </c>
      <c r="J581" s="26" t="s">
        <v>77</v>
      </c>
      <c r="K581" s="18"/>
      <c r="L581" s="26" t="s">
        <v>77</v>
      </c>
      <c r="M581" s="6" t="s">
        <v>77</v>
      </c>
      <c r="N581" s="28" t="s">
        <v>77</v>
      </c>
      <c r="O581" s="26" t="s">
        <v>77</v>
      </c>
    </row>
    <row r="582">
      <c r="A582" s="52" t="s">
        <v>77</v>
      </c>
      <c r="B582" s="28" t="s">
        <v>77</v>
      </c>
      <c r="C582" s="28" t="s">
        <v>77</v>
      </c>
      <c r="D582" s="28" t="s">
        <v>77</v>
      </c>
      <c r="E582" s="28" t="s">
        <v>77</v>
      </c>
      <c r="F582" s="28" t="s">
        <v>77</v>
      </c>
      <c r="G582" s="28" t="s">
        <v>77</v>
      </c>
      <c r="I582" s="26" t="s">
        <v>77</v>
      </c>
      <c r="J582" s="26" t="s">
        <v>77</v>
      </c>
      <c r="K582" s="18"/>
      <c r="L582" s="26" t="s">
        <v>77</v>
      </c>
      <c r="M582" s="6" t="s">
        <v>77</v>
      </c>
      <c r="N582" s="28" t="s">
        <v>77</v>
      </c>
      <c r="O582" s="26" t="s">
        <v>77</v>
      </c>
    </row>
    <row r="583">
      <c r="A583" s="52" t="s">
        <v>77</v>
      </c>
      <c r="B583" s="28" t="s">
        <v>77</v>
      </c>
      <c r="C583" s="28" t="s">
        <v>77</v>
      </c>
      <c r="D583" s="28" t="s">
        <v>77</v>
      </c>
      <c r="E583" s="28" t="s">
        <v>77</v>
      </c>
      <c r="F583" s="28" t="s">
        <v>77</v>
      </c>
      <c r="G583" s="28" t="s">
        <v>77</v>
      </c>
      <c r="I583" s="26" t="s">
        <v>77</v>
      </c>
      <c r="J583" s="26" t="s">
        <v>77</v>
      </c>
      <c r="K583" s="18"/>
      <c r="L583" s="26" t="s">
        <v>77</v>
      </c>
      <c r="M583" s="6" t="s">
        <v>77</v>
      </c>
      <c r="N583" s="28" t="s">
        <v>77</v>
      </c>
      <c r="O583" s="26" t="s">
        <v>77</v>
      </c>
    </row>
    <row r="584">
      <c r="A584" s="52" t="s">
        <v>77</v>
      </c>
      <c r="B584" s="28" t="s">
        <v>77</v>
      </c>
      <c r="C584" s="28" t="s">
        <v>77</v>
      </c>
      <c r="D584" s="28" t="s">
        <v>77</v>
      </c>
      <c r="E584" s="28" t="s">
        <v>77</v>
      </c>
      <c r="F584" s="28" t="s">
        <v>77</v>
      </c>
      <c r="G584" s="28" t="s">
        <v>77</v>
      </c>
      <c r="I584" s="26" t="s">
        <v>77</v>
      </c>
      <c r="J584" s="26" t="s">
        <v>77</v>
      </c>
      <c r="K584" s="18"/>
      <c r="L584" s="26" t="s">
        <v>77</v>
      </c>
      <c r="M584" s="6" t="s">
        <v>77</v>
      </c>
      <c r="N584" s="28" t="s">
        <v>77</v>
      </c>
      <c r="O584" s="26" t="s">
        <v>77</v>
      </c>
    </row>
    <row r="585">
      <c r="A585" s="52" t="s">
        <v>77</v>
      </c>
      <c r="B585" s="28" t="s">
        <v>77</v>
      </c>
      <c r="C585" s="28" t="s">
        <v>77</v>
      </c>
      <c r="D585" s="28" t="s">
        <v>77</v>
      </c>
      <c r="E585" s="28" t="s">
        <v>77</v>
      </c>
      <c r="F585" s="28" t="s">
        <v>77</v>
      </c>
      <c r="G585" s="28" t="s">
        <v>77</v>
      </c>
      <c r="I585" s="26" t="s">
        <v>77</v>
      </c>
      <c r="J585" s="26" t="s">
        <v>77</v>
      </c>
      <c r="K585" s="18"/>
      <c r="L585" s="26" t="s">
        <v>77</v>
      </c>
      <c r="M585" s="6" t="s">
        <v>77</v>
      </c>
      <c r="N585" s="28" t="s">
        <v>77</v>
      </c>
      <c r="O585" s="26" t="s">
        <v>77</v>
      </c>
    </row>
    <row r="586">
      <c r="A586" s="52" t="s">
        <v>77</v>
      </c>
      <c r="B586" s="28" t="s">
        <v>77</v>
      </c>
      <c r="C586" s="28" t="s">
        <v>77</v>
      </c>
      <c r="D586" s="28" t="s">
        <v>77</v>
      </c>
      <c r="E586" s="28" t="s">
        <v>77</v>
      </c>
      <c r="F586" s="28" t="s">
        <v>77</v>
      </c>
      <c r="G586" s="28" t="s">
        <v>77</v>
      </c>
      <c r="I586" s="26" t="s">
        <v>77</v>
      </c>
      <c r="J586" s="26" t="s">
        <v>77</v>
      </c>
      <c r="K586" s="18"/>
      <c r="L586" s="26" t="s">
        <v>77</v>
      </c>
      <c r="M586" s="6" t="s">
        <v>77</v>
      </c>
      <c r="N586" s="28" t="s">
        <v>77</v>
      </c>
      <c r="O586" s="26" t="s">
        <v>77</v>
      </c>
    </row>
    <row r="587">
      <c r="A587" s="52" t="s">
        <v>77</v>
      </c>
      <c r="B587" s="28" t="s">
        <v>77</v>
      </c>
      <c r="C587" s="28" t="s">
        <v>77</v>
      </c>
      <c r="D587" s="28" t="s">
        <v>77</v>
      </c>
      <c r="E587" s="28" t="s">
        <v>77</v>
      </c>
      <c r="F587" s="28" t="s">
        <v>77</v>
      </c>
      <c r="G587" s="28" t="s">
        <v>77</v>
      </c>
      <c r="I587" s="26" t="s">
        <v>77</v>
      </c>
      <c r="J587" s="26" t="s">
        <v>77</v>
      </c>
      <c r="K587" s="18"/>
      <c r="L587" s="26" t="s">
        <v>77</v>
      </c>
      <c r="M587" s="6" t="s">
        <v>77</v>
      </c>
      <c r="N587" s="28" t="s">
        <v>77</v>
      </c>
      <c r="O587" s="26" t="s">
        <v>77</v>
      </c>
    </row>
    <row r="588">
      <c r="A588" s="52" t="s">
        <v>77</v>
      </c>
      <c r="B588" s="28" t="s">
        <v>77</v>
      </c>
      <c r="C588" s="28" t="s">
        <v>77</v>
      </c>
      <c r="D588" s="28" t="s">
        <v>77</v>
      </c>
      <c r="E588" s="28" t="s">
        <v>77</v>
      </c>
      <c r="F588" s="28" t="s">
        <v>77</v>
      </c>
      <c r="G588" s="28" t="s">
        <v>77</v>
      </c>
      <c r="I588" s="26" t="s">
        <v>77</v>
      </c>
      <c r="J588" s="26" t="s">
        <v>77</v>
      </c>
      <c r="K588" s="18"/>
      <c r="L588" s="26" t="s">
        <v>77</v>
      </c>
      <c r="M588" s="6" t="s">
        <v>77</v>
      </c>
      <c r="N588" s="28" t="s">
        <v>77</v>
      </c>
      <c r="O588" s="26" t="s">
        <v>77</v>
      </c>
    </row>
    <row r="589">
      <c r="A589" s="52" t="s">
        <v>77</v>
      </c>
      <c r="B589" s="28" t="s">
        <v>77</v>
      </c>
      <c r="C589" s="28" t="s">
        <v>77</v>
      </c>
      <c r="D589" s="28" t="s">
        <v>77</v>
      </c>
      <c r="E589" s="28" t="s">
        <v>77</v>
      </c>
      <c r="F589" s="28" t="s">
        <v>77</v>
      </c>
      <c r="G589" s="28" t="s">
        <v>77</v>
      </c>
      <c r="I589" s="26" t="s">
        <v>77</v>
      </c>
      <c r="J589" s="26" t="s">
        <v>77</v>
      </c>
      <c r="K589" s="18"/>
      <c r="L589" s="26" t="s">
        <v>77</v>
      </c>
      <c r="M589" s="6" t="s">
        <v>77</v>
      </c>
      <c r="N589" s="28" t="s">
        <v>77</v>
      </c>
      <c r="O589" s="26" t="s">
        <v>77</v>
      </c>
    </row>
    <row r="590">
      <c r="A590" s="52" t="s">
        <v>77</v>
      </c>
      <c r="B590" s="28" t="s">
        <v>77</v>
      </c>
      <c r="C590" s="28" t="s">
        <v>77</v>
      </c>
      <c r="D590" s="28" t="s">
        <v>77</v>
      </c>
      <c r="E590" s="28" t="s">
        <v>77</v>
      </c>
      <c r="F590" s="28" t="s">
        <v>77</v>
      </c>
      <c r="G590" s="28" t="s">
        <v>77</v>
      </c>
      <c r="I590" s="26" t="s">
        <v>77</v>
      </c>
      <c r="J590" s="26" t="s">
        <v>77</v>
      </c>
      <c r="K590" s="18"/>
      <c r="L590" s="26" t="s">
        <v>77</v>
      </c>
      <c r="M590" s="6" t="s">
        <v>77</v>
      </c>
      <c r="N590" s="28" t="s">
        <v>77</v>
      </c>
      <c r="O590" s="26" t="s">
        <v>77</v>
      </c>
    </row>
    <row r="591">
      <c r="A591" s="52" t="s">
        <v>77</v>
      </c>
      <c r="B591" s="28" t="s">
        <v>77</v>
      </c>
      <c r="C591" s="28" t="s">
        <v>77</v>
      </c>
      <c r="D591" s="28" t="s">
        <v>77</v>
      </c>
      <c r="E591" s="28" t="s">
        <v>77</v>
      </c>
      <c r="F591" s="28" t="s">
        <v>77</v>
      </c>
      <c r="G591" s="28" t="s">
        <v>77</v>
      </c>
      <c r="I591" s="26" t="s">
        <v>77</v>
      </c>
      <c r="J591" s="26" t="s">
        <v>77</v>
      </c>
      <c r="K591" s="18"/>
      <c r="L591" s="26" t="s">
        <v>77</v>
      </c>
      <c r="M591" s="6" t="s">
        <v>77</v>
      </c>
      <c r="N591" s="28" t="s">
        <v>77</v>
      </c>
      <c r="O591" s="26" t="s">
        <v>77</v>
      </c>
    </row>
    <row r="592">
      <c r="A592" s="52" t="s">
        <v>77</v>
      </c>
      <c r="B592" s="28" t="s">
        <v>77</v>
      </c>
      <c r="C592" s="28" t="s">
        <v>77</v>
      </c>
      <c r="D592" s="28" t="s">
        <v>77</v>
      </c>
      <c r="E592" s="28" t="s">
        <v>77</v>
      </c>
      <c r="F592" s="28" t="s">
        <v>77</v>
      </c>
      <c r="G592" s="28" t="s">
        <v>77</v>
      </c>
      <c r="I592" s="26" t="s">
        <v>77</v>
      </c>
      <c r="J592" s="26" t="s">
        <v>77</v>
      </c>
      <c r="K592" s="18"/>
      <c r="L592" s="26" t="s">
        <v>77</v>
      </c>
      <c r="M592" s="6" t="s">
        <v>77</v>
      </c>
      <c r="N592" s="28" t="s">
        <v>77</v>
      </c>
      <c r="O592" s="26" t="s">
        <v>77</v>
      </c>
    </row>
    <row r="593">
      <c r="A593" s="52" t="s">
        <v>77</v>
      </c>
      <c r="B593" s="28" t="s">
        <v>77</v>
      </c>
      <c r="C593" s="28" t="s">
        <v>77</v>
      </c>
      <c r="D593" s="28" t="s">
        <v>77</v>
      </c>
      <c r="E593" s="28" t="s">
        <v>77</v>
      </c>
      <c r="F593" s="28" t="s">
        <v>77</v>
      </c>
      <c r="G593" s="28" t="s">
        <v>77</v>
      </c>
      <c r="I593" s="26" t="s">
        <v>77</v>
      </c>
      <c r="J593" s="26" t="s">
        <v>77</v>
      </c>
      <c r="K593" s="18"/>
      <c r="L593" s="26" t="s">
        <v>77</v>
      </c>
      <c r="M593" s="6" t="s">
        <v>77</v>
      </c>
      <c r="N593" s="28" t="s">
        <v>77</v>
      </c>
      <c r="O593" s="26" t="s">
        <v>77</v>
      </c>
    </row>
    <row r="594">
      <c r="A594" s="52" t="s">
        <v>77</v>
      </c>
      <c r="B594" s="28" t="s">
        <v>77</v>
      </c>
      <c r="C594" s="28" t="s">
        <v>77</v>
      </c>
      <c r="D594" s="28" t="s">
        <v>77</v>
      </c>
      <c r="E594" s="28" t="s">
        <v>77</v>
      </c>
      <c r="F594" s="28" t="s">
        <v>77</v>
      </c>
      <c r="G594" s="28" t="s">
        <v>77</v>
      </c>
      <c r="I594" s="26" t="s">
        <v>77</v>
      </c>
      <c r="J594" s="26" t="s">
        <v>77</v>
      </c>
      <c r="K594" s="18"/>
      <c r="L594" s="26" t="s">
        <v>77</v>
      </c>
      <c r="M594" s="6" t="s">
        <v>77</v>
      </c>
      <c r="N594" s="28" t="s">
        <v>77</v>
      </c>
      <c r="O594" s="26" t="s">
        <v>77</v>
      </c>
    </row>
    <row r="595">
      <c r="A595" s="52" t="s">
        <v>77</v>
      </c>
      <c r="B595" s="28" t="s">
        <v>77</v>
      </c>
      <c r="C595" s="28" t="s">
        <v>77</v>
      </c>
      <c r="D595" s="28" t="s">
        <v>77</v>
      </c>
      <c r="E595" s="28" t="s">
        <v>77</v>
      </c>
      <c r="F595" s="28" t="s">
        <v>77</v>
      </c>
      <c r="G595" s="28" t="s">
        <v>77</v>
      </c>
      <c r="I595" s="26" t="s">
        <v>77</v>
      </c>
      <c r="J595" s="26" t="s">
        <v>77</v>
      </c>
      <c r="K595" s="18"/>
      <c r="L595" s="26" t="s">
        <v>77</v>
      </c>
      <c r="M595" s="6" t="s">
        <v>77</v>
      </c>
      <c r="N595" s="28" t="s">
        <v>77</v>
      </c>
      <c r="O595" s="26" t="s">
        <v>77</v>
      </c>
    </row>
    <row r="596">
      <c r="A596" s="52" t="s">
        <v>77</v>
      </c>
      <c r="B596" s="28" t="s">
        <v>77</v>
      </c>
      <c r="C596" s="28" t="s">
        <v>77</v>
      </c>
      <c r="D596" s="28" t="s">
        <v>77</v>
      </c>
      <c r="E596" s="28" t="s">
        <v>77</v>
      </c>
      <c r="F596" s="28" t="s">
        <v>77</v>
      </c>
      <c r="G596" s="28" t="s">
        <v>77</v>
      </c>
      <c r="I596" s="26" t="s">
        <v>77</v>
      </c>
      <c r="J596" s="26" t="s">
        <v>77</v>
      </c>
      <c r="K596" s="18"/>
      <c r="L596" s="26" t="s">
        <v>77</v>
      </c>
      <c r="M596" s="6" t="s">
        <v>77</v>
      </c>
      <c r="N596" s="28" t="s">
        <v>77</v>
      </c>
      <c r="O596" s="26" t="s">
        <v>77</v>
      </c>
    </row>
    <row r="597">
      <c r="A597" s="52" t="s">
        <v>77</v>
      </c>
      <c r="B597" s="28" t="s">
        <v>77</v>
      </c>
      <c r="C597" s="28" t="s">
        <v>77</v>
      </c>
      <c r="D597" s="28" t="s">
        <v>77</v>
      </c>
      <c r="E597" s="28" t="s">
        <v>77</v>
      </c>
      <c r="F597" s="28" t="s">
        <v>77</v>
      </c>
      <c r="G597" s="28" t="s">
        <v>77</v>
      </c>
      <c r="I597" s="26" t="s">
        <v>77</v>
      </c>
      <c r="J597" s="26" t="s">
        <v>77</v>
      </c>
      <c r="K597" s="18"/>
      <c r="L597" s="26" t="s">
        <v>77</v>
      </c>
      <c r="M597" s="6" t="s">
        <v>77</v>
      </c>
      <c r="N597" s="28" t="s">
        <v>77</v>
      </c>
      <c r="O597" s="26" t="s">
        <v>77</v>
      </c>
    </row>
    <row r="598">
      <c r="A598" s="52" t="s">
        <v>77</v>
      </c>
      <c r="B598" s="28" t="s">
        <v>77</v>
      </c>
      <c r="C598" s="28" t="s">
        <v>77</v>
      </c>
      <c r="D598" s="28" t="s">
        <v>77</v>
      </c>
      <c r="E598" s="28" t="s">
        <v>77</v>
      </c>
      <c r="F598" s="28" t="s">
        <v>77</v>
      </c>
      <c r="G598" s="28" t="s">
        <v>77</v>
      </c>
      <c r="I598" s="26" t="s">
        <v>77</v>
      </c>
      <c r="J598" s="26" t="s">
        <v>77</v>
      </c>
      <c r="K598" s="18"/>
      <c r="L598" s="26" t="s">
        <v>77</v>
      </c>
      <c r="M598" s="6" t="s">
        <v>77</v>
      </c>
      <c r="N598" s="28" t="s">
        <v>77</v>
      </c>
      <c r="O598" s="26" t="s">
        <v>77</v>
      </c>
    </row>
    <row r="599">
      <c r="A599" s="52" t="s">
        <v>77</v>
      </c>
      <c r="B599" s="28" t="s">
        <v>77</v>
      </c>
      <c r="C599" s="28" t="s">
        <v>77</v>
      </c>
      <c r="D599" s="28" t="s">
        <v>77</v>
      </c>
      <c r="E599" s="28" t="s">
        <v>77</v>
      </c>
      <c r="F599" s="28" t="s">
        <v>77</v>
      </c>
      <c r="G599" s="28" t="s">
        <v>77</v>
      </c>
      <c r="I599" s="26" t="s">
        <v>77</v>
      </c>
      <c r="J599" s="26" t="s">
        <v>77</v>
      </c>
      <c r="K599" s="18"/>
      <c r="L599" s="26" t="s">
        <v>77</v>
      </c>
      <c r="M599" s="6" t="s">
        <v>77</v>
      </c>
      <c r="N599" s="28" t="s">
        <v>77</v>
      </c>
      <c r="O599" s="26" t="s">
        <v>77</v>
      </c>
    </row>
    <row r="600">
      <c r="A600" s="52" t="s">
        <v>77</v>
      </c>
      <c r="B600" s="28" t="s">
        <v>77</v>
      </c>
      <c r="C600" s="28" t="s">
        <v>77</v>
      </c>
      <c r="D600" s="28" t="s">
        <v>77</v>
      </c>
      <c r="E600" s="28" t="s">
        <v>77</v>
      </c>
      <c r="F600" s="28" t="s">
        <v>77</v>
      </c>
      <c r="G600" s="28" t="s">
        <v>77</v>
      </c>
      <c r="I600" s="26" t="s">
        <v>77</v>
      </c>
      <c r="J600" s="26" t="s">
        <v>77</v>
      </c>
      <c r="K600" s="18"/>
      <c r="L600" s="26" t="s">
        <v>77</v>
      </c>
      <c r="M600" s="6" t="s">
        <v>77</v>
      </c>
      <c r="N600" s="28" t="s">
        <v>77</v>
      </c>
      <c r="O600" s="26" t="s">
        <v>77</v>
      </c>
    </row>
    <row r="601">
      <c r="A601" s="52" t="s">
        <v>77</v>
      </c>
      <c r="B601" s="28" t="s">
        <v>77</v>
      </c>
      <c r="C601" s="28" t="s">
        <v>77</v>
      </c>
      <c r="D601" s="28" t="s">
        <v>77</v>
      </c>
      <c r="E601" s="28" t="s">
        <v>77</v>
      </c>
      <c r="F601" s="28" t="s">
        <v>77</v>
      </c>
      <c r="G601" s="28" t="s">
        <v>77</v>
      </c>
      <c r="I601" s="26" t="s">
        <v>77</v>
      </c>
      <c r="J601" s="26" t="s">
        <v>77</v>
      </c>
      <c r="K601" s="18"/>
      <c r="L601" s="26" t="s">
        <v>77</v>
      </c>
      <c r="M601" s="6" t="s">
        <v>77</v>
      </c>
      <c r="N601" s="28" t="s">
        <v>77</v>
      </c>
      <c r="O601" s="26" t="s">
        <v>77</v>
      </c>
    </row>
    <row r="602">
      <c r="A602" s="52" t="s">
        <v>77</v>
      </c>
      <c r="B602" s="28" t="s">
        <v>77</v>
      </c>
      <c r="C602" s="28" t="s">
        <v>77</v>
      </c>
      <c r="D602" s="28" t="s">
        <v>77</v>
      </c>
      <c r="E602" s="28" t="s">
        <v>77</v>
      </c>
      <c r="F602" s="28" t="s">
        <v>77</v>
      </c>
      <c r="G602" s="28" t="s">
        <v>77</v>
      </c>
      <c r="I602" s="26" t="s">
        <v>77</v>
      </c>
      <c r="J602" s="26" t="s">
        <v>77</v>
      </c>
      <c r="K602" s="18"/>
      <c r="L602" s="26" t="s">
        <v>77</v>
      </c>
      <c r="M602" s="6" t="s">
        <v>77</v>
      </c>
      <c r="N602" s="28" t="s">
        <v>77</v>
      </c>
      <c r="O602" s="26" t="s">
        <v>77</v>
      </c>
    </row>
    <row r="603">
      <c r="A603" s="52" t="s">
        <v>77</v>
      </c>
      <c r="B603" s="28" t="s">
        <v>77</v>
      </c>
      <c r="C603" s="28" t="s">
        <v>77</v>
      </c>
      <c r="D603" s="28" t="s">
        <v>77</v>
      </c>
      <c r="E603" s="28" t="s">
        <v>77</v>
      </c>
      <c r="F603" s="28" t="s">
        <v>77</v>
      </c>
      <c r="G603" s="28" t="s">
        <v>77</v>
      </c>
      <c r="I603" s="26" t="s">
        <v>77</v>
      </c>
      <c r="J603" s="26" t="s">
        <v>77</v>
      </c>
      <c r="K603" s="18"/>
      <c r="L603" s="26" t="s">
        <v>77</v>
      </c>
      <c r="M603" s="6" t="s">
        <v>77</v>
      </c>
      <c r="N603" s="28" t="s">
        <v>77</v>
      </c>
      <c r="O603" s="26" t="s">
        <v>77</v>
      </c>
    </row>
    <row r="604">
      <c r="A604" s="52" t="s">
        <v>77</v>
      </c>
      <c r="B604" s="28" t="s">
        <v>77</v>
      </c>
      <c r="C604" s="28" t="s">
        <v>77</v>
      </c>
      <c r="D604" s="28" t="s">
        <v>77</v>
      </c>
      <c r="E604" s="28" t="s">
        <v>77</v>
      </c>
      <c r="F604" s="28" t="s">
        <v>77</v>
      </c>
      <c r="G604" s="28" t="s">
        <v>77</v>
      </c>
      <c r="I604" s="26" t="s">
        <v>77</v>
      </c>
      <c r="J604" s="26" t="s">
        <v>77</v>
      </c>
      <c r="K604" s="18"/>
      <c r="L604" s="26" t="s">
        <v>77</v>
      </c>
      <c r="M604" s="6" t="s">
        <v>77</v>
      </c>
      <c r="N604" s="28" t="s">
        <v>77</v>
      </c>
      <c r="O604" s="26" t="s">
        <v>77</v>
      </c>
    </row>
    <row r="605">
      <c r="A605" s="52" t="s">
        <v>77</v>
      </c>
      <c r="B605" s="28" t="s">
        <v>77</v>
      </c>
      <c r="C605" s="28" t="s">
        <v>77</v>
      </c>
      <c r="D605" s="28" t="s">
        <v>77</v>
      </c>
      <c r="E605" s="28" t="s">
        <v>77</v>
      </c>
      <c r="F605" s="28" t="s">
        <v>77</v>
      </c>
      <c r="G605" s="28" t="s">
        <v>77</v>
      </c>
      <c r="I605" s="26" t="s">
        <v>77</v>
      </c>
      <c r="J605" s="26" t="s">
        <v>77</v>
      </c>
      <c r="K605" s="18"/>
      <c r="L605" s="26" t="s">
        <v>77</v>
      </c>
      <c r="M605" s="6" t="s">
        <v>77</v>
      </c>
      <c r="N605" s="28" t="s">
        <v>77</v>
      </c>
      <c r="O605" s="26" t="s">
        <v>77</v>
      </c>
    </row>
    <row r="606">
      <c r="A606" s="52" t="s">
        <v>77</v>
      </c>
      <c r="B606" s="28" t="s">
        <v>77</v>
      </c>
      <c r="C606" s="28" t="s">
        <v>77</v>
      </c>
      <c r="D606" s="28" t="s">
        <v>77</v>
      </c>
      <c r="E606" s="28" t="s">
        <v>77</v>
      </c>
      <c r="F606" s="28" t="s">
        <v>77</v>
      </c>
      <c r="G606" s="28" t="s">
        <v>77</v>
      </c>
      <c r="I606" s="26" t="s">
        <v>77</v>
      </c>
      <c r="J606" s="26" t="s">
        <v>77</v>
      </c>
      <c r="K606" s="18"/>
      <c r="L606" s="26" t="s">
        <v>77</v>
      </c>
      <c r="M606" s="6" t="s">
        <v>77</v>
      </c>
      <c r="N606" s="28" t="s">
        <v>77</v>
      </c>
      <c r="O606" s="26" t="s">
        <v>77</v>
      </c>
    </row>
    <row r="607">
      <c r="A607" s="52" t="s">
        <v>77</v>
      </c>
      <c r="B607" s="28" t="s">
        <v>77</v>
      </c>
      <c r="C607" s="28" t="s">
        <v>77</v>
      </c>
      <c r="D607" s="28" t="s">
        <v>77</v>
      </c>
      <c r="E607" s="28" t="s">
        <v>77</v>
      </c>
      <c r="F607" s="28" t="s">
        <v>77</v>
      </c>
      <c r="G607" s="28" t="s">
        <v>77</v>
      </c>
      <c r="I607" s="26" t="s">
        <v>77</v>
      </c>
      <c r="J607" s="26" t="s">
        <v>77</v>
      </c>
      <c r="K607" s="18"/>
      <c r="L607" s="26" t="s">
        <v>77</v>
      </c>
      <c r="M607" s="6" t="s">
        <v>77</v>
      </c>
      <c r="N607" s="28" t="s">
        <v>77</v>
      </c>
      <c r="O607" s="26" t="s">
        <v>77</v>
      </c>
    </row>
    <row r="608">
      <c r="A608" s="52" t="s">
        <v>77</v>
      </c>
      <c r="B608" s="28" t="s">
        <v>77</v>
      </c>
      <c r="C608" s="28" t="s">
        <v>77</v>
      </c>
      <c r="D608" s="28" t="s">
        <v>77</v>
      </c>
      <c r="E608" s="28" t="s">
        <v>77</v>
      </c>
      <c r="F608" s="28" t="s">
        <v>77</v>
      </c>
      <c r="G608" s="28" t="s">
        <v>77</v>
      </c>
      <c r="I608" s="26" t="s">
        <v>77</v>
      </c>
      <c r="J608" s="26" t="s">
        <v>77</v>
      </c>
      <c r="K608" s="18"/>
      <c r="L608" s="26" t="s">
        <v>77</v>
      </c>
      <c r="M608" s="6" t="s">
        <v>77</v>
      </c>
      <c r="N608" s="28" t="s">
        <v>77</v>
      </c>
      <c r="O608" s="26" t="s">
        <v>77</v>
      </c>
    </row>
    <row r="609">
      <c r="A609" s="52" t="s">
        <v>77</v>
      </c>
      <c r="B609" s="28" t="s">
        <v>77</v>
      </c>
      <c r="C609" s="28" t="s">
        <v>77</v>
      </c>
      <c r="D609" s="28" t="s">
        <v>77</v>
      </c>
      <c r="E609" s="28" t="s">
        <v>77</v>
      </c>
      <c r="F609" s="28" t="s">
        <v>77</v>
      </c>
      <c r="G609" s="28" t="s">
        <v>77</v>
      </c>
      <c r="I609" s="26" t="s">
        <v>77</v>
      </c>
      <c r="J609" s="26" t="s">
        <v>77</v>
      </c>
      <c r="K609" s="18"/>
      <c r="L609" s="26" t="s">
        <v>77</v>
      </c>
      <c r="M609" s="6" t="s">
        <v>77</v>
      </c>
      <c r="N609" s="28" t="s">
        <v>77</v>
      </c>
      <c r="O609" s="26" t="s">
        <v>77</v>
      </c>
    </row>
    <row r="610">
      <c r="A610" s="52" t="s">
        <v>77</v>
      </c>
      <c r="B610" s="28" t="s">
        <v>77</v>
      </c>
      <c r="C610" s="28" t="s">
        <v>77</v>
      </c>
      <c r="D610" s="28" t="s">
        <v>77</v>
      </c>
      <c r="E610" s="28" t="s">
        <v>77</v>
      </c>
      <c r="F610" s="28" t="s">
        <v>77</v>
      </c>
      <c r="G610" s="28" t="s">
        <v>77</v>
      </c>
      <c r="I610" s="26" t="s">
        <v>77</v>
      </c>
      <c r="J610" s="26" t="s">
        <v>77</v>
      </c>
      <c r="K610" s="18"/>
      <c r="L610" s="26" t="s">
        <v>77</v>
      </c>
      <c r="M610" s="6" t="s">
        <v>77</v>
      </c>
      <c r="N610" s="28" t="s">
        <v>77</v>
      </c>
      <c r="O610" s="26" t="s">
        <v>77</v>
      </c>
    </row>
    <row r="611">
      <c r="A611" s="52" t="s">
        <v>77</v>
      </c>
      <c r="B611" s="28" t="s">
        <v>77</v>
      </c>
      <c r="C611" s="28" t="s">
        <v>77</v>
      </c>
      <c r="D611" s="28" t="s">
        <v>77</v>
      </c>
      <c r="E611" s="28" t="s">
        <v>77</v>
      </c>
      <c r="F611" s="28" t="s">
        <v>77</v>
      </c>
      <c r="G611" s="28" t="s">
        <v>77</v>
      </c>
      <c r="I611" s="26" t="s">
        <v>77</v>
      </c>
      <c r="J611" s="26" t="s">
        <v>77</v>
      </c>
      <c r="K611" s="18"/>
      <c r="L611" s="26" t="s">
        <v>77</v>
      </c>
      <c r="M611" s="6" t="s">
        <v>77</v>
      </c>
      <c r="N611" s="28" t="s">
        <v>77</v>
      </c>
      <c r="O611" s="26" t="s">
        <v>77</v>
      </c>
    </row>
    <row r="612">
      <c r="A612" s="52" t="s">
        <v>77</v>
      </c>
      <c r="B612" s="28" t="s">
        <v>77</v>
      </c>
      <c r="C612" s="28" t="s">
        <v>77</v>
      </c>
      <c r="D612" s="28" t="s">
        <v>77</v>
      </c>
      <c r="E612" s="28" t="s">
        <v>77</v>
      </c>
      <c r="F612" s="28" t="s">
        <v>77</v>
      </c>
      <c r="G612" s="28" t="s">
        <v>77</v>
      </c>
      <c r="I612" s="26" t="s">
        <v>77</v>
      </c>
      <c r="J612" s="26" t="s">
        <v>77</v>
      </c>
      <c r="K612" s="18"/>
      <c r="L612" s="26" t="s">
        <v>77</v>
      </c>
      <c r="M612" s="6" t="s">
        <v>77</v>
      </c>
      <c r="N612" s="28" t="s">
        <v>77</v>
      </c>
      <c r="O612" s="26" t="s">
        <v>77</v>
      </c>
    </row>
    <row r="613">
      <c r="A613" s="52" t="s">
        <v>77</v>
      </c>
      <c r="B613" s="28" t="s">
        <v>77</v>
      </c>
      <c r="C613" s="28" t="s">
        <v>77</v>
      </c>
      <c r="D613" s="28" t="s">
        <v>77</v>
      </c>
      <c r="E613" s="28" t="s">
        <v>77</v>
      </c>
      <c r="F613" s="28" t="s">
        <v>77</v>
      </c>
      <c r="G613" s="28" t="s">
        <v>77</v>
      </c>
      <c r="I613" s="26" t="s">
        <v>77</v>
      </c>
      <c r="J613" s="26" t="s">
        <v>77</v>
      </c>
      <c r="K613" s="18"/>
      <c r="L613" s="26" t="s">
        <v>77</v>
      </c>
      <c r="M613" s="6" t="s">
        <v>77</v>
      </c>
      <c r="N613" s="28" t="s">
        <v>77</v>
      </c>
      <c r="O613" s="26" t="s">
        <v>77</v>
      </c>
    </row>
    <row r="614">
      <c r="A614" s="52" t="s">
        <v>77</v>
      </c>
      <c r="B614" s="28" t="s">
        <v>77</v>
      </c>
      <c r="C614" s="28" t="s">
        <v>77</v>
      </c>
      <c r="D614" s="28" t="s">
        <v>77</v>
      </c>
      <c r="E614" s="28" t="s">
        <v>77</v>
      </c>
      <c r="F614" s="28" t="s">
        <v>77</v>
      </c>
      <c r="G614" s="28" t="s">
        <v>77</v>
      </c>
      <c r="I614" s="26" t="s">
        <v>77</v>
      </c>
      <c r="J614" s="26" t="s">
        <v>77</v>
      </c>
      <c r="K614" s="18"/>
      <c r="L614" s="26" t="s">
        <v>77</v>
      </c>
      <c r="M614" s="6" t="s">
        <v>77</v>
      </c>
      <c r="N614" s="28" t="s">
        <v>77</v>
      </c>
      <c r="O614" s="26" t="s">
        <v>77</v>
      </c>
    </row>
    <row r="615">
      <c r="A615" s="52" t="s">
        <v>77</v>
      </c>
      <c r="B615" s="28" t="s">
        <v>77</v>
      </c>
      <c r="C615" s="28" t="s">
        <v>77</v>
      </c>
      <c r="D615" s="28" t="s">
        <v>77</v>
      </c>
      <c r="E615" s="28" t="s">
        <v>77</v>
      </c>
      <c r="F615" s="28" t="s">
        <v>77</v>
      </c>
      <c r="G615" s="28" t="s">
        <v>77</v>
      </c>
      <c r="I615" s="26" t="s">
        <v>77</v>
      </c>
      <c r="J615" s="26" t="s">
        <v>77</v>
      </c>
      <c r="K615" s="18"/>
      <c r="L615" s="26" t="s">
        <v>77</v>
      </c>
      <c r="M615" s="6" t="s">
        <v>77</v>
      </c>
      <c r="N615" s="28" t="s">
        <v>77</v>
      </c>
      <c r="O615" s="26" t="s">
        <v>77</v>
      </c>
    </row>
    <row r="616">
      <c r="A616" s="52" t="s">
        <v>77</v>
      </c>
      <c r="B616" s="28" t="s">
        <v>77</v>
      </c>
      <c r="C616" s="28" t="s">
        <v>77</v>
      </c>
      <c r="D616" s="28" t="s">
        <v>77</v>
      </c>
      <c r="E616" s="28" t="s">
        <v>77</v>
      </c>
      <c r="F616" s="28" t="s">
        <v>77</v>
      </c>
      <c r="G616" s="28" t="s">
        <v>77</v>
      </c>
      <c r="I616" s="26" t="s">
        <v>77</v>
      </c>
      <c r="J616" s="26" t="s">
        <v>77</v>
      </c>
      <c r="K616" s="18"/>
      <c r="L616" s="26" t="s">
        <v>77</v>
      </c>
      <c r="M616" s="6" t="s">
        <v>77</v>
      </c>
      <c r="N616" s="28" t="s">
        <v>77</v>
      </c>
      <c r="O616" s="26" t="s">
        <v>77</v>
      </c>
    </row>
    <row r="617">
      <c r="A617" s="52" t="s">
        <v>77</v>
      </c>
      <c r="B617" s="28" t="s">
        <v>77</v>
      </c>
      <c r="C617" s="28" t="s">
        <v>77</v>
      </c>
      <c r="D617" s="28" t="s">
        <v>77</v>
      </c>
      <c r="E617" s="28" t="s">
        <v>77</v>
      </c>
      <c r="F617" s="28" t="s">
        <v>77</v>
      </c>
      <c r="G617" s="28" t="s">
        <v>77</v>
      </c>
      <c r="I617" s="26" t="s">
        <v>77</v>
      </c>
      <c r="J617" s="26" t="s">
        <v>77</v>
      </c>
      <c r="K617" s="18"/>
      <c r="L617" s="26" t="s">
        <v>77</v>
      </c>
      <c r="M617" s="6" t="s">
        <v>77</v>
      </c>
      <c r="N617" s="28" t="s">
        <v>77</v>
      </c>
      <c r="O617" s="26" t="s">
        <v>77</v>
      </c>
    </row>
    <row r="618">
      <c r="A618" s="52" t="s">
        <v>77</v>
      </c>
      <c r="B618" s="28" t="s">
        <v>77</v>
      </c>
      <c r="C618" s="28" t="s">
        <v>77</v>
      </c>
      <c r="D618" s="28" t="s">
        <v>77</v>
      </c>
      <c r="E618" s="28" t="s">
        <v>77</v>
      </c>
      <c r="F618" s="28" t="s">
        <v>77</v>
      </c>
      <c r="G618" s="28" t="s">
        <v>77</v>
      </c>
      <c r="I618" s="26" t="s">
        <v>77</v>
      </c>
      <c r="J618" s="26" t="s">
        <v>77</v>
      </c>
      <c r="K618" s="18"/>
      <c r="L618" s="26" t="s">
        <v>77</v>
      </c>
      <c r="M618" s="6" t="s">
        <v>77</v>
      </c>
      <c r="N618" s="28" t="s">
        <v>77</v>
      </c>
      <c r="O618" s="26" t="s">
        <v>77</v>
      </c>
    </row>
    <row r="619">
      <c r="A619" s="52" t="s">
        <v>77</v>
      </c>
      <c r="B619" s="28" t="s">
        <v>77</v>
      </c>
      <c r="C619" s="28" t="s">
        <v>77</v>
      </c>
      <c r="D619" s="28" t="s">
        <v>77</v>
      </c>
      <c r="E619" s="28" t="s">
        <v>77</v>
      </c>
      <c r="F619" s="28" t="s">
        <v>77</v>
      </c>
      <c r="G619" s="28" t="s">
        <v>77</v>
      </c>
      <c r="I619" s="26" t="s">
        <v>77</v>
      </c>
      <c r="J619" s="26" t="s">
        <v>77</v>
      </c>
      <c r="K619" s="18"/>
      <c r="L619" s="26" t="s">
        <v>77</v>
      </c>
      <c r="M619" s="6" t="s">
        <v>77</v>
      </c>
      <c r="N619" s="28" t="s">
        <v>77</v>
      </c>
      <c r="O619" s="26" t="s">
        <v>77</v>
      </c>
    </row>
    <row r="620">
      <c r="A620" s="52" t="s">
        <v>77</v>
      </c>
      <c r="B620" s="28" t="s">
        <v>77</v>
      </c>
      <c r="C620" s="28" t="s">
        <v>77</v>
      </c>
      <c r="D620" s="28" t="s">
        <v>77</v>
      </c>
      <c r="E620" s="28" t="s">
        <v>77</v>
      </c>
      <c r="F620" s="28" t="s">
        <v>77</v>
      </c>
      <c r="G620" s="28" t="s">
        <v>77</v>
      </c>
      <c r="I620" s="26" t="s">
        <v>77</v>
      </c>
      <c r="J620" s="26" t="s">
        <v>77</v>
      </c>
      <c r="K620" s="18"/>
      <c r="L620" s="26" t="s">
        <v>77</v>
      </c>
      <c r="M620" s="6" t="s">
        <v>77</v>
      </c>
      <c r="N620" s="28" t="s">
        <v>77</v>
      </c>
      <c r="O620" s="26" t="s">
        <v>77</v>
      </c>
    </row>
    <row r="621">
      <c r="A621" s="52" t="s">
        <v>77</v>
      </c>
      <c r="B621" s="28" t="s">
        <v>77</v>
      </c>
      <c r="C621" s="28" t="s">
        <v>77</v>
      </c>
      <c r="D621" s="28" t="s">
        <v>77</v>
      </c>
      <c r="E621" s="28" t="s">
        <v>77</v>
      </c>
      <c r="F621" s="28" t="s">
        <v>77</v>
      </c>
      <c r="G621" s="28" t="s">
        <v>77</v>
      </c>
      <c r="I621" s="26" t="s">
        <v>77</v>
      </c>
      <c r="J621" s="26" t="s">
        <v>77</v>
      </c>
      <c r="K621" s="18"/>
      <c r="L621" s="26" t="s">
        <v>77</v>
      </c>
      <c r="M621" s="6" t="s">
        <v>77</v>
      </c>
      <c r="N621" s="28" t="s">
        <v>77</v>
      </c>
      <c r="O621" s="26" t="s">
        <v>77</v>
      </c>
    </row>
    <row r="622">
      <c r="A622" s="52" t="s">
        <v>77</v>
      </c>
      <c r="B622" s="28" t="s">
        <v>77</v>
      </c>
      <c r="C622" s="28" t="s">
        <v>77</v>
      </c>
      <c r="D622" s="28" t="s">
        <v>77</v>
      </c>
      <c r="E622" s="28" t="s">
        <v>77</v>
      </c>
      <c r="F622" s="28" t="s">
        <v>77</v>
      </c>
      <c r="G622" s="28" t="s">
        <v>77</v>
      </c>
      <c r="I622" s="26" t="s">
        <v>77</v>
      </c>
      <c r="J622" s="26" t="s">
        <v>77</v>
      </c>
      <c r="K622" s="18"/>
      <c r="L622" s="26" t="s">
        <v>77</v>
      </c>
      <c r="M622" s="6" t="s">
        <v>77</v>
      </c>
      <c r="N622" s="28" t="s">
        <v>77</v>
      </c>
      <c r="O622" s="26" t="s">
        <v>77</v>
      </c>
    </row>
    <row r="623">
      <c r="A623" s="52" t="s">
        <v>77</v>
      </c>
      <c r="B623" s="28" t="s">
        <v>77</v>
      </c>
      <c r="C623" s="28" t="s">
        <v>77</v>
      </c>
      <c r="D623" s="28" t="s">
        <v>77</v>
      </c>
      <c r="E623" s="28" t="s">
        <v>77</v>
      </c>
      <c r="F623" s="28" t="s">
        <v>77</v>
      </c>
      <c r="G623" s="28" t="s">
        <v>77</v>
      </c>
      <c r="I623" s="26" t="s">
        <v>77</v>
      </c>
      <c r="J623" s="26" t="s">
        <v>77</v>
      </c>
      <c r="K623" s="18"/>
      <c r="L623" s="26" t="s">
        <v>77</v>
      </c>
      <c r="M623" s="6" t="s">
        <v>77</v>
      </c>
      <c r="N623" s="28" t="s">
        <v>77</v>
      </c>
      <c r="O623" s="26" t="s">
        <v>77</v>
      </c>
    </row>
    <row r="624">
      <c r="A624" s="52" t="s">
        <v>77</v>
      </c>
      <c r="B624" s="28" t="s">
        <v>77</v>
      </c>
      <c r="C624" s="28" t="s">
        <v>77</v>
      </c>
      <c r="D624" s="28" t="s">
        <v>77</v>
      </c>
      <c r="E624" s="28" t="s">
        <v>77</v>
      </c>
      <c r="F624" s="28" t="s">
        <v>77</v>
      </c>
      <c r="G624" s="28" t="s">
        <v>77</v>
      </c>
      <c r="I624" s="26" t="s">
        <v>77</v>
      </c>
      <c r="J624" s="26" t="s">
        <v>77</v>
      </c>
      <c r="K624" s="18"/>
      <c r="L624" s="26" t="s">
        <v>77</v>
      </c>
      <c r="M624" s="6" t="s">
        <v>77</v>
      </c>
      <c r="N624" s="28" t="s">
        <v>77</v>
      </c>
      <c r="O624" s="26" t="s">
        <v>77</v>
      </c>
    </row>
    <row r="625">
      <c r="A625" s="52" t="s">
        <v>77</v>
      </c>
      <c r="B625" s="28" t="s">
        <v>77</v>
      </c>
      <c r="C625" s="28" t="s">
        <v>77</v>
      </c>
      <c r="D625" s="28" t="s">
        <v>77</v>
      </c>
      <c r="E625" s="28" t="s">
        <v>77</v>
      </c>
      <c r="F625" s="28" t="s">
        <v>77</v>
      </c>
      <c r="G625" s="28" t="s">
        <v>77</v>
      </c>
      <c r="I625" s="26" t="s">
        <v>77</v>
      </c>
      <c r="J625" s="26" t="s">
        <v>77</v>
      </c>
      <c r="K625" s="18"/>
      <c r="L625" s="26" t="s">
        <v>77</v>
      </c>
      <c r="M625" s="6" t="s">
        <v>77</v>
      </c>
      <c r="N625" s="28" t="s">
        <v>77</v>
      </c>
      <c r="O625" s="26" t="s">
        <v>77</v>
      </c>
    </row>
    <row r="626">
      <c r="A626" s="52" t="s">
        <v>77</v>
      </c>
      <c r="B626" s="28" t="s">
        <v>77</v>
      </c>
      <c r="C626" s="28" t="s">
        <v>77</v>
      </c>
      <c r="D626" s="28" t="s">
        <v>77</v>
      </c>
      <c r="E626" s="28" t="s">
        <v>77</v>
      </c>
      <c r="F626" s="28" t="s">
        <v>77</v>
      </c>
      <c r="G626" s="28" t="s">
        <v>77</v>
      </c>
      <c r="I626" s="26" t="s">
        <v>77</v>
      </c>
      <c r="J626" s="26" t="s">
        <v>77</v>
      </c>
      <c r="K626" s="18"/>
      <c r="L626" s="26" t="s">
        <v>77</v>
      </c>
      <c r="M626" s="6" t="s">
        <v>77</v>
      </c>
      <c r="N626" s="28" t="s">
        <v>77</v>
      </c>
      <c r="O626" s="26" t="s">
        <v>77</v>
      </c>
    </row>
    <row r="627">
      <c r="A627" s="52" t="s">
        <v>77</v>
      </c>
      <c r="B627" s="28" t="s">
        <v>77</v>
      </c>
      <c r="C627" s="28" t="s">
        <v>77</v>
      </c>
      <c r="D627" s="28" t="s">
        <v>77</v>
      </c>
      <c r="E627" s="28" t="s">
        <v>77</v>
      </c>
      <c r="F627" s="28" t="s">
        <v>77</v>
      </c>
      <c r="G627" s="28" t="s">
        <v>77</v>
      </c>
      <c r="I627" s="26" t="s">
        <v>77</v>
      </c>
      <c r="J627" s="26" t="s">
        <v>77</v>
      </c>
      <c r="K627" s="18"/>
      <c r="L627" s="26" t="s">
        <v>77</v>
      </c>
      <c r="M627" s="6" t="s">
        <v>77</v>
      </c>
      <c r="N627" s="28" t="s">
        <v>77</v>
      </c>
      <c r="O627" s="26" t="s">
        <v>77</v>
      </c>
    </row>
    <row r="628">
      <c r="A628" s="52" t="s">
        <v>77</v>
      </c>
      <c r="B628" s="28" t="s">
        <v>77</v>
      </c>
      <c r="C628" s="28" t="s">
        <v>77</v>
      </c>
      <c r="D628" s="28" t="s">
        <v>77</v>
      </c>
      <c r="E628" s="28" t="s">
        <v>77</v>
      </c>
      <c r="F628" s="28" t="s">
        <v>77</v>
      </c>
      <c r="G628" s="28" t="s">
        <v>77</v>
      </c>
      <c r="I628" s="26" t="s">
        <v>77</v>
      </c>
      <c r="J628" s="26" t="s">
        <v>77</v>
      </c>
      <c r="K628" s="18"/>
      <c r="L628" s="26" t="s">
        <v>77</v>
      </c>
      <c r="M628" s="6" t="s">
        <v>77</v>
      </c>
      <c r="N628" s="28" t="s">
        <v>77</v>
      </c>
      <c r="O628" s="26" t="s">
        <v>77</v>
      </c>
    </row>
    <row r="629">
      <c r="A629" s="52" t="s">
        <v>77</v>
      </c>
      <c r="B629" s="28" t="s">
        <v>77</v>
      </c>
      <c r="C629" s="28" t="s">
        <v>77</v>
      </c>
      <c r="D629" s="28" t="s">
        <v>77</v>
      </c>
      <c r="E629" s="28" t="s">
        <v>77</v>
      </c>
      <c r="F629" s="28" t="s">
        <v>77</v>
      </c>
      <c r="G629" s="28" t="s">
        <v>77</v>
      </c>
      <c r="I629" s="26" t="s">
        <v>77</v>
      </c>
      <c r="J629" s="26" t="s">
        <v>77</v>
      </c>
      <c r="K629" s="18"/>
      <c r="L629" s="26" t="s">
        <v>77</v>
      </c>
      <c r="M629" s="6" t="s">
        <v>77</v>
      </c>
      <c r="N629" s="28" t="s">
        <v>77</v>
      </c>
      <c r="O629" s="26" t="s">
        <v>77</v>
      </c>
    </row>
    <row r="630">
      <c r="A630" s="52" t="s">
        <v>77</v>
      </c>
      <c r="B630" s="28" t="s">
        <v>77</v>
      </c>
      <c r="C630" s="28" t="s">
        <v>77</v>
      </c>
      <c r="D630" s="28" t="s">
        <v>77</v>
      </c>
      <c r="E630" s="28" t="s">
        <v>77</v>
      </c>
      <c r="F630" s="28" t="s">
        <v>77</v>
      </c>
      <c r="G630" s="28" t="s">
        <v>77</v>
      </c>
      <c r="I630" s="26" t="s">
        <v>77</v>
      </c>
      <c r="J630" s="26" t="s">
        <v>77</v>
      </c>
      <c r="K630" s="18"/>
      <c r="L630" s="26" t="s">
        <v>77</v>
      </c>
      <c r="M630" s="6" t="s">
        <v>77</v>
      </c>
      <c r="N630" s="28" t="s">
        <v>77</v>
      </c>
      <c r="O630" s="26" t="s">
        <v>77</v>
      </c>
    </row>
    <row r="631">
      <c r="A631" s="52" t="s">
        <v>77</v>
      </c>
      <c r="B631" s="28" t="s">
        <v>77</v>
      </c>
      <c r="C631" s="28" t="s">
        <v>77</v>
      </c>
      <c r="D631" s="28" t="s">
        <v>77</v>
      </c>
      <c r="E631" s="28" t="s">
        <v>77</v>
      </c>
      <c r="F631" s="28" t="s">
        <v>77</v>
      </c>
      <c r="G631" s="28" t="s">
        <v>77</v>
      </c>
      <c r="I631" s="26" t="s">
        <v>77</v>
      </c>
      <c r="J631" s="26" t="s">
        <v>77</v>
      </c>
      <c r="K631" s="18"/>
      <c r="L631" s="26" t="s">
        <v>77</v>
      </c>
      <c r="M631" s="6" t="s">
        <v>77</v>
      </c>
      <c r="N631" s="28" t="s">
        <v>77</v>
      </c>
      <c r="O631" s="26" t="s">
        <v>77</v>
      </c>
    </row>
    <row r="632">
      <c r="A632" s="52" t="s">
        <v>77</v>
      </c>
      <c r="B632" s="28" t="s">
        <v>77</v>
      </c>
      <c r="C632" s="28" t="s">
        <v>77</v>
      </c>
      <c r="D632" s="28" t="s">
        <v>77</v>
      </c>
      <c r="E632" s="28" t="s">
        <v>77</v>
      </c>
      <c r="F632" s="28" t="s">
        <v>77</v>
      </c>
      <c r="G632" s="28" t="s">
        <v>77</v>
      </c>
      <c r="I632" s="26" t="s">
        <v>77</v>
      </c>
      <c r="J632" s="26" t="s">
        <v>77</v>
      </c>
      <c r="K632" s="18"/>
      <c r="L632" s="26" t="s">
        <v>77</v>
      </c>
      <c r="M632" s="6" t="s">
        <v>77</v>
      </c>
      <c r="N632" s="28" t="s">
        <v>77</v>
      </c>
      <c r="O632" s="26" t="s">
        <v>77</v>
      </c>
    </row>
    <row r="633">
      <c r="A633" s="52" t="s">
        <v>77</v>
      </c>
      <c r="B633" s="28" t="s">
        <v>77</v>
      </c>
      <c r="C633" s="28" t="s">
        <v>77</v>
      </c>
      <c r="D633" s="28" t="s">
        <v>77</v>
      </c>
      <c r="E633" s="28" t="s">
        <v>77</v>
      </c>
      <c r="F633" s="28" t="s">
        <v>77</v>
      </c>
      <c r="G633" s="28" t="s">
        <v>77</v>
      </c>
      <c r="I633" s="26" t="s">
        <v>77</v>
      </c>
      <c r="J633" s="26" t="s">
        <v>77</v>
      </c>
      <c r="K633" s="18"/>
      <c r="L633" s="26" t="s">
        <v>77</v>
      </c>
      <c r="M633" s="6" t="s">
        <v>77</v>
      </c>
      <c r="N633" s="28" t="s">
        <v>77</v>
      </c>
      <c r="O633" s="26" t="s">
        <v>77</v>
      </c>
    </row>
    <row r="634">
      <c r="A634" s="52" t="s">
        <v>77</v>
      </c>
      <c r="B634" s="28" t="s">
        <v>77</v>
      </c>
      <c r="C634" s="28" t="s">
        <v>77</v>
      </c>
      <c r="D634" s="28" t="s">
        <v>77</v>
      </c>
      <c r="E634" s="28" t="s">
        <v>77</v>
      </c>
      <c r="F634" s="28" t="s">
        <v>77</v>
      </c>
      <c r="G634" s="28" t="s">
        <v>77</v>
      </c>
      <c r="I634" s="26" t="s">
        <v>77</v>
      </c>
      <c r="J634" s="26" t="s">
        <v>77</v>
      </c>
      <c r="K634" s="18"/>
      <c r="L634" s="26" t="s">
        <v>77</v>
      </c>
      <c r="M634" s="6" t="s">
        <v>77</v>
      </c>
      <c r="N634" s="28" t="s">
        <v>77</v>
      </c>
      <c r="O634" s="26" t="s">
        <v>77</v>
      </c>
    </row>
    <row r="635">
      <c r="A635" s="52" t="s">
        <v>77</v>
      </c>
      <c r="B635" s="28" t="s">
        <v>77</v>
      </c>
      <c r="C635" s="28" t="s">
        <v>77</v>
      </c>
      <c r="D635" s="28" t="s">
        <v>77</v>
      </c>
      <c r="E635" s="28" t="s">
        <v>77</v>
      </c>
      <c r="F635" s="28" t="s">
        <v>77</v>
      </c>
      <c r="G635" s="28" t="s">
        <v>77</v>
      </c>
      <c r="I635" s="26" t="s">
        <v>77</v>
      </c>
      <c r="J635" s="26" t="s">
        <v>77</v>
      </c>
      <c r="K635" s="18"/>
      <c r="L635" s="26" t="s">
        <v>77</v>
      </c>
      <c r="M635" s="6" t="s">
        <v>77</v>
      </c>
      <c r="N635" s="28" t="s">
        <v>77</v>
      </c>
      <c r="O635" s="26" t="s">
        <v>77</v>
      </c>
    </row>
    <row r="636">
      <c r="A636" s="52" t="s">
        <v>77</v>
      </c>
      <c r="B636" s="28" t="s">
        <v>77</v>
      </c>
      <c r="C636" s="28" t="s">
        <v>77</v>
      </c>
      <c r="D636" s="28" t="s">
        <v>77</v>
      </c>
      <c r="E636" s="28" t="s">
        <v>77</v>
      </c>
      <c r="F636" s="28" t="s">
        <v>77</v>
      </c>
      <c r="G636" s="28" t="s">
        <v>77</v>
      </c>
      <c r="I636" s="26" t="s">
        <v>77</v>
      </c>
      <c r="J636" s="26" t="s">
        <v>77</v>
      </c>
      <c r="K636" s="18"/>
      <c r="L636" s="26" t="s">
        <v>77</v>
      </c>
      <c r="M636" s="6" t="s">
        <v>77</v>
      </c>
      <c r="N636" s="28" t="s">
        <v>77</v>
      </c>
      <c r="O636" s="26" t="s">
        <v>77</v>
      </c>
    </row>
    <row r="637">
      <c r="A637" s="52" t="s">
        <v>77</v>
      </c>
      <c r="B637" s="28" t="s">
        <v>77</v>
      </c>
      <c r="C637" s="28" t="s">
        <v>77</v>
      </c>
      <c r="D637" s="28" t="s">
        <v>77</v>
      </c>
      <c r="E637" s="28" t="s">
        <v>77</v>
      </c>
      <c r="F637" s="28" t="s">
        <v>77</v>
      </c>
      <c r="G637" s="28" t="s">
        <v>77</v>
      </c>
      <c r="I637" s="26" t="s">
        <v>77</v>
      </c>
      <c r="J637" s="26" t="s">
        <v>77</v>
      </c>
      <c r="K637" s="18"/>
      <c r="L637" s="26" t="s">
        <v>77</v>
      </c>
      <c r="M637" s="6" t="s">
        <v>77</v>
      </c>
      <c r="N637" s="28" t="s">
        <v>77</v>
      </c>
      <c r="O637" s="26" t="s">
        <v>77</v>
      </c>
    </row>
    <row r="638">
      <c r="A638" s="52" t="s">
        <v>77</v>
      </c>
      <c r="B638" s="28" t="s">
        <v>77</v>
      </c>
      <c r="C638" s="28" t="s">
        <v>77</v>
      </c>
      <c r="D638" s="28" t="s">
        <v>77</v>
      </c>
      <c r="E638" s="28" t="s">
        <v>77</v>
      </c>
      <c r="F638" s="28" t="s">
        <v>77</v>
      </c>
      <c r="G638" s="28" t="s">
        <v>77</v>
      </c>
      <c r="I638" s="26" t="s">
        <v>77</v>
      </c>
      <c r="J638" s="26" t="s">
        <v>77</v>
      </c>
      <c r="K638" s="18"/>
      <c r="L638" s="26" t="s">
        <v>77</v>
      </c>
      <c r="M638" s="6" t="s">
        <v>77</v>
      </c>
      <c r="N638" s="28" t="s">
        <v>77</v>
      </c>
      <c r="O638" s="26" t="s">
        <v>77</v>
      </c>
    </row>
    <row r="639">
      <c r="A639" s="52" t="s">
        <v>77</v>
      </c>
      <c r="B639" s="28" t="s">
        <v>77</v>
      </c>
      <c r="C639" s="28" t="s">
        <v>77</v>
      </c>
      <c r="D639" s="28" t="s">
        <v>77</v>
      </c>
      <c r="E639" s="28" t="s">
        <v>77</v>
      </c>
      <c r="F639" s="28" t="s">
        <v>77</v>
      </c>
      <c r="G639" s="28" t="s">
        <v>77</v>
      </c>
      <c r="I639" s="26" t="s">
        <v>77</v>
      </c>
      <c r="J639" s="26" t="s">
        <v>77</v>
      </c>
      <c r="K639" s="18"/>
      <c r="L639" s="26" t="s">
        <v>77</v>
      </c>
      <c r="M639" s="6" t="s">
        <v>77</v>
      </c>
      <c r="N639" s="28" t="s">
        <v>77</v>
      </c>
      <c r="O639" s="26" t="s">
        <v>77</v>
      </c>
    </row>
    <row r="640">
      <c r="A640" s="52" t="s">
        <v>77</v>
      </c>
      <c r="B640" s="28" t="s">
        <v>77</v>
      </c>
      <c r="C640" s="28" t="s">
        <v>77</v>
      </c>
      <c r="D640" s="28" t="s">
        <v>77</v>
      </c>
      <c r="E640" s="28" t="s">
        <v>77</v>
      </c>
      <c r="F640" s="28" t="s">
        <v>77</v>
      </c>
      <c r="G640" s="28" t="s">
        <v>77</v>
      </c>
      <c r="I640" s="26" t="s">
        <v>77</v>
      </c>
      <c r="J640" s="26" t="s">
        <v>77</v>
      </c>
      <c r="K640" s="18"/>
      <c r="L640" s="26" t="s">
        <v>77</v>
      </c>
      <c r="M640" s="6" t="s">
        <v>77</v>
      </c>
      <c r="N640" s="28" t="s">
        <v>77</v>
      </c>
      <c r="O640" s="26" t="s">
        <v>77</v>
      </c>
    </row>
    <row r="641">
      <c r="A641" s="52" t="s">
        <v>77</v>
      </c>
      <c r="B641" s="28" t="s">
        <v>77</v>
      </c>
      <c r="C641" s="28" t="s">
        <v>77</v>
      </c>
      <c r="D641" s="28" t="s">
        <v>77</v>
      </c>
      <c r="E641" s="28" t="s">
        <v>77</v>
      </c>
      <c r="F641" s="28" t="s">
        <v>77</v>
      </c>
      <c r="G641" s="28" t="s">
        <v>77</v>
      </c>
      <c r="I641" s="26" t="s">
        <v>77</v>
      </c>
      <c r="J641" s="26" t="s">
        <v>77</v>
      </c>
      <c r="K641" s="18"/>
      <c r="L641" s="26" t="s">
        <v>77</v>
      </c>
      <c r="M641" s="6" t="s">
        <v>77</v>
      </c>
      <c r="N641" s="28" t="s">
        <v>77</v>
      </c>
      <c r="O641" s="26" t="s">
        <v>77</v>
      </c>
    </row>
    <row r="642">
      <c r="A642" s="52" t="s">
        <v>77</v>
      </c>
      <c r="B642" s="28" t="s">
        <v>77</v>
      </c>
      <c r="C642" s="28" t="s">
        <v>77</v>
      </c>
      <c r="D642" s="28" t="s">
        <v>77</v>
      </c>
      <c r="E642" s="28" t="s">
        <v>77</v>
      </c>
      <c r="F642" s="28" t="s">
        <v>77</v>
      </c>
      <c r="G642" s="28" t="s">
        <v>77</v>
      </c>
      <c r="I642" s="26" t="s">
        <v>77</v>
      </c>
      <c r="J642" s="26" t="s">
        <v>77</v>
      </c>
      <c r="K642" s="18"/>
      <c r="L642" s="26" t="s">
        <v>77</v>
      </c>
      <c r="M642" s="6" t="s">
        <v>77</v>
      </c>
      <c r="N642" s="28" t="s">
        <v>77</v>
      </c>
      <c r="O642" s="26" t="s">
        <v>77</v>
      </c>
    </row>
    <row r="643">
      <c r="A643" s="52" t="s">
        <v>77</v>
      </c>
      <c r="B643" s="28" t="s">
        <v>77</v>
      </c>
      <c r="C643" s="28" t="s">
        <v>77</v>
      </c>
      <c r="D643" s="28" t="s">
        <v>77</v>
      </c>
      <c r="E643" s="28" t="s">
        <v>77</v>
      </c>
      <c r="F643" s="28" t="s">
        <v>77</v>
      </c>
      <c r="G643" s="28" t="s">
        <v>77</v>
      </c>
      <c r="I643" s="26" t="s">
        <v>77</v>
      </c>
      <c r="J643" s="26" t="s">
        <v>77</v>
      </c>
      <c r="K643" s="18"/>
      <c r="L643" s="26" t="s">
        <v>77</v>
      </c>
      <c r="M643" s="6" t="s">
        <v>77</v>
      </c>
      <c r="N643" s="28" t="s">
        <v>77</v>
      </c>
      <c r="O643" s="26" t="s">
        <v>77</v>
      </c>
    </row>
    <row r="644">
      <c r="A644" s="52" t="s">
        <v>77</v>
      </c>
      <c r="B644" s="28" t="s">
        <v>77</v>
      </c>
      <c r="C644" s="28" t="s">
        <v>77</v>
      </c>
      <c r="D644" s="28" t="s">
        <v>77</v>
      </c>
      <c r="E644" s="28" t="s">
        <v>77</v>
      </c>
      <c r="F644" s="28" t="s">
        <v>77</v>
      </c>
      <c r="G644" s="28" t="s">
        <v>77</v>
      </c>
      <c r="I644" s="26" t="s">
        <v>77</v>
      </c>
      <c r="J644" s="26" t="s">
        <v>77</v>
      </c>
      <c r="K644" s="18"/>
      <c r="L644" s="26" t="s">
        <v>77</v>
      </c>
      <c r="M644" s="6" t="s">
        <v>77</v>
      </c>
      <c r="N644" s="28" t="s">
        <v>77</v>
      </c>
      <c r="O644" s="26" t="s">
        <v>77</v>
      </c>
    </row>
    <row r="645">
      <c r="A645" s="52" t="s">
        <v>77</v>
      </c>
      <c r="B645" s="28" t="s">
        <v>77</v>
      </c>
      <c r="C645" s="28" t="s">
        <v>77</v>
      </c>
      <c r="D645" s="28" t="s">
        <v>77</v>
      </c>
      <c r="E645" s="28" t="s">
        <v>77</v>
      </c>
      <c r="F645" s="28" t="s">
        <v>77</v>
      </c>
      <c r="G645" s="28" t="s">
        <v>77</v>
      </c>
      <c r="I645" s="26" t="s">
        <v>77</v>
      </c>
      <c r="J645" s="26" t="s">
        <v>77</v>
      </c>
      <c r="K645" s="18"/>
      <c r="L645" s="26" t="s">
        <v>77</v>
      </c>
      <c r="M645" s="6" t="s">
        <v>77</v>
      </c>
      <c r="N645" s="28" t="s">
        <v>77</v>
      </c>
      <c r="O645" s="26" t="s">
        <v>77</v>
      </c>
    </row>
    <row r="646">
      <c r="A646" s="52" t="s">
        <v>77</v>
      </c>
      <c r="B646" s="28" t="s">
        <v>77</v>
      </c>
      <c r="C646" s="28" t="s">
        <v>77</v>
      </c>
      <c r="D646" s="28" t="s">
        <v>77</v>
      </c>
      <c r="E646" s="28" t="s">
        <v>77</v>
      </c>
      <c r="F646" s="28" t="s">
        <v>77</v>
      </c>
      <c r="G646" s="28" t="s">
        <v>77</v>
      </c>
      <c r="I646" s="26" t="s">
        <v>77</v>
      </c>
      <c r="J646" s="26" t="s">
        <v>77</v>
      </c>
      <c r="K646" s="18"/>
      <c r="L646" s="26" t="s">
        <v>77</v>
      </c>
      <c r="M646" s="6" t="s">
        <v>77</v>
      </c>
      <c r="N646" s="28" t="s">
        <v>77</v>
      </c>
      <c r="O646" s="26" t="s">
        <v>77</v>
      </c>
    </row>
    <row r="647">
      <c r="A647" s="52" t="s">
        <v>77</v>
      </c>
      <c r="B647" s="28" t="s">
        <v>77</v>
      </c>
      <c r="C647" s="28" t="s">
        <v>77</v>
      </c>
      <c r="D647" s="28" t="s">
        <v>77</v>
      </c>
      <c r="E647" s="28" t="s">
        <v>77</v>
      </c>
      <c r="F647" s="28" t="s">
        <v>77</v>
      </c>
      <c r="G647" s="28" t="s">
        <v>77</v>
      </c>
      <c r="I647" s="26" t="s">
        <v>77</v>
      </c>
      <c r="J647" s="26" t="s">
        <v>77</v>
      </c>
      <c r="K647" s="18"/>
      <c r="L647" s="26" t="s">
        <v>77</v>
      </c>
      <c r="M647" s="6" t="s">
        <v>77</v>
      </c>
      <c r="N647" s="28" t="s">
        <v>77</v>
      </c>
      <c r="O647" s="26" t="s">
        <v>77</v>
      </c>
    </row>
    <row r="648">
      <c r="A648" s="52" t="s">
        <v>77</v>
      </c>
      <c r="B648" s="28" t="s">
        <v>77</v>
      </c>
      <c r="C648" s="28" t="s">
        <v>77</v>
      </c>
      <c r="D648" s="28" t="s">
        <v>77</v>
      </c>
      <c r="E648" s="28" t="s">
        <v>77</v>
      </c>
      <c r="F648" s="28" t="s">
        <v>77</v>
      </c>
      <c r="G648" s="28" t="s">
        <v>77</v>
      </c>
      <c r="I648" s="26" t="s">
        <v>77</v>
      </c>
      <c r="J648" s="26" t="s">
        <v>77</v>
      </c>
      <c r="K648" s="18"/>
      <c r="L648" s="26" t="s">
        <v>77</v>
      </c>
      <c r="M648" s="6" t="s">
        <v>77</v>
      </c>
      <c r="N648" s="28" t="s">
        <v>77</v>
      </c>
      <c r="O648" s="26" t="s">
        <v>77</v>
      </c>
    </row>
    <row r="649">
      <c r="A649" s="52" t="s">
        <v>77</v>
      </c>
      <c r="B649" s="28" t="s">
        <v>77</v>
      </c>
      <c r="C649" s="28" t="s">
        <v>77</v>
      </c>
      <c r="D649" s="28" t="s">
        <v>77</v>
      </c>
      <c r="E649" s="28" t="s">
        <v>77</v>
      </c>
      <c r="F649" s="28" t="s">
        <v>77</v>
      </c>
      <c r="G649" s="28" t="s">
        <v>77</v>
      </c>
      <c r="I649" s="26" t="s">
        <v>77</v>
      </c>
      <c r="J649" s="26" t="s">
        <v>77</v>
      </c>
      <c r="K649" s="18"/>
      <c r="L649" s="26" t="s">
        <v>77</v>
      </c>
      <c r="M649" s="6" t="s">
        <v>77</v>
      </c>
      <c r="N649" s="28" t="s">
        <v>77</v>
      </c>
      <c r="O649" s="26" t="s">
        <v>77</v>
      </c>
    </row>
    <row r="650">
      <c r="A650" s="52" t="s">
        <v>77</v>
      </c>
      <c r="B650" s="28" t="s">
        <v>77</v>
      </c>
      <c r="C650" s="28" t="s">
        <v>77</v>
      </c>
      <c r="D650" s="28" t="s">
        <v>77</v>
      </c>
      <c r="E650" s="28" t="s">
        <v>77</v>
      </c>
      <c r="F650" s="28" t="s">
        <v>77</v>
      </c>
      <c r="G650" s="28" t="s">
        <v>77</v>
      </c>
      <c r="I650" s="26" t="s">
        <v>77</v>
      </c>
      <c r="J650" s="26" t="s">
        <v>77</v>
      </c>
      <c r="K650" s="18"/>
      <c r="L650" s="26" t="s">
        <v>77</v>
      </c>
      <c r="M650" s="6" t="s">
        <v>77</v>
      </c>
      <c r="N650" s="28" t="s">
        <v>77</v>
      </c>
      <c r="O650" s="26" t="s">
        <v>77</v>
      </c>
    </row>
    <row r="651">
      <c r="A651" s="52" t="s">
        <v>77</v>
      </c>
      <c r="B651" s="28" t="s">
        <v>77</v>
      </c>
      <c r="C651" s="28" t="s">
        <v>77</v>
      </c>
      <c r="D651" s="28" t="s">
        <v>77</v>
      </c>
      <c r="E651" s="28" t="s">
        <v>77</v>
      </c>
      <c r="F651" s="28" t="s">
        <v>77</v>
      </c>
      <c r="G651" s="28" t="s">
        <v>77</v>
      </c>
      <c r="I651" s="26" t="s">
        <v>77</v>
      </c>
      <c r="J651" s="26" t="s">
        <v>77</v>
      </c>
      <c r="K651" s="18"/>
      <c r="L651" s="26" t="s">
        <v>77</v>
      </c>
      <c r="M651" s="6" t="s">
        <v>77</v>
      </c>
      <c r="N651" s="28" t="s">
        <v>77</v>
      </c>
      <c r="O651" s="26" t="s">
        <v>77</v>
      </c>
    </row>
    <row r="652">
      <c r="A652" s="52" t="s">
        <v>77</v>
      </c>
      <c r="B652" s="28" t="s">
        <v>77</v>
      </c>
      <c r="C652" s="28" t="s">
        <v>77</v>
      </c>
      <c r="D652" s="28" t="s">
        <v>77</v>
      </c>
      <c r="E652" s="28" t="s">
        <v>77</v>
      </c>
      <c r="F652" s="28" t="s">
        <v>77</v>
      </c>
      <c r="G652" s="28" t="s">
        <v>77</v>
      </c>
      <c r="I652" s="26" t="s">
        <v>77</v>
      </c>
      <c r="J652" s="26" t="s">
        <v>77</v>
      </c>
      <c r="K652" s="18"/>
      <c r="L652" s="26" t="s">
        <v>77</v>
      </c>
      <c r="M652" s="6" t="s">
        <v>77</v>
      </c>
      <c r="N652" s="28" t="s">
        <v>77</v>
      </c>
      <c r="O652" s="26" t="s">
        <v>77</v>
      </c>
    </row>
    <row r="653">
      <c r="A653" s="52" t="s">
        <v>77</v>
      </c>
      <c r="B653" s="28" t="s">
        <v>77</v>
      </c>
      <c r="C653" s="28" t="s">
        <v>77</v>
      </c>
      <c r="D653" s="28" t="s">
        <v>77</v>
      </c>
      <c r="E653" s="28" t="s">
        <v>77</v>
      </c>
      <c r="F653" s="28" t="s">
        <v>77</v>
      </c>
      <c r="G653" s="28" t="s">
        <v>77</v>
      </c>
      <c r="I653" s="26" t="s">
        <v>77</v>
      </c>
      <c r="J653" s="26" t="s">
        <v>77</v>
      </c>
      <c r="K653" s="18"/>
      <c r="L653" s="26" t="s">
        <v>77</v>
      </c>
      <c r="M653" s="6" t="s">
        <v>77</v>
      </c>
      <c r="N653" s="28" t="s">
        <v>77</v>
      </c>
      <c r="O653" s="26" t="s">
        <v>77</v>
      </c>
    </row>
    <row r="654">
      <c r="A654" s="52" t="s">
        <v>77</v>
      </c>
      <c r="B654" s="28" t="s">
        <v>77</v>
      </c>
      <c r="C654" s="28" t="s">
        <v>77</v>
      </c>
      <c r="D654" s="28" t="s">
        <v>77</v>
      </c>
      <c r="E654" s="28" t="s">
        <v>77</v>
      </c>
      <c r="F654" s="28" t="s">
        <v>77</v>
      </c>
      <c r="G654" s="28" t="s">
        <v>77</v>
      </c>
      <c r="I654" s="26" t="s">
        <v>77</v>
      </c>
      <c r="J654" s="26" t="s">
        <v>77</v>
      </c>
      <c r="K654" s="18"/>
      <c r="L654" s="26" t="s">
        <v>77</v>
      </c>
      <c r="M654" s="6" t="s">
        <v>77</v>
      </c>
      <c r="N654" s="28" t="s">
        <v>77</v>
      </c>
      <c r="O654" s="26" t="s">
        <v>77</v>
      </c>
    </row>
    <row r="655">
      <c r="A655" s="52" t="s">
        <v>77</v>
      </c>
      <c r="B655" s="28" t="s">
        <v>77</v>
      </c>
      <c r="C655" s="28" t="s">
        <v>77</v>
      </c>
      <c r="D655" s="28" t="s">
        <v>77</v>
      </c>
      <c r="E655" s="28" t="s">
        <v>77</v>
      </c>
      <c r="F655" s="28" t="s">
        <v>77</v>
      </c>
      <c r="G655" s="28" t="s">
        <v>77</v>
      </c>
      <c r="I655" s="26" t="s">
        <v>77</v>
      </c>
      <c r="J655" s="26" t="s">
        <v>77</v>
      </c>
      <c r="K655" s="18"/>
      <c r="L655" s="26" t="s">
        <v>77</v>
      </c>
      <c r="M655" s="6" t="s">
        <v>77</v>
      </c>
      <c r="N655" s="28" t="s">
        <v>77</v>
      </c>
      <c r="O655" s="26" t="s">
        <v>77</v>
      </c>
    </row>
    <row r="656">
      <c r="A656" s="52" t="s">
        <v>77</v>
      </c>
      <c r="B656" s="28" t="s">
        <v>77</v>
      </c>
      <c r="C656" s="28" t="s">
        <v>77</v>
      </c>
      <c r="D656" s="28" t="s">
        <v>77</v>
      </c>
      <c r="E656" s="28" t="s">
        <v>77</v>
      </c>
      <c r="F656" s="28" t="s">
        <v>77</v>
      </c>
      <c r="G656" s="28" t="s">
        <v>77</v>
      </c>
      <c r="I656" s="26" t="s">
        <v>77</v>
      </c>
      <c r="J656" s="26" t="s">
        <v>77</v>
      </c>
      <c r="K656" s="18"/>
      <c r="L656" s="26" t="s">
        <v>77</v>
      </c>
      <c r="M656" s="6" t="s">
        <v>77</v>
      </c>
      <c r="N656" s="28" t="s">
        <v>77</v>
      </c>
      <c r="O656" s="26" t="s">
        <v>77</v>
      </c>
    </row>
    <row r="657">
      <c r="A657" s="52" t="s">
        <v>77</v>
      </c>
      <c r="B657" s="28" t="s">
        <v>77</v>
      </c>
      <c r="C657" s="28" t="s">
        <v>77</v>
      </c>
      <c r="D657" s="28" t="s">
        <v>77</v>
      </c>
      <c r="E657" s="28" t="s">
        <v>77</v>
      </c>
      <c r="F657" s="28" t="s">
        <v>77</v>
      </c>
      <c r="G657" s="28" t="s">
        <v>77</v>
      </c>
      <c r="I657" s="26" t="s">
        <v>77</v>
      </c>
      <c r="J657" s="26" t="s">
        <v>77</v>
      </c>
      <c r="K657" s="18"/>
      <c r="L657" s="26" t="s">
        <v>77</v>
      </c>
      <c r="M657" s="6" t="s">
        <v>77</v>
      </c>
      <c r="N657" s="28" t="s">
        <v>77</v>
      </c>
      <c r="O657" s="26" t="s">
        <v>77</v>
      </c>
    </row>
    <row r="658">
      <c r="A658" s="52" t="s">
        <v>77</v>
      </c>
      <c r="B658" s="28" t="s">
        <v>77</v>
      </c>
      <c r="C658" s="28" t="s">
        <v>77</v>
      </c>
      <c r="D658" s="28" t="s">
        <v>77</v>
      </c>
      <c r="E658" s="28" t="s">
        <v>77</v>
      </c>
      <c r="F658" s="28" t="s">
        <v>77</v>
      </c>
      <c r="G658" s="28" t="s">
        <v>77</v>
      </c>
      <c r="I658" s="26" t="s">
        <v>77</v>
      </c>
      <c r="J658" s="26" t="s">
        <v>77</v>
      </c>
      <c r="K658" s="18"/>
      <c r="L658" s="26" t="s">
        <v>77</v>
      </c>
      <c r="M658" s="6" t="s">
        <v>77</v>
      </c>
      <c r="N658" s="28" t="s">
        <v>77</v>
      </c>
      <c r="O658" s="26" t="s">
        <v>77</v>
      </c>
    </row>
    <row r="659">
      <c r="A659" s="52" t="s">
        <v>77</v>
      </c>
      <c r="B659" s="28" t="s">
        <v>77</v>
      </c>
      <c r="C659" s="28" t="s">
        <v>77</v>
      </c>
      <c r="D659" s="28" t="s">
        <v>77</v>
      </c>
      <c r="E659" s="28" t="s">
        <v>77</v>
      </c>
      <c r="F659" s="28" t="s">
        <v>77</v>
      </c>
      <c r="G659" s="28" t="s">
        <v>77</v>
      </c>
      <c r="I659" s="26" t="s">
        <v>77</v>
      </c>
      <c r="J659" s="26" t="s">
        <v>77</v>
      </c>
      <c r="K659" s="18"/>
      <c r="L659" s="26" t="s">
        <v>77</v>
      </c>
      <c r="M659" s="6" t="s">
        <v>77</v>
      </c>
      <c r="N659" s="28" t="s">
        <v>77</v>
      </c>
      <c r="O659" s="26" t="s">
        <v>77</v>
      </c>
    </row>
    <row r="660">
      <c r="A660" s="52" t="s">
        <v>77</v>
      </c>
      <c r="B660" s="28" t="s">
        <v>77</v>
      </c>
      <c r="C660" s="28" t="s">
        <v>77</v>
      </c>
      <c r="D660" s="28" t="s">
        <v>77</v>
      </c>
      <c r="E660" s="28" t="s">
        <v>77</v>
      </c>
      <c r="F660" s="28" t="s">
        <v>77</v>
      </c>
      <c r="G660" s="28" t="s">
        <v>77</v>
      </c>
      <c r="I660" s="26" t="s">
        <v>77</v>
      </c>
      <c r="J660" s="26" t="s">
        <v>77</v>
      </c>
      <c r="K660" s="18"/>
      <c r="L660" s="26" t="s">
        <v>77</v>
      </c>
      <c r="M660" s="6" t="s">
        <v>77</v>
      </c>
      <c r="N660" s="28" t="s">
        <v>77</v>
      </c>
      <c r="O660" s="26" t="s">
        <v>77</v>
      </c>
    </row>
    <row r="661">
      <c r="A661" s="52" t="s">
        <v>77</v>
      </c>
      <c r="B661" s="28" t="s">
        <v>77</v>
      </c>
      <c r="C661" s="28" t="s">
        <v>77</v>
      </c>
      <c r="D661" s="28" t="s">
        <v>77</v>
      </c>
      <c r="E661" s="28" t="s">
        <v>77</v>
      </c>
      <c r="F661" s="28" t="s">
        <v>77</v>
      </c>
      <c r="G661" s="28" t="s">
        <v>77</v>
      </c>
      <c r="I661" s="26" t="s">
        <v>77</v>
      </c>
      <c r="J661" s="26" t="s">
        <v>77</v>
      </c>
      <c r="K661" s="18"/>
      <c r="L661" s="26" t="s">
        <v>77</v>
      </c>
      <c r="M661" s="6" t="s">
        <v>77</v>
      </c>
      <c r="N661" s="28" t="s">
        <v>77</v>
      </c>
      <c r="O661" s="26" t="s">
        <v>77</v>
      </c>
    </row>
    <row r="662">
      <c r="A662" s="52" t="s">
        <v>77</v>
      </c>
      <c r="B662" s="28" t="s">
        <v>77</v>
      </c>
      <c r="C662" s="28" t="s">
        <v>77</v>
      </c>
      <c r="D662" s="28" t="s">
        <v>77</v>
      </c>
      <c r="E662" s="28" t="s">
        <v>77</v>
      </c>
      <c r="F662" s="28" t="s">
        <v>77</v>
      </c>
      <c r="G662" s="28" t="s">
        <v>77</v>
      </c>
      <c r="I662" s="26" t="s">
        <v>77</v>
      </c>
      <c r="J662" s="26" t="s">
        <v>77</v>
      </c>
      <c r="K662" s="18"/>
      <c r="L662" s="26" t="s">
        <v>77</v>
      </c>
      <c r="M662" s="6" t="s">
        <v>77</v>
      </c>
      <c r="N662" s="28" t="s">
        <v>77</v>
      </c>
      <c r="O662" s="26" t="s">
        <v>77</v>
      </c>
    </row>
    <row r="663">
      <c r="A663" s="52" t="s">
        <v>77</v>
      </c>
      <c r="B663" s="28" t="s">
        <v>77</v>
      </c>
      <c r="C663" s="28" t="s">
        <v>77</v>
      </c>
      <c r="D663" s="28" t="s">
        <v>77</v>
      </c>
      <c r="E663" s="28" t="s">
        <v>77</v>
      </c>
      <c r="F663" s="28" t="s">
        <v>77</v>
      </c>
      <c r="G663" s="28" t="s">
        <v>77</v>
      </c>
      <c r="I663" s="26" t="s">
        <v>77</v>
      </c>
      <c r="J663" s="26" t="s">
        <v>77</v>
      </c>
      <c r="K663" s="18"/>
      <c r="L663" s="26" t="s">
        <v>77</v>
      </c>
      <c r="M663" s="6" t="s">
        <v>77</v>
      </c>
      <c r="N663" s="28" t="s">
        <v>77</v>
      </c>
      <c r="O663" s="26" t="s">
        <v>77</v>
      </c>
    </row>
    <row r="664">
      <c r="A664" s="52" t="s">
        <v>77</v>
      </c>
      <c r="B664" s="28" t="s">
        <v>77</v>
      </c>
      <c r="C664" s="28" t="s">
        <v>77</v>
      </c>
      <c r="D664" s="28" t="s">
        <v>77</v>
      </c>
      <c r="E664" s="28" t="s">
        <v>77</v>
      </c>
      <c r="F664" s="28" t="s">
        <v>77</v>
      </c>
      <c r="G664" s="28" t="s">
        <v>77</v>
      </c>
      <c r="I664" s="26" t="s">
        <v>77</v>
      </c>
      <c r="J664" s="26" t="s">
        <v>77</v>
      </c>
      <c r="K664" s="18"/>
      <c r="L664" s="26" t="s">
        <v>77</v>
      </c>
      <c r="M664" s="6" t="s">
        <v>77</v>
      </c>
      <c r="N664" s="28" t="s">
        <v>77</v>
      </c>
      <c r="O664" s="26" t="s">
        <v>77</v>
      </c>
    </row>
    <row r="665">
      <c r="A665" s="52" t="s">
        <v>77</v>
      </c>
      <c r="B665" s="28" t="s">
        <v>77</v>
      </c>
      <c r="C665" s="28" t="s">
        <v>77</v>
      </c>
      <c r="D665" s="28" t="s">
        <v>77</v>
      </c>
      <c r="E665" s="28" t="s">
        <v>77</v>
      </c>
      <c r="F665" s="28" t="s">
        <v>77</v>
      </c>
      <c r="G665" s="28" t="s">
        <v>77</v>
      </c>
      <c r="I665" s="26" t="s">
        <v>77</v>
      </c>
      <c r="J665" s="26" t="s">
        <v>77</v>
      </c>
      <c r="K665" s="18"/>
      <c r="L665" s="26" t="s">
        <v>77</v>
      </c>
      <c r="M665" s="6" t="s">
        <v>77</v>
      </c>
      <c r="N665" s="28" t="s">
        <v>77</v>
      </c>
      <c r="O665" s="26" t="s">
        <v>77</v>
      </c>
    </row>
    <row r="666">
      <c r="A666" s="52" t="s">
        <v>77</v>
      </c>
      <c r="B666" s="28" t="s">
        <v>77</v>
      </c>
      <c r="C666" s="28" t="s">
        <v>77</v>
      </c>
      <c r="D666" s="28" t="s">
        <v>77</v>
      </c>
      <c r="E666" s="28" t="s">
        <v>77</v>
      </c>
      <c r="F666" s="28" t="s">
        <v>77</v>
      </c>
      <c r="G666" s="28" t="s">
        <v>77</v>
      </c>
      <c r="I666" s="26" t="s">
        <v>77</v>
      </c>
      <c r="J666" s="26" t="s">
        <v>77</v>
      </c>
      <c r="K666" s="18"/>
      <c r="L666" s="26" t="s">
        <v>77</v>
      </c>
      <c r="M666" s="6" t="s">
        <v>77</v>
      </c>
      <c r="N666" s="28" t="s">
        <v>77</v>
      </c>
      <c r="O666" s="26" t="s">
        <v>77</v>
      </c>
    </row>
    <row r="667">
      <c r="A667" s="52" t="s">
        <v>77</v>
      </c>
      <c r="B667" s="28" t="s">
        <v>77</v>
      </c>
      <c r="C667" s="28" t="s">
        <v>77</v>
      </c>
      <c r="D667" s="28" t="s">
        <v>77</v>
      </c>
      <c r="E667" s="28" t="s">
        <v>77</v>
      </c>
      <c r="F667" s="28" t="s">
        <v>77</v>
      </c>
      <c r="G667" s="28" t="s">
        <v>77</v>
      </c>
      <c r="I667" s="26" t="s">
        <v>77</v>
      </c>
      <c r="J667" s="26" t="s">
        <v>77</v>
      </c>
      <c r="K667" s="18"/>
      <c r="L667" s="26" t="s">
        <v>77</v>
      </c>
      <c r="M667" s="6" t="s">
        <v>77</v>
      </c>
      <c r="N667" s="28" t="s">
        <v>77</v>
      </c>
      <c r="O667" s="26" t="s">
        <v>77</v>
      </c>
    </row>
    <row r="668">
      <c r="A668" s="52" t="s">
        <v>77</v>
      </c>
      <c r="B668" s="28" t="s">
        <v>77</v>
      </c>
      <c r="C668" s="28" t="s">
        <v>77</v>
      </c>
      <c r="D668" s="28" t="s">
        <v>77</v>
      </c>
      <c r="E668" s="28" t="s">
        <v>77</v>
      </c>
      <c r="F668" s="28" t="s">
        <v>77</v>
      </c>
      <c r="G668" s="28" t="s">
        <v>77</v>
      </c>
      <c r="I668" s="26" t="s">
        <v>77</v>
      </c>
      <c r="J668" s="26" t="s">
        <v>77</v>
      </c>
      <c r="K668" s="18"/>
      <c r="L668" s="26" t="s">
        <v>77</v>
      </c>
      <c r="M668" s="6" t="s">
        <v>77</v>
      </c>
      <c r="N668" s="28" t="s">
        <v>77</v>
      </c>
      <c r="O668" s="26" t="s">
        <v>77</v>
      </c>
    </row>
    <row r="669">
      <c r="A669" s="52" t="s">
        <v>77</v>
      </c>
      <c r="B669" s="28" t="s">
        <v>77</v>
      </c>
      <c r="C669" s="28" t="s">
        <v>77</v>
      </c>
      <c r="D669" s="28" t="s">
        <v>77</v>
      </c>
      <c r="E669" s="28" t="s">
        <v>77</v>
      </c>
      <c r="F669" s="28" t="s">
        <v>77</v>
      </c>
      <c r="G669" s="28" t="s">
        <v>77</v>
      </c>
      <c r="I669" s="26" t="s">
        <v>77</v>
      </c>
      <c r="J669" s="26" t="s">
        <v>77</v>
      </c>
      <c r="K669" s="18"/>
      <c r="L669" s="26" t="s">
        <v>77</v>
      </c>
      <c r="M669" s="6" t="s">
        <v>77</v>
      </c>
      <c r="N669" s="28" t="s">
        <v>77</v>
      </c>
      <c r="O669" s="26" t="s">
        <v>77</v>
      </c>
    </row>
    <row r="670">
      <c r="A670" s="52" t="s">
        <v>77</v>
      </c>
      <c r="B670" s="28" t="s">
        <v>77</v>
      </c>
      <c r="C670" s="28" t="s">
        <v>77</v>
      </c>
      <c r="D670" s="28" t="s">
        <v>77</v>
      </c>
      <c r="E670" s="28" t="s">
        <v>77</v>
      </c>
      <c r="F670" s="28" t="s">
        <v>77</v>
      </c>
      <c r="G670" s="28" t="s">
        <v>77</v>
      </c>
      <c r="I670" s="26" t="s">
        <v>77</v>
      </c>
      <c r="J670" s="26" t="s">
        <v>77</v>
      </c>
      <c r="K670" s="18"/>
      <c r="L670" s="26" t="s">
        <v>77</v>
      </c>
      <c r="M670" s="6" t="s">
        <v>77</v>
      </c>
      <c r="N670" s="28" t="s">
        <v>77</v>
      </c>
      <c r="O670" s="26" t="s">
        <v>77</v>
      </c>
    </row>
    <row r="671">
      <c r="A671" s="52" t="s">
        <v>77</v>
      </c>
      <c r="B671" s="28" t="s">
        <v>77</v>
      </c>
      <c r="C671" s="28" t="s">
        <v>77</v>
      </c>
      <c r="D671" s="28" t="s">
        <v>77</v>
      </c>
      <c r="E671" s="28" t="s">
        <v>77</v>
      </c>
      <c r="F671" s="28" t="s">
        <v>77</v>
      </c>
      <c r="G671" s="28" t="s">
        <v>77</v>
      </c>
      <c r="I671" s="26" t="s">
        <v>77</v>
      </c>
      <c r="J671" s="26" t="s">
        <v>77</v>
      </c>
      <c r="K671" s="18"/>
      <c r="L671" s="26" t="s">
        <v>77</v>
      </c>
      <c r="M671" s="6" t="s">
        <v>77</v>
      </c>
      <c r="N671" s="28" t="s">
        <v>77</v>
      </c>
      <c r="O671" s="26" t="s">
        <v>77</v>
      </c>
    </row>
    <row r="672">
      <c r="A672" s="52" t="s">
        <v>77</v>
      </c>
      <c r="B672" s="28" t="s">
        <v>77</v>
      </c>
      <c r="C672" s="28" t="s">
        <v>77</v>
      </c>
      <c r="D672" s="28" t="s">
        <v>77</v>
      </c>
      <c r="E672" s="28" t="s">
        <v>77</v>
      </c>
      <c r="F672" s="28" t="s">
        <v>77</v>
      </c>
      <c r="G672" s="28" t="s">
        <v>77</v>
      </c>
      <c r="I672" s="26" t="s">
        <v>77</v>
      </c>
      <c r="J672" s="26" t="s">
        <v>77</v>
      </c>
      <c r="K672" s="18"/>
      <c r="L672" s="26" t="s">
        <v>77</v>
      </c>
      <c r="M672" s="6" t="s">
        <v>77</v>
      </c>
      <c r="N672" s="28" t="s">
        <v>77</v>
      </c>
      <c r="O672" s="26" t="s">
        <v>77</v>
      </c>
    </row>
    <row r="673">
      <c r="A673" s="52" t="s">
        <v>77</v>
      </c>
      <c r="B673" s="28" t="s">
        <v>77</v>
      </c>
      <c r="C673" s="28" t="s">
        <v>77</v>
      </c>
      <c r="D673" s="28" t="s">
        <v>77</v>
      </c>
      <c r="E673" s="28" t="s">
        <v>77</v>
      </c>
      <c r="F673" s="28" t="s">
        <v>77</v>
      </c>
      <c r="G673" s="28" t="s">
        <v>77</v>
      </c>
      <c r="I673" s="26" t="s">
        <v>77</v>
      </c>
      <c r="J673" s="26" t="s">
        <v>77</v>
      </c>
      <c r="K673" s="18"/>
      <c r="L673" s="26" t="s">
        <v>77</v>
      </c>
      <c r="M673" s="6" t="s">
        <v>77</v>
      </c>
      <c r="N673" s="28" t="s">
        <v>77</v>
      </c>
      <c r="O673" s="26" t="s">
        <v>77</v>
      </c>
    </row>
    <row r="674">
      <c r="A674" s="52" t="s">
        <v>77</v>
      </c>
      <c r="B674" s="28" t="s">
        <v>77</v>
      </c>
      <c r="C674" s="28" t="s">
        <v>77</v>
      </c>
      <c r="D674" s="28" t="s">
        <v>77</v>
      </c>
      <c r="E674" s="28" t="s">
        <v>77</v>
      </c>
      <c r="F674" s="28" t="s">
        <v>77</v>
      </c>
      <c r="G674" s="28" t="s">
        <v>77</v>
      </c>
      <c r="I674" s="26" t="s">
        <v>77</v>
      </c>
      <c r="J674" s="26" t="s">
        <v>77</v>
      </c>
      <c r="K674" s="18"/>
      <c r="L674" s="26" t="s">
        <v>77</v>
      </c>
      <c r="M674" s="6" t="s">
        <v>77</v>
      </c>
      <c r="N674" s="28" t="s">
        <v>77</v>
      </c>
      <c r="O674" s="26" t="s">
        <v>77</v>
      </c>
    </row>
    <row r="675">
      <c r="A675" s="52" t="s">
        <v>77</v>
      </c>
      <c r="B675" s="28" t="s">
        <v>77</v>
      </c>
      <c r="C675" s="28" t="s">
        <v>77</v>
      </c>
      <c r="D675" s="28" t="s">
        <v>77</v>
      </c>
      <c r="E675" s="28" t="s">
        <v>77</v>
      </c>
      <c r="F675" s="28" t="s">
        <v>77</v>
      </c>
      <c r="G675" s="28" t="s">
        <v>77</v>
      </c>
      <c r="I675" s="26" t="s">
        <v>77</v>
      </c>
      <c r="J675" s="26" t="s">
        <v>77</v>
      </c>
      <c r="K675" s="18"/>
      <c r="L675" s="26" t="s">
        <v>77</v>
      </c>
      <c r="M675" s="6" t="s">
        <v>77</v>
      </c>
      <c r="N675" s="28" t="s">
        <v>77</v>
      </c>
      <c r="O675" s="26" t="s">
        <v>77</v>
      </c>
    </row>
    <row r="676">
      <c r="A676" s="52" t="s">
        <v>77</v>
      </c>
      <c r="B676" s="28" t="s">
        <v>77</v>
      </c>
      <c r="C676" s="28" t="s">
        <v>77</v>
      </c>
      <c r="D676" s="28" t="s">
        <v>77</v>
      </c>
      <c r="E676" s="28" t="s">
        <v>77</v>
      </c>
      <c r="F676" s="28" t="s">
        <v>77</v>
      </c>
      <c r="G676" s="28" t="s">
        <v>77</v>
      </c>
      <c r="I676" s="26" t="s">
        <v>77</v>
      </c>
      <c r="J676" s="26" t="s">
        <v>77</v>
      </c>
      <c r="K676" s="18"/>
      <c r="L676" s="26" t="s">
        <v>77</v>
      </c>
      <c r="M676" s="6" t="s">
        <v>77</v>
      </c>
      <c r="N676" s="28" t="s">
        <v>77</v>
      </c>
      <c r="O676" s="26" t="s">
        <v>77</v>
      </c>
    </row>
    <row r="677">
      <c r="A677" s="52" t="s">
        <v>77</v>
      </c>
      <c r="B677" s="28" t="s">
        <v>77</v>
      </c>
      <c r="C677" s="28" t="s">
        <v>77</v>
      </c>
      <c r="D677" s="28" t="s">
        <v>77</v>
      </c>
      <c r="E677" s="28" t="s">
        <v>77</v>
      </c>
      <c r="F677" s="28" t="s">
        <v>77</v>
      </c>
      <c r="G677" s="28" t="s">
        <v>77</v>
      </c>
      <c r="I677" s="26" t="s">
        <v>77</v>
      </c>
      <c r="J677" s="26" t="s">
        <v>77</v>
      </c>
      <c r="K677" s="18"/>
      <c r="L677" s="26" t="s">
        <v>77</v>
      </c>
      <c r="M677" s="6" t="s">
        <v>77</v>
      </c>
      <c r="N677" s="28" t="s">
        <v>77</v>
      </c>
      <c r="O677" s="26" t="s">
        <v>77</v>
      </c>
    </row>
    <row r="678">
      <c r="A678" s="52" t="s">
        <v>77</v>
      </c>
      <c r="B678" s="28" t="s">
        <v>77</v>
      </c>
      <c r="C678" s="28" t="s">
        <v>77</v>
      </c>
      <c r="D678" s="28" t="s">
        <v>77</v>
      </c>
      <c r="E678" s="28" t="s">
        <v>77</v>
      </c>
      <c r="F678" s="28" t="s">
        <v>77</v>
      </c>
      <c r="G678" s="28" t="s">
        <v>77</v>
      </c>
      <c r="I678" s="26" t="s">
        <v>77</v>
      </c>
      <c r="J678" s="26" t="s">
        <v>77</v>
      </c>
      <c r="K678" s="18"/>
      <c r="L678" s="26" t="s">
        <v>77</v>
      </c>
      <c r="M678" s="6" t="s">
        <v>77</v>
      </c>
      <c r="N678" s="28" t="s">
        <v>77</v>
      </c>
      <c r="O678" s="26" t="s">
        <v>77</v>
      </c>
    </row>
    <row r="679">
      <c r="A679" s="52" t="s">
        <v>77</v>
      </c>
      <c r="B679" s="28" t="s">
        <v>77</v>
      </c>
      <c r="C679" s="28" t="s">
        <v>77</v>
      </c>
      <c r="D679" s="28" t="s">
        <v>77</v>
      </c>
      <c r="E679" s="28" t="s">
        <v>77</v>
      </c>
      <c r="F679" s="28" t="s">
        <v>77</v>
      </c>
      <c r="G679" s="28" t="s">
        <v>77</v>
      </c>
      <c r="I679" s="26" t="s">
        <v>77</v>
      </c>
      <c r="J679" s="26" t="s">
        <v>77</v>
      </c>
      <c r="K679" s="18"/>
      <c r="L679" s="26" t="s">
        <v>77</v>
      </c>
      <c r="M679" s="6" t="s">
        <v>77</v>
      </c>
      <c r="N679" s="28" t="s">
        <v>77</v>
      </c>
      <c r="O679" s="26" t="s">
        <v>77</v>
      </c>
    </row>
    <row r="680">
      <c r="A680" s="52" t="s">
        <v>77</v>
      </c>
      <c r="B680" s="28" t="s">
        <v>77</v>
      </c>
      <c r="C680" s="28" t="s">
        <v>77</v>
      </c>
      <c r="D680" s="28" t="s">
        <v>77</v>
      </c>
      <c r="E680" s="28" t="s">
        <v>77</v>
      </c>
      <c r="F680" s="28" t="s">
        <v>77</v>
      </c>
      <c r="G680" s="28" t="s">
        <v>77</v>
      </c>
      <c r="I680" s="26" t="s">
        <v>77</v>
      </c>
      <c r="J680" s="26" t="s">
        <v>77</v>
      </c>
      <c r="K680" s="18"/>
      <c r="L680" s="26" t="s">
        <v>77</v>
      </c>
      <c r="M680" s="6" t="s">
        <v>77</v>
      </c>
      <c r="N680" s="28" t="s">
        <v>77</v>
      </c>
      <c r="O680" s="26" t="s">
        <v>77</v>
      </c>
    </row>
    <row r="681">
      <c r="A681" s="52" t="s">
        <v>77</v>
      </c>
      <c r="B681" s="28" t="s">
        <v>77</v>
      </c>
      <c r="C681" s="28" t="s">
        <v>77</v>
      </c>
      <c r="D681" s="28" t="s">
        <v>77</v>
      </c>
      <c r="E681" s="28" t="s">
        <v>77</v>
      </c>
      <c r="F681" s="28" t="s">
        <v>77</v>
      </c>
      <c r="G681" s="28" t="s">
        <v>77</v>
      </c>
      <c r="I681" s="26" t="s">
        <v>77</v>
      </c>
      <c r="J681" s="26" t="s">
        <v>77</v>
      </c>
      <c r="K681" s="18"/>
      <c r="L681" s="26" t="s">
        <v>77</v>
      </c>
      <c r="M681" s="6" t="s">
        <v>77</v>
      </c>
      <c r="N681" s="28" t="s">
        <v>77</v>
      </c>
      <c r="O681" s="26" t="s">
        <v>77</v>
      </c>
    </row>
    <row r="682">
      <c r="A682" s="52" t="s">
        <v>77</v>
      </c>
      <c r="B682" s="28" t="s">
        <v>77</v>
      </c>
      <c r="C682" s="28" t="s">
        <v>77</v>
      </c>
      <c r="D682" s="28" t="s">
        <v>77</v>
      </c>
      <c r="E682" s="28" t="s">
        <v>77</v>
      </c>
      <c r="F682" s="28" t="s">
        <v>77</v>
      </c>
      <c r="G682" s="28" t="s">
        <v>77</v>
      </c>
      <c r="I682" s="26" t="s">
        <v>77</v>
      </c>
      <c r="J682" s="26" t="s">
        <v>77</v>
      </c>
      <c r="K682" s="18"/>
      <c r="L682" s="26" t="s">
        <v>77</v>
      </c>
      <c r="M682" s="6" t="s">
        <v>77</v>
      </c>
      <c r="N682" s="28" t="s">
        <v>77</v>
      </c>
      <c r="O682" s="26" t="s">
        <v>77</v>
      </c>
    </row>
    <row r="683">
      <c r="A683" s="52" t="s">
        <v>77</v>
      </c>
      <c r="B683" s="28" t="s">
        <v>77</v>
      </c>
      <c r="C683" s="28" t="s">
        <v>77</v>
      </c>
      <c r="D683" s="28" t="s">
        <v>77</v>
      </c>
      <c r="E683" s="28" t="s">
        <v>77</v>
      </c>
      <c r="F683" s="28" t="s">
        <v>77</v>
      </c>
      <c r="G683" s="28" t="s">
        <v>77</v>
      </c>
      <c r="I683" s="26" t="s">
        <v>77</v>
      </c>
      <c r="J683" s="26" t="s">
        <v>77</v>
      </c>
      <c r="K683" s="18"/>
      <c r="L683" s="26" t="s">
        <v>77</v>
      </c>
      <c r="M683" s="6" t="s">
        <v>77</v>
      </c>
      <c r="N683" s="28" t="s">
        <v>77</v>
      </c>
      <c r="O683" s="26" t="s">
        <v>77</v>
      </c>
    </row>
    <row r="684">
      <c r="A684" s="52" t="s">
        <v>77</v>
      </c>
      <c r="B684" s="28" t="s">
        <v>77</v>
      </c>
      <c r="C684" s="28" t="s">
        <v>77</v>
      </c>
      <c r="D684" s="28" t="s">
        <v>77</v>
      </c>
      <c r="E684" s="28" t="s">
        <v>77</v>
      </c>
      <c r="F684" s="28" t="s">
        <v>77</v>
      </c>
      <c r="G684" s="28" t="s">
        <v>77</v>
      </c>
      <c r="I684" s="26" t="s">
        <v>77</v>
      </c>
      <c r="J684" s="26" t="s">
        <v>77</v>
      </c>
      <c r="K684" s="18"/>
      <c r="L684" s="26" t="s">
        <v>77</v>
      </c>
      <c r="M684" s="6" t="s">
        <v>77</v>
      </c>
      <c r="N684" s="28" t="s">
        <v>77</v>
      </c>
      <c r="O684" s="26" t="s">
        <v>77</v>
      </c>
    </row>
    <row r="685">
      <c r="A685" s="52" t="s">
        <v>77</v>
      </c>
      <c r="B685" s="28" t="s">
        <v>77</v>
      </c>
      <c r="C685" s="28" t="s">
        <v>77</v>
      </c>
      <c r="D685" s="28" t="s">
        <v>77</v>
      </c>
      <c r="E685" s="28" t="s">
        <v>77</v>
      </c>
      <c r="F685" s="28" t="s">
        <v>77</v>
      </c>
      <c r="G685" s="28" t="s">
        <v>77</v>
      </c>
      <c r="I685" s="26" t="s">
        <v>77</v>
      </c>
      <c r="J685" s="26" t="s">
        <v>77</v>
      </c>
      <c r="K685" s="18"/>
      <c r="L685" s="26" t="s">
        <v>77</v>
      </c>
      <c r="M685" s="6" t="s">
        <v>77</v>
      </c>
      <c r="N685" s="28" t="s">
        <v>77</v>
      </c>
      <c r="O685" s="26" t="s">
        <v>77</v>
      </c>
    </row>
    <row r="686">
      <c r="A686" s="52" t="s">
        <v>77</v>
      </c>
      <c r="B686" s="28" t="s">
        <v>77</v>
      </c>
      <c r="C686" s="28" t="s">
        <v>77</v>
      </c>
      <c r="D686" s="28" t="s">
        <v>77</v>
      </c>
      <c r="E686" s="28" t="s">
        <v>77</v>
      </c>
      <c r="F686" s="28" t="s">
        <v>77</v>
      </c>
      <c r="G686" s="28" t="s">
        <v>77</v>
      </c>
      <c r="I686" s="26" t="s">
        <v>77</v>
      </c>
      <c r="J686" s="26" t="s">
        <v>77</v>
      </c>
      <c r="K686" s="18"/>
      <c r="L686" s="26" t="s">
        <v>77</v>
      </c>
      <c r="M686" s="6" t="s">
        <v>77</v>
      </c>
      <c r="N686" s="28" t="s">
        <v>77</v>
      </c>
      <c r="O686" s="26" t="s">
        <v>77</v>
      </c>
    </row>
    <row r="687">
      <c r="A687" s="52" t="s">
        <v>77</v>
      </c>
      <c r="B687" s="28" t="s">
        <v>77</v>
      </c>
      <c r="C687" s="28" t="s">
        <v>77</v>
      </c>
      <c r="D687" s="28" t="s">
        <v>77</v>
      </c>
      <c r="E687" s="28" t="s">
        <v>77</v>
      </c>
      <c r="F687" s="28" t="s">
        <v>77</v>
      </c>
      <c r="G687" s="28" t="s">
        <v>77</v>
      </c>
      <c r="I687" s="26" t="s">
        <v>77</v>
      </c>
      <c r="J687" s="26" t="s">
        <v>77</v>
      </c>
      <c r="K687" s="18"/>
      <c r="L687" s="26" t="s">
        <v>77</v>
      </c>
      <c r="M687" s="6" t="s">
        <v>77</v>
      </c>
      <c r="N687" s="28" t="s">
        <v>77</v>
      </c>
      <c r="O687" s="26" t="s">
        <v>77</v>
      </c>
    </row>
    <row r="688">
      <c r="A688" s="52" t="s">
        <v>77</v>
      </c>
      <c r="B688" s="28" t="s">
        <v>77</v>
      </c>
      <c r="C688" s="28" t="s">
        <v>77</v>
      </c>
      <c r="D688" s="28" t="s">
        <v>77</v>
      </c>
      <c r="E688" s="28" t="s">
        <v>77</v>
      </c>
      <c r="F688" s="28" t="s">
        <v>77</v>
      </c>
      <c r="G688" s="28" t="s">
        <v>77</v>
      </c>
      <c r="I688" s="26" t="s">
        <v>77</v>
      </c>
      <c r="J688" s="26" t="s">
        <v>77</v>
      </c>
      <c r="K688" s="18"/>
      <c r="L688" s="26" t="s">
        <v>77</v>
      </c>
      <c r="M688" s="6" t="s">
        <v>77</v>
      </c>
      <c r="N688" s="28" t="s">
        <v>77</v>
      </c>
      <c r="O688" s="26" t="s">
        <v>77</v>
      </c>
    </row>
    <row r="689">
      <c r="A689" s="52" t="s">
        <v>77</v>
      </c>
      <c r="B689" s="28" t="s">
        <v>77</v>
      </c>
      <c r="C689" s="28" t="s">
        <v>77</v>
      </c>
      <c r="D689" s="28" t="s">
        <v>77</v>
      </c>
      <c r="E689" s="28" t="s">
        <v>77</v>
      </c>
      <c r="F689" s="28" t="s">
        <v>77</v>
      </c>
      <c r="G689" s="28" t="s">
        <v>77</v>
      </c>
      <c r="I689" s="26" t="s">
        <v>77</v>
      </c>
      <c r="J689" s="26" t="s">
        <v>77</v>
      </c>
      <c r="K689" s="18"/>
      <c r="L689" s="26" t="s">
        <v>77</v>
      </c>
      <c r="M689" s="6" t="s">
        <v>77</v>
      </c>
      <c r="N689" s="28" t="s">
        <v>77</v>
      </c>
      <c r="O689" s="26" t="s">
        <v>77</v>
      </c>
    </row>
    <row r="690">
      <c r="A690" s="52" t="s">
        <v>77</v>
      </c>
      <c r="B690" s="28" t="s">
        <v>77</v>
      </c>
      <c r="C690" s="28" t="s">
        <v>77</v>
      </c>
      <c r="D690" s="28" t="s">
        <v>77</v>
      </c>
      <c r="E690" s="28" t="s">
        <v>77</v>
      </c>
      <c r="F690" s="28" t="s">
        <v>77</v>
      </c>
      <c r="G690" s="28" t="s">
        <v>77</v>
      </c>
      <c r="I690" s="26" t="s">
        <v>77</v>
      </c>
      <c r="J690" s="26" t="s">
        <v>77</v>
      </c>
      <c r="K690" s="18"/>
      <c r="L690" s="26" t="s">
        <v>77</v>
      </c>
      <c r="M690" s="6" t="s">
        <v>77</v>
      </c>
      <c r="N690" s="28" t="s">
        <v>77</v>
      </c>
      <c r="O690" s="26" t="s">
        <v>77</v>
      </c>
    </row>
    <row r="691">
      <c r="A691" s="52" t="s">
        <v>77</v>
      </c>
      <c r="B691" s="28" t="s">
        <v>77</v>
      </c>
      <c r="C691" s="28" t="s">
        <v>77</v>
      </c>
      <c r="D691" s="28" t="s">
        <v>77</v>
      </c>
      <c r="E691" s="28" t="s">
        <v>77</v>
      </c>
      <c r="F691" s="28" t="s">
        <v>77</v>
      </c>
      <c r="G691" s="28" t="s">
        <v>77</v>
      </c>
      <c r="I691" s="26" t="s">
        <v>77</v>
      </c>
      <c r="J691" s="26" t="s">
        <v>77</v>
      </c>
      <c r="K691" s="18"/>
      <c r="L691" s="26" t="s">
        <v>77</v>
      </c>
      <c r="M691" s="6" t="s">
        <v>77</v>
      </c>
      <c r="N691" s="28" t="s">
        <v>77</v>
      </c>
      <c r="O691" s="26" t="s">
        <v>77</v>
      </c>
    </row>
    <row r="692">
      <c r="A692" s="52" t="s">
        <v>77</v>
      </c>
      <c r="B692" s="28" t="s">
        <v>77</v>
      </c>
      <c r="C692" s="28" t="s">
        <v>77</v>
      </c>
      <c r="D692" s="28" t="s">
        <v>77</v>
      </c>
      <c r="E692" s="28" t="s">
        <v>77</v>
      </c>
      <c r="F692" s="28" t="s">
        <v>77</v>
      </c>
      <c r="G692" s="28" t="s">
        <v>77</v>
      </c>
      <c r="I692" s="26" t="s">
        <v>77</v>
      </c>
      <c r="J692" s="26" t="s">
        <v>77</v>
      </c>
      <c r="K692" s="18"/>
      <c r="L692" s="26" t="s">
        <v>77</v>
      </c>
      <c r="M692" s="6" t="s">
        <v>77</v>
      </c>
      <c r="N692" s="28" t="s">
        <v>77</v>
      </c>
      <c r="O692" s="26" t="s">
        <v>77</v>
      </c>
    </row>
    <row r="693">
      <c r="A693" s="52" t="s">
        <v>77</v>
      </c>
      <c r="B693" s="28" t="s">
        <v>77</v>
      </c>
      <c r="C693" s="28" t="s">
        <v>77</v>
      </c>
      <c r="D693" s="28" t="s">
        <v>77</v>
      </c>
      <c r="E693" s="28" t="s">
        <v>77</v>
      </c>
      <c r="F693" s="28" t="s">
        <v>77</v>
      </c>
      <c r="G693" s="28" t="s">
        <v>77</v>
      </c>
      <c r="I693" s="26" t="s">
        <v>77</v>
      </c>
      <c r="J693" s="26" t="s">
        <v>77</v>
      </c>
      <c r="K693" s="18"/>
      <c r="L693" s="26" t="s">
        <v>77</v>
      </c>
      <c r="M693" s="6" t="s">
        <v>77</v>
      </c>
      <c r="N693" s="28" t="s">
        <v>77</v>
      </c>
      <c r="O693" s="26" t="s">
        <v>77</v>
      </c>
    </row>
    <row r="694">
      <c r="A694" s="52" t="s">
        <v>77</v>
      </c>
      <c r="B694" s="28" t="s">
        <v>77</v>
      </c>
      <c r="C694" s="28" t="s">
        <v>77</v>
      </c>
      <c r="D694" s="28" t="s">
        <v>77</v>
      </c>
      <c r="E694" s="28" t="s">
        <v>77</v>
      </c>
      <c r="F694" s="28" t="s">
        <v>77</v>
      </c>
      <c r="G694" s="28" t="s">
        <v>77</v>
      </c>
      <c r="I694" s="26" t="s">
        <v>77</v>
      </c>
      <c r="J694" s="26" t="s">
        <v>77</v>
      </c>
      <c r="K694" s="18"/>
      <c r="L694" s="26" t="s">
        <v>77</v>
      </c>
      <c r="M694" s="6" t="s">
        <v>77</v>
      </c>
      <c r="N694" s="28" t="s">
        <v>77</v>
      </c>
      <c r="O694" s="26" t="s">
        <v>77</v>
      </c>
    </row>
    <row r="695">
      <c r="A695" s="52" t="s">
        <v>77</v>
      </c>
      <c r="B695" s="28" t="s">
        <v>77</v>
      </c>
      <c r="C695" s="28" t="s">
        <v>77</v>
      </c>
      <c r="D695" s="28" t="s">
        <v>77</v>
      </c>
      <c r="E695" s="28" t="s">
        <v>77</v>
      </c>
      <c r="F695" s="28" t="s">
        <v>77</v>
      </c>
      <c r="G695" s="28" t="s">
        <v>77</v>
      </c>
      <c r="I695" s="26" t="s">
        <v>77</v>
      </c>
      <c r="J695" s="26" t="s">
        <v>77</v>
      </c>
      <c r="K695" s="18"/>
      <c r="L695" s="26" t="s">
        <v>77</v>
      </c>
      <c r="M695" s="6" t="s">
        <v>77</v>
      </c>
      <c r="N695" s="28" t="s">
        <v>77</v>
      </c>
      <c r="O695" s="26" t="s">
        <v>77</v>
      </c>
    </row>
    <row r="696">
      <c r="A696" s="52" t="s">
        <v>77</v>
      </c>
      <c r="B696" s="28" t="s">
        <v>77</v>
      </c>
      <c r="C696" s="28" t="s">
        <v>77</v>
      </c>
      <c r="D696" s="28" t="s">
        <v>77</v>
      </c>
      <c r="E696" s="28" t="s">
        <v>77</v>
      </c>
      <c r="F696" s="28" t="s">
        <v>77</v>
      </c>
      <c r="G696" s="28" t="s">
        <v>77</v>
      </c>
      <c r="I696" s="26" t="s">
        <v>77</v>
      </c>
      <c r="J696" s="26" t="s">
        <v>77</v>
      </c>
      <c r="K696" s="18"/>
      <c r="L696" s="26" t="s">
        <v>77</v>
      </c>
      <c r="M696" s="6" t="s">
        <v>77</v>
      </c>
      <c r="N696" s="28" t="s">
        <v>77</v>
      </c>
      <c r="O696" s="26" t="s">
        <v>77</v>
      </c>
    </row>
    <row r="697">
      <c r="A697" s="52" t="s">
        <v>77</v>
      </c>
      <c r="B697" s="28" t="s">
        <v>77</v>
      </c>
      <c r="C697" s="28" t="s">
        <v>77</v>
      </c>
      <c r="D697" s="28" t="s">
        <v>77</v>
      </c>
      <c r="E697" s="28" t="s">
        <v>77</v>
      </c>
      <c r="F697" s="28" t="s">
        <v>77</v>
      </c>
      <c r="G697" s="28" t="s">
        <v>77</v>
      </c>
      <c r="I697" s="26" t="s">
        <v>77</v>
      </c>
      <c r="J697" s="26" t="s">
        <v>77</v>
      </c>
      <c r="K697" s="18"/>
      <c r="L697" s="26" t="s">
        <v>77</v>
      </c>
      <c r="M697" s="6" t="s">
        <v>77</v>
      </c>
      <c r="N697" s="28" t="s">
        <v>77</v>
      </c>
      <c r="O697" s="26" t="s">
        <v>77</v>
      </c>
    </row>
    <row r="698">
      <c r="A698" s="52" t="s">
        <v>77</v>
      </c>
      <c r="B698" s="28" t="s">
        <v>77</v>
      </c>
      <c r="C698" s="28" t="s">
        <v>77</v>
      </c>
      <c r="D698" s="28" t="s">
        <v>77</v>
      </c>
      <c r="E698" s="28" t="s">
        <v>77</v>
      </c>
      <c r="F698" s="28" t="s">
        <v>77</v>
      </c>
      <c r="G698" s="28" t="s">
        <v>77</v>
      </c>
      <c r="I698" s="26" t="s">
        <v>77</v>
      </c>
      <c r="J698" s="26" t="s">
        <v>77</v>
      </c>
      <c r="K698" s="18"/>
      <c r="L698" s="26" t="s">
        <v>77</v>
      </c>
      <c r="M698" s="6" t="s">
        <v>77</v>
      </c>
      <c r="N698" s="28" t="s">
        <v>77</v>
      </c>
      <c r="O698" s="26" t="s">
        <v>77</v>
      </c>
    </row>
    <row r="699">
      <c r="A699" s="52" t="s">
        <v>77</v>
      </c>
      <c r="B699" s="28" t="s">
        <v>77</v>
      </c>
      <c r="C699" s="28" t="s">
        <v>77</v>
      </c>
      <c r="D699" s="28" t="s">
        <v>77</v>
      </c>
      <c r="E699" s="28" t="s">
        <v>77</v>
      </c>
      <c r="F699" s="28" t="s">
        <v>77</v>
      </c>
      <c r="G699" s="28" t="s">
        <v>77</v>
      </c>
      <c r="I699" s="26" t="s">
        <v>77</v>
      </c>
      <c r="J699" s="26" t="s">
        <v>77</v>
      </c>
      <c r="K699" s="18"/>
      <c r="L699" s="26" t="s">
        <v>77</v>
      </c>
      <c r="M699" s="6" t="s">
        <v>77</v>
      </c>
      <c r="N699" s="28" t="s">
        <v>77</v>
      </c>
      <c r="O699" s="26" t="s">
        <v>77</v>
      </c>
    </row>
    <row r="700">
      <c r="A700" s="52" t="s">
        <v>77</v>
      </c>
      <c r="B700" s="28" t="s">
        <v>77</v>
      </c>
      <c r="C700" s="28" t="s">
        <v>77</v>
      </c>
      <c r="D700" s="28" t="s">
        <v>77</v>
      </c>
      <c r="E700" s="28" t="s">
        <v>77</v>
      </c>
      <c r="F700" s="28" t="s">
        <v>77</v>
      </c>
      <c r="G700" s="28" t="s">
        <v>77</v>
      </c>
      <c r="I700" s="26" t="s">
        <v>77</v>
      </c>
      <c r="J700" s="26" t="s">
        <v>77</v>
      </c>
      <c r="K700" s="18"/>
      <c r="L700" s="26" t="s">
        <v>77</v>
      </c>
      <c r="M700" s="6" t="s">
        <v>77</v>
      </c>
      <c r="N700" s="28" t="s">
        <v>77</v>
      </c>
      <c r="O700" s="26" t="s">
        <v>77</v>
      </c>
    </row>
    <row r="701">
      <c r="A701" s="52" t="s">
        <v>77</v>
      </c>
      <c r="B701" s="28" t="s">
        <v>77</v>
      </c>
      <c r="C701" s="28" t="s">
        <v>77</v>
      </c>
      <c r="D701" s="28" t="s">
        <v>77</v>
      </c>
      <c r="E701" s="28" t="s">
        <v>77</v>
      </c>
      <c r="F701" s="28" t="s">
        <v>77</v>
      </c>
      <c r="G701" s="28" t="s">
        <v>77</v>
      </c>
      <c r="I701" s="26" t="s">
        <v>77</v>
      </c>
      <c r="J701" s="26" t="s">
        <v>77</v>
      </c>
      <c r="K701" s="18"/>
      <c r="L701" s="26" t="s">
        <v>77</v>
      </c>
      <c r="M701" s="6" t="s">
        <v>77</v>
      </c>
      <c r="N701" s="28" t="s">
        <v>77</v>
      </c>
      <c r="O701" s="26" t="s">
        <v>77</v>
      </c>
    </row>
    <row r="702">
      <c r="A702" s="52" t="s">
        <v>77</v>
      </c>
      <c r="B702" s="28" t="s">
        <v>77</v>
      </c>
      <c r="C702" s="28" t="s">
        <v>77</v>
      </c>
      <c r="D702" s="28" t="s">
        <v>77</v>
      </c>
      <c r="E702" s="28" t="s">
        <v>77</v>
      </c>
      <c r="F702" s="28" t="s">
        <v>77</v>
      </c>
      <c r="G702" s="28" t="s">
        <v>77</v>
      </c>
      <c r="I702" s="26" t="s">
        <v>77</v>
      </c>
      <c r="J702" s="26" t="s">
        <v>77</v>
      </c>
      <c r="K702" s="18"/>
      <c r="L702" s="26" t="s">
        <v>77</v>
      </c>
      <c r="M702" s="6" t="s">
        <v>77</v>
      </c>
      <c r="N702" s="28" t="s">
        <v>77</v>
      </c>
      <c r="O702" s="26" t="s">
        <v>77</v>
      </c>
    </row>
    <row r="703">
      <c r="A703" s="52" t="s">
        <v>77</v>
      </c>
      <c r="B703" s="28" t="s">
        <v>77</v>
      </c>
      <c r="C703" s="28" t="s">
        <v>77</v>
      </c>
      <c r="D703" s="28" t="s">
        <v>77</v>
      </c>
      <c r="E703" s="28" t="s">
        <v>77</v>
      </c>
      <c r="F703" s="28" t="s">
        <v>77</v>
      </c>
      <c r="G703" s="28" t="s">
        <v>77</v>
      </c>
      <c r="I703" s="26" t="s">
        <v>77</v>
      </c>
      <c r="J703" s="26" t="s">
        <v>77</v>
      </c>
      <c r="K703" s="18"/>
      <c r="L703" s="26" t="s">
        <v>77</v>
      </c>
      <c r="M703" s="6" t="s">
        <v>77</v>
      </c>
      <c r="N703" s="28" t="s">
        <v>77</v>
      </c>
      <c r="O703" s="26" t="s">
        <v>77</v>
      </c>
    </row>
    <row r="704">
      <c r="A704" s="52" t="s">
        <v>77</v>
      </c>
      <c r="B704" s="28" t="s">
        <v>77</v>
      </c>
      <c r="C704" s="28" t="s">
        <v>77</v>
      </c>
      <c r="D704" s="28" t="s">
        <v>77</v>
      </c>
      <c r="E704" s="28" t="s">
        <v>77</v>
      </c>
      <c r="F704" s="28" t="s">
        <v>77</v>
      </c>
      <c r="G704" s="28" t="s">
        <v>77</v>
      </c>
      <c r="I704" s="26" t="s">
        <v>77</v>
      </c>
      <c r="J704" s="26" t="s">
        <v>77</v>
      </c>
      <c r="K704" s="18"/>
      <c r="L704" s="26" t="s">
        <v>77</v>
      </c>
      <c r="M704" s="6" t="s">
        <v>77</v>
      </c>
      <c r="N704" s="28" t="s">
        <v>77</v>
      </c>
      <c r="O704" s="26" t="s">
        <v>77</v>
      </c>
    </row>
    <row r="705">
      <c r="A705" s="52" t="s">
        <v>77</v>
      </c>
      <c r="B705" s="28" t="s">
        <v>77</v>
      </c>
      <c r="C705" s="28" t="s">
        <v>77</v>
      </c>
      <c r="D705" s="28" t="s">
        <v>77</v>
      </c>
      <c r="E705" s="28" t="s">
        <v>77</v>
      </c>
      <c r="F705" s="28" t="s">
        <v>77</v>
      </c>
      <c r="G705" s="28" t="s">
        <v>77</v>
      </c>
      <c r="I705" s="26" t="s">
        <v>77</v>
      </c>
      <c r="J705" s="26" t="s">
        <v>77</v>
      </c>
      <c r="K705" s="18"/>
      <c r="L705" s="26" t="s">
        <v>77</v>
      </c>
      <c r="M705" s="6" t="s">
        <v>77</v>
      </c>
      <c r="N705" s="28" t="s">
        <v>77</v>
      </c>
      <c r="O705" s="26" t="s">
        <v>77</v>
      </c>
    </row>
    <row r="706">
      <c r="A706" s="52" t="s">
        <v>77</v>
      </c>
      <c r="B706" s="28" t="s">
        <v>77</v>
      </c>
      <c r="C706" s="28" t="s">
        <v>77</v>
      </c>
      <c r="D706" s="28" t="s">
        <v>77</v>
      </c>
      <c r="E706" s="28" t="s">
        <v>77</v>
      </c>
      <c r="F706" s="28" t="s">
        <v>77</v>
      </c>
      <c r="G706" s="28" t="s">
        <v>77</v>
      </c>
      <c r="I706" s="26" t="s">
        <v>77</v>
      </c>
      <c r="J706" s="26" t="s">
        <v>77</v>
      </c>
      <c r="K706" s="18"/>
      <c r="L706" s="26" t="s">
        <v>77</v>
      </c>
      <c r="M706" s="6" t="s">
        <v>77</v>
      </c>
      <c r="N706" s="28" t="s">
        <v>77</v>
      </c>
      <c r="O706" s="26" t="s">
        <v>77</v>
      </c>
    </row>
    <row r="707">
      <c r="A707" s="52" t="s">
        <v>77</v>
      </c>
      <c r="B707" s="28" t="s">
        <v>77</v>
      </c>
      <c r="C707" s="28" t="s">
        <v>77</v>
      </c>
      <c r="D707" s="28" t="s">
        <v>77</v>
      </c>
      <c r="E707" s="28" t="s">
        <v>77</v>
      </c>
      <c r="F707" s="28" t="s">
        <v>77</v>
      </c>
      <c r="G707" s="28" t="s">
        <v>77</v>
      </c>
      <c r="I707" s="26" t="s">
        <v>77</v>
      </c>
      <c r="J707" s="26" t="s">
        <v>77</v>
      </c>
      <c r="K707" s="18"/>
      <c r="L707" s="26" t="s">
        <v>77</v>
      </c>
      <c r="M707" s="6" t="s">
        <v>77</v>
      </c>
      <c r="N707" s="28" t="s">
        <v>77</v>
      </c>
      <c r="O707" s="26" t="s">
        <v>77</v>
      </c>
    </row>
    <row r="708">
      <c r="A708" s="52" t="s">
        <v>77</v>
      </c>
      <c r="B708" s="28" t="s">
        <v>77</v>
      </c>
      <c r="C708" s="28" t="s">
        <v>77</v>
      </c>
      <c r="D708" s="28" t="s">
        <v>77</v>
      </c>
      <c r="E708" s="28" t="s">
        <v>77</v>
      </c>
      <c r="F708" s="28" t="s">
        <v>77</v>
      </c>
      <c r="G708" s="28" t="s">
        <v>77</v>
      </c>
      <c r="I708" s="26" t="s">
        <v>77</v>
      </c>
      <c r="J708" s="26" t="s">
        <v>77</v>
      </c>
      <c r="K708" s="18"/>
      <c r="L708" s="26" t="s">
        <v>77</v>
      </c>
      <c r="M708" s="6" t="s">
        <v>77</v>
      </c>
      <c r="N708" s="28" t="s">
        <v>77</v>
      </c>
      <c r="O708" s="26" t="s">
        <v>77</v>
      </c>
    </row>
    <row r="709">
      <c r="A709" s="52" t="s">
        <v>77</v>
      </c>
      <c r="B709" s="28" t="s">
        <v>77</v>
      </c>
      <c r="C709" s="28" t="s">
        <v>77</v>
      </c>
      <c r="D709" s="28" t="s">
        <v>77</v>
      </c>
      <c r="E709" s="28" t="s">
        <v>77</v>
      </c>
      <c r="F709" s="28" t="s">
        <v>77</v>
      </c>
      <c r="G709" s="28" t="s">
        <v>77</v>
      </c>
      <c r="I709" s="26" t="s">
        <v>77</v>
      </c>
      <c r="J709" s="26" t="s">
        <v>77</v>
      </c>
      <c r="K709" s="18"/>
      <c r="L709" s="26" t="s">
        <v>77</v>
      </c>
      <c r="M709" s="6" t="s">
        <v>77</v>
      </c>
      <c r="N709" s="28" t="s">
        <v>77</v>
      </c>
      <c r="O709" s="26" t="s">
        <v>77</v>
      </c>
    </row>
    <row r="710">
      <c r="A710" s="52" t="s">
        <v>77</v>
      </c>
      <c r="B710" s="28" t="s">
        <v>77</v>
      </c>
      <c r="C710" s="28" t="s">
        <v>77</v>
      </c>
      <c r="D710" s="28" t="s">
        <v>77</v>
      </c>
      <c r="E710" s="28" t="s">
        <v>77</v>
      </c>
      <c r="F710" s="28" t="s">
        <v>77</v>
      </c>
      <c r="G710" s="28" t="s">
        <v>77</v>
      </c>
      <c r="I710" s="26" t="s">
        <v>77</v>
      </c>
      <c r="J710" s="26" t="s">
        <v>77</v>
      </c>
      <c r="K710" s="18"/>
      <c r="L710" s="26" t="s">
        <v>77</v>
      </c>
      <c r="M710" s="6" t="s">
        <v>77</v>
      </c>
      <c r="N710" s="28" t="s">
        <v>77</v>
      </c>
      <c r="O710" s="26" t="s">
        <v>77</v>
      </c>
    </row>
    <row r="711">
      <c r="A711" s="52" t="s">
        <v>77</v>
      </c>
      <c r="B711" s="28" t="s">
        <v>77</v>
      </c>
      <c r="C711" s="28" t="s">
        <v>77</v>
      </c>
      <c r="D711" s="28" t="s">
        <v>77</v>
      </c>
      <c r="E711" s="28" t="s">
        <v>77</v>
      </c>
      <c r="F711" s="28" t="s">
        <v>77</v>
      </c>
      <c r="G711" s="28" t="s">
        <v>77</v>
      </c>
      <c r="I711" s="26" t="s">
        <v>77</v>
      </c>
      <c r="J711" s="26" t="s">
        <v>77</v>
      </c>
      <c r="K711" s="18"/>
      <c r="L711" s="26" t="s">
        <v>77</v>
      </c>
      <c r="M711" s="6" t="s">
        <v>77</v>
      </c>
      <c r="N711" s="28" t="s">
        <v>77</v>
      </c>
      <c r="O711" s="26" t="s">
        <v>77</v>
      </c>
    </row>
    <row r="712">
      <c r="A712" s="52" t="s">
        <v>77</v>
      </c>
      <c r="B712" s="28" t="s">
        <v>77</v>
      </c>
      <c r="C712" s="28" t="s">
        <v>77</v>
      </c>
      <c r="D712" s="28" t="s">
        <v>77</v>
      </c>
      <c r="E712" s="28" t="s">
        <v>77</v>
      </c>
      <c r="F712" s="28" t="s">
        <v>77</v>
      </c>
      <c r="G712" s="28" t="s">
        <v>77</v>
      </c>
      <c r="I712" s="26" t="s">
        <v>77</v>
      </c>
      <c r="J712" s="26" t="s">
        <v>77</v>
      </c>
      <c r="K712" s="18"/>
      <c r="L712" s="26" t="s">
        <v>77</v>
      </c>
      <c r="M712" s="6" t="s">
        <v>77</v>
      </c>
      <c r="N712" s="28" t="s">
        <v>77</v>
      </c>
      <c r="O712" s="26" t="s">
        <v>77</v>
      </c>
    </row>
    <row r="713">
      <c r="A713" s="52" t="s">
        <v>77</v>
      </c>
      <c r="B713" s="28" t="s">
        <v>77</v>
      </c>
      <c r="C713" s="28" t="s">
        <v>77</v>
      </c>
      <c r="D713" s="28" t="s">
        <v>77</v>
      </c>
      <c r="E713" s="28" t="s">
        <v>77</v>
      </c>
      <c r="F713" s="28" t="s">
        <v>77</v>
      </c>
      <c r="G713" s="28" t="s">
        <v>77</v>
      </c>
      <c r="I713" s="26" t="s">
        <v>77</v>
      </c>
      <c r="J713" s="26" t="s">
        <v>77</v>
      </c>
      <c r="K713" s="18"/>
      <c r="L713" s="26" t="s">
        <v>77</v>
      </c>
      <c r="M713" s="6" t="s">
        <v>77</v>
      </c>
      <c r="N713" s="28" t="s">
        <v>77</v>
      </c>
      <c r="O713" s="26" t="s">
        <v>77</v>
      </c>
    </row>
    <row r="714">
      <c r="A714" s="52" t="s">
        <v>77</v>
      </c>
      <c r="B714" s="28" t="s">
        <v>77</v>
      </c>
      <c r="C714" s="28" t="s">
        <v>77</v>
      </c>
      <c r="D714" s="28" t="s">
        <v>77</v>
      </c>
      <c r="E714" s="28" t="s">
        <v>77</v>
      </c>
      <c r="F714" s="28" t="s">
        <v>77</v>
      </c>
      <c r="G714" s="28" t="s">
        <v>77</v>
      </c>
      <c r="I714" s="26" t="s">
        <v>77</v>
      </c>
      <c r="J714" s="26" t="s">
        <v>77</v>
      </c>
      <c r="K714" s="18"/>
      <c r="L714" s="26" t="s">
        <v>77</v>
      </c>
      <c r="M714" s="6" t="s">
        <v>77</v>
      </c>
      <c r="N714" s="28" t="s">
        <v>77</v>
      </c>
      <c r="O714" s="26" t="s">
        <v>77</v>
      </c>
    </row>
    <row r="715">
      <c r="A715" s="52" t="s">
        <v>77</v>
      </c>
      <c r="B715" s="28" t="s">
        <v>77</v>
      </c>
      <c r="C715" s="28" t="s">
        <v>77</v>
      </c>
      <c r="D715" s="28" t="s">
        <v>77</v>
      </c>
      <c r="E715" s="28" t="s">
        <v>77</v>
      </c>
      <c r="F715" s="28" t="s">
        <v>77</v>
      </c>
      <c r="G715" s="28" t="s">
        <v>77</v>
      </c>
      <c r="I715" s="26" t="s">
        <v>77</v>
      </c>
      <c r="J715" s="26" t="s">
        <v>77</v>
      </c>
      <c r="K715" s="18"/>
      <c r="L715" s="26" t="s">
        <v>77</v>
      </c>
      <c r="M715" s="6" t="s">
        <v>77</v>
      </c>
      <c r="N715" s="28" t="s">
        <v>77</v>
      </c>
      <c r="O715" s="26" t="s">
        <v>77</v>
      </c>
    </row>
    <row r="716">
      <c r="A716" s="52" t="s">
        <v>77</v>
      </c>
      <c r="B716" s="28" t="s">
        <v>77</v>
      </c>
      <c r="C716" s="28" t="s">
        <v>77</v>
      </c>
      <c r="D716" s="28" t="s">
        <v>77</v>
      </c>
      <c r="E716" s="28" t="s">
        <v>77</v>
      </c>
      <c r="F716" s="28" t="s">
        <v>77</v>
      </c>
      <c r="G716" s="28" t="s">
        <v>77</v>
      </c>
      <c r="I716" s="26" t="s">
        <v>77</v>
      </c>
      <c r="J716" s="26" t="s">
        <v>77</v>
      </c>
      <c r="K716" s="18"/>
      <c r="L716" s="26" t="s">
        <v>77</v>
      </c>
      <c r="M716" s="6" t="s">
        <v>77</v>
      </c>
      <c r="N716" s="28" t="s">
        <v>77</v>
      </c>
      <c r="O716" s="26" t="s">
        <v>77</v>
      </c>
    </row>
    <row r="717">
      <c r="A717" s="52" t="s">
        <v>77</v>
      </c>
      <c r="B717" s="28" t="s">
        <v>77</v>
      </c>
      <c r="C717" s="28" t="s">
        <v>77</v>
      </c>
      <c r="D717" s="28" t="s">
        <v>77</v>
      </c>
      <c r="E717" s="28" t="s">
        <v>77</v>
      </c>
      <c r="F717" s="28" t="s">
        <v>77</v>
      </c>
      <c r="G717" s="28" t="s">
        <v>77</v>
      </c>
      <c r="I717" s="26" t="s">
        <v>77</v>
      </c>
      <c r="J717" s="26" t="s">
        <v>77</v>
      </c>
      <c r="K717" s="18"/>
      <c r="L717" s="26" t="s">
        <v>77</v>
      </c>
      <c r="M717" s="6" t="s">
        <v>77</v>
      </c>
      <c r="N717" s="28" t="s">
        <v>77</v>
      </c>
      <c r="O717" s="26" t="s">
        <v>77</v>
      </c>
    </row>
    <row r="718">
      <c r="A718" s="52" t="s">
        <v>77</v>
      </c>
      <c r="B718" s="28" t="s">
        <v>77</v>
      </c>
      <c r="C718" s="28" t="s">
        <v>77</v>
      </c>
      <c r="D718" s="28" t="s">
        <v>77</v>
      </c>
      <c r="E718" s="28" t="s">
        <v>77</v>
      </c>
      <c r="F718" s="28" t="s">
        <v>77</v>
      </c>
      <c r="G718" s="28" t="s">
        <v>77</v>
      </c>
      <c r="I718" s="26" t="s">
        <v>77</v>
      </c>
      <c r="J718" s="26" t="s">
        <v>77</v>
      </c>
      <c r="K718" s="18"/>
      <c r="L718" s="26" t="s">
        <v>77</v>
      </c>
      <c r="M718" s="6" t="s">
        <v>77</v>
      </c>
      <c r="N718" s="28" t="s">
        <v>77</v>
      </c>
      <c r="O718" s="26" t="s">
        <v>77</v>
      </c>
    </row>
    <row r="719">
      <c r="A719" s="52" t="s">
        <v>77</v>
      </c>
      <c r="B719" s="28" t="s">
        <v>77</v>
      </c>
      <c r="C719" s="28" t="s">
        <v>77</v>
      </c>
      <c r="D719" s="28" t="s">
        <v>77</v>
      </c>
      <c r="E719" s="28" t="s">
        <v>77</v>
      </c>
      <c r="F719" s="28" t="s">
        <v>77</v>
      </c>
      <c r="G719" s="28" t="s">
        <v>77</v>
      </c>
      <c r="I719" s="26" t="s">
        <v>77</v>
      </c>
      <c r="J719" s="26" t="s">
        <v>77</v>
      </c>
      <c r="K719" s="18"/>
      <c r="L719" s="26" t="s">
        <v>77</v>
      </c>
      <c r="M719" s="6" t="s">
        <v>77</v>
      </c>
      <c r="N719" s="28" t="s">
        <v>77</v>
      </c>
      <c r="O719" s="26" t="s">
        <v>77</v>
      </c>
    </row>
    <row r="720">
      <c r="A720" s="52" t="s">
        <v>77</v>
      </c>
      <c r="B720" s="28" t="s">
        <v>77</v>
      </c>
      <c r="C720" s="28" t="s">
        <v>77</v>
      </c>
      <c r="D720" s="28" t="s">
        <v>77</v>
      </c>
      <c r="E720" s="28" t="s">
        <v>77</v>
      </c>
      <c r="F720" s="28" t="s">
        <v>77</v>
      </c>
      <c r="G720" s="28" t="s">
        <v>77</v>
      </c>
      <c r="I720" s="26" t="s">
        <v>77</v>
      </c>
      <c r="J720" s="26" t="s">
        <v>77</v>
      </c>
      <c r="K720" s="18"/>
      <c r="L720" s="26" t="s">
        <v>77</v>
      </c>
      <c r="M720" s="6" t="s">
        <v>77</v>
      </c>
      <c r="N720" s="28" t="s">
        <v>77</v>
      </c>
      <c r="O720" s="26" t="s">
        <v>77</v>
      </c>
    </row>
    <row r="721">
      <c r="A721" s="52" t="s">
        <v>77</v>
      </c>
      <c r="B721" s="28" t="s">
        <v>77</v>
      </c>
      <c r="C721" s="28" t="s">
        <v>77</v>
      </c>
      <c r="D721" s="28" t="s">
        <v>77</v>
      </c>
      <c r="E721" s="28" t="s">
        <v>77</v>
      </c>
      <c r="F721" s="28" t="s">
        <v>77</v>
      </c>
      <c r="G721" s="28" t="s">
        <v>77</v>
      </c>
      <c r="I721" s="26" t="s">
        <v>77</v>
      </c>
      <c r="J721" s="26" t="s">
        <v>77</v>
      </c>
      <c r="K721" s="18"/>
      <c r="L721" s="26" t="s">
        <v>77</v>
      </c>
      <c r="M721" s="6" t="s">
        <v>77</v>
      </c>
      <c r="N721" s="28" t="s">
        <v>77</v>
      </c>
      <c r="O721" s="26" t="s">
        <v>77</v>
      </c>
    </row>
    <row r="722">
      <c r="A722" s="52" t="s">
        <v>77</v>
      </c>
      <c r="B722" s="28" t="s">
        <v>77</v>
      </c>
      <c r="C722" s="28" t="s">
        <v>77</v>
      </c>
      <c r="D722" s="28" t="s">
        <v>77</v>
      </c>
      <c r="E722" s="28" t="s">
        <v>77</v>
      </c>
      <c r="F722" s="28" t="s">
        <v>77</v>
      </c>
      <c r="G722" s="28" t="s">
        <v>77</v>
      </c>
      <c r="I722" s="26" t="s">
        <v>77</v>
      </c>
      <c r="J722" s="26" t="s">
        <v>77</v>
      </c>
      <c r="K722" s="18"/>
      <c r="L722" s="26" t="s">
        <v>77</v>
      </c>
      <c r="M722" s="6" t="s">
        <v>77</v>
      </c>
      <c r="N722" s="28" t="s">
        <v>77</v>
      </c>
      <c r="O722" s="26" t="s">
        <v>77</v>
      </c>
    </row>
    <row r="723">
      <c r="A723" s="52" t="s">
        <v>77</v>
      </c>
      <c r="B723" s="28" t="s">
        <v>77</v>
      </c>
      <c r="C723" s="28" t="s">
        <v>77</v>
      </c>
      <c r="D723" s="28" t="s">
        <v>77</v>
      </c>
      <c r="E723" s="28" t="s">
        <v>77</v>
      </c>
      <c r="F723" s="28" t="s">
        <v>77</v>
      </c>
      <c r="G723" s="28" t="s">
        <v>77</v>
      </c>
      <c r="I723" s="26" t="s">
        <v>77</v>
      </c>
      <c r="J723" s="26" t="s">
        <v>77</v>
      </c>
      <c r="K723" s="18"/>
      <c r="L723" s="26" t="s">
        <v>77</v>
      </c>
      <c r="M723" s="6" t="s">
        <v>77</v>
      </c>
      <c r="N723" s="28" t="s">
        <v>77</v>
      </c>
      <c r="O723" s="26" t="s">
        <v>77</v>
      </c>
    </row>
    <row r="724">
      <c r="A724" s="52" t="s">
        <v>77</v>
      </c>
      <c r="B724" s="28" t="s">
        <v>77</v>
      </c>
      <c r="C724" s="28" t="s">
        <v>77</v>
      </c>
      <c r="D724" s="28" t="s">
        <v>77</v>
      </c>
      <c r="E724" s="28" t="s">
        <v>77</v>
      </c>
      <c r="F724" s="28" t="s">
        <v>77</v>
      </c>
      <c r="G724" s="28" t="s">
        <v>77</v>
      </c>
      <c r="I724" s="26" t="s">
        <v>77</v>
      </c>
      <c r="J724" s="26" t="s">
        <v>77</v>
      </c>
      <c r="K724" s="18"/>
      <c r="L724" s="26" t="s">
        <v>77</v>
      </c>
      <c r="M724" s="6" t="s">
        <v>77</v>
      </c>
      <c r="N724" s="28" t="s">
        <v>77</v>
      </c>
      <c r="O724" s="26" t="s">
        <v>77</v>
      </c>
    </row>
    <row r="725">
      <c r="A725" s="52" t="s">
        <v>77</v>
      </c>
      <c r="B725" s="28" t="s">
        <v>77</v>
      </c>
      <c r="C725" s="28" t="s">
        <v>77</v>
      </c>
      <c r="D725" s="28" t="s">
        <v>77</v>
      </c>
      <c r="E725" s="28" t="s">
        <v>77</v>
      </c>
      <c r="F725" s="28" t="s">
        <v>77</v>
      </c>
      <c r="G725" s="28" t="s">
        <v>77</v>
      </c>
      <c r="I725" s="26" t="s">
        <v>77</v>
      </c>
      <c r="J725" s="26" t="s">
        <v>77</v>
      </c>
      <c r="K725" s="18"/>
      <c r="L725" s="26" t="s">
        <v>77</v>
      </c>
      <c r="M725" s="6" t="s">
        <v>77</v>
      </c>
      <c r="N725" s="28" t="s">
        <v>77</v>
      </c>
      <c r="O725" s="26" t="s">
        <v>77</v>
      </c>
    </row>
    <row r="726">
      <c r="A726" s="52" t="s">
        <v>77</v>
      </c>
      <c r="B726" s="28" t="s">
        <v>77</v>
      </c>
      <c r="C726" s="28" t="s">
        <v>77</v>
      </c>
      <c r="D726" s="28" t="s">
        <v>77</v>
      </c>
      <c r="E726" s="28" t="s">
        <v>77</v>
      </c>
      <c r="F726" s="28" t="s">
        <v>77</v>
      </c>
      <c r="G726" s="28" t="s">
        <v>77</v>
      </c>
      <c r="I726" s="26" t="s">
        <v>77</v>
      </c>
      <c r="J726" s="26" t="s">
        <v>77</v>
      </c>
      <c r="K726" s="18"/>
      <c r="L726" s="26" t="s">
        <v>77</v>
      </c>
      <c r="M726" s="6" t="s">
        <v>77</v>
      </c>
      <c r="N726" s="28" t="s">
        <v>77</v>
      </c>
      <c r="O726" s="26" t="s">
        <v>77</v>
      </c>
    </row>
    <row r="727">
      <c r="A727" s="52" t="s">
        <v>77</v>
      </c>
      <c r="B727" s="28" t="s">
        <v>77</v>
      </c>
      <c r="C727" s="28" t="s">
        <v>77</v>
      </c>
      <c r="D727" s="28" t="s">
        <v>77</v>
      </c>
      <c r="E727" s="28" t="s">
        <v>77</v>
      </c>
      <c r="F727" s="28" t="s">
        <v>77</v>
      </c>
      <c r="G727" s="28" t="s">
        <v>77</v>
      </c>
      <c r="I727" s="26" t="s">
        <v>77</v>
      </c>
      <c r="J727" s="26" t="s">
        <v>77</v>
      </c>
      <c r="K727" s="18"/>
      <c r="L727" s="26" t="s">
        <v>77</v>
      </c>
      <c r="M727" s="6" t="s">
        <v>77</v>
      </c>
      <c r="N727" s="28" t="s">
        <v>77</v>
      </c>
      <c r="O727" s="26" t="s">
        <v>77</v>
      </c>
    </row>
    <row r="728">
      <c r="A728" s="52" t="s">
        <v>77</v>
      </c>
      <c r="B728" s="28" t="s">
        <v>77</v>
      </c>
      <c r="C728" s="28" t="s">
        <v>77</v>
      </c>
      <c r="D728" s="28" t="s">
        <v>77</v>
      </c>
      <c r="E728" s="28" t="s">
        <v>77</v>
      </c>
      <c r="F728" s="28" t="s">
        <v>77</v>
      </c>
      <c r="G728" s="28" t="s">
        <v>77</v>
      </c>
      <c r="I728" s="26" t="s">
        <v>77</v>
      </c>
      <c r="J728" s="26" t="s">
        <v>77</v>
      </c>
      <c r="K728" s="18"/>
      <c r="L728" s="26" t="s">
        <v>77</v>
      </c>
      <c r="M728" s="6" t="s">
        <v>77</v>
      </c>
      <c r="N728" s="28" t="s">
        <v>77</v>
      </c>
      <c r="O728" s="26" t="s">
        <v>77</v>
      </c>
    </row>
    <row r="729">
      <c r="A729" s="52" t="s">
        <v>77</v>
      </c>
      <c r="B729" s="28" t="s">
        <v>77</v>
      </c>
      <c r="C729" s="28" t="s">
        <v>77</v>
      </c>
      <c r="D729" s="28" t="s">
        <v>77</v>
      </c>
      <c r="E729" s="28" t="s">
        <v>77</v>
      </c>
      <c r="F729" s="28" t="s">
        <v>77</v>
      </c>
      <c r="G729" s="28" t="s">
        <v>77</v>
      </c>
      <c r="I729" s="26" t="s">
        <v>77</v>
      </c>
      <c r="J729" s="26" t="s">
        <v>77</v>
      </c>
      <c r="K729" s="18"/>
      <c r="L729" s="26" t="s">
        <v>77</v>
      </c>
      <c r="M729" s="6" t="s">
        <v>77</v>
      </c>
      <c r="N729" s="28" t="s">
        <v>77</v>
      </c>
      <c r="O729" s="26" t="s">
        <v>77</v>
      </c>
    </row>
    <row r="730">
      <c r="A730" s="52" t="s">
        <v>77</v>
      </c>
      <c r="B730" s="28" t="s">
        <v>77</v>
      </c>
      <c r="C730" s="28" t="s">
        <v>77</v>
      </c>
      <c r="D730" s="28" t="s">
        <v>77</v>
      </c>
      <c r="E730" s="28" t="s">
        <v>77</v>
      </c>
      <c r="F730" s="28" t="s">
        <v>77</v>
      </c>
      <c r="G730" s="28" t="s">
        <v>77</v>
      </c>
      <c r="I730" s="26" t="s">
        <v>77</v>
      </c>
      <c r="J730" s="26" t="s">
        <v>77</v>
      </c>
      <c r="K730" s="18"/>
      <c r="L730" s="26" t="s">
        <v>77</v>
      </c>
      <c r="M730" s="6" t="s">
        <v>77</v>
      </c>
      <c r="N730" s="28" t="s">
        <v>77</v>
      </c>
      <c r="O730" s="26" t="s">
        <v>77</v>
      </c>
    </row>
    <row r="731">
      <c r="A731" s="52" t="s">
        <v>77</v>
      </c>
      <c r="B731" s="28" t="s">
        <v>77</v>
      </c>
      <c r="C731" s="28" t="s">
        <v>77</v>
      </c>
      <c r="D731" s="28" t="s">
        <v>77</v>
      </c>
      <c r="E731" s="28" t="s">
        <v>77</v>
      </c>
      <c r="F731" s="28" t="s">
        <v>77</v>
      </c>
      <c r="G731" s="28" t="s">
        <v>77</v>
      </c>
      <c r="I731" s="26" t="s">
        <v>77</v>
      </c>
      <c r="J731" s="26" t="s">
        <v>77</v>
      </c>
      <c r="K731" s="18"/>
      <c r="L731" s="26" t="s">
        <v>77</v>
      </c>
      <c r="M731" s="6" t="s">
        <v>77</v>
      </c>
      <c r="N731" s="28" t="s">
        <v>77</v>
      </c>
      <c r="O731" s="26" t="s">
        <v>77</v>
      </c>
    </row>
    <row r="732">
      <c r="A732" s="52" t="s">
        <v>77</v>
      </c>
      <c r="B732" s="28" t="s">
        <v>77</v>
      </c>
      <c r="C732" s="28" t="s">
        <v>77</v>
      </c>
      <c r="D732" s="28" t="s">
        <v>77</v>
      </c>
      <c r="E732" s="28" t="s">
        <v>77</v>
      </c>
      <c r="F732" s="28" t="s">
        <v>77</v>
      </c>
      <c r="G732" s="28" t="s">
        <v>77</v>
      </c>
      <c r="I732" s="26" t="s">
        <v>77</v>
      </c>
      <c r="J732" s="26" t="s">
        <v>77</v>
      </c>
      <c r="K732" s="18"/>
      <c r="L732" s="26" t="s">
        <v>77</v>
      </c>
      <c r="M732" s="6" t="s">
        <v>77</v>
      </c>
      <c r="N732" s="28" t="s">
        <v>77</v>
      </c>
      <c r="O732" s="26" t="s">
        <v>77</v>
      </c>
    </row>
    <row r="733">
      <c r="A733" s="52" t="s">
        <v>77</v>
      </c>
      <c r="B733" s="28" t="s">
        <v>77</v>
      </c>
      <c r="C733" s="28" t="s">
        <v>77</v>
      </c>
      <c r="D733" s="28" t="s">
        <v>77</v>
      </c>
      <c r="E733" s="28" t="s">
        <v>77</v>
      </c>
      <c r="F733" s="28" t="s">
        <v>77</v>
      </c>
      <c r="G733" s="28" t="s">
        <v>77</v>
      </c>
      <c r="I733" s="26" t="s">
        <v>77</v>
      </c>
      <c r="J733" s="26" t="s">
        <v>77</v>
      </c>
      <c r="K733" s="18"/>
      <c r="L733" s="26" t="s">
        <v>77</v>
      </c>
      <c r="M733" s="6" t="s">
        <v>77</v>
      </c>
      <c r="N733" s="28" t="s">
        <v>77</v>
      </c>
      <c r="O733" s="26" t="s">
        <v>77</v>
      </c>
    </row>
    <row r="734">
      <c r="A734" s="52" t="s">
        <v>77</v>
      </c>
      <c r="B734" s="28" t="s">
        <v>77</v>
      </c>
      <c r="C734" s="28" t="s">
        <v>77</v>
      </c>
      <c r="D734" s="28" t="s">
        <v>77</v>
      </c>
      <c r="E734" s="28" t="s">
        <v>77</v>
      </c>
      <c r="F734" s="28" t="s">
        <v>77</v>
      </c>
      <c r="G734" s="28" t="s">
        <v>77</v>
      </c>
      <c r="I734" s="26" t="s">
        <v>77</v>
      </c>
      <c r="J734" s="26" t="s">
        <v>77</v>
      </c>
      <c r="K734" s="18"/>
      <c r="L734" s="26" t="s">
        <v>77</v>
      </c>
      <c r="M734" s="6" t="s">
        <v>77</v>
      </c>
      <c r="N734" s="28" t="s">
        <v>77</v>
      </c>
      <c r="O734" s="26" t="s">
        <v>77</v>
      </c>
    </row>
    <row r="735">
      <c r="A735" s="52" t="s">
        <v>77</v>
      </c>
      <c r="B735" s="28" t="s">
        <v>77</v>
      </c>
      <c r="C735" s="28" t="s">
        <v>77</v>
      </c>
      <c r="D735" s="28" t="s">
        <v>77</v>
      </c>
      <c r="E735" s="28" t="s">
        <v>77</v>
      </c>
      <c r="F735" s="28" t="s">
        <v>77</v>
      </c>
      <c r="G735" s="28" t="s">
        <v>77</v>
      </c>
      <c r="I735" s="26" t="s">
        <v>77</v>
      </c>
      <c r="J735" s="26" t="s">
        <v>77</v>
      </c>
      <c r="K735" s="18"/>
      <c r="L735" s="26" t="s">
        <v>77</v>
      </c>
      <c r="M735" s="6" t="s">
        <v>77</v>
      </c>
      <c r="N735" s="28" t="s">
        <v>77</v>
      </c>
      <c r="O735" s="26" t="s">
        <v>77</v>
      </c>
    </row>
    <row r="736">
      <c r="A736" s="52" t="s">
        <v>77</v>
      </c>
      <c r="B736" s="28" t="s">
        <v>77</v>
      </c>
      <c r="C736" s="28" t="s">
        <v>77</v>
      </c>
      <c r="D736" s="28" t="s">
        <v>77</v>
      </c>
      <c r="E736" s="28" t="s">
        <v>77</v>
      </c>
      <c r="F736" s="28" t="s">
        <v>77</v>
      </c>
      <c r="G736" s="28" t="s">
        <v>77</v>
      </c>
      <c r="I736" s="26" t="s">
        <v>77</v>
      </c>
      <c r="J736" s="26" t="s">
        <v>77</v>
      </c>
      <c r="K736" s="18"/>
      <c r="L736" s="26" t="s">
        <v>77</v>
      </c>
      <c r="M736" s="6" t="s">
        <v>77</v>
      </c>
      <c r="N736" s="28" t="s">
        <v>77</v>
      </c>
      <c r="O736" s="26" t="s">
        <v>77</v>
      </c>
    </row>
    <row r="737">
      <c r="A737" s="52" t="s">
        <v>77</v>
      </c>
      <c r="B737" s="28" t="s">
        <v>77</v>
      </c>
      <c r="C737" s="28" t="s">
        <v>77</v>
      </c>
      <c r="D737" s="28" t="s">
        <v>77</v>
      </c>
      <c r="E737" s="28" t="s">
        <v>77</v>
      </c>
      <c r="F737" s="28" t="s">
        <v>77</v>
      </c>
      <c r="G737" s="28" t="s">
        <v>77</v>
      </c>
      <c r="I737" s="26" t="s">
        <v>77</v>
      </c>
      <c r="J737" s="26" t="s">
        <v>77</v>
      </c>
      <c r="K737" s="18"/>
      <c r="L737" s="26" t="s">
        <v>77</v>
      </c>
      <c r="M737" s="6" t="s">
        <v>77</v>
      </c>
      <c r="N737" s="28" t="s">
        <v>77</v>
      </c>
      <c r="O737" s="26" t="s">
        <v>77</v>
      </c>
    </row>
    <row r="738">
      <c r="A738" s="52" t="s">
        <v>77</v>
      </c>
      <c r="B738" s="28" t="s">
        <v>77</v>
      </c>
      <c r="C738" s="28" t="s">
        <v>77</v>
      </c>
      <c r="D738" s="28" t="s">
        <v>77</v>
      </c>
      <c r="E738" s="28" t="s">
        <v>77</v>
      </c>
      <c r="F738" s="28" t="s">
        <v>77</v>
      </c>
      <c r="G738" s="28" t="s">
        <v>77</v>
      </c>
      <c r="I738" s="26" t="s">
        <v>77</v>
      </c>
      <c r="J738" s="26" t="s">
        <v>77</v>
      </c>
      <c r="K738" s="18"/>
      <c r="L738" s="26" t="s">
        <v>77</v>
      </c>
      <c r="M738" s="6" t="s">
        <v>77</v>
      </c>
      <c r="N738" s="28" t="s">
        <v>77</v>
      </c>
      <c r="O738" s="26" t="s">
        <v>77</v>
      </c>
    </row>
    <row r="739">
      <c r="A739" s="52" t="s">
        <v>77</v>
      </c>
      <c r="B739" s="28" t="s">
        <v>77</v>
      </c>
      <c r="C739" s="28" t="s">
        <v>77</v>
      </c>
      <c r="D739" s="28" t="s">
        <v>77</v>
      </c>
      <c r="E739" s="28" t="s">
        <v>77</v>
      </c>
      <c r="F739" s="28" t="s">
        <v>77</v>
      </c>
      <c r="G739" s="28" t="s">
        <v>77</v>
      </c>
      <c r="I739" s="26" t="s">
        <v>77</v>
      </c>
      <c r="J739" s="26" t="s">
        <v>77</v>
      </c>
      <c r="K739" s="18"/>
      <c r="L739" s="26" t="s">
        <v>77</v>
      </c>
      <c r="M739" s="6" t="s">
        <v>77</v>
      </c>
      <c r="N739" s="28" t="s">
        <v>77</v>
      </c>
      <c r="O739" s="26" t="s">
        <v>77</v>
      </c>
    </row>
    <row r="740">
      <c r="A740" s="52" t="s">
        <v>77</v>
      </c>
      <c r="B740" s="28" t="s">
        <v>77</v>
      </c>
      <c r="C740" s="28" t="s">
        <v>77</v>
      </c>
      <c r="D740" s="28" t="s">
        <v>77</v>
      </c>
      <c r="E740" s="28" t="s">
        <v>77</v>
      </c>
      <c r="F740" s="28" t="s">
        <v>77</v>
      </c>
      <c r="G740" s="28" t="s">
        <v>77</v>
      </c>
      <c r="I740" s="26" t="s">
        <v>77</v>
      </c>
      <c r="J740" s="26" t="s">
        <v>77</v>
      </c>
      <c r="K740" s="18"/>
      <c r="L740" s="26" t="s">
        <v>77</v>
      </c>
      <c r="M740" s="6" t="s">
        <v>77</v>
      </c>
      <c r="N740" s="28" t="s">
        <v>77</v>
      </c>
      <c r="O740" s="26" t="s">
        <v>77</v>
      </c>
    </row>
    <row r="741">
      <c r="A741" s="52" t="s">
        <v>77</v>
      </c>
      <c r="B741" s="28" t="s">
        <v>77</v>
      </c>
      <c r="C741" s="28" t="s">
        <v>77</v>
      </c>
      <c r="D741" s="28" t="s">
        <v>77</v>
      </c>
      <c r="E741" s="28" t="s">
        <v>77</v>
      </c>
      <c r="F741" s="28" t="s">
        <v>77</v>
      </c>
      <c r="G741" s="28" t="s">
        <v>77</v>
      </c>
      <c r="I741" s="26" t="s">
        <v>77</v>
      </c>
      <c r="J741" s="26" t="s">
        <v>77</v>
      </c>
      <c r="K741" s="18"/>
      <c r="L741" s="26" t="s">
        <v>77</v>
      </c>
      <c r="M741" s="6" t="s">
        <v>77</v>
      </c>
      <c r="N741" s="28" t="s">
        <v>77</v>
      </c>
      <c r="O741" s="26" t="s">
        <v>77</v>
      </c>
    </row>
    <row r="742">
      <c r="A742" s="52" t="s">
        <v>77</v>
      </c>
      <c r="B742" s="28" t="s">
        <v>77</v>
      </c>
      <c r="C742" s="28" t="s">
        <v>77</v>
      </c>
      <c r="D742" s="28" t="s">
        <v>77</v>
      </c>
      <c r="E742" s="28" t="s">
        <v>77</v>
      </c>
      <c r="F742" s="28" t="s">
        <v>77</v>
      </c>
      <c r="G742" s="28" t="s">
        <v>77</v>
      </c>
      <c r="I742" s="26" t="s">
        <v>77</v>
      </c>
      <c r="J742" s="26" t="s">
        <v>77</v>
      </c>
      <c r="K742" s="18"/>
      <c r="L742" s="26" t="s">
        <v>77</v>
      </c>
      <c r="M742" s="6" t="s">
        <v>77</v>
      </c>
      <c r="N742" s="28" t="s">
        <v>77</v>
      </c>
      <c r="O742" s="26" t="s">
        <v>77</v>
      </c>
    </row>
    <row r="743">
      <c r="A743" s="52" t="s">
        <v>77</v>
      </c>
      <c r="B743" s="28" t="s">
        <v>77</v>
      </c>
      <c r="C743" s="28" t="s">
        <v>77</v>
      </c>
      <c r="D743" s="28" t="s">
        <v>77</v>
      </c>
      <c r="E743" s="28" t="s">
        <v>77</v>
      </c>
      <c r="F743" s="28" t="s">
        <v>77</v>
      </c>
      <c r="G743" s="28" t="s">
        <v>77</v>
      </c>
      <c r="I743" s="26" t="s">
        <v>77</v>
      </c>
      <c r="J743" s="26" t="s">
        <v>77</v>
      </c>
      <c r="K743" s="18"/>
      <c r="L743" s="26" t="s">
        <v>77</v>
      </c>
      <c r="M743" s="6" t="s">
        <v>77</v>
      </c>
      <c r="N743" s="28" t="s">
        <v>77</v>
      </c>
      <c r="O743" s="26" t="s">
        <v>77</v>
      </c>
    </row>
    <row r="744">
      <c r="A744" s="52" t="s">
        <v>77</v>
      </c>
      <c r="B744" s="28" t="s">
        <v>77</v>
      </c>
      <c r="C744" s="28" t="s">
        <v>77</v>
      </c>
      <c r="D744" s="28" t="s">
        <v>77</v>
      </c>
      <c r="E744" s="28" t="s">
        <v>77</v>
      </c>
      <c r="F744" s="28" t="s">
        <v>77</v>
      </c>
      <c r="G744" s="28" t="s">
        <v>77</v>
      </c>
      <c r="I744" s="26" t="s">
        <v>77</v>
      </c>
      <c r="J744" s="26" t="s">
        <v>77</v>
      </c>
      <c r="K744" s="18"/>
      <c r="L744" s="26" t="s">
        <v>77</v>
      </c>
      <c r="M744" s="6" t="s">
        <v>77</v>
      </c>
      <c r="N744" s="28" t="s">
        <v>77</v>
      </c>
      <c r="O744" s="26" t="s">
        <v>77</v>
      </c>
    </row>
    <row r="745">
      <c r="A745" s="52" t="s">
        <v>77</v>
      </c>
      <c r="B745" s="28" t="s">
        <v>77</v>
      </c>
      <c r="C745" s="28" t="s">
        <v>77</v>
      </c>
      <c r="D745" s="28" t="s">
        <v>77</v>
      </c>
      <c r="E745" s="28" t="s">
        <v>77</v>
      </c>
      <c r="F745" s="28" t="s">
        <v>77</v>
      </c>
      <c r="G745" s="28" t="s">
        <v>77</v>
      </c>
      <c r="I745" s="26" t="s">
        <v>77</v>
      </c>
      <c r="J745" s="26" t="s">
        <v>77</v>
      </c>
      <c r="K745" s="18"/>
      <c r="L745" s="26" t="s">
        <v>77</v>
      </c>
      <c r="M745" s="6" t="s">
        <v>77</v>
      </c>
      <c r="N745" s="28" t="s">
        <v>77</v>
      </c>
      <c r="O745" s="26" t="s">
        <v>77</v>
      </c>
    </row>
    <row r="746">
      <c r="A746" s="52" t="s">
        <v>77</v>
      </c>
      <c r="B746" s="28" t="s">
        <v>77</v>
      </c>
      <c r="C746" s="28" t="s">
        <v>77</v>
      </c>
      <c r="D746" s="28" t="s">
        <v>77</v>
      </c>
      <c r="E746" s="28" t="s">
        <v>77</v>
      </c>
      <c r="F746" s="28" t="s">
        <v>77</v>
      </c>
      <c r="G746" s="28" t="s">
        <v>77</v>
      </c>
      <c r="I746" s="26" t="s">
        <v>77</v>
      </c>
      <c r="J746" s="26" t="s">
        <v>77</v>
      </c>
      <c r="K746" s="18"/>
      <c r="L746" s="26" t="s">
        <v>77</v>
      </c>
      <c r="M746" s="6" t="s">
        <v>77</v>
      </c>
      <c r="N746" s="28" t="s">
        <v>77</v>
      </c>
      <c r="O746" s="26" t="s">
        <v>77</v>
      </c>
    </row>
    <row r="747">
      <c r="A747" s="52" t="s">
        <v>77</v>
      </c>
      <c r="B747" s="28" t="s">
        <v>77</v>
      </c>
      <c r="C747" s="28" t="s">
        <v>77</v>
      </c>
      <c r="D747" s="28" t="s">
        <v>77</v>
      </c>
      <c r="E747" s="28" t="s">
        <v>77</v>
      </c>
      <c r="F747" s="28" t="s">
        <v>77</v>
      </c>
      <c r="G747" s="28" t="s">
        <v>77</v>
      </c>
      <c r="I747" s="26" t="s">
        <v>77</v>
      </c>
      <c r="J747" s="26" t="s">
        <v>77</v>
      </c>
      <c r="K747" s="18"/>
      <c r="L747" s="26" t="s">
        <v>77</v>
      </c>
      <c r="M747" s="6" t="s">
        <v>77</v>
      </c>
      <c r="N747" s="28" t="s">
        <v>77</v>
      </c>
      <c r="O747" s="26" t="s">
        <v>77</v>
      </c>
    </row>
    <row r="748">
      <c r="A748" s="52" t="s">
        <v>77</v>
      </c>
      <c r="B748" s="28" t="s">
        <v>77</v>
      </c>
      <c r="C748" s="28" t="s">
        <v>77</v>
      </c>
      <c r="D748" s="28" t="s">
        <v>77</v>
      </c>
      <c r="E748" s="28" t="s">
        <v>77</v>
      </c>
      <c r="F748" s="28" t="s">
        <v>77</v>
      </c>
      <c r="G748" s="28" t="s">
        <v>77</v>
      </c>
      <c r="I748" s="26" t="s">
        <v>77</v>
      </c>
      <c r="J748" s="26" t="s">
        <v>77</v>
      </c>
      <c r="K748" s="18"/>
      <c r="L748" s="26" t="s">
        <v>77</v>
      </c>
      <c r="M748" s="6" t="s">
        <v>77</v>
      </c>
      <c r="N748" s="28" t="s">
        <v>77</v>
      </c>
      <c r="O748" s="26" t="s">
        <v>77</v>
      </c>
    </row>
    <row r="749">
      <c r="A749" s="52" t="s">
        <v>77</v>
      </c>
      <c r="B749" s="28" t="s">
        <v>77</v>
      </c>
      <c r="C749" s="28" t="s">
        <v>77</v>
      </c>
      <c r="D749" s="28" t="s">
        <v>77</v>
      </c>
      <c r="E749" s="28" t="s">
        <v>77</v>
      </c>
      <c r="F749" s="28" t="s">
        <v>77</v>
      </c>
      <c r="G749" s="28" t="s">
        <v>77</v>
      </c>
      <c r="I749" s="26" t="s">
        <v>77</v>
      </c>
      <c r="J749" s="26" t="s">
        <v>77</v>
      </c>
      <c r="K749" s="18"/>
      <c r="L749" s="26" t="s">
        <v>77</v>
      </c>
      <c r="M749" s="6" t="s">
        <v>77</v>
      </c>
      <c r="N749" s="28" t="s">
        <v>77</v>
      </c>
      <c r="O749" s="26" t="s">
        <v>77</v>
      </c>
    </row>
    <row r="750">
      <c r="A750" s="52" t="s">
        <v>77</v>
      </c>
      <c r="B750" s="28" t="s">
        <v>77</v>
      </c>
      <c r="C750" s="28" t="s">
        <v>77</v>
      </c>
      <c r="D750" s="28" t="s">
        <v>77</v>
      </c>
      <c r="E750" s="28" t="s">
        <v>77</v>
      </c>
      <c r="F750" s="28" t="s">
        <v>77</v>
      </c>
      <c r="G750" s="28" t="s">
        <v>77</v>
      </c>
      <c r="I750" s="26" t="s">
        <v>77</v>
      </c>
      <c r="J750" s="26" t="s">
        <v>77</v>
      </c>
      <c r="K750" s="18"/>
      <c r="L750" s="26" t="s">
        <v>77</v>
      </c>
      <c r="M750" s="6" t="s">
        <v>77</v>
      </c>
      <c r="N750" s="28" t="s">
        <v>77</v>
      </c>
      <c r="O750" s="26" t="s">
        <v>77</v>
      </c>
    </row>
    <row r="751">
      <c r="A751" s="52" t="s">
        <v>77</v>
      </c>
      <c r="B751" s="28" t="s">
        <v>77</v>
      </c>
      <c r="C751" s="28" t="s">
        <v>77</v>
      </c>
      <c r="D751" s="28" t="s">
        <v>77</v>
      </c>
      <c r="E751" s="28" t="s">
        <v>77</v>
      </c>
      <c r="F751" s="28" t="s">
        <v>77</v>
      </c>
      <c r="G751" s="28" t="s">
        <v>77</v>
      </c>
      <c r="I751" s="26" t="s">
        <v>77</v>
      </c>
      <c r="J751" s="26" t="s">
        <v>77</v>
      </c>
      <c r="K751" s="18"/>
      <c r="L751" s="26" t="s">
        <v>77</v>
      </c>
      <c r="M751" s="6" t="s">
        <v>77</v>
      </c>
      <c r="N751" s="28" t="s">
        <v>77</v>
      </c>
      <c r="O751" s="26" t="s">
        <v>77</v>
      </c>
    </row>
    <row r="752">
      <c r="A752" s="52" t="s">
        <v>77</v>
      </c>
      <c r="B752" s="28" t="s">
        <v>77</v>
      </c>
      <c r="C752" s="28" t="s">
        <v>77</v>
      </c>
      <c r="D752" s="28" t="s">
        <v>77</v>
      </c>
      <c r="E752" s="28" t="s">
        <v>77</v>
      </c>
      <c r="F752" s="28" t="s">
        <v>77</v>
      </c>
      <c r="G752" s="28" t="s">
        <v>77</v>
      </c>
      <c r="I752" s="26" t="s">
        <v>77</v>
      </c>
      <c r="J752" s="26" t="s">
        <v>77</v>
      </c>
      <c r="K752" s="18"/>
      <c r="L752" s="26" t="s">
        <v>77</v>
      </c>
      <c r="M752" s="6" t="s">
        <v>77</v>
      </c>
      <c r="N752" s="28" t="s">
        <v>77</v>
      </c>
      <c r="O752" s="26" t="s">
        <v>77</v>
      </c>
    </row>
    <row r="753">
      <c r="A753" s="52" t="s">
        <v>77</v>
      </c>
      <c r="B753" s="28" t="s">
        <v>77</v>
      </c>
      <c r="C753" s="28" t="s">
        <v>77</v>
      </c>
      <c r="D753" s="28" t="s">
        <v>77</v>
      </c>
      <c r="E753" s="28" t="s">
        <v>77</v>
      </c>
      <c r="F753" s="28" t="s">
        <v>77</v>
      </c>
      <c r="G753" s="28" t="s">
        <v>77</v>
      </c>
      <c r="I753" s="26" t="s">
        <v>77</v>
      </c>
      <c r="J753" s="26" t="s">
        <v>77</v>
      </c>
      <c r="K753" s="18"/>
      <c r="L753" s="26" t="s">
        <v>77</v>
      </c>
      <c r="M753" s="6" t="s">
        <v>77</v>
      </c>
      <c r="N753" s="28" t="s">
        <v>77</v>
      </c>
      <c r="O753" s="26" t="s">
        <v>77</v>
      </c>
    </row>
    <row r="754">
      <c r="A754" s="52" t="s">
        <v>77</v>
      </c>
      <c r="B754" s="28" t="s">
        <v>77</v>
      </c>
      <c r="C754" s="28" t="s">
        <v>77</v>
      </c>
      <c r="D754" s="28" t="s">
        <v>77</v>
      </c>
      <c r="E754" s="28" t="s">
        <v>77</v>
      </c>
      <c r="F754" s="28" t="s">
        <v>77</v>
      </c>
      <c r="G754" s="28" t="s">
        <v>77</v>
      </c>
      <c r="I754" s="26" t="s">
        <v>77</v>
      </c>
      <c r="J754" s="26" t="s">
        <v>77</v>
      </c>
      <c r="K754" s="18"/>
      <c r="L754" s="26" t="s">
        <v>77</v>
      </c>
      <c r="M754" s="6" t="s">
        <v>77</v>
      </c>
      <c r="N754" s="28" t="s">
        <v>77</v>
      </c>
      <c r="O754" s="26" t="s">
        <v>77</v>
      </c>
    </row>
    <row r="755">
      <c r="A755" s="52" t="s">
        <v>77</v>
      </c>
      <c r="B755" s="28" t="s">
        <v>77</v>
      </c>
      <c r="C755" s="28" t="s">
        <v>77</v>
      </c>
      <c r="D755" s="28" t="s">
        <v>77</v>
      </c>
      <c r="E755" s="28" t="s">
        <v>77</v>
      </c>
      <c r="F755" s="28" t="s">
        <v>77</v>
      </c>
      <c r="G755" s="28" t="s">
        <v>77</v>
      </c>
      <c r="I755" s="26" t="s">
        <v>77</v>
      </c>
      <c r="J755" s="26" t="s">
        <v>77</v>
      </c>
      <c r="K755" s="18"/>
      <c r="L755" s="26" t="s">
        <v>77</v>
      </c>
      <c r="M755" s="6" t="s">
        <v>77</v>
      </c>
      <c r="N755" s="28" t="s">
        <v>77</v>
      </c>
      <c r="O755" s="26" t="s">
        <v>77</v>
      </c>
    </row>
    <row r="756">
      <c r="A756" s="52" t="s">
        <v>77</v>
      </c>
      <c r="B756" s="28" t="s">
        <v>77</v>
      </c>
      <c r="C756" s="28" t="s">
        <v>77</v>
      </c>
      <c r="D756" s="28" t="s">
        <v>77</v>
      </c>
      <c r="E756" s="28" t="s">
        <v>77</v>
      </c>
      <c r="F756" s="28" t="s">
        <v>77</v>
      </c>
      <c r="G756" s="28" t="s">
        <v>77</v>
      </c>
      <c r="I756" s="26" t="s">
        <v>77</v>
      </c>
      <c r="J756" s="26" t="s">
        <v>77</v>
      </c>
      <c r="K756" s="18"/>
      <c r="L756" s="26" t="s">
        <v>77</v>
      </c>
      <c r="M756" s="6" t="s">
        <v>77</v>
      </c>
      <c r="N756" s="28" t="s">
        <v>77</v>
      </c>
      <c r="O756" s="26" t="s">
        <v>77</v>
      </c>
    </row>
    <row r="757">
      <c r="A757" s="52" t="s">
        <v>77</v>
      </c>
      <c r="B757" s="28" t="s">
        <v>77</v>
      </c>
      <c r="C757" s="28" t="s">
        <v>77</v>
      </c>
      <c r="D757" s="28" t="s">
        <v>77</v>
      </c>
      <c r="E757" s="28" t="s">
        <v>77</v>
      </c>
      <c r="F757" s="28" t="s">
        <v>77</v>
      </c>
      <c r="G757" s="28" t="s">
        <v>77</v>
      </c>
      <c r="I757" s="26" t="s">
        <v>77</v>
      </c>
      <c r="J757" s="26" t="s">
        <v>77</v>
      </c>
      <c r="K757" s="18"/>
      <c r="L757" s="26" t="s">
        <v>77</v>
      </c>
      <c r="M757" s="6" t="s">
        <v>77</v>
      </c>
      <c r="N757" s="28" t="s">
        <v>77</v>
      </c>
      <c r="O757" s="26" t="s">
        <v>77</v>
      </c>
    </row>
    <row r="758">
      <c r="A758" s="52" t="s">
        <v>77</v>
      </c>
      <c r="B758" s="28" t="s">
        <v>77</v>
      </c>
      <c r="C758" s="28" t="s">
        <v>77</v>
      </c>
      <c r="D758" s="28" t="s">
        <v>77</v>
      </c>
      <c r="E758" s="28" t="s">
        <v>77</v>
      </c>
      <c r="F758" s="28" t="s">
        <v>77</v>
      </c>
      <c r="G758" s="28" t="s">
        <v>77</v>
      </c>
      <c r="I758" s="26" t="s">
        <v>77</v>
      </c>
      <c r="J758" s="26" t="s">
        <v>77</v>
      </c>
      <c r="K758" s="18"/>
      <c r="L758" s="26" t="s">
        <v>77</v>
      </c>
      <c r="M758" s="6" t="s">
        <v>77</v>
      </c>
      <c r="N758" s="28" t="s">
        <v>77</v>
      </c>
      <c r="O758" s="26" t="s">
        <v>77</v>
      </c>
    </row>
    <row r="759">
      <c r="A759" s="52" t="s">
        <v>77</v>
      </c>
      <c r="B759" s="28" t="s">
        <v>77</v>
      </c>
      <c r="C759" s="28" t="s">
        <v>77</v>
      </c>
      <c r="D759" s="28" t="s">
        <v>77</v>
      </c>
      <c r="E759" s="28" t="s">
        <v>77</v>
      </c>
      <c r="F759" s="28" t="s">
        <v>77</v>
      </c>
      <c r="G759" s="28" t="s">
        <v>77</v>
      </c>
      <c r="I759" s="26" t="s">
        <v>77</v>
      </c>
      <c r="J759" s="26" t="s">
        <v>77</v>
      </c>
      <c r="K759" s="18"/>
      <c r="L759" s="26" t="s">
        <v>77</v>
      </c>
      <c r="M759" s="6" t="s">
        <v>77</v>
      </c>
      <c r="N759" s="28" t="s">
        <v>77</v>
      </c>
      <c r="O759" s="26" t="s">
        <v>77</v>
      </c>
    </row>
    <row r="760">
      <c r="A760" s="52" t="s">
        <v>77</v>
      </c>
      <c r="B760" s="28" t="s">
        <v>77</v>
      </c>
      <c r="C760" s="28" t="s">
        <v>77</v>
      </c>
      <c r="D760" s="28" t="s">
        <v>77</v>
      </c>
      <c r="E760" s="28" t="s">
        <v>77</v>
      </c>
      <c r="F760" s="28" t="s">
        <v>77</v>
      </c>
      <c r="G760" s="28" t="s">
        <v>77</v>
      </c>
      <c r="I760" s="26" t="s">
        <v>77</v>
      </c>
      <c r="J760" s="26" t="s">
        <v>77</v>
      </c>
      <c r="K760" s="18"/>
      <c r="L760" s="26" t="s">
        <v>77</v>
      </c>
      <c r="M760" s="6" t="s">
        <v>77</v>
      </c>
      <c r="N760" s="28" t="s">
        <v>77</v>
      </c>
      <c r="O760" s="26" t="s">
        <v>77</v>
      </c>
    </row>
    <row r="761">
      <c r="A761" s="52" t="s">
        <v>77</v>
      </c>
      <c r="B761" s="28" t="s">
        <v>77</v>
      </c>
      <c r="C761" s="28" t="s">
        <v>77</v>
      </c>
      <c r="D761" s="28" t="s">
        <v>77</v>
      </c>
      <c r="E761" s="28" t="s">
        <v>77</v>
      </c>
      <c r="F761" s="28" t="s">
        <v>77</v>
      </c>
      <c r="G761" s="28" t="s">
        <v>77</v>
      </c>
      <c r="I761" s="26" t="s">
        <v>77</v>
      </c>
      <c r="J761" s="26" t="s">
        <v>77</v>
      </c>
      <c r="K761" s="18"/>
      <c r="L761" s="26" t="s">
        <v>77</v>
      </c>
      <c r="M761" s="6" t="s">
        <v>77</v>
      </c>
      <c r="N761" s="28" t="s">
        <v>77</v>
      </c>
      <c r="O761" s="26" t="s">
        <v>77</v>
      </c>
    </row>
    <row r="762">
      <c r="A762" s="52" t="s">
        <v>77</v>
      </c>
      <c r="B762" s="28" t="s">
        <v>77</v>
      </c>
      <c r="C762" s="28" t="s">
        <v>77</v>
      </c>
      <c r="D762" s="28" t="s">
        <v>77</v>
      </c>
      <c r="E762" s="28" t="s">
        <v>77</v>
      </c>
      <c r="F762" s="28" t="s">
        <v>77</v>
      </c>
      <c r="G762" s="28" t="s">
        <v>77</v>
      </c>
      <c r="I762" s="26" t="s">
        <v>77</v>
      </c>
      <c r="J762" s="26" t="s">
        <v>77</v>
      </c>
      <c r="K762" s="18"/>
      <c r="L762" s="26" t="s">
        <v>77</v>
      </c>
      <c r="M762" s="6" t="s">
        <v>77</v>
      </c>
      <c r="N762" s="28" t="s">
        <v>77</v>
      </c>
      <c r="O762" s="26" t="s">
        <v>77</v>
      </c>
    </row>
    <row r="763">
      <c r="A763" s="52" t="s">
        <v>77</v>
      </c>
      <c r="B763" s="28" t="s">
        <v>77</v>
      </c>
      <c r="C763" s="28" t="s">
        <v>77</v>
      </c>
      <c r="D763" s="28" t="s">
        <v>77</v>
      </c>
      <c r="E763" s="28" t="s">
        <v>77</v>
      </c>
      <c r="F763" s="28" t="s">
        <v>77</v>
      </c>
      <c r="G763" s="28" t="s">
        <v>77</v>
      </c>
      <c r="I763" s="26" t="s">
        <v>77</v>
      </c>
      <c r="J763" s="26" t="s">
        <v>77</v>
      </c>
      <c r="K763" s="18"/>
      <c r="L763" s="26" t="s">
        <v>77</v>
      </c>
      <c r="M763" s="6" t="s">
        <v>77</v>
      </c>
      <c r="N763" s="28" t="s">
        <v>77</v>
      </c>
      <c r="O763" s="26" t="s">
        <v>77</v>
      </c>
    </row>
    <row r="764">
      <c r="A764" s="52" t="s">
        <v>77</v>
      </c>
      <c r="B764" s="28" t="s">
        <v>77</v>
      </c>
      <c r="C764" s="28" t="s">
        <v>77</v>
      </c>
      <c r="D764" s="28" t="s">
        <v>77</v>
      </c>
      <c r="E764" s="28" t="s">
        <v>77</v>
      </c>
      <c r="F764" s="28" t="s">
        <v>77</v>
      </c>
      <c r="G764" s="28" t="s">
        <v>77</v>
      </c>
      <c r="I764" s="26" t="s">
        <v>77</v>
      </c>
      <c r="J764" s="26" t="s">
        <v>77</v>
      </c>
      <c r="K764" s="18"/>
      <c r="L764" s="26" t="s">
        <v>77</v>
      </c>
      <c r="M764" s="6" t="s">
        <v>77</v>
      </c>
      <c r="N764" s="28" t="s">
        <v>77</v>
      </c>
      <c r="O764" s="26" t="s">
        <v>77</v>
      </c>
    </row>
    <row r="765">
      <c r="A765" s="52" t="s">
        <v>77</v>
      </c>
      <c r="B765" s="28" t="s">
        <v>77</v>
      </c>
      <c r="C765" s="28" t="s">
        <v>77</v>
      </c>
      <c r="D765" s="28" t="s">
        <v>77</v>
      </c>
      <c r="E765" s="28" t="s">
        <v>77</v>
      </c>
      <c r="F765" s="28" t="s">
        <v>77</v>
      </c>
      <c r="G765" s="28" t="s">
        <v>77</v>
      </c>
      <c r="I765" s="26" t="s">
        <v>77</v>
      </c>
      <c r="J765" s="26" t="s">
        <v>77</v>
      </c>
      <c r="K765" s="18"/>
      <c r="L765" s="26" t="s">
        <v>77</v>
      </c>
      <c r="M765" s="6" t="s">
        <v>77</v>
      </c>
      <c r="N765" s="28" t="s">
        <v>77</v>
      </c>
      <c r="O765" s="26" t="s">
        <v>77</v>
      </c>
    </row>
    <row r="766">
      <c r="A766" s="52" t="s">
        <v>77</v>
      </c>
      <c r="B766" s="28" t="s">
        <v>77</v>
      </c>
      <c r="C766" s="28" t="s">
        <v>77</v>
      </c>
      <c r="D766" s="28" t="s">
        <v>77</v>
      </c>
      <c r="E766" s="28" t="s">
        <v>77</v>
      </c>
      <c r="F766" s="28" t="s">
        <v>77</v>
      </c>
      <c r="G766" s="28" t="s">
        <v>77</v>
      </c>
      <c r="I766" s="26" t="s">
        <v>77</v>
      </c>
      <c r="J766" s="26" t="s">
        <v>77</v>
      </c>
      <c r="K766" s="18"/>
      <c r="L766" s="26" t="s">
        <v>77</v>
      </c>
      <c r="M766" s="6" t="s">
        <v>77</v>
      </c>
      <c r="N766" s="28" t="s">
        <v>77</v>
      </c>
      <c r="O766" s="26" t="s">
        <v>77</v>
      </c>
    </row>
    <row r="767">
      <c r="A767" s="52" t="s">
        <v>77</v>
      </c>
      <c r="B767" s="28" t="s">
        <v>77</v>
      </c>
      <c r="C767" s="28" t="s">
        <v>77</v>
      </c>
      <c r="D767" s="28" t="s">
        <v>77</v>
      </c>
      <c r="E767" s="28" t="s">
        <v>77</v>
      </c>
      <c r="F767" s="28" t="s">
        <v>77</v>
      </c>
      <c r="G767" s="28" t="s">
        <v>77</v>
      </c>
      <c r="I767" s="26" t="s">
        <v>77</v>
      </c>
      <c r="J767" s="26" t="s">
        <v>77</v>
      </c>
      <c r="K767" s="18"/>
      <c r="L767" s="26" t="s">
        <v>77</v>
      </c>
      <c r="M767" s="6" t="s">
        <v>77</v>
      </c>
      <c r="N767" s="28" t="s">
        <v>77</v>
      </c>
      <c r="O767" s="26" t="s">
        <v>77</v>
      </c>
    </row>
    <row r="768">
      <c r="A768" s="52" t="s">
        <v>77</v>
      </c>
      <c r="B768" s="28" t="s">
        <v>77</v>
      </c>
      <c r="C768" s="28" t="s">
        <v>77</v>
      </c>
      <c r="D768" s="28" t="s">
        <v>77</v>
      </c>
      <c r="E768" s="28" t="s">
        <v>77</v>
      </c>
      <c r="F768" s="28" t="s">
        <v>77</v>
      </c>
      <c r="G768" s="28" t="s">
        <v>77</v>
      </c>
      <c r="I768" s="26" t="s">
        <v>77</v>
      </c>
      <c r="J768" s="26" t="s">
        <v>77</v>
      </c>
      <c r="K768" s="18"/>
      <c r="L768" s="26" t="s">
        <v>77</v>
      </c>
      <c r="M768" s="6" t="s">
        <v>77</v>
      </c>
      <c r="N768" s="28" t="s">
        <v>77</v>
      </c>
      <c r="O768" s="26" t="s">
        <v>77</v>
      </c>
    </row>
    <row r="769">
      <c r="A769" s="52" t="s">
        <v>77</v>
      </c>
      <c r="B769" s="28" t="s">
        <v>77</v>
      </c>
      <c r="C769" s="28" t="s">
        <v>77</v>
      </c>
      <c r="D769" s="28" t="s">
        <v>77</v>
      </c>
      <c r="E769" s="28" t="s">
        <v>77</v>
      </c>
      <c r="F769" s="28" t="s">
        <v>77</v>
      </c>
      <c r="G769" s="28" t="s">
        <v>77</v>
      </c>
      <c r="I769" s="26" t="s">
        <v>77</v>
      </c>
      <c r="J769" s="26" t="s">
        <v>77</v>
      </c>
      <c r="K769" s="18"/>
      <c r="L769" s="26" t="s">
        <v>77</v>
      </c>
      <c r="M769" s="6" t="s">
        <v>77</v>
      </c>
      <c r="N769" s="28" t="s">
        <v>77</v>
      </c>
      <c r="O769" s="26" t="s">
        <v>77</v>
      </c>
    </row>
    <row r="770">
      <c r="A770" s="52" t="s">
        <v>77</v>
      </c>
      <c r="B770" s="28" t="s">
        <v>77</v>
      </c>
      <c r="C770" s="28" t="s">
        <v>77</v>
      </c>
      <c r="D770" s="28" t="s">
        <v>77</v>
      </c>
      <c r="E770" s="28" t="s">
        <v>77</v>
      </c>
      <c r="F770" s="28" t="s">
        <v>77</v>
      </c>
      <c r="G770" s="28" t="s">
        <v>77</v>
      </c>
      <c r="I770" s="26" t="s">
        <v>77</v>
      </c>
      <c r="J770" s="26" t="s">
        <v>77</v>
      </c>
      <c r="K770" s="18"/>
      <c r="L770" s="26" t="s">
        <v>77</v>
      </c>
      <c r="M770" s="6" t="s">
        <v>77</v>
      </c>
      <c r="N770" s="28" t="s">
        <v>77</v>
      </c>
      <c r="O770" s="26" t="s">
        <v>77</v>
      </c>
    </row>
    <row r="771">
      <c r="A771" s="52" t="s">
        <v>77</v>
      </c>
      <c r="B771" s="28" t="s">
        <v>77</v>
      </c>
      <c r="C771" s="28" t="s">
        <v>77</v>
      </c>
      <c r="D771" s="28" t="s">
        <v>77</v>
      </c>
      <c r="E771" s="28" t="s">
        <v>77</v>
      </c>
      <c r="F771" s="28" t="s">
        <v>77</v>
      </c>
      <c r="G771" s="28" t="s">
        <v>77</v>
      </c>
      <c r="I771" s="26" t="s">
        <v>77</v>
      </c>
      <c r="J771" s="26" t="s">
        <v>77</v>
      </c>
      <c r="K771" s="18"/>
      <c r="L771" s="26" t="s">
        <v>77</v>
      </c>
      <c r="M771" s="6" t="s">
        <v>77</v>
      </c>
      <c r="N771" s="28" t="s">
        <v>77</v>
      </c>
      <c r="O771" s="26" t="s">
        <v>77</v>
      </c>
    </row>
    <row r="772">
      <c r="A772" s="52" t="s">
        <v>77</v>
      </c>
      <c r="B772" s="28" t="s">
        <v>77</v>
      </c>
      <c r="C772" s="28" t="s">
        <v>77</v>
      </c>
      <c r="D772" s="28" t="s">
        <v>77</v>
      </c>
      <c r="E772" s="28" t="s">
        <v>77</v>
      </c>
      <c r="F772" s="28" t="s">
        <v>77</v>
      </c>
      <c r="G772" s="28" t="s">
        <v>77</v>
      </c>
      <c r="I772" s="26" t="s">
        <v>77</v>
      </c>
      <c r="J772" s="26" t="s">
        <v>77</v>
      </c>
      <c r="K772" s="18"/>
      <c r="L772" s="26" t="s">
        <v>77</v>
      </c>
      <c r="M772" s="6" t="s">
        <v>77</v>
      </c>
      <c r="N772" s="28" t="s">
        <v>77</v>
      </c>
      <c r="O772" s="26" t="s">
        <v>77</v>
      </c>
    </row>
    <row r="773">
      <c r="A773" s="52" t="s">
        <v>77</v>
      </c>
      <c r="B773" s="28" t="s">
        <v>77</v>
      </c>
      <c r="C773" s="28" t="s">
        <v>77</v>
      </c>
      <c r="D773" s="28" t="s">
        <v>77</v>
      </c>
      <c r="E773" s="28" t="s">
        <v>77</v>
      </c>
      <c r="F773" s="28" t="s">
        <v>77</v>
      </c>
      <c r="G773" s="28" t="s">
        <v>77</v>
      </c>
      <c r="I773" s="26" t="s">
        <v>77</v>
      </c>
      <c r="J773" s="26" t="s">
        <v>77</v>
      </c>
      <c r="K773" s="18"/>
      <c r="L773" s="26" t="s">
        <v>77</v>
      </c>
      <c r="M773" s="6" t="s">
        <v>77</v>
      </c>
      <c r="N773" s="28" t="s">
        <v>77</v>
      </c>
      <c r="O773" s="26" t="s">
        <v>77</v>
      </c>
    </row>
    <row r="774">
      <c r="A774" s="52" t="s">
        <v>77</v>
      </c>
      <c r="B774" s="28" t="s">
        <v>77</v>
      </c>
      <c r="C774" s="28" t="s">
        <v>77</v>
      </c>
      <c r="D774" s="28" t="s">
        <v>77</v>
      </c>
      <c r="E774" s="28" t="s">
        <v>77</v>
      </c>
      <c r="F774" s="28" t="s">
        <v>77</v>
      </c>
      <c r="G774" s="28" t="s">
        <v>77</v>
      </c>
      <c r="I774" s="26" t="s">
        <v>77</v>
      </c>
      <c r="J774" s="26" t="s">
        <v>77</v>
      </c>
      <c r="K774" s="18"/>
      <c r="L774" s="26" t="s">
        <v>77</v>
      </c>
      <c r="M774" s="6" t="s">
        <v>77</v>
      </c>
      <c r="N774" s="28" t="s">
        <v>77</v>
      </c>
      <c r="O774" s="26" t="s">
        <v>77</v>
      </c>
    </row>
    <row r="775">
      <c r="A775" s="52" t="s">
        <v>77</v>
      </c>
      <c r="B775" s="28" t="s">
        <v>77</v>
      </c>
      <c r="C775" s="28" t="s">
        <v>77</v>
      </c>
      <c r="D775" s="28" t="s">
        <v>77</v>
      </c>
      <c r="E775" s="28" t="s">
        <v>77</v>
      </c>
      <c r="F775" s="28" t="s">
        <v>77</v>
      </c>
      <c r="G775" s="28" t="s">
        <v>77</v>
      </c>
      <c r="I775" s="26" t="s">
        <v>77</v>
      </c>
      <c r="J775" s="26" t="s">
        <v>77</v>
      </c>
      <c r="K775" s="18"/>
      <c r="L775" s="26" t="s">
        <v>77</v>
      </c>
      <c r="M775" s="6" t="s">
        <v>77</v>
      </c>
      <c r="N775" s="28" t="s">
        <v>77</v>
      </c>
      <c r="O775" s="26" t="s">
        <v>77</v>
      </c>
    </row>
    <row r="776">
      <c r="A776" s="52" t="s">
        <v>77</v>
      </c>
      <c r="B776" s="28" t="s">
        <v>77</v>
      </c>
      <c r="C776" s="28" t="s">
        <v>77</v>
      </c>
      <c r="D776" s="28" t="s">
        <v>77</v>
      </c>
      <c r="E776" s="28" t="s">
        <v>77</v>
      </c>
      <c r="F776" s="28" t="s">
        <v>77</v>
      </c>
      <c r="G776" s="28" t="s">
        <v>77</v>
      </c>
      <c r="I776" s="26" t="s">
        <v>77</v>
      </c>
      <c r="J776" s="26" t="s">
        <v>77</v>
      </c>
      <c r="K776" s="18"/>
      <c r="L776" s="26" t="s">
        <v>77</v>
      </c>
      <c r="M776" s="6" t="s">
        <v>77</v>
      </c>
      <c r="N776" s="28" t="s">
        <v>77</v>
      </c>
      <c r="O776" s="26" t="s">
        <v>77</v>
      </c>
    </row>
    <row r="777">
      <c r="A777" s="52" t="s">
        <v>77</v>
      </c>
      <c r="B777" s="28" t="s">
        <v>77</v>
      </c>
      <c r="C777" s="28" t="s">
        <v>77</v>
      </c>
      <c r="D777" s="28" t="s">
        <v>77</v>
      </c>
      <c r="E777" s="28" t="s">
        <v>77</v>
      </c>
      <c r="F777" s="28" t="s">
        <v>77</v>
      </c>
      <c r="G777" s="28" t="s">
        <v>77</v>
      </c>
      <c r="I777" s="26" t="s">
        <v>77</v>
      </c>
      <c r="J777" s="26" t="s">
        <v>77</v>
      </c>
      <c r="K777" s="18"/>
      <c r="L777" s="26" t="s">
        <v>77</v>
      </c>
      <c r="M777" s="6" t="s">
        <v>77</v>
      </c>
      <c r="N777" s="28" t="s">
        <v>77</v>
      </c>
      <c r="O777" s="26" t="s">
        <v>77</v>
      </c>
    </row>
    <row r="778">
      <c r="A778" s="52" t="s">
        <v>77</v>
      </c>
      <c r="B778" s="28" t="s">
        <v>77</v>
      </c>
      <c r="C778" s="28" t="s">
        <v>77</v>
      </c>
      <c r="D778" s="28" t="s">
        <v>77</v>
      </c>
      <c r="E778" s="28" t="s">
        <v>77</v>
      </c>
      <c r="F778" s="28" t="s">
        <v>77</v>
      </c>
      <c r="G778" s="28" t="s">
        <v>77</v>
      </c>
      <c r="I778" s="26" t="s">
        <v>77</v>
      </c>
      <c r="J778" s="26" t="s">
        <v>77</v>
      </c>
      <c r="K778" s="18"/>
      <c r="L778" s="26" t="s">
        <v>77</v>
      </c>
      <c r="M778" s="6" t="s">
        <v>77</v>
      </c>
      <c r="N778" s="28" t="s">
        <v>77</v>
      </c>
      <c r="O778" s="26" t="s">
        <v>77</v>
      </c>
    </row>
    <row r="779">
      <c r="A779" s="52" t="s">
        <v>77</v>
      </c>
      <c r="B779" s="28" t="s">
        <v>77</v>
      </c>
      <c r="C779" s="28" t="s">
        <v>77</v>
      </c>
      <c r="D779" s="28" t="s">
        <v>77</v>
      </c>
      <c r="E779" s="28" t="s">
        <v>77</v>
      </c>
      <c r="F779" s="28" t="s">
        <v>77</v>
      </c>
      <c r="G779" s="28" t="s">
        <v>77</v>
      </c>
      <c r="I779" s="26" t="s">
        <v>77</v>
      </c>
      <c r="J779" s="26" t="s">
        <v>77</v>
      </c>
      <c r="K779" s="18"/>
      <c r="L779" s="26" t="s">
        <v>77</v>
      </c>
      <c r="M779" s="6" t="s">
        <v>77</v>
      </c>
      <c r="N779" s="28" t="s">
        <v>77</v>
      </c>
      <c r="O779" s="26" t="s">
        <v>77</v>
      </c>
    </row>
    <row r="780">
      <c r="A780" s="52" t="s">
        <v>77</v>
      </c>
      <c r="B780" s="28" t="s">
        <v>77</v>
      </c>
      <c r="C780" s="28" t="s">
        <v>77</v>
      </c>
      <c r="D780" s="28" t="s">
        <v>77</v>
      </c>
      <c r="E780" s="28" t="s">
        <v>77</v>
      </c>
      <c r="F780" s="28" t="s">
        <v>77</v>
      </c>
      <c r="G780" s="28" t="s">
        <v>77</v>
      </c>
      <c r="I780" s="26" t="s">
        <v>77</v>
      </c>
      <c r="J780" s="26" t="s">
        <v>77</v>
      </c>
      <c r="K780" s="18"/>
      <c r="L780" s="26" t="s">
        <v>77</v>
      </c>
      <c r="M780" s="6" t="s">
        <v>77</v>
      </c>
      <c r="N780" s="28" t="s">
        <v>77</v>
      </c>
      <c r="O780" s="26" t="s">
        <v>77</v>
      </c>
    </row>
    <row r="781">
      <c r="A781" s="52" t="s">
        <v>77</v>
      </c>
      <c r="B781" s="28" t="s">
        <v>77</v>
      </c>
      <c r="C781" s="28" t="s">
        <v>77</v>
      </c>
      <c r="D781" s="28" t="s">
        <v>77</v>
      </c>
      <c r="E781" s="28" t="s">
        <v>77</v>
      </c>
      <c r="F781" s="28" t="s">
        <v>77</v>
      </c>
      <c r="G781" s="28" t="s">
        <v>77</v>
      </c>
      <c r="I781" s="26" t="s">
        <v>77</v>
      </c>
      <c r="J781" s="26" t="s">
        <v>77</v>
      </c>
      <c r="K781" s="18"/>
      <c r="L781" s="26" t="s">
        <v>77</v>
      </c>
      <c r="M781" s="6" t="s">
        <v>77</v>
      </c>
      <c r="N781" s="28" t="s">
        <v>77</v>
      </c>
      <c r="O781" s="26" t="s">
        <v>77</v>
      </c>
    </row>
    <row r="782">
      <c r="A782" s="52" t="s">
        <v>77</v>
      </c>
      <c r="B782" s="28" t="s">
        <v>77</v>
      </c>
      <c r="C782" s="28" t="s">
        <v>77</v>
      </c>
      <c r="D782" s="28" t="s">
        <v>77</v>
      </c>
      <c r="E782" s="28" t="s">
        <v>77</v>
      </c>
      <c r="F782" s="28" t="s">
        <v>77</v>
      </c>
      <c r="G782" s="28" t="s">
        <v>77</v>
      </c>
      <c r="I782" s="26" t="s">
        <v>77</v>
      </c>
      <c r="J782" s="26" t="s">
        <v>77</v>
      </c>
      <c r="K782" s="18"/>
      <c r="L782" s="26" t="s">
        <v>77</v>
      </c>
      <c r="M782" s="6" t="s">
        <v>77</v>
      </c>
      <c r="N782" s="28" t="s">
        <v>77</v>
      </c>
      <c r="O782" s="26" t="s">
        <v>77</v>
      </c>
    </row>
    <row r="783">
      <c r="A783" s="52" t="s">
        <v>77</v>
      </c>
      <c r="B783" s="28" t="s">
        <v>77</v>
      </c>
      <c r="C783" s="28" t="s">
        <v>77</v>
      </c>
      <c r="D783" s="28" t="s">
        <v>77</v>
      </c>
      <c r="E783" s="28" t="s">
        <v>77</v>
      </c>
      <c r="F783" s="28" t="s">
        <v>77</v>
      </c>
      <c r="G783" s="28" t="s">
        <v>77</v>
      </c>
      <c r="I783" s="26" t="s">
        <v>77</v>
      </c>
      <c r="J783" s="26" t="s">
        <v>77</v>
      </c>
      <c r="K783" s="18"/>
      <c r="L783" s="26" t="s">
        <v>77</v>
      </c>
      <c r="M783" s="6" t="s">
        <v>77</v>
      </c>
      <c r="N783" s="28" t="s">
        <v>77</v>
      </c>
      <c r="O783" s="26" t="s">
        <v>77</v>
      </c>
    </row>
    <row r="784">
      <c r="A784" s="52" t="s">
        <v>77</v>
      </c>
      <c r="B784" s="28" t="s">
        <v>77</v>
      </c>
      <c r="C784" s="28" t="s">
        <v>77</v>
      </c>
      <c r="D784" s="28" t="s">
        <v>77</v>
      </c>
      <c r="E784" s="28" t="s">
        <v>77</v>
      </c>
      <c r="F784" s="28" t="s">
        <v>77</v>
      </c>
      <c r="G784" s="28" t="s">
        <v>77</v>
      </c>
      <c r="I784" s="26" t="s">
        <v>77</v>
      </c>
      <c r="J784" s="26" t="s">
        <v>77</v>
      </c>
      <c r="K784" s="18"/>
      <c r="L784" s="26" t="s">
        <v>77</v>
      </c>
      <c r="M784" s="6" t="s">
        <v>77</v>
      </c>
      <c r="N784" s="28" t="s">
        <v>77</v>
      </c>
      <c r="O784" s="26" t="s">
        <v>77</v>
      </c>
    </row>
    <row r="785">
      <c r="A785" s="52" t="s">
        <v>77</v>
      </c>
      <c r="B785" s="28" t="s">
        <v>77</v>
      </c>
      <c r="C785" s="28" t="s">
        <v>77</v>
      </c>
      <c r="D785" s="28" t="s">
        <v>77</v>
      </c>
      <c r="E785" s="28" t="s">
        <v>77</v>
      </c>
      <c r="F785" s="28" t="s">
        <v>77</v>
      </c>
      <c r="G785" s="28" t="s">
        <v>77</v>
      </c>
      <c r="I785" s="26" t="s">
        <v>77</v>
      </c>
      <c r="J785" s="26" t="s">
        <v>77</v>
      </c>
      <c r="K785" s="18"/>
      <c r="L785" s="26" t="s">
        <v>77</v>
      </c>
      <c r="M785" s="6" t="s">
        <v>77</v>
      </c>
      <c r="N785" s="28" t="s">
        <v>77</v>
      </c>
      <c r="O785" s="26" t="s">
        <v>77</v>
      </c>
    </row>
    <row r="786">
      <c r="A786" s="52" t="s">
        <v>77</v>
      </c>
      <c r="B786" s="28" t="s">
        <v>77</v>
      </c>
      <c r="C786" s="28" t="s">
        <v>77</v>
      </c>
      <c r="D786" s="28" t="s">
        <v>77</v>
      </c>
      <c r="E786" s="28" t="s">
        <v>77</v>
      </c>
      <c r="F786" s="28" t="s">
        <v>77</v>
      </c>
      <c r="G786" s="28" t="s">
        <v>77</v>
      </c>
      <c r="I786" s="26" t="s">
        <v>77</v>
      </c>
      <c r="J786" s="26" t="s">
        <v>77</v>
      </c>
      <c r="K786" s="18"/>
      <c r="L786" s="26" t="s">
        <v>77</v>
      </c>
      <c r="M786" s="6" t="s">
        <v>77</v>
      </c>
      <c r="N786" s="28" t="s">
        <v>77</v>
      </c>
      <c r="O786" s="26" t="s">
        <v>77</v>
      </c>
    </row>
    <row r="787">
      <c r="A787" s="52" t="s">
        <v>77</v>
      </c>
      <c r="B787" s="28" t="s">
        <v>77</v>
      </c>
      <c r="C787" s="28" t="s">
        <v>77</v>
      </c>
      <c r="D787" s="28" t="s">
        <v>77</v>
      </c>
      <c r="E787" s="28" t="s">
        <v>77</v>
      </c>
      <c r="F787" s="28" t="s">
        <v>77</v>
      </c>
      <c r="G787" s="28" t="s">
        <v>77</v>
      </c>
      <c r="I787" s="26" t="s">
        <v>77</v>
      </c>
      <c r="J787" s="26" t="s">
        <v>77</v>
      </c>
      <c r="K787" s="18"/>
      <c r="L787" s="26" t="s">
        <v>77</v>
      </c>
      <c r="M787" s="6" t="s">
        <v>77</v>
      </c>
      <c r="N787" s="28" t="s">
        <v>77</v>
      </c>
      <c r="O787" s="26" t="s">
        <v>77</v>
      </c>
    </row>
    <row r="788">
      <c r="A788" s="52" t="s">
        <v>77</v>
      </c>
      <c r="B788" s="28" t="s">
        <v>77</v>
      </c>
      <c r="C788" s="28" t="s">
        <v>77</v>
      </c>
      <c r="D788" s="28" t="s">
        <v>77</v>
      </c>
      <c r="E788" s="28" t="s">
        <v>77</v>
      </c>
      <c r="F788" s="28" t="s">
        <v>77</v>
      </c>
      <c r="G788" s="28" t="s">
        <v>77</v>
      </c>
      <c r="I788" s="26" t="s">
        <v>77</v>
      </c>
      <c r="J788" s="26" t="s">
        <v>77</v>
      </c>
      <c r="K788" s="18"/>
      <c r="L788" s="26" t="s">
        <v>77</v>
      </c>
      <c r="M788" s="6" t="s">
        <v>77</v>
      </c>
      <c r="N788" s="28" t="s">
        <v>77</v>
      </c>
      <c r="O788" s="26" t="s">
        <v>77</v>
      </c>
    </row>
    <row r="789">
      <c r="A789" s="52" t="s">
        <v>77</v>
      </c>
      <c r="B789" s="28" t="s">
        <v>77</v>
      </c>
      <c r="C789" s="28" t="s">
        <v>77</v>
      </c>
      <c r="D789" s="28" t="s">
        <v>77</v>
      </c>
      <c r="E789" s="28" t="s">
        <v>77</v>
      </c>
      <c r="F789" s="28" t="s">
        <v>77</v>
      </c>
      <c r="G789" s="28" t="s">
        <v>77</v>
      </c>
      <c r="I789" s="26" t="s">
        <v>77</v>
      </c>
      <c r="J789" s="26" t="s">
        <v>77</v>
      </c>
      <c r="K789" s="18"/>
      <c r="L789" s="26" t="s">
        <v>77</v>
      </c>
      <c r="M789" s="6" t="s">
        <v>77</v>
      </c>
      <c r="N789" s="28" t="s">
        <v>77</v>
      </c>
      <c r="O789" s="26" t="s">
        <v>77</v>
      </c>
    </row>
    <row r="790">
      <c r="A790" s="52" t="s">
        <v>77</v>
      </c>
      <c r="B790" s="28" t="s">
        <v>77</v>
      </c>
      <c r="C790" s="28" t="s">
        <v>77</v>
      </c>
      <c r="D790" s="28" t="s">
        <v>77</v>
      </c>
      <c r="E790" s="28" t="s">
        <v>77</v>
      </c>
      <c r="F790" s="28" t="s">
        <v>77</v>
      </c>
      <c r="G790" s="28" t="s">
        <v>77</v>
      </c>
      <c r="I790" s="26" t="s">
        <v>77</v>
      </c>
      <c r="J790" s="26" t="s">
        <v>77</v>
      </c>
      <c r="K790" s="18"/>
      <c r="L790" s="26" t="s">
        <v>77</v>
      </c>
      <c r="M790" s="6" t="s">
        <v>77</v>
      </c>
      <c r="N790" s="28" t="s">
        <v>77</v>
      </c>
      <c r="O790" s="26" t="s">
        <v>77</v>
      </c>
    </row>
    <row r="791">
      <c r="A791" s="52" t="s">
        <v>77</v>
      </c>
      <c r="B791" s="28" t="s">
        <v>77</v>
      </c>
      <c r="C791" s="28" t="s">
        <v>77</v>
      </c>
      <c r="D791" s="28" t="s">
        <v>77</v>
      </c>
      <c r="E791" s="28" t="s">
        <v>77</v>
      </c>
      <c r="F791" s="28" t="s">
        <v>77</v>
      </c>
      <c r="G791" s="28" t="s">
        <v>77</v>
      </c>
      <c r="I791" s="26" t="s">
        <v>77</v>
      </c>
      <c r="J791" s="26" t="s">
        <v>77</v>
      </c>
      <c r="K791" s="18"/>
      <c r="L791" s="26" t="s">
        <v>77</v>
      </c>
      <c r="M791" s="6" t="s">
        <v>77</v>
      </c>
      <c r="N791" s="28" t="s">
        <v>77</v>
      </c>
      <c r="O791" s="26" t="s">
        <v>77</v>
      </c>
    </row>
    <row r="792">
      <c r="A792" s="52" t="s">
        <v>77</v>
      </c>
      <c r="B792" s="28" t="s">
        <v>77</v>
      </c>
      <c r="C792" s="28" t="s">
        <v>77</v>
      </c>
      <c r="D792" s="28" t="s">
        <v>77</v>
      </c>
      <c r="E792" s="28" t="s">
        <v>77</v>
      </c>
      <c r="F792" s="28" t="s">
        <v>77</v>
      </c>
      <c r="G792" s="28" t="s">
        <v>77</v>
      </c>
      <c r="I792" s="26" t="s">
        <v>77</v>
      </c>
      <c r="J792" s="26" t="s">
        <v>77</v>
      </c>
      <c r="K792" s="18"/>
      <c r="L792" s="26" t="s">
        <v>77</v>
      </c>
      <c r="M792" s="6" t="s">
        <v>77</v>
      </c>
      <c r="N792" s="28" t="s">
        <v>77</v>
      </c>
      <c r="O792" s="26" t="s">
        <v>77</v>
      </c>
    </row>
    <row r="793">
      <c r="A793" s="52" t="s">
        <v>77</v>
      </c>
      <c r="B793" s="28" t="s">
        <v>77</v>
      </c>
      <c r="C793" s="28" t="s">
        <v>77</v>
      </c>
      <c r="D793" s="28" t="s">
        <v>77</v>
      </c>
      <c r="E793" s="28" t="s">
        <v>77</v>
      </c>
      <c r="F793" s="28" t="s">
        <v>77</v>
      </c>
      <c r="G793" s="28" t="s">
        <v>77</v>
      </c>
      <c r="I793" s="26" t="s">
        <v>77</v>
      </c>
      <c r="J793" s="26" t="s">
        <v>77</v>
      </c>
      <c r="K793" s="18"/>
      <c r="L793" s="26" t="s">
        <v>77</v>
      </c>
      <c r="M793" s="6" t="s">
        <v>77</v>
      </c>
      <c r="N793" s="28" t="s">
        <v>77</v>
      </c>
      <c r="O793" s="26" t="s">
        <v>77</v>
      </c>
    </row>
    <row r="794">
      <c r="A794" s="52" t="s">
        <v>77</v>
      </c>
      <c r="B794" s="28" t="s">
        <v>77</v>
      </c>
      <c r="C794" s="28" t="s">
        <v>77</v>
      </c>
      <c r="D794" s="28" t="s">
        <v>77</v>
      </c>
      <c r="E794" s="28" t="s">
        <v>77</v>
      </c>
      <c r="F794" s="28" t="s">
        <v>77</v>
      </c>
      <c r="G794" s="28" t="s">
        <v>77</v>
      </c>
      <c r="I794" s="26" t="s">
        <v>77</v>
      </c>
      <c r="J794" s="26" t="s">
        <v>77</v>
      </c>
      <c r="K794" s="18"/>
      <c r="L794" s="26" t="s">
        <v>77</v>
      </c>
      <c r="M794" s="6" t="s">
        <v>77</v>
      </c>
      <c r="N794" s="28" t="s">
        <v>77</v>
      </c>
      <c r="O794" s="26" t="s">
        <v>77</v>
      </c>
    </row>
    <row r="795">
      <c r="A795" s="52" t="s">
        <v>77</v>
      </c>
      <c r="B795" s="28" t="s">
        <v>77</v>
      </c>
      <c r="C795" s="28" t="s">
        <v>77</v>
      </c>
      <c r="D795" s="28" t="s">
        <v>77</v>
      </c>
      <c r="E795" s="28" t="s">
        <v>77</v>
      </c>
      <c r="F795" s="28" t="s">
        <v>77</v>
      </c>
      <c r="G795" s="28" t="s">
        <v>77</v>
      </c>
      <c r="I795" s="26" t="s">
        <v>77</v>
      </c>
      <c r="J795" s="26" t="s">
        <v>77</v>
      </c>
      <c r="K795" s="18"/>
      <c r="L795" s="26" t="s">
        <v>77</v>
      </c>
      <c r="M795" s="6" t="s">
        <v>77</v>
      </c>
      <c r="N795" s="28" t="s">
        <v>77</v>
      </c>
      <c r="O795" s="26" t="s">
        <v>77</v>
      </c>
    </row>
    <row r="796">
      <c r="A796" s="52" t="s">
        <v>77</v>
      </c>
      <c r="B796" s="28" t="s">
        <v>77</v>
      </c>
      <c r="C796" s="28" t="s">
        <v>77</v>
      </c>
      <c r="D796" s="28" t="s">
        <v>77</v>
      </c>
      <c r="E796" s="28" t="s">
        <v>77</v>
      </c>
      <c r="F796" s="28" t="s">
        <v>77</v>
      </c>
      <c r="G796" s="28" t="s">
        <v>77</v>
      </c>
      <c r="I796" s="26" t="s">
        <v>77</v>
      </c>
      <c r="J796" s="26" t="s">
        <v>77</v>
      </c>
      <c r="K796" s="18"/>
      <c r="L796" s="26" t="s">
        <v>77</v>
      </c>
      <c r="M796" s="6" t="s">
        <v>77</v>
      </c>
      <c r="N796" s="28" t="s">
        <v>77</v>
      </c>
      <c r="O796" s="26" t="s">
        <v>77</v>
      </c>
    </row>
    <row r="797">
      <c r="A797" s="52" t="s">
        <v>77</v>
      </c>
      <c r="B797" s="28" t="s">
        <v>77</v>
      </c>
      <c r="C797" s="28" t="s">
        <v>77</v>
      </c>
      <c r="D797" s="28" t="s">
        <v>77</v>
      </c>
      <c r="E797" s="28" t="s">
        <v>77</v>
      </c>
      <c r="F797" s="28" t="s">
        <v>77</v>
      </c>
      <c r="G797" s="28" t="s">
        <v>77</v>
      </c>
      <c r="I797" s="26" t="s">
        <v>77</v>
      </c>
      <c r="J797" s="26" t="s">
        <v>77</v>
      </c>
      <c r="K797" s="18"/>
      <c r="L797" s="26" t="s">
        <v>77</v>
      </c>
      <c r="M797" s="6" t="s">
        <v>77</v>
      </c>
      <c r="N797" s="28" t="s">
        <v>77</v>
      </c>
      <c r="O797" s="26" t="s">
        <v>77</v>
      </c>
    </row>
    <row r="798">
      <c r="A798" s="52" t="s">
        <v>77</v>
      </c>
      <c r="B798" s="28" t="s">
        <v>77</v>
      </c>
      <c r="C798" s="28" t="s">
        <v>77</v>
      </c>
      <c r="D798" s="28" t="s">
        <v>77</v>
      </c>
      <c r="E798" s="28" t="s">
        <v>77</v>
      </c>
      <c r="F798" s="28" t="s">
        <v>77</v>
      </c>
      <c r="G798" s="28" t="s">
        <v>77</v>
      </c>
      <c r="I798" s="26" t="s">
        <v>77</v>
      </c>
      <c r="J798" s="26" t="s">
        <v>77</v>
      </c>
      <c r="K798" s="18"/>
      <c r="L798" s="26" t="s">
        <v>77</v>
      </c>
      <c r="M798" s="6" t="s">
        <v>77</v>
      </c>
      <c r="N798" s="28" t="s">
        <v>77</v>
      </c>
      <c r="O798" s="26" t="s">
        <v>77</v>
      </c>
    </row>
    <row r="799">
      <c r="A799" s="52" t="s">
        <v>77</v>
      </c>
      <c r="B799" s="28" t="s">
        <v>77</v>
      </c>
      <c r="C799" s="28" t="s">
        <v>77</v>
      </c>
      <c r="D799" s="28" t="s">
        <v>77</v>
      </c>
      <c r="E799" s="28" t="s">
        <v>77</v>
      </c>
      <c r="F799" s="28" t="s">
        <v>77</v>
      </c>
      <c r="G799" s="28" t="s">
        <v>77</v>
      </c>
      <c r="I799" s="26" t="s">
        <v>77</v>
      </c>
      <c r="J799" s="26" t="s">
        <v>77</v>
      </c>
      <c r="K799" s="18"/>
      <c r="L799" s="26" t="s">
        <v>77</v>
      </c>
      <c r="M799" s="6" t="s">
        <v>77</v>
      </c>
      <c r="N799" s="28" t="s">
        <v>77</v>
      </c>
      <c r="O799" s="26" t="s">
        <v>77</v>
      </c>
    </row>
    <row r="800">
      <c r="A800" s="52" t="s">
        <v>77</v>
      </c>
      <c r="B800" s="28" t="s">
        <v>77</v>
      </c>
      <c r="C800" s="28" t="s">
        <v>77</v>
      </c>
      <c r="D800" s="28" t="s">
        <v>77</v>
      </c>
      <c r="E800" s="28" t="s">
        <v>77</v>
      </c>
      <c r="F800" s="28" t="s">
        <v>77</v>
      </c>
      <c r="G800" s="28" t="s">
        <v>77</v>
      </c>
      <c r="I800" s="26" t="s">
        <v>77</v>
      </c>
      <c r="J800" s="26" t="s">
        <v>77</v>
      </c>
      <c r="K800" s="18"/>
      <c r="L800" s="26" t="s">
        <v>77</v>
      </c>
      <c r="M800" s="6" t="s">
        <v>77</v>
      </c>
      <c r="N800" s="28" t="s">
        <v>77</v>
      </c>
      <c r="O800" s="26" t="s">
        <v>77</v>
      </c>
    </row>
    <row r="801">
      <c r="A801" s="52" t="s">
        <v>77</v>
      </c>
      <c r="B801" s="28" t="s">
        <v>77</v>
      </c>
      <c r="C801" s="28" t="s">
        <v>77</v>
      </c>
      <c r="D801" s="28" t="s">
        <v>77</v>
      </c>
      <c r="E801" s="28" t="s">
        <v>77</v>
      </c>
      <c r="F801" s="28" t="s">
        <v>77</v>
      </c>
      <c r="G801" s="28" t="s">
        <v>77</v>
      </c>
      <c r="I801" s="26" t="s">
        <v>77</v>
      </c>
      <c r="J801" s="26" t="s">
        <v>77</v>
      </c>
      <c r="K801" s="18"/>
      <c r="L801" s="26" t="s">
        <v>77</v>
      </c>
      <c r="M801" s="6" t="s">
        <v>77</v>
      </c>
      <c r="N801" s="28" t="s">
        <v>77</v>
      </c>
      <c r="O801" s="26" t="s">
        <v>77</v>
      </c>
    </row>
    <row r="802">
      <c r="A802" s="52" t="s">
        <v>77</v>
      </c>
      <c r="B802" s="28" t="s">
        <v>77</v>
      </c>
      <c r="C802" s="28" t="s">
        <v>77</v>
      </c>
      <c r="D802" s="28" t="s">
        <v>77</v>
      </c>
      <c r="E802" s="28" t="s">
        <v>77</v>
      </c>
      <c r="F802" s="28" t="s">
        <v>77</v>
      </c>
      <c r="G802" s="28" t="s">
        <v>77</v>
      </c>
      <c r="I802" s="26" t="s">
        <v>77</v>
      </c>
      <c r="J802" s="26" t="s">
        <v>77</v>
      </c>
      <c r="K802" s="18"/>
      <c r="L802" s="26" t="s">
        <v>77</v>
      </c>
      <c r="M802" s="6" t="s">
        <v>77</v>
      </c>
      <c r="N802" s="28" t="s">
        <v>77</v>
      </c>
      <c r="O802" s="26" t="s">
        <v>77</v>
      </c>
    </row>
    <row r="803">
      <c r="A803" s="52" t="s">
        <v>77</v>
      </c>
      <c r="B803" s="28" t="s">
        <v>77</v>
      </c>
      <c r="C803" s="28" t="s">
        <v>77</v>
      </c>
      <c r="D803" s="28" t="s">
        <v>77</v>
      </c>
      <c r="E803" s="28" t="s">
        <v>77</v>
      </c>
      <c r="F803" s="28" t="s">
        <v>77</v>
      </c>
      <c r="G803" s="28" t="s">
        <v>77</v>
      </c>
      <c r="I803" s="26" t="s">
        <v>77</v>
      </c>
      <c r="J803" s="26" t="s">
        <v>77</v>
      </c>
      <c r="K803" s="18"/>
      <c r="L803" s="26" t="s">
        <v>77</v>
      </c>
      <c r="M803" s="6" t="s">
        <v>77</v>
      </c>
      <c r="N803" s="28" t="s">
        <v>77</v>
      </c>
      <c r="O803" s="26" t="s">
        <v>77</v>
      </c>
    </row>
    <row r="804">
      <c r="A804" s="52" t="s">
        <v>77</v>
      </c>
      <c r="B804" s="28" t="s">
        <v>77</v>
      </c>
      <c r="C804" s="28" t="s">
        <v>77</v>
      </c>
      <c r="D804" s="28" t="s">
        <v>77</v>
      </c>
      <c r="E804" s="28" t="s">
        <v>77</v>
      </c>
      <c r="F804" s="28" t="s">
        <v>77</v>
      </c>
      <c r="G804" s="28" t="s">
        <v>77</v>
      </c>
      <c r="I804" s="26" t="s">
        <v>77</v>
      </c>
      <c r="J804" s="26" t="s">
        <v>77</v>
      </c>
      <c r="K804" s="18"/>
      <c r="L804" s="26" t="s">
        <v>77</v>
      </c>
      <c r="M804" s="6" t="s">
        <v>77</v>
      </c>
      <c r="N804" s="28" t="s">
        <v>77</v>
      </c>
      <c r="O804" s="26" t="s">
        <v>77</v>
      </c>
    </row>
    <row r="805">
      <c r="A805" s="52" t="s">
        <v>77</v>
      </c>
      <c r="B805" s="28" t="s">
        <v>77</v>
      </c>
      <c r="C805" s="28" t="s">
        <v>77</v>
      </c>
      <c r="D805" s="28" t="s">
        <v>77</v>
      </c>
      <c r="E805" s="28" t="s">
        <v>77</v>
      </c>
      <c r="F805" s="28" t="s">
        <v>77</v>
      </c>
      <c r="G805" s="28" t="s">
        <v>77</v>
      </c>
      <c r="I805" s="26" t="s">
        <v>77</v>
      </c>
      <c r="J805" s="26" t="s">
        <v>77</v>
      </c>
      <c r="K805" s="18"/>
      <c r="L805" s="26" t="s">
        <v>77</v>
      </c>
      <c r="M805" s="6" t="s">
        <v>77</v>
      </c>
      <c r="N805" s="28" t="s">
        <v>77</v>
      </c>
      <c r="O805" s="26" t="s">
        <v>77</v>
      </c>
    </row>
    <row r="806">
      <c r="A806" s="52" t="s">
        <v>77</v>
      </c>
      <c r="B806" s="28" t="s">
        <v>77</v>
      </c>
      <c r="C806" s="28" t="s">
        <v>77</v>
      </c>
      <c r="D806" s="28" t="s">
        <v>77</v>
      </c>
      <c r="E806" s="28" t="s">
        <v>77</v>
      </c>
      <c r="F806" s="28" t="s">
        <v>77</v>
      </c>
      <c r="G806" s="28" t="s">
        <v>77</v>
      </c>
      <c r="I806" s="26" t="s">
        <v>77</v>
      </c>
      <c r="J806" s="26" t="s">
        <v>77</v>
      </c>
      <c r="K806" s="18"/>
      <c r="L806" s="26" t="s">
        <v>77</v>
      </c>
      <c r="M806" s="6" t="s">
        <v>77</v>
      </c>
      <c r="N806" s="28" t="s">
        <v>77</v>
      </c>
      <c r="O806" s="26" t="s">
        <v>77</v>
      </c>
    </row>
    <row r="807">
      <c r="A807" s="52" t="s">
        <v>77</v>
      </c>
      <c r="B807" s="28" t="s">
        <v>77</v>
      </c>
      <c r="C807" s="28" t="s">
        <v>77</v>
      </c>
      <c r="D807" s="28" t="s">
        <v>77</v>
      </c>
      <c r="E807" s="28" t="s">
        <v>77</v>
      </c>
      <c r="F807" s="28" t="s">
        <v>77</v>
      </c>
      <c r="G807" s="28" t="s">
        <v>77</v>
      </c>
      <c r="I807" s="26" t="s">
        <v>77</v>
      </c>
      <c r="J807" s="26" t="s">
        <v>77</v>
      </c>
      <c r="K807" s="18"/>
      <c r="L807" s="26" t="s">
        <v>77</v>
      </c>
      <c r="M807" s="6" t="s">
        <v>77</v>
      </c>
      <c r="N807" s="28" t="s">
        <v>77</v>
      </c>
      <c r="O807" s="26" t="s">
        <v>77</v>
      </c>
    </row>
    <row r="808">
      <c r="A808" s="52" t="s">
        <v>77</v>
      </c>
      <c r="B808" s="28" t="s">
        <v>77</v>
      </c>
      <c r="C808" s="28" t="s">
        <v>77</v>
      </c>
      <c r="D808" s="28" t="s">
        <v>77</v>
      </c>
      <c r="E808" s="28" t="s">
        <v>77</v>
      </c>
      <c r="F808" s="28" t="s">
        <v>77</v>
      </c>
      <c r="G808" s="28" t="s">
        <v>77</v>
      </c>
      <c r="I808" s="26" t="s">
        <v>77</v>
      </c>
      <c r="J808" s="26" t="s">
        <v>77</v>
      </c>
      <c r="K808" s="18"/>
      <c r="L808" s="26" t="s">
        <v>77</v>
      </c>
      <c r="M808" s="6" t="s">
        <v>77</v>
      </c>
      <c r="N808" s="28" t="s">
        <v>77</v>
      </c>
      <c r="O808" s="26" t="s">
        <v>77</v>
      </c>
    </row>
    <row r="809">
      <c r="A809" s="52" t="s">
        <v>77</v>
      </c>
      <c r="B809" s="28" t="s">
        <v>77</v>
      </c>
      <c r="C809" s="28" t="s">
        <v>77</v>
      </c>
      <c r="D809" s="28" t="s">
        <v>77</v>
      </c>
      <c r="E809" s="28" t="s">
        <v>77</v>
      </c>
      <c r="F809" s="28" t="s">
        <v>77</v>
      </c>
      <c r="G809" s="28" t="s">
        <v>77</v>
      </c>
      <c r="I809" s="26" t="s">
        <v>77</v>
      </c>
      <c r="J809" s="26" t="s">
        <v>77</v>
      </c>
      <c r="K809" s="18"/>
      <c r="L809" s="26" t="s">
        <v>77</v>
      </c>
      <c r="M809" s="6" t="s">
        <v>77</v>
      </c>
      <c r="N809" s="28" t="s">
        <v>77</v>
      </c>
      <c r="O809" s="26" t="s">
        <v>77</v>
      </c>
    </row>
    <row r="810">
      <c r="A810" s="52" t="s">
        <v>77</v>
      </c>
      <c r="B810" s="28" t="s">
        <v>77</v>
      </c>
      <c r="C810" s="28" t="s">
        <v>77</v>
      </c>
      <c r="D810" s="28" t="s">
        <v>77</v>
      </c>
      <c r="E810" s="28" t="s">
        <v>77</v>
      </c>
      <c r="F810" s="28" t="s">
        <v>77</v>
      </c>
      <c r="G810" s="28" t="s">
        <v>77</v>
      </c>
      <c r="I810" s="26" t="s">
        <v>77</v>
      </c>
      <c r="J810" s="26" t="s">
        <v>77</v>
      </c>
      <c r="K810" s="18"/>
      <c r="L810" s="26" t="s">
        <v>77</v>
      </c>
      <c r="M810" s="6" t="s">
        <v>77</v>
      </c>
      <c r="N810" s="28" t="s">
        <v>77</v>
      </c>
      <c r="O810" s="26" t="s">
        <v>77</v>
      </c>
    </row>
    <row r="811">
      <c r="A811" s="52" t="s">
        <v>77</v>
      </c>
      <c r="B811" s="28" t="s">
        <v>77</v>
      </c>
      <c r="C811" s="28" t="s">
        <v>77</v>
      </c>
      <c r="D811" s="28" t="s">
        <v>77</v>
      </c>
      <c r="E811" s="28" t="s">
        <v>77</v>
      </c>
      <c r="F811" s="28" t="s">
        <v>77</v>
      </c>
      <c r="G811" s="28" t="s">
        <v>77</v>
      </c>
      <c r="I811" s="26" t="s">
        <v>77</v>
      </c>
      <c r="J811" s="26" t="s">
        <v>77</v>
      </c>
      <c r="K811" s="18"/>
      <c r="L811" s="26" t="s">
        <v>77</v>
      </c>
      <c r="M811" s="6" t="s">
        <v>77</v>
      </c>
      <c r="N811" s="28" t="s">
        <v>77</v>
      </c>
      <c r="O811" s="26" t="s">
        <v>77</v>
      </c>
    </row>
    <row r="812">
      <c r="A812" s="52" t="s">
        <v>77</v>
      </c>
      <c r="B812" s="28" t="s">
        <v>77</v>
      </c>
      <c r="C812" s="28" t="s">
        <v>77</v>
      </c>
      <c r="D812" s="28" t="s">
        <v>77</v>
      </c>
      <c r="E812" s="28" t="s">
        <v>77</v>
      </c>
      <c r="F812" s="28" t="s">
        <v>77</v>
      </c>
      <c r="G812" s="28" t="s">
        <v>77</v>
      </c>
      <c r="I812" s="26" t="s">
        <v>77</v>
      </c>
      <c r="J812" s="26" t="s">
        <v>77</v>
      </c>
      <c r="K812" s="18"/>
      <c r="L812" s="26" t="s">
        <v>77</v>
      </c>
      <c r="M812" s="6" t="s">
        <v>77</v>
      </c>
      <c r="N812" s="28" t="s">
        <v>77</v>
      </c>
      <c r="O812" s="26" t="s">
        <v>77</v>
      </c>
    </row>
    <row r="813">
      <c r="A813" s="52" t="s">
        <v>77</v>
      </c>
      <c r="B813" s="28" t="s">
        <v>77</v>
      </c>
      <c r="C813" s="28" t="s">
        <v>77</v>
      </c>
      <c r="D813" s="28" t="s">
        <v>77</v>
      </c>
      <c r="E813" s="28" t="s">
        <v>77</v>
      </c>
      <c r="F813" s="28" t="s">
        <v>77</v>
      </c>
      <c r="G813" s="28" t="s">
        <v>77</v>
      </c>
      <c r="I813" s="26" t="s">
        <v>77</v>
      </c>
      <c r="J813" s="26" t="s">
        <v>77</v>
      </c>
      <c r="K813" s="18"/>
      <c r="L813" s="26" t="s">
        <v>77</v>
      </c>
      <c r="M813" s="6" t="s">
        <v>77</v>
      </c>
      <c r="N813" s="28" t="s">
        <v>77</v>
      </c>
      <c r="O813" s="26" t="s">
        <v>77</v>
      </c>
    </row>
    <row r="814">
      <c r="A814" s="52" t="s">
        <v>77</v>
      </c>
      <c r="B814" s="28" t="s">
        <v>77</v>
      </c>
      <c r="C814" s="28" t="s">
        <v>77</v>
      </c>
      <c r="D814" s="28" t="s">
        <v>77</v>
      </c>
      <c r="E814" s="28" t="s">
        <v>77</v>
      </c>
      <c r="F814" s="28" t="s">
        <v>77</v>
      </c>
      <c r="G814" s="28" t="s">
        <v>77</v>
      </c>
      <c r="I814" s="26" t="s">
        <v>77</v>
      </c>
      <c r="J814" s="26" t="s">
        <v>77</v>
      </c>
      <c r="K814" s="18"/>
      <c r="L814" s="26" t="s">
        <v>77</v>
      </c>
      <c r="M814" s="6" t="s">
        <v>77</v>
      </c>
      <c r="N814" s="28" t="s">
        <v>77</v>
      </c>
      <c r="O814" s="26" t="s">
        <v>77</v>
      </c>
    </row>
    <row r="815">
      <c r="A815" s="52" t="s">
        <v>77</v>
      </c>
      <c r="B815" s="28" t="s">
        <v>77</v>
      </c>
      <c r="C815" s="28" t="s">
        <v>77</v>
      </c>
      <c r="D815" s="28" t="s">
        <v>77</v>
      </c>
      <c r="E815" s="28" t="s">
        <v>77</v>
      </c>
      <c r="F815" s="28" t="s">
        <v>77</v>
      </c>
      <c r="G815" s="28" t="s">
        <v>77</v>
      </c>
      <c r="I815" s="26" t="s">
        <v>77</v>
      </c>
      <c r="J815" s="26" t="s">
        <v>77</v>
      </c>
      <c r="K815" s="18"/>
      <c r="L815" s="26" t="s">
        <v>77</v>
      </c>
      <c r="M815" s="6" t="s">
        <v>77</v>
      </c>
      <c r="N815" s="28" t="s">
        <v>77</v>
      </c>
      <c r="O815" s="26" t="s">
        <v>77</v>
      </c>
    </row>
    <row r="816">
      <c r="A816" s="52" t="s">
        <v>77</v>
      </c>
      <c r="B816" s="28" t="s">
        <v>77</v>
      </c>
      <c r="C816" s="28" t="s">
        <v>77</v>
      </c>
      <c r="D816" s="28" t="s">
        <v>77</v>
      </c>
      <c r="E816" s="28" t="s">
        <v>77</v>
      </c>
      <c r="F816" s="28" t="s">
        <v>77</v>
      </c>
      <c r="G816" s="28" t="s">
        <v>77</v>
      </c>
      <c r="I816" s="26" t="s">
        <v>77</v>
      </c>
      <c r="J816" s="26" t="s">
        <v>77</v>
      </c>
      <c r="K816" s="18"/>
      <c r="L816" s="26" t="s">
        <v>77</v>
      </c>
      <c r="M816" s="6" t="s">
        <v>77</v>
      </c>
      <c r="N816" s="28" t="s">
        <v>77</v>
      </c>
      <c r="O816" s="26" t="s">
        <v>77</v>
      </c>
    </row>
    <row r="817">
      <c r="A817" s="52" t="s">
        <v>77</v>
      </c>
      <c r="B817" s="28" t="s">
        <v>77</v>
      </c>
      <c r="C817" s="28" t="s">
        <v>77</v>
      </c>
      <c r="D817" s="28" t="s">
        <v>77</v>
      </c>
      <c r="E817" s="28" t="s">
        <v>77</v>
      </c>
      <c r="F817" s="28" t="s">
        <v>77</v>
      </c>
      <c r="G817" s="28" t="s">
        <v>77</v>
      </c>
      <c r="I817" s="26" t="s">
        <v>77</v>
      </c>
      <c r="J817" s="26" t="s">
        <v>77</v>
      </c>
      <c r="K817" s="18"/>
      <c r="L817" s="26" t="s">
        <v>77</v>
      </c>
      <c r="M817" s="6" t="s">
        <v>77</v>
      </c>
      <c r="N817" s="28" t="s">
        <v>77</v>
      </c>
      <c r="O817" s="26" t="s">
        <v>77</v>
      </c>
    </row>
    <row r="818">
      <c r="A818" s="52" t="s">
        <v>77</v>
      </c>
      <c r="B818" s="28" t="s">
        <v>77</v>
      </c>
      <c r="C818" s="28" t="s">
        <v>77</v>
      </c>
      <c r="D818" s="28" t="s">
        <v>77</v>
      </c>
      <c r="E818" s="28" t="s">
        <v>77</v>
      </c>
      <c r="F818" s="28" t="s">
        <v>77</v>
      </c>
      <c r="G818" s="28" t="s">
        <v>77</v>
      </c>
      <c r="I818" s="26" t="s">
        <v>77</v>
      </c>
      <c r="J818" s="26" t="s">
        <v>77</v>
      </c>
      <c r="K818" s="18"/>
      <c r="L818" s="26" t="s">
        <v>77</v>
      </c>
      <c r="M818" s="6" t="s">
        <v>77</v>
      </c>
      <c r="N818" s="28" t="s">
        <v>77</v>
      </c>
      <c r="O818" s="26" t="s">
        <v>77</v>
      </c>
    </row>
    <row r="819">
      <c r="A819" s="52" t="s">
        <v>77</v>
      </c>
      <c r="B819" s="28" t="s">
        <v>77</v>
      </c>
      <c r="C819" s="28" t="s">
        <v>77</v>
      </c>
      <c r="D819" s="28" t="s">
        <v>77</v>
      </c>
      <c r="E819" s="28" t="s">
        <v>77</v>
      </c>
      <c r="F819" s="28" t="s">
        <v>77</v>
      </c>
      <c r="G819" s="28" t="s">
        <v>77</v>
      </c>
      <c r="I819" s="26" t="s">
        <v>77</v>
      </c>
      <c r="J819" s="26" t="s">
        <v>77</v>
      </c>
      <c r="K819" s="18"/>
      <c r="L819" s="26" t="s">
        <v>77</v>
      </c>
      <c r="M819" s="6" t="s">
        <v>77</v>
      </c>
      <c r="N819" s="28" t="s">
        <v>77</v>
      </c>
      <c r="O819" s="26" t="s">
        <v>77</v>
      </c>
    </row>
    <row r="820">
      <c r="A820" s="52" t="s">
        <v>77</v>
      </c>
      <c r="B820" s="28" t="s">
        <v>77</v>
      </c>
      <c r="C820" s="28" t="s">
        <v>77</v>
      </c>
      <c r="D820" s="28" t="s">
        <v>77</v>
      </c>
      <c r="E820" s="28" t="s">
        <v>77</v>
      </c>
      <c r="F820" s="28" t="s">
        <v>77</v>
      </c>
      <c r="G820" s="28" t="s">
        <v>77</v>
      </c>
      <c r="I820" s="26" t="s">
        <v>77</v>
      </c>
      <c r="J820" s="26" t="s">
        <v>77</v>
      </c>
      <c r="K820" s="18"/>
      <c r="L820" s="26" t="s">
        <v>77</v>
      </c>
      <c r="M820" s="6" t="s">
        <v>77</v>
      </c>
      <c r="N820" s="28" t="s">
        <v>77</v>
      </c>
      <c r="O820" s="26" t="s">
        <v>77</v>
      </c>
    </row>
    <row r="821">
      <c r="A821" s="52" t="s">
        <v>77</v>
      </c>
      <c r="B821" s="28" t="s">
        <v>77</v>
      </c>
      <c r="C821" s="28" t="s">
        <v>77</v>
      </c>
      <c r="D821" s="28" t="s">
        <v>77</v>
      </c>
      <c r="E821" s="28" t="s">
        <v>77</v>
      </c>
      <c r="F821" s="28" t="s">
        <v>77</v>
      </c>
      <c r="G821" s="28" t="s">
        <v>77</v>
      </c>
      <c r="I821" s="26" t="s">
        <v>77</v>
      </c>
      <c r="J821" s="26" t="s">
        <v>77</v>
      </c>
      <c r="K821" s="18"/>
      <c r="L821" s="26" t="s">
        <v>77</v>
      </c>
      <c r="M821" s="6" t="s">
        <v>77</v>
      </c>
      <c r="N821" s="28" t="s">
        <v>77</v>
      </c>
      <c r="O821" s="26" t="s">
        <v>77</v>
      </c>
    </row>
    <row r="822">
      <c r="A822" s="52" t="s">
        <v>77</v>
      </c>
      <c r="B822" s="28" t="s">
        <v>77</v>
      </c>
      <c r="C822" s="28" t="s">
        <v>77</v>
      </c>
      <c r="D822" s="28" t="s">
        <v>77</v>
      </c>
      <c r="E822" s="28" t="s">
        <v>77</v>
      </c>
      <c r="F822" s="28" t="s">
        <v>77</v>
      </c>
      <c r="G822" s="28" t="s">
        <v>77</v>
      </c>
      <c r="I822" s="26" t="s">
        <v>77</v>
      </c>
      <c r="J822" s="26" t="s">
        <v>77</v>
      </c>
      <c r="K822" s="18"/>
      <c r="L822" s="26" t="s">
        <v>77</v>
      </c>
      <c r="M822" s="6" t="s">
        <v>77</v>
      </c>
      <c r="N822" s="28" t="s">
        <v>77</v>
      </c>
      <c r="O822" s="26" t="s">
        <v>77</v>
      </c>
    </row>
    <row r="823">
      <c r="A823" s="52" t="s">
        <v>77</v>
      </c>
      <c r="B823" s="28" t="s">
        <v>77</v>
      </c>
      <c r="C823" s="28" t="s">
        <v>77</v>
      </c>
      <c r="D823" s="28" t="s">
        <v>77</v>
      </c>
      <c r="E823" s="28" t="s">
        <v>77</v>
      </c>
      <c r="F823" s="28" t="s">
        <v>77</v>
      </c>
      <c r="G823" s="28" t="s">
        <v>77</v>
      </c>
      <c r="I823" s="26" t="s">
        <v>77</v>
      </c>
      <c r="J823" s="26" t="s">
        <v>77</v>
      </c>
      <c r="K823" s="18"/>
      <c r="L823" s="26" t="s">
        <v>77</v>
      </c>
      <c r="M823" s="6" t="s">
        <v>77</v>
      </c>
      <c r="N823" s="28" t="s">
        <v>77</v>
      </c>
      <c r="O823" s="26" t="s">
        <v>77</v>
      </c>
    </row>
    <row r="824">
      <c r="A824" s="52" t="s">
        <v>77</v>
      </c>
      <c r="B824" s="28" t="s">
        <v>77</v>
      </c>
      <c r="C824" s="28" t="s">
        <v>77</v>
      </c>
      <c r="D824" s="28" t="s">
        <v>77</v>
      </c>
      <c r="E824" s="28" t="s">
        <v>77</v>
      </c>
      <c r="F824" s="28" t="s">
        <v>77</v>
      </c>
      <c r="G824" s="28" t="s">
        <v>77</v>
      </c>
      <c r="I824" s="26" t="s">
        <v>77</v>
      </c>
      <c r="J824" s="26" t="s">
        <v>77</v>
      </c>
      <c r="K824" s="18"/>
      <c r="L824" s="26" t="s">
        <v>77</v>
      </c>
      <c r="M824" s="6" t="s">
        <v>77</v>
      </c>
      <c r="N824" s="28" t="s">
        <v>77</v>
      </c>
      <c r="O824" s="26" t="s">
        <v>77</v>
      </c>
    </row>
    <row r="825">
      <c r="A825" s="52" t="s">
        <v>77</v>
      </c>
      <c r="B825" s="28" t="s">
        <v>77</v>
      </c>
      <c r="C825" s="28" t="s">
        <v>77</v>
      </c>
      <c r="D825" s="28" t="s">
        <v>77</v>
      </c>
      <c r="E825" s="28" t="s">
        <v>77</v>
      </c>
      <c r="F825" s="28" t="s">
        <v>77</v>
      </c>
      <c r="G825" s="28" t="s">
        <v>77</v>
      </c>
      <c r="I825" s="26" t="s">
        <v>77</v>
      </c>
      <c r="J825" s="26" t="s">
        <v>77</v>
      </c>
      <c r="K825" s="18"/>
      <c r="L825" s="26" t="s">
        <v>77</v>
      </c>
      <c r="M825" s="6" t="s">
        <v>77</v>
      </c>
      <c r="N825" s="28" t="s">
        <v>77</v>
      </c>
      <c r="O825" s="26" t="s">
        <v>77</v>
      </c>
    </row>
    <row r="826">
      <c r="A826" s="52" t="s">
        <v>77</v>
      </c>
      <c r="B826" s="28" t="s">
        <v>77</v>
      </c>
      <c r="C826" s="28" t="s">
        <v>77</v>
      </c>
      <c r="D826" s="28" t="s">
        <v>77</v>
      </c>
      <c r="E826" s="28" t="s">
        <v>77</v>
      </c>
      <c r="F826" s="28" t="s">
        <v>77</v>
      </c>
      <c r="G826" s="28" t="s">
        <v>77</v>
      </c>
      <c r="I826" s="26" t="s">
        <v>77</v>
      </c>
      <c r="J826" s="26" t="s">
        <v>77</v>
      </c>
      <c r="K826" s="18"/>
      <c r="L826" s="26" t="s">
        <v>77</v>
      </c>
      <c r="M826" s="6" t="s">
        <v>77</v>
      </c>
      <c r="N826" s="28" t="s">
        <v>77</v>
      </c>
      <c r="O826" s="26" t="s">
        <v>77</v>
      </c>
    </row>
    <row r="827">
      <c r="A827" s="52" t="s">
        <v>77</v>
      </c>
      <c r="B827" s="28" t="s">
        <v>77</v>
      </c>
      <c r="C827" s="28" t="s">
        <v>77</v>
      </c>
      <c r="D827" s="28" t="s">
        <v>77</v>
      </c>
      <c r="E827" s="28" t="s">
        <v>77</v>
      </c>
      <c r="F827" s="28" t="s">
        <v>77</v>
      </c>
      <c r="G827" s="28" t="s">
        <v>77</v>
      </c>
      <c r="I827" s="26" t="s">
        <v>77</v>
      </c>
      <c r="J827" s="26" t="s">
        <v>77</v>
      </c>
      <c r="K827" s="18"/>
      <c r="L827" s="26" t="s">
        <v>77</v>
      </c>
      <c r="M827" s="6" t="s">
        <v>77</v>
      </c>
      <c r="N827" s="28" t="s">
        <v>77</v>
      </c>
      <c r="O827" s="26" t="s">
        <v>77</v>
      </c>
    </row>
    <row r="828">
      <c r="A828" s="52" t="s">
        <v>77</v>
      </c>
      <c r="B828" s="28" t="s">
        <v>77</v>
      </c>
      <c r="C828" s="28" t="s">
        <v>77</v>
      </c>
      <c r="D828" s="28" t="s">
        <v>77</v>
      </c>
      <c r="E828" s="28" t="s">
        <v>77</v>
      </c>
      <c r="F828" s="28" t="s">
        <v>77</v>
      </c>
      <c r="G828" s="28" t="s">
        <v>77</v>
      </c>
      <c r="I828" s="26" t="s">
        <v>77</v>
      </c>
      <c r="J828" s="26" t="s">
        <v>77</v>
      </c>
      <c r="K828" s="18"/>
      <c r="L828" s="26" t="s">
        <v>77</v>
      </c>
      <c r="M828" s="6" t="s">
        <v>77</v>
      </c>
      <c r="N828" s="28" t="s">
        <v>77</v>
      </c>
      <c r="O828" s="26" t="s">
        <v>77</v>
      </c>
    </row>
    <row r="829">
      <c r="A829" s="52" t="s">
        <v>77</v>
      </c>
      <c r="B829" s="28" t="s">
        <v>77</v>
      </c>
      <c r="C829" s="28" t="s">
        <v>77</v>
      </c>
      <c r="D829" s="28" t="s">
        <v>77</v>
      </c>
      <c r="E829" s="28" t="s">
        <v>77</v>
      </c>
      <c r="F829" s="28" t="s">
        <v>77</v>
      </c>
      <c r="G829" s="28" t="s">
        <v>77</v>
      </c>
      <c r="I829" s="26" t="s">
        <v>77</v>
      </c>
      <c r="J829" s="26" t="s">
        <v>77</v>
      </c>
      <c r="K829" s="18"/>
      <c r="L829" s="26" t="s">
        <v>77</v>
      </c>
      <c r="M829" s="6" t="s">
        <v>77</v>
      </c>
      <c r="N829" s="28" t="s">
        <v>77</v>
      </c>
      <c r="O829" s="26" t="s">
        <v>77</v>
      </c>
    </row>
    <row r="830">
      <c r="A830" s="52" t="s">
        <v>77</v>
      </c>
      <c r="B830" s="28" t="s">
        <v>77</v>
      </c>
      <c r="C830" s="28" t="s">
        <v>77</v>
      </c>
      <c r="D830" s="28" t="s">
        <v>77</v>
      </c>
      <c r="E830" s="28" t="s">
        <v>77</v>
      </c>
      <c r="F830" s="28" t="s">
        <v>77</v>
      </c>
      <c r="G830" s="28" t="s">
        <v>77</v>
      </c>
      <c r="I830" s="26" t="s">
        <v>77</v>
      </c>
      <c r="J830" s="26" t="s">
        <v>77</v>
      </c>
      <c r="K830" s="18"/>
      <c r="L830" s="26" t="s">
        <v>77</v>
      </c>
      <c r="M830" s="6" t="s">
        <v>77</v>
      </c>
      <c r="N830" s="28" t="s">
        <v>77</v>
      </c>
      <c r="O830" s="26" t="s">
        <v>77</v>
      </c>
    </row>
    <row r="831">
      <c r="A831" s="52" t="s">
        <v>77</v>
      </c>
      <c r="B831" s="28" t="s">
        <v>77</v>
      </c>
      <c r="C831" s="28" t="s">
        <v>77</v>
      </c>
      <c r="D831" s="28" t="s">
        <v>77</v>
      </c>
      <c r="E831" s="28" t="s">
        <v>77</v>
      </c>
      <c r="F831" s="28" t="s">
        <v>77</v>
      </c>
      <c r="G831" s="28" t="s">
        <v>77</v>
      </c>
      <c r="I831" s="26" t="s">
        <v>77</v>
      </c>
      <c r="J831" s="26" t="s">
        <v>77</v>
      </c>
      <c r="K831" s="18"/>
      <c r="L831" s="26" t="s">
        <v>77</v>
      </c>
      <c r="M831" s="6" t="s">
        <v>77</v>
      </c>
      <c r="N831" s="28" t="s">
        <v>77</v>
      </c>
      <c r="O831" s="26" t="s">
        <v>77</v>
      </c>
    </row>
    <row r="832">
      <c r="A832" s="52" t="s">
        <v>77</v>
      </c>
      <c r="B832" s="28" t="s">
        <v>77</v>
      </c>
      <c r="C832" s="28" t="s">
        <v>77</v>
      </c>
      <c r="D832" s="28" t="s">
        <v>77</v>
      </c>
      <c r="E832" s="28" t="s">
        <v>77</v>
      </c>
      <c r="F832" s="28" t="s">
        <v>77</v>
      </c>
      <c r="G832" s="28" t="s">
        <v>77</v>
      </c>
      <c r="I832" s="26" t="s">
        <v>77</v>
      </c>
      <c r="J832" s="26" t="s">
        <v>77</v>
      </c>
      <c r="K832" s="18"/>
      <c r="L832" s="26" t="s">
        <v>77</v>
      </c>
      <c r="M832" s="6" t="s">
        <v>77</v>
      </c>
      <c r="N832" s="28" t="s">
        <v>77</v>
      </c>
      <c r="O832" s="26" t="s">
        <v>77</v>
      </c>
    </row>
    <row r="833">
      <c r="A833" s="52" t="s">
        <v>77</v>
      </c>
      <c r="B833" s="28" t="s">
        <v>77</v>
      </c>
      <c r="C833" s="28" t="s">
        <v>77</v>
      </c>
      <c r="D833" s="28" t="s">
        <v>77</v>
      </c>
      <c r="E833" s="28" t="s">
        <v>77</v>
      </c>
      <c r="F833" s="28" t="s">
        <v>77</v>
      </c>
      <c r="G833" s="28" t="s">
        <v>77</v>
      </c>
      <c r="I833" s="26" t="s">
        <v>77</v>
      </c>
      <c r="J833" s="26" t="s">
        <v>77</v>
      </c>
      <c r="K833" s="18"/>
      <c r="L833" s="26" t="s">
        <v>77</v>
      </c>
      <c r="M833" s="6" t="s">
        <v>77</v>
      </c>
      <c r="N833" s="28" t="s">
        <v>77</v>
      </c>
      <c r="O833" s="26" t="s">
        <v>77</v>
      </c>
    </row>
    <row r="834">
      <c r="A834" s="52" t="s">
        <v>77</v>
      </c>
      <c r="B834" s="28" t="s">
        <v>77</v>
      </c>
      <c r="C834" s="28" t="s">
        <v>77</v>
      </c>
      <c r="D834" s="28" t="s">
        <v>77</v>
      </c>
      <c r="E834" s="28" t="s">
        <v>77</v>
      </c>
      <c r="F834" s="28" t="s">
        <v>77</v>
      </c>
      <c r="G834" s="28" t="s">
        <v>77</v>
      </c>
      <c r="I834" s="26" t="s">
        <v>77</v>
      </c>
      <c r="J834" s="26" t="s">
        <v>77</v>
      </c>
      <c r="K834" s="18"/>
      <c r="L834" s="26" t="s">
        <v>77</v>
      </c>
      <c r="M834" s="6" t="s">
        <v>77</v>
      </c>
      <c r="N834" s="28" t="s">
        <v>77</v>
      </c>
      <c r="O834" s="26" t="s">
        <v>77</v>
      </c>
    </row>
    <row r="835">
      <c r="A835" s="52" t="s">
        <v>77</v>
      </c>
      <c r="B835" s="28" t="s">
        <v>77</v>
      </c>
      <c r="C835" s="28" t="s">
        <v>77</v>
      </c>
      <c r="D835" s="28" t="s">
        <v>77</v>
      </c>
      <c r="E835" s="28" t="s">
        <v>77</v>
      </c>
      <c r="F835" s="28" t="s">
        <v>77</v>
      </c>
      <c r="G835" s="28" t="s">
        <v>77</v>
      </c>
      <c r="I835" s="26" t="s">
        <v>77</v>
      </c>
      <c r="J835" s="26" t="s">
        <v>77</v>
      </c>
      <c r="K835" s="18"/>
      <c r="L835" s="26" t="s">
        <v>77</v>
      </c>
      <c r="M835" s="6" t="s">
        <v>77</v>
      </c>
      <c r="N835" s="28" t="s">
        <v>77</v>
      </c>
      <c r="O835" s="26" t="s">
        <v>77</v>
      </c>
    </row>
    <row r="836">
      <c r="A836" s="52" t="s">
        <v>77</v>
      </c>
      <c r="B836" s="28" t="s">
        <v>77</v>
      </c>
      <c r="C836" s="28" t="s">
        <v>77</v>
      </c>
      <c r="D836" s="28" t="s">
        <v>77</v>
      </c>
      <c r="E836" s="28" t="s">
        <v>77</v>
      </c>
      <c r="F836" s="28" t="s">
        <v>77</v>
      </c>
      <c r="G836" s="28" t="s">
        <v>77</v>
      </c>
      <c r="I836" s="26" t="s">
        <v>77</v>
      </c>
      <c r="J836" s="26" t="s">
        <v>77</v>
      </c>
      <c r="K836" s="18"/>
      <c r="L836" s="26" t="s">
        <v>77</v>
      </c>
      <c r="M836" s="6" t="s">
        <v>77</v>
      </c>
      <c r="N836" s="28" t="s">
        <v>77</v>
      </c>
      <c r="O836" s="26" t="s">
        <v>77</v>
      </c>
    </row>
    <row r="837">
      <c r="A837" s="52" t="s">
        <v>77</v>
      </c>
      <c r="B837" s="28" t="s">
        <v>77</v>
      </c>
      <c r="C837" s="28" t="s">
        <v>77</v>
      </c>
      <c r="D837" s="28" t="s">
        <v>77</v>
      </c>
      <c r="E837" s="28" t="s">
        <v>77</v>
      </c>
      <c r="F837" s="28" t="s">
        <v>77</v>
      </c>
      <c r="G837" s="28" t="s">
        <v>77</v>
      </c>
      <c r="I837" s="26" t="s">
        <v>77</v>
      </c>
      <c r="J837" s="26" t="s">
        <v>77</v>
      </c>
      <c r="K837" s="18"/>
      <c r="L837" s="26" t="s">
        <v>77</v>
      </c>
      <c r="M837" s="6" t="s">
        <v>77</v>
      </c>
      <c r="N837" s="28" t="s">
        <v>77</v>
      </c>
      <c r="O837" s="26" t="s">
        <v>77</v>
      </c>
    </row>
    <row r="838">
      <c r="A838" s="52" t="s">
        <v>77</v>
      </c>
      <c r="B838" s="28" t="s">
        <v>77</v>
      </c>
      <c r="C838" s="28" t="s">
        <v>77</v>
      </c>
      <c r="D838" s="28" t="s">
        <v>77</v>
      </c>
      <c r="E838" s="28" t="s">
        <v>77</v>
      </c>
      <c r="F838" s="28" t="s">
        <v>77</v>
      </c>
      <c r="G838" s="28" t="s">
        <v>77</v>
      </c>
      <c r="I838" s="26" t="s">
        <v>77</v>
      </c>
      <c r="J838" s="26" t="s">
        <v>77</v>
      </c>
      <c r="K838" s="18"/>
      <c r="L838" s="26" t="s">
        <v>77</v>
      </c>
      <c r="M838" s="6" t="s">
        <v>77</v>
      </c>
      <c r="N838" s="28" t="s">
        <v>77</v>
      </c>
      <c r="O838" s="26" t="s">
        <v>77</v>
      </c>
    </row>
    <row r="839">
      <c r="A839" s="52" t="s">
        <v>77</v>
      </c>
      <c r="B839" s="28" t="s">
        <v>77</v>
      </c>
      <c r="C839" s="28" t="s">
        <v>77</v>
      </c>
      <c r="D839" s="28" t="s">
        <v>77</v>
      </c>
      <c r="E839" s="28" t="s">
        <v>77</v>
      </c>
      <c r="F839" s="28" t="s">
        <v>77</v>
      </c>
      <c r="G839" s="28" t="s">
        <v>77</v>
      </c>
      <c r="I839" s="26" t="s">
        <v>77</v>
      </c>
      <c r="J839" s="26" t="s">
        <v>77</v>
      </c>
      <c r="K839" s="18"/>
      <c r="L839" s="26" t="s">
        <v>77</v>
      </c>
      <c r="M839" s="6" t="s">
        <v>77</v>
      </c>
      <c r="N839" s="28" t="s">
        <v>77</v>
      </c>
      <c r="O839" s="26" t="s">
        <v>77</v>
      </c>
    </row>
    <row r="840">
      <c r="A840" s="52" t="s">
        <v>77</v>
      </c>
      <c r="B840" s="28" t="s">
        <v>77</v>
      </c>
      <c r="C840" s="28" t="s">
        <v>77</v>
      </c>
      <c r="D840" s="28" t="s">
        <v>77</v>
      </c>
      <c r="E840" s="28" t="s">
        <v>77</v>
      </c>
      <c r="F840" s="28" t="s">
        <v>77</v>
      </c>
      <c r="G840" s="28" t="s">
        <v>77</v>
      </c>
      <c r="I840" s="26" t="s">
        <v>77</v>
      </c>
      <c r="J840" s="26" t="s">
        <v>77</v>
      </c>
      <c r="K840" s="18"/>
      <c r="L840" s="26" t="s">
        <v>77</v>
      </c>
      <c r="M840" s="6" t="s">
        <v>77</v>
      </c>
      <c r="N840" s="28" t="s">
        <v>77</v>
      </c>
      <c r="O840" s="26" t="s">
        <v>77</v>
      </c>
    </row>
    <row r="841">
      <c r="A841" s="52" t="s">
        <v>77</v>
      </c>
      <c r="B841" s="28" t="s">
        <v>77</v>
      </c>
      <c r="C841" s="28" t="s">
        <v>77</v>
      </c>
      <c r="D841" s="28" t="s">
        <v>77</v>
      </c>
      <c r="E841" s="28" t="s">
        <v>77</v>
      </c>
      <c r="F841" s="28" t="s">
        <v>77</v>
      </c>
      <c r="G841" s="28" t="s">
        <v>77</v>
      </c>
      <c r="I841" s="26" t="s">
        <v>77</v>
      </c>
      <c r="J841" s="26" t="s">
        <v>77</v>
      </c>
      <c r="K841" s="18"/>
      <c r="L841" s="26" t="s">
        <v>77</v>
      </c>
      <c r="M841" s="6" t="s">
        <v>77</v>
      </c>
      <c r="N841" s="28" t="s">
        <v>77</v>
      </c>
      <c r="O841" s="26" t="s">
        <v>77</v>
      </c>
    </row>
    <row r="842">
      <c r="A842" s="52" t="s">
        <v>77</v>
      </c>
      <c r="B842" s="28" t="s">
        <v>77</v>
      </c>
      <c r="C842" s="28" t="s">
        <v>77</v>
      </c>
      <c r="D842" s="28" t="s">
        <v>77</v>
      </c>
      <c r="E842" s="28" t="s">
        <v>77</v>
      </c>
      <c r="F842" s="28" t="s">
        <v>77</v>
      </c>
      <c r="G842" s="28" t="s">
        <v>77</v>
      </c>
      <c r="I842" s="26" t="s">
        <v>77</v>
      </c>
      <c r="J842" s="26" t="s">
        <v>77</v>
      </c>
      <c r="K842" s="18"/>
      <c r="L842" s="26" t="s">
        <v>77</v>
      </c>
      <c r="M842" s="6" t="s">
        <v>77</v>
      </c>
      <c r="N842" s="28" t="s">
        <v>77</v>
      </c>
      <c r="O842" s="26" t="s">
        <v>77</v>
      </c>
    </row>
    <row r="843">
      <c r="A843" s="52" t="s">
        <v>77</v>
      </c>
      <c r="B843" s="28" t="s">
        <v>77</v>
      </c>
      <c r="C843" s="28" t="s">
        <v>77</v>
      </c>
      <c r="D843" s="28" t="s">
        <v>77</v>
      </c>
      <c r="E843" s="28" t="s">
        <v>77</v>
      </c>
      <c r="F843" s="28" t="s">
        <v>77</v>
      </c>
      <c r="G843" s="28" t="s">
        <v>77</v>
      </c>
      <c r="I843" s="26" t="s">
        <v>77</v>
      </c>
      <c r="J843" s="26" t="s">
        <v>77</v>
      </c>
      <c r="K843" s="18"/>
      <c r="L843" s="26" t="s">
        <v>77</v>
      </c>
      <c r="M843" s="6" t="s">
        <v>77</v>
      </c>
      <c r="N843" s="28" t="s">
        <v>77</v>
      </c>
      <c r="O843" s="26" t="s">
        <v>77</v>
      </c>
    </row>
    <row r="844">
      <c r="A844" s="52" t="s">
        <v>77</v>
      </c>
      <c r="B844" s="28" t="s">
        <v>77</v>
      </c>
      <c r="C844" s="28" t="s">
        <v>77</v>
      </c>
      <c r="D844" s="28" t="s">
        <v>77</v>
      </c>
      <c r="E844" s="28" t="s">
        <v>77</v>
      </c>
      <c r="F844" s="28" t="s">
        <v>77</v>
      </c>
      <c r="G844" s="28" t="s">
        <v>77</v>
      </c>
      <c r="I844" s="26" t="s">
        <v>77</v>
      </c>
      <c r="J844" s="26" t="s">
        <v>77</v>
      </c>
      <c r="K844" s="18"/>
      <c r="L844" s="26" t="s">
        <v>77</v>
      </c>
      <c r="M844" s="6" t="s">
        <v>77</v>
      </c>
      <c r="N844" s="28" t="s">
        <v>77</v>
      </c>
      <c r="O844" s="26" t="s">
        <v>77</v>
      </c>
    </row>
    <row r="845">
      <c r="A845" s="52" t="s">
        <v>77</v>
      </c>
      <c r="B845" s="28" t="s">
        <v>77</v>
      </c>
      <c r="C845" s="28" t="s">
        <v>77</v>
      </c>
      <c r="D845" s="28" t="s">
        <v>77</v>
      </c>
      <c r="E845" s="28" t="s">
        <v>77</v>
      </c>
      <c r="F845" s="28" t="s">
        <v>77</v>
      </c>
      <c r="G845" s="28" t="s">
        <v>77</v>
      </c>
      <c r="I845" s="26" t="s">
        <v>77</v>
      </c>
      <c r="J845" s="26" t="s">
        <v>77</v>
      </c>
      <c r="K845" s="18"/>
      <c r="L845" s="26" t="s">
        <v>77</v>
      </c>
      <c r="M845" s="6" t="s">
        <v>77</v>
      </c>
      <c r="N845" s="28" t="s">
        <v>77</v>
      </c>
      <c r="O845" s="26" t="s">
        <v>77</v>
      </c>
    </row>
    <row r="846">
      <c r="A846" s="52" t="s">
        <v>77</v>
      </c>
      <c r="B846" s="28" t="s">
        <v>77</v>
      </c>
      <c r="C846" s="28" t="s">
        <v>77</v>
      </c>
      <c r="D846" s="28" t="s">
        <v>77</v>
      </c>
      <c r="E846" s="28" t="s">
        <v>77</v>
      </c>
      <c r="F846" s="28" t="s">
        <v>77</v>
      </c>
      <c r="G846" s="28" t="s">
        <v>77</v>
      </c>
      <c r="I846" s="26" t="s">
        <v>77</v>
      </c>
      <c r="J846" s="26" t="s">
        <v>77</v>
      </c>
      <c r="K846" s="18"/>
      <c r="L846" s="26" t="s">
        <v>77</v>
      </c>
      <c r="M846" s="6" t="s">
        <v>77</v>
      </c>
      <c r="N846" s="28" t="s">
        <v>77</v>
      </c>
      <c r="O846" s="26" t="s">
        <v>77</v>
      </c>
    </row>
    <row r="847">
      <c r="A847" s="52" t="s">
        <v>77</v>
      </c>
      <c r="B847" s="28" t="s">
        <v>77</v>
      </c>
      <c r="C847" s="28" t="s">
        <v>77</v>
      </c>
      <c r="D847" s="28" t="s">
        <v>77</v>
      </c>
      <c r="E847" s="28" t="s">
        <v>77</v>
      </c>
      <c r="F847" s="28" t="s">
        <v>77</v>
      </c>
      <c r="G847" s="28" t="s">
        <v>77</v>
      </c>
      <c r="I847" s="26" t="s">
        <v>77</v>
      </c>
      <c r="J847" s="26" t="s">
        <v>77</v>
      </c>
      <c r="K847" s="18"/>
      <c r="L847" s="26" t="s">
        <v>77</v>
      </c>
      <c r="M847" s="6" t="s">
        <v>77</v>
      </c>
      <c r="N847" s="28" t="s">
        <v>77</v>
      </c>
      <c r="O847" s="26" t="s">
        <v>77</v>
      </c>
    </row>
    <row r="848">
      <c r="A848" s="52" t="s">
        <v>77</v>
      </c>
      <c r="B848" s="28" t="s">
        <v>77</v>
      </c>
      <c r="C848" s="28" t="s">
        <v>77</v>
      </c>
      <c r="D848" s="28" t="s">
        <v>77</v>
      </c>
      <c r="E848" s="28" t="s">
        <v>77</v>
      </c>
      <c r="F848" s="28" t="s">
        <v>77</v>
      </c>
      <c r="G848" s="28" t="s">
        <v>77</v>
      </c>
      <c r="I848" s="26" t="s">
        <v>77</v>
      </c>
      <c r="J848" s="26" t="s">
        <v>77</v>
      </c>
      <c r="K848" s="18"/>
      <c r="L848" s="26" t="s">
        <v>77</v>
      </c>
      <c r="M848" s="6" t="s">
        <v>77</v>
      </c>
      <c r="N848" s="28" t="s">
        <v>77</v>
      </c>
      <c r="O848" s="26" t="s">
        <v>77</v>
      </c>
    </row>
    <row r="849">
      <c r="A849" s="52" t="s">
        <v>77</v>
      </c>
      <c r="B849" s="28" t="s">
        <v>77</v>
      </c>
      <c r="C849" s="28" t="s">
        <v>77</v>
      </c>
      <c r="D849" s="28" t="s">
        <v>77</v>
      </c>
      <c r="E849" s="28" t="s">
        <v>77</v>
      </c>
      <c r="F849" s="28" t="s">
        <v>77</v>
      </c>
      <c r="G849" s="28" t="s">
        <v>77</v>
      </c>
      <c r="I849" s="26" t="s">
        <v>77</v>
      </c>
      <c r="J849" s="26" t="s">
        <v>77</v>
      </c>
      <c r="K849" s="18"/>
      <c r="L849" s="26" t="s">
        <v>77</v>
      </c>
      <c r="M849" s="6" t="s">
        <v>77</v>
      </c>
      <c r="N849" s="28" t="s">
        <v>77</v>
      </c>
      <c r="O849" s="26" t="s">
        <v>77</v>
      </c>
    </row>
    <row r="850">
      <c r="A850" s="52" t="s">
        <v>77</v>
      </c>
      <c r="B850" s="28" t="s">
        <v>77</v>
      </c>
      <c r="C850" s="28" t="s">
        <v>77</v>
      </c>
      <c r="D850" s="28" t="s">
        <v>77</v>
      </c>
      <c r="E850" s="28" t="s">
        <v>77</v>
      </c>
      <c r="F850" s="28" t="s">
        <v>77</v>
      </c>
      <c r="G850" s="28" t="s">
        <v>77</v>
      </c>
      <c r="I850" s="26" t="s">
        <v>77</v>
      </c>
      <c r="J850" s="26" t="s">
        <v>77</v>
      </c>
      <c r="K850" s="18"/>
      <c r="L850" s="26" t="s">
        <v>77</v>
      </c>
      <c r="M850" s="6" t="s">
        <v>77</v>
      </c>
      <c r="N850" s="28" t="s">
        <v>77</v>
      </c>
      <c r="O850" s="26" t="s">
        <v>77</v>
      </c>
    </row>
    <row r="851">
      <c r="A851" s="52" t="s">
        <v>77</v>
      </c>
      <c r="B851" s="28" t="s">
        <v>77</v>
      </c>
      <c r="C851" s="28" t="s">
        <v>77</v>
      </c>
      <c r="D851" s="28" t="s">
        <v>77</v>
      </c>
      <c r="E851" s="28" t="s">
        <v>77</v>
      </c>
      <c r="F851" s="28" t="s">
        <v>77</v>
      </c>
      <c r="G851" s="28" t="s">
        <v>77</v>
      </c>
      <c r="I851" s="26" t="s">
        <v>77</v>
      </c>
      <c r="J851" s="26" t="s">
        <v>77</v>
      </c>
      <c r="K851" s="18"/>
      <c r="L851" s="26" t="s">
        <v>77</v>
      </c>
      <c r="M851" s="6" t="s">
        <v>77</v>
      </c>
      <c r="N851" s="28" t="s">
        <v>77</v>
      </c>
      <c r="O851" s="26" t="s">
        <v>77</v>
      </c>
    </row>
    <row r="852">
      <c r="A852" s="52" t="s">
        <v>77</v>
      </c>
      <c r="B852" s="28" t="s">
        <v>77</v>
      </c>
      <c r="C852" s="28" t="s">
        <v>77</v>
      </c>
      <c r="D852" s="28" t="s">
        <v>77</v>
      </c>
      <c r="E852" s="28" t="s">
        <v>77</v>
      </c>
      <c r="F852" s="28" t="s">
        <v>77</v>
      </c>
      <c r="G852" s="28" t="s">
        <v>77</v>
      </c>
      <c r="I852" s="26" t="s">
        <v>77</v>
      </c>
      <c r="J852" s="26" t="s">
        <v>77</v>
      </c>
      <c r="K852" s="18"/>
      <c r="L852" s="26" t="s">
        <v>77</v>
      </c>
      <c r="M852" s="6" t="s">
        <v>77</v>
      </c>
      <c r="N852" s="28" t="s">
        <v>77</v>
      </c>
      <c r="O852" s="26" t="s">
        <v>77</v>
      </c>
    </row>
    <row r="853">
      <c r="A853" s="52" t="s">
        <v>77</v>
      </c>
      <c r="B853" s="28" t="s">
        <v>77</v>
      </c>
      <c r="C853" s="28" t="s">
        <v>77</v>
      </c>
      <c r="D853" s="28" t="s">
        <v>77</v>
      </c>
      <c r="E853" s="28" t="s">
        <v>77</v>
      </c>
      <c r="F853" s="28" t="s">
        <v>77</v>
      </c>
      <c r="G853" s="28" t="s">
        <v>77</v>
      </c>
      <c r="I853" s="26" t="s">
        <v>77</v>
      </c>
      <c r="J853" s="26" t="s">
        <v>77</v>
      </c>
      <c r="K853" s="18"/>
      <c r="L853" s="26" t="s">
        <v>77</v>
      </c>
      <c r="M853" s="6" t="s">
        <v>77</v>
      </c>
      <c r="N853" s="28" t="s">
        <v>77</v>
      </c>
      <c r="O853" s="26" t="s">
        <v>77</v>
      </c>
    </row>
    <row r="854">
      <c r="A854" s="52" t="s">
        <v>77</v>
      </c>
      <c r="B854" s="28" t="s">
        <v>77</v>
      </c>
      <c r="C854" s="28" t="s">
        <v>77</v>
      </c>
      <c r="D854" s="28" t="s">
        <v>77</v>
      </c>
      <c r="E854" s="28" t="s">
        <v>77</v>
      </c>
      <c r="F854" s="28" t="s">
        <v>77</v>
      </c>
      <c r="G854" s="28" t="s">
        <v>77</v>
      </c>
      <c r="I854" s="26" t="s">
        <v>77</v>
      </c>
      <c r="J854" s="26" t="s">
        <v>77</v>
      </c>
      <c r="K854" s="18"/>
      <c r="L854" s="26" t="s">
        <v>77</v>
      </c>
      <c r="M854" s="6" t="s">
        <v>77</v>
      </c>
      <c r="N854" s="28" t="s">
        <v>77</v>
      </c>
      <c r="O854" s="26" t="s">
        <v>77</v>
      </c>
    </row>
    <row r="855">
      <c r="A855" s="52" t="s">
        <v>77</v>
      </c>
      <c r="B855" s="28" t="s">
        <v>77</v>
      </c>
      <c r="C855" s="28" t="s">
        <v>77</v>
      </c>
      <c r="D855" s="28" t="s">
        <v>77</v>
      </c>
      <c r="E855" s="28" t="s">
        <v>77</v>
      </c>
      <c r="F855" s="28" t="s">
        <v>77</v>
      </c>
      <c r="G855" s="28" t="s">
        <v>77</v>
      </c>
      <c r="I855" s="26" t="s">
        <v>77</v>
      </c>
      <c r="J855" s="26" t="s">
        <v>77</v>
      </c>
      <c r="K855" s="18"/>
      <c r="L855" s="26" t="s">
        <v>77</v>
      </c>
      <c r="M855" s="6" t="s">
        <v>77</v>
      </c>
      <c r="N855" s="28" t="s">
        <v>77</v>
      </c>
      <c r="O855" s="26" t="s">
        <v>77</v>
      </c>
    </row>
    <row r="856">
      <c r="A856" s="52" t="s">
        <v>77</v>
      </c>
      <c r="B856" s="28" t="s">
        <v>77</v>
      </c>
      <c r="C856" s="28" t="s">
        <v>77</v>
      </c>
      <c r="D856" s="28" t="s">
        <v>77</v>
      </c>
      <c r="E856" s="28" t="s">
        <v>77</v>
      </c>
      <c r="F856" s="28" t="s">
        <v>77</v>
      </c>
      <c r="G856" s="28" t="s">
        <v>77</v>
      </c>
      <c r="I856" s="26" t="s">
        <v>77</v>
      </c>
      <c r="J856" s="26" t="s">
        <v>77</v>
      </c>
      <c r="K856" s="18"/>
      <c r="L856" s="26" t="s">
        <v>77</v>
      </c>
      <c r="M856" s="6" t="s">
        <v>77</v>
      </c>
      <c r="N856" s="28" t="s">
        <v>77</v>
      </c>
      <c r="O856" s="26" t="s">
        <v>77</v>
      </c>
    </row>
    <row r="857">
      <c r="A857" s="52" t="s">
        <v>77</v>
      </c>
      <c r="B857" s="28" t="s">
        <v>77</v>
      </c>
      <c r="C857" s="28" t="s">
        <v>77</v>
      </c>
      <c r="D857" s="28" t="s">
        <v>77</v>
      </c>
      <c r="E857" s="28" t="s">
        <v>77</v>
      </c>
      <c r="F857" s="28" t="s">
        <v>77</v>
      </c>
      <c r="G857" s="28" t="s">
        <v>77</v>
      </c>
      <c r="I857" s="26" t="s">
        <v>77</v>
      </c>
      <c r="J857" s="26" t="s">
        <v>77</v>
      </c>
      <c r="K857" s="18"/>
      <c r="L857" s="26" t="s">
        <v>77</v>
      </c>
      <c r="M857" s="6" t="s">
        <v>77</v>
      </c>
      <c r="N857" s="28" t="s">
        <v>77</v>
      </c>
      <c r="O857" s="26" t="s">
        <v>77</v>
      </c>
    </row>
    <row r="858">
      <c r="A858" s="52" t="s">
        <v>77</v>
      </c>
      <c r="B858" s="28" t="s">
        <v>77</v>
      </c>
      <c r="C858" s="28" t="s">
        <v>77</v>
      </c>
      <c r="D858" s="28" t="s">
        <v>77</v>
      </c>
      <c r="E858" s="28" t="s">
        <v>77</v>
      </c>
      <c r="F858" s="28" t="s">
        <v>77</v>
      </c>
      <c r="G858" s="28" t="s">
        <v>77</v>
      </c>
      <c r="I858" s="26" t="s">
        <v>77</v>
      </c>
      <c r="J858" s="26" t="s">
        <v>77</v>
      </c>
      <c r="K858" s="18"/>
      <c r="L858" s="26" t="s">
        <v>77</v>
      </c>
      <c r="M858" s="6" t="s">
        <v>77</v>
      </c>
      <c r="N858" s="28" t="s">
        <v>77</v>
      </c>
      <c r="O858" s="26" t="s">
        <v>77</v>
      </c>
    </row>
    <row r="859">
      <c r="A859" s="52" t="s">
        <v>77</v>
      </c>
      <c r="B859" s="28" t="s">
        <v>77</v>
      </c>
      <c r="C859" s="28" t="s">
        <v>77</v>
      </c>
      <c r="D859" s="28" t="s">
        <v>77</v>
      </c>
      <c r="E859" s="28" t="s">
        <v>77</v>
      </c>
      <c r="F859" s="28" t="s">
        <v>77</v>
      </c>
      <c r="G859" s="28" t="s">
        <v>77</v>
      </c>
      <c r="I859" s="26" t="s">
        <v>77</v>
      </c>
      <c r="J859" s="26" t="s">
        <v>77</v>
      </c>
      <c r="K859" s="18"/>
      <c r="L859" s="26" t="s">
        <v>77</v>
      </c>
      <c r="M859" s="6" t="s">
        <v>77</v>
      </c>
      <c r="N859" s="28" t="s">
        <v>77</v>
      </c>
      <c r="O859" s="26" t="s">
        <v>77</v>
      </c>
    </row>
    <row r="860">
      <c r="A860" s="52" t="s">
        <v>77</v>
      </c>
      <c r="B860" s="28" t="s">
        <v>77</v>
      </c>
      <c r="C860" s="28" t="s">
        <v>77</v>
      </c>
      <c r="D860" s="28" t="s">
        <v>77</v>
      </c>
      <c r="E860" s="28" t="s">
        <v>77</v>
      </c>
      <c r="F860" s="28" t="s">
        <v>77</v>
      </c>
      <c r="G860" s="28" t="s">
        <v>77</v>
      </c>
      <c r="I860" s="26" t="s">
        <v>77</v>
      </c>
      <c r="J860" s="26" t="s">
        <v>77</v>
      </c>
      <c r="K860" s="18"/>
      <c r="L860" s="26" t="s">
        <v>77</v>
      </c>
      <c r="M860" s="6" t="s">
        <v>77</v>
      </c>
      <c r="N860" s="28" t="s">
        <v>77</v>
      </c>
      <c r="O860" s="26" t="s">
        <v>77</v>
      </c>
    </row>
    <row r="861">
      <c r="A861" s="52" t="s">
        <v>77</v>
      </c>
      <c r="B861" s="28" t="s">
        <v>77</v>
      </c>
      <c r="C861" s="28" t="s">
        <v>77</v>
      </c>
      <c r="D861" s="28" t="s">
        <v>77</v>
      </c>
      <c r="E861" s="28" t="s">
        <v>77</v>
      </c>
      <c r="F861" s="28" t="s">
        <v>77</v>
      </c>
      <c r="G861" s="28" t="s">
        <v>77</v>
      </c>
      <c r="I861" s="26" t="s">
        <v>77</v>
      </c>
      <c r="J861" s="26" t="s">
        <v>77</v>
      </c>
      <c r="K861" s="18"/>
      <c r="L861" s="26" t="s">
        <v>77</v>
      </c>
      <c r="M861" s="6" t="s">
        <v>77</v>
      </c>
      <c r="N861" s="28" t="s">
        <v>77</v>
      </c>
      <c r="O861" s="26" t="s">
        <v>77</v>
      </c>
    </row>
    <row r="862">
      <c r="A862" s="52" t="s">
        <v>77</v>
      </c>
      <c r="B862" s="28" t="s">
        <v>77</v>
      </c>
      <c r="C862" s="28" t="s">
        <v>77</v>
      </c>
      <c r="D862" s="28" t="s">
        <v>77</v>
      </c>
      <c r="E862" s="28" t="s">
        <v>77</v>
      </c>
      <c r="F862" s="28" t="s">
        <v>77</v>
      </c>
      <c r="G862" s="28" t="s">
        <v>77</v>
      </c>
      <c r="I862" s="26" t="s">
        <v>77</v>
      </c>
      <c r="J862" s="26" t="s">
        <v>77</v>
      </c>
      <c r="K862" s="18"/>
      <c r="L862" s="26" t="s">
        <v>77</v>
      </c>
      <c r="M862" s="6" t="s">
        <v>77</v>
      </c>
      <c r="N862" s="28" t="s">
        <v>77</v>
      </c>
      <c r="O862" s="26" t="s">
        <v>77</v>
      </c>
    </row>
    <row r="863">
      <c r="A863" s="52" t="s">
        <v>77</v>
      </c>
      <c r="B863" s="28" t="s">
        <v>77</v>
      </c>
      <c r="C863" s="28" t="s">
        <v>77</v>
      </c>
      <c r="D863" s="28" t="s">
        <v>77</v>
      </c>
      <c r="E863" s="28" t="s">
        <v>77</v>
      </c>
      <c r="F863" s="28" t="s">
        <v>77</v>
      </c>
      <c r="G863" s="28" t="s">
        <v>77</v>
      </c>
      <c r="I863" s="26" t="s">
        <v>77</v>
      </c>
      <c r="J863" s="26" t="s">
        <v>77</v>
      </c>
      <c r="K863" s="18"/>
      <c r="L863" s="26" t="s">
        <v>77</v>
      </c>
      <c r="M863" s="6" t="s">
        <v>77</v>
      </c>
      <c r="N863" s="28" t="s">
        <v>77</v>
      </c>
      <c r="O863" s="26" t="s">
        <v>77</v>
      </c>
    </row>
    <row r="864">
      <c r="A864" s="52" t="s">
        <v>77</v>
      </c>
      <c r="B864" s="28" t="s">
        <v>77</v>
      </c>
      <c r="C864" s="28" t="s">
        <v>77</v>
      </c>
      <c r="D864" s="28" t="s">
        <v>77</v>
      </c>
      <c r="E864" s="28" t="s">
        <v>77</v>
      </c>
      <c r="F864" s="28" t="s">
        <v>77</v>
      </c>
      <c r="G864" s="28" t="s">
        <v>77</v>
      </c>
      <c r="I864" s="26" t="s">
        <v>77</v>
      </c>
      <c r="J864" s="26" t="s">
        <v>77</v>
      </c>
      <c r="K864" s="18"/>
      <c r="L864" s="26" t="s">
        <v>77</v>
      </c>
      <c r="M864" s="6" t="s">
        <v>77</v>
      </c>
      <c r="N864" s="28" t="s">
        <v>77</v>
      </c>
      <c r="O864" s="26" t="s">
        <v>77</v>
      </c>
    </row>
    <row r="865">
      <c r="A865" s="52" t="s">
        <v>77</v>
      </c>
      <c r="B865" s="28" t="s">
        <v>77</v>
      </c>
      <c r="C865" s="28" t="s">
        <v>77</v>
      </c>
      <c r="D865" s="28" t="s">
        <v>77</v>
      </c>
      <c r="E865" s="28" t="s">
        <v>77</v>
      </c>
      <c r="F865" s="28" t="s">
        <v>77</v>
      </c>
      <c r="G865" s="28" t="s">
        <v>77</v>
      </c>
      <c r="I865" s="26" t="s">
        <v>77</v>
      </c>
      <c r="J865" s="26" t="s">
        <v>77</v>
      </c>
      <c r="K865" s="18"/>
      <c r="L865" s="26" t="s">
        <v>77</v>
      </c>
      <c r="M865" s="6" t="s">
        <v>77</v>
      </c>
      <c r="N865" s="28" t="s">
        <v>77</v>
      </c>
      <c r="O865" s="26" t="s">
        <v>77</v>
      </c>
    </row>
    <row r="866">
      <c r="A866" s="52" t="s">
        <v>77</v>
      </c>
      <c r="B866" s="28" t="s">
        <v>77</v>
      </c>
      <c r="C866" s="28" t="s">
        <v>77</v>
      </c>
      <c r="D866" s="28" t="s">
        <v>77</v>
      </c>
      <c r="E866" s="28" t="s">
        <v>77</v>
      </c>
      <c r="F866" s="28" t="s">
        <v>77</v>
      </c>
      <c r="G866" s="28" t="s">
        <v>77</v>
      </c>
      <c r="I866" s="26" t="s">
        <v>77</v>
      </c>
      <c r="J866" s="26" t="s">
        <v>77</v>
      </c>
      <c r="K866" s="18"/>
      <c r="L866" s="26" t="s">
        <v>77</v>
      </c>
      <c r="M866" s="6" t="s">
        <v>77</v>
      </c>
      <c r="N866" s="28" t="s">
        <v>77</v>
      </c>
      <c r="O866" s="26" t="s">
        <v>77</v>
      </c>
    </row>
    <row r="867">
      <c r="A867" s="52" t="s">
        <v>77</v>
      </c>
      <c r="B867" s="28" t="s">
        <v>77</v>
      </c>
      <c r="C867" s="28" t="s">
        <v>77</v>
      </c>
      <c r="D867" s="28" t="s">
        <v>77</v>
      </c>
      <c r="E867" s="28" t="s">
        <v>77</v>
      </c>
      <c r="F867" s="28" t="s">
        <v>77</v>
      </c>
      <c r="G867" s="28" t="s">
        <v>77</v>
      </c>
      <c r="I867" s="26" t="s">
        <v>77</v>
      </c>
      <c r="J867" s="26" t="s">
        <v>77</v>
      </c>
      <c r="K867" s="18"/>
      <c r="L867" s="26" t="s">
        <v>77</v>
      </c>
      <c r="M867" s="6" t="s">
        <v>77</v>
      </c>
      <c r="N867" s="28" t="s">
        <v>77</v>
      </c>
      <c r="O867" s="26" t="s">
        <v>77</v>
      </c>
    </row>
    <row r="868">
      <c r="A868" s="52" t="s">
        <v>77</v>
      </c>
      <c r="B868" s="28" t="s">
        <v>77</v>
      </c>
      <c r="C868" s="28" t="s">
        <v>77</v>
      </c>
      <c r="D868" s="28" t="s">
        <v>77</v>
      </c>
      <c r="E868" s="28" t="s">
        <v>77</v>
      </c>
      <c r="F868" s="28" t="s">
        <v>77</v>
      </c>
      <c r="G868" s="28" t="s">
        <v>77</v>
      </c>
      <c r="I868" s="26" t="s">
        <v>77</v>
      </c>
      <c r="J868" s="26" t="s">
        <v>77</v>
      </c>
      <c r="K868" s="18"/>
      <c r="L868" s="26" t="s">
        <v>77</v>
      </c>
      <c r="M868" s="6" t="s">
        <v>77</v>
      </c>
      <c r="N868" s="28" t="s">
        <v>77</v>
      </c>
      <c r="O868" s="26" t="s">
        <v>77</v>
      </c>
    </row>
    <row r="869">
      <c r="A869" s="52" t="s">
        <v>77</v>
      </c>
      <c r="B869" s="28" t="s">
        <v>77</v>
      </c>
      <c r="C869" s="28" t="s">
        <v>77</v>
      </c>
      <c r="D869" s="28" t="s">
        <v>77</v>
      </c>
      <c r="E869" s="28" t="s">
        <v>77</v>
      </c>
      <c r="F869" s="28" t="s">
        <v>77</v>
      </c>
      <c r="G869" s="28" t="s">
        <v>77</v>
      </c>
      <c r="I869" s="26" t="s">
        <v>77</v>
      </c>
      <c r="J869" s="26" t="s">
        <v>77</v>
      </c>
      <c r="K869" s="18"/>
      <c r="L869" s="26" t="s">
        <v>77</v>
      </c>
      <c r="M869" s="6" t="s">
        <v>77</v>
      </c>
      <c r="N869" s="28" t="s">
        <v>77</v>
      </c>
      <c r="O869" s="26" t="s">
        <v>77</v>
      </c>
    </row>
    <row r="870">
      <c r="A870" s="52" t="s">
        <v>77</v>
      </c>
      <c r="B870" s="28" t="s">
        <v>77</v>
      </c>
      <c r="C870" s="28" t="s">
        <v>77</v>
      </c>
      <c r="D870" s="28" t="s">
        <v>77</v>
      </c>
      <c r="E870" s="28" t="s">
        <v>77</v>
      </c>
      <c r="F870" s="28" t="s">
        <v>77</v>
      </c>
      <c r="G870" s="28" t="s">
        <v>77</v>
      </c>
      <c r="I870" s="26" t="s">
        <v>77</v>
      </c>
      <c r="J870" s="26" t="s">
        <v>77</v>
      </c>
      <c r="K870" s="18"/>
      <c r="L870" s="26" t="s">
        <v>77</v>
      </c>
      <c r="M870" s="6" t="s">
        <v>77</v>
      </c>
      <c r="N870" s="28" t="s">
        <v>77</v>
      </c>
      <c r="O870" s="26" t="s">
        <v>77</v>
      </c>
    </row>
    <row r="871">
      <c r="A871" s="52" t="s">
        <v>77</v>
      </c>
      <c r="B871" s="28" t="s">
        <v>77</v>
      </c>
      <c r="C871" s="28" t="s">
        <v>77</v>
      </c>
      <c r="D871" s="28" t="s">
        <v>77</v>
      </c>
      <c r="E871" s="28" t="s">
        <v>77</v>
      </c>
      <c r="F871" s="28" t="s">
        <v>77</v>
      </c>
      <c r="G871" s="28" t="s">
        <v>77</v>
      </c>
      <c r="I871" s="26" t="s">
        <v>77</v>
      </c>
      <c r="J871" s="26" t="s">
        <v>77</v>
      </c>
      <c r="K871" s="18"/>
      <c r="L871" s="26" t="s">
        <v>77</v>
      </c>
      <c r="M871" s="6" t="s">
        <v>77</v>
      </c>
      <c r="N871" s="28" t="s">
        <v>77</v>
      </c>
      <c r="O871" s="26" t="s">
        <v>77</v>
      </c>
    </row>
    <row r="872">
      <c r="A872" s="52" t="s">
        <v>77</v>
      </c>
      <c r="B872" s="28" t="s">
        <v>77</v>
      </c>
      <c r="C872" s="28" t="s">
        <v>77</v>
      </c>
      <c r="D872" s="28" t="s">
        <v>77</v>
      </c>
      <c r="E872" s="28" t="s">
        <v>77</v>
      </c>
      <c r="F872" s="28" t="s">
        <v>77</v>
      </c>
      <c r="G872" s="28" t="s">
        <v>77</v>
      </c>
      <c r="I872" s="26" t="s">
        <v>77</v>
      </c>
      <c r="J872" s="26" t="s">
        <v>77</v>
      </c>
      <c r="K872" s="18"/>
      <c r="L872" s="26" t="s">
        <v>77</v>
      </c>
      <c r="M872" s="6" t="s">
        <v>77</v>
      </c>
      <c r="N872" s="28" t="s">
        <v>77</v>
      </c>
      <c r="O872" s="26" t="s">
        <v>77</v>
      </c>
    </row>
    <row r="873">
      <c r="A873" s="52" t="s">
        <v>77</v>
      </c>
      <c r="B873" s="28" t="s">
        <v>77</v>
      </c>
      <c r="C873" s="28" t="s">
        <v>77</v>
      </c>
      <c r="D873" s="28" t="s">
        <v>77</v>
      </c>
      <c r="E873" s="28" t="s">
        <v>77</v>
      </c>
      <c r="F873" s="28" t="s">
        <v>77</v>
      </c>
      <c r="G873" s="28" t="s">
        <v>77</v>
      </c>
      <c r="I873" s="26" t="s">
        <v>77</v>
      </c>
      <c r="J873" s="26" t="s">
        <v>77</v>
      </c>
      <c r="K873" s="18"/>
      <c r="L873" s="26" t="s">
        <v>77</v>
      </c>
      <c r="M873" s="6" t="s">
        <v>77</v>
      </c>
      <c r="N873" s="28" t="s">
        <v>77</v>
      </c>
      <c r="O873" s="26" t="s">
        <v>77</v>
      </c>
    </row>
    <row r="874">
      <c r="A874" s="52" t="s">
        <v>77</v>
      </c>
      <c r="B874" s="28" t="s">
        <v>77</v>
      </c>
      <c r="C874" s="28" t="s">
        <v>77</v>
      </c>
      <c r="D874" s="28" t="s">
        <v>77</v>
      </c>
      <c r="E874" s="28" t="s">
        <v>77</v>
      </c>
      <c r="F874" s="28" t="s">
        <v>77</v>
      </c>
      <c r="G874" s="28" t="s">
        <v>77</v>
      </c>
      <c r="I874" s="26" t="s">
        <v>77</v>
      </c>
      <c r="J874" s="26" t="s">
        <v>77</v>
      </c>
      <c r="K874" s="18"/>
      <c r="L874" s="26" t="s">
        <v>77</v>
      </c>
      <c r="M874" s="6" t="s">
        <v>77</v>
      </c>
      <c r="N874" s="28" t="s">
        <v>77</v>
      </c>
      <c r="O874" s="26" t="s">
        <v>77</v>
      </c>
    </row>
    <row r="875">
      <c r="A875" s="52" t="s">
        <v>77</v>
      </c>
      <c r="B875" s="28" t="s">
        <v>77</v>
      </c>
      <c r="C875" s="28" t="s">
        <v>77</v>
      </c>
      <c r="D875" s="28" t="s">
        <v>77</v>
      </c>
      <c r="E875" s="28" t="s">
        <v>77</v>
      </c>
      <c r="F875" s="28" t="s">
        <v>77</v>
      </c>
      <c r="G875" s="28" t="s">
        <v>77</v>
      </c>
      <c r="I875" s="26" t="s">
        <v>77</v>
      </c>
      <c r="J875" s="26" t="s">
        <v>77</v>
      </c>
      <c r="K875" s="18"/>
      <c r="L875" s="26" t="s">
        <v>77</v>
      </c>
      <c r="M875" s="6" t="s">
        <v>77</v>
      </c>
      <c r="N875" s="28" t="s">
        <v>77</v>
      </c>
      <c r="O875" s="26" t="s">
        <v>77</v>
      </c>
    </row>
    <row r="876">
      <c r="A876" s="52" t="s">
        <v>77</v>
      </c>
      <c r="B876" s="28" t="s">
        <v>77</v>
      </c>
      <c r="C876" s="28" t="s">
        <v>77</v>
      </c>
      <c r="D876" s="28" t="s">
        <v>77</v>
      </c>
      <c r="E876" s="28" t="s">
        <v>77</v>
      </c>
      <c r="F876" s="28" t="s">
        <v>77</v>
      </c>
      <c r="G876" s="28" t="s">
        <v>77</v>
      </c>
      <c r="I876" s="26" t="s">
        <v>77</v>
      </c>
      <c r="J876" s="26" t="s">
        <v>77</v>
      </c>
      <c r="K876" s="18"/>
      <c r="L876" s="26" t="s">
        <v>77</v>
      </c>
      <c r="M876" s="6" t="s">
        <v>77</v>
      </c>
      <c r="N876" s="28" t="s">
        <v>77</v>
      </c>
      <c r="O876" s="26" t="s">
        <v>77</v>
      </c>
    </row>
    <row r="877">
      <c r="A877" s="52" t="s">
        <v>77</v>
      </c>
      <c r="B877" s="28" t="s">
        <v>77</v>
      </c>
      <c r="C877" s="28" t="s">
        <v>77</v>
      </c>
      <c r="D877" s="28" t="s">
        <v>77</v>
      </c>
      <c r="E877" s="28" t="s">
        <v>77</v>
      </c>
      <c r="F877" s="28" t="s">
        <v>77</v>
      </c>
      <c r="G877" s="28" t="s">
        <v>77</v>
      </c>
      <c r="I877" s="26" t="s">
        <v>77</v>
      </c>
      <c r="J877" s="26" t="s">
        <v>77</v>
      </c>
      <c r="K877" s="18"/>
      <c r="L877" s="26" t="s">
        <v>77</v>
      </c>
      <c r="M877" s="6" t="s">
        <v>77</v>
      </c>
      <c r="N877" s="28" t="s">
        <v>77</v>
      </c>
      <c r="O877" s="26" t="s">
        <v>77</v>
      </c>
    </row>
    <row r="878">
      <c r="A878" s="52" t="s">
        <v>77</v>
      </c>
      <c r="B878" s="28" t="s">
        <v>77</v>
      </c>
      <c r="C878" s="28" t="s">
        <v>77</v>
      </c>
      <c r="D878" s="28" t="s">
        <v>77</v>
      </c>
      <c r="E878" s="28" t="s">
        <v>77</v>
      </c>
      <c r="F878" s="28" t="s">
        <v>77</v>
      </c>
      <c r="G878" s="28" t="s">
        <v>77</v>
      </c>
      <c r="I878" s="26" t="s">
        <v>77</v>
      </c>
      <c r="J878" s="26" t="s">
        <v>77</v>
      </c>
      <c r="K878" s="18"/>
      <c r="L878" s="26" t="s">
        <v>77</v>
      </c>
      <c r="M878" s="6" t="s">
        <v>77</v>
      </c>
      <c r="N878" s="28" t="s">
        <v>77</v>
      </c>
      <c r="O878" s="26" t="s">
        <v>77</v>
      </c>
    </row>
    <row r="879">
      <c r="A879" s="52" t="s">
        <v>77</v>
      </c>
      <c r="B879" s="28" t="s">
        <v>77</v>
      </c>
      <c r="C879" s="28" t="s">
        <v>77</v>
      </c>
      <c r="D879" s="28" t="s">
        <v>77</v>
      </c>
      <c r="E879" s="28" t="s">
        <v>77</v>
      </c>
      <c r="F879" s="28" t="s">
        <v>77</v>
      </c>
      <c r="G879" s="28" t="s">
        <v>77</v>
      </c>
      <c r="I879" s="26" t="s">
        <v>77</v>
      </c>
      <c r="J879" s="26" t="s">
        <v>77</v>
      </c>
      <c r="K879" s="18"/>
      <c r="L879" s="26" t="s">
        <v>77</v>
      </c>
      <c r="M879" s="6" t="s">
        <v>77</v>
      </c>
      <c r="N879" s="28" t="s">
        <v>77</v>
      </c>
      <c r="O879" s="26" t="s">
        <v>77</v>
      </c>
    </row>
    <row r="880">
      <c r="A880" s="52" t="s">
        <v>77</v>
      </c>
      <c r="B880" s="28" t="s">
        <v>77</v>
      </c>
      <c r="C880" s="28" t="s">
        <v>77</v>
      </c>
      <c r="D880" s="28" t="s">
        <v>77</v>
      </c>
      <c r="E880" s="28" t="s">
        <v>77</v>
      </c>
      <c r="F880" s="28" t="s">
        <v>77</v>
      </c>
      <c r="G880" s="28" t="s">
        <v>77</v>
      </c>
      <c r="I880" s="26" t="s">
        <v>77</v>
      </c>
      <c r="J880" s="26" t="s">
        <v>77</v>
      </c>
      <c r="K880" s="18"/>
      <c r="L880" s="26" t="s">
        <v>77</v>
      </c>
      <c r="M880" s="6" t="s">
        <v>77</v>
      </c>
      <c r="N880" s="28" t="s">
        <v>77</v>
      </c>
      <c r="O880" s="26" t="s">
        <v>77</v>
      </c>
    </row>
    <row r="881">
      <c r="A881" s="52" t="s">
        <v>77</v>
      </c>
      <c r="B881" s="28" t="s">
        <v>77</v>
      </c>
      <c r="C881" s="28" t="s">
        <v>77</v>
      </c>
      <c r="D881" s="28" t="s">
        <v>77</v>
      </c>
      <c r="E881" s="28" t="s">
        <v>77</v>
      </c>
      <c r="F881" s="28" t="s">
        <v>77</v>
      </c>
      <c r="G881" s="28" t="s">
        <v>77</v>
      </c>
      <c r="I881" s="26" t="s">
        <v>77</v>
      </c>
      <c r="J881" s="26" t="s">
        <v>77</v>
      </c>
      <c r="K881" s="18"/>
      <c r="L881" s="26" t="s">
        <v>77</v>
      </c>
      <c r="M881" s="6" t="s">
        <v>77</v>
      </c>
      <c r="N881" s="28" t="s">
        <v>77</v>
      </c>
      <c r="O881" s="26" t="s">
        <v>77</v>
      </c>
    </row>
    <row r="882">
      <c r="A882" s="52" t="s">
        <v>77</v>
      </c>
      <c r="B882" s="28" t="s">
        <v>77</v>
      </c>
      <c r="C882" s="28" t="s">
        <v>77</v>
      </c>
      <c r="D882" s="28" t="s">
        <v>77</v>
      </c>
      <c r="E882" s="28" t="s">
        <v>77</v>
      </c>
      <c r="F882" s="28" t="s">
        <v>77</v>
      </c>
      <c r="G882" s="28" t="s">
        <v>77</v>
      </c>
      <c r="I882" s="26" t="s">
        <v>77</v>
      </c>
      <c r="J882" s="26" t="s">
        <v>77</v>
      </c>
      <c r="K882" s="18"/>
      <c r="L882" s="26" t="s">
        <v>77</v>
      </c>
      <c r="M882" s="6" t="s">
        <v>77</v>
      </c>
      <c r="N882" s="28" t="s">
        <v>77</v>
      </c>
      <c r="O882" s="26" t="s">
        <v>77</v>
      </c>
    </row>
    <row r="883">
      <c r="A883" s="52" t="s">
        <v>77</v>
      </c>
      <c r="B883" s="28" t="s">
        <v>77</v>
      </c>
      <c r="C883" s="28" t="s">
        <v>77</v>
      </c>
      <c r="D883" s="28" t="s">
        <v>77</v>
      </c>
      <c r="E883" s="28" t="s">
        <v>77</v>
      </c>
      <c r="F883" s="28" t="s">
        <v>77</v>
      </c>
      <c r="G883" s="28" t="s">
        <v>77</v>
      </c>
      <c r="I883" s="26" t="s">
        <v>77</v>
      </c>
      <c r="J883" s="26" t="s">
        <v>77</v>
      </c>
      <c r="K883" s="18"/>
      <c r="L883" s="26" t="s">
        <v>77</v>
      </c>
      <c r="M883" s="6" t="s">
        <v>77</v>
      </c>
      <c r="N883" s="28" t="s">
        <v>77</v>
      </c>
      <c r="O883" s="26" t="s">
        <v>77</v>
      </c>
    </row>
    <row r="884">
      <c r="A884" s="52" t="s">
        <v>77</v>
      </c>
      <c r="B884" s="28" t="s">
        <v>77</v>
      </c>
      <c r="C884" s="28" t="s">
        <v>77</v>
      </c>
      <c r="D884" s="28" t="s">
        <v>77</v>
      </c>
      <c r="E884" s="28" t="s">
        <v>77</v>
      </c>
      <c r="F884" s="28" t="s">
        <v>77</v>
      </c>
      <c r="G884" s="28" t="s">
        <v>77</v>
      </c>
      <c r="I884" s="26" t="s">
        <v>77</v>
      </c>
      <c r="J884" s="26" t="s">
        <v>77</v>
      </c>
      <c r="K884" s="18"/>
      <c r="L884" s="26" t="s">
        <v>77</v>
      </c>
      <c r="M884" s="6" t="s">
        <v>77</v>
      </c>
      <c r="N884" s="28" t="s">
        <v>77</v>
      </c>
      <c r="O884" s="26" t="s">
        <v>77</v>
      </c>
    </row>
    <row r="885">
      <c r="A885" s="52" t="s">
        <v>77</v>
      </c>
      <c r="B885" s="28" t="s">
        <v>77</v>
      </c>
      <c r="C885" s="28" t="s">
        <v>77</v>
      </c>
      <c r="D885" s="28" t="s">
        <v>77</v>
      </c>
      <c r="E885" s="28" t="s">
        <v>77</v>
      </c>
      <c r="F885" s="28" t="s">
        <v>77</v>
      </c>
      <c r="G885" s="28" t="s">
        <v>77</v>
      </c>
      <c r="I885" s="26" t="s">
        <v>77</v>
      </c>
      <c r="J885" s="26" t="s">
        <v>77</v>
      </c>
      <c r="K885" s="18"/>
      <c r="L885" s="26" t="s">
        <v>77</v>
      </c>
      <c r="M885" s="6" t="s">
        <v>77</v>
      </c>
      <c r="N885" s="28" t="s">
        <v>77</v>
      </c>
      <c r="O885" s="26" t="s">
        <v>77</v>
      </c>
    </row>
    <row r="886">
      <c r="A886" s="52" t="s">
        <v>77</v>
      </c>
      <c r="B886" s="28" t="s">
        <v>77</v>
      </c>
      <c r="C886" s="28" t="s">
        <v>77</v>
      </c>
      <c r="D886" s="28" t="s">
        <v>77</v>
      </c>
      <c r="E886" s="28" t="s">
        <v>77</v>
      </c>
      <c r="F886" s="28" t="s">
        <v>77</v>
      </c>
      <c r="G886" s="28" t="s">
        <v>77</v>
      </c>
      <c r="I886" s="26" t="s">
        <v>77</v>
      </c>
      <c r="J886" s="26" t="s">
        <v>77</v>
      </c>
      <c r="K886" s="18"/>
      <c r="L886" s="26" t="s">
        <v>77</v>
      </c>
      <c r="M886" s="6" t="s">
        <v>77</v>
      </c>
      <c r="N886" s="28" t="s">
        <v>77</v>
      </c>
      <c r="O886" s="26" t="s">
        <v>77</v>
      </c>
    </row>
    <row r="887">
      <c r="A887" s="52" t="s">
        <v>77</v>
      </c>
      <c r="B887" s="28" t="s">
        <v>77</v>
      </c>
      <c r="C887" s="28" t="s">
        <v>77</v>
      </c>
      <c r="D887" s="28" t="s">
        <v>77</v>
      </c>
      <c r="E887" s="28" t="s">
        <v>77</v>
      </c>
      <c r="F887" s="28" t="s">
        <v>77</v>
      </c>
      <c r="G887" s="28" t="s">
        <v>77</v>
      </c>
      <c r="I887" s="26" t="s">
        <v>77</v>
      </c>
      <c r="J887" s="26" t="s">
        <v>77</v>
      </c>
      <c r="K887" s="18"/>
      <c r="L887" s="26" t="s">
        <v>77</v>
      </c>
      <c r="M887" s="6" t="s">
        <v>77</v>
      </c>
      <c r="N887" s="28" t="s">
        <v>77</v>
      </c>
      <c r="O887" s="26" t="s">
        <v>77</v>
      </c>
    </row>
    <row r="888">
      <c r="A888" s="52" t="s">
        <v>77</v>
      </c>
      <c r="B888" s="28" t="s">
        <v>77</v>
      </c>
      <c r="C888" s="28" t="s">
        <v>77</v>
      </c>
      <c r="D888" s="28" t="s">
        <v>77</v>
      </c>
      <c r="E888" s="28" t="s">
        <v>77</v>
      </c>
      <c r="F888" s="28" t="s">
        <v>77</v>
      </c>
      <c r="G888" s="28" t="s">
        <v>77</v>
      </c>
      <c r="I888" s="26" t="s">
        <v>77</v>
      </c>
      <c r="J888" s="26" t="s">
        <v>77</v>
      </c>
      <c r="K888" s="18"/>
      <c r="L888" s="26" t="s">
        <v>77</v>
      </c>
      <c r="M888" s="6" t="s">
        <v>77</v>
      </c>
      <c r="N888" s="28" t="s">
        <v>77</v>
      </c>
      <c r="O888" s="26" t="s">
        <v>77</v>
      </c>
    </row>
    <row r="889">
      <c r="A889" s="52" t="s">
        <v>77</v>
      </c>
      <c r="B889" s="28" t="s">
        <v>77</v>
      </c>
      <c r="C889" s="28" t="s">
        <v>77</v>
      </c>
      <c r="D889" s="28" t="s">
        <v>77</v>
      </c>
      <c r="E889" s="28" t="s">
        <v>77</v>
      </c>
      <c r="F889" s="28" t="s">
        <v>77</v>
      </c>
      <c r="G889" s="28" t="s">
        <v>77</v>
      </c>
      <c r="I889" s="26" t="s">
        <v>77</v>
      </c>
      <c r="J889" s="26" t="s">
        <v>77</v>
      </c>
      <c r="K889" s="18"/>
      <c r="L889" s="26" t="s">
        <v>77</v>
      </c>
      <c r="M889" s="6" t="s">
        <v>77</v>
      </c>
      <c r="N889" s="28" t="s">
        <v>77</v>
      </c>
      <c r="O889" s="26" t="s">
        <v>77</v>
      </c>
    </row>
    <row r="890">
      <c r="A890" s="52" t="s">
        <v>77</v>
      </c>
      <c r="B890" s="28" t="s">
        <v>77</v>
      </c>
      <c r="C890" s="28" t="s">
        <v>77</v>
      </c>
      <c r="D890" s="28" t="s">
        <v>77</v>
      </c>
      <c r="E890" s="28" t="s">
        <v>77</v>
      </c>
      <c r="F890" s="28" t="s">
        <v>77</v>
      </c>
      <c r="G890" s="28" t="s">
        <v>77</v>
      </c>
      <c r="I890" s="26" t="s">
        <v>77</v>
      </c>
      <c r="J890" s="26" t="s">
        <v>77</v>
      </c>
      <c r="K890" s="18"/>
      <c r="L890" s="26" t="s">
        <v>77</v>
      </c>
      <c r="M890" s="6" t="s">
        <v>77</v>
      </c>
      <c r="N890" s="28" t="s">
        <v>77</v>
      </c>
      <c r="O890" s="26" t="s">
        <v>77</v>
      </c>
    </row>
    <row r="891">
      <c r="A891" s="52" t="s">
        <v>77</v>
      </c>
      <c r="B891" s="28" t="s">
        <v>77</v>
      </c>
      <c r="C891" s="28" t="s">
        <v>77</v>
      </c>
      <c r="D891" s="28" t="s">
        <v>77</v>
      </c>
      <c r="E891" s="28" t="s">
        <v>77</v>
      </c>
      <c r="F891" s="28" t="s">
        <v>77</v>
      </c>
      <c r="G891" s="28" t="s">
        <v>77</v>
      </c>
      <c r="I891" s="26" t="s">
        <v>77</v>
      </c>
      <c r="J891" s="26" t="s">
        <v>77</v>
      </c>
      <c r="K891" s="18"/>
      <c r="L891" s="26" t="s">
        <v>77</v>
      </c>
      <c r="M891" s="6" t="s">
        <v>77</v>
      </c>
      <c r="N891" s="28" t="s">
        <v>77</v>
      </c>
      <c r="O891" s="26" t="s">
        <v>77</v>
      </c>
    </row>
    <row r="892">
      <c r="A892" s="52" t="s">
        <v>77</v>
      </c>
      <c r="B892" s="28" t="s">
        <v>77</v>
      </c>
      <c r="C892" s="28" t="s">
        <v>77</v>
      </c>
      <c r="D892" s="28" t="s">
        <v>77</v>
      </c>
      <c r="E892" s="28" t="s">
        <v>77</v>
      </c>
      <c r="F892" s="28" t="s">
        <v>77</v>
      </c>
      <c r="G892" s="28" t="s">
        <v>77</v>
      </c>
      <c r="I892" s="26" t="s">
        <v>77</v>
      </c>
      <c r="J892" s="26" t="s">
        <v>77</v>
      </c>
      <c r="K892" s="18"/>
      <c r="L892" s="26" t="s">
        <v>77</v>
      </c>
      <c r="M892" s="6" t="s">
        <v>77</v>
      </c>
      <c r="N892" s="28" t="s">
        <v>77</v>
      </c>
      <c r="O892" s="26" t="s">
        <v>77</v>
      </c>
    </row>
    <row r="893">
      <c r="A893" s="52" t="s">
        <v>77</v>
      </c>
      <c r="B893" s="28" t="s">
        <v>77</v>
      </c>
      <c r="C893" s="28" t="s">
        <v>77</v>
      </c>
      <c r="D893" s="28" t="s">
        <v>77</v>
      </c>
      <c r="E893" s="28" t="s">
        <v>77</v>
      </c>
      <c r="F893" s="28" t="s">
        <v>77</v>
      </c>
      <c r="G893" s="28" t="s">
        <v>77</v>
      </c>
      <c r="I893" s="26" t="s">
        <v>77</v>
      </c>
      <c r="J893" s="26" t="s">
        <v>77</v>
      </c>
      <c r="K893" s="18"/>
      <c r="L893" s="26" t="s">
        <v>77</v>
      </c>
      <c r="M893" s="6" t="s">
        <v>77</v>
      </c>
      <c r="N893" s="28" t="s">
        <v>77</v>
      </c>
      <c r="O893" s="26" t="s">
        <v>77</v>
      </c>
    </row>
    <row r="894">
      <c r="A894" s="52" t="s">
        <v>77</v>
      </c>
      <c r="B894" s="28" t="s">
        <v>77</v>
      </c>
      <c r="C894" s="28" t="s">
        <v>77</v>
      </c>
      <c r="D894" s="28" t="s">
        <v>77</v>
      </c>
      <c r="E894" s="28" t="s">
        <v>77</v>
      </c>
      <c r="F894" s="28" t="s">
        <v>77</v>
      </c>
      <c r="G894" s="28" t="s">
        <v>77</v>
      </c>
      <c r="I894" s="26" t="s">
        <v>77</v>
      </c>
      <c r="J894" s="26" t="s">
        <v>77</v>
      </c>
      <c r="K894" s="18"/>
      <c r="L894" s="26" t="s">
        <v>77</v>
      </c>
      <c r="M894" s="6" t="s">
        <v>77</v>
      </c>
      <c r="N894" s="28" t="s">
        <v>77</v>
      </c>
      <c r="O894" s="26" t="s">
        <v>77</v>
      </c>
    </row>
    <row r="895">
      <c r="A895" s="52" t="s">
        <v>77</v>
      </c>
      <c r="B895" s="28" t="s">
        <v>77</v>
      </c>
      <c r="C895" s="28" t="s">
        <v>77</v>
      </c>
      <c r="D895" s="28" t="s">
        <v>77</v>
      </c>
      <c r="E895" s="28" t="s">
        <v>77</v>
      </c>
      <c r="F895" s="28" t="s">
        <v>77</v>
      </c>
      <c r="G895" s="28" t="s">
        <v>77</v>
      </c>
      <c r="I895" s="26" t="s">
        <v>77</v>
      </c>
      <c r="J895" s="26" t="s">
        <v>77</v>
      </c>
      <c r="K895" s="18"/>
      <c r="L895" s="26" t="s">
        <v>77</v>
      </c>
      <c r="M895" s="6" t="s">
        <v>77</v>
      </c>
      <c r="N895" s="28" t="s">
        <v>77</v>
      </c>
      <c r="O895" s="26" t="s">
        <v>77</v>
      </c>
    </row>
    <row r="896">
      <c r="A896" s="52" t="s">
        <v>77</v>
      </c>
      <c r="B896" s="28" t="s">
        <v>77</v>
      </c>
      <c r="C896" s="28" t="s">
        <v>77</v>
      </c>
      <c r="D896" s="28" t="s">
        <v>77</v>
      </c>
      <c r="E896" s="28" t="s">
        <v>77</v>
      </c>
      <c r="F896" s="28" t="s">
        <v>77</v>
      </c>
      <c r="G896" s="28" t="s">
        <v>77</v>
      </c>
      <c r="I896" s="26" t="s">
        <v>77</v>
      </c>
      <c r="J896" s="26" t="s">
        <v>77</v>
      </c>
      <c r="K896" s="18"/>
      <c r="L896" s="26" t="s">
        <v>77</v>
      </c>
      <c r="M896" s="6" t="s">
        <v>77</v>
      </c>
      <c r="N896" s="28" t="s">
        <v>77</v>
      </c>
      <c r="O896" s="26" t="s">
        <v>77</v>
      </c>
    </row>
    <row r="897">
      <c r="A897" s="52" t="s">
        <v>77</v>
      </c>
      <c r="B897" s="28" t="s">
        <v>77</v>
      </c>
      <c r="C897" s="28" t="s">
        <v>77</v>
      </c>
      <c r="D897" s="28" t="s">
        <v>77</v>
      </c>
      <c r="E897" s="28" t="s">
        <v>77</v>
      </c>
      <c r="F897" s="28" t="s">
        <v>77</v>
      </c>
      <c r="G897" s="28" t="s">
        <v>77</v>
      </c>
      <c r="I897" s="26" t="s">
        <v>77</v>
      </c>
      <c r="J897" s="26" t="s">
        <v>77</v>
      </c>
      <c r="K897" s="18"/>
      <c r="L897" s="26" t="s">
        <v>77</v>
      </c>
      <c r="M897" s="6" t="s">
        <v>77</v>
      </c>
      <c r="N897" s="28" t="s">
        <v>77</v>
      </c>
      <c r="O897" s="26" t="s">
        <v>77</v>
      </c>
    </row>
    <row r="898">
      <c r="A898" s="52" t="s">
        <v>77</v>
      </c>
      <c r="B898" s="28" t="s">
        <v>77</v>
      </c>
      <c r="C898" s="28" t="s">
        <v>77</v>
      </c>
      <c r="D898" s="28" t="s">
        <v>77</v>
      </c>
      <c r="E898" s="28" t="s">
        <v>77</v>
      </c>
      <c r="F898" s="28" t="s">
        <v>77</v>
      </c>
      <c r="G898" s="28" t="s">
        <v>77</v>
      </c>
      <c r="I898" s="26" t="s">
        <v>77</v>
      </c>
      <c r="J898" s="26" t="s">
        <v>77</v>
      </c>
      <c r="K898" s="18"/>
      <c r="L898" s="26" t="s">
        <v>77</v>
      </c>
      <c r="M898" s="6" t="s">
        <v>77</v>
      </c>
      <c r="N898" s="28" t="s">
        <v>77</v>
      </c>
      <c r="O898" s="26" t="s">
        <v>77</v>
      </c>
    </row>
    <row r="899">
      <c r="A899" s="52" t="s">
        <v>77</v>
      </c>
      <c r="B899" s="28" t="s">
        <v>77</v>
      </c>
      <c r="C899" s="28" t="s">
        <v>77</v>
      </c>
      <c r="D899" s="28" t="s">
        <v>77</v>
      </c>
      <c r="E899" s="28" t="s">
        <v>77</v>
      </c>
      <c r="F899" s="28" t="s">
        <v>77</v>
      </c>
      <c r="G899" s="28" t="s">
        <v>77</v>
      </c>
      <c r="I899" s="26" t="s">
        <v>77</v>
      </c>
      <c r="J899" s="26" t="s">
        <v>77</v>
      </c>
      <c r="K899" s="18"/>
      <c r="L899" s="26" t="s">
        <v>77</v>
      </c>
      <c r="M899" s="6" t="s">
        <v>77</v>
      </c>
      <c r="N899" s="28" t="s">
        <v>77</v>
      </c>
      <c r="O899" s="26" t="s">
        <v>77</v>
      </c>
    </row>
    <row r="900">
      <c r="A900" s="52" t="s">
        <v>77</v>
      </c>
      <c r="B900" s="28" t="s">
        <v>77</v>
      </c>
      <c r="C900" s="28" t="s">
        <v>77</v>
      </c>
      <c r="D900" s="28" t="s">
        <v>77</v>
      </c>
      <c r="E900" s="28" t="s">
        <v>77</v>
      </c>
      <c r="F900" s="28" t="s">
        <v>77</v>
      </c>
      <c r="G900" s="28" t="s">
        <v>77</v>
      </c>
      <c r="I900" s="26" t="s">
        <v>77</v>
      </c>
      <c r="J900" s="26" t="s">
        <v>77</v>
      </c>
      <c r="K900" s="18"/>
      <c r="L900" s="26" t="s">
        <v>77</v>
      </c>
      <c r="M900" s="6" t="s">
        <v>77</v>
      </c>
      <c r="N900" s="28" t="s">
        <v>77</v>
      </c>
      <c r="O900" s="26" t="s">
        <v>77</v>
      </c>
    </row>
    <row r="901">
      <c r="A901" s="52" t="s">
        <v>77</v>
      </c>
      <c r="B901" s="28" t="s">
        <v>77</v>
      </c>
      <c r="C901" s="28" t="s">
        <v>77</v>
      </c>
      <c r="D901" s="28" t="s">
        <v>77</v>
      </c>
      <c r="E901" s="28" t="s">
        <v>77</v>
      </c>
      <c r="F901" s="28" t="s">
        <v>77</v>
      </c>
      <c r="G901" s="28" t="s">
        <v>77</v>
      </c>
      <c r="I901" s="26" t="s">
        <v>77</v>
      </c>
      <c r="J901" s="26" t="s">
        <v>77</v>
      </c>
      <c r="K901" s="18"/>
      <c r="L901" s="26" t="s">
        <v>77</v>
      </c>
      <c r="M901" s="6" t="s">
        <v>77</v>
      </c>
      <c r="N901" s="28" t="s">
        <v>77</v>
      </c>
      <c r="O901" s="26" t="s">
        <v>77</v>
      </c>
    </row>
    <row r="902">
      <c r="A902" s="52" t="s">
        <v>77</v>
      </c>
      <c r="B902" s="28" t="s">
        <v>77</v>
      </c>
      <c r="C902" s="28" t="s">
        <v>77</v>
      </c>
      <c r="D902" s="28" t="s">
        <v>77</v>
      </c>
      <c r="E902" s="28" t="s">
        <v>77</v>
      </c>
      <c r="F902" s="28" t="s">
        <v>77</v>
      </c>
      <c r="G902" s="28" t="s">
        <v>77</v>
      </c>
      <c r="I902" s="26" t="s">
        <v>77</v>
      </c>
      <c r="J902" s="26" t="s">
        <v>77</v>
      </c>
      <c r="K902" s="18"/>
      <c r="L902" s="26" t="s">
        <v>77</v>
      </c>
      <c r="M902" s="6" t="s">
        <v>77</v>
      </c>
      <c r="N902" s="28" t="s">
        <v>77</v>
      </c>
      <c r="O902" s="26" t="s">
        <v>77</v>
      </c>
    </row>
    <row r="903">
      <c r="A903" s="52" t="s">
        <v>77</v>
      </c>
      <c r="B903" s="28" t="s">
        <v>77</v>
      </c>
      <c r="C903" s="28" t="s">
        <v>77</v>
      </c>
      <c r="D903" s="28" t="s">
        <v>77</v>
      </c>
      <c r="E903" s="28" t="s">
        <v>77</v>
      </c>
      <c r="F903" s="28" t="s">
        <v>77</v>
      </c>
      <c r="G903" s="28" t="s">
        <v>77</v>
      </c>
      <c r="I903" s="26" t="s">
        <v>77</v>
      </c>
      <c r="J903" s="26" t="s">
        <v>77</v>
      </c>
      <c r="K903" s="18"/>
      <c r="L903" s="26" t="s">
        <v>77</v>
      </c>
      <c r="M903" s="6" t="s">
        <v>77</v>
      </c>
      <c r="N903" s="28" t="s">
        <v>77</v>
      </c>
      <c r="O903" s="26" t="s">
        <v>77</v>
      </c>
    </row>
    <row r="904">
      <c r="A904" s="52" t="s">
        <v>77</v>
      </c>
      <c r="B904" s="28" t="s">
        <v>77</v>
      </c>
      <c r="C904" s="28" t="s">
        <v>77</v>
      </c>
      <c r="D904" s="28" t="s">
        <v>77</v>
      </c>
      <c r="E904" s="28" t="s">
        <v>77</v>
      </c>
      <c r="F904" s="28" t="s">
        <v>77</v>
      </c>
      <c r="G904" s="28" t="s">
        <v>77</v>
      </c>
      <c r="I904" s="26" t="s">
        <v>77</v>
      </c>
      <c r="J904" s="26" t="s">
        <v>77</v>
      </c>
      <c r="K904" s="18"/>
      <c r="L904" s="26" t="s">
        <v>77</v>
      </c>
      <c r="M904" s="6" t="s">
        <v>77</v>
      </c>
      <c r="N904" s="28" t="s">
        <v>77</v>
      </c>
      <c r="O904" s="26" t="s">
        <v>77</v>
      </c>
    </row>
    <row r="905">
      <c r="A905" s="52" t="s">
        <v>77</v>
      </c>
      <c r="B905" s="28" t="s">
        <v>77</v>
      </c>
      <c r="C905" s="28" t="s">
        <v>77</v>
      </c>
      <c r="D905" s="28" t="s">
        <v>77</v>
      </c>
      <c r="E905" s="28" t="s">
        <v>77</v>
      </c>
      <c r="F905" s="28" t="s">
        <v>77</v>
      </c>
      <c r="G905" s="28" t="s">
        <v>77</v>
      </c>
      <c r="I905" s="26" t="s">
        <v>77</v>
      </c>
      <c r="J905" s="26" t="s">
        <v>77</v>
      </c>
      <c r="K905" s="18"/>
      <c r="L905" s="26" t="s">
        <v>77</v>
      </c>
      <c r="M905" s="6" t="s">
        <v>77</v>
      </c>
      <c r="N905" s="28" t="s">
        <v>77</v>
      </c>
      <c r="O905" s="26" t="s">
        <v>77</v>
      </c>
    </row>
    <row r="906">
      <c r="A906" s="52" t="s">
        <v>77</v>
      </c>
      <c r="B906" s="28" t="s">
        <v>77</v>
      </c>
      <c r="C906" s="28" t="s">
        <v>77</v>
      </c>
      <c r="D906" s="28" t="s">
        <v>77</v>
      </c>
      <c r="E906" s="28" t="s">
        <v>77</v>
      </c>
      <c r="F906" s="28" t="s">
        <v>77</v>
      </c>
      <c r="G906" s="28" t="s">
        <v>77</v>
      </c>
      <c r="I906" s="26" t="s">
        <v>77</v>
      </c>
      <c r="J906" s="26" t="s">
        <v>77</v>
      </c>
      <c r="K906" s="18"/>
      <c r="L906" s="26" t="s">
        <v>77</v>
      </c>
      <c r="M906" s="6" t="s">
        <v>77</v>
      </c>
      <c r="N906" s="28" t="s">
        <v>77</v>
      </c>
      <c r="O906" s="26" t="s">
        <v>77</v>
      </c>
    </row>
    <row r="907">
      <c r="A907" s="52" t="s">
        <v>77</v>
      </c>
      <c r="B907" s="28" t="s">
        <v>77</v>
      </c>
      <c r="C907" s="28" t="s">
        <v>77</v>
      </c>
      <c r="D907" s="28" t="s">
        <v>77</v>
      </c>
      <c r="E907" s="28" t="s">
        <v>77</v>
      </c>
      <c r="F907" s="28" t="s">
        <v>77</v>
      </c>
      <c r="G907" s="28" t="s">
        <v>77</v>
      </c>
      <c r="I907" s="26" t="s">
        <v>77</v>
      </c>
      <c r="J907" s="26" t="s">
        <v>77</v>
      </c>
      <c r="K907" s="18"/>
      <c r="L907" s="26" t="s">
        <v>77</v>
      </c>
      <c r="M907" s="6" t="s">
        <v>77</v>
      </c>
      <c r="N907" s="28" t="s">
        <v>77</v>
      </c>
      <c r="O907" s="26" t="s">
        <v>77</v>
      </c>
    </row>
    <row r="908">
      <c r="A908" s="52" t="s">
        <v>77</v>
      </c>
      <c r="B908" s="28" t="s">
        <v>77</v>
      </c>
      <c r="C908" s="28" t="s">
        <v>77</v>
      </c>
      <c r="D908" s="28" t="s">
        <v>77</v>
      </c>
      <c r="E908" s="28" t="s">
        <v>77</v>
      </c>
      <c r="F908" s="28" t="s">
        <v>77</v>
      </c>
      <c r="G908" s="28" t="s">
        <v>77</v>
      </c>
      <c r="I908" s="26" t="s">
        <v>77</v>
      </c>
      <c r="J908" s="26" t="s">
        <v>77</v>
      </c>
      <c r="K908" s="18"/>
      <c r="L908" s="26" t="s">
        <v>77</v>
      </c>
      <c r="M908" s="6" t="s">
        <v>77</v>
      </c>
      <c r="N908" s="28" t="s">
        <v>77</v>
      </c>
      <c r="O908" s="26" t="s">
        <v>77</v>
      </c>
    </row>
    <row r="909">
      <c r="A909" s="52" t="s">
        <v>77</v>
      </c>
      <c r="B909" s="28" t="s">
        <v>77</v>
      </c>
      <c r="C909" s="28" t="s">
        <v>77</v>
      </c>
      <c r="D909" s="28" t="s">
        <v>77</v>
      </c>
      <c r="E909" s="28" t="s">
        <v>77</v>
      </c>
      <c r="F909" s="28" t="s">
        <v>77</v>
      </c>
      <c r="G909" s="28" t="s">
        <v>77</v>
      </c>
      <c r="I909" s="26" t="s">
        <v>77</v>
      </c>
      <c r="J909" s="26" t="s">
        <v>77</v>
      </c>
      <c r="K909" s="18"/>
      <c r="L909" s="26" t="s">
        <v>77</v>
      </c>
      <c r="M909" s="6" t="s">
        <v>77</v>
      </c>
      <c r="N909" s="28" t="s">
        <v>77</v>
      </c>
      <c r="O909" s="26" t="s">
        <v>77</v>
      </c>
    </row>
    <row r="910">
      <c r="A910" s="52" t="s">
        <v>77</v>
      </c>
      <c r="B910" s="28" t="s">
        <v>77</v>
      </c>
      <c r="C910" s="28" t="s">
        <v>77</v>
      </c>
      <c r="D910" s="28" t="s">
        <v>77</v>
      </c>
      <c r="E910" s="28" t="s">
        <v>77</v>
      </c>
      <c r="F910" s="28" t="s">
        <v>77</v>
      </c>
      <c r="G910" s="28" t="s">
        <v>77</v>
      </c>
      <c r="I910" s="26" t="s">
        <v>77</v>
      </c>
      <c r="J910" s="26" t="s">
        <v>77</v>
      </c>
      <c r="K910" s="18"/>
      <c r="L910" s="26" t="s">
        <v>77</v>
      </c>
      <c r="M910" s="6" t="s">
        <v>77</v>
      </c>
      <c r="N910" s="28" t="s">
        <v>77</v>
      </c>
      <c r="O910" s="26" t="s">
        <v>77</v>
      </c>
    </row>
    <row r="911">
      <c r="A911" s="52" t="s">
        <v>77</v>
      </c>
      <c r="B911" s="28" t="s">
        <v>77</v>
      </c>
      <c r="C911" s="28" t="s">
        <v>77</v>
      </c>
      <c r="D911" s="28" t="s">
        <v>77</v>
      </c>
      <c r="E911" s="28" t="s">
        <v>77</v>
      </c>
      <c r="F911" s="28" t="s">
        <v>77</v>
      </c>
      <c r="G911" s="28" t="s">
        <v>77</v>
      </c>
      <c r="I911" s="26" t="s">
        <v>77</v>
      </c>
      <c r="J911" s="26" t="s">
        <v>77</v>
      </c>
      <c r="K911" s="18"/>
      <c r="L911" s="26" t="s">
        <v>77</v>
      </c>
      <c r="M911" s="6" t="s">
        <v>77</v>
      </c>
      <c r="N911" s="28" t="s">
        <v>77</v>
      </c>
      <c r="O911" s="26" t="s">
        <v>77</v>
      </c>
    </row>
    <row r="912">
      <c r="A912" s="52" t="s">
        <v>77</v>
      </c>
      <c r="B912" s="28" t="s">
        <v>77</v>
      </c>
      <c r="C912" s="28" t="s">
        <v>77</v>
      </c>
      <c r="D912" s="28" t="s">
        <v>77</v>
      </c>
      <c r="E912" s="28" t="s">
        <v>77</v>
      </c>
      <c r="F912" s="28" t="s">
        <v>77</v>
      </c>
      <c r="G912" s="28" t="s">
        <v>77</v>
      </c>
      <c r="I912" s="26" t="s">
        <v>77</v>
      </c>
      <c r="J912" s="26" t="s">
        <v>77</v>
      </c>
      <c r="K912" s="18"/>
      <c r="L912" s="26" t="s">
        <v>77</v>
      </c>
      <c r="M912" s="6" t="s">
        <v>77</v>
      </c>
      <c r="N912" s="28" t="s">
        <v>77</v>
      </c>
      <c r="O912" s="26" t="s">
        <v>77</v>
      </c>
    </row>
    <row r="913">
      <c r="A913" s="52" t="s">
        <v>77</v>
      </c>
      <c r="B913" s="28" t="s">
        <v>77</v>
      </c>
      <c r="C913" s="28" t="s">
        <v>77</v>
      </c>
      <c r="D913" s="28" t="s">
        <v>77</v>
      </c>
      <c r="E913" s="28" t="s">
        <v>77</v>
      </c>
      <c r="F913" s="28" t="s">
        <v>77</v>
      </c>
      <c r="G913" s="28" t="s">
        <v>77</v>
      </c>
      <c r="I913" s="26" t="s">
        <v>77</v>
      </c>
      <c r="J913" s="26" t="s">
        <v>77</v>
      </c>
      <c r="K913" s="18"/>
      <c r="L913" s="26" t="s">
        <v>77</v>
      </c>
      <c r="M913" s="6" t="s">
        <v>77</v>
      </c>
      <c r="N913" s="28" t="s">
        <v>77</v>
      </c>
      <c r="O913" s="26" t="s">
        <v>77</v>
      </c>
    </row>
    <row r="914">
      <c r="A914" s="52" t="s">
        <v>77</v>
      </c>
      <c r="B914" s="28" t="s">
        <v>77</v>
      </c>
      <c r="C914" s="28" t="s">
        <v>77</v>
      </c>
      <c r="D914" s="28" t="s">
        <v>77</v>
      </c>
      <c r="E914" s="28" t="s">
        <v>77</v>
      </c>
      <c r="F914" s="28" t="s">
        <v>77</v>
      </c>
      <c r="G914" s="28" t="s">
        <v>77</v>
      </c>
      <c r="I914" s="26" t="s">
        <v>77</v>
      </c>
      <c r="J914" s="26" t="s">
        <v>77</v>
      </c>
      <c r="K914" s="18"/>
      <c r="L914" s="26" t="s">
        <v>77</v>
      </c>
      <c r="M914" s="6" t="s">
        <v>77</v>
      </c>
      <c r="N914" s="28" t="s">
        <v>77</v>
      </c>
      <c r="O914" s="26" t="s">
        <v>77</v>
      </c>
    </row>
    <row r="915">
      <c r="A915" s="52" t="s">
        <v>77</v>
      </c>
      <c r="B915" s="28" t="s">
        <v>77</v>
      </c>
      <c r="C915" s="28" t="s">
        <v>77</v>
      </c>
      <c r="D915" s="28" t="s">
        <v>77</v>
      </c>
      <c r="E915" s="28" t="s">
        <v>77</v>
      </c>
      <c r="F915" s="28" t="s">
        <v>77</v>
      </c>
      <c r="G915" s="28" t="s">
        <v>77</v>
      </c>
      <c r="I915" s="26" t="s">
        <v>77</v>
      </c>
      <c r="J915" s="26" t="s">
        <v>77</v>
      </c>
      <c r="K915" s="18"/>
      <c r="L915" s="26" t="s">
        <v>77</v>
      </c>
      <c r="M915" s="6" t="s">
        <v>77</v>
      </c>
      <c r="N915" s="28" t="s">
        <v>77</v>
      </c>
      <c r="O915" s="26" t="s">
        <v>77</v>
      </c>
    </row>
    <row r="916">
      <c r="A916" s="52" t="s">
        <v>77</v>
      </c>
      <c r="B916" s="28" t="s">
        <v>77</v>
      </c>
      <c r="C916" s="28" t="s">
        <v>77</v>
      </c>
      <c r="D916" s="28" t="s">
        <v>77</v>
      </c>
      <c r="E916" s="28" t="s">
        <v>77</v>
      </c>
      <c r="F916" s="28" t="s">
        <v>77</v>
      </c>
      <c r="G916" s="28" t="s">
        <v>77</v>
      </c>
      <c r="I916" s="26" t="s">
        <v>77</v>
      </c>
      <c r="J916" s="26" t="s">
        <v>77</v>
      </c>
      <c r="K916" s="18"/>
      <c r="L916" s="26" t="s">
        <v>77</v>
      </c>
      <c r="M916" s="6" t="s">
        <v>77</v>
      </c>
      <c r="N916" s="28" t="s">
        <v>77</v>
      </c>
      <c r="O916" s="26" t="s">
        <v>77</v>
      </c>
    </row>
    <row r="917">
      <c r="A917" s="52" t="s">
        <v>77</v>
      </c>
      <c r="B917" s="28" t="s">
        <v>77</v>
      </c>
      <c r="C917" s="28" t="s">
        <v>77</v>
      </c>
      <c r="D917" s="28" t="s">
        <v>77</v>
      </c>
      <c r="E917" s="28" t="s">
        <v>77</v>
      </c>
      <c r="F917" s="28" t="s">
        <v>77</v>
      </c>
      <c r="G917" s="28" t="s">
        <v>77</v>
      </c>
      <c r="I917" s="26" t="s">
        <v>77</v>
      </c>
      <c r="J917" s="26" t="s">
        <v>77</v>
      </c>
      <c r="K917" s="18"/>
      <c r="L917" s="26" t="s">
        <v>77</v>
      </c>
      <c r="M917" s="6" t="s">
        <v>77</v>
      </c>
      <c r="N917" s="28" t="s">
        <v>77</v>
      </c>
      <c r="O917" s="26" t="s">
        <v>77</v>
      </c>
    </row>
    <row r="918">
      <c r="A918" s="52" t="s">
        <v>77</v>
      </c>
      <c r="B918" s="28" t="s">
        <v>77</v>
      </c>
      <c r="C918" s="28" t="s">
        <v>77</v>
      </c>
      <c r="D918" s="28" t="s">
        <v>77</v>
      </c>
      <c r="E918" s="28" t="s">
        <v>77</v>
      </c>
      <c r="F918" s="28" t="s">
        <v>77</v>
      </c>
      <c r="G918" s="28" t="s">
        <v>77</v>
      </c>
      <c r="I918" s="26" t="s">
        <v>77</v>
      </c>
      <c r="J918" s="26" t="s">
        <v>77</v>
      </c>
      <c r="K918" s="18"/>
      <c r="L918" s="26" t="s">
        <v>77</v>
      </c>
      <c r="M918" s="6" t="s">
        <v>77</v>
      </c>
      <c r="N918" s="28" t="s">
        <v>77</v>
      </c>
      <c r="O918" s="26" t="s">
        <v>77</v>
      </c>
    </row>
    <row r="919">
      <c r="A919" s="52" t="s">
        <v>77</v>
      </c>
      <c r="B919" s="28" t="s">
        <v>77</v>
      </c>
      <c r="C919" s="28" t="s">
        <v>77</v>
      </c>
      <c r="D919" s="28" t="s">
        <v>77</v>
      </c>
      <c r="E919" s="28" t="s">
        <v>77</v>
      </c>
      <c r="F919" s="28" t="s">
        <v>77</v>
      </c>
      <c r="G919" s="28" t="s">
        <v>77</v>
      </c>
      <c r="I919" s="26" t="s">
        <v>77</v>
      </c>
      <c r="J919" s="26" t="s">
        <v>77</v>
      </c>
      <c r="K919" s="18"/>
      <c r="L919" s="26" t="s">
        <v>77</v>
      </c>
      <c r="M919" s="6" t="s">
        <v>77</v>
      </c>
      <c r="N919" s="28" t="s">
        <v>77</v>
      </c>
      <c r="O919" s="26" t="s">
        <v>77</v>
      </c>
    </row>
    <row r="920">
      <c r="A920" s="52" t="s">
        <v>77</v>
      </c>
      <c r="B920" s="28" t="s">
        <v>77</v>
      </c>
      <c r="C920" s="28" t="s">
        <v>77</v>
      </c>
      <c r="D920" s="28" t="s">
        <v>77</v>
      </c>
      <c r="E920" s="28" t="s">
        <v>77</v>
      </c>
      <c r="F920" s="28" t="s">
        <v>77</v>
      </c>
      <c r="G920" s="28" t="s">
        <v>77</v>
      </c>
      <c r="I920" s="26" t="s">
        <v>77</v>
      </c>
      <c r="J920" s="26" t="s">
        <v>77</v>
      </c>
      <c r="K920" s="18"/>
      <c r="L920" s="26" t="s">
        <v>77</v>
      </c>
      <c r="M920" s="6" t="s">
        <v>77</v>
      </c>
      <c r="N920" s="28" t="s">
        <v>77</v>
      </c>
      <c r="O920" s="26" t="s">
        <v>77</v>
      </c>
    </row>
    <row r="921">
      <c r="A921" s="52" t="s">
        <v>77</v>
      </c>
      <c r="B921" s="28" t="s">
        <v>77</v>
      </c>
      <c r="C921" s="28" t="s">
        <v>77</v>
      </c>
      <c r="D921" s="28" t="s">
        <v>77</v>
      </c>
      <c r="E921" s="28" t="s">
        <v>77</v>
      </c>
      <c r="F921" s="28" t="s">
        <v>77</v>
      </c>
      <c r="G921" s="28" t="s">
        <v>77</v>
      </c>
      <c r="I921" s="26" t="s">
        <v>77</v>
      </c>
      <c r="J921" s="26" t="s">
        <v>77</v>
      </c>
      <c r="K921" s="18"/>
      <c r="L921" s="26" t="s">
        <v>77</v>
      </c>
      <c r="M921" s="6" t="s">
        <v>77</v>
      </c>
      <c r="N921" s="28" t="s">
        <v>77</v>
      </c>
      <c r="O921" s="26" t="s">
        <v>77</v>
      </c>
    </row>
    <row r="922">
      <c r="A922" s="52" t="s">
        <v>77</v>
      </c>
      <c r="B922" s="28" t="s">
        <v>77</v>
      </c>
      <c r="C922" s="28" t="s">
        <v>77</v>
      </c>
      <c r="D922" s="28" t="s">
        <v>77</v>
      </c>
      <c r="E922" s="28" t="s">
        <v>77</v>
      </c>
      <c r="F922" s="28" t="s">
        <v>77</v>
      </c>
      <c r="G922" s="28" t="s">
        <v>77</v>
      </c>
      <c r="I922" s="26" t="s">
        <v>77</v>
      </c>
      <c r="J922" s="26" t="s">
        <v>77</v>
      </c>
      <c r="K922" s="18"/>
      <c r="L922" s="26" t="s">
        <v>77</v>
      </c>
      <c r="M922" s="6" t="s">
        <v>77</v>
      </c>
      <c r="N922" s="28" t="s">
        <v>77</v>
      </c>
      <c r="O922" s="26" t="s">
        <v>77</v>
      </c>
    </row>
    <row r="923">
      <c r="A923" s="52" t="s">
        <v>77</v>
      </c>
      <c r="B923" s="28" t="s">
        <v>77</v>
      </c>
      <c r="C923" s="28" t="s">
        <v>77</v>
      </c>
      <c r="D923" s="28" t="s">
        <v>77</v>
      </c>
      <c r="E923" s="28" t="s">
        <v>77</v>
      </c>
      <c r="F923" s="28" t="s">
        <v>77</v>
      </c>
      <c r="G923" s="28" t="s">
        <v>77</v>
      </c>
      <c r="I923" s="26" t="s">
        <v>77</v>
      </c>
      <c r="J923" s="26" t="s">
        <v>77</v>
      </c>
      <c r="K923" s="18"/>
      <c r="L923" s="26" t="s">
        <v>77</v>
      </c>
      <c r="M923" s="6" t="s">
        <v>77</v>
      </c>
      <c r="N923" s="28" t="s">
        <v>77</v>
      </c>
      <c r="O923" s="26" t="s">
        <v>77</v>
      </c>
    </row>
    <row r="924">
      <c r="A924" s="52" t="s">
        <v>77</v>
      </c>
      <c r="B924" s="28" t="s">
        <v>77</v>
      </c>
      <c r="C924" s="28" t="s">
        <v>77</v>
      </c>
      <c r="D924" s="28" t="s">
        <v>77</v>
      </c>
      <c r="E924" s="28" t="s">
        <v>77</v>
      </c>
      <c r="F924" s="28" t="s">
        <v>77</v>
      </c>
      <c r="G924" s="28" t="s">
        <v>77</v>
      </c>
      <c r="I924" s="26" t="s">
        <v>77</v>
      </c>
      <c r="J924" s="26" t="s">
        <v>77</v>
      </c>
      <c r="K924" s="18"/>
      <c r="L924" s="26" t="s">
        <v>77</v>
      </c>
      <c r="M924" s="6" t="s">
        <v>77</v>
      </c>
      <c r="N924" s="28" t="s">
        <v>77</v>
      </c>
      <c r="O924" s="26" t="s">
        <v>77</v>
      </c>
    </row>
    <row r="925">
      <c r="A925" s="52" t="s">
        <v>77</v>
      </c>
      <c r="B925" s="28" t="s">
        <v>77</v>
      </c>
      <c r="C925" s="28" t="s">
        <v>77</v>
      </c>
      <c r="D925" s="28" t="s">
        <v>77</v>
      </c>
      <c r="E925" s="28" t="s">
        <v>77</v>
      </c>
      <c r="F925" s="28" t="s">
        <v>77</v>
      </c>
      <c r="G925" s="28" t="s">
        <v>77</v>
      </c>
      <c r="I925" s="26" t="s">
        <v>77</v>
      </c>
      <c r="J925" s="26" t="s">
        <v>77</v>
      </c>
      <c r="K925" s="18"/>
      <c r="L925" s="26" t="s">
        <v>77</v>
      </c>
      <c r="M925" s="6" t="s">
        <v>77</v>
      </c>
      <c r="N925" s="28" t="s">
        <v>77</v>
      </c>
      <c r="O925" s="26" t="s">
        <v>77</v>
      </c>
    </row>
    <row r="926">
      <c r="A926" s="52" t="s">
        <v>77</v>
      </c>
      <c r="B926" s="28" t="s">
        <v>77</v>
      </c>
      <c r="C926" s="28" t="s">
        <v>77</v>
      </c>
      <c r="D926" s="28" t="s">
        <v>77</v>
      </c>
      <c r="E926" s="28" t="s">
        <v>77</v>
      </c>
      <c r="F926" s="28" t="s">
        <v>77</v>
      </c>
      <c r="G926" s="28" t="s">
        <v>77</v>
      </c>
      <c r="I926" s="26" t="s">
        <v>77</v>
      </c>
      <c r="J926" s="26" t="s">
        <v>77</v>
      </c>
      <c r="K926" s="18"/>
      <c r="L926" s="26" t="s">
        <v>77</v>
      </c>
      <c r="M926" s="6" t="s">
        <v>77</v>
      </c>
      <c r="N926" s="28" t="s">
        <v>77</v>
      </c>
      <c r="O926" s="26" t="s">
        <v>77</v>
      </c>
    </row>
    <row r="927">
      <c r="A927" s="52" t="s">
        <v>77</v>
      </c>
      <c r="B927" s="28" t="s">
        <v>77</v>
      </c>
      <c r="C927" s="28" t="s">
        <v>77</v>
      </c>
      <c r="D927" s="28" t="s">
        <v>77</v>
      </c>
      <c r="E927" s="28" t="s">
        <v>77</v>
      </c>
      <c r="F927" s="28" t="s">
        <v>77</v>
      </c>
      <c r="G927" s="28" t="s">
        <v>77</v>
      </c>
      <c r="I927" s="26" t="s">
        <v>77</v>
      </c>
      <c r="J927" s="26" t="s">
        <v>77</v>
      </c>
      <c r="K927" s="18"/>
      <c r="L927" s="26" t="s">
        <v>77</v>
      </c>
      <c r="M927" s="6" t="s">
        <v>77</v>
      </c>
      <c r="N927" s="28" t="s">
        <v>77</v>
      </c>
      <c r="O927" s="26" t="s">
        <v>77</v>
      </c>
    </row>
    <row r="928">
      <c r="A928" s="52" t="s">
        <v>77</v>
      </c>
      <c r="B928" s="28" t="s">
        <v>77</v>
      </c>
      <c r="C928" s="28" t="s">
        <v>77</v>
      </c>
      <c r="D928" s="28" t="s">
        <v>77</v>
      </c>
      <c r="E928" s="28" t="s">
        <v>77</v>
      </c>
      <c r="F928" s="28" t="s">
        <v>77</v>
      </c>
      <c r="G928" s="28" t="s">
        <v>77</v>
      </c>
      <c r="I928" s="26" t="s">
        <v>77</v>
      </c>
      <c r="J928" s="26" t="s">
        <v>77</v>
      </c>
      <c r="K928" s="18"/>
      <c r="L928" s="26" t="s">
        <v>77</v>
      </c>
      <c r="M928" s="6" t="s">
        <v>77</v>
      </c>
      <c r="N928" s="28" t="s">
        <v>77</v>
      </c>
      <c r="O928" s="26" t="s">
        <v>77</v>
      </c>
    </row>
    <row r="929">
      <c r="A929" s="52" t="s">
        <v>77</v>
      </c>
      <c r="B929" s="28" t="s">
        <v>77</v>
      </c>
      <c r="C929" s="28" t="s">
        <v>77</v>
      </c>
      <c r="D929" s="28" t="s">
        <v>77</v>
      </c>
      <c r="E929" s="28" t="s">
        <v>77</v>
      </c>
      <c r="F929" s="28" t="s">
        <v>77</v>
      </c>
      <c r="G929" s="28" t="s">
        <v>77</v>
      </c>
      <c r="I929" s="26" t="s">
        <v>77</v>
      </c>
      <c r="J929" s="26" t="s">
        <v>77</v>
      </c>
      <c r="K929" s="18"/>
      <c r="L929" s="26" t="s">
        <v>77</v>
      </c>
      <c r="M929" s="6" t="s">
        <v>77</v>
      </c>
      <c r="N929" s="28" t="s">
        <v>77</v>
      </c>
      <c r="O929" s="26" t="s">
        <v>77</v>
      </c>
    </row>
    <row r="930">
      <c r="A930" s="52" t="s">
        <v>77</v>
      </c>
      <c r="B930" s="28" t="s">
        <v>77</v>
      </c>
      <c r="C930" s="28" t="s">
        <v>77</v>
      </c>
      <c r="D930" s="28" t="s">
        <v>77</v>
      </c>
      <c r="E930" s="28" t="s">
        <v>77</v>
      </c>
      <c r="F930" s="28" t="s">
        <v>77</v>
      </c>
      <c r="G930" s="28" t="s">
        <v>77</v>
      </c>
      <c r="I930" s="26" t="s">
        <v>77</v>
      </c>
      <c r="J930" s="26" t="s">
        <v>77</v>
      </c>
      <c r="K930" s="18"/>
      <c r="L930" s="26" t="s">
        <v>77</v>
      </c>
      <c r="M930" s="6" t="s">
        <v>77</v>
      </c>
      <c r="N930" s="28" t="s">
        <v>77</v>
      </c>
      <c r="O930" s="26" t="s">
        <v>77</v>
      </c>
    </row>
    <row r="931">
      <c r="A931" s="52" t="s">
        <v>77</v>
      </c>
      <c r="B931" s="28" t="s">
        <v>77</v>
      </c>
      <c r="C931" s="28" t="s">
        <v>77</v>
      </c>
      <c r="D931" s="28" t="s">
        <v>77</v>
      </c>
      <c r="E931" s="28" t="s">
        <v>77</v>
      </c>
      <c r="F931" s="28" t="s">
        <v>77</v>
      </c>
      <c r="G931" s="28" t="s">
        <v>77</v>
      </c>
      <c r="I931" s="26" t="s">
        <v>77</v>
      </c>
      <c r="J931" s="26" t="s">
        <v>77</v>
      </c>
      <c r="K931" s="18"/>
      <c r="L931" s="26" t="s">
        <v>77</v>
      </c>
      <c r="M931" s="6" t="s">
        <v>77</v>
      </c>
      <c r="N931" s="28" t="s">
        <v>77</v>
      </c>
      <c r="O931" s="26" t="s">
        <v>77</v>
      </c>
    </row>
    <row r="932">
      <c r="A932" s="52" t="s">
        <v>77</v>
      </c>
      <c r="B932" s="28" t="s">
        <v>77</v>
      </c>
      <c r="C932" s="28" t="s">
        <v>77</v>
      </c>
      <c r="D932" s="28" t="s">
        <v>77</v>
      </c>
      <c r="E932" s="28" t="s">
        <v>77</v>
      </c>
      <c r="F932" s="28" t="s">
        <v>77</v>
      </c>
      <c r="G932" s="28" t="s">
        <v>77</v>
      </c>
      <c r="I932" s="26" t="s">
        <v>77</v>
      </c>
      <c r="J932" s="26" t="s">
        <v>77</v>
      </c>
      <c r="K932" s="18"/>
      <c r="L932" s="26" t="s">
        <v>77</v>
      </c>
      <c r="M932" s="6" t="s">
        <v>77</v>
      </c>
      <c r="N932" s="28" t="s">
        <v>77</v>
      </c>
      <c r="O932" s="26" t="s">
        <v>77</v>
      </c>
    </row>
    <row r="933">
      <c r="A933" s="52" t="s">
        <v>77</v>
      </c>
      <c r="B933" s="28" t="s">
        <v>77</v>
      </c>
      <c r="C933" s="28" t="s">
        <v>77</v>
      </c>
      <c r="D933" s="28" t="s">
        <v>77</v>
      </c>
      <c r="E933" s="28" t="s">
        <v>77</v>
      </c>
      <c r="F933" s="28" t="s">
        <v>77</v>
      </c>
      <c r="G933" s="28" t="s">
        <v>77</v>
      </c>
      <c r="I933" s="26" t="s">
        <v>77</v>
      </c>
      <c r="J933" s="26" t="s">
        <v>77</v>
      </c>
      <c r="K933" s="18"/>
      <c r="L933" s="26" t="s">
        <v>77</v>
      </c>
      <c r="M933" s="6" t="s">
        <v>77</v>
      </c>
      <c r="N933" s="28" t="s">
        <v>77</v>
      </c>
      <c r="O933" s="26" t="s">
        <v>77</v>
      </c>
    </row>
    <row r="934">
      <c r="A934" s="52" t="s">
        <v>77</v>
      </c>
      <c r="B934" s="28" t="s">
        <v>77</v>
      </c>
      <c r="C934" s="28" t="s">
        <v>77</v>
      </c>
      <c r="D934" s="28" t="s">
        <v>77</v>
      </c>
      <c r="E934" s="28" t="s">
        <v>77</v>
      </c>
      <c r="F934" s="28" t="s">
        <v>77</v>
      </c>
      <c r="G934" s="28" t="s">
        <v>77</v>
      </c>
      <c r="I934" s="26" t="s">
        <v>77</v>
      </c>
      <c r="J934" s="26" t="s">
        <v>77</v>
      </c>
      <c r="K934" s="18"/>
      <c r="L934" s="26" t="s">
        <v>77</v>
      </c>
      <c r="M934" s="6" t="s">
        <v>77</v>
      </c>
      <c r="N934" s="28" t="s">
        <v>77</v>
      </c>
      <c r="O934" s="26" t="s">
        <v>77</v>
      </c>
    </row>
    <row r="935">
      <c r="A935" s="52" t="s">
        <v>77</v>
      </c>
      <c r="B935" s="28" t="s">
        <v>77</v>
      </c>
      <c r="C935" s="28" t="s">
        <v>77</v>
      </c>
      <c r="D935" s="28" t="s">
        <v>77</v>
      </c>
      <c r="E935" s="28" t="s">
        <v>77</v>
      </c>
      <c r="F935" s="28" t="s">
        <v>77</v>
      </c>
      <c r="G935" s="28" t="s">
        <v>77</v>
      </c>
      <c r="I935" s="26" t="s">
        <v>77</v>
      </c>
      <c r="J935" s="26" t="s">
        <v>77</v>
      </c>
      <c r="K935" s="18"/>
      <c r="L935" s="26" t="s">
        <v>77</v>
      </c>
      <c r="M935" s="6" t="s">
        <v>77</v>
      </c>
      <c r="N935" s="28" t="s">
        <v>77</v>
      </c>
      <c r="O935" s="26" t="s">
        <v>77</v>
      </c>
    </row>
    <row r="936">
      <c r="A936" s="52" t="s">
        <v>77</v>
      </c>
      <c r="B936" s="28" t="s">
        <v>77</v>
      </c>
      <c r="C936" s="28" t="s">
        <v>77</v>
      </c>
      <c r="D936" s="28" t="s">
        <v>77</v>
      </c>
      <c r="E936" s="28" t="s">
        <v>77</v>
      </c>
      <c r="F936" s="28" t="s">
        <v>77</v>
      </c>
      <c r="G936" s="28" t="s">
        <v>77</v>
      </c>
      <c r="I936" s="26" t="s">
        <v>77</v>
      </c>
      <c r="J936" s="26" t="s">
        <v>77</v>
      </c>
      <c r="K936" s="18"/>
      <c r="L936" s="26" t="s">
        <v>77</v>
      </c>
      <c r="M936" s="6" t="s">
        <v>77</v>
      </c>
      <c r="N936" s="28" t="s">
        <v>77</v>
      </c>
      <c r="O936" s="26" t="s">
        <v>77</v>
      </c>
    </row>
    <row r="937">
      <c r="A937" s="52" t="s">
        <v>77</v>
      </c>
      <c r="B937" s="28" t="s">
        <v>77</v>
      </c>
      <c r="C937" s="28" t="s">
        <v>77</v>
      </c>
      <c r="D937" s="28" t="s">
        <v>77</v>
      </c>
      <c r="E937" s="28" t="s">
        <v>77</v>
      </c>
      <c r="F937" s="28" t="s">
        <v>77</v>
      </c>
      <c r="G937" s="28" t="s">
        <v>77</v>
      </c>
      <c r="I937" s="26" t="s">
        <v>77</v>
      </c>
      <c r="J937" s="26" t="s">
        <v>77</v>
      </c>
      <c r="K937" s="18"/>
      <c r="L937" s="26" t="s">
        <v>77</v>
      </c>
      <c r="M937" s="6" t="s">
        <v>77</v>
      </c>
      <c r="N937" s="28" t="s">
        <v>77</v>
      </c>
      <c r="O937" s="26" t="s">
        <v>77</v>
      </c>
    </row>
    <row r="938">
      <c r="A938" s="52" t="s">
        <v>77</v>
      </c>
      <c r="B938" s="28" t="s">
        <v>77</v>
      </c>
      <c r="C938" s="28" t="s">
        <v>77</v>
      </c>
      <c r="D938" s="28" t="s">
        <v>77</v>
      </c>
      <c r="E938" s="28" t="s">
        <v>77</v>
      </c>
      <c r="F938" s="28" t="s">
        <v>77</v>
      </c>
      <c r="G938" s="28" t="s">
        <v>77</v>
      </c>
      <c r="I938" s="26" t="s">
        <v>77</v>
      </c>
      <c r="J938" s="26" t="s">
        <v>77</v>
      </c>
      <c r="K938" s="18"/>
      <c r="L938" s="26" t="s">
        <v>77</v>
      </c>
      <c r="M938" s="6" t="s">
        <v>77</v>
      </c>
      <c r="N938" s="28" t="s">
        <v>77</v>
      </c>
      <c r="O938" s="26" t="s">
        <v>77</v>
      </c>
    </row>
    <row r="939">
      <c r="A939" s="52" t="s">
        <v>77</v>
      </c>
      <c r="B939" s="28" t="s">
        <v>77</v>
      </c>
      <c r="C939" s="28" t="s">
        <v>77</v>
      </c>
      <c r="D939" s="28" t="s">
        <v>77</v>
      </c>
      <c r="E939" s="28" t="s">
        <v>77</v>
      </c>
      <c r="F939" s="28" t="s">
        <v>77</v>
      </c>
      <c r="G939" s="28" t="s">
        <v>77</v>
      </c>
      <c r="I939" s="26" t="s">
        <v>77</v>
      </c>
      <c r="J939" s="26" t="s">
        <v>77</v>
      </c>
      <c r="K939" s="18"/>
      <c r="L939" s="26" t="s">
        <v>77</v>
      </c>
      <c r="M939" s="6" t="s">
        <v>77</v>
      </c>
      <c r="N939" s="28" t="s">
        <v>77</v>
      </c>
      <c r="O939" s="26" t="s">
        <v>77</v>
      </c>
    </row>
    <row r="940">
      <c r="A940" s="52" t="s">
        <v>77</v>
      </c>
      <c r="B940" s="28" t="s">
        <v>77</v>
      </c>
      <c r="C940" s="28" t="s">
        <v>77</v>
      </c>
      <c r="D940" s="28" t="s">
        <v>77</v>
      </c>
      <c r="E940" s="28" t="s">
        <v>77</v>
      </c>
      <c r="F940" s="28" t="s">
        <v>77</v>
      </c>
      <c r="G940" s="28" t="s">
        <v>77</v>
      </c>
      <c r="I940" s="26" t="s">
        <v>77</v>
      </c>
      <c r="J940" s="26" t="s">
        <v>77</v>
      </c>
      <c r="K940" s="18"/>
      <c r="L940" s="26" t="s">
        <v>77</v>
      </c>
      <c r="M940" s="6" t="s">
        <v>77</v>
      </c>
      <c r="N940" s="28" t="s">
        <v>77</v>
      </c>
      <c r="O940" s="26" t="s">
        <v>77</v>
      </c>
    </row>
    <row r="941">
      <c r="A941" s="52" t="s">
        <v>77</v>
      </c>
      <c r="B941" s="28" t="s">
        <v>77</v>
      </c>
      <c r="C941" s="28" t="s">
        <v>77</v>
      </c>
      <c r="D941" s="28" t="s">
        <v>77</v>
      </c>
      <c r="E941" s="28" t="s">
        <v>77</v>
      </c>
      <c r="F941" s="28" t="s">
        <v>77</v>
      </c>
      <c r="G941" s="28" t="s">
        <v>77</v>
      </c>
      <c r="I941" s="26" t="s">
        <v>77</v>
      </c>
      <c r="J941" s="26" t="s">
        <v>77</v>
      </c>
      <c r="K941" s="18"/>
      <c r="L941" s="26" t="s">
        <v>77</v>
      </c>
      <c r="M941" s="6" t="s">
        <v>77</v>
      </c>
      <c r="N941" s="28" t="s">
        <v>77</v>
      </c>
      <c r="O941" s="26" t="s">
        <v>77</v>
      </c>
    </row>
    <row r="942">
      <c r="A942" s="52" t="s">
        <v>77</v>
      </c>
      <c r="B942" s="28" t="s">
        <v>77</v>
      </c>
      <c r="C942" s="28" t="s">
        <v>77</v>
      </c>
      <c r="D942" s="28" t="s">
        <v>77</v>
      </c>
      <c r="E942" s="28" t="s">
        <v>77</v>
      </c>
      <c r="F942" s="28" t="s">
        <v>77</v>
      </c>
      <c r="G942" s="28" t="s">
        <v>77</v>
      </c>
      <c r="I942" s="26" t="s">
        <v>77</v>
      </c>
      <c r="J942" s="26" t="s">
        <v>77</v>
      </c>
      <c r="K942" s="18"/>
      <c r="L942" s="26" t="s">
        <v>77</v>
      </c>
      <c r="M942" s="6" t="s">
        <v>77</v>
      </c>
      <c r="N942" s="28" t="s">
        <v>77</v>
      </c>
      <c r="O942" s="26" t="s">
        <v>77</v>
      </c>
    </row>
    <row r="943">
      <c r="A943" s="52" t="s">
        <v>77</v>
      </c>
      <c r="B943" s="28" t="s">
        <v>77</v>
      </c>
      <c r="C943" s="28" t="s">
        <v>77</v>
      </c>
      <c r="D943" s="28" t="s">
        <v>77</v>
      </c>
      <c r="E943" s="28" t="s">
        <v>77</v>
      </c>
      <c r="F943" s="28" t="s">
        <v>77</v>
      </c>
      <c r="G943" s="28" t="s">
        <v>77</v>
      </c>
      <c r="I943" s="26" t="s">
        <v>77</v>
      </c>
      <c r="J943" s="26" t="s">
        <v>77</v>
      </c>
      <c r="K943" s="18"/>
      <c r="L943" s="26" t="s">
        <v>77</v>
      </c>
      <c r="M943" s="6" t="s">
        <v>77</v>
      </c>
      <c r="N943" s="28" t="s">
        <v>77</v>
      </c>
      <c r="O943" s="26" t="s">
        <v>77</v>
      </c>
    </row>
    <row r="944">
      <c r="A944" s="52" t="s">
        <v>77</v>
      </c>
      <c r="B944" s="28" t="s">
        <v>77</v>
      </c>
      <c r="C944" s="28" t="s">
        <v>77</v>
      </c>
      <c r="D944" s="28" t="s">
        <v>77</v>
      </c>
      <c r="E944" s="28" t="s">
        <v>77</v>
      </c>
      <c r="F944" s="28" t="s">
        <v>77</v>
      </c>
      <c r="G944" s="28" t="s">
        <v>77</v>
      </c>
      <c r="I944" s="26" t="s">
        <v>77</v>
      </c>
      <c r="J944" s="26" t="s">
        <v>77</v>
      </c>
      <c r="K944" s="18"/>
      <c r="L944" s="26" t="s">
        <v>77</v>
      </c>
      <c r="M944" s="6" t="s">
        <v>77</v>
      </c>
      <c r="N944" s="28" t="s">
        <v>77</v>
      </c>
      <c r="O944" s="26" t="s">
        <v>77</v>
      </c>
    </row>
    <row r="945">
      <c r="A945" s="52" t="s">
        <v>77</v>
      </c>
      <c r="B945" s="28" t="s">
        <v>77</v>
      </c>
      <c r="C945" s="28" t="s">
        <v>77</v>
      </c>
      <c r="D945" s="28" t="s">
        <v>77</v>
      </c>
      <c r="E945" s="28" t="s">
        <v>77</v>
      </c>
      <c r="F945" s="28" t="s">
        <v>77</v>
      </c>
      <c r="G945" s="28" t="s">
        <v>77</v>
      </c>
      <c r="I945" s="26" t="s">
        <v>77</v>
      </c>
      <c r="J945" s="26" t="s">
        <v>77</v>
      </c>
      <c r="K945" s="18"/>
      <c r="L945" s="26" t="s">
        <v>77</v>
      </c>
      <c r="M945" s="6" t="s">
        <v>77</v>
      </c>
      <c r="N945" s="28" t="s">
        <v>77</v>
      </c>
      <c r="O945" s="26" t="s">
        <v>77</v>
      </c>
    </row>
    <row r="946">
      <c r="A946" s="52" t="s">
        <v>77</v>
      </c>
      <c r="B946" s="28" t="s">
        <v>77</v>
      </c>
      <c r="C946" s="28" t="s">
        <v>77</v>
      </c>
      <c r="D946" s="28" t="s">
        <v>77</v>
      </c>
      <c r="E946" s="28" t="s">
        <v>77</v>
      </c>
      <c r="F946" s="28" t="s">
        <v>77</v>
      </c>
      <c r="G946" s="28" t="s">
        <v>77</v>
      </c>
      <c r="I946" s="26" t="s">
        <v>77</v>
      </c>
      <c r="J946" s="26" t="s">
        <v>77</v>
      </c>
      <c r="K946" s="18"/>
      <c r="L946" s="26" t="s">
        <v>77</v>
      </c>
      <c r="M946" s="6" t="s">
        <v>77</v>
      </c>
      <c r="N946" s="28" t="s">
        <v>77</v>
      </c>
      <c r="O946" s="26" t="s">
        <v>77</v>
      </c>
    </row>
    <row r="947">
      <c r="A947" s="52" t="s">
        <v>77</v>
      </c>
      <c r="B947" s="28" t="s">
        <v>77</v>
      </c>
      <c r="C947" s="28" t="s">
        <v>77</v>
      </c>
      <c r="D947" s="28" t="s">
        <v>77</v>
      </c>
      <c r="E947" s="28" t="s">
        <v>77</v>
      </c>
      <c r="F947" s="28" t="s">
        <v>77</v>
      </c>
      <c r="G947" s="28" t="s">
        <v>77</v>
      </c>
      <c r="I947" s="26" t="s">
        <v>77</v>
      </c>
      <c r="J947" s="26" t="s">
        <v>77</v>
      </c>
      <c r="K947" s="18"/>
      <c r="L947" s="26" t="s">
        <v>77</v>
      </c>
      <c r="M947" s="6" t="s">
        <v>77</v>
      </c>
      <c r="N947" s="28" t="s">
        <v>77</v>
      </c>
      <c r="O947" s="26" t="s">
        <v>77</v>
      </c>
    </row>
    <row r="948">
      <c r="A948" s="52" t="s">
        <v>77</v>
      </c>
      <c r="B948" s="28" t="s">
        <v>77</v>
      </c>
      <c r="C948" s="28" t="s">
        <v>77</v>
      </c>
      <c r="D948" s="28" t="s">
        <v>77</v>
      </c>
      <c r="E948" s="28" t="s">
        <v>77</v>
      </c>
      <c r="F948" s="28" t="s">
        <v>77</v>
      </c>
      <c r="G948" s="28" t="s">
        <v>77</v>
      </c>
      <c r="I948" s="26" t="s">
        <v>77</v>
      </c>
      <c r="J948" s="26" t="s">
        <v>77</v>
      </c>
      <c r="K948" s="18"/>
      <c r="L948" s="26" t="s">
        <v>77</v>
      </c>
      <c r="M948" s="6" t="s">
        <v>77</v>
      </c>
      <c r="N948" s="28" t="s">
        <v>77</v>
      </c>
      <c r="O948" s="26" t="s">
        <v>77</v>
      </c>
    </row>
    <row r="949">
      <c r="A949" s="52" t="s">
        <v>77</v>
      </c>
      <c r="B949" s="28" t="s">
        <v>77</v>
      </c>
      <c r="C949" s="28" t="s">
        <v>77</v>
      </c>
      <c r="D949" s="28" t="s">
        <v>77</v>
      </c>
      <c r="E949" s="28" t="s">
        <v>77</v>
      </c>
      <c r="F949" s="28" t="s">
        <v>77</v>
      </c>
      <c r="G949" s="28" t="s">
        <v>77</v>
      </c>
      <c r="I949" s="26" t="s">
        <v>77</v>
      </c>
      <c r="J949" s="26" t="s">
        <v>77</v>
      </c>
      <c r="K949" s="18"/>
      <c r="L949" s="26" t="s">
        <v>77</v>
      </c>
      <c r="M949" s="6" t="s">
        <v>77</v>
      </c>
      <c r="N949" s="28" t="s">
        <v>77</v>
      </c>
      <c r="O949" s="26" t="s">
        <v>77</v>
      </c>
    </row>
    <row r="950">
      <c r="A950" s="52" t="s">
        <v>77</v>
      </c>
      <c r="B950" s="28" t="s">
        <v>77</v>
      </c>
      <c r="C950" s="28" t="s">
        <v>77</v>
      </c>
      <c r="D950" s="28" t="s">
        <v>77</v>
      </c>
      <c r="E950" s="28" t="s">
        <v>77</v>
      </c>
      <c r="F950" s="28" t="s">
        <v>77</v>
      </c>
      <c r="G950" s="28" t="s">
        <v>77</v>
      </c>
      <c r="I950" s="26" t="s">
        <v>77</v>
      </c>
      <c r="J950" s="26" t="s">
        <v>77</v>
      </c>
      <c r="K950" s="18"/>
      <c r="L950" s="26" t="s">
        <v>77</v>
      </c>
      <c r="M950" s="6" t="s">
        <v>77</v>
      </c>
      <c r="N950" s="28" t="s">
        <v>77</v>
      </c>
      <c r="O950" s="26" t="s">
        <v>77</v>
      </c>
    </row>
    <row r="951">
      <c r="A951" s="52" t="s">
        <v>77</v>
      </c>
      <c r="B951" s="28" t="s">
        <v>77</v>
      </c>
      <c r="C951" s="28" t="s">
        <v>77</v>
      </c>
      <c r="D951" s="28" t="s">
        <v>77</v>
      </c>
      <c r="E951" s="28" t="s">
        <v>77</v>
      </c>
      <c r="F951" s="28" t="s">
        <v>77</v>
      </c>
      <c r="G951" s="28" t="s">
        <v>77</v>
      </c>
      <c r="I951" s="26" t="s">
        <v>77</v>
      </c>
      <c r="J951" s="26" t="s">
        <v>77</v>
      </c>
      <c r="K951" s="18"/>
      <c r="L951" s="26" t="s">
        <v>77</v>
      </c>
      <c r="M951" s="6" t="s">
        <v>77</v>
      </c>
      <c r="N951" s="28" t="s">
        <v>77</v>
      </c>
      <c r="O951" s="26" t="s">
        <v>77</v>
      </c>
    </row>
    <row r="952">
      <c r="A952" s="52" t="s">
        <v>77</v>
      </c>
      <c r="B952" s="28" t="s">
        <v>77</v>
      </c>
      <c r="C952" s="28" t="s">
        <v>77</v>
      </c>
      <c r="D952" s="28" t="s">
        <v>77</v>
      </c>
      <c r="E952" s="28" t="s">
        <v>77</v>
      </c>
      <c r="F952" s="28" t="s">
        <v>77</v>
      </c>
      <c r="G952" s="28" t="s">
        <v>77</v>
      </c>
      <c r="I952" s="26" t="s">
        <v>77</v>
      </c>
      <c r="J952" s="26" t="s">
        <v>77</v>
      </c>
      <c r="K952" s="18"/>
      <c r="L952" s="26" t="s">
        <v>77</v>
      </c>
      <c r="M952" s="6" t="s">
        <v>77</v>
      </c>
      <c r="N952" s="28" t="s">
        <v>77</v>
      </c>
      <c r="O952" s="26" t="s">
        <v>77</v>
      </c>
    </row>
    <row r="953">
      <c r="A953" s="52" t="s">
        <v>77</v>
      </c>
      <c r="B953" s="28" t="s">
        <v>77</v>
      </c>
      <c r="C953" s="28" t="s">
        <v>77</v>
      </c>
      <c r="D953" s="28" t="s">
        <v>77</v>
      </c>
      <c r="E953" s="28" t="s">
        <v>77</v>
      </c>
      <c r="F953" s="28" t="s">
        <v>77</v>
      </c>
      <c r="G953" s="28" t="s">
        <v>77</v>
      </c>
      <c r="I953" s="26" t="s">
        <v>77</v>
      </c>
      <c r="J953" s="26" t="s">
        <v>77</v>
      </c>
      <c r="K953" s="18"/>
      <c r="L953" s="26" t="s">
        <v>77</v>
      </c>
      <c r="M953" s="6" t="s">
        <v>77</v>
      </c>
      <c r="N953" s="28" t="s">
        <v>77</v>
      </c>
      <c r="O953" s="26" t="s">
        <v>77</v>
      </c>
    </row>
    <row r="954">
      <c r="A954" s="52" t="s">
        <v>77</v>
      </c>
      <c r="B954" s="28" t="s">
        <v>77</v>
      </c>
      <c r="C954" s="28" t="s">
        <v>77</v>
      </c>
      <c r="D954" s="28" t="s">
        <v>77</v>
      </c>
      <c r="E954" s="28" t="s">
        <v>77</v>
      </c>
      <c r="F954" s="28" t="s">
        <v>77</v>
      </c>
      <c r="G954" s="28" t="s">
        <v>77</v>
      </c>
      <c r="I954" s="26" t="s">
        <v>77</v>
      </c>
      <c r="J954" s="26" t="s">
        <v>77</v>
      </c>
      <c r="K954" s="18"/>
      <c r="L954" s="26" t="s">
        <v>77</v>
      </c>
      <c r="M954" s="6" t="s">
        <v>77</v>
      </c>
      <c r="N954" s="28" t="s">
        <v>77</v>
      </c>
      <c r="O954" s="26" t="s">
        <v>77</v>
      </c>
    </row>
    <row r="955">
      <c r="A955" s="52" t="s">
        <v>77</v>
      </c>
      <c r="B955" s="28" t="s">
        <v>77</v>
      </c>
      <c r="C955" s="28" t="s">
        <v>77</v>
      </c>
      <c r="D955" s="28" t="s">
        <v>77</v>
      </c>
      <c r="E955" s="28" t="s">
        <v>77</v>
      </c>
      <c r="F955" s="28" t="s">
        <v>77</v>
      </c>
      <c r="G955" s="28" t="s">
        <v>77</v>
      </c>
      <c r="I955" s="26" t="s">
        <v>77</v>
      </c>
      <c r="J955" s="26" t="s">
        <v>77</v>
      </c>
      <c r="K955" s="18"/>
      <c r="L955" s="26" t="s">
        <v>77</v>
      </c>
      <c r="M955" s="6" t="s">
        <v>77</v>
      </c>
      <c r="N955" s="28" t="s">
        <v>77</v>
      </c>
      <c r="O955" s="26" t="s">
        <v>77</v>
      </c>
    </row>
    <row r="956">
      <c r="A956" s="52" t="s">
        <v>77</v>
      </c>
      <c r="B956" s="28" t="s">
        <v>77</v>
      </c>
      <c r="C956" s="28" t="s">
        <v>77</v>
      </c>
      <c r="D956" s="28" t="s">
        <v>77</v>
      </c>
      <c r="E956" s="28" t="s">
        <v>77</v>
      </c>
      <c r="F956" s="28" t="s">
        <v>77</v>
      </c>
      <c r="G956" s="28" t="s">
        <v>77</v>
      </c>
      <c r="I956" s="26" t="s">
        <v>77</v>
      </c>
      <c r="J956" s="26" t="s">
        <v>77</v>
      </c>
      <c r="K956" s="18"/>
      <c r="L956" s="26" t="s">
        <v>77</v>
      </c>
      <c r="M956" s="6" t="s">
        <v>77</v>
      </c>
      <c r="N956" s="28" t="s">
        <v>77</v>
      </c>
      <c r="O956" s="26" t="s">
        <v>77</v>
      </c>
    </row>
    <row r="957">
      <c r="A957" s="52" t="s">
        <v>77</v>
      </c>
      <c r="B957" s="28" t="s">
        <v>77</v>
      </c>
      <c r="C957" s="28" t="s">
        <v>77</v>
      </c>
      <c r="D957" s="28" t="s">
        <v>77</v>
      </c>
      <c r="E957" s="28" t="s">
        <v>77</v>
      </c>
      <c r="F957" s="28" t="s">
        <v>77</v>
      </c>
      <c r="G957" s="28" t="s">
        <v>77</v>
      </c>
      <c r="I957" s="26" t="s">
        <v>77</v>
      </c>
      <c r="J957" s="26" t="s">
        <v>77</v>
      </c>
      <c r="K957" s="18"/>
      <c r="L957" s="26" t="s">
        <v>77</v>
      </c>
      <c r="M957" s="6" t="s">
        <v>77</v>
      </c>
      <c r="N957" s="28" t="s">
        <v>77</v>
      </c>
      <c r="O957" s="26" t="s">
        <v>77</v>
      </c>
    </row>
    <row r="958">
      <c r="A958" s="52" t="s">
        <v>77</v>
      </c>
      <c r="B958" s="28" t="s">
        <v>77</v>
      </c>
      <c r="C958" s="28" t="s">
        <v>77</v>
      </c>
      <c r="D958" s="28" t="s">
        <v>77</v>
      </c>
      <c r="E958" s="28" t="s">
        <v>77</v>
      </c>
      <c r="F958" s="28" t="s">
        <v>77</v>
      </c>
      <c r="G958" s="28" t="s">
        <v>77</v>
      </c>
      <c r="I958" s="26" t="s">
        <v>77</v>
      </c>
      <c r="J958" s="26" t="s">
        <v>77</v>
      </c>
      <c r="K958" s="18"/>
      <c r="L958" s="26" t="s">
        <v>77</v>
      </c>
      <c r="M958" s="6" t="s">
        <v>77</v>
      </c>
      <c r="N958" s="28" t="s">
        <v>77</v>
      </c>
      <c r="O958" s="26" t="s">
        <v>77</v>
      </c>
    </row>
    <row r="959">
      <c r="A959" s="52" t="s">
        <v>77</v>
      </c>
      <c r="B959" s="28" t="s">
        <v>77</v>
      </c>
      <c r="C959" s="28" t="s">
        <v>77</v>
      </c>
      <c r="D959" s="28" t="s">
        <v>77</v>
      </c>
      <c r="E959" s="28" t="s">
        <v>77</v>
      </c>
      <c r="F959" s="28" t="s">
        <v>77</v>
      </c>
      <c r="G959" s="28" t="s">
        <v>77</v>
      </c>
      <c r="I959" s="26" t="s">
        <v>77</v>
      </c>
      <c r="J959" s="26" t="s">
        <v>77</v>
      </c>
      <c r="K959" s="18"/>
      <c r="L959" s="26" t="s">
        <v>77</v>
      </c>
      <c r="M959" s="6" t="s">
        <v>77</v>
      </c>
      <c r="N959" s="28" t="s">
        <v>77</v>
      </c>
      <c r="O959" s="26" t="s">
        <v>77</v>
      </c>
    </row>
    <row r="960">
      <c r="A960" s="52" t="s">
        <v>77</v>
      </c>
      <c r="B960" s="28" t="s">
        <v>77</v>
      </c>
      <c r="C960" s="28" t="s">
        <v>77</v>
      </c>
      <c r="D960" s="28" t="s">
        <v>77</v>
      </c>
      <c r="E960" s="28" t="s">
        <v>77</v>
      </c>
      <c r="F960" s="28" t="s">
        <v>77</v>
      </c>
      <c r="G960" s="28" t="s">
        <v>77</v>
      </c>
      <c r="I960" s="26" t="s">
        <v>77</v>
      </c>
      <c r="J960" s="26" t="s">
        <v>77</v>
      </c>
      <c r="K960" s="18"/>
      <c r="L960" s="26" t="s">
        <v>77</v>
      </c>
      <c r="M960" s="6" t="s">
        <v>77</v>
      </c>
      <c r="N960" s="28" t="s">
        <v>77</v>
      </c>
      <c r="O960" s="26" t="s">
        <v>77</v>
      </c>
    </row>
    <row r="961">
      <c r="A961" s="52" t="s">
        <v>77</v>
      </c>
      <c r="B961" s="28" t="s">
        <v>77</v>
      </c>
      <c r="C961" s="28" t="s">
        <v>77</v>
      </c>
      <c r="D961" s="28" t="s">
        <v>77</v>
      </c>
      <c r="E961" s="28" t="s">
        <v>77</v>
      </c>
      <c r="F961" s="28" t="s">
        <v>77</v>
      </c>
      <c r="G961" s="28" t="s">
        <v>77</v>
      </c>
      <c r="I961" s="26" t="s">
        <v>77</v>
      </c>
      <c r="J961" s="26" t="s">
        <v>77</v>
      </c>
      <c r="K961" s="18"/>
      <c r="L961" s="26" t="s">
        <v>77</v>
      </c>
      <c r="M961" s="6" t="s">
        <v>77</v>
      </c>
      <c r="N961" s="28" t="s">
        <v>77</v>
      </c>
      <c r="O961" s="26" t="s">
        <v>77</v>
      </c>
    </row>
    <row r="962">
      <c r="A962" s="52" t="s">
        <v>77</v>
      </c>
      <c r="B962" s="28" t="s">
        <v>77</v>
      </c>
      <c r="C962" s="28" t="s">
        <v>77</v>
      </c>
      <c r="D962" s="28" t="s">
        <v>77</v>
      </c>
      <c r="E962" s="28" t="s">
        <v>77</v>
      </c>
      <c r="F962" s="28" t="s">
        <v>77</v>
      </c>
      <c r="G962" s="28" t="s">
        <v>77</v>
      </c>
      <c r="I962" s="26" t="s">
        <v>77</v>
      </c>
      <c r="J962" s="26" t="s">
        <v>77</v>
      </c>
      <c r="K962" s="18"/>
      <c r="L962" s="26" t="s">
        <v>77</v>
      </c>
      <c r="M962" s="6" t="s">
        <v>77</v>
      </c>
      <c r="N962" s="28" t="s">
        <v>77</v>
      </c>
      <c r="O962" s="26" t="s">
        <v>77</v>
      </c>
    </row>
    <row r="963">
      <c r="A963" s="52" t="s">
        <v>77</v>
      </c>
      <c r="B963" s="28" t="s">
        <v>77</v>
      </c>
      <c r="C963" s="28" t="s">
        <v>77</v>
      </c>
      <c r="D963" s="28" t="s">
        <v>77</v>
      </c>
      <c r="E963" s="28" t="s">
        <v>77</v>
      </c>
      <c r="F963" s="28" t="s">
        <v>77</v>
      </c>
      <c r="G963" s="28" t="s">
        <v>77</v>
      </c>
      <c r="I963" s="26" t="s">
        <v>77</v>
      </c>
      <c r="J963" s="26" t="s">
        <v>77</v>
      </c>
      <c r="K963" s="18"/>
      <c r="L963" s="26" t="s">
        <v>77</v>
      </c>
      <c r="M963" s="6" t="s">
        <v>77</v>
      </c>
      <c r="N963" s="28" t="s">
        <v>77</v>
      </c>
      <c r="O963" s="26" t="s">
        <v>77</v>
      </c>
    </row>
    <row r="964">
      <c r="A964" s="52" t="s">
        <v>77</v>
      </c>
      <c r="B964" s="28" t="s">
        <v>77</v>
      </c>
      <c r="C964" s="28" t="s">
        <v>77</v>
      </c>
      <c r="D964" s="28" t="s">
        <v>77</v>
      </c>
      <c r="E964" s="28" t="s">
        <v>77</v>
      </c>
      <c r="F964" s="28" t="s">
        <v>77</v>
      </c>
      <c r="G964" s="28" t="s">
        <v>77</v>
      </c>
      <c r="I964" s="26" t="s">
        <v>77</v>
      </c>
      <c r="J964" s="26" t="s">
        <v>77</v>
      </c>
      <c r="K964" s="18"/>
      <c r="L964" s="26" t="s">
        <v>77</v>
      </c>
      <c r="M964" s="6" t="s">
        <v>77</v>
      </c>
      <c r="N964" s="28" t="s">
        <v>77</v>
      </c>
      <c r="O964" s="26" t="s">
        <v>77</v>
      </c>
    </row>
    <row r="965">
      <c r="A965" s="52" t="s">
        <v>77</v>
      </c>
      <c r="B965" s="28" t="s">
        <v>77</v>
      </c>
      <c r="C965" s="28" t="s">
        <v>77</v>
      </c>
      <c r="D965" s="28" t="s">
        <v>77</v>
      </c>
      <c r="E965" s="28" t="s">
        <v>77</v>
      </c>
      <c r="F965" s="28" t="s">
        <v>77</v>
      </c>
      <c r="G965" s="28" t="s">
        <v>77</v>
      </c>
      <c r="I965" s="26" t="s">
        <v>77</v>
      </c>
      <c r="J965" s="26" t="s">
        <v>77</v>
      </c>
      <c r="K965" s="18"/>
      <c r="L965" s="26" t="s">
        <v>77</v>
      </c>
      <c r="M965" s="6" t="s">
        <v>77</v>
      </c>
      <c r="N965" s="28" t="s">
        <v>77</v>
      </c>
      <c r="O965" s="26" t="s">
        <v>77</v>
      </c>
    </row>
    <row r="966">
      <c r="A966" s="52" t="s">
        <v>77</v>
      </c>
      <c r="B966" s="28" t="s">
        <v>77</v>
      </c>
      <c r="C966" s="28" t="s">
        <v>77</v>
      </c>
      <c r="D966" s="28" t="s">
        <v>77</v>
      </c>
      <c r="E966" s="28" t="s">
        <v>77</v>
      </c>
      <c r="F966" s="28" t="s">
        <v>77</v>
      </c>
      <c r="G966" s="28" t="s">
        <v>77</v>
      </c>
      <c r="I966" s="26" t="s">
        <v>77</v>
      </c>
      <c r="J966" s="26" t="s">
        <v>77</v>
      </c>
      <c r="K966" s="18"/>
      <c r="L966" s="26" t="s">
        <v>77</v>
      </c>
      <c r="M966" s="6" t="s">
        <v>77</v>
      </c>
      <c r="N966" s="28" t="s">
        <v>77</v>
      </c>
      <c r="O966" s="26" t="s">
        <v>77</v>
      </c>
    </row>
    <row r="967">
      <c r="A967" s="52" t="s">
        <v>77</v>
      </c>
      <c r="B967" s="28" t="s">
        <v>77</v>
      </c>
      <c r="C967" s="28" t="s">
        <v>77</v>
      </c>
      <c r="D967" s="28" t="s">
        <v>77</v>
      </c>
      <c r="E967" s="28" t="s">
        <v>77</v>
      </c>
      <c r="F967" s="28" t="s">
        <v>77</v>
      </c>
      <c r="G967" s="28" t="s">
        <v>77</v>
      </c>
      <c r="I967" s="26" t="s">
        <v>77</v>
      </c>
      <c r="J967" s="26" t="s">
        <v>77</v>
      </c>
      <c r="K967" s="18"/>
      <c r="L967" s="26" t="s">
        <v>77</v>
      </c>
      <c r="M967" s="6" t="s">
        <v>77</v>
      </c>
      <c r="N967" s="28" t="s">
        <v>77</v>
      </c>
      <c r="O967" s="26" t="s">
        <v>77</v>
      </c>
    </row>
    <row r="968">
      <c r="A968" s="52" t="s">
        <v>77</v>
      </c>
      <c r="B968" s="28" t="s">
        <v>77</v>
      </c>
      <c r="C968" s="28" t="s">
        <v>77</v>
      </c>
      <c r="D968" s="28" t="s">
        <v>77</v>
      </c>
      <c r="E968" s="28" t="s">
        <v>77</v>
      </c>
      <c r="F968" s="28" t="s">
        <v>77</v>
      </c>
      <c r="G968" s="28" t="s">
        <v>77</v>
      </c>
      <c r="I968" s="26" t="s">
        <v>77</v>
      </c>
      <c r="J968" s="26" t="s">
        <v>77</v>
      </c>
      <c r="K968" s="18"/>
      <c r="L968" s="26" t="s">
        <v>77</v>
      </c>
      <c r="M968" s="6" t="s">
        <v>77</v>
      </c>
      <c r="N968" s="28" t="s">
        <v>77</v>
      </c>
      <c r="O968" s="26" t="s">
        <v>77</v>
      </c>
    </row>
    <row r="969">
      <c r="A969" s="52" t="s">
        <v>77</v>
      </c>
      <c r="B969" s="28" t="s">
        <v>77</v>
      </c>
      <c r="C969" s="28" t="s">
        <v>77</v>
      </c>
      <c r="D969" s="28" t="s">
        <v>77</v>
      </c>
      <c r="E969" s="28" t="s">
        <v>77</v>
      </c>
      <c r="F969" s="28" t="s">
        <v>77</v>
      </c>
      <c r="G969" s="28" t="s">
        <v>77</v>
      </c>
      <c r="I969" s="26" t="s">
        <v>77</v>
      </c>
      <c r="J969" s="26" t="s">
        <v>77</v>
      </c>
      <c r="K969" s="18"/>
      <c r="L969" s="26" t="s">
        <v>77</v>
      </c>
      <c r="M969" s="6" t="s">
        <v>77</v>
      </c>
      <c r="N969" s="28" t="s">
        <v>77</v>
      </c>
      <c r="O969" s="26" t="s">
        <v>77</v>
      </c>
    </row>
    <row r="970">
      <c r="A970" s="52" t="s">
        <v>77</v>
      </c>
      <c r="B970" s="28" t="s">
        <v>77</v>
      </c>
      <c r="C970" s="28" t="s">
        <v>77</v>
      </c>
      <c r="D970" s="28" t="s">
        <v>77</v>
      </c>
      <c r="E970" s="28" t="s">
        <v>77</v>
      </c>
      <c r="F970" s="28" t="s">
        <v>77</v>
      </c>
      <c r="G970" s="28" t="s">
        <v>77</v>
      </c>
      <c r="I970" s="26" t="s">
        <v>77</v>
      </c>
      <c r="J970" s="26" t="s">
        <v>77</v>
      </c>
      <c r="K970" s="18"/>
      <c r="L970" s="26" t="s">
        <v>77</v>
      </c>
      <c r="M970" s="6" t="s">
        <v>77</v>
      </c>
      <c r="N970" s="28" t="s">
        <v>77</v>
      </c>
      <c r="O970" s="26" t="s">
        <v>77</v>
      </c>
    </row>
    <row r="971">
      <c r="A971" s="52" t="s">
        <v>77</v>
      </c>
      <c r="B971" s="28" t="s">
        <v>77</v>
      </c>
      <c r="C971" s="28" t="s">
        <v>77</v>
      </c>
      <c r="D971" s="28" t="s">
        <v>77</v>
      </c>
      <c r="E971" s="28" t="s">
        <v>77</v>
      </c>
      <c r="F971" s="28" t="s">
        <v>77</v>
      </c>
      <c r="G971" s="28" t="s">
        <v>77</v>
      </c>
      <c r="I971" s="26" t="s">
        <v>77</v>
      </c>
      <c r="J971" s="26" t="s">
        <v>77</v>
      </c>
      <c r="K971" s="18"/>
      <c r="L971" s="26" t="s">
        <v>77</v>
      </c>
      <c r="M971" s="6" t="s">
        <v>77</v>
      </c>
      <c r="N971" s="28" t="s">
        <v>77</v>
      </c>
      <c r="O971" s="26" t="s">
        <v>77</v>
      </c>
    </row>
    <row r="972">
      <c r="A972" s="52" t="s">
        <v>77</v>
      </c>
      <c r="B972" s="28" t="s">
        <v>77</v>
      </c>
      <c r="C972" s="28" t="s">
        <v>77</v>
      </c>
      <c r="D972" s="28" t="s">
        <v>77</v>
      </c>
      <c r="E972" s="28" t="s">
        <v>77</v>
      </c>
      <c r="F972" s="28" t="s">
        <v>77</v>
      </c>
      <c r="G972" s="28" t="s">
        <v>77</v>
      </c>
      <c r="I972" s="26" t="s">
        <v>77</v>
      </c>
      <c r="J972" s="26" t="s">
        <v>77</v>
      </c>
      <c r="K972" s="18"/>
      <c r="L972" s="26" t="s">
        <v>77</v>
      </c>
      <c r="M972" s="6" t="s">
        <v>77</v>
      </c>
      <c r="N972" s="28" t="s">
        <v>77</v>
      </c>
      <c r="O972" s="26" t="s">
        <v>77</v>
      </c>
    </row>
    <row r="973">
      <c r="A973" s="52" t="s">
        <v>77</v>
      </c>
      <c r="B973" s="28" t="s">
        <v>77</v>
      </c>
      <c r="C973" s="28" t="s">
        <v>77</v>
      </c>
      <c r="D973" s="28" t="s">
        <v>77</v>
      </c>
      <c r="E973" s="28" t="s">
        <v>77</v>
      </c>
      <c r="F973" s="28" t="s">
        <v>77</v>
      </c>
      <c r="G973" s="28" t="s">
        <v>77</v>
      </c>
      <c r="I973" s="26" t="s">
        <v>77</v>
      </c>
      <c r="J973" s="26" t="s">
        <v>77</v>
      </c>
      <c r="K973" s="18"/>
      <c r="L973" s="26" t="s">
        <v>77</v>
      </c>
      <c r="M973" s="6" t="s">
        <v>77</v>
      </c>
      <c r="N973" s="28" t="s">
        <v>77</v>
      </c>
      <c r="O973" s="26" t="s">
        <v>77</v>
      </c>
    </row>
    <row r="974">
      <c r="A974" s="52" t="s">
        <v>77</v>
      </c>
      <c r="B974" s="28" t="s">
        <v>77</v>
      </c>
      <c r="C974" s="28" t="s">
        <v>77</v>
      </c>
      <c r="D974" s="28" t="s">
        <v>77</v>
      </c>
      <c r="E974" s="28" t="s">
        <v>77</v>
      </c>
      <c r="F974" s="28" t="s">
        <v>77</v>
      </c>
      <c r="G974" s="28" t="s">
        <v>77</v>
      </c>
      <c r="I974" s="26" t="s">
        <v>77</v>
      </c>
      <c r="J974" s="26" t="s">
        <v>77</v>
      </c>
      <c r="K974" s="18"/>
      <c r="L974" s="26" t="s">
        <v>77</v>
      </c>
      <c r="M974" s="6" t="s">
        <v>77</v>
      </c>
      <c r="N974" s="28" t="s">
        <v>77</v>
      </c>
      <c r="O974" s="26" t="s">
        <v>77</v>
      </c>
    </row>
    <row r="975">
      <c r="A975" s="52" t="s">
        <v>77</v>
      </c>
      <c r="B975" s="28" t="s">
        <v>77</v>
      </c>
      <c r="C975" s="28" t="s">
        <v>77</v>
      </c>
      <c r="D975" s="28" t="s">
        <v>77</v>
      </c>
      <c r="E975" s="28" t="s">
        <v>77</v>
      </c>
      <c r="F975" s="28" t="s">
        <v>77</v>
      </c>
      <c r="G975" s="28" t="s">
        <v>77</v>
      </c>
      <c r="I975" s="26" t="s">
        <v>77</v>
      </c>
      <c r="J975" s="26" t="s">
        <v>77</v>
      </c>
      <c r="K975" s="18"/>
      <c r="L975" s="26" t="s">
        <v>77</v>
      </c>
      <c r="M975" s="6" t="s">
        <v>77</v>
      </c>
      <c r="N975" s="28" t="s">
        <v>77</v>
      </c>
      <c r="O975" s="26" t="s">
        <v>77</v>
      </c>
    </row>
    <row r="976">
      <c r="A976" s="52" t="s">
        <v>77</v>
      </c>
      <c r="B976" s="28" t="s">
        <v>77</v>
      </c>
      <c r="C976" s="28" t="s">
        <v>77</v>
      </c>
      <c r="D976" s="28" t="s">
        <v>77</v>
      </c>
      <c r="E976" s="28" t="s">
        <v>77</v>
      </c>
      <c r="F976" s="28" t="s">
        <v>77</v>
      </c>
      <c r="G976" s="28" t="s">
        <v>77</v>
      </c>
      <c r="I976" s="26" t="s">
        <v>77</v>
      </c>
      <c r="J976" s="26" t="s">
        <v>77</v>
      </c>
      <c r="K976" s="18"/>
      <c r="L976" s="26" t="s">
        <v>77</v>
      </c>
      <c r="M976" s="6" t="s">
        <v>77</v>
      </c>
      <c r="N976" s="28" t="s">
        <v>77</v>
      </c>
      <c r="O976" s="26" t="s">
        <v>77</v>
      </c>
    </row>
    <row r="977">
      <c r="A977" s="52" t="s">
        <v>77</v>
      </c>
      <c r="B977" s="28" t="s">
        <v>77</v>
      </c>
      <c r="C977" s="28" t="s">
        <v>77</v>
      </c>
      <c r="D977" s="28" t="s">
        <v>77</v>
      </c>
      <c r="E977" s="28" t="s">
        <v>77</v>
      </c>
      <c r="F977" s="28" t="s">
        <v>77</v>
      </c>
      <c r="G977" s="28" t="s">
        <v>77</v>
      </c>
      <c r="I977" s="26" t="s">
        <v>77</v>
      </c>
      <c r="J977" s="26" t="s">
        <v>77</v>
      </c>
      <c r="K977" s="18"/>
      <c r="L977" s="26" t="s">
        <v>77</v>
      </c>
      <c r="M977" s="6" t="s">
        <v>77</v>
      </c>
      <c r="N977" s="28" t="s">
        <v>77</v>
      </c>
      <c r="O977" s="26" t="s">
        <v>77</v>
      </c>
    </row>
    <row r="978">
      <c r="A978" s="52" t="s">
        <v>77</v>
      </c>
      <c r="B978" s="28" t="s">
        <v>77</v>
      </c>
      <c r="C978" s="28" t="s">
        <v>77</v>
      </c>
      <c r="D978" s="28" t="s">
        <v>77</v>
      </c>
      <c r="E978" s="28" t="s">
        <v>77</v>
      </c>
      <c r="F978" s="28" t="s">
        <v>77</v>
      </c>
      <c r="G978" s="28" t="s">
        <v>77</v>
      </c>
      <c r="I978" s="26" t="s">
        <v>77</v>
      </c>
      <c r="J978" s="26" t="s">
        <v>77</v>
      </c>
      <c r="K978" s="18"/>
      <c r="L978" s="26" t="s">
        <v>77</v>
      </c>
      <c r="M978" s="6" t="s">
        <v>77</v>
      </c>
      <c r="N978" s="28" t="s">
        <v>77</v>
      </c>
      <c r="O978" s="26" t="s">
        <v>77</v>
      </c>
    </row>
    <row r="979">
      <c r="A979" s="52" t="s">
        <v>77</v>
      </c>
      <c r="B979" s="28" t="s">
        <v>77</v>
      </c>
      <c r="C979" s="28" t="s">
        <v>77</v>
      </c>
      <c r="D979" s="28" t="s">
        <v>77</v>
      </c>
      <c r="E979" s="28" t="s">
        <v>77</v>
      </c>
      <c r="F979" s="28" t="s">
        <v>77</v>
      </c>
      <c r="G979" s="28" t="s">
        <v>77</v>
      </c>
      <c r="I979" s="26" t="s">
        <v>77</v>
      </c>
      <c r="J979" s="26" t="s">
        <v>77</v>
      </c>
      <c r="K979" s="18"/>
      <c r="L979" s="26" t="s">
        <v>77</v>
      </c>
      <c r="M979" s="6" t="s">
        <v>77</v>
      </c>
      <c r="N979" s="28" t="s">
        <v>77</v>
      </c>
      <c r="O979" s="26" t="s">
        <v>77</v>
      </c>
    </row>
    <row r="980">
      <c r="A980" s="52" t="s">
        <v>77</v>
      </c>
      <c r="B980" s="28" t="s">
        <v>77</v>
      </c>
      <c r="C980" s="28" t="s">
        <v>77</v>
      </c>
      <c r="D980" s="28" t="s">
        <v>77</v>
      </c>
      <c r="E980" s="28" t="s">
        <v>77</v>
      </c>
      <c r="F980" s="28" t="s">
        <v>77</v>
      </c>
      <c r="G980" s="28" t="s">
        <v>77</v>
      </c>
      <c r="I980" s="26" t="s">
        <v>77</v>
      </c>
      <c r="J980" s="26" t="s">
        <v>77</v>
      </c>
      <c r="K980" s="18"/>
      <c r="L980" s="26" t="s">
        <v>77</v>
      </c>
      <c r="M980" s="6" t="s">
        <v>77</v>
      </c>
      <c r="N980" s="28" t="s">
        <v>77</v>
      </c>
      <c r="O980" s="26" t="s">
        <v>77</v>
      </c>
    </row>
    <row r="981">
      <c r="A981" s="52" t="s">
        <v>77</v>
      </c>
      <c r="B981" s="28" t="s">
        <v>77</v>
      </c>
      <c r="C981" s="28" t="s">
        <v>77</v>
      </c>
      <c r="D981" s="28" t="s">
        <v>77</v>
      </c>
      <c r="E981" s="28" t="s">
        <v>77</v>
      </c>
      <c r="F981" s="28" t="s">
        <v>77</v>
      </c>
      <c r="G981" s="28" t="s">
        <v>77</v>
      </c>
      <c r="I981" s="26" t="s">
        <v>77</v>
      </c>
      <c r="J981" s="26" t="s">
        <v>77</v>
      </c>
      <c r="K981" s="18"/>
      <c r="L981" s="26" t="s">
        <v>77</v>
      </c>
      <c r="M981" s="6" t="s">
        <v>77</v>
      </c>
      <c r="N981" s="28" t="s">
        <v>77</v>
      </c>
      <c r="O981" s="26" t="s">
        <v>77</v>
      </c>
    </row>
    <row r="982">
      <c r="A982" s="52" t="s">
        <v>77</v>
      </c>
      <c r="B982" s="28" t="s">
        <v>77</v>
      </c>
      <c r="C982" s="28" t="s">
        <v>77</v>
      </c>
      <c r="D982" s="28" t="s">
        <v>77</v>
      </c>
      <c r="E982" s="28" t="s">
        <v>77</v>
      </c>
      <c r="F982" s="28" t="s">
        <v>77</v>
      </c>
      <c r="G982" s="28" t="s">
        <v>77</v>
      </c>
      <c r="I982" s="26" t="s">
        <v>77</v>
      </c>
      <c r="J982" s="26" t="s">
        <v>77</v>
      </c>
      <c r="K982" s="18"/>
      <c r="L982" s="26" t="s">
        <v>77</v>
      </c>
      <c r="M982" s="6" t="s">
        <v>77</v>
      </c>
      <c r="N982" s="28" t="s">
        <v>77</v>
      </c>
      <c r="O982" s="26" t="s">
        <v>77</v>
      </c>
    </row>
    <row r="983">
      <c r="A983" s="52" t="s">
        <v>77</v>
      </c>
      <c r="B983" s="28" t="s">
        <v>77</v>
      </c>
      <c r="C983" s="28" t="s">
        <v>77</v>
      </c>
      <c r="D983" s="28" t="s">
        <v>77</v>
      </c>
      <c r="E983" s="28" t="s">
        <v>77</v>
      </c>
      <c r="F983" s="28" t="s">
        <v>77</v>
      </c>
      <c r="G983" s="28" t="s">
        <v>77</v>
      </c>
      <c r="I983" s="26" t="s">
        <v>77</v>
      </c>
      <c r="J983" s="26" t="s">
        <v>77</v>
      </c>
      <c r="K983" s="18"/>
      <c r="L983" s="26" t="s">
        <v>77</v>
      </c>
      <c r="M983" s="6" t="s">
        <v>77</v>
      </c>
      <c r="N983" s="28" t="s">
        <v>77</v>
      </c>
      <c r="O983" s="26" t="s">
        <v>77</v>
      </c>
    </row>
    <row r="984">
      <c r="A984" s="52" t="s">
        <v>77</v>
      </c>
      <c r="B984" s="28" t="s">
        <v>77</v>
      </c>
      <c r="C984" s="28" t="s">
        <v>77</v>
      </c>
      <c r="D984" s="28" t="s">
        <v>77</v>
      </c>
      <c r="E984" s="28" t="s">
        <v>77</v>
      </c>
      <c r="F984" s="28" t="s">
        <v>77</v>
      </c>
      <c r="G984" s="28" t="s">
        <v>77</v>
      </c>
      <c r="I984" s="26" t="s">
        <v>77</v>
      </c>
      <c r="J984" s="26" t="s">
        <v>77</v>
      </c>
      <c r="K984" s="18"/>
      <c r="L984" s="26" t="s">
        <v>77</v>
      </c>
      <c r="M984" s="6" t="s">
        <v>77</v>
      </c>
      <c r="N984" s="28" t="s">
        <v>77</v>
      </c>
      <c r="O984" s="26" t="s">
        <v>77</v>
      </c>
    </row>
    <row r="985">
      <c r="A985" s="52" t="s">
        <v>77</v>
      </c>
      <c r="B985" s="28" t="s">
        <v>77</v>
      </c>
      <c r="C985" s="28" t="s">
        <v>77</v>
      </c>
      <c r="D985" s="28" t="s">
        <v>77</v>
      </c>
      <c r="E985" s="28" t="s">
        <v>77</v>
      </c>
      <c r="F985" s="28" t="s">
        <v>77</v>
      </c>
      <c r="G985" s="28" t="s">
        <v>77</v>
      </c>
      <c r="I985" s="26" t="s">
        <v>77</v>
      </c>
      <c r="J985" s="26" t="s">
        <v>77</v>
      </c>
      <c r="K985" s="18"/>
      <c r="L985" s="26" t="s">
        <v>77</v>
      </c>
      <c r="M985" s="6" t="s">
        <v>77</v>
      </c>
      <c r="N985" s="28" t="s">
        <v>77</v>
      </c>
      <c r="O985" s="26" t="s">
        <v>77</v>
      </c>
    </row>
    <row r="986">
      <c r="A986" s="52" t="s">
        <v>77</v>
      </c>
      <c r="B986" s="28" t="s">
        <v>77</v>
      </c>
      <c r="C986" s="28" t="s">
        <v>77</v>
      </c>
      <c r="D986" s="28" t="s">
        <v>77</v>
      </c>
      <c r="E986" s="28" t="s">
        <v>77</v>
      </c>
      <c r="F986" s="28" t="s">
        <v>77</v>
      </c>
      <c r="G986" s="28" t="s">
        <v>77</v>
      </c>
      <c r="I986" s="26" t="s">
        <v>77</v>
      </c>
      <c r="J986" s="26" t="s">
        <v>77</v>
      </c>
      <c r="K986" s="18"/>
      <c r="L986" s="26" t="s">
        <v>77</v>
      </c>
      <c r="M986" s="6" t="s">
        <v>77</v>
      </c>
      <c r="N986" s="28" t="s">
        <v>77</v>
      </c>
      <c r="O986" s="26" t="s">
        <v>77</v>
      </c>
    </row>
    <row r="987">
      <c r="A987" s="52" t="s">
        <v>77</v>
      </c>
      <c r="B987" s="28" t="s">
        <v>77</v>
      </c>
      <c r="C987" s="28" t="s">
        <v>77</v>
      </c>
      <c r="D987" s="28" t="s">
        <v>77</v>
      </c>
      <c r="E987" s="28" t="s">
        <v>77</v>
      </c>
      <c r="F987" s="28" t="s">
        <v>77</v>
      </c>
      <c r="G987" s="28" t="s">
        <v>77</v>
      </c>
      <c r="I987" s="26" t="s">
        <v>77</v>
      </c>
      <c r="J987" s="26" t="s">
        <v>77</v>
      </c>
      <c r="K987" s="18"/>
      <c r="L987" s="26" t="s">
        <v>77</v>
      </c>
      <c r="M987" s="6" t="s">
        <v>77</v>
      </c>
      <c r="N987" s="28" t="s">
        <v>77</v>
      </c>
      <c r="O987" s="26" t="s">
        <v>77</v>
      </c>
    </row>
    <row r="988">
      <c r="A988" s="52" t="s">
        <v>77</v>
      </c>
      <c r="B988" s="28" t="s">
        <v>77</v>
      </c>
      <c r="C988" s="28" t="s">
        <v>77</v>
      </c>
      <c r="D988" s="28" t="s">
        <v>77</v>
      </c>
      <c r="E988" s="28" t="s">
        <v>77</v>
      </c>
      <c r="F988" s="28" t="s">
        <v>77</v>
      </c>
      <c r="G988" s="28" t="s">
        <v>77</v>
      </c>
      <c r="I988" s="26" t="s">
        <v>77</v>
      </c>
      <c r="J988" s="26" t="s">
        <v>77</v>
      </c>
      <c r="K988" s="18"/>
      <c r="L988" s="26" t="s">
        <v>77</v>
      </c>
      <c r="M988" s="6" t="s">
        <v>77</v>
      </c>
      <c r="N988" s="28" t="s">
        <v>77</v>
      </c>
      <c r="O988" s="26" t="s">
        <v>77</v>
      </c>
    </row>
    <row r="989">
      <c r="A989" s="52" t="s">
        <v>77</v>
      </c>
      <c r="B989" s="28" t="s">
        <v>77</v>
      </c>
      <c r="C989" s="28" t="s">
        <v>77</v>
      </c>
      <c r="D989" s="28" t="s">
        <v>77</v>
      </c>
      <c r="E989" s="28" t="s">
        <v>77</v>
      </c>
      <c r="F989" s="28" t="s">
        <v>77</v>
      </c>
      <c r="G989" s="28" t="s">
        <v>77</v>
      </c>
      <c r="I989" s="26" t="s">
        <v>77</v>
      </c>
      <c r="J989" s="26" t="s">
        <v>77</v>
      </c>
      <c r="K989" s="18"/>
      <c r="L989" s="26" t="s">
        <v>77</v>
      </c>
      <c r="M989" s="6" t="s">
        <v>77</v>
      </c>
      <c r="N989" s="28" t="s">
        <v>77</v>
      </c>
      <c r="O989" s="26" t="s">
        <v>77</v>
      </c>
    </row>
    <row r="990">
      <c r="A990" s="52" t="s">
        <v>77</v>
      </c>
      <c r="B990" s="28" t="s">
        <v>77</v>
      </c>
      <c r="C990" s="28" t="s">
        <v>77</v>
      </c>
      <c r="D990" s="28" t="s">
        <v>77</v>
      </c>
      <c r="E990" s="28" t="s">
        <v>77</v>
      </c>
      <c r="F990" s="28" t="s">
        <v>77</v>
      </c>
      <c r="G990" s="28" t="s">
        <v>77</v>
      </c>
      <c r="I990" s="26" t="s">
        <v>77</v>
      </c>
      <c r="J990" s="26" t="s">
        <v>77</v>
      </c>
      <c r="K990" s="18"/>
      <c r="L990" s="26" t="s">
        <v>77</v>
      </c>
      <c r="M990" s="6" t="s">
        <v>77</v>
      </c>
      <c r="N990" s="28" t="s">
        <v>77</v>
      </c>
      <c r="O990" s="26" t="s">
        <v>77</v>
      </c>
    </row>
    <row r="991">
      <c r="A991" s="52" t="s">
        <v>77</v>
      </c>
      <c r="B991" s="28" t="s">
        <v>77</v>
      </c>
      <c r="C991" s="28" t="s">
        <v>77</v>
      </c>
      <c r="D991" s="28" t="s">
        <v>77</v>
      </c>
      <c r="E991" s="28" t="s">
        <v>77</v>
      </c>
      <c r="F991" s="28" t="s">
        <v>77</v>
      </c>
      <c r="G991" s="28" t="s">
        <v>77</v>
      </c>
      <c r="I991" s="26" t="s">
        <v>77</v>
      </c>
      <c r="J991" s="26" t="s">
        <v>77</v>
      </c>
      <c r="K991" s="18"/>
      <c r="L991" s="26" t="s">
        <v>77</v>
      </c>
      <c r="M991" s="6" t="s">
        <v>77</v>
      </c>
      <c r="N991" s="28" t="s">
        <v>77</v>
      </c>
      <c r="O991" s="26" t="s">
        <v>77</v>
      </c>
    </row>
    <row r="992">
      <c r="A992" s="52" t="s">
        <v>77</v>
      </c>
      <c r="B992" s="28" t="s">
        <v>77</v>
      </c>
      <c r="C992" s="28" t="s">
        <v>77</v>
      </c>
      <c r="D992" s="28" t="s">
        <v>77</v>
      </c>
      <c r="E992" s="28" t="s">
        <v>77</v>
      </c>
      <c r="F992" s="28" t="s">
        <v>77</v>
      </c>
      <c r="G992" s="28" t="s">
        <v>77</v>
      </c>
      <c r="I992" s="26" t="s">
        <v>77</v>
      </c>
      <c r="J992" s="26" t="s">
        <v>77</v>
      </c>
      <c r="K992" s="18"/>
      <c r="L992" s="26" t="s">
        <v>77</v>
      </c>
      <c r="M992" s="6" t="s">
        <v>77</v>
      </c>
      <c r="N992" s="28" t="s">
        <v>77</v>
      </c>
      <c r="O992" s="26" t="s">
        <v>77</v>
      </c>
    </row>
    <row r="993">
      <c r="A993" s="52" t="s">
        <v>77</v>
      </c>
      <c r="B993" s="28" t="s">
        <v>77</v>
      </c>
      <c r="C993" s="28" t="s">
        <v>77</v>
      </c>
      <c r="D993" s="28" t="s">
        <v>77</v>
      </c>
      <c r="E993" s="28" t="s">
        <v>77</v>
      </c>
      <c r="F993" s="28" t="s">
        <v>77</v>
      </c>
      <c r="G993" s="28" t="s">
        <v>77</v>
      </c>
      <c r="I993" s="26" t="s">
        <v>77</v>
      </c>
      <c r="J993" s="26" t="s">
        <v>77</v>
      </c>
      <c r="K993" s="18"/>
      <c r="L993" s="26" t="s">
        <v>77</v>
      </c>
      <c r="M993" s="6" t="s">
        <v>77</v>
      </c>
      <c r="N993" s="28" t="s">
        <v>77</v>
      </c>
      <c r="O993" s="26" t="s">
        <v>77</v>
      </c>
    </row>
    <row r="994">
      <c r="A994" s="52" t="s">
        <v>77</v>
      </c>
      <c r="B994" s="28" t="s">
        <v>77</v>
      </c>
      <c r="C994" s="28" t="s">
        <v>77</v>
      </c>
      <c r="D994" s="28" t="s">
        <v>77</v>
      </c>
      <c r="E994" s="28" t="s">
        <v>77</v>
      </c>
      <c r="F994" s="28" t="s">
        <v>77</v>
      </c>
      <c r="G994" s="28" t="s">
        <v>77</v>
      </c>
      <c r="I994" s="26" t="s">
        <v>77</v>
      </c>
      <c r="J994" s="26" t="s">
        <v>77</v>
      </c>
      <c r="K994" s="18"/>
      <c r="L994" s="26" t="s">
        <v>77</v>
      </c>
      <c r="M994" s="6" t="s">
        <v>77</v>
      </c>
      <c r="N994" s="28" t="s">
        <v>77</v>
      </c>
      <c r="O994" s="26" t="s">
        <v>77</v>
      </c>
    </row>
    <row r="995">
      <c r="A995" s="52" t="s">
        <v>77</v>
      </c>
      <c r="B995" s="28" t="s">
        <v>77</v>
      </c>
      <c r="C995" s="28" t="s">
        <v>77</v>
      </c>
      <c r="D995" s="28" t="s">
        <v>77</v>
      </c>
      <c r="E995" s="28" t="s">
        <v>77</v>
      </c>
      <c r="F995" s="28" t="s">
        <v>77</v>
      </c>
      <c r="G995" s="28" t="s">
        <v>77</v>
      </c>
      <c r="I995" s="26" t="s">
        <v>77</v>
      </c>
      <c r="J995" s="26" t="s">
        <v>77</v>
      </c>
      <c r="K995" s="18"/>
      <c r="L995" s="26" t="s">
        <v>77</v>
      </c>
      <c r="M995" s="6" t="s">
        <v>77</v>
      </c>
      <c r="N995" s="28" t="s">
        <v>77</v>
      </c>
      <c r="O995" s="26" t="s">
        <v>77</v>
      </c>
    </row>
    <row r="996">
      <c r="A996" s="52" t="s">
        <v>77</v>
      </c>
      <c r="B996" s="28" t="s">
        <v>77</v>
      </c>
      <c r="C996" s="28" t="s">
        <v>77</v>
      </c>
      <c r="D996" s="28" t="s">
        <v>77</v>
      </c>
      <c r="E996" s="28" t="s">
        <v>77</v>
      </c>
      <c r="F996" s="28" t="s">
        <v>77</v>
      </c>
      <c r="G996" s="28" t="s">
        <v>77</v>
      </c>
      <c r="I996" s="26" t="s">
        <v>77</v>
      </c>
      <c r="J996" s="26" t="s">
        <v>77</v>
      </c>
      <c r="K996" s="18"/>
      <c r="L996" s="26" t="s">
        <v>77</v>
      </c>
      <c r="M996" s="6" t="s">
        <v>77</v>
      </c>
      <c r="N996" s="28" t="s">
        <v>77</v>
      </c>
      <c r="O996" s="26" t="s">
        <v>77</v>
      </c>
    </row>
    <row r="997">
      <c r="A997" s="52" t="s">
        <v>77</v>
      </c>
      <c r="B997" s="28" t="s">
        <v>77</v>
      </c>
      <c r="C997" s="28" t="s">
        <v>77</v>
      </c>
      <c r="D997" s="28" t="s">
        <v>77</v>
      </c>
      <c r="E997" s="28" t="s">
        <v>77</v>
      </c>
      <c r="F997" s="28" t="s">
        <v>77</v>
      </c>
      <c r="G997" s="28" t="s">
        <v>77</v>
      </c>
      <c r="I997" s="26" t="s">
        <v>77</v>
      </c>
      <c r="J997" s="26" t="s">
        <v>77</v>
      </c>
      <c r="K997" s="18"/>
      <c r="L997" s="26" t="s">
        <v>77</v>
      </c>
      <c r="M997" s="6" t="s">
        <v>77</v>
      </c>
      <c r="N997" s="28" t="s">
        <v>77</v>
      </c>
      <c r="O997" s="26" t="s">
        <v>77</v>
      </c>
    </row>
    <row r="998">
      <c r="A998" s="52" t="s">
        <v>77</v>
      </c>
      <c r="B998" s="28" t="s">
        <v>77</v>
      </c>
      <c r="C998" s="28" t="s">
        <v>77</v>
      </c>
      <c r="D998" s="28" t="s">
        <v>77</v>
      </c>
      <c r="E998" s="28" t="s">
        <v>77</v>
      </c>
      <c r="F998" s="28" t="s">
        <v>77</v>
      </c>
      <c r="G998" s="28" t="s">
        <v>77</v>
      </c>
      <c r="I998" s="26" t="s">
        <v>77</v>
      </c>
      <c r="J998" s="26" t="s">
        <v>77</v>
      </c>
      <c r="K998" s="18"/>
      <c r="L998" s="26" t="s">
        <v>77</v>
      </c>
      <c r="M998" s="6" t="s">
        <v>77</v>
      </c>
      <c r="N998" s="28" t="s">
        <v>77</v>
      </c>
      <c r="O998" s="26" t="s">
        <v>77</v>
      </c>
    </row>
    <row r="999">
      <c r="A999" s="52" t="s">
        <v>77</v>
      </c>
      <c r="B999" s="28" t="s">
        <v>77</v>
      </c>
      <c r="C999" s="28" t="s">
        <v>77</v>
      </c>
      <c r="D999" s="28" t="s">
        <v>77</v>
      </c>
      <c r="E999" s="28" t="s">
        <v>77</v>
      </c>
      <c r="F999" s="28" t="s">
        <v>77</v>
      </c>
      <c r="G999" s="28" t="s">
        <v>77</v>
      </c>
      <c r="I999" s="26" t="s">
        <v>77</v>
      </c>
      <c r="J999" s="26" t="s">
        <v>77</v>
      </c>
      <c r="K999" s="18"/>
      <c r="L999" s="26" t="s">
        <v>77</v>
      </c>
      <c r="M999" s="6" t="s">
        <v>77</v>
      </c>
      <c r="N999" s="28" t="s">
        <v>77</v>
      </c>
      <c r="O999" s="26" t="s">
        <v>77</v>
      </c>
    </row>
    <row r="1000">
      <c r="A1000" s="52" t="s">
        <v>77</v>
      </c>
      <c r="B1000" s="28" t="s">
        <v>77</v>
      </c>
      <c r="C1000" s="28" t="s">
        <v>77</v>
      </c>
      <c r="D1000" s="28" t="s">
        <v>77</v>
      </c>
      <c r="E1000" s="28" t="s">
        <v>77</v>
      </c>
      <c r="F1000" s="28" t="s">
        <v>77</v>
      </c>
      <c r="G1000" s="28" t="s">
        <v>77</v>
      </c>
      <c r="I1000" s="26" t="s">
        <v>77</v>
      </c>
      <c r="J1000" s="26" t="s">
        <v>77</v>
      </c>
      <c r="K1000" s="18"/>
      <c r="L1000" s="26" t="s">
        <v>77</v>
      </c>
      <c r="M1000" s="6" t="s">
        <v>77</v>
      </c>
      <c r="N1000" s="28" t="s">
        <v>77</v>
      </c>
      <c r="O1000" s="26" t="s">
        <v>77</v>
      </c>
    </row>
    <row r="1001">
      <c r="A1001" s="52" t="s">
        <v>77</v>
      </c>
      <c r="B1001" s="28" t="s">
        <v>77</v>
      </c>
      <c r="C1001" s="28" t="s">
        <v>77</v>
      </c>
      <c r="D1001" s="28" t="s">
        <v>77</v>
      </c>
      <c r="E1001" s="28" t="s">
        <v>77</v>
      </c>
      <c r="F1001" s="28" t="s">
        <v>77</v>
      </c>
      <c r="G1001" s="28" t="s">
        <v>77</v>
      </c>
      <c r="I1001" s="26" t="s">
        <v>77</v>
      </c>
      <c r="J1001" s="26" t="s">
        <v>77</v>
      </c>
      <c r="K1001" s="18"/>
      <c r="L1001" s="26" t="s">
        <v>77</v>
      </c>
      <c r="M1001" s="6" t="s">
        <v>77</v>
      </c>
      <c r="N1001" s="28" t="s">
        <v>77</v>
      </c>
      <c r="O1001" s="26" t="s">
        <v>77</v>
      </c>
    </row>
    <row r="1002">
      <c r="A1002" s="52" t="s">
        <v>77</v>
      </c>
      <c r="B1002" s="28" t="s">
        <v>77</v>
      </c>
      <c r="C1002" s="28" t="s">
        <v>77</v>
      </c>
      <c r="D1002" s="28" t="s">
        <v>77</v>
      </c>
      <c r="E1002" s="28" t="s">
        <v>77</v>
      </c>
      <c r="F1002" s="28" t="s">
        <v>77</v>
      </c>
      <c r="G1002" s="28" t="s">
        <v>77</v>
      </c>
      <c r="I1002" s="26" t="s">
        <v>77</v>
      </c>
      <c r="J1002" s="26" t="s">
        <v>77</v>
      </c>
      <c r="K1002" s="18"/>
      <c r="L1002" s="26" t="s">
        <v>77</v>
      </c>
      <c r="M1002" s="6" t="s">
        <v>77</v>
      </c>
      <c r="N1002" s="28" t="s">
        <v>77</v>
      </c>
      <c r="O1002" s="26" t="s">
        <v>77</v>
      </c>
    </row>
    <row r="1003">
      <c r="A1003" s="52" t="s">
        <v>77</v>
      </c>
      <c r="B1003" s="28" t="s">
        <v>77</v>
      </c>
      <c r="C1003" s="28" t="s">
        <v>77</v>
      </c>
      <c r="D1003" s="28" t="s">
        <v>77</v>
      </c>
      <c r="E1003" s="28" t="s">
        <v>77</v>
      </c>
      <c r="F1003" s="28" t="s">
        <v>77</v>
      </c>
      <c r="G1003" s="28" t="s">
        <v>77</v>
      </c>
      <c r="I1003" s="26" t="s">
        <v>77</v>
      </c>
      <c r="J1003" s="26" t="s">
        <v>77</v>
      </c>
      <c r="K1003" s="18"/>
      <c r="L1003" s="26" t="s">
        <v>77</v>
      </c>
      <c r="M1003" s="6" t="s">
        <v>77</v>
      </c>
      <c r="N1003" s="28" t="s">
        <v>77</v>
      </c>
      <c r="O1003" s="26" t="s">
        <v>77</v>
      </c>
    </row>
    <row r="1004">
      <c r="A1004" s="52" t="s">
        <v>77</v>
      </c>
      <c r="B1004" s="28" t="s">
        <v>77</v>
      </c>
      <c r="C1004" s="28" t="s">
        <v>77</v>
      </c>
      <c r="D1004" s="28" t="s">
        <v>77</v>
      </c>
      <c r="E1004" s="28" t="s">
        <v>77</v>
      </c>
      <c r="F1004" s="28" t="s">
        <v>77</v>
      </c>
      <c r="G1004" s="28" t="s">
        <v>77</v>
      </c>
      <c r="I1004" s="26" t="s">
        <v>77</v>
      </c>
      <c r="J1004" s="26" t="s">
        <v>77</v>
      </c>
      <c r="K1004" s="18"/>
      <c r="L1004" s="26" t="s">
        <v>77</v>
      </c>
      <c r="M1004" s="6" t="s">
        <v>77</v>
      </c>
      <c r="N1004" s="28" t="s">
        <v>77</v>
      </c>
      <c r="O1004" s="26" t="s">
        <v>77</v>
      </c>
    </row>
    <row r="1005">
      <c r="A1005" s="52" t="s">
        <v>77</v>
      </c>
      <c r="B1005" s="28" t="s">
        <v>77</v>
      </c>
      <c r="C1005" s="28" t="s">
        <v>77</v>
      </c>
      <c r="D1005" s="28" t="s">
        <v>77</v>
      </c>
      <c r="E1005" s="28" t="s">
        <v>77</v>
      </c>
      <c r="F1005" s="28" t="s">
        <v>77</v>
      </c>
      <c r="G1005" s="28" t="s">
        <v>77</v>
      </c>
      <c r="I1005" s="26" t="s">
        <v>77</v>
      </c>
      <c r="J1005" s="26" t="s">
        <v>77</v>
      </c>
      <c r="K1005" s="18"/>
      <c r="L1005" s="26" t="s">
        <v>77</v>
      </c>
      <c r="M1005" s="6" t="s">
        <v>77</v>
      </c>
      <c r="N1005" s="28" t="s">
        <v>77</v>
      </c>
      <c r="O1005" s="26" t="s">
        <v>77</v>
      </c>
    </row>
    <row r="1006">
      <c r="A1006" s="52" t="s">
        <v>77</v>
      </c>
      <c r="B1006" s="28" t="s">
        <v>77</v>
      </c>
      <c r="C1006" s="28" t="s">
        <v>77</v>
      </c>
      <c r="D1006" s="28" t="s">
        <v>77</v>
      </c>
      <c r="E1006" s="28" t="s">
        <v>77</v>
      </c>
      <c r="F1006" s="28" t="s">
        <v>77</v>
      </c>
      <c r="G1006" s="28" t="s">
        <v>77</v>
      </c>
      <c r="I1006" s="26" t="s">
        <v>77</v>
      </c>
      <c r="J1006" s="26" t="s">
        <v>77</v>
      </c>
      <c r="K1006" s="18"/>
      <c r="L1006" s="26" t="s">
        <v>77</v>
      </c>
      <c r="M1006" s="6" t="s">
        <v>77</v>
      </c>
      <c r="N1006" s="28" t="s">
        <v>77</v>
      </c>
      <c r="O1006" s="26" t="s">
        <v>77</v>
      </c>
    </row>
    <row r="1007">
      <c r="A1007" s="52" t="s">
        <v>77</v>
      </c>
      <c r="B1007" s="28" t="s">
        <v>77</v>
      </c>
      <c r="C1007" s="28" t="s">
        <v>77</v>
      </c>
      <c r="D1007" s="28" t="s">
        <v>77</v>
      </c>
      <c r="E1007" s="28" t="s">
        <v>77</v>
      </c>
      <c r="F1007" s="28" t="s">
        <v>77</v>
      </c>
      <c r="G1007" s="28" t="s">
        <v>77</v>
      </c>
      <c r="I1007" s="26" t="s">
        <v>77</v>
      </c>
      <c r="J1007" s="26" t="s">
        <v>77</v>
      </c>
      <c r="K1007" s="18"/>
      <c r="L1007" s="26" t="s">
        <v>77</v>
      </c>
      <c r="M1007" s="6" t="s">
        <v>77</v>
      </c>
      <c r="N1007" s="28" t="s">
        <v>77</v>
      </c>
      <c r="O1007" s="26" t="s">
        <v>77</v>
      </c>
    </row>
    <row r="1008">
      <c r="A1008" s="52" t="s">
        <v>77</v>
      </c>
      <c r="B1008" s="28" t="s">
        <v>77</v>
      </c>
      <c r="C1008" s="28" t="s">
        <v>77</v>
      </c>
      <c r="D1008" s="28" t="s">
        <v>77</v>
      </c>
      <c r="E1008" s="28" t="s">
        <v>77</v>
      </c>
      <c r="F1008" s="28" t="s">
        <v>77</v>
      </c>
      <c r="G1008" s="28" t="s">
        <v>77</v>
      </c>
      <c r="I1008" s="26" t="s">
        <v>77</v>
      </c>
      <c r="J1008" s="26" t="s">
        <v>77</v>
      </c>
      <c r="K1008" s="18"/>
      <c r="L1008" s="26" t="s">
        <v>77</v>
      </c>
      <c r="M1008" s="6" t="s">
        <v>77</v>
      </c>
      <c r="N1008" s="28" t="s">
        <v>77</v>
      </c>
      <c r="O1008" s="26" t="s">
        <v>77</v>
      </c>
    </row>
    <row r="1009">
      <c r="A1009" s="52" t="s">
        <v>77</v>
      </c>
      <c r="B1009" s="28" t="s">
        <v>77</v>
      </c>
      <c r="C1009" s="28" t="s">
        <v>77</v>
      </c>
      <c r="D1009" s="28" t="s">
        <v>77</v>
      </c>
      <c r="E1009" s="28" t="s">
        <v>77</v>
      </c>
      <c r="F1009" s="28" t="s">
        <v>77</v>
      </c>
      <c r="G1009" s="28" t="s">
        <v>77</v>
      </c>
      <c r="I1009" s="26" t="s">
        <v>77</v>
      </c>
      <c r="J1009" s="26" t="s">
        <v>77</v>
      </c>
      <c r="K1009" s="18"/>
      <c r="L1009" s="26" t="s">
        <v>77</v>
      </c>
      <c r="M1009" s="6" t="s">
        <v>77</v>
      </c>
      <c r="N1009" s="28" t="s">
        <v>77</v>
      </c>
      <c r="O1009" s="26" t="s">
        <v>77</v>
      </c>
    </row>
    <row r="1010">
      <c r="A1010" s="52" t="s">
        <v>77</v>
      </c>
      <c r="B1010" s="28" t="s">
        <v>77</v>
      </c>
      <c r="C1010" s="28" t="s">
        <v>77</v>
      </c>
      <c r="D1010" s="28" t="s">
        <v>77</v>
      </c>
      <c r="E1010" s="28" t="s">
        <v>77</v>
      </c>
      <c r="F1010" s="28" t="s">
        <v>77</v>
      </c>
      <c r="G1010" s="28" t="s">
        <v>77</v>
      </c>
      <c r="I1010" s="26" t="s">
        <v>77</v>
      </c>
      <c r="J1010" s="26" t="s">
        <v>77</v>
      </c>
      <c r="K1010" s="18"/>
      <c r="L1010" s="26" t="s">
        <v>77</v>
      </c>
      <c r="M1010" s="6" t="s">
        <v>77</v>
      </c>
      <c r="N1010" s="28" t="s">
        <v>77</v>
      </c>
      <c r="O1010" s="26" t="s">
        <v>77</v>
      </c>
    </row>
    <row r="1011">
      <c r="A1011" s="52" t="s">
        <v>77</v>
      </c>
      <c r="B1011" s="28" t="s">
        <v>77</v>
      </c>
      <c r="C1011" s="28" t="s">
        <v>77</v>
      </c>
      <c r="D1011" s="28" t="s">
        <v>77</v>
      </c>
      <c r="E1011" s="28" t="s">
        <v>77</v>
      </c>
      <c r="F1011" s="28" t="s">
        <v>77</v>
      </c>
      <c r="G1011" s="28" t="s">
        <v>77</v>
      </c>
      <c r="I1011" s="26" t="s">
        <v>77</v>
      </c>
      <c r="J1011" s="26" t="s">
        <v>77</v>
      </c>
      <c r="K1011" s="18"/>
      <c r="L1011" s="26" t="s">
        <v>77</v>
      </c>
      <c r="M1011" s="6" t="s">
        <v>77</v>
      </c>
      <c r="N1011" s="28" t="s">
        <v>77</v>
      </c>
      <c r="O1011" s="26" t="s">
        <v>77</v>
      </c>
    </row>
    <row r="1012">
      <c r="A1012" s="52" t="s">
        <v>77</v>
      </c>
      <c r="B1012" s="28" t="s">
        <v>77</v>
      </c>
      <c r="C1012" s="28" t="s">
        <v>77</v>
      </c>
      <c r="D1012" s="28" t="s">
        <v>77</v>
      </c>
      <c r="E1012" s="28" t="s">
        <v>77</v>
      </c>
      <c r="F1012" s="28" t="s">
        <v>77</v>
      </c>
      <c r="G1012" s="28" t="s">
        <v>77</v>
      </c>
      <c r="I1012" s="26" t="s">
        <v>77</v>
      </c>
      <c r="J1012" s="26" t="s">
        <v>77</v>
      </c>
      <c r="K1012" s="18"/>
      <c r="L1012" s="26" t="s">
        <v>77</v>
      </c>
      <c r="M1012" s="6" t="s">
        <v>77</v>
      </c>
      <c r="N1012" s="28" t="s">
        <v>77</v>
      </c>
      <c r="O1012" s="26" t="s">
        <v>77</v>
      </c>
    </row>
    <row r="1013">
      <c r="A1013" s="52" t="s">
        <v>77</v>
      </c>
      <c r="B1013" s="28" t="s">
        <v>77</v>
      </c>
      <c r="C1013" s="28" t="s">
        <v>77</v>
      </c>
      <c r="D1013" s="28" t="s">
        <v>77</v>
      </c>
      <c r="E1013" s="28" t="s">
        <v>77</v>
      </c>
      <c r="F1013" s="28" t="s">
        <v>77</v>
      </c>
      <c r="G1013" s="28" t="s">
        <v>77</v>
      </c>
      <c r="I1013" s="26" t="s">
        <v>77</v>
      </c>
      <c r="J1013" s="26" t="s">
        <v>77</v>
      </c>
      <c r="K1013" s="18"/>
      <c r="L1013" s="26" t="s">
        <v>77</v>
      </c>
      <c r="M1013" s="6" t="s">
        <v>77</v>
      </c>
      <c r="N1013" s="28" t="s">
        <v>77</v>
      </c>
      <c r="O1013" s="26" t="s">
        <v>77</v>
      </c>
    </row>
    <row r="1014">
      <c r="A1014" s="52" t="s">
        <v>77</v>
      </c>
      <c r="B1014" s="28" t="s">
        <v>77</v>
      </c>
      <c r="C1014" s="28" t="s">
        <v>77</v>
      </c>
      <c r="D1014" s="28" t="s">
        <v>77</v>
      </c>
      <c r="E1014" s="28" t="s">
        <v>77</v>
      </c>
      <c r="F1014" s="28" t="s">
        <v>77</v>
      </c>
      <c r="G1014" s="28" t="s">
        <v>77</v>
      </c>
      <c r="I1014" s="26" t="s">
        <v>77</v>
      </c>
      <c r="J1014" s="26" t="s">
        <v>77</v>
      </c>
      <c r="K1014" s="18"/>
      <c r="L1014" s="26" t="s">
        <v>77</v>
      </c>
      <c r="M1014" s="6" t="s">
        <v>77</v>
      </c>
      <c r="N1014" s="28" t="s">
        <v>77</v>
      </c>
      <c r="O1014" s="26" t="s">
        <v>77</v>
      </c>
    </row>
    <row r="1015">
      <c r="A1015" s="52" t="s">
        <v>77</v>
      </c>
      <c r="B1015" s="28" t="s">
        <v>77</v>
      </c>
      <c r="C1015" s="28" t="s">
        <v>77</v>
      </c>
      <c r="D1015" s="28" t="s">
        <v>77</v>
      </c>
      <c r="E1015" s="28" t="s">
        <v>77</v>
      </c>
      <c r="F1015" s="28" t="s">
        <v>77</v>
      </c>
      <c r="G1015" s="28" t="s">
        <v>77</v>
      </c>
      <c r="I1015" s="26" t="s">
        <v>77</v>
      </c>
      <c r="J1015" s="26" t="s">
        <v>77</v>
      </c>
      <c r="K1015" s="18"/>
      <c r="L1015" s="26" t="s">
        <v>77</v>
      </c>
      <c r="M1015" s="6" t="s">
        <v>77</v>
      </c>
      <c r="N1015" s="28" t="s">
        <v>77</v>
      </c>
      <c r="O1015" s="26" t="s">
        <v>77</v>
      </c>
    </row>
    <row r="1016">
      <c r="A1016" s="52" t="s">
        <v>77</v>
      </c>
      <c r="B1016" s="28" t="s">
        <v>77</v>
      </c>
      <c r="C1016" s="28" t="s">
        <v>77</v>
      </c>
      <c r="D1016" s="28" t="s">
        <v>77</v>
      </c>
      <c r="E1016" s="28" t="s">
        <v>77</v>
      </c>
      <c r="F1016" s="28" t="s">
        <v>77</v>
      </c>
      <c r="G1016" s="28" t="s">
        <v>77</v>
      </c>
      <c r="I1016" s="26" t="s">
        <v>77</v>
      </c>
      <c r="J1016" s="26" t="s">
        <v>77</v>
      </c>
      <c r="K1016" s="18"/>
      <c r="L1016" s="26" t="s">
        <v>77</v>
      </c>
      <c r="M1016" s="6" t="s">
        <v>77</v>
      </c>
      <c r="N1016" s="28" t="s">
        <v>77</v>
      </c>
      <c r="O1016" s="26" t="s">
        <v>77</v>
      </c>
    </row>
    <row r="1017">
      <c r="A1017" s="52" t="s">
        <v>77</v>
      </c>
      <c r="B1017" s="28" t="s">
        <v>77</v>
      </c>
      <c r="C1017" s="28" t="s">
        <v>77</v>
      </c>
      <c r="D1017" s="28" t="s">
        <v>77</v>
      </c>
      <c r="E1017" s="28" t="s">
        <v>77</v>
      </c>
      <c r="F1017" s="28" t="s">
        <v>77</v>
      </c>
      <c r="G1017" s="28" t="s">
        <v>77</v>
      </c>
      <c r="I1017" s="26" t="s">
        <v>77</v>
      </c>
      <c r="J1017" s="26" t="s">
        <v>77</v>
      </c>
      <c r="K1017" s="18"/>
      <c r="L1017" s="26" t="s">
        <v>77</v>
      </c>
      <c r="M1017" s="6" t="s">
        <v>77</v>
      </c>
      <c r="N1017" s="28" t="s">
        <v>77</v>
      </c>
      <c r="O1017" s="26" t="s">
        <v>77</v>
      </c>
    </row>
    <row r="1018">
      <c r="A1018" s="52" t="s">
        <v>77</v>
      </c>
      <c r="B1018" s="28" t="s">
        <v>77</v>
      </c>
      <c r="C1018" s="28" t="s">
        <v>77</v>
      </c>
      <c r="D1018" s="28" t="s">
        <v>77</v>
      </c>
      <c r="E1018" s="28" t="s">
        <v>77</v>
      </c>
      <c r="F1018" s="28" t="s">
        <v>77</v>
      </c>
      <c r="G1018" s="28" t="s">
        <v>77</v>
      </c>
      <c r="I1018" s="26" t="s">
        <v>77</v>
      </c>
      <c r="J1018" s="26" t="s">
        <v>77</v>
      </c>
      <c r="K1018" s="18"/>
      <c r="L1018" s="26" t="s">
        <v>77</v>
      </c>
      <c r="M1018" s="6" t="s">
        <v>77</v>
      </c>
      <c r="N1018" s="28" t="s">
        <v>77</v>
      </c>
      <c r="O1018" s="26" t="s">
        <v>77</v>
      </c>
    </row>
    <row r="1019">
      <c r="A1019" s="52" t="s">
        <v>77</v>
      </c>
      <c r="B1019" s="28" t="s">
        <v>77</v>
      </c>
      <c r="C1019" s="28" t="s">
        <v>77</v>
      </c>
      <c r="D1019" s="28" t="s">
        <v>77</v>
      </c>
      <c r="E1019" s="28" t="s">
        <v>77</v>
      </c>
      <c r="F1019" s="28" t="s">
        <v>77</v>
      </c>
      <c r="G1019" s="28" t="s">
        <v>77</v>
      </c>
      <c r="I1019" s="26" t="s">
        <v>77</v>
      </c>
      <c r="J1019" s="26" t="s">
        <v>77</v>
      </c>
      <c r="K1019" s="18"/>
      <c r="L1019" s="26" t="s">
        <v>77</v>
      </c>
      <c r="M1019" s="6" t="s">
        <v>77</v>
      </c>
      <c r="N1019" s="28" t="s">
        <v>77</v>
      </c>
      <c r="O1019" s="26" t="s">
        <v>77</v>
      </c>
    </row>
    <row r="1020">
      <c r="A1020" s="52" t="s">
        <v>77</v>
      </c>
      <c r="B1020" s="28" t="s">
        <v>77</v>
      </c>
      <c r="C1020" s="28" t="s">
        <v>77</v>
      </c>
      <c r="D1020" s="28" t="s">
        <v>77</v>
      </c>
      <c r="E1020" s="28" t="s">
        <v>77</v>
      </c>
      <c r="F1020" s="28" t="s">
        <v>77</v>
      </c>
      <c r="G1020" s="28" t="s">
        <v>77</v>
      </c>
      <c r="I1020" s="26" t="s">
        <v>77</v>
      </c>
      <c r="J1020" s="26" t="s">
        <v>77</v>
      </c>
      <c r="K1020" s="18"/>
      <c r="L1020" s="26" t="s">
        <v>77</v>
      </c>
      <c r="M1020" s="6" t="s">
        <v>77</v>
      </c>
      <c r="N1020" s="28" t="s">
        <v>77</v>
      </c>
      <c r="O1020" s="26" t="s">
        <v>77</v>
      </c>
    </row>
    <row r="1021">
      <c r="A1021" s="52" t="s">
        <v>77</v>
      </c>
      <c r="B1021" s="28" t="s">
        <v>77</v>
      </c>
      <c r="C1021" s="28" t="s">
        <v>77</v>
      </c>
      <c r="D1021" s="28" t="s">
        <v>77</v>
      </c>
      <c r="E1021" s="28" t="s">
        <v>77</v>
      </c>
      <c r="F1021" s="28" t="s">
        <v>77</v>
      </c>
      <c r="G1021" s="28" t="s">
        <v>77</v>
      </c>
      <c r="I1021" s="26" t="s">
        <v>77</v>
      </c>
      <c r="J1021" s="26" t="s">
        <v>77</v>
      </c>
      <c r="K1021" s="18"/>
      <c r="L1021" s="26" t="s">
        <v>77</v>
      </c>
      <c r="M1021" s="6" t="s">
        <v>77</v>
      </c>
      <c r="N1021" s="28" t="s">
        <v>77</v>
      </c>
      <c r="O1021" s="26" t="s">
        <v>77</v>
      </c>
    </row>
    <row r="1022">
      <c r="A1022" s="52" t="s">
        <v>77</v>
      </c>
      <c r="B1022" s="28" t="s">
        <v>77</v>
      </c>
      <c r="C1022" s="28" t="s">
        <v>77</v>
      </c>
      <c r="D1022" s="28" t="s">
        <v>77</v>
      </c>
      <c r="E1022" s="28" t="s">
        <v>77</v>
      </c>
      <c r="F1022" s="28" t="s">
        <v>77</v>
      </c>
      <c r="G1022" s="28" t="s">
        <v>77</v>
      </c>
      <c r="I1022" s="26" t="s">
        <v>77</v>
      </c>
      <c r="J1022" s="26" t="s">
        <v>77</v>
      </c>
      <c r="K1022" s="18"/>
      <c r="L1022" s="26" t="s">
        <v>77</v>
      </c>
      <c r="M1022" s="6" t="s">
        <v>77</v>
      </c>
      <c r="N1022" s="28" t="s">
        <v>77</v>
      </c>
      <c r="O1022" s="26" t="s">
        <v>77</v>
      </c>
    </row>
    <row r="1023">
      <c r="A1023" s="52" t="s">
        <v>77</v>
      </c>
      <c r="B1023" s="28" t="s">
        <v>77</v>
      </c>
      <c r="C1023" s="28" t="s">
        <v>77</v>
      </c>
      <c r="D1023" s="28" t="s">
        <v>77</v>
      </c>
      <c r="E1023" s="28" t="s">
        <v>77</v>
      </c>
      <c r="F1023" s="28" t="s">
        <v>77</v>
      </c>
      <c r="G1023" s="28" t="s">
        <v>77</v>
      </c>
      <c r="I1023" s="26" t="s">
        <v>77</v>
      </c>
      <c r="J1023" s="26" t="s">
        <v>77</v>
      </c>
      <c r="K1023" s="18"/>
      <c r="L1023" s="26" t="s">
        <v>77</v>
      </c>
      <c r="M1023" s="6" t="s">
        <v>77</v>
      </c>
      <c r="N1023" s="28" t="s">
        <v>77</v>
      </c>
      <c r="O1023" s="26" t="s">
        <v>77</v>
      </c>
    </row>
    <row r="1024">
      <c r="A1024" s="52" t="s">
        <v>77</v>
      </c>
      <c r="B1024" s="28" t="s">
        <v>77</v>
      </c>
      <c r="C1024" s="28" t="s">
        <v>77</v>
      </c>
      <c r="D1024" s="28" t="s">
        <v>77</v>
      </c>
      <c r="E1024" s="28" t="s">
        <v>77</v>
      </c>
      <c r="F1024" s="28" t="s">
        <v>77</v>
      </c>
      <c r="G1024" s="28" t="s">
        <v>77</v>
      </c>
      <c r="I1024" s="26" t="s">
        <v>77</v>
      </c>
      <c r="J1024" s="26" t="s">
        <v>77</v>
      </c>
      <c r="K1024" s="18"/>
      <c r="L1024" s="26" t="s">
        <v>77</v>
      </c>
      <c r="M1024" s="6" t="s">
        <v>77</v>
      </c>
      <c r="N1024" s="28" t="s">
        <v>77</v>
      </c>
      <c r="O1024" s="26" t="s">
        <v>77</v>
      </c>
    </row>
    <row r="1025">
      <c r="A1025" s="52" t="s">
        <v>77</v>
      </c>
      <c r="B1025" s="28" t="s">
        <v>77</v>
      </c>
      <c r="C1025" s="28" t="s">
        <v>77</v>
      </c>
      <c r="D1025" s="28" t="s">
        <v>77</v>
      </c>
      <c r="E1025" s="28" t="s">
        <v>77</v>
      </c>
      <c r="F1025" s="28" t="s">
        <v>77</v>
      </c>
      <c r="G1025" s="28" t="s">
        <v>77</v>
      </c>
      <c r="I1025" s="26" t="s">
        <v>77</v>
      </c>
      <c r="J1025" s="26" t="s">
        <v>77</v>
      </c>
      <c r="K1025" s="18"/>
      <c r="L1025" s="26" t="s">
        <v>77</v>
      </c>
      <c r="M1025" s="6" t="s">
        <v>77</v>
      </c>
      <c r="N1025" s="28" t="s">
        <v>77</v>
      </c>
      <c r="O1025" s="26" t="s">
        <v>77</v>
      </c>
    </row>
    <row r="1026">
      <c r="A1026" s="52" t="s">
        <v>77</v>
      </c>
      <c r="B1026" s="28" t="s">
        <v>77</v>
      </c>
      <c r="C1026" s="28" t="s">
        <v>77</v>
      </c>
      <c r="D1026" s="28" t="s">
        <v>77</v>
      </c>
      <c r="E1026" s="28" t="s">
        <v>77</v>
      </c>
      <c r="F1026" s="28" t="s">
        <v>77</v>
      </c>
      <c r="G1026" s="28" t="s">
        <v>77</v>
      </c>
      <c r="I1026" s="26" t="s">
        <v>77</v>
      </c>
      <c r="J1026" s="26" t="s">
        <v>77</v>
      </c>
      <c r="K1026" s="18"/>
      <c r="L1026" s="26" t="s">
        <v>77</v>
      </c>
      <c r="M1026" s="6" t="s">
        <v>77</v>
      </c>
      <c r="N1026" s="28" t="s">
        <v>77</v>
      </c>
      <c r="O1026" s="26" t="s">
        <v>77</v>
      </c>
    </row>
    <row r="1027">
      <c r="A1027" s="52" t="s">
        <v>77</v>
      </c>
      <c r="B1027" s="28" t="s">
        <v>77</v>
      </c>
      <c r="C1027" s="28" t="s">
        <v>77</v>
      </c>
      <c r="D1027" s="28" t="s">
        <v>77</v>
      </c>
      <c r="E1027" s="28" t="s">
        <v>77</v>
      </c>
      <c r="F1027" s="28" t="s">
        <v>77</v>
      </c>
      <c r="G1027" s="28" t="s">
        <v>77</v>
      </c>
      <c r="I1027" s="26" t="s">
        <v>77</v>
      </c>
      <c r="J1027" s="26" t="s">
        <v>77</v>
      </c>
      <c r="K1027" s="18"/>
      <c r="L1027" s="26" t="s">
        <v>77</v>
      </c>
      <c r="M1027" s="6" t="s">
        <v>77</v>
      </c>
      <c r="N1027" s="28" t="s">
        <v>77</v>
      </c>
      <c r="O1027" s="26" t="s">
        <v>77</v>
      </c>
    </row>
    <row r="1028">
      <c r="A1028" s="52" t="s">
        <v>77</v>
      </c>
      <c r="B1028" s="28" t="s">
        <v>77</v>
      </c>
      <c r="C1028" s="28" t="s">
        <v>77</v>
      </c>
      <c r="D1028" s="28" t="s">
        <v>77</v>
      </c>
      <c r="E1028" s="28" t="s">
        <v>77</v>
      </c>
      <c r="F1028" s="28" t="s">
        <v>77</v>
      </c>
      <c r="G1028" s="28" t="s">
        <v>77</v>
      </c>
      <c r="I1028" s="26" t="s">
        <v>77</v>
      </c>
      <c r="J1028" s="26" t="s">
        <v>77</v>
      </c>
      <c r="K1028" s="18"/>
      <c r="L1028" s="26" t="s">
        <v>77</v>
      </c>
      <c r="M1028" s="6" t="s">
        <v>77</v>
      </c>
      <c r="N1028" s="28" t="s">
        <v>77</v>
      </c>
      <c r="O1028" s="26" t="s">
        <v>77</v>
      </c>
    </row>
    <row r="1029">
      <c r="A1029" s="52" t="s">
        <v>77</v>
      </c>
      <c r="B1029" s="28" t="s">
        <v>77</v>
      </c>
      <c r="C1029" s="28" t="s">
        <v>77</v>
      </c>
      <c r="D1029" s="28" t="s">
        <v>77</v>
      </c>
      <c r="E1029" s="28" t="s">
        <v>77</v>
      </c>
      <c r="F1029" s="28" t="s">
        <v>77</v>
      </c>
      <c r="G1029" s="28" t="s">
        <v>77</v>
      </c>
      <c r="I1029" s="26" t="s">
        <v>77</v>
      </c>
      <c r="J1029" s="26" t="s">
        <v>77</v>
      </c>
      <c r="K1029" s="18"/>
      <c r="L1029" s="26" t="s">
        <v>77</v>
      </c>
      <c r="M1029" s="6" t="s">
        <v>77</v>
      </c>
      <c r="N1029" s="28" t="s">
        <v>77</v>
      </c>
      <c r="O1029" s="26" t="s">
        <v>77</v>
      </c>
    </row>
    <row r="1030">
      <c r="A1030" s="52" t="s">
        <v>77</v>
      </c>
      <c r="B1030" s="28" t="s">
        <v>77</v>
      </c>
      <c r="C1030" s="28" t="s">
        <v>77</v>
      </c>
      <c r="D1030" s="28" t="s">
        <v>77</v>
      </c>
      <c r="E1030" s="28" t="s">
        <v>77</v>
      </c>
      <c r="F1030" s="28" t="s">
        <v>77</v>
      </c>
      <c r="G1030" s="28" t="s">
        <v>77</v>
      </c>
      <c r="I1030" s="26" t="s">
        <v>77</v>
      </c>
      <c r="J1030" s="26" t="s">
        <v>77</v>
      </c>
      <c r="K1030" s="18"/>
      <c r="L1030" s="26" t="s">
        <v>77</v>
      </c>
      <c r="M1030" s="6" t="s">
        <v>77</v>
      </c>
      <c r="N1030" s="28" t="s">
        <v>77</v>
      </c>
      <c r="O1030" s="26" t="s">
        <v>77</v>
      </c>
    </row>
    <row r="1031">
      <c r="A1031" s="52" t="s">
        <v>77</v>
      </c>
      <c r="B1031" s="28" t="s">
        <v>77</v>
      </c>
      <c r="C1031" s="28" t="s">
        <v>77</v>
      </c>
      <c r="D1031" s="28" t="s">
        <v>77</v>
      </c>
      <c r="E1031" s="28" t="s">
        <v>77</v>
      </c>
      <c r="F1031" s="28" t="s">
        <v>77</v>
      </c>
      <c r="G1031" s="28" t="s">
        <v>77</v>
      </c>
      <c r="I1031" s="26" t="s">
        <v>77</v>
      </c>
      <c r="J1031" s="26" t="s">
        <v>77</v>
      </c>
      <c r="K1031" s="18"/>
      <c r="L1031" s="26" t="s">
        <v>77</v>
      </c>
      <c r="M1031" s="6" t="s">
        <v>77</v>
      </c>
      <c r="N1031" s="28" t="s">
        <v>77</v>
      </c>
      <c r="O1031" s="26" t="s">
        <v>77</v>
      </c>
    </row>
    <row r="1032">
      <c r="A1032" s="52" t="s">
        <v>77</v>
      </c>
      <c r="B1032" s="28" t="s">
        <v>77</v>
      </c>
      <c r="C1032" s="28" t="s">
        <v>77</v>
      </c>
      <c r="D1032" s="28" t="s">
        <v>77</v>
      </c>
      <c r="E1032" s="28" t="s">
        <v>77</v>
      </c>
      <c r="F1032" s="28" t="s">
        <v>77</v>
      </c>
      <c r="G1032" s="28" t="s">
        <v>77</v>
      </c>
      <c r="I1032" s="26" t="s">
        <v>77</v>
      </c>
      <c r="J1032" s="26" t="s">
        <v>77</v>
      </c>
      <c r="K1032" s="18"/>
      <c r="L1032" s="26" t="s">
        <v>77</v>
      </c>
      <c r="M1032" s="6" t="s">
        <v>77</v>
      </c>
      <c r="N1032" s="28" t="s">
        <v>77</v>
      </c>
      <c r="O1032" s="26" t="s">
        <v>77</v>
      </c>
    </row>
    <row r="1033">
      <c r="A1033" s="52" t="s">
        <v>77</v>
      </c>
      <c r="B1033" s="28" t="s">
        <v>77</v>
      </c>
      <c r="C1033" s="28" t="s">
        <v>77</v>
      </c>
      <c r="D1033" s="28" t="s">
        <v>77</v>
      </c>
      <c r="E1033" s="28" t="s">
        <v>77</v>
      </c>
      <c r="F1033" s="28" t="s">
        <v>77</v>
      </c>
      <c r="G1033" s="28" t="s">
        <v>77</v>
      </c>
      <c r="I1033" s="26" t="s">
        <v>77</v>
      </c>
      <c r="J1033" s="26" t="s">
        <v>77</v>
      </c>
      <c r="K1033" s="18"/>
      <c r="L1033" s="26" t="s">
        <v>77</v>
      </c>
      <c r="M1033" s="6" t="s">
        <v>77</v>
      </c>
      <c r="N1033" s="28" t="s">
        <v>77</v>
      </c>
      <c r="O1033" s="26" t="s">
        <v>77</v>
      </c>
    </row>
    <row r="1034">
      <c r="A1034" s="52" t="s">
        <v>77</v>
      </c>
      <c r="B1034" s="28" t="s">
        <v>77</v>
      </c>
      <c r="C1034" s="28" t="s">
        <v>77</v>
      </c>
      <c r="D1034" s="28" t="s">
        <v>77</v>
      </c>
      <c r="E1034" s="28" t="s">
        <v>77</v>
      </c>
      <c r="F1034" s="28" t="s">
        <v>77</v>
      </c>
      <c r="G1034" s="28" t="s">
        <v>77</v>
      </c>
      <c r="I1034" s="26" t="s">
        <v>77</v>
      </c>
      <c r="J1034" s="26" t="s">
        <v>77</v>
      </c>
      <c r="K1034" s="18"/>
      <c r="L1034" s="26" t="s">
        <v>77</v>
      </c>
      <c r="M1034" s="6" t="s">
        <v>77</v>
      </c>
      <c r="N1034" s="28" t="s">
        <v>77</v>
      </c>
      <c r="O1034" s="26" t="s">
        <v>77</v>
      </c>
    </row>
    <row r="1035">
      <c r="A1035" s="52" t="s">
        <v>77</v>
      </c>
      <c r="B1035" s="28" t="s">
        <v>77</v>
      </c>
      <c r="C1035" s="28" t="s">
        <v>77</v>
      </c>
      <c r="D1035" s="28" t="s">
        <v>77</v>
      </c>
      <c r="E1035" s="28" t="s">
        <v>77</v>
      </c>
      <c r="F1035" s="28" t="s">
        <v>77</v>
      </c>
      <c r="G1035" s="28" t="s">
        <v>77</v>
      </c>
      <c r="I1035" s="26" t="s">
        <v>77</v>
      </c>
      <c r="J1035" s="26" t="s">
        <v>77</v>
      </c>
      <c r="K1035" s="18"/>
      <c r="L1035" s="26" t="s">
        <v>77</v>
      </c>
      <c r="M1035" s="6" t="s">
        <v>77</v>
      </c>
      <c r="N1035" s="28" t="s">
        <v>77</v>
      </c>
      <c r="O1035" s="26" t="s">
        <v>77</v>
      </c>
    </row>
    <row r="1036">
      <c r="A1036" s="52" t="s">
        <v>77</v>
      </c>
      <c r="B1036" s="28" t="s">
        <v>77</v>
      </c>
      <c r="C1036" s="28" t="s">
        <v>77</v>
      </c>
      <c r="D1036" s="28" t="s">
        <v>77</v>
      </c>
      <c r="E1036" s="28" t="s">
        <v>77</v>
      </c>
      <c r="F1036" s="28" t="s">
        <v>77</v>
      </c>
      <c r="G1036" s="28" t="s">
        <v>77</v>
      </c>
      <c r="I1036" s="26" t="s">
        <v>77</v>
      </c>
      <c r="J1036" s="26" t="s">
        <v>77</v>
      </c>
      <c r="K1036" s="18"/>
      <c r="L1036" s="26" t="s">
        <v>77</v>
      </c>
      <c r="M1036" s="6" t="s">
        <v>77</v>
      </c>
      <c r="N1036" s="28" t="s">
        <v>77</v>
      </c>
      <c r="O1036" s="26" t="s">
        <v>77</v>
      </c>
    </row>
    <row r="1037">
      <c r="A1037" s="52" t="s">
        <v>77</v>
      </c>
      <c r="B1037" s="28" t="s">
        <v>77</v>
      </c>
      <c r="C1037" s="28" t="s">
        <v>77</v>
      </c>
      <c r="D1037" s="28" t="s">
        <v>77</v>
      </c>
      <c r="E1037" s="28" t="s">
        <v>77</v>
      </c>
      <c r="F1037" s="28" t="s">
        <v>77</v>
      </c>
      <c r="G1037" s="28" t="s">
        <v>77</v>
      </c>
      <c r="I1037" s="26" t="s">
        <v>77</v>
      </c>
      <c r="J1037" s="26" t="s">
        <v>77</v>
      </c>
      <c r="K1037" s="18"/>
      <c r="L1037" s="26" t="s">
        <v>77</v>
      </c>
      <c r="M1037" s="6" t="s">
        <v>77</v>
      </c>
      <c r="N1037" s="28" t="s">
        <v>77</v>
      </c>
      <c r="O1037" s="26" t="s">
        <v>77</v>
      </c>
    </row>
    <row r="1038">
      <c r="A1038" s="52" t="s">
        <v>77</v>
      </c>
      <c r="B1038" s="28" t="s">
        <v>77</v>
      </c>
      <c r="C1038" s="28" t="s">
        <v>77</v>
      </c>
      <c r="D1038" s="28" t="s">
        <v>77</v>
      </c>
      <c r="E1038" s="28" t="s">
        <v>77</v>
      </c>
      <c r="F1038" s="28" t="s">
        <v>77</v>
      </c>
      <c r="G1038" s="28" t="s">
        <v>77</v>
      </c>
      <c r="I1038" s="26" t="s">
        <v>77</v>
      </c>
      <c r="J1038" s="26" t="s">
        <v>77</v>
      </c>
      <c r="K1038" s="18"/>
      <c r="L1038" s="26" t="s">
        <v>77</v>
      </c>
      <c r="M1038" s="6" t="s">
        <v>77</v>
      </c>
      <c r="N1038" s="28" t="s">
        <v>77</v>
      </c>
      <c r="O1038" s="26" t="s">
        <v>77</v>
      </c>
    </row>
    <row r="1039">
      <c r="A1039" s="52" t="s">
        <v>77</v>
      </c>
      <c r="B1039" s="28" t="s">
        <v>77</v>
      </c>
      <c r="C1039" s="28" t="s">
        <v>77</v>
      </c>
      <c r="D1039" s="28" t="s">
        <v>77</v>
      </c>
      <c r="E1039" s="28" t="s">
        <v>77</v>
      </c>
      <c r="F1039" s="28" t="s">
        <v>77</v>
      </c>
      <c r="G1039" s="28" t="s">
        <v>77</v>
      </c>
      <c r="I1039" s="26" t="s">
        <v>77</v>
      </c>
      <c r="J1039" s="26" t="s">
        <v>77</v>
      </c>
      <c r="K1039" s="18"/>
      <c r="L1039" s="26" t="s">
        <v>77</v>
      </c>
      <c r="M1039" s="6" t="s">
        <v>77</v>
      </c>
      <c r="N1039" s="28" t="s">
        <v>77</v>
      </c>
      <c r="O1039" s="26" t="s">
        <v>77</v>
      </c>
    </row>
    <row r="1040">
      <c r="A1040" s="52" t="s">
        <v>77</v>
      </c>
      <c r="B1040" s="28" t="s">
        <v>77</v>
      </c>
      <c r="C1040" s="28" t="s">
        <v>77</v>
      </c>
      <c r="D1040" s="28" t="s">
        <v>77</v>
      </c>
      <c r="E1040" s="28" t="s">
        <v>77</v>
      </c>
      <c r="F1040" s="28" t="s">
        <v>77</v>
      </c>
      <c r="G1040" s="28" t="s">
        <v>77</v>
      </c>
      <c r="I1040" s="26" t="s">
        <v>77</v>
      </c>
      <c r="J1040" s="26" t="s">
        <v>77</v>
      </c>
      <c r="K1040" s="18"/>
      <c r="L1040" s="26" t="s">
        <v>77</v>
      </c>
      <c r="M1040" s="6" t="s">
        <v>77</v>
      </c>
      <c r="N1040" s="28" t="s">
        <v>77</v>
      </c>
      <c r="O1040" s="26" t="s">
        <v>77</v>
      </c>
    </row>
    <row r="1041">
      <c r="A1041" s="52" t="s">
        <v>77</v>
      </c>
      <c r="B1041" s="28" t="s">
        <v>77</v>
      </c>
      <c r="C1041" s="28" t="s">
        <v>77</v>
      </c>
      <c r="D1041" s="28" t="s">
        <v>77</v>
      </c>
      <c r="E1041" s="28" t="s">
        <v>77</v>
      </c>
      <c r="F1041" s="28" t="s">
        <v>77</v>
      </c>
      <c r="G1041" s="28" t="s">
        <v>77</v>
      </c>
      <c r="I1041" s="26" t="s">
        <v>77</v>
      </c>
      <c r="J1041" s="26" t="s">
        <v>77</v>
      </c>
      <c r="K1041" s="18"/>
      <c r="L1041" s="26" t="s">
        <v>77</v>
      </c>
      <c r="M1041" s="6" t="s">
        <v>77</v>
      </c>
      <c r="N1041" s="28" t="s">
        <v>77</v>
      </c>
      <c r="O1041" s="26" t="s">
        <v>77</v>
      </c>
    </row>
    <row r="1042">
      <c r="A1042" s="52" t="s">
        <v>77</v>
      </c>
      <c r="B1042" s="28" t="s">
        <v>77</v>
      </c>
      <c r="C1042" s="28" t="s">
        <v>77</v>
      </c>
      <c r="D1042" s="28" t="s">
        <v>77</v>
      </c>
      <c r="E1042" s="28" t="s">
        <v>77</v>
      </c>
      <c r="F1042" s="28" t="s">
        <v>77</v>
      </c>
      <c r="G1042" s="28" t="s">
        <v>77</v>
      </c>
      <c r="I1042" s="26" t="s">
        <v>77</v>
      </c>
      <c r="J1042" s="26" t="s">
        <v>77</v>
      </c>
      <c r="K1042" s="18"/>
      <c r="L1042" s="26" t="s">
        <v>77</v>
      </c>
      <c r="M1042" s="6" t="s">
        <v>77</v>
      </c>
      <c r="N1042" s="28" t="s">
        <v>77</v>
      </c>
      <c r="O1042" s="26" t="s">
        <v>77</v>
      </c>
    </row>
    <row r="1043">
      <c r="A1043" s="52" t="s">
        <v>77</v>
      </c>
      <c r="B1043" s="28" t="s">
        <v>77</v>
      </c>
      <c r="C1043" s="28" t="s">
        <v>77</v>
      </c>
      <c r="D1043" s="28" t="s">
        <v>77</v>
      </c>
      <c r="E1043" s="28" t="s">
        <v>77</v>
      </c>
      <c r="F1043" s="28" t="s">
        <v>77</v>
      </c>
      <c r="G1043" s="28" t="s">
        <v>77</v>
      </c>
      <c r="I1043" s="26" t="s">
        <v>77</v>
      </c>
      <c r="J1043" s="26" t="s">
        <v>77</v>
      </c>
      <c r="K1043" s="18"/>
      <c r="L1043" s="26" t="s">
        <v>77</v>
      </c>
      <c r="M1043" s="6" t="s">
        <v>77</v>
      </c>
      <c r="N1043" s="28" t="s">
        <v>77</v>
      </c>
      <c r="O1043" s="26" t="s">
        <v>77</v>
      </c>
    </row>
    <row r="1044">
      <c r="A1044" s="52" t="s">
        <v>77</v>
      </c>
      <c r="B1044" s="28" t="s">
        <v>77</v>
      </c>
      <c r="C1044" s="28" t="s">
        <v>77</v>
      </c>
      <c r="D1044" s="28" t="s">
        <v>77</v>
      </c>
      <c r="E1044" s="28" t="s">
        <v>77</v>
      </c>
      <c r="F1044" s="28" t="s">
        <v>77</v>
      </c>
      <c r="G1044" s="28" t="s">
        <v>77</v>
      </c>
      <c r="I1044" s="26" t="s">
        <v>77</v>
      </c>
      <c r="J1044" s="26" t="s">
        <v>77</v>
      </c>
      <c r="K1044" s="18"/>
      <c r="L1044" s="26" t="s">
        <v>77</v>
      </c>
      <c r="M1044" s="6" t="s">
        <v>77</v>
      </c>
      <c r="N1044" s="28" t="s">
        <v>77</v>
      </c>
      <c r="O1044" s="26" t="s">
        <v>77</v>
      </c>
    </row>
    <row r="1045">
      <c r="A1045" s="52" t="s">
        <v>77</v>
      </c>
      <c r="B1045" s="28" t="s">
        <v>77</v>
      </c>
      <c r="C1045" s="28" t="s">
        <v>77</v>
      </c>
      <c r="D1045" s="28" t="s">
        <v>77</v>
      </c>
      <c r="E1045" s="28" t="s">
        <v>77</v>
      </c>
      <c r="F1045" s="28" t="s">
        <v>77</v>
      </c>
      <c r="G1045" s="28" t="s">
        <v>77</v>
      </c>
      <c r="I1045" s="26" t="s">
        <v>77</v>
      </c>
      <c r="J1045" s="26" t="s">
        <v>77</v>
      </c>
      <c r="K1045" s="18"/>
      <c r="L1045" s="26" t="s">
        <v>77</v>
      </c>
      <c r="M1045" s="6" t="s">
        <v>77</v>
      </c>
      <c r="N1045" s="28" t="s">
        <v>77</v>
      </c>
      <c r="O1045" s="26" t="s">
        <v>77</v>
      </c>
    </row>
    <row r="1046">
      <c r="A1046" s="52" t="s">
        <v>77</v>
      </c>
      <c r="B1046" s="28" t="s">
        <v>77</v>
      </c>
      <c r="C1046" s="28" t="s">
        <v>77</v>
      </c>
      <c r="D1046" s="28" t="s">
        <v>77</v>
      </c>
      <c r="E1046" s="28" t="s">
        <v>77</v>
      </c>
      <c r="F1046" s="28" t="s">
        <v>77</v>
      </c>
      <c r="G1046" s="28" t="s">
        <v>77</v>
      </c>
      <c r="I1046" s="26" t="s">
        <v>77</v>
      </c>
      <c r="J1046" s="26" t="s">
        <v>77</v>
      </c>
      <c r="K1046" s="18"/>
      <c r="L1046" s="26" t="s">
        <v>77</v>
      </c>
      <c r="M1046" s="6" t="s">
        <v>77</v>
      </c>
      <c r="N1046" s="28" t="s">
        <v>77</v>
      </c>
      <c r="O1046" s="26" t="s">
        <v>77</v>
      </c>
    </row>
    <row r="1047">
      <c r="A1047" s="52" t="s">
        <v>77</v>
      </c>
      <c r="B1047" s="28" t="s">
        <v>77</v>
      </c>
      <c r="C1047" s="28" t="s">
        <v>77</v>
      </c>
      <c r="D1047" s="28" t="s">
        <v>77</v>
      </c>
      <c r="E1047" s="28" t="s">
        <v>77</v>
      </c>
      <c r="F1047" s="28" t="s">
        <v>77</v>
      </c>
      <c r="G1047" s="28" t="s">
        <v>77</v>
      </c>
      <c r="I1047" s="26" t="s">
        <v>77</v>
      </c>
      <c r="J1047" s="26" t="s">
        <v>77</v>
      </c>
      <c r="K1047" s="18"/>
      <c r="L1047" s="26" t="s">
        <v>77</v>
      </c>
      <c r="M1047" s="6" t="s">
        <v>77</v>
      </c>
      <c r="N1047" s="28" t="s">
        <v>77</v>
      </c>
      <c r="O1047" s="26" t="s">
        <v>77</v>
      </c>
    </row>
    <row r="1048">
      <c r="A1048" s="52" t="s">
        <v>77</v>
      </c>
      <c r="B1048" s="28" t="s">
        <v>77</v>
      </c>
      <c r="C1048" s="28" t="s">
        <v>77</v>
      </c>
      <c r="D1048" s="28" t="s">
        <v>77</v>
      </c>
      <c r="E1048" s="28" t="s">
        <v>77</v>
      </c>
      <c r="F1048" s="28" t="s">
        <v>77</v>
      </c>
      <c r="G1048" s="28" t="s">
        <v>77</v>
      </c>
      <c r="I1048" s="26" t="s">
        <v>77</v>
      </c>
      <c r="J1048" s="26" t="s">
        <v>77</v>
      </c>
      <c r="K1048" s="18"/>
      <c r="L1048" s="26" t="s">
        <v>77</v>
      </c>
      <c r="M1048" s="6" t="s">
        <v>77</v>
      </c>
      <c r="N1048" s="28" t="s">
        <v>77</v>
      </c>
      <c r="O1048" s="26" t="s">
        <v>77</v>
      </c>
    </row>
    <row r="1049">
      <c r="A1049" s="52" t="s">
        <v>77</v>
      </c>
      <c r="B1049" s="28" t="s">
        <v>77</v>
      </c>
      <c r="C1049" s="28" t="s">
        <v>77</v>
      </c>
      <c r="D1049" s="28" t="s">
        <v>77</v>
      </c>
      <c r="E1049" s="28" t="s">
        <v>77</v>
      </c>
      <c r="F1049" s="28" t="s">
        <v>77</v>
      </c>
      <c r="G1049" s="28" t="s">
        <v>77</v>
      </c>
      <c r="I1049" s="26" t="s">
        <v>77</v>
      </c>
      <c r="J1049" s="26" t="s">
        <v>77</v>
      </c>
      <c r="K1049" s="18"/>
      <c r="L1049" s="26" t="s">
        <v>77</v>
      </c>
      <c r="M1049" s="6" t="s">
        <v>77</v>
      </c>
      <c r="N1049" s="28" t="s">
        <v>77</v>
      </c>
      <c r="O1049" s="26" t="s">
        <v>77</v>
      </c>
    </row>
    <row r="1050">
      <c r="A1050" s="52" t="s">
        <v>77</v>
      </c>
      <c r="B1050" s="28" t="s">
        <v>77</v>
      </c>
      <c r="C1050" s="28" t="s">
        <v>77</v>
      </c>
      <c r="D1050" s="28" t="s">
        <v>77</v>
      </c>
      <c r="E1050" s="28" t="s">
        <v>77</v>
      </c>
      <c r="F1050" s="28" t="s">
        <v>77</v>
      </c>
      <c r="G1050" s="28" t="s">
        <v>77</v>
      </c>
      <c r="I1050" s="26" t="s">
        <v>77</v>
      </c>
      <c r="J1050" s="26" t="s">
        <v>77</v>
      </c>
      <c r="K1050" s="18"/>
      <c r="L1050" s="26" t="s">
        <v>77</v>
      </c>
      <c r="M1050" s="6" t="s">
        <v>77</v>
      </c>
      <c r="N1050" s="28" t="s">
        <v>77</v>
      </c>
      <c r="O1050" s="26" t="s">
        <v>77</v>
      </c>
    </row>
    <row r="1051">
      <c r="A1051" s="52" t="s">
        <v>77</v>
      </c>
      <c r="B1051" s="28" t="s">
        <v>77</v>
      </c>
      <c r="C1051" s="28" t="s">
        <v>77</v>
      </c>
      <c r="D1051" s="28" t="s">
        <v>77</v>
      </c>
      <c r="E1051" s="28" t="s">
        <v>77</v>
      </c>
      <c r="F1051" s="28" t="s">
        <v>77</v>
      </c>
      <c r="G1051" s="28" t="s">
        <v>77</v>
      </c>
      <c r="I1051" s="26" t="s">
        <v>77</v>
      </c>
      <c r="J1051" s="26" t="s">
        <v>77</v>
      </c>
      <c r="K1051" s="18"/>
      <c r="L1051" s="26" t="s">
        <v>77</v>
      </c>
      <c r="M1051" s="6" t="s">
        <v>77</v>
      </c>
      <c r="N1051" s="28" t="s">
        <v>77</v>
      </c>
      <c r="O1051" s="26" t="s">
        <v>77</v>
      </c>
    </row>
    <row r="1052">
      <c r="A1052" s="52" t="s">
        <v>77</v>
      </c>
      <c r="B1052" s="28" t="s">
        <v>77</v>
      </c>
      <c r="C1052" s="28" t="s">
        <v>77</v>
      </c>
      <c r="D1052" s="28" t="s">
        <v>77</v>
      </c>
      <c r="E1052" s="28" t="s">
        <v>77</v>
      </c>
      <c r="F1052" s="28" t="s">
        <v>77</v>
      </c>
      <c r="G1052" s="28" t="s">
        <v>77</v>
      </c>
      <c r="I1052" s="26" t="s">
        <v>77</v>
      </c>
      <c r="J1052" s="26" t="s">
        <v>77</v>
      </c>
      <c r="K1052" s="18"/>
      <c r="L1052" s="26" t="s">
        <v>77</v>
      </c>
      <c r="M1052" s="6" t="s">
        <v>77</v>
      </c>
      <c r="N1052" s="28" t="s">
        <v>77</v>
      </c>
      <c r="O1052" s="26" t="s">
        <v>77</v>
      </c>
    </row>
    <row r="1053">
      <c r="A1053" s="52" t="s">
        <v>77</v>
      </c>
      <c r="B1053" s="28" t="s">
        <v>77</v>
      </c>
      <c r="C1053" s="28" t="s">
        <v>77</v>
      </c>
      <c r="D1053" s="28" t="s">
        <v>77</v>
      </c>
      <c r="E1053" s="28" t="s">
        <v>77</v>
      </c>
      <c r="F1053" s="28" t="s">
        <v>77</v>
      </c>
      <c r="G1053" s="28" t="s">
        <v>77</v>
      </c>
      <c r="I1053" s="26" t="s">
        <v>77</v>
      </c>
      <c r="J1053" s="26" t="s">
        <v>77</v>
      </c>
      <c r="K1053" s="18"/>
      <c r="L1053" s="26" t="s">
        <v>77</v>
      </c>
      <c r="M1053" s="6" t="s">
        <v>77</v>
      </c>
      <c r="N1053" s="28" t="s">
        <v>77</v>
      </c>
      <c r="O1053" s="26" t="s">
        <v>77</v>
      </c>
    </row>
    <row r="1054">
      <c r="A1054" s="52" t="s">
        <v>77</v>
      </c>
      <c r="B1054" s="28" t="s">
        <v>77</v>
      </c>
      <c r="C1054" s="28" t="s">
        <v>77</v>
      </c>
      <c r="D1054" s="28" t="s">
        <v>77</v>
      </c>
      <c r="E1054" s="28" t="s">
        <v>77</v>
      </c>
      <c r="F1054" s="28" t="s">
        <v>77</v>
      </c>
      <c r="G1054" s="28" t="s">
        <v>77</v>
      </c>
      <c r="I1054" s="26" t="s">
        <v>77</v>
      </c>
      <c r="J1054" s="26" t="s">
        <v>77</v>
      </c>
      <c r="K1054" s="18"/>
      <c r="L1054" s="26" t="s">
        <v>77</v>
      </c>
      <c r="M1054" s="6" t="s">
        <v>77</v>
      </c>
      <c r="N1054" s="28" t="s">
        <v>77</v>
      </c>
      <c r="O1054" s="26" t="s">
        <v>77</v>
      </c>
    </row>
    <row r="1055">
      <c r="A1055" s="52" t="s">
        <v>77</v>
      </c>
      <c r="B1055" s="28" t="s">
        <v>77</v>
      </c>
      <c r="C1055" s="28" t="s">
        <v>77</v>
      </c>
      <c r="D1055" s="28" t="s">
        <v>77</v>
      </c>
      <c r="E1055" s="28" t="s">
        <v>77</v>
      </c>
      <c r="F1055" s="28" t="s">
        <v>77</v>
      </c>
      <c r="G1055" s="28" t="s">
        <v>77</v>
      </c>
      <c r="I1055" s="26" t="s">
        <v>77</v>
      </c>
      <c r="J1055" s="26" t="s">
        <v>77</v>
      </c>
      <c r="K1055" s="18"/>
      <c r="L1055" s="26" t="s">
        <v>77</v>
      </c>
      <c r="M1055" s="6" t="s">
        <v>77</v>
      </c>
      <c r="N1055" s="28" t="s">
        <v>77</v>
      </c>
      <c r="O1055" s="26" t="s">
        <v>77</v>
      </c>
    </row>
    <row r="1056">
      <c r="A1056" s="52" t="s">
        <v>77</v>
      </c>
      <c r="B1056" s="28" t="s">
        <v>77</v>
      </c>
      <c r="C1056" s="28" t="s">
        <v>77</v>
      </c>
      <c r="D1056" s="28" t="s">
        <v>77</v>
      </c>
      <c r="E1056" s="28" t="s">
        <v>77</v>
      </c>
      <c r="F1056" s="28" t="s">
        <v>77</v>
      </c>
      <c r="G1056" s="28" t="s">
        <v>77</v>
      </c>
      <c r="I1056" s="26" t="s">
        <v>77</v>
      </c>
      <c r="J1056" s="26" t="s">
        <v>77</v>
      </c>
      <c r="K1056" s="18"/>
      <c r="L1056" s="26" t="s">
        <v>77</v>
      </c>
      <c r="M1056" s="6" t="s">
        <v>77</v>
      </c>
      <c r="N1056" s="28" t="s">
        <v>77</v>
      </c>
      <c r="O1056" s="26" t="s">
        <v>77</v>
      </c>
    </row>
    <row r="1057">
      <c r="A1057" s="52" t="s">
        <v>77</v>
      </c>
      <c r="B1057" s="28" t="s">
        <v>77</v>
      </c>
      <c r="C1057" s="28" t="s">
        <v>77</v>
      </c>
      <c r="D1057" s="28" t="s">
        <v>77</v>
      </c>
      <c r="E1057" s="28" t="s">
        <v>77</v>
      </c>
      <c r="F1057" s="28" t="s">
        <v>77</v>
      </c>
      <c r="G1057" s="28" t="s">
        <v>77</v>
      </c>
      <c r="I1057" s="26" t="s">
        <v>77</v>
      </c>
      <c r="J1057" s="26" t="s">
        <v>77</v>
      </c>
      <c r="K1057" s="18"/>
      <c r="L1057" s="26" t="s">
        <v>77</v>
      </c>
      <c r="M1057" s="6" t="s">
        <v>77</v>
      </c>
      <c r="N1057" s="28" t="s">
        <v>77</v>
      </c>
      <c r="O1057" s="26" t="s">
        <v>77</v>
      </c>
    </row>
    <row r="1058">
      <c r="A1058" s="52" t="s">
        <v>77</v>
      </c>
      <c r="B1058" s="28" t="s">
        <v>77</v>
      </c>
      <c r="C1058" s="28" t="s">
        <v>77</v>
      </c>
      <c r="D1058" s="28" t="s">
        <v>77</v>
      </c>
      <c r="E1058" s="28" t="s">
        <v>77</v>
      </c>
      <c r="F1058" s="28" t="s">
        <v>77</v>
      </c>
      <c r="G1058" s="28" t="s">
        <v>77</v>
      </c>
      <c r="I1058" s="26" t="s">
        <v>77</v>
      </c>
      <c r="J1058" s="26" t="s">
        <v>77</v>
      </c>
      <c r="K1058" s="18"/>
      <c r="L1058" s="26" t="s">
        <v>77</v>
      </c>
      <c r="M1058" s="6" t="s">
        <v>77</v>
      </c>
      <c r="N1058" s="28" t="s">
        <v>77</v>
      </c>
      <c r="O1058" s="26" t="s">
        <v>77</v>
      </c>
    </row>
    <row r="1059">
      <c r="A1059" s="52" t="s">
        <v>77</v>
      </c>
      <c r="B1059" s="28" t="s">
        <v>77</v>
      </c>
      <c r="C1059" s="28" t="s">
        <v>77</v>
      </c>
      <c r="D1059" s="28" t="s">
        <v>77</v>
      </c>
      <c r="E1059" s="28" t="s">
        <v>77</v>
      </c>
      <c r="F1059" s="28" t="s">
        <v>77</v>
      </c>
      <c r="G1059" s="28" t="s">
        <v>77</v>
      </c>
      <c r="I1059" s="26" t="s">
        <v>77</v>
      </c>
      <c r="J1059" s="26" t="s">
        <v>77</v>
      </c>
      <c r="K1059" s="18"/>
      <c r="L1059" s="26" t="s">
        <v>77</v>
      </c>
      <c r="M1059" s="6" t="s">
        <v>77</v>
      </c>
      <c r="N1059" s="28" t="s">
        <v>77</v>
      </c>
      <c r="O1059" s="26" t="s">
        <v>77</v>
      </c>
    </row>
    <row r="1060">
      <c r="A1060" s="52" t="s">
        <v>77</v>
      </c>
      <c r="B1060" s="28" t="s">
        <v>77</v>
      </c>
      <c r="C1060" s="28" t="s">
        <v>77</v>
      </c>
      <c r="D1060" s="28" t="s">
        <v>77</v>
      </c>
      <c r="E1060" s="28" t="s">
        <v>77</v>
      </c>
      <c r="F1060" s="28" t="s">
        <v>77</v>
      </c>
      <c r="G1060" s="28" t="s">
        <v>77</v>
      </c>
      <c r="I1060" s="26" t="s">
        <v>77</v>
      </c>
      <c r="J1060" s="26" t="s">
        <v>77</v>
      </c>
      <c r="K1060" s="18"/>
      <c r="L1060" s="26" t="s">
        <v>77</v>
      </c>
      <c r="M1060" s="6" t="s">
        <v>77</v>
      </c>
      <c r="N1060" s="28" t="s">
        <v>77</v>
      </c>
      <c r="O1060" s="26" t="s">
        <v>77</v>
      </c>
    </row>
    <row r="1061">
      <c r="A1061" s="52" t="s">
        <v>77</v>
      </c>
      <c r="B1061" s="28" t="s">
        <v>77</v>
      </c>
      <c r="C1061" s="28" t="s">
        <v>77</v>
      </c>
      <c r="D1061" s="28" t="s">
        <v>77</v>
      </c>
      <c r="E1061" s="28" t="s">
        <v>77</v>
      </c>
      <c r="F1061" s="28" t="s">
        <v>77</v>
      </c>
      <c r="G1061" s="28" t="s">
        <v>77</v>
      </c>
      <c r="I1061" s="26" t="s">
        <v>77</v>
      </c>
      <c r="J1061" s="26" t="s">
        <v>77</v>
      </c>
      <c r="K1061" s="18"/>
      <c r="L1061" s="26" t="s">
        <v>77</v>
      </c>
      <c r="M1061" s="6" t="s">
        <v>77</v>
      </c>
      <c r="N1061" s="28" t="s">
        <v>77</v>
      </c>
      <c r="O1061" s="26" t="s">
        <v>77</v>
      </c>
    </row>
    <row r="1062">
      <c r="A1062" s="52" t="s">
        <v>77</v>
      </c>
      <c r="B1062" s="28" t="s">
        <v>77</v>
      </c>
      <c r="C1062" s="28" t="s">
        <v>77</v>
      </c>
      <c r="D1062" s="28" t="s">
        <v>77</v>
      </c>
      <c r="E1062" s="28" t="s">
        <v>77</v>
      </c>
      <c r="F1062" s="28" t="s">
        <v>77</v>
      </c>
      <c r="G1062" s="28" t="s">
        <v>77</v>
      </c>
      <c r="I1062" s="26" t="s">
        <v>77</v>
      </c>
      <c r="J1062" s="26" t="s">
        <v>77</v>
      </c>
      <c r="K1062" s="18"/>
      <c r="L1062" s="26" t="s">
        <v>77</v>
      </c>
      <c r="M1062" s="6" t="s">
        <v>77</v>
      </c>
      <c r="N1062" s="28" t="s">
        <v>77</v>
      </c>
      <c r="O1062" s="26" t="s">
        <v>77</v>
      </c>
    </row>
    <row r="1063">
      <c r="A1063" s="52" t="s">
        <v>77</v>
      </c>
      <c r="B1063" s="28" t="s">
        <v>77</v>
      </c>
      <c r="C1063" s="28" t="s">
        <v>77</v>
      </c>
      <c r="D1063" s="28" t="s">
        <v>77</v>
      </c>
      <c r="E1063" s="28" t="s">
        <v>77</v>
      </c>
      <c r="F1063" s="28" t="s">
        <v>77</v>
      </c>
      <c r="G1063" s="28" t="s">
        <v>77</v>
      </c>
      <c r="I1063" s="26" t="s">
        <v>77</v>
      </c>
      <c r="J1063" s="26" t="s">
        <v>77</v>
      </c>
      <c r="K1063" s="18"/>
      <c r="L1063" s="26" t="s">
        <v>77</v>
      </c>
      <c r="M1063" s="6" t="s">
        <v>77</v>
      </c>
      <c r="N1063" s="28" t="s">
        <v>77</v>
      </c>
      <c r="O1063" s="26" t="s">
        <v>77</v>
      </c>
    </row>
    <row r="1064">
      <c r="A1064" s="52" t="s">
        <v>77</v>
      </c>
      <c r="B1064" s="28" t="s">
        <v>77</v>
      </c>
      <c r="C1064" s="28" t="s">
        <v>77</v>
      </c>
      <c r="D1064" s="28" t="s">
        <v>77</v>
      </c>
      <c r="E1064" s="28" t="s">
        <v>77</v>
      </c>
      <c r="F1064" s="28" t="s">
        <v>77</v>
      </c>
      <c r="G1064" s="28" t="s">
        <v>77</v>
      </c>
      <c r="I1064" s="26" t="s">
        <v>77</v>
      </c>
      <c r="J1064" s="26" t="s">
        <v>77</v>
      </c>
      <c r="K1064" s="18"/>
      <c r="L1064" s="26" t="s">
        <v>77</v>
      </c>
      <c r="M1064" s="6" t="s">
        <v>77</v>
      </c>
      <c r="N1064" s="28" t="s">
        <v>77</v>
      </c>
      <c r="O1064" s="26" t="s">
        <v>77</v>
      </c>
    </row>
    <row r="1065">
      <c r="A1065" s="52" t="s">
        <v>77</v>
      </c>
      <c r="B1065" s="28" t="s">
        <v>77</v>
      </c>
      <c r="C1065" s="28" t="s">
        <v>77</v>
      </c>
      <c r="D1065" s="28" t="s">
        <v>77</v>
      </c>
      <c r="E1065" s="28" t="s">
        <v>77</v>
      </c>
      <c r="F1065" s="28" t="s">
        <v>77</v>
      </c>
      <c r="G1065" s="28" t="s">
        <v>77</v>
      </c>
      <c r="I1065" s="26" t="s">
        <v>77</v>
      </c>
      <c r="J1065" s="26" t="s">
        <v>77</v>
      </c>
      <c r="K1065" s="18"/>
      <c r="L1065" s="26" t="s">
        <v>77</v>
      </c>
      <c r="M1065" s="6" t="s">
        <v>77</v>
      </c>
      <c r="N1065" s="28" t="s">
        <v>77</v>
      </c>
      <c r="O1065" s="26" t="s">
        <v>77</v>
      </c>
    </row>
    <row r="1066">
      <c r="A1066" s="52" t="s">
        <v>77</v>
      </c>
      <c r="B1066" s="28" t="s">
        <v>77</v>
      </c>
      <c r="C1066" s="28" t="s">
        <v>77</v>
      </c>
      <c r="D1066" s="28" t="s">
        <v>77</v>
      </c>
      <c r="E1066" s="28" t="s">
        <v>77</v>
      </c>
      <c r="F1066" s="28" t="s">
        <v>77</v>
      </c>
      <c r="G1066" s="28" t="s">
        <v>77</v>
      </c>
      <c r="I1066" s="26" t="s">
        <v>77</v>
      </c>
      <c r="J1066" s="26" t="s">
        <v>77</v>
      </c>
      <c r="K1066" s="18"/>
      <c r="L1066" s="26" t="s">
        <v>77</v>
      </c>
      <c r="M1066" s="6" t="s">
        <v>77</v>
      </c>
      <c r="N1066" s="28" t="s">
        <v>77</v>
      </c>
      <c r="O1066" s="26" t="s">
        <v>77</v>
      </c>
    </row>
    <row r="1067">
      <c r="A1067" s="52" t="s">
        <v>77</v>
      </c>
      <c r="B1067" s="28" t="s">
        <v>77</v>
      </c>
      <c r="C1067" s="28" t="s">
        <v>77</v>
      </c>
      <c r="D1067" s="28" t="s">
        <v>77</v>
      </c>
      <c r="E1067" s="28" t="s">
        <v>77</v>
      </c>
      <c r="F1067" s="28" t="s">
        <v>77</v>
      </c>
      <c r="G1067" s="28" t="s">
        <v>77</v>
      </c>
      <c r="I1067" s="26" t="s">
        <v>77</v>
      </c>
      <c r="J1067" s="26" t="s">
        <v>77</v>
      </c>
      <c r="K1067" s="18"/>
      <c r="L1067" s="26" t="s">
        <v>77</v>
      </c>
      <c r="M1067" s="6" t="s">
        <v>77</v>
      </c>
      <c r="N1067" s="28" t="s">
        <v>77</v>
      </c>
      <c r="O1067" s="26" t="s">
        <v>77</v>
      </c>
    </row>
    <row r="1068">
      <c r="A1068" s="52" t="s">
        <v>77</v>
      </c>
      <c r="B1068" s="28" t="s">
        <v>77</v>
      </c>
      <c r="C1068" s="28" t="s">
        <v>77</v>
      </c>
      <c r="D1068" s="28" t="s">
        <v>77</v>
      </c>
      <c r="E1068" s="28" t="s">
        <v>77</v>
      </c>
      <c r="F1068" s="28" t="s">
        <v>77</v>
      </c>
      <c r="G1068" s="28" t="s">
        <v>77</v>
      </c>
      <c r="I1068" s="26" t="s">
        <v>77</v>
      </c>
      <c r="J1068" s="26" t="s">
        <v>77</v>
      </c>
      <c r="K1068" s="18"/>
      <c r="L1068" s="26" t="s">
        <v>77</v>
      </c>
      <c r="M1068" s="6" t="s">
        <v>77</v>
      </c>
      <c r="N1068" s="28" t="s">
        <v>77</v>
      </c>
      <c r="O1068" s="26" t="s">
        <v>77</v>
      </c>
    </row>
    <row r="1069">
      <c r="A1069" s="52" t="s">
        <v>77</v>
      </c>
      <c r="B1069" s="28" t="s">
        <v>77</v>
      </c>
      <c r="C1069" s="28" t="s">
        <v>77</v>
      </c>
      <c r="D1069" s="28" t="s">
        <v>77</v>
      </c>
      <c r="E1069" s="28" t="s">
        <v>77</v>
      </c>
      <c r="F1069" s="28" t="s">
        <v>77</v>
      </c>
      <c r="G1069" s="28" t="s">
        <v>77</v>
      </c>
      <c r="I1069" s="26" t="s">
        <v>77</v>
      </c>
      <c r="J1069" s="26" t="s">
        <v>77</v>
      </c>
      <c r="K1069" s="18"/>
      <c r="L1069" s="26" t="s">
        <v>77</v>
      </c>
      <c r="M1069" s="6" t="s">
        <v>77</v>
      </c>
      <c r="N1069" s="28" t="s">
        <v>77</v>
      </c>
      <c r="O1069" s="26" t="s">
        <v>77</v>
      </c>
    </row>
    <row r="1070">
      <c r="A1070" s="52" t="s">
        <v>77</v>
      </c>
      <c r="B1070" s="28" t="s">
        <v>77</v>
      </c>
      <c r="C1070" s="28" t="s">
        <v>77</v>
      </c>
      <c r="D1070" s="28" t="s">
        <v>77</v>
      </c>
      <c r="E1070" s="28" t="s">
        <v>77</v>
      </c>
      <c r="F1070" s="28" t="s">
        <v>77</v>
      </c>
      <c r="G1070" s="28" t="s">
        <v>77</v>
      </c>
      <c r="I1070" s="26" t="s">
        <v>77</v>
      </c>
      <c r="J1070" s="26" t="s">
        <v>77</v>
      </c>
      <c r="K1070" s="18"/>
      <c r="L1070" s="26" t="s">
        <v>77</v>
      </c>
      <c r="M1070" s="6" t="s">
        <v>77</v>
      </c>
      <c r="N1070" s="28" t="s">
        <v>77</v>
      </c>
      <c r="O1070" s="26" t="s">
        <v>77</v>
      </c>
    </row>
    <row r="1071">
      <c r="A1071" s="52" t="s">
        <v>77</v>
      </c>
      <c r="B1071" s="28" t="s">
        <v>77</v>
      </c>
      <c r="C1071" s="28" t="s">
        <v>77</v>
      </c>
      <c r="D1071" s="28" t="s">
        <v>77</v>
      </c>
      <c r="E1071" s="28" t="s">
        <v>77</v>
      </c>
      <c r="F1071" s="28" t="s">
        <v>77</v>
      </c>
      <c r="G1071" s="28" t="s">
        <v>77</v>
      </c>
      <c r="I1071" s="26" t="s">
        <v>77</v>
      </c>
      <c r="J1071" s="26" t="s">
        <v>77</v>
      </c>
      <c r="K1071" s="18"/>
      <c r="L1071" s="26" t="s">
        <v>77</v>
      </c>
      <c r="M1071" s="6" t="s">
        <v>77</v>
      </c>
      <c r="N1071" s="28" t="s">
        <v>77</v>
      </c>
      <c r="O1071" s="26" t="s">
        <v>77</v>
      </c>
    </row>
    <row r="1072">
      <c r="A1072" s="52" t="s">
        <v>77</v>
      </c>
      <c r="B1072" s="28" t="s">
        <v>77</v>
      </c>
      <c r="C1072" s="28" t="s">
        <v>77</v>
      </c>
      <c r="D1072" s="28" t="s">
        <v>77</v>
      </c>
      <c r="E1072" s="28" t="s">
        <v>77</v>
      </c>
      <c r="F1072" s="28" t="s">
        <v>77</v>
      </c>
      <c r="G1072" s="28" t="s">
        <v>77</v>
      </c>
      <c r="I1072" s="26" t="s">
        <v>77</v>
      </c>
      <c r="J1072" s="26" t="s">
        <v>77</v>
      </c>
      <c r="K1072" s="18"/>
      <c r="L1072" s="26" t="s">
        <v>77</v>
      </c>
      <c r="M1072" s="6" t="s">
        <v>77</v>
      </c>
      <c r="N1072" s="28" t="s">
        <v>77</v>
      </c>
      <c r="O1072" s="26" t="s">
        <v>77</v>
      </c>
    </row>
    <row r="1073">
      <c r="A1073" s="52" t="s">
        <v>77</v>
      </c>
      <c r="B1073" s="28" t="s">
        <v>77</v>
      </c>
      <c r="C1073" s="28" t="s">
        <v>77</v>
      </c>
      <c r="D1073" s="28" t="s">
        <v>77</v>
      </c>
      <c r="E1073" s="28" t="s">
        <v>77</v>
      </c>
      <c r="F1073" s="28" t="s">
        <v>77</v>
      </c>
      <c r="G1073" s="28" t="s">
        <v>77</v>
      </c>
      <c r="I1073" s="26" t="s">
        <v>77</v>
      </c>
      <c r="J1073" s="26" t="s">
        <v>77</v>
      </c>
      <c r="K1073" s="18"/>
      <c r="L1073" s="26" t="s">
        <v>77</v>
      </c>
      <c r="M1073" s="6" t="s">
        <v>77</v>
      </c>
      <c r="N1073" s="28" t="s">
        <v>77</v>
      </c>
      <c r="O1073" s="26" t="s">
        <v>77</v>
      </c>
    </row>
    <row r="1074">
      <c r="A1074" s="52" t="s">
        <v>77</v>
      </c>
      <c r="B1074" s="28" t="s">
        <v>77</v>
      </c>
      <c r="C1074" s="28" t="s">
        <v>77</v>
      </c>
      <c r="D1074" s="28" t="s">
        <v>77</v>
      </c>
      <c r="E1074" s="28" t="s">
        <v>77</v>
      </c>
      <c r="F1074" s="28" t="s">
        <v>77</v>
      </c>
      <c r="G1074" s="28" t="s">
        <v>77</v>
      </c>
      <c r="I1074" s="26" t="s">
        <v>77</v>
      </c>
      <c r="J1074" s="26" t="s">
        <v>77</v>
      </c>
      <c r="K1074" s="18"/>
      <c r="L1074" s="26" t="s">
        <v>77</v>
      </c>
      <c r="M1074" s="6" t="s">
        <v>77</v>
      </c>
      <c r="N1074" s="28" t="s">
        <v>77</v>
      </c>
      <c r="O1074" s="26" t="s">
        <v>77</v>
      </c>
    </row>
    <row r="1075">
      <c r="A1075" s="52" t="s">
        <v>77</v>
      </c>
      <c r="B1075" s="28" t="s">
        <v>77</v>
      </c>
      <c r="C1075" s="28" t="s">
        <v>77</v>
      </c>
      <c r="D1075" s="28" t="s">
        <v>77</v>
      </c>
      <c r="E1075" s="28" t="s">
        <v>77</v>
      </c>
      <c r="F1075" s="28" t="s">
        <v>77</v>
      </c>
      <c r="G1075" s="28" t="s">
        <v>77</v>
      </c>
      <c r="I1075" s="26" t="s">
        <v>77</v>
      </c>
      <c r="J1075" s="26" t="s">
        <v>77</v>
      </c>
      <c r="K1075" s="18"/>
      <c r="L1075" s="26" t="s">
        <v>77</v>
      </c>
      <c r="M1075" s="6" t="s">
        <v>77</v>
      </c>
      <c r="N1075" s="28" t="s">
        <v>77</v>
      </c>
      <c r="O1075" s="26" t="s">
        <v>77</v>
      </c>
    </row>
    <row r="1076">
      <c r="A1076" s="52" t="s">
        <v>77</v>
      </c>
      <c r="B1076" s="28" t="s">
        <v>77</v>
      </c>
      <c r="C1076" s="28" t="s">
        <v>77</v>
      </c>
      <c r="D1076" s="28" t="s">
        <v>77</v>
      </c>
      <c r="E1076" s="28" t="s">
        <v>77</v>
      </c>
      <c r="F1076" s="28" t="s">
        <v>77</v>
      </c>
      <c r="G1076" s="28" t="s">
        <v>77</v>
      </c>
      <c r="I1076" s="26" t="s">
        <v>77</v>
      </c>
      <c r="J1076" s="26" t="s">
        <v>77</v>
      </c>
      <c r="K1076" s="18"/>
      <c r="L1076" s="26" t="s">
        <v>77</v>
      </c>
      <c r="M1076" s="6" t="s">
        <v>77</v>
      </c>
      <c r="N1076" s="28" t="s">
        <v>77</v>
      </c>
      <c r="O1076" s="26" t="s">
        <v>77</v>
      </c>
    </row>
    <row r="1077">
      <c r="A1077" s="52" t="s">
        <v>77</v>
      </c>
      <c r="B1077" s="28" t="s">
        <v>77</v>
      </c>
      <c r="C1077" s="28" t="s">
        <v>77</v>
      </c>
      <c r="D1077" s="28" t="s">
        <v>77</v>
      </c>
      <c r="E1077" s="28" t="s">
        <v>77</v>
      </c>
      <c r="F1077" s="28" t="s">
        <v>77</v>
      </c>
      <c r="G1077" s="28" t="s">
        <v>77</v>
      </c>
      <c r="I1077" s="26" t="s">
        <v>77</v>
      </c>
      <c r="J1077" s="26" t="s">
        <v>77</v>
      </c>
      <c r="K1077" s="18"/>
      <c r="L1077" s="26" t="s">
        <v>77</v>
      </c>
      <c r="M1077" s="6" t="s">
        <v>77</v>
      </c>
      <c r="N1077" s="28" t="s">
        <v>77</v>
      </c>
      <c r="O1077" s="26" t="s">
        <v>77</v>
      </c>
    </row>
    <row r="1078">
      <c r="A1078" s="52" t="s">
        <v>77</v>
      </c>
      <c r="B1078" s="28" t="s">
        <v>77</v>
      </c>
      <c r="C1078" s="28" t="s">
        <v>77</v>
      </c>
      <c r="D1078" s="28" t="s">
        <v>77</v>
      </c>
      <c r="E1078" s="28" t="s">
        <v>77</v>
      </c>
      <c r="F1078" s="28" t="s">
        <v>77</v>
      </c>
      <c r="G1078" s="28" t="s">
        <v>77</v>
      </c>
      <c r="I1078" s="26" t="s">
        <v>77</v>
      </c>
      <c r="J1078" s="26" t="s">
        <v>77</v>
      </c>
      <c r="K1078" s="18"/>
      <c r="L1078" s="26" t="s">
        <v>77</v>
      </c>
      <c r="M1078" s="6" t="s">
        <v>77</v>
      </c>
      <c r="N1078" s="28" t="s">
        <v>77</v>
      </c>
      <c r="O1078" s="26" t="s">
        <v>77</v>
      </c>
    </row>
    <row r="1079">
      <c r="A1079" s="52" t="s">
        <v>77</v>
      </c>
      <c r="B1079" s="28" t="s">
        <v>77</v>
      </c>
      <c r="C1079" s="28" t="s">
        <v>77</v>
      </c>
      <c r="D1079" s="28" t="s">
        <v>77</v>
      </c>
      <c r="E1079" s="28" t="s">
        <v>77</v>
      </c>
      <c r="F1079" s="28" t="s">
        <v>77</v>
      </c>
      <c r="G1079" s="28" t="s">
        <v>77</v>
      </c>
      <c r="I1079" s="26" t="s">
        <v>77</v>
      </c>
      <c r="J1079" s="26" t="s">
        <v>77</v>
      </c>
      <c r="K1079" s="18"/>
      <c r="L1079" s="26" t="s">
        <v>77</v>
      </c>
      <c r="M1079" s="6" t="s">
        <v>77</v>
      </c>
      <c r="N1079" s="28" t="s">
        <v>77</v>
      </c>
      <c r="O1079" s="26" t="s">
        <v>77</v>
      </c>
    </row>
    <row r="1080">
      <c r="A1080" s="52" t="s">
        <v>77</v>
      </c>
      <c r="B1080" s="28" t="s">
        <v>77</v>
      </c>
      <c r="C1080" s="28" t="s">
        <v>77</v>
      </c>
      <c r="D1080" s="28" t="s">
        <v>77</v>
      </c>
      <c r="E1080" s="28" t="s">
        <v>77</v>
      </c>
      <c r="F1080" s="28" t="s">
        <v>77</v>
      </c>
      <c r="G1080" s="28" t="s">
        <v>77</v>
      </c>
      <c r="I1080" s="26" t="s">
        <v>77</v>
      </c>
      <c r="J1080" s="26" t="s">
        <v>77</v>
      </c>
      <c r="K1080" s="18"/>
      <c r="L1080" s="26" t="s">
        <v>77</v>
      </c>
      <c r="M1080" s="6" t="s">
        <v>77</v>
      </c>
      <c r="N1080" s="28" t="s">
        <v>77</v>
      </c>
      <c r="O1080" s="26" t="s">
        <v>77</v>
      </c>
    </row>
    <row r="1081">
      <c r="A1081" s="52" t="s">
        <v>77</v>
      </c>
      <c r="B1081" s="28" t="s">
        <v>77</v>
      </c>
      <c r="C1081" s="28" t="s">
        <v>77</v>
      </c>
      <c r="D1081" s="28" t="s">
        <v>77</v>
      </c>
      <c r="E1081" s="28" t="s">
        <v>77</v>
      </c>
      <c r="F1081" s="28" t="s">
        <v>77</v>
      </c>
      <c r="G1081" s="28" t="s">
        <v>77</v>
      </c>
      <c r="I1081" s="26" t="s">
        <v>77</v>
      </c>
      <c r="J1081" s="26" t="s">
        <v>77</v>
      </c>
      <c r="K1081" s="18"/>
      <c r="L1081" s="26" t="s">
        <v>77</v>
      </c>
      <c r="M1081" s="6" t="s">
        <v>77</v>
      </c>
      <c r="N1081" s="28" t="s">
        <v>77</v>
      </c>
      <c r="O1081" s="26" t="s">
        <v>77</v>
      </c>
    </row>
    <row r="1082">
      <c r="A1082" s="52" t="s">
        <v>77</v>
      </c>
      <c r="B1082" s="28" t="s">
        <v>77</v>
      </c>
      <c r="C1082" s="28" t="s">
        <v>77</v>
      </c>
      <c r="D1082" s="28" t="s">
        <v>77</v>
      </c>
      <c r="E1082" s="28" t="s">
        <v>77</v>
      </c>
      <c r="F1082" s="28" t="s">
        <v>77</v>
      </c>
      <c r="G1082" s="28" t="s">
        <v>77</v>
      </c>
      <c r="I1082" s="26" t="s">
        <v>77</v>
      </c>
      <c r="J1082" s="26" t="s">
        <v>77</v>
      </c>
      <c r="K1082" s="18"/>
      <c r="L1082" s="26" t="s">
        <v>77</v>
      </c>
      <c r="M1082" s="6" t="s">
        <v>77</v>
      </c>
      <c r="N1082" s="28" t="s">
        <v>77</v>
      </c>
      <c r="O1082" s="26" t="s">
        <v>77</v>
      </c>
    </row>
    <row r="1083">
      <c r="A1083" s="52" t="s">
        <v>77</v>
      </c>
      <c r="B1083" s="28" t="s">
        <v>77</v>
      </c>
      <c r="C1083" s="28" t="s">
        <v>77</v>
      </c>
      <c r="D1083" s="28" t="s">
        <v>77</v>
      </c>
      <c r="E1083" s="28" t="s">
        <v>77</v>
      </c>
      <c r="F1083" s="28" t="s">
        <v>77</v>
      </c>
      <c r="G1083" s="28" t="s">
        <v>77</v>
      </c>
      <c r="I1083" s="26" t="s">
        <v>77</v>
      </c>
      <c r="J1083" s="26" t="s">
        <v>77</v>
      </c>
      <c r="K1083" s="18"/>
      <c r="L1083" s="26" t="s">
        <v>77</v>
      </c>
      <c r="M1083" s="6" t="s">
        <v>77</v>
      </c>
      <c r="N1083" s="28" t="s">
        <v>77</v>
      </c>
      <c r="O1083" s="26" t="s">
        <v>77</v>
      </c>
    </row>
    <row r="1084">
      <c r="A1084" s="52" t="s">
        <v>77</v>
      </c>
      <c r="B1084" s="28" t="s">
        <v>77</v>
      </c>
      <c r="C1084" s="28" t="s">
        <v>77</v>
      </c>
      <c r="D1084" s="28" t="s">
        <v>77</v>
      </c>
      <c r="E1084" s="28" t="s">
        <v>77</v>
      </c>
      <c r="F1084" s="28" t="s">
        <v>77</v>
      </c>
      <c r="G1084" s="28" t="s">
        <v>77</v>
      </c>
      <c r="I1084" s="26" t="s">
        <v>77</v>
      </c>
      <c r="J1084" s="26" t="s">
        <v>77</v>
      </c>
      <c r="K1084" s="18"/>
      <c r="L1084" s="26" t="s">
        <v>77</v>
      </c>
      <c r="M1084" s="6" t="s">
        <v>77</v>
      </c>
      <c r="N1084" s="28" t="s">
        <v>77</v>
      </c>
      <c r="O1084" s="26" t="s">
        <v>77</v>
      </c>
    </row>
    <row r="1085">
      <c r="A1085" s="52" t="s">
        <v>77</v>
      </c>
      <c r="B1085" s="28" t="s">
        <v>77</v>
      </c>
      <c r="C1085" s="28" t="s">
        <v>77</v>
      </c>
      <c r="D1085" s="28" t="s">
        <v>77</v>
      </c>
      <c r="E1085" s="28" t="s">
        <v>77</v>
      </c>
      <c r="F1085" s="28" t="s">
        <v>77</v>
      </c>
      <c r="G1085" s="28" t="s">
        <v>77</v>
      </c>
      <c r="I1085" s="26" t="s">
        <v>77</v>
      </c>
      <c r="J1085" s="26" t="s">
        <v>77</v>
      </c>
      <c r="K1085" s="18"/>
      <c r="L1085" s="26" t="s">
        <v>77</v>
      </c>
      <c r="M1085" s="6" t="s">
        <v>77</v>
      </c>
      <c r="N1085" s="28" t="s">
        <v>77</v>
      </c>
      <c r="O1085" s="26" t="s">
        <v>77</v>
      </c>
    </row>
    <row r="1086">
      <c r="A1086" s="52" t="s">
        <v>77</v>
      </c>
      <c r="B1086" s="28" t="s">
        <v>77</v>
      </c>
      <c r="C1086" s="28" t="s">
        <v>77</v>
      </c>
      <c r="D1086" s="28" t="s">
        <v>77</v>
      </c>
      <c r="E1086" s="28" t="s">
        <v>77</v>
      </c>
      <c r="F1086" s="28" t="s">
        <v>77</v>
      </c>
      <c r="G1086" s="28" t="s">
        <v>77</v>
      </c>
      <c r="I1086" s="26" t="s">
        <v>77</v>
      </c>
      <c r="J1086" s="26" t="s">
        <v>77</v>
      </c>
      <c r="K1086" s="18"/>
      <c r="L1086" s="26" t="s">
        <v>77</v>
      </c>
      <c r="M1086" s="6" t="s">
        <v>77</v>
      </c>
      <c r="N1086" s="28" t="s">
        <v>77</v>
      </c>
      <c r="O1086" s="26" t="s">
        <v>77</v>
      </c>
    </row>
    <row r="1087">
      <c r="A1087" s="52" t="s">
        <v>77</v>
      </c>
      <c r="B1087" s="28" t="s">
        <v>77</v>
      </c>
      <c r="C1087" s="28" t="s">
        <v>77</v>
      </c>
      <c r="D1087" s="28" t="s">
        <v>77</v>
      </c>
      <c r="E1087" s="28" t="s">
        <v>77</v>
      </c>
      <c r="F1087" s="28" t="s">
        <v>77</v>
      </c>
      <c r="G1087" s="28" t="s">
        <v>77</v>
      </c>
      <c r="I1087" s="26" t="s">
        <v>77</v>
      </c>
      <c r="J1087" s="26" t="s">
        <v>77</v>
      </c>
      <c r="K1087" s="18"/>
      <c r="L1087" s="26" t="s">
        <v>77</v>
      </c>
      <c r="M1087" s="6" t="s">
        <v>77</v>
      </c>
      <c r="N1087" s="28" t="s">
        <v>77</v>
      </c>
      <c r="O1087" s="26" t="s">
        <v>77</v>
      </c>
    </row>
    <row r="1088">
      <c r="A1088" s="52" t="s">
        <v>77</v>
      </c>
      <c r="B1088" s="28" t="s">
        <v>77</v>
      </c>
      <c r="C1088" s="28" t="s">
        <v>77</v>
      </c>
      <c r="D1088" s="28" t="s">
        <v>77</v>
      </c>
      <c r="E1088" s="28" t="s">
        <v>77</v>
      </c>
      <c r="F1088" s="28" t="s">
        <v>77</v>
      </c>
      <c r="G1088" s="28" t="s">
        <v>77</v>
      </c>
      <c r="I1088" s="26" t="s">
        <v>77</v>
      </c>
      <c r="J1088" s="26" t="s">
        <v>77</v>
      </c>
      <c r="K1088" s="18"/>
      <c r="L1088" s="26" t="s">
        <v>77</v>
      </c>
      <c r="M1088" s="6" t="s">
        <v>77</v>
      </c>
      <c r="N1088" s="28" t="s">
        <v>77</v>
      </c>
      <c r="O1088" s="26" t="s">
        <v>77</v>
      </c>
    </row>
    <row r="1089">
      <c r="A1089" s="52" t="s">
        <v>77</v>
      </c>
      <c r="B1089" s="28" t="s">
        <v>77</v>
      </c>
      <c r="C1089" s="28" t="s">
        <v>77</v>
      </c>
      <c r="D1089" s="28" t="s">
        <v>77</v>
      </c>
      <c r="E1089" s="28" t="s">
        <v>77</v>
      </c>
      <c r="F1089" s="28" t="s">
        <v>77</v>
      </c>
      <c r="G1089" s="28" t="s">
        <v>77</v>
      </c>
      <c r="I1089" s="26" t="s">
        <v>77</v>
      </c>
      <c r="J1089" s="26" t="s">
        <v>77</v>
      </c>
      <c r="K1089" s="18"/>
      <c r="L1089" s="26" t="s">
        <v>77</v>
      </c>
      <c r="M1089" s="6" t="s">
        <v>77</v>
      </c>
      <c r="N1089" s="28" t="s">
        <v>77</v>
      </c>
      <c r="O1089" s="26" t="s">
        <v>77</v>
      </c>
    </row>
    <row r="1090">
      <c r="A1090" s="52" t="s">
        <v>77</v>
      </c>
      <c r="B1090" s="28" t="s">
        <v>77</v>
      </c>
      <c r="C1090" s="28" t="s">
        <v>77</v>
      </c>
      <c r="D1090" s="28" t="s">
        <v>77</v>
      </c>
      <c r="E1090" s="28" t="s">
        <v>77</v>
      </c>
      <c r="F1090" s="28" t="s">
        <v>77</v>
      </c>
      <c r="G1090" s="28" t="s">
        <v>77</v>
      </c>
      <c r="I1090" s="26" t="s">
        <v>77</v>
      </c>
      <c r="J1090" s="26" t="s">
        <v>77</v>
      </c>
      <c r="K1090" s="18"/>
      <c r="L1090" s="26" t="s">
        <v>77</v>
      </c>
      <c r="M1090" s="6" t="s">
        <v>77</v>
      </c>
      <c r="N1090" s="28" t="s">
        <v>77</v>
      </c>
      <c r="O1090" s="26" t="s">
        <v>77</v>
      </c>
    </row>
    <row r="1091">
      <c r="A1091" s="52" t="s">
        <v>77</v>
      </c>
      <c r="B1091" s="28" t="s">
        <v>77</v>
      </c>
      <c r="C1091" s="28" t="s">
        <v>77</v>
      </c>
      <c r="D1091" s="28" t="s">
        <v>77</v>
      </c>
      <c r="E1091" s="28" t="s">
        <v>77</v>
      </c>
      <c r="F1091" s="28" t="s">
        <v>77</v>
      </c>
      <c r="G1091" s="28" t="s">
        <v>77</v>
      </c>
      <c r="I1091" s="26" t="s">
        <v>77</v>
      </c>
      <c r="J1091" s="26" t="s">
        <v>77</v>
      </c>
      <c r="K1091" s="18"/>
      <c r="L1091" s="26" t="s">
        <v>77</v>
      </c>
      <c r="M1091" s="6" t="s">
        <v>77</v>
      </c>
      <c r="N1091" s="28" t="s">
        <v>77</v>
      </c>
      <c r="O1091" s="26" t="s">
        <v>77</v>
      </c>
    </row>
    <row r="1092">
      <c r="A1092" s="52" t="s">
        <v>77</v>
      </c>
      <c r="B1092" s="28" t="s">
        <v>77</v>
      </c>
      <c r="C1092" s="28" t="s">
        <v>77</v>
      </c>
      <c r="D1092" s="28" t="s">
        <v>77</v>
      </c>
      <c r="E1092" s="28" t="s">
        <v>77</v>
      </c>
      <c r="F1092" s="28" t="s">
        <v>77</v>
      </c>
      <c r="G1092" s="28" t="s">
        <v>77</v>
      </c>
      <c r="I1092" s="26" t="s">
        <v>77</v>
      </c>
      <c r="J1092" s="26" t="s">
        <v>77</v>
      </c>
      <c r="K1092" s="18"/>
      <c r="L1092" s="26" t="s">
        <v>77</v>
      </c>
      <c r="M1092" s="6" t="s">
        <v>77</v>
      </c>
      <c r="N1092" s="28" t="s">
        <v>77</v>
      </c>
      <c r="O1092" s="26" t="s">
        <v>77</v>
      </c>
    </row>
    <row r="1093">
      <c r="A1093" s="52" t="s">
        <v>77</v>
      </c>
      <c r="B1093" s="28" t="s">
        <v>77</v>
      </c>
      <c r="C1093" s="28" t="s">
        <v>77</v>
      </c>
      <c r="D1093" s="28" t="s">
        <v>77</v>
      </c>
      <c r="E1093" s="28" t="s">
        <v>77</v>
      </c>
      <c r="F1093" s="28" t="s">
        <v>77</v>
      </c>
      <c r="G1093" s="28" t="s">
        <v>77</v>
      </c>
      <c r="I1093" s="26" t="s">
        <v>77</v>
      </c>
      <c r="J1093" s="26" t="s">
        <v>77</v>
      </c>
      <c r="K1093" s="18"/>
      <c r="L1093" s="26" t="s">
        <v>77</v>
      </c>
      <c r="M1093" s="6" t="s">
        <v>77</v>
      </c>
      <c r="N1093" s="28" t="s">
        <v>77</v>
      </c>
      <c r="O1093" s="26" t="s">
        <v>77</v>
      </c>
    </row>
    <row r="1094">
      <c r="A1094" s="52" t="s">
        <v>77</v>
      </c>
      <c r="B1094" s="28" t="s">
        <v>77</v>
      </c>
      <c r="C1094" s="28" t="s">
        <v>77</v>
      </c>
      <c r="D1094" s="28" t="s">
        <v>77</v>
      </c>
      <c r="E1094" s="28" t="s">
        <v>77</v>
      </c>
      <c r="F1094" s="28" t="s">
        <v>77</v>
      </c>
      <c r="G1094" s="28" t="s">
        <v>77</v>
      </c>
      <c r="I1094" s="26" t="s">
        <v>77</v>
      </c>
      <c r="J1094" s="26" t="s">
        <v>77</v>
      </c>
      <c r="K1094" s="18"/>
      <c r="L1094" s="26" t="s">
        <v>77</v>
      </c>
      <c r="M1094" s="6" t="s">
        <v>77</v>
      </c>
      <c r="N1094" s="28" t="s">
        <v>77</v>
      </c>
      <c r="O1094" s="26" t="s">
        <v>77</v>
      </c>
    </row>
    <row r="1095">
      <c r="A1095" s="52" t="s">
        <v>77</v>
      </c>
      <c r="B1095" s="28" t="s">
        <v>77</v>
      </c>
      <c r="C1095" s="28" t="s">
        <v>77</v>
      </c>
      <c r="D1095" s="28" t="s">
        <v>77</v>
      </c>
      <c r="E1095" s="28" t="s">
        <v>77</v>
      </c>
      <c r="F1095" s="28" t="s">
        <v>77</v>
      </c>
      <c r="G1095" s="28" t="s">
        <v>77</v>
      </c>
      <c r="I1095" s="26" t="s">
        <v>77</v>
      </c>
      <c r="J1095" s="26" t="s">
        <v>77</v>
      </c>
      <c r="K1095" s="18"/>
      <c r="L1095" s="26" t="s">
        <v>77</v>
      </c>
      <c r="M1095" s="6" t="s">
        <v>77</v>
      </c>
      <c r="N1095" s="28" t="s">
        <v>77</v>
      </c>
      <c r="O1095" s="26" t="s">
        <v>77</v>
      </c>
    </row>
    <row r="1096">
      <c r="A1096" s="52" t="s">
        <v>77</v>
      </c>
      <c r="B1096" s="28" t="s">
        <v>77</v>
      </c>
      <c r="C1096" s="28" t="s">
        <v>77</v>
      </c>
      <c r="D1096" s="28" t="s">
        <v>77</v>
      </c>
      <c r="E1096" s="28" t="s">
        <v>77</v>
      </c>
      <c r="F1096" s="28" t="s">
        <v>77</v>
      </c>
      <c r="G1096" s="28" t="s">
        <v>77</v>
      </c>
      <c r="I1096" s="26" t="s">
        <v>77</v>
      </c>
      <c r="J1096" s="26" t="s">
        <v>77</v>
      </c>
      <c r="K1096" s="18"/>
      <c r="L1096" s="26" t="s">
        <v>77</v>
      </c>
      <c r="M1096" s="6" t="s">
        <v>77</v>
      </c>
      <c r="N1096" s="28" t="s">
        <v>77</v>
      </c>
      <c r="O1096" s="26" t="s">
        <v>77</v>
      </c>
    </row>
    <row r="1097">
      <c r="A1097" s="52" t="s">
        <v>77</v>
      </c>
      <c r="B1097" s="28" t="s">
        <v>77</v>
      </c>
      <c r="C1097" s="28" t="s">
        <v>77</v>
      </c>
      <c r="D1097" s="28" t="s">
        <v>77</v>
      </c>
      <c r="E1097" s="28" t="s">
        <v>77</v>
      </c>
      <c r="F1097" s="28" t="s">
        <v>77</v>
      </c>
      <c r="G1097" s="28" t="s">
        <v>77</v>
      </c>
      <c r="I1097" s="26" t="s">
        <v>77</v>
      </c>
      <c r="J1097" s="26" t="s">
        <v>77</v>
      </c>
      <c r="K1097" s="18"/>
      <c r="L1097" s="26" t="s">
        <v>77</v>
      </c>
      <c r="M1097" s="6" t="s">
        <v>77</v>
      </c>
      <c r="N1097" s="28" t="s">
        <v>77</v>
      </c>
      <c r="O1097" s="26" t="s">
        <v>77</v>
      </c>
    </row>
    <row r="1098">
      <c r="A1098" s="52" t="s">
        <v>77</v>
      </c>
      <c r="B1098" s="28" t="s">
        <v>77</v>
      </c>
      <c r="C1098" s="28" t="s">
        <v>77</v>
      </c>
      <c r="D1098" s="28" t="s">
        <v>77</v>
      </c>
      <c r="E1098" s="28" t="s">
        <v>77</v>
      </c>
      <c r="F1098" s="28" t="s">
        <v>77</v>
      </c>
      <c r="G1098" s="28" t="s">
        <v>77</v>
      </c>
      <c r="I1098" s="26" t="s">
        <v>77</v>
      </c>
      <c r="J1098" s="26" t="s">
        <v>77</v>
      </c>
      <c r="K1098" s="18"/>
      <c r="L1098" s="26" t="s">
        <v>77</v>
      </c>
      <c r="M1098" s="6" t="s">
        <v>77</v>
      </c>
      <c r="N1098" s="28" t="s">
        <v>77</v>
      </c>
      <c r="O1098" s="26" t="s">
        <v>77</v>
      </c>
    </row>
    <row r="1099">
      <c r="A1099" s="52" t="s">
        <v>77</v>
      </c>
      <c r="B1099" s="28" t="s">
        <v>77</v>
      </c>
      <c r="C1099" s="28" t="s">
        <v>77</v>
      </c>
      <c r="D1099" s="28" t="s">
        <v>77</v>
      </c>
      <c r="E1099" s="28" t="s">
        <v>77</v>
      </c>
      <c r="F1099" s="28" t="s">
        <v>77</v>
      </c>
      <c r="G1099" s="28" t="s">
        <v>77</v>
      </c>
      <c r="I1099" s="26" t="s">
        <v>77</v>
      </c>
      <c r="J1099" s="26" t="s">
        <v>77</v>
      </c>
      <c r="K1099" s="18"/>
      <c r="L1099" s="26" t="s">
        <v>77</v>
      </c>
      <c r="M1099" s="6" t="s">
        <v>77</v>
      </c>
      <c r="N1099" s="28" t="s">
        <v>77</v>
      </c>
      <c r="O1099" s="26" t="s">
        <v>77</v>
      </c>
    </row>
    <row r="1100">
      <c r="A1100" s="52" t="s">
        <v>77</v>
      </c>
      <c r="B1100" s="28" t="s">
        <v>77</v>
      </c>
      <c r="C1100" s="28" t="s">
        <v>77</v>
      </c>
      <c r="D1100" s="28" t="s">
        <v>77</v>
      </c>
      <c r="E1100" s="28" t="s">
        <v>77</v>
      </c>
      <c r="F1100" s="28" t="s">
        <v>77</v>
      </c>
      <c r="G1100" s="28" t="s">
        <v>77</v>
      </c>
      <c r="I1100" s="26" t="s">
        <v>77</v>
      </c>
      <c r="J1100" s="26" t="s">
        <v>77</v>
      </c>
      <c r="K1100" s="18"/>
      <c r="L1100" s="26" t="s">
        <v>77</v>
      </c>
      <c r="M1100" s="6" t="s">
        <v>77</v>
      </c>
      <c r="N1100" s="28" t="s">
        <v>77</v>
      </c>
      <c r="O1100" s="26" t="s">
        <v>77</v>
      </c>
    </row>
    <row r="1101">
      <c r="A1101" s="52" t="s">
        <v>77</v>
      </c>
      <c r="B1101" s="28" t="s">
        <v>77</v>
      </c>
      <c r="C1101" s="28" t="s">
        <v>77</v>
      </c>
      <c r="D1101" s="28" t="s">
        <v>77</v>
      </c>
      <c r="E1101" s="28" t="s">
        <v>77</v>
      </c>
      <c r="F1101" s="28" t="s">
        <v>77</v>
      </c>
      <c r="G1101" s="28" t="s">
        <v>77</v>
      </c>
      <c r="I1101" s="26" t="s">
        <v>77</v>
      </c>
      <c r="J1101" s="26" t="s">
        <v>77</v>
      </c>
      <c r="K1101" s="18"/>
      <c r="L1101" s="26" t="s">
        <v>77</v>
      </c>
      <c r="M1101" s="6" t="s">
        <v>77</v>
      </c>
      <c r="N1101" s="28" t="s">
        <v>77</v>
      </c>
      <c r="O1101" s="26" t="s">
        <v>77</v>
      </c>
    </row>
    <row r="1102">
      <c r="A1102" s="52" t="s">
        <v>77</v>
      </c>
      <c r="B1102" s="28" t="s">
        <v>77</v>
      </c>
      <c r="C1102" s="28" t="s">
        <v>77</v>
      </c>
      <c r="D1102" s="28" t="s">
        <v>77</v>
      </c>
      <c r="E1102" s="28" t="s">
        <v>77</v>
      </c>
      <c r="F1102" s="28" t="s">
        <v>77</v>
      </c>
      <c r="G1102" s="28" t="s">
        <v>77</v>
      </c>
      <c r="I1102" s="26" t="s">
        <v>77</v>
      </c>
      <c r="J1102" s="26" t="s">
        <v>77</v>
      </c>
      <c r="K1102" s="18"/>
      <c r="L1102" s="26" t="s">
        <v>77</v>
      </c>
      <c r="M1102" s="6" t="s">
        <v>77</v>
      </c>
      <c r="N1102" s="28" t="s">
        <v>77</v>
      </c>
      <c r="O1102" s="26" t="s">
        <v>77</v>
      </c>
    </row>
    <row r="1103">
      <c r="A1103" s="52" t="s">
        <v>77</v>
      </c>
      <c r="B1103" s="28" t="s">
        <v>77</v>
      </c>
      <c r="C1103" s="28" t="s">
        <v>77</v>
      </c>
      <c r="D1103" s="28" t="s">
        <v>77</v>
      </c>
      <c r="E1103" s="28" t="s">
        <v>77</v>
      </c>
      <c r="F1103" s="28" t="s">
        <v>77</v>
      </c>
      <c r="G1103" s="28" t="s">
        <v>77</v>
      </c>
      <c r="I1103" s="26" t="s">
        <v>77</v>
      </c>
      <c r="J1103" s="26" t="s">
        <v>77</v>
      </c>
      <c r="K1103" s="18"/>
      <c r="L1103" s="26" t="s">
        <v>77</v>
      </c>
      <c r="M1103" s="6" t="s">
        <v>77</v>
      </c>
      <c r="N1103" s="28" t="s">
        <v>77</v>
      </c>
      <c r="O1103" s="26" t="s">
        <v>77</v>
      </c>
    </row>
    <row r="1104">
      <c r="A1104" s="52" t="s">
        <v>77</v>
      </c>
      <c r="B1104" s="28" t="s">
        <v>77</v>
      </c>
      <c r="C1104" s="28" t="s">
        <v>77</v>
      </c>
      <c r="D1104" s="28" t="s">
        <v>77</v>
      </c>
      <c r="E1104" s="28" t="s">
        <v>77</v>
      </c>
      <c r="F1104" s="28" t="s">
        <v>77</v>
      </c>
      <c r="G1104" s="28" t="s">
        <v>77</v>
      </c>
      <c r="I1104" s="26" t="s">
        <v>77</v>
      </c>
      <c r="J1104" s="26" t="s">
        <v>77</v>
      </c>
      <c r="K1104" s="18"/>
      <c r="L1104" s="26" t="s">
        <v>77</v>
      </c>
      <c r="M1104" s="6" t="s">
        <v>77</v>
      </c>
      <c r="N1104" s="28" t="s">
        <v>77</v>
      </c>
      <c r="O1104" s="26" t="s">
        <v>77</v>
      </c>
    </row>
    <row r="1105">
      <c r="A1105" s="52" t="s">
        <v>77</v>
      </c>
      <c r="B1105" s="28" t="s">
        <v>77</v>
      </c>
      <c r="C1105" s="28" t="s">
        <v>77</v>
      </c>
      <c r="D1105" s="28" t="s">
        <v>77</v>
      </c>
      <c r="E1105" s="28" t="s">
        <v>77</v>
      </c>
      <c r="F1105" s="28" t="s">
        <v>77</v>
      </c>
      <c r="G1105" s="28" t="s">
        <v>77</v>
      </c>
      <c r="I1105" s="26" t="s">
        <v>77</v>
      </c>
      <c r="J1105" s="26" t="s">
        <v>77</v>
      </c>
      <c r="K1105" s="18"/>
      <c r="L1105" s="26" t="s">
        <v>77</v>
      </c>
      <c r="M1105" s="6" t="s">
        <v>77</v>
      </c>
      <c r="N1105" s="28" t="s">
        <v>77</v>
      </c>
      <c r="O1105" s="26" t="s">
        <v>77</v>
      </c>
    </row>
    <row r="1106">
      <c r="A1106" s="52" t="s">
        <v>77</v>
      </c>
      <c r="B1106" s="28" t="s">
        <v>77</v>
      </c>
      <c r="C1106" s="28" t="s">
        <v>77</v>
      </c>
      <c r="D1106" s="28" t="s">
        <v>77</v>
      </c>
      <c r="E1106" s="28" t="s">
        <v>77</v>
      </c>
      <c r="F1106" s="28" t="s">
        <v>77</v>
      </c>
      <c r="G1106" s="28" t="s">
        <v>77</v>
      </c>
      <c r="I1106" s="26" t="s">
        <v>77</v>
      </c>
      <c r="J1106" s="26" t="s">
        <v>77</v>
      </c>
      <c r="K1106" s="18"/>
      <c r="L1106" s="26" t="s">
        <v>77</v>
      </c>
      <c r="M1106" s="6" t="s">
        <v>77</v>
      </c>
      <c r="N1106" s="28" t="s">
        <v>77</v>
      </c>
      <c r="O1106" s="26" t="s">
        <v>77</v>
      </c>
    </row>
    <row r="1107">
      <c r="A1107" s="52" t="s">
        <v>77</v>
      </c>
      <c r="B1107" s="28" t="s">
        <v>77</v>
      </c>
      <c r="C1107" s="28" t="s">
        <v>77</v>
      </c>
      <c r="D1107" s="28" t="s">
        <v>77</v>
      </c>
      <c r="E1107" s="28" t="s">
        <v>77</v>
      </c>
      <c r="F1107" s="28" t="s">
        <v>77</v>
      </c>
      <c r="G1107" s="28" t="s">
        <v>77</v>
      </c>
      <c r="I1107" s="26" t="s">
        <v>77</v>
      </c>
      <c r="J1107" s="26" t="s">
        <v>77</v>
      </c>
      <c r="K1107" s="18"/>
      <c r="L1107" s="26" t="s">
        <v>77</v>
      </c>
      <c r="M1107" s="6" t="s">
        <v>77</v>
      </c>
      <c r="N1107" s="28" t="s">
        <v>77</v>
      </c>
      <c r="O1107" s="26" t="s">
        <v>77</v>
      </c>
    </row>
    <row r="1108">
      <c r="A1108" s="52" t="s">
        <v>77</v>
      </c>
      <c r="B1108" s="28" t="s">
        <v>77</v>
      </c>
      <c r="C1108" s="28" t="s">
        <v>77</v>
      </c>
      <c r="D1108" s="28" t="s">
        <v>77</v>
      </c>
      <c r="E1108" s="28" t="s">
        <v>77</v>
      </c>
      <c r="F1108" s="28" t="s">
        <v>77</v>
      </c>
      <c r="G1108" s="28" t="s">
        <v>77</v>
      </c>
      <c r="I1108" s="26" t="s">
        <v>77</v>
      </c>
      <c r="J1108" s="26" t="s">
        <v>77</v>
      </c>
      <c r="K1108" s="18"/>
      <c r="L1108" s="26" t="s">
        <v>77</v>
      </c>
      <c r="M1108" s="6" t="s">
        <v>77</v>
      </c>
      <c r="N1108" s="28" t="s">
        <v>77</v>
      </c>
      <c r="O1108" s="26" t="s">
        <v>77</v>
      </c>
    </row>
    <row r="1109">
      <c r="A1109" s="52" t="s">
        <v>77</v>
      </c>
      <c r="B1109" s="28" t="s">
        <v>77</v>
      </c>
      <c r="C1109" s="28" t="s">
        <v>77</v>
      </c>
      <c r="D1109" s="28" t="s">
        <v>77</v>
      </c>
      <c r="E1109" s="28" t="s">
        <v>77</v>
      </c>
      <c r="F1109" s="28" t="s">
        <v>77</v>
      </c>
      <c r="G1109" s="28" t="s">
        <v>77</v>
      </c>
      <c r="I1109" s="26" t="s">
        <v>77</v>
      </c>
      <c r="J1109" s="26" t="s">
        <v>77</v>
      </c>
      <c r="K1109" s="18"/>
      <c r="L1109" s="26" t="s">
        <v>77</v>
      </c>
      <c r="M1109" s="6" t="s">
        <v>77</v>
      </c>
      <c r="N1109" s="28" t="s">
        <v>77</v>
      </c>
      <c r="O1109" s="26" t="s">
        <v>77</v>
      </c>
    </row>
    <row r="1110">
      <c r="A1110" s="52" t="s">
        <v>77</v>
      </c>
      <c r="B1110" s="28" t="s">
        <v>77</v>
      </c>
      <c r="C1110" s="28" t="s">
        <v>77</v>
      </c>
      <c r="D1110" s="28" t="s">
        <v>77</v>
      </c>
      <c r="E1110" s="28" t="s">
        <v>77</v>
      </c>
      <c r="F1110" s="28" t="s">
        <v>77</v>
      </c>
      <c r="G1110" s="28" t="s">
        <v>77</v>
      </c>
      <c r="I1110" s="26" t="s">
        <v>77</v>
      </c>
      <c r="J1110" s="26" t="s">
        <v>77</v>
      </c>
      <c r="K1110" s="18"/>
      <c r="L1110" s="26" t="s">
        <v>77</v>
      </c>
      <c r="M1110" s="6" t="s">
        <v>77</v>
      </c>
      <c r="N1110" s="28" t="s">
        <v>77</v>
      </c>
      <c r="O1110" s="26" t="s">
        <v>77</v>
      </c>
    </row>
    <row r="1111">
      <c r="A1111" s="52" t="s">
        <v>77</v>
      </c>
      <c r="B1111" s="28" t="s">
        <v>77</v>
      </c>
      <c r="C1111" s="28" t="s">
        <v>77</v>
      </c>
      <c r="D1111" s="28" t="s">
        <v>77</v>
      </c>
      <c r="E1111" s="28" t="s">
        <v>77</v>
      </c>
      <c r="F1111" s="28" t="s">
        <v>77</v>
      </c>
      <c r="G1111" s="28" t="s">
        <v>77</v>
      </c>
      <c r="I1111" s="26" t="s">
        <v>77</v>
      </c>
      <c r="J1111" s="26" t="s">
        <v>77</v>
      </c>
      <c r="K1111" s="18"/>
      <c r="L1111" s="26" t="s">
        <v>77</v>
      </c>
      <c r="M1111" s="6" t="s">
        <v>77</v>
      </c>
      <c r="N1111" s="28" t="s">
        <v>77</v>
      </c>
      <c r="O1111" s="26" t="s">
        <v>77</v>
      </c>
    </row>
    <row r="1112">
      <c r="A1112" s="52" t="s">
        <v>77</v>
      </c>
      <c r="B1112" s="28" t="s">
        <v>77</v>
      </c>
      <c r="C1112" s="28" t="s">
        <v>77</v>
      </c>
      <c r="D1112" s="28" t="s">
        <v>77</v>
      </c>
      <c r="E1112" s="28" t="s">
        <v>77</v>
      </c>
      <c r="F1112" s="28" t="s">
        <v>77</v>
      </c>
      <c r="G1112" s="28" t="s">
        <v>77</v>
      </c>
      <c r="I1112" s="26" t="s">
        <v>77</v>
      </c>
      <c r="J1112" s="26" t="s">
        <v>77</v>
      </c>
      <c r="K1112" s="18"/>
      <c r="L1112" s="26" t="s">
        <v>77</v>
      </c>
      <c r="M1112" s="6" t="s">
        <v>77</v>
      </c>
      <c r="N1112" s="28" t="s">
        <v>77</v>
      </c>
      <c r="O1112" s="26" t="s">
        <v>77</v>
      </c>
    </row>
    <row r="1113">
      <c r="A1113" s="52" t="s">
        <v>77</v>
      </c>
      <c r="B1113" s="28" t="s">
        <v>77</v>
      </c>
      <c r="C1113" s="28" t="s">
        <v>77</v>
      </c>
      <c r="D1113" s="28" t="s">
        <v>77</v>
      </c>
      <c r="E1113" s="28" t="s">
        <v>77</v>
      </c>
      <c r="F1113" s="28" t="s">
        <v>77</v>
      </c>
      <c r="G1113" s="28" t="s">
        <v>77</v>
      </c>
      <c r="I1113" s="26" t="s">
        <v>77</v>
      </c>
      <c r="J1113" s="26" t="s">
        <v>77</v>
      </c>
      <c r="K1113" s="18"/>
      <c r="L1113" s="26" t="s">
        <v>77</v>
      </c>
      <c r="M1113" s="6" t="s">
        <v>77</v>
      </c>
      <c r="N1113" s="28" t="s">
        <v>77</v>
      </c>
      <c r="O1113" s="26" t="s">
        <v>77</v>
      </c>
    </row>
    <row r="1114">
      <c r="A1114" s="52" t="s">
        <v>77</v>
      </c>
      <c r="B1114" s="28" t="s">
        <v>77</v>
      </c>
      <c r="C1114" s="28" t="s">
        <v>77</v>
      </c>
      <c r="D1114" s="28" t="s">
        <v>77</v>
      </c>
      <c r="E1114" s="28" t="s">
        <v>77</v>
      </c>
      <c r="F1114" s="28" t="s">
        <v>77</v>
      </c>
      <c r="G1114" s="28" t="s">
        <v>77</v>
      </c>
      <c r="I1114" s="26" t="s">
        <v>77</v>
      </c>
      <c r="J1114" s="26" t="s">
        <v>77</v>
      </c>
      <c r="K1114" s="18"/>
      <c r="L1114" s="26" t="s">
        <v>77</v>
      </c>
      <c r="M1114" s="6" t="s">
        <v>77</v>
      </c>
      <c r="N1114" s="28" t="s">
        <v>77</v>
      </c>
      <c r="O1114" s="26" t="s">
        <v>77</v>
      </c>
    </row>
    <row r="1115">
      <c r="A1115" s="52" t="s">
        <v>77</v>
      </c>
      <c r="B1115" s="28" t="s">
        <v>77</v>
      </c>
      <c r="C1115" s="28" t="s">
        <v>77</v>
      </c>
      <c r="D1115" s="28" t="s">
        <v>77</v>
      </c>
      <c r="E1115" s="28" t="s">
        <v>77</v>
      </c>
      <c r="F1115" s="28" t="s">
        <v>77</v>
      </c>
      <c r="G1115" s="28" t="s">
        <v>77</v>
      </c>
      <c r="I1115" s="26" t="s">
        <v>77</v>
      </c>
      <c r="J1115" s="26" t="s">
        <v>77</v>
      </c>
      <c r="K1115" s="18"/>
      <c r="L1115" s="26" t="s">
        <v>77</v>
      </c>
      <c r="M1115" s="6" t="s">
        <v>77</v>
      </c>
      <c r="N1115" s="28" t="s">
        <v>77</v>
      </c>
      <c r="O1115" s="26" t="s">
        <v>77</v>
      </c>
    </row>
    <row r="1116">
      <c r="A1116" s="52" t="s">
        <v>77</v>
      </c>
      <c r="B1116" s="28" t="s">
        <v>77</v>
      </c>
      <c r="C1116" s="28" t="s">
        <v>77</v>
      </c>
      <c r="D1116" s="28" t="s">
        <v>77</v>
      </c>
      <c r="E1116" s="28" t="s">
        <v>77</v>
      </c>
      <c r="F1116" s="28" t="s">
        <v>77</v>
      </c>
      <c r="G1116" s="28" t="s">
        <v>77</v>
      </c>
      <c r="I1116" s="26" t="s">
        <v>77</v>
      </c>
      <c r="J1116" s="26" t="s">
        <v>77</v>
      </c>
      <c r="K1116" s="18"/>
      <c r="L1116" s="26" t="s">
        <v>77</v>
      </c>
      <c r="M1116" s="6" t="s">
        <v>77</v>
      </c>
      <c r="N1116" s="28" t="s">
        <v>77</v>
      </c>
      <c r="O1116" s="26" t="s">
        <v>77</v>
      </c>
    </row>
    <row r="1117">
      <c r="A1117" s="52" t="s">
        <v>77</v>
      </c>
      <c r="B1117" s="28" t="s">
        <v>77</v>
      </c>
      <c r="C1117" s="28" t="s">
        <v>77</v>
      </c>
      <c r="D1117" s="28" t="s">
        <v>77</v>
      </c>
      <c r="E1117" s="28" t="s">
        <v>77</v>
      </c>
      <c r="F1117" s="28" t="s">
        <v>77</v>
      </c>
      <c r="G1117" s="28" t="s">
        <v>77</v>
      </c>
      <c r="I1117" s="26" t="s">
        <v>77</v>
      </c>
      <c r="J1117" s="26" t="s">
        <v>77</v>
      </c>
      <c r="K1117" s="18"/>
      <c r="L1117" s="26" t="s">
        <v>77</v>
      </c>
      <c r="M1117" s="6" t="s">
        <v>77</v>
      </c>
      <c r="N1117" s="28" t="s">
        <v>77</v>
      </c>
      <c r="O1117" s="26" t="s">
        <v>77</v>
      </c>
    </row>
    <row r="1118">
      <c r="A1118" s="52" t="s">
        <v>77</v>
      </c>
      <c r="B1118" s="28" t="s">
        <v>77</v>
      </c>
      <c r="C1118" s="28" t="s">
        <v>77</v>
      </c>
      <c r="D1118" s="28" t="s">
        <v>77</v>
      </c>
      <c r="E1118" s="28" t="s">
        <v>77</v>
      </c>
      <c r="F1118" s="28" t="s">
        <v>77</v>
      </c>
      <c r="G1118" s="28" t="s">
        <v>77</v>
      </c>
      <c r="I1118" s="26" t="s">
        <v>77</v>
      </c>
      <c r="J1118" s="26" t="s">
        <v>77</v>
      </c>
      <c r="K1118" s="18"/>
      <c r="L1118" s="26" t="s">
        <v>77</v>
      </c>
      <c r="M1118" s="6" t="s">
        <v>77</v>
      </c>
      <c r="N1118" s="28" t="s">
        <v>77</v>
      </c>
      <c r="O1118" s="26" t="s">
        <v>77</v>
      </c>
    </row>
    <row r="1119">
      <c r="A1119" s="52" t="s">
        <v>77</v>
      </c>
      <c r="B1119" s="28" t="s">
        <v>77</v>
      </c>
      <c r="C1119" s="28" t="s">
        <v>77</v>
      </c>
      <c r="D1119" s="28" t="s">
        <v>77</v>
      </c>
      <c r="E1119" s="28" t="s">
        <v>77</v>
      </c>
      <c r="F1119" s="28" t="s">
        <v>77</v>
      </c>
      <c r="G1119" s="28" t="s">
        <v>77</v>
      </c>
      <c r="I1119" s="26" t="s">
        <v>77</v>
      </c>
      <c r="J1119" s="26" t="s">
        <v>77</v>
      </c>
      <c r="K1119" s="18"/>
      <c r="L1119" s="26" t="s">
        <v>77</v>
      </c>
      <c r="M1119" s="6" t="s">
        <v>77</v>
      </c>
      <c r="N1119" s="28" t="s">
        <v>77</v>
      </c>
      <c r="O1119" s="26" t="s">
        <v>77</v>
      </c>
    </row>
    <row r="1120">
      <c r="A1120" s="52" t="s">
        <v>77</v>
      </c>
      <c r="B1120" s="28" t="s">
        <v>77</v>
      </c>
      <c r="C1120" s="28" t="s">
        <v>77</v>
      </c>
      <c r="D1120" s="28" t="s">
        <v>77</v>
      </c>
      <c r="E1120" s="28" t="s">
        <v>77</v>
      </c>
      <c r="F1120" s="28" t="s">
        <v>77</v>
      </c>
      <c r="G1120" s="28" t="s">
        <v>77</v>
      </c>
      <c r="I1120" s="26" t="s">
        <v>77</v>
      </c>
      <c r="J1120" s="26" t="s">
        <v>77</v>
      </c>
      <c r="K1120" s="18"/>
      <c r="L1120" s="26" t="s">
        <v>77</v>
      </c>
      <c r="M1120" s="6" t="s">
        <v>77</v>
      </c>
      <c r="N1120" s="28" t="s">
        <v>77</v>
      </c>
      <c r="O1120" s="26" t="s">
        <v>77</v>
      </c>
    </row>
    <row r="1121">
      <c r="A1121" s="52" t="s">
        <v>77</v>
      </c>
      <c r="B1121" s="28" t="s">
        <v>77</v>
      </c>
      <c r="C1121" s="28" t="s">
        <v>77</v>
      </c>
      <c r="D1121" s="28" t="s">
        <v>77</v>
      </c>
      <c r="E1121" s="28" t="s">
        <v>77</v>
      </c>
      <c r="F1121" s="28" t="s">
        <v>77</v>
      </c>
      <c r="G1121" s="28" t="s">
        <v>77</v>
      </c>
      <c r="I1121" s="26" t="s">
        <v>77</v>
      </c>
      <c r="J1121" s="26" t="s">
        <v>77</v>
      </c>
      <c r="K1121" s="18"/>
      <c r="L1121" s="26" t="s">
        <v>77</v>
      </c>
      <c r="M1121" s="6" t="s">
        <v>77</v>
      </c>
      <c r="N1121" s="28" t="s">
        <v>77</v>
      </c>
      <c r="O1121" s="26" t="s">
        <v>77</v>
      </c>
    </row>
    <row r="1122">
      <c r="A1122" s="52" t="s">
        <v>77</v>
      </c>
      <c r="B1122" s="28" t="s">
        <v>77</v>
      </c>
      <c r="C1122" s="28" t="s">
        <v>77</v>
      </c>
      <c r="D1122" s="28" t="s">
        <v>77</v>
      </c>
      <c r="E1122" s="28" t="s">
        <v>77</v>
      </c>
      <c r="F1122" s="28" t="s">
        <v>77</v>
      </c>
      <c r="G1122" s="28" t="s">
        <v>77</v>
      </c>
      <c r="I1122" s="26" t="s">
        <v>77</v>
      </c>
      <c r="J1122" s="26" t="s">
        <v>77</v>
      </c>
      <c r="K1122" s="18"/>
      <c r="L1122" s="26" t="s">
        <v>77</v>
      </c>
      <c r="M1122" s="6" t="s">
        <v>77</v>
      </c>
      <c r="N1122" s="28" t="s">
        <v>77</v>
      </c>
      <c r="O1122" s="26" t="s">
        <v>77</v>
      </c>
    </row>
    <row r="1123">
      <c r="A1123" s="52" t="s">
        <v>77</v>
      </c>
      <c r="B1123" s="28" t="s">
        <v>77</v>
      </c>
      <c r="C1123" s="28" t="s">
        <v>77</v>
      </c>
      <c r="D1123" s="28" t="s">
        <v>77</v>
      </c>
      <c r="E1123" s="28" t="s">
        <v>77</v>
      </c>
      <c r="F1123" s="28" t="s">
        <v>77</v>
      </c>
      <c r="G1123" s="28" t="s">
        <v>77</v>
      </c>
      <c r="I1123" s="26" t="s">
        <v>77</v>
      </c>
      <c r="J1123" s="26" t="s">
        <v>77</v>
      </c>
      <c r="K1123" s="18"/>
      <c r="L1123" s="26" t="s">
        <v>77</v>
      </c>
      <c r="M1123" s="6" t="s">
        <v>77</v>
      </c>
      <c r="N1123" s="28" t="s">
        <v>77</v>
      </c>
      <c r="O1123" s="26" t="s">
        <v>77</v>
      </c>
    </row>
    <row r="1124">
      <c r="A1124" s="52" t="s">
        <v>77</v>
      </c>
      <c r="B1124" s="28" t="s">
        <v>77</v>
      </c>
      <c r="C1124" s="28" t="s">
        <v>77</v>
      </c>
      <c r="D1124" s="28" t="s">
        <v>77</v>
      </c>
      <c r="E1124" s="28" t="s">
        <v>77</v>
      </c>
      <c r="F1124" s="28" t="s">
        <v>77</v>
      </c>
      <c r="G1124" s="28" t="s">
        <v>77</v>
      </c>
      <c r="I1124" s="26" t="s">
        <v>77</v>
      </c>
      <c r="J1124" s="26" t="s">
        <v>77</v>
      </c>
      <c r="K1124" s="18"/>
      <c r="L1124" s="26" t="s">
        <v>77</v>
      </c>
      <c r="M1124" s="6" t="s">
        <v>77</v>
      </c>
      <c r="N1124" s="28" t="s">
        <v>77</v>
      </c>
      <c r="O1124" s="26" t="s">
        <v>77</v>
      </c>
    </row>
    <row r="1125">
      <c r="A1125" s="52" t="s">
        <v>77</v>
      </c>
      <c r="B1125" s="28" t="s">
        <v>77</v>
      </c>
      <c r="C1125" s="28" t="s">
        <v>77</v>
      </c>
      <c r="D1125" s="28" t="s">
        <v>77</v>
      </c>
      <c r="E1125" s="28" t="s">
        <v>77</v>
      </c>
      <c r="F1125" s="28" t="s">
        <v>77</v>
      </c>
      <c r="G1125" s="28" t="s">
        <v>77</v>
      </c>
      <c r="I1125" s="26" t="s">
        <v>77</v>
      </c>
      <c r="J1125" s="26" t="s">
        <v>77</v>
      </c>
      <c r="K1125" s="18"/>
      <c r="L1125" s="26" t="s">
        <v>77</v>
      </c>
      <c r="M1125" s="6" t="s">
        <v>77</v>
      </c>
      <c r="N1125" s="28" t="s">
        <v>77</v>
      </c>
      <c r="O1125" s="26" t="s">
        <v>77</v>
      </c>
    </row>
    <row r="1126">
      <c r="A1126" s="52" t="s">
        <v>77</v>
      </c>
      <c r="B1126" s="28" t="s">
        <v>77</v>
      </c>
      <c r="C1126" s="28" t="s">
        <v>77</v>
      </c>
      <c r="D1126" s="28" t="s">
        <v>77</v>
      </c>
      <c r="E1126" s="28" t="s">
        <v>77</v>
      </c>
      <c r="F1126" s="28" t="s">
        <v>77</v>
      </c>
      <c r="G1126" s="28" t="s">
        <v>77</v>
      </c>
      <c r="I1126" s="26" t="s">
        <v>77</v>
      </c>
      <c r="J1126" s="26" t="s">
        <v>77</v>
      </c>
      <c r="K1126" s="18"/>
      <c r="L1126" s="26" t="s">
        <v>77</v>
      </c>
      <c r="M1126" s="6" t="s">
        <v>77</v>
      </c>
      <c r="N1126" s="28" t="s">
        <v>77</v>
      </c>
      <c r="O1126" s="26" t="s">
        <v>77</v>
      </c>
    </row>
    <row r="1127">
      <c r="A1127" s="52" t="s">
        <v>77</v>
      </c>
      <c r="B1127" s="28" t="s">
        <v>77</v>
      </c>
      <c r="C1127" s="28" t="s">
        <v>77</v>
      </c>
      <c r="D1127" s="28" t="s">
        <v>77</v>
      </c>
      <c r="E1127" s="28" t="s">
        <v>77</v>
      </c>
      <c r="F1127" s="28" t="s">
        <v>77</v>
      </c>
      <c r="G1127" s="28" t="s">
        <v>77</v>
      </c>
      <c r="I1127" s="26" t="s">
        <v>77</v>
      </c>
      <c r="J1127" s="26" t="s">
        <v>77</v>
      </c>
      <c r="K1127" s="18"/>
      <c r="L1127" s="26" t="s">
        <v>77</v>
      </c>
      <c r="M1127" s="6" t="s">
        <v>77</v>
      </c>
      <c r="N1127" s="28" t="s">
        <v>77</v>
      </c>
      <c r="O1127" s="26" t="s">
        <v>77</v>
      </c>
    </row>
    <row r="1128">
      <c r="A1128" s="52" t="s">
        <v>77</v>
      </c>
      <c r="B1128" s="28" t="s">
        <v>77</v>
      </c>
      <c r="C1128" s="28" t="s">
        <v>77</v>
      </c>
      <c r="D1128" s="28" t="s">
        <v>77</v>
      </c>
      <c r="E1128" s="28" t="s">
        <v>77</v>
      </c>
      <c r="F1128" s="28" t="s">
        <v>77</v>
      </c>
      <c r="G1128" s="28" t="s">
        <v>77</v>
      </c>
      <c r="I1128" s="26" t="s">
        <v>77</v>
      </c>
      <c r="J1128" s="26" t="s">
        <v>77</v>
      </c>
      <c r="K1128" s="18"/>
      <c r="L1128" s="26" t="s">
        <v>77</v>
      </c>
      <c r="M1128" s="6" t="s">
        <v>77</v>
      </c>
      <c r="N1128" s="28" t="s">
        <v>77</v>
      </c>
      <c r="O1128" s="26" t="s">
        <v>77</v>
      </c>
    </row>
    <row r="1129">
      <c r="A1129" s="52" t="s">
        <v>77</v>
      </c>
      <c r="B1129" s="28" t="s">
        <v>77</v>
      </c>
      <c r="C1129" s="28" t="s">
        <v>77</v>
      </c>
      <c r="D1129" s="28" t="s">
        <v>77</v>
      </c>
      <c r="E1129" s="28" t="s">
        <v>77</v>
      </c>
      <c r="F1129" s="28" t="s">
        <v>77</v>
      </c>
      <c r="G1129" s="28" t="s">
        <v>77</v>
      </c>
      <c r="I1129" s="26" t="s">
        <v>77</v>
      </c>
      <c r="J1129" s="26" t="s">
        <v>77</v>
      </c>
      <c r="K1129" s="18"/>
      <c r="L1129" s="26" t="s">
        <v>77</v>
      </c>
      <c r="M1129" s="6" t="s">
        <v>77</v>
      </c>
      <c r="N1129" s="28" t="s">
        <v>77</v>
      </c>
      <c r="O1129" s="26" t="s">
        <v>77</v>
      </c>
    </row>
    <row r="1130">
      <c r="A1130" s="52" t="s">
        <v>77</v>
      </c>
      <c r="B1130" s="28" t="s">
        <v>77</v>
      </c>
      <c r="C1130" s="28" t="s">
        <v>77</v>
      </c>
      <c r="D1130" s="28" t="s">
        <v>77</v>
      </c>
      <c r="E1130" s="28" t="s">
        <v>77</v>
      </c>
      <c r="F1130" s="28" t="s">
        <v>77</v>
      </c>
      <c r="G1130" s="28" t="s">
        <v>77</v>
      </c>
      <c r="I1130" s="26" t="s">
        <v>77</v>
      </c>
      <c r="J1130" s="26" t="s">
        <v>77</v>
      </c>
      <c r="K1130" s="18"/>
      <c r="L1130" s="26" t="s">
        <v>77</v>
      </c>
      <c r="M1130" s="6" t="s">
        <v>77</v>
      </c>
      <c r="N1130" s="28" t="s">
        <v>77</v>
      </c>
      <c r="O1130" s="26" t="s">
        <v>77</v>
      </c>
    </row>
    <row r="1131">
      <c r="A1131" s="52" t="s">
        <v>77</v>
      </c>
      <c r="B1131" s="28" t="s">
        <v>77</v>
      </c>
      <c r="C1131" s="28" t="s">
        <v>77</v>
      </c>
      <c r="D1131" s="28" t="s">
        <v>77</v>
      </c>
      <c r="E1131" s="28" t="s">
        <v>77</v>
      </c>
      <c r="F1131" s="28" t="s">
        <v>77</v>
      </c>
      <c r="G1131" s="28" t="s">
        <v>77</v>
      </c>
      <c r="I1131" s="26" t="s">
        <v>77</v>
      </c>
      <c r="J1131" s="26" t="s">
        <v>77</v>
      </c>
      <c r="K1131" s="18"/>
      <c r="L1131" s="26" t="s">
        <v>77</v>
      </c>
      <c r="M1131" s="6" t="s">
        <v>77</v>
      </c>
      <c r="N1131" s="28" t="s">
        <v>77</v>
      </c>
      <c r="O1131" s="26" t="s">
        <v>77</v>
      </c>
    </row>
    <row r="1132">
      <c r="A1132" s="52" t="s">
        <v>77</v>
      </c>
      <c r="B1132" s="28" t="s">
        <v>77</v>
      </c>
      <c r="C1132" s="28" t="s">
        <v>77</v>
      </c>
      <c r="D1132" s="28" t="s">
        <v>77</v>
      </c>
      <c r="E1132" s="28" t="s">
        <v>77</v>
      </c>
      <c r="F1132" s="28" t="s">
        <v>77</v>
      </c>
      <c r="G1132" s="28" t="s">
        <v>77</v>
      </c>
      <c r="I1132" s="26" t="s">
        <v>77</v>
      </c>
      <c r="J1132" s="26" t="s">
        <v>77</v>
      </c>
      <c r="K1132" s="18"/>
      <c r="L1132" s="26" t="s">
        <v>77</v>
      </c>
      <c r="M1132" s="6" t="s">
        <v>77</v>
      </c>
      <c r="N1132" s="28" t="s">
        <v>77</v>
      </c>
      <c r="O1132" s="26" t="s">
        <v>77</v>
      </c>
    </row>
    <row r="1133">
      <c r="A1133" s="52" t="s">
        <v>77</v>
      </c>
      <c r="B1133" s="28" t="s">
        <v>77</v>
      </c>
      <c r="C1133" s="28" t="s">
        <v>77</v>
      </c>
      <c r="D1133" s="28" t="s">
        <v>77</v>
      </c>
      <c r="E1133" s="28" t="s">
        <v>77</v>
      </c>
      <c r="F1133" s="28" t="s">
        <v>77</v>
      </c>
      <c r="G1133" s="28" t="s">
        <v>77</v>
      </c>
      <c r="I1133" s="26" t="s">
        <v>77</v>
      </c>
      <c r="J1133" s="26" t="s">
        <v>77</v>
      </c>
      <c r="K1133" s="18"/>
      <c r="L1133" s="26" t="s">
        <v>77</v>
      </c>
      <c r="M1133" s="6" t="s">
        <v>77</v>
      </c>
      <c r="N1133" s="28" t="s">
        <v>77</v>
      </c>
      <c r="O1133" s="26" t="s">
        <v>77</v>
      </c>
    </row>
    <row r="1134">
      <c r="A1134" s="52" t="s">
        <v>77</v>
      </c>
      <c r="B1134" s="28" t="s">
        <v>77</v>
      </c>
      <c r="C1134" s="28" t="s">
        <v>77</v>
      </c>
      <c r="D1134" s="28" t="s">
        <v>77</v>
      </c>
      <c r="E1134" s="28" t="s">
        <v>77</v>
      </c>
      <c r="F1134" s="28" t="s">
        <v>77</v>
      </c>
      <c r="G1134" s="28" t="s">
        <v>77</v>
      </c>
      <c r="I1134" s="26" t="s">
        <v>77</v>
      </c>
      <c r="J1134" s="26" t="s">
        <v>77</v>
      </c>
      <c r="K1134" s="18"/>
      <c r="L1134" s="26" t="s">
        <v>77</v>
      </c>
      <c r="M1134" s="6" t="s">
        <v>77</v>
      </c>
      <c r="N1134" s="28" t="s">
        <v>77</v>
      </c>
      <c r="O1134" s="26" t="s">
        <v>77</v>
      </c>
    </row>
    <row r="1135">
      <c r="A1135" s="52" t="s">
        <v>77</v>
      </c>
      <c r="B1135" s="28" t="s">
        <v>77</v>
      </c>
      <c r="C1135" s="28" t="s">
        <v>77</v>
      </c>
      <c r="D1135" s="28" t="s">
        <v>77</v>
      </c>
      <c r="E1135" s="28" t="s">
        <v>77</v>
      </c>
      <c r="F1135" s="28" t="s">
        <v>77</v>
      </c>
      <c r="G1135" s="28" t="s">
        <v>77</v>
      </c>
      <c r="I1135" s="26" t="s">
        <v>77</v>
      </c>
      <c r="J1135" s="26" t="s">
        <v>77</v>
      </c>
      <c r="K1135" s="18"/>
      <c r="L1135" s="26" t="s">
        <v>77</v>
      </c>
      <c r="M1135" s="6" t="s">
        <v>77</v>
      </c>
      <c r="N1135" s="28" t="s">
        <v>77</v>
      </c>
      <c r="O1135" s="26" t="s">
        <v>77</v>
      </c>
    </row>
    <row r="1136">
      <c r="A1136" s="52" t="s">
        <v>77</v>
      </c>
      <c r="B1136" s="28" t="s">
        <v>77</v>
      </c>
      <c r="C1136" s="28" t="s">
        <v>77</v>
      </c>
      <c r="D1136" s="28" t="s">
        <v>77</v>
      </c>
      <c r="E1136" s="28" t="s">
        <v>77</v>
      </c>
      <c r="F1136" s="28" t="s">
        <v>77</v>
      </c>
      <c r="G1136" s="28" t="s">
        <v>77</v>
      </c>
      <c r="I1136" s="26" t="s">
        <v>77</v>
      </c>
      <c r="J1136" s="26" t="s">
        <v>77</v>
      </c>
      <c r="K1136" s="18"/>
      <c r="L1136" s="26" t="s">
        <v>77</v>
      </c>
      <c r="M1136" s="6" t="s">
        <v>77</v>
      </c>
      <c r="N1136" s="28" t="s">
        <v>77</v>
      </c>
      <c r="O1136" s="26" t="s">
        <v>77</v>
      </c>
    </row>
    <row r="1137">
      <c r="A1137" s="52" t="s">
        <v>77</v>
      </c>
      <c r="B1137" s="28" t="s">
        <v>77</v>
      </c>
      <c r="C1137" s="28" t="s">
        <v>77</v>
      </c>
      <c r="D1137" s="28" t="s">
        <v>77</v>
      </c>
      <c r="E1137" s="28" t="s">
        <v>77</v>
      </c>
      <c r="F1137" s="28" t="s">
        <v>77</v>
      </c>
      <c r="G1137" s="28" t="s">
        <v>77</v>
      </c>
      <c r="I1137" s="26" t="s">
        <v>77</v>
      </c>
      <c r="J1137" s="26" t="s">
        <v>77</v>
      </c>
      <c r="K1137" s="18"/>
      <c r="L1137" s="26" t="s">
        <v>77</v>
      </c>
      <c r="M1137" s="6" t="s">
        <v>77</v>
      </c>
      <c r="N1137" s="28" t="s">
        <v>77</v>
      </c>
      <c r="O1137" s="26" t="s">
        <v>77</v>
      </c>
    </row>
    <row r="1138">
      <c r="A1138" s="52" t="s">
        <v>77</v>
      </c>
      <c r="B1138" s="28" t="s">
        <v>77</v>
      </c>
      <c r="C1138" s="28" t="s">
        <v>77</v>
      </c>
      <c r="D1138" s="28" t="s">
        <v>77</v>
      </c>
      <c r="E1138" s="28" t="s">
        <v>77</v>
      </c>
      <c r="F1138" s="28" t="s">
        <v>77</v>
      </c>
      <c r="G1138" s="28" t="s">
        <v>77</v>
      </c>
      <c r="I1138" s="26" t="s">
        <v>77</v>
      </c>
      <c r="J1138" s="26" t="s">
        <v>77</v>
      </c>
      <c r="K1138" s="18"/>
      <c r="L1138" s="26" t="s">
        <v>77</v>
      </c>
      <c r="M1138" s="6" t="s">
        <v>77</v>
      </c>
      <c r="N1138" s="28" t="s">
        <v>77</v>
      </c>
      <c r="O1138" s="26" t="s">
        <v>77</v>
      </c>
    </row>
    <row r="1139">
      <c r="A1139" s="52" t="s">
        <v>77</v>
      </c>
      <c r="B1139" s="28" t="s">
        <v>77</v>
      </c>
      <c r="C1139" s="28" t="s">
        <v>77</v>
      </c>
      <c r="D1139" s="28" t="s">
        <v>77</v>
      </c>
      <c r="E1139" s="28" t="s">
        <v>77</v>
      </c>
      <c r="F1139" s="28" t="s">
        <v>77</v>
      </c>
      <c r="G1139" s="28" t="s">
        <v>77</v>
      </c>
      <c r="I1139" s="26" t="s">
        <v>77</v>
      </c>
      <c r="J1139" s="26" t="s">
        <v>77</v>
      </c>
      <c r="K1139" s="18"/>
      <c r="L1139" s="26" t="s">
        <v>77</v>
      </c>
      <c r="M1139" s="6" t="s">
        <v>77</v>
      </c>
      <c r="N1139" s="28" t="s">
        <v>77</v>
      </c>
      <c r="O1139" s="26" t="s">
        <v>77</v>
      </c>
    </row>
    <row r="1140">
      <c r="A1140" s="52" t="s">
        <v>77</v>
      </c>
      <c r="B1140" s="28" t="s">
        <v>77</v>
      </c>
      <c r="C1140" s="28" t="s">
        <v>77</v>
      </c>
      <c r="D1140" s="28" t="s">
        <v>77</v>
      </c>
      <c r="E1140" s="28" t="s">
        <v>77</v>
      </c>
      <c r="F1140" s="28" t="s">
        <v>77</v>
      </c>
      <c r="G1140" s="28" t="s">
        <v>77</v>
      </c>
      <c r="I1140" s="26" t="s">
        <v>77</v>
      </c>
      <c r="J1140" s="26" t="s">
        <v>77</v>
      </c>
      <c r="K1140" s="18"/>
      <c r="L1140" s="26" t="s">
        <v>77</v>
      </c>
      <c r="M1140" s="6" t="s">
        <v>77</v>
      </c>
      <c r="N1140" s="28" t="s">
        <v>77</v>
      </c>
      <c r="O1140" s="26" t="s">
        <v>77</v>
      </c>
    </row>
    <row r="1141">
      <c r="A1141" s="52" t="s">
        <v>77</v>
      </c>
      <c r="B1141" s="28" t="s">
        <v>77</v>
      </c>
      <c r="C1141" s="28" t="s">
        <v>77</v>
      </c>
      <c r="D1141" s="28" t="s">
        <v>77</v>
      </c>
      <c r="E1141" s="28" t="s">
        <v>77</v>
      </c>
      <c r="F1141" s="28" t="s">
        <v>77</v>
      </c>
      <c r="G1141" s="28" t="s">
        <v>77</v>
      </c>
      <c r="I1141" s="26" t="s">
        <v>77</v>
      </c>
      <c r="J1141" s="26" t="s">
        <v>77</v>
      </c>
      <c r="K1141" s="18"/>
      <c r="L1141" s="26" t="s">
        <v>77</v>
      </c>
      <c r="M1141" s="6" t="s">
        <v>77</v>
      </c>
      <c r="N1141" s="28" t="s">
        <v>77</v>
      </c>
      <c r="O1141" s="26" t="s">
        <v>77</v>
      </c>
    </row>
    <row r="1142">
      <c r="A1142" s="52" t="s">
        <v>77</v>
      </c>
      <c r="B1142" s="28" t="s">
        <v>77</v>
      </c>
      <c r="C1142" s="28" t="s">
        <v>77</v>
      </c>
      <c r="D1142" s="28" t="s">
        <v>77</v>
      </c>
      <c r="E1142" s="28" t="s">
        <v>77</v>
      </c>
      <c r="F1142" s="28" t="s">
        <v>77</v>
      </c>
      <c r="G1142" s="28" t="s">
        <v>77</v>
      </c>
      <c r="I1142" s="26" t="s">
        <v>77</v>
      </c>
      <c r="J1142" s="26" t="s">
        <v>77</v>
      </c>
      <c r="K1142" s="18"/>
      <c r="L1142" s="26" t="s">
        <v>77</v>
      </c>
      <c r="M1142" s="6" t="s">
        <v>77</v>
      </c>
      <c r="N1142" s="28" t="s">
        <v>77</v>
      </c>
      <c r="O1142" s="26" t="s">
        <v>77</v>
      </c>
    </row>
    <row r="1143">
      <c r="A1143" s="52" t="s">
        <v>77</v>
      </c>
      <c r="B1143" s="28" t="s">
        <v>77</v>
      </c>
      <c r="C1143" s="28" t="s">
        <v>77</v>
      </c>
      <c r="D1143" s="28" t="s">
        <v>77</v>
      </c>
      <c r="E1143" s="28" t="s">
        <v>77</v>
      </c>
      <c r="F1143" s="28" t="s">
        <v>77</v>
      </c>
      <c r="G1143" s="28" t="s">
        <v>77</v>
      </c>
      <c r="I1143" s="26" t="s">
        <v>77</v>
      </c>
      <c r="J1143" s="26" t="s">
        <v>77</v>
      </c>
      <c r="K1143" s="18"/>
      <c r="L1143" s="26" t="s">
        <v>77</v>
      </c>
      <c r="M1143" s="6" t="s">
        <v>77</v>
      </c>
      <c r="N1143" s="28" t="s">
        <v>77</v>
      </c>
      <c r="O1143" s="26" t="s">
        <v>77</v>
      </c>
    </row>
    <row r="1144">
      <c r="A1144" s="52" t="s">
        <v>77</v>
      </c>
      <c r="B1144" s="28" t="s">
        <v>77</v>
      </c>
      <c r="C1144" s="28" t="s">
        <v>77</v>
      </c>
      <c r="D1144" s="28" t="s">
        <v>77</v>
      </c>
      <c r="E1144" s="28" t="s">
        <v>77</v>
      </c>
      <c r="F1144" s="28" t="s">
        <v>77</v>
      </c>
      <c r="G1144" s="28" t="s">
        <v>77</v>
      </c>
      <c r="I1144" s="26" t="s">
        <v>77</v>
      </c>
      <c r="J1144" s="26" t="s">
        <v>77</v>
      </c>
      <c r="K1144" s="18"/>
      <c r="L1144" s="26" t="s">
        <v>77</v>
      </c>
      <c r="M1144" s="6" t="s">
        <v>77</v>
      </c>
      <c r="N1144" s="28" t="s">
        <v>77</v>
      </c>
      <c r="O1144" s="26" t="s">
        <v>77</v>
      </c>
    </row>
    <row r="1145">
      <c r="A1145" s="52" t="s">
        <v>77</v>
      </c>
      <c r="B1145" s="28" t="s">
        <v>77</v>
      </c>
      <c r="C1145" s="28" t="s">
        <v>77</v>
      </c>
      <c r="D1145" s="28" t="s">
        <v>77</v>
      </c>
      <c r="E1145" s="28" t="s">
        <v>77</v>
      </c>
      <c r="F1145" s="28" t="s">
        <v>77</v>
      </c>
      <c r="G1145" s="28" t="s">
        <v>77</v>
      </c>
      <c r="I1145" s="26" t="s">
        <v>77</v>
      </c>
      <c r="J1145" s="26" t="s">
        <v>77</v>
      </c>
      <c r="K1145" s="18"/>
      <c r="L1145" s="26" t="s">
        <v>77</v>
      </c>
      <c r="M1145" s="6" t="s">
        <v>77</v>
      </c>
      <c r="N1145" s="28" t="s">
        <v>77</v>
      </c>
      <c r="O1145" s="26" t="s">
        <v>77</v>
      </c>
    </row>
    <row r="1146">
      <c r="A1146" s="52" t="s">
        <v>77</v>
      </c>
      <c r="B1146" s="28" t="s">
        <v>77</v>
      </c>
      <c r="C1146" s="28" t="s">
        <v>77</v>
      </c>
      <c r="D1146" s="28" t="s">
        <v>77</v>
      </c>
      <c r="E1146" s="28" t="s">
        <v>77</v>
      </c>
      <c r="F1146" s="28" t="s">
        <v>77</v>
      </c>
      <c r="G1146" s="28" t="s">
        <v>77</v>
      </c>
      <c r="I1146" s="26" t="s">
        <v>77</v>
      </c>
      <c r="J1146" s="26" t="s">
        <v>77</v>
      </c>
      <c r="K1146" s="18"/>
      <c r="L1146" s="26" t="s">
        <v>77</v>
      </c>
      <c r="M1146" s="6" t="s">
        <v>77</v>
      </c>
      <c r="N1146" s="28" t="s">
        <v>77</v>
      </c>
      <c r="O1146" s="26" t="s">
        <v>77</v>
      </c>
    </row>
    <row r="1147">
      <c r="A1147" s="52" t="s">
        <v>77</v>
      </c>
      <c r="B1147" s="28" t="s">
        <v>77</v>
      </c>
      <c r="C1147" s="28" t="s">
        <v>77</v>
      </c>
      <c r="D1147" s="28" t="s">
        <v>77</v>
      </c>
      <c r="E1147" s="28" t="s">
        <v>77</v>
      </c>
      <c r="F1147" s="28" t="s">
        <v>77</v>
      </c>
      <c r="G1147" s="28" t="s">
        <v>77</v>
      </c>
      <c r="I1147" s="26" t="s">
        <v>77</v>
      </c>
      <c r="J1147" s="26" t="s">
        <v>77</v>
      </c>
      <c r="K1147" s="18"/>
      <c r="L1147" s="26" t="s">
        <v>77</v>
      </c>
      <c r="M1147" s="6" t="s">
        <v>77</v>
      </c>
      <c r="N1147" s="28" t="s">
        <v>77</v>
      </c>
      <c r="O1147" s="26" t="s">
        <v>77</v>
      </c>
    </row>
    <row r="1148">
      <c r="A1148" s="52" t="s">
        <v>77</v>
      </c>
      <c r="B1148" s="28" t="s">
        <v>77</v>
      </c>
      <c r="C1148" s="28" t="s">
        <v>77</v>
      </c>
      <c r="D1148" s="28" t="s">
        <v>77</v>
      </c>
      <c r="E1148" s="28" t="s">
        <v>77</v>
      </c>
      <c r="F1148" s="28" t="s">
        <v>77</v>
      </c>
      <c r="G1148" s="28" t="s">
        <v>77</v>
      </c>
      <c r="I1148" s="26" t="s">
        <v>77</v>
      </c>
      <c r="J1148" s="26" t="s">
        <v>77</v>
      </c>
      <c r="K1148" s="18"/>
      <c r="L1148" s="26" t="s">
        <v>77</v>
      </c>
      <c r="M1148" s="6" t="s">
        <v>77</v>
      </c>
      <c r="N1148" s="28" t="s">
        <v>77</v>
      </c>
      <c r="O1148" s="26" t="s">
        <v>77</v>
      </c>
    </row>
    <row r="1149">
      <c r="A1149" s="52" t="s">
        <v>77</v>
      </c>
      <c r="B1149" s="28" t="s">
        <v>77</v>
      </c>
      <c r="C1149" s="28" t="s">
        <v>77</v>
      </c>
      <c r="D1149" s="28" t="s">
        <v>77</v>
      </c>
      <c r="E1149" s="28" t="s">
        <v>77</v>
      </c>
      <c r="F1149" s="28" t="s">
        <v>77</v>
      </c>
      <c r="G1149" s="28" t="s">
        <v>77</v>
      </c>
      <c r="I1149" s="26" t="s">
        <v>77</v>
      </c>
      <c r="J1149" s="26" t="s">
        <v>77</v>
      </c>
      <c r="K1149" s="18"/>
      <c r="L1149" s="26" t="s">
        <v>77</v>
      </c>
      <c r="M1149" s="6" t="s">
        <v>77</v>
      </c>
      <c r="N1149" s="28" t="s">
        <v>77</v>
      </c>
      <c r="O1149" s="26" t="s">
        <v>77</v>
      </c>
    </row>
    <row r="1150">
      <c r="A1150" s="52" t="s">
        <v>77</v>
      </c>
      <c r="B1150" s="28" t="s">
        <v>77</v>
      </c>
      <c r="C1150" s="28" t="s">
        <v>77</v>
      </c>
      <c r="D1150" s="28" t="s">
        <v>77</v>
      </c>
      <c r="E1150" s="28" t="s">
        <v>77</v>
      </c>
      <c r="F1150" s="28" t="s">
        <v>77</v>
      </c>
      <c r="G1150" s="28" t="s">
        <v>77</v>
      </c>
      <c r="I1150" s="26" t="s">
        <v>77</v>
      </c>
      <c r="J1150" s="26" t="s">
        <v>77</v>
      </c>
      <c r="K1150" s="18"/>
      <c r="L1150" s="26" t="s">
        <v>77</v>
      </c>
      <c r="M1150" s="6" t="s">
        <v>77</v>
      </c>
      <c r="N1150" s="28" t="s">
        <v>77</v>
      </c>
      <c r="O1150" s="26" t="s">
        <v>77</v>
      </c>
    </row>
    <row r="1151">
      <c r="A1151" s="52" t="s">
        <v>77</v>
      </c>
      <c r="B1151" s="28" t="s">
        <v>77</v>
      </c>
      <c r="C1151" s="28" t="s">
        <v>77</v>
      </c>
      <c r="D1151" s="28" t="s">
        <v>77</v>
      </c>
      <c r="E1151" s="28" t="s">
        <v>77</v>
      </c>
      <c r="F1151" s="28" t="s">
        <v>77</v>
      </c>
      <c r="G1151" s="28" t="s">
        <v>77</v>
      </c>
      <c r="I1151" s="26" t="s">
        <v>77</v>
      </c>
      <c r="J1151" s="26" t="s">
        <v>77</v>
      </c>
      <c r="K1151" s="18"/>
      <c r="L1151" s="26" t="s">
        <v>77</v>
      </c>
      <c r="M1151" s="6" t="s">
        <v>77</v>
      </c>
      <c r="N1151" s="28" t="s">
        <v>77</v>
      </c>
      <c r="O1151" s="26" t="s">
        <v>77</v>
      </c>
    </row>
    <row r="1152">
      <c r="A1152" s="52" t="s">
        <v>77</v>
      </c>
      <c r="B1152" s="28" t="s">
        <v>77</v>
      </c>
      <c r="C1152" s="28" t="s">
        <v>77</v>
      </c>
      <c r="D1152" s="28" t="s">
        <v>77</v>
      </c>
      <c r="E1152" s="28" t="s">
        <v>77</v>
      </c>
      <c r="F1152" s="28" t="s">
        <v>77</v>
      </c>
      <c r="G1152" s="28" t="s">
        <v>77</v>
      </c>
      <c r="I1152" s="26" t="s">
        <v>77</v>
      </c>
      <c r="J1152" s="26" t="s">
        <v>77</v>
      </c>
      <c r="K1152" s="18"/>
      <c r="L1152" s="26" t="s">
        <v>77</v>
      </c>
      <c r="M1152" s="6" t="s">
        <v>77</v>
      </c>
      <c r="N1152" s="28" t="s">
        <v>77</v>
      </c>
      <c r="O1152" s="26" t="s">
        <v>77</v>
      </c>
    </row>
    <row r="1153">
      <c r="A1153" s="52" t="s">
        <v>77</v>
      </c>
      <c r="B1153" s="28" t="s">
        <v>77</v>
      </c>
      <c r="C1153" s="28" t="s">
        <v>77</v>
      </c>
      <c r="D1153" s="28" t="s">
        <v>77</v>
      </c>
      <c r="E1153" s="28" t="s">
        <v>77</v>
      </c>
      <c r="F1153" s="28" t="s">
        <v>77</v>
      </c>
      <c r="G1153" s="28" t="s">
        <v>77</v>
      </c>
      <c r="I1153" s="26" t="s">
        <v>77</v>
      </c>
      <c r="J1153" s="26" t="s">
        <v>77</v>
      </c>
      <c r="K1153" s="18"/>
      <c r="L1153" s="26" t="s">
        <v>77</v>
      </c>
      <c r="M1153" s="6" t="s">
        <v>77</v>
      </c>
      <c r="N1153" s="28" t="s">
        <v>77</v>
      </c>
      <c r="O1153" s="26" t="s">
        <v>77</v>
      </c>
    </row>
    <row r="1154">
      <c r="A1154" s="52" t="s">
        <v>77</v>
      </c>
      <c r="B1154" s="28" t="s">
        <v>77</v>
      </c>
      <c r="C1154" s="28" t="s">
        <v>77</v>
      </c>
      <c r="D1154" s="28" t="s">
        <v>77</v>
      </c>
      <c r="E1154" s="28" t="s">
        <v>77</v>
      </c>
      <c r="F1154" s="28" t="s">
        <v>77</v>
      </c>
      <c r="G1154" s="28" t="s">
        <v>77</v>
      </c>
      <c r="I1154" s="26" t="s">
        <v>77</v>
      </c>
      <c r="J1154" s="26" t="s">
        <v>77</v>
      </c>
      <c r="K1154" s="18"/>
      <c r="L1154" s="26" t="s">
        <v>77</v>
      </c>
      <c r="M1154" s="6" t="s">
        <v>77</v>
      </c>
      <c r="N1154" s="28" t="s">
        <v>77</v>
      </c>
      <c r="O1154" s="26" t="s">
        <v>77</v>
      </c>
    </row>
    <row r="1155">
      <c r="A1155" s="52" t="s">
        <v>77</v>
      </c>
      <c r="B1155" s="28" t="s">
        <v>77</v>
      </c>
      <c r="C1155" s="28" t="s">
        <v>77</v>
      </c>
      <c r="D1155" s="28" t="s">
        <v>77</v>
      </c>
      <c r="E1155" s="28" t="s">
        <v>77</v>
      </c>
      <c r="F1155" s="28" t="s">
        <v>77</v>
      </c>
      <c r="G1155" s="28" t="s">
        <v>77</v>
      </c>
      <c r="I1155" s="26" t="s">
        <v>77</v>
      </c>
      <c r="J1155" s="26" t="s">
        <v>77</v>
      </c>
      <c r="K1155" s="18"/>
      <c r="L1155" s="26" t="s">
        <v>77</v>
      </c>
      <c r="M1155" s="6" t="s">
        <v>77</v>
      </c>
      <c r="N1155" s="28" t="s">
        <v>77</v>
      </c>
      <c r="O1155" s="26" t="s">
        <v>77</v>
      </c>
    </row>
    <row r="1156">
      <c r="A1156" s="52" t="s">
        <v>77</v>
      </c>
      <c r="B1156" s="28" t="s">
        <v>77</v>
      </c>
      <c r="C1156" s="28" t="s">
        <v>77</v>
      </c>
      <c r="D1156" s="28" t="s">
        <v>77</v>
      </c>
      <c r="E1156" s="28" t="s">
        <v>77</v>
      </c>
      <c r="F1156" s="28" t="s">
        <v>77</v>
      </c>
      <c r="G1156" s="28" t="s">
        <v>77</v>
      </c>
      <c r="I1156" s="26" t="s">
        <v>77</v>
      </c>
      <c r="J1156" s="26" t="s">
        <v>77</v>
      </c>
      <c r="K1156" s="18"/>
      <c r="L1156" s="26" t="s">
        <v>77</v>
      </c>
      <c r="M1156" s="6" t="s">
        <v>77</v>
      </c>
      <c r="N1156" s="28" t="s">
        <v>77</v>
      </c>
      <c r="O1156" s="26" t="s">
        <v>77</v>
      </c>
    </row>
    <row r="1157">
      <c r="A1157" s="52" t="s">
        <v>77</v>
      </c>
      <c r="B1157" s="28" t="s">
        <v>77</v>
      </c>
      <c r="C1157" s="28" t="s">
        <v>77</v>
      </c>
      <c r="D1157" s="28" t="s">
        <v>77</v>
      </c>
      <c r="E1157" s="28" t="s">
        <v>77</v>
      </c>
      <c r="F1157" s="28" t="s">
        <v>77</v>
      </c>
      <c r="G1157" s="28" t="s">
        <v>77</v>
      </c>
      <c r="I1157" s="26" t="s">
        <v>77</v>
      </c>
      <c r="J1157" s="26" t="s">
        <v>77</v>
      </c>
      <c r="K1157" s="18"/>
      <c r="L1157" s="26" t="s">
        <v>77</v>
      </c>
      <c r="M1157" s="6" t="s">
        <v>77</v>
      </c>
      <c r="N1157" s="28" t="s">
        <v>77</v>
      </c>
      <c r="O1157" s="26" t="s">
        <v>77</v>
      </c>
    </row>
    <row r="1158">
      <c r="A1158" s="52" t="s">
        <v>77</v>
      </c>
      <c r="B1158" s="28" t="s">
        <v>77</v>
      </c>
      <c r="C1158" s="28" t="s">
        <v>77</v>
      </c>
      <c r="D1158" s="28" t="s">
        <v>77</v>
      </c>
      <c r="E1158" s="28" t="s">
        <v>77</v>
      </c>
      <c r="F1158" s="28" t="s">
        <v>77</v>
      </c>
      <c r="G1158" s="28" t="s">
        <v>77</v>
      </c>
      <c r="I1158" s="26" t="s">
        <v>77</v>
      </c>
      <c r="J1158" s="26" t="s">
        <v>77</v>
      </c>
      <c r="K1158" s="18"/>
      <c r="L1158" s="26" t="s">
        <v>77</v>
      </c>
      <c r="M1158" s="6" t="s">
        <v>77</v>
      </c>
      <c r="N1158" s="28" t="s">
        <v>77</v>
      </c>
      <c r="O1158" s="26" t="s">
        <v>77</v>
      </c>
    </row>
    <row r="1159">
      <c r="A1159" s="52" t="s">
        <v>77</v>
      </c>
      <c r="B1159" s="28" t="s">
        <v>77</v>
      </c>
      <c r="C1159" s="28" t="s">
        <v>77</v>
      </c>
      <c r="D1159" s="28" t="s">
        <v>77</v>
      </c>
      <c r="E1159" s="28" t="s">
        <v>77</v>
      </c>
      <c r="F1159" s="28" t="s">
        <v>77</v>
      </c>
      <c r="G1159" s="28" t="s">
        <v>77</v>
      </c>
      <c r="I1159" s="26" t="s">
        <v>77</v>
      </c>
      <c r="J1159" s="26" t="s">
        <v>77</v>
      </c>
      <c r="K1159" s="18"/>
      <c r="L1159" s="26" t="s">
        <v>77</v>
      </c>
      <c r="M1159" s="6" t="s">
        <v>77</v>
      </c>
      <c r="N1159" s="28" t="s">
        <v>77</v>
      </c>
      <c r="O1159" s="26" t="s">
        <v>77</v>
      </c>
    </row>
    <row r="1160">
      <c r="A1160" s="52" t="s">
        <v>77</v>
      </c>
      <c r="B1160" s="28" t="s">
        <v>77</v>
      </c>
      <c r="C1160" s="28" t="s">
        <v>77</v>
      </c>
      <c r="D1160" s="28" t="s">
        <v>77</v>
      </c>
      <c r="E1160" s="28" t="s">
        <v>77</v>
      </c>
      <c r="F1160" s="28" t="s">
        <v>77</v>
      </c>
      <c r="G1160" s="28" t="s">
        <v>77</v>
      </c>
      <c r="I1160" s="26" t="s">
        <v>77</v>
      </c>
      <c r="J1160" s="26" t="s">
        <v>77</v>
      </c>
      <c r="K1160" s="18"/>
      <c r="L1160" s="26" t="s">
        <v>77</v>
      </c>
      <c r="M1160" s="6" t="s">
        <v>77</v>
      </c>
      <c r="N1160" s="28" t="s">
        <v>77</v>
      </c>
      <c r="O1160" s="26" t="s">
        <v>77</v>
      </c>
    </row>
    <row r="1161">
      <c r="A1161" s="52" t="s">
        <v>77</v>
      </c>
      <c r="B1161" s="28" t="s">
        <v>77</v>
      </c>
      <c r="C1161" s="28" t="s">
        <v>77</v>
      </c>
      <c r="D1161" s="28" t="s">
        <v>77</v>
      </c>
      <c r="E1161" s="28" t="s">
        <v>77</v>
      </c>
      <c r="F1161" s="28" t="s">
        <v>77</v>
      </c>
      <c r="G1161" s="28" t="s">
        <v>77</v>
      </c>
      <c r="I1161" s="26" t="s">
        <v>77</v>
      </c>
      <c r="J1161" s="26" t="s">
        <v>77</v>
      </c>
      <c r="K1161" s="18"/>
      <c r="L1161" s="26" t="s">
        <v>77</v>
      </c>
      <c r="M1161" s="6" t="s">
        <v>77</v>
      </c>
      <c r="N1161" s="28" t="s">
        <v>77</v>
      </c>
      <c r="O1161" s="26" t="s">
        <v>77</v>
      </c>
    </row>
    <row r="1162">
      <c r="A1162" s="52" t="s">
        <v>77</v>
      </c>
      <c r="B1162" s="28" t="s">
        <v>77</v>
      </c>
      <c r="C1162" s="28" t="s">
        <v>77</v>
      </c>
      <c r="D1162" s="28" t="s">
        <v>77</v>
      </c>
      <c r="E1162" s="28" t="s">
        <v>77</v>
      </c>
      <c r="F1162" s="28" t="s">
        <v>77</v>
      </c>
      <c r="G1162" s="28" t="s">
        <v>77</v>
      </c>
      <c r="I1162" s="26" t="s">
        <v>77</v>
      </c>
      <c r="J1162" s="26" t="s">
        <v>77</v>
      </c>
      <c r="K1162" s="18"/>
      <c r="L1162" s="26" t="s">
        <v>77</v>
      </c>
      <c r="M1162" s="6" t="s">
        <v>77</v>
      </c>
      <c r="N1162" s="28" t="s">
        <v>77</v>
      </c>
      <c r="O1162" s="26" t="s">
        <v>77</v>
      </c>
    </row>
    <row r="1163">
      <c r="A1163" s="52" t="s">
        <v>77</v>
      </c>
      <c r="B1163" s="28" t="s">
        <v>77</v>
      </c>
      <c r="C1163" s="28" t="s">
        <v>77</v>
      </c>
      <c r="D1163" s="28" t="s">
        <v>77</v>
      </c>
      <c r="E1163" s="28" t="s">
        <v>77</v>
      </c>
      <c r="F1163" s="28" t="s">
        <v>77</v>
      </c>
      <c r="G1163" s="28" t="s">
        <v>77</v>
      </c>
      <c r="I1163" s="26" t="s">
        <v>77</v>
      </c>
      <c r="J1163" s="26" t="s">
        <v>77</v>
      </c>
      <c r="K1163" s="18"/>
      <c r="L1163" s="26" t="s">
        <v>77</v>
      </c>
      <c r="M1163" s="6" t="s">
        <v>77</v>
      </c>
      <c r="N1163" s="28" t="s">
        <v>77</v>
      </c>
      <c r="O1163" s="26" t="s">
        <v>77</v>
      </c>
    </row>
    <row r="1164">
      <c r="A1164" s="52" t="s">
        <v>77</v>
      </c>
      <c r="B1164" s="28" t="s">
        <v>77</v>
      </c>
      <c r="C1164" s="28" t="s">
        <v>77</v>
      </c>
      <c r="D1164" s="28" t="s">
        <v>77</v>
      </c>
      <c r="E1164" s="28" t="s">
        <v>77</v>
      </c>
      <c r="F1164" s="28" t="s">
        <v>77</v>
      </c>
      <c r="G1164" s="28" t="s">
        <v>77</v>
      </c>
      <c r="I1164" s="26" t="s">
        <v>77</v>
      </c>
      <c r="J1164" s="26" t="s">
        <v>77</v>
      </c>
      <c r="K1164" s="18"/>
      <c r="L1164" s="26" t="s">
        <v>77</v>
      </c>
      <c r="M1164" s="6" t="s">
        <v>77</v>
      </c>
      <c r="N1164" s="28" t="s">
        <v>77</v>
      </c>
      <c r="O1164" s="26" t="s">
        <v>77</v>
      </c>
    </row>
    <row r="1165">
      <c r="A1165" s="52" t="s">
        <v>77</v>
      </c>
      <c r="B1165" s="28" t="s">
        <v>77</v>
      </c>
      <c r="C1165" s="28" t="s">
        <v>77</v>
      </c>
      <c r="D1165" s="28" t="s">
        <v>77</v>
      </c>
      <c r="E1165" s="28" t="s">
        <v>77</v>
      </c>
      <c r="F1165" s="28" t="s">
        <v>77</v>
      </c>
      <c r="G1165" s="28" t="s">
        <v>77</v>
      </c>
      <c r="I1165" s="26" t="s">
        <v>77</v>
      </c>
      <c r="J1165" s="26" t="s">
        <v>77</v>
      </c>
      <c r="K1165" s="18"/>
      <c r="L1165" s="26" t="s">
        <v>77</v>
      </c>
      <c r="M1165" s="6" t="s">
        <v>77</v>
      </c>
      <c r="N1165" s="28" t="s">
        <v>77</v>
      </c>
      <c r="O1165" s="26" t="s">
        <v>77</v>
      </c>
    </row>
    <row r="1166">
      <c r="A1166" s="52" t="s">
        <v>77</v>
      </c>
      <c r="B1166" s="28" t="s">
        <v>77</v>
      </c>
      <c r="C1166" s="28" t="s">
        <v>77</v>
      </c>
      <c r="D1166" s="28" t="s">
        <v>77</v>
      </c>
      <c r="E1166" s="28" t="s">
        <v>77</v>
      </c>
      <c r="F1166" s="28" t="s">
        <v>77</v>
      </c>
      <c r="G1166" s="28" t="s">
        <v>77</v>
      </c>
      <c r="I1166" s="26" t="s">
        <v>77</v>
      </c>
      <c r="J1166" s="26" t="s">
        <v>77</v>
      </c>
      <c r="K1166" s="18"/>
      <c r="L1166" s="26" t="s">
        <v>77</v>
      </c>
      <c r="M1166" s="6" t="s">
        <v>77</v>
      </c>
      <c r="N1166" s="28" t="s">
        <v>77</v>
      </c>
      <c r="O1166" s="26" t="s">
        <v>77</v>
      </c>
    </row>
    <row r="1167">
      <c r="A1167" s="52" t="s">
        <v>77</v>
      </c>
      <c r="B1167" s="28" t="s">
        <v>77</v>
      </c>
      <c r="C1167" s="28" t="s">
        <v>77</v>
      </c>
      <c r="D1167" s="28" t="s">
        <v>77</v>
      </c>
      <c r="E1167" s="28" t="s">
        <v>77</v>
      </c>
      <c r="F1167" s="28" t="s">
        <v>77</v>
      </c>
      <c r="G1167" s="28" t="s">
        <v>77</v>
      </c>
      <c r="I1167" s="26" t="s">
        <v>77</v>
      </c>
      <c r="J1167" s="26" t="s">
        <v>77</v>
      </c>
      <c r="K1167" s="18"/>
      <c r="L1167" s="26" t="s">
        <v>77</v>
      </c>
      <c r="M1167" s="6" t="s">
        <v>77</v>
      </c>
      <c r="N1167" s="28" t="s">
        <v>77</v>
      </c>
      <c r="O1167" s="26" t="s">
        <v>77</v>
      </c>
    </row>
    <row r="1168">
      <c r="A1168" s="52" t="s">
        <v>77</v>
      </c>
      <c r="B1168" s="28" t="s">
        <v>77</v>
      </c>
      <c r="C1168" s="28" t="s">
        <v>77</v>
      </c>
      <c r="D1168" s="28" t="s">
        <v>77</v>
      </c>
      <c r="E1168" s="28" t="s">
        <v>77</v>
      </c>
      <c r="F1168" s="28" t="s">
        <v>77</v>
      </c>
      <c r="G1168" s="28" t="s">
        <v>77</v>
      </c>
      <c r="I1168" s="26" t="s">
        <v>77</v>
      </c>
      <c r="J1168" s="26" t="s">
        <v>77</v>
      </c>
      <c r="K1168" s="18"/>
      <c r="L1168" s="26" t="s">
        <v>77</v>
      </c>
      <c r="M1168" s="6" t="s">
        <v>77</v>
      </c>
      <c r="N1168" s="28" t="s">
        <v>77</v>
      </c>
      <c r="O1168" s="26" t="s">
        <v>77</v>
      </c>
    </row>
    <row r="1169">
      <c r="A1169" s="52" t="s">
        <v>77</v>
      </c>
      <c r="B1169" s="28" t="s">
        <v>77</v>
      </c>
      <c r="C1169" s="28" t="s">
        <v>77</v>
      </c>
      <c r="D1169" s="28" t="s">
        <v>77</v>
      </c>
      <c r="E1169" s="28" t="s">
        <v>77</v>
      </c>
      <c r="F1169" s="28" t="s">
        <v>77</v>
      </c>
      <c r="G1169" s="28" t="s">
        <v>77</v>
      </c>
      <c r="I1169" s="26" t="s">
        <v>77</v>
      </c>
      <c r="J1169" s="26" t="s">
        <v>77</v>
      </c>
      <c r="K1169" s="18"/>
      <c r="L1169" s="26" t="s">
        <v>77</v>
      </c>
      <c r="M1169" s="6" t="s">
        <v>77</v>
      </c>
      <c r="N1169" s="28" t="s">
        <v>77</v>
      </c>
      <c r="O1169" s="26" t="s">
        <v>77</v>
      </c>
    </row>
    <row r="1170">
      <c r="A1170" s="52" t="s">
        <v>77</v>
      </c>
      <c r="B1170" s="28" t="s">
        <v>77</v>
      </c>
      <c r="C1170" s="28" t="s">
        <v>77</v>
      </c>
      <c r="D1170" s="28" t="s">
        <v>77</v>
      </c>
      <c r="E1170" s="28" t="s">
        <v>77</v>
      </c>
      <c r="F1170" s="28" t="s">
        <v>77</v>
      </c>
      <c r="G1170" s="28" t="s">
        <v>77</v>
      </c>
      <c r="I1170" s="26" t="s">
        <v>77</v>
      </c>
      <c r="J1170" s="26" t="s">
        <v>77</v>
      </c>
      <c r="K1170" s="18"/>
      <c r="L1170" s="26" t="s">
        <v>77</v>
      </c>
      <c r="M1170" s="6" t="s">
        <v>77</v>
      </c>
      <c r="N1170" s="28" t="s">
        <v>77</v>
      </c>
      <c r="O1170" s="26" t="s">
        <v>77</v>
      </c>
    </row>
    <row r="1171">
      <c r="A1171" s="52" t="s">
        <v>77</v>
      </c>
      <c r="B1171" s="28" t="s">
        <v>77</v>
      </c>
      <c r="C1171" s="28" t="s">
        <v>77</v>
      </c>
      <c r="D1171" s="28" t="s">
        <v>77</v>
      </c>
      <c r="E1171" s="28" t="s">
        <v>77</v>
      </c>
      <c r="F1171" s="28" t="s">
        <v>77</v>
      </c>
      <c r="G1171" s="28" t="s">
        <v>77</v>
      </c>
      <c r="I1171" s="26" t="s">
        <v>77</v>
      </c>
      <c r="J1171" s="26" t="s">
        <v>77</v>
      </c>
      <c r="K1171" s="18"/>
      <c r="L1171" s="26" t="s">
        <v>77</v>
      </c>
      <c r="M1171" s="6" t="s">
        <v>77</v>
      </c>
      <c r="N1171" s="28" t="s">
        <v>77</v>
      </c>
      <c r="O1171" s="26" t="s">
        <v>77</v>
      </c>
    </row>
    <row r="1172">
      <c r="A1172" s="52" t="s">
        <v>77</v>
      </c>
      <c r="B1172" s="28" t="s">
        <v>77</v>
      </c>
      <c r="C1172" s="28" t="s">
        <v>77</v>
      </c>
      <c r="D1172" s="28" t="s">
        <v>77</v>
      </c>
      <c r="E1172" s="28" t="s">
        <v>77</v>
      </c>
      <c r="F1172" s="28" t="s">
        <v>77</v>
      </c>
      <c r="G1172" s="28" t="s">
        <v>77</v>
      </c>
      <c r="I1172" s="26" t="s">
        <v>77</v>
      </c>
      <c r="J1172" s="26" t="s">
        <v>77</v>
      </c>
      <c r="K1172" s="18"/>
      <c r="L1172" s="26" t="s">
        <v>77</v>
      </c>
      <c r="M1172" s="6" t="s">
        <v>77</v>
      </c>
      <c r="N1172" s="28" t="s">
        <v>77</v>
      </c>
      <c r="O1172" s="26" t="s">
        <v>77</v>
      </c>
    </row>
    <row r="1173">
      <c r="A1173" s="52" t="s">
        <v>77</v>
      </c>
      <c r="B1173" s="28" t="s">
        <v>77</v>
      </c>
      <c r="C1173" s="28" t="s">
        <v>77</v>
      </c>
      <c r="D1173" s="28" t="s">
        <v>77</v>
      </c>
      <c r="E1173" s="28" t="s">
        <v>77</v>
      </c>
      <c r="F1173" s="28" t="s">
        <v>77</v>
      </c>
      <c r="G1173" s="28" t="s">
        <v>77</v>
      </c>
      <c r="I1173" s="26" t="s">
        <v>77</v>
      </c>
      <c r="J1173" s="26" t="s">
        <v>77</v>
      </c>
      <c r="K1173" s="18"/>
      <c r="L1173" s="26" t="s">
        <v>77</v>
      </c>
      <c r="M1173" s="6" t="s">
        <v>77</v>
      </c>
      <c r="N1173" s="28" t="s">
        <v>77</v>
      </c>
      <c r="O1173" s="26" t="s">
        <v>77</v>
      </c>
    </row>
    <row r="1174">
      <c r="A1174" s="52" t="s">
        <v>77</v>
      </c>
      <c r="B1174" s="28" t="s">
        <v>77</v>
      </c>
      <c r="C1174" s="28" t="s">
        <v>77</v>
      </c>
      <c r="D1174" s="28" t="s">
        <v>77</v>
      </c>
      <c r="E1174" s="28" t="s">
        <v>77</v>
      </c>
      <c r="F1174" s="28" t="s">
        <v>77</v>
      </c>
      <c r="G1174" s="28" t="s">
        <v>77</v>
      </c>
      <c r="I1174" s="26" t="s">
        <v>77</v>
      </c>
      <c r="J1174" s="26" t="s">
        <v>77</v>
      </c>
      <c r="K1174" s="18"/>
      <c r="L1174" s="26" t="s">
        <v>77</v>
      </c>
      <c r="M1174" s="6" t="s">
        <v>77</v>
      </c>
      <c r="N1174" s="28" t="s">
        <v>77</v>
      </c>
      <c r="O1174" s="26" t="s">
        <v>77</v>
      </c>
    </row>
    <row r="1175">
      <c r="A1175" s="52" t="s">
        <v>77</v>
      </c>
      <c r="B1175" s="28" t="s">
        <v>77</v>
      </c>
      <c r="C1175" s="28" t="s">
        <v>77</v>
      </c>
      <c r="D1175" s="28" t="s">
        <v>77</v>
      </c>
      <c r="E1175" s="28" t="s">
        <v>77</v>
      </c>
      <c r="F1175" s="28" t="s">
        <v>77</v>
      </c>
      <c r="G1175" s="28" t="s">
        <v>77</v>
      </c>
      <c r="I1175" s="26" t="s">
        <v>77</v>
      </c>
      <c r="J1175" s="26" t="s">
        <v>77</v>
      </c>
      <c r="K1175" s="18"/>
      <c r="L1175" s="26" t="s">
        <v>77</v>
      </c>
      <c r="M1175" s="6" t="s">
        <v>77</v>
      </c>
      <c r="N1175" s="28" t="s">
        <v>77</v>
      </c>
      <c r="O1175" s="26" t="s">
        <v>77</v>
      </c>
    </row>
    <row r="1176">
      <c r="A1176" s="52" t="s">
        <v>77</v>
      </c>
      <c r="B1176" s="28" t="s">
        <v>77</v>
      </c>
      <c r="C1176" s="28" t="s">
        <v>77</v>
      </c>
      <c r="D1176" s="28" t="s">
        <v>77</v>
      </c>
      <c r="E1176" s="28" t="s">
        <v>77</v>
      </c>
      <c r="F1176" s="28" t="s">
        <v>77</v>
      </c>
      <c r="G1176" s="28" t="s">
        <v>77</v>
      </c>
      <c r="I1176" s="26" t="s">
        <v>77</v>
      </c>
      <c r="J1176" s="26" t="s">
        <v>77</v>
      </c>
      <c r="K1176" s="18"/>
      <c r="L1176" s="26" t="s">
        <v>77</v>
      </c>
      <c r="M1176" s="6" t="s">
        <v>77</v>
      </c>
      <c r="N1176" s="28" t="s">
        <v>77</v>
      </c>
      <c r="O1176" s="26" t="s">
        <v>77</v>
      </c>
    </row>
    <row r="1177">
      <c r="A1177" s="52" t="s">
        <v>77</v>
      </c>
      <c r="B1177" s="28" t="s">
        <v>77</v>
      </c>
      <c r="C1177" s="28" t="s">
        <v>77</v>
      </c>
      <c r="D1177" s="28" t="s">
        <v>77</v>
      </c>
      <c r="E1177" s="28" t="s">
        <v>77</v>
      </c>
      <c r="F1177" s="28" t="s">
        <v>77</v>
      </c>
      <c r="G1177" s="28" t="s">
        <v>77</v>
      </c>
      <c r="I1177" s="26" t="s">
        <v>77</v>
      </c>
      <c r="J1177" s="26" t="s">
        <v>77</v>
      </c>
      <c r="K1177" s="18"/>
      <c r="L1177" s="26" t="s">
        <v>77</v>
      </c>
      <c r="M1177" s="6" t="s">
        <v>77</v>
      </c>
      <c r="N1177" s="28" t="s">
        <v>77</v>
      </c>
      <c r="O1177" s="26" t="s">
        <v>77</v>
      </c>
    </row>
    <row r="1178">
      <c r="A1178" s="52" t="s">
        <v>77</v>
      </c>
      <c r="B1178" s="28" t="s">
        <v>77</v>
      </c>
      <c r="C1178" s="28" t="s">
        <v>77</v>
      </c>
      <c r="D1178" s="28" t="s">
        <v>77</v>
      </c>
      <c r="E1178" s="28" t="s">
        <v>77</v>
      </c>
      <c r="F1178" s="28" t="s">
        <v>77</v>
      </c>
      <c r="G1178" s="28" t="s">
        <v>77</v>
      </c>
      <c r="I1178" s="26" t="s">
        <v>77</v>
      </c>
      <c r="J1178" s="26" t="s">
        <v>77</v>
      </c>
      <c r="K1178" s="18"/>
      <c r="L1178" s="26" t="s">
        <v>77</v>
      </c>
      <c r="M1178" s="6" t="s">
        <v>77</v>
      </c>
      <c r="N1178" s="28" t="s">
        <v>77</v>
      </c>
      <c r="O1178" s="26" t="s">
        <v>77</v>
      </c>
    </row>
    <row r="1179">
      <c r="A1179" s="52" t="s">
        <v>77</v>
      </c>
      <c r="B1179" s="28" t="s">
        <v>77</v>
      </c>
      <c r="C1179" s="28" t="s">
        <v>77</v>
      </c>
      <c r="D1179" s="28" t="s">
        <v>77</v>
      </c>
      <c r="E1179" s="28" t="s">
        <v>77</v>
      </c>
      <c r="F1179" s="28" t="s">
        <v>77</v>
      </c>
      <c r="G1179" s="28" t="s">
        <v>77</v>
      </c>
      <c r="I1179" s="26" t="s">
        <v>77</v>
      </c>
      <c r="J1179" s="26" t="s">
        <v>77</v>
      </c>
      <c r="K1179" s="18"/>
      <c r="L1179" s="26" t="s">
        <v>77</v>
      </c>
      <c r="M1179" s="6" t="s">
        <v>77</v>
      </c>
      <c r="N1179" s="28" t="s">
        <v>77</v>
      </c>
      <c r="O1179" s="26" t="s">
        <v>77</v>
      </c>
    </row>
    <row r="1180">
      <c r="A1180" s="52" t="s">
        <v>77</v>
      </c>
      <c r="B1180" s="28" t="s">
        <v>77</v>
      </c>
      <c r="C1180" s="28" t="s">
        <v>77</v>
      </c>
      <c r="D1180" s="28" t="s">
        <v>77</v>
      </c>
      <c r="E1180" s="28" t="s">
        <v>77</v>
      </c>
      <c r="F1180" s="28" t="s">
        <v>77</v>
      </c>
      <c r="G1180" s="28" t="s">
        <v>77</v>
      </c>
      <c r="I1180" s="26" t="s">
        <v>77</v>
      </c>
      <c r="J1180" s="26" t="s">
        <v>77</v>
      </c>
      <c r="K1180" s="18"/>
      <c r="L1180" s="26" t="s">
        <v>77</v>
      </c>
      <c r="M1180" s="6" t="s">
        <v>77</v>
      </c>
      <c r="N1180" s="28" t="s">
        <v>77</v>
      </c>
      <c r="O1180" s="26" t="s">
        <v>77</v>
      </c>
    </row>
    <row r="1181">
      <c r="A1181" s="52" t="s">
        <v>77</v>
      </c>
      <c r="B1181" s="28" t="s">
        <v>77</v>
      </c>
      <c r="C1181" s="28" t="s">
        <v>77</v>
      </c>
      <c r="D1181" s="28" t="s">
        <v>77</v>
      </c>
      <c r="E1181" s="28" t="s">
        <v>77</v>
      </c>
      <c r="F1181" s="28" t="s">
        <v>77</v>
      </c>
      <c r="G1181" s="28" t="s">
        <v>77</v>
      </c>
      <c r="I1181" s="26" t="s">
        <v>77</v>
      </c>
      <c r="J1181" s="26" t="s">
        <v>77</v>
      </c>
      <c r="K1181" s="18"/>
      <c r="L1181" s="26" t="s">
        <v>77</v>
      </c>
      <c r="M1181" s="6" t="s">
        <v>77</v>
      </c>
      <c r="N1181" s="28" t="s">
        <v>77</v>
      </c>
      <c r="O1181" s="26" t="s">
        <v>77</v>
      </c>
    </row>
    <row r="1182">
      <c r="A1182" s="52" t="s">
        <v>77</v>
      </c>
      <c r="B1182" s="28" t="s">
        <v>77</v>
      </c>
      <c r="C1182" s="28" t="s">
        <v>77</v>
      </c>
      <c r="D1182" s="28" t="s">
        <v>77</v>
      </c>
      <c r="E1182" s="28" t="s">
        <v>77</v>
      </c>
      <c r="F1182" s="28" t="s">
        <v>77</v>
      </c>
      <c r="G1182" s="28" t="s">
        <v>77</v>
      </c>
      <c r="I1182" s="26" t="s">
        <v>77</v>
      </c>
      <c r="J1182" s="26" t="s">
        <v>77</v>
      </c>
      <c r="K1182" s="18"/>
      <c r="L1182" s="26" t="s">
        <v>77</v>
      </c>
      <c r="M1182" s="6" t="s">
        <v>77</v>
      </c>
      <c r="N1182" s="28" t="s">
        <v>77</v>
      </c>
      <c r="O1182" s="26" t="s">
        <v>77</v>
      </c>
    </row>
    <row r="1183">
      <c r="A1183" s="52" t="s">
        <v>77</v>
      </c>
      <c r="B1183" s="28" t="s">
        <v>77</v>
      </c>
      <c r="C1183" s="28" t="s">
        <v>77</v>
      </c>
      <c r="D1183" s="28" t="s">
        <v>77</v>
      </c>
      <c r="E1183" s="28" t="s">
        <v>77</v>
      </c>
      <c r="F1183" s="28" t="s">
        <v>77</v>
      </c>
      <c r="G1183" s="28" t="s">
        <v>77</v>
      </c>
      <c r="I1183" s="26" t="s">
        <v>77</v>
      </c>
      <c r="J1183" s="26" t="s">
        <v>77</v>
      </c>
      <c r="K1183" s="18"/>
      <c r="L1183" s="26" t="s">
        <v>77</v>
      </c>
      <c r="M1183" s="6" t="s">
        <v>77</v>
      </c>
      <c r="N1183" s="28" t="s">
        <v>77</v>
      </c>
      <c r="O1183" s="26" t="s">
        <v>77</v>
      </c>
    </row>
    <row r="1184">
      <c r="A1184" s="52" t="s">
        <v>77</v>
      </c>
      <c r="B1184" s="28" t="s">
        <v>77</v>
      </c>
      <c r="C1184" s="28" t="s">
        <v>77</v>
      </c>
      <c r="D1184" s="28" t="s">
        <v>77</v>
      </c>
      <c r="E1184" s="28" t="s">
        <v>77</v>
      </c>
      <c r="F1184" s="28" t="s">
        <v>77</v>
      </c>
      <c r="G1184" s="28" t="s">
        <v>77</v>
      </c>
      <c r="I1184" s="26" t="s">
        <v>77</v>
      </c>
      <c r="J1184" s="26" t="s">
        <v>77</v>
      </c>
      <c r="K1184" s="18"/>
      <c r="L1184" s="26" t="s">
        <v>77</v>
      </c>
      <c r="M1184" s="6" t="s">
        <v>77</v>
      </c>
      <c r="N1184" s="28" t="s">
        <v>77</v>
      </c>
      <c r="O1184" s="26" t="s">
        <v>77</v>
      </c>
    </row>
    <row r="1185">
      <c r="A1185" s="52" t="s">
        <v>77</v>
      </c>
      <c r="B1185" s="28" t="s">
        <v>77</v>
      </c>
      <c r="C1185" s="28" t="s">
        <v>77</v>
      </c>
      <c r="D1185" s="28" t="s">
        <v>77</v>
      </c>
      <c r="E1185" s="28" t="s">
        <v>77</v>
      </c>
      <c r="F1185" s="28" t="s">
        <v>77</v>
      </c>
      <c r="G1185" s="28" t="s">
        <v>77</v>
      </c>
      <c r="I1185" s="26" t="s">
        <v>77</v>
      </c>
      <c r="J1185" s="26" t="s">
        <v>77</v>
      </c>
      <c r="K1185" s="18"/>
      <c r="L1185" s="26" t="s">
        <v>77</v>
      </c>
      <c r="M1185" s="6" t="s">
        <v>77</v>
      </c>
      <c r="N1185" s="28" t="s">
        <v>77</v>
      </c>
      <c r="O1185" s="26" t="s">
        <v>77</v>
      </c>
    </row>
    <row r="1186">
      <c r="A1186" s="52" t="s">
        <v>77</v>
      </c>
      <c r="B1186" s="28" t="s">
        <v>77</v>
      </c>
      <c r="C1186" s="28" t="s">
        <v>77</v>
      </c>
      <c r="D1186" s="28" t="s">
        <v>77</v>
      </c>
      <c r="E1186" s="28" t="s">
        <v>77</v>
      </c>
      <c r="F1186" s="28" t="s">
        <v>77</v>
      </c>
      <c r="G1186" s="28" t="s">
        <v>77</v>
      </c>
      <c r="I1186" s="26" t="s">
        <v>77</v>
      </c>
      <c r="J1186" s="26" t="s">
        <v>77</v>
      </c>
      <c r="K1186" s="18"/>
      <c r="L1186" s="26" t="s">
        <v>77</v>
      </c>
      <c r="M1186" s="6" t="s">
        <v>77</v>
      </c>
      <c r="N1186" s="28" t="s">
        <v>77</v>
      </c>
      <c r="O1186" s="26" t="s">
        <v>77</v>
      </c>
    </row>
    <row r="1187">
      <c r="A1187" s="52" t="s">
        <v>77</v>
      </c>
      <c r="B1187" s="28" t="s">
        <v>77</v>
      </c>
      <c r="C1187" s="28" t="s">
        <v>77</v>
      </c>
      <c r="D1187" s="28" t="s">
        <v>77</v>
      </c>
      <c r="E1187" s="28" t="s">
        <v>77</v>
      </c>
      <c r="F1187" s="28" t="s">
        <v>77</v>
      </c>
      <c r="G1187" s="28" t="s">
        <v>77</v>
      </c>
      <c r="I1187" s="26" t="s">
        <v>77</v>
      </c>
      <c r="J1187" s="26" t="s">
        <v>77</v>
      </c>
      <c r="K1187" s="18"/>
      <c r="L1187" s="26" t="s">
        <v>77</v>
      </c>
      <c r="M1187" s="6" t="s">
        <v>77</v>
      </c>
      <c r="N1187" s="28" t="s">
        <v>77</v>
      </c>
      <c r="O1187" s="26" t="s">
        <v>77</v>
      </c>
    </row>
    <row r="1188">
      <c r="A1188" s="52" t="s">
        <v>77</v>
      </c>
      <c r="B1188" s="28" t="s">
        <v>77</v>
      </c>
      <c r="C1188" s="28" t="s">
        <v>77</v>
      </c>
      <c r="D1188" s="28" t="s">
        <v>77</v>
      </c>
      <c r="E1188" s="28" t="s">
        <v>77</v>
      </c>
      <c r="F1188" s="28" t="s">
        <v>77</v>
      </c>
      <c r="G1188" s="28" t="s">
        <v>77</v>
      </c>
      <c r="I1188" s="26" t="s">
        <v>77</v>
      </c>
      <c r="J1188" s="26" t="s">
        <v>77</v>
      </c>
      <c r="K1188" s="18"/>
      <c r="L1188" s="26" t="s">
        <v>77</v>
      </c>
      <c r="M1188" s="6" t="s">
        <v>77</v>
      </c>
      <c r="N1188" s="28" t="s">
        <v>77</v>
      </c>
      <c r="O1188" s="26" t="s">
        <v>77</v>
      </c>
    </row>
    <row r="1189">
      <c r="A1189" s="52" t="s">
        <v>77</v>
      </c>
      <c r="B1189" s="28" t="s">
        <v>77</v>
      </c>
      <c r="C1189" s="28" t="s">
        <v>77</v>
      </c>
      <c r="D1189" s="28" t="s">
        <v>77</v>
      </c>
      <c r="E1189" s="28" t="s">
        <v>77</v>
      </c>
      <c r="F1189" s="28" t="s">
        <v>77</v>
      </c>
      <c r="G1189" s="28" t="s">
        <v>77</v>
      </c>
      <c r="I1189" s="26" t="s">
        <v>77</v>
      </c>
      <c r="J1189" s="26" t="s">
        <v>77</v>
      </c>
      <c r="K1189" s="18"/>
      <c r="L1189" s="26" t="s">
        <v>77</v>
      </c>
      <c r="M1189" s="6" t="s">
        <v>77</v>
      </c>
      <c r="N1189" s="28" t="s">
        <v>77</v>
      </c>
      <c r="O1189" s="26" t="s">
        <v>77</v>
      </c>
    </row>
    <row r="1190">
      <c r="A1190" s="52" t="s">
        <v>77</v>
      </c>
      <c r="B1190" s="28" t="s">
        <v>77</v>
      </c>
      <c r="C1190" s="28" t="s">
        <v>77</v>
      </c>
      <c r="D1190" s="28" t="s">
        <v>77</v>
      </c>
      <c r="E1190" s="28" t="s">
        <v>77</v>
      </c>
      <c r="F1190" s="28" t="s">
        <v>77</v>
      </c>
      <c r="G1190" s="28" t="s">
        <v>77</v>
      </c>
      <c r="I1190" s="26" t="s">
        <v>77</v>
      </c>
      <c r="J1190" s="26" t="s">
        <v>77</v>
      </c>
      <c r="K1190" s="18"/>
      <c r="L1190" s="26" t="s">
        <v>77</v>
      </c>
      <c r="M1190" s="6" t="s">
        <v>77</v>
      </c>
      <c r="N1190" s="28" t="s">
        <v>77</v>
      </c>
      <c r="O1190" s="26" t="s">
        <v>77</v>
      </c>
    </row>
    <row r="1191">
      <c r="A1191" s="52" t="s">
        <v>77</v>
      </c>
      <c r="B1191" s="28" t="s">
        <v>77</v>
      </c>
      <c r="C1191" s="28" t="s">
        <v>77</v>
      </c>
      <c r="D1191" s="28" t="s">
        <v>77</v>
      </c>
      <c r="E1191" s="28" t="s">
        <v>77</v>
      </c>
      <c r="F1191" s="28" t="s">
        <v>77</v>
      </c>
      <c r="G1191" s="28" t="s">
        <v>77</v>
      </c>
      <c r="I1191" s="26" t="s">
        <v>77</v>
      </c>
      <c r="J1191" s="26" t="s">
        <v>77</v>
      </c>
      <c r="K1191" s="18"/>
      <c r="L1191" s="26" t="s">
        <v>77</v>
      </c>
      <c r="M1191" s="6" t="s">
        <v>77</v>
      </c>
      <c r="N1191" s="28" t="s">
        <v>77</v>
      </c>
      <c r="O1191" s="26" t="s">
        <v>77</v>
      </c>
    </row>
    <row r="1192">
      <c r="A1192" s="52" t="s">
        <v>77</v>
      </c>
      <c r="B1192" s="28" t="s">
        <v>77</v>
      </c>
      <c r="C1192" s="28" t="s">
        <v>77</v>
      </c>
      <c r="D1192" s="28" t="s">
        <v>77</v>
      </c>
      <c r="E1192" s="28" t="s">
        <v>77</v>
      </c>
      <c r="F1192" s="28" t="s">
        <v>77</v>
      </c>
      <c r="G1192" s="28" t="s">
        <v>77</v>
      </c>
      <c r="I1192" s="26" t="s">
        <v>77</v>
      </c>
      <c r="J1192" s="26" t="s">
        <v>77</v>
      </c>
      <c r="K1192" s="18"/>
      <c r="L1192" s="26" t="s">
        <v>77</v>
      </c>
      <c r="M1192" s="6" t="s">
        <v>77</v>
      </c>
      <c r="N1192" s="28" t="s">
        <v>77</v>
      </c>
      <c r="O1192" s="26" t="s">
        <v>77</v>
      </c>
    </row>
    <row r="1193">
      <c r="A1193" s="52" t="s">
        <v>77</v>
      </c>
      <c r="B1193" s="28" t="s">
        <v>77</v>
      </c>
      <c r="C1193" s="28" t="s">
        <v>77</v>
      </c>
      <c r="D1193" s="28" t="s">
        <v>77</v>
      </c>
      <c r="E1193" s="28" t="s">
        <v>77</v>
      </c>
      <c r="F1193" s="28" t="s">
        <v>77</v>
      </c>
      <c r="G1193" s="28" t="s">
        <v>77</v>
      </c>
      <c r="I1193" s="26" t="s">
        <v>77</v>
      </c>
      <c r="J1193" s="26" t="s">
        <v>77</v>
      </c>
      <c r="K1193" s="18"/>
      <c r="L1193" s="26" t="s">
        <v>77</v>
      </c>
      <c r="M1193" s="6" t="s">
        <v>77</v>
      </c>
      <c r="N1193" s="28" t="s">
        <v>77</v>
      </c>
      <c r="O1193" s="26" t="s">
        <v>77</v>
      </c>
    </row>
    <row r="1194">
      <c r="A1194" s="52" t="s">
        <v>77</v>
      </c>
      <c r="B1194" s="28" t="s">
        <v>77</v>
      </c>
      <c r="C1194" s="28" t="s">
        <v>77</v>
      </c>
      <c r="D1194" s="28" t="s">
        <v>77</v>
      </c>
      <c r="E1194" s="28" t="s">
        <v>77</v>
      </c>
      <c r="F1194" s="28" t="s">
        <v>77</v>
      </c>
      <c r="G1194" s="28" t="s">
        <v>77</v>
      </c>
      <c r="I1194" s="26" t="s">
        <v>77</v>
      </c>
      <c r="J1194" s="26" t="s">
        <v>77</v>
      </c>
      <c r="K1194" s="18"/>
      <c r="L1194" s="26" t="s">
        <v>77</v>
      </c>
      <c r="M1194" s="6" t="s">
        <v>77</v>
      </c>
      <c r="N1194" s="28" t="s">
        <v>77</v>
      </c>
      <c r="O1194" s="26" t="s">
        <v>77</v>
      </c>
    </row>
    <row r="1195">
      <c r="A1195" s="52" t="s">
        <v>77</v>
      </c>
      <c r="B1195" s="28" t="s">
        <v>77</v>
      </c>
      <c r="C1195" s="28" t="s">
        <v>77</v>
      </c>
      <c r="D1195" s="28" t="s">
        <v>77</v>
      </c>
      <c r="E1195" s="28" t="s">
        <v>77</v>
      </c>
      <c r="F1195" s="28" t="s">
        <v>77</v>
      </c>
      <c r="G1195" s="28" t="s">
        <v>77</v>
      </c>
      <c r="I1195" s="26" t="s">
        <v>77</v>
      </c>
      <c r="J1195" s="26" t="s">
        <v>77</v>
      </c>
      <c r="K1195" s="18"/>
      <c r="L1195" s="26" t="s">
        <v>77</v>
      </c>
      <c r="M1195" s="6" t="s">
        <v>77</v>
      </c>
      <c r="N1195" s="28" t="s">
        <v>77</v>
      </c>
      <c r="O1195" s="26" t="s">
        <v>77</v>
      </c>
    </row>
    <row r="1196">
      <c r="A1196" s="52" t="s">
        <v>77</v>
      </c>
      <c r="B1196" s="28" t="s">
        <v>77</v>
      </c>
      <c r="C1196" s="28" t="s">
        <v>77</v>
      </c>
      <c r="D1196" s="28" t="s">
        <v>77</v>
      </c>
      <c r="E1196" s="28" t="s">
        <v>77</v>
      </c>
      <c r="F1196" s="28" t="s">
        <v>77</v>
      </c>
      <c r="G1196" s="28" t="s">
        <v>77</v>
      </c>
      <c r="I1196" s="26" t="s">
        <v>77</v>
      </c>
      <c r="J1196" s="26" t="s">
        <v>77</v>
      </c>
      <c r="K1196" s="18"/>
      <c r="L1196" s="26" t="s">
        <v>77</v>
      </c>
      <c r="M1196" s="6" t="s">
        <v>77</v>
      </c>
      <c r="N1196" s="28" t="s">
        <v>77</v>
      </c>
      <c r="O1196" s="26" t="s">
        <v>77</v>
      </c>
    </row>
    <row r="1197">
      <c r="A1197" s="52" t="s">
        <v>77</v>
      </c>
      <c r="B1197" s="28" t="s">
        <v>77</v>
      </c>
      <c r="C1197" s="28" t="s">
        <v>77</v>
      </c>
      <c r="D1197" s="28" t="s">
        <v>77</v>
      </c>
      <c r="E1197" s="28" t="s">
        <v>77</v>
      </c>
      <c r="F1197" s="28" t="s">
        <v>77</v>
      </c>
      <c r="G1197" s="28" t="s">
        <v>77</v>
      </c>
      <c r="I1197" s="26" t="s">
        <v>77</v>
      </c>
      <c r="J1197" s="26" t="s">
        <v>77</v>
      </c>
      <c r="K1197" s="18"/>
      <c r="L1197" s="26" t="s">
        <v>77</v>
      </c>
      <c r="M1197" s="6" t="s">
        <v>77</v>
      </c>
      <c r="N1197" s="28" t="s">
        <v>77</v>
      </c>
      <c r="O1197" s="26" t="s">
        <v>77</v>
      </c>
    </row>
    <row r="1198">
      <c r="A1198" s="52" t="s">
        <v>77</v>
      </c>
      <c r="B1198" s="28" t="s">
        <v>77</v>
      </c>
      <c r="C1198" s="28" t="s">
        <v>77</v>
      </c>
      <c r="D1198" s="28" t="s">
        <v>77</v>
      </c>
      <c r="E1198" s="28" t="s">
        <v>77</v>
      </c>
      <c r="F1198" s="28" t="s">
        <v>77</v>
      </c>
      <c r="G1198" s="28" t="s">
        <v>77</v>
      </c>
      <c r="I1198" s="26" t="s">
        <v>77</v>
      </c>
      <c r="J1198" s="26" t="s">
        <v>77</v>
      </c>
      <c r="K1198" s="18"/>
      <c r="L1198" s="26" t="s">
        <v>77</v>
      </c>
      <c r="M1198" s="6" t="s">
        <v>77</v>
      </c>
      <c r="N1198" s="28" t="s">
        <v>77</v>
      </c>
      <c r="O1198" s="26" t="s">
        <v>77</v>
      </c>
    </row>
    <row r="1199">
      <c r="A1199" s="52" t="s">
        <v>77</v>
      </c>
      <c r="B1199" s="28" t="s">
        <v>77</v>
      </c>
      <c r="C1199" s="28" t="s">
        <v>77</v>
      </c>
      <c r="D1199" s="28" t="s">
        <v>77</v>
      </c>
      <c r="E1199" s="28" t="s">
        <v>77</v>
      </c>
      <c r="F1199" s="28" t="s">
        <v>77</v>
      </c>
      <c r="G1199" s="28" t="s">
        <v>77</v>
      </c>
      <c r="I1199" s="26" t="s">
        <v>77</v>
      </c>
      <c r="J1199" s="26" t="s">
        <v>77</v>
      </c>
      <c r="K1199" s="18"/>
      <c r="L1199" s="26" t="s">
        <v>77</v>
      </c>
      <c r="M1199" s="6" t="s">
        <v>77</v>
      </c>
      <c r="N1199" s="28" t="s">
        <v>77</v>
      </c>
      <c r="O1199" s="26" t="s">
        <v>77</v>
      </c>
    </row>
    <row r="1200">
      <c r="A1200" s="52" t="s">
        <v>77</v>
      </c>
      <c r="B1200" s="28" t="s">
        <v>77</v>
      </c>
      <c r="C1200" s="28" t="s">
        <v>77</v>
      </c>
      <c r="D1200" s="28" t="s">
        <v>77</v>
      </c>
      <c r="E1200" s="28" t="s">
        <v>77</v>
      </c>
      <c r="F1200" s="28" t="s">
        <v>77</v>
      </c>
      <c r="G1200" s="28" t="s">
        <v>77</v>
      </c>
      <c r="I1200" s="26" t="s">
        <v>77</v>
      </c>
      <c r="J1200" s="26" t="s">
        <v>77</v>
      </c>
      <c r="K1200" s="18"/>
      <c r="L1200" s="26" t="s">
        <v>77</v>
      </c>
      <c r="M1200" s="6" t="s">
        <v>77</v>
      </c>
      <c r="N1200" s="28" t="s">
        <v>77</v>
      </c>
      <c r="O1200" s="26" t="s">
        <v>77</v>
      </c>
    </row>
    <row r="1201">
      <c r="A1201" s="52" t="s">
        <v>77</v>
      </c>
      <c r="B1201" s="28" t="s">
        <v>77</v>
      </c>
      <c r="C1201" s="28" t="s">
        <v>77</v>
      </c>
      <c r="D1201" s="28" t="s">
        <v>77</v>
      </c>
      <c r="E1201" s="28" t="s">
        <v>77</v>
      </c>
      <c r="F1201" s="28" t="s">
        <v>77</v>
      </c>
      <c r="G1201" s="28" t="s">
        <v>77</v>
      </c>
      <c r="I1201" s="26" t="s">
        <v>77</v>
      </c>
      <c r="J1201" s="26" t="s">
        <v>77</v>
      </c>
      <c r="K1201" s="18"/>
      <c r="L1201" s="26" t="s">
        <v>77</v>
      </c>
      <c r="M1201" s="6" t="s">
        <v>77</v>
      </c>
      <c r="N1201" s="28" t="s">
        <v>77</v>
      </c>
      <c r="O1201" s="26" t="s">
        <v>77</v>
      </c>
    </row>
    <row r="1202">
      <c r="A1202" s="52" t="s">
        <v>77</v>
      </c>
      <c r="B1202" s="28" t="s">
        <v>77</v>
      </c>
      <c r="C1202" s="28" t="s">
        <v>77</v>
      </c>
      <c r="D1202" s="28" t="s">
        <v>77</v>
      </c>
      <c r="E1202" s="28" t="s">
        <v>77</v>
      </c>
      <c r="F1202" s="28" t="s">
        <v>77</v>
      </c>
      <c r="G1202" s="28" t="s">
        <v>77</v>
      </c>
      <c r="I1202" s="26" t="s">
        <v>77</v>
      </c>
      <c r="J1202" s="26" t="s">
        <v>77</v>
      </c>
      <c r="K1202" s="18"/>
      <c r="L1202" s="26" t="s">
        <v>77</v>
      </c>
      <c r="M1202" s="6" t="s">
        <v>77</v>
      </c>
      <c r="N1202" s="28" t="s">
        <v>77</v>
      </c>
      <c r="O1202" s="26" t="s">
        <v>77</v>
      </c>
    </row>
    <row r="1203">
      <c r="A1203" s="52" t="s">
        <v>77</v>
      </c>
      <c r="B1203" s="28" t="s">
        <v>77</v>
      </c>
      <c r="C1203" s="28" t="s">
        <v>77</v>
      </c>
      <c r="D1203" s="28" t="s">
        <v>77</v>
      </c>
      <c r="E1203" s="28" t="s">
        <v>77</v>
      </c>
      <c r="F1203" s="28" t="s">
        <v>77</v>
      </c>
      <c r="G1203" s="28" t="s">
        <v>77</v>
      </c>
      <c r="I1203" s="26" t="s">
        <v>77</v>
      </c>
      <c r="J1203" s="26" t="s">
        <v>77</v>
      </c>
      <c r="K1203" s="18"/>
      <c r="L1203" s="26" t="s">
        <v>77</v>
      </c>
      <c r="M1203" s="6" t="s">
        <v>77</v>
      </c>
      <c r="N1203" s="28" t="s">
        <v>77</v>
      </c>
      <c r="O1203" s="26" t="s">
        <v>77</v>
      </c>
    </row>
    <row r="1204">
      <c r="A1204" s="52" t="s">
        <v>77</v>
      </c>
      <c r="B1204" s="28" t="s">
        <v>77</v>
      </c>
      <c r="C1204" s="28" t="s">
        <v>77</v>
      </c>
      <c r="D1204" s="28" t="s">
        <v>77</v>
      </c>
      <c r="E1204" s="28" t="s">
        <v>77</v>
      </c>
      <c r="F1204" s="28" t="s">
        <v>77</v>
      </c>
      <c r="G1204" s="28" t="s">
        <v>77</v>
      </c>
      <c r="I1204" s="26" t="s">
        <v>77</v>
      </c>
      <c r="J1204" s="26" t="s">
        <v>77</v>
      </c>
      <c r="K1204" s="18"/>
      <c r="L1204" s="26" t="s">
        <v>77</v>
      </c>
      <c r="M1204" s="6" t="s">
        <v>77</v>
      </c>
      <c r="N1204" s="28" t="s">
        <v>77</v>
      </c>
      <c r="O1204" s="26" t="s">
        <v>77</v>
      </c>
    </row>
    <row r="1205">
      <c r="A1205" s="52" t="s">
        <v>77</v>
      </c>
      <c r="B1205" s="28" t="s">
        <v>77</v>
      </c>
      <c r="C1205" s="28" t="s">
        <v>77</v>
      </c>
      <c r="D1205" s="28" t="s">
        <v>77</v>
      </c>
      <c r="E1205" s="28" t="s">
        <v>77</v>
      </c>
      <c r="F1205" s="28" t="s">
        <v>77</v>
      </c>
      <c r="G1205" s="28" t="s">
        <v>77</v>
      </c>
      <c r="I1205" s="26" t="s">
        <v>77</v>
      </c>
      <c r="J1205" s="26" t="s">
        <v>77</v>
      </c>
      <c r="K1205" s="18"/>
      <c r="L1205" s="26" t="s">
        <v>77</v>
      </c>
      <c r="M1205" s="6" t="s">
        <v>77</v>
      </c>
      <c r="N1205" s="28" t="s">
        <v>77</v>
      </c>
      <c r="O1205" s="26" t="s">
        <v>77</v>
      </c>
    </row>
    <row r="1206">
      <c r="A1206" s="52" t="s">
        <v>77</v>
      </c>
      <c r="B1206" s="28" t="s">
        <v>77</v>
      </c>
      <c r="C1206" s="28" t="s">
        <v>77</v>
      </c>
      <c r="D1206" s="28" t="s">
        <v>77</v>
      </c>
      <c r="E1206" s="28" t="s">
        <v>77</v>
      </c>
      <c r="F1206" s="28" t="s">
        <v>77</v>
      </c>
      <c r="G1206" s="28" t="s">
        <v>77</v>
      </c>
      <c r="I1206" s="26" t="s">
        <v>77</v>
      </c>
      <c r="J1206" s="26" t="s">
        <v>77</v>
      </c>
      <c r="K1206" s="18"/>
      <c r="L1206" s="26" t="s">
        <v>77</v>
      </c>
      <c r="M1206" s="6" t="s">
        <v>77</v>
      </c>
      <c r="N1206" s="28" t="s">
        <v>77</v>
      </c>
      <c r="O1206" s="26" t="s">
        <v>77</v>
      </c>
    </row>
    <row r="1207">
      <c r="A1207" s="52" t="s">
        <v>77</v>
      </c>
      <c r="B1207" s="28" t="s">
        <v>77</v>
      </c>
      <c r="C1207" s="28" t="s">
        <v>77</v>
      </c>
      <c r="D1207" s="28" t="s">
        <v>77</v>
      </c>
      <c r="E1207" s="28" t="s">
        <v>77</v>
      </c>
      <c r="F1207" s="28" t="s">
        <v>77</v>
      </c>
      <c r="G1207" s="28" t="s">
        <v>77</v>
      </c>
      <c r="I1207" s="26" t="s">
        <v>77</v>
      </c>
      <c r="J1207" s="26" t="s">
        <v>77</v>
      </c>
      <c r="K1207" s="18"/>
      <c r="L1207" s="26" t="s">
        <v>77</v>
      </c>
      <c r="M1207" s="6" t="s">
        <v>77</v>
      </c>
      <c r="N1207" s="28" t="s">
        <v>77</v>
      </c>
      <c r="O1207" s="26" t="s">
        <v>77</v>
      </c>
    </row>
    <row r="1208">
      <c r="A1208" s="52" t="s">
        <v>77</v>
      </c>
      <c r="B1208" s="28" t="s">
        <v>77</v>
      </c>
      <c r="C1208" s="28" t="s">
        <v>77</v>
      </c>
      <c r="D1208" s="28" t="s">
        <v>77</v>
      </c>
      <c r="E1208" s="28" t="s">
        <v>77</v>
      </c>
      <c r="F1208" s="28" t="s">
        <v>77</v>
      </c>
      <c r="G1208" s="28" t="s">
        <v>77</v>
      </c>
      <c r="I1208" s="26" t="s">
        <v>77</v>
      </c>
      <c r="J1208" s="26" t="s">
        <v>77</v>
      </c>
      <c r="K1208" s="18"/>
      <c r="L1208" s="26" t="s">
        <v>77</v>
      </c>
      <c r="M1208" s="6" t="s">
        <v>77</v>
      </c>
      <c r="N1208" s="28" t="s">
        <v>77</v>
      </c>
      <c r="O1208" s="26" t="s">
        <v>77</v>
      </c>
    </row>
    <row r="1209">
      <c r="A1209" s="52" t="s">
        <v>77</v>
      </c>
      <c r="B1209" s="28" t="s">
        <v>77</v>
      </c>
      <c r="C1209" s="28" t="s">
        <v>77</v>
      </c>
      <c r="D1209" s="28" t="s">
        <v>77</v>
      </c>
      <c r="E1209" s="28" t="s">
        <v>77</v>
      </c>
      <c r="F1209" s="28" t="s">
        <v>77</v>
      </c>
      <c r="G1209" s="28" t="s">
        <v>77</v>
      </c>
      <c r="I1209" s="26" t="s">
        <v>77</v>
      </c>
      <c r="J1209" s="26" t="s">
        <v>77</v>
      </c>
      <c r="K1209" s="18"/>
      <c r="L1209" s="26" t="s">
        <v>77</v>
      </c>
      <c r="M1209" s="6" t="s">
        <v>77</v>
      </c>
      <c r="N1209" s="28" t="s">
        <v>77</v>
      </c>
      <c r="O1209" s="26" t="s">
        <v>77</v>
      </c>
    </row>
    <row r="1210">
      <c r="A1210" s="52" t="s">
        <v>77</v>
      </c>
      <c r="B1210" s="28" t="s">
        <v>77</v>
      </c>
      <c r="C1210" s="28" t="s">
        <v>77</v>
      </c>
      <c r="D1210" s="28" t="s">
        <v>77</v>
      </c>
      <c r="E1210" s="28" t="s">
        <v>77</v>
      </c>
      <c r="F1210" s="28" t="s">
        <v>77</v>
      </c>
      <c r="G1210" s="28" t="s">
        <v>77</v>
      </c>
      <c r="I1210" s="26" t="s">
        <v>77</v>
      </c>
      <c r="J1210" s="26" t="s">
        <v>77</v>
      </c>
      <c r="K1210" s="18"/>
      <c r="L1210" s="26" t="s">
        <v>77</v>
      </c>
      <c r="M1210" s="6" t="s">
        <v>77</v>
      </c>
      <c r="N1210" s="28" t="s">
        <v>77</v>
      </c>
      <c r="O1210" s="26" t="s">
        <v>77</v>
      </c>
    </row>
    <row r="1211">
      <c r="A1211" s="52" t="s">
        <v>77</v>
      </c>
      <c r="B1211" s="28" t="s">
        <v>77</v>
      </c>
      <c r="C1211" s="28" t="s">
        <v>77</v>
      </c>
      <c r="D1211" s="28" t="s">
        <v>77</v>
      </c>
      <c r="E1211" s="28" t="s">
        <v>77</v>
      </c>
      <c r="F1211" s="28" t="s">
        <v>77</v>
      </c>
      <c r="G1211" s="28" t="s">
        <v>77</v>
      </c>
      <c r="I1211" s="26" t="s">
        <v>77</v>
      </c>
      <c r="J1211" s="26" t="s">
        <v>77</v>
      </c>
      <c r="K1211" s="18"/>
      <c r="L1211" s="26" t="s">
        <v>77</v>
      </c>
      <c r="M1211" s="6" t="s">
        <v>77</v>
      </c>
      <c r="N1211" s="28" t="s">
        <v>77</v>
      </c>
      <c r="O1211" s="26" t="s">
        <v>77</v>
      </c>
    </row>
    <row r="1212">
      <c r="A1212" s="52" t="s">
        <v>77</v>
      </c>
      <c r="B1212" s="28" t="s">
        <v>77</v>
      </c>
      <c r="C1212" s="28" t="s">
        <v>77</v>
      </c>
      <c r="D1212" s="28" t="s">
        <v>77</v>
      </c>
      <c r="E1212" s="28" t="s">
        <v>77</v>
      </c>
      <c r="F1212" s="28" t="s">
        <v>77</v>
      </c>
      <c r="G1212" s="28" t="s">
        <v>77</v>
      </c>
      <c r="I1212" s="26" t="s">
        <v>77</v>
      </c>
      <c r="J1212" s="26" t="s">
        <v>77</v>
      </c>
      <c r="K1212" s="18"/>
      <c r="L1212" s="26" t="s">
        <v>77</v>
      </c>
      <c r="M1212" s="6" t="s">
        <v>77</v>
      </c>
      <c r="N1212" s="28" t="s">
        <v>77</v>
      </c>
      <c r="O1212" s="26" t="s">
        <v>77</v>
      </c>
    </row>
    <row r="1213">
      <c r="A1213" s="52" t="s">
        <v>77</v>
      </c>
      <c r="B1213" s="28" t="s">
        <v>77</v>
      </c>
      <c r="C1213" s="28" t="s">
        <v>77</v>
      </c>
      <c r="D1213" s="28" t="s">
        <v>77</v>
      </c>
      <c r="E1213" s="28" t="s">
        <v>77</v>
      </c>
      <c r="F1213" s="28" t="s">
        <v>77</v>
      </c>
      <c r="G1213" s="28" t="s">
        <v>77</v>
      </c>
      <c r="I1213" s="26" t="s">
        <v>77</v>
      </c>
      <c r="J1213" s="26" t="s">
        <v>77</v>
      </c>
      <c r="K1213" s="18"/>
      <c r="L1213" s="26" t="s">
        <v>77</v>
      </c>
      <c r="M1213" s="6" t="s">
        <v>77</v>
      </c>
      <c r="N1213" s="28" t="s">
        <v>77</v>
      </c>
      <c r="O1213" s="26" t="s">
        <v>77</v>
      </c>
    </row>
    <row r="1214">
      <c r="A1214" s="52" t="s">
        <v>77</v>
      </c>
      <c r="B1214" s="28" t="s">
        <v>77</v>
      </c>
      <c r="C1214" s="28" t="s">
        <v>77</v>
      </c>
      <c r="D1214" s="28" t="s">
        <v>77</v>
      </c>
      <c r="E1214" s="28" t="s">
        <v>77</v>
      </c>
      <c r="F1214" s="28" t="s">
        <v>77</v>
      </c>
      <c r="G1214" s="28" t="s">
        <v>77</v>
      </c>
      <c r="I1214" s="26" t="s">
        <v>77</v>
      </c>
      <c r="J1214" s="26" t="s">
        <v>77</v>
      </c>
      <c r="K1214" s="18"/>
      <c r="L1214" s="26" t="s">
        <v>77</v>
      </c>
      <c r="M1214" s="6" t="s">
        <v>77</v>
      </c>
      <c r="N1214" s="28" t="s">
        <v>77</v>
      </c>
      <c r="O1214" s="26" t="s">
        <v>77</v>
      </c>
    </row>
    <row r="1215">
      <c r="A1215" s="52" t="s">
        <v>77</v>
      </c>
      <c r="B1215" s="28" t="s">
        <v>77</v>
      </c>
      <c r="C1215" s="28" t="s">
        <v>77</v>
      </c>
      <c r="D1215" s="28" t="s">
        <v>77</v>
      </c>
      <c r="E1215" s="28" t="s">
        <v>77</v>
      </c>
      <c r="F1215" s="28" t="s">
        <v>77</v>
      </c>
      <c r="G1215" s="28" t="s">
        <v>77</v>
      </c>
      <c r="I1215" s="26" t="s">
        <v>77</v>
      </c>
      <c r="J1215" s="26" t="s">
        <v>77</v>
      </c>
      <c r="K1215" s="18"/>
      <c r="L1215" s="26" t="s">
        <v>77</v>
      </c>
      <c r="M1215" s="6" t="s">
        <v>77</v>
      </c>
      <c r="N1215" s="28" t="s">
        <v>77</v>
      </c>
      <c r="O1215" s="26" t="s">
        <v>77</v>
      </c>
    </row>
    <row r="1216">
      <c r="A1216" s="52" t="s">
        <v>77</v>
      </c>
      <c r="B1216" s="28" t="s">
        <v>77</v>
      </c>
      <c r="C1216" s="28" t="s">
        <v>77</v>
      </c>
      <c r="D1216" s="28" t="s">
        <v>77</v>
      </c>
      <c r="E1216" s="28" t="s">
        <v>77</v>
      </c>
      <c r="F1216" s="28" t="s">
        <v>77</v>
      </c>
      <c r="G1216" s="28" t="s">
        <v>77</v>
      </c>
      <c r="I1216" s="26" t="s">
        <v>77</v>
      </c>
      <c r="J1216" s="26" t="s">
        <v>77</v>
      </c>
      <c r="K1216" s="18"/>
      <c r="L1216" s="26" t="s">
        <v>77</v>
      </c>
      <c r="M1216" s="6" t="s">
        <v>77</v>
      </c>
      <c r="N1216" s="28" t="s">
        <v>77</v>
      </c>
      <c r="O1216" s="26" t="s">
        <v>77</v>
      </c>
    </row>
    <row r="1217">
      <c r="A1217" s="52" t="s">
        <v>77</v>
      </c>
      <c r="B1217" s="28" t="s">
        <v>77</v>
      </c>
      <c r="C1217" s="28" t="s">
        <v>77</v>
      </c>
      <c r="D1217" s="28" t="s">
        <v>77</v>
      </c>
      <c r="E1217" s="28" t="s">
        <v>77</v>
      </c>
      <c r="F1217" s="28" t="s">
        <v>77</v>
      </c>
      <c r="G1217" s="28" t="s">
        <v>77</v>
      </c>
      <c r="I1217" s="26" t="s">
        <v>77</v>
      </c>
      <c r="J1217" s="26" t="s">
        <v>77</v>
      </c>
      <c r="K1217" s="18"/>
      <c r="L1217" s="26" t="s">
        <v>77</v>
      </c>
      <c r="M1217" s="6" t="s">
        <v>77</v>
      </c>
      <c r="N1217" s="28" t="s">
        <v>77</v>
      </c>
      <c r="O1217" s="26" t="s">
        <v>77</v>
      </c>
    </row>
    <row r="1218">
      <c r="A1218" s="52" t="s">
        <v>77</v>
      </c>
      <c r="B1218" s="28" t="s">
        <v>77</v>
      </c>
      <c r="C1218" s="28" t="s">
        <v>77</v>
      </c>
      <c r="D1218" s="28" t="s">
        <v>77</v>
      </c>
      <c r="E1218" s="28" t="s">
        <v>77</v>
      </c>
      <c r="F1218" s="28" t="s">
        <v>77</v>
      </c>
      <c r="G1218" s="28" t="s">
        <v>77</v>
      </c>
      <c r="I1218" s="26" t="s">
        <v>77</v>
      </c>
      <c r="J1218" s="26" t="s">
        <v>77</v>
      </c>
      <c r="K1218" s="18"/>
      <c r="L1218" s="26" t="s">
        <v>77</v>
      </c>
      <c r="M1218" s="6" t="s">
        <v>77</v>
      </c>
      <c r="N1218" s="28" t="s">
        <v>77</v>
      </c>
      <c r="O1218" s="26" t="s">
        <v>77</v>
      </c>
    </row>
    <row r="1219">
      <c r="A1219" s="52" t="s">
        <v>77</v>
      </c>
      <c r="B1219" s="28" t="s">
        <v>77</v>
      </c>
      <c r="C1219" s="28" t="s">
        <v>77</v>
      </c>
      <c r="D1219" s="28" t="s">
        <v>77</v>
      </c>
      <c r="E1219" s="28" t="s">
        <v>77</v>
      </c>
      <c r="F1219" s="28" t="s">
        <v>77</v>
      </c>
      <c r="G1219" s="28" t="s">
        <v>77</v>
      </c>
      <c r="I1219" s="26" t="s">
        <v>77</v>
      </c>
      <c r="J1219" s="26" t="s">
        <v>77</v>
      </c>
      <c r="K1219" s="18"/>
      <c r="L1219" s="26" t="s">
        <v>77</v>
      </c>
      <c r="M1219" s="6" t="s">
        <v>77</v>
      </c>
      <c r="N1219" s="28" t="s">
        <v>77</v>
      </c>
      <c r="O1219" s="26" t="s">
        <v>77</v>
      </c>
    </row>
    <row r="1220">
      <c r="A1220" s="52" t="s">
        <v>77</v>
      </c>
      <c r="B1220" s="28" t="s">
        <v>77</v>
      </c>
      <c r="C1220" s="28" t="s">
        <v>77</v>
      </c>
      <c r="D1220" s="28" t="s">
        <v>77</v>
      </c>
      <c r="E1220" s="28" t="s">
        <v>77</v>
      </c>
      <c r="F1220" s="28" t="s">
        <v>77</v>
      </c>
      <c r="G1220" s="28" t="s">
        <v>77</v>
      </c>
      <c r="I1220" s="26" t="s">
        <v>77</v>
      </c>
      <c r="J1220" s="26" t="s">
        <v>77</v>
      </c>
      <c r="K1220" s="18"/>
      <c r="L1220" s="26" t="s">
        <v>77</v>
      </c>
      <c r="M1220" s="6" t="s">
        <v>77</v>
      </c>
      <c r="N1220" s="28" t="s">
        <v>77</v>
      </c>
      <c r="O1220" s="26" t="s">
        <v>77</v>
      </c>
    </row>
    <row r="1221">
      <c r="A1221" s="52" t="s">
        <v>77</v>
      </c>
      <c r="B1221" s="28" t="s">
        <v>77</v>
      </c>
      <c r="C1221" s="28" t="s">
        <v>77</v>
      </c>
      <c r="D1221" s="28" t="s">
        <v>77</v>
      </c>
      <c r="E1221" s="28" t="s">
        <v>77</v>
      </c>
      <c r="F1221" s="28" t="s">
        <v>77</v>
      </c>
      <c r="G1221" s="28" t="s">
        <v>77</v>
      </c>
      <c r="I1221" s="26" t="s">
        <v>77</v>
      </c>
      <c r="J1221" s="26" t="s">
        <v>77</v>
      </c>
      <c r="K1221" s="18"/>
      <c r="L1221" s="26" t="s">
        <v>77</v>
      </c>
      <c r="M1221" s="6" t="s">
        <v>77</v>
      </c>
      <c r="N1221" s="28" t="s">
        <v>77</v>
      </c>
      <c r="O1221" s="26" t="s">
        <v>77</v>
      </c>
    </row>
    <row r="1222">
      <c r="A1222" s="52" t="s">
        <v>77</v>
      </c>
      <c r="B1222" s="28" t="s">
        <v>77</v>
      </c>
      <c r="C1222" s="28" t="s">
        <v>77</v>
      </c>
      <c r="D1222" s="28" t="s">
        <v>77</v>
      </c>
      <c r="E1222" s="28" t="s">
        <v>77</v>
      </c>
      <c r="F1222" s="28" t="s">
        <v>77</v>
      </c>
      <c r="G1222" s="28" t="s">
        <v>77</v>
      </c>
      <c r="I1222" s="26" t="s">
        <v>77</v>
      </c>
      <c r="J1222" s="26" t="s">
        <v>77</v>
      </c>
      <c r="K1222" s="18"/>
      <c r="L1222" s="26" t="s">
        <v>77</v>
      </c>
      <c r="M1222" s="6" t="s">
        <v>77</v>
      </c>
      <c r="N1222" s="28" t="s">
        <v>77</v>
      </c>
      <c r="O1222" s="26" t="s">
        <v>77</v>
      </c>
    </row>
    <row r="1223">
      <c r="A1223" s="52" t="s">
        <v>77</v>
      </c>
      <c r="B1223" s="28" t="s">
        <v>77</v>
      </c>
      <c r="C1223" s="28" t="s">
        <v>77</v>
      </c>
      <c r="D1223" s="28" t="s">
        <v>77</v>
      </c>
      <c r="E1223" s="28" t="s">
        <v>77</v>
      </c>
      <c r="F1223" s="28" t="s">
        <v>77</v>
      </c>
      <c r="G1223" s="28" t="s">
        <v>77</v>
      </c>
      <c r="I1223" s="26" t="s">
        <v>77</v>
      </c>
      <c r="J1223" s="26" t="s">
        <v>77</v>
      </c>
      <c r="K1223" s="18"/>
      <c r="L1223" s="26" t="s">
        <v>77</v>
      </c>
      <c r="M1223" s="6" t="s">
        <v>77</v>
      </c>
      <c r="N1223" s="28" t="s">
        <v>77</v>
      </c>
      <c r="O1223" s="26" t="s">
        <v>77</v>
      </c>
    </row>
    <row r="1224">
      <c r="A1224" s="52" t="s">
        <v>77</v>
      </c>
      <c r="B1224" s="28" t="s">
        <v>77</v>
      </c>
      <c r="C1224" s="28" t="s">
        <v>77</v>
      </c>
      <c r="D1224" s="28" t="s">
        <v>77</v>
      </c>
      <c r="E1224" s="28" t="s">
        <v>77</v>
      </c>
      <c r="F1224" s="28" t="s">
        <v>77</v>
      </c>
      <c r="G1224" s="28" t="s">
        <v>77</v>
      </c>
      <c r="I1224" s="26" t="s">
        <v>77</v>
      </c>
      <c r="J1224" s="26" t="s">
        <v>77</v>
      </c>
      <c r="K1224" s="18"/>
      <c r="L1224" s="26" t="s">
        <v>77</v>
      </c>
      <c r="M1224" s="6" t="s">
        <v>77</v>
      </c>
      <c r="N1224" s="28" t="s">
        <v>77</v>
      </c>
      <c r="O1224" s="26" t="s">
        <v>77</v>
      </c>
    </row>
    <row r="1225">
      <c r="A1225" s="52" t="s">
        <v>77</v>
      </c>
      <c r="B1225" s="28" t="s">
        <v>77</v>
      </c>
      <c r="C1225" s="28" t="s">
        <v>77</v>
      </c>
      <c r="D1225" s="28" t="s">
        <v>77</v>
      </c>
      <c r="E1225" s="28" t="s">
        <v>77</v>
      </c>
      <c r="F1225" s="28" t="s">
        <v>77</v>
      </c>
      <c r="G1225" s="28" t="s">
        <v>77</v>
      </c>
      <c r="I1225" s="26" t="s">
        <v>77</v>
      </c>
      <c r="J1225" s="26" t="s">
        <v>77</v>
      </c>
      <c r="K1225" s="18"/>
      <c r="L1225" s="26" t="s">
        <v>77</v>
      </c>
      <c r="M1225" s="6" t="s">
        <v>77</v>
      </c>
      <c r="N1225" s="28" t="s">
        <v>77</v>
      </c>
      <c r="O1225" s="26" t="s">
        <v>77</v>
      </c>
    </row>
    <row r="1226">
      <c r="A1226" s="52" t="s">
        <v>77</v>
      </c>
      <c r="B1226" s="28" t="s">
        <v>77</v>
      </c>
      <c r="C1226" s="28" t="s">
        <v>77</v>
      </c>
      <c r="D1226" s="28" t="s">
        <v>77</v>
      </c>
      <c r="E1226" s="28" t="s">
        <v>77</v>
      </c>
      <c r="F1226" s="28" t="s">
        <v>77</v>
      </c>
      <c r="G1226" s="28" t="s">
        <v>77</v>
      </c>
      <c r="I1226" s="26" t="s">
        <v>77</v>
      </c>
      <c r="J1226" s="26" t="s">
        <v>77</v>
      </c>
      <c r="K1226" s="18"/>
      <c r="L1226" s="26" t="s">
        <v>77</v>
      </c>
      <c r="M1226" s="6" t="s">
        <v>77</v>
      </c>
      <c r="N1226" s="28" t="s">
        <v>77</v>
      </c>
      <c r="O1226" s="26" t="s">
        <v>77</v>
      </c>
    </row>
    <row r="1227">
      <c r="A1227" s="52" t="s">
        <v>77</v>
      </c>
      <c r="B1227" s="28" t="s">
        <v>77</v>
      </c>
      <c r="C1227" s="28" t="s">
        <v>77</v>
      </c>
      <c r="D1227" s="28" t="s">
        <v>77</v>
      </c>
      <c r="E1227" s="28" t="s">
        <v>77</v>
      </c>
      <c r="F1227" s="28" t="s">
        <v>77</v>
      </c>
      <c r="G1227" s="28" t="s">
        <v>77</v>
      </c>
      <c r="I1227" s="26" t="s">
        <v>77</v>
      </c>
      <c r="J1227" s="26" t="s">
        <v>77</v>
      </c>
      <c r="K1227" s="18"/>
      <c r="L1227" s="26" t="s">
        <v>77</v>
      </c>
      <c r="M1227" s="6" t="s">
        <v>77</v>
      </c>
      <c r="N1227" s="28" t="s">
        <v>77</v>
      </c>
      <c r="O1227" s="26" t="s">
        <v>77</v>
      </c>
    </row>
    <row r="1228">
      <c r="A1228" s="52" t="s">
        <v>77</v>
      </c>
      <c r="B1228" s="28" t="s">
        <v>77</v>
      </c>
      <c r="C1228" s="28" t="s">
        <v>77</v>
      </c>
      <c r="D1228" s="28" t="s">
        <v>77</v>
      </c>
      <c r="E1228" s="28" t="s">
        <v>77</v>
      </c>
      <c r="F1228" s="28" t="s">
        <v>77</v>
      </c>
      <c r="G1228" s="28" t="s">
        <v>77</v>
      </c>
      <c r="I1228" s="26" t="s">
        <v>77</v>
      </c>
      <c r="J1228" s="26" t="s">
        <v>77</v>
      </c>
      <c r="K1228" s="18"/>
      <c r="L1228" s="26" t="s">
        <v>77</v>
      </c>
      <c r="M1228" s="6" t="s">
        <v>77</v>
      </c>
      <c r="N1228" s="28" t="s">
        <v>77</v>
      </c>
      <c r="O1228" s="26" t="s">
        <v>77</v>
      </c>
    </row>
    <row r="1229">
      <c r="A1229" s="52" t="s">
        <v>77</v>
      </c>
      <c r="B1229" s="28" t="s">
        <v>77</v>
      </c>
      <c r="C1229" s="28" t="s">
        <v>77</v>
      </c>
      <c r="D1229" s="28" t="s">
        <v>77</v>
      </c>
      <c r="E1229" s="28" t="s">
        <v>77</v>
      </c>
      <c r="F1229" s="28" t="s">
        <v>77</v>
      </c>
      <c r="G1229" s="28" t="s">
        <v>77</v>
      </c>
      <c r="I1229" s="26" t="s">
        <v>77</v>
      </c>
      <c r="J1229" s="26" t="s">
        <v>77</v>
      </c>
      <c r="K1229" s="18"/>
      <c r="L1229" s="26" t="s">
        <v>77</v>
      </c>
      <c r="M1229" s="6" t="s">
        <v>77</v>
      </c>
      <c r="N1229" s="28" t="s">
        <v>77</v>
      </c>
      <c r="O1229" s="26" t="s">
        <v>77</v>
      </c>
    </row>
    <row r="1230">
      <c r="A1230" s="52" t="s">
        <v>77</v>
      </c>
      <c r="B1230" s="28" t="s">
        <v>77</v>
      </c>
      <c r="C1230" s="28" t="s">
        <v>77</v>
      </c>
      <c r="D1230" s="28" t="s">
        <v>77</v>
      </c>
      <c r="E1230" s="28" t="s">
        <v>77</v>
      </c>
      <c r="F1230" s="28" t="s">
        <v>77</v>
      </c>
      <c r="G1230" s="28" t="s">
        <v>77</v>
      </c>
      <c r="I1230" s="26" t="s">
        <v>77</v>
      </c>
      <c r="J1230" s="26" t="s">
        <v>77</v>
      </c>
      <c r="K1230" s="18"/>
      <c r="L1230" s="26" t="s">
        <v>77</v>
      </c>
      <c r="M1230" s="6" t="s">
        <v>77</v>
      </c>
      <c r="N1230" s="28" t="s">
        <v>77</v>
      </c>
      <c r="O1230" s="26" t="s">
        <v>77</v>
      </c>
    </row>
    <row r="1231">
      <c r="A1231" s="52" t="s">
        <v>77</v>
      </c>
      <c r="B1231" s="28" t="s">
        <v>77</v>
      </c>
      <c r="C1231" s="28" t="s">
        <v>77</v>
      </c>
      <c r="D1231" s="28" t="s">
        <v>77</v>
      </c>
      <c r="E1231" s="28" t="s">
        <v>77</v>
      </c>
      <c r="F1231" s="28" t="s">
        <v>77</v>
      </c>
      <c r="G1231" s="28" t="s">
        <v>77</v>
      </c>
      <c r="I1231" s="26" t="s">
        <v>77</v>
      </c>
      <c r="J1231" s="26" t="s">
        <v>77</v>
      </c>
      <c r="K1231" s="18"/>
      <c r="L1231" s="26" t="s">
        <v>77</v>
      </c>
      <c r="M1231" s="6" t="s">
        <v>77</v>
      </c>
      <c r="N1231" s="28" t="s">
        <v>77</v>
      </c>
      <c r="O1231" s="26" t="s">
        <v>77</v>
      </c>
    </row>
    <row r="1232">
      <c r="A1232" s="52" t="s">
        <v>77</v>
      </c>
      <c r="B1232" s="28" t="s">
        <v>77</v>
      </c>
      <c r="C1232" s="28" t="s">
        <v>77</v>
      </c>
      <c r="D1232" s="28" t="s">
        <v>77</v>
      </c>
      <c r="E1232" s="28" t="s">
        <v>77</v>
      </c>
      <c r="F1232" s="28" t="s">
        <v>77</v>
      </c>
      <c r="G1232" s="28" t="s">
        <v>77</v>
      </c>
      <c r="I1232" s="26" t="s">
        <v>77</v>
      </c>
      <c r="J1232" s="26" t="s">
        <v>77</v>
      </c>
      <c r="K1232" s="18"/>
      <c r="L1232" s="26" t="s">
        <v>77</v>
      </c>
      <c r="M1232" s="6" t="s">
        <v>77</v>
      </c>
      <c r="N1232" s="28" t="s">
        <v>77</v>
      </c>
      <c r="O1232" s="26" t="s">
        <v>77</v>
      </c>
    </row>
    <row r="1233">
      <c r="A1233" s="52" t="s">
        <v>77</v>
      </c>
      <c r="B1233" s="28" t="s">
        <v>77</v>
      </c>
      <c r="C1233" s="28" t="s">
        <v>77</v>
      </c>
      <c r="D1233" s="28" t="s">
        <v>77</v>
      </c>
      <c r="E1233" s="28" t="s">
        <v>77</v>
      </c>
      <c r="F1233" s="28" t="s">
        <v>77</v>
      </c>
      <c r="G1233" s="28" t="s">
        <v>77</v>
      </c>
      <c r="I1233" s="26" t="s">
        <v>77</v>
      </c>
      <c r="J1233" s="26" t="s">
        <v>77</v>
      </c>
      <c r="K1233" s="18"/>
      <c r="L1233" s="26" t="s">
        <v>77</v>
      </c>
      <c r="M1233" s="6" t="s">
        <v>77</v>
      </c>
      <c r="N1233" s="28" t="s">
        <v>77</v>
      </c>
      <c r="O1233" s="26" t="s">
        <v>77</v>
      </c>
    </row>
    <row r="1234">
      <c r="A1234" s="52" t="s">
        <v>77</v>
      </c>
      <c r="B1234" s="28" t="s">
        <v>77</v>
      </c>
      <c r="C1234" s="28" t="s">
        <v>77</v>
      </c>
      <c r="D1234" s="28" t="s">
        <v>77</v>
      </c>
      <c r="E1234" s="28" t="s">
        <v>77</v>
      </c>
      <c r="F1234" s="28" t="s">
        <v>77</v>
      </c>
      <c r="G1234" s="28" t="s">
        <v>77</v>
      </c>
      <c r="I1234" s="26" t="s">
        <v>77</v>
      </c>
      <c r="J1234" s="26" t="s">
        <v>77</v>
      </c>
      <c r="K1234" s="18"/>
      <c r="L1234" s="26" t="s">
        <v>77</v>
      </c>
      <c r="M1234" s="6" t="s">
        <v>77</v>
      </c>
      <c r="N1234" s="28" t="s">
        <v>77</v>
      </c>
      <c r="O1234" s="26" t="s">
        <v>77</v>
      </c>
    </row>
    <row r="1235">
      <c r="A1235" s="52" t="s">
        <v>77</v>
      </c>
      <c r="B1235" s="28" t="s">
        <v>77</v>
      </c>
      <c r="C1235" s="28" t="s">
        <v>77</v>
      </c>
      <c r="D1235" s="28" t="s">
        <v>77</v>
      </c>
      <c r="E1235" s="28" t="s">
        <v>77</v>
      </c>
      <c r="F1235" s="28" t="s">
        <v>77</v>
      </c>
      <c r="G1235" s="28" t="s">
        <v>77</v>
      </c>
      <c r="I1235" s="26" t="s">
        <v>77</v>
      </c>
      <c r="J1235" s="26" t="s">
        <v>77</v>
      </c>
      <c r="K1235" s="18"/>
      <c r="L1235" s="26" t="s">
        <v>77</v>
      </c>
      <c r="M1235" s="6" t="s">
        <v>77</v>
      </c>
      <c r="N1235" s="28" t="s">
        <v>77</v>
      </c>
      <c r="O1235" s="26" t="s">
        <v>77</v>
      </c>
    </row>
    <row r="1236">
      <c r="A1236" s="52" t="s">
        <v>77</v>
      </c>
      <c r="B1236" s="28" t="s">
        <v>77</v>
      </c>
      <c r="C1236" s="28" t="s">
        <v>77</v>
      </c>
      <c r="D1236" s="28" t="s">
        <v>77</v>
      </c>
      <c r="E1236" s="28" t="s">
        <v>77</v>
      </c>
      <c r="F1236" s="28" t="s">
        <v>77</v>
      </c>
      <c r="G1236" s="28" t="s">
        <v>77</v>
      </c>
      <c r="I1236" s="26" t="s">
        <v>77</v>
      </c>
      <c r="J1236" s="26" t="s">
        <v>77</v>
      </c>
      <c r="K1236" s="18"/>
      <c r="L1236" s="26" t="s">
        <v>77</v>
      </c>
      <c r="M1236" s="6" t="s">
        <v>77</v>
      </c>
      <c r="N1236" s="28" t="s">
        <v>77</v>
      </c>
      <c r="O1236" s="26" t="s">
        <v>77</v>
      </c>
    </row>
    <row r="1237">
      <c r="A1237" s="52" t="s">
        <v>77</v>
      </c>
      <c r="B1237" s="28" t="s">
        <v>77</v>
      </c>
      <c r="C1237" s="28" t="s">
        <v>77</v>
      </c>
      <c r="D1237" s="28" t="s">
        <v>77</v>
      </c>
      <c r="E1237" s="28" t="s">
        <v>77</v>
      </c>
      <c r="F1237" s="28" t="s">
        <v>77</v>
      </c>
      <c r="G1237" s="28" t="s">
        <v>77</v>
      </c>
      <c r="I1237" s="26" t="s">
        <v>77</v>
      </c>
      <c r="J1237" s="26" t="s">
        <v>77</v>
      </c>
      <c r="K1237" s="18"/>
      <c r="L1237" s="26" t="s">
        <v>77</v>
      </c>
      <c r="M1237" s="6" t="s">
        <v>77</v>
      </c>
      <c r="N1237" s="28" t="s">
        <v>77</v>
      </c>
      <c r="O1237" s="26" t="s">
        <v>77</v>
      </c>
    </row>
    <row r="1238">
      <c r="A1238" s="52" t="s">
        <v>77</v>
      </c>
      <c r="B1238" s="28" t="s">
        <v>77</v>
      </c>
      <c r="C1238" s="28" t="s">
        <v>77</v>
      </c>
      <c r="D1238" s="28" t="s">
        <v>77</v>
      </c>
      <c r="E1238" s="28" t="s">
        <v>77</v>
      </c>
      <c r="F1238" s="28" t="s">
        <v>77</v>
      </c>
      <c r="G1238" s="28" t="s">
        <v>77</v>
      </c>
      <c r="I1238" s="26" t="s">
        <v>77</v>
      </c>
      <c r="J1238" s="26" t="s">
        <v>77</v>
      </c>
      <c r="K1238" s="18"/>
      <c r="L1238" s="26" t="s">
        <v>77</v>
      </c>
      <c r="M1238" s="6" t="s">
        <v>77</v>
      </c>
      <c r="N1238" s="28" t="s">
        <v>77</v>
      </c>
      <c r="O1238" s="26" t="s">
        <v>77</v>
      </c>
    </row>
    <row r="1239">
      <c r="A1239" s="52" t="s">
        <v>77</v>
      </c>
      <c r="B1239" s="28" t="s">
        <v>77</v>
      </c>
      <c r="C1239" s="28" t="s">
        <v>77</v>
      </c>
      <c r="D1239" s="28" t="s">
        <v>77</v>
      </c>
      <c r="E1239" s="28" t="s">
        <v>77</v>
      </c>
      <c r="F1239" s="28" t="s">
        <v>77</v>
      </c>
      <c r="G1239" s="28" t="s">
        <v>77</v>
      </c>
      <c r="I1239" s="26" t="s">
        <v>77</v>
      </c>
      <c r="J1239" s="26" t="s">
        <v>77</v>
      </c>
      <c r="K1239" s="18"/>
      <c r="L1239" s="26" t="s">
        <v>77</v>
      </c>
      <c r="M1239" s="6" t="s">
        <v>77</v>
      </c>
      <c r="N1239" s="28" t="s">
        <v>77</v>
      </c>
      <c r="O1239" s="26" t="s">
        <v>77</v>
      </c>
    </row>
    <row r="1240">
      <c r="A1240" s="52" t="s">
        <v>77</v>
      </c>
      <c r="B1240" s="28" t="s">
        <v>77</v>
      </c>
      <c r="C1240" s="28" t="s">
        <v>77</v>
      </c>
      <c r="D1240" s="28" t="s">
        <v>77</v>
      </c>
      <c r="E1240" s="28" t="s">
        <v>77</v>
      </c>
      <c r="F1240" s="28" t="s">
        <v>77</v>
      </c>
      <c r="G1240" s="28" t="s">
        <v>77</v>
      </c>
      <c r="I1240" s="26" t="s">
        <v>77</v>
      </c>
      <c r="J1240" s="26" t="s">
        <v>77</v>
      </c>
      <c r="K1240" s="18"/>
      <c r="L1240" s="26" t="s">
        <v>77</v>
      </c>
      <c r="M1240" s="6" t="s">
        <v>77</v>
      </c>
      <c r="N1240" s="28" t="s">
        <v>77</v>
      </c>
      <c r="O1240" s="26" t="s">
        <v>77</v>
      </c>
    </row>
    <row r="1241">
      <c r="A1241" s="52" t="s">
        <v>77</v>
      </c>
      <c r="B1241" s="28" t="s">
        <v>77</v>
      </c>
      <c r="C1241" s="28" t="s">
        <v>77</v>
      </c>
      <c r="D1241" s="28" t="s">
        <v>77</v>
      </c>
      <c r="E1241" s="28" t="s">
        <v>77</v>
      </c>
      <c r="F1241" s="28" t="s">
        <v>77</v>
      </c>
      <c r="G1241" s="28" t="s">
        <v>77</v>
      </c>
      <c r="I1241" s="26" t="s">
        <v>77</v>
      </c>
      <c r="J1241" s="26" t="s">
        <v>77</v>
      </c>
      <c r="K1241" s="18"/>
      <c r="L1241" s="26" t="s">
        <v>77</v>
      </c>
      <c r="M1241" s="6" t="s">
        <v>77</v>
      </c>
      <c r="N1241" s="28" t="s">
        <v>77</v>
      </c>
      <c r="O1241" s="26" t="s">
        <v>77</v>
      </c>
    </row>
    <row r="1242">
      <c r="A1242" s="52" t="s">
        <v>77</v>
      </c>
      <c r="B1242" s="28" t="s">
        <v>77</v>
      </c>
      <c r="C1242" s="28" t="s">
        <v>77</v>
      </c>
      <c r="D1242" s="28" t="s">
        <v>77</v>
      </c>
      <c r="E1242" s="28" t="s">
        <v>77</v>
      </c>
      <c r="F1242" s="28" t="s">
        <v>77</v>
      </c>
      <c r="G1242" s="28" t="s">
        <v>77</v>
      </c>
      <c r="I1242" s="26" t="s">
        <v>77</v>
      </c>
      <c r="J1242" s="26" t="s">
        <v>77</v>
      </c>
      <c r="K1242" s="18"/>
      <c r="L1242" s="26" t="s">
        <v>77</v>
      </c>
      <c r="M1242" s="6" t="s">
        <v>77</v>
      </c>
      <c r="N1242" s="28" t="s">
        <v>77</v>
      </c>
      <c r="O1242" s="26" t="s">
        <v>77</v>
      </c>
    </row>
    <row r="1243">
      <c r="A1243" s="52" t="s">
        <v>77</v>
      </c>
      <c r="B1243" s="28" t="s">
        <v>77</v>
      </c>
      <c r="C1243" s="28" t="s">
        <v>77</v>
      </c>
      <c r="D1243" s="28" t="s">
        <v>77</v>
      </c>
      <c r="E1243" s="28" t="s">
        <v>77</v>
      </c>
      <c r="F1243" s="28" t="s">
        <v>77</v>
      </c>
      <c r="G1243" s="28" t="s">
        <v>77</v>
      </c>
      <c r="I1243" s="26" t="s">
        <v>77</v>
      </c>
      <c r="J1243" s="26" t="s">
        <v>77</v>
      </c>
      <c r="K1243" s="18"/>
      <c r="L1243" s="26" t="s">
        <v>77</v>
      </c>
      <c r="M1243" s="6" t="s">
        <v>77</v>
      </c>
      <c r="N1243" s="28" t="s">
        <v>77</v>
      </c>
      <c r="O1243" s="26" t="s">
        <v>77</v>
      </c>
    </row>
    <row r="1244">
      <c r="A1244" s="52" t="s">
        <v>77</v>
      </c>
      <c r="B1244" s="28" t="s">
        <v>77</v>
      </c>
      <c r="C1244" s="28" t="s">
        <v>77</v>
      </c>
      <c r="D1244" s="28" t="s">
        <v>77</v>
      </c>
      <c r="E1244" s="28" t="s">
        <v>77</v>
      </c>
      <c r="F1244" s="28" t="s">
        <v>77</v>
      </c>
      <c r="G1244" s="28" t="s">
        <v>77</v>
      </c>
      <c r="I1244" s="26" t="s">
        <v>77</v>
      </c>
      <c r="J1244" s="26" t="s">
        <v>77</v>
      </c>
      <c r="K1244" s="18"/>
      <c r="L1244" s="26" t="s">
        <v>77</v>
      </c>
      <c r="M1244" s="6" t="s">
        <v>77</v>
      </c>
      <c r="N1244" s="28" t="s">
        <v>77</v>
      </c>
      <c r="O1244" s="26" t="s">
        <v>77</v>
      </c>
    </row>
    <row r="1245">
      <c r="A1245" s="52" t="s">
        <v>77</v>
      </c>
      <c r="B1245" s="28" t="s">
        <v>77</v>
      </c>
      <c r="C1245" s="28" t="s">
        <v>77</v>
      </c>
      <c r="D1245" s="28" t="s">
        <v>77</v>
      </c>
      <c r="E1245" s="28" t="s">
        <v>77</v>
      </c>
      <c r="F1245" s="28" t="s">
        <v>77</v>
      </c>
      <c r="G1245" s="28" t="s">
        <v>77</v>
      </c>
      <c r="I1245" s="26" t="s">
        <v>77</v>
      </c>
      <c r="J1245" s="26" t="s">
        <v>77</v>
      </c>
      <c r="K1245" s="18"/>
      <c r="L1245" s="26" t="s">
        <v>77</v>
      </c>
      <c r="M1245" s="6" t="s">
        <v>77</v>
      </c>
      <c r="N1245" s="28" t="s">
        <v>77</v>
      </c>
      <c r="O1245" s="26" t="s">
        <v>77</v>
      </c>
    </row>
    <row r="1246">
      <c r="A1246" s="52" t="s">
        <v>77</v>
      </c>
      <c r="B1246" s="28" t="s">
        <v>77</v>
      </c>
      <c r="C1246" s="28" t="s">
        <v>77</v>
      </c>
      <c r="D1246" s="28" t="s">
        <v>77</v>
      </c>
      <c r="E1246" s="28" t="s">
        <v>77</v>
      </c>
      <c r="F1246" s="28" t="s">
        <v>77</v>
      </c>
      <c r="G1246" s="28" t="s">
        <v>77</v>
      </c>
      <c r="I1246" s="26" t="s">
        <v>77</v>
      </c>
      <c r="J1246" s="26" t="s">
        <v>77</v>
      </c>
      <c r="K1246" s="18"/>
      <c r="L1246" s="26" t="s">
        <v>77</v>
      </c>
      <c r="M1246" s="6" t="s">
        <v>77</v>
      </c>
      <c r="N1246" s="28" t="s">
        <v>77</v>
      </c>
      <c r="O1246" s="26" t="s">
        <v>77</v>
      </c>
    </row>
    <row r="1247">
      <c r="A1247" s="52" t="s">
        <v>77</v>
      </c>
      <c r="B1247" s="28" t="s">
        <v>77</v>
      </c>
      <c r="C1247" s="28" t="s">
        <v>77</v>
      </c>
      <c r="D1247" s="28" t="s">
        <v>77</v>
      </c>
      <c r="E1247" s="28" t="s">
        <v>77</v>
      </c>
      <c r="F1247" s="28" t="s">
        <v>77</v>
      </c>
      <c r="G1247" s="28" t="s">
        <v>77</v>
      </c>
      <c r="I1247" s="26" t="s">
        <v>77</v>
      </c>
      <c r="J1247" s="26" t="s">
        <v>77</v>
      </c>
      <c r="K1247" s="18"/>
      <c r="L1247" s="26" t="s">
        <v>77</v>
      </c>
      <c r="M1247" s="6" t="s">
        <v>77</v>
      </c>
      <c r="N1247" s="28" t="s">
        <v>77</v>
      </c>
      <c r="O1247" s="26" t="s">
        <v>77</v>
      </c>
    </row>
    <row r="1248">
      <c r="A1248" s="52" t="s">
        <v>77</v>
      </c>
      <c r="B1248" s="28" t="s">
        <v>77</v>
      </c>
      <c r="C1248" s="28" t="s">
        <v>77</v>
      </c>
      <c r="D1248" s="28" t="s">
        <v>77</v>
      </c>
      <c r="E1248" s="28" t="s">
        <v>77</v>
      </c>
      <c r="F1248" s="28" t="s">
        <v>77</v>
      </c>
      <c r="G1248" s="28" t="s">
        <v>77</v>
      </c>
      <c r="I1248" s="26" t="s">
        <v>77</v>
      </c>
      <c r="J1248" s="26" t="s">
        <v>77</v>
      </c>
      <c r="K1248" s="18"/>
      <c r="L1248" s="26" t="s">
        <v>77</v>
      </c>
      <c r="M1248" s="6" t="s">
        <v>77</v>
      </c>
      <c r="N1248" s="28" t="s">
        <v>77</v>
      </c>
      <c r="O1248" s="26" t="s">
        <v>77</v>
      </c>
    </row>
    <row r="1249">
      <c r="A1249" s="52" t="s">
        <v>77</v>
      </c>
      <c r="B1249" s="28" t="s">
        <v>77</v>
      </c>
      <c r="C1249" s="28" t="s">
        <v>77</v>
      </c>
      <c r="D1249" s="28" t="s">
        <v>77</v>
      </c>
      <c r="E1249" s="28" t="s">
        <v>77</v>
      </c>
      <c r="F1249" s="28" t="s">
        <v>77</v>
      </c>
      <c r="G1249" s="28" t="s">
        <v>77</v>
      </c>
      <c r="I1249" s="26" t="s">
        <v>77</v>
      </c>
      <c r="J1249" s="26" t="s">
        <v>77</v>
      </c>
      <c r="K1249" s="18"/>
      <c r="L1249" s="26" t="s">
        <v>77</v>
      </c>
      <c r="M1249" s="6" t="s">
        <v>77</v>
      </c>
      <c r="N1249" s="28" t="s">
        <v>77</v>
      </c>
      <c r="O1249" s="26" t="s">
        <v>77</v>
      </c>
    </row>
    <row r="1250">
      <c r="A1250" s="52" t="s">
        <v>77</v>
      </c>
      <c r="B1250" s="28" t="s">
        <v>77</v>
      </c>
      <c r="C1250" s="28" t="s">
        <v>77</v>
      </c>
      <c r="D1250" s="28" t="s">
        <v>77</v>
      </c>
      <c r="E1250" s="28" t="s">
        <v>77</v>
      </c>
      <c r="F1250" s="28" t="s">
        <v>77</v>
      </c>
      <c r="G1250" s="28" t="s">
        <v>77</v>
      </c>
      <c r="I1250" s="26" t="s">
        <v>77</v>
      </c>
      <c r="J1250" s="26" t="s">
        <v>77</v>
      </c>
      <c r="K1250" s="18"/>
      <c r="L1250" s="26" t="s">
        <v>77</v>
      </c>
      <c r="M1250" s="6" t="s">
        <v>77</v>
      </c>
      <c r="N1250" s="28" t="s">
        <v>77</v>
      </c>
      <c r="O1250" s="26" t="s">
        <v>77</v>
      </c>
    </row>
    <row r="1251">
      <c r="A1251" s="52" t="s">
        <v>77</v>
      </c>
      <c r="B1251" s="28" t="s">
        <v>77</v>
      </c>
      <c r="C1251" s="28" t="s">
        <v>77</v>
      </c>
      <c r="D1251" s="28" t="s">
        <v>77</v>
      </c>
      <c r="E1251" s="28" t="s">
        <v>77</v>
      </c>
      <c r="F1251" s="28" t="s">
        <v>77</v>
      </c>
      <c r="G1251" s="28" t="s">
        <v>77</v>
      </c>
      <c r="I1251" s="26" t="s">
        <v>77</v>
      </c>
      <c r="J1251" s="26" t="s">
        <v>77</v>
      </c>
      <c r="K1251" s="18"/>
      <c r="L1251" s="26" t="s">
        <v>77</v>
      </c>
      <c r="M1251" s="6" t="s">
        <v>77</v>
      </c>
      <c r="N1251" s="28" t="s">
        <v>77</v>
      </c>
      <c r="O1251" s="26" t="s">
        <v>77</v>
      </c>
    </row>
    <row r="1252">
      <c r="A1252" s="52" t="s">
        <v>77</v>
      </c>
      <c r="B1252" s="28" t="s">
        <v>77</v>
      </c>
      <c r="C1252" s="28" t="s">
        <v>77</v>
      </c>
      <c r="D1252" s="28" t="s">
        <v>77</v>
      </c>
      <c r="E1252" s="28" t="s">
        <v>77</v>
      </c>
      <c r="F1252" s="28" t="s">
        <v>77</v>
      </c>
      <c r="G1252" s="28" t="s">
        <v>77</v>
      </c>
      <c r="I1252" s="26" t="s">
        <v>77</v>
      </c>
      <c r="J1252" s="26" t="s">
        <v>77</v>
      </c>
      <c r="K1252" s="18"/>
      <c r="L1252" s="26" t="s">
        <v>77</v>
      </c>
      <c r="M1252" s="6" t="s">
        <v>77</v>
      </c>
      <c r="N1252" s="28" t="s">
        <v>77</v>
      </c>
      <c r="O1252" s="26" t="s">
        <v>77</v>
      </c>
    </row>
    <row r="1253">
      <c r="A1253" s="52" t="s">
        <v>77</v>
      </c>
      <c r="B1253" s="28" t="s">
        <v>77</v>
      </c>
      <c r="C1253" s="28" t="s">
        <v>77</v>
      </c>
      <c r="D1253" s="28" t="s">
        <v>77</v>
      </c>
      <c r="E1253" s="28" t="s">
        <v>77</v>
      </c>
      <c r="F1253" s="28" t="s">
        <v>77</v>
      </c>
      <c r="G1253" s="28" t="s">
        <v>77</v>
      </c>
      <c r="I1253" s="26" t="s">
        <v>77</v>
      </c>
      <c r="J1253" s="26" t="s">
        <v>77</v>
      </c>
      <c r="K1253" s="18"/>
      <c r="L1253" s="26" t="s">
        <v>77</v>
      </c>
      <c r="M1253" s="6" t="s">
        <v>77</v>
      </c>
      <c r="N1253" s="28" t="s">
        <v>77</v>
      </c>
      <c r="O1253" s="26" t="s">
        <v>77</v>
      </c>
    </row>
    <row r="1254">
      <c r="A1254" s="52" t="s">
        <v>77</v>
      </c>
      <c r="B1254" s="28" t="s">
        <v>77</v>
      </c>
      <c r="C1254" s="28" t="s">
        <v>77</v>
      </c>
      <c r="D1254" s="28" t="s">
        <v>77</v>
      </c>
      <c r="E1254" s="28" t="s">
        <v>77</v>
      </c>
      <c r="F1254" s="28" t="s">
        <v>77</v>
      </c>
      <c r="G1254" s="28" t="s">
        <v>77</v>
      </c>
      <c r="I1254" s="26" t="s">
        <v>77</v>
      </c>
      <c r="J1254" s="26" t="s">
        <v>77</v>
      </c>
      <c r="K1254" s="18"/>
      <c r="L1254" s="26" t="s">
        <v>77</v>
      </c>
      <c r="M1254" s="6" t="s">
        <v>77</v>
      </c>
      <c r="N1254" s="28" t="s">
        <v>77</v>
      </c>
      <c r="O1254" s="26" t="s">
        <v>77</v>
      </c>
    </row>
    <row r="1255">
      <c r="A1255" s="52" t="s">
        <v>77</v>
      </c>
      <c r="B1255" s="28" t="s">
        <v>77</v>
      </c>
      <c r="C1255" s="28" t="s">
        <v>77</v>
      </c>
      <c r="D1255" s="28" t="s">
        <v>77</v>
      </c>
      <c r="E1255" s="28" t="s">
        <v>77</v>
      </c>
      <c r="F1255" s="28" t="s">
        <v>77</v>
      </c>
      <c r="G1255" s="28" t="s">
        <v>77</v>
      </c>
      <c r="I1255" s="26" t="s">
        <v>77</v>
      </c>
      <c r="J1255" s="26" t="s">
        <v>77</v>
      </c>
      <c r="K1255" s="18"/>
      <c r="L1255" s="26" t="s">
        <v>77</v>
      </c>
      <c r="M1255" s="6" t="s">
        <v>77</v>
      </c>
      <c r="N1255" s="28" t="s">
        <v>77</v>
      </c>
      <c r="O1255" s="26" t="s">
        <v>77</v>
      </c>
    </row>
    <row r="1256">
      <c r="A1256" s="52" t="s">
        <v>77</v>
      </c>
      <c r="B1256" s="28" t="s">
        <v>77</v>
      </c>
      <c r="C1256" s="28" t="s">
        <v>77</v>
      </c>
      <c r="D1256" s="28" t="s">
        <v>77</v>
      </c>
      <c r="E1256" s="28" t="s">
        <v>77</v>
      </c>
      <c r="F1256" s="28" t="s">
        <v>77</v>
      </c>
      <c r="G1256" s="28" t="s">
        <v>77</v>
      </c>
      <c r="I1256" s="26" t="s">
        <v>77</v>
      </c>
      <c r="J1256" s="26" t="s">
        <v>77</v>
      </c>
      <c r="K1256" s="18"/>
      <c r="L1256" s="26" t="s">
        <v>77</v>
      </c>
      <c r="M1256" s="6" t="s">
        <v>77</v>
      </c>
      <c r="N1256" s="28" t="s">
        <v>77</v>
      </c>
      <c r="O1256" s="26" t="s">
        <v>77</v>
      </c>
    </row>
    <row r="1257">
      <c r="A1257" s="52" t="s">
        <v>77</v>
      </c>
      <c r="B1257" s="28" t="s">
        <v>77</v>
      </c>
      <c r="C1257" s="28" t="s">
        <v>77</v>
      </c>
      <c r="D1257" s="28" t="s">
        <v>77</v>
      </c>
      <c r="E1257" s="28" t="s">
        <v>77</v>
      </c>
      <c r="F1257" s="28" t="s">
        <v>77</v>
      </c>
      <c r="G1257" s="28" t="s">
        <v>77</v>
      </c>
      <c r="I1257" s="26" t="s">
        <v>77</v>
      </c>
      <c r="J1257" s="26" t="s">
        <v>77</v>
      </c>
      <c r="K1257" s="18"/>
      <c r="L1257" s="26" t="s">
        <v>77</v>
      </c>
      <c r="M1257" s="6" t="s">
        <v>77</v>
      </c>
      <c r="N1257" s="28" t="s">
        <v>77</v>
      </c>
      <c r="O1257" s="26" t="s">
        <v>77</v>
      </c>
    </row>
    <row r="1258">
      <c r="A1258" s="52" t="s">
        <v>77</v>
      </c>
      <c r="B1258" s="28" t="s">
        <v>77</v>
      </c>
      <c r="C1258" s="28" t="s">
        <v>77</v>
      </c>
      <c r="D1258" s="28" t="s">
        <v>77</v>
      </c>
      <c r="E1258" s="28" t="s">
        <v>77</v>
      </c>
      <c r="F1258" s="28" t="s">
        <v>77</v>
      </c>
      <c r="G1258" s="28" t="s">
        <v>77</v>
      </c>
      <c r="I1258" s="26" t="s">
        <v>77</v>
      </c>
      <c r="J1258" s="26" t="s">
        <v>77</v>
      </c>
      <c r="K1258" s="18"/>
      <c r="L1258" s="26" t="s">
        <v>77</v>
      </c>
      <c r="M1258" s="6" t="s">
        <v>77</v>
      </c>
      <c r="N1258" s="28" t="s">
        <v>77</v>
      </c>
      <c r="O1258" s="26" t="s">
        <v>77</v>
      </c>
    </row>
    <row r="1259">
      <c r="A1259" s="52" t="s">
        <v>77</v>
      </c>
      <c r="B1259" s="28" t="s">
        <v>77</v>
      </c>
      <c r="C1259" s="28" t="s">
        <v>77</v>
      </c>
      <c r="D1259" s="28" t="s">
        <v>77</v>
      </c>
      <c r="E1259" s="28" t="s">
        <v>77</v>
      </c>
      <c r="F1259" s="28" t="s">
        <v>77</v>
      </c>
      <c r="G1259" s="28" t="s">
        <v>77</v>
      </c>
      <c r="I1259" s="26" t="s">
        <v>77</v>
      </c>
      <c r="J1259" s="26" t="s">
        <v>77</v>
      </c>
      <c r="K1259" s="18"/>
      <c r="L1259" s="26" t="s">
        <v>77</v>
      </c>
      <c r="M1259" s="6" t="s">
        <v>77</v>
      </c>
      <c r="N1259" s="28" t="s">
        <v>77</v>
      </c>
      <c r="O1259" s="26" t="s">
        <v>77</v>
      </c>
    </row>
    <row r="1260">
      <c r="A1260" s="52" t="s">
        <v>77</v>
      </c>
      <c r="B1260" s="28" t="s">
        <v>77</v>
      </c>
      <c r="C1260" s="28" t="s">
        <v>77</v>
      </c>
      <c r="D1260" s="28" t="s">
        <v>77</v>
      </c>
      <c r="E1260" s="28" t="s">
        <v>77</v>
      </c>
      <c r="F1260" s="28" t="s">
        <v>77</v>
      </c>
      <c r="G1260" s="28" t="s">
        <v>77</v>
      </c>
      <c r="I1260" s="26" t="s">
        <v>77</v>
      </c>
      <c r="J1260" s="26" t="s">
        <v>77</v>
      </c>
      <c r="K1260" s="18"/>
      <c r="L1260" s="26" t="s">
        <v>77</v>
      </c>
      <c r="M1260" s="6" t="s">
        <v>77</v>
      </c>
      <c r="N1260" s="28" t="s">
        <v>77</v>
      </c>
      <c r="O1260" s="26" t="s">
        <v>77</v>
      </c>
    </row>
    <row r="1261">
      <c r="A1261" s="52" t="s">
        <v>77</v>
      </c>
      <c r="B1261" s="28" t="s">
        <v>77</v>
      </c>
      <c r="C1261" s="28" t="s">
        <v>77</v>
      </c>
      <c r="D1261" s="28" t="s">
        <v>77</v>
      </c>
      <c r="E1261" s="28" t="s">
        <v>77</v>
      </c>
      <c r="F1261" s="28" t="s">
        <v>77</v>
      </c>
      <c r="G1261" s="28" t="s">
        <v>77</v>
      </c>
      <c r="I1261" s="26" t="s">
        <v>77</v>
      </c>
      <c r="J1261" s="26" t="s">
        <v>77</v>
      </c>
      <c r="K1261" s="18"/>
      <c r="L1261" s="26" t="s">
        <v>77</v>
      </c>
      <c r="M1261" s="6" t="s">
        <v>77</v>
      </c>
      <c r="N1261" s="28" t="s">
        <v>77</v>
      </c>
      <c r="O1261" s="26" t="s">
        <v>77</v>
      </c>
    </row>
    <row r="1262">
      <c r="A1262" s="52" t="s">
        <v>77</v>
      </c>
      <c r="B1262" s="28" t="s">
        <v>77</v>
      </c>
      <c r="C1262" s="28" t="s">
        <v>77</v>
      </c>
      <c r="D1262" s="28" t="s">
        <v>77</v>
      </c>
      <c r="E1262" s="28" t="s">
        <v>77</v>
      </c>
      <c r="F1262" s="28" t="s">
        <v>77</v>
      </c>
      <c r="G1262" s="28" t="s">
        <v>77</v>
      </c>
      <c r="I1262" s="26" t="s">
        <v>77</v>
      </c>
      <c r="J1262" s="26" t="s">
        <v>77</v>
      </c>
      <c r="K1262" s="18"/>
      <c r="L1262" s="26" t="s">
        <v>77</v>
      </c>
      <c r="M1262" s="6" t="s">
        <v>77</v>
      </c>
      <c r="N1262" s="28" t="s">
        <v>77</v>
      </c>
      <c r="O1262" s="26" t="s">
        <v>77</v>
      </c>
    </row>
    <row r="1263">
      <c r="A1263" s="52" t="s">
        <v>77</v>
      </c>
      <c r="B1263" s="28" t="s">
        <v>77</v>
      </c>
      <c r="C1263" s="28" t="s">
        <v>77</v>
      </c>
      <c r="D1263" s="28" t="s">
        <v>77</v>
      </c>
      <c r="E1263" s="28" t="s">
        <v>77</v>
      </c>
      <c r="F1263" s="28" t="s">
        <v>77</v>
      </c>
      <c r="G1263" s="28" t="s">
        <v>77</v>
      </c>
      <c r="I1263" s="26" t="s">
        <v>77</v>
      </c>
      <c r="J1263" s="26" t="s">
        <v>77</v>
      </c>
      <c r="K1263" s="18"/>
      <c r="L1263" s="26" t="s">
        <v>77</v>
      </c>
      <c r="M1263" s="6" t="s">
        <v>77</v>
      </c>
      <c r="N1263" s="28" t="s">
        <v>77</v>
      </c>
      <c r="O1263" s="26" t="s">
        <v>77</v>
      </c>
    </row>
    <row r="1264">
      <c r="A1264" s="52" t="s">
        <v>77</v>
      </c>
      <c r="B1264" s="28" t="s">
        <v>77</v>
      </c>
      <c r="C1264" s="28" t="s">
        <v>77</v>
      </c>
      <c r="D1264" s="28" t="s">
        <v>77</v>
      </c>
      <c r="E1264" s="28" t="s">
        <v>77</v>
      </c>
      <c r="F1264" s="28" t="s">
        <v>77</v>
      </c>
      <c r="G1264" s="28" t="s">
        <v>77</v>
      </c>
      <c r="I1264" s="26" t="s">
        <v>77</v>
      </c>
      <c r="J1264" s="26" t="s">
        <v>77</v>
      </c>
      <c r="K1264" s="18"/>
      <c r="L1264" s="26" t="s">
        <v>77</v>
      </c>
      <c r="M1264" s="6" t="s">
        <v>77</v>
      </c>
      <c r="N1264" s="28" t="s">
        <v>77</v>
      </c>
      <c r="O1264" s="26" t="s">
        <v>77</v>
      </c>
    </row>
    <row r="1265">
      <c r="A1265" s="52" t="s">
        <v>77</v>
      </c>
      <c r="B1265" s="28" t="s">
        <v>77</v>
      </c>
      <c r="C1265" s="28" t="s">
        <v>77</v>
      </c>
      <c r="D1265" s="28" t="s">
        <v>77</v>
      </c>
      <c r="E1265" s="28" t="s">
        <v>77</v>
      </c>
      <c r="F1265" s="28" t="s">
        <v>77</v>
      </c>
      <c r="G1265" s="28" t="s">
        <v>77</v>
      </c>
      <c r="I1265" s="26" t="s">
        <v>77</v>
      </c>
      <c r="J1265" s="26" t="s">
        <v>77</v>
      </c>
      <c r="K1265" s="18"/>
      <c r="L1265" s="26" t="s">
        <v>77</v>
      </c>
      <c r="M1265" s="6" t="s">
        <v>77</v>
      </c>
      <c r="N1265" s="28" t="s">
        <v>77</v>
      </c>
      <c r="O1265" s="26" t="s">
        <v>77</v>
      </c>
    </row>
    <row r="1266">
      <c r="A1266" s="52" t="s">
        <v>77</v>
      </c>
      <c r="B1266" s="28" t="s">
        <v>77</v>
      </c>
      <c r="C1266" s="28" t="s">
        <v>77</v>
      </c>
      <c r="D1266" s="28" t="s">
        <v>77</v>
      </c>
      <c r="E1266" s="28" t="s">
        <v>77</v>
      </c>
      <c r="F1266" s="28" t="s">
        <v>77</v>
      </c>
      <c r="G1266" s="28" t="s">
        <v>77</v>
      </c>
      <c r="I1266" s="26" t="s">
        <v>77</v>
      </c>
      <c r="J1266" s="26" t="s">
        <v>77</v>
      </c>
      <c r="K1266" s="18"/>
      <c r="L1266" s="26" t="s">
        <v>77</v>
      </c>
      <c r="M1266" s="6" t="s">
        <v>77</v>
      </c>
      <c r="N1266" s="28" t="s">
        <v>77</v>
      </c>
      <c r="O1266" s="26" t="s">
        <v>77</v>
      </c>
    </row>
    <row r="1267">
      <c r="A1267" s="52" t="s">
        <v>77</v>
      </c>
      <c r="B1267" s="28" t="s">
        <v>77</v>
      </c>
      <c r="C1267" s="28" t="s">
        <v>77</v>
      </c>
      <c r="D1267" s="28" t="s">
        <v>77</v>
      </c>
      <c r="E1267" s="28" t="s">
        <v>77</v>
      </c>
      <c r="F1267" s="28" t="s">
        <v>77</v>
      </c>
      <c r="G1267" s="28" t="s">
        <v>77</v>
      </c>
      <c r="I1267" s="26" t="s">
        <v>77</v>
      </c>
      <c r="J1267" s="26" t="s">
        <v>77</v>
      </c>
      <c r="K1267" s="18"/>
      <c r="L1267" s="26" t="s">
        <v>77</v>
      </c>
      <c r="M1267" s="6" t="s">
        <v>77</v>
      </c>
      <c r="N1267" s="28" t="s">
        <v>77</v>
      </c>
      <c r="O1267" s="26" t="s">
        <v>77</v>
      </c>
    </row>
    <row r="1268">
      <c r="A1268" s="52" t="s">
        <v>77</v>
      </c>
      <c r="B1268" s="28" t="s">
        <v>77</v>
      </c>
      <c r="C1268" s="28" t="s">
        <v>77</v>
      </c>
      <c r="D1268" s="28" t="s">
        <v>77</v>
      </c>
      <c r="E1268" s="28" t="s">
        <v>77</v>
      </c>
      <c r="F1268" s="28" t="s">
        <v>77</v>
      </c>
      <c r="G1268" s="28" t="s">
        <v>77</v>
      </c>
      <c r="I1268" s="26" t="s">
        <v>77</v>
      </c>
      <c r="J1268" s="26" t="s">
        <v>77</v>
      </c>
      <c r="K1268" s="18"/>
      <c r="L1268" s="26" t="s">
        <v>77</v>
      </c>
      <c r="M1268" s="6" t="s">
        <v>77</v>
      </c>
      <c r="N1268" s="28" t="s">
        <v>77</v>
      </c>
      <c r="O1268" s="26" t="s">
        <v>77</v>
      </c>
    </row>
    <row r="1269">
      <c r="A1269" s="52" t="s">
        <v>77</v>
      </c>
      <c r="B1269" s="28" t="s">
        <v>77</v>
      </c>
      <c r="C1269" s="28" t="s">
        <v>77</v>
      </c>
      <c r="D1269" s="28" t="s">
        <v>77</v>
      </c>
      <c r="E1269" s="28" t="s">
        <v>77</v>
      </c>
      <c r="F1269" s="28" t="s">
        <v>77</v>
      </c>
      <c r="G1269" s="28" t="s">
        <v>77</v>
      </c>
      <c r="I1269" s="26" t="s">
        <v>77</v>
      </c>
      <c r="J1269" s="26" t="s">
        <v>77</v>
      </c>
      <c r="K1269" s="18"/>
      <c r="L1269" s="26" t="s">
        <v>77</v>
      </c>
      <c r="M1269" s="6" t="s">
        <v>77</v>
      </c>
      <c r="N1269" s="28" t="s">
        <v>77</v>
      </c>
      <c r="O1269" s="26" t="s">
        <v>77</v>
      </c>
    </row>
    <row r="1270">
      <c r="A1270" s="52" t="s">
        <v>77</v>
      </c>
      <c r="B1270" s="28" t="s">
        <v>77</v>
      </c>
      <c r="C1270" s="28" t="s">
        <v>77</v>
      </c>
      <c r="D1270" s="28" t="s">
        <v>77</v>
      </c>
      <c r="E1270" s="28" t="s">
        <v>77</v>
      </c>
      <c r="F1270" s="28" t="s">
        <v>77</v>
      </c>
      <c r="G1270" s="28" t="s">
        <v>77</v>
      </c>
      <c r="I1270" s="26" t="s">
        <v>77</v>
      </c>
      <c r="J1270" s="26" t="s">
        <v>77</v>
      </c>
      <c r="K1270" s="18"/>
      <c r="L1270" s="26" t="s">
        <v>77</v>
      </c>
      <c r="M1270" s="6" t="s">
        <v>77</v>
      </c>
      <c r="N1270" s="28" t="s">
        <v>77</v>
      </c>
      <c r="O1270" s="26" t="s">
        <v>77</v>
      </c>
    </row>
    <row r="1271">
      <c r="A1271" s="52" t="s">
        <v>77</v>
      </c>
      <c r="B1271" s="28" t="s">
        <v>77</v>
      </c>
      <c r="C1271" s="28" t="s">
        <v>77</v>
      </c>
      <c r="D1271" s="28" t="s">
        <v>77</v>
      </c>
      <c r="E1271" s="28" t="s">
        <v>77</v>
      </c>
      <c r="F1271" s="28" t="s">
        <v>77</v>
      </c>
      <c r="G1271" s="28" t="s">
        <v>77</v>
      </c>
      <c r="I1271" s="26" t="s">
        <v>77</v>
      </c>
      <c r="J1271" s="26" t="s">
        <v>77</v>
      </c>
      <c r="K1271" s="18"/>
      <c r="L1271" s="26" t="s">
        <v>77</v>
      </c>
      <c r="M1271" s="6" t="s">
        <v>77</v>
      </c>
      <c r="N1271" s="28" t="s">
        <v>77</v>
      </c>
      <c r="O1271" s="26" t="s">
        <v>77</v>
      </c>
    </row>
    <row r="1272">
      <c r="A1272" s="52" t="s">
        <v>77</v>
      </c>
      <c r="B1272" s="28" t="s">
        <v>77</v>
      </c>
      <c r="C1272" s="28" t="s">
        <v>77</v>
      </c>
      <c r="D1272" s="28" t="s">
        <v>77</v>
      </c>
      <c r="E1272" s="28" t="s">
        <v>77</v>
      </c>
      <c r="F1272" s="28" t="s">
        <v>77</v>
      </c>
      <c r="G1272" s="28" t="s">
        <v>77</v>
      </c>
      <c r="I1272" s="26" t="s">
        <v>77</v>
      </c>
      <c r="J1272" s="26" t="s">
        <v>77</v>
      </c>
      <c r="K1272" s="18"/>
      <c r="L1272" s="26" t="s">
        <v>77</v>
      </c>
      <c r="M1272" s="6" t="s">
        <v>77</v>
      </c>
      <c r="N1272" s="28" t="s">
        <v>77</v>
      </c>
      <c r="O1272" s="26" t="s">
        <v>77</v>
      </c>
    </row>
    <row r="1273">
      <c r="A1273" s="52" t="s">
        <v>77</v>
      </c>
      <c r="B1273" s="28" t="s">
        <v>77</v>
      </c>
      <c r="C1273" s="28" t="s">
        <v>77</v>
      </c>
      <c r="D1273" s="28" t="s">
        <v>77</v>
      </c>
      <c r="E1273" s="28" t="s">
        <v>77</v>
      </c>
      <c r="F1273" s="28" t="s">
        <v>77</v>
      </c>
      <c r="G1273" s="28" t="s">
        <v>77</v>
      </c>
      <c r="I1273" s="26" t="s">
        <v>77</v>
      </c>
      <c r="J1273" s="26" t="s">
        <v>77</v>
      </c>
      <c r="K1273" s="18"/>
      <c r="L1273" s="26" t="s">
        <v>77</v>
      </c>
      <c r="M1273" s="6" t="s">
        <v>77</v>
      </c>
      <c r="N1273" s="28" t="s">
        <v>77</v>
      </c>
      <c r="O1273" s="26" t="s">
        <v>77</v>
      </c>
    </row>
    <row r="1274">
      <c r="A1274" s="52" t="s">
        <v>77</v>
      </c>
      <c r="B1274" s="28" t="s">
        <v>77</v>
      </c>
      <c r="C1274" s="28" t="s">
        <v>77</v>
      </c>
      <c r="D1274" s="28" t="s">
        <v>77</v>
      </c>
      <c r="E1274" s="28" t="s">
        <v>77</v>
      </c>
      <c r="F1274" s="28" t="s">
        <v>77</v>
      </c>
      <c r="G1274" s="28" t="s">
        <v>77</v>
      </c>
      <c r="I1274" s="26" t="s">
        <v>77</v>
      </c>
      <c r="J1274" s="26" t="s">
        <v>77</v>
      </c>
      <c r="K1274" s="18"/>
      <c r="L1274" s="26" t="s">
        <v>77</v>
      </c>
      <c r="M1274" s="6" t="s">
        <v>77</v>
      </c>
      <c r="N1274" s="28" t="s">
        <v>77</v>
      </c>
      <c r="O1274" s="26" t="s">
        <v>77</v>
      </c>
    </row>
    <row r="1275">
      <c r="A1275" s="52" t="s">
        <v>77</v>
      </c>
      <c r="B1275" s="28" t="s">
        <v>77</v>
      </c>
      <c r="C1275" s="28" t="s">
        <v>77</v>
      </c>
      <c r="D1275" s="28" t="s">
        <v>77</v>
      </c>
      <c r="E1275" s="28" t="s">
        <v>77</v>
      </c>
      <c r="F1275" s="28" t="s">
        <v>77</v>
      </c>
      <c r="G1275" s="28" t="s">
        <v>77</v>
      </c>
      <c r="I1275" s="26" t="s">
        <v>77</v>
      </c>
      <c r="J1275" s="26" t="s">
        <v>77</v>
      </c>
      <c r="K1275" s="18"/>
      <c r="L1275" s="26" t="s">
        <v>77</v>
      </c>
      <c r="M1275" s="6" t="s">
        <v>77</v>
      </c>
      <c r="N1275" s="28" t="s">
        <v>77</v>
      </c>
      <c r="O1275" s="26" t="s">
        <v>77</v>
      </c>
    </row>
    <row r="1276">
      <c r="A1276" s="52" t="s">
        <v>77</v>
      </c>
      <c r="B1276" s="28" t="s">
        <v>77</v>
      </c>
      <c r="C1276" s="28" t="s">
        <v>77</v>
      </c>
      <c r="D1276" s="28" t="s">
        <v>77</v>
      </c>
      <c r="E1276" s="28" t="s">
        <v>77</v>
      </c>
      <c r="F1276" s="28" t="s">
        <v>77</v>
      </c>
      <c r="G1276" s="28" t="s">
        <v>77</v>
      </c>
      <c r="I1276" s="26" t="s">
        <v>77</v>
      </c>
      <c r="J1276" s="26" t="s">
        <v>77</v>
      </c>
      <c r="K1276" s="18"/>
      <c r="L1276" s="26" t="s">
        <v>77</v>
      </c>
      <c r="M1276" s="6" t="s">
        <v>77</v>
      </c>
      <c r="N1276" s="28" t="s">
        <v>77</v>
      </c>
      <c r="O1276" s="26" t="s">
        <v>77</v>
      </c>
    </row>
    <row r="1277">
      <c r="A1277" s="52" t="s">
        <v>77</v>
      </c>
      <c r="B1277" s="28" t="s">
        <v>77</v>
      </c>
      <c r="C1277" s="28" t="s">
        <v>77</v>
      </c>
      <c r="D1277" s="28" t="s">
        <v>77</v>
      </c>
      <c r="E1277" s="28" t="s">
        <v>77</v>
      </c>
      <c r="F1277" s="28" t="s">
        <v>77</v>
      </c>
      <c r="G1277" s="28" t="s">
        <v>77</v>
      </c>
      <c r="I1277" s="26" t="s">
        <v>77</v>
      </c>
      <c r="J1277" s="26" t="s">
        <v>77</v>
      </c>
      <c r="K1277" s="18"/>
      <c r="L1277" s="26" t="s">
        <v>77</v>
      </c>
      <c r="M1277" s="6" t="s">
        <v>77</v>
      </c>
      <c r="N1277" s="28" t="s">
        <v>77</v>
      </c>
      <c r="O1277" s="26" t="s">
        <v>77</v>
      </c>
    </row>
    <row r="1278">
      <c r="A1278" s="52" t="s">
        <v>77</v>
      </c>
      <c r="B1278" s="28" t="s">
        <v>77</v>
      </c>
      <c r="C1278" s="28" t="s">
        <v>77</v>
      </c>
      <c r="D1278" s="28" t="s">
        <v>77</v>
      </c>
      <c r="E1278" s="28" t="s">
        <v>77</v>
      </c>
      <c r="F1278" s="28" t="s">
        <v>77</v>
      </c>
      <c r="G1278" s="28" t="s">
        <v>77</v>
      </c>
      <c r="I1278" s="26" t="s">
        <v>77</v>
      </c>
      <c r="J1278" s="26" t="s">
        <v>77</v>
      </c>
      <c r="K1278" s="18"/>
      <c r="L1278" s="26" t="s">
        <v>77</v>
      </c>
      <c r="M1278" s="6" t="s">
        <v>77</v>
      </c>
      <c r="N1278" s="28" t="s">
        <v>77</v>
      </c>
      <c r="O1278" s="26" t="s">
        <v>77</v>
      </c>
    </row>
    <row r="1279">
      <c r="A1279" s="52" t="s">
        <v>77</v>
      </c>
      <c r="B1279" s="28" t="s">
        <v>77</v>
      </c>
      <c r="C1279" s="28" t="s">
        <v>77</v>
      </c>
      <c r="D1279" s="28" t="s">
        <v>77</v>
      </c>
      <c r="E1279" s="28" t="s">
        <v>77</v>
      </c>
      <c r="F1279" s="28" t="s">
        <v>77</v>
      </c>
      <c r="G1279" s="28" t="s">
        <v>77</v>
      </c>
      <c r="I1279" s="26" t="s">
        <v>77</v>
      </c>
      <c r="J1279" s="26" t="s">
        <v>77</v>
      </c>
      <c r="K1279" s="18"/>
      <c r="L1279" s="26" t="s">
        <v>77</v>
      </c>
      <c r="M1279" s="6" t="s">
        <v>77</v>
      </c>
      <c r="N1279" s="28" t="s">
        <v>77</v>
      </c>
      <c r="O1279" s="26" t="s">
        <v>77</v>
      </c>
    </row>
    <row r="1280">
      <c r="A1280" s="52" t="s">
        <v>77</v>
      </c>
      <c r="B1280" s="28" t="s">
        <v>77</v>
      </c>
      <c r="C1280" s="28" t="s">
        <v>77</v>
      </c>
      <c r="D1280" s="28" t="s">
        <v>77</v>
      </c>
      <c r="E1280" s="28" t="s">
        <v>77</v>
      </c>
      <c r="F1280" s="28" t="s">
        <v>77</v>
      </c>
      <c r="G1280" s="28" t="s">
        <v>77</v>
      </c>
      <c r="I1280" s="26" t="s">
        <v>77</v>
      </c>
      <c r="J1280" s="26" t="s">
        <v>77</v>
      </c>
      <c r="K1280" s="18"/>
      <c r="L1280" s="26" t="s">
        <v>77</v>
      </c>
      <c r="M1280" s="6" t="s">
        <v>77</v>
      </c>
      <c r="N1280" s="28" t="s">
        <v>77</v>
      </c>
      <c r="O1280" s="26" t="s">
        <v>77</v>
      </c>
    </row>
    <row r="1281">
      <c r="A1281" s="52" t="s">
        <v>77</v>
      </c>
      <c r="B1281" s="28" t="s">
        <v>77</v>
      </c>
      <c r="C1281" s="28" t="s">
        <v>77</v>
      </c>
      <c r="D1281" s="28" t="s">
        <v>77</v>
      </c>
      <c r="E1281" s="28" t="s">
        <v>77</v>
      </c>
      <c r="F1281" s="28" t="s">
        <v>77</v>
      </c>
      <c r="G1281" s="28" t="s">
        <v>77</v>
      </c>
      <c r="I1281" s="26" t="s">
        <v>77</v>
      </c>
      <c r="J1281" s="26" t="s">
        <v>77</v>
      </c>
      <c r="K1281" s="18"/>
      <c r="L1281" s="26" t="s">
        <v>77</v>
      </c>
      <c r="M1281" s="6" t="s">
        <v>77</v>
      </c>
      <c r="N1281" s="28" t="s">
        <v>77</v>
      </c>
      <c r="O1281" s="26" t="s">
        <v>77</v>
      </c>
    </row>
    <row r="1282">
      <c r="A1282" s="52" t="s">
        <v>77</v>
      </c>
      <c r="B1282" s="28" t="s">
        <v>77</v>
      </c>
      <c r="C1282" s="28" t="s">
        <v>77</v>
      </c>
      <c r="D1282" s="28" t="s">
        <v>77</v>
      </c>
      <c r="E1282" s="28" t="s">
        <v>77</v>
      </c>
      <c r="F1282" s="28" t="s">
        <v>77</v>
      </c>
      <c r="G1282" s="28" t="s">
        <v>77</v>
      </c>
      <c r="I1282" s="26" t="s">
        <v>77</v>
      </c>
      <c r="J1282" s="26" t="s">
        <v>77</v>
      </c>
      <c r="K1282" s="18"/>
      <c r="L1282" s="26" t="s">
        <v>77</v>
      </c>
      <c r="M1282" s="6" t="s">
        <v>77</v>
      </c>
      <c r="N1282" s="28" t="s">
        <v>77</v>
      </c>
      <c r="O1282" s="26" t="s">
        <v>77</v>
      </c>
    </row>
    <row r="1283">
      <c r="A1283" s="52" t="s">
        <v>77</v>
      </c>
      <c r="B1283" s="28" t="s">
        <v>77</v>
      </c>
      <c r="C1283" s="28" t="s">
        <v>77</v>
      </c>
      <c r="D1283" s="28" t="s">
        <v>77</v>
      </c>
      <c r="E1283" s="28" t="s">
        <v>77</v>
      </c>
      <c r="F1283" s="28" t="s">
        <v>77</v>
      </c>
      <c r="G1283" s="28" t="s">
        <v>77</v>
      </c>
      <c r="I1283" s="26" t="s">
        <v>77</v>
      </c>
      <c r="J1283" s="26" t="s">
        <v>77</v>
      </c>
      <c r="K1283" s="18"/>
      <c r="L1283" s="26" t="s">
        <v>77</v>
      </c>
      <c r="M1283" s="6" t="s">
        <v>77</v>
      </c>
      <c r="N1283" s="28" t="s">
        <v>77</v>
      </c>
      <c r="O1283" s="26" t="s">
        <v>77</v>
      </c>
    </row>
    <row r="1284">
      <c r="A1284" s="52" t="s">
        <v>77</v>
      </c>
      <c r="B1284" s="28" t="s">
        <v>77</v>
      </c>
      <c r="C1284" s="28" t="s">
        <v>77</v>
      </c>
      <c r="D1284" s="28" t="s">
        <v>77</v>
      </c>
      <c r="E1284" s="28" t="s">
        <v>77</v>
      </c>
      <c r="F1284" s="28" t="s">
        <v>77</v>
      </c>
      <c r="G1284" s="28" t="s">
        <v>77</v>
      </c>
      <c r="I1284" s="26" t="s">
        <v>77</v>
      </c>
      <c r="J1284" s="26" t="s">
        <v>77</v>
      </c>
      <c r="K1284" s="18"/>
      <c r="L1284" s="26" t="s">
        <v>77</v>
      </c>
      <c r="M1284" s="6" t="s">
        <v>77</v>
      </c>
      <c r="N1284" s="28" t="s">
        <v>77</v>
      </c>
      <c r="O1284" s="26" t="s">
        <v>77</v>
      </c>
    </row>
    <row r="1285">
      <c r="A1285" s="52" t="s">
        <v>77</v>
      </c>
      <c r="B1285" s="28" t="s">
        <v>77</v>
      </c>
      <c r="C1285" s="28" t="s">
        <v>77</v>
      </c>
      <c r="D1285" s="28" t="s">
        <v>77</v>
      </c>
      <c r="E1285" s="28" t="s">
        <v>77</v>
      </c>
      <c r="F1285" s="28" t="s">
        <v>77</v>
      </c>
      <c r="G1285" s="28" t="s">
        <v>77</v>
      </c>
      <c r="I1285" s="26" t="s">
        <v>77</v>
      </c>
      <c r="J1285" s="26" t="s">
        <v>77</v>
      </c>
      <c r="K1285" s="18"/>
      <c r="L1285" s="26" t="s">
        <v>77</v>
      </c>
      <c r="M1285" s="6" t="s">
        <v>77</v>
      </c>
      <c r="N1285" s="28" t="s">
        <v>77</v>
      </c>
      <c r="O1285" s="26" t="s">
        <v>77</v>
      </c>
    </row>
    <row r="1286">
      <c r="A1286" s="52" t="s">
        <v>77</v>
      </c>
      <c r="B1286" s="28" t="s">
        <v>77</v>
      </c>
      <c r="C1286" s="28" t="s">
        <v>77</v>
      </c>
      <c r="D1286" s="28" t="s">
        <v>77</v>
      </c>
      <c r="E1286" s="28" t="s">
        <v>77</v>
      </c>
      <c r="F1286" s="28" t="s">
        <v>77</v>
      </c>
      <c r="G1286" s="28" t="s">
        <v>77</v>
      </c>
      <c r="I1286" s="26" t="s">
        <v>77</v>
      </c>
      <c r="J1286" s="26" t="s">
        <v>77</v>
      </c>
      <c r="K1286" s="18"/>
      <c r="L1286" s="26" t="s">
        <v>77</v>
      </c>
      <c r="M1286" s="6" t="s">
        <v>77</v>
      </c>
      <c r="N1286" s="28" t="s">
        <v>77</v>
      </c>
      <c r="O1286" s="26" t="s">
        <v>77</v>
      </c>
    </row>
    <row r="1287">
      <c r="A1287" s="52" t="s">
        <v>77</v>
      </c>
      <c r="B1287" s="28" t="s">
        <v>77</v>
      </c>
      <c r="C1287" s="28" t="s">
        <v>77</v>
      </c>
      <c r="D1287" s="28" t="s">
        <v>77</v>
      </c>
      <c r="E1287" s="28" t="s">
        <v>77</v>
      </c>
      <c r="F1287" s="28" t="s">
        <v>77</v>
      </c>
      <c r="G1287" s="28" t="s">
        <v>77</v>
      </c>
      <c r="I1287" s="26" t="s">
        <v>77</v>
      </c>
      <c r="J1287" s="26" t="s">
        <v>77</v>
      </c>
      <c r="K1287" s="18"/>
      <c r="L1287" s="26" t="s">
        <v>77</v>
      </c>
      <c r="M1287" s="6" t="s">
        <v>77</v>
      </c>
      <c r="N1287" s="28" t="s">
        <v>77</v>
      </c>
      <c r="O1287" s="26" t="s">
        <v>77</v>
      </c>
    </row>
    <row r="1288">
      <c r="A1288" s="52" t="s">
        <v>77</v>
      </c>
      <c r="B1288" s="28" t="s">
        <v>77</v>
      </c>
      <c r="C1288" s="28" t="s">
        <v>77</v>
      </c>
      <c r="D1288" s="28" t="s">
        <v>77</v>
      </c>
      <c r="E1288" s="28" t="s">
        <v>77</v>
      </c>
      <c r="F1288" s="28" t="s">
        <v>77</v>
      </c>
      <c r="G1288" s="28" t="s">
        <v>77</v>
      </c>
      <c r="I1288" s="26" t="s">
        <v>77</v>
      </c>
      <c r="J1288" s="26" t="s">
        <v>77</v>
      </c>
      <c r="K1288" s="18"/>
      <c r="L1288" s="26" t="s">
        <v>77</v>
      </c>
      <c r="M1288" s="6" t="s">
        <v>77</v>
      </c>
      <c r="N1288" s="28" t="s">
        <v>77</v>
      </c>
      <c r="O1288" s="26" t="s">
        <v>77</v>
      </c>
    </row>
    <row r="1289">
      <c r="A1289" s="52" t="s">
        <v>77</v>
      </c>
      <c r="B1289" s="28" t="s">
        <v>77</v>
      </c>
      <c r="C1289" s="28" t="s">
        <v>77</v>
      </c>
      <c r="D1289" s="28" t="s">
        <v>77</v>
      </c>
      <c r="E1289" s="28" t="s">
        <v>77</v>
      </c>
      <c r="F1289" s="28" t="s">
        <v>77</v>
      </c>
      <c r="G1289" s="28" t="s">
        <v>77</v>
      </c>
      <c r="I1289" s="26" t="s">
        <v>77</v>
      </c>
      <c r="J1289" s="26" t="s">
        <v>77</v>
      </c>
      <c r="K1289" s="18"/>
      <c r="L1289" s="26" t="s">
        <v>77</v>
      </c>
      <c r="M1289" s="6" t="s">
        <v>77</v>
      </c>
      <c r="N1289" s="28" t="s">
        <v>77</v>
      </c>
      <c r="O1289" s="26" t="s">
        <v>77</v>
      </c>
    </row>
    <row r="1290">
      <c r="A1290" s="52" t="s">
        <v>77</v>
      </c>
      <c r="B1290" s="28" t="s">
        <v>77</v>
      </c>
      <c r="C1290" s="28" t="s">
        <v>77</v>
      </c>
      <c r="D1290" s="28" t="s">
        <v>77</v>
      </c>
      <c r="E1290" s="28" t="s">
        <v>77</v>
      </c>
      <c r="F1290" s="28" t="s">
        <v>77</v>
      </c>
      <c r="G1290" s="28" t="s">
        <v>77</v>
      </c>
      <c r="I1290" s="26" t="s">
        <v>77</v>
      </c>
      <c r="J1290" s="26" t="s">
        <v>77</v>
      </c>
      <c r="K1290" s="18"/>
      <c r="L1290" s="26" t="s">
        <v>77</v>
      </c>
      <c r="M1290" s="6" t="s">
        <v>77</v>
      </c>
      <c r="N1290" s="28" t="s">
        <v>77</v>
      </c>
      <c r="O1290" s="26" t="s">
        <v>77</v>
      </c>
    </row>
    <row r="1291">
      <c r="A1291" s="52" t="s">
        <v>77</v>
      </c>
      <c r="B1291" s="28" t="s">
        <v>77</v>
      </c>
      <c r="C1291" s="28" t="s">
        <v>77</v>
      </c>
      <c r="D1291" s="28" t="s">
        <v>77</v>
      </c>
      <c r="E1291" s="28" t="s">
        <v>77</v>
      </c>
      <c r="F1291" s="28" t="s">
        <v>77</v>
      </c>
      <c r="G1291" s="28" t="s">
        <v>77</v>
      </c>
      <c r="I1291" s="26" t="s">
        <v>77</v>
      </c>
      <c r="J1291" s="26" t="s">
        <v>77</v>
      </c>
      <c r="K1291" s="18"/>
      <c r="L1291" s="26" t="s">
        <v>77</v>
      </c>
      <c r="M1291" s="6" t="s">
        <v>77</v>
      </c>
      <c r="N1291" s="28" t="s">
        <v>77</v>
      </c>
      <c r="O1291" s="26" t="s">
        <v>77</v>
      </c>
    </row>
    <row r="1292">
      <c r="A1292" s="52" t="s">
        <v>77</v>
      </c>
      <c r="B1292" s="28" t="s">
        <v>77</v>
      </c>
      <c r="C1292" s="28" t="s">
        <v>77</v>
      </c>
      <c r="D1292" s="28" t="s">
        <v>77</v>
      </c>
      <c r="E1292" s="28" t="s">
        <v>77</v>
      </c>
      <c r="F1292" s="28" t="s">
        <v>77</v>
      </c>
      <c r="G1292" s="28" t="s">
        <v>77</v>
      </c>
      <c r="I1292" s="26" t="s">
        <v>77</v>
      </c>
      <c r="J1292" s="26" t="s">
        <v>77</v>
      </c>
      <c r="K1292" s="18"/>
      <c r="L1292" s="26" t="s">
        <v>77</v>
      </c>
      <c r="M1292" s="6" t="s">
        <v>77</v>
      </c>
      <c r="N1292" s="28" t="s">
        <v>77</v>
      </c>
      <c r="O1292" s="26" t="s">
        <v>77</v>
      </c>
    </row>
    <row r="1293">
      <c r="A1293" s="52" t="s">
        <v>77</v>
      </c>
      <c r="B1293" s="28" t="s">
        <v>77</v>
      </c>
      <c r="C1293" s="28" t="s">
        <v>77</v>
      </c>
      <c r="D1293" s="28" t="s">
        <v>77</v>
      </c>
      <c r="E1293" s="28" t="s">
        <v>77</v>
      </c>
      <c r="F1293" s="28" t="s">
        <v>77</v>
      </c>
      <c r="G1293" s="28" t="s">
        <v>77</v>
      </c>
      <c r="I1293" s="26" t="s">
        <v>77</v>
      </c>
      <c r="J1293" s="26" t="s">
        <v>77</v>
      </c>
      <c r="K1293" s="18"/>
      <c r="L1293" s="26" t="s">
        <v>77</v>
      </c>
      <c r="M1293" s="6" t="s">
        <v>77</v>
      </c>
      <c r="N1293" s="28" t="s">
        <v>77</v>
      </c>
      <c r="O1293" s="26" t="s">
        <v>77</v>
      </c>
    </row>
    <row r="1294">
      <c r="A1294" s="52" t="s">
        <v>77</v>
      </c>
      <c r="B1294" s="28" t="s">
        <v>77</v>
      </c>
      <c r="C1294" s="28" t="s">
        <v>77</v>
      </c>
      <c r="D1294" s="28" t="s">
        <v>77</v>
      </c>
      <c r="E1294" s="28" t="s">
        <v>77</v>
      </c>
      <c r="F1294" s="28" t="s">
        <v>77</v>
      </c>
      <c r="G1294" s="28" t="s">
        <v>77</v>
      </c>
      <c r="I1294" s="26" t="s">
        <v>77</v>
      </c>
      <c r="J1294" s="26" t="s">
        <v>77</v>
      </c>
      <c r="K1294" s="18"/>
      <c r="L1294" s="26" t="s">
        <v>77</v>
      </c>
      <c r="M1294" s="6" t="s">
        <v>77</v>
      </c>
      <c r="N1294" s="28" t="s">
        <v>77</v>
      </c>
      <c r="O1294" s="26" t="s">
        <v>77</v>
      </c>
    </row>
    <row r="1295">
      <c r="A1295" s="52" t="s">
        <v>77</v>
      </c>
      <c r="B1295" s="28" t="s">
        <v>77</v>
      </c>
      <c r="C1295" s="28" t="s">
        <v>77</v>
      </c>
      <c r="D1295" s="28" t="s">
        <v>77</v>
      </c>
      <c r="E1295" s="28" t="s">
        <v>77</v>
      </c>
      <c r="F1295" s="28" t="s">
        <v>77</v>
      </c>
      <c r="G1295" s="28" t="s">
        <v>77</v>
      </c>
      <c r="I1295" s="26" t="s">
        <v>77</v>
      </c>
      <c r="J1295" s="26" t="s">
        <v>77</v>
      </c>
      <c r="K1295" s="18"/>
      <c r="L1295" s="26" t="s">
        <v>77</v>
      </c>
      <c r="M1295" s="6" t="s">
        <v>77</v>
      </c>
      <c r="N1295" s="28" t="s">
        <v>77</v>
      </c>
      <c r="O1295" s="26" t="s">
        <v>77</v>
      </c>
    </row>
    <row r="1296">
      <c r="A1296" s="52" t="s">
        <v>77</v>
      </c>
      <c r="B1296" s="28" t="s">
        <v>77</v>
      </c>
      <c r="C1296" s="28" t="s">
        <v>77</v>
      </c>
      <c r="D1296" s="28" t="s">
        <v>77</v>
      </c>
      <c r="E1296" s="28" t="s">
        <v>77</v>
      </c>
      <c r="F1296" s="28" t="s">
        <v>77</v>
      </c>
      <c r="G1296" s="28" t="s">
        <v>77</v>
      </c>
      <c r="I1296" s="26" t="s">
        <v>77</v>
      </c>
      <c r="J1296" s="26" t="s">
        <v>77</v>
      </c>
      <c r="K1296" s="18"/>
      <c r="L1296" s="26" t="s">
        <v>77</v>
      </c>
      <c r="M1296" s="6" t="s">
        <v>77</v>
      </c>
      <c r="N1296" s="28" t="s">
        <v>77</v>
      </c>
      <c r="O1296" s="26" t="s">
        <v>77</v>
      </c>
    </row>
    <row r="1297">
      <c r="A1297" s="52" t="s">
        <v>77</v>
      </c>
      <c r="B1297" s="28" t="s">
        <v>77</v>
      </c>
      <c r="C1297" s="28" t="s">
        <v>77</v>
      </c>
      <c r="D1297" s="28" t="s">
        <v>77</v>
      </c>
      <c r="E1297" s="28" t="s">
        <v>77</v>
      </c>
      <c r="F1297" s="28" t="s">
        <v>77</v>
      </c>
      <c r="G1297" s="28" t="s">
        <v>77</v>
      </c>
      <c r="I1297" s="26" t="s">
        <v>77</v>
      </c>
      <c r="J1297" s="26" t="s">
        <v>77</v>
      </c>
      <c r="K1297" s="18"/>
      <c r="L1297" s="26" t="s">
        <v>77</v>
      </c>
      <c r="M1297" s="6" t="s">
        <v>77</v>
      </c>
      <c r="N1297" s="28" t="s">
        <v>77</v>
      </c>
      <c r="O1297" s="26" t="s">
        <v>77</v>
      </c>
    </row>
    <row r="1298">
      <c r="A1298" s="52" t="s">
        <v>77</v>
      </c>
      <c r="B1298" s="28" t="s">
        <v>77</v>
      </c>
      <c r="C1298" s="28" t="s">
        <v>77</v>
      </c>
      <c r="D1298" s="28" t="s">
        <v>77</v>
      </c>
      <c r="E1298" s="28" t="s">
        <v>77</v>
      </c>
      <c r="F1298" s="28" t="s">
        <v>77</v>
      </c>
      <c r="G1298" s="28" t="s">
        <v>77</v>
      </c>
      <c r="I1298" s="26" t="s">
        <v>77</v>
      </c>
      <c r="J1298" s="26" t="s">
        <v>77</v>
      </c>
      <c r="K1298" s="18"/>
      <c r="L1298" s="26" t="s">
        <v>77</v>
      </c>
      <c r="M1298" s="6" t="s">
        <v>77</v>
      </c>
      <c r="N1298" s="28" t="s">
        <v>77</v>
      </c>
      <c r="O1298" s="26" t="s">
        <v>77</v>
      </c>
    </row>
    <row r="1299">
      <c r="A1299" s="52" t="s">
        <v>77</v>
      </c>
      <c r="B1299" s="28" t="s">
        <v>77</v>
      </c>
      <c r="C1299" s="28" t="s">
        <v>77</v>
      </c>
      <c r="D1299" s="28" t="s">
        <v>77</v>
      </c>
      <c r="E1299" s="28" t="s">
        <v>77</v>
      </c>
      <c r="F1299" s="28" t="s">
        <v>77</v>
      </c>
      <c r="G1299" s="28" t="s">
        <v>77</v>
      </c>
      <c r="I1299" s="26" t="s">
        <v>77</v>
      </c>
      <c r="J1299" s="26" t="s">
        <v>77</v>
      </c>
      <c r="K1299" s="18"/>
      <c r="L1299" s="26" t="s">
        <v>77</v>
      </c>
      <c r="M1299" s="6" t="s">
        <v>77</v>
      </c>
      <c r="N1299" s="28" t="s">
        <v>77</v>
      </c>
      <c r="O1299" s="26" t="s">
        <v>77</v>
      </c>
    </row>
    <row r="1300">
      <c r="A1300" s="52" t="s">
        <v>77</v>
      </c>
      <c r="B1300" s="28" t="s">
        <v>77</v>
      </c>
      <c r="C1300" s="28" t="s">
        <v>77</v>
      </c>
      <c r="D1300" s="28" t="s">
        <v>77</v>
      </c>
      <c r="E1300" s="28" t="s">
        <v>77</v>
      </c>
      <c r="F1300" s="28" t="s">
        <v>77</v>
      </c>
      <c r="G1300" s="28" t="s">
        <v>77</v>
      </c>
      <c r="I1300" s="26" t="s">
        <v>77</v>
      </c>
      <c r="J1300" s="26" t="s">
        <v>77</v>
      </c>
      <c r="K1300" s="18"/>
      <c r="L1300" s="26" t="s">
        <v>77</v>
      </c>
      <c r="M1300" s="6" t="s">
        <v>77</v>
      </c>
      <c r="N1300" s="28" t="s">
        <v>77</v>
      </c>
      <c r="O1300" s="26" t="s">
        <v>77</v>
      </c>
    </row>
    <row r="1301">
      <c r="A1301" s="52" t="s">
        <v>77</v>
      </c>
      <c r="B1301" s="28" t="s">
        <v>77</v>
      </c>
      <c r="C1301" s="28" t="s">
        <v>77</v>
      </c>
      <c r="D1301" s="28" t="s">
        <v>77</v>
      </c>
      <c r="E1301" s="28" t="s">
        <v>77</v>
      </c>
      <c r="F1301" s="28" t="s">
        <v>77</v>
      </c>
      <c r="G1301" s="28" t="s">
        <v>77</v>
      </c>
      <c r="I1301" s="26" t="s">
        <v>77</v>
      </c>
      <c r="J1301" s="26" t="s">
        <v>77</v>
      </c>
      <c r="K1301" s="18"/>
      <c r="L1301" s="26" t="s">
        <v>77</v>
      </c>
      <c r="M1301" s="6" t="s">
        <v>77</v>
      </c>
      <c r="N1301" s="28" t="s">
        <v>77</v>
      </c>
      <c r="O1301" s="26" t="s">
        <v>77</v>
      </c>
    </row>
    <row r="1302">
      <c r="A1302" s="52" t="s">
        <v>77</v>
      </c>
      <c r="B1302" s="28" t="s">
        <v>77</v>
      </c>
      <c r="C1302" s="28" t="s">
        <v>77</v>
      </c>
      <c r="D1302" s="28" t="s">
        <v>77</v>
      </c>
      <c r="E1302" s="28" t="s">
        <v>77</v>
      </c>
      <c r="F1302" s="28" t="s">
        <v>77</v>
      </c>
      <c r="G1302" s="28" t="s">
        <v>77</v>
      </c>
      <c r="I1302" s="26" t="s">
        <v>77</v>
      </c>
      <c r="J1302" s="26" t="s">
        <v>77</v>
      </c>
      <c r="K1302" s="18"/>
      <c r="L1302" s="26" t="s">
        <v>77</v>
      </c>
      <c r="M1302" s="6" t="s">
        <v>77</v>
      </c>
      <c r="N1302" s="28" t="s">
        <v>77</v>
      </c>
      <c r="O1302" s="26" t="s">
        <v>77</v>
      </c>
    </row>
    <row r="1303">
      <c r="A1303" s="52" t="s">
        <v>77</v>
      </c>
      <c r="B1303" s="28" t="s">
        <v>77</v>
      </c>
      <c r="C1303" s="28" t="s">
        <v>77</v>
      </c>
      <c r="D1303" s="28" t="s">
        <v>77</v>
      </c>
      <c r="E1303" s="28" t="s">
        <v>77</v>
      </c>
      <c r="F1303" s="28" t="s">
        <v>77</v>
      </c>
      <c r="G1303" s="28" t="s">
        <v>77</v>
      </c>
      <c r="I1303" s="26" t="s">
        <v>77</v>
      </c>
      <c r="J1303" s="26" t="s">
        <v>77</v>
      </c>
      <c r="K1303" s="18"/>
      <c r="L1303" s="26" t="s">
        <v>77</v>
      </c>
      <c r="M1303" s="6" t="s">
        <v>77</v>
      </c>
      <c r="N1303" s="28" t="s">
        <v>77</v>
      </c>
      <c r="O1303" s="26" t="s">
        <v>77</v>
      </c>
    </row>
    <row r="1304">
      <c r="A1304" s="52" t="s">
        <v>77</v>
      </c>
      <c r="B1304" s="28" t="s">
        <v>77</v>
      </c>
      <c r="C1304" s="28" t="s">
        <v>77</v>
      </c>
      <c r="D1304" s="28" t="s">
        <v>77</v>
      </c>
      <c r="E1304" s="28" t="s">
        <v>77</v>
      </c>
      <c r="F1304" s="28" t="s">
        <v>77</v>
      </c>
      <c r="G1304" s="28" t="s">
        <v>77</v>
      </c>
      <c r="I1304" s="26" t="s">
        <v>77</v>
      </c>
      <c r="J1304" s="26" t="s">
        <v>77</v>
      </c>
      <c r="K1304" s="18"/>
      <c r="L1304" s="26" t="s">
        <v>77</v>
      </c>
      <c r="M1304" s="6" t="s">
        <v>77</v>
      </c>
      <c r="N1304" s="28" t="s">
        <v>77</v>
      </c>
      <c r="O1304" s="26" t="s">
        <v>77</v>
      </c>
    </row>
    <row r="1305">
      <c r="A1305" s="52" t="s">
        <v>77</v>
      </c>
      <c r="B1305" s="28" t="s">
        <v>77</v>
      </c>
      <c r="C1305" s="28" t="s">
        <v>77</v>
      </c>
      <c r="D1305" s="28" t="s">
        <v>77</v>
      </c>
      <c r="E1305" s="28" t="s">
        <v>77</v>
      </c>
      <c r="F1305" s="28" t="s">
        <v>77</v>
      </c>
      <c r="G1305" s="28" t="s">
        <v>77</v>
      </c>
      <c r="I1305" s="26" t="s">
        <v>77</v>
      </c>
      <c r="J1305" s="26" t="s">
        <v>77</v>
      </c>
      <c r="K1305" s="18"/>
      <c r="L1305" s="26" t="s">
        <v>77</v>
      </c>
      <c r="M1305" s="6" t="s">
        <v>77</v>
      </c>
      <c r="N1305" s="28" t="s">
        <v>77</v>
      </c>
      <c r="O1305" s="26" t="s">
        <v>77</v>
      </c>
    </row>
    <row r="1306">
      <c r="A1306" s="52" t="s">
        <v>77</v>
      </c>
      <c r="B1306" s="28" t="s">
        <v>77</v>
      </c>
      <c r="C1306" s="28" t="s">
        <v>77</v>
      </c>
      <c r="D1306" s="28" t="s">
        <v>77</v>
      </c>
      <c r="E1306" s="28" t="s">
        <v>77</v>
      </c>
      <c r="F1306" s="28" t="s">
        <v>77</v>
      </c>
      <c r="G1306" s="28" t="s">
        <v>77</v>
      </c>
      <c r="I1306" s="26" t="s">
        <v>77</v>
      </c>
      <c r="J1306" s="26" t="s">
        <v>77</v>
      </c>
      <c r="K1306" s="18"/>
      <c r="L1306" s="26" t="s">
        <v>77</v>
      </c>
      <c r="M1306" s="6" t="s">
        <v>77</v>
      </c>
      <c r="N1306" s="28" t="s">
        <v>77</v>
      </c>
      <c r="O1306" s="26" t="s">
        <v>77</v>
      </c>
    </row>
    <row r="1307">
      <c r="A1307" s="52" t="s">
        <v>77</v>
      </c>
      <c r="B1307" s="28" t="s">
        <v>77</v>
      </c>
      <c r="C1307" s="28" t="s">
        <v>77</v>
      </c>
      <c r="D1307" s="28" t="s">
        <v>77</v>
      </c>
      <c r="E1307" s="28" t="s">
        <v>77</v>
      </c>
      <c r="F1307" s="28" t="s">
        <v>77</v>
      </c>
      <c r="G1307" s="28" t="s">
        <v>77</v>
      </c>
      <c r="I1307" s="26" t="s">
        <v>77</v>
      </c>
      <c r="J1307" s="26" t="s">
        <v>77</v>
      </c>
      <c r="K1307" s="18"/>
      <c r="L1307" s="26" t="s">
        <v>77</v>
      </c>
      <c r="M1307" s="6" t="s">
        <v>77</v>
      </c>
      <c r="N1307" s="28" t="s">
        <v>77</v>
      </c>
      <c r="O1307" s="26" t="s">
        <v>77</v>
      </c>
    </row>
    <row r="1308">
      <c r="A1308" s="52" t="s">
        <v>77</v>
      </c>
      <c r="B1308" s="28" t="s">
        <v>77</v>
      </c>
      <c r="C1308" s="28" t="s">
        <v>77</v>
      </c>
      <c r="D1308" s="28" t="s">
        <v>77</v>
      </c>
      <c r="E1308" s="28" t="s">
        <v>77</v>
      </c>
      <c r="F1308" s="28" t="s">
        <v>77</v>
      </c>
      <c r="G1308" s="28" t="s">
        <v>77</v>
      </c>
      <c r="I1308" s="26" t="s">
        <v>77</v>
      </c>
      <c r="J1308" s="26" t="s">
        <v>77</v>
      </c>
      <c r="K1308" s="18"/>
      <c r="L1308" s="26" t="s">
        <v>77</v>
      </c>
      <c r="M1308" s="6" t="s">
        <v>77</v>
      </c>
      <c r="N1308" s="28" t="s">
        <v>77</v>
      </c>
      <c r="O1308" s="26" t="s">
        <v>77</v>
      </c>
    </row>
    <row r="1309">
      <c r="A1309" s="52" t="s">
        <v>77</v>
      </c>
      <c r="B1309" s="28" t="s">
        <v>77</v>
      </c>
      <c r="C1309" s="28" t="s">
        <v>77</v>
      </c>
      <c r="D1309" s="28" t="s">
        <v>77</v>
      </c>
      <c r="E1309" s="28" t="s">
        <v>77</v>
      </c>
      <c r="F1309" s="28" t="s">
        <v>77</v>
      </c>
      <c r="G1309" s="28" t="s">
        <v>77</v>
      </c>
      <c r="I1309" s="26" t="s">
        <v>77</v>
      </c>
      <c r="J1309" s="26" t="s">
        <v>77</v>
      </c>
      <c r="K1309" s="18"/>
      <c r="L1309" s="26" t="s">
        <v>77</v>
      </c>
      <c r="M1309" s="6" t="s">
        <v>77</v>
      </c>
      <c r="N1309" s="28" t="s">
        <v>77</v>
      </c>
      <c r="O1309" s="26" t="s">
        <v>77</v>
      </c>
    </row>
    <row r="1310">
      <c r="A1310" s="52" t="s">
        <v>77</v>
      </c>
      <c r="B1310" s="28" t="s">
        <v>77</v>
      </c>
      <c r="C1310" s="28" t="s">
        <v>77</v>
      </c>
      <c r="D1310" s="28" t="s">
        <v>77</v>
      </c>
      <c r="E1310" s="28" t="s">
        <v>77</v>
      </c>
      <c r="F1310" s="28" t="s">
        <v>77</v>
      </c>
      <c r="G1310" s="28" t="s">
        <v>77</v>
      </c>
      <c r="I1310" s="26" t="s">
        <v>77</v>
      </c>
      <c r="J1310" s="26" t="s">
        <v>77</v>
      </c>
      <c r="K1310" s="18"/>
      <c r="L1310" s="26" t="s">
        <v>77</v>
      </c>
      <c r="M1310" s="6" t="s">
        <v>77</v>
      </c>
      <c r="N1310" s="28" t="s">
        <v>77</v>
      </c>
      <c r="O1310" s="26" t="s">
        <v>77</v>
      </c>
    </row>
    <row r="1311">
      <c r="A1311" s="52" t="s">
        <v>77</v>
      </c>
      <c r="B1311" s="28" t="s">
        <v>77</v>
      </c>
      <c r="C1311" s="28" t="s">
        <v>77</v>
      </c>
      <c r="D1311" s="28" t="s">
        <v>77</v>
      </c>
      <c r="E1311" s="28" t="s">
        <v>77</v>
      </c>
      <c r="F1311" s="28" t="s">
        <v>77</v>
      </c>
      <c r="G1311" s="28" t="s">
        <v>77</v>
      </c>
      <c r="I1311" s="26" t="s">
        <v>77</v>
      </c>
      <c r="J1311" s="26" t="s">
        <v>77</v>
      </c>
      <c r="K1311" s="18"/>
      <c r="L1311" s="26" t="s">
        <v>77</v>
      </c>
      <c r="M1311" s="6" t="s">
        <v>77</v>
      </c>
      <c r="N1311" s="28" t="s">
        <v>77</v>
      </c>
      <c r="O1311" s="26" t="s">
        <v>77</v>
      </c>
    </row>
    <row r="1312">
      <c r="A1312" s="52" t="s">
        <v>77</v>
      </c>
      <c r="B1312" s="28" t="s">
        <v>77</v>
      </c>
      <c r="C1312" s="28" t="s">
        <v>77</v>
      </c>
      <c r="D1312" s="28" t="s">
        <v>77</v>
      </c>
      <c r="E1312" s="28" t="s">
        <v>77</v>
      </c>
      <c r="F1312" s="28" t="s">
        <v>77</v>
      </c>
      <c r="G1312" s="28" t="s">
        <v>77</v>
      </c>
      <c r="I1312" s="26" t="s">
        <v>77</v>
      </c>
      <c r="J1312" s="26" t="s">
        <v>77</v>
      </c>
      <c r="K1312" s="18"/>
      <c r="L1312" s="26" t="s">
        <v>77</v>
      </c>
      <c r="M1312" s="6" t="s">
        <v>77</v>
      </c>
      <c r="N1312" s="28" t="s">
        <v>77</v>
      </c>
      <c r="O1312" s="26" t="s">
        <v>77</v>
      </c>
    </row>
    <row r="1313">
      <c r="A1313" s="52" t="s">
        <v>77</v>
      </c>
      <c r="B1313" s="28" t="s">
        <v>77</v>
      </c>
      <c r="C1313" s="28" t="s">
        <v>77</v>
      </c>
      <c r="D1313" s="28" t="s">
        <v>77</v>
      </c>
      <c r="E1313" s="28" t="s">
        <v>77</v>
      </c>
      <c r="F1313" s="28" t="s">
        <v>77</v>
      </c>
      <c r="G1313" s="28" t="s">
        <v>77</v>
      </c>
      <c r="I1313" s="26" t="s">
        <v>77</v>
      </c>
      <c r="J1313" s="26" t="s">
        <v>77</v>
      </c>
      <c r="K1313" s="18"/>
      <c r="L1313" s="26" t="s">
        <v>77</v>
      </c>
      <c r="M1313" s="6" t="s">
        <v>77</v>
      </c>
      <c r="N1313" s="28" t="s">
        <v>77</v>
      </c>
      <c r="O1313" s="26" t="s">
        <v>77</v>
      </c>
    </row>
    <row r="1314">
      <c r="A1314" s="52" t="s">
        <v>77</v>
      </c>
      <c r="B1314" s="28" t="s">
        <v>77</v>
      </c>
      <c r="C1314" s="28" t="s">
        <v>77</v>
      </c>
      <c r="D1314" s="28" t="s">
        <v>77</v>
      </c>
      <c r="E1314" s="28" t="s">
        <v>77</v>
      </c>
      <c r="F1314" s="28" t="s">
        <v>77</v>
      </c>
      <c r="G1314" s="28" t="s">
        <v>77</v>
      </c>
      <c r="I1314" s="26" t="s">
        <v>77</v>
      </c>
      <c r="J1314" s="26" t="s">
        <v>77</v>
      </c>
      <c r="K1314" s="18"/>
      <c r="L1314" s="26" t="s">
        <v>77</v>
      </c>
      <c r="M1314" s="6" t="s">
        <v>77</v>
      </c>
      <c r="N1314" s="28" t="s">
        <v>77</v>
      </c>
      <c r="O1314" s="26" t="s">
        <v>77</v>
      </c>
    </row>
    <row r="1315">
      <c r="A1315" s="52" t="s">
        <v>77</v>
      </c>
      <c r="B1315" s="28" t="s">
        <v>77</v>
      </c>
      <c r="C1315" s="28" t="s">
        <v>77</v>
      </c>
      <c r="D1315" s="28" t="s">
        <v>77</v>
      </c>
      <c r="E1315" s="28" t="s">
        <v>77</v>
      </c>
      <c r="F1315" s="28" t="s">
        <v>77</v>
      </c>
      <c r="G1315" s="28" t="s">
        <v>77</v>
      </c>
      <c r="I1315" s="26" t="s">
        <v>77</v>
      </c>
      <c r="J1315" s="26" t="s">
        <v>77</v>
      </c>
      <c r="K1315" s="18"/>
      <c r="L1315" s="26" t="s">
        <v>77</v>
      </c>
      <c r="M1315" s="6" t="s">
        <v>77</v>
      </c>
      <c r="N1315" s="28" t="s">
        <v>77</v>
      </c>
      <c r="O1315" s="26" t="s">
        <v>77</v>
      </c>
    </row>
    <row r="1316">
      <c r="A1316" s="52" t="s">
        <v>77</v>
      </c>
      <c r="B1316" s="28" t="s">
        <v>77</v>
      </c>
      <c r="C1316" s="28" t="s">
        <v>77</v>
      </c>
      <c r="D1316" s="28" t="s">
        <v>77</v>
      </c>
      <c r="E1316" s="28" t="s">
        <v>77</v>
      </c>
      <c r="F1316" s="28" t="s">
        <v>77</v>
      </c>
      <c r="G1316" s="28" t="s">
        <v>77</v>
      </c>
      <c r="I1316" s="26" t="s">
        <v>77</v>
      </c>
      <c r="J1316" s="26" t="s">
        <v>77</v>
      </c>
      <c r="K1316" s="18"/>
      <c r="L1316" s="26" t="s">
        <v>77</v>
      </c>
      <c r="M1316" s="6" t="s">
        <v>77</v>
      </c>
      <c r="N1316" s="28" t="s">
        <v>77</v>
      </c>
      <c r="O1316" s="26" t="s">
        <v>77</v>
      </c>
    </row>
    <row r="1317">
      <c r="A1317" s="52" t="s">
        <v>77</v>
      </c>
      <c r="B1317" s="28" t="s">
        <v>77</v>
      </c>
      <c r="C1317" s="28" t="s">
        <v>77</v>
      </c>
      <c r="D1317" s="28" t="s">
        <v>77</v>
      </c>
      <c r="E1317" s="28" t="s">
        <v>77</v>
      </c>
      <c r="F1317" s="28" t="s">
        <v>77</v>
      </c>
      <c r="G1317" s="28" t="s">
        <v>77</v>
      </c>
      <c r="I1317" s="26" t="s">
        <v>77</v>
      </c>
      <c r="J1317" s="26" t="s">
        <v>77</v>
      </c>
      <c r="K1317" s="18"/>
      <c r="L1317" s="26" t="s">
        <v>77</v>
      </c>
      <c r="M1317" s="6" t="s">
        <v>77</v>
      </c>
      <c r="N1317" s="28" t="s">
        <v>77</v>
      </c>
      <c r="O1317" s="26" t="s">
        <v>77</v>
      </c>
    </row>
    <row r="1318">
      <c r="A1318" s="52" t="s">
        <v>77</v>
      </c>
      <c r="B1318" s="28" t="s">
        <v>77</v>
      </c>
      <c r="C1318" s="28" t="s">
        <v>77</v>
      </c>
      <c r="D1318" s="28" t="s">
        <v>77</v>
      </c>
      <c r="E1318" s="28" t="s">
        <v>77</v>
      </c>
      <c r="F1318" s="28" t="s">
        <v>77</v>
      </c>
      <c r="G1318" s="28" t="s">
        <v>77</v>
      </c>
      <c r="I1318" s="26" t="s">
        <v>77</v>
      </c>
      <c r="J1318" s="26" t="s">
        <v>77</v>
      </c>
      <c r="K1318" s="18"/>
      <c r="L1318" s="26" t="s">
        <v>77</v>
      </c>
      <c r="M1318" s="6" t="s">
        <v>77</v>
      </c>
      <c r="N1318" s="28" t="s">
        <v>77</v>
      </c>
      <c r="O1318" s="26" t="s">
        <v>77</v>
      </c>
    </row>
    <row r="1319">
      <c r="A1319" s="52" t="s">
        <v>77</v>
      </c>
      <c r="B1319" s="28" t="s">
        <v>77</v>
      </c>
      <c r="C1319" s="28" t="s">
        <v>77</v>
      </c>
      <c r="D1319" s="28" t="s">
        <v>77</v>
      </c>
      <c r="E1319" s="28" t="s">
        <v>77</v>
      </c>
      <c r="F1319" s="28" t="s">
        <v>77</v>
      </c>
      <c r="G1319" s="28" t="s">
        <v>77</v>
      </c>
      <c r="I1319" s="26" t="s">
        <v>77</v>
      </c>
      <c r="J1319" s="26" t="s">
        <v>77</v>
      </c>
      <c r="K1319" s="18"/>
      <c r="L1319" s="26" t="s">
        <v>77</v>
      </c>
      <c r="M1319" s="6" t="s">
        <v>77</v>
      </c>
      <c r="N1319" s="28" t="s">
        <v>77</v>
      </c>
      <c r="O1319" s="26" t="s">
        <v>77</v>
      </c>
    </row>
    <row r="1320">
      <c r="A1320" s="52" t="s">
        <v>77</v>
      </c>
      <c r="B1320" s="28" t="s">
        <v>77</v>
      </c>
      <c r="C1320" s="28" t="s">
        <v>77</v>
      </c>
      <c r="D1320" s="28" t="s">
        <v>77</v>
      </c>
      <c r="E1320" s="28" t="s">
        <v>77</v>
      </c>
      <c r="F1320" s="28" t="s">
        <v>77</v>
      </c>
      <c r="G1320" s="28" t="s">
        <v>77</v>
      </c>
      <c r="I1320" s="26" t="s">
        <v>77</v>
      </c>
      <c r="J1320" s="26" t="s">
        <v>77</v>
      </c>
      <c r="K1320" s="18"/>
      <c r="L1320" s="26" t="s">
        <v>77</v>
      </c>
      <c r="M1320" s="6" t="s">
        <v>77</v>
      </c>
      <c r="N1320" s="28" t="s">
        <v>77</v>
      </c>
      <c r="O1320" s="26" t="s">
        <v>77</v>
      </c>
    </row>
    <row r="1321">
      <c r="A1321" s="52" t="s">
        <v>77</v>
      </c>
      <c r="B1321" s="28" t="s">
        <v>77</v>
      </c>
      <c r="C1321" s="28" t="s">
        <v>77</v>
      </c>
      <c r="D1321" s="28" t="s">
        <v>77</v>
      </c>
      <c r="E1321" s="28" t="s">
        <v>77</v>
      </c>
      <c r="F1321" s="28" t="s">
        <v>77</v>
      </c>
      <c r="G1321" s="28" t="s">
        <v>77</v>
      </c>
      <c r="I1321" s="26" t="s">
        <v>77</v>
      </c>
      <c r="J1321" s="26" t="s">
        <v>77</v>
      </c>
      <c r="K1321" s="18"/>
      <c r="L1321" s="26" t="s">
        <v>77</v>
      </c>
      <c r="M1321" s="6" t="s">
        <v>77</v>
      </c>
      <c r="N1321" s="28" t="s">
        <v>77</v>
      </c>
      <c r="O1321" s="26" t="s">
        <v>77</v>
      </c>
    </row>
    <row r="1322">
      <c r="A1322" s="52" t="s">
        <v>77</v>
      </c>
      <c r="B1322" s="28" t="s">
        <v>77</v>
      </c>
      <c r="C1322" s="28" t="s">
        <v>77</v>
      </c>
      <c r="D1322" s="28" t="s">
        <v>77</v>
      </c>
      <c r="E1322" s="28" t="s">
        <v>77</v>
      </c>
      <c r="F1322" s="28" t="s">
        <v>77</v>
      </c>
      <c r="G1322" s="28" t="s">
        <v>77</v>
      </c>
      <c r="I1322" s="26" t="s">
        <v>77</v>
      </c>
      <c r="J1322" s="26" t="s">
        <v>77</v>
      </c>
      <c r="K1322" s="18"/>
      <c r="L1322" s="26" t="s">
        <v>77</v>
      </c>
      <c r="M1322" s="6" t="s">
        <v>77</v>
      </c>
      <c r="N1322" s="28" t="s">
        <v>77</v>
      </c>
      <c r="O1322" s="26" t="s">
        <v>77</v>
      </c>
    </row>
    <row r="1323">
      <c r="A1323" s="52" t="s">
        <v>77</v>
      </c>
      <c r="B1323" s="28" t="s">
        <v>77</v>
      </c>
      <c r="C1323" s="28" t="s">
        <v>77</v>
      </c>
      <c r="D1323" s="28" t="s">
        <v>77</v>
      </c>
      <c r="E1323" s="28" t="s">
        <v>77</v>
      </c>
      <c r="F1323" s="28" t="s">
        <v>77</v>
      </c>
      <c r="G1323" s="28" t="s">
        <v>77</v>
      </c>
      <c r="I1323" s="26" t="s">
        <v>77</v>
      </c>
      <c r="J1323" s="26" t="s">
        <v>77</v>
      </c>
      <c r="K1323" s="18"/>
      <c r="L1323" s="26" t="s">
        <v>77</v>
      </c>
      <c r="M1323" s="6" t="s">
        <v>77</v>
      </c>
      <c r="N1323" s="28" t="s">
        <v>77</v>
      </c>
      <c r="O1323" s="26" t="s">
        <v>77</v>
      </c>
    </row>
    <row r="1324">
      <c r="A1324" s="52" t="s">
        <v>77</v>
      </c>
      <c r="B1324" s="28" t="s">
        <v>77</v>
      </c>
      <c r="C1324" s="28" t="s">
        <v>77</v>
      </c>
      <c r="D1324" s="28" t="s">
        <v>77</v>
      </c>
      <c r="E1324" s="28" t="s">
        <v>77</v>
      </c>
      <c r="F1324" s="28" t="s">
        <v>77</v>
      </c>
      <c r="G1324" s="28" t="s">
        <v>77</v>
      </c>
      <c r="I1324" s="26" t="s">
        <v>77</v>
      </c>
      <c r="J1324" s="26" t="s">
        <v>77</v>
      </c>
      <c r="K1324" s="18"/>
      <c r="L1324" s="26" t="s">
        <v>77</v>
      </c>
      <c r="M1324" s="6" t="s">
        <v>77</v>
      </c>
      <c r="N1324" s="28" t="s">
        <v>77</v>
      </c>
      <c r="O1324" s="26" t="s">
        <v>77</v>
      </c>
    </row>
    <row r="1325">
      <c r="A1325" s="52" t="s">
        <v>77</v>
      </c>
      <c r="B1325" s="28" t="s">
        <v>77</v>
      </c>
      <c r="C1325" s="28" t="s">
        <v>77</v>
      </c>
      <c r="D1325" s="28" t="s">
        <v>77</v>
      </c>
      <c r="E1325" s="28" t="s">
        <v>77</v>
      </c>
      <c r="F1325" s="28" t="s">
        <v>77</v>
      </c>
      <c r="G1325" s="28" t="s">
        <v>77</v>
      </c>
      <c r="I1325" s="26" t="s">
        <v>77</v>
      </c>
      <c r="J1325" s="26" t="s">
        <v>77</v>
      </c>
      <c r="K1325" s="18"/>
      <c r="L1325" s="26" t="s">
        <v>77</v>
      </c>
      <c r="M1325" s="6" t="s">
        <v>77</v>
      </c>
      <c r="N1325" s="28" t="s">
        <v>77</v>
      </c>
      <c r="O1325" s="26" t="s">
        <v>77</v>
      </c>
    </row>
    <row r="1326">
      <c r="A1326" s="52" t="s">
        <v>77</v>
      </c>
      <c r="B1326" s="28" t="s">
        <v>77</v>
      </c>
      <c r="C1326" s="28" t="s">
        <v>77</v>
      </c>
      <c r="D1326" s="28" t="s">
        <v>77</v>
      </c>
      <c r="E1326" s="28" t="s">
        <v>77</v>
      </c>
      <c r="F1326" s="28" t="s">
        <v>77</v>
      </c>
      <c r="G1326" s="28" t="s">
        <v>77</v>
      </c>
      <c r="I1326" s="26" t="s">
        <v>77</v>
      </c>
      <c r="J1326" s="26" t="s">
        <v>77</v>
      </c>
      <c r="K1326" s="18"/>
      <c r="L1326" s="26" t="s">
        <v>77</v>
      </c>
      <c r="M1326" s="6" t="s">
        <v>77</v>
      </c>
      <c r="N1326" s="28" t="s">
        <v>77</v>
      </c>
      <c r="O1326" s="26" t="s">
        <v>77</v>
      </c>
    </row>
    <row r="1327">
      <c r="A1327" s="52" t="s">
        <v>77</v>
      </c>
      <c r="B1327" s="28" t="s">
        <v>77</v>
      </c>
      <c r="C1327" s="28" t="s">
        <v>77</v>
      </c>
      <c r="D1327" s="28" t="s">
        <v>77</v>
      </c>
      <c r="E1327" s="28" t="s">
        <v>77</v>
      </c>
      <c r="F1327" s="28" t="s">
        <v>77</v>
      </c>
      <c r="G1327" s="28" t="s">
        <v>77</v>
      </c>
      <c r="I1327" s="26" t="s">
        <v>77</v>
      </c>
      <c r="J1327" s="26" t="s">
        <v>77</v>
      </c>
      <c r="K1327" s="18"/>
      <c r="L1327" s="26" t="s">
        <v>77</v>
      </c>
      <c r="M1327" s="6" t="s">
        <v>77</v>
      </c>
      <c r="N1327" s="28" t="s">
        <v>77</v>
      </c>
      <c r="O1327" s="26" t="s">
        <v>77</v>
      </c>
    </row>
    <row r="1328">
      <c r="A1328" s="52" t="s">
        <v>77</v>
      </c>
      <c r="B1328" s="28" t="s">
        <v>77</v>
      </c>
      <c r="C1328" s="28" t="s">
        <v>77</v>
      </c>
      <c r="D1328" s="28" t="s">
        <v>77</v>
      </c>
      <c r="E1328" s="28" t="s">
        <v>77</v>
      </c>
      <c r="F1328" s="28" t="s">
        <v>77</v>
      </c>
      <c r="G1328" s="28" t="s">
        <v>77</v>
      </c>
      <c r="I1328" s="26" t="s">
        <v>77</v>
      </c>
      <c r="J1328" s="26" t="s">
        <v>77</v>
      </c>
      <c r="K1328" s="18"/>
      <c r="L1328" s="26" t="s">
        <v>77</v>
      </c>
      <c r="M1328" s="6" t="s">
        <v>77</v>
      </c>
      <c r="N1328" s="28" t="s">
        <v>77</v>
      </c>
      <c r="O1328" s="26" t="s">
        <v>77</v>
      </c>
    </row>
    <row r="1329">
      <c r="A1329" s="52" t="s">
        <v>77</v>
      </c>
      <c r="B1329" s="28" t="s">
        <v>77</v>
      </c>
      <c r="C1329" s="28" t="s">
        <v>77</v>
      </c>
      <c r="D1329" s="28" t="s">
        <v>77</v>
      </c>
      <c r="E1329" s="28" t="s">
        <v>77</v>
      </c>
      <c r="F1329" s="28" t="s">
        <v>77</v>
      </c>
      <c r="G1329" s="28" t="s">
        <v>77</v>
      </c>
      <c r="I1329" s="26" t="s">
        <v>77</v>
      </c>
      <c r="J1329" s="26" t="s">
        <v>77</v>
      </c>
      <c r="K1329" s="18"/>
      <c r="L1329" s="26" t="s">
        <v>77</v>
      </c>
      <c r="M1329" s="6" t="s">
        <v>77</v>
      </c>
      <c r="N1329" s="28" t="s">
        <v>77</v>
      </c>
      <c r="O1329" s="26" t="s">
        <v>77</v>
      </c>
    </row>
    <row r="1330">
      <c r="A1330" s="52" t="s">
        <v>77</v>
      </c>
      <c r="B1330" s="28" t="s">
        <v>77</v>
      </c>
      <c r="C1330" s="28" t="s">
        <v>77</v>
      </c>
      <c r="D1330" s="28" t="s">
        <v>77</v>
      </c>
      <c r="E1330" s="28" t="s">
        <v>77</v>
      </c>
      <c r="F1330" s="28" t="s">
        <v>77</v>
      </c>
      <c r="G1330" s="28" t="s">
        <v>77</v>
      </c>
      <c r="I1330" s="26" t="s">
        <v>77</v>
      </c>
      <c r="J1330" s="26" t="s">
        <v>77</v>
      </c>
      <c r="K1330" s="18"/>
      <c r="L1330" s="26" t="s">
        <v>77</v>
      </c>
      <c r="M1330" s="6" t="s">
        <v>77</v>
      </c>
      <c r="N1330" s="28" t="s">
        <v>77</v>
      </c>
      <c r="O1330" s="26" t="s">
        <v>77</v>
      </c>
    </row>
    <row r="1331">
      <c r="A1331" s="52" t="s">
        <v>77</v>
      </c>
      <c r="B1331" s="28" t="s">
        <v>77</v>
      </c>
      <c r="C1331" s="28" t="s">
        <v>77</v>
      </c>
      <c r="D1331" s="28" t="s">
        <v>77</v>
      </c>
      <c r="E1331" s="28" t="s">
        <v>77</v>
      </c>
      <c r="F1331" s="28" t="s">
        <v>77</v>
      </c>
      <c r="G1331" s="28" t="s">
        <v>77</v>
      </c>
      <c r="I1331" s="26" t="s">
        <v>77</v>
      </c>
      <c r="J1331" s="26" t="s">
        <v>77</v>
      </c>
      <c r="K1331" s="18"/>
      <c r="L1331" s="26" t="s">
        <v>77</v>
      </c>
      <c r="M1331" s="6" t="s">
        <v>77</v>
      </c>
      <c r="N1331" s="28" t="s">
        <v>77</v>
      </c>
      <c r="O1331" s="26" t="s">
        <v>77</v>
      </c>
    </row>
    <row r="1332">
      <c r="A1332" s="52" t="s">
        <v>77</v>
      </c>
      <c r="B1332" s="28" t="s">
        <v>77</v>
      </c>
      <c r="C1332" s="28" t="s">
        <v>77</v>
      </c>
      <c r="D1332" s="28" t="s">
        <v>77</v>
      </c>
      <c r="E1332" s="28" t="s">
        <v>77</v>
      </c>
      <c r="F1332" s="28" t="s">
        <v>77</v>
      </c>
      <c r="G1332" s="28" t="s">
        <v>77</v>
      </c>
      <c r="I1332" s="26" t="s">
        <v>77</v>
      </c>
      <c r="J1332" s="26" t="s">
        <v>77</v>
      </c>
      <c r="K1332" s="18"/>
      <c r="L1332" s="26" t="s">
        <v>77</v>
      </c>
      <c r="M1332" s="6" t="s">
        <v>77</v>
      </c>
      <c r="N1332" s="28" t="s">
        <v>77</v>
      </c>
      <c r="O1332" s="26" t="s">
        <v>77</v>
      </c>
    </row>
    <row r="1333">
      <c r="A1333" s="52" t="s">
        <v>77</v>
      </c>
      <c r="B1333" s="28" t="s">
        <v>77</v>
      </c>
      <c r="C1333" s="28" t="s">
        <v>77</v>
      </c>
      <c r="D1333" s="28" t="s">
        <v>77</v>
      </c>
      <c r="E1333" s="28" t="s">
        <v>77</v>
      </c>
      <c r="F1333" s="28" t="s">
        <v>77</v>
      </c>
      <c r="G1333" s="28" t="s">
        <v>77</v>
      </c>
      <c r="I1333" s="26" t="s">
        <v>77</v>
      </c>
      <c r="J1333" s="26" t="s">
        <v>77</v>
      </c>
      <c r="K1333" s="18"/>
      <c r="L1333" s="26" t="s">
        <v>77</v>
      </c>
      <c r="M1333" s="6" t="s">
        <v>77</v>
      </c>
      <c r="N1333" s="28" t="s">
        <v>77</v>
      </c>
      <c r="O1333" s="26" t="s">
        <v>77</v>
      </c>
    </row>
    <row r="1334">
      <c r="A1334" s="52" t="s">
        <v>77</v>
      </c>
      <c r="B1334" s="28" t="s">
        <v>77</v>
      </c>
      <c r="C1334" s="28" t="s">
        <v>77</v>
      </c>
      <c r="D1334" s="28" t="s">
        <v>77</v>
      </c>
      <c r="E1334" s="28" t="s">
        <v>77</v>
      </c>
      <c r="F1334" s="28" t="s">
        <v>77</v>
      </c>
      <c r="G1334" s="28" t="s">
        <v>77</v>
      </c>
      <c r="I1334" s="26" t="s">
        <v>77</v>
      </c>
      <c r="J1334" s="26" t="s">
        <v>77</v>
      </c>
      <c r="K1334" s="18"/>
      <c r="L1334" s="26" t="s">
        <v>77</v>
      </c>
      <c r="M1334" s="6" t="s">
        <v>77</v>
      </c>
      <c r="N1334" s="28" t="s">
        <v>77</v>
      </c>
      <c r="O1334" s="26" t="s">
        <v>77</v>
      </c>
    </row>
    <row r="1335">
      <c r="A1335" s="52" t="s">
        <v>77</v>
      </c>
      <c r="B1335" s="28" t="s">
        <v>77</v>
      </c>
      <c r="C1335" s="28" t="s">
        <v>77</v>
      </c>
      <c r="D1335" s="28" t="s">
        <v>77</v>
      </c>
      <c r="E1335" s="28" t="s">
        <v>77</v>
      </c>
      <c r="F1335" s="28" t="s">
        <v>77</v>
      </c>
      <c r="G1335" s="28" t="s">
        <v>77</v>
      </c>
      <c r="I1335" s="26" t="s">
        <v>77</v>
      </c>
      <c r="J1335" s="26" t="s">
        <v>77</v>
      </c>
      <c r="K1335" s="18"/>
      <c r="L1335" s="26" t="s">
        <v>77</v>
      </c>
      <c r="M1335" s="6" t="s">
        <v>77</v>
      </c>
      <c r="N1335" s="28" t="s">
        <v>77</v>
      </c>
      <c r="O1335" s="26" t="s">
        <v>77</v>
      </c>
    </row>
    <row r="1336">
      <c r="A1336" s="52" t="s">
        <v>77</v>
      </c>
      <c r="B1336" s="28" t="s">
        <v>77</v>
      </c>
      <c r="C1336" s="28" t="s">
        <v>77</v>
      </c>
      <c r="D1336" s="28" t="s">
        <v>77</v>
      </c>
      <c r="E1336" s="28" t="s">
        <v>77</v>
      </c>
      <c r="F1336" s="28" t="s">
        <v>77</v>
      </c>
      <c r="G1336" s="28" t="s">
        <v>77</v>
      </c>
      <c r="I1336" s="26" t="s">
        <v>77</v>
      </c>
      <c r="J1336" s="26" t="s">
        <v>77</v>
      </c>
      <c r="K1336" s="18"/>
      <c r="L1336" s="26" t="s">
        <v>77</v>
      </c>
      <c r="M1336" s="6" t="s">
        <v>77</v>
      </c>
      <c r="N1336" s="28" t="s">
        <v>77</v>
      </c>
      <c r="O1336" s="26" t="s">
        <v>77</v>
      </c>
    </row>
    <row r="1337">
      <c r="A1337" s="52" t="s">
        <v>77</v>
      </c>
      <c r="B1337" s="28" t="s">
        <v>77</v>
      </c>
      <c r="C1337" s="28" t="s">
        <v>77</v>
      </c>
      <c r="D1337" s="28" t="s">
        <v>77</v>
      </c>
      <c r="E1337" s="28" t="s">
        <v>77</v>
      </c>
      <c r="F1337" s="28" t="s">
        <v>77</v>
      </c>
      <c r="G1337" s="28" t="s">
        <v>77</v>
      </c>
      <c r="I1337" s="26" t="s">
        <v>77</v>
      </c>
      <c r="J1337" s="26" t="s">
        <v>77</v>
      </c>
      <c r="K1337" s="18"/>
      <c r="L1337" s="26" t="s">
        <v>77</v>
      </c>
      <c r="M1337" s="6" t="s">
        <v>77</v>
      </c>
      <c r="N1337" s="28" t="s">
        <v>77</v>
      </c>
      <c r="O1337" s="26" t="s">
        <v>77</v>
      </c>
    </row>
    <row r="1338">
      <c r="A1338" s="52" t="s">
        <v>77</v>
      </c>
      <c r="B1338" s="28" t="s">
        <v>77</v>
      </c>
      <c r="C1338" s="28" t="s">
        <v>77</v>
      </c>
      <c r="D1338" s="28" t="s">
        <v>77</v>
      </c>
      <c r="E1338" s="28" t="s">
        <v>77</v>
      </c>
      <c r="F1338" s="28" t="s">
        <v>77</v>
      </c>
      <c r="G1338" s="28" t="s">
        <v>77</v>
      </c>
      <c r="I1338" s="26" t="s">
        <v>77</v>
      </c>
      <c r="J1338" s="26" t="s">
        <v>77</v>
      </c>
      <c r="K1338" s="18"/>
      <c r="L1338" s="26" t="s">
        <v>77</v>
      </c>
      <c r="M1338" s="6" t="s">
        <v>77</v>
      </c>
      <c r="N1338" s="28" t="s">
        <v>77</v>
      </c>
      <c r="O1338" s="26" t="s">
        <v>77</v>
      </c>
    </row>
    <row r="1339">
      <c r="A1339" s="52" t="s">
        <v>77</v>
      </c>
      <c r="B1339" s="28" t="s">
        <v>77</v>
      </c>
      <c r="C1339" s="28" t="s">
        <v>77</v>
      </c>
      <c r="D1339" s="28" t="s">
        <v>77</v>
      </c>
      <c r="E1339" s="28" t="s">
        <v>77</v>
      </c>
      <c r="F1339" s="28" t="s">
        <v>77</v>
      </c>
      <c r="G1339" s="28" t="s">
        <v>77</v>
      </c>
      <c r="I1339" s="26" t="s">
        <v>77</v>
      </c>
      <c r="J1339" s="26" t="s">
        <v>77</v>
      </c>
      <c r="K1339" s="18"/>
      <c r="L1339" s="26" t="s">
        <v>77</v>
      </c>
      <c r="M1339" s="6" t="s">
        <v>77</v>
      </c>
      <c r="N1339" s="28" t="s">
        <v>77</v>
      </c>
      <c r="O1339" s="26" t="s">
        <v>77</v>
      </c>
    </row>
    <row r="1340">
      <c r="A1340" s="52" t="s">
        <v>77</v>
      </c>
      <c r="B1340" s="28" t="s">
        <v>77</v>
      </c>
      <c r="C1340" s="28" t="s">
        <v>77</v>
      </c>
      <c r="D1340" s="28" t="s">
        <v>77</v>
      </c>
      <c r="E1340" s="28" t="s">
        <v>77</v>
      </c>
      <c r="F1340" s="28" t="s">
        <v>77</v>
      </c>
      <c r="G1340" s="28" t="s">
        <v>77</v>
      </c>
      <c r="I1340" s="26" t="s">
        <v>77</v>
      </c>
      <c r="J1340" s="26" t="s">
        <v>77</v>
      </c>
      <c r="K1340" s="18"/>
      <c r="L1340" s="26" t="s">
        <v>77</v>
      </c>
      <c r="M1340" s="6" t="s">
        <v>77</v>
      </c>
      <c r="N1340" s="28" t="s">
        <v>77</v>
      </c>
      <c r="O1340" s="26" t="s">
        <v>77</v>
      </c>
    </row>
    <row r="1341">
      <c r="A1341" s="52" t="s">
        <v>77</v>
      </c>
      <c r="B1341" s="28" t="s">
        <v>77</v>
      </c>
      <c r="C1341" s="28" t="s">
        <v>77</v>
      </c>
      <c r="D1341" s="28" t="s">
        <v>77</v>
      </c>
      <c r="E1341" s="28" t="s">
        <v>77</v>
      </c>
      <c r="F1341" s="28" t="s">
        <v>77</v>
      </c>
      <c r="G1341" s="28" t="s">
        <v>77</v>
      </c>
      <c r="I1341" s="26" t="s">
        <v>77</v>
      </c>
      <c r="J1341" s="26" t="s">
        <v>77</v>
      </c>
      <c r="K1341" s="18"/>
      <c r="L1341" s="26" t="s">
        <v>77</v>
      </c>
      <c r="M1341" s="6" t="s">
        <v>77</v>
      </c>
      <c r="N1341" s="28" t="s">
        <v>77</v>
      </c>
      <c r="O1341" s="26" t="s">
        <v>77</v>
      </c>
    </row>
    <row r="1342">
      <c r="A1342" s="52" t="s">
        <v>77</v>
      </c>
      <c r="B1342" s="28" t="s">
        <v>77</v>
      </c>
      <c r="C1342" s="28" t="s">
        <v>77</v>
      </c>
      <c r="D1342" s="28" t="s">
        <v>77</v>
      </c>
      <c r="E1342" s="28" t="s">
        <v>77</v>
      </c>
      <c r="F1342" s="28" t="s">
        <v>77</v>
      </c>
      <c r="G1342" s="28" t="s">
        <v>77</v>
      </c>
      <c r="I1342" s="26" t="s">
        <v>77</v>
      </c>
      <c r="J1342" s="26" t="s">
        <v>77</v>
      </c>
      <c r="K1342" s="18"/>
      <c r="L1342" s="26" t="s">
        <v>77</v>
      </c>
      <c r="M1342" s="6" t="s">
        <v>77</v>
      </c>
      <c r="N1342" s="28" t="s">
        <v>77</v>
      </c>
      <c r="O1342" s="26" t="s">
        <v>77</v>
      </c>
    </row>
    <row r="1343">
      <c r="A1343" s="52" t="s">
        <v>77</v>
      </c>
      <c r="B1343" s="28" t="s">
        <v>77</v>
      </c>
      <c r="C1343" s="28" t="s">
        <v>77</v>
      </c>
      <c r="D1343" s="28" t="s">
        <v>77</v>
      </c>
      <c r="E1343" s="28" t="s">
        <v>77</v>
      </c>
      <c r="F1343" s="28" t="s">
        <v>77</v>
      </c>
      <c r="G1343" s="28" t="s">
        <v>77</v>
      </c>
      <c r="I1343" s="26" t="s">
        <v>77</v>
      </c>
      <c r="J1343" s="26" t="s">
        <v>77</v>
      </c>
      <c r="K1343" s="18"/>
      <c r="L1343" s="26" t="s">
        <v>77</v>
      </c>
      <c r="M1343" s="6" t="s">
        <v>77</v>
      </c>
      <c r="N1343" s="28" t="s">
        <v>77</v>
      </c>
      <c r="O1343" s="26" t="s">
        <v>77</v>
      </c>
    </row>
    <row r="1344">
      <c r="A1344" s="52" t="s">
        <v>77</v>
      </c>
      <c r="B1344" s="28" t="s">
        <v>77</v>
      </c>
      <c r="C1344" s="28" t="s">
        <v>77</v>
      </c>
      <c r="D1344" s="28" t="s">
        <v>77</v>
      </c>
      <c r="E1344" s="28" t="s">
        <v>77</v>
      </c>
      <c r="F1344" s="28" t="s">
        <v>77</v>
      </c>
      <c r="G1344" s="28" t="s">
        <v>77</v>
      </c>
      <c r="I1344" s="26" t="s">
        <v>77</v>
      </c>
      <c r="J1344" s="26" t="s">
        <v>77</v>
      </c>
      <c r="K1344" s="18"/>
      <c r="L1344" s="26" t="s">
        <v>77</v>
      </c>
      <c r="M1344" s="6" t="s">
        <v>77</v>
      </c>
      <c r="N1344" s="28" t="s">
        <v>77</v>
      </c>
      <c r="O1344" s="26" t="s">
        <v>77</v>
      </c>
    </row>
    <row r="1345">
      <c r="A1345" s="52" t="s">
        <v>77</v>
      </c>
      <c r="B1345" s="28" t="s">
        <v>77</v>
      </c>
      <c r="C1345" s="28" t="s">
        <v>77</v>
      </c>
      <c r="D1345" s="28" t="s">
        <v>77</v>
      </c>
      <c r="E1345" s="28" t="s">
        <v>77</v>
      </c>
      <c r="F1345" s="28" t="s">
        <v>77</v>
      </c>
      <c r="G1345" s="28" t="s">
        <v>77</v>
      </c>
      <c r="I1345" s="26" t="s">
        <v>77</v>
      </c>
      <c r="J1345" s="26" t="s">
        <v>77</v>
      </c>
      <c r="K1345" s="18"/>
      <c r="L1345" s="26" t="s">
        <v>77</v>
      </c>
      <c r="M1345" s="6" t="s">
        <v>77</v>
      </c>
      <c r="N1345" s="28" t="s">
        <v>77</v>
      </c>
      <c r="O1345" s="26" t="s">
        <v>77</v>
      </c>
    </row>
    <row r="1346">
      <c r="A1346" s="52" t="s">
        <v>77</v>
      </c>
      <c r="B1346" s="28" t="s">
        <v>77</v>
      </c>
      <c r="C1346" s="28" t="s">
        <v>77</v>
      </c>
      <c r="D1346" s="28" t="s">
        <v>77</v>
      </c>
      <c r="E1346" s="28" t="s">
        <v>77</v>
      </c>
      <c r="F1346" s="28" t="s">
        <v>77</v>
      </c>
      <c r="G1346" s="28" t="s">
        <v>77</v>
      </c>
      <c r="I1346" s="26" t="s">
        <v>77</v>
      </c>
      <c r="J1346" s="26" t="s">
        <v>77</v>
      </c>
      <c r="K1346" s="18"/>
      <c r="L1346" s="26" t="s">
        <v>77</v>
      </c>
      <c r="M1346" s="6" t="s">
        <v>77</v>
      </c>
      <c r="N1346" s="28" t="s">
        <v>77</v>
      </c>
      <c r="O1346" s="26" t="s">
        <v>77</v>
      </c>
    </row>
    <row r="1347">
      <c r="A1347" s="52" t="s">
        <v>77</v>
      </c>
      <c r="B1347" s="28" t="s">
        <v>77</v>
      </c>
      <c r="C1347" s="28" t="s">
        <v>77</v>
      </c>
      <c r="D1347" s="28" t="s">
        <v>77</v>
      </c>
      <c r="E1347" s="28" t="s">
        <v>77</v>
      </c>
      <c r="F1347" s="28" t="s">
        <v>77</v>
      </c>
      <c r="G1347" s="28" t="s">
        <v>77</v>
      </c>
      <c r="I1347" s="26" t="s">
        <v>77</v>
      </c>
      <c r="J1347" s="26" t="s">
        <v>77</v>
      </c>
      <c r="K1347" s="18"/>
      <c r="L1347" s="26" t="s">
        <v>77</v>
      </c>
      <c r="M1347" s="6" t="s">
        <v>77</v>
      </c>
      <c r="N1347" s="28" t="s">
        <v>77</v>
      </c>
      <c r="O1347" s="26" t="s">
        <v>77</v>
      </c>
    </row>
    <row r="1348">
      <c r="A1348" s="52" t="s">
        <v>77</v>
      </c>
      <c r="B1348" s="28" t="s">
        <v>77</v>
      </c>
      <c r="C1348" s="28" t="s">
        <v>77</v>
      </c>
      <c r="D1348" s="28" t="s">
        <v>77</v>
      </c>
      <c r="E1348" s="28" t="s">
        <v>77</v>
      </c>
      <c r="F1348" s="28" t="s">
        <v>77</v>
      </c>
      <c r="G1348" s="28" t="s">
        <v>77</v>
      </c>
      <c r="I1348" s="26" t="s">
        <v>77</v>
      </c>
      <c r="J1348" s="26" t="s">
        <v>77</v>
      </c>
      <c r="K1348" s="18"/>
      <c r="L1348" s="26" t="s">
        <v>77</v>
      </c>
      <c r="M1348" s="6" t="s">
        <v>77</v>
      </c>
      <c r="N1348" s="28" t="s">
        <v>77</v>
      </c>
      <c r="O1348" s="26" t="s">
        <v>77</v>
      </c>
    </row>
    <row r="1349">
      <c r="A1349" s="52" t="s">
        <v>77</v>
      </c>
      <c r="B1349" s="28" t="s">
        <v>77</v>
      </c>
      <c r="C1349" s="28" t="s">
        <v>77</v>
      </c>
      <c r="D1349" s="28" t="s">
        <v>77</v>
      </c>
      <c r="E1349" s="28" t="s">
        <v>77</v>
      </c>
      <c r="F1349" s="28" t="s">
        <v>77</v>
      </c>
      <c r="G1349" s="28" t="s">
        <v>77</v>
      </c>
      <c r="I1349" s="26" t="s">
        <v>77</v>
      </c>
      <c r="J1349" s="26" t="s">
        <v>77</v>
      </c>
      <c r="K1349" s="18"/>
      <c r="L1349" s="26" t="s">
        <v>77</v>
      </c>
      <c r="M1349" s="6" t="s">
        <v>77</v>
      </c>
      <c r="N1349" s="28" t="s">
        <v>77</v>
      </c>
      <c r="O1349" s="26" t="s">
        <v>77</v>
      </c>
    </row>
    <row r="1350">
      <c r="A1350" s="52" t="s">
        <v>77</v>
      </c>
      <c r="B1350" s="28" t="s">
        <v>77</v>
      </c>
      <c r="C1350" s="28" t="s">
        <v>77</v>
      </c>
      <c r="D1350" s="28" t="s">
        <v>77</v>
      </c>
      <c r="E1350" s="28" t="s">
        <v>77</v>
      </c>
      <c r="F1350" s="28" t="s">
        <v>77</v>
      </c>
      <c r="G1350" s="28" t="s">
        <v>77</v>
      </c>
      <c r="I1350" s="26" t="s">
        <v>77</v>
      </c>
      <c r="J1350" s="26" t="s">
        <v>77</v>
      </c>
      <c r="K1350" s="18"/>
      <c r="L1350" s="26" t="s">
        <v>77</v>
      </c>
      <c r="M1350" s="6" t="s">
        <v>77</v>
      </c>
      <c r="N1350" s="28" t="s">
        <v>77</v>
      </c>
      <c r="O1350" s="26" t="s">
        <v>77</v>
      </c>
    </row>
    <row r="1351">
      <c r="A1351" s="52" t="s">
        <v>77</v>
      </c>
      <c r="B1351" s="28" t="s">
        <v>77</v>
      </c>
      <c r="C1351" s="28" t="s">
        <v>77</v>
      </c>
      <c r="D1351" s="28" t="s">
        <v>77</v>
      </c>
      <c r="E1351" s="28" t="s">
        <v>77</v>
      </c>
      <c r="F1351" s="28" t="s">
        <v>77</v>
      </c>
      <c r="G1351" s="28" t="s">
        <v>77</v>
      </c>
      <c r="I1351" s="26" t="s">
        <v>77</v>
      </c>
      <c r="J1351" s="26" t="s">
        <v>77</v>
      </c>
      <c r="K1351" s="18"/>
      <c r="L1351" s="26" t="s">
        <v>77</v>
      </c>
      <c r="M1351" s="6" t="s">
        <v>77</v>
      </c>
      <c r="N1351" s="28" t="s">
        <v>77</v>
      </c>
      <c r="O1351" s="26" t="s">
        <v>77</v>
      </c>
    </row>
    <row r="1352">
      <c r="A1352" s="52" t="s">
        <v>77</v>
      </c>
      <c r="B1352" s="28" t="s">
        <v>77</v>
      </c>
      <c r="C1352" s="28" t="s">
        <v>77</v>
      </c>
      <c r="D1352" s="28" t="s">
        <v>77</v>
      </c>
      <c r="E1352" s="28" t="s">
        <v>77</v>
      </c>
      <c r="F1352" s="28" t="s">
        <v>77</v>
      </c>
      <c r="G1352" s="28" t="s">
        <v>77</v>
      </c>
      <c r="I1352" s="26" t="s">
        <v>77</v>
      </c>
      <c r="J1352" s="26" t="s">
        <v>77</v>
      </c>
      <c r="K1352" s="18"/>
      <c r="L1352" s="26" t="s">
        <v>77</v>
      </c>
      <c r="M1352" s="6" t="s">
        <v>77</v>
      </c>
      <c r="N1352" s="28" t="s">
        <v>77</v>
      </c>
      <c r="O1352" s="26" t="s">
        <v>77</v>
      </c>
    </row>
    <row r="1353">
      <c r="A1353" s="52" t="s">
        <v>77</v>
      </c>
      <c r="B1353" s="28" t="s">
        <v>77</v>
      </c>
      <c r="C1353" s="28" t="s">
        <v>77</v>
      </c>
      <c r="D1353" s="28" t="s">
        <v>77</v>
      </c>
      <c r="E1353" s="28" t="s">
        <v>77</v>
      </c>
      <c r="F1353" s="28" t="s">
        <v>77</v>
      </c>
      <c r="G1353" s="28" t="s">
        <v>77</v>
      </c>
      <c r="I1353" s="26" t="s">
        <v>77</v>
      </c>
      <c r="J1353" s="26" t="s">
        <v>77</v>
      </c>
      <c r="K1353" s="18"/>
      <c r="L1353" s="26" t="s">
        <v>77</v>
      </c>
      <c r="M1353" s="6" t="s">
        <v>77</v>
      </c>
      <c r="N1353" s="28" t="s">
        <v>77</v>
      </c>
      <c r="O1353" s="26" t="s">
        <v>77</v>
      </c>
    </row>
    <row r="1354">
      <c r="A1354" s="52" t="s">
        <v>77</v>
      </c>
      <c r="B1354" s="28" t="s">
        <v>77</v>
      </c>
      <c r="C1354" s="28" t="s">
        <v>77</v>
      </c>
      <c r="D1354" s="28" t="s">
        <v>77</v>
      </c>
      <c r="E1354" s="28" t="s">
        <v>77</v>
      </c>
      <c r="F1354" s="28" t="s">
        <v>77</v>
      </c>
      <c r="G1354" s="28" t="s">
        <v>77</v>
      </c>
      <c r="I1354" s="26" t="s">
        <v>77</v>
      </c>
      <c r="J1354" s="26" t="s">
        <v>77</v>
      </c>
      <c r="K1354" s="18"/>
      <c r="L1354" s="26" t="s">
        <v>77</v>
      </c>
      <c r="M1354" s="6" t="s">
        <v>77</v>
      </c>
      <c r="N1354" s="28" t="s">
        <v>77</v>
      </c>
      <c r="O1354" s="26" t="s">
        <v>77</v>
      </c>
    </row>
    <row r="1355">
      <c r="A1355" s="52" t="s">
        <v>77</v>
      </c>
      <c r="B1355" s="28" t="s">
        <v>77</v>
      </c>
      <c r="C1355" s="28" t="s">
        <v>77</v>
      </c>
      <c r="D1355" s="28" t="s">
        <v>77</v>
      </c>
      <c r="E1355" s="28" t="s">
        <v>77</v>
      </c>
      <c r="F1355" s="28" t="s">
        <v>77</v>
      </c>
      <c r="G1355" s="28" t="s">
        <v>77</v>
      </c>
      <c r="I1355" s="26" t="s">
        <v>77</v>
      </c>
      <c r="J1355" s="26" t="s">
        <v>77</v>
      </c>
      <c r="K1355" s="18"/>
      <c r="L1355" s="26" t="s">
        <v>77</v>
      </c>
      <c r="M1355" s="6" t="s">
        <v>77</v>
      </c>
      <c r="N1355" s="28" t="s">
        <v>77</v>
      </c>
      <c r="O1355" s="26" t="s">
        <v>77</v>
      </c>
    </row>
    <row r="1356">
      <c r="A1356" s="52" t="s">
        <v>77</v>
      </c>
      <c r="B1356" s="28" t="s">
        <v>77</v>
      </c>
      <c r="C1356" s="28" t="s">
        <v>77</v>
      </c>
      <c r="D1356" s="28" t="s">
        <v>77</v>
      </c>
      <c r="E1356" s="28" t="s">
        <v>77</v>
      </c>
      <c r="F1356" s="28" t="s">
        <v>77</v>
      </c>
      <c r="G1356" s="28" t="s">
        <v>77</v>
      </c>
      <c r="I1356" s="26" t="s">
        <v>77</v>
      </c>
      <c r="J1356" s="26" t="s">
        <v>77</v>
      </c>
      <c r="K1356" s="18"/>
      <c r="L1356" s="26" t="s">
        <v>77</v>
      </c>
      <c r="M1356" s="6" t="s">
        <v>77</v>
      </c>
      <c r="N1356" s="28" t="s">
        <v>77</v>
      </c>
      <c r="O1356" s="26" t="s">
        <v>77</v>
      </c>
    </row>
    <row r="1357">
      <c r="A1357" s="52" t="s">
        <v>77</v>
      </c>
      <c r="B1357" s="28" t="s">
        <v>77</v>
      </c>
      <c r="C1357" s="28" t="s">
        <v>77</v>
      </c>
      <c r="D1357" s="28" t="s">
        <v>77</v>
      </c>
      <c r="E1357" s="28" t="s">
        <v>77</v>
      </c>
      <c r="F1357" s="28" t="s">
        <v>77</v>
      </c>
      <c r="G1357" s="28" t="s">
        <v>77</v>
      </c>
      <c r="I1357" s="26" t="s">
        <v>77</v>
      </c>
      <c r="J1357" s="26" t="s">
        <v>77</v>
      </c>
      <c r="K1357" s="18"/>
      <c r="L1357" s="26" t="s">
        <v>77</v>
      </c>
      <c r="M1357" s="6" t="s">
        <v>77</v>
      </c>
      <c r="N1357" s="28" t="s">
        <v>77</v>
      </c>
      <c r="O1357" s="26" t="s">
        <v>77</v>
      </c>
    </row>
    <row r="1358">
      <c r="A1358" s="52" t="s">
        <v>77</v>
      </c>
      <c r="B1358" s="28" t="s">
        <v>77</v>
      </c>
      <c r="C1358" s="28" t="s">
        <v>77</v>
      </c>
      <c r="D1358" s="28" t="s">
        <v>77</v>
      </c>
      <c r="E1358" s="28" t="s">
        <v>77</v>
      </c>
      <c r="F1358" s="28" t="s">
        <v>77</v>
      </c>
      <c r="G1358" s="28" t="s">
        <v>77</v>
      </c>
      <c r="I1358" s="26" t="s">
        <v>77</v>
      </c>
      <c r="J1358" s="26" t="s">
        <v>77</v>
      </c>
      <c r="K1358" s="18"/>
      <c r="L1358" s="26" t="s">
        <v>77</v>
      </c>
      <c r="M1358" s="6" t="s">
        <v>77</v>
      </c>
      <c r="N1358" s="28" t="s">
        <v>77</v>
      </c>
      <c r="O1358" s="26" t="s">
        <v>77</v>
      </c>
    </row>
    <row r="1359">
      <c r="A1359" s="52" t="s">
        <v>77</v>
      </c>
      <c r="B1359" s="28" t="s">
        <v>77</v>
      </c>
      <c r="C1359" s="28" t="s">
        <v>77</v>
      </c>
      <c r="D1359" s="28" t="s">
        <v>77</v>
      </c>
      <c r="E1359" s="28" t="s">
        <v>77</v>
      </c>
      <c r="F1359" s="28" t="s">
        <v>77</v>
      </c>
      <c r="G1359" s="28" t="s">
        <v>77</v>
      </c>
      <c r="I1359" s="26" t="s">
        <v>77</v>
      </c>
      <c r="J1359" s="26" t="s">
        <v>77</v>
      </c>
      <c r="K1359" s="18"/>
      <c r="L1359" s="26" t="s">
        <v>77</v>
      </c>
      <c r="M1359" s="6" t="s">
        <v>77</v>
      </c>
      <c r="N1359" s="28" t="s">
        <v>77</v>
      </c>
      <c r="O1359" s="26" t="s">
        <v>77</v>
      </c>
    </row>
    <row r="1360">
      <c r="A1360" s="52" t="s">
        <v>77</v>
      </c>
      <c r="B1360" s="28" t="s">
        <v>77</v>
      </c>
      <c r="C1360" s="28" t="s">
        <v>77</v>
      </c>
      <c r="D1360" s="28" t="s">
        <v>77</v>
      </c>
      <c r="E1360" s="28" t="s">
        <v>77</v>
      </c>
      <c r="F1360" s="28" t="s">
        <v>77</v>
      </c>
      <c r="G1360" s="28" t="s">
        <v>77</v>
      </c>
      <c r="I1360" s="26" t="s">
        <v>77</v>
      </c>
      <c r="J1360" s="26" t="s">
        <v>77</v>
      </c>
      <c r="K1360" s="18"/>
      <c r="L1360" s="26" t="s">
        <v>77</v>
      </c>
      <c r="M1360" s="6" t="s">
        <v>77</v>
      </c>
      <c r="N1360" s="28" t="s">
        <v>77</v>
      </c>
      <c r="O1360" s="26" t="s">
        <v>77</v>
      </c>
    </row>
    <row r="1361">
      <c r="A1361" s="52" t="s">
        <v>77</v>
      </c>
      <c r="B1361" s="28" t="s">
        <v>77</v>
      </c>
      <c r="C1361" s="28" t="s">
        <v>77</v>
      </c>
      <c r="D1361" s="28" t="s">
        <v>77</v>
      </c>
      <c r="E1361" s="28" t="s">
        <v>77</v>
      </c>
      <c r="F1361" s="28" t="s">
        <v>77</v>
      </c>
      <c r="G1361" s="28" t="s">
        <v>77</v>
      </c>
      <c r="I1361" s="26" t="s">
        <v>77</v>
      </c>
      <c r="J1361" s="26" t="s">
        <v>77</v>
      </c>
      <c r="K1361" s="18"/>
      <c r="L1361" s="26" t="s">
        <v>77</v>
      </c>
      <c r="M1361" s="6" t="s">
        <v>77</v>
      </c>
      <c r="N1361" s="28" t="s">
        <v>77</v>
      </c>
      <c r="O1361" s="26" t="s">
        <v>77</v>
      </c>
    </row>
    <row r="1362">
      <c r="A1362" s="52" t="s">
        <v>77</v>
      </c>
      <c r="B1362" s="28" t="s">
        <v>77</v>
      </c>
      <c r="C1362" s="28" t="s">
        <v>77</v>
      </c>
      <c r="D1362" s="28" t="s">
        <v>77</v>
      </c>
      <c r="E1362" s="28" t="s">
        <v>77</v>
      </c>
      <c r="F1362" s="28" t="s">
        <v>77</v>
      </c>
      <c r="G1362" s="28" t="s">
        <v>77</v>
      </c>
      <c r="I1362" s="26" t="s">
        <v>77</v>
      </c>
      <c r="J1362" s="26" t="s">
        <v>77</v>
      </c>
      <c r="K1362" s="18"/>
      <c r="L1362" s="26" t="s">
        <v>77</v>
      </c>
      <c r="M1362" s="6" t="s">
        <v>77</v>
      </c>
      <c r="N1362" s="28" t="s">
        <v>77</v>
      </c>
      <c r="O1362" s="26" t="s">
        <v>77</v>
      </c>
    </row>
    <row r="1363">
      <c r="A1363" s="52" t="s">
        <v>77</v>
      </c>
      <c r="B1363" s="28" t="s">
        <v>77</v>
      </c>
      <c r="C1363" s="28" t="s">
        <v>77</v>
      </c>
      <c r="D1363" s="28" t="s">
        <v>77</v>
      </c>
      <c r="E1363" s="28" t="s">
        <v>77</v>
      </c>
      <c r="F1363" s="28" t="s">
        <v>77</v>
      </c>
      <c r="G1363" s="28" t="s">
        <v>77</v>
      </c>
      <c r="I1363" s="26" t="s">
        <v>77</v>
      </c>
      <c r="J1363" s="26" t="s">
        <v>77</v>
      </c>
      <c r="K1363" s="18"/>
      <c r="L1363" s="26" t="s">
        <v>77</v>
      </c>
      <c r="M1363" s="6" t="s">
        <v>77</v>
      </c>
      <c r="N1363" s="28" t="s">
        <v>77</v>
      </c>
      <c r="O1363" s="26" t="s">
        <v>77</v>
      </c>
    </row>
    <row r="1364">
      <c r="A1364" s="52" t="s">
        <v>77</v>
      </c>
      <c r="B1364" s="28" t="s">
        <v>77</v>
      </c>
      <c r="C1364" s="28" t="s">
        <v>77</v>
      </c>
      <c r="D1364" s="28" t="s">
        <v>77</v>
      </c>
      <c r="E1364" s="28" t="s">
        <v>77</v>
      </c>
      <c r="F1364" s="28" t="s">
        <v>77</v>
      </c>
      <c r="G1364" s="28" t="s">
        <v>77</v>
      </c>
      <c r="I1364" s="26" t="s">
        <v>77</v>
      </c>
      <c r="J1364" s="26" t="s">
        <v>77</v>
      </c>
      <c r="K1364" s="18"/>
      <c r="L1364" s="26" t="s">
        <v>77</v>
      </c>
      <c r="M1364" s="6" t="s">
        <v>77</v>
      </c>
      <c r="N1364" s="28" t="s">
        <v>77</v>
      </c>
      <c r="O1364" s="26" t="s">
        <v>77</v>
      </c>
    </row>
    <row r="1365">
      <c r="A1365" s="52" t="s">
        <v>77</v>
      </c>
      <c r="B1365" s="28" t="s">
        <v>77</v>
      </c>
      <c r="C1365" s="28" t="s">
        <v>77</v>
      </c>
      <c r="D1365" s="28" t="s">
        <v>77</v>
      </c>
      <c r="E1365" s="28" t="s">
        <v>77</v>
      </c>
      <c r="F1365" s="28" t="s">
        <v>77</v>
      </c>
      <c r="G1365" s="28" t="s">
        <v>77</v>
      </c>
      <c r="I1365" s="26" t="s">
        <v>77</v>
      </c>
      <c r="J1365" s="26" t="s">
        <v>77</v>
      </c>
      <c r="K1365" s="18"/>
      <c r="L1365" s="26" t="s">
        <v>77</v>
      </c>
      <c r="M1365" s="6" t="s">
        <v>77</v>
      </c>
      <c r="N1365" s="28" t="s">
        <v>77</v>
      </c>
      <c r="O1365" s="26" t="s">
        <v>77</v>
      </c>
    </row>
    <row r="1366">
      <c r="A1366" s="52" t="s">
        <v>77</v>
      </c>
      <c r="B1366" s="28" t="s">
        <v>77</v>
      </c>
      <c r="C1366" s="28" t="s">
        <v>77</v>
      </c>
      <c r="D1366" s="28" t="s">
        <v>77</v>
      </c>
      <c r="E1366" s="28" t="s">
        <v>77</v>
      </c>
      <c r="F1366" s="28" t="s">
        <v>77</v>
      </c>
      <c r="G1366" s="28" t="s">
        <v>77</v>
      </c>
      <c r="I1366" s="26" t="s">
        <v>77</v>
      </c>
      <c r="J1366" s="26" t="s">
        <v>77</v>
      </c>
      <c r="K1366" s="18"/>
      <c r="L1366" s="26" t="s">
        <v>77</v>
      </c>
      <c r="M1366" s="6" t="s">
        <v>77</v>
      </c>
      <c r="N1366" s="28" t="s">
        <v>77</v>
      </c>
      <c r="O1366" s="26" t="s">
        <v>77</v>
      </c>
    </row>
    <row r="1367">
      <c r="A1367" s="52" t="s">
        <v>77</v>
      </c>
      <c r="B1367" s="28" t="s">
        <v>77</v>
      </c>
      <c r="C1367" s="28" t="s">
        <v>77</v>
      </c>
      <c r="D1367" s="28" t="s">
        <v>77</v>
      </c>
      <c r="E1367" s="28" t="s">
        <v>77</v>
      </c>
      <c r="F1367" s="28" t="s">
        <v>77</v>
      </c>
      <c r="G1367" s="28" t="s">
        <v>77</v>
      </c>
      <c r="I1367" s="26" t="s">
        <v>77</v>
      </c>
      <c r="J1367" s="26" t="s">
        <v>77</v>
      </c>
      <c r="K1367" s="18"/>
      <c r="L1367" s="26" t="s">
        <v>77</v>
      </c>
      <c r="M1367" s="6" t="s">
        <v>77</v>
      </c>
      <c r="N1367" s="28" t="s">
        <v>77</v>
      </c>
      <c r="O1367" s="26" t="s">
        <v>77</v>
      </c>
    </row>
    <row r="1368">
      <c r="A1368" s="52" t="s">
        <v>77</v>
      </c>
      <c r="B1368" s="28" t="s">
        <v>77</v>
      </c>
      <c r="C1368" s="28" t="s">
        <v>77</v>
      </c>
      <c r="D1368" s="28" t="s">
        <v>77</v>
      </c>
      <c r="E1368" s="28" t="s">
        <v>77</v>
      </c>
      <c r="F1368" s="28" t="s">
        <v>77</v>
      </c>
      <c r="G1368" s="28" t="s">
        <v>77</v>
      </c>
      <c r="I1368" s="26" t="s">
        <v>77</v>
      </c>
      <c r="J1368" s="26" t="s">
        <v>77</v>
      </c>
      <c r="K1368" s="18"/>
      <c r="L1368" s="26" t="s">
        <v>77</v>
      </c>
      <c r="M1368" s="6" t="s">
        <v>77</v>
      </c>
      <c r="N1368" s="28" t="s">
        <v>77</v>
      </c>
      <c r="O1368" s="26" t="s">
        <v>77</v>
      </c>
    </row>
    <row r="1369">
      <c r="A1369" s="52" t="s">
        <v>77</v>
      </c>
      <c r="B1369" s="28" t="s">
        <v>77</v>
      </c>
      <c r="C1369" s="28" t="s">
        <v>77</v>
      </c>
      <c r="D1369" s="28" t="s">
        <v>77</v>
      </c>
      <c r="E1369" s="28" t="s">
        <v>77</v>
      </c>
      <c r="F1369" s="28" t="s">
        <v>77</v>
      </c>
      <c r="G1369" s="28" t="s">
        <v>77</v>
      </c>
      <c r="I1369" s="26" t="s">
        <v>77</v>
      </c>
      <c r="J1369" s="26" t="s">
        <v>77</v>
      </c>
      <c r="K1369" s="18"/>
      <c r="L1369" s="26" t="s">
        <v>77</v>
      </c>
      <c r="M1369" s="6" t="s">
        <v>77</v>
      </c>
      <c r="N1369" s="28" t="s">
        <v>77</v>
      </c>
      <c r="O1369" s="26" t="s">
        <v>77</v>
      </c>
    </row>
    <row r="1370">
      <c r="A1370" s="52" t="s">
        <v>77</v>
      </c>
      <c r="B1370" s="28" t="s">
        <v>77</v>
      </c>
      <c r="C1370" s="28" t="s">
        <v>77</v>
      </c>
      <c r="D1370" s="28" t="s">
        <v>77</v>
      </c>
      <c r="E1370" s="28" t="s">
        <v>77</v>
      </c>
      <c r="F1370" s="28" t="s">
        <v>77</v>
      </c>
      <c r="G1370" s="28" t="s">
        <v>77</v>
      </c>
      <c r="I1370" s="26" t="s">
        <v>77</v>
      </c>
      <c r="J1370" s="26" t="s">
        <v>77</v>
      </c>
      <c r="K1370" s="18"/>
      <c r="L1370" s="26" t="s">
        <v>77</v>
      </c>
      <c r="M1370" s="6" t="s">
        <v>77</v>
      </c>
      <c r="N1370" s="28" t="s">
        <v>77</v>
      </c>
      <c r="O1370" s="26" t="s">
        <v>77</v>
      </c>
    </row>
    <row r="1371">
      <c r="A1371" s="52" t="s">
        <v>77</v>
      </c>
      <c r="B1371" s="28" t="s">
        <v>77</v>
      </c>
      <c r="C1371" s="28" t="s">
        <v>77</v>
      </c>
      <c r="D1371" s="28" t="s">
        <v>77</v>
      </c>
      <c r="E1371" s="28" t="s">
        <v>77</v>
      </c>
      <c r="F1371" s="28" t="s">
        <v>77</v>
      </c>
      <c r="G1371" s="28" t="s">
        <v>77</v>
      </c>
      <c r="I1371" s="26" t="s">
        <v>77</v>
      </c>
      <c r="J1371" s="26" t="s">
        <v>77</v>
      </c>
      <c r="K1371" s="18"/>
      <c r="L1371" s="26" t="s">
        <v>77</v>
      </c>
      <c r="M1371" s="6" t="s">
        <v>77</v>
      </c>
      <c r="N1371" s="28" t="s">
        <v>77</v>
      </c>
      <c r="O1371" s="26" t="s">
        <v>77</v>
      </c>
    </row>
    <row r="1372">
      <c r="A1372" s="52" t="s">
        <v>77</v>
      </c>
      <c r="B1372" s="28" t="s">
        <v>77</v>
      </c>
      <c r="C1372" s="28" t="s">
        <v>77</v>
      </c>
      <c r="D1372" s="28" t="s">
        <v>77</v>
      </c>
      <c r="E1372" s="28" t="s">
        <v>77</v>
      </c>
      <c r="F1372" s="28" t="s">
        <v>77</v>
      </c>
      <c r="G1372" s="28" t="s">
        <v>77</v>
      </c>
      <c r="I1372" s="26" t="s">
        <v>77</v>
      </c>
      <c r="J1372" s="26" t="s">
        <v>77</v>
      </c>
      <c r="K1372" s="18"/>
      <c r="L1372" s="26" t="s">
        <v>77</v>
      </c>
      <c r="M1372" s="6" t="s">
        <v>77</v>
      </c>
      <c r="N1372" s="28" t="s">
        <v>77</v>
      </c>
      <c r="O1372" s="26" t="s">
        <v>77</v>
      </c>
    </row>
    <row r="1373">
      <c r="A1373" s="52" t="s">
        <v>77</v>
      </c>
      <c r="B1373" s="28" t="s">
        <v>77</v>
      </c>
      <c r="C1373" s="28" t="s">
        <v>77</v>
      </c>
      <c r="D1373" s="28" t="s">
        <v>77</v>
      </c>
      <c r="E1373" s="28" t="s">
        <v>77</v>
      </c>
      <c r="F1373" s="28" t="s">
        <v>77</v>
      </c>
      <c r="G1373" s="28" t="s">
        <v>77</v>
      </c>
      <c r="I1373" s="26" t="s">
        <v>77</v>
      </c>
      <c r="J1373" s="26" t="s">
        <v>77</v>
      </c>
      <c r="K1373" s="18"/>
      <c r="L1373" s="26" t="s">
        <v>77</v>
      </c>
      <c r="M1373" s="6" t="s">
        <v>77</v>
      </c>
      <c r="N1373" s="28" t="s">
        <v>77</v>
      </c>
      <c r="O1373" s="26" t="s">
        <v>77</v>
      </c>
    </row>
    <row r="1374">
      <c r="A1374" s="52" t="s">
        <v>77</v>
      </c>
      <c r="B1374" s="28" t="s">
        <v>77</v>
      </c>
      <c r="C1374" s="28" t="s">
        <v>77</v>
      </c>
      <c r="D1374" s="28" t="s">
        <v>77</v>
      </c>
      <c r="E1374" s="28" t="s">
        <v>77</v>
      </c>
      <c r="F1374" s="28" t="s">
        <v>77</v>
      </c>
      <c r="G1374" s="28" t="s">
        <v>77</v>
      </c>
      <c r="I1374" s="26" t="s">
        <v>77</v>
      </c>
      <c r="J1374" s="26" t="s">
        <v>77</v>
      </c>
      <c r="K1374" s="18"/>
      <c r="L1374" s="26" t="s">
        <v>77</v>
      </c>
      <c r="M1374" s="6" t="s">
        <v>77</v>
      </c>
      <c r="N1374" s="28" t="s">
        <v>77</v>
      </c>
      <c r="O1374" s="26" t="s">
        <v>77</v>
      </c>
    </row>
    <row r="1375">
      <c r="A1375" s="52" t="s">
        <v>77</v>
      </c>
      <c r="B1375" s="28" t="s">
        <v>77</v>
      </c>
      <c r="C1375" s="28" t="s">
        <v>77</v>
      </c>
      <c r="D1375" s="28" t="s">
        <v>77</v>
      </c>
      <c r="E1375" s="28" t="s">
        <v>77</v>
      </c>
      <c r="F1375" s="28" t="s">
        <v>77</v>
      </c>
      <c r="G1375" s="28" t="s">
        <v>77</v>
      </c>
      <c r="I1375" s="26" t="s">
        <v>77</v>
      </c>
      <c r="J1375" s="26" t="s">
        <v>77</v>
      </c>
      <c r="K1375" s="18"/>
      <c r="L1375" s="26" t="s">
        <v>77</v>
      </c>
      <c r="M1375" s="6" t="s">
        <v>77</v>
      </c>
      <c r="N1375" s="28" t="s">
        <v>77</v>
      </c>
      <c r="O1375" s="26" t="s">
        <v>77</v>
      </c>
    </row>
    <row r="1376">
      <c r="A1376" s="52" t="s">
        <v>77</v>
      </c>
      <c r="B1376" s="28" t="s">
        <v>77</v>
      </c>
      <c r="C1376" s="28" t="s">
        <v>77</v>
      </c>
      <c r="D1376" s="28" t="s">
        <v>77</v>
      </c>
      <c r="E1376" s="28" t="s">
        <v>77</v>
      </c>
      <c r="F1376" s="28" t="s">
        <v>77</v>
      </c>
      <c r="G1376" s="28" t="s">
        <v>77</v>
      </c>
      <c r="I1376" s="26" t="s">
        <v>77</v>
      </c>
      <c r="J1376" s="26" t="s">
        <v>77</v>
      </c>
      <c r="K1376" s="18"/>
      <c r="L1376" s="26" t="s">
        <v>77</v>
      </c>
      <c r="M1376" s="6" t="s">
        <v>77</v>
      </c>
      <c r="N1376" s="28" t="s">
        <v>77</v>
      </c>
      <c r="O1376" s="26" t="s">
        <v>77</v>
      </c>
    </row>
    <row r="1377">
      <c r="A1377" s="52" t="s">
        <v>77</v>
      </c>
      <c r="B1377" s="28" t="s">
        <v>77</v>
      </c>
      <c r="C1377" s="28" t="s">
        <v>77</v>
      </c>
      <c r="D1377" s="28" t="s">
        <v>77</v>
      </c>
      <c r="E1377" s="28" t="s">
        <v>77</v>
      </c>
      <c r="F1377" s="28" t="s">
        <v>77</v>
      </c>
      <c r="G1377" s="28" t="s">
        <v>77</v>
      </c>
      <c r="I1377" s="26" t="s">
        <v>77</v>
      </c>
      <c r="J1377" s="26" t="s">
        <v>77</v>
      </c>
      <c r="K1377" s="18"/>
      <c r="L1377" s="26" t="s">
        <v>77</v>
      </c>
      <c r="M1377" s="6" t="s">
        <v>77</v>
      </c>
      <c r="N1377" s="28" t="s">
        <v>77</v>
      </c>
      <c r="O1377" s="26" t="s">
        <v>77</v>
      </c>
    </row>
    <row r="1378">
      <c r="A1378" s="52" t="s">
        <v>77</v>
      </c>
      <c r="B1378" s="28" t="s">
        <v>77</v>
      </c>
      <c r="C1378" s="28" t="s">
        <v>77</v>
      </c>
      <c r="D1378" s="28" t="s">
        <v>77</v>
      </c>
      <c r="E1378" s="28" t="s">
        <v>77</v>
      </c>
      <c r="F1378" s="28" t="s">
        <v>77</v>
      </c>
      <c r="G1378" s="28" t="s">
        <v>77</v>
      </c>
      <c r="I1378" s="26" t="s">
        <v>77</v>
      </c>
      <c r="J1378" s="26" t="s">
        <v>77</v>
      </c>
      <c r="K1378" s="18"/>
      <c r="L1378" s="26" t="s">
        <v>77</v>
      </c>
      <c r="M1378" s="6" t="s">
        <v>77</v>
      </c>
      <c r="N1378" s="28" t="s">
        <v>77</v>
      </c>
      <c r="O1378" s="26" t="s">
        <v>77</v>
      </c>
    </row>
    <row r="1379">
      <c r="A1379" s="52" t="s">
        <v>77</v>
      </c>
      <c r="B1379" s="28" t="s">
        <v>77</v>
      </c>
      <c r="C1379" s="28" t="s">
        <v>77</v>
      </c>
      <c r="D1379" s="28" t="s">
        <v>77</v>
      </c>
      <c r="E1379" s="28" t="s">
        <v>77</v>
      </c>
      <c r="F1379" s="28" t="s">
        <v>77</v>
      </c>
      <c r="G1379" s="28" t="s">
        <v>77</v>
      </c>
      <c r="I1379" s="26" t="s">
        <v>77</v>
      </c>
      <c r="J1379" s="26" t="s">
        <v>77</v>
      </c>
      <c r="K1379" s="18"/>
      <c r="L1379" s="26" t="s">
        <v>77</v>
      </c>
      <c r="M1379" s="6" t="s">
        <v>77</v>
      </c>
      <c r="N1379" s="28" t="s">
        <v>77</v>
      </c>
      <c r="O1379" s="26" t="s">
        <v>77</v>
      </c>
    </row>
    <row r="1380">
      <c r="A1380" s="52" t="s">
        <v>77</v>
      </c>
      <c r="B1380" s="28" t="s">
        <v>77</v>
      </c>
      <c r="C1380" s="28" t="s">
        <v>77</v>
      </c>
      <c r="D1380" s="28" t="s">
        <v>77</v>
      </c>
      <c r="E1380" s="28" t="s">
        <v>77</v>
      </c>
      <c r="F1380" s="28" t="s">
        <v>77</v>
      </c>
      <c r="G1380" s="28" t="s">
        <v>77</v>
      </c>
      <c r="I1380" s="26" t="s">
        <v>77</v>
      </c>
      <c r="J1380" s="26" t="s">
        <v>77</v>
      </c>
      <c r="K1380" s="18"/>
      <c r="L1380" s="26" t="s">
        <v>77</v>
      </c>
      <c r="M1380" s="6" t="s">
        <v>77</v>
      </c>
      <c r="N1380" s="28" t="s">
        <v>77</v>
      </c>
      <c r="O1380" s="26" t="s">
        <v>77</v>
      </c>
    </row>
    <row r="1381">
      <c r="A1381" s="52" t="s">
        <v>77</v>
      </c>
      <c r="B1381" s="28" t="s">
        <v>77</v>
      </c>
      <c r="C1381" s="28" t="s">
        <v>77</v>
      </c>
      <c r="D1381" s="28" t="s">
        <v>77</v>
      </c>
      <c r="E1381" s="28" t="s">
        <v>77</v>
      </c>
      <c r="F1381" s="28" t="s">
        <v>77</v>
      </c>
      <c r="G1381" s="28" t="s">
        <v>77</v>
      </c>
      <c r="I1381" s="26" t="s">
        <v>77</v>
      </c>
      <c r="J1381" s="26" t="s">
        <v>77</v>
      </c>
      <c r="K1381" s="18"/>
      <c r="L1381" s="26" t="s">
        <v>77</v>
      </c>
      <c r="M1381" s="6" t="s">
        <v>77</v>
      </c>
      <c r="N1381" s="28" t="s">
        <v>77</v>
      </c>
      <c r="O1381" s="26" t="s">
        <v>77</v>
      </c>
    </row>
    <row r="1382">
      <c r="A1382" s="52" t="s">
        <v>77</v>
      </c>
      <c r="B1382" s="28" t="s">
        <v>77</v>
      </c>
      <c r="C1382" s="28" t="s">
        <v>77</v>
      </c>
      <c r="D1382" s="28" t="s">
        <v>77</v>
      </c>
      <c r="E1382" s="28" t="s">
        <v>77</v>
      </c>
      <c r="F1382" s="28" t="s">
        <v>77</v>
      </c>
      <c r="G1382" s="28" t="s">
        <v>77</v>
      </c>
      <c r="I1382" s="26" t="s">
        <v>77</v>
      </c>
      <c r="J1382" s="26" t="s">
        <v>77</v>
      </c>
      <c r="K1382" s="18"/>
      <c r="L1382" s="26" t="s">
        <v>77</v>
      </c>
      <c r="M1382" s="6" t="s">
        <v>77</v>
      </c>
      <c r="N1382" s="28" t="s">
        <v>77</v>
      </c>
      <c r="O1382" s="26" t="s">
        <v>77</v>
      </c>
    </row>
    <row r="1383">
      <c r="A1383" s="52" t="s">
        <v>77</v>
      </c>
      <c r="B1383" s="28" t="s">
        <v>77</v>
      </c>
      <c r="C1383" s="28" t="s">
        <v>77</v>
      </c>
      <c r="D1383" s="28" t="s">
        <v>77</v>
      </c>
      <c r="E1383" s="28" t="s">
        <v>77</v>
      </c>
      <c r="F1383" s="28" t="s">
        <v>77</v>
      </c>
      <c r="G1383" s="28" t="s">
        <v>77</v>
      </c>
      <c r="I1383" s="26" t="s">
        <v>77</v>
      </c>
      <c r="J1383" s="26" t="s">
        <v>77</v>
      </c>
      <c r="K1383" s="18"/>
      <c r="L1383" s="26" t="s">
        <v>77</v>
      </c>
      <c r="M1383" s="6" t="s">
        <v>77</v>
      </c>
      <c r="N1383" s="28" t="s">
        <v>77</v>
      </c>
      <c r="O1383" s="26" t="s">
        <v>77</v>
      </c>
    </row>
    <row r="1384">
      <c r="A1384" s="52" t="s">
        <v>77</v>
      </c>
      <c r="B1384" s="28" t="s">
        <v>77</v>
      </c>
      <c r="C1384" s="28" t="s">
        <v>77</v>
      </c>
      <c r="D1384" s="28" t="s">
        <v>77</v>
      </c>
      <c r="E1384" s="28" t="s">
        <v>77</v>
      </c>
      <c r="F1384" s="28" t="s">
        <v>77</v>
      </c>
      <c r="G1384" s="28" t="s">
        <v>77</v>
      </c>
      <c r="I1384" s="26" t="s">
        <v>77</v>
      </c>
      <c r="J1384" s="26" t="s">
        <v>77</v>
      </c>
      <c r="K1384" s="18"/>
      <c r="L1384" s="26" t="s">
        <v>77</v>
      </c>
      <c r="M1384" s="6" t="s">
        <v>77</v>
      </c>
      <c r="N1384" s="28" t="s">
        <v>77</v>
      </c>
      <c r="O1384" s="26" t="s">
        <v>77</v>
      </c>
    </row>
    <row r="1385">
      <c r="A1385" s="52" t="s">
        <v>77</v>
      </c>
      <c r="B1385" s="28" t="s">
        <v>77</v>
      </c>
      <c r="C1385" s="28" t="s">
        <v>77</v>
      </c>
      <c r="D1385" s="28" t="s">
        <v>77</v>
      </c>
      <c r="E1385" s="28" t="s">
        <v>77</v>
      </c>
      <c r="F1385" s="28" t="s">
        <v>77</v>
      </c>
      <c r="G1385" s="28" t="s">
        <v>77</v>
      </c>
      <c r="I1385" s="26" t="s">
        <v>77</v>
      </c>
      <c r="J1385" s="26" t="s">
        <v>77</v>
      </c>
      <c r="K1385" s="18"/>
      <c r="L1385" s="26" t="s">
        <v>77</v>
      </c>
      <c r="M1385" s="6" t="s">
        <v>77</v>
      </c>
      <c r="N1385" s="28" t="s">
        <v>77</v>
      </c>
      <c r="O1385" s="26" t="s">
        <v>77</v>
      </c>
    </row>
    <row r="1386">
      <c r="A1386" s="52" t="s">
        <v>77</v>
      </c>
      <c r="B1386" s="28" t="s">
        <v>77</v>
      </c>
      <c r="C1386" s="28" t="s">
        <v>77</v>
      </c>
      <c r="D1386" s="28" t="s">
        <v>77</v>
      </c>
      <c r="E1386" s="28" t="s">
        <v>77</v>
      </c>
      <c r="F1386" s="28" t="s">
        <v>77</v>
      </c>
      <c r="G1386" s="28" t="s">
        <v>77</v>
      </c>
      <c r="I1386" s="26" t="s">
        <v>77</v>
      </c>
      <c r="J1386" s="26" t="s">
        <v>77</v>
      </c>
      <c r="K1386" s="18"/>
      <c r="L1386" s="26" t="s">
        <v>77</v>
      </c>
      <c r="M1386" s="6" t="s">
        <v>77</v>
      </c>
      <c r="N1386" s="28" t="s">
        <v>77</v>
      </c>
      <c r="O1386" s="26" t="s">
        <v>77</v>
      </c>
    </row>
    <row r="1387">
      <c r="A1387" s="52" t="s">
        <v>77</v>
      </c>
      <c r="B1387" s="28" t="s">
        <v>77</v>
      </c>
      <c r="C1387" s="28" t="s">
        <v>77</v>
      </c>
      <c r="D1387" s="28" t="s">
        <v>77</v>
      </c>
      <c r="E1387" s="28" t="s">
        <v>77</v>
      </c>
      <c r="F1387" s="28" t="s">
        <v>77</v>
      </c>
      <c r="G1387" s="28" t="s">
        <v>77</v>
      </c>
      <c r="I1387" s="26" t="s">
        <v>77</v>
      </c>
      <c r="J1387" s="26" t="s">
        <v>77</v>
      </c>
      <c r="K1387" s="18"/>
      <c r="L1387" s="26" t="s">
        <v>77</v>
      </c>
      <c r="M1387" s="6" t="s">
        <v>77</v>
      </c>
      <c r="N1387" s="28" t="s">
        <v>77</v>
      </c>
      <c r="O1387" s="26" t="s">
        <v>77</v>
      </c>
    </row>
    <row r="1388">
      <c r="A1388" s="52" t="s">
        <v>77</v>
      </c>
      <c r="B1388" s="28" t="s">
        <v>77</v>
      </c>
      <c r="C1388" s="28" t="s">
        <v>77</v>
      </c>
      <c r="D1388" s="28" t="s">
        <v>77</v>
      </c>
      <c r="E1388" s="28" t="s">
        <v>77</v>
      </c>
      <c r="F1388" s="28" t="s">
        <v>77</v>
      </c>
      <c r="G1388" s="28" t="s">
        <v>77</v>
      </c>
      <c r="I1388" s="26" t="s">
        <v>77</v>
      </c>
      <c r="J1388" s="26" t="s">
        <v>77</v>
      </c>
      <c r="K1388" s="18"/>
      <c r="L1388" s="26" t="s">
        <v>77</v>
      </c>
      <c r="M1388" s="6" t="s">
        <v>77</v>
      </c>
      <c r="N1388" s="28" t="s">
        <v>77</v>
      </c>
      <c r="O1388" s="26" t="s">
        <v>77</v>
      </c>
    </row>
    <row r="1389">
      <c r="A1389" s="52" t="s">
        <v>77</v>
      </c>
      <c r="B1389" s="28" t="s">
        <v>77</v>
      </c>
      <c r="C1389" s="28" t="s">
        <v>77</v>
      </c>
      <c r="D1389" s="28" t="s">
        <v>77</v>
      </c>
      <c r="E1389" s="28" t="s">
        <v>77</v>
      </c>
      <c r="F1389" s="28" t="s">
        <v>77</v>
      </c>
      <c r="G1389" s="28" t="s">
        <v>77</v>
      </c>
      <c r="I1389" s="26" t="s">
        <v>77</v>
      </c>
      <c r="J1389" s="26" t="s">
        <v>77</v>
      </c>
      <c r="K1389" s="18"/>
      <c r="L1389" s="26" t="s">
        <v>77</v>
      </c>
      <c r="M1389" s="6" t="s">
        <v>77</v>
      </c>
      <c r="N1389" s="28" t="s">
        <v>77</v>
      </c>
      <c r="O1389" s="26" t="s">
        <v>77</v>
      </c>
    </row>
    <row r="1390">
      <c r="A1390" s="52" t="s">
        <v>77</v>
      </c>
      <c r="B1390" s="28" t="s">
        <v>77</v>
      </c>
      <c r="C1390" s="28" t="s">
        <v>77</v>
      </c>
      <c r="D1390" s="28" t="s">
        <v>77</v>
      </c>
      <c r="E1390" s="28" t="s">
        <v>77</v>
      </c>
      <c r="F1390" s="28" t="s">
        <v>77</v>
      </c>
      <c r="G1390" s="28" t="s">
        <v>77</v>
      </c>
      <c r="I1390" s="26" t="s">
        <v>77</v>
      </c>
      <c r="J1390" s="26" t="s">
        <v>77</v>
      </c>
      <c r="K1390" s="18"/>
      <c r="L1390" s="26" t="s">
        <v>77</v>
      </c>
      <c r="M1390" s="6" t="s">
        <v>77</v>
      </c>
      <c r="N1390" s="28" t="s">
        <v>77</v>
      </c>
      <c r="O1390" s="26" t="s">
        <v>77</v>
      </c>
    </row>
    <row r="1391">
      <c r="A1391" s="52" t="s">
        <v>77</v>
      </c>
      <c r="B1391" s="28" t="s">
        <v>77</v>
      </c>
      <c r="C1391" s="28" t="s">
        <v>77</v>
      </c>
      <c r="D1391" s="28" t="s">
        <v>77</v>
      </c>
      <c r="E1391" s="28" t="s">
        <v>77</v>
      </c>
      <c r="F1391" s="28" t="s">
        <v>77</v>
      </c>
      <c r="G1391" s="28" t="s">
        <v>77</v>
      </c>
      <c r="I1391" s="26" t="s">
        <v>77</v>
      </c>
      <c r="J1391" s="26" t="s">
        <v>77</v>
      </c>
      <c r="K1391" s="18"/>
      <c r="L1391" s="26" t="s">
        <v>77</v>
      </c>
      <c r="M1391" s="6" t="s">
        <v>77</v>
      </c>
      <c r="N1391" s="28" t="s">
        <v>77</v>
      </c>
      <c r="O1391" s="26" t="s">
        <v>77</v>
      </c>
    </row>
    <row r="1392">
      <c r="A1392" s="52" t="s">
        <v>77</v>
      </c>
      <c r="B1392" s="28" t="s">
        <v>77</v>
      </c>
      <c r="C1392" s="28" t="s">
        <v>77</v>
      </c>
      <c r="D1392" s="28" t="s">
        <v>77</v>
      </c>
      <c r="E1392" s="28" t="s">
        <v>77</v>
      </c>
      <c r="F1392" s="28" t="s">
        <v>77</v>
      </c>
      <c r="G1392" s="28" t="s">
        <v>77</v>
      </c>
      <c r="I1392" s="26" t="s">
        <v>77</v>
      </c>
      <c r="J1392" s="26" t="s">
        <v>77</v>
      </c>
      <c r="K1392" s="18"/>
      <c r="L1392" s="26" t="s">
        <v>77</v>
      </c>
      <c r="M1392" s="6" t="s">
        <v>77</v>
      </c>
      <c r="N1392" s="28" t="s">
        <v>77</v>
      </c>
      <c r="O1392" s="26" t="s">
        <v>77</v>
      </c>
    </row>
    <row r="1393">
      <c r="A1393" s="52" t="s">
        <v>77</v>
      </c>
      <c r="B1393" s="28" t="s">
        <v>77</v>
      </c>
      <c r="C1393" s="28" t="s">
        <v>77</v>
      </c>
      <c r="D1393" s="28" t="s">
        <v>77</v>
      </c>
      <c r="E1393" s="28" t="s">
        <v>77</v>
      </c>
      <c r="F1393" s="28" t="s">
        <v>77</v>
      </c>
      <c r="G1393" s="28" t="s">
        <v>77</v>
      </c>
      <c r="I1393" s="26" t="s">
        <v>77</v>
      </c>
      <c r="J1393" s="26" t="s">
        <v>77</v>
      </c>
      <c r="K1393" s="18"/>
      <c r="L1393" s="26" t="s">
        <v>77</v>
      </c>
      <c r="M1393" s="6" t="s">
        <v>77</v>
      </c>
      <c r="N1393" s="28" t="s">
        <v>77</v>
      </c>
      <c r="O1393" s="26" t="s">
        <v>77</v>
      </c>
    </row>
    <row r="1394">
      <c r="A1394" s="52" t="s">
        <v>77</v>
      </c>
      <c r="B1394" s="28" t="s">
        <v>77</v>
      </c>
      <c r="C1394" s="28" t="s">
        <v>77</v>
      </c>
      <c r="D1394" s="28" t="s">
        <v>77</v>
      </c>
      <c r="E1394" s="28" t="s">
        <v>77</v>
      </c>
      <c r="F1394" s="28" t="s">
        <v>77</v>
      </c>
      <c r="G1394" s="28" t="s">
        <v>77</v>
      </c>
      <c r="I1394" s="26" t="s">
        <v>77</v>
      </c>
      <c r="J1394" s="26" t="s">
        <v>77</v>
      </c>
      <c r="K1394" s="18"/>
      <c r="L1394" s="26" t="s">
        <v>77</v>
      </c>
      <c r="M1394" s="6" t="s">
        <v>77</v>
      </c>
      <c r="N1394" s="28" t="s">
        <v>77</v>
      </c>
      <c r="O1394" s="26" t="s">
        <v>77</v>
      </c>
    </row>
    <row r="1395">
      <c r="A1395" s="52" t="s">
        <v>77</v>
      </c>
      <c r="B1395" s="28" t="s">
        <v>77</v>
      </c>
      <c r="C1395" s="28" t="s">
        <v>77</v>
      </c>
      <c r="D1395" s="28" t="s">
        <v>77</v>
      </c>
      <c r="E1395" s="28" t="s">
        <v>77</v>
      </c>
      <c r="F1395" s="28" t="s">
        <v>77</v>
      </c>
      <c r="G1395" s="28" t="s">
        <v>77</v>
      </c>
      <c r="I1395" s="26" t="s">
        <v>77</v>
      </c>
      <c r="J1395" s="26" t="s">
        <v>77</v>
      </c>
      <c r="K1395" s="18"/>
      <c r="L1395" s="26" t="s">
        <v>77</v>
      </c>
      <c r="M1395" s="6" t="s">
        <v>77</v>
      </c>
      <c r="N1395" s="28" t="s">
        <v>77</v>
      </c>
      <c r="O1395" s="26" t="s">
        <v>77</v>
      </c>
    </row>
    <row r="1396">
      <c r="A1396" s="52" t="s">
        <v>77</v>
      </c>
      <c r="B1396" s="28" t="s">
        <v>77</v>
      </c>
      <c r="C1396" s="28" t="s">
        <v>77</v>
      </c>
      <c r="D1396" s="28" t="s">
        <v>77</v>
      </c>
      <c r="E1396" s="28" t="s">
        <v>77</v>
      </c>
      <c r="F1396" s="28" t="s">
        <v>77</v>
      </c>
      <c r="G1396" s="28" t="s">
        <v>77</v>
      </c>
      <c r="I1396" s="26" t="s">
        <v>77</v>
      </c>
      <c r="J1396" s="26" t="s">
        <v>77</v>
      </c>
      <c r="K1396" s="18"/>
      <c r="L1396" s="26" t="s">
        <v>77</v>
      </c>
      <c r="M1396" s="6" t="s">
        <v>77</v>
      </c>
      <c r="N1396" s="28" t="s">
        <v>77</v>
      </c>
      <c r="O1396" s="26" t="s">
        <v>77</v>
      </c>
    </row>
    <row r="1397">
      <c r="A1397" s="52" t="s">
        <v>77</v>
      </c>
      <c r="B1397" s="28" t="s">
        <v>77</v>
      </c>
      <c r="C1397" s="28" t="s">
        <v>77</v>
      </c>
      <c r="D1397" s="28" t="s">
        <v>77</v>
      </c>
      <c r="E1397" s="28" t="s">
        <v>77</v>
      </c>
      <c r="F1397" s="28" t="s">
        <v>77</v>
      </c>
      <c r="G1397" s="28" t="s">
        <v>77</v>
      </c>
      <c r="I1397" s="26" t="s">
        <v>77</v>
      </c>
      <c r="J1397" s="26" t="s">
        <v>77</v>
      </c>
      <c r="K1397" s="18"/>
      <c r="L1397" s="26" t="s">
        <v>77</v>
      </c>
      <c r="M1397" s="6" t="s">
        <v>77</v>
      </c>
      <c r="N1397" s="28" t="s">
        <v>77</v>
      </c>
      <c r="O1397" s="26" t="s">
        <v>77</v>
      </c>
    </row>
    <row r="1398">
      <c r="A1398" s="52" t="s">
        <v>77</v>
      </c>
      <c r="B1398" s="28" t="s">
        <v>77</v>
      </c>
      <c r="C1398" s="28" t="s">
        <v>77</v>
      </c>
      <c r="D1398" s="28" t="s">
        <v>77</v>
      </c>
      <c r="E1398" s="28" t="s">
        <v>77</v>
      </c>
      <c r="F1398" s="28" t="s">
        <v>77</v>
      </c>
      <c r="G1398" s="28" t="s">
        <v>77</v>
      </c>
      <c r="I1398" s="26" t="s">
        <v>77</v>
      </c>
      <c r="J1398" s="26" t="s">
        <v>77</v>
      </c>
      <c r="K1398" s="18"/>
      <c r="L1398" s="26" t="s">
        <v>77</v>
      </c>
      <c r="M1398" s="6" t="s">
        <v>77</v>
      </c>
      <c r="N1398" s="28" t="s">
        <v>77</v>
      </c>
      <c r="O1398" s="26" t="s">
        <v>77</v>
      </c>
    </row>
    <row r="1399">
      <c r="A1399" s="52" t="s">
        <v>77</v>
      </c>
      <c r="B1399" s="28" t="s">
        <v>77</v>
      </c>
      <c r="C1399" s="28" t="s">
        <v>77</v>
      </c>
      <c r="D1399" s="28" t="s">
        <v>77</v>
      </c>
      <c r="E1399" s="28" t="s">
        <v>77</v>
      </c>
      <c r="F1399" s="28" t="s">
        <v>77</v>
      </c>
      <c r="G1399" s="28" t="s">
        <v>77</v>
      </c>
      <c r="I1399" s="26" t="s">
        <v>77</v>
      </c>
      <c r="J1399" s="26" t="s">
        <v>77</v>
      </c>
      <c r="K1399" s="18"/>
      <c r="L1399" s="26" t="s">
        <v>77</v>
      </c>
      <c r="M1399" s="6" t="s">
        <v>77</v>
      </c>
      <c r="N1399" s="28" t="s">
        <v>77</v>
      </c>
      <c r="O1399" s="26" t="s">
        <v>77</v>
      </c>
    </row>
    <row r="1400">
      <c r="A1400" s="52" t="s">
        <v>77</v>
      </c>
      <c r="B1400" s="28" t="s">
        <v>77</v>
      </c>
      <c r="C1400" s="28" t="s">
        <v>77</v>
      </c>
      <c r="D1400" s="28" t="s">
        <v>77</v>
      </c>
      <c r="E1400" s="28" t="s">
        <v>77</v>
      </c>
      <c r="F1400" s="28" t="s">
        <v>77</v>
      </c>
      <c r="G1400" s="28" t="s">
        <v>77</v>
      </c>
      <c r="I1400" s="26" t="s">
        <v>77</v>
      </c>
      <c r="J1400" s="26" t="s">
        <v>77</v>
      </c>
      <c r="K1400" s="18"/>
      <c r="L1400" s="26" t="s">
        <v>77</v>
      </c>
      <c r="M1400" s="6" t="s">
        <v>77</v>
      </c>
      <c r="N1400" s="28" t="s">
        <v>77</v>
      </c>
      <c r="O1400" s="26" t="s">
        <v>77</v>
      </c>
    </row>
    <row r="1401">
      <c r="A1401" s="52" t="s">
        <v>77</v>
      </c>
      <c r="B1401" s="28" t="s">
        <v>77</v>
      </c>
      <c r="C1401" s="28" t="s">
        <v>77</v>
      </c>
      <c r="D1401" s="28" t="s">
        <v>77</v>
      </c>
      <c r="E1401" s="28" t="s">
        <v>77</v>
      </c>
      <c r="F1401" s="28" t="s">
        <v>77</v>
      </c>
      <c r="G1401" s="28" t="s">
        <v>77</v>
      </c>
      <c r="I1401" s="26" t="s">
        <v>77</v>
      </c>
      <c r="J1401" s="26" t="s">
        <v>77</v>
      </c>
      <c r="K1401" s="18"/>
      <c r="L1401" s="26" t="s">
        <v>77</v>
      </c>
      <c r="M1401" s="6" t="s">
        <v>77</v>
      </c>
      <c r="N1401" s="28" t="s">
        <v>77</v>
      </c>
      <c r="O1401" s="26" t="s">
        <v>77</v>
      </c>
    </row>
    <row r="1402">
      <c r="A1402" s="52" t="s">
        <v>77</v>
      </c>
      <c r="B1402" s="28" t="s">
        <v>77</v>
      </c>
      <c r="C1402" s="28" t="s">
        <v>77</v>
      </c>
      <c r="D1402" s="28" t="s">
        <v>77</v>
      </c>
      <c r="E1402" s="28" t="s">
        <v>77</v>
      </c>
      <c r="F1402" s="28" t="s">
        <v>77</v>
      </c>
      <c r="G1402" s="28" t="s">
        <v>77</v>
      </c>
      <c r="I1402" s="26" t="s">
        <v>77</v>
      </c>
      <c r="J1402" s="26" t="s">
        <v>77</v>
      </c>
      <c r="K1402" s="18"/>
      <c r="L1402" s="26" t="s">
        <v>77</v>
      </c>
      <c r="M1402" s="6" t="s">
        <v>77</v>
      </c>
      <c r="N1402" s="28" t="s">
        <v>77</v>
      </c>
      <c r="O1402" s="26" t="s">
        <v>77</v>
      </c>
    </row>
    <row r="1403">
      <c r="A1403" s="52" t="s">
        <v>77</v>
      </c>
      <c r="B1403" s="28" t="s">
        <v>77</v>
      </c>
      <c r="C1403" s="28" t="s">
        <v>77</v>
      </c>
      <c r="D1403" s="28" t="s">
        <v>77</v>
      </c>
      <c r="E1403" s="28" t="s">
        <v>77</v>
      </c>
      <c r="F1403" s="28" t="s">
        <v>77</v>
      </c>
      <c r="G1403" s="28" t="s">
        <v>77</v>
      </c>
      <c r="I1403" s="26" t="s">
        <v>77</v>
      </c>
      <c r="J1403" s="26" t="s">
        <v>77</v>
      </c>
      <c r="K1403" s="18"/>
      <c r="L1403" s="26" t="s">
        <v>77</v>
      </c>
      <c r="M1403" s="6" t="s">
        <v>77</v>
      </c>
      <c r="N1403" s="28" t="s">
        <v>77</v>
      </c>
      <c r="O1403" s="26" t="s">
        <v>77</v>
      </c>
    </row>
    <row r="1404">
      <c r="A1404" s="52" t="s">
        <v>77</v>
      </c>
      <c r="B1404" s="28" t="s">
        <v>77</v>
      </c>
      <c r="C1404" s="28" t="s">
        <v>77</v>
      </c>
      <c r="D1404" s="28" t="s">
        <v>77</v>
      </c>
      <c r="E1404" s="28" t="s">
        <v>77</v>
      </c>
      <c r="F1404" s="28" t="s">
        <v>77</v>
      </c>
      <c r="G1404" s="28" t="s">
        <v>77</v>
      </c>
      <c r="I1404" s="26" t="s">
        <v>77</v>
      </c>
      <c r="J1404" s="26" t="s">
        <v>77</v>
      </c>
      <c r="K1404" s="18"/>
      <c r="L1404" s="26" t="s">
        <v>77</v>
      </c>
      <c r="M1404" s="6" t="s">
        <v>77</v>
      </c>
      <c r="N1404" s="28" t="s">
        <v>77</v>
      </c>
      <c r="O1404" s="26" t="s">
        <v>77</v>
      </c>
    </row>
    <row r="1405">
      <c r="A1405" s="52" t="s">
        <v>77</v>
      </c>
      <c r="B1405" s="28" t="s">
        <v>77</v>
      </c>
      <c r="C1405" s="28" t="s">
        <v>77</v>
      </c>
      <c r="D1405" s="28" t="s">
        <v>77</v>
      </c>
      <c r="E1405" s="28" t="s">
        <v>77</v>
      </c>
      <c r="F1405" s="28" t="s">
        <v>77</v>
      </c>
      <c r="G1405" s="28" t="s">
        <v>77</v>
      </c>
      <c r="I1405" s="26" t="s">
        <v>77</v>
      </c>
      <c r="J1405" s="26" t="s">
        <v>77</v>
      </c>
      <c r="K1405" s="18"/>
      <c r="L1405" s="26" t="s">
        <v>77</v>
      </c>
      <c r="M1405" s="6" t="s">
        <v>77</v>
      </c>
      <c r="N1405" s="28" t="s">
        <v>77</v>
      </c>
      <c r="O1405" s="26" t="s">
        <v>77</v>
      </c>
    </row>
    <row r="1406">
      <c r="A1406" s="52" t="s">
        <v>77</v>
      </c>
      <c r="B1406" s="28" t="s">
        <v>77</v>
      </c>
      <c r="C1406" s="28" t="s">
        <v>77</v>
      </c>
      <c r="D1406" s="28" t="s">
        <v>77</v>
      </c>
      <c r="E1406" s="28" t="s">
        <v>77</v>
      </c>
      <c r="F1406" s="28" t="s">
        <v>77</v>
      </c>
      <c r="G1406" s="28" t="s">
        <v>77</v>
      </c>
      <c r="I1406" s="26" t="s">
        <v>77</v>
      </c>
      <c r="J1406" s="26" t="s">
        <v>77</v>
      </c>
      <c r="K1406" s="18"/>
      <c r="L1406" s="26" t="s">
        <v>77</v>
      </c>
      <c r="M1406" s="6" t="s">
        <v>77</v>
      </c>
      <c r="N1406" s="28" t="s">
        <v>77</v>
      </c>
      <c r="O1406" s="26" t="s">
        <v>77</v>
      </c>
    </row>
    <row r="1407">
      <c r="A1407" s="52" t="s">
        <v>77</v>
      </c>
      <c r="B1407" s="28" t="s">
        <v>77</v>
      </c>
      <c r="C1407" s="28" t="s">
        <v>77</v>
      </c>
      <c r="D1407" s="28" t="s">
        <v>77</v>
      </c>
      <c r="E1407" s="28" t="s">
        <v>77</v>
      </c>
      <c r="F1407" s="28" t="s">
        <v>77</v>
      </c>
      <c r="G1407" s="28" t="s">
        <v>77</v>
      </c>
      <c r="I1407" s="26" t="s">
        <v>77</v>
      </c>
      <c r="J1407" s="26" t="s">
        <v>77</v>
      </c>
      <c r="K1407" s="18"/>
      <c r="L1407" s="26" t="s">
        <v>77</v>
      </c>
      <c r="M1407" s="6" t="s">
        <v>77</v>
      </c>
      <c r="N1407" s="28" t="s">
        <v>77</v>
      </c>
      <c r="O1407" s="26" t="s">
        <v>77</v>
      </c>
    </row>
    <row r="1408">
      <c r="A1408" s="52" t="s">
        <v>77</v>
      </c>
      <c r="B1408" s="28" t="s">
        <v>77</v>
      </c>
      <c r="C1408" s="28" t="s">
        <v>77</v>
      </c>
      <c r="D1408" s="28" t="s">
        <v>77</v>
      </c>
      <c r="E1408" s="28" t="s">
        <v>77</v>
      </c>
      <c r="F1408" s="28" t="s">
        <v>77</v>
      </c>
      <c r="G1408" s="28" t="s">
        <v>77</v>
      </c>
      <c r="I1408" s="26" t="s">
        <v>77</v>
      </c>
      <c r="J1408" s="26" t="s">
        <v>77</v>
      </c>
      <c r="K1408" s="18"/>
      <c r="L1408" s="26" t="s">
        <v>77</v>
      </c>
      <c r="M1408" s="6" t="s">
        <v>77</v>
      </c>
      <c r="N1408" s="28" t="s">
        <v>77</v>
      </c>
      <c r="O1408" s="26" t="s">
        <v>77</v>
      </c>
    </row>
    <row r="1409">
      <c r="A1409" s="52" t="s">
        <v>77</v>
      </c>
      <c r="B1409" s="28" t="s">
        <v>77</v>
      </c>
      <c r="C1409" s="28" t="s">
        <v>77</v>
      </c>
      <c r="D1409" s="28" t="s">
        <v>77</v>
      </c>
      <c r="E1409" s="28" t="s">
        <v>77</v>
      </c>
      <c r="F1409" s="28" t="s">
        <v>77</v>
      </c>
      <c r="G1409" s="28" t="s">
        <v>77</v>
      </c>
      <c r="I1409" s="26" t="s">
        <v>77</v>
      </c>
      <c r="J1409" s="26" t="s">
        <v>77</v>
      </c>
      <c r="K1409" s="18"/>
      <c r="L1409" s="26" t="s">
        <v>77</v>
      </c>
      <c r="M1409" s="6" t="s">
        <v>77</v>
      </c>
      <c r="N1409" s="28" t="s">
        <v>77</v>
      </c>
      <c r="O1409" s="26" t="s">
        <v>77</v>
      </c>
    </row>
    <row r="1410">
      <c r="A1410" s="52" t="s">
        <v>77</v>
      </c>
      <c r="B1410" s="28" t="s">
        <v>77</v>
      </c>
      <c r="C1410" s="28" t="s">
        <v>77</v>
      </c>
      <c r="D1410" s="28" t="s">
        <v>77</v>
      </c>
      <c r="E1410" s="28" t="s">
        <v>77</v>
      </c>
      <c r="F1410" s="28" t="s">
        <v>77</v>
      </c>
      <c r="G1410" s="28" t="s">
        <v>77</v>
      </c>
      <c r="I1410" s="26" t="s">
        <v>77</v>
      </c>
      <c r="J1410" s="26" t="s">
        <v>77</v>
      </c>
      <c r="K1410" s="18"/>
      <c r="L1410" s="26" t="s">
        <v>77</v>
      </c>
      <c r="M1410" s="6" t="s">
        <v>77</v>
      </c>
      <c r="N1410" s="28" t="s">
        <v>77</v>
      </c>
      <c r="O1410" s="26" t="s">
        <v>77</v>
      </c>
    </row>
    <row r="1411">
      <c r="A1411" s="52" t="s">
        <v>77</v>
      </c>
      <c r="B1411" s="28" t="s">
        <v>77</v>
      </c>
      <c r="C1411" s="28" t="s">
        <v>77</v>
      </c>
      <c r="D1411" s="28" t="s">
        <v>77</v>
      </c>
      <c r="E1411" s="28" t="s">
        <v>77</v>
      </c>
      <c r="F1411" s="28" t="s">
        <v>77</v>
      </c>
      <c r="G1411" s="28" t="s">
        <v>77</v>
      </c>
      <c r="I1411" s="26" t="s">
        <v>77</v>
      </c>
      <c r="J1411" s="26" t="s">
        <v>77</v>
      </c>
      <c r="K1411" s="18"/>
      <c r="L1411" s="26" t="s">
        <v>77</v>
      </c>
      <c r="M1411" s="6" t="s">
        <v>77</v>
      </c>
      <c r="N1411" s="28" t="s">
        <v>77</v>
      </c>
      <c r="O1411" s="26" t="s">
        <v>77</v>
      </c>
    </row>
    <row r="1412">
      <c r="A1412" s="52" t="s">
        <v>77</v>
      </c>
      <c r="B1412" s="28" t="s">
        <v>77</v>
      </c>
      <c r="C1412" s="28" t="s">
        <v>77</v>
      </c>
      <c r="D1412" s="28" t="s">
        <v>77</v>
      </c>
      <c r="E1412" s="28" t="s">
        <v>77</v>
      </c>
      <c r="F1412" s="28" t="s">
        <v>77</v>
      </c>
      <c r="G1412" s="28" t="s">
        <v>77</v>
      </c>
      <c r="I1412" s="26" t="s">
        <v>77</v>
      </c>
      <c r="J1412" s="26" t="s">
        <v>77</v>
      </c>
      <c r="K1412" s="18"/>
      <c r="L1412" s="26" t="s">
        <v>77</v>
      </c>
      <c r="M1412" s="6" t="s">
        <v>77</v>
      </c>
      <c r="N1412" s="28" t="s">
        <v>77</v>
      </c>
      <c r="O1412" s="26" t="s">
        <v>77</v>
      </c>
    </row>
    <row r="1413">
      <c r="A1413" s="52" t="s">
        <v>77</v>
      </c>
      <c r="B1413" s="28" t="s">
        <v>77</v>
      </c>
      <c r="C1413" s="28" t="s">
        <v>77</v>
      </c>
      <c r="D1413" s="28" t="s">
        <v>77</v>
      </c>
      <c r="E1413" s="28" t="s">
        <v>77</v>
      </c>
      <c r="F1413" s="28" t="s">
        <v>77</v>
      </c>
      <c r="G1413" s="28" t="s">
        <v>77</v>
      </c>
      <c r="I1413" s="26" t="s">
        <v>77</v>
      </c>
      <c r="J1413" s="26" t="s">
        <v>77</v>
      </c>
      <c r="K1413" s="18"/>
      <c r="L1413" s="26" t="s">
        <v>77</v>
      </c>
      <c r="M1413" s="6" t="s">
        <v>77</v>
      </c>
      <c r="N1413" s="28" t="s">
        <v>77</v>
      </c>
      <c r="O1413" s="26" t="s">
        <v>77</v>
      </c>
    </row>
    <row r="1414">
      <c r="A1414" s="52" t="s">
        <v>77</v>
      </c>
      <c r="B1414" s="28" t="s">
        <v>77</v>
      </c>
      <c r="C1414" s="28" t="s">
        <v>77</v>
      </c>
      <c r="D1414" s="28" t="s">
        <v>77</v>
      </c>
      <c r="E1414" s="28" t="s">
        <v>77</v>
      </c>
      <c r="F1414" s="28" t="s">
        <v>77</v>
      </c>
      <c r="G1414" s="28" t="s">
        <v>77</v>
      </c>
      <c r="I1414" s="26" t="s">
        <v>77</v>
      </c>
      <c r="J1414" s="26" t="s">
        <v>77</v>
      </c>
      <c r="K1414" s="18"/>
      <c r="L1414" s="26" t="s">
        <v>77</v>
      </c>
      <c r="M1414" s="6" t="s">
        <v>77</v>
      </c>
      <c r="N1414" s="28" t="s">
        <v>77</v>
      </c>
      <c r="O1414" s="26" t="s">
        <v>77</v>
      </c>
    </row>
    <row r="1415">
      <c r="A1415" s="52" t="s">
        <v>77</v>
      </c>
      <c r="B1415" s="28" t="s">
        <v>77</v>
      </c>
      <c r="C1415" s="28" t="s">
        <v>77</v>
      </c>
      <c r="D1415" s="28" t="s">
        <v>77</v>
      </c>
      <c r="E1415" s="28" t="s">
        <v>77</v>
      </c>
      <c r="F1415" s="28" t="s">
        <v>77</v>
      </c>
      <c r="G1415" s="28" t="s">
        <v>77</v>
      </c>
      <c r="I1415" s="26" t="s">
        <v>77</v>
      </c>
      <c r="J1415" s="26" t="s">
        <v>77</v>
      </c>
      <c r="K1415" s="18"/>
      <c r="L1415" s="26" t="s">
        <v>77</v>
      </c>
      <c r="M1415" s="6" t="s">
        <v>77</v>
      </c>
      <c r="N1415" s="28" t="s">
        <v>77</v>
      </c>
      <c r="O1415" s="26" t="s">
        <v>77</v>
      </c>
    </row>
    <row r="1416">
      <c r="A1416" s="52" t="s">
        <v>77</v>
      </c>
      <c r="B1416" s="28" t="s">
        <v>77</v>
      </c>
      <c r="C1416" s="28" t="s">
        <v>77</v>
      </c>
      <c r="D1416" s="28" t="s">
        <v>77</v>
      </c>
      <c r="E1416" s="28" t="s">
        <v>77</v>
      </c>
      <c r="F1416" s="28" t="s">
        <v>77</v>
      </c>
      <c r="G1416" s="28" t="s">
        <v>77</v>
      </c>
      <c r="I1416" s="26" t="s">
        <v>77</v>
      </c>
      <c r="J1416" s="26" t="s">
        <v>77</v>
      </c>
      <c r="K1416" s="18"/>
      <c r="L1416" s="26" t="s">
        <v>77</v>
      </c>
      <c r="M1416" s="6" t="s">
        <v>77</v>
      </c>
      <c r="N1416" s="28" t="s">
        <v>77</v>
      </c>
      <c r="O1416" s="26" t="s">
        <v>77</v>
      </c>
    </row>
    <row r="1417">
      <c r="A1417" s="52" t="s">
        <v>77</v>
      </c>
      <c r="B1417" s="28" t="s">
        <v>77</v>
      </c>
      <c r="C1417" s="28" t="s">
        <v>77</v>
      </c>
      <c r="D1417" s="28" t="s">
        <v>77</v>
      </c>
      <c r="E1417" s="28" t="s">
        <v>77</v>
      </c>
      <c r="F1417" s="28" t="s">
        <v>77</v>
      </c>
      <c r="G1417" s="28" t="s">
        <v>77</v>
      </c>
      <c r="I1417" s="26" t="s">
        <v>77</v>
      </c>
      <c r="J1417" s="26" t="s">
        <v>77</v>
      </c>
      <c r="K1417" s="18"/>
      <c r="L1417" s="26" t="s">
        <v>77</v>
      </c>
      <c r="M1417" s="6" t="s">
        <v>77</v>
      </c>
      <c r="N1417" s="28" t="s">
        <v>77</v>
      </c>
      <c r="O1417" s="26" t="s">
        <v>77</v>
      </c>
    </row>
    <row r="1418">
      <c r="A1418" s="52" t="s">
        <v>77</v>
      </c>
      <c r="B1418" s="28" t="s">
        <v>77</v>
      </c>
      <c r="C1418" s="28" t="s">
        <v>77</v>
      </c>
      <c r="D1418" s="28" t="s">
        <v>77</v>
      </c>
      <c r="E1418" s="28" t="s">
        <v>77</v>
      </c>
      <c r="F1418" s="28" t="s">
        <v>77</v>
      </c>
      <c r="G1418" s="28" t="s">
        <v>77</v>
      </c>
      <c r="I1418" s="26" t="s">
        <v>77</v>
      </c>
      <c r="J1418" s="26" t="s">
        <v>77</v>
      </c>
      <c r="K1418" s="18"/>
      <c r="L1418" s="26" t="s">
        <v>77</v>
      </c>
      <c r="M1418" s="6" t="s">
        <v>77</v>
      </c>
      <c r="N1418" s="28" t="s">
        <v>77</v>
      </c>
      <c r="O1418" s="26" t="s">
        <v>77</v>
      </c>
    </row>
    <row r="1419">
      <c r="A1419" s="52" t="s">
        <v>77</v>
      </c>
      <c r="B1419" s="28" t="s">
        <v>77</v>
      </c>
      <c r="C1419" s="28" t="s">
        <v>77</v>
      </c>
      <c r="D1419" s="28" t="s">
        <v>77</v>
      </c>
      <c r="E1419" s="28" t="s">
        <v>77</v>
      </c>
      <c r="F1419" s="28" t="s">
        <v>77</v>
      </c>
      <c r="G1419" s="28" t="s">
        <v>77</v>
      </c>
      <c r="I1419" s="26" t="s">
        <v>77</v>
      </c>
      <c r="J1419" s="26" t="s">
        <v>77</v>
      </c>
      <c r="K1419" s="18"/>
      <c r="L1419" s="26" t="s">
        <v>77</v>
      </c>
      <c r="M1419" s="6" t="s">
        <v>77</v>
      </c>
      <c r="N1419" s="28" t="s">
        <v>77</v>
      </c>
      <c r="O1419" s="26" t="s">
        <v>77</v>
      </c>
    </row>
    <row r="1420">
      <c r="A1420" s="52" t="s">
        <v>77</v>
      </c>
      <c r="B1420" s="28" t="s">
        <v>77</v>
      </c>
      <c r="C1420" s="28" t="s">
        <v>77</v>
      </c>
      <c r="D1420" s="28" t="s">
        <v>77</v>
      </c>
      <c r="E1420" s="28" t="s">
        <v>77</v>
      </c>
      <c r="F1420" s="28" t="s">
        <v>77</v>
      </c>
      <c r="G1420" s="28" t="s">
        <v>77</v>
      </c>
      <c r="I1420" s="26" t="s">
        <v>77</v>
      </c>
      <c r="J1420" s="26" t="s">
        <v>77</v>
      </c>
      <c r="K1420" s="18"/>
      <c r="L1420" s="26" t="s">
        <v>77</v>
      </c>
      <c r="M1420" s="6" t="s">
        <v>77</v>
      </c>
      <c r="N1420" s="28" t="s">
        <v>77</v>
      </c>
      <c r="O1420" s="26" t="s">
        <v>77</v>
      </c>
    </row>
    <row r="1421">
      <c r="A1421" s="52" t="s">
        <v>77</v>
      </c>
      <c r="B1421" s="28" t="s">
        <v>77</v>
      </c>
      <c r="C1421" s="28" t="s">
        <v>77</v>
      </c>
      <c r="D1421" s="28" t="s">
        <v>77</v>
      </c>
      <c r="E1421" s="28" t="s">
        <v>77</v>
      </c>
      <c r="F1421" s="28" t="s">
        <v>77</v>
      </c>
      <c r="G1421" s="28" t="s">
        <v>77</v>
      </c>
      <c r="I1421" s="26" t="s">
        <v>77</v>
      </c>
      <c r="J1421" s="26" t="s">
        <v>77</v>
      </c>
      <c r="K1421" s="18"/>
      <c r="L1421" s="26" t="s">
        <v>77</v>
      </c>
      <c r="M1421" s="6" t="s">
        <v>77</v>
      </c>
      <c r="N1421" s="28" t="s">
        <v>77</v>
      </c>
      <c r="O1421" s="26" t="s">
        <v>77</v>
      </c>
    </row>
    <row r="1422">
      <c r="A1422" s="52" t="s">
        <v>77</v>
      </c>
      <c r="B1422" s="28" t="s">
        <v>77</v>
      </c>
      <c r="C1422" s="28" t="s">
        <v>77</v>
      </c>
      <c r="D1422" s="28" t="s">
        <v>77</v>
      </c>
      <c r="E1422" s="28" t="s">
        <v>77</v>
      </c>
      <c r="F1422" s="28" t="s">
        <v>77</v>
      </c>
      <c r="G1422" s="28" t="s">
        <v>77</v>
      </c>
      <c r="I1422" s="26" t="s">
        <v>77</v>
      </c>
      <c r="J1422" s="26" t="s">
        <v>77</v>
      </c>
      <c r="K1422" s="18"/>
      <c r="L1422" s="26" t="s">
        <v>77</v>
      </c>
      <c r="M1422" s="6" t="s">
        <v>77</v>
      </c>
      <c r="N1422" s="28" t="s">
        <v>77</v>
      </c>
      <c r="O1422" s="26" t="s">
        <v>77</v>
      </c>
    </row>
    <row r="1423">
      <c r="A1423" s="52" t="s">
        <v>77</v>
      </c>
      <c r="B1423" s="28" t="s">
        <v>77</v>
      </c>
      <c r="C1423" s="28" t="s">
        <v>77</v>
      </c>
      <c r="D1423" s="28" t="s">
        <v>77</v>
      </c>
      <c r="E1423" s="28" t="s">
        <v>77</v>
      </c>
      <c r="F1423" s="28" t="s">
        <v>77</v>
      </c>
      <c r="G1423" s="28" t="s">
        <v>77</v>
      </c>
      <c r="I1423" s="26" t="s">
        <v>77</v>
      </c>
      <c r="J1423" s="26" t="s">
        <v>77</v>
      </c>
      <c r="K1423" s="18"/>
      <c r="L1423" s="26" t="s">
        <v>77</v>
      </c>
      <c r="M1423" s="6" t="s">
        <v>77</v>
      </c>
      <c r="N1423" s="28" t="s">
        <v>77</v>
      </c>
      <c r="O1423" s="26" t="s">
        <v>77</v>
      </c>
    </row>
    <row r="1424">
      <c r="A1424" s="52" t="s">
        <v>77</v>
      </c>
      <c r="B1424" s="28" t="s">
        <v>77</v>
      </c>
      <c r="C1424" s="28" t="s">
        <v>77</v>
      </c>
      <c r="D1424" s="28" t="s">
        <v>77</v>
      </c>
      <c r="E1424" s="28" t="s">
        <v>77</v>
      </c>
      <c r="F1424" s="28" t="s">
        <v>77</v>
      </c>
      <c r="G1424" s="28" t="s">
        <v>77</v>
      </c>
      <c r="I1424" s="26" t="s">
        <v>77</v>
      </c>
      <c r="J1424" s="26" t="s">
        <v>77</v>
      </c>
      <c r="K1424" s="18"/>
      <c r="L1424" s="26" t="s">
        <v>77</v>
      </c>
      <c r="M1424" s="6" t="s">
        <v>77</v>
      </c>
      <c r="N1424" s="28" t="s">
        <v>77</v>
      </c>
      <c r="O1424" s="26" t="s">
        <v>77</v>
      </c>
    </row>
    <row r="1425">
      <c r="A1425" s="52" t="s">
        <v>77</v>
      </c>
      <c r="B1425" s="28" t="s">
        <v>77</v>
      </c>
      <c r="C1425" s="28" t="s">
        <v>77</v>
      </c>
      <c r="D1425" s="28" t="s">
        <v>77</v>
      </c>
      <c r="E1425" s="28" t="s">
        <v>77</v>
      </c>
      <c r="F1425" s="28" t="s">
        <v>77</v>
      </c>
      <c r="G1425" s="28" t="s">
        <v>77</v>
      </c>
      <c r="I1425" s="26" t="s">
        <v>77</v>
      </c>
      <c r="J1425" s="26" t="s">
        <v>77</v>
      </c>
      <c r="K1425" s="18"/>
      <c r="L1425" s="26" t="s">
        <v>77</v>
      </c>
      <c r="M1425" s="6" t="s">
        <v>77</v>
      </c>
      <c r="N1425" s="28" t="s">
        <v>77</v>
      </c>
      <c r="O1425" s="26" t="s">
        <v>77</v>
      </c>
    </row>
    <row r="1426">
      <c r="A1426" s="52" t="s">
        <v>77</v>
      </c>
      <c r="B1426" s="28" t="s">
        <v>77</v>
      </c>
      <c r="C1426" s="28" t="s">
        <v>77</v>
      </c>
      <c r="D1426" s="28" t="s">
        <v>77</v>
      </c>
      <c r="E1426" s="28" t="s">
        <v>77</v>
      </c>
      <c r="F1426" s="28" t="s">
        <v>77</v>
      </c>
      <c r="G1426" s="28" t="s">
        <v>77</v>
      </c>
      <c r="I1426" s="26" t="s">
        <v>77</v>
      </c>
      <c r="J1426" s="26" t="s">
        <v>77</v>
      </c>
      <c r="K1426" s="18"/>
      <c r="L1426" s="26" t="s">
        <v>77</v>
      </c>
      <c r="M1426" s="6" t="s">
        <v>77</v>
      </c>
      <c r="N1426" s="28" t="s">
        <v>77</v>
      </c>
      <c r="O1426" s="26" t="s">
        <v>77</v>
      </c>
    </row>
    <row r="1427">
      <c r="A1427" s="52" t="s">
        <v>77</v>
      </c>
      <c r="B1427" s="28" t="s">
        <v>77</v>
      </c>
      <c r="C1427" s="28" t="s">
        <v>77</v>
      </c>
      <c r="D1427" s="28" t="s">
        <v>77</v>
      </c>
      <c r="E1427" s="28" t="s">
        <v>77</v>
      </c>
      <c r="F1427" s="28" t="s">
        <v>77</v>
      </c>
      <c r="G1427" s="28" t="s">
        <v>77</v>
      </c>
      <c r="I1427" s="26" t="s">
        <v>77</v>
      </c>
      <c r="J1427" s="26" t="s">
        <v>77</v>
      </c>
      <c r="K1427" s="18"/>
      <c r="L1427" s="26" t="s">
        <v>77</v>
      </c>
      <c r="M1427" s="6" t="s">
        <v>77</v>
      </c>
      <c r="N1427" s="28" t="s">
        <v>77</v>
      </c>
      <c r="O1427" s="26" t="s">
        <v>77</v>
      </c>
    </row>
    <row r="1428">
      <c r="A1428" s="52" t="s">
        <v>77</v>
      </c>
      <c r="B1428" s="28" t="s">
        <v>77</v>
      </c>
      <c r="C1428" s="28" t="s">
        <v>77</v>
      </c>
      <c r="D1428" s="28" t="s">
        <v>77</v>
      </c>
      <c r="E1428" s="28" t="s">
        <v>77</v>
      </c>
      <c r="F1428" s="28" t="s">
        <v>77</v>
      </c>
      <c r="G1428" s="28" t="s">
        <v>77</v>
      </c>
      <c r="I1428" s="26" t="s">
        <v>77</v>
      </c>
      <c r="J1428" s="26" t="s">
        <v>77</v>
      </c>
      <c r="K1428" s="18"/>
      <c r="L1428" s="26" t="s">
        <v>77</v>
      </c>
      <c r="M1428" s="6" t="s">
        <v>77</v>
      </c>
      <c r="N1428" s="28" t="s">
        <v>77</v>
      </c>
      <c r="O1428" s="26" t="s">
        <v>77</v>
      </c>
    </row>
    <row r="1429">
      <c r="A1429" s="52" t="s">
        <v>77</v>
      </c>
      <c r="B1429" s="28" t="s">
        <v>77</v>
      </c>
      <c r="C1429" s="28" t="s">
        <v>77</v>
      </c>
      <c r="D1429" s="28" t="s">
        <v>77</v>
      </c>
      <c r="E1429" s="28" t="s">
        <v>77</v>
      </c>
      <c r="F1429" s="28" t="s">
        <v>77</v>
      </c>
      <c r="G1429" s="28" t="s">
        <v>77</v>
      </c>
      <c r="I1429" s="26" t="s">
        <v>77</v>
      </c>
      <c r="J1429" s="26" t="s">
        <v>77</v>
      </c>
      <c r="K1429" s="18"/>
      <c r="L1429" s="26" t="s">
        <v>77</v>
      </c>
      <c r="M1429" s="6" t="s">
        <v>77</v>
      </c>
      <c r="N1429" s="28" t="s">
        <v>77</v>
      </c>
      <c r="O1429" s="26" t="s">
        <v>77</v>
      </c>
    </row>
    <row r="1430">
      <c r="A1430" s="52" t="s">
        <v>77</v>
      </c>
      <c r="B1430" s="28" t="s">
        <v>77</v>
      </c>
      <c r="C1430" s="28" t="s">
        <v>77</v>
      </c>
      <c r="D1430" s="28" t="s">
        <v>77</v>
      </c>
      <c r="E1430" s="28" t="s">
        <v>77</v>
      </c>
      <c r="F1430" s="28" t="s">
        <v>77</v>
      </c>
      <c r="G1430" s="28" t="s">
        <v>77</v>
      </c>
      <c r="I1430" s="26" t="s">
        <v>77</v>
      </c>
      <c r="J1430" s="26" t="s">
        <v>77</v>
      </c>
      <c r="K1430" s="18"/>
      <c r="L1430" s="26" t="s">
        <v>77</v>
      </c>
      <c r="M1430" s="6" t="s">
        <v>77</v>
      </c>
      <c r="N1430" s="28" t="s">
        <v>77</v>
      </c>
      <c r="O1430" s="26" t="s">
        <v>77</v>
      </c>
    </row>
    <row r="1431">
      <c r="A1431" s="52" t="s">
        <v>77</v>
      </c>
      <c r="B1431" s="28" t="s">
        <v>77</v>
      </c>
      <c r="C1431" s="28" t="s">
        <v>77</v>
      </c>
      <c r="D1431" s="28" t="s">
        <v>77</v>
      </c>
      <c r="E1431" s="28" t="s">
        <v>77</v>
      </c>
      <c r="F1431" s="28" t="s">
        <v>77</v>
      </c>
      <c r="G1431" s="28" t="s">
        <v>77</v>
      </c>
      <c r="I1431" s="26" t="s">
        <v>77</v>
      </c>
      <c r="J1431" s="26" t="s">
        <v>77</v>
      </c>
      <c r="K1431" s="18"/>
      <c r="L1431" s="26" t="s">
        <v>77</v>
      </c>
      <c r="M1431" s="6" t="s">
        <v>77</v>
      </c>
      <c r="N1431" s="28" t="s">
        <v>77</v>
      </c>
      <c r="O1431" s="26" t="s">
        <v>77</v>
      </c>
    </row>
    <row r="1432">
      <c r="A1432" s="52" t="s">
        <v>77</v>
      </c>
      <c r="B1432" s="28" t="s">
        <v>77</v>
      </c>
      <c r="C1432" s="28" t="s">
        <v>77</v>
      </c>
      <c r="D1432" s="28" t="s">
        <v>77</v>
      </c>
      <c r="E1432" s="28" t="s">
        <v>77</v>
      </c>
      <c r="F1432" s="28" t="s">
        <v>77</v>
      </c>
      <c r="G1432" s="28" t="s">
        <v>77</v>
      </c>
      <c r="I1432" s="26" t="s">
        <v>77</v>
      </c>
      <c r="J1432" s="26" t="s">
        <v>77</v>
      </c>
      <c r="K1432" s="18"/>
      <c r="L1432" s="26" t="s">
        <v>77</v>
      </c>
      <c r="M1432" s="6" t="s">
        <v>77</v>
      </c>
      <c r="N1432" s="28" t="s">
        <v>77</v>
      </c>
      <c r="O1432" s="26" t="s">
        <v>77</v>
      </c>
    </row>
    <row r="1433">
      <c r="A1433" s="52" t="s">
        <v>77</v>
      </c>
      <c r="B1433" s="28" t="s">
        <v>77</v>
      </c>
      <c r="C1433" s="28" t="s">
        <v>77</v>
      </c>
      <c r="D1433" s="28" t="s">
        <v>77</v>
      </c>
      <c r="E1433" s="28" t="s">
        <v>77</v>
      </c>
      <c r="F1433" s="28" t="s">
        <v>77</v>
      </c>
      <c r="G1433" s="28" t="s">
        <v>77</v>
      </c>
      <c r="I1433" s="26" t="s">
        <v>77</v>
      </c>
      <c r="J1433" s="26" t="s">
        <v>77</v>
      </c>
      <c r="K1433" s="18"/>
      <c r="L1433" s="26" t="s">
        <v>77</v>
      </c>
      <c r="M1433" s="6" t="s">
        <v>77</v>
      </c>
      <c r="N1433" s="28" t="s">
        <v>77</v>
      </c>
      <c r="O1433" s="26" t="s">
        <v>77</v>
      </c>
    </row>
    <row r="1434">
      <c r="A1434" s="52" t="s">
        <v>77</v>
      </c>
      <c r="B1434" s="28" t="s">
        <v>77</v>
      </c>
      <c r="C1434" s="28" t="s">
        <v>77</v>
      </c>
      <c r="D1434" s="28" t="s">
        <v>77</v>
      </c>
      <c r="E1434" s="28" t="s">
        <v>77</v>
      </c>
      <c r="F1434" s="28" t="s">
        <v>77</v>
      </c>
      <c r="G1434" s="28" t="s">
        <v>77</v>
      </c>
      <c r="I1434" s="26" t="s">
        <v>77</v>
      </c>
      <c r="J1434" s="26" t="s">
        <v>77</v>
      </c>
      <c r="K1434" s="18"/>
      <c r="L1434" s="26" t="s">
        <v>77</v>
      </c>
      <c r="M1434" s="6" t="s">
        <v>77</v>
      </c>
      <c r="N1434" s="28" t="s">
        <v>77</v>
      </c>
      <c r="O1434" s="26" t="s">
        <v>77</v>
      </c>
    </row>
    <row r="1435">
      <c r="A1435" s="52" t="s">
        <v>77</v>
      </c>
      <c r="B1435" s="28" t="s">
        <v>77</v>
      </c>
      <c r="C1435" s="28" t="s">
        <v>77</v>
      </c>
      <c r="D1435" s="28" t="s">
        <v>77</v>
      </c>
      <c r="E1435" s="28" t="s">
        <v>77</v>
      </c>
      <c r="F1435" s="28" t="s">
        <v>77</v>
      </c>
      <c r="G1435" s="28" t="s">
        <v>77</v>
      </c>
      <c r="I1435" s="26" t="s">
        <v>77</v>
      </c>
      <c r="J1435" s="26" t="s">
        <v>77</v>
      </c>
      <c r="K1435" s="18"/>
      <c r="L1435" s="26" t="s">
        <v>77</v>
      </c>
      <c r="M1435" s="6" t="s">
        <v>77</v>
      </c>
      <c r="N1435" s="28" t="s">
        <v>77</v>
      </c>
      <c r="O1435" s="26" t="s">
        <v>77</v>
      </c>
    </row>
    <row r="1436">
      <c r="A1436" s="52" t="s">
        <v>77</v>
      </c>
      <c r="B1436" s="28" t="s">
        <v>77</v>
      </c>
      <c r="C1436" s="28" t="s">
        <v>77</v>
      </c>
      <c r="D1436" s="28" t="s">
        <v>77</v>
      </c>
      <c r="E1436" s="28" t="s">
        <v>77</v>
      </c>
      <c r="F1436" s="28" t="s">
        <v>77</v>
      </c>
      <c r="G1436" s="28" t="s">
        <v>77</v>
      </c>
      <c r="I1436" s="26" t="s">
        <v>77</v>
      </c>
      <c r="J1436" s="26" t="s">
        <v>77</v>
      </c>
      <c r="K1436" s="18"/>
      <c r="L1436" s="26" t="s">
        <v>77</v>
      </c>
      <c r="M1436" s="6" t="s">
        <v>77</v>
      </c>
      <c r="N1436" s="28" t="s">
        <v>77</v>
      </c>
      <c r="O1436" s="26" t="s">
        <v>77</v>
      </c>
    </row>
    <row r="1437">
      <c r="A1437" s="52" t="s">
        <v>77</v>
      </c>
      <c r="B1437" s="28" t="s">
        <v>77</v>
      </c>
      <c r="C1437" s="28" t="s">
        <v>77</v>
      </c>
      <c r="D1437" s="28" t="s">
        <v>77</v>
      </c>
      <c r="E1437" s="28" t="s">
        <v>77</v>
      </c>
      <c r="F1437" s="28" t="s">
        <v>77</v>
      </c>
      <c r="G1437" s="28" t="s">
        <v>77</v>
      </c>
      <c r="I1437" s="26" t="s">
        <v>77</v>
      </c>
      <c r="J1437" s="26" t="s">
        <v>77</v>
      </c>
      <c r="K1437" s="18"/>
      <c r="L1437" s="26" t="s">
        <v>77</v>
      </c>
      <c r="M1437" s="6" t="s">
        <v>77</v>
      </c>
      <c r="N1437" s="28" t="s">
        <v>77</v>
      </c>
      <c r="O1437" s="26" t="s">
        <v>77</v>
      </c>
    </row>
    <row r="1438">
      <c r="A1438" s="52" t="s">
        <v>77</v>
      </c>
      <c r="B1438" s="28" t="s">
        <v>77</v>
      </c>
      <c r="C1438" s="28" t="s">
        <v>77</v>
      </c>
      <c r="D1438" s="28" t="s">
        <v>77</v>
      </c>
      <c r="E1438" s="28" t="s">
        <v>77</v>
      </c>
      <c r="F1438" s="28" t="s">
        <v>77</v>
      </c>
      <c r="G1438" s="28" t="s">
        <v>77</v>
      </c>
      <c r="I1438" s="26" t="s">
        <v>77</v>
      </c>
      <c r="J1438" s="26" t="s">
        <v>77</v>
      </c>
      <c r="K1438" s="18"/>
      <c r="L1438" s="26" t="s">
        <v>77</v>
      </c>
      <c r="M1438" s="6" t="s">
        <v>77</v>
      </c>
      <c r="N1438" s="28" t="s">
        <v>77</v>
      </c>
      <c r="O1438" s="26" t="s">
        <v>77</v>
      </c>
    </row>
    <row r="1439">
      <c r="A1439" s="52" t="s">
        <v>77</v>
      </c>
      <c r="B1439" s="28" t="s">
        <v>77</v>
      </c>
      <c r="C1439" s="28" t="s">
        <v>77</v>
      </c>
      <c r="D1439" s="28" t="s">
        <v>77</v>
      </c>
      <c r="E1439" s="28" t="s">
        <v>77</v>
      </c>
      <c r="F1439" s="28" t="s">
        <v>77</v>
      </c>
      <c r="G1439" s="28" t="s">
        <v>77</v>
      </c>
      <c r="I1439" s="26" t="s">
        <v>77</v>
      </c>
      <c r="J1439" s="26" t="s">
        <v>77</v>
      </c>
      <c r="K1439" s="18"/>
      <c r="L1439" s="26" t="s">
        <v>77</v>
      </c>
      <c r="M1439" s="6" t="s">
        <v>77</v>
      </c>
      <c r="N1439" s="28" t="s">
        <v>77</v>
      </c>
      <c r="O1439" s="26" t="s">
        <v>77</v>
      </c>
    </row>
    <row r="1440">
      <c r="A1440" s="52" t="s">
        <v>77</v>
      </c>
      <c r="B1440" s="28" t="s">
        <v>77</v>
      </c>
      <c r="C1440" s="28" t="s">
        <v>77</v>
      </c>
      <c r="D1440" s="28" t="s">
        <v>77</v>
      </c>
      <c r="E1440" s="28" t="s">
        <v>77</v>
      </c>
      <c r="F1440" s="28" t="s">
        <v>77</v>
      </c>
      <c r="G1440" s="28" t="s">
        <v>77</v>
      </c>
      <c r="I1440" s="26" t="s">
        <v>77</v>
      </c>
      <c r="J1440" s="26" t="s">
        <v>77</v>
      </c>
      <c r="K1440" s="18"/>
      <c r="L1440" s="26" t="s">
        <v>77</v>
      </c>
      <c r="M1440" s="6" t="s">
        <v>77</v>
      </c>
      <c r="N1440" s="28" t="s">
        <v>77</v>
      </c>
      <c r="O1440" s="26" t="s">
        <v>77</v>
      </c>
    </row>
    <row r="1441">
      <c r="A1441" s="52" t="s">
        <v>77</v>
      </c>
      <c r="B1441" s="28" t="s">
        <v>77</v>
      </c>
      <c r="C1441" s="28" t="s">
        <v>77</v>
      </c>
      <c r="D1441" s="28" t="s">
        <v>77</v>
      </c>
      <c r="E1441" s="28" t="s">
        <v>77</v>
      </c>
      <c r="F1441" s="28" t="s">
        <v>77</v>
      </c>
      <c r="G1441" s="28" t="s">
        <v>77</v>
      </c>
      <c r="I1441" s="26" t="s">
        <v>77</v>
      </c>
      <c r="J1441" s="26" t="s">
        <v>77</v>
      </c>
      <c r="K1441" s="18"/>
      <c r="L1441" s="26" t="s">
        <v>77</v>
      </c>
      <c r="M1441" s="6" t="s">
        <v>77</v>
      </c>
      <c r="N1441" s="28" t="s">
        <v>77</v>
      </c>
      <c r="O1441" s="26" t="s">
        <v>77</v>
      </c>
    </row>
    <row r="1442">
      <c r="A1442" s="52" t="s">
        <v>77</v>
      </c>
      <c r="B1442" s="28" t="s">
        <v>77</v>
      </c>
      <c r="C1442" s="28" t="s">
        <v>77</v>
      </c>
      <c r="D1442" s="28" t="s">
        <v>77</v>
      </c>
      <c r="E1442" s="28" t="s">
        <v>77</v>
      </c>
      <c r="F1442" s="28" t="s">
        <v>77</v>
      </c>
      <c r="G1442" s="28" t="s">
        <v>77</v>
      </c>
      <c r="I1442" s="26" t="s">
        <v>77</v>
      </c>
      <c r="J1442" s="26" t="s">
        <v>77</v>
      </c>
      <c r="K1442" s="18"/>
      <c r="L1442" s="26" t="s">
        <v>77</v>
      </c>
      <c r="M1442" s="6" t="s">
        <v>77</v>
      </c>
      <c r="N1442" s="28" t="s">
        <v>77</v>
      </c>
      <c r="O1442" s="26" t="s">
        <v>77</v>
      </c>
    </row>
    <row r="1443">
      <c r="A1443" s="52" t="s">
        <v>77</v>
      </c>
      <c r="B1443" s="28" t="s">
        <v>77</v>
      </c>
      <c r="C1443" s="28" t="s">
        <v>77</v>
      </c>
      <c r="D1443" s="28" t="s">
        <v>77</v>
      </c>
      <c r="E1443" s="28" t="s">
        <v>77</v>
      </c>
      <c r="F1443" s="28" t="s">
        <v>77</v>
      </c>
      <c r="G1443" s="28" t="s">
        <v>77</v>
      </c>
      <c r="I1443" s="26" t="s">
        <v>77</v>
      </c>
      <c r="J1443" s="26" t="s">
        <v>77</v>
      </c>
      <c r="K1443" s="18"/>
      <c r="L1443" s="26" t="s">
        <v>77</v>
      </c>
      <c r="M1443" s="6" t="s">
        <v>77</v>
      </c>
      <c r="N1443" s="28" t="s">
        <v>77</v>
      </c>
      <c r="O1443" s="26" t="s">
        <v>77</v>
      </c>
    </row>
    <row r="1444">
      <c r="A1444" s="52" t="s">
        <v>77</v>
      </c>
      <c r="B1444" s="28" t="s">
        <v>77</v>
      </c>
      <c r="C1444" s="28" t="s">
        <v>77</v>
      </c>
      <c r="D1444" s="28" t="s">
        <v>77</v>
      </c>
      <c r="E1444" s="28" t="s">
        <v>77</v>
      </c>
      <c r="F1444" s="28" t="s">
        <v>77</v>
      </c>
      <c r="G1444" s="28" t="s">
        <v>77</v>
      </c>
      <c r="I1444" s="26" t="s">
        <v>77</v>
      </c>
      <c r="J1444" s="26" t="s">
        <v>77</v>
      </c>
      <c r="K1444" s="18"/>
      <c r="L1444" s="26" t="s">
        <v>77</v>
      </c>
      <c r="M1444" s="6" t="s">
        <v>77</v>
      </c>
      <c r="N1444" s="28" t="s">
        <v>77</v>
      </c>
      <c r="O1444" s="26" t="s">
        <v>77</v>
      </c>
    </row>
    <row r="1445">
      <c r="A1445" s="52" t="s">
        <v>77</v>
      </c>
      <c r="B1445" s="28" t="s">
        <v>77</v>
      </c>
      <c r="C1445" s="28" t="s">
        <v>77</v>
      </c>
      <c r="D1445" s="28" t="s">
        <v>77</v>
      </c>
      <c r="E1445" s="28" t="s">
        <v>77</v>
      </c>
      <c r="F1445" s="28" t="s">
        <v>77</v>
      </c>
      <c r="G1445" s="28" t="s">
        <v>77</v>
      </c>
      <c r="I1445" s="26" t="s">
        <v>77</v>
      </c>
      <c r="J1445" s="26" t="s">
        <v>77</v>
      </c>
      <c r="K1445" s="18"/>
      <c r="L1445" s="26" t="s">
        <v>77</v>
      </c>
      <c r="M1445" s="6" t="s">
        <v>77</v>
      </c>
      <c r="N1445" s="28" t="s">
        <v>77</v>
      </c>
      <c r="O1445" s="26" t="s">
        <v>77</v>
      </c>
    </row>
    <row r="1446">
      <c r="A1446" s="52" t="s">
        <v>77</v>
      </c>
      <c r="B1446" s="28" t="s">
        <v>77</v>
      </c>
      <c r="C1446" s="28" t="s">
        <v>77</v>
      </c>
      <c r="D1446" s="28" t="s">
        <v>77</v>
      </c>
      <c r="E1446" s="28" t="s">
        <v>77</v>
      </c>
      <c r="F1446" s="28" t="s">
        <v>77</v>
      </c>
      <c r="G1446" s="28" t="s">
        <v>77</v>
      </c>
      <c r="I1446" s="26" t="s">
        <v>77</v>
      </c>
      <c r="J1446" s="26" t="s">
        <v>77</v>
      </c>
      <c r="K1446" s="18"/>
      <c r="L1446" s="26" t="s">
        <v>77</v>
      </c>
      <c r="M1446" s="6" t="s">
        <v>77</v>
      </c>
      <c r="N1446" s="28" t="s">
        <v>77</v>
      </c>
      <c r="O1446" s="26" t="s">
        <v>77</v>
      </c>
    </row>
    <row r="1447">
      <c r="A1447" s="52" t="s">
        <v>77</v>
      </c>
      <c r="B1447" s="28" t="s">
        <v>77</v>
      </c>
      <c r="C1447" s="28" t="s">
        <v>77</v>
      </c>
      <c r="D1447" s="28" t="s">
        <v>77</v>
      </c>
      <c r="E1447" s="28" t="s">
        <v>77</v>
      </c>
      <c r="F1447" s="28" t="s">
        <v>77</v>
      </c>
      <c r="G1447" s="28" t="s">
        <v>77</v>
      </c>
      <c r="I1447" s="26" t="s">
        <v>77</v>
      </c>
      <c r="J1447" s="26" t="s">
        <v>77</v>
      </c>
      <c r="K1447" s="18"/>
      <c r="L1447" s="26" t="s">
        <v>77</v>
      </c>
      <c r="M1447" s="6" t="s">
        <v>77</v>
      </c>
      <c r="N1447" s="28" t="s">
        <v>77</v>
      </c>
      <c r="O1447" s="26" t="s">
        <v>77</v>
      </c>
    </row>
    <row r="1448">
      <c r="A1448" s="52" t="s">
        <v>77</v>
      </c>
      <c r="B1448" s="28" t="s">
        <v>77</v>
      </c>
      <c r="C1448" s="28" t="s">
        <v>77</v>
      </c>
      <c r="D1448" s="28" t="s">
        <v>77</v>
      </c>
      <c r="E1448" s="28" t="s">
        <v>77</v>
      </c>
      <c r="F1448" s="28" t="s">
        <v>77</v>
      </c>
      <c r="G1448" s="28" t="s">
        <v>77</v>
      </c>
      <c r="I1448" s="26" t="s">
        <v>77</v>
      </c>
      <c r="J1448" s="26" t="s">
        <v>77</v>
      </c>
      <c r="K1448" s="18"/>
      <c r="L1448" s="26" t="s">
        <v>77</v>
      </c>
      <c r="M1448" s="6" t="s">
        <v>77</v>
      </c>
      <c r="N1448" s="28" t="s">
        <v>77</v>
      </c>
      <c r="O1448" s="26" t="s">
        <v>77</v>
      </c>
    </row>
    <row r="1449">
      <c r="A1449" s="52" t="s">
        <v>77</v>
      </c>
      <c r="B1449" s="28" t="s">
        <v>77</v>
      </c>
      <c r="C1449" s="28" t="s">
        <v>77</v>
      </c>
      <c r="D1449" s="28" t="s">
        <v>77</v>
      </c>
      <c r="E1449" s="28" t="s">
        <v>77</v>
      </c>
      <c r="F1449" s="28" t="s">
        <v>77</v>
      </c>
      <c r="G1449" s="28" t="s">
        <v>77</v>
      </c>
      <c r="I1449" s="26" t="s">
        <v>77</v>
      </c>
      <c r="J1449" s="26" t="s">
        <v>77</v>
      </c>
      <c r="K1449" s="18"/>
      <c r="L1449" s="26" t="s">
        <v>77</v>
      </c>
      <c r="M1449" s="6" t="s">
        <v>77</v>
      </c>
      <c r="N1449" s="28" t="s">
        <v>77</v>
      </c>
      <c r="O1449" s="26" t="s">
        <v>77</v>
      </c>
    </row>
    <row r="1450">
      <c r="A1450" s="52" t="s">
        <v>77</v>
      </c>
      <c r="B1450" s="28" t="s">
        <v>77</v>
      </c>
      <c r="C1450" s="28" t="s">
        <v>77</v>
      </c>
      <c r="D1450" s="28" t="s">
        <v>77</v>
      </c>
      <c r="E1450" s="28" t="s">
        <v>77</v>
      </c>
      <c r="F1450" s="28" t="s">
        <v>77</v>
      </c>
      <c r="G1450" s="28" t="s">
        <v>77</v>
      </c>
      <c r="I1450" s="26" t="s">
        <v>77</v>
      </c>
      <c r="J1450" s="26" t="s">
        <v>77</v>
      </c>
      <c r="K1450" s="18"/>
      <c r="L1450" s="26" t="s">
        <v>77</v>
      </c>
      <c r="M1450" s="6" t="s">
        <v>77</v>
      </c>
      <c r="N1450" s="28" t="s">
        <v>77</v>
      </c>
      <c r="O1450" s="26" t="s">
        <v>77</v>
      </c>
    </row>
    <row r="1451">
      <c r="A1451" s="52" t="s">
        <v>77</v>
      </c>
      <c r="B1451" s="28" t="s">
        <v>77</v>
      </c>
      <c r="C1451" s="28" t="s">
        <v>77</v>
      </c>
      <c r="D1451" s="28" t="s">
        <v>77</v>
      </c>
      <c r="E1451" s="28" t="s">
        <v>77</v>
      </c>
      <c r="F1451" s="28" t="s">
        <v>77</v>
      </c>
      <c r="G1451" s="28" t="s">
        <v>77</v>
      </c>
      <c r="I1451" s="26" t="s">
        <v>77</v>
      </c>
      <c r="J1451" s="26" t="s">
        <v>77</v>
      </c>
      <c r="K1451" s="18"/>
      <c r="L1451" s="26" t="s">
        <v>77</v>
      </c>
      <c r="M1451" s="6" t="s">
        <v>77</v>
      </c>
      <c r="N1451" s="28" t="s">
        <v>77</v>
      </c>
      <c r="O1451" s="26" t="s">
        <v>77</v>
      </c>
    </row>
    <row r="1452">
      <c r="A1452" s="52" t="s">
        <v>77</v>
      </c>
      <c r="B1452" s="28" t="s">
        <v>77</v>
      </c>
      <c r="C1452" s="28" t="s">
        <v>77</v>
      </c>
      <c r="D1452" s="28" t="s">
        <v>77</v>
      </c>
      <c r="E1452" s="28" t="s">
        <v>77</v>
      </c>
      <c r="F1452" s="28" t="s">
        <v>77</v>
      </c>
      <c r="G1452" s="28" t="s">
        <v>77</v>
      </c>
      <c r="I1452" s="26" t="s">
        <v>77</v>
      </c>
      <c r="J1452" s="26" t="s">
        <v>77</v>
      </c>
      <c r="K1452" s="18"/>
      <c r="L1452" s="26" t="s">
        <v>77</v>
      </c>
      <c r="M1452" s="6" t="s">
        <v>77</v>
      </c>
      <c r="N1452" s="28" t="s">
        <v>77</v>
      </c>
      <c r="O1452" s="26" t="s">
        <v>77</v>
      </c>
    </row>
    <row r="1453">
      <c r="A1453" s="52" t="s">
        <v>77</v>
      </c>
      <c r="B1453" s="28" t="s">
        <v>77</v>
      </c>
      <c r="C1453" s="28" t="s">
        <v>77</v>
      </c>
      <c r="D1453" s="28" t="s">
        <v>77</v>
      </c>
      <c r="E1453" s="28" t="s">
        <v>77</v>
      </c>
      <c r="F1453" s="28" t="s">
        <v>77</v>
      </c>
      <c r="G1453" s="28" t="s">
        <v>77</v>
      </c>
      <c r="I1453" s="26" t="s">
        <v>77</v>
      </c>
      <c r="J1453" s="26" t="s">
        <v>77</v>
      </c>
      <c r="K1453" s="18"/>
      <c r="L1453" s="26" t="s">
        <v>77</v>
      </c>
      <c r="M1453" s="6" t="s">
        <v>77</v>
      </c>
      <c r="N1453" s="28" t="s">
        <v>77</v>
      </c>
      <c r="O1453" s="26" t="s">
        <v>77</v>
      </c>
    </row>
    <row r="1454">
      <c r="A1454" s="52" t="s">
        <v>77</v>
      </c>
      <c r="B1454" s="28" t="s">
        <v>77</v>
      </c>
      <c r="C1454" s="28" t="s">
        <v>77</v>
      </c>
      <c r="D1454" s="28" t="s">
        <v>77</v>
      </c>
      <c r="E1454" s="28" t="s">
        <v>77</v>
      </c>
      <c r="F1454" s="28" t="s">
        <v>77</v>
      </c>
      <c r="G1454" s="28" t="s">
        <v>77</v>
      </c>
      <c r="I1454" s="26" t="s">
        <v>77</v>
      </c>
      <c r="J1454" s="26" t="s">
        <v>77</v>
      </c>
      <c r="K1454" s="18"/>
      <c r="L1454" s="26" t="s">
        <v>77</v>
      </c>
      <c r="M1454" s="6" t="s">
        <v>77</v>
      </c>
      <c r="N1454" s="28" t="s">
        <v>77</v>
      </c>
      <c r="O1454" s="26" t="s">
        <v>77</v>
      </c>
    </row>
    <row r="1455">
      <c r="A1455" s="52" t="s">
        <v>77</v>
      </c>
      <c r="B1455" s="28" t="s">
        <v>77</v>
      </c>
      <c r="C1455" s="28" t="s">
        <v>77</v>
      </c>
      <c r="D1455" s="28" t="s">
        <v>77</v>
      </c>
      <c r="E1455" s="28" t="s">
        <v>77</v>
      </c>
      <c r="F1455" s="28" t="s">
        <v>77</v>
      </c>
      <c r="G1455" s="28" t="s">
        <v>77</v>
      </c>
      <c r="I1455" s="26" t="s">
        <v>77</v>
      </c>
      <c r="J1455" s="26" t="s">
        <v>77</v>
      </c>
      <c r="K1455" s="18"/>
      <c r="L1455" s="26" t="s">
        <v>77</v>
      </c>
      <c r="M1455" s="6" t="s">
        <v>77</v>
      </c>
      <c r="N1455" s="28" t="s">
        <v>77</v>
      </c>
      <c r="O1455" s="26" t="s">
        <v>77</v>
      </c>
    </row>
    <row r="1456">
      <c r="A1456" s="52" t="s">
        <v>77</v>
      </c>
      <c r="B1456" s="28" t="s">
        <v>77</v>
      </c>
      <c r="C1456" s="28" t="s">
        <v>77</v>
      </c>
      <c r="D1456" s="28" t="s">
        <v>77</v>
      </c>
      <c r="E1456" s="28" t="s">
        <v>77</v>
      </c>
      <c r="F1456" s="28" t="s">
        <v>77</v>
      </c>
      <c r="G1456" s="28" t="s">
        <v>77</v>
      </c>
      <c r="I1456" s="26" t="s">
        <v>77</v>
      </c>
      <c r="J1456" s="26" t="s">
        <v>77</v>
      </c>
      <c r="K1456" s="18"/>
      <c r="L1456" s="26" t="s">
        <v>77</v>
      </c>
      <c r="M1456" s="6" t="s">
        <v>77</v>
      </c>
      <c r="N1456" s="28" t="s">
        <v>77</v>
      </c>
      <c r="O1456" s="26" t="s">
        <v>77</v>
      </c>
    </row>
    <row r="1457">
      <c r="A1457" s="52" t="s">
        <v>77</v>
      </c>
      <c r="B1457" s="28" t="s">
        <v>77</v>
      </c>
      <c r="C1457" s="28" t="s">
        <v>77</v>
      </c>
      <c r="D1457" s="28" t="s">
        <v>77</v>
      </c>
      <c r="E1457" s="28" t="s">
        <v>77</v>
      </c>
      <c r="F1457" s="28" t="s">
        <v>77</v>
      </c>
      <c r="G1457" s="28" t="s">
        <v>77</v>
      </c>
      <c r="I1457" s="26" t="s">
        <v>77</v>
      </c>
      <c r="J1457" s="26" t="s">
        <v>77</v>
      </c>
      <c r="K1457" s="18"/>
      <c r="L1457" s="26" t="s">
        <v>77</v>
      </c>
      <c r="M1457" s="6" t="s">
        <v>77</v>
      </c>
      <c r="N1457" s="28" t="s">
        <v>77</v>
      </c>
      <c r="O1457" s="26" t="s">
        <v>77</v>
      </c>
    </row>
    <row r="1458">
      <c r="A1458" s="52" t="s">
        <v>77</v>
      </c>
      <c r="B1458" s="28" t="s">
        <v>77</v>
      </c>
      <c r="C1458" s="28" t="s">
        <v>77</v>
      </c>
      <c r="D1458" s="28" t="s">
        <v>77</v>
      </c>
      <c r="E1458" s="28" t="s">
        <v>77</v>
      </c>
      <c r="F1458" s="28" t="s">
        <v>77</v>
      </c>
      <c r="G1458" s="28" t="s">
        <v>77</v>
      </c>
      <c r="I1458" s="26" t="s">
        <v>77</v>
      </c>
      <c r="J1458" s="26" t="s">
        <v>77</v>
      </c>
      <c r="K1458" s="18"/>
      <c r="L1458" s="26" t="s">
        <v>77</v>
      </c>
      <c r="M1458" s="6" t="s">
        <v>77</v>
      </c>
      <c r="N1458" s="28" t="s">
        <v>77</v>
      </c>
      <c r="O1458" s="26" t="s">
        <v>77</v>
      </c>
    </row>
    <row r="1459">
      <c r="A1459" s="52" t="s">
        <v>77</v>
      </c>
      <c r="B1459" s="28" t="s">
        <v>77</v>
      </c>
      <c r="C1459" s="28" t="s">
        <v>77</v>
      </c>
      <c r="D1459" s="28" t="s">
        <v>77</v>
      </c>
      <c r="E1459" s="28" t="s">
        <v>77</v>
      </c>
      <c r="F1459" s="28" t="s">
        <v>77</v>
      </c>
      <c r="G1459" s="28" t="s">
        <v>77</v>
      </c>
      <c r="I1459" s="26" t="s">
        <v>77</v>
      </c>
      <c r="J1459" s="26" t="s">
        <v>77</v>
      </c>
      <c r="K1459" s="18"/>
      <c r="L1459" s="26" t="s">
        <v>77</v>
      </c>
      <c r="M1459" s="6" t="s">
        <v>77</v>
      </c>
      <c r="N1459" s="28" t="s">
        <v>77</v>
      </c>
      <c r="O1459" s="26" t="s">
        <v>77</v>
      </c>
    </row>
    <row r="1460">
      <c r="A1460" s="52" t="s">
        <v>77</v>
      </c>
      <c r="B1460" s="28" t="s">
        <v>77</v>
      </c>
      <c r="C1460" s="28" t="s">
        <v>77</v>
      </c>
      <c r="D1460" s="28" t="s">
        <v>77</v>
      </c>
      <c r="E1460" s="28" t="s">
        <v>77</v>
      </c>
      <c r="F1460" s="28" t="s">
        <v>77</v>
      </c>
      <c r="G1460" s="28" t="s">
        <v>77</v>
      </c>
      <c r="I1460" s="26" t="s">
        <v>77</v>
      </c>
      <c r="J1460" s="26" t="s">
        <v>77</v>
      </c>
      <c r="K1460" s="18"/>
      <c r="L1460" s="26" t="s">
        <v>77</v>
      </c>
      <c r="M1460" s="6" t="s">
        <v>77</v>
      </c>
      <c r="N1460" s="28" t="s">
        <v>77</v>
      </c>
      <c r="O1460" s="26" t="s">
        <v>77</v>
      </c>
    </row>
    <row r="1461">
      <c r="A1461" s="52" t="s">
        <v>77</v>
      </c>
      <c r="B1461" s="28" t="s">
        <v>77</v>
      </c>
      <c r="C1461" s="28" t="s">
        <v>77</v>
      </c>
      <c r="D1461" s="28" t="s">
        <v>77</v>
      </c>
      <c r="E1461" s="28" t="s">
        <v>77</v>
      </c>
      <c r="F1461" s="28" t="s">
        <v>77</v>
      </c>
      <c r="G1461" s="28" t="s">
        <v>77</v>
      </c>
      <c r="I1461" s="26" t="s">
        <v>77</v>
      </c>
      <c r="J1461" s="26" t="s">
        <v>77</v>
      </c>
      <c r="K1461" s="18"/>
      <c r="L1461" s="26" t="s">
        <v>77</v>
      </c>
      <c r="M1461" s="6" t="s">
        <v>77</v>
      </c>
      <c r="N1461" s="28" t="s">
        <v>77</v>
      </c>
      <c r="O1461" s="26" t="s">
        <v>77</v>
      </c>
    </row>
    <row r="1462">
      <c r="A1462" s="52" t="s">
        <v>77</v>
      </c>
      <c r="B1462" s="28" t="s">
        <v>77</v>
      </c>
      <c r="C1462" s="28" t="s">
        <v>77</v>
      </c>
      <c r="D1462" s="28" t="s">
        <v>77</v>
      </c>
      <c r="E1462" s="28" t="s">
        <v>77</v>
      </c>
      <c r="F1462" s="28" t="s">
        <v>77</v>
      </c>
      <c r="G1462" s="28" t="s">
        <v>77</v>
      </c>
      <c r="I1462" s="26" t="s">
        <v>77</v>
      </c>
      <c r="J1462" s="26" t="s">
        <v>77</v>
      </c>
      <c r="K1462" s="18"/>
      <c r="L1462" s="26" t="s">
        <v>77</v>
      </c>
      <c r="M1462" s="6" t="s">
        <v>77</v>
      </c>
      <c r="N1462" s="28" t="s">
        <v>77</v>
      </c>
      <c r="O1462" s="26" t="s">
        <v>77</v>
      </c>
    </row>
    <row r="1463">
      <c r="A1463" s="52" t="s">
        <v>77</v>
      </c>
      <c r="B1463" s="28" t="s">
        <v>77</v>
      </c>
      <c r="C1463" s="28" t="s">
        <v>77</v>
      </c>
      <c r="D1463" s="28" t="s">
        <v>77</v>
      </c>
      <c r="E1463" s="28" t="s">
        <v>77</v>
      </c>
      <c r="F1463" s="28" t="s">
        <v>77</v>
      </c>
      <c r="G1463" s="28" t="s">
        <v>77</v>
      </c>
      <c r="I1463" s="26" t="s">
        <v>77</v>
      </c>
      <c r="J1463" s="26" t="s">
        <v>77</v>
      </c>
      <c r="K1463" s="18"/>
      <c r="L1463" s="26" t="s">
        <v>77</v>
      </c>
      <c r="M1463" s="6" t="s">
        <v>77</v>
      </c>
      <c r="N1463" s="28" t="s">
        <v>77</v>
      </c>
      <c r="O1463" s="26" t="s">
        <v>77</v>
      </c>
    </row>
    <row r="1464">
      <c r="A1464" s="52" t="s">
        <v>77</v>
      </c>
      <c r="B1464" s="28" t="s">
        <v>77</v>
      </c>
      <c r="C1464" s="28" t="s">
        <v>77</v>
      </c>
      <c r="D1464" s="28" t="s">
        <v>77</v>
      </c>
      <c r="E1464" s="28" t="s">
        <v>77</v>
      </c>
      <c r="F1464" s="28" t="s">
        <v>77</v>
      </c>
      <c r="G1464" s="28" t="s">
        <v>77</v>
      </c>
      <c r="I1464" s="26" t="s">
        <v>77</v>
      </c>
      <c r="J1464" s="26" t="s">
        <v>77</v>
      </c>
      <c r="K1464" s="18"/>
      <c r="L1464" s="26" t="s">
        <v>77</v>
      </c>
      <c r="M1464" s="6" t="s">
        <v>77</v>
      </c>
      <c r="N1464" s="28" t="s">
        <v>77</v>
      </c>
      <c r="O1464" s="26" t="s">
        <v>77</v>
      </c>
    </row>
    <row r="1465">
      <c r="A1465" s="52" t="s">
        <v>77</v>
      </c>
      <c r="B1465" s="28" t="s">
        <v>77</v>
      </c>
      <c r="C1465" s="28" t="s">
        <v>77</v>
      </c>
      <c r="D1465" s="28" t="s">
        <v>77</v>
      </c>
      <c r="E1465" s="28" t="s">
        <v>77</v>
      </c>
      <c r="F1465" s="28" t="s">
        <v>77</v>
      </c>
      <c r="G1465" s="28" t="s">
        <v>77</v>
      </c>
      <c r="I1465" s="26" t="s">
        <v>77</v>
      </c>
      <c r="J1465" s="26" t="s">
        <v>77</v>
      </c>
      <c r="K1465" s="18"/>
      <c r="L1465" s="26" t="s">
        <v>77</v>
      </c>
      <c r="M1465" s="6" t="s">
        <v>77</v>
      </c>
      <c r="N1465" s="28" t="s">
        <v>77</v>
      </c>
      <c r="O1465" s="26" t="s">
        <v>77</v>
      </c>
    </row>
    <row r="1466">
      <c r="A1466" s="52" t="s">
        <v>77</v>
      </c>
      <c r="B1466" s="28" t="s">
        <v>77</v>
      </c>
      <c r="C1466" s="28" t="s">
        <v>77</v>
      </c>
      <c r="D1466" s="28" t="s">
        <v>77</v>
      </c>
      <c r="E1466" s="28" t="s">
        <v>77</v>
      </c>
      <c r="F1466" s="28" t="s">
        <v>77</v>
      </c>
      <c r="G1466" s="28" t="s">
        <v>77</v>
      </c>
      <c r="I1466" s="26" t="s">
        <v>77</v>
      </c>
      <c r="J1466" s="26" t="s">
        <v>77</v>
      </c>
      <c r="K1466" s="18"/>
      <c r="L1466" s="26" t="s">
        <v>77</v>
      </c>
      <c r="M1466" s="6" t="s">
        <v>77</v>
      </c>
      <c r="N1466" s="28" t="s">
        <v>77</v>
      </c>
      <c r="O1466" s="26" t="s">
        <v>77</v>
      </c>
    </row>
    <row r="1467">
      <c r="A1467" s="52" t="s">
        <v>77</v>
      </c>
      <c r="B1467" s="28" t="s">
        <v>77</v>
      </c>
      <c r="C1467" s="28" t="s">
        <v>77</v>
      </c>
      <c r="D1467" s="28" t="s">
        <v>77</v>
      </c>
      <c r="E1467" s="28" t="s">
        <v>77</v>
      </c>
      <c r="F1467" s="28" t="s">
        <v>77</v>
      </c>
      <c r="G1467" s="28" t="s">
        <v>77</v>
      </c>
      <c r="I1467" s="26" t="s">
        <v>77</v>
      </c>
      <c r="J1467" s="26" t="s">
        <v>77</v>
      </c>
      <c r="K1467" s="18"/>
      <c r="L1467" s="26" t="s">
        <v>77</v>
      </c>
      <c r="M1467" s="6" t="s">
        <v>77</v>
      </c>
      <c r="N1467" s="28" t="s">
        <v>77</v>
      </c>
      <c r="O1467" s="26" t="s">
        <v>77</v>
      </c>
    </row>
    <row r="1468">
      <c r="A1468" s="52" t="s">
        <v>77</v>
      </c>
      <c r="B1468" s="28" t="s">
        <v>77</v>
      </c>
      <c r="C1468" s="28" t="s">
        <v>77</v>
      </c>
      <c r="D1468" s="28" t="s">
        <v>77</v>
      </c>
      <c r="E1468" s="28" t="s">
        <v>77</v>
      </c>
      <c r="F1468" s="28" t="s">
        <v>77</v>
      </c>
      <c r="G1468" s="28" t="s">
        <v>77</v>
      </c>
      <c r="I1468" s="26" t="s">
        <v>77</v>
      </c>
      <c r="J1468" s="26" t="s">
        <v>77</v>
      </c>
      <c r="K1468" s="18"/>
      <c r="L1468" s="26" t="s">
        <v>77</v>
      </c>
      <c r="M1468" s="6" t="s">
        <v>77</v>
      </c>
      <c r="N1468" s="28" t="s">
        <v>77</v>
      </c>
      <c r="O1468" s="26" t="s">
        <v>77</v>
      </c>
    </row>
    <row r="1469">
      <c r="A1469" s="52" t="s">
        <v>77</v>
      </c>
      <c r="B1469" s="28" t="s">
        <v>77</v>
      </c>
      <c r="C1469" s="28" t="s">
        <v>77</v>
      </c>
      <c r="D1469" s="28" t="s">
        <v>77</v>
      </c>
      <c r="E1469" s="28" t="s">
        <v>77</v>
      </c>
      <c r="F1469" s="28" t="s">
        <v>77</v>
      </c>
      <c r="G1469" s="28" t="s">
        <v>77</v>
      </c>
      <c r="I1469" s="26" t="s">
        <v>77</v>
      </c>
      <c r="J1469" s="26" t="s">
        <v>77</v>
      </c>
      <c r="K1469" s="18"/>
      <c r="L1469" s="26" t="s">
        <v>77</v>
      </c>
      <c r="M1469" s="6" t="s">
        <v>77</v>
      </c>
      <c r="N1469" s="28" t="s">
        <v>77</v>
      </c>
      <c r="O1469" s="26" t="s">
        <v>77</v>
      </c>
    </row>
    <row r="1470">
      <c r="A1470" s="52" t="s">
        <v>77</v>
      </c>
      <c r="B1470" s="28" t="s">
        <v>77</v>
      </c>
      <c r="C1470" s="28" t="s">
        <v>77</v>
      </c>
      <c r="D1470" s="28" t="s">
        <v>77</v>
      </c>
      <c r="E1470" s="28" t="s">
        <v>77</v>
      </c>
      <c r="F1470" s="28" t="s">
        <v>77</v>
      </c>
      <c r="G1470" s="28" t="s">
        <v>77</v>
      </c>
      <c r="I1470" s="26" t="s">
        <v>77</v>
      </c>
      <c r="J1470" s="26" t="s">
        <v>77</v>
      </c>
      <c r="K1470" s="18"/>
      <c r="L1470" s="26" t="s">
        <v>77</v>
      </c>
      <c r="M1470" s="6" t="s">
        <v>77</v>
      </c>
      <c r="N1470" s="28" t="s">
        <v>77</v>
      </c>
      <c r="O1470" s="26" t="s">
        <v>77</v>
      </c>
    </row>
    <row r="1471">
      <c r="A1471" s="52" t="s">
        <v>77</v>
      </c>
      <c r="B1471" s="28" t="s">
        <v>77</v>
      </c>
      <c r="C1471" s="28" t="s">
        <v>77</v>
      </c>
      <c r="D1471" s="28" t="s">
        <v>77</v>
      </c>
      <c r="E1471" s="28" t="s">
        <v>77</v>
      </c>
      <c r="F1471" s="28" t="s">
        <v>77</v>
      </c>
      <c r="G1471" s="28" t="s">
        <v>77</v>
      </c>
      <c r="I1471" s="26" t="s">
        <v>77</v>
      </c>
      <c r="J1471" s="26" t="s">
        <v>77</v>
      </c>
      <c r="K1471" s="18"/>
      <c r="L1471" s="26" t="s">
        <v>77</v>
      </c>
      <c r="M1471" s="6" t="s">
        <v>77</v>
      </c>
      <c r="N1471" s="28" t="s">
        <v>77</v>
      </c>
      <c r="O1471" s="26" t="s">
        <v>77</v>
      </c>
    </row>
    <row r="1472">
      <c r="A1472" s="52" t="s">
        <v>77</v>
      </c>
      <c r="B1472" s="28" t="s">
        <v>77</v>
      </c>
      <c r="C1472" s="28" t="s">
        <v>77</v>
      </c>
      <c r="D1472" s="28" t="s">
        <v>77</v>
      </c>
      <c r="E1472" s="28" t="s">
        <v>77</v>
      </c>
      <c r="F1472" s="28" t="s">
        <v>77</v>
      </c>
      <c r="G1472" s="28" t="s">
        <v>77</v>
      </c>
      <c r="I1472" s="26" t="s">
        <v>77</v>
      </c>
      <c r="J1472" s="26" t="s">
        <v>77</v>
      </c>
      <c r="K1472" s="18"/>
      <c r="L1472" s="26" t="s">
        <v>77</v>
      </c>
      <c r="M1472" s="6" t="s">
        <v>77</v>
      </c>
      <c r="N1472" s="28" t="s">
        <v>77</v>
      </c>
      <c r="O1472" s="26" t="s">
        <v>77</v>
      </c>
    </row>
    <row r="1473">
      <c r="A1473" s="52" t="s">
        <v>77</v>
      </c>
      <c r="B1473" s="28" t="s">
        <v>77</v>
      </c>
      <c r="C1473" s="28" t="s">
        <v>77</v>
      </c>
      <c r="D1473" s="28" t="s">
        <v>77</v>
      </c>
      <c r="E1473" s="28" t="s">
        <v>77</v>
      </c>
      <c r="F1473" s="28" t="s">
        <v>77</v>
      </c>
      <c r="G1473" s="28" t="s">
        <v>77</v>
      </c>
      <c r="I1473" s="26" t="s">
        <v>77</v>
      </c>
      <c r="J1473" s="26" t="s">
        <v>77</v>
      </c>
      <c r="K1473" s="18"/>
      <c r="L1473" s="26" t="s">
        <v>77</v>
      </c>
      <c r="M1473" s="6" t="s">
        <v>77</v>
      </c>
      <c r="N1473" s="28" t="s">
        <v>77</v>
      </c>
      <c r="O1473" s="26" t="s">
        <v>77</v>
      </c>
    </row>
    <row r="1474">
      <c r="A1474" s="52" t="s">
        <v>77</v>
      </c>
      <c r="B1474" s="28" t="s">
        <v>77</v>
      </c>
      <c r="C1474" s="28" t="s">
        <v>77</v>
      </c>
      <c r="D1474" s="28" t="s">
        <v>77</v>
      </c>
      <c r="E1474" s="28" t="s">
        <v>77</v>
      </c>
      <c r="F1474" s="28" t="s">
        <v>77</v>
      </c>
      <c r="G1474" s="28" t="s">
        <v>77</v>
      </c>
      <c r="I1474" s="26" t="s">
        <v>77</v>
      </c>
      <c r="J1474" s="26" t="s">
        <v>77</v>
      </c>
      <c r="K1474" s="18"/>
      <c r="L1474" s="26" t="s">
        <v>77</v>
      </c>
      <c r="M1474" s="6" t="s">
        <v>77</v>
      </c>
      <c r="N1474" s="28" t="s">
        <v>77</v>
      </c>
      <c r="O1474" s="26" t="s">
        <v>77</v>
      </c>
    </row>
    <row r="1475">
      <c r="A1475" s="52" t="s">
        <v>77</v>
      </c>
      <c r="B1475" s="28" t="s">
        <v>77</v>
      </c>
      <c r="C1475" s="28" t="s">
        <v>77</v>
      </c>
      <c r="D1475" s="28" t="s">
        <v>77</v>
      </c>
      <c r="E1475" s="28" t="s">
        <v>77</v>
      </c>
      <c r="F1475" s="28" t="s">
        <v>77</v>
      </c>
      <c r="G1475" s="28" t="s">
        <v>77</v>
      </c>
      <c r="I1475" s="26" t="s">
        <v>77</v>
      </c>
      <c r="J1475" s="26" t="s">
        <v>77</v>
      </c>
      <c r="K1475" s="18"/>
      <c r="L1475" s="26" t="s">
        <v>77</v>
      </c>
      <c r="M1475" s="6" t="s">
        <v>77</v>
      </c>
      <c r="N1475" s="28" t="s">
        <v>77</v>
      </c>
      <c r="O1475" s="26" t="s">
        <v>77</v>
      </c>
    </row>
    <row r="1476">
      <c r="A1476" s="52" t="s">
        <v>77</v>
      </c>
      <c r="B1476" s="28" t="s">
        <v>77</v>
      </c>
      <c r="C1476" s="28" t="s">
        <v>77</v>
      </c>
      <c r="D1476" s="28" t="s">
        <v>77</v>
      </c>
      <c r="E1476" s="28" t="s">
        <v>77</v>
      </c>
      <c r="F1476" s="28" t="s">
        <v>77</v>
      </c>
      <c r="G1476" s="28" t="s">
        <v>77</v>
      </c>
      <c r="I1476" s="26" t="s">
        <v>77</v>
      </c>
      <c r="J1476" s="26" t="s">
        <v>77</v>
      </c>
      <c r="K1476" s="18"/>
      <c r="L1476" s="26" t="s">
        <v>77</v>
      </c>
      <c r="M1476" s="6" t="s">
        <v>77</v>
      </c>
      <c r="N1476" s="28" t="s">
        <v>77</v>
      </c>
      <c r="O1476" s="26" t="s">
        <v>77</v>
      </c>
    </row>
    <row r="1477">
      <c r="A1477" s="52" t="s">
        <v>77</v>
      </c>
      <c r="B1477" s="28" t="s">
        <v>77</v>
      </c>
      <c r="C1477" s="28" t="s">
        <v>77</v>
      </c>
      <c r="D1477" s="28" t="s">
        <v>77</v>
      </c>
      <c r="E1477" s="28" t="s">
        <v>77</v>
      </c>
      <c r="F1477" s="28" t="s">
        <v>77</v>
      </c>
      <c r="G1477" s="28" t="s">
        <v>77</v>
      </c>
      <c r="I1477" s="26" t="s">
        <v>77</v>
      </c>
      <c r="J1477" s="26" t="s">
        <v>77</v>
      </c>
      <c r="K1477" s="18"/>
      <c r="L1477" s="26" t="s">
        <v>77</v>
      </c>
      <c r="M1477" s="6" t="s">
        <v>77</v>
      </c>
      <c r="N1477" s="28" t="s">
        <v>77</v>
      </c>
      <c r="O1477" s="26" t="s">
        <v>77</v>
      </c>
    </row>
    <row r="1478">
      <c r="A1478" s="52" t="s">
        <v>77</v>
      </c>
      <c r="B1478" s="28" t="s">
        <v>77</v>
      </c>
      <c r="C1478" s="28" t="s">
        <v>77</v>
      </c>
      <c r="D1478" s="28" t="s">
        <v>77</v>
      </c>
      <c r="E1478" s="28" t="s">
        <v>77</v>
      </c>
      <c r="F1478" s="28" t="s">
        <v>77</v>
      </c>
      <c r="G1478" s="28" t="s">
        <v>77</v>
      </c>
      <c r="I1478" s="26" t="s">
        <v>77</v>
      </c>
      <c r="J1478" s="26" t="s">
        <v>77</v>
      </c>
      <c r="K1478" s="18"/>
      <c r="L1478" s="26" t="s">
        <v>77</v>
      </c>
      <c r="M1478" s="6" t="s">
        <v>77</v>
      </c>
      <c r="N1478" s="28" t="s">
        <v>77</v>
      </c>
      <c r="O1478" s="26" t="s">
        <v>77</v>
      </c>
    </row>
    <row r="1479">
      <c r="A1479" s="52" t="s">
        <v>77</v>
      </c>
      <c r="B1479" s="28" t="s">
        <v>77</v>
      </c>
      <c r="C1479" s="28" t="s">
        <v>77</v>
      </c>
      <c r="D1479" s="28" t="s">
        <v>77</v>
      </c>
      <c r="E1479" s="28" t="s">
        <v>77</v>
      </c>
      <c r="F1479" s="28" t="s">
        <v>77</v>
      </c>
      <c r="G1479" s="28" t="s">
        <v>77</v>
      </c>
      <c r="I1479" s="26" t="s">
        <v>77</v>
      </c>
      <c r="J1479" s="26" t="s">
        <v>77</v>
      </c>
      <c r="K1479" s="18"/>
      <c r="L1479" s="26" t="s">
        <v>77</v>
      </c>
      <c r="M1479" s="6" t="s">
        <v>77</v>
      </c>
      <c r="N1479" s="28" t="s">
        <v>77</v>
      </c>
      <c r="O1479" s="26" t="s">
        <v>77</v>
      </c>
    </row>
    <row r="1480">
      <c r="A1480" s="52" t="s">
        <v>77</v>
      </c>
      <c r="B1480" s="28" t="s">
        <v>77</v>
      </c>
      <c r="C1480" s="28" t="s">
        <v>77</v>
      </c>
      <c r="D1480" s="28" t="s">
        <v>77</v>
      </c>
      <c r="E1480" s="28" t="s">
        <v>77</v>
      </c>
      <c r="F1480" s="28" t="s">
        <v>77</v>
      </c>
      <c r="G1480" s="28" t="s">
        <v>77</v>
      </c>
      <c r="I1480" s="26" t="s">
        <v>77</v>
      </c>
      <c r="J1480" s="26" t="s">
        <v>77</v>
      </c>
      <c r="K1480" s="18"/>
      <c r="L1480" s="26" t="s">
        <v>77</v>
      </c>
      <c r="M1480" s="6" t="s">
        <v>77</v>
      </c>
      <c r="N1480" s="28" t="s">
        <v>77</v>
      </c>
      <c r="O1480" s="26" t="s">
        <v>77</v>
      </c>
    </row>
    <row r="1481">
      <c r="A1481" s="52" t="s">
        <v>77</v>
      </c>
      <c r="B1481" s="28" t="s">
        <v>77</v>
      </c>
      <c r="C1481" s="28" t="s">
        <v>77</v>
      </c>
      <c r="D1481" s="28" t="s">
        <v>77</v>
      </c>
      <c r="E1481" s="28" t="s">
        <v>77</v>
      </c>
      <c r="F1481" s="28" t="s">
        <v>77</v>
      </c>
      <c r="G1481" s="28" t="s">
        <v>77</v>
      </c>
      <c r="I1481" s="26" t="s">
        <v>77</v>
      </c>
      <c r="J1481" s="26" t="s">
        <v>77</v>
      </c>
      <c r="K1481" s="18"/>
      <c r="L1481" s="26" t="s">
        <v>77</v>
      </c>
      <c r="M1481" s="6" t="s">
        <v>77</v>
      </c>
      <c r="N1481" s="28" t="s">
        <v>77</v>
      </c>
      <c r="O1481" s="26" t="s">
        <v>77</v>
      </c>
    </row>
    <row r="1482">
      <c r="A1482" s="52" t="s">
        <v>77</v>
      </c>
      <c r="B1482" s="28" t="s">
        <v>77</v>
      </c>
      <c r="C1482" s="28" t="s">
        <v>77</v>
      </c>
      <c r="D1482" s="28" t="s">
        <v>77</v>
      </c>
      <c r="E1482" s="28" t="s">
        <v>77</v>
      </c>
      <c r="F1482" s="28" t="s">
        <v>77</v>
      </c>
      <c r="G1482" s="28" t="s">
        <v>77</v>
      </c>
      <c r="I1482" s="26" t="s">
        <v>77</v>
      </c>
      <c r="J1482" s="26" t="s">
        <v>77</v>
      </c>
      <c r="K1482" s="18"/>
      <c r="L1482" s="26" t="s">
        <v>77</v>
      </c>
      <c r="M1482" s="6" t="s">
        <v>77</v>
      </c>
      <c r="N1482" s="28" t="s">
        <v>77</v>
      </c>
      <c r="O1482" s="26" t="s">
        <v>77</v>
      </c>
    </row>
    <row r="1483">
      <c r="A1483" s="52" t="s">
        <v>77</v>
      </c>
      <c r="B1483" s="28" t="s">
        <v>77</v>
      </c>
      <c r="C1483" s="28" t="s">
        <v>77</v>
      </c>
      <c r="D1483" s="28" t="s">
        <v>77</v>
      </c>
      <c r="E1483" s="28" t="s">
        <v>77</v>
      </c>
      <c r="F1483" s="28" t="s">
        <v>77</v>
      </c>
      <c r="G1483" s="28" t="s">
        <v>77</v>
      </c>
      <c r="I1483" s="26" t="s">
        <v>77</v>
      </c>
      <c r="J1483" s="26" t="s">
        <v>77</v>
      </c>
      <c r="K1483" s="18"/>
      <c r="L1483" s="26" t="s">
        <v>77</v>
      </c>
      <c r="M1483" s="6" t="s">
        <v>77</v>
      </c>
      <c r="N1483" s="28" t="s">
        <v>77</v>
      </c>
      <c r="O1483" s="26" t="s">
        <v>77</v>
      </c>
    </row>
    <row r="1484">
      <c r="A1484" s="52" t="s">
        <v>77</v>
      </c>
      <c r="B1484" s="28" t="s">
        <v>77</v>
      </c>
      <c r="C1484" s="28" t="s">
        <v>77</v>
      </c>
      <c r="D1484" s="28" t="s">
        <v>77</v>
      </c>
      <c r="E1484" s="28" t="s">
        <v>77</v>
      </c>
      <c r="F1484" s="28" t="s">
        <v>77</v>
      </c>
      <c r="G1484" s="28" t="s">
        <v>77</v>
      </c>
      <c r="I1484" s="26" t="s">
        <v>77</v>
      </c>
      <c r="J1484" s="26" t="s">
        <v>77</v>
      </c>
      <c r="K1484" s="18"/>
      <c r="L1484" s="26" t="s">
        <v>77</v>
      </c>
      <c r="M1484" s="6" t="s">
        <v>77</v>
      </c>
      <c r="N1484" s="28" t="s">
        <v>77</v>
      </c>
      <c r="O1484" s="26" t="s">
        <v>77</v>
      </c>
    </row>
    <row r="1485">
      <c r="A1485" s="52" t="s">
        <v>77</v>
      </c>
      <c r="B1485" s="28" t="s">
        <v>77</v>
      </c>
      <c r="C1485" s="28" t="s">
        <v>77</v>
      </c>
      <c r="D1485" s="28" t="s">
        <v>77</v>
      </c>
      <c r="E1485" s="28" t="s">
        <v>77</v>
      </c>
      <c r="F1485" s="28" t="s">
        <v>77</v>
      </c>
      <c r="G1485" s="28" t="s">
        <v>77</v>
      </c>
      <c r="I1485" s="26" t="s">
        <v>77</v>
      </c>
      <c r="J1485" s="26" t="s">
        <v>77</v>
      </c>
      <c r="K1485" s="18"/>
      <c r="L1485" s="26" t="s">
        <v>77</v>
      </c>
      <c r="M1485" s="6" t="s">
        <v>77</v>
      </c>
      <c r="N1485" s="28" t="s">
        <v>77</v>
      </c>
      <c r="O1485" s="26" t="s">
        <v>77</v>
      </c>
    </row>
    <row r="1486">
      <c r="A1486" s="52" t="s">
        <v>77</v>
      </c>
      <c r="B1486" s="28" t="s">
        <v>77</v>
      </c>
      <c r="C1486" s="28" t="s">
        <v>77</v>
      </c>
      <c r="D1486" s="28" t="s">
        <v>77</v>
      </c>
      <c r="E1486" s="28" t="s">
        <v>77</v>
      </c>
      <c r="F1486" s="28" t="s">
        <v>77</v>
      </c>
      <c r="G1486" s="28" t="s">
        <v>77</v>
      </c>
      <c r="I1486" s="26" t="s">
        <v>77</v>
      </c>
      <c r="J1486" s="26" t="s">
        <v>77</v>
      </c>
      <c r="K1486" s="18"/>
      <c r="L1486" s="26" t="s">
        <v>77</v>
      </c>
      <c r="M1486" s="6" t="s">
        <v>77</v>
      </c>
      <c r="N1486" s="28" t="s">
        <v>77</v>
      </c>
      <c r="O1486" s="26" t="s">
        <v>77</v>
      </c>
    </row>
    <row r="1487">
      <c r="A1487" s="52" t="s">
        <v>77</v>
      </c>
      <c r="B1487" s="28" t="s">
        <v>77</v>
      </c>
      <c r="C1487" s="28" t="s">
        <v>77</v>
      </c>
      <c r="D1487" s="28" t="s">
        <v>77</v>
      </c>
      <c r="E1487" s="28" t="s">
        <v>77</v>
      </c>
      <c r="F1487" s="28" t="s">
        <v>77</v>
      </c>
      <c r="G1487" s="28" t="s">
        <v>77</v>
      </c>
      <c r="I1487" s="26" t="s">
        <v>77</v>
      </c>
      <c r="J1487" s="26" t="s">
        <v>77</v>
      </c>
      <c r="K1487" s="18"/>
      <c r="L1487" s="26" t="s">
        <v>77</v>
      </c>
      <c r="M1487" s="6" t="s">
        <v>77</v>
      </c>
      <c r="N1487" s="28" t="s">
        <v>77</v>
      </c>
      <c r="O1487" s="26" t="s">
        <v>77</v>
      </c>
    </row>
    <row r="1488">
      <c r="A1488" s="52" t="s">
        <v>77</v>
      </c>
      <c r="B1488" s="28" t="s">
        <v>77</v>
      </c>
      <c r="C1488" s="28" t="s">
        <v>77</v>
      </c>
      <c r="D1488" s="28" t="s">
        <v>77</v>
      </c>
      <c r="E1488" s="28" t="s">
        <v>77</v>
      </c>
      <c r="F1488" s="28" t="s">
        <v>77</v>
      </c>
      <c r="G1488" s="28" t="s">
        <v>77</v>
      </c>
      <c r="I1488" s="26" t="s">
        <v>77</v>
      </c>
      <c r="J1488" s="26" t="s">
        <v>77</v>
      </c>
      <c r="K1488" s="18"/>
      <c r="L1488" s="26" t="s">
        <v>77</v>
      </c>
      <c r="M1488" s="6" t="s">
        <v>77</v>
      </c>
      <c r="N1488" s="28" t="s">
        <v>77</v>
      </c>
      <c r="O1488" s="26" t="s">
        <v>77</v>
      </c>
    </row>
    <row r="1489">
      <c r="A1489" s="52" t="s">
        <v>77</v>
      </c>
      <c r="B1489" s="28" t="s">
        <v>77</v>
      </c>
      <c r="C1489" s="28" t="s">
        <v>77</v>
      </c>
      <c r="D1489" s="28" t="s">
        <v>77</v>
      </c>
      <c r="E1489" s="28" t="s">
        <v>77</v>
      </c>
      <c r="F1489" s="28" t="s">
        <v>77</v>
      </c>
      <c r="G1489" s="28" t="s">
        <v>77</v>
      </c>
      <c r="I1489" s="26" t="s">
        <v>77</v>
      </c>
      <c r="J1489" s="26" t="s">
        <v>77</v>
      </c>
      <c r="K1489" s="18"/>
      <c r="L1489" s="26" t="s">
        <v>77</v>
      </c>
      <c r="M1489" s="6" t="s">
        <v>77</v>
      </c>
      <c r="N1489" s="28" t="s">
        <v>77</v>
      </c>
      <c r="O1489" s="26" t="s">
        <v>77</v>
      </c>
    </row>
    <row r="1490">
      <c r="A1490" s="52" t="s">
        <v>77</v>
      </c>
      <c r="B1490" s="28" t="s">
        <v>77</v>
      </c>
      <c r="C1490" s="28" t="s">
        <v>77</v>
      </c>
      <c r="D1490" s="28" t="s">
        <v>77</v>
      </c>
      <c r="E1490" s="28" t="s">
        <v>77</v>
      </c>
      <c r="F1490" s="28" t="s">
        <v>77</v>
      </c>
      <c r="G1490" s="28" t="s">
        <v>77</v>
      </c>
      <c r="I1490" s="26" t="s">
        <v>77</v>
      </c>
      <c r="J1490" s="26" t="s">
        <v>77</v>
      </c>
      <c r="K1490" s="18"/>
      <c r="L1490" s="26" t="s">
        <v>77</v>
      </c>
      <c r="M1490" s="6" t="s">
        <v>77</v>
      </c>
      <c r="N1490" s="28" t="s">
        <v>77</v>
      </c>
      <c r="O1490" s="26" t="s">
        <v>77</v>
      </c>
    </row>
    <row r="1491">
      <c r="A1491" s="52" t="s">
        <v>77</v>
      </c>
      <c r="B1491" s="28" t="s">
        <v>77</v>
      </c>
      <c r="C1491" s="28" t="s">
        <v>77</v>
      </c>
      <c r="D1491" s="28" t="s">
        <v>77</v>
      </c>
      <c r="E1491" s="28" t="s">
        <v>77</v>
      </c>
      <c r="F1491" s="28" t="s">
        <v>77</v>
      </c>
      <c r="G1491" s="28" t="s">
        <v>77</v>
      </c>
      <c r="I1491" s="26" t="s">
        <v>77</v>
      </c>
      <c r="J1491" s="26" t="s">
        <v>77</v>
      </c>
      <c r="K1491" s="18"/>
      <c r="L1491" s="26" t="s">
        <v>77</v>
      </c>
      <c r="M1491" s="6" t="s">
        <v>77</v>
      </c>
      <c r="N1491" s="28" t="s">
        <v>77</v>
      </c>
      <c r="O1491" s="26" t="s">
        <v>77</v>
      </c>
    </row>
    <row r="1492">
      <c r="A1492" s="52" t="s">
        <v>77</v>
      </c>
      <c r="B1492" s="28" t="s">
        <v>77</v>
      </c>
      <c r="C1492" s="28" t="s">
        <v>77</v>
      </c>
      <c r="D1492" s="28" t="s">
        <v>77</v>
      </c>
      <c r="E1492" s="28" t="s">
        <v>77</v>
      </c>
      <c r="F1492" s="28" t="s">
        <v>77</v>
      </c>
      <c r="G1492" s="28" t="s">
        <v>77</v>
      </c>
      <c r="I1492" s="26" t="s">
        <v>77</v>
      </c>
      <c r="J1492" s="26" t="s">
        <v>77</v>
      </c>
      <c r="K1492" s="18"/>
      <c r="L1492" s="26" t="s">
        <v>77</v>
      </c>
      <c r="M1492" s="6" t="s">
        <v>77</v>
      </c>
      <c r="N1492" s="28" t="s">
        <v>77</v>
      </c>
      <c r="O1492" s="26" t="s">
        <v>77</v>
      </c>
    </row>
    <row r="1493">
      <c r="A1493" s="52" t="s">
        <v>77</v>
      </c>
      <c r="B1493" s="28" t="s">
        <v>77</v>
      </c>
      <c r="C1493" s="28" t="s">
        <v>77</v>
      </c>
      <c r="D1493" s="28" t="s">
        <v>77</v>
      </c>
      <c r="E1493" s="28" t="s">
        <v>77</v>
      </c>
      <c r="F1493" s="28" t="s">
        <v>77</v>
      </c>
      <c r="G1493" s="28" t="s">
        <v>77</v>
      </c>
      <c r="I1493" s="26" t="s">
        <v>77</v>
      </c>
      <c r="J1493" s="26" t="s">
        <v>77</v>
      </c>
      <c r="K1493" s="18"/>
      <c r="L1493" s="26" t="s">
        <v>77</v>
      </c>
      <c r="M1493" s="6" t="s">
        <v>77</v>
      </c>
      <c r="N1493" s="28" t="s">
        <v>77</v>
      </c>
      <c r="O1493" s="26" t="s">
        <v>77</v>
      </c>
    </row>
    <row r="1494">
      <c r="A1494" s="52" t="s">
        <v>77</v>
      </c>
      <c r="B1494" s="28" t="s">
        <v>77</v>
      </c>
      <c r="C1494" s="28" t="s">
        <v>77</v>
      </c>
      <c r="D1494" s="28" t="s">
        <v>77</v>
      </c>
      <c r="E1494" s="28" t="s">
        <v>77</v>
      </c>
      <c r="F1494" s="28" t="s">
        <v>77</v>
      </c>
      <c r="G1494" s="28" t="s">
        <v>77</v>
      </c>
      <c r="I1494" s="26" t="s">
        <v>77</v>
      </c>
      <c r="J1494" s="26" t="s">
        <v>77</v>
      </c>
      <c r="K1494" s="18"/>
      <c r="L1494" s="26" t="s">
        <v>77</v>
      </c>
      <c r="M1494" s="6" t="s">
        <v>77</v>
      </c>
      <c r="N1494" s="28" t="s">
        <v>77</v>
      </c>
      <c r="O1494" s="26" t="s">
        <v>77</v>
      </c>
    </row>
    <row r="1495">
      <c r="A1495" s="52" t="s">
        <v>77</v>
      </c>
      <c r="B1495" s="28" t="s">
        <v>77</v>
      </c>
      <c r="C1495" s="28" t="s">
        <v>77</v>
      </c>
      <c r="D1495" s="28" t="s">
        <v>77</v>
      </c>
      <c r="E1495" s="28" t="s">
        <v>77</v>
      </c>
      <c r="F1495" s="28" t="s">
        <v>77</v>
      </c>
      <c r="G1495" s="28" t="s">
        <v>77</v>
      </c>
      <c r="I1495" s="26" t="s">
        <v>77</v>
      </c>
      <c r="J1495" s="26" t="s">
        <v>77</v>
      </c>
      <c r="K1495" s="18"/>
      <c r="L1495" s="26" t="s">
        <v>77</v>
      </c>
      <c r="M1495" s="6" t="s">
        <v>77</v>
      </c>
      <c r="N1495" s="28" t="s">
        <v>77</v>
      </c>
      <c r="O1495" s="26" t="s">
        <v>77</v>
      </c>
    </row>
    <row r="1496">
      <c r="A1496" s="52" t="s">
        <v>77</v>
      </c>
      <c r="B1496" s="28" t="s">
        <v>77</v>
      </c>
      <c r="C1496" s="28" t="s">
        <v>77</v>
      </c>
      <c r="D1496" s="28" t="s">
        <v>77</v>
      </c>
      <c r="E1496" s="28" t="s">
        <v>77</v>
      </c>
      <c r="F1496" s="28" t="s">
        <v>77</v>
      </c>
      <c r="G1496" s="28" t="s">
        <v>77</v>
      </c>
      <c r="I1496" s="26" t="s">
        <v>77</v>
      </c>
      <c r="J1496" s="26" t="s">
        <v>77</v>
      </c>
      <c r="K1496" s="18"/>
      <c r="L1496" s="26" t="s">
        <v>77</v>
      </c>
      <c r="M1496" s="6" t="s">
        <v>77</v>
      </c>
      <c r="N1496" s="28" t="s">
        <v>77</v>
      </c>
      <c r="O1496" s="26" t="s">
        <v>77</v>
      </c>
    </row>
    <row r="1497">
      <c r="A1497" s="52" t="s">
        <v>77</v>
      </c>
      <c r="B1497" s="28" t="s">
        <v>77</v>
      </c>
      <c r="C1497" s="28" t="s">
        <v>77</v>
      </c>
      <c r="D1497" s="28" t="s">
        <v>77</v>
      </c>
      <c r="E1497" s="28" t="s">
        <v>77</v>
      </c>
      <c r="F1497" s="28" t="s">
        <v>77</v>
      </c>
      <c r="G1497" s="28" t="s">
        <v>77</v>
      </c>
      <c r="I1497" s="26" t="s">
        <v>77</v>
      </c>
      <c r="J1497" s="26" t="s">
        <v>77</v>
      </c>
      <c r="K1497" s="18"/>
      <c r="L1497" s="26" t="s">
        <v>77</v>
      </c>
      <c r="M1497" s="6" t="s">
        <v>77</v>
      </c>
      <c r="N1497" s="28" t="s">
        <v>77</v>
      </c>
      <c r="O1497" s="26" t="s">
        <v>77</v>
      </c>
    </row>
    <row r="1498">
      <c r="A1498" s="52" t="s">
        <v>77</v>
      </c>
      <c r="B1498" s="28" t="s">
        <v>77</v>
      </c>
      <c r="C1498" s="28" t="s">
        <v>77</v>
      </c>
      <c r="D1498" s="28" t="s">
        <v>77</v>
      </c>
      <c r="E1498" s="28" t="s">
        <v>77</v>
      </c>
      <c r="F1498" s="28" t="s">
        <v>77</v>
      </c>
      <c r="G1498" s="28" t="s">
        <v>77</v>
      </c>
      <c r="I1498" s="26" t="s">
        <v>77</v>
      </c>
      <c r="J1498" s="26" t="s">
        <v>77</v>
      </c>
      <c r="K1498" s="18"/>
      <c r="L1498" s="26" t="s">
        <v>77</v>
      </c>
      <c r="M1498" s="6" t="s">
        <v>77</v>
      </c>
      <c r="N1498" s="28" t="s">
        <v>77</v>
      </c>
      <c r="O1498" s="26" t="s">
        <v>77</v>
      </c>
    </row>
    <row r="1499">
      <c r="A1499" s="52" t="s">
        <v>77</v>
      </c>
      <c r="B1499" s="28" t="s">
        <v>77</v>
      </c>
      <c r="C1499" s="28" t="s">
        <v>77</v>
      </c>
      <c r="D1499" s="28" t="s">
        <v>77</v>
      </c>
      <c r="E1499" s="28" t="s">
        <v>77</v>
      </c>
      <c r="F1499" s="28" t="s">
        <v>77</v>
      </c>
      <c r="G1499" s="28" t="s">
        <v>77</v>
      </c>
      <c r="I1499" s="26" t="s">
        <v>77</v>
      </c>
      <c r="J1499" s="26" t="s">
        <v>77</v>
      </c>
      <c r="K1499" s="18"/>
      <c r="L1499" s="26" t="s">
        <v>77</v>
      </c>
      <c r="M1499" s="6" t="s">
        <v>77</v>
      </c>
      <c r="N1499" s="28" t="s">
        <v>77</v>
      </c>
      <c r="O1499" s="26" t="s">
        <v>77</v>
      </c>
    </row>
    <row r="1500">
      <c r="A1500" s="52" t="s">
        <v>77</v>
      </c>
      <c r="B1500" s="28" t="s">
        <v>77</v>
      </c>
      <c r="C1500" s="28" t="s">
        <v>77</v>
      </c>
      <c r="D1500" s="28" t="s">
        <v>77</v>
      </c>
      <c r="E1500" s="28" t="s">
        <v>77</v>
      </c>
      <c r="F1500" s="28" t="s">
        <v>77</v>
      </c>
      <c r="G1500" s="28" t="s">
        <v>77</v>
      </c>
      <c r="I1500" s="26" t="s">
        <v>77</v>
      </c>
      <c r="J1500" s="26" t="s">
        <v>77</v>
      </c>
      <c r="K1500" s="18"/>
      <c r="L1500" s="26" t="s">
        <v>77</v>
      </c>
      <c r="M1500" s="6" t="s">
        <v>77</v>
      </c>
      <c r="N1500" s="28" t="s">
        <v>77</v>
      </c>
      <c r="O1500" s="26" t="s">
        <v>77</v>
      </c>
    </row>
    <row r="1501">
      <c r="A1501" s="52" t="s">
        <v>77</v>
      </c>
      <c r="B1501" s="28" t="s">
        <v>77</v>
      </c>
      <c r="C1501" s="28" t="s">
        <v>77</v>
      </c>
      <c r="D1501" s="28" t="s">
        <v>77</v>
      </c>
      <c r="E1501" s="28" t="s">
        <v>77</v>
      </c>
      <c r="F1501" s="28" t="s">
        <v>77</v>
      </c>
      <c r="G1501" s="28" t="s">
        <v>77</v>
      </c>
      <c r="I1501" s="26" t="s">
        <v>77</v>
      </c>
      <c r="J1501" s="26" t="s">
        <v>77</v>
      </c>
      <c r="K1501" s="18"/>
      <c r="L1501" s="26" t="s">
        <v>77</v>
      </c>
      <c r="M1501" s="6" t="s">
        <v>77</v>
      </c>
      <c r="N1501" s="28" t="s">
        <v>77</v>
      </c>
      <c r="O1501" s="26" t="s">
        <v>77</v>
      </c>
    </row>
    <row r="1502">
      <c r="A1502" s="52" t="s">
        <v>77</v>
      </c>
      <c r="B1502" s="28" t="s">
        <v>77</v>
      </c>
      <c r="C1502" s="28" t="s">
        <v>77</v>
      </c>
      <c r="D1502" s="28" t="s">
        <v>77</v>
      </c>
      <c r="E1502" s="28" t="s">
        <v>77</v>
      </c>
      <c r="F1502" s="28" t="s">
        <v>77</v>
      </c>
      <c r="G1502" s="28" t="s">
        <v>77</v>
      </c>
      <c r="I1502" s="26" t="s">
        <v>77</v>
      </c>
      <c r="J1502" s="26" t="s">
        <v>77</v>
      </c>
      <c r="K1502" s="18"/>
      <c r="L1502" s="26" t="s">
        <v>77</v>
      </c>
      <c r="M1502" s="6" t="s">
        <v>77</v>
      </c>
      <c r="N1502" s="28" t="s">
        <v>77</v>
      </c>
      <c r="O1502" s="26" t="s">
        <v>77</v>
      </c>
    </row>
    <row r="1503">
      <c r="A1503" s="52" t="s">
        <v>77</v>
      </c>
      <c r="B1503" s="28" t="s">
        <v>77</v>
      </c>
      <c r="C1503" s="28" t="s">
        <v>77</v>
      </c>
      <c r="D1503" s="28" t="s">
        <v>77</v>
      </c>
      <c r="E1503" s="28" t="s">
        <v>77</v>
      </c>
      <c r="F1503" s="28" t="s">
        <v>77</v>
      </c>
      <c r="G1503" s="28" t="s">
        <v>77</v>
      </c>
      <c r="I1503" s="26" t="s">
        <v>77</v>
      </c>
      <c r="J1503" s="26" t="s">
        <v>77</v>
      </c>
      <c r="K1503" s="18"/>
      <c r="L1503" s="26" t="s">
        <v>77</v>
      </c>
      <c r="M1503" s="6" t="s">
        <v>77</v>
      </c>
      <c r="N1503" s="28" t="s">
        <v>77</v>
      </c>
      <c r="O1503" s="26" t="s">
        <v>77</v>
      </c>
    </row>
    <row r="1504">
      <c r="A1504" s="52" t="s">
        <v>77</v>
      </c>
      <c r="B1504" s="28" t="s">
        <v>77</v>
      </c>
      <c r="C1504" s="28" t="s">
        <v>77</v>
      </c>
      <c r="D1504" s="28" t="s">
        <v>77</v>
      </c>
      <c r="E1504" s="28" t="s">
        <v>77</v>
      </c>
      <c r="F1504" s="28" t="s">
        <v>77</v>
      </c>
      <c r="G1504" s="28" t="s">
        <v>77</v>
      </c>
      <c r="I1504" s="26" t="s">
        <v>77</v>
      </c>
      <c r="J1504" s="26" t="s">
        <v>77</v>
      </c>
      <c r="K1504" s="18"/>
      <c r="L1504" s="26" t="s">
        <v>77</v>
      </c>
      <c r="M1504" s="6" t="s">
        <v>77</v>
      </c>
      <c r="N1504" s="28" t="s">
        <v>77</v>
      </c>
      <c r="O1504" s="26" t="s">
        <v>77</v>
      </c>
    </row>
    <row r="1505">
      <c r="A1505" s="52" t="s">
        <v>77</v>
      </c>
      <c r="B1505" s="28" t="s">
        <v>77</v>
      </c>
      <c r="C1505" s="28" t="s">
        <v>77</v>
      </c>
      <c r="D1505" s="28" t="s">
        <v>77</v>
      </c>
      <c r="E1505" s="28" t="s">
        <v>77</v>
      </c>
      <c r="F1505" s="28" t="s">
        <v>77</v>
      </c>
      <c r="G1505" s="28" t="s">
        <v>77</v>
      </c>
      <c r="I1505" s="26" t="s">
        <v>77</v>
      </c>
      <c r="J1505" s="26" t="s">
        <v>77</v>
      </c>
      <c r="K1505" s="18"/>
      <c r="L1505" s="26" t="s">
        <v>77</v>
      </c>
      <c r="M1505" s="6" t="s">
        <v>77</v>
      </c>
      <c r="N1505" s="28" t="s">
        <v>77</v>
      </c>
      <c r="O1505" s="26" t="s">
        <v>77</v>
      </c>
    </row>
    <row r="1506">
      <c r="A1506" s="52" t="s">
        <v>77</v>
      </c>
      <c r="B1506" s="28" t="s">
        <v>77</v>
      </c>
      <c r="C1506" s="28" t="s">
        <v>77</v>
      </c>
      <c r="D1506" s="28" t="s">
        <v>77</v>
      </c>
      <c r="E1506" s="28" t="s">
        <v>77</v>
      </c>
      <c r="F1506" s="28" t="s">
        <v>77</v>
      </c>
      <c r="G1506" s="28" t="s">
        <v>77</v>
      </c>
      <c r="I1506" s="26" t="s">
        <v>77</v>
      </c>
      <c r="J1506" s="26" t="s">
        <v>77</v>
      </c>
      <c r="K1506" s="18"/>
      <c r="L1506" s="26" t="s">
        <v>77</v>
      </c>
      <c r="M1506" s="6" t="s">
        <v>77</v>
      </c>
      <c r="N1506" s="28" t="s">
        <v>77</v>
      </c>
      <c r="O1506" s="26" t="s">
        <v>77</v>
      </c>
    </row>
    <row r="1507">
      <c r="A1507" s="52" t="s">
        <v>77</v>
      </c>
      <c r="B1507" s="28" t="s">
        <v>77</v>
      </c>
      <c r="C1507" s="28" t="s">
        <v>77</v>
      </c>
      <c r="D1507" s="28" t="s">
        <v>77</v>
      </c>
      <c r="E1507" s="28" t="s">
        <v>77</v>
      </c>
      <c r="F1507" s="28" t="s">
        <v>77</v>
      </c>
      <c r="G1507" s="28" t="s">
        <v>77</v>
      </c>
      <c r="I1507" s="26" t="s">
        <v>77</v>
      </c>
      <c r="J1507" s="26" t="s">
        <v>77</v>
      </c>
      <c r="K1507" s="18"/>
      <c r="L1507" s="26" t="s">
        <v>77</v>
      </c>
      <c r="M1507" s="6" t="s">
        <v>77</v>
      </c>
      <c r="N1507" s="28" t="s">
        <v>77</v>
      </c>
      <c r="O1507" s="26" t="s">
        <v>77</v>
      </c>
    </row>
    <row r="1508">
      <c r="A1508" s="52" t="s">
        <v>77</v>
      </c>
      <c r="B1508" s="28" t="s">
        <v>77</v>
      </c>
      <c r="C1508" s="28" t="s">
        <v>77</v>
      </c>
      <c r="D1508" s="28" t="s">
        <v>77</v>
      </c>
      <c r="E1508" s="28" t="s">
        <v>77</v>
      </c>
      <c r="F1508" s="28" t="s">
        <v>77</v>
      </c>
      <c r="G1508" s="28" t="s">
        <v>77</v>
      </c>
      <c r="I1508" s="26" t="s">
        <v>77</v>
      </c>
      <c r="J1508" s="26" t="s">
        <v>77</v>
      </c>
      <c r="K1508" s="18"/>
      <c r="L1508" s="26" t="s">
        <v>77</v>
      </c>
      <c r="M1508" s="6" t="s">
        <v>77</v>
      </c>
      <c r="N1508" s="28" t="s">
        <v>77</v>
      </c>
      <c r="O1508" s="26" t="s">
        <v>77</v>
      </c>
    </row>
    <row r="1509">
      <c r="A1509" s="52" t="s">
        <v>77</v>
      </c>
      <c r="B1509" s="28" t="s">
        <v>77</v>
      </c>
      <c r="C1509" s="28" t="s">
        <v>77</v>
      </c>
      <c r="D1509" s="28" t="s">
        <v>77</v>
      </c>
      <c r="E1509" s="28" t="s">
        <v>77</v>
      </c>
      <c r="F1509" s="28" t="s">
        <v>77</v>
      </c>
      <c r="G1509" s="28" t="s">
        <v>77</v>
      </c>
      <c r="I1509" s="26" t="s">
        <v>77</v>
      </c>
      <c r="J1509" s="26" t="s">
        <v>77</v>
      </c>
      <c r="K1509" s="18"/>
      <c r="L1509" s="26" t="s">
        <v>77</v>
      </c>
      <c r="M1509" s="6" t="s">
        <v>77</v>
      </c>
      <c r="N1509" s="28" t="s">
        <v>77</v>
      </c>
      <c r="O1509" s="26" t="s">
        <v>77</v>
      </c>
    </row>
    <row r="1510">
      <c r="A1510" s="52" t="s">
        <v>77</v>
      </c>
      <c r="B1510" s="28" t="s">
        <v>77</v>
      </c>
      <c r="C1510" s="28" t="s">
        <v>77</v>
      </c>
      <c r="D1510" s="28" t="s">
        <v>77</v>
      </c>
      <c r="E1510" s="28" t="s">
        <v>77</v>
      </c>
      <c r="F1510" s="28" t="s">
        <v>77</v>
      </c>
      <c r="G1510" s="28" t="s">
        <v>77</v>
      </c>
      <c r="I1510" s="26" t="s">
        <v>77</v>
      </c>
      <c r="J1510" s="26" t="s">
        <v>77</v>
      </c>
      <c r="K1510" s="18"/>
      <c r="L1510" s="26" t="s">
        <v>77</v>
      </c>
      <c r="M1510" s="6" t="s">
        <v>77</v>
      </c>
      <c r="N1510" s="28" t="s">
        <v>77</v>
      </c>
      <c r="O1510" s="26" t="s">
        <v>77</v>
      </c>
    </row>
    <row r="1511">
      <c r="A1511" s="52" t="s">
        <v>77</v>
      </c>
      <c r="B1511" s="28" t="s">
        <v>77</v>
      </c>
      <c r="C1511" s="28" t="s">
        <v>77</v>
      </c>
      <c r="D1511" s="28" t="s">
        <v>77</v>
      </c>
      <c r="E1511" s="28" t="s">
        <v>77</v>
      </c>
      <c r="F1511" s="28" t="s">
        <v>77</v>
      </c>
      <c r="G1511" s="28" t="s">
        <v>77</v>
      </c>
      <c r="I1511" s="26" t="s">
        <v>77</v>
      </c>
      <c r="J1511" s="26" t="s">
        <v>77</v>
      </c>
      <c r="K1511" s="18"/>
      <c r="L1511" s="26" t="s">
        <v>77</v>
      </c>
      <c r="M1511" s="6" t="s">
        <v>77</v>
      </c>
      <c r="N1511" s="28" t="s">
        <v>77</v>
      </c>
      <c r="O1511" s="26" t="s">
        <v>77</v>
      </c>
    </row>
    <row r="1512">
      <c r="A1512" s="52" t="s">
        <v>77</v>
      </c>
      <c r="B1512" s="28" t="s">
        <v>77</v>
      </c>
      <c r="C1512" s="28" t="s">
        <v>77</v>
      </c>
      <c r="D1512" s="28" t="s">
        <v>77</v>
      </c>
      <c r="E1512" s="28" t="s">
        <v>77</v>
      </c>
      <c r="F1512" s="28" t="s">
        <v>77</v>
      </c>
      <c r="G1512" s="28" t="s">
        <v>77</v>
      </c>
      <c r="I1512" s="26" t="s">
        <v>77</v>
      </c>
      <c r="J1512" s="26" t="s">
        <v>77</v>
      </c>
      <c r="K1512" s="18"/>
      <c r="L1512" s="26" t="s">
        <v>77</v>
      </c>
      <c r="M1512" s="6" t="s">
        <v>77</v>
      </c>
      <c r="N1512" s="28" t="s">
        <v>77</v>
      </c>
      <c r="O1512" s="26" t="s">
        <v>77</v>
      </c>
    </row>
    <row r="1513">
      <c r="A1513" s="52" t="s">
        <v>77</v>
      </c>
      <c r="B1513" s="28" t="s">
        <v>77</v>
      </c>
      <c r="C1513" s="28" t="s">
        <v>77</v>
      </c>
      <c r="D1513" s="28" t="s">
        <v>77</v>
      </c>
      <c r="E1513" s="28" t="s">
        <v>77</v>
      </c>
      <c r="F1513" s="28" t="s">
        <v>77</v>
      </c>
      <c r="G1513" s="28" t="s">
        <v>77</v>
      </c>
      <c r="I1513" s="26" t="s">
        <v>77</v>
      </c>
      <c r="J1513" s="26" t="s">
        <v>77</v>
      </c>
      <c r="K1513" s="18"/>
      <c r="L1513" s="26" t="s">
        <v>77</v>
      </c>
      <c r="M1513" s="6" t="s">
        <v>77</v>
      </c>
      <c r="N1513" s="28" t="s">
        <v>77</v>
      </c>
      <c r="O1513" s="26" t="s">
        <v>77</v>
      </c>
    </row>
    <row r="1514">
      <c r="A1514" s="52" t="s">
        <v>77</v>
      </c>
      <c r="B1514" s="28" t="s">
        <v>77</v>
      </c>
      <c r="C1514" s="28" t="s">
        <v>77</v>
      </c>
      <c r="D1514" s="28" t="s">
        <v>77</v>
      </c>
      <c r="E1514" s="28" t="s">
        <v>77</v>
      </c>
      <c r="F1514" s="28" t="s">
        <v>77</v>
      </c>
      <c r="G1514" s="28" t="s">
        <v>77</v>
      </c>
      <c r="I1514" s="26" t="s">
        <v>77</v>
      </c>
      <c r="J1514" s="26" t="s">
        <v>77</v>
      </c>
      <c r="K1514" s="18"/>
      <c r="L1514" s="26" t="s">
        <v>77</v>
      </c>
      <c r="M1514" s="6" t="s">
        <v>77</v>
      </c>
      <c r="N1514" s="28" t="s">
        <v>77</v>
      </c>
      <c r="O1514" s="26" t="s">
        <v>77</v>
      </c>
    </row>
    <row r="1515">
      <c r="A1515" s="52" t="s">
        <v>77</v>
      </c>
      <c r="B1515" s="28" t="s">
        <v>77</v>
      </c>
      <c r="C1515" s="28" t="s">
        <v>77</v>
      </c>
      <c r="D1515" s="28" t="s">
        <v>77</v>
      </c>
      <c r="E1515" s="28" t="s">
        <v>77</v>
      </c>
      <c r="F1515" s="28" t="s">
        <v>77</v>
      </c>
      <c r="G1515" s="28" t="s">
        <v>77</v>
      </c>
      <c r="I1515" s="26" t="s">
        <v>77</v>
      </c>
      <c r="J1515" s="26" t="s">
        <v>77</v>
      </c>
      <c r="K1515" s="18"/>
      <c r="L1515" s="26" t="s">
        <v>77</v>
      </c>
      <c r="M1515" s="6" t="s">
        <v>77</v>
      </c>
      <c r="N1515" s="28" t="s">
        <v>77</v>
      </c>
      <c r="O1515" s="26" t="s">
        <v>77</v>
      </c>
    </row>
    <row r="1516">
      <c r="A1516" s="52" t="s">
        <v>77</v>
      </c>
      <c r="B1516" s="28" t="s">
        <v>77</v>
      </c>
      <c r="C1516" s="28" t="s">
        <v>77</v>
      </c>
      <c r="D1516" s="28" t="s">
        <v>77</v>
      </c>
      <c r="E1516" s="28" t="s">
        <v>77</v>
      </c>
      <c r="F1516" s="28" t="s">
        <v>77</v>
      </c>
      <c r="G1516" s="28" t="s">
        <v>77</v>
      </c>
      <c r="I1516" s="26" t="s">
        <v>77</v>
      </c>
      <c r="J1516" s="26" t="s">
        <v>77</v>
      </c>
      <c r="K1516" s="18"/>
      <c r="L1516" s="26" t="s">
        <v>77</v>
      </c>
      <c r="M1516" s="6" t="s">
        <v>77</v>
      </c>
      <c r="N1516" s="28" t="s">
        <v>77</v>
      </c>
      <c r="O1516" s="26" t="s">
        <v>77</v>
      </c>
    </row>
    <row r="1517">
      <c r="A1517" s="52" t="s">
        <v>77</v>
      </c>
      <c r="B1517" s="28" t="s">
        <v>77</v>
      </c>
      <c r="C1517" s="28" t="s">
        <v>77</v>
      </c>
      <c r="D1517" s="28" t="s">
        <v>77</v>
      </c>
      <c r="E1517" s="28" t="s">
        <v>77</v>
      </c>
      <c r="F1517" s="28" t="s">
        <v>77</v>
      </c>
      <c r="G1517" s="28" t="s">
        <v>77</v>
      </c>
      <c r="I1517" s="26" t="s">
        <v>77</v>
      </c>
      <c r="J1517" s="26" t="s">
        <v>77</v>
      </c>
      <c r="K1517" s="18"/>
      <c r="L1517" s="26" t="s">
        <v>77</v>
      </c>
      <c r="M1517" s="6" t="s">
        <v>77</v>
      </c>
      <c r="N1517" s="28" t="s">
        <v>77</v>
      </c>
      <c r="O1517" s="26" t="s">
        <v>77</v>
      </c>
    </row>
    <row r="1518">
      <c r="A1518" s="52" t="s">
        <v>77</v>
      </c>
      <c r="B1518" s="28" t="s">
        <v>77</v>
      </c>
      <c r="C1518" s="28" t="s">
        <v>77</v>
      </c>
      <c r="D1518" s="28" t="s">
        <v>77</v>
      </c>
      <c r="E1518" s="28" t="s">
        <v>77</v>
      </c>
      <c r="F1518" s="28" t="s">
        <v>77</v>
      </c>
      <c r="G1518" s="28" t="s">
        <v>77</v>
      </c>
      <c r="I1518" s="26" t="s">
        <v>77</v>
      </c>
      <c r="J1518" s="26" t="s">
        <v>77</v>
      </c>
      <c r="K1518" s="18"/>
      <c r="L1518" s="26" t="s">
        <v>77</v>
      </c>
      <c r="M1518" s="6" t="s">
        <v>77</v>
      </c>
      <c r="N1518" s="28" t="s">
        <v>77</v>
      </c>
      <c r="O1518" s="26" t="s">
        <v>77</v>
      </c>
    </row>
    <row r="1519">
      <c r="A1519" s="52" t="s">
        <v>77</v>
      </c>
      <c r="B1519" s="28" t="s">
        <v>77</v>
      </c>
      <c r="C1519" s="28" t="s">
        <v>77</v>
      </c>
      <c r="D1519" s="28" t="s">
        <v>77</v>
      </c>
      <c r="E1519" s="28" t="s">
        <v>77</v>
      </c>
      <c r="F1519" s="28" t="s">
        <v>77</v>
      </c>
      <c r="G1519" s="28" t="s">
        <v>77</v>
      </c>
      <c r="I1519" s="26" t="s">
        <v>77</v>
      </c>
      <c r="J1519" s="26" t="s">
        <v>77</v>
      </c>
      <c r="K1519" s="18"/>
      <c r="L1519" s="26" t="s">
        <v>77</v>
      </c>
      <c r="M1519" s="6" t="s">
        <v>77</v>
      </c>
      <c r="N1519" s="28" t="s">
        <v>77</v>
      </c>
      <c r="O1519" s="26" t="s">
        <v>77</v>
      </c>
    </row>
    <row r="1520">
      <c r="A1520" s="52" t="s">
        <v>77</v>
      </c>
      <c r="B1520" s="28" t="s">
        <v>77</v>
      </c>
      <c r="C1520" s="28" t="s">
        <v>77</v>
      </c>
      <c r="D1520" s="28" t="s">
        <v>77</v>
      </c>
      <c r="E1520" s="28" t="s">
        <v>77</v>
      </c>
      <c r="F1520" s="28" t="s">
        <v>77</v>
      </c>
      <c r="G1520" s="28" t="s">
        <v>77</v>
      </c>
      <c r="I1520" s="26" t="s">
        <v>77</v>
      </c>
      <c r="J1520" s="26" t="s">
        <v>77</v>
      </c>
      <c r="K1520" s="18"/>
      <c r="L1520" s="26" t="s">
        <v>77</v>
      </c>
      <c r="M1520" s="6" t="s">
        <v>77</v>
      </c>
      <c r="N1520" s="28" t="s">
        <v>77</v>
      </c>
      <c r="O1520" s="26" t="s">
        <v>77</v>
      </c>
    </row>
    <row r="1521">
      <c r="A1521" s="52" t="s">
        <v>77</v>
      </c>
      <c r="B1521" s="28" t="s">
        <v>77</v>
      </c>
      <c r="C1521" s="28" t="s">
        <v>77</v>
      </c>
      <c r="D1521" s="28" t="s">
        <v>77</v>
      </c>
      <c r="E1521" s="28" t="s">
        <v>77</v>
      </c>
      <c r="F1521" s="28" t="s">
        <v>77</v>
      </c>
      <c r="G1521" s="28" t="s">
        <v>77</v>
      </c>
      <c r="I1521" s="26" t="s">
        <v>77</v>
      </c>
      <c r="J1521" s="26" t="s">
        <v>77</v>
      </c>
      <c r="K1521" s="18"/>
      <c r="L1521" s="26" t="s">
        <v>77</v>
      </c>
      <c r="M1521" s="6" t="s">
        <v>77</v>
      </c>
      <c r="N1521" s="28" t="s">
        <v>77</v>
      </c>
      <c r="O1521" s="26" t="s">
        <v>77</v>
      </c>
    </row>
    <row r="1522">
      <c r="A1522" s="52" t="s">
        <v>77</v>
      </c>
      <c r="B1522" s="28" t="s">
        <v>77</v>
      </c>
      <c r="C1522" s="28" t="s">
        <v>77</v>
      </c>
      <c r="D1522" s="28" t="s">
        <v>77</v>
      </c>
      <c r="E1522" s="28" t="s">
        <v>77</v>
      </c>
      <c r="F1522" s="28" t="s">
        <v>77</v>
      </c>
      <c r="G1522" s="28" t="s">
        <v>77</v>
      </c>
      <c r="I1522" s="26" t="s">
        <v>77</v>
      </c>
      <c r="J1522" s="26" t="s">
        <v>77</v>
      </c>
      <c r="K1522" s="18"/>
      <c r="L1522" s="26" t="s">
        <v>77</v>
      </c>
      <c r="M1522" s="6" t="s">
        <v>77</v>
      </c>
      <c r="N1522" s="28" t="s">
        <v>77</v>
      </c>
      <c r="O1522" s="26" t="s">
        <v>77</v>
      </c>
    </row>
    <row r="1523">
      <c r="A1523" s="52" t="s">
        <v>77</v>
      </c>
      <c r="B1523" s="28" t="s">
        <v>77</v>
      </c>
      <c r="C1523" s="28" t="s">
        <v>77</v>
      </c>
      <c r="D1523" s="28" t="s">
        <v>77</v>
      </c>
      <c r="E1523" s="28" t="s">
        <v>77</v>
      </c>
      <c r="F1523" s="28" t="s">
        <v>77</v>
      </c>
      <c r="G1523" s="28" t="s">
        <v>77</v>
      </c>
      <c r="I1523" s="26" t="s">
        <v>77</v>
      </c>
      <c r="J1523" s="26" t="s">
        <v>77</v>
      </c>
      <c r="K1523" s="18"/>
      <c r="L1523" s="26" t="s">
        <v>77</v>
      </c>
      <c r="M1523" s="6" t="s">
        <v>77</v>
      </c>
      <c r="N1523" s="28" t="s">
        <v>77</v>
      </c>
      <c r="O1523" s="26" t="s">
        <v>77</v>
      </c>
    </row>
    <row r="1524">
      <c r="A1524" s="52" t="s">
        <v>77</v>
      </c>
      <c r="B1524" s="28" t="s">
        <v>77</v>
      </c>
      <c r="C1524" s="28" t="s">
        <v>77</v>
      </c>
      <c r="D1524" s="28" t="s">
        <v>77</v>
      </c>
      <c r="E1524" s="28" t="s">
        <v>77</v>
      </c>
      <c r="F1524" s="28" t="s">
        <v>77</v>
      </c>
      <c r="G1524" s="28" t="s">
        <v>77</v>
      </c>
      <c r="I1524" s="26" t="s">
        <v>77</v>
      </c>
      <c r="J1524" s="26" t="s">
        <v>77</v>
      </c>
      <c r="K1524" s="18"/>
      <c r="L1524" s="26" t="s">
        <v>77</v>
      </c>
      <c r="M1524" s="6" t="s">
        <v>77</v>
      </c>
      <c r="N1524" s="28" t="s">
        <v>77</v>
      </c>
      <c r="O1524" s="26" t="s">
        <v>77</v>
      </c>
    </row>
    <row r="1525">
      <c r="A1525" s="52" t="s">
        <v>77</v>
      </c>
      <c r="B1525" s="28" t="s">
        <v>77</v>
      </c>
      <c r="C1525" s="28" t="s">
        <v>77</v>
      </c>
      <c r="D1525" s="28" t="s">
        <v>77</v>
      </c>
      <c r="E1525" s="28" t="s">
        <v>77</v>
      </c>
      <c r="F1525" s="28" t="s">
        <v>77</v>
      </c>
      <c r="G1525" s="28" t="s">
        <v>77</v>
      </c>
      <c r="I1525" s="26" t="s">
        <v>77</v>
      </c>
      <c r="J1525" s="26" t="s">
        <v>77</v>
      </c>
      <c r="K1525" s="18"/>
      <c r="L1525" s="26" t="s">
        <v>77</v>
      </c>
      <c r="M1525" s="6" t="s">
        <v>77</v>
      </c>
      <c r="N1525" s="28" t="s">
        <v>77</v>
      </c>
      <c r="O1525" s="26" t="s">
        <v>77</v>
      </c>
    </row>
    <row r="1526">
      <c r="A1526" s="52" t="s">
        <v>77</v>
      </c>
      <c r="B1526" s="28" t="s">
        <v>77</v>
      </c>
      <c r="C1526" s="28" t="s">
        <v>77</v>
      </c>
      <c r="D1526" s="28" t="s">
        <v>77</v>
      </c>
      <c r="E1526" s="28" t="s">
        <v>77</v>
      </c>
      <c r="F1526" s="28" t="s">
        <v>77</v>
      </c>
      <c r="G1526" s="28" t="s">
        <v>77</v>
      </c>
      <c r="I1526" s="26" t="s">
        <v>77</v>
      </c>
      <c r="J1526" s="26" t="s">
        <v>77</v>
      </c>
      <c r="K1526" s="18"/>
      <c r="L1526" s="26" t="s">
        <v>77</v>
      </c>
      <c r="M1526" s="6" t="s">
        <v>77</v>
      </c>
      <c r="N1526" s="28" t="s">
        <v>77</v>
      </c>
      <c r="O1526" s="26" t="s">
        <v>77</v>
      </c>
    </row>
    <row r="1527">
      <c r="A1527" s="52" t="s">
        <v>77</v>
      </c>
      <c r="B1527" s="28" t="s">
        <v>77</v>
      </c>
      <c r="C1527" s="28" t="s">
        <v>77</v>
      </c>
      <c r="D1527" s="28" t="s">
        <v>77</v>
      </c>
      <c r="E1527" s="28" t="s">
        <v>77</v>
      </c>
      <c r="F1527" s="28" t="s">
        <v>77</v>
      </c>
      <c r="G1527" s="28" t="s">
        <v>77</v>
      </c>
      <c r="I1527" s="26" t="s">
        <v>77</v>
      </c>
      <c r="J1527" s="26" t="s">
        <v>77</v>
      </c>
      <c r="K1527" s="18"/>
      <c r="L1527" s="26" t="s">
        <v>77</v>
      </c>
      <c r="M1527" s="6" t="s">
        <v>77</v>
      </c>
      <c r="N1527" s="28" t="s">
        <v>77</v>
      </c>
      <c r="O1527" s="26" t="s">
        <v>77</v>
      </c>
    </row>
    <row r="1528">
      <c r="A1528" s="52" t="s">
        <v>77</v>
      </c>
      <c r="B1528" s="28" t="s">
        <v>77</v>
      </c>
      <c r="C1528" s="28" t="s">
        <v>77</v>
      </c>
      <c r="D1528" s="28" t="s">
        <v>77</v>
      </c>
      <c r="E1528" s="28" t="s">
        <v>77</v>
      </c>
      <c r="F1528" s="28" t="s">
        <v>77</v>
      </c>
      <c r="G1528" s="28" t="s">
        <v>77</v>
      </c>
      <c r="I1528" s="26" t="s">
        <v>77</v>
      </c>
      <c r="J1528" s="26" t="s">
        <v>77</v>
      </c>
      <c r="K1528" s="18"/>
      <c r="L1528" s="26" t="s">
        <v>77</v>
      </c>
      <c r="M1528" s="6" t="s">
        <v>77</v>
      </c>
      <c r="N1528" s="28" t="s">
        <v>77</v>
      </c>
      <c r="O1528" s="26" t="s">
        <v>77</v>
      </c>
    </row>
    <row r="1529">
      <c r="A1529" s="52" t="s">
        <v>77</v>
      </c>
      <c r="B1529" s="28" t="s">
        <v>77</v>
      </c>
      <c r="C1529" s="28" t="s">
        <v>77</v>
      </c>
      <c r="D1529" s="28" t="s">
        <v>77</v>
      </c>
      <c r="E1529" s="28" t="s">
        <v>77</v>
      </c>
      <c r="F1529" s="28" t="s">
        <v>77</v>
      </c>
      <c r="G1529" s="28" t="s">
        <v>77</v>
      </c>
      <c r="I1529" s="26" t="s">
        <v>77</v>
      </c>
      <c r="J1529" s="26" t="s">
        <v>77</v>
      </c>
      <c r="K1529" s="18"/>
      <c r="L1529" s="26" t="s">
        <v>77</v>
      </c>
      <c r="M1529" s="6" t="s">
        <v>77</v>
      </c>
      <c r="N1529" s="28" t="s">
        <v>77</v>
      </c>
      <c r="O1529" s="26" t="s">
        <v>77</v>
      </c>
    </row>
    <row r="1530">
      <c r="A1530" s="52" t="s">
        <v>77</v>
      </c>
      <c r="B1530" s="28" t="s">
        <v>77</v>
      </c>
      <c r="C1530" s="28" t="s">
        <v>77</v>
      </c>
      <c r="D1530" s="28" t="s">
        <v>77</v>
      </c>
      <c r="E1530" s="28" t="s">
        <v>77</v>
      </c>
      <c r="F1530" s="28" t="s">
        <v>77</v>
      </c>
      <c r="G1530" s="28" t="s">
        <v>77</v>
      </c>
      <c r="I1530" s="26" t="s">
        <v>77</v>
      </c>
      <c r="J1530" s="26" t="s">
        <v>77</v>
      </c>
      <c r="K1530" s="18"/>
      <c r="L1530" s="26" t="s">
        <v>77</v>
      </c>
      <c r="M1530" s="6" t="s">
        <v>77</v>
      </c>
      <c r="N1530" s="28" t="s">
        <v>77</v>
      </c>
      <c r="O1530" s="26" t="s">
        <v>77</v>
      </c>
    </row>
    <row r="1531">
      <c r="A1531" s="52" t="s">
        <v>77</v>
      </c>
      <c r="B1531" s="28" t="s">
        <v>77</v>
      </c>
      <c r="C1531" s="28" t="s">
        <v>77</v>
      </c>
      <c r="D1531" s="28" t="s">
        <v>77</v>
      </c>
      <c r="E1531" s="28" t="s">
        <v>77</v>
      </c>
      <c r="F1531" s="28" t="s">
        <v>77</v>
      </c>
      <c r="G1531" s="28" t="s">
        <v>77</v>
      </c>
      <c r="I1531" s="26" t="s">
        <v>77</v>
      </c>
      <c r="J1531" s="26" t="s">
        <v>77</v>
      </c>
      <c r="K1531" s="18"/>
      <c r="L1531" s="26" t="s">
        <v>77</v>
      </c>
      <c r="M1531" s="6" t="s">
        <v>77</v>
      </c>
      <c r="N1531" s="28" t="s">
        <v>77</v>
      </c>
      <c r="O1531" s="26" t="s">
        <v>77</v>
      </c>
    </row>
    <row r="1532">
      <c r="A1532" s="52" t="s">
        <v>77</v>
      </c>
      <c r="B1532" s="28" t="s">
        <v>77</v>
      </c>
      <c r="C1532" s="28" t="s">
        <v>77</v>
      </c>
      <c r="D1532" s="28" t="s">
        <v>77</v>
      </c>
      <c r="E1532" s="28" t="s">
        <v>77</v>
      </c>
      <c r="F1532" s="28" t="s">
        <v>77</v>
      </c>
      <c r="G1532" s="28" t="s">
        <v>77</v>
      </c>
      <c r="I1532" s="26" t="s">
        <v>77</v>
      </c>
      <c r="J1532" s="26" t="s">
        <v>77</v>
      </c>
      <c r="K1532" s="18"/>
      <c r="L1532" s="26" t="s">
        <v>77</v>
      </c>
      <c r="M1532" s="6" t="s">
        <v>77</v>
      </c>
      <c r="N1532" s="28" t="s">
        <v>77</v>
      </c>
      <c r="O1532" s="26" t="s">
        <v>77</v>
      </c>
    </row>
    <row r="1533">
      <c r="A1533" s="52" t="s">
        <v>77</v>
      </c>
      <c r="B1533" s="28" t="s">
        <v>77</v>
      </c>
      <c r="C1533" s="28" t="s">
        <v>77</v>
      </c>
      <c r="D1533" s="28" t="s">
        <v>77</v>
      </c>
      <c r="E1533" s="28" t="s">
        <v>77</v>
      </c>
      <c r="F1533" s="28" t="s">
        <v>77</v>
      </c>
      <c r="G1533" s="28" t="s">
        <v>77</v>
      </c>
      <c r="I1533" s="26" t="s">
        <v>77</v>
      </c>
      <c r="J1533" s="26" t="s">
        <v>77</v>
      </c>
      <c r="K1533" s="18"/>
      <c r="L1533" s="26" t="s">
        <v>77</v>
      </c>
      <c r="M1533" s="6" t="s">
        <v>77</v>
      </c>
      <c r="N1533" s="28" t="s">
        <v>77</v>
      </c>
      <c r="O1533" s="26" t="s">
        <v>77</v>
      </c>
    </row>
    <row r="1534">
      <c r="A1534" s="52" t="s">
        <v>77</v>
      </c>
      <c r="B1534" s="28" t="s">
        <v>77</v>
      </c>
      <c r="C1534" s="28" t="s">
        <v>77</v>
      </c>
      <c r="D1534" s="28" t="s">
        <v>77</v>
      </c>
      <c r="E1534" s="28" t="s">
        <v>77</v>
      </c>
      <c r="F1534" s="28" t="s">
        <v>77</v>
      </c>
      <c r="G1534" s="28" t="s">
        <v>77</v>
      </c>
      <c r="I1534" s="26" t="s">
        <v>77</v>
      </c>
      <c r="J1534" s="26" t="s">
        <v>77</v>
      </c>
      <c r="K1534" s="18"/>
      <c r="L1534" s="26" t="s">
        <v>77</v>
      </c>
      <c r="M1534" s="6" t="s">
        <v>77</v>
      </c>
      <c r="N1534" s="28" t="s">
        <v>77</v>
      </c>
      <c r="O1534" s="26" t="s">
        <v>77</v>
      </c>
    </row>
    <row r="1535">
      <c r="A1535" s="52" t="s">
        <v>77</v>
      </c>
      <c r="B1535" s="28" t="s">
        <v>77</v>
      </c>
      <c r="C1535" s="28" t="s">
        <v>77</v>
      </c>
      <c r="D1535" s="28" t="s">
        <v>77</v>
      </c>
      <c r="E1535" s="28" t="s">
        <v>77</v>
      </c>
      <c r="F1535" s="28" t="s">
        <v>77</v>
      </c>
      <c r="G1535" s="28" t="s">
        <v>77</v>
      </c>
      <c r="I1535" s="26" t="s">
        <v>77</v>
      </c>
      <c r="J1535" s="26" t="s">
        <v>77</v>
      </c>
      <c r="K1535" s="18"/>
      <c r="L1535" s="26" t="s">
        <v>77</v>
      </c>
      <c r="M1535" s="6" t="s">
        <v>77</v>
      </c>
      <c r="N1535" s="28" t="s">
        <v>77</v>
      </c>
      <c r="O1535" s="26" t="s">
        <v>77</v>
      </c>
    </row>
    <row r="1536">
      <c r="A1536" s="52" t="s">
        <v>77</v>
      </c>
      <c r="B1536" s="28" t="s">
        <v>77</v>
      </c>
      <c r="C1536" s="28" t="s">
        <v>77</v>
      </c>
      <c r="D1536" s="28" t="s">
        <v>77</v>
      </c>
      <c r="E1536" s="28" t="s">
        <v>77</v>
      </c>
      <c r="F1536" s="28" t="s">
        <v>77</v>
      </c>
      <c r="G1536" s="28" t="s">
        <v>77</v>
      </c>
      <c r="I1536" s="26" t="s">
        <v>77</v>
      </c>
      <c r="J1536" s="26" t="s">
        <v>77</v>
      </c>
      <c r="K1536" s="18"/>
      <c r="L1536" s="26" t="s">
        <v>77</v>
      </c>
      <c r="M1536" s="6" t="s">
        <v>77</v>
      </c>
      <c r="N1536" s="28" t="s">
        <v>77</v>
      </c>
      <c r="O1536" s="26" t="s">
        <v>77</v>
      </c>
    </row>
    <row r="1537">
      <c r="A1537" s="52" t="s">
        <v>77</v>
      </c>
      <c r="B1537" s="28" t="s">
        <v>77</v>
      </c>
      <c r="C1537" s="28" t="s">
        <v>77</v>
      </c>
      <c r="D1537" s="28" t="s">
        <v>77</v>
      </c>
      <c r="E1537" s="28" t="s">
        <v>77</v>
      </c>
      <c r="F1537" s="28" t="s">
        <v>77</v>
      </c>
      <c r="G1537" s="28" t="s">
        <v>77</v>
      </c>
      <c r="I1537" s="26" t="s">
        <v>77</v>
      </c>
      <c r="J1537" s="26" t="s">
        <v>77</v>
      </c>
      <c r="K1537" s="18"/>
      <c r="L1537" s="26" t="s">
        <v>77</v>
      </c>
      <c r="M1537" s="6" t="s">
        <v>77</v>
      </c>
      <c r="N1537" s="28" t="s">
        <v>77</v>
      </c>
      <c r="O1537" s="26" t="s">
        <v>77</v>
      </c>
    </row>
    <row r="1538">
      <c r="A1538" s="52" t="s">
        <v>77</v>
      </c>
      <c r="B1538" s="28" t="s">
        <v>77</v>
      </c>
      <c r="C1538" s="28" t="s">
        <v>77</v>
      </c>
      <c r="D1538" s="28" t="s">
        <v>77</v>
      </c>
      <c r="E1538" s="28" t="s">
        <v>77</v>
      </c>
      <c r="F1538" s="28" t="s">
        <v>77</v>
      </c>
      <c r="G1538" s="28" t="s">
        <v>77</v>
      </c>
      <c r="I1538" s="26" t="s">
        <v>77</v>
      </c>
      <c r="J1538" s="26" t="s">
        <v>77</v>
      </c>
      <c r="K1538" s="18"/>
      <c r="L1538" s="26" t="s">
        <v>77</v>
      </c>
      <c r="M1538" s="6" t="s">
        <v>77</v>
      </c>
      <c r="N1538" s="28" t="s">
        <v>77</v>
      </c>
      <c r="O1538" s="26" t="s">
        <v>77</v>
      </c>
    </row>
    <row r="1539">
      <c r="A1539" s="52" t="s">
        <v>77</v>
      </c>
      <c r="B1539" s="28" t="s">
        <v>77</v>
      </c>
      <c r="C1539" s="28" t="s">
        <v>77</v>
      </c>
      <c r="D1539" s="28" t="s">
        <v>77</v>
      </c>
      <c r="E1539" s="28" t="s">
        <v>77</v>
      </c>
      <c r="F1539" s="28" t="s">
        <v>77</v>
      </c>
      <c r="G1539" s="28" t="s">
        <v>77</v>
      </c>
      <c r="I1539" s="26" t="s">
        <v>77</v>
      </c>
      <c r="J1539" s="26" t="s">
        <v>77</v>
      </c>
      <c r="K1539" s="18"/>
      <c r="L1539" s="26" t="s">
        <v>77</v>
      </c>
      <c r="M1539" s="6" t="s">
        <v>77</v>
      </c>
      <c r="N1539" s="28" t="s">
        <v>77</v>
      </c>
      <c r="O1539" s="26" t="s">
        <v>77</v>
      </c>
    </row>
    <row r="1540">
      <c r="A1540" s="52" t="s">
        <v>77</v>
      </c>
      <c r="B1540" s="28" t="s">
        <v>77</v>
      </c>
      <c r="C1540" s="28" t="s">
        <v>77</v>
      </c>
      <c r="D1540" s="28" t="s">
        <v>77</v>
      </c>
      <c r="E1540" s="28" t="s">
        <v>77</v>
      </c>
      <c r="F1540" s="28" t="s">
        <v>77</v>
      </c>
      <c r="G1540" s="28" t="s">
        <v>77</v>
      </c>
      <c r="I1540" s="26" t="s">
        <v>77</v>
      </c>
      <c r="J1540" s="26" t="s">
        <v>77</v>
      </c>
      <c r="K1540" s="18"/>
      <c r="L1540" s="26" t="s">
        <v>77</v>
      </c>
      <c r="M1540" s="6" t="s">
        <v>77</v>
      </c>
      <c r="N1540" s="28" t="s">
        <v>77</v>
      </c>
      <c r="O1540" s="26" t="s">
        <v>77</v>
      </c>
    </row>
    <row r="1541">
      <c r="A1541" s="52" t="s">
        <v>77</v>
      </c>
      <c r="B1541" s="28" t="s">
        <v>77</v>
      </c>
      <c r="C1541" s="28" t="s">
        <v>77</v>
      </c>
      <c r="D1541" s="28" t="s">
        <v>77</v>
      </c>
      <c r="E1541" s="28" t="s">
        <v>77</v>
      </c>
      <c r="F1541" s="28" t="s">
        <v>77</v>
      </c>
      <c r="G1541" s="28" t="s">
        <v>77</v>
      </c>
      <c r="I1541" s="26" t="s">
        <v>77</v>
      </c>
      <c r="J1541" s="26" t="s">
        <v>77</v>
      </c>
      <c r="K1541" s="18"/>
      <c r="L1541" s="26" t="s">
        <v>77</v>
      </c>
      <c r="M1541" s="6" t="s">
        <v>77</v>
      </c>
      <c r="N1541" s="28" t="s">
        <v>77</v>
      </c>
      <c r="O1541" s="26" t="s">
        <v>77</v>
      </c>
    </row>
    <row r="1542">
      <c r="A1542" s="52" t="s">
        <v>77</v>
      </c>
      <c r="B1542" s="28" t="s">
        <v>77</v>
      </c>
      <c r="C1542" s="28" t="s">
        <v>77</v>
      </c>
      <c r="D1542" s="28" t="s">
        <v>77</v>
      </c>
      <c r="E1542" s="28" t="s">
        <v>77</v>
      </c>
      <c r="F1542" s="28" t="s">
        <v>77</v>
      </c>
      <c r="G1542" s="28" t="s">
        <v>77</v>
      </c>
      <c r="I1542" s="26" t="s">
        <v>77</v>
      </c>
      <c r="J1542" s="26" t="s">
        <v>77</v>
      </c>
      <c r="K1542" s="18"/>
      <c r="L1542" s="26" t="s">
        <v>77</v>
      </c>
      <c r="M1542" s="6" t="s">
        <v>77</v>
      </c>
      <c r="N1542" s="28" t="s">
        <v>77</v>
      </c>
      <c r="O1542" s="26" t="s">
        <v>77</v>
      </c>
    </row>
    <row r="1543">
      <c r="A1543" s="52" t="s">
        <v>77</v>
      </c>
      <c r="B1543" s="28" t="s">
        <v>77</v>
      </c>
      <c r="C1543" s="28" t="s">
        <v>77</v>
      </c>
      <c r="D1543" s="28" t="s">
        <v>77</v>
      </c>
      <c r="E1543" s="28" t="s">
        <v>77</v>
      </c>
      <c r="F1543" s="28" t="s">
        <v>77</v>
      </c>
      <c r="G1543" s="28" t="s">
        <v>77</v>
      </c>
      <c r="I1543" s="26" t="s">
        <v>77</v>
      </c>
      <c r="J1543" s="26" t="s">
        <v>77</v>
      </c>
      <c r="K1543" s="18"/>
      <c r="L1543" s="26" t="s">
        <v>77</v>
      </c>
      <c r="M1543" s="6" t="s">
        <v>77</v>
      </c>
      <c r="N1543" s="28" t="s">
        <v>77</v>
      </c>
      <c r="O1543" s="26" t="s">
        <v>77</v>
      </c>
    </row>
    <row r="1544">
      <c r="A1544" s="52" t="s">
        <v>77</v>
      </c>
      <c r="B1544" s="28" t="s">
        <v>77</v>
      </c>
      <c r="C1544" s="28" t="s">
        <v>77</v>
      </c>
      <c r="D1544" s="28" t="s">
        <v>77</v>
      </c>
      <c r="E1544" s="28" t="s">
        <v>77</v>
      </c>
      <c r="F1544" s="28" t="s">
        <v>77</v>
      </c>
      <c r="G1544" s="28" t="s">
        <v>77</v>
      </c>
      <c r="I1544" s="26" t="s">
        <v>77</v>
      </c>
      <c r="J1544" s="26" t="s">
        <v>77</v>
      </c>
      <c r="K1544" s="18"/>
      <c r="L1544" s="26" t="s">
        <v>77</v>
      </c>
      <c r="M1544" s="6" t="s">
        <v>77</v>
      </c>
      <c r="N1544" s="28" t="s">
        <v>77</v>
      </c>
      <c r="O1544" s="26" t="s">
        <v>77</v>
      </c>
    </row>
    <row r="1545">
      <c r="A1545" s="52" t="s">
        <v>77</v>
      </c>
      <c r="B1545" s="28" t="s">
        <v>77</v>
      </c>
      <c r="C1545" s="28" t="s">
        <v>77</v>
      </c>
      <c r="D1545" s="28" t="s">
        <v>77</v>
      </c>
      <c r="E1545" s="28" t="s">
        <v>77</v>
      </c>
      <c r="F1545" s="28" t="s">
        <v>77</v>
      </c>
      <c r="G1545" s="28" t="s">
        <v>77</v>
      </c>
      <c r="I1545" s="26" t="s">
        <v>77</v>
      </c>
      <c r="J1545" s="26" t="s">
        <v>77</v>
      </c>
      <c r="K1545" s="18"/>
      <c r="L1545" s="26" t="s">
        <v>77</v>
      </c>
      <c r="M1545" s="6" t="s">
        <v>77</v>
      </c>
      <c r="N1545" s="28" t="s">
        <v>77</v>
      </c>
      <c r="O1545" s="26" t="s">
        <v>77</v>
      </c>
    </row>
    <row r="1546">
      <c r="A1546" s="52" t="s">
        <v>77</v>
      </c>
      <c r="B1546" s="28" t="s">
        <v>77</v>
      </c>
      <c r="C1546" s="28" t="s">
        <v>77</v>
      </c>
      <c r="D1546" s="28" t="s">
        <v>77</v>
      </c>
      <c r="E1546" s="28" t="s">
        <v>77</v>
      </c>
      <c r="F1546" s="28" t="s">
        <v>77</v>
      </c>
      <c r="G1546" s="28" t="s">
        <v>77</v>
      </c>
      <c r="I1546" s="26" t="s">
        <v>77</v>
      </c>
      <c r="J1546" s="26" t="s">
        <v>77</v>
      </c>
      <c r="K1546" s="18"/>
      <c r="L1546" s="26" t="s">
        <v>77</v>
      </c>
      <c r="M1546" s="6" t="s">
        <v>77</v>
      </c>
      <c r="N1546" s="28" t="s">
        <v>77</v>
      </c>
      <c r="O1546" s="26" t="s">
        <v>77</v>
      </c>
    </row>
    <row r="1547">
      <c r="A1547" s="52" t="s">
        <v>77</v>
      </c>
      <c r="B1547" s="28" t="s">
        <v>77</v>
      </c>
      <c r="C1547" s="28" t="s">
        <v>77</v>
      </c>
      <c r="D1547" s="28" t="s">
        <v>77</v>
      </c>
      <c r="E1547" s="28" t="s">
        <v>77</v>
      </c>
      <c r="F1547" s="28" t="s">
        <v>77</v>
      </c>
      <c r="G1547" s="28" t="s">
        <v>77</v>
      </c>
      <c r="I1547" s="26" t="s">
        <v>77</v>
      </c>
      <c r="J1547" s="26" t="s">
        <v>77</v>
      </c>
      <c r="K1547" s="18"/>
      <c r="L1547" s="26" t="s">
        <v>77</v>
      </c>
      <c r="M1547" s="6" t="s">
        <v>77</v>
      </c>
      <c r="N1547" s="28" t="s">
        <v>77</v>
      </c>
      <c r="O1547" s="26" t="s">
        <v>77</v>
      </c>
    </row>
    <row r="1548">
      <c r="A1548" s="52" t="s">
        <v>77</v>
      </c>
      <c r="B1548" s="28" t="s">
        <v>77</v>
      </c>
      <c r="C1548" s="28" t="s">
        <v>77</v>
      </c>
      <c r="D1548" s="28" t="s">
        <v>77</v>
      </c>
      <c r="E1548" s="28" t="s">
        <v>77</v>
      </c>
      <c r="F1548" s="28" t="s">
        <v>77</v>
      </c>
      <c r="G1548" s="28" t="s">
        <v>77</v>
      </c>
      <c r="I1548" s="26" t="s">
        <v>77</v>
      </c>
      <c r="J1548" s="26" t="s">
        <v>77</v>
      </c>
      <c r="K1548" s="18"/>
      <c r="L1548" s="26" t="s">
        <v>77</v>
      </c>
      <c r="M1548" s="6" t="s">
        <v>77</v>
      </c>
      <c r="N1548" s="28" t="s">
        <v>77</v>
      </c>
      <c r="O1548" s="26" t="s">
        <v>77</v>
      </c>
    </row>
    <row r="1549">
      <c r="A1549" s="52" t="s">
        <v>77</v>
      </c>
      <c r="B1549" s="28" t="s">
        <v>77</v>
      </c>
      <c r="C1549" s="28" t="s">
        <v>77</v>
      </c>
      <c r="D1549" s="28" t="s">
        <v>77</v>
      </c>
      <c r="E1549" s="28" t="s">
        <v>77</v>
      </c>
      <c r="F1549" s="28" t="s">
        <v>77</v>
      </c>
      <c r="G1549" s="28" t="s">
        <v>77</v>
      </c>
      <c r="I1549" s="26" t="s">
        <v>77</v>
      </c>
      <c r="J1549" s="26" t="s">
        <v>77</v>
      </c>
      <c r="K1549" s="18"/>
      <c r="L1549" s="26" t="s">
        <v>77</v>
      </c>
      <c r="M1549" s="6" t="s">
        <v>77</v>
      </c>
      <c r="N1549" s="28" t="s">
        <v>77</v>
      </c>
      <c r="O1549" s="26" t="s">
        <v>77</v>
      </c>
    </row>
    <row r="1550">
      <c r="A1550" s="52" t="s">
        <v>77</v>
      </c>
      <c r="B1550" s="28" t="s">
        <v>77</v>
      </c>
      <c r="C1550" s="28" t="s">
        <v>77</v>
      </c>
      <c r="D1550" s="28" t="s">
        <v>77</v>
      </c>
      <c r="E1550" s="28" t="s">
        <v>77</v>
      </c>
      <c r="F1550" s="28" t="s">
        <v>77</v>
      </c>
      <c r="G1550" s="28" t="s">
        <v>77</v>
      </c>
      <c r="I1550" s="26" t="s">
        <v>77</v>
      </c>
      <c r="J1550" s="26" t="s">
        <v>77</v>
      </c>
      <c r="K1550" s="18"/>
      <c r="L1550" s="26" t="s">
        <v>77</v>
      </c>
      <c r="M1550" s="6" t="s">
        <v>77</v>
      </c>
      <c r="N1550" s="28" t="s">
        <v>77</v>
      </c>
      <c r="O1550" s="26" t="s">
        <v>77</v>
      </c>
    </row>
    <row r="1551">
      <c r="A1551" s="52" t="s">
        <v>77</v>
      </c>
      <c r="B1551" s="28" t="s">
        <v>77</v>
      </c>
      <c r="C1551" s="28" t="s">
        <v>77</v>
      </c>
      <c r="D1551" s="28" t="s">
        <v>77</v>
      </c>
      <c r="E1551" s="28" t="s">
        <v>77</v>
      </c>
      <c r="F1551" s="28" t="s">
        <v>77</v>
      </c>
      <c r="G1551" s="28" t="s">
        <v>77</v>
      </c>
      <c r="I1551" s="26" t="s">
        <v>77</v>
      </c>
      <c r="J1551" s="26" t="s">
        <v>77</v>
      </c>
      <c r="K1551" s="18"/>
      <c r="L1551" s="26" t="s">
        <v>77</v>
      </c>
      <c r="M1551" s="6" t="s">
        <v>77</v>
      </c>
      <c r="N1551" s="28" t="s">
        <v>77</v>
      </c>
      <c r="O1551" s="26" t="s">
        <v>77</v>
      </c>
    </row>
    <row r="1552">
      <c r="A1552" s="52" t="s">
        <v>77</v>
      </c>
      <c r="B1552" s="28" t="s">
        <v>77</v>
      </c>
      <c r="C1552" s="28" t="s">
        <v>77</v>
      </c>
      <c r="D1552" s="28" t="s">
        <v>77</v>
      </c>
      <c r="E1552" s="28" t="s">
        <v>77</v>
      </c>
      <c r="F1552" s="28" t="s">
        <v>77</v>
      </c>
      <c r="G1552" s="28" t="s">
        <v>77</v>
      </c>
      <c r="I1552" s="26" t="s">
        <v>77</v>
      </c>
      <c r="J1552" s="26" t="s">
        <v>77</v>
      </c>
      <c r="K1552" s="18"/>
      <c r="L1552" s="26" t="s">
        <v>77</v>
      </c>
      <c r="M1552" s="6" t="s">
        <v>77</v>
      </c>
      <c r="N1552" s="28" t="s">
        <v>77</v>
      </c>
      <c r="O1552" s="26" t="s">
        <v>77</v>
      </c>
    </row>
    <row r="1553">
      <c r="A1553" s="52" t="s">
        <v>77</v>
      </c>
      <c r="B1553" s="28" t="s">
        <v>77</v>
      </c>
      <c r="C1553" s="28" t="s">
        <v>77</v>
      </c>
      <c r="D1553" s="28" t="s">
        <v>77</v>
      </c>
      <c r="E1553" s="28" t="s">
        <v>77</v>
      </c>
      <c r="F1553" s="28" t="s">
        <v>77</v>
      </c>
      <c r="G1553" s="28" t="s">
        <v>77</v>
      </c>
      <c r="I1553" s="26" t="s">
        <v>77</v>
      </c>
      <c r="J1553" s="26" t="s">
        <v>77</v>
      </c>
      <c r="K1553" s="18"/>
      <c r="L1553" s="26" t="s">
        <v>77</v>
      </c>
      <c r="M1553" s="6" t="s">
        <v>77</v>
      </c>
      <c r="N1553" s="28" t="s">
        <v>77</v>
      </c>
      <c r="O1553" s="26" t="s">
        <v>77</v>
      </c>
    </row>
    <row r="1554">
      <c r="A1554" s="52" t="s">
        <v>77</v>
      </c>
      <c r="B1554" s="28" t="s">
        <v>77</v>
      </c>
      <c r="C1554" s="28" t="s">
        <v>77</v>
      </c>
      <c r="D1554" s="28" t="s">
        <v>77</v>
      </c>
      <c r="E1554" s="28" t="s">
        <v>77</v>
      </c>
      <c r="F1554" s="28" t="s">
        <v>77</v>
      </c>
      <c r="G1554" s="28" t="s">
        <v>77</v>
      </c>
      <c r="I1554" s="26" t="s">
        <v>77</v>
      </c>
      <c r="J1554" s="26" t="s">
        <v>77</v>
      </c>
      <c r="K1554" s="18"/>
      <c r="L1554" s="26" t="s">
        <v>77</v>
      </c>
      <c r="M1554" s="6" t="s">
        <v>77</v>
      </c>
      <c r="N1554" s="28" t="s">
        <v>77</v>
      </c>
      <c r="O1554" s="26" t="s">
        <v>77</v>
      </c>
    </row>
    <row r="1555">
      <c r="A1555" s="52" t="s">
        <v>77</v>
      </c>
      <c r="B1555" s="28" t="s">
        <v>77</v>
      </c>
      <c r="C1555" s="28" t="s">
        <v>77</v>
      </c>
      <c r="D1555" s="28" t="s">
        <v>77</v>
      </c>
      <c r="E1555" s="28" t="s">
        <v>77</v>
      </c>
      <c r="F1555" s="28" t="s">
        <v>77</v>
      </c>
      <c r="G1555" s="28" t="s">
        <v>77</v>
      </c>
      <c r="I1555" s="26" t="s">
        <v>77</v>
      </c>
      <c r="J1555" s="26" t="s">
        <v>77</v>
      </c>
      <c r="K1555" s="18"/>
      <c r="L1555" s="26" t="s">
        <v>77</v>
      </c>
      <c r="M1555" s="6" t="s">
        <v>77</v>
      </c>
      <c r="N1555" s="28" t="s">
        <v>77</v>
      </c>
      <c r="O1555" s="26" t="s">
        <v>77</v>
      </c>
    </row>
    <row r="1556">
      <c r="A1556" s="52" t="s">
        <v>77</v>
      </c>
      <c r="B1556" s="28" t="s">
        <v>77</v>
      </c>
      <c r="C1556" s="28" t="s">
        <v>77</v>
      </c>
      <c r="D1556" s="28" t="s">
        <v>77</v>
      </c>
      <c r="E1556" s="28" t="s">
        <v>77</v>
      </c>
      <c r="F1556" s="28" t="s">
        <v>77</v>
      </c>
      <c r="G1556" s="28" t="s">
        <v>77</v>
      </c>
      <c r="I1556" s="26" t="s">
        <v>77</v>
      </c>
      <c r="J1556" s="26" t="s">
        <v>77</v>
      </c>
      <c r="K1556" s="18"/>
      <c r="L1556" s="26" t="s">
        <v>77</v>
      </c>
      <c r="M1556" s="6" t="s">
        <v>77</v>
      </c>
      <c r="N1556" s="28" t="s">
        <v>77</v>
      </c>
      <c r="O1556" s="26" t="s">
        <v>77</v>
      </c>
    </row>
    <row r="1557">
      <c r="A1557" s="52" t="s">
        <v>77</v>
      </c>
      <c r="B1557" s="28" t="s">
        <v>77</v>
      </c>
      <c r="C1557" s="28" t="s">
        <v>77</v>
      </c>
      <c r="D1557" s="28" t="s">
        <v>77</v>
      </c>
      <c r="E1557" s="28" t="s">
        <v>77</v>
      </c>
      <c r="F1557" s="28" t="s">
        <v>77</v>
      </c>
      <c r="G1557" s="28" t="s">
        <v>77</v>
      </c>
      <c r="I1557" s="26" t="s">
        <v>77</v>
      </c>
      <c r="J1557" s="26" t="s">
        <v>77</v>
      </c>
      <c r="K1557" s="18"/>
      <c r="L1557" s="26" t="s">
        <v>77</v>
      </c>
      <c r="M1557" s="6" t="s">
        <v>77</v>
      </c>
      <c r="N1557" s="28" t="s">
        <v>77</v>
      </c>
      <c r="O1557" s="26" t="s">
        <v>77</v>
      </c>
    </row>
    <row r="1558">
      <c r="A1558" s="52" t="s">
        <v>77</v>
      </c>
      <c r="B1558" s="28" t="s">
        <v>77</v>
      </c>
      <c r="C1558" s="28" t="s">
        <v>77</v>
      </c>
      <c r="D1558" s="28" t="s">
        <v>77</v>
      </c>
      <c r="E1558" s="28" t="s">
        <v>77</v>
      </c>
      <c r="F1558" s="28" t="s">
        <v>77</v>
      </c>
      <c r="G1558" s="28" t="s">
        <v>77</v>
      </c>
      <c r="I1558" s="26" t="s">
        <v>77</v>
      </c>
      <c r="J1558" s="26" t="s">
        <v>77</v>
      </c>
      <c r="K1558" s="18"/>
      <c r="L1558" s="26" t="s">
        <v>77</v>
      </c>
      <c r="M1558" s="6" t="s">
        <v>77</v>
      </c>
      <c r="N1558" s="28" t="s">
        <v>77</v>
      </c>
      <c r="O1558" s="26" t="s">
        <v>77</v>
      </c>
    </row>
    <row r="1559">
      <c r="A1559" s="52" t="s">
        <v>77</v>
      </c>
      <c r="B1559" s="28" t="s">
        <v>77</v>
      </c>
      <c r="C1559" s="28" t="s">
        <v>77</v>
      </c>
      <c r="D1559" s="28" t="s">
        <v>77</v>
      </c>
      <c r="E1559" s="28" t="s">
        <v>77</v>
      </c>
      <c r="F1559" s="28" t="s">
        <v>77</v>
      </c>
      <c r="G1559" s="28" t="s">
        <v>77</v>
      </c>
      <c r="I1559" s="26" t="s">
        <v>77</v>
      </c>
      <c r="J1559" s="26" t="s">
        <v>77</v>
      </c>
      <c r="K1559" s="18"/>
      <c r="L1559" s="26" t="s">
        <v>77</v>
      </c>
      <c r="M1559" s="6" t="s">
        <v>77</v>
      </c>
      <c r="N1559" s="28" t="s">
        <v>77</v>
      </c>
      <c r="O1559" s="26" t="s">
        <v>77</v>
      </c>
    </row>
    <row r="1560">
      <c r="A1560" s="52" t="s">
        <v>77</v>
      </c>
      <c r="B1560" s="28" t="s">
        <v>77</v>
      </c>
      <c r="C1560" s="28" t="s">
        <v>77</v>
      </c>
      <c r="D1560" s="28" t="s">
        <v>77</v>
      </c>
      <c r="E1560" s="28" t="s">
        <v>77</v>
      </c>
      <c r="F1560" s="28" t="s">
        <v>77</v>
      </c>
      <c r="G1560" s="28" t="s">
        <v>77</v>
      </c>
      <c r="I1560" s="26" t="s">
        <v>77</v>
      </c>
      <c r="J1560" s="26" t="s">
        <v>77</v>
      </c>
      <c r="K1560" s="18"/>
      <c r="L1560" s="26" t="s">
        <v>77</v>
      </c>
      <c r="M1560" s="6" t="s">
        <v>77</v>
      </c>
      <c r="N1560" s="28" t="s">
        <v>77</v>
      </c>
      <c r="O1560" s="26" t="s">
        <v>77</v>
      </c>
    </row>
    <row r="1561">
      <c r="A1561" s="52" t="s">
        <v>77</v>
      </c>
      <c r="B1561" s="28" t="s">
        <v>77</v>
      </c>
      <c r="C1561" s="28" t="s">
        <v>77</v>
      </c>
      <c r="D1561" s="28" t="s">
        <v>77</v>
      </c>
      <c r="E1561" s="28" t="s">
        <v>77</v>
      </c>
      <c r="F1561" s="28" t="s">
        <v>77</v>
      </c>
      <c r="G1561" s="28" t="s">
        <v>77</v>
      </c>
      <c r="I1561" s="26" t="s">
        <v>77</v>
      </c>
      <c r="J1561" s="26" t="s">
        <v>77</v>
      </c>
      <c r="K1561" s="18"/>
      <c r="L1561" s="26" t="s">
        <v>77</v>
      </c>
      <c r="M1561" s="6" t="s">
        <v>77</v>
      </c>
      <c r="N1561" s="28" t="s">
        <v>77</v>
      </c>
      <c r="O1561" s="26" t="s">
        <v>77</v>
      </c>
    </row>
    <row r="1562">
      <c r="A1562" s="52" t="s">
        <v>77</v>
      </c>
      <c r="B1562" s="28" t="s">
        <v>77</v>
      </c>
      <c r="C1562" s="28" t="s">
        <v>77</v>
      </c>
      <c r="D1562" s="28" t="s">
        <v>77</v>
      </c>
      <c r="E1562" s="28" t="s">
        <v>77</v>
      </c>
      <c r="F1562" s="28" t="s">
        <v>77</v>
      </c>
      <c r="G1562" s="28" t="s">
        <v>77</v>
      </c>
      <c r="I1562" s="26" t="s">
        <v>77</v>
      </c>
      <c r="J1562" s="26" t="s">
        <v>77</v>
      </c>
      <c r="K1562" s="18"/>
      <c r="L1562" s="26" t="s">
        <v>77</v>
      </c>
      <c r="M1562" s="6" t="s">
        <v>77</v>
      </c>
      <c r="N1562" s="28" t="s">
        <v>77</v>
      </c>
      <c r="O1562" s="26" t="s">
        <v>77</v>
      </c>
    </row>
    <row r="1563">
      <c r="A1563" s="52" t="s">
        <v>77</v>
      </c>
      <c r="B1563" s="28" t="s">
        <v>77</v>
      </c>
      <c r="C1563" s="28" t="s">
        <v>77</v>
      </c>
      <c r="D1563" s="28" t="s">
        <v>77</v>
      </c>
      <c r="E1563" s="28" t="s">
        <v>77</v>
      </c>
      <c r="F1563" s="28" t="s">
        <v>77</v>
      </c>
      <c r="G1563" s="28" t="s">
        <v>77</v>
      </c>
      <c r="I1563" s="26" t="s">
        <v>77</v>
      </c>
      <c r="J1563" s="26" t="s">
        <v>77</v>
      </c>
      <c r="K1563" s="18"/>
      <c r="L1563" s="26" t="s">
        <v>77</v>
      </c>
      <c r="M1563" s="6" t="s">
        <v>77</v>
      </c>
      <c r="N1563" s="28" t="s">
        <v>77</v>
      </c>
      <c r="O1563" s="26" t="s">
        <v>77</v>
      </c>
    </row>
    <row r="1564">
      <c r="A1564" s="52" t="s">
        <v>77</v>
      </c>
      <c r="B1564" s="28" t="s">
        <v>77</v>
      </c>
      <c r="C1564" s="28" t="s">
        <v>77</v>
      </c>
      <c r="D1564" s="28" t="s">
        <v>77</v>
      </c>
      <c r="E1564" s="28" t="s">
        <v>77</v>
      </c>
      <c r="F1564" s="28" t="s">
        <v>77</v>
      </c>
      <c r="G1564" s="28" t="s">
        <v>77</v>
      </c>
      <c r="I1564" s="26" t="s">
        <v>77</v>
      </c>
      <c r="J1564" s="26" t="s">
        <v>77</v>
      </c>
      <c r="K1564" s="18"/>
      <c r="L1564" s="26" t="s">
        <v>77</v>
      </c>
      <c r="M1564" s="6" t="s">
        <v>77</v>
      </c>
      <c r="N1564" s="28" t="s">
        <v>77</v>
      </c>
      <c r="O1564" s="26" t="s">
        <v>77</v>
      </c>
    </row>
    <row r="1565">
      <c r="A1565" s="52" t="s">
        <v>77</v>
      </c>
      <c r="B1565" s="28" t="s">
        <v>77</v>
      </c>
      <c r="C1565" s="28" t="s">
        <v>77</v>
      </c>
      <c r="D1565" s="28" t="s">
        <v>77</v>
      </c>
      <c r="E1565" s="28" t="s">
        <v>77</v>
      </c>
      <c r="F1565" s="28" t="s">
        <v>77</v>
      </c>
      <c r="G1565" s="28" t="s">
        <v>77</v>
      </c>
      <c r="I1565" s="26" t="s">
        <v>77</v>
      </c>
      <c r="J1565" s="26" t="s">
        <v>77</v>
      </c>
      <c r="K1565" s="18"/>
      <c r="L1565" s="26" t="s">
        <v>77</v>
      </c>
      <c r="M1565" s="6" t="s">
        <v>77</v>
      </c>
      <c r="N1565" s="28" t="s">
        <v>77</v>
      </c>
      <c r="O1565" s="26" t="s">
        <v>77</v>
      </c>
    </row>
    <row r="1566">
      <c r="A1566" s="52" t="s">
        <v>77</v>
      </c>
      <c r="B1566" s="28" t="s">
        <v>77</v>
      </c>
      <c r="C1566" s="28" t="s">
        <v>77</v>
      </c>
      <c r="D1566" s="28" t="s">
        <v>77</v>
      </c>
      <c r="E1566" s="28" t="s">
        <v>77</v>
      </c>
      <c r="F1566" s="28" t="s">
        <v>77</v>
      </c>
      <c r="G1566" s="28" t="s">
        <v>77</v>
      </c>
      <c r="I1566" s="26" t="s">
        <v>77</v>
      </c>
      <c r="J1566" s="26" t="s">
        <v>77</v>
      </c>
      <c r="K1566" s="18"/>
      <c r="L1566" s="26" t="s">
        <v>77</v>
      </c>
      <c r="M1566" s="6" t="s">
        <v>77</v>
      </c>
      <c r="N1566" s="28" t="s">
        <v>77</v>
      </c>
      <c r="O1566" s="26" t="s">
        <v>77</v>
      </c>
    </row>
    <row r="1567">
      <c r="A1567" s="52" t="s">
        <v>77</v>
      </c>
      <c r="B1567" s="28" t="s">
        <v>77</v>
      </c>
      <c r="C1567" s="28" t="s">
        <v>77</v>
      </c>
      <c r="D1567" s="28" t="s">
        <v>77</v>
      </c>
      <c r="E1567" s="28" t="s">
        <v>77</v>
      </c>
      <c r="F1567" s="28" t="s">
        <v>77</v>
      </c>
      <c r="G1567" s="28" t="s">
        <v>77</v>
      </c>
      <c r="I1567" s="26" t="s">
        <v>77</v>
      </c>
      <c r="J1567" s="26" t="s">
        <v>77</v>
      </c>
      <c r="K1567" s="18"/>
      <c r="L1567" s="26" t="s">
        <v>77</v>
      </c>
      <c r="M1567" s="6" t="s">
        <v>77</v>
      </c>
      <c r="N1567" s="28" t="s">
        <v>77</v>
      </c>
      <c r="O1567" s="26" t="s">
        <v>77</v>
      </c>
    </row>
    <row r="1568">
      <c r="A1568" s="52" t="s">
        <v>77</v>
      </c>
      <c r="B1568" s="28" t="s">
        <v>77</v>
      </c>
      <c r="C1568" s="28" t="s">
        <v>77</v>
      </c>
      <c r="D1568" s="28" t="s">
        <v>77</v>
      </c>
      <c r="E1568" s="28" t="s">
        <v>77</v>
      </c>
      <c r="F1568" s="28" t="s">
        <v>77</v>
      </c>
      <c r="G1568" s="28" t="s">
        <v>77</v>
      </c>
      <c r="I1568" s="26" t="s">
        <v>77</v>
      </c>
      <c r="J1568" s="26" t="s">
        <v>77</v>
      </c>
      <c r="K1568" s="18"/>
      <c r="L1568" s="26" t="s">
        <v>77</v>
      </c>
      <c r="M1568" s="6" t="s">
        <v>77</v>
      </c>
      <c r="N1568" s="28" t="s">
        <v>77</v>
      </c>
      <c r="O1568" s="26" t="s">
        <v>77</v>
      </c>
    </row>
    <row r="1569">
      <c r="A1569" s="52" t="s">
        <v>77</v>
      </c>
      <c r="B1569" s="28" t="s">
        <v>77</v>
      </c>
      <c r="C1569" s="28" t="s">
        <v>77</v>
      </c>
      <c r="D1569" s="28" t="s">
        <v>77</v>
      </c>
      <c r="E1569" s="28" t="s">
        <v>77</v>
      </c>
      <c r="F1569" s="28" t="s">
        <v>77</v>
      </c>
      <c r="G1569" s="28" t="s">
        <v>77</v>
      </c>
      <c r="I1569" s="26" t="s">
        <v>77</v>
      </c>
      <c r="J1569" s="26" t="s">
        <v>77</v>
      </c>
      <c r="K1569" s="18"/>
      <c r="L1569" s="26" t="s">
        <v>77</v>
      </c>
      <c r="M1569" s="6" t="s">
        <v>77</v>
      </c>
      <c r="N1569" s="28" t="s">
        <v>77</v>
      </c>
      <c r="O1569" s="26" t="s">
        <v>77</v>
      </c>
    </row>
    <row r="1570">
      <c r="A1570" s="52" t="s">
        <v>77</v>
      </c>
      <c r="B1570" s="28" t="s">
        <v>77</v>
      </c>
      <c r="C1570" s="28" t="s">
        <v>77</v>
      </c>
      <c r="D1570" s="28" t="s">
        <v>77</v>
      </c>
      <c r="E1570" s="28" t="s">
        <v>77</v>
      </c>
      <c r="F1570" s="28" t="s">
        <v>77</v>
      </c>
      <c r="G1570" s="28" t="s">
        <v>77</v>
      </c>
      <c r="I1570" s="26" t="s">
        <v>77</v>
      </c>
      <c r="J1570" s="26" t="s">
        <v>77</v>
      </c>
      <c r="K1570" s="18"/>
      <c r="L1570" s="26" t="s">
        <v>77</v>
      </c>
      <c r="M1570" s="6" t="s">
        <v>77</v>
      </c>
      <c r="N1570" s="28" t="s">
        <v>77</v>
      </c>
      <c r="O1570" s="26" t="s">
        <v>77</v>
      </c>
    </row>
    <row r="1571">
      <c r="A1571" s="52" t="s">
        <v>77</v>
      </c>
      <c r="B1571" s="28" t="s">
        <v>77</v>
      </c>
      <c r="C1571" s="28" t="s">
        <v>77</v>
      </c>
      <c r="D1571" s="28" t="s">
        <v>77</v>
      </c>
      <c r="E1571" s="28" t="s">
        <v>77</v>
      </c>
      <c r="F1571" s="28" t="s">
        <v>77</v>
      </c>
      <c r="G1571" s="28" t="s">
        <v>77</v>
      </c>
      <c r="I1571" s="26" t="s">
        <v>77</v>
      </c>
      <c r="J1571" s="26" t="s">
        <v>77</v>
      </c>
      <c r="K1571" s="18"/>
      <c r="L1571" s="26" t="s">
        <v>77</v>
      </c>
      <c r="M1571" s="6" t="s">
        <v>77</v>
      </c>
      <c r="N1571" s="28" t="s">
        <v>77</v>
      </c>
      <c r="O1571" s="26" t="s">
        <v>77</v>
      </c>
    </row>
    <row r="1572">
      <c r="A1572" s="52" t="s">
        <v>77</v>
      </c>
      <c r="B1572" s="28" t="s">
        <v>77</v>
      </c>
      <c r="C1572" s="28" t="s">
        <v>77</v>
      </c>
      <c r="D1572" s="28" t="s">
        <v>77</v>
      </c>
      <c r="E1572" s="28" t="s">
        <v>77</v>
      </c>
      <c r="F1572" s="28" t="s">
        <v>77</v>
      </c>
      <c r="G1572" s="28" t="s">
        <v>77</v>
      </c>
      <c r="I1572" s="26" t="s">
        <v>77</v>
      </c>
      <c r="J1572" s="26" t="s">
        <v>77</v>
      </c>
      <c r="K1572" s="18"/>
      <c r="L1572" s="26" t="s">
        <v>77</v>
      </c>
      <c r="M1572" s="6" t="s">
        <v>77</v>
      </c>
      <c r="N1572" s="28" t="s">
        <v>77</v>
      </c>
      <c r="O1572" s="26" t="s">
        <v>77</v>
      </c>
    </row>
    <row r="1573">
      <c r="A1573" s="52" t="s">
        <v>77</v>
      </c>
      <c r="B1573" s="28" t="s">
        <v>77</v>
      </c>
      <c r="C1573" s="28" t="s">
        <v>77</v>
      </c>
      <c r="D1573" s="28" t="s">
        <v>77</v>
      </c>
      <c r="E1573" s="28" t="s">
        <v>77</v>
      </c>
      <c r="F1573" s="28" t="s">
        <v>77</v>
      </c>
      <c r="G1573" s="28" t="s">
        <v>77</v>
      </c>
      <c r="I1573" s="26" t="s">
        <v>77</v>
      </c>
      <c r="J1573" s="26" t="s">
        <v>77</v>
      </c>
      <c r="K1573" s="18"/>
      <c r="L1573" s="26" t="s">
        <v>77</v>
      </c>
      <c r="M1573" s="6" t="s">
        <v>77</v>
      </c>
      <c r="N1573" s="28" t="s">
        <v>77</v>
      </c>
      <c r="O1573" s="26" t="s">
        <v>77</v>
      </c>
    </row>
    <row r="1574">
      <c r="A1574" s="52" t="s">
        <v>77</v>
      </c>
      <c r="B1574" s="28" t="s">
        <v>77</v>
      </c>
      <c r="C1574" s="28" t="s">
        <v>77</v>
      </c>
      <c r="D1574" s="28" t="s">
        <v>77</v>
      </c>
      <c r="E1574" s="28" t="s">
        <v>77</v>
      </c>
      <c r="F1574" s="28" t="s">
        <v>77</v>
      </c>
      <c r="G1574" s="28" t="s">
        <v>77</v>
      </c>
      <c r="I1574" s="26" t="s">
        <v>77</v>
      </c>
      <c r="J1574" s="26" t="s">
        <v>77</v>
      </c>
      <c r="K1574" s="18"/>
      <c r="L1574" s="26" t="s">
        <v>77</v>
      </c>
      <c r="M1574" s="6" t="s">
        <v>77</v>
      </c>
      <c r="N1574" s="28" t="s">
        <v>77</v>
      </c>
      <c r="O1574" s="26" t="s">
        <v>77</v>
      </c>
    </row>
    <row r="1575">
      <c r="A1575" s="52" t="s">
        <v>77</v>
      </c>
      <c r="B1575" s="28" t="s">
        <v>77</v>
      </c>
      <c r="C1575" s="28" t="s">
        <v>77</v>
      </c>
      <c r="D1575" s="28" t="s">
        <v>77</v>
      </c>
      <c r="E1575" s="28" t="s">
        <v>77</v>
      </c>
      <c r="F1575" s="28" t="s">
        <v>77</v>
      </c>
      <c r="G1575" s="28" t="s">
        <v>77</v>
      </c>
      <c r="I1575" s="26" t="s">
        <v>77</v>
      </c>
      <c r="J1575" s="26" t="s">
        <v>77</v>
      </c>
      <c r="K1575" s="18"/>
      <c r="L1575" s="26" t="s">
        <v>77</v>
      </c>
      <c r="M1575" s="6" t="s">
        <v>77</v>
      </c>
      <c r="N1575" s="28" t="s">
        <v>77</v>
      </c>
      <c r="O1575" s="26" t="s">
        <v>77</v>
      </c>
    </row>
    <row r="1576">
      <c r="A1576" s="52" t="s">
        <v>77</v>
      </c>
      <c r="B1576" s="28" t="s">
        <v>77</v>
      </c>
      <c r="C1576" s="28" t="s">
        <v>77</v>
      </c>
      <c r="D1576" s="28" t="s">
        <v>77</v>
      </c>
      <c r="E1576" s="28" t="s">
        <v>77</v>
      </c>
      <c r="F1576" s="28" t="s">
        <v>77</v>
      </c>
      <c r="G1576" s="28" t="s">
        <v>77</v>
      </c>
      <c r="I1576" s="26" t="s">
        <v>77</v>
      </c>
      <c r="J1576" s="26" t="s">
        <v>77</v>
      </c>
      <c r="K1576" s="18"/>
      <c r="L1576" s="26" t="s">
        <v>77</v>
      </c>
      <c r="M1576" s="6" t="s">
        <v>77</v>
      </c>
      <c r="N1576" s="28" t="s">
        <v>77</v>
      </c>
      <c r="O1576" s="26" t="s">
        <v>77</v>
      </c>
    </row>
    <row r="1577">
      <c r="A1577" s="52" t="s">
        <v>77</v>
      </c>
      <c r="B1577" s="28" t="s">
        <v>77</v>
      </c>
      <c r="C1577" s="28" t="s">
        <v>77</v>
      </c>
      <c r="D1577" s="28" t="s">
        <v>77</v>
      </c>
      <c r="E1577" s="28" t="s">
        <v>77</v>
      </c>
      <c r="F1577" s="28" t="s">
        <v>77</v>
      </c>
      <c r="G1577" s="28" t="s">
        <v>77</v>
      </c>
      <c r="I1577" s="26" t="s">
        <v>77</v>
      </c>
      <c r="J1577" s="26" t="s">
        <v>77</v>
      </c>
      <c r="K1577" s="18"/>
      <c r="L1577" s="26" t="s">
        <v>77</v>
      </c>
      <c r="M1577" s="6" t="s">
        <v>77</v>
      </c>
      <c r="N1577" s="28" t="s">
        <v>77</v>
      </c>
      <c r="O1577" s="26" t="s">
        <v>77</v>
      </c>
    </row>
    <row r="1578">
      <c r="A1578" s="52" t="s">
        <v>77</v>
      </c>
      <c r="B1578" s="28" t="s">
        <v>77</v>
      </c>
      <c r="C1578" s="28" t="s">
        <v>77</v>
      </c>
      <c r="D1578" s="28" t="s">
        <v>77</v>
      </c>
      <c r="E1578" s="28" t="s">
        <v>77</v>
      </c>
      <c r="F1578" s="28" t="s">
        <v>77</v>
      </c>
      <c r="G1578" s="28" t="s">
        <v>77</v>
      </c>
      <c r="I1578" s="26" t="s">
        <v>77</v>
      </c>
      <c r="J1578" s="26" t="s">
        <v>77</v>
      </c>
      <c r="K1578" s="18"/>
      <c r="L1578" s="26" t="s">
        <v>77</v>
      </c>
      <c r="M1578" s="6" t="s">
        <v>77</v>
      </c>
      <c r="N1578" s="28" t="s">
        <v>77</v>
      </c>
      <c r="O1578" s="26" t="s">
        <v>77</v>
      </c>
    </row>
    <row r="1579">
      <c r="A1579" s="52" t="s">
        <v>77</v>
      </c>
      <c r="B1579" s="28" t="s">
        <v>77</v>
      </c>
      <c r="C1579" s="28" t="s">
        <v>77</v>
      </c>
      <c r="D1579" s="28" t="s">
        <v>77</v>
      </c>
      <c r="E1579" s="28" t="s">
        <v>77</v>
      </c>
      <c r="F1579" s="28" t="s">
        <v>77</v>
      </c>
      <c r="G1579" s="28" t="s">
        <v>77</v>
      </c>
      <c r="I1579" s="26" t="s">
        <v>77</v>
      </c>
      <c r="J1579" s="26" t="s">
        <v>77</v>
      </c>
      <c r="K1579" s="18"/>
      <c r="L1579" s="26" t="s">
        <v>77</v>
      </c>
      <c r="M1579" s="6" t="s">
        <v>77</v>
      </c>
      <c r="N1579" s="28" t="s">
        <v>77</v>
      </c>
      <c r="O1579" s="26" t="s">
        <v>77</v>
      </c>
    </row>
    <row r="1580">
      <c r="A1580" s="52" t="s">
        <v>77</v>
      </c>
      <c r="B1580" s="28" t="s">
        <v>77</v>
      </c>
      <c r="C1580" s="28" t="s">
        <v>77</v>
      </c>
      <c r="D1580" s="28" t="s">
        <v>77</v>
      </c>
      <c r="E1580" s="28" t="s">
        <v>77</v>
      </c>
      <c r="F1580" s="28" t="s">
        <v>77</v>
      </c>
      <c r="G1580" s="28" t="s">
        <v>77</v>
      </c>
      <c r="I1580" s="26" t="s">
        <v>77</v>
      </c>
      <c r="J1580" s="26" t="s">
        <v>77</v>
      </c>
      <c r="K1580" s="18"/>
      <c r="L1580" s="26" t="s">
        <v>77</v>
      </c>
      <c r="M1580" s="6" t="s">
        <v>77</v>
      </c>
      <c r="N1580" s="28" t="s">
        <v>77</v>
      </c>
      <c r="O1580" s="26" t="s">
        <v>77</v>
      </c>
    </row>
    <row r="1581">
      <c r="A1581" s="52" t="s">
        <v>77</v>
      </c>
      <c r="B1581" s="28" t="s">
        <v>77</v>
      </c>
      <c r="C1581" s="28" t="s">
        <v>77</v>
      </c>
      <c r="D1581" s="28" t="s">
        <v>77</v>
      </c>
      <c r="E1581" s="28" t="s">
        <v>77</v>
      </c>
      <c r="F1581" s="28" t="s">
        <v>77</v>
      </c>
      <c r="G1581" s="28" t="s">
        <v>77</v>
      </c>
      <c r="I1581" s="26" t="s">
        <v>77</v>
      </c>
      <c r="J1581" s="26" t="s">
        <v>77</v>
      </c>
      <c r="K1581" s="18"/>
      <c r="L1581" s="26" t="s">
        <v>77</v>
      </c>
      <c r="M1581" s="6" t="s">
        <v>77</v>
      </c>
      <c r="N1581" s="28" t="s">
        <v>77</v>
      </c>
      <c r="O1581" s="26" t="s">
        <v>77</v>
      </c>
    </row>
    <row r="1582">
      <c r="A1582" s="52" t="s">
        <v>77</v>
      </c>
      <c r="B1582" s="28" t="s">
        <v>77</v>
      </c>
      <c r="C1582" s="28" t="s">
        <v>77</v>
      </c>
      <c r="D1582" s="28" t="s">
        <v>77</v>
      </c>
      <c r="E1582" s="28" t="s">
        <v>77</v>
      </c>
      <c r="F1582" s="28" t="s">
        <v>77</v>
      </c>
      <c r="G1582" s="28" t="s">
        <v>77</v>
      </c>
      <c r="I1582" s="26" t="s">
        <v>77</v>
      </c>
      <c r="J1582" s="26" t="s">
        <v>77</v>
      </c>
      <c r="K1582" s="18"/>
      <c r="L1582" s="26" t="s">
        <v>77</v>
      </c>
      <c r="M1582" s="6" t="s">
        <v>77</v>
      </c>
      <c r="N1582" s="28" t="s">
        <v>77</v>
      </c>
      <c r="O1582" s="26" t="s">
        <v>77</v>
      </c>
    </row>
    <row r="1583">
      <c r="A1583" s="52" t="s">
        <v>77</v>
      </c>
      <c r="B1583" s="28" t="s">
        <v>77</v>
      </c>
      <c r="C1583" s="28" t="s">
        <v>77</v>
      </c>
      <c r="D1583" s="28" t="s">
        <v>77</v>
      </c>
      <c r="E1583" s="28" t="s">
        <v>77</v>
      </c>
      <c r="F1583" s="28" t="s">
        <v>77</v>
      </c>
      <c r="G1583" s="28" t="s">
        <v>77</v>
      </c>
      <c r="I1583" s="26" t="s">
        <v>77</v>
      </c>
      <c r="J1583" s="26" t="s">
        <v>77</v>
      </c>
      <c r="K1583" s="18"/>
      <c r="L1583" s="26" t="s">
        <v>77</v>
      </c>
      <c r="M1583" s="6" t="s">
        <v>77</v>
      </c>
      <c r="N1583" s="28" t="s">
        <v>77</v>
      </c>
      <c r="O1583" s="26" t="s">
        <v>77</v>
      </c>
    </row>
    <row r="1584">
      <c r="A1584" s="52" t="s">
        <v>77</v>
      </c>
      <c r="B1584" s="28" t="s">
        <v>77</v>
      </c>
      <c r="C1584" s="28" t="s">
        <v>77</v>
      </c>
      <c r="D1584" s="28" t="s">
        <v>77</v>
      </c>
      <c r="E1584" s="28" t="s">
        <v>77</v>
      </c>
      <c r="F1584" s="28" t="s">
        <v>77</v>
      </c>
      <c r="G1584" s="28" t="s">
        <v>77</v>
      </c>
      <c r="I1584" s="26" t="s">
        <v>77</v>
      </c>
      <c r="J1584" s="26" t="s">
        <v>77</v>
      </c>
      <c r="K1584" s="18"/>
      <c r="L1584" s="26" t="s">
        <v>77</v>
      </c>
      <c r="M1584" s="6" t="s">
        <v>77</v>
      </c>
      <c r="N1584" s="28" t="s">
        <v>77</v>
      </c>
      <c r="O1584" s="26" t="s">
        <v>77</v>
      </c>
    </row>
    <row r="1585">
      <c r="A1585" s="52" t="s">
        <v>77</v>
      </c>
      <c r="B1585" s="28" t="s">
        <v>77</v>
      </c>
      <c r="C1585" s="28" t="s">
        <v>77</v>
      </c>
      <c r="D1585" s="28" t="s">
        <v>77</v>
      </c>
      <c r="E1585" s="28" t="s">
        <v>77</v>
      </c>
      <c r="F1585" s="28" t="s">
        <v>77</v>
      </c>
      <c r="G1585" s="28" t="s">
        <v>77</v>
      </c>
      <c r="I1585" s="26" t="s">
        <v>77</v>
      </c>
      <c r="J1585" s="26" t="s">
        <v>77</v>
      </c>
      <c r="K1585" s="18"/>
      <c r="L1585" s="26" t="s">
        <v>77</v>
      </c>
      <c r="M1585" s="6" t="s">
        <v>77</v>
      </c>
      <c r="N1585" s="28" t="s">
        <v>77</v>
      </c>
      <c r="O1585" s="26" t="s">
        <v>77</v>
      </c>
    </row>
    <row r="1586">
      <c r="A1586" s="52" t="s">
        <v>77</v>
      </c>
      <c r="B1586" s="28" t="s">
        <v>77</v>
      </c>
      <c r="C1586" s="28" t="s">
        <v>77</v>
      </c>
      <c r="D1586" s="28" t="s">
        <v>77</v>
      </c>
      <c r="E1586" s="28" t="s">
        <v>77</v>
      </c>
      <c r="F1586" s="28" t="s">
        <v>77</v>
      </c>
      <c r="G1586" s="28" t="s">
        <v>77</v>
      </c>
      <c r="I1586" s="26" t="s">
        <v>77</v>
      </c>
      <c r="J1586" s="26" t="s">
        <v>77</v>
      </c>
      <c r="K1586" s="18"/>
      <c r="L1586" s="26" t="s">
        <v>77</v>
      </c>
      <c r="M1586" s="6" t="s">
        <v>77</v>
      </c>
      <c r="N1586" s="28" t="s">
        <v>77</v>
      </c>
      <c r="O1586" s="26" t="s">
        <v>77</v>
      </c>
    </row>
    <row r="1587">
      <c r="A1587" s="52" t="s">
        <v>77</v>
      </c>
      <c r="B1587" s="28" t="s">
        <v>77</v>
      </c>
      <c r="C1587" s="28" t="s">
        <v>77</v>
      </c>
      <c r="D1587" s="28" t="s">
        <v>77</v>
      </c>
      <c r="E1587" s="28" t="s">
        <v>77</v>
      </c>
      <c r="F1587" s="28" t="s">
        <v>77</v>
      </c>
      <c r="G1587" s="28" t="s">
        <v>77</v>
      </c>
      <c r="I1587" s="26" t="s">
        <v>77</v>
      </c>
      <c r="J1587" s="26" t="s">
        <v>77</v>
      </c>
      <c r="K1587" s="18"/>
      <c r="L1587" s="26" t="s">
        <v>77</v>
      </c>
      <c r="M1587" s="6" t="s">
        <v>77</v>
      </c>
      <c r="N1587" s="28" t="s">
        <v>77</v>
      </c>
      <c r="O1587" s="26" t="s">
        <v>77</v>
      </c>
    </row>
    <row r="1588">
      <c r="A1588" s="52" t="s">
        <v>77</v>
      </c>
      <c r="B1588" s="28" t="s">
        <v>77</v>
      </c>
      <c r="C1588" s="28" t="s">
        <v>77</v>
      </c>
      <c r="D1588" s="28" t="s">
        <v>77</v>
      </c>
      <c r="E1588" s="28" t="s">
        <v>77</v>
      </c>
      <c r="F1588" s="28" t="s">
        <v>77</v>
      </c>
      <c r="G1588" s="28" t="s">
        <v>77</v>
      </c>
      <c r="I1588" s="26" t="s">
        <v>77</v>
      </c>
      <c r="J1588" s="26" t="s">
        <v>77</v>
      </c>
      <c r="K1588" s="18"/>
      <c r="L1588" s="26" t="s">
        <v>77</v>
      </c>
      <c r="M1588" s="6" t="s">
        <v>77</v>
      </c>
      <c r="N1588" s="28" t="s">
        <v>77</v>
      </c>
      <c r="O1588" s="26" t="s">
        <v>77</v>
      </c>
    </row>
    <row r="1589">
      <c r="A1589" s="52" t="s">
        <v>77</v>
      </c>
      <c r="B1589" s="28" t="s">
        <v>77</v>
      </c>
      <c r="C1589" s="28" t="s">
        <v>77</v>
      </c>
      <c r="D1589" s="28" t="s">
        <v>77</v>
      </c>
      <c r="E1589" s="28" t="s">
        <v>77</v>
      </c>
      <c r="F1589" s="28" t="s">
        <v>77</v>
      </c>
      <c r="G1589" s="28" t="s">
        <v>77</v>
      </c>
      <c r="I1589" s="26" t="s">
        <v>77</v>
      </c>
      <c r="J1589" s="26" t="s">
        <v>77</v>
      </c>
      <c r="K1589" s="18"/>
      <c r="L1589" s="26" t="s">
        <v>77</v>
      </c>
      <c r="M1589" s="6" t="s">
        <v>77</v>
      </c>
      <c r="N1589" s="28" t="s">
        <v>77</v>
      </c>
      <c r="O1589" s="26" t="s">
        <v>77</v>
      </c>
    </row>
    <row r="1590">
      <c r="A1590" s="52" t="s">
        <v>77</v>
      </c>
      <c r="B1590" s="28" t="s">
        <v>77</v>
      </c>
      <c r="C1590" s="28" t="s">
        <v>77</v>
      </c>
      <c r="D1590" s="28" t="s">
        <v>77</v>
      </c>
      <c r="E1590" s="28" t="s">
        <v>77</v>
      </c>
      <c r="F1590" s="28" t="s">
        <v>77</v>
      </c>
      <c r="G1590" s="28" t="s">
        <v>77</v>
      </c>
      <c r="I1590" s="26" t="s">
        <v>77</v>
      </c>
      <c r="J1590" s="26" t="s">
        <v>77</v>
      </c>
      <c r="K1590" s="18"/>
      <c r="L1590" s="26" t="s">
        <v>77</v>
      </c>
      <c r="M1590" s="6" t="s">
        <v>77</v>
      </c>
      <c r="N1590" s="28" t="s">
        <v>77</v>
      </c>
      <c r="O1590" s="26" t="s">
        <v>77</v>
      </c>
    </row>
    <row r="1591">
      <c r="A1591" s="52" t="s">
        <v>77</v>
      </c>
      <c r="B1591" s="28" t="s">
        <v>77</v>
      </c>
      <c r="C1591" s="28" t="s">
        <v>77</v>
      </c>
      <c r="D1591" s="28" t="s">
        <v>77</v>
      </c>
      <c r="E1591" s="28" t="s">
        <v>77</v>
      </c>
      <c r="F1591" s="28" t="s">
        <v>77</v>
      </c>
      <c r="G1591" s="28" t="s">
        <v>77</v>
      </c>
      <c r="I1591" s="26" t="s">
        <v>77</v>
      </c>
      <c r="J1591" s="26" t="s">
        <v>77</v>
      </c>
      <c r="K1591" s="18"/>
      <c r="L1591" s="26" t="s">
        <v>77</v>
      </c>
      <c r="M1591" s="6" t="s">
        <v>77</v>
      </c>
      <c r="N1591" s="28" t="s">
        <v>77</v>
      </c>
      <c r="O1591" s="26" t="s">
        <v>77</v>
      </c>
    </row>
    <row r="1592">
      <c r="A1592" s="52" t="s">
        <v>77</v>
      </c>
      <c r="B1592" s="28" t="s">
        <v>77</v>
      </c>
      <c r="C1592" s="28" t="s">
        <v>77</v>
      </c>
      <c r="D1592" s="28" t="s">
        <v>77</v>
      </c>
      <c r="E1592" s="28" t="s">
        <v>77</v>
      </c>
      <c r="F1592" s="28" t="s">
        <v>77</v>
      </c>
      <c r="G1592" s="28" t="s">
        <v>77</v>
      </c>
      <c r="I1592" s="26" t="s">
        <v>77</v>
      </c>
      <c r="J1592" s="26" t="s">
        <v>77</v>
      </c>
      <c r="K1592" s="18"/>
      <c r="L1592" s="26" t="s">
        <v>77</v>
      </c>
      <c r="M1592" s="6" t="s">
        <v>77</v>
      </c>
      <c r="N1592" s="28" t="s">
        <v>77</v>
      </c>
      <c r="O1592" s="26" t="s">
        <v>77</v>
      </c>
    </row>
    <row r="1593">
      <c r="A1593" s="52" t="s">
        <v>77</v>
      </c>
      <c r="B1593" s="28" t="s">
        <v>77</v>
      </c>
      <c r="C1593" s="28" t="s">
        <v>77</v>
      </c>
      <c r="D1593" s="28" t="s">
        <v>77</v>
      </c>
      <c r="E1593" s="28" t="s">
        <v>77</v>
      </c>
      <c r="F1593" s="28" t="s">
        <v>77</v>
      </c>
      <c r="G1593" s="28" t="s">
        <v>77</v>
      </c>
      <c r="I1593" s="26" t="s">
        <v>77</v>
      </c>
      <c r="J1593" s="26" t="s">
        <v>77</v>
      </c>
      <c r="K1593" s="18"/>
      <c r="L1593" s="26" t="s">
        <v>77</v>
      </c>
      <c r="M1593" s="6" t="s">
        <v>77</v>
      </c>
      <c r="N1593" s="28" t="s">
        <v>77</v>
      </c>
      <c r="O1593" s="26" t="s">
        <v>77</v>
      </c>
    </row>
    <row r="1594">
      <c r="A1594" s="52" t="s">
        <v>77</v>
      </c>
      <c r="B1594" s="28" t="s">
        <v>77</v>
      </c>
      <c r="C1594" s="28" t="s">
        <v>77</v>
      </c>
      <c r="D1594" s="28" t="s">
        <v>77</v>
      </c>
      <c r="E1594" s="28" t="s">
        <v>77</v>
      </c>
      <c r="F1594" s="28" t="s">
        <v>77</v>
      </c>
      <c r="G1594" s="28" t="s">
        <v>77</v>
      </c>
      <c r="I1594" s="26" t="s">
        <v>77</v>
      </c>
      <c r="J1594" s="26" t="s">
        <v>77</v>
      </c>
      <c r="K1594" s="18"/>
      <c r="L1594" s="26" t="s">
        <v>77</v>
      </c>
      <c r="M1594" s="6" t="s">
        <v>77</v>
      </c>
      <c r="N1594" s="28" t="s">
        <v>77</v>
      </c>
      <c r="O1594" s="26" t="s">
        <v>77</v>
      </c>
    </row>
    <row r="1595">
      <c r="A1595" s="52" t="s">
        <v>77</v>
      </c>
      <c r="B1595" s="28" t="s">
        <v>77</v>
      </c>
      <c r="C1595" s="28" t="s">
        <v>77</v>
      </c>
      <c r="D1595" s="28" t="s">
        <v>77</v>
      </c>
      <c r="E1595" s="28" t="s">
        <v>77</v>
      </c>
      <c r="F1595" s="28" t="s">
        <v>77</v>
      </c>
      <c r="G1595" s="28" t="s">
        <v>77</v>
      </c>
      <c r="I1595" s="26" t="s">
        <v>77</v>
      </c>
      <c r="J1595" s="26" t="s">
        <v>77</v>
      </c>
      <c r="K1595" s="18"/>
      <c r="L1595" s="26" t="s">
        <v>77</v>
      </c>
      <c r="M1595" s="6" t="s">
        <v>77</v>
      </c>
      <c r="N1595" s="28" t="s">
        <v>77</v>
      </c>
      <c r="O1595" s="26" t="s">
        <v>77</v>
      </c>
    </row>
    <row r="1596">
      <c r="A1596" s="52" t="s">
        <v>77</v>
      </c>
      <c r="B1596" s="28" t="s">
        <v>77</v>
      </c>
      <c r="C1596" s="28" t="s">
        <v>77</v>
      </c>
      <c r="D1596" s="28" t="s">
        <v>77</v>
      </c>
      <c r="E1596" s="28" t="s">
        <v>77</v>
      </c>
      <c r="F1596" s="28" t="s">
        <v>77</v>
      </c>
      <c r="G1596" s="28" t="s">
        <v>77</v>
      </c>
      <c r="I1596" s="26" t="s">
        <v>77</v>
      </c>
      <c r="J1596" s="26" t="s">
        <v>77</v>
      </c>
      <c r="K1596" s="18"/>
      <c r="L1596" s="26" t="s">
        <v>77</v>
      </c>
      <c r="M1596" s="6" t="s">
        <v>77</v>
      </c>
      <c r="N1596" s="28" t="s">
        <v>77</v>
      </c>
      <c r="O1596" s="26" t="s">
        <v>77</v>
      </c>
    </row>
    <row r="1597">
      <c r="A1597" s="52" t="s">
        <v>77</v>
      </c>
      <c r="B1597" s="28" t="s">
        <v>77</v>
      </c>
      <c r="C1597" s="28" t="s">
        <v>77</v>
      </c>
      <c r="D1597" s="28" t="s">
        <v>77</v>
      </c>
      <c r="E1597" s="28" t="s">
        <v>77</v>
      </c>
      <c r="F1597" s="28" t="s">
        <v>77</v>
      </c>
      <c r="G1597" s="28" t="s">
        <v>77</v>
      </c>
      <c r="I1597" s="26" t="s">
        <v>77</v>
      </c>
      <c r="J1597" s="26" t="s">
        <v>77</v>
      </c>
      <c r="K1597" s="18"/>
      <c r="L1597" s="26" t="s">
        <v>77</v>
      </c>
      <c r="M1597" s="6" t="s">
        <v>77</v>
      </c>
      <c r="N1597" s="28" t="s">
        <v>77</v>
      </c>
      <c r="O1597" s="26" t="s">
        <v>77</v>
      </c>
    </row>
    <row r="1598">
      <c r="A1598" s="52" t="s">
        <v>77</v>
      </c>
      <c r="B1598" s="28" t="s">
        <v>77</v>
      </c>
      <c r="C1598" s="28" t="s">
        <v>77</v>
      </c>
      <c r="D1598" s="28" t="s">
        <v>77</v>
      </c>
      <c r="E1598" s="28" t="s">
        <v>77</v>
      </c>
      <c r="F1598" s="28" t="s">
        <v>77</v>
      </c>
      <c r="G1598" s="28" t="s">
        <v>77</v>
      </c>
      <c r="I1598" s="26" t="s">
        <v>77</v>
      </c>
      <c r="J1598" s="26" t="s">
        <v>77</v>
      </c>
      <c r="K1598" s="18"/>
      <c r="L1598" s="26" t="s">
        <v>77</v>
      </c>
      <c r="M1598" s="6" t="s">
        <v>77</v>
      </c>
      <c r="N1598" s="28" t="s">
        <v>77</v>
      </c>
      <c r="O1598" s="26" t="s">
        <v>77</v>
      </c>
    </row>
    <row r="1599">
      <c r="A1599" s="52" t="s">
        <v>77</v>
      </c>
      <c r="B1599" s="28" t="s">
        <v>77</v>
      </c>
      <c r="C1599" s="28" t="s">
        <v>77</v>
      </c>
      <c r="D1599" s="28" t="s">
        <v>77</v>
      </c>
      <c r="E1599" s="28" t="s">
        <v>77</v>
      </c>
      <c r="F1599" s="28" t="s">
        <v>77</v>
      </c>
      <c r="G1599" s="28" t="s">
        <v>77</v>
      </c>
      <c r="I1599" s="26" t="s">
        <v>77</v>
      </c>
      <c r="J1599" s="26" t="s">
        <v>77</v>
      </c>
      <c r="K1599" s="18"/>
      <c r="L1599" s="26" t="s">
        <v>77</v>
      </c>
      <c r="M1599" s="6" t="s">
        <v>77</v>
      </c>
      <c r="N1599" s="28" t="s">
        <v>77</v>
      </c>
      <c r="O1599" s="26" t="s">
        <v>77</v>
      </c>
    </row>
    <row r="1600">
      <c r="A1600" s="52" t="s">
        <v>77</v>
      </c>
      <c r="B1600" s="28" t="s">
        <v>77</v>
      </c>
      <c r="C1600" s="28" t="s">
        <v>77</v>
      </c>
      <c r="D1600" s="28" t="s">
        <v>77</v>
      </c>
      <c r="E1600" s="28" t="s">
        <v>77</v>
      </c>
      <c r="F1600" s="28" t="s">
        <v>77</v>
      </c>
      <c r="G1600" s="28" t="s">
        <v>77</v>
      </c>
      <c r="I1600" s="26" t="s">
        <v>77</v>
      </c>
      <c r="J1600" s="26" t="s">
        <v>77</v>
      </c>
      <c r="K1600" s="18"/>
      <c r="L1600" s="26" t="s">
        <v>77</v>
      </c>
      <c r="M1600" s="6" t="s">
        <v>77</v>
      </c>
      <c r="N1600" s="28" t="s">
        <v>77</v>
      </c>
      <c r="O1600" s="26" t="s">
        <v>77</v>
      </c>
    </row>
    <row r="1601">
      <c r="A1601" s="52" t="s">
        <v>77</v>
      </c>
      <c r="B1601" s="28" t="s">
        <v>77</v>
      </c>
      <c r="C1601" s="28" t="s">
        <v>77</v>
      </c>
      <c r="D1601" s="28" t="s">
        <v>77</v>
      </c>
      <c r="E1601" s="28" t="s">
        <v>77</v>
      </c>
      <c r="F1601" s="28" t="s">
        <v>77</v>
      </c>
      <c r="G1601" s="28" t="s">
        <v>77</v>
      </c>
      <c r="I1601" s="26" t="s">
        <v>77</v>
      </c>
      <c r="J1601" s="26" t="s">
        <v>77</v>
      </c>
      <c r="K1601" s="18"/>
      <c r="L1601" s="26" t="s">
        <v>77</v>
      </c>
      <c r="M1601" s="6" t="s">
        <v>77</v>
      </c>
      <c r="N1601" s="28" t="s">
        <v>77</v>
      </c>
      <c r="O1601" s="26" t="s">
        <v>77</v>
      </c>
    </row>
    <row r="1602">
      <c r="A1602" s="52" t="s">
        <v>77</v>
      </c>
      <c r="B1602" s="28" t="s">
        <v>77</v>
      </c>
      <c r="C1602" s="28" t="s">
        <v>77</v>
      </c>
      <c r="D1602" s="28" t="s">
        <v>77</v>
      </c>
      <c r="E1602" s="28" t="s">
        <v>77</v>
      </c>
      <c r="F1602" s="28" t="s">
        <v>77</v>
      </c>
      <c r="G1602" s="28" t="s">
        <v>77</v>
      </c>
      <c r="I1602" s="26" t="s">
        <v>77</v>
      </c>
      <c r="J1602" s="26" t="s">
        <v>77</v>
      </c>
      <c r="K1602" s="18"/>
      <c r="L1602" s="26" t="s">
        <v>77</v>
      </c>
      <c r="M1602" s="6" t="s">
        <v>77</v>
      </c>
      <c r="N1602" s="28" t="s">
        <v>77</v>
      </c>
      <c r="O1602" s="26" t="s">
        <v>77</v>
      </c>
    </row>
    <row r="1603">
      <c r="A1603" s="52" t="s">
        <v>77</v>
      </c>
      <c r="B1603" s="28" t="s">
        <v>77</v>
      </c>
      <c r="C1603" s="28" t="s">
        <v>77</v>
      </c>
      <c r="D1603" s="28" t="s">
        <v>77</v>
      </c>
      <c r="E1603" s="28" t="s">
        <v>77</v>
      </c>
      <c r="F1603" s="28" t="s">
        <v>77</v>
      </c>
      <c r="G1603" s="28" t="s">
        <v>77</v>
      </c>
      <c r="I1603" s="26" t="s">
        <v>77</v>
      </c>
      <c r="J1603" s="26" t="s">
        <v>77</v>
      </c>
      <c r="K1603" s="18"/>
      <c r="L1603" s="26" t="s">
        <v>77</v>
      </c>
      <c r="M1603" s="6" t="s">
        <v>77</v>
      </c>
      <c r="N1603" s="28" t="s">
        <v>77</v>
      </c>
      <c r="O1603" s="26" t="s">
        <v>77</v>
      </c>
    </row>
    <row r="1604">
      <c r="A1604" s="52" t="s">
        <v>77</v>
      </c>
      <c r="B1604" s="28" t="s">
        <v>77</v>
      </c>
      <c r="C1604" s="28" t="s">
        <v>77</v>
      </c>
      <c r="D1604" s="28" t="s">
        <v>77</v>
      </c>
      <c r="E1604" s="28" t="s">
        <v>77</v>
      </c>
      <c r="F1604" s="28" t="s">
        <v>77</v>
      </c>
      <c r="G1604" s="28" t="s">
        <v>77</v>
      </c>
      <c r="I1604" s="26" t="s">
        <v>77</v>
      </c>
      <c r="J1604" s="26" t="s">
        <v>77</v>
      </c>
      <c r="K1604" s="18"/>
      <c r="L1604" s="26" t="s">
        <v>77</v>
      </c>
      <c r="M1604" s="6" t="s">
        <v>77</v>
      </c>
      <c r="N1604" s="28" t="s">
        <v>77</v>
      </c>
      <c r="O1604" s="26" t="s">
        <v>77</v>
      </c>
    </row>
    <row r="1605">
      <c r="A1605" s="52" t="s">
        <v>77</v>
      </c>
      <c r="B1605" s="28" t="s">
        <v>77</v>
      </c>
      <c r="C1605" s="28" t="s">
        <v>77</v>
      </c>
      <c r="D1605" s="28" t="s">
        <v>77</v>
      </c>
      <c r="E1605" s="28" t="s">
        <v>77</v>
      </c>
      <c r="F1605" s="28" t="s">
        <v>77</v>
      </c>
      <c r="G1605" s="28" t="s">
        <v>77</v>
      </c>
      <c r="I1605" s="26" t="s">
        <v>77</v>
      </c>
      <c r="J1605" s="26" t="s">
        <v>77</v>
      </c>
      <c r="K1605" s="18"/>
      <c r="L1605" s="26" t="s">
        <v>77</v>
      </c>
      <c r="M1605" s="6" t="s">
        <v>77</v>
      </c>
      <c r="N1605" s="28" t="s">
        <v>77</v>
      </c>
      <c r="O1605" s="26" t="s">
        <v>77</v>
      </c>
    </row>
    <row r="1606">
      <c r="A1606" s="52" t="s">
        <v>77</v>
      </c>
      <c r="B1606" s="28" t="s">
        <v>77</v>
      </c>
      <c r="C1606" s="28" t="s">
        <v>77</v>
      </c>
      <c r="D1606" s="28" t="s">
        <v>77</v>
      </c>
      <c r="E1606" s="28" t="s">
        <v>77</v>
      </c>
      <c r="F1606" s="28" t="s">
        <v>77</v>
      </c>
      <c r="G1606" s="28" t="s">
        <v>77</v>
      </c>
      <c r="I1606" s="26" t="s">
        <v>77</v>
      </c>
      <c r="J1606" s="26" t="s">
        <v>77</v>
      </c>
      <c r="K1606" s="18"/>
      <c r="L1606" s="26" t="s">
        <v>77</v>
      </c>
      <c r="M1606" s="6" t="s">
        <v>77</v>
      </c>
      <c r="N1606" s="28" t="s">
        <v>77</v>
      </c>
      <c r="O1606" s="26" t="s">
        <v>77</v>
      </c>
    </row>
    <row r="1607">
      <c r="A1607" s="52" t="s">
        <v>77</v>
      </c>
      <c r="B1607" s="28" t="s">
        <v>77</v>
      </c>
      <c r="C1607" s="28" t="s">
        <v>77</v>
      </c>
      <c r="D1607" s="28" t="s">
        <v>77</v>
      </c>
      <c r="E1607" s="28" t="s">
        <v>77</v>
      </c>
      <c r="F1607" s="28" t="s">
        <v>77</v>
      </c>
      <c r="G1607" s="28" t="s">
        <v>77</v>
      </c>
      <c r="I1607" s="26" t="s">
        <v>77</v>
      </c>
      <c r="J1607" s="26" t="s">
        <v>77</v>
      </c>
      <c r="K1607" s="18"/>
      <c r="L1607" s="26" t="s">
        <v>77</v>
      </c>
      <c r="M1607" s="6" t="s">
        <v>77</v>
      </c>
      <c r="N1607" s="28" t="s">
        <v>77</v>
      </c>
      <c r="O1607" s="26" t="s">
        <v>77</v>
      </c>
    </row>
    <row r="1608">
      <c r="A1608" s="52" t="s">
        <v>77</v>
      </c>
      <c r="B1608" s="28" t="s">
        <v>77</v>
      </c>
      <c r="C1608" s="28" t="s">
        <v>77</v>
      </c>
      <c r="D1608" s="28" t="s">
        <v>77</v>
      </c>
      <c r="E1608" s="28" t="s">
        <v>77</v>
      </c>
      <c r="F1608" s="28" t="s">
        <v>77</v>
      </c>
      <c r="G1608" s="28" t="s">
        <v>77</v>
      </c>
      <c r="I1608" s="26" t="s">
        <v>77</v>
      </c>
      <c r="J1608" s="26" t="s">
        <v>77</v>
      </c>
      <c r="K1608" s="18"/>
      <c r="L1608" s="26" t="s">
        <v>77</v>
      </c>
      <c r="M1608" s="6" t="s">
        <v>77</v>
      </c>
      <c r="N1608" s="28" t="s">
        <v>77</v>
      </c>
      <c r="O1608" s="26" t="s">
        <v>77</v>
      </c>
    </row>
    <row r="1609">
      <c r="A1609" s="52" t="s">
        <v>77</v>
      </c>
      <c r="B1609" s="28" t="s">
        <v>77</v>
      </c>
      <c r="C1609" s="28" t="s">
        <v>77</v>
      </c>
      <c r="D1609" s="28" t="s">
        <v>77</v>
      </c>
      <c r="E1609" s="28" t="s">
        <v>77</v>
      </c>
      <c r="F1609" s="28" t="s">
        <v>77</v>
      </c>
      <c r="G1609" s="28" t="s">
        <v>77</v>
      </c>
      <c r="I1609" s="26" t="s">
        <v>77</v>
      </c>
      <c r="J1609" s="26" t="s">
        <v>77</v>
      </c>
      <c r="K1609" s="18"/>
      <c r="L1609" s="26" t="s">
        <v>77</v>
      </c>
      <c r="M1609" s="6" t="s">
        <v>77</v>
      </c>
      <c r="N1609" s="28" t="s">
        <v>77</v>
      </c>
      <c r="O1609" s="26" t="s">
        <v>77</v>
      </c>
    </row>
    <row r="1610">
      <c r="A1610" s="52" t="s">
        <v>77</v>
      </c>
      <c r="B1610" s="28" t="s">
        <v>77</v>
      </c>
      <c r="C1610" s="28" t="s">
        <v>77</v>
      </c>
      <c r="D1610" s="28" t="s">
        <v>77</v>
      </c>
      <c r="E1610" s="28" t="s">
        <v>77</v>
      </c>
      <c r="F1610" s="28" t="s">
        <v>77</v>
      </c>
      <c r="G1610" s="28" t="s">
        <v>77</v>
      </c>
      <c r="I1610" s="26" t="s">
        <v>77</v>
      </c>
      <c r="J1610" s="26" t="s">
        <v>77</v>
      </c>
      <c r="K1610" s="18"/>
      <c r="L1610" s="26" t="s">
        <v>77</v>
      </c>
      <c r="M1610" s="6" t="s">
        <v>77</v>
      </c>
      <c r="N1610" s="28" t="s">
        <v>77</v>
      </c>
      <c r="O1610" s="26" t="s">
        <v>77</v>
      </c>
    </row>
    <row r="1611">
      <c r="A1611" s="52" t="s">
        <v>77</v>
      </c>
      <c r="B1611" s="28" t="s">
        <v>77</v>
      </c>
      <c r="C1611" s="28" t="s">
        <v>77</v>
      </c>
      <c r="D1611" s="28" t="s">
        <v>77</v>
      </c>
      <c r="E1611" s="28" t="s">
        <v>77</v>
      </c>
      <c r="F1611" s="28" t="s">
        <v>77</v>
      </c>
      <c r="G1611" s="28" t="s">
        <v>77</v>
      </c>
      <c r="I1611" s="26" t="s">
        <v>77</v>
      </c>
      <c r="J1611" s="26" t="s">
        <v>77</v>
      </c>
      <c r="K1611" s="18"/>
      <c r="L1611" s="26" t="s">
        <v>77</v>
      </c>
      <c r="M1611" s="6" t="s">
        <v>77</v>
      </c>
      <c r="N1611" s="28" t="s">
        <v>77</v>
      </c>
      <c r="O1611" s="26" t="s">
        <v>77</v>
      </c>
    </row>
    <row r="1612">
      <c r="A1612" s="52" t="s">
        <v>77</v>
      </c>
      <c r="B1612" s="28" t="s">
        <v>77</v>
      </c>
      <c r="C1612" s="28" t="s">
        <v>77</v>
      </c>
      <c r="D1612" s="28" t="s">
        <v>77</v>
      </c>
      <c r="E1612" s="28" t="s">
        <v>77</v>
      </c>
      <c r="F1612" s="28" t="s">
        <v>77</v>
      </c>
      <c r="G1612" s="28" t="s">
        <v>77</v>
      </c>
      <c r="I1612" s="26" t="s">
        <v>77</v>
      </c>
      <c r="J1612" s="26" t="s">
        <v>77</v>
      </c>
      <c r="K1612" s="18"/>
      <c r="L1612" s="26" t="s">
        <v>77</v>
      </c>
      <c r="M1612" s="6" t="s">
        <v>77</v>
      </c>
      <c r="N1612" s="28" t="s">
        <v>77</v>
      </c>
      <c r="O1612" s="26" t="s">
        <v>77</v>
      </c>
    </row>
    <row r="1613">
      <c r="A1613" s="52" t="s">
        <v>77</v>
      </c>
      <c r="B1613" s="28" t="s">
        <v>77</v>
      </c>
      <c r="C1613" s="28" t="s">
        <v>77</v>
      </c>
      <c r="D1613" s="28" t="s">
        <v>77</v>
      </c>
      <c r="E1613" s="28" t="s">
        <v>77</v>
      </c>
      <c r="F1613" s="28" t="s">
        <v>77</v>
      </c>
      <c r="G1613" s="28" t="s">
        <v>77</v>
      </c>
      <c r="I1613" s="26" t="s">
        <v>77</v>
      </c>
      <c r="J1613" s="26" t="s">
        <v>77</v>
      </c>
      <c r="K1613" s="18"/>
      <c r="L1613" s="26" t="s">
        <v>77</v>
      </c>
      <c r="M1613" s="6" t="s">
        <v>77</v>
      </c>
      <c r="N1613" s="28" t="s">
        <v>77</v>
      </c>
      <c r="O1613" s="26" t="s">
        <v>77</v>
      </c>
    </row>
    <row r="1614">
      <c r="A1614" s="52" t="s">
        <v>77</v>
      </c>
      <c r="B1614" s="28" t="s">
        <v>77</v>
      </c>
      <c r="C1614" s="28" t="s">
        <v>77</v>
      </c>
      <c r="D1614" s="28" t="s">
        <v>77</v>
      </c>
      <c r="E1614" s="28" t="s">
        <v>77</v>
      </c>
      <c r="F1614" s="28" t="s">
        <v>77</v>
      </c>
      <c r="G1614" s="28" t="s">
        <v>77</v>
      </c>
      <c r="I1614" s="26" t="s">
        <v>77</v>
      </c>
      <c r="J1614" s="26" t="s">
        <v>77</v>
      </c>
      <c r="K1614" s="18"/>
      <c r="L1614" s="26" t="s">
        <v>77</v>
      </c>
      <c r="M1614" s="6" t="s">
        <v>77</v>
      </c>
      <c r="N1614" s="28" t="s">
        <v>77</v>
      </c>
      <c r="O1614" s="26" t="s">
        <v>77</v>
      </c>
    </row>
    <row r="1615">
      <c r="A1615" s="52" t="s">
        <v>77</v>
      </c>
      <c r="B1615" s="28" t="s">
        <v>77</v>
      </c>
      <c r="C1615" s="28" t="s">
        <v>77</v>
      </c>
      <c r="D1615" s="28" t="s">
        <v>77</v>
      </c>
      <c r="E1615" s="28" t="s">
        <v>77</v>
      </c>
      <c r="F1615" s="28" t="s">
        <v>77</v>
      </c>
      <c r="G1615" s="28" t="s">
        <v>77</v>
      </c>
      <c r="I1615" s="26" t="s">
        <v>77</v>
      </c>
      <c r="J1615" s="26" t="s">
        <v>77</v>
      </c>
      <c r="K1615" s="18"/>
      <c r="L1615" s="26" t="s">
        <v>77</v>
      </c>
      <c r="M1615" s="6" t="s">
        <v>77</v>
      </c>
      <c r="N1615" s="28" t="s">
        <v>77</v>
      </c>
      <c r="O1615" s="26" t="s">
        <v>77</v>
      </c>
    </row>
    <row r="1616">
      <c r="A1616" s="52" t="s">
        <v>77</v>
      </c>
      <c r="B1616" s="28" t="s">
        <v>77</v>
      </c>
      <c r="C1616" s="28" t="s">
        <v>77</v>
      </c>
      <c r="D1616" s="28" t="s">
        <v>77</v>
      </c>
      <c r="E1616" s="28" t="s">
        <v>77</v>
      </c>
      <c r="F1616" s="28" t="s">
        <v>77</v>
      </c>
      <c r="G1616" s="28" t="s">
        <v>77</v>
      </c>
      <c r="I1616" s="26" t="s">
        <v>77</v>
      </c>
      <c r="J1616" s="26" t="s">
        <v>77</v>
      </c>
      <c r="K1616" s="18"/>
      <c r="L1616" s="26" t="s">
        <v>77</v>
      </c>
      <c r="M1616" s="6" t="s">
        <v>77</v>
      </c>
      <c r="N1616" s="28" t="s">
        <v>77</v>
      </c>
      <c r="O1616" s="26" t="s">
        <v>77</v>
      </c>
    </row>
    <row r="1617">
      <c r="A1617" s="52" t="s">
        <v>77</v>
      </c>
      <c r="B1617" s="28" t="s">
        <v>77</v>
      </c>
      <c r="C1617" s="28" t="s">
        <v>77</v>
      </c>
      <c r="D1617" s="28" t="s">
        <v>77</v>
      </c>
      <c r="E1617" s="28" t="s">
        <v>77</v>
      </c>
      <c r="F1617" s="28" t="s">
        <v>77</v>
      </c>
      <c r="G1617" s="28" t="s">
        <v>77</v>
      </c>
      <c r="I1617" s="26" t="s">
        <v>77</v>
      </c>
      <c r="J1617" s="26" t="s">
        <v>77</v>
      </c>
      <c r="K1617" s="18"/>
      <c r="L1617" s="26" t="s">
        <v>77</v>
      </c>
      <c r="M1617" s="6" t="s">
        <v>77</v>
      </c>
      <c r="N1617" s="28" t="s">
        <v>77</v>
      </c>
      <c r="O1617" s="26" t="s">
        <v>77</v>
      </c>
    </row>
    <row r="1618">
      <c r="A1618" s="52" t="s">
        <v>77</v>
      </c>
      <c r="B1618" s="28" t="s">
        <v>77</v>
      </c>
      <c r="C1618" s="28" t="s">
        <v>77</v>
      </c>
      <c r="D1618" s="28" t="s">
        <v>77</v>
      </c>
      <c r="E1618" s="28" t="s">
        <v>77</v>
      </c>
      <c r="F1618" s="28" t="s">
        <v>77</v>
      </c>
      <c r="G1618" s="28" t="s">
        <v>77</v>
      </c>
      <c r="I1618" s="26" t="s">
        <v>77</v>
      </c>
      <c r="J1618" s="26" t="s">
        <v>77</v>
      </c>
      <c r="K1618" s="18"/>
      <c r="L1618" s="26" t="s">
        <v>77</v>
      </c>
      <c r="M1618" s="6" t="s">
        <v>77</v>
      </c>
      <c r="N1618" s="28" t="s">
        <v>77</v>
      </c>
      <c r="O1618" s="26" t="s">
        <v>77</v>
      </c>
    </row>
    <row r="1619">
      <c r="A1619" s="52" t="s">
        <v>77</v>
      </c>
      <c r="B1619" s="28" t="s">
        <v>77</v>
      </c>
      <c r="C1619" s="28" t="s">
        <v>77</v>
      </c>
      <c r="D1619" s="28" t="s">
        <v>77</v>
      </c>
      <c r="E1619" s="28" t="s">
        <v>77</v>
      </c>
      <c r="F1619" s="28" t="s">
        <v>77</v>
      </c>
      <c r="G1619" s="28" t="s">
        <v>77</v>
      </c>
      <c r="I1619" s="26" t="s">
        <v>77</v>
      </c>
      <c r="J1619" s="26" t="s">
        <v>77</v>
      </c>
      <c r="K1619" s="18"/>
      <c r="L1619" s="26" t="s">
        <v>77</v>
      </c>
      <c r="M1619" s="6" t="s">
        <v>77</v>
      </c>
      <c r="N1619" s="28" t="s">
        <v>77</v>
      </c>
      <c r="O1619" s="26" t="s">
        <v>77</v>
      </c>
    </row>
    <row r="1620">
      <c r="A1620" s="52" t="s">
        <v>77</v>
      </c>
      <c r="B1620" s="28" t="s">
        <v>77</v>
      </c>
      <c r="C1620" s="28" t="s">
        <v>77</v>
      </c>
      <c r="D1620" s="28" t="s">
        <v>77</v>
      </c>
      <c r="E1620" s="28" t="s">
        <v>77</v>
      </c>
      <c r="F1620" s="28" t="s">
        <v>77</v>
      </c>
      <c r="G1620" s="28" t="s">
        <v>77</v>
      </c>
      <c r="I1620" s="26" t="s">
        <v>77</v>
      </c>
      <c r="J1620" s="26" t="s">
        <v>77</v>
      </c>
      <c r="K1620" s="18"/>
      <c r="L1620" s="26" t="s">
        <v>77</v>
      </c>
      <c r="M1620" s="6" t="s">
        <v>77</v>
      </c>
      <c r="N1620" s="28" t="s">
        <v>77</v>
      </c>
      <c r="O1620" s="26" t="s">
        <v>77</v>
      </c>
    </row>
    <row r="1621">
      <c r="A1621" s="52" t="s">
        <v>77</v>
      </c>
      <c r="B1621" s="28" t="s">
        <v>77</v>
      </c>
      <c r="C1621" s="28" t="s">
        <v>77</v>
      </c>
      <c r="D1621" s="28" t="s">
        <v>77</v>
      </c>
      <c r="E1621" s="28" t="s">
        <v>77</v>
      </c>
      <c r="F1621" s="28" t="s">
        <v>77</v>
      </c>
      <c r="G1621" s="28" t="s">
        <v>77</v>
      </c>
      <c r="I1621" s="26" t="s">
        <v>77</v>
      </c>
      <c r="J1621" s="26" t="s">
        <v>77</v>
      </c>
      <c r="K1621" s="18"/>
      <c r="L1621" s="26" t="s">
        <v>77</v>
      </c>
      <c r="M1621" s="6" t="s">
        <v>77</v>
      </c>
      <c r="N1621" s="28" t="s">
        <v>77</v>
      </c>
      <c r="O1621" s="26" t="s">
        <v>77</v>
      </c>
    </row>
    <row r="1622">
      <c r="A1622" s="52" t="s">
        <v>77</v>
      </c>
      <c r="B1622" s="28" t="s">
        <v>77</v>
      </c>
      <c r="C1622" s="28" t="s">
        <v>77</v>
      </c>
      <c r="D1622" s="28" t="s">
        <v>77</v>
      </c>
      <c r="E1622" s="28" t="s">
        <v>77</v>
      </c>
      <c r="F1622" s="28" t="s">
        <v>77</v>
      </c>
      <c r="G1622" s="28" t="s">
        <v>77</v>
      </c>
      <c r="I1622" s="26" t="s">
        <v>77</v>
      </c>
      <c r="J1622" s="26" t="s">
        <v>77</v>
      </c>
      <c r="K1622" s="18"/>
      <c r="L1622" s="26" t="s">
        <v>77</v>
      </c>
      <c r="M1622" s="6" t="s">
        <v>77</v>
      </c>
      <c r="N1622" s="28" t="s">
        <v>77</v>
      </c>
      <c r="O1622" s="26" t="s">
        <v>77</v>
      </c>
    </row>
    <row r="1623">
      <c r="A1623" s="52" t="s">
        <v>77</v>
      </c>
      <c r="B1623" s="28" t="s">
        <v>77</v>
      </c>
      <c r="C1623" s="28" t="s">
        <v>77</v>
      </c>
      <c r="D1623" s="28" t="s">
        <v>77</v>
      </c>
      <c r="E1623" s="28" t="s">
        <v>77</v>
      </c>
      <c r="F1623" s="28" t="s">
        <v>77</v>
      </c>
      <c r="G1623" s="28" t="s">
        <v>77</v>
      </c>
      <c r="I1623" s="26" t="s">
        <v>77</v>
      </c>
      <c r="J1623" s="26" t="s">
        <v>77</v>
      </c>
      <c r="K1623" s="18"/>
      <c r="L1623" s="26" t="s">
        <v>77</v>
      </c>
      <c r="M1623" s="6" t="s">
        <v>77</v>
      </c>
      <c r="N1623" s="28" t="s">
        <v>77</v>
      </c>
      <c r="O1623" s="26" t="s">
        <v>77</v>
      </c>
    </row>
    <row r="1624">
      <c r="A1624" s="52" t="s">
        <v>77</v>
      </c>
      <c r="B1624" s="28" t="s">
        <v>77</v>
      </c>
      <c r="C1624" s="28" t="s">
        <v>77</v>
      </c>
      <c r="D1624" s="28" t="s">
        <v>77</v>
      </c>
      <c r="E1624" s="28" t="s">
        <v>77</v>
      </c>
      <c r="F1624" s="28" t="s">
        <v>77</v>
      </c>
      <c r="G1624" s="28" t="s">
        <v>77</v>
      </c>
      <c r="I1624" s="26" t="s">
        <v>77</v>
      </c>
      <c r="J1624" s="26" t="s">
        <v>77</v>
      </c>
      <c r="K1624" s="18"/>
      <c r="L1624" s="26" t="s">
        <v>77</v>
      </c>
      <c r="M1624" s="6" t="s">
        <v>77</v>
      </c>
      <c r="N1624" s="28" t="s">
        <v>77</v>
      </c>
      <c r="O1624" s="26" t="s">
        <v>77</v>
      </c>
    </row>
    <row r="1625">
      <c r="A1625" s="52" t="s">
        <v>77</v>
      </c>
      <c r="B1625" s="28" t="s">
        <v>77</v>
      </c>
      <c r="C1625" s="28" t="s">
        <v>77</v>
      </c>
      <c r="D1625" s="28" t="s">
        <v>77</v>
      </c>
      <c r="E1625" s="28" t="s">
        <v>77</v>
      </c>
      <c r="F1625" s="28" t="s">
        <v>77</v>
      </c>
      <c r="G1625" s="28" t="s">
        <v>77</v>
      </c>
      <c r="I1625" s="26" t="s">
        <v>77</v>
      </c>
      <c r="J1625" s="26" t="s">
        <v>77</v>
      </c>
      <c r="K1625" s="18"/>
      <c r="L1625" s="26" t="s">
        <v>77</v>
      </c>
      <c r="M1625" s="6" t="s">
        <v>77</v>
      </c>
      <c r="N1625" s="28" t="s">
        <v>77</v>
      </c>
      <c r="O1625" s="26" t="s">
        <v>77</v>
      </c>
    </row>
    <row r="1626">
      <c r="A1626" s="52" t="s">
        <v>77</v>
      </c>
      <c r="B1626" s="28" t="s">
        <v>77</v>
      </c>
      <c r="C1626" s="28" t="s">
        <v>77</v>
      </c>
      <c r="D1626" s="28" t="s">
        <v>77</v>
      </c>
      <c r="E1626" s="28" t="s">
        <v>77</v>
      </c>
      <c r="F1626" s="28" t="s">
        <v>77</v>
      </c>
      <c r="G1626" s="28" t="s">
        <v>77</v>
      </c>
      <c r="I1626" s="26" t="s">
        <v>77</v>
      </c>
      <c r="J1626" s="26" t="s">
        <v>77</v>
      </c>
      <c r="K1626" s="18"/>
      <c r="L1626" s="26" t="s">
        <v>77</v>
      </c>
      <c r="M1626" s="6" t="s">
        <v>77</v>
      </c>
      <c r="N1626" s="28" t="s">
        <v>77</v>
      </c>
      <c r="O1626" s="26" t="s">
        <v>77</v>
      </c>
    </row>
    <row r="1627">
      <c r="A1627" s="52" t="s">
        <v>77</v>
      </c>
      <c r="B1627" s="28" t="s">
        <v>77</v>
      </c>
      <c r="C1627" s="28" t="s">
        <v>77</v>
      </c>
      <c r="D1627" s="28" t="s">
        <v>77</v>
      </c>
      <c r="E1627" s="28" t="s">
        <v>77</v>
      </c>
      <c r="F1627" s="28" t="s">
        <v>77</v>
      </c>
      <c r="G1627" s="28" t="s">
        <v>77</v>
      </c>
      <c r="I1627" s="26" t="s">
        <v>77</v>
      </c>
      <c r="J1627" s="26" t="s">
        <v>77</v>
      </c>
      <c r="K1627" s="18"/>
      <c r="L1627" s="26" t="s">
        <v>77</v>
      </c>
      <c r="M1627" s="6" t="s">
        <v>77</v>
      </c>
      <c r="N1627" s="28" t="s">
        <v>77</v>
      </c>
      <c r="O1627" s="26" t="s">
        <v>77</v>
      </c>
    </row>
    <row r="1628">
      <c r="A1628" s="52" t="s">
        <v>77</v>
      </c>
      <c r="B1628" s="28" t="s">
        <v>77</v>
      </c>
      <c r="C1628" s="28" t="s">
        <v>77</v>
      </c>
      <c r="D1628" s="28" t="s">
        <v>77</v>
      </c>
      <c r="E1628" s="28" t="s">
        <v>77</v>
      </c>
      <c r="F1628" s="28" t="s">
        <v>77</v>
      </c>
      <c r="G1628" s="28" t="s">
        <v>77</v>
      </c>
      <c r="I1628" s="26" t="s">
        <v>77</v>
      </c>
      <c r="J1628" s="26" t="s">
        <v>77</v>
      </c>
      <c r="K1628" s="18"/>
      <c r="L1628" s="26" t="s">
        <v>77</v>
      </c>
      <c r="M1628" s="6" t="s">
        <v>77</v>
      </c>
      <c r="N1628" s="28" t="s">
        <v>77</v>
      </c>
      <c r="O1628" s="26" t="s">
        <v>77</v>
      </c>
    </row>
    <row r="1629">
      <c r="A1629" s="52" t="s">
        <v>77</v>
      </c>
      <c r="B1629" s="28" t="s">
        <v>77</v>
      </c>
      <c r="C1629" s="28" t="s">
        <v>77</v>
      </c>
      <c r="D1629" s="28" t="s">
        <v>77</v>
      </c>
      <c r="E1629" s="28" t="s">
        <v>77</v>
      </c>
      <c r="F1629" s="28" t="s">
        <v>77</v>
      </c>
      <c r="G1629" s="28" t="s">
        <v>77</v>
      </c>
      <c r="I1629" s="26" t="s">
        <v>77</v>
      </c>
      <c r="J1629" s="26" t="s">
        <v>77</v>
      </c>
      <c r="K1629" s="18"/>
      <c r="L1629" s="26" t="s">
        <v>77</v>
      </c>
      <c r="M1629" s="6" t="s">
        <v>77</v>
      </c>
      <c r="N1629" s="28" t="s">
        <v>77</v>
      </c>
      <c r="O1629" s="26" t="s">
        <v>77</v>
      </c>
    </row>
    <row r="1630">
      <c r="A1630" s="52" t="s">
        <v>77</v>
      </c>
      <c r="B1630" s="28" t="s">
        <v>77</v>
      </c>
      <c r="C1630" s="28" t="s">
        <v>77</v>
      </c>
      <c r="D1630" s="28" t="s">
        <v>77</v>
      </c>
      <c r="E1630" s="28" t="s">
        <v>77</v>
      </c>
      <c r="F1630" s="28" t="s">
        <v>77</v>
      </c>
      <c r="G1630" s="28" t="s">
        <v>77</v>
      </c>
      <c r="I1630" s="26" t="s">
        <v>77</v>
      </c>
      <c r="J1630" s="26" t="s">
        <v>77</v>
      </c>
      <c r="K1630" s="18"/>
      <c r="L1630" s="26" t="s">
        <v>77</v>
      </c>
      <c r="M1630" s="6" t="s">
        <v>77</v>
      </c>
      <c r="N1630" s="28" t="s">
        <v>77</v>
      </c>
      <c r="O1630" s="26" t="s">
        <v>77</v>
      </c>
    </row>
    <row r="1631">
      <c r="A1631" s="52" t="s">
        <v>77</v>
      </c>
      <c r="B1631" s="28" t="s">
        <v>77</v>
      </c>
      <c r="C1631" s="28" t="s">
        <v>77</v>
      </c>
      <c r="D1631" s="28" t="s">
        <v>77</v>
      </c>
      <c r="E1631" s="28" t="s">
        <v>77</v>
      </c>
      <c r="F1631" s="28" t="s">
        <v>77</v>
      </c>
      <c r="G1631" s="28" t="s">
        <v>77</v>
      </c>
      <c r="I1631" s="26" t="s">
        <v>77</v>
      </c>
      <c r="J1631" s="26" t="s">
        <v>77</v>
      </c>
      <c r="K1631" s="18"/>
      <c r="L1631" s="26" t="s">
        <v>77</v>
      </c>
      <c r="M1631" s="6" t="s">
        <v>77</v>
      </c>
      <c r="N1631" s="28" t="s">
        <v>77</v>
      </c>
      <c r="O1631" s="26" t="s">
        <v>77</v>
      </c>
    </row>
    <row r="1632">
      <c r="A1632" s="52" t="s">
        <v>77</v>
      </c>
      <c r="B1632" s="28" t="s">
        <v>77</v>
      </c>
      <c r="C1632" s="28" t="s">
        <v>77</v>
      </c>
      <c r="D1632" s="28" t="s">
        <v>77</v>
      </c>
      <c r="E1632" s="28" t="s">
        <v>77</v>
      </c>
      <c r="F1632" s="28" t="s">
        <v>77</v>
      </c>
      <c r="G1632" s="28" t="s">
        <v>77</v>
      </c>
      <c r="I1632" s="26" t="s">
        <v>77</v>
      </c>
      <c r="J1632" s="26" t="s">
        <v>77</v>
      </c>
      <c r="K1632" s="18"/>
      <c r="L1632" s="26" t="s">
        <v>77</v>
      </c>
      <c r="M1632" s="6" t="s">
        <v>77</v>
      </c>
      <c r="N1632" s="28" t="s">
        <v>77</v>
      </c>
      <c r="O1632" s="26" t="s">
        <v>77</v>
      </c>
    </row>
    <row r="1633">
      <c r="A1633" s="52" t="s">
        <v>77</v>
      </c>
      <c r="B1633" s="28" t="s">
        <v>77</v>
      </c>
      <c r="C1633" s="28" t="s">
        <v>77</v>
      </c>
      <c r="D1633" s="28" t="s">
        <v>77</v>
      </c>
      <c r="E1633" s="28" t="s">
        <v>77</v>
      </c>
      <c r="F1633" s="28" t="s">
        <v>77</v>
      </c>
      <c r="G1633" s="28" t="s">
        <v>77</v>
      </c>
      <c r="I1633" s="26" t="s">
        <v>77</v>
      </c>
      <c r="J1633" s="26" t="s">
        <v>77</v>
      </c>
      <c r="K1633" s="18"/>
      <c r="L1633" s="26" t="s">
        <v>77</v>
      </c>
      <c r="M1633" s="6" t="s">
        <v>77</v>
      </c>
      <c r="N1633" s="28" t="s">
        <v>77</v>
      </c>
      <c r="O1633" s="26" t="s">
        <v>77</v>
      </c>
    </row>
    <row r="1634">
      <c r="A1634" s="52" t="s">
        <v>77</v>
      </c>
      <c r="B1634" s="28" t="s">
        <v>77</v>
      </c>
      <c r="C1634" s="28" t="s">
        <v>77</v>
      </c>
      <c r="D1634" s="28" t="s">
        <v>77</v>
      </c>
      <c r="E1634" s="28" t="s">
        <v>77</v>
      </c>
      <c r="F1634" s="28" t="s">
        <v>77</v>
      </c>
      <c r="G1634" s="28" t="s">
        <v>77</v>
      </c>
      <c r="I1634" s="26" t="s">
        <v>77</v>
      </c>
      <c r="J1634" s="26" t="s">
        <v>77</v>
      </c>
      <c r="K1634" s="18"/>
      <c r="L1634" s="26" t="s">
        <v>77</v>
      </c>
      <c r="M1634" s="6" t="s">
        <v>77</v>
      </c>
      <c r="N1634" s="28" t="s">
        <v>77</v>
      </c>
      <c r="O1634" s="26" t="s">
        <v>77</v>
      </c>
    </row>
    <row r="1635">
      <c r="A1635" s="52" t="s">
        <v>77</v>
      </c>
      <c r="B1635" s="28" t="s">
        <v>77</v>
      </c>
      <c r="C1635" s="28" t="s">
        <v>77</v>
      </c>
      <c r="D1635" s="28" t="s">
        <v>77</v>
      </c>
      <c r="E1635" s="28" t="s">
        <v>77</v>
      </c>
      <c r="F1635" s="28" t="s">
        <v>77</v>
      </c>
      <c r="G1635" s="28" t="s">
        <v>77</v>
      </c>
      <c r="I1635" s="26" t="s">
        <v>77</v>
      </c>
      <c r="J1635" s="26" t="s">
        <v>77</v>
      </c>
      <c r="K1635" s="18"/>
      <c r="L1635" s="26" t="s">
        <v>77</v>
      </c>
      <c r="M1635" s="6" t="s">
        <v>77</v>
      </c>
      <c r="N1635" s="28" t="s">
        <v>77</v>
      </c>
      <c r="O1635" s="26" t="s">
        <v>77</v>
      </c>
    </row>
    <row r="1636">
      <c r="A1636" s="52" t="s">
        <v>77</v>
      </c>
      <c r="B1636" s="28" t="s">
        <v>77</v>
      </c>
      <c r="C1636" s="28" t="s">
        <v>77</v>
      </c>
      <c r="D1636" s="28" t="s">
        <v>77</v>
      </c>
      <c r="E1636" s="28" t="s">
        <v>77</v>
      </c>
      <c r="F1636" s="28" t="s">
        <v>77</v>
      </c>
      <c r="G1636" s="28" t="s">
        <v>77</v>
      </c>
      <c r="I1636" s="26" t="s">
        <v>77</v>
      </c>
      <c r="J1636" s="26" t="s">
        <v>77</v>
      </c>
      <c r="K1636" s="18"/>
      <c r="L1636" s="26" t="s">
        <v>77</v>
      </c>
      <c r="M1636" s="6" t="s">
        <v>77</v>
      </c>
      <c r="N1636" s="28" t="s">
        <v>77</v>
      </c>
      <c r="O1636" s="26" t="s">
        <v>77</v>
      </c>
    </row>
    <row r="1637">
      <c r="A1637" s="52" t="s">
        <v>77</v>
      </c>
      <c r="B1637" s="28" t="s">
        <v>77</v>
      </c>
      <c r="C1637" s="28" t="s">
        <v>77</v>
      </c>
      <c r="D1637" s="28" t="s">
        <v>77</v>
      </c>
      <c r="E1637" s="28" t="s">
        <v>77</v>
      </c>
      <c r="F1637" s="28" t="s">
        <v>77</v>
      </c>
      <c r="G1637" s="28" t="s">
        <v>77</v>
      </c>
      <c r="I1637" s="26" t="s">
        <v>77</v>
      </c>
      <c r="J1637" s="26" t="s">
        <v>77</v>
      </c>
      <c r="K1637" s="18"/>
      <c r="L1637" s="26" t="s">
        <v>77</v>
      </c>
      <c r="M1637" s="6" t="s">
        <v>77</v>
      </c>
      <c r="N1637" s="28" t="s">
        <v>77</v>
      </c>
      <c r="O1637" s="26" t="s">
        <v>77</v>
      </c>
    </row>
    <row r="1638">
      <c r="A1638" s="52" t="s">
        <v>77</v>
      </c>
      <c r="B1638" s="28" t="s">
        <v>77</v>
      </c>
      <c r="C1638" s="28" t="s">
        <v>77</v>
      </c>
      <c r="D1638" s="28" t="s">
        <v>77</v>
      </c>
      <c r="E1638" s="28" t="s">
        <v>77</v>
      </c>
      <c r="F1638" s="28" t="s">
        <v>77</v>
      </c>
      <c r="G1638" s="28" t="s">
        <v>77</v>
      </c>
      <c r="I1638" s="26" t="s">
        <v>77</v>
      </c>
      <c r="J1638" s="26" t="s">
        <v>77</v>
      </c>
      <c r="K1638" s="18"/>
      <c r="L1638" s="26" t="s">
        <v>77</v>
      </c>
      <c r="M1638" s="6" t="s">
        <v>77</v>
      </c>
      <c r="N1638" s="28" t="s">
        <v>77</v>
      </c>
      <c r="O1638" s="26" t="s">
        <v>77</v>
      </c>
    </row>
    <row r="1639">
      <c r="A1639" s="52" t="s">
        <v>77</v>
      </c>
      <c r="B1639" s="28" t="s">
        <v>77</v>
      </c>
      <c r="C1639" s="28" t="s">
        <v>77</v>
      </c>
      <c r="D1639" s="28" t="s">
        <v>77</v>
      </c>
      <c r="E1639" s="28" t="s">
        <v>77</v>
      </c>
      <c r="F1639" s="28" t="s">
        <v>77</v>
      </c>
      <c r="G1639" s="28" t="s">
        <v>77</v>
      </c>
      <c r="I1639" s="26" t="s">
        <v>77</v>
      </c>
      <c r="J1639" s="26" t="s">
        <v>77</v>
      </c>
      <c r="K1639" s="18"/>
      <c r="L1639" s="26" t="s">
        <v>77</v>
      </c>
      <c r="M1639" s="6" t="s">
        <v>77</v>
      </c>
      <c r="N1639" s="28" t="s">
        <v>77</v>
      </c>
      <c r="O1639" s="26" t="s">
        <v>77</v>
      </c>
    </row>
    <row r="1640">
      <c r="A1640" s="52" t="s">
        <v>77</v>
      </c>
      <c r="B1640" s="28" t="s">
        <v>77</v>
      </c>
      <c r="C1640" s="28" t="s">
        <v>77</v>
      </c>
      <c r="D1640" s="28" t="s">
        <v>77</v>
      </c>
      <c r="E1640" s="28" t="s">
        <v>77</v>
      </c>
      <c r="F1640" s="28" t="s">
        <v>77</v>
      </c>
      <c r="G1640" s="28" t="s">
        <v>77</v>
      </c>
      <c r="I1640" s="26" t="s">
        <v>77</v>
      </c>
      <c r="J1640" s="26" t="s">
        <v>77</v>
      </c>
      <c r="K1640" s="18"/>
      <c r="L1640" s="26" t="s">
        <v>77</v>
      </c>
      <c r="M1640" s="6" t="s">
        <v>77</v>
      </c>
      <c r="N1640" s="28" t="s">
        <v>77</v>
      </c>
      <c r="O1640" s="26" t="s">
        <v>77</v>
      </c>
    </row>
    <row r="1641">
      <c r="A1641" s="52" t="s">
        <v>77</v>
      </c>
      <c r="B1641" s="28" t="s">
        <v>77</v>
      </c>
      <c r="C1641" s="28" t="s">
        <v>77</v>
      </c>
      <c r="D1641" s="28" t="s">
        <v>77</v>
      </c>
      <c r="E1641" s="28" t="s">
        <v>77</v>
      </c>
      <c r="F1641" s="28" t="s">
        <v>77</v>
      </c>
      <c r="G1641" s="28" t="s">
        <v>77</v>
      </c>
      <c r="I1641" s="26" t="s">
        <v>77</v>
      </c>
      <c r="J1641" s="26" t="s">
        <v>77</v>
      </c>
      <c r="K1641" s="18"/>
      <c r="L1641" s="26" t="s">
        <v>77</v>
      </c>
      <c r="M1641" s="6" t="s">
        <v>77</v>
      </c>
      <c r="N1641" s="28" t="s">
        <v>77</v>
      </c>
      <c r="O1641" s="26" t="s">
        <v>77</v>
      </c>
    </row>
    <row r="1642">
      <c r="A1642" s="52" t="s">
        <v>77</v>
      </c>
      <c r="B1642" s="28" t="s">
        <v>77</v>
      </c>
      <c r="C1642" s="28" t="s">
        <v>77</v>
      </c>
      <c r="D1642" s="28" t="s">
        <v>77</v>
      </c>
      <c r="E1642" s="28" t="s">
        <v>77</v>
      </c>
      <c r="F1642" s="28" t="s">
        <v>77</v>
      </c>
      <c r="G1642" s="28" t="s">
        <v>77</v>
      </c>
      <c r="I1642" s="26" t="s">
        <v>77</v>
      </c>
      <c r="J1642" s="26" t="s">
        <v>77</v>
      </c>
      <c r="K1642" s="18"/>
      <c r="L1642" s="26" t="s">
        <v>77</v>
      </c>
      <c r="M1642" s="6" t="s">
        <v>77</v>
      </c>
      <c r="N1642" s="28" t="s">
        <v>77</v>
      </c>
      <c r="O1642" s="26" t="s">
        <v>77</v>
      </c>
    </row>
    <row r="1643">
      <c r="A1643" s="52" t="s">
        <v>77</v>
      </c>
      <c r="B1643" s="28" t="s">
        <v>77</v>
      </c>
      <c r="C1643" s="28" t="s">
        <v>77</v>
      </c>
      <c r="D1643" s="28" t="s">
        <v>77</v>
      </c>
      <c r="E1643" s="28" t="s">
        <v>77</v>
      </c>
      <c r="F1643" s="28" t="s">
        <v>77</v>
      </c>
      <c r="G1643" s="28" t="s">
        <v>77</v>
      </c>
      <c r="I1643" s="26" t="s">
        <v>77</v>
      </c>
      <c r="J1643" s="26" t="s">
        <v>77</v>
      </c>
      <c r="K1643" s="18"/>
      <c r="L1643" s="26" t="s">
        <v>77</v>
      </c>
      <c r="M1643" s="6" t="s">
        <v>77</v>
      </c>
      <c r="N1643" s="28" t="s">
        <v>77</v>
      </c>
      <c r="O1643" s="26" t="s">
        <v>77</v>
      </c>
    </row>
    <row r="1644">
      <c r="A1644" s="52" t="s">
        <v>77</v>
      </c>
      <c r="B1644" s="28" t="s">
        <v>77</v>
      </c>
      <c r="C1644" s="28" t="s">
        <v>77</v>
      </c>
      <c r="D1644" s="28" t="s">
        <v>77</v>
      </c>
      <c r="E1644" s="28" t="s">
        <v>77</v>
      </c>
      <c r="F1644" s="28" t="s">
        <v>77</v>
      </c>
      <c r="G1644" s="28" t="s">
        <v>77</v>
      </c>
      <c r="I1644" s="26" t="s">
        <v>77</v>
      </c>
      <c r="J1644" s="26" t="s">
        <v>77</v>
      </c>
      <c r="K1644" s="18"/>
      <c r="L1644" s="26" t="s">
        <v>77</v>
      </c>
      <c r="M1644" s="6" t="s">
        <v>77</v>
      </c>
      <c r="N1644" s="28" t="s">
        <v>77</v>
      </c>
      <c r="O1644" s="26" t="s">
        <v>77</v>
      </c>
    </row>
    <row r="1645">
      <c r="A1645" s="52" t="s">
        <v>77</v>
      </c>
      <c r="B1645" s="28" t="s">
        <v>77</v>
      </c>
      <c r="C1645" s="28" t="s">
        <v>77</v>
      </c>
      <c r="D1645" s="28" t="s">
        <v>77</v>
      </c>
      <c r="E1645" s="28" t="s">
        <v>77</v>
      </c>
      <c r="F1645" s="28" t="s">
        <v>77</v>
      </c>
      <c r="G1645" s="28" t="s">
        <v>77</v>
      </c>
      <c r="I1645" s="26" t="s">
        <v>77</v>
      </c>
      <c r="J1645" s="26" t="s">
        <v>77</v>
      </c>
      <c r="K1645" s="18"/>
      <c r="L1645" s="26" t="s">
        <v>77</v>
      </c>
      <c r="M1645" s="6" t="s">
        <v>77</v>
      </c>
      <c r="N1645" s="28" t="s">
        <v>77</v>
      </c>
      <c r="O1645" s="26" t="s">
        <v>77</v>
      </c>
    </row>
    <row r="1646">
      <c r="A1646" s="52" t="s">
        <v>77</v>
      </c>
      <c r="B1646" s="28" t="s">
        <v>77</v>
      </c>
      <c r="C1646" s="28" t="s">
        <v>77</v>
      </c>
      <c r="D1646" s="28" t="s">
        <v>77</v>
      </c>
      <c r="E1646" s="28" t="s">
        <v>77</v>
      </c>
      <c r="F1646" s="28" t="s">
        <v>77</v>
      </c>
      <c r="G1646" s="28" t="s">
        <v>77</v>
      </c>
      <c r="I1646" s="26" t="s">
        <v>77</v>
      </c>
      <c r="J1646" s="26" t="s">
        <v>77</v>
      </c>
      <c r="K1646" s="18"/>
      <c r="L1646" s="26" t="s">
        <v>77</v>
      </c>
      <c r="M1646" s="6" t="s">
        <v>77</v>
      </c>
      <c r="N1646" s="28" t="s">
        <v>77</v>
      </c>
      <c r="O1646" s="26" t="s">
        <v>77</v>
      </c>
    </row>
    <row r="1647">
      <c r="A1647" s="52" t="s">
        <v>77</v>
      </c>
      <c r="B1647" s="28" t="s">
        <v>77</v>
      </c>
      <c r="C1647" s="28" t="s">
        <v>77</v>
      </c>
      <c r="D1647" s="28" t="s">
        <v>77</v>
      </c>
      <c r="E1647" s="28" t="s">
        <v>77</v>
      </c>
      <c r="F1647" s="28" t="s">
        <v>77</v>
      </c>
      <c r="G1647" s="28" t="s">
        <v>77</v>
      </c>
      <c r="I1647" s="26" t="s">
        <v>77</v>
      </c>
      <c r="J1647" s="26" t="s">
        <v>77</v>
      </c>
      <c r="K1647" s="18"/>
      <c r="L1647" s="26" t="s">
        <v>77</v>
      </c>
      <c r="M1647" s="6" t="s">
        <v>77</v>
      </c>
      <c r="N1647" s="28" t="s">
        <v>77</v>
      </c>
      <c r="O1647" s="26" t="s">
        <v>77</v>
      </c>
    </row>
    <row r="1648">
      <c r="A1648" s="52" t="s">
        <v>77</v>
      </c>
      <c r="B1648" s="28" t="s">
        <v>77</v>
      </c>
      <c r="C1648" s="28" t="s">
        <v>77</v>
      </c>
      <c r="D1648" s="28" t="s">
        <v>77</v>
      </c>
      <c r="E1648" s="28" t="s">
        <v>77</v>
      </c>
      <c r="F1648" s="28" t="s">
        <v>77</v>
      </c>
      <c r="G1648" s="28" t="s">
        <v>77</v>
      </c>
      <c r="I1648" s="26" t="s">
        <v>77</v>
      </c>
      <c r="J1648" s="26" t="s">
        <v>77</v>
      </c>
      <c r="K1648" s="18"/>
      <c r="L1648" s="26" t="s">
        <v>77</v>
      </c>
      <c r="M1648" s="6" t="s">
        <v>77</v>
      </c>
      <c r="N1648" s="28" t="s">
        <v>77</v>
      </c>
      <c r="O1648" s="26" t="s">
        <v>77</v>
      </c>
    </row>
    <row r="1649">
      <c r="A1649" s="52" t="s">
        <v>77</v>
      </c>
      <c r="B1649" s="28" t="s">
        <v>77</v>
      </c>
      <c r="C1649" s="28" t="s">
        <v>77</v>
      </c>
      <c r="D1649" s="28" t="s">
        <v>77</v>
      </c>
      <c r="E1649" s="28" t="s">
        <v>77</v>
      </c>
      <c r="F1649" s="28" t="s">
        <v>77</v>
      </c>
      <c r="G1649" s="28" t="s">
        <v>77</v>
      </c>
      <c r="I1649" s="26" t="s">
        <v>77</v>
      </c>
      <c r="J1649" s="26" t="s">
        <v>77</v>
      </c>
      <c r="K1649" s="18"/>
      <c r="L1649" s="26" t="s">
        <v>77</v>
      </c>
      <c r="M1649" s="6" t="s">
        <v>77</v>
      </c>
      <c r="N1649" s="28" t="s">
        <v>77</v>
      </c>
      <c r="O1649" s="26" t="s">
        <v>77</v>
      </c>
    </row>
    <row r="1650">
      <c r="A1650" s="52" t="s">
        <v>77</v>
      </c>
      <c r="B1650" s="28" t="s">
        <v>77</v>
      </c>
      <c r="C1650" s="28" t="s">
        <v>77</v>
      </c>
      <c r="D1650" s="28" t="s">
        <v>77</v>
      </c>
      <c r="E1650" s="28" t="s">
        <v>77</v>
      </c>
      <c r="F1650" s="28" t="s">
        <v>77</v>
      </c>
      <c r="G1650" s="28" t="s">
        <v>77</v>
      </c>
      <c r="I1650" s="26" t="s">
        <v>77</v>
      </c>
      <c r="J1650" s="26" t="s">
        <v>77</v>
      </c>
      <c r="K1650" s="18"/>
      <c r="L1650" s="26" t="s">
        <v>77</v>
      </c>
      <c r="M1650" s="6" t="s">
        <v>77</v>
      </c>
      <c r="N1650" s="28" t="s">
        <v>77</v>
      </c>
      <c r="O1650" s="26" t="s">
        <v>77</v>
      </c>
    </row>
    <row r="1651">
      <c r="A1651" s="52" t="s">
        <v>77</v>
      </c>
      <c r="B1651" s="28" t="s">
        <v>77</v>
      </c>
      <c r="C1651" s="28" t="s">
        <v>77</v>
      </c>
      <c r="D1651" s="28" t="s">
        <v>77</v>
      </c>
      <c r="E1651" s="28" t="s">
        <v>77</v>
      </c>
      <c r="F1651" s="28" t="s">
        <v>77</v>
      </c>
      <c r="G1651" s="28" t="s">
        <v>77</v>
      </c>
      <c r="I1651" s="26" t="s">
        <v>77</v>
      </c>
      <c r="J1651" s="26" t="s">
        <v>77</v>
      </c>
      <c r="K1651" s="18"/>
      <c r="L1651" s="26" t="s">
        <v>77</v>
      </c>
      <c r="M1651" s="6" t="s">
        <v>77</v>
      </c>
      <c r="N1651" s="28" t="s">
        <v>77</v>
      </c>
      <c r="O1651" s="26" t="s">
        <v>77</v>
      </c>
    </row>
    <row r="1652">
      <c r="A1652" s="52" t="s">
        <v>77</v>
      </c>
      <c r="B1652" s="28" t="s">
        <v>77</v>
      </c>
      <c r="C1652" s="28" t="s">
        <v>77</v>
      </c>
      <c r="D1652" s="28" t="s">
        <v>77</v>
      </c>
      <c r="E1652" s="28" t="s">
        <v>77</v>
      </c>
      <c r="F1652" s="28" t="s">
        <v>77</v>
      </c>
      <c r="G1652" s="28" t="s">
        <v>77</v>
      </c>
      <c r="I1652" s="26" t="s">
        <v>77</v>
      </c>
      <c r="J1652" s="26" t="s">
        <v>77</v>
      </c>
      <c r="K1652" s="18"/>
      <c r="L1652" s="26" t="s">
        <v>77</v>
      </c>
      <c r="M1652" s="6" t="s">
        <v>77</v>
      </c>
      <c r="N1652" s="28" t="s">
        <v>77</v>
      </c>
      <c r="O1652" s="26" t="s">
        <v>77</v>
      </c>
    </row>
    <row r="1653">
      <c r="A1653" s="52" t="s">
        <v>77</v>
      </c>
      <c r="B1653" s="28" t="s">
        <v>77</v>
      </c>
      <c r="C1653" s="28" t="s">
        <v>77</v>
      </c>
      <c r="D1653" s="28" t="s">
        <v>77</v>
      </c>
      <c r="E1653" s="28" t="s">
        <v>77</v>
      </c>
      <c r="F1653" s="28" t="s">
        <v>77</v>
      </c>
      <c r="G1653" s="28" t="s">
        <v>77</v>
      </c>
      <c r="I1653" s="26" t="s">
        <v>77</v>
      </c>
      <c r="J1653" s="26" t="s">
        <v>77</v>
      </c>
      <c r="K1653" s="18"/>
      <c r="L1653" s="26" t="s">
        <v>77</v>
      </c>
      <c r="M1653" s="6" t="s">
        <v>77</v>
      </c>
      <c r="N1653" s="28" t="s">
        <v>77</v>
      </c>
      <c r="O1653" s="26" t="s">
        <v>77</v>
      </c>
    </row>
    <row r="1654">
      <c r="A1654" s="52" t="s">
        <v>77</v>
      </c>
      <c r="B1654" s="28" t="s">
        <v>77</v>
      </c>
      <c r="C1654" s="28" t="s">
        <v>77</v>
      </c>
      <c r="D1654" s="28" t="s">
        <v>77</v>
      </c>
      <c r="E1654" s="28" t="s">
        <v>77</v>
      </c>
      <c r="F1654" s="28" t="s">
        <v>77</v>
      </c>
      <c r="G1654" s="28" t="s">
        <v>77</v>
      </c>
      <c r="I1654" s="26" t="s">
        <v>77</v>
      </c>
      <c r="J1654" s="26" t="s">
        <v>77</v>
      </c>
      <c r="K1654" s="18"/>
      <c r="L1654" s="26" t="s">
        <v>77</v>
      </c>
      <c r="M1654" s="6" t="s">
        <v>77</v>
      </c>
      <c r="N1654" s="28" t="s">
        <v>77</v>
      </c>
      <c r="O1654" s="26" t="s">
        <v>77</v>
      </c>
    </row>
    <row r="1655">
      <c r="A1655" s="52" t="s">
        <v>77</v>
      </c>
      <c r="B1655" s="28" t="s">
        <v>77</v>
      </c>
      <c r="C1655" s="28" t="s">
        <v>77</v>
      </c>
      <c r="D1655" s="28" t="s">
        <v>77</v>
      </c>
      <c r="E1655" s="28" t="s">
        <v>77</v>
      </c>
      <c r="F1655" s="28" t="s">
        <v>77</v>
      </c>
      <c r="G1655" s="28" t="s">
        <v>77</v>
      </c>
      <c r="I1655" s="26" t="s">
        <v>77</v>
      </c>
      <c r="J1655" s="26" t="s">
        <v>77</v>
      </c>
      <c r="K1655" s="18"/>
      <c r="L1655" s="26" t="s">
        <v>77</v>
      </c>
      <c r="M1655" s="6" t="s">
        <v>77</v>
      </c>
      <c r="N1655" s="28" t="s">
        <v>77</v>
      </c>
      <c r="O1655" s="26" t="s">
        <v>77</v>
      </c>
    </row>
    <row r="1656">
      <c r="A1656" s="52" t="s">
        <v>77</v>
      </c>
      <c r="B1656" s="28" t="s">
        <v>77</v>
      </c>
      <c r="C1656" s="28" t="s">
        <v>77</v>
      </c>
      <c r="D1656" s="28" t="s">
        <v>77</v>
      </c>
      <c r="E1656" s="28" t="s">
        <v>77</v>
      </c>
      <c r="F1656" s="28" t="s">
        <v>77</v>
      </c>
      <c r="G1656" s="28" t="s">
        <v>77</v>
      </c>
      <c r="I1656" s="26" t="s">
        <v>77</v>
      </c>
      <c r="J1656" s="26" t="s">
        <v>77</v>
      </c>
      <c r="K1656" s="18"/>
      <c r="L1656" s="26" t="s">
        <v>77</v>
      </c>
      <c r="M1656" s="6" t="s">
        <v>77</v>
      </c>
      <c r="N1656" s="28" t="s">
        <v>77</v>
      </c>
      <c r="O1656" s="26" t="s">
        <v>77</v>
      </c>
    </row>
    <row r="1657">
      <c r="A1657" s="52" t="s">
        <v>77</v>
      </c>
      <c r="B1657" s="28" t="s">
        <v>77</v>
      </c>
      <c r="C1657" s="28" t="s">
        <v>77</v>
      </c>
      <c r="D1657" s="28" t="s">
        <v>77</v>
      </c>
      <c r="E1657" s="28" t="s">
        <v>77</v>
      </c>
      <c r="F1657" s="28" t="s">
        <v>77</v>
      </c>
      <c r="G1657" s="28" t="s">
        <v>77</v>
      </c>
      <c r="I1657" s="26" t="s">
        <v>77</v>
      </c>
      <c r="J1657" s="26" t="s">
        <v>77</v>
      </c>
      <c r="K1657" s="18"/>
      <c r="L1657" s="26" t="s">
        <v>77</v>
      </c>
      <c r="M1657" s="6" t="s">
        <v>77</v>
      </c>
      <c r="N1657" s="28" t="s">
        <v>77</v>
      </c>
      <c r="O1657" s="26" t="s">
        <v>77</v>
      </c>
    </row>
    <row r="1658">
      <c r="A1658" s="52" t="s">
        <v>77</v>
      </c>
      <c r="B1658" s="28" t="s">
        <v>77</v>
      </c>
      <c r="C1658" s="28" t="s">
        <v>77</v>
      </c>
      <c r="D1658" s="28" t="s">
        <v>77</v>
      </c>
      <c r="E1658" s="28" t="s">
        <v>77</v>
      </c>
      <c r="F1658" s="28" t="s">
        <v>77</v>
      </c>
      <c r="G1658" s="28" t="s">
        <v>77</v>
      </c>
      <c r="I1658" s="26" t="s">
        <v>77</v>
      </c>
      <c r="J1658" s="26" t="s">
        <v>77</v>
      </c>
      <c r="K1658" s="18"/>
      <c r="L1658" s="26" t="s">
        <v>77</v>
      </c>
      <c r="M1658" s="6" t="s">
        <v>77</v>
      </c>
      <c r="N1658" s="28" t="s">
        <v>77</v>
      </c>
      <c r="O1658" s="26" t="s">
        <v>77</v>
      </c>
    </row>
    <row r="1659">
      <c r="A1659" s="52" t="s">
        <v>77</v>
      </c>
      <c r="B1659" s="28" t="s">
        <v>77</v>
      </c>
      <c r="C1659" s="28" t="s">
        <v>77</v>
      </c>
      <c r="D1659" s="28" t="s">
        <v>77</v>
      </c>
      <c r="E1659" s="28" t="s">
        <v>77</v>
      </c>
      <c r="F1659" s="28" t="s">
        <v>77</v>
      </c>
      <c r="G1659" s="28" t="s">
        <v>77</v>
      </c>
      <c r="I1659" s="26" t="s">
        <v>77</v>
      </c>
      <c r="J1659" s="26" t="s">
        <v>77</v>
      </c>
      <c r="K1659" s="18"/>
      <c r="L1659" s="26" t="s">
        <v>77</v>
      </c>
      <c r="M1659" s="6" t="s">
        <v>77</v>
      </c>
      <c r="N1659" s="28" t="s">
        <v>77</v>
      </c>
      <c r="O1659" s="26" t="s">
        <v>77</v>
      </c>
    </row>
    <row r="1660">
      <c r="A1660" s="52" t="s">
        <v>77</v>
      </c>
      <c r="B1660" s="28" t="s">
        <v>77</v>
      </c>
      <c r="C1660" s="28" t="s">
        <v>77</v>
      </c>
      <c r="D1660" s="28" t="s">
        <v>77</v>
      </c>
      <c r="E1660" s="28" t="s">
        <v>77</v>
      </c>
      <c r="F1660" s="28" t="s">
        <v>77</v>
      </c>
      <c r="G1660" s="28" t="s">
        <v>77</v>
      </c>
      <c r="I1660" s="26" t="s">
        <v>77</v>
      </c>
      <c r="J1660" s="26" t="s">
        <v>77</v>
      </c>
      <c r="K1660" s="18"/>
      <c r="L1660" s="26" t="s">
        <v>77</v>
      </c>
      <c r="M1660" s="6" t="s">
        <v>77</v>
      </c>
      <c r="N1660" s="28" t="s">
        <v>77</v>
      </c>
      <c r="O1660" s="26" t="s">
        <v>77</v>
      </c>
    </row>
    <row r="1661">
      <c r="A1661" s="52" t="s">
        <v>77</v>
      </c>
      <c r="B1661" s="28" t="s">
        <v>77</v>
      </c>
      <c r="C1661" s="28" t="s">
        <v>77</v>
      </c>
      <c r="D1661" s="28" t="s">
        <v>77</v>
      </c>
      <c r="E1661" s="28" t="s">
        <v>77</v>
      </c>
      <c r="F1661" s="28" t="s">
        <v>77</v>
      </c>
      <c r="G1661" s="28" t="s">
        <v>77</v>
      </c>
      <c r="I1661" s="26" t="s">
        <v>77</v>
      </c>
      <c r="J1661" s="26" t="s">
        <v>77</v>
      </c>
      <c r="K1661" s="18"/>
      <c r="L1661" s="26" t="s">
        <v>77</v>
      </c>
      <c r="M1661" s="6" t="s">
        <v>77</v>
      </c>
      <c r="N1661" s="28" t="s">
        <v>77</v>
      </c>
      <c r="O1661" s="26" t="s">
        <v>77</v>
      </c>
    </row>
    <row r="1662">
      <c r="A1662" s="52" t="s">
        <v>77</v>
      </c>
      <c r="B1662" s="28" t="s">
        <v>77</v>
      </c>
      <c r="C1662" s="28" t="s">
        <v>77</v>
      </c>
      <c r="D1662" s="28" t="s">
        <v>77</v>
      </c>
      <c r="E1662" s="28" t="s">
        <v>77</v>
      </c>
      <c r="F1662" s="28" t="s">
        <v>77</v>
      </c>
      <c r="G1662" s="28" t="s">
        <v>77</v>
      </c>
      <c r="I1662" s="26" t="s">
        <v>77</v>
      </c>
      <c r="J1662" s="26" t="s">
        <v>77</v>
      </c>
      <c r="K1662" s="18"/>
      <c r="L1662" s="26" t="s">
        <v>77</v>
      </c>
      <c r="M1662" s="6" t="s">
        <v>77</v>
      </c>
      <c r="N1662" s="28" t="s">
        <v>77</v>
      </c>
      <c r="O1662" s="26" t="s">
        <v>77</v>
      </c>
    </row>
    <row r="1663">
      <c r="A1663" s="52" t="s">
        <v>77</v>
      </c>
      <c r="B1663" s="28" t="s">
        <v>77</v>
      </c>
      <c r="C1663" s="28" t="s">
        <v>77</v>
      </c>
      <c r="D1663" s="28" t="s">
        <v>77</v>
      </c>
      <c r="E1663" s="28" t="s">
        <v>77</v>
      </c>
      <c r="F1663" s="28" t="s">
        <v>77</v>
      </c>
      <c r="G1663" s="28" t="s">
        <v>77</v>
      </c>
      <c r="I1663" s="26" t="s">
        <v>77</v>
      </c>
      <c r="J1663" s="26" t="s">
        <v>77</v>
      </c>
      <c r="K1663" s="18"/>
      <c r="L1663" s="26" t="s">
        <v>77</v>
      </c>
      <c r="M1663" s="6" t="s">
        <v>77</v>
      </c>
      <c r="N1663" s="28" t="s">
        <v>77</v>
      </c>
      <c r="O1663" s="26" t="s">
        <v>77</v>
      </c>
    </row>
    <row r="1664">
      <c r="A1664" s="52" t="s">
        <v>77</v>
      </c>
      <c r="B1664" s="28" t="s">
        <v>77</v>
      </c>
      <c r="C1664" s="28" t="s">
        <v>77</v>
      </c>
      <c r="D1664" s="28" t="s">
        <v>77</v>
      </c>
      <c r="E1664" s="28" t="s">
        <v>77</v>
      </c>
      <c r="F1664" s="28" t="s">
        <v>77</v>
      </c>
      <c r="G1664" s="28" t="s">
        <v>77</v>
      </c>
      <c r="I1664" s="26" t="s">
        <v>77</v>
      </c>
      <c r="J1664" s="26" t="s">
        <v>77</v>
      </c>
      <c r="K1664" s="18"/>
      <c r="L1664" s="26" t="s">
        <v>77</v>
      </c>
      <c r="M1664" s="6" t="s">
        <v>77</v>
      </c>
      <c r="N1664" s="28" t="s">
        <v>77</v>
      </c>
      <c r="O1664" s="26" t="s">
        <v>77</v>
      </c>
    </row>
    <row r="1665">
      <c r="A1665" s="52" t="s">
        <v>77</v>
      </c>
      <c r="B1665" s="28" t="s">
        <v>77</v>
      </c>
      <c r="C1665" s="28" t="s">
        <v>77</v>
      </c>
      <c r="D1665" s="28" t="s">
        <v>77</v>
      </c>
      <c r="E1665" s="28" t="s">
        <v>77</v>
      </c>
      <c r="F1665" s="28" t="s">
        <v>77</v>
      </c>
      <c r="G1665" s="28" t="s">
        <v>77</v>
      </c>
      <c r="I1665" s="26" t="s">
        <v>77</v>
      </c>
      <c r="J1665" s="26" t="s">
        <v>77</v>
      </c>
      <c r="K1665" s="18"/>
      <c r="L1665" s="26" t="s">
        <v>77</v>
      </c>
      <c r="M1665" s="6" t="s">
        <v>77</v>
      </c>
      <c r="N1665" s="28" t="s">
        <v>77</v>
      </c>
      <c r="O1665" s="26" t="s">
        <v>77</v>
      </c>
    </row>
    <row r="1666">
      <c r="A1666" s="52" t="s">
        <v>77</v>
      </c>
      <c r="B1666" s="28" t="s">
        <v>77</v>
      </c>
      <c r="C1666" s="28" t="s">
        <v>77</v>
      </c>
      <c r="D1666" s="28" t="s">
        <v>77</v>
      </c>
      <c r="E1666" s="28" t="s">
        <v>77</v>
      </c>
      <c r="F1666" s="28" t="s">
        <v>77</v>
      </c>
      <c r="G1666" s="28" t="s">
        <v>77</v>
      </c>
      <c r="I1666" s="26" t="s">
        <v>77</v>
      </c>
      <c r="J1666" s="26" t="s">
        <v>77</v>
      </c>
      <c r="K1666" s="18"/>
      <c r="L1666" s="26" t="s">
        <v>77</v>
      </c>
      <c r="M1666" s="6" t="s">
        <v>77</v>
      </c>
      <c r="N1666" s="28" t="s">
        <v>77</v>
      </c>
      <c r="O1666" s="26" t="s">
        <v>77</v>
      </c>
    </row>
    <row r="1667">
      <c r="A1667" s="52" t="s">
        <v>77</v>
      </c>
      <c r="B1667" s="28" t="s">
        <v>77</v>
      </c>
      <c r="C1667" s="28" t="s">
        <v>77</v>
      </c>
      <c r="D1667" s="28" t="s">
        <v>77</v>
      </c>
      <c r="E1667" s="28" t="s">
        <v>77</v>
      </c>
      <c r="F1667" s="28" t="s">
        <v>77</v>
      </c>
      <c r="G1667" s="28" t="s">
        <v>77</v>
      </c>
      <c r="I1667" s="26" t="s">
        <v>77</v>
      </c>
      <c r="J1667" s="26" t="s">
        <v>77</v>
      </c>
      <c r="K1667" s="18"/>
      <c r="L1667" s="26" t="s">
        <v>77</v>
      </c>
      <c r="M1667" s="6" t="s">
        <v>77</v>
      </c>
      <c r="N1667" s="28" t="s">
        <v>77</v>
      </c>
      <c r="O1667" s="26" t="s">
        <v>77</v>
      </c>
    </row>
    <row r="1668">
      <c r="A1668" s="52" t="s">
        <v>77</v>
      </c>
      <c r="B1668" s="28" t="s">
        <v>77</v>
      </c>
      <c r="C1668" s="28" t="s">
        <v>77</v>
      </c>
      <c r="D1668" s="28" t="s">
        <v>77</v>
      </c>
      <c r="E1668" s="28" t="s">
        <v>77</v>
      </c>
      <c r="F1668" s="28" t="s">
        <v>77</v>
      </c>
      <c r="G1668" s="28" t="s">
        <v>77</v>
      </c>
      <c r="I1668" s="26" t="s">
        <v>77</v>
      </c>
      <c r="J1668" s="26" t="s">
        <v>77</v>
      </c>
      <c r="K1668" s="18"/>
      <c r="L1668" s="26" t="s">
        <v>77</v>
      </c>
      <c r="M1668" s="6" t="s">
        <v>77</v>
      </c>
      <c r="N1668" s="28" t="s">
        <v>77</v>
      </c>
      <c r="O1668" s="26" t="s">
        <v>77</v>
      </c>
    </row>
    <row r="1669">
      <c r="A1669" s="52" t="s">
        <v>77</v>
      </c>
      <c r="B1669" s="28" t="s">
        <v>77</v>
      </c>
      <c r="C1669" s="28" t="s">
        <v>77</v>
      </c>
      <c r="D1669" s="28" t="s">
        <v>77</v>
      </c>
      <c r="E1669" s="28" t="s">
        <v>77</v>
      </c>
      <c r="F1669" s="28" t="s">
        <v>77</v>
      </c>
      <c r="G1669" s="28" t="s">
        <v>77</v>
      </c>
      <c r="I1669" s="26" t="s">
        <v>77</v>
      </c>
      <c r="J1669" s="26" t="s">
        <v>77</v>
      </c>
      <c r="K1669" s="18"/>
      <c r="L1669" s="26" t="s">
        <v>77</v>
      </c>
      <c r="M1669" s="6" t="s">
        <v>77</v>
      </c>
      <c r="N1669" s="28" t="s">
        <v>77</v>
      </c>
      <c r="O1669" s="26" t="s">
        <v>77</v>
      </c>
    </row>
    <row r="1670">
      <c r="A1670" s="52" t="s">
        <v>77</v>
      </c>
      <c r="B1670" s="28" t="s">
        <v>77</v>
      </c>
      <c r="C1670" s="28" t="s">
        <v>77</v>
      </c>
      <c r="D1670" s="28" t="s">
        <v>77</v>
      </c>
      <c r="E1670" s="28" t="s">
        <v>77</v>
      </c>
      <c r="F1670" s="28" t="s">
        <v>77</v>
      </c>
      <c r="G1670" s="28" t="s">
        <v>77</v>
      </c>
      <c r="I1670" s="26" t="s">
        <v>77</v>
      </c>
      <c r="J1670" s="26" t="s">
        <v>77</v>
      </c>
      <c r="K1670" s="18"/>
      <c r="L1670" s="26" t="s">
        <v>77</v>
      </c>
      <c r="M1670" s="6" t="s">
        <v>77</v>
      </c>
      <c r="N1670" s="28" t="s">
        <v>77</v>
      </c>
      <c r="O1670" s="26" t="s">
        <v>77</v>
      </c>
    </row>
    <row r="1671">
      <c r="A1671" s="52" t="s">
        <v>77</v>
      </c>
      <c r="B1671" s="28" t="s">
        <v>77</v>
      </c>
      <c r="C1671" s="28" t="s">
        <v>77</v>
      </c>
      <c r="D1671" s="28" t="s">
        <v>77</v>
      </c>
      <c r="E1671" s="28" t="s">
        <v>77</v>
      </c>
      <c r="F1671" s="28" t="s">
        <v>77</v>
      </c>
      <c r="G1671" s="28" t="s">
        <v>77</v>
      </c>
      <c r="I1671" s="26" t="s">
        <v>77</v>
      </c>
      <c r="J1671" s="26" t="s">
        <v>77</v>
      </c>
      <c r="K1671" s="18"/>
      <c r="L1671" s="26" t="s">
        <v>77</v>
      </c>
      <c r="M1671" s="6" t="s">
        <v>77</v>
      </c>
      <c r="N1671" s="28" t="s">
        <v>77</v>
      </c>
      <c r="O1671" s="26" t="s">
        <v>77</v>
      </c>
    </row>
    <row r="1672">
      <c r="A1672" s="52" t="s">
        <v>77</v>
      </c>
      <c r="B1672" s="28" t="s">
        <v>77</v>
      </c>
      <c r="C1672" s="28" t="s">
        <v>77</v>
      </c>
      <c r="D1672" s="28" t="s">
        <v>77</v>
      </c>
      <c r="E1672" s="28" t="s">
        <v>77</v>
      </c>
      <c r="F1672" s="28" t="s">
        <v>77</v>
      </c>
      <c r="G1672" s="28" t="s">
        <v>77</v>
      </c>
      <c r="I1672" s="26" t="s">
        <v>77</v>
      </c>
      <c r="J1672" s="26" t="s">
        <v>77</v>
      </c>
      <c r="K1672" s="18"/>
      <c r="L1672" s="26" t="s">
        <v>77</v>
      </c>
      <c r="M1672" s="6" t="s">
        <v>77</v>
      </c>
      <c r="N1672" s="28" t="s">
        <v>77</v>
      </c>
      <c r="O1672" s="26" t="s">
        <v>77</v>
      </c>
    </row>
    <row r="1673">
      <c r="A1673" s="52" t="s">
        <v>77</v>
      </c>
      <c r="B1673" s="28" t="s">
        <v>77</v>
      </c>
      <c r="C1673" s="28" t="s">
        <v>77</v>
      </c>
      <c r="D1673" s="28" t="s">
        <v>77</v>
      </c>
      <c r="E1673" s="28" t="s">
        <v>77</v>
      </c>
      <c r="F1673" s="28" t="s">
        <v>77</v>
      </c>
      <c r="G1673" s="28" t="s">
        <v>77</v>
      </c>
      <c r="I1673" s="26" t="s">
        <v>77</v>
      </c>
      <c r="J1673" s="26" t="s">
        <v>77</v>
      </c>
      <c r="K1673" s="18"/>
      <c r="L1673" s="26" t="s">
        <v>77</v>
      </c>
      <c r="M1673" s="6" t="s">
        <v>77</v>
      </c>
      <c r="N1673" s="28" t="s">
        <v>77</v>
      </c>
      <c r="O1673" s="26" t="s">
        <v>77</v>
      </c>
    </row>
    <row r="1674">
      <c r="A1674" s="52" t="s">
        <v>77</v>
      </c>
      <c r="B1674" s="28" t="s">
        <v>77</v>
      </c>
      <c r="C1674" s="28" t="s">
        <v>77</v>
      </c>
      <c r="D1674" s="28" t="s">
        <v>77</v>
      </c>
      <c r="E1674" s="28" t="s">
        <v>77</v>
      </c>
      <c r="F1674" s="28" t="s">
        <v>77</v>
      </c>
      <c r="G1674" s="28" t="s">
        <v>77</v>
      </c>
      <c r="I1674" s="26" t="s">
        <v>77</v>
      </c>
      <c r="J1674" s="26" t="s">
        <v>77</v>
      </c>
      <c r="K1674" s="18"/>
      <c r="L1674" s="26" t="s">
        <v>77</v>
      </c>
      <c r="M1674" s="6" t="s">
        <v>77</v>
      </c>
      <c r="N1674" s="28" t="s">
        <v>77</v>
      </c>
      <c r="O1674" s="26" t="s">
        <v>77</v>
      </c>
    </row>
    <row r="1675">
      <c r="A1675" s="52" t="s">
        <v>77</v>
      </c>
      <c r="B1675" s="28" t="s">
        <v>77</v>
      </c>
      <c r="C1675" s="28" t="s">
        <v>77</v>
      </c>
      <c r="D1675" s="28" t="s">
        <v>77</v>
      </c>
      <c r="E1675" s="28" t="s">
        <v>77</v>
      </c>
      <c r="F1675" s="28" t="s">
        <v>77</v>
      </c>
      <c r="G1675" s="28" t="s">
        <v>77</v>
      </c>
      <c r="I1675" s="26" t="s">
        <v>77</v>
      </c>
      <c r="J1675" s="26" t="s">
        <v>77</v>
      </c>
      <c r="K1675" s="18"/>
      <c r="L1675" s="26" t="s">
        <v>77</v>
      </c>
      <c r="M1675" s="6" t="s">
        <v>77</v>
      </c>
      <c r="N1675" s="28" t="s">
        <v>77</v>
      </c>
      <c r="O1675" s="26" t="s">
        <v>77</v>
      </c>
    </row>
    <row r="1676">
      <c r="A1676" s="52" t="s">
        <v>77</v>
      </c>
      <c r="B1676" s="28" t="s">
        <v>77</v>
      </c>
      <c r="C1676" s="28" t="s">
        <v>77</v>
      </c>
      <c r="D1676" s="28" t="s">
        <v>77</v>
      </c>
      <c r="E1676" s="28" t="s">
        <v>77</v>
      </c>
      <c r="F1676" s="28" t="s">
        <v>77</v>
      </c>
      <c r="G1676" s="28" t="s">
        <v>77</v>
      </c>
      <c r="I1676" s="26" t="s">
        <v>77</v>
      </c>
      <c r="J1676" s="26" t="s">
        <v>77</v>
      </c>
      <c r="K1676" s="18"/>
      <c r="L1676" s="26" t="s">
        <v>77</v>
      </c>
      <c r="M1676" s="6" t="s">
        <v>77</v>
      </c>
      <c r="N1676" s="28" t="s">
        <v>77</v>
      </c>
      <c r="O1676" s="26" t="s">
        <v>77</v>
      </c>
    </row>
    <row r="1677">
      <c r="A1677" s="52" t="s">
        <v>77</v>
      </c>
      <c r="B1677" s="28" t="s">
        <v>77</v>
      </c>
      <c r="C1677" s="28" t="s">
        <v>77</v>
      </c>
      <c r="D1677" s="28" t="s">
        <v>77</v>
      </c>
      <c r="E1677" s="28" t="s">
        <v>77</v>
      </c>
      <c r="F1677" s="28" t="s">
        <v>77</v>
      </c>
      <c r="G1677" s="28" t="s">
        <v>77</v>
      </c>
      <c r="I1677" s="26" t="s">
        <v>77</v>
      </c>
      <c r="J1677" s="26" t="s">
        <v>77</v>
      </c>
      <c r="K1677" s="18"/>
      <c r="L1677" s="26" t="s">
        <v>77</v>
      </c>
      <c r="M1677" s="6" t="s">
        <v>77</v>
      </c>
      <c r="N1677" s="28" t="s">
        <v>77</v>
      </c>
      <c r="O1677" s="26" t="s">
        <v>77</v>
      </c>
    </row>
    <row r="1678">
      <c r="A1678" s="52" t="s">
        <v>77</v>
      </c>
      <c r="B1678" s="28" t="s">
        <v>77</v>
      </c>
      <c r="C1678" s="28" t="s">
        <v>77</v>
      </c>
      <c r="D1678" s="28" t="s">
        <v>77</v>
      </c>
      <c r="E1678" s="28" t="s">
        <v>77</v>
      </c>
      <c r="F1678" s="28" t="s">
        <v>77</v>
      </c>
      <c r="G1678" s="28" t="s">
        <v>77</v>
      </c>
      <c r="I1678" s="26" t="s">
        <v>77</v>
      </c>
      <c r="J1678" s="26" t="s">
        <v>77</v>
      </c>
      <c r="K1678" s="18"/>
      <c r="L1678" s="26" t="s">
        <v>77</v>
      </c>
      <c r="M1678" s="6" t="s">
        <v>77</v>
      </c>
      <c r="N1678" s="28" t="s">
        <v>77</v>
      </c>
      <c r="O1678" s="26" t="s">
        <v>77</v>
      </c>
    </row>
    <row r="1679">
      <c r="A1679" s="52" t="s">
        <v>77</v>
      </c>
      <c r="B1679" s="28" t="s">
        <v>77</v>
      </c>
      <c r="C1679" s="28" t="s">
        <v>77</v>
      </c>
      <c r="D1679" s="28" t="s">
        <v>77</v>
      </c>
      <c r="E1679" s="28" t="s">
        <v>77</v>
      </c>
      <c r="F1679" s="28" t="s">
        <v>77</v>
      </c>
      <c r="G1679" s="28" t="s">
        <v>77</v>
      </c>
      <c r="I1679" s="26" t="s">
        <v>77</v>
      </c>
      <c r="J1679" s="26" t="s">
        <v>77</v>
      </c>
      <c r="K1679" s="18"/>
      <c r="L1679" s="26" t="s">
        <v>77</v>
      </c>
      <c r="M1679" s="6" t="s">
        <v>77</v>
      </c>
      <c r="N1679" s="28" t="s">
        <v>77</v>
      </c>
      <c r="O1679" s="26" t="s">
        <v>77</v>
      </c>
    </row>
    <row r="1680">
      <c r="A1680" s="52" t="s">
        <v>77</v>
      </c>
      <c r="B1680" s="28" t="s">
        <v>77</v>
      </c>
      <c r="C1680" s="28" t="s">
        <v>77</v>
      </c>
      <c r="D1680" s="28" t="s">
        <v>77</v>
      </c>
      <c r="E1680" s="28" t="s">
        <v>77</v>
      </c>
      <c r="F1680" s="28" t="s">
        <v>77</v>
      </c>
      <c r="G1680" s="28" t="s">
        <v>77</v>
      </c>
      <c r="I1680" s="26" t="s">
        <v>77</v>
      </c>
      <c r="J1680" s="26" t="s">
        <v>77</v>
      </c>
      <c r="K1680" s="18"/>
      <c r="L1680" s="26" t="s">
        <v>77</v>
      </c>
      <c r="M1680" s="6" t="s">
        <v>77</v>
      </c>
      <c r="N1680" s="28" t="s">
        <v>77</v>
      </c>
      <c r="O1680" s="26" t="s">
        <v>77</v>
      </c>
    </row>
    <row r="1681">
      <c r="A1681" s="52" t="s">
        <v>77</v>
      </c>
      <c r="B1681" s="28" t="s">
        <v>77</v>
      </c>
      <c r="C1681" s="28" t="s">
        <v>77</v>
      </c>
      <c r="D1681" s="28" t="s">
        <v>77</v>
      </c>
      <c r="E1681" s="28" t="s">
        <v>77</v>
      </c>
      <c r="F1681" s="28" t="s">
        <v>77</v>
      </c>
      <c r="G1681" s="28" t="s">
        <v>77</v>
      </c>
      <c r="I1681" s="26" t="s">
        <v>77</v>
      </c>
      <c r="J1681" s="26" t="s">
        <v>77</v>
      </c>
      <c r="K1681" s="18"/>
      <c r="L1681" s="26" t="s">
        <v>77</v>
      </c>
      <c r="M1681" s="6" t="s">
        <v>77</v>
      </c>
      <c r="N1681" s="28" t="s">
        <v>77</v>
      </c>
      <c r="O1681" s="26" t="s">
        <v>77</v>
      </c>
    </row>
    <row r="1682">
      <c r="A1682" s="52" t="s">
        <v>77</v>
      </c>
      <c r="B1682" s="28" t="s">
        <v>77</v>
      </c>
      <c r="C1682" s="28" t="s">
        <v>77</v>
      </c>
      <c r="D1682" s="28" t="s">
        <v>77</v>
      </c>
      <c r="E1682" s="28" t="s">
        <v>77</v>
      </c>
      <c r="F1682" s="28" t="s">
        <v>77</v>
      </c>
      <c r="G1682" s="28" t="s">
        <v>77</v>
      </c>
      <c r="I1682" s="26" t="s">
        <v>77</v>
      </c>
      <c r="J1682" s="26" t="s">
        <v>77</v>
      </c>
      <c r="K1682" s="18"/>
      <c r="L1682" s="26" t="s">
        <v>77</v>
      </c>
      <c r="M1682" s="6" t="s">
        <v>77</v>
      </c>
      <c r="N1682" s="28" t="s">
        <v>77</v>
      </c>
      <c r="O1682" s="26" t="s">
        <v>77</v>
      </c>
    </row>
    <row r="1683">
      <c r="A1683" s="52" t="s">
        <v>77</v>
      </c>
      <c r="B1683" s="28" t="s">
        <v>77</v>
      </c>
      <c r="C1683" s="28" t="s">
        <v>77</v>
      </c>
      <c r="D1683" s="28" t="s">
        <v>77</v>
      </c>
      <c r="E1683" s="28" t="s">
        <v>77</v>
      </c>
      <c r="F1683" s="28" t="s">
        <v>77</v>
      </c>
      <c r="G1683" s="28" t="s">
        <v>77</v>
      </c>
      <c r="I1683" s="26" t="s">
        <v>77</v>
      </c>
      <c r="J1683" s="26" t="s">
        <v>77</v>
      </c>
      <c r="K1683" s="18"/>
      <c r="L1683" s="26" t="s">
        <v>77</v>
      </c>
      <c r="M1683" s="6" t="s">
        <v>77</v>
      </c>
      <c r="N1683" s="28" t="s">
        <v>77</v>
      </c>
      <c r="O1683" s="26" t="s">
        <v>77</v>
      </c>
    </row>
    <row r="1684">
      <c r="A1684" s="52" t="s">
        <v>77</v>
      </c>
      <c r="B1684" s="28" t="s">
        <v>77</v>
      </c>
      <c r="C1684" s="28" t="s">
        <v>77</v>
      </c>
      <c r="D1684" s="28" t="s">
        <v>77</v>
      </c>
      <c r="E1684" s="28" t="s">
        <v>77</v>
      </c>
      <c r="F1684" s="28" t="s">
        <v>77</v>
      </c>
      <c r="G1684" s="28" t="s">
        <v>77</v>
      </c>
      <c r="I1684" s="26" t="s">
        <v>77</v>
      </c>
      <c r="J1684" s="26" t="s">
        <v>77</v>
      </c>
      <c r="K1684" s="18"/>
      <c r="L1684" s="26" t="s">
        <v>77</v>
      </c>
      <c r="M1684" s="6" t="s">
        <v>77</v>
      </c>
      <c r="N1684" s="28" t="s">
        <v>77</v>
      </c>
      <c r="O1684" s="26" t="s">
        <v>77</v>
      </c>
    </row>
    <row r="1685">
      <c r="A1685" s="52" t="s">
        <v>77</v>
      </c>
      <c r="B1685" s="28" t="s">
        <v>77</v>
      </c>
      <c r="C1685" s="28" t="s">
        <v>77</v>
      </c>
      <c r="D1685" s="28" t="s">
        <v>77</v>
      </c>
      <c r="E1685" s="28" t="s">
        <v>77</v>
      </c>
      <c r="F1685" s="28" t="s">
        <v>77</v>
      </c>
      <c r="G1685" s="28" t="s">
        <v>77</v>
      </c>
      <c r="I1685" s="26" t="s">
        <v>77</v>
      </c>
      <c r="J1685" s="26" t="s">
        <v>77</v>
      </c>
      <c r="K1685" s="18"/>
      <c r="L1685" s="26" t="s">
        <v>77</v>
      </c>
      <c r="M1685" s="6" t="s">
        <v>77</v>
      </c>
      <c r="N1685" s="28" t="s">
        <v>77</v>
      </c>
      <c r="O1685" s="26" t="s">
        <v>77</v>
      </c>
    </row>
    <row r="1686">
      <c r="A1686" s="52" t="s">
        <v>77</v>
      </c>
      <c r="B1686" s="28" t="s">
        <v>77</v>
      </c>
      <c r="C1686" s="28" t="s">
        <v>77</v>
      </c>
      <c r="D1686" s="28" t="s">
        <v>77</v>
      </c>
      <c r="E1686" s="28" t="s">
        <v>77</v>
      </c>
      <c r="F1686" s="28" t="s">
        <v>77</v>
      </c>
      <c r="G1686" s="28" t="s">
        <v>77</v>
      </c>
      <c r="I1686" s="26" t="s">
        <v>77</v>
      </c>
      <c r="J1686" s="26" t="s">
        <v>77</v>
      </c>
      <c r="K1686" s="18"/>
      <c r="L1686" s="26" t="s">
        <v>77</v>
      </c>
      <c r="M1686" s="6" t="s">
        <v>77</v>
      </c>
      <c r="N1686" s="28" t="s">
        <v>77</v>
      </c>
      <c r="O1686" s="26" t="s">
        <v>77</v>
      </c>
    </row>
    <row r="1687">
      <c r="A1687" s="52" t="s">
        <v>77</v>
      </c>
      <c r="B1687" s="28" t="s">
        <v>77</v>
      </c>
      <c r="C1687" s="28" t="s">
        <v>77</v>
      </c>
      <c r="D1687" s="28" t="s">
        <v>77</v>
      </c>
      <c r="E1687" s="28" t="s">
        <v>77</v>
      </c>
      <c r="F1687" s="28" t="s">
        <v>77</v>
      </c>
      <c r="G1687" s="28" t="s">
        <v>77</v>
      </c>
      <c r="I1687" s="26" t="s">
        <v>77</v>
      </c>
      <c r="J1687" s="26" t="s">
        <v>77</v>
      </c>
      <c r="K1687" s="18"/>
      <c r="L1687" s="26" t="s">
        <v>77</v>
      </c>
      <c r="M1687" s="6" t="s">
        <v>77</v>
      </c>
      <c r="N1687" s="28" t="s">
        <v>77</v>
      </c>
      <c r="O1687" s="26" t="s">
        <v>77</v>
      </c>
    </row>
    <row r="1688">
      <c r="A1688" s="52" t="s">
        <v>77</v>
      </c>
      <c r="B1688" s="28" t="s">
        <v>77</v>
      </c>
      <c r="C1688" s="28" t="s">
        <v>77</v>
      </c>
      <c r="D1688" s="28" t="s">
        <v>77</v>
      </c>
      <c r="E1688" s="28" t="s">
        <v>77</v>
      </c>
      <c r="F1688" s="28" t="s">
        <v>77</v>
      </c>
      <c r="G1688" s="28" t="s">
        <v>77</v>
      </c>
      <c r="I1688" s="26" t="s">
        <v>77</v>
      </c>
      <c r="J1688" s="26" t="s">
        <v>77</v>
      </c>
      <c r="K1688" s="18"/>
      <c r="L1688" s="26" t="s">
        <v>77</v>
      </c>
      <c r="M1688" s="6" t="s">
        <v>77</v>
      </c>
      <c r="N1688" s="28" t="s">
        <v>77</v>
      </c>
      <c r="O1688" s="26" t="s">
        <v>77</v>
      </c>
    </row>
    <row r="1689">
      <c r="A1689" s="52" t="s">
        <v>77</v>
      </c>
      <c r="B1689" s="28" t="s">
        <v>77</v>
      </c>
      <c r="C1689" s="28" t="s">
        <v>77</v>
      </c>
      <c r="D1689" s="28" t="s">
        <v>77</v>
      </c>
      <c r="E1689" s="28" t="s">
        <v>77</v>
      </c>
      <c r="F1689" s="28" t="s">
        <v>77</v>
      </c>
      <c r="G1689" s="28" t="s">
        <v>77</v>
      </c>
      <c r="I1689" s="26" t="s">
        <v>77</v>
      </c>
      <c r="J1689" s="26" t="s">
        <v>77</v>
      </c>
      <c r="K1689" s="18"/>
      <c r="L1689" s="26" t="s">
        <v>77</v>
      </c>
      <c r="M1689" s="6" t="s">
        <v>77</v>
      </c>
      <c r="N1689" s="28" t="s">
        <v>77</v>
      </c>
      <c r="O1689" s="26" t="s">
        <v>77</v>
      </c>
    </row>
    <row r="1690">
      <c r="A1690" s="52" t="s">
        <v>77</v>
      </c>
      <c r="B1690" s="28" t="s">
        <v>77</v>
      </c>
      <c r="C1690" s="28" t="s">
        <v>77</v>
      </c>
      <c r="D1690" s="28" t="s">
        <v>77</v>
      </c>
      <c r="E1690" s="28" t="s">
        <v>77</v>
      </c>
      <c r="F1690" s="28" t="s">
        <v>77</v>
      </c>
      <c r="G1690" s="28" t="s">
        <v>77</v>
      </c>
      <c r="I1690" s="26" t="s">
        <v>77</v>
      </c>
      <c r="J1690" s="26" t="s">
        <v>77</v>
      </c>
      <c r="K1690" s="18"/>
      <c r="L1690" s="26" t="s">
        <v>77</v>
      </c>
      <c r="M1690" s="6" t="s">
        <v>77</v>
      </c>
      <c r="N1690" s="28" t="s">
        <v>77</v>
      </c>
      <c r="O1690" s="26" t="s">
        <v>77</v>
      </c>
    </row>
    <row r="1691">
      <c r="A1691" s="52" t="s">
        <v>77</v>
      </c>
      <c r="B1691" s="28" t="s">
        <v>77</v>
      </c>
      <c r="C1691" s="28" t="s">
        <v>77</v>
      </c>
      <c r="D1691" s="28" t="s">
        <v>77</v>
      </c>
      <c r="E1691" s="28" t="s">
        <v>77</v>
      </c>
      <c r="F1691" s="28" t="s">
        <v>77</v>
      </c>
      <c r="G1691" s="28" t="s">
        <v>77</v>
      </c>
      <c r="I1691" s="26" t="s">
        <v>77</v>
      </c>
      <c r="J1691" s="26" t="s">
        <v>77</v>
      </c>
      <c r="K1691" s="18"/>
      <c r="L1691" s="26" t="s">
        <v>77</v>
      </c>
      <c r="M1691" s="6" t="s">
        <v>77</v>
      </c>
      <c r="N1691" s="28" t="s">
        <v>77</v>
      </c>
      <c r="O1691" s="26" t="s">
        <v>77</v>
      </c>
    </row>
    <row r="1692">
      <c r="A1692" s="52" t="s">
        <v>77</v>
      </c>
      <c r="B1692" s="28" t="s">
        <v>77</v>
      </c>
      <c r="C1692" s="28" t="s">
        <v>77</v>
      </c>
      <c r="D1692" s="28" t="s">
        <v>77</v>
      </c>
      <c r="E1692" s="28" t="s">
        <v>77</v>
      </c>
      <c r="F1692" s="28" t="s">
        <v>77</v>
      </c>
      <c r="G1692" s="28" t="s">
        <v>77</v>
      </c>
      <c r="I1692" s="26" t="s">
        <v>77</v>
      </c>
      <c r="J1692" s="26" t="s">
        <v>77</v>
      </c>
      <c r="K1692" s="18"/>
      <c r="L1692" s="26" t="s">
        <v>77</v>
      </c>
      <c r="M1692" s="6" t="s">
        <v>77</v>
      </c>
      <c r="N1692" s="28" t="s">
        <v>77</v>
      </c>
      <c r="O1692" s="26" t="s">
        <v>77</v>
      </c>
    </row>
    <row r="1693">
      <c r="A1693" s="52" t="s">
        <v>77</v>
      </c>
      <c r="B1693" s="28" t="s">
        <v>77</v>
      </c>
      <c r="C1693" s="28" t="s">
        <v>77</v>
      </c>
      <c r="D1693" s="28" t="s">
        <v>77</v>
      </c>
      <c r="E1693" s="28" t="s">
        <v>77</v>
      </c>
      <c r="F1693" s="28" t="s">
        <v>77</v>
      </c>
      <c r="G1693" s="28" t="s">
        <v>77</v>
      </c>
      <c r="I1693" s="26" t="s">
        <v>77</v>
      </c>
      <c r="J1693" s="26" t="s">
        <v>77</v>
      </c>
      <c r="K1693" s="18"/>
      <c r="L1693" s="26" t="s">
        <v>77</v>
      </c>
      <c r="M1693" s="6" t="s">
        <v>77</v>
      </c>
      <c r="N1693" s="28" t="s">
        <v>77</v>
      </c>
      <c r="O1693" s="26" t="s">
        <v>77</v>
      </c>
    </row>
    <row r="1694">
      <c r="A1694" s="52" t="s">
        <v>77</v>
      </c>
      <c r="B1694" s="28" t="s">
        <v>77</v>
      </c>
      <c r="C1694" s="28" t="s">
        <v>77</v>
      </c>
      <c r="D1694" s="28" t="s">
        <v>77</v>
      </c>
      <c r="E1694" s="28" t="s">
        <v>77</v>
      </c>
      <c r="F1694" s="28" t="s">
        <v>77</v>
      </c>
      <c r="G1694" s="28" t="s">
        <v>77</v>
      </c>
      <c r="I1694" s="26" t="s">
        <v>77</v>
      </c>
      <c r="J1694" s="26" t="s">
        <v>77</v>
      </c>
      <c r="K1694" s="18"/>
      <c r="L1694" s="26" t="s">
        <v>77</v>
      </c>
      <c r="M1694" s="6" t="s">
        <v>77</v>
      </c>
      <c r="N1694" s="28" t="s">
        <v>77</v>
      </c>
      <c r="O1694" s="26" t="s">
        <v>77</v>
      </c>
    </row>
    <row r="1695">
      <c r="A1695" s="52" t="s">
        <v>77</v>
      </c>
      <c r="B1695" s="28" t="s">
        <v>77</v>
      </c>
      <c r="C1695" s="28" t="s">
        <v>77</v>
      </c>
      <c r="D1695" s="28" t="s">
        <v>77</v>
      </c>
      <c r="E1695" s="28" t="s">
        <v>77</v>
      </c>
      <c r="F1695" s="28" t="s">
        <v>77</v>
      </c>
      <c r="G1695" s="28" t="s">
        <v>77</v>
      </c>
      <c r="I1695" s="26" t="s">
        <v>77</v>
      </c>
      <c r="J1695" s="26" t="s">
        <v>77</v>
      </c>
      <c r="K1695" s="18"/>
      <c r="L1695" s="26" t="s">
        <v>77</v>
      </c>
      <c r="M1695" s="6" t="s">
        <v>77</v>
      </c>
      <c r="N1695" s="28" t="s">
        <v>77</v>
      </c>
      <c r="O1695" s="26" t="s">
        <v>77</v>
      </c>
    </row>
    <row r="1696">
      <c r="A1696" s="52" t="s">
        <v>77</v>
      </c>
      <c r="B1696" s="28" t="s">
        <v>77</v>
      </c>
      <c r="C1696" s="28" t="s">
        <v>77</v>
      </c>
      <c r="D1696" s="28" t="s">
        <v>77</v>
      </c>
      <c r="E1696" s="28" t="s">
        <v>77</v>
      </c>
      <c r="F1696" s="28" t="s">
        <v>77</v>
      </c>
      <c r="G1696" s="28" t="s">
        <v>77</v>
      </c>
      <c r="I1696" s="26" t="s">
        <v>77</v>
      </c>
      <c r="J1696" s="26" t="s">
        <v>77</v>
      </c>
      <c r="K1696" s="18"/>
      <c r="L1696" s="26" t="s">
        <v>77</v>
      </c>
      <c r="M1696" s="6" t="s">
        <v>77</v>
      </c>
      <c r="N1696" s="28" t="s">
        <v>77</v>
      </c>
      <c r="O1696" s="26" t="s">
        <v>77</v>
      </c>
    </row>
    <row r="1697">
      <c r="A1697" s="52" t="s">
        <v>77</v>
      </c>
      <c r="B1697" s="28" t="s">
        <v>77</v>
      </c>
      <c r="C1697" s="28" t="s">
        <v>77</v>
      </c>
      <c r="D1697" s="28" t="s">
        <v>77</v>
      </c>
      <c r="E1697" s="28" t="s">
        <v>77</v>
      </c>
      <c r="F1697" s="28" t="s">
        <v>77</v>
      </c>
      <c r="G1697" s="28" t="s">
        <v>77</v>
      </c>
      <c r="I1697" s="26" t="s">
        <v>77</v>
      </c>
      <c r="J1697" s="26" t="s">
        <v>77</v>
      </c>
      <c r="K1697" s="18"/>
      <c r="L1697" s="26" t="s">
        <v>77</v>
      </c>
      <c r="M1697" s="6" t="s">
        <v>77</v>
      </c>
      <c r="N1697" s="28" t="s">
        <v>77</v>
      </c>
      <c r="O1697" s="26" t="s">
        <v>77</v>
      </c>
    </row>
    <row r="1698">
      <c r="A1698" s="52" t="s">
        <v>77</v>
      </c>
      <c r="B1698" s="28" t="s">
        <v>77</v>
      </c>
      <c r="C1698" s="28" t="s">
        <v>77</v>
      </c>
      <c r="D1698" s="28" t="s">
        <v>77</v>
      </c>
      <c r="E1698" s="28" t="s">
        <v>77</v>
      </c>
      <c r="F1698" s="28" t="s">
        <v>77</v>
      </c>
      <c r="G1698" s="28" t="s">
        <v>77</v>
      </c>
      <c r="I1698" s="26" t="s">
        <v>77</v>
      </c>
      <c r="J1698" s="26" t="s">
        <v>77</v>
      </c>
      <c r="K1698" s="18"/>
      <c r="L1698" s="26" t="s">
        <v>77</v>
      </c>
      <c r="M1698" s="6" t="s">
        <v>77</v>
      </c>
      <c r="N1698" s="28" t="s">
        <v>77</v>
      </c>
      <c r="O1698" s="26" t="s">
        <v>77</v>
      </c>
    </row>
    <row r="1699">
      <c r="A1699" s="52" t="s">
        <v>77</v>
      </c>
      <c r="B1699" s="28" t="s">
        <v>77</v>
      </c>
      <c r="C1699" s="28" t="s">
        <v>77</v>
      </c>
      <c r="D1699" s="28" t="s">
        <v>77</v>
      </c>
      <c r="E1699" s="28" t="s">
        <v>77</v>
      </c>
      <c r="F1699" s="28" t="s">
        <v>77</v>
      </c>
      <c r="G1699" s="28" t="s">
        <v>77</v>
      </c>
      <c r="I1699" s="26" t="s">
        <v>77</v>
      </c>
      <c r="J1699" s="26" t="s">
        <v>77</v>
      </c>
      <c r="K1699" s="18"/>
      <c r="L1699" s="26" t="s">
        <v>77</v>
      </c>
      <c r="M1699" s="6" t="s">
        <v>77</v>
      </c>
      <c r="N1699" s="28" t="s">
        <v>77</v>
      </c>
      <c r="O1699" s="26" t="s">
        <v>77</v>
      </c>
    </row>
    <row r="1700">
      <c r="A1700" s="52" t="s">
        <v>77</v>
      </c>
      <c r="B1700" s="28" t="s">
        <v>77</v>
      </c>
      <c r="C1700" s="28" t="s">
        <v>77</v>
      </c>
      <c r="D1700" s="28" t="s">
        <v>77</v>
      </c>
      <c r="E1700" s="28" t="s">
        <v>77</v>
      </c>
      <c r="F1700" s="28" t="s">
        <v>77</v>
      </c>
      <c r="G1700" s="28" t="s">
        <v>77</v>
      </c>
      <c r="I1700" s="26" t="s">
        <v>77</v>
      </c>
      <c r="J1700" s="26" t="s">
        <v>77</v>
      </c>
      <c r="K1700" s="18"/>
      <c r="L1700" s="26" t="s">
        <v>77</v>
      </c>
      <c r="M1700" s="6" t="s">
        <v>77</v>
      </c>
      <c r="N1700" s="28" t="s">
        <v>77</v>
      </c>
      <c r="O1700" s="26" t="s">
        <v>77</v>
      </c>
    </row>
    <row r="1701">
      <c r="A1701" s="52" t="s">
        <v>77</v>
      </c>
      <c r="B1701" s="28" t="s">
        <v>77</v>
      </c>
      <c r="C1701" s="28" t="s">
        <v>77</v>
      </c>
      <c r="D1701" s="28" t="s">
        <v>77</v>
      </c>
      <c r="E1701" s="28" t="s">
        <v>77</v>
      </c>
      <c r="F1701" s="28" t="s">
        <v>77</v>
      </c>
      <c r="G1701" s="28" t="s">
        <v>77</v>
      </c>
      <c r="I1701" s="26" t="s">
        <v>77</v>
      </c>
      <c r="J1701" s="26" t="s">
        <v>77</v>
      </c>
      <c r="K1701" s="18"/>
      <c r="L1701" s="26" t="s">
        <v>77</v>
      </c>
      <c r="M1701" s="6" t="s">
        <v>77</v>
      </c>
      <c r="N1701" s="28" t="s">
        <v>77</v>
      </c>
      <c r="O1701" s="26" t="s">
        <v>77</v>
      </c>
    </row>
    <row r="1702">
      <c r="A1702" s="52" t="s">
        <v>77</v>
      </c>
      <c r="B1702" s="28" t="s">
        <v>77</v>
      </c>
      <c r="C1702" s="28" t="s">
        <v>77</v>
      </c>
      <c r="D1702" s="28" t="s">
        <v>77</v>
      </c>
      <c r="E1702" s="28" t="s">
        <v>77</v>
      </c>
      <c r="F1702" s="28" t="s">
        <v>77</v>
      </c>
      <c r="G1702" s="28" t="s">
        <v>77</v>
      </c>
      <c r="I1702" s="26" t="s">
        <v>77</v>
      </c>
      <c r="J1702" s="26" t="s">
        <v>77</v>
      </c>
      <c r="K1702" s="18"/>
      <c r="L1702" s="26" t="s">
        <v>77</v>
      </c>
      <c r="M1702" s="6" t="s">
        <v>77</v>
      </c>
      <c r="N1702" s="28" t="s">
        <v>77</v>
      </c>
      <c r="O1702" s="26" t="s">
        <v>77</v>
      </c>
    </row>
    <row r="1703">
      <c r="A1703" s="52" t="s">
        <v>77</v>
      </c>
      <c r="B1703" s="28" t="s">
        <v>77</v>
      </c>
      <c r="C1703" s="28" t="s">
        <v>77</v>
      </c>
      <c r="D1703" s="28" t="s">
        <v>77</v>
      </c>
      <c r="E1703" s="28" t="s">
        <v>77</v>
      </c>
      <c r="F1703" s="28" t="s">
        <v>77</v>
      </c>
      <c r="G1703" s="28" t="s">
        <v>77</v>
      </c>
      <c r="I1703" s="26" t="s">
        <v>77</v>
      </c>
      <c r="J1703" s="26" t="s">
        <v>77</v>
      </c>
      <c r="K1703" s="18"/>
      <c r="L1703" s="26" t="s">
        <v>77</v>
      </c>
      <c r="M1703" s="6" t="s">
        <v>77</v>
      </c>
      <c r="N1703" s="28" t="s">
        <v>77</v>
      </c>
      <c r="O1703" s="26" t="s">
        <v>77</v>
      </c>
    </row>
    <row r="1704">
      <c r="A1704" s="52" t="s">
        <v>77</v>
      </c>
      <c r="B1704" s="28" t="s">
        <v>77</v>
      </c>
      <c r="C1704" s="28" t="s">
        <v>77</v>
      </c>
      <c r="D1704" s="28" t="s">
        <v>77</v>
      </c>
      <c r="E1704" s="28" t="s">
        <v>77</v>
      </c>
      <c r="F1704" s="28" t="s">
        <v>77</v>
      </c>
      <c r="G1704" s="28" t="s">
        <v>77</v>
      </c>
      <c r="I1704" s="26" t="s">
        <v>77</v>
      </c>
      <c r="J1704" s="26" t="s">
        <v>77</v>
      </c>
      <c r="K1704" s="18"/>
      <c r="L1704" s="26" t="s">
        <v>77</v>
      </c>
      <c r="M1704" s="6" t="s">
        <v>77</v>
      </c>
      <c r="N1704" s="28" t="s">
        <v>77</v>
      </c>
      <c r="O1704" s="26" t="s">
        <v>77</v>
      </c>
    </row>
    <row r="1705">
      <c r="A1705" s="52" t="s">
        <v>77</v>
      </c>
      <c r="B1705" s="28" t="s">
        <v>77</v>
      </c>
      <c r="C1705" s="28" t="s">
        <v>77</v>
      </c>
      <c r="D1705" s="28" t="s">
        <v>77</v>
      </c>
      <c r="E1705" s="28" t="s">
        <v>77</v>
      </c>
      <c r="F1705" s="28" t="s">
        <v>77</v>
      </c>
      <c r="G1705" s="28" t="s">
        <v>77</v>
      </c>
      <c r="I1705" s="26" t="s">
        <v>77</v>
      </c>
      <c r="J1705" s="26" t="s">
        <v>77</v>
      </c>
      <c r="K1705" s="18"/>
      <c r="L1705" s="26" t="s">
        <v>77</v>
      </c>
      <c r="M1705" s="6" t="s">
        <v>77</v>
      </c>
      <c r="N1705" s="28" t="s">
        <v>77</v>
      </c>
      <c r="O1705" s="26" t="s">
        <v>77</v>
      </c>
    </row>
    <row r="1706">
      <c r="A1706" s="52" t="s">
        <v>77</v>
      </c>
      <c r="B1706" s="28" t="s">
        <v>77</v>
      </c>
      <c r="C1706" s="28" t="s">
        <v>77</v>
      </c>
      <c r="D1706" s="28" t="s">
        <v>77</v>
      </c>
      <c r="E1706" s="28" t="s">
        <v>77</v>
      </c>
      <c r="F1706" s="28" t="s">
        <v>77</v>
      </c>
      <c r="G1706" s="28" t="s">
        <v>77</v>
      </c>
      <c r="I1706" s="26" t="s">
        <v>77</v>
      </c>
      <c r="J1706" s="26" t="s">
        <v>77</v>
      </c>
      <c r="K1706" s="18"/>
      <c r="L1706" s="26" t="s">
        <v>77</v>
      </c>
      <c r="M1706" s="6" t="s">
        <v>77</v>
      </c>
      <c r="N1706" s="28" t="s">
        <v>77</v>
      </c>
      <c r="O1706" s="26" t="s">
        <v>77</v>
      </c>
    </row>
    <row r="1707">
      <c r="A1707" s="52" t="s">
        <v>77</v>
      </c>
      <c r="B1707" s="28" t="s">
        <v>77</v>
      </c>
      <c r="C1707" s="28" t="s">
        <v>77</v>
      </c>
      <c r="D1707" s="28" t="s">
        <v>77</v>
      </c>
      <c r="E1707" s="28" t="s">
        <v>77</v>
      </c>
      <c r="F1707" s="28" t="s">
        <v>77</v>
      </c>
      <c r="G1707" s="28" t="s">
        <v>77</v>
      </c>
      <c r="I1707" s="26" t="s">
        <v>77</v>
      </c>
      <c r="J1707" s="26" t="s">
        <v>77</v>
      </c>
      <c r="K1707" s="18"/>
      <c r="L1707" s="26" t="s">
        <v>77</v>
      </c>
      <c r="M1707" s="6" t="s">
        <v>77</v>
      </c>
      <c r="N1707" s="28" t="s">
        <v>77</v>
      </c>
      <c r="O1707" s="26" t="s">
        <v>77</v>
      </c>
    </row>
    <row r="1708">
      <c r="A1708" s="52" t="s">
        <v>77</v>
      </c>
      <c r="B1708" s="28" t="s">
        <v>77</v>
      </c>
      <c r="C1708" s="28" t="s">
        <v>77</v>
      </c>
      <c r="D1708" s="28" t="s">
        <v>77</v>
      </c>
      <c r="E1708" s="28" t="s">
        <v>77</v>
      </c>
      <c r="F1708" s="28" t="s">
        <v>77</v>
      </c>
      <c r="G1708" s="28" t="s">
        <v>77</v>
      </c>
      <c r="I1708" s="26" t="s">
        <v>77</v>
      </c>
      <c r="J1708" s="26" t="s">
        <v>77</v>
      </c>
      <c r="K1708" s="18"/>
      <c r="L1708" s="26" t="s">
        <v>77</v>
      </c>
      <c r="M1708" s="6" t="s">
        <v>77</v>
      </c>
      <c r="N1708" s="28" t="s">
        <v>77</v>
      </c>
      <c r="O1708" s="26" t="s">
        <v>77</v>
      </c>
    </row>
    <row r="1709">
      <c r="A1709" s="52" t="s">
        <v>77</v>
      </c>
      <c r="B1709" s="28" t="s">
        <v>77</v>
      </c>
      <c r="C1709" s="28" t="s">
        <v>77</v>
      </c>
      <c r="D1709" s="28" t="s">
        <v>77</v>
      </c>
      <c r="E1709" s="28" t="s">
        <v>77</v>
      </c>
      <c r="F1709" s="28" t="s">
        <v>77</v>
      </c>
      <c r="G1709" s="28" t="s">
        <v>77</v>
      </c>
      <c r="I1709" s="26" t="s">
        <v>77</v>
      </c>
      <c r="J1709" s="26" t="s">
        <v>77</v>
      </c>
      <c r="K1709" s="18"/>
      <c r="L1709" s="26" t="s">
        <v>77</v>
      </c>
      <c r="M1709" s="6" t="s">
        <v>77</v>
      </c>
      <c r="N1709" s="28" t="s">
        <v>77</v>
      </c>
      <c r="O1709" s="26" t="s">
        <v>77</v>
      </c>
    </row>
    <row r="1710">
      <c r="A1710" s="52" t="s">
        <v>77</v>
      </c>
      <c r="B1710" s="28" t="s">
        <v>77</v>
      </c>
      <c r="C1710" s="28" t="s">
        <v>77</v>
      </c>
      <c r="D1710" s="28" t="s">
        <v>77</v>
      </c>
      <c r="E1710" s="28" t="s">
        <v>77</v>
      </c>
      <c r="F1710" s="28" t="s">
        <v>77</v>
      </c>
      <c r="G1710" s="28" t="s">
        <v>77</v>
      </c>
      <c r="I1710" s="26" t="s">
        <v>77</v>
      </c>
      <c r="J1710" s="26" t="s">
        <v>77</v>
      </c>
      <c r="K1710" s="18"/>
      <c r="L1710" s="26" t="s">
        <v>77</v>
      </c>
      <c r="M1710" s="6" t="s">
        <v>77</v>
      </c>
      <c r="N1710" s="28" t="s">
        <v>77</v>
      </c>
      <c r="O1710" s="26" t="s">
        <v>77</v>
      </c>
    </row>
    <row r="1711">
      <c r="A1711" s="52" t="s">
        <v>77</v>
      </c>
      <c r="B1711" s="28" t="s">
        <v>77</v>
      </c>
      <c r="C1711" s="28" t="s">
        <v>77</v>
      </c>
      <c r="D1711" s="28" t="s">
        <v>77</v>
      </c>
      <c r="E1711" s="28" t="s">
        <v>77</v>
      </c>
      <c r="F1711" s="28" t="s">
        <v>77</v>
      </c>
      <c r="G1711" s="28" t="s">
        <v>77</v>
      </c>
      <c r="I1711" s="26" t="s">
        <v>77</v>
      </c>
      <c r="J1711" s="26" t="s">
        <v>77</v>
      </c>
      <c r="K1711" s="18"/>
      <c r="L1711" s="26" t="s">
        <v>77</v>
      </c>
      <c r="M1711" s="6" t="s">
        <v>77</v>
      </c>
      <c r="N1711" s="28" t="s">
        <v>77</v>
      </c>
      <c r="O1711" s="26" t="s">
        <v>77</v>
      </c>
    </row>
    <row r="1712">
      <c r="A1712" s="52" t="s">
        <v>77</v>
      </c>
      <c r="B1712" s="28" t="s">
        <v>77</v>
      </c>
      <c r="C1712" s="28" t="s">
        <v>77</v>
      </c>
      <c r="D1712" s="28" t="s">
        <v>77</v>
      </c>
      <c r="E1712" s="28" t="s">
        <v>77</v>
      </c>
      <c r="F1712" s="28" t="s">
        <v>77</v>
      </c>
      <c r="G1712" s="28" t="s">
        <v>77</v>
      </c>
      <c r="I1712" s="26" t="s">
        <v>77</v>
      </c>
      <c r="J1712" s="26" t="s">
        <v>77</v>
      </c>
      <c r="K1712" s="18"/>
      <c r="L1712" s="26" t="s">
        <v>77</v>
      </c>
      <c r="M1712" s="6" t="s">
        <v>77</v>
      </c>
      <c r="N1712" s="28" t="s">
        <v>77</v>
      </c>
      <c r="O1712" s="26" t="s">
        <v>77</v>
      </c>
    </row>
    <row r="1713">
      <c r="A1713" s="52" t="s">
        <v>77</v>
      </c>
      <c r="B1713" s="28" t="s">
        <v>77</v>
      </c>
      <c r="C1713" s="28" t="s">
        <v>77</v>
      </c>
      <c r="D1713" s="28" t="s">
        <v>77</v>
      </c>
      <c r="E1713" s="28" t="s">
        <v>77</v>
      </c>
      <c r="F1713" s="28" t="s">
        <v>77</v>
      </c>
      <c r="G1713" s="28" t="s">
        <v>77</v>
      </c>
      <c r="I1713" s="26" t="s">
        <v>77</v>
      </c>
      <c r="J1713" s="26" t="s">
        <v>77</v>
      </c>
      <c r="K1713" s="18"/>
      <c r="L1713" s="26" t="s">
        <v>77</v>
      </c>
      <c r="M1713" s="6" t="s">
        <v>77</v>
      </c>
      <c r="N1713" s="28" t="s">
        <v>77</v>
      </c>
      <c r="O1713" s="26" t="s">
        <v>77</v>
      </c>
    </row>
    <row r="1714">
      <c r="A1714" s="52" t="s">
        <v>77</v>
      </c>
      <c r="B1714" s="28" t="s">
        <v>77</v>
      </c>
      <c r="C1714" s="28" t="s">
        <v>77</v>
      </c>
      <c r="D1714" s="28" t="s">
        <v>77</v>
      </c>
      <c r="E1714" s="28" t="s">
        <v>77</v>
      </c>
      <c r="F1714" s="28" t="s">
        <v>77</v>
      </c>
      <c r="G1714" s="28" t="s">
        <v>77</v>
      </c>
      <c r="I1714" s="26" t="s">
        <v>77</v>
      </c>
      <c r="J1714" s="26" t="s">
        <v>77</v>
      </c>
      <c r="K1714" s="18"/>
      <c r="L1714" s="26" t="s">
        <v>77</v>
      </c>
      <c r="M1714" s="6" t="s">
        <v>77</v>
      </c>
      <c r="N1714" s="28" t="s">
        <v>77</v>
      </c>
      <c r="O1714" s="26" t="s">
        <v>77</v>
      </c>
    </row>
    <row r="1715">
      <c r="A1715" s="52" t="s">
        <v>77</v>
      </c>
      <c r="B1715" s="28" t="s">
        <v>77</v>
      </c>
      <c r="C1715" s="28" t="s">
        <v>77</v>
      </c>
      <c r="D1715" s="28" t="s">
        <v>77</v>
      </c>
      <c r="E1715" s="28" t="s">
        <v>77</v>
      </c>
      <c r="F1715" s="28" t="s">
        <v>77</v>
      </c>
      <c r="G1715" s="28" t="s">
        <v>77</v>
      </c>
      <c r="I1715" s="26" t="s">
        <v>77</v>
      </c>
      <c r="J1715" s="26" t="s">
        <v>77</v>
      </c>
      <c r="K1715" s="18"/>
      <c r="L1715" s="26" t="s">
        <v>77</v>
      </c>
      <c r="M1715" s="6" t="s">
        <v>77</v>
      </c>
      <c r="N1715" s="28" t="s">
        <v>77</v>
      </c>
      <c r="O1715" s="26" t="s">
        <v>77</v>
      </c>
    </row>
    <row r="1716">
      <c r="A1716" s="52" t="s">
        <v>77</v>
      </c>
      <c r="B1716" s="28" t="s">
        <v>77</v>
      </c>
      <c r="C1716" s="28" t="s">
        <v>77</v>
      </c>
      <c r="D1716" s="28" t="s">
        <v>77</v>
      </c>
      <c r="E1716" s="28" t="s">
        <v>77</v>
      </c>
      <c r="F1716" s="28" t="s">
        <v>77</v>
      </c>
      <c r="G1716" s="28" t="s">
        <v>77</v>
      </c>
      <c r="I1716" s="26" t="s">
        <v>77</v>
      </c>
      <c r="J1716" s="26" t="s">
        <v>77</v>
      </c>
      <c r="K1716" s="18"/>
      <c r="L1716" s="26" t="s">
        <v>77</v>
      </c>
      <c r="M1716" s="6" t="s">
        <v>77</v>
      </c>
      <c r="N1716" s="28" t="s">
        <v>77</v>
      </c>
      <c r="O1716" s="26" t="s">
        <v>77</v>
      </c>
    </row>
    <row r="1717">
      <c r="A1717" s="52" t="s">
        <v>77</v>
      </c>
      <c r="B1717" s="28" t="s">
        <v>77</v>
      </c>
      <c r="C1717" s="28" t="s">
        <v>77</v>
      </c>
      <c r="D1717" s="28" t="s">
        <v>77</v>
      </c>
      <c r="E1717" s="28" t="s">
        <v>77</v>
      </c>
      <c r="F1717" s="28" t="s">
        <v>77</v>
      </c>
      <c r="G1717" s="28" t="s">
        <v>77</v>
      </c>
      <c r="I1717" s="26" t="s">
        <v>77</v>
      </c>
      <c r="J1717" s="26" t="s">
        <v>77</v>
      </c>
      <c r="K1717" s="18"/>
      <c r="L1717" s="26" t="s">
        <v>77</v>
      </c>
      <c r="M1717" s="6" t="s">
        <v>77</v>
      </c>
      <c r="N1717" s="28" t="s">
        <v>77</v>
      </c>
      <c r="O1717" s="26" t="s">
        <v>77</v>
      </c>
    </row>
    <row r="1718">
      <c r="A1718" s="52" t="s">
        <v>77</v>
      </c>
      <c r="B1718" s="28" t="s">
        <v>77</v>
      </c>
      <c r="C1718" s="28" t="s">
        <v>77</v>
      </c>
      <c r="D1718" s="28" t="s">
        <v>77</v>
      </c>
      <c r="E1718" s="28" t="s">
        <v>77</v>
      </c>
      <c r="F1718" s="28" t="s">
        <v>77</v>
      </c>
      <c r="G1718" s="28" t="s">
        <v>77</v>
      </c>
      <c r="I1718" s="26" t="s">
        <v>77</v>
      </c>
      <c r="J1718" s="26" t="s">
        <v>77</v>
      </c>
      <c r="K1718" s="18"/>
      <c r="L1718" s="26" t="s">
        <v>77</v>
      </c>
      <c r="M1718" s="6" t="s">
        <v>77</v>
      </c>
      <c r="N1718" s="28" t="s">
        <v>77</v>
      </c>
      <c r="O1718" s="26" t="s">
        <v>77</v>
      </c>
    </row>
    <row r="1719">
      <c r="A1719" s="52" t="s">
        <v>77</v>
      </c>
      <c r="B1719" s="28" t="s">
        <v>77</v>
      </c>
      <c r="C1719" s="28" t="s">
        <v>77</v>
      </c>
      <c r="D1719" s="28" t="s">
        <v>77</v>
      </c>
      <c r="E1719" s="28" t="s">
        <v>77</v>
      </c>
      <c r="F1719" s="28" t="s">
        <v>77</v>
      </c>
      <c r="G1719" s="28" t="s">
        <v>77</v>
      </c>
      <c r="I1719" s="26" t="s">
        <v>77</v>
      </c>
      <c r="J1719" s="26" t="s">
        <v>77</v>
      </c>
      <c r="K1719" s="18"/>
      <c r="L1719" s="26" t="s">
        <v>77</v>
      </c>
      <c r="M1719" s="6" t="s">
        <v>77</v>
      </c>
      <c r="N1719" s="28" t="s">
        <v>77</v>
      </c>
      <c r="O1719" s="26" t="s">
        <v>77</v>
      </c>
    </row>
    <row r="1720">
      <c r="A1720" s="52" t="s">
        <v>77</v>
      </c>
      <c r="B1720" s="28" t="s">
        <v>77</v>
      </c>
      <c r="C1720" s="28" t="s">
        <v>77</v>
      </c>
      <c r="D1720" s="28" t="s">
        <v>77</v>
      </c>
      <c r="E1720" s="28" t="s">
        <v>77</v>
      </c>
      <c r="F1720" s="28" t="s">
        <v>77</v>
      </c>
      <c r="G1720" s="28" t="s">
        <v>77</v>
      </c>
      <c r="I1720" s="26" t="s">
        <v>77</v>
      </c>
      <c r="J1720" s="26" t="s">
        <v>77</v>
      </c>
      <c r="K1720" s="18"/>
      <c r="L1720" s="26" t="s">
        <v>77</v>
      </c>
      <c r="M1720" s="6" t="s">
        <v>77</v>
      </c>
      <c r="N1720" s="28" t="s">
        <v>77</v>
      </c>
      <c r="O1720" s="26" t="s">
        <v>77</v>
      </c>
    </row>
    <row r="1721">
      <c r="A1721" s="52" t="s">
        <v>77</v>
      </c>
      <c r="B1721" s="28" t="s">
        <v>77</v>
      </c>
      <c r="C1721" s="28" t="s">
        <v>77</v>
      </c>
      <c r="D1721" s="28" t="s">
        <v>77</v>
      </c>
      <c r="E1721" s="28" t="s">
        <v>77</v>
      </c>
      <c r="F1721" s="28" t="s">
        <v>77</v>
      </c>
      <c r="G1721" s="28" t="s">
        <v>77</v>
      </c>
      <c r="I1721" s="26" t="s">
        <v>77</v>
      </c>
      <c r="J1721" s="26" t="s">
        <v>77</v>
      </c>
      <c r="K1721" s="18"/>
      <c r="L1721" s="26" t="s">
        <v>77</v>
      </c>
      <c r="M1721" s="6" t="s">
        <v>77</v>
      </c>
      <c r="N1721" s="28" t="s">
        <v>77</v>
      </c>
      <c r="O1721" s="26" t="s">
        <v>77</v>
      </c>
    </row>
    <row r="1722">
      <c r="A1722" s="52" t="s">
        <v>77</v>
      </c>
      <c r="B1722" s="28" t="s">
        <v>77</v>
      </c>
      <c r="C1722" s="28" t="s">
        <v>77</v>
      </c>
      <c r="D1722" s="28" t="s">
        <v>77</v>
      </c>
      <c r="E1722" s="28" t="s">
        <v>77</v>
      </c>
      <c r="F1722" s="28" t="s">
        <v>77</v>
      </c>
      <c r="G1722" s="28" t="s">
        <v>77</v>
      </c>
      <c r="I1722" s="26" t="s">
        <v>77</v>
      </c>
      <c r="J1722" s="26" t="s">
        <v>77</v>
      </c>
      <c r="K1722" s="18"/>
      <c r="L1722" s="26" t="s">
        <v>77</v>
      </c>
      <c r="M1722" s="6" t="s">
        <v>77</v>
      </c>
      <c r="N1722" s="28" t="s">
        <v>77</v>
      </c>
      <c r="O1722" s="26" t="s">
        <v>77</v>
      </c>
    </row>
    <row r="1723">
      <c r="A1723" s="52" t="s">
        <v>77</v>
      </c>
      <c r="B1723" s="28" t="s">
        <v>77</v>
      </c>
      <c r="C1723" s="28" t="s">
        <v>77</v>
      </c>
      <c r="D1723" s="28" t="s">
        <v>77</v>
      </c>
      <c r="E1723" s="28" t="s">
        <v>77</v>
      </c>
      <c r="F1723" s="28" t="s">
        <v>77</v>
      </c>
      <c r="G1723" s="28" t="s">
        <v>77</v>
      </c>
      <c r="I1723" s="26" t="s">
        <v>77</v>
      </c>
      <c r="J1723" s="26" t="s">
        <v>77</v>
      </c>
      <c r="K1723" s="18"/>
      <c r="L1723" s="26" t="s">
        <v>77</v>
      </c>
      <c r="M1723" s="6" t="s">
        <v>77</v>
      </c>
      <c r="N1723" s="28" t="s">
        <v>77</v>
      </c>
      <c r="O1723" s="26" t="s">
        <v>77</v>
      </c>
    </row>
    <row r="1724">
      <c r="A1724" s="52" t="s">
        <v>77</v>
      </c>
      <c r="B1724" s="28" t="s">
        <v>77</v>
      </c>
      <c r="C1724" s="28" t="s">
        <v>77</v>
      </c>
      <c r="D1724" s="28" t="s">
        <v>77</v>
      </c>
      <c r="E1724" s="28" t="s">
        <v>77</v>
      </c>
      <c r="F1724" s="28" t="s">
        <v>77</v>
      </c>
      <c r="G1724" s="28" t="s">
        <v>77</v>
      </c>
      <c r="I1724" s="26" t="s">
        <v>77</v>
      </c>
      <c r="J1724" s="26" t="s">
        <v>77</v>
      </c>
      <c r="K1724" s="18"/>
      <c r="L1724" s="26" t="s">
        <v>77</v>
      </c>
      <c r="M1724" s="6" t="s">
        <v>77</v>
      </c>
      <c r="N1724" s="28" t="s">
        <v>77</v>
      </c>
      <c r="O1724" s="26" t="s">
        <v>77</v>
      </c>
    </row>
    <row r="1725">
      <c r="A1725" s="52" t="s">
        <v>77</v>
      </c>
      <c r="B1725" s="28" t="s">
        <v>77</v>
      </c>
      <c r="C1725" s="28" t="s">
        <v>77</v>
      </c>
      <c r="D1725" s="28" t="s">
        <v>77</v>
      </c>
      <c r="E1725" s="28" t="s">
        <v>77</v>
      </c>
      <c r="F1725" s="28" t="s">
        <v>77</v>
      </c>
      <c r="G1725" s="28" t="s">
        <v>77</v>
      </c>
      <c r="I1725" s="26" t="s">
        <v>77</v>
      </c>
      <c r="J1725" s="26" t="s">
        <v>77</v>
      </c>
      <c r="K1725" s="18"/>
      <c r="L1725" s="26" t="s">
        <v>77</v>
      </c>
      <c r="M1725" s="6" t="s">
        <v>77</v>
      </c>
      <c r="N1725" s="28" t="s">
        <v>77</v>
      </c>
      <c r="O1725" s="26" t="s">
        <v>77</v>
      </c>
    </row>
    <row r="1726">
      <c r="A1726" s="52" t="s">
        <v>77</v>
      </c>
      <c r="B1726" s="28" t="s">
        <v>77</v>
      </c>
      <c r="C1726" s="28" t="s">
        <v>77</v>
      </c>
      <c r="D1726" s="28" t="s">
        <v>77</v>
      </c>
      <c r="E1726" s="28" t="s">
        <v>77</v>
      </c>
      <c r="F1726" s="28" t="s">
        <v>77</v>
      </c>
      <c r="G1726" s="28" t="s">
        <v>77</v>
      </c>
      <c r="I1726" s="26" t="s">
        <v>77</v>
      </c>
      <c r="J1726" s="26" t="s">
        <v>77</v>
      </c>
      <c r="K1726" s="18"/>
      <c r="L1726" s="26" t="s">
        <v>77</v>
      </c>
      <c r="M1726" s="6" t="s">
        <v>77</v>
      </c>
      <c r="N1726" s="28" t="s">
        <v>77</v>
      </c>
      <c r="O1726" s="26" t="s">
        <v>77</v>
      </c>
    </row>
    <row r="1727">
      <c r="A1727" s="52" t="s">
        <v>77</v>
      </c>
      <c r="B1727" s="28" t="s">
        <v>77</v>
      </c>
      <c r="C1727" s="28" t="s">
        <v>77</v>
      </c>
      <c r="D1727" s="28" t="s">
        <v>77</v>
      </c>
      <c r="E1727" s="28" t="s">
        <v>77</v>
      </c>
      <c r="F1727" s="28" t="s">
        <v>77</v>
      </c>
      <c r="G1727" s="28" t="s">
        <v>77</v>
      </c>
      <c r="I1727" s="26" t="s">
        <v>77</v>
      </c>
      <c r="J1727" s="26" t="s">
        <v>77</v>
      </c>
      <c r="K1727" s="18"/>
      <c r="L1727" s="26" t="s">
        <v>77</v>
      </c>
      <c r="M1727" s="6" t="s">
        <v>77</v>
      </c>
      <c r="N1727" s="28" t="s">
        <v>77</v>
      </c>
      <c r="O1727" s="26" t="s">
        <v>77</v>
      </c>
    </row>
    <row r="1728">
      <c r="A1728" s="52" t="s">
        <v>77</v>
      </c>
      <c r="B1728" s="28" t="s">
        <v>77</v>
      </c>
      <c r="C1728" s="28" t="s">
        <v>77</v>
      </c>
      <c r="D1728" s="28" t="s">
        <v>77</v>
      </c>
      <c r="E1728" s="28" t="s">
        <v>77</v>
      </c>
      <c r="F1728" s="28" t="s">
        <v>77</v>
      </c>
      <c r="G1728" s="28" t="s">
        <v>77</v>
      </c>
      <c r="I1728" s="26" t="s">
        <v>77</v>
      </c>
      <c r="J1728" s="26" t="s">
        <v>77</v>
      </c>
      <c r="K1728" s="18"/>
      <c r="L1728" s="26" t="s">
        <v>77</v>
      </c>
      <c r="M1728" s="6" t="s">
        <v>77</v>
      </c>
      <c r="N1728" s="28" t="s">
        <v>77</v>
      </c>
      <c r="O1728" s="26" t="s">
        <v>77</v>
      </c>
    </row>
    <row r="1729">
      <c r="A1729" s="52" t="s">
        <v>77</v>
      </c>
      <c r="B1729" s="28" t="s">
        <v>77</v>
      </c>
      <c r="C1729" s="28" t="s">
        <v>77</v>
      </c>
      <c r="D1729" s="28" t="s">
        <v>77</v>
      </c>
      <c r="E1729" s="28" t="s">
        <v>77</v>
      </c>
      <c r="F1729" s="28" t="s">
        <v>77</v>
      </c>
      <c r="G1729" s="28" t="s">
        <v>77</v>
      </c>
      <c r="I1729" s="26" t="s">
        <v>77</v>
      </c>
      <c r="J1729" s="26" t="s">
        <v>77</v>
      </c>
      <c r="K1729" s="18"/>
      <c r="L1729" s="26" t="s">
        <v>77</v>
      </c>
      <c r="M1729" s="6" t="s">
        <v>77</v>
      </c>
      <c r="N1729" s="28" t="s">
        <v>77</v>
      </c>
      <c r="O1729" s="26" t="s">
        <v>77</v>
      </c>
    </row>
    <row r="1730">
      <c r="A1730" s="52" t="s">
        <v>77</v>
      </c>
      <c r="B1730" s="28" t="s">
        <v>77</v>
      </c>
      <c r="C1730" s="28" t="s">
        <v>77</v>
      </c>
      <c r="D1730" s="28" t="s">
        <v>77</v>
      </c>
      <c r="E1730" s="28" t="s">
        <v>77</v>
      </c>
      <c r="F1730" s="28" t="s">
        <v>77</v>
      </c>
      <c r="G1730" s="28" t="s">
        <v>77</v>
      </c>
      <c r="I1730" s="26" t="s">
        <v>77</v>
      </c>
      <c r="J1730" s="26" t="s">
        <v>77</v>
      </c>
      <c r="K1730" s="18"/>
      <c r="L1730" s="26" t="s">
        <v>77</v>
      </c>
      <c r="M1730" s="6" t="s">
        <v>77</v>
      </c>
      <c r="N1730" s="28" t="s">
        <v>77</v>
      </c>
      <c r="O1730" s="26" t="s">
        <v>77</v>
      </c>
    </row>
    <row r="1731">
      <c r="A1731" s="52" t="s">
        <v>77</v>
      </c>
      <c r="B1731" s="28" t="s">
        <v>77</v>
      </c>
      <c r="C1731" s="28" t="s">
        <v>77</v>
      </c>
      <c r="D1731" s="28" t="s">
        <v>77</v>
      </c>
      <c r="E1731" s="28" t="s">
        <v>77</v>
      </c>
      <c r="F1731" s="28" t="s">
        <v>77</v>
      </c>
      <c r="G1731" s="28" t="s">
        <v>77</v>
      </c>
      <c r="I1731" s="26" t="s">
        <v>77</v>
      </c>
      <c r="J1731" s="26" t="s">
        <v>77</v>
      </c>
      <c r="K1731" s="18"/>
      <c r="L1731" s="26" t="s">
        <v>77</v>
      </c>
      <c r="M1731" s="6" t="s">
        <v>77</v>
      </c>
      <c r="N1731" s="28" t="s">
        <v>77</v>
      </c>
      <c r="O1731" s="26" t="s">
        <v>77</v>
      </c>
    </row>
    <row r="1732">
      <c r="A1732" s="52" t="s">
        <v>77</v>
      </c>
      <c r="B1732" s="28" t="s">
        <v>77</v>
      </c>
      <c r="C1732" s="28" t="s">
        <v>77</v>
      </c>
      <c r="D1732" s="28" t="s">
        <v>77</v>
      </c>
      <c r="E1732" s="28" t="s">
        <v>77</v>
      </c>
      <c r="F1732" s="28" t="s">
        <v>77</v>
      </c>
      <c r="G1732" s="28" t="s">
        <v>77</v>
      </c>
      <c r="I1732" s="26" t="s">
        <v>77</v>
      </c>
      <c r="J1732" s="26" t="s">
        <v>77</v>
      </c>
      <c r="K1732" s="18"/>
      <c r="L1732" s="26" t="s">
        <v>77</v>
      </c>
      <c r="M1732" s="6" t="s">
        <v>77</v>
      </c>
      <c r="N1732" s="28" t="s">
        <v>77</v>
      </c>
      <c r="O1732" s="26" t="s">
        <v>77</v>
      </c>
    </row>
    <row r="1733">
      <c r="A1733" s="52" t="s">
        <v>77</v>
      </c>
      <c r="B1733" s="28" t="s">
        <v>77</v>
      </c>
      <c r="C1733" s="28" t="s">
        <v>77</v>
      </c>
      <c r="D1733" s="28" t="s">
        <v>77</v>
      </c>
      <c r="E1733" s="28" t="s">
        <v>77</v>
      </c>
      <c r="F1733" s="28" t="s">
        <v>77</v>
      </c>
      <c r="G1733" s="28" t="s">
        <v>77</v>
      </c>
      <c r="I1733" s="26" t="s">
        <v>77</v>
      </c>
      <c r="J1733" s="26" t="s">
        <v>77</v>
      </c>
      <c r="K1733" s="18"/>
      <c r="L1733" s="26" t="s">
        <v>77</v>
      </c>
      <c r="M1733" s="6" t="s">
        <v>77</v>
      </c>
      <c r="N1733" s="28" t="s">
        <v>77</v>
      </c>
      <c r="O1733" s="26" t="s">
        <v>77</v>
      </c>
    </row>
    <row r="1734">
      <c r="A1734" s="52" t="s">
        <v>77</v>
      </c>
      <c r="B1734" s="28" t="s">
        <v>77</v>
      </c>
      <c r="C1734" s="28" t="s">
        <v>77</v>
      </c>
      <c r="D1734" s="28" t="s">
        <v>77</v>
      </c>
      <c r="E1734" s="28" t="s">
        <v>77</v>
      </c>
      <c r="F1734" s="28" t="s">
        <v>77</v>
      </c>
      <c r="G1734" s="28" t="s">
        <v>77</v>
      </c>
      <c r="I1734" s="26" t="s">
        <v>77</v>
      </c>
      <c r="J1734" s="26" t="s">
        <v>77</v>
      </c>
      <c r="K1734" s="18"/>
      <c r="L1734" s="26" t="s">
        <v>77</v>
      </c>
      <c r="M1734" s="6" t="s">
        <v>77</v>
      </c>
      <c r="N1734" s="28" t="s">
        <v>77</v>
      </c>
      <c r="O1734" s="26" t="s">
        <v>77</v>
      </c>
    </row>
    <row r="1735">
      <c r="A1735" s="52" t="s">
        <v>77</v>
      </c>
      <c r="B1735" s="28" t="s">
        <v>77</v>
      </c>
      <c r="C1735" s="28" t="s">
        <v>77</v>
      </c>
      <c r="D1735" s="28" t="s">
        <v>77</v>
      </c>
      <c r="E1735" s="28" t="s">
        <v>77</v>
      </c>
      <c r="F1735" s="28" t="s">
        <v>77</v>
      </c>
      <c r="G1735" s="28" t="s">
        <v>77</v>
      </c>
      <c r="I1735" s="26" t="s">
        <v>77</v>
      </c>
      <c r="J1735" s="26" t="s">
        <v>77</v>
      </c>
      <c r="K1735" s="18"/>
      <c r="L1735" s="26" t="s">
        <v>77</v>
      </c>
      <c r="M1735" s="6" t="s">
        <v>77</v>
      </c>
      <c r="N1735" s="28" t="s">
        <v>77</v>
      </c>
      <c r="O1735" s="26" t="s">
        <v>77</v>
      </c>
    </row>
    <row r="1736">
      <c r="A1736" s="52" t="s">
        <v>77</v>
      </c>
      <c r="B1736" s="28" t="s">
        <v>77</v>
      </c>
      <c r="C1736" s="28" t="s">
        <v>77</v>
      </c>
      <c r="D1736" s="28" t="s">
        <v>77</v>
      </c>
      <c r="E1736" s="28" t="s">
        <v>77</v>
      </c>
      <c r="F1736" s="28" t="s">
        <v>77</v>
      </c>
      <c r="G1736" s="28" t="s">
        <v>77</v>
      </c>
      <c r="I1736" s="26" t="s">
        <v>77</v>
      </c>
      <c r="J1736" s="26" t="s">
        <v>77</v>
      </c>
      <c r="K1736" s="18"/>
      <c r="L1736" s="26" t="s">
        <v>77</v>
      </c>
      <c r="M1736" s="6" t="s">
        <v>77</v>
      </c>
      <c r="N1736" s="28" t="s">
        <v>77</v>
      </c>
      <c r="O1736" s="26" t="s">
        <v>77</v>
      </c>
    </row>
    <row r="1737">
      <c r="A1737" s="52" t="s">
        <v>77</v>
      </c>
      <c r="B1737" s="28" t="s">
        <v>77</v>
      </c>
      <c r="C1737" s="28" t="s">
        <v>77</v>
      </c>
      <c r="D1737" s="28" t="s">
        <v>77</v>
      </c>
      <c r="E1737" s="28" t="s">
        <v>77</v>
      </c>
      <c r="F1737" s="28" t="s">
        <v>77</v>
      </c>
      <c r="G1737" s="28" t="s">
        <v>77</v>
      </c>
      <c r="I1737" s="26" t="s">
        <v>77</v>
      </c>
      <c r="J1737" s="26" t="s">
        <v>77</v>
      </c>
      <c r="K1737" s="18"/>
      <c r="L1737" s="26" t="s">
        <v>77</v>
      </c>
      <c r="M1737" s="6" t="s">
        <v>77</v>
      </c>
      <c r="N1737" s="28" t="s">
        <v>77</v>
      </c>
      <c r="O1737" s="26" t="s">
        <v>77</v>
      </c>
    </row>
    <row r="1738">
      <c r="A1738" s="52" t="s">
        <v>77</v>
      </c>
      <c r="B1738" s="28" t="s">
        <v>77</v>
      </c>
      <c r="C1738" s="28" t="s">
        <v>77</v>
      </c>
      <c r="D1738" s="28" t="s">
        <v>77</v>
      </c>
      <c r="E1738" s="28" t="s">
        <v>77</v>
      </c>
      <c r="F1738" s="28" t="s">
        <v>77</v>
      </c>
      <c r="G1738" s="28" t="s">
        <v>77</v>
      </c>
      <c r="I1738" s="26" t="s">
        <v>77</v>
      </c>
      <c r="J1738" s="26" t="s">
        <v>77</v>
      </c>
      <c r="K1738" s="18"/>
      <c r="L1738" s="26" t="s">
        <v>77</v>
      </c>
      <c r="M1738" s="6" t="s">
        <v>77</v>
      </c>
      <c r="N1738" s="28" t="s">
        <v>77</v>
      </c>
      <c r="O1738" s="26" t="s">
        <v>77</v>
      </c>
    </row>
    <row r="1739">
      <c r="A1739" s="52" t="s">
        <v>77</v>
      </c>
      <c r="B1739" s="28" t="s">
        <v>77</v>
      </c>
      <c r="C1739" s="28" t="s">
        <v>77</v>
      </c>
      <c r="D1739" s="28" t="s">
        <v>77</v>
      </c>
      <c r="E1739" s="28" t="s">
        <v>77</v>
      </c>
      <c r="F1739" s="28" t="s">
        <v>77</v>
      </c>
      <c r="G1739" s="28" t="s">
        <v>77</v>
      </c>
      <c r="I1739" s="26" t="s">
        <v>77</v>
      </c>
      <c r="J1739" s="26" t="s">
        <v>77</v>
      </c>
      <c r="K1739" s="18"/>
      <c r="L1739" s="26" t="s">
        <v>77</v>
      </c>
      <c r="M1739" s="6" t="s">
        <v>77</v>
      </c>
      <c r="N1739" s="28" t="s">
        <v>77</v>
      </c>
      <c r="O1739" s="26" t="s">
        <v>77</v>
      </c>
    </row>
    <row r="1740">
      <c r="A1740" s="52" t="s">
        <v>77</v>
      </c>
      <c r="B1740" s="28" t="s">
        <v>77</v>
      </c>
      <c r="C1740" s="28" t="s">
        <v>77</v>
      </c>
      <c r="D1740" s="28" t="s">
        <v>77</v>
      </c>
      <c r="E1740" s="28" t="s">
        <v>77</v>
      </c>
      <c r="F1740" s="28" t="s">
        <v>77</v>
      </c>
      <c r="G1740" s="28" t="s">
        <v>77</v>
      </c>
      <c r="I1740" s="26" t="s">
        <v>77</v>
      </c>
      <c r="J1740" s="26" t="s">
        <v>77</v>
      </c>
      <c r="K1740" s="18"/>
      <c r="L1740" s="26" t="s">
        <v>77</v>
      </c>
      <c r="M1740" s="6" t="s">
        <v>77</v>
      </c>
      <c r="N1740" s="28" t="s">
        <v>77</v>
      </c>
      <c r="O1740" s="26" t="s">
        <v>77</v>
      </c>
    </row>
    <row r="1741">
      <c r="A1741" s="52" t="s">
        <v>77</v>
      </c>
      <c r="B1741" s="28" t="s">
        <v>77</v>
      </c>
      <c r="C1741" s="28" t="s">
        <v>77</v>
      </c>
      <c r="D1741" s="28" t="s">
        <v>77</v>
      </c>
      <c r="E1741" s="28" t="s">
        <v>77</v>
      </c>
      <c r="F1741" s="28" t="s">
        <v>77</v>
      </c>
      <c r="G1741" s="28" t="s">
        <v>77</v>
      </c>
      <c r="I1741" s="26" t="s">
        <v>77</v>
      </c>
      <c r="J1741" s="26" t="s">
        <v>77</v>
      </c>
      <c r="K1741" s="18"/>
      <c r="L1741" s="26" t="s">
        <v>77</v>
      </c>
      <c r="M1741" s="6" t="s">
        <v>77</v>
      </c>
      <c r="N1741" s="28" t="s">
        <v>77</v>
      </c>
      <c r="O1741" s="26" t="s">
        <v>77</v>
      </c>
    </row>
    <row r="1742">
      <c r="A1742" s="52" t="s">
        <v>77</v>
      </c>
      <c r="B1742" s="28" t="s">
        <v>77</v>
      </c>
      <c r="C1742" s="28" t="s">
        <v>77</v>
      </c>
      <c r="D1742" s="28" t="s">
        <v>77</v>
      </c>
      <c r="E1742" s="28" t="s">
        <v>77</v>
      </c>
      <c r="F1742" s="28" t="s">
        <v>77</v>
      </c>
      <c r="G1742" s="28" t="s">
        <v>77</v>
      </c>
      <c r="I1742" s="26" t="s">
        <v>77</v>
      </c>
      <c r="J1742" s="26" t="s">
        <v>77</v>
      </c>
      <c r="K1742" s="18"/>
      <c r="L1742" s="26" t="s">
        <v>77</v>
      </c>
      <c r="M1742" s="6" t="s">
        <v>77</v>
      </c>
      <c r="N1742" s="28" t="s">
        <v>77</v>
      </c>
      <c r="O1742" s="26" t="s">
        <v>77</v>
      </c>
    </row>
    <row r="1743">
      <c r="A1743" s="52" t="s">
        <v>77</v>
      </c>
      <c r="B1743" s="28" t="s">
        <v>77</v>
      </c>
      <c r="C1743" s="28" t="s">
        <v>77</v>
      </c>
      <c r="D1743" s="28" t="s">
        <v>77</v>
      </c>
      <c r="E1743" s="28" t="s">
        <v>77</v>
      </c>
      <c r="F1743" s="28" t="s">
        <v>77</v>
      </c>
      <c r="G1743" s="28" t="s">
        <v>77</v>
      </c>
      <c r="I1743" s="26" t="s">
        <v>77</v>
      </c>
      <c r="J1743" s="26" t="s">
        <v>77</v>
      </c>
      <c r="K1743" s="18"/>
      <c r="L1743" s="26" t="s">
        <v>77</v>
      </c>
      <c r="M1743" s="6" t="s">
        <v>77</v>
      </c>
      <c r="N1743" s="28" t="s">
        <v>77</v>
      </c>
      <c r="O1743" s="26" t="s">
        <v>77</v>
      </c>
    </row>
    <row r="1744">
      <c r="A1744" s="52" t="s">
        <v>77</v>
      </c>
      <c r="B1744" s="28" t="s">
        <v>77</v>
      </c>
      <c r="C1744" s="28" t="s">
        <v>77</v>
      </c>
      <c r="D1744" s="28" t="s">
        <v>77</v>
      </c>
      <c r="E1744" s="28" t="s">
        <v>77</v>
      </c>
      <c r="F1744" s="28" t="s">
        <v>77</v>
      </c>
      <c r="G1744" s="28" t="s">
        <v>77</v>
      </c>
      <c r="I1744" s="26" t="s">
        <v>77</v>
      </c>
      <c r="J1744" s="26" t="s">
        <v>77</v>
      </c>
      <c r="K1744" s="18"/>
      <c r="L1744" s="26" t="s">
        <v>77</v>
      </c>
      <c r="M1744" s="6" t="s">
        <v>77</v>
      </c>
      <c r="N1744" s="28" t="s">
        <v>77</v>
      </c>
      <c r="O1744" s="26" t="s">
        <v>77</v>
      </c>
    </row>
    <row r="1745">
      <c r="A1745" s="52" t="s">
        <v>77</v>
      </c>
      <c r="B1745" s="28" t="s">
        <v>77</v>
      </c>
      <c r="C1745" s="28" t="s">
        <v>77</v>
      </c>
      <c r="D1745" s="28" t="s">
        <v>77</v>
      </c>
      <c r="E1745" s="28" t="s">
        <v>77</v>
      </c>
      <c r="F1745" s="28" t="s">
        <v>77</v>
      </c>
      <c r="G1745" s="28" t="s">
        <v>77</v>
      </c>
      <c r="I1745" s="26" t="s">
        <v>77</v>
      </c>
      <c r="J1745" s="26" t="s">
        <v>77</v>
      </c>
      <c r="K1745" s="18"/>
      <c r="L1745" s="26" t="s">
        <v>77</v>
      </c>
      <c r="M1745" s="6" t="s">
        <v>77</v>
      </c>
      <c r="N1745" s="28" t="s">
        <v>77</v>
      </c>
      <c r="O1745" s="26" t="s">
        <v>77</v>
      </c>
    </row>
    <row r="1746">
      <c r="A1746" s="52" t="s">
        <v>77</v>
      </c>
      <c r="B1746" s="28" t="s">
        <v>77</v>
      </c>
      <c r="C1746" s="28" t="s">
        <v>77</v>
      </c>
      <c r="D1746" s="28" t="s">
        <v>77</v>
      </c>
      <c r="E1746" s="28" t="s">
        <v>77</v>
      </c>
      <c r="F1746" s="28" t="s">
        <v>77</v>
      </c>
      <c r="G1746" s="28" t="s">
        <v>77</v>
      </c>
      <c r="I1746" s="26" t="s">
        <v>77</v>
      </c>
      <c r="J1746" s="26" t="s">
        <v>77</v>
      </c>
      <c r="K1746" s="18"/>
      <c r="L1746" s="26" t="s">
        <v>77</v>
      </c>
      <c r="M1746" s="6" t="s">
        <v>77</v>
      </c>
      <c r="N1746" s="28" t="s">
        <v>77</v>
      </c>
      <c r="O1746" s="26" t="s">
        <v>77</v>
      </c>
    </row>
    <row r="1747">
      <c r="A1747" s="52" t="s">
        <v>77</v>
      </c>
      <c r="B1747" s="28" t="s">
        <v>77</v>
      </c>
      <c r="C1747" s="28" t="s">
        <v>77</v>
      </c>
      <c r="D1747" s="28" t="s">
        <v>77</v>
      </c>
      <c r="E1747" s="28" t="s">
        <v>77</v>
      </c>
      <c r="F1747" s="28" t="s">
        <v>77</v>
      </c>
      <c r="G1747" s="28" t="s">
        <v>77</v>
      </c>
      <c r="I1747" s="26" t="s">
        <v>77</v>
      </c>
      <c r="J1747" s="26" t="s">
        <v>77</v>
      </c>
      <c r="K1747" s="18"/>
      <c r="L1747" s="26" t="s">
        <v>77</v>
      </c>
      <c r="M1747" s="6" t="s">
        <v>77</v>
      </c>
      <c r="N1747" s="28" t="s">
        <v>77</v>
      </c>
      <c r="O1747" s="26" t="s">
        <v>77</v>
      </c>
    </row>
    <row r="1748">
      <c r="A1748" s="52" t="s">
        <v>77</v>
      </c>
      <c r="B1748" s="28" t="s">
        <v>77</v>
      </c>
      <c r="C1748" s="28" t="s">
        <v>77</v>
      </c>
      <c r="D1748" s="28" t="s">
        <v>77</v>
      </c>
      <c r="E1748" s="28" t="s">
        <v>77</v>
      </c>
      <c r="F1748" s="28" t="s">
        <v>77</v>
      </c>
      <c r="G1748" s="28" t="s">
        <v>77</v>
      </c>
      <c r="I1748" s="26" t="s">
        <v>77</v>
      </c>
      <c r="J1748" s="26" t="s">
        <v>77</v>
      </c>
      <c r="K1748" s="18"/>
      <c r="L1748" s="26" t="s">
        <v>77</v>
      </c>
      <c r="M1748" s="6" t="s">
        <v>77</v>
      </c>
      <c r="N1748" s="28" t="s">
        <v>77</v>
      </c>
      <c r="O1748" s="26" t="s">
        <v>77</v>
      </c>
    </row>
    <row r="1749">
      <c r="A1749" s="52" t="s">
        <v>77</v>
      </c>
      <c r="B1749" s="28" t="s">
        <v>77</v>
      </c>
      <c r="C1749" s="28" t="s">
        <v>77</v>
      </c>
      <c r="D1749" s="28" t="s">
        <v>77</v>
      </c>
      <c r="E1749" s="28" t="s">
        <v>77</v>
      </c>
      <c r="F1749" s="28" t="s">
        <v>77</v>
      </c>
      <c r="G1749" s="28" t="s">
        <v>77</v>
      </c>
      <c r="I1749" s="26" t="s">
        <v>77</v>
      </c>
      <c r="J1749" s="26" t="s">
        <v>77</v>
      </c>
      <c r="K1749" s="18"/>
      <c r="L1749" s="26" t="s">
        <v>77</v>
      </c>
      <c r="M1749" s="6" t="s">
        <v>77</v>
      </c>
      <c r="N1749" s="28" t="s">
        <v>77</v>
      </c>
      <c r="O1749" s="26" t="s">
        <v>77</v>
      </c>
    </row>
    <row r="1750">
      <c r="A1750" s="52" t="s">
        <v>77</v>
      </c>
      <c r="B1750" s="28" t="s">
        <v>77</v>
      </c>
      <c r="C1750" s="28" t="s">
        <v>77</v>
      </c>
      <c r="D1750" s="28" t="s">
        <v>77</v>
      </c>
      <c r="E1750" s="28" t="s">
        <v>77</v>
      </c>
      <c r="F1750" s="28" t="s">
        <v>77</v>
      </c>
      <c r="G1750" s="28" t="s">
        <v>77</v>
      </c>
      <c r="I1750" s="26" t="s">
        <v>77</v>
      </c>
      <c r="J1750" s="26" t="s">
        <v>77</v>
      </c>
      <c r="K1750" s="18"/>
      <c r="L1750" s="26" t="s">
        <v>77</v>
      </c>
      <c r="M1750" s="6" t="s">
        <v>77</v>
      </c>
      <c r="N1750" s="28" t="s">
        <v>77</v>
      </c>
      <c r="O1750" s="26" t="s">
        <v>77</v>
      </c>
    </row>
    <row r="1751">
      <c r="A1751" s="52" t="s">
        <v>77</v>
      </c>
      <c r="B1751" s="28" t="s">
        <v>77</v>
      </c>
      <c r="C1751" s="28" t="s">
        <v>77</v>
      </c>
      <c r="D1751" s="28" t="s">
        <v>77</v>
      </c>
      <c r="E1751" s="28" t="s">
        <v>77</v>
      </c>
      <c r="F1751" s="28" t="s">
        <v>77</v>
      </c>
      <c r="G1751" s="28" t="s">
        <v>77</v>
      </c>
      <c r="I1751" s="26" t="s">
        <v>77</v>
      </c>
      <c r="J1751" s="26" t="s">
        <v>77</v>
      </c>
      <c r="K1751" s="18"/>
      <c r="L1751" s="26" t="s">
        <v>77</v>
      </c>
      <c r="M1751" s="6" t="s">
        <v>77</v>
      </c>
      <c r="N1751" s="28" t="s">
        <v>77</v>
      </c>
      <c r="O1751" s="26" t="s">
        <v>77</v>
      </c>
    </row>
    <row r="1752">
      <c r="A1752" s="52" t="s">
        <v>77</v>
      </c>
      <c r="B1752" s="28" t="s">
        <v>77</v>
      </c>
      <c r="C1752" s="28" t="s">
        <v>77</v>
      </c>
      <c r="D1752" s="28" t="s">
        <v>77</v>
      </c>
      <c r="E1752" s="28" t="s">
        <v>77</v>
      </c>
      <c r="F1752" s="28" t="s">
        <v>77</v>
      </c>
      <c r="G1752" s="28" t="s">
        <v>77</v>
      </c>
      <c r="I1752" s="26" t="s">
        <v>77</v>
      </c>
      <c r="J1752" s="26" t="s">
        <v>77</v>
      </c>
      <c r="K1752" s="18"/>
      <c r="L1752" s="26" t="s">
        <v>77</v>
      </c>
      <c r="M1752" s="6" t="s">
        <v>77</v>
      </c>
      <c r="N1752" s="28" t="s">
        <v>77</v>
      </c>
      <c r="O1752" s="26" t="s">
        <v>77</v>
      </c>
    </row>
    <row r="1753">
      <c r="A1753" s="52" t="s">
        <v>77</v>
      </c>
      <c r="B1753" s="28" t="s">
        <v>77</v>
      </c>
      <c r="C1753" s="28" t="s">
        <v>77</v>
      </c>
      <c r="D1753" s="28" t="s">
        <v>77</v>
      </c>
      <c r="E1753" s="28" t="s">
        <v>77</v>
      </c>
      <c r="F1753" s="28" t="s">
        <v>77</v>
      </c>
      <c r="G1753" s="28" t="s">
        <v>77</v>
      </c>
      <c r="I1753" s="26" t="s">
        <v>77</v>
      </c>
      <c r="J1753" s="26" t="s">
        <v>77</v>
      </c>
      <c r="K1753" s="18"/>
      <c r="L1753" s="26" t="s">
        <v>77</v>
      </c>
      <c r="M1753" s="6" t="s">
        <v>77</v>
      </c>
      <c r="N1753" s="28" t="s">
        <v>77</v>
      </c>
      <c r="O1753" s="26" t="s">
        <v>77</v>
      </c>
    </row>
    <row r="1754">
      <c r="A1754" s="52" t="s">
        <v>77</v>
      </c>
      <c r="B1754" s="28" t="s">
        <v>77</v>
      </c>
      <c r="C1754" s="28" t="s">
        <v>77</v>
      </c>
      <c r="D1754" s="28" t="s">
        <v>77</v>
      </c>
      <c r="E1754" s="28" t="s">
        <v>77</v>
      </c>
      <c r="F1754" s="28" t="s">
        <v>77</v>
      </c>
      <c r="G1754" s="28" t="s">
        <v>77</v>
      </c>
      <c r="I1754" s="26" t="s">
        <v>77</v>
      </c>
      <c r="J1754" s="26" t="s">
        <v>77</v>
      </c>
      <c r="K1754" s="18"/>
      <c r="L1754" s="26" t="s">
        <v>77</v>
      </c>
      <c r="M1754" s="6" t="s">
        <v>77</v>
      </c>
      <c r="N1754" s="28" t="s">
        <v>77</v>
      </c>
      <c r="O1754" s="26" t="s">
        <v>77</v>
      </c>
    </row>
    <row r="1755">
      <c r="A1755" s="52" t="s">
        <v>77</v>
      </c>
      <c r="B1755" s="28" t="s">
        <v>77</v>
      </c>
      <c r="C1755" s="28" t="s">
        <v>77</v>
      </c>
      <c r="D1755" s="28" t="s">
        <v>77</v>
      </c>
      <c r="E1755" s="28" t="s">
        <v>77</v>
      </c>
      <c r="F1755" s="28" t="s">
        <v>77</v>
      </c>
      <c r="G1755" s="28" t="s">
        <v>77</v>
      </c>
      <c r="I1755" s="26" t="s">
        <v>77</v>
      </c>
      <c r="J1755" s="26" t="s">
        <v>77</v>
      </c>
      <c r="K1755" s="18"/>
      <c r="L1755" s="26" t="s">
        <v>77</v>
      </c>
      <c r="M1755" s="6" t="s">
        <v>77</v>
      </c>
      <c r="N1755" s="28" t="s">
        <v>77</v>
      </c>
      <c r="O1755" s="26" t="s">
        <v>77</v>
      </c>
    </row>
    <row r="1756">
      <c r="A1756" s="52" t="s">
        <v>77</v>
      </c>
      <c r="B1756" s="28" t="s">
        <v>77</v>
      </c>
      <c r="C1756" s="28" t="s">
        <v>77</v>
      </c>
      <c r="D1756" s="28" t="s">
        <v>77</v>
      </c>
      <c r="E1756" s="28" t="s">
        <v>77</v>
      </c>
      <c r="F1756" s="28" t="s">
        <v>77</v>
      </c>
      <c r="G1756" s="28" t="s">
        <v>77</v>
      </c>
      <c r="I1756" s="26" t="s">
        <v>77</v>
      </c>
      <c r="J1756" s="26" t="s">
        <v>77</v>
      </c>
      <c r="K1756" s="18"/>
      <c r="L1756" s="26" t="s">
        <v>77</v>
      </c>
      <c r="M1756" s="6" t="s">
        <v>77</v>
      </c>
      <c r="N1756" s="28" t="s">
        <v>77</v>
      </c>
      <c r="O1756" s="26" t="s">
        <v>77</v>
      </c>
    </row>
    <row r="1757">
      <c r="A1757" s="52" t="s">
        <v>77</v>
      </c>
      <c r="B1757" s="28" t="s">
        <v>77</v>
      </c>
      <c r="C1757" s="28" t="s">
        <v>77</v>
      </c>
      <c r="D1757" s="28" t="s">
        <v>77</v>
      </c>
      <c r="E1757" s="28" t="s">
        <v>77</v>
      </c>
      <c r="F1757" s="28" t="s">
        <v>77</v>
      </c>
      <c r="G1757" s="28" t="s">
        <v>77</v>
      </c>
      <c r="I1757" s="26" t="s">
        <v>77</v>
      </c>
      <c r="J1757" s="26" t="s">
        <v>77</v>
      </c>
      <c r="K1757" s="18"/>
      <c r="L1757" s="26" t="s">
        <v>77</v>
      </c>
      <c r="M1757" s="6" t="s">
        <v>77</v>
      </c>
      <c r="N1757" s="28" t="s">
        <v>77</v>
      </c>
      <c r="O1757" s="26" t="s">
        <v>77</v>
      </c>
    </row>
    <row r="1758">
      <c r="A1758" s="52" t="s">
        <v>77</v>
      </c>
      <c r="B1758" s="28" t="s">
        <v>77</v>
      </c>
      <c r="C1758" s="28" t="s">
        <v>77</v>
      </c>
      <c r="D1758" s="28" t="s">
        <v>77</v>
      </c>
      <c r="E1758" s="28" t="s">
        <v>77</v>
      </c>
      <c r="F1758" s="28" t="s">
        <v>77</v>
      </c>
      <c r="G1758" s="28" t="s">
        <v>77</v>
      </c>
      <c r="I1758" s="26" t="s">
        <v>77</v>
      </c>
      <c r="J1758" s="26" t="s">
        <v>77</v>
      </c>
      <c r="K1758" s="18"/>
      <c r="L1758" s="26" t="s">
        <v>77</v>
      </c>
      <c r="M1758" s="6" t="s">
        <v>77</v>
      </c>
      <c r="N1758" s="28" t="s">
        <v>77</v>
      </c>
      <c r="O1758" s="26" t="s">
        <v>77</v>
      </c>
    </row>
    <row r="1759">
      <c r="A1759" s="52" t="s">
        <v>77</v>
      </c>
      <c r="B1759" s="28" t="s">
        <v>77</v>
      </c>
      <c r="C1759" s="28" t="s">
        <v>77</v>
      </c>
      <c r="D1759" s="28" t="s">
        <v>77</v>
      </c>
      <c r="E1759" s="28" t="s">
        <v>77</v>
      </c>
      <c r="F1759" s="28" t="s">
        <v>77</v>
      </c>
      <c r="G1759" s="28" t="s">
        <v>77</v>
      </c>
      <c r="I1759" s="26" t="s">
        <v>77</v>
      </c>
      <c r="J1759" s="26" t="s">
        <v>77</v>
      </c>
      <c r="K1759" s="18"/>
      <c r="L1759" s="26" t="s">
        <v>77</v>
      </c>
      <c r="M1759" s="6" t="s">
        <v>77</v>
      </c>
      <c r="N1759" s="28" t="s">
        <v>77</v>
      </c>
      <c r="O1759" s="26" t="s">
        <v>77</v>
      </c>
    </row>
    <row r="1760">
      <c r="A1760" s="52" t="s">
        <v>77</v>
      </c>
      <c r="B1760" s="28" t="s">
        <v>77</v>
      </c>
      <c r="C1760" s="28" t="s">
        <v>77</v>
      </c>
      <c r="D1760" s="28" t="s">
        <v>77</v>
      </c>
      <c r="E1760" s="28" t="s">
        <v>77</v>
      </c>
      <c r="F1760" s="28" t="s">
        <v>77</v>
      </c>
      <c r="G1760" s="28" t="s">
        <v>77</v>
      </c>
      <c r="I1760" s="26" t="s">
        <v>77</v>
      </c>
      <c r="J1760" s="26" t="s">
        <v>77</v>
      </c>
      <c r="K1760" s="18"/>
      <c r="L1760" s="26" t="s">
        <v>77</v>
      </c>
      <c r="M1760" s="6" t="s">
        <v>77</v>
      </c>
      <c r="N1760" s="28" t="s">
        <v>77</v>
      </c>
      <c r="O1760" s="26" t="s">
        <v>77</v>
      </c>
    </row>
    <row r="1761">
      <c r="A1761" s="52" t="s">
        <v>77</v>
      </c>
      <c r="B1761" s="28" t="s">
        <v>77</v>
      </c>
      <c r="C1761" s="28" t="s">
        <v>77</v>
      </c>
      <c r="D1761" s="28" t="s">
        <v>77</v>
      </c>
      <c r="E1761" s="28" t="s">
        <v>77</v>
      </c>
      <c r="F1761" s="28" t="s">
        <v>77</v>
      </c>
      <c r="G1761" s="28" t="s">
        <v>77</v>
      </c>
      <c r="I1761" s="26" t="s">
        <v>77</v>
      </c>
      <c r="J1761" s="26" t="s">
        <v>77</v>
      </c>
      <c r="K1761" s="18"/>
      <c r="L1761" s="26" t="s">
        <v>77</v>
      </c>
      <c r="M1761" s="6" t="s">
        <v>77</v>
      </c>
      <c r="N1761" s="28" t="s">
        <v>77</v>
      </c>
      <c r="O1761" s="26" t="s">
        <v>77</v>
      </c>
    </row>
    <row r="1762">
      <c r="A1762" s="52" t="s">
        <v>77</v>
      </c>
      <c r="B1762" s="28" t="s">
        <v>77</v>
      </c>
      <c r="C1762" s="28" t="s">
        <v>77</v>
      </c>
      <c r="D1762" s="28" t="s">
        <v>77</v>
      </c>
      <c r="E1762" s="28" t="s">
        <v>77</v>
      </c>
      <c r="F1762" s="28" t="s">
        <v>77</v>
      </c>
      <c r="G1762" s="28" t="s">
        <v>77</v>
      </c>
      <c r="I1762" s="26" t="s">
        <v>77</v>
      </c>
      <c r="J1762" s="26" t="s">
        <v>77</v>
      </c>
      <c r="K1762" s="18"/>
      <c r="L1762" s="26" t="s">
        <v>77</v>
      </c>
      <c r="M1762" s="6" t="s">
        <v>77</v>
      </c>
      <c r="N1762" s="28" t="s">
        <v>77</v>
      </c>
      <c r="O1762" s="26" t="s">
        <v>77</v>
      </c>
    </row>
    <row r="1763">
      <c r="A1763" s="52" t="s">
        <v>77</v>
      </c>
      <c r="B1763" s="28" t="s">
        <v>77</v>
      </c>
      <c r="C1763" s="28" t="s">
        <v>77</v>
      </c>
      <c r="D1763" s="28" t="s">
        <v>77</v>
      </c>
      <c r="E1763" s="28" t="s">
        <v>77</v>
      </c>
      <c r="F1763" s="28" t="s">
        <v>77</v>
      </c>
      <c r="G1763" s="28" t="s">
        <v>77</v>
      </c>
      <c r="I1763" s="26" t="s">
        <v>77</v>
      </c>
      <c r="J1763" s="26" t="s">
        <v>77</v>
      </c>
      <c r="K1763" s="18"/>
      <c r="L1763" s="26" t="s">
        <v>77</v>
      </c>
      <c r="M1763" s="6" t="s">
        <v>77</v>
      </c>
      <c r="N1763" s="28" t="s">
        <v>77</v>
      </c>
      <c r="O1763" s="26" t="s">
        <v>77</v>
      </c>
    </row>
    <row r="1764">
      <c r="A1764" s="52" t="s">
        <v>77</v>
      </c>
      <c r="B1764" s="28" t="s">
        <v>77</v>
      </c>
      <c r="C1764" s="28" t="s">
        <v>77</v>
      </c>
      <c r="D1764" s="28" t="s">
        <v>77</v>
      </c>
      <c r="E1764" s="28" t="s">
        <v>77</v>
      </c>
      <c r="F1764" s="28" t="s">
        <v>77</v>
      </c>
      <c r="G1764" s="28" t="s">
        <v>77</v>
      </c>
      <c r="I1764" s="26" t="s">
        <v>77</v>
      </c>
      <c r="J1764" s="26" t="s">
        <v>77</v>
      </c>
      <c r="K1764" s="18"/>
      <c r="L1764" s="26" t="s">
        <v>77</v>
      </c>
      <c r="M1764" s="6" t="s">
        <v>77</v>
      </c>
      <c r="N1764" s="28" t="s">
        <v>77</v>
      </c>
      <c r="O1764" s="26" t="s">
        <v>77</v>
      </c>
    </row>
    <row r="1765">
      <c r="A1765" s="52" t="s">
        <v>77</v>
      </c>
      <c r="B1765" s="28" t="s">
        <v>77</v>
      </c>
      <c r="C1765" s="28" t="s">
        <v>77</v>
      </c>
      <c r="D1765" s="28" t="s">
        <v>77</v>
      </c>
      <c r="E1765" s="28" t="s">
        <v>77</v>
      </c>
      <c r="F1765" s="28" t="s">
        <v>77</v>
      </c>
      <c r="G1765" s="28" t="s">
        <v>77</v>
      </c>
      <c r="I1765" s="26" t="s">
        <v>77</v>
      </c>
      <c r="J1765" s="26" t="s">
        <v>77</v>
      </c>
      <c r="K1765" s="18"/>
      <c r="L1765" s="26" t="s">
        <v>77</v>
      </c>
      <c r="M1765" s="6" t="s">
        <v>77</v>
      </c>
      <c r="N1765" s="28" t="s">
        <v>77</v>
      </c>
      <c r="O1765" s="26" t="s">
        <v>77</v>
      </c>
    </row>
    <row r="1766">
      <c r="A1766" s="52" t="s">
        <v>77</v>
      </c>
      <c r="B1766" s="28" t="s">
        <v>77</v>
      </c>
      <c r="C1766" s="28" t="s">
        <v>77</v>
      </c>
      <c r="D1766" s="28" t="s">
        <v>77</v>
      </c>
      <c r="E1766" s="28" t="s">
        <v>77</v>
      </c>
      <c r="F1766" s="28" t="s">
        <v>77</v>
      </c>
      <c r="G1766" s="28" t="s">
        <v>77</v>
      </c>
      <c r="I1766" s="26" t="s">
        <v>77</v>
      </c>
      <c r="J1766" s="26" t="s">
        <v>77</v>
      </c>
      <c r="K1766" s="18"/>
      <c r="L1766" s="26" t="s">
        <v>77</v>
      </c>
      <c r="M1766" s="6" t="s">
        <v>77</v>
      </c>
      <c r="N1766" s="28" t="s">
        <v>77</v>
      </c>
      <c r="O1766" s="26" t="s">
        <v>77</v>
      </c>
    </row>
    <row r="1767">
      <c r="A1767" s="52" t="s">
        <v>77</v>
      </c>
      <c r="B1767" s="28" t="s">
        <v>77</v>
      </c>
      <c r="C1767" s="28" t="s">
        <v>77</v>
      </c>
      <c r="D1767" s="28" t="s">
        <v>77</v>
      </c>
      <c r="E1767" s="28" t="s">
        <v>77</v>
      </c>
      <c r="F1767" s="28" t="s">
        <v>77</v>
      </c>
      <c r="G1767" s="28" t="s">
        <v>77</v>
      </c>
      <c r="I1767" s="26" t="s">
        <v>77</v>
      </c>
      <c r="J1767" s="26" t="s">
        <v>77</v>
      </c>
      <c r="K1767" s="18"/>
      <c r="L1767" s="26" t="s">
        <v>77</v>
      </c>
      <c r="M1767" s="6" t="s">
        <v>77</v>
      </c>
      <c r="N1767" s="28" t="s">
        <v>77</v>
      </c>
      <c r="O1767" s="26" t="s">
        <v>77</v>
      </c>
    </row>
    <row r="1768">
      <c r="A1768" s="52" t="s">
        <v>77</v>
      </c>
      <c r="B1768" s="28" t="s">
        <v>77</v>
      </c>
      <c r="C1768" s="28" t="s">
        <v>77</v>
      </c>
      <c r="D1768" s="28" t="s">
        <v>77</v>
      </c>
      <c r="E1768" s="28" t="s">
        <v>77</v>
      </c>
      <c r="F1768" s="28" t="s">
        <v>77</v>
      </c>
      <c r="G1768" s="28" t="s">
        <v>77</v>
      </c>
      <c r="I1768" s="26" t="s">
        <v>77</v>
      </c>
      <c r="J1768" s="26" t="s">
        <v>77</v>
      </c>
      <c r="K1768" s="18"/>
      <c r="L1768" s="26" t="s">
        <v>77</v>
      </c>
      <c r="M1768" s="6" t="s">
        <v>77</v>
      </c>
      <c r="N1768" s="28" t="s">
        <v>77</v>
      </c>
      <c r="O1768" s="26" t="s">
        <v>77</v>
      </c>
    </row>
    <row r="1769">
      <c r="A1769" s="52" t="s">
        <v>77</v>
      </c>
      <c r="B1769" s="28" t="s">
        <v>77</v>
      </c>
      <c r="C1769" s="28" t="s">
        <v>77</v>
      </c>
      <c r="D1769" s="28" t="s">
        <v>77</v>
      </c>
      <c r="E1769" s="28" t="s">
        <v>77</v>
      </c>
      <c r="F1769" s="28" t="s">
        <v>77</v>
      </c>
      <c r="G1769" s="28" t="s">
        <v>77</v>
      </c>
      <c r="I1769" s="26" t="s">
        <v>77</v>
      </c>
      <c r="J1769" s="26" t="s">
        <v>77</v>
      </c>
      <c r="K1769" s="18"/>
      <c r="L1769" s="26" t="s">
        <v>77</v>
      </c>
      <c r="M1769" s="6" t="s">
        <v>77</v>
      </c>
      <c r="N1769" s="28" t="s">
        <v>77</v>
      </c>
      <c r="O1769" s="26" t="s">
        <v>77</v>
      </c>
    </row>
    <row r="1770">
      <c r="A1770" s="52" t="s">
        <v>77</v>
      </c>
      <c r="B1770" s="28" t="s">
        <v>77</v>
      </c>
      <c r="C1770" s="28" t="s">
        <v>77</v>
      </c>
      <c r="D1770" s="28" t="s">
        <v>77</v>
      </c>
      <c r="E1770" s="28" t="s">
        <v>77</v>
      </c>
      <c r="F1770" s="28" t="s">
        <v>77</v>
      </c>
      <c r="G1770" s="28" t="s">
        <v>77</v>
      </c>
      <c r="I1770" s="26" t="s">
        <v>77</v>
      </c>
      <c r="J1770" s="26" t="s">
        <v>77</v>
      </c>
      <c r="K1770" s="18"/>
      <c r="L1770" s="26" t="s">
        <v>77</v>
      </c>
      <c r="M1770" s="6" t="s">
        <v>77</v>
      </c>
      <c r="N1770" s="28" t="s">
        <v>77</v>
      </c>
      <c r="O1770" s="26" t="s">
        <v>77</v>
      </c>
    </row>
    <row r="1771">
      <c r="A1771" s="52" t="s">
        <v>77</v>
      </c>
      <c r="B1771" s="28" t="s">
        <v>77</v>
      </c>
      <c r="C1771" s="28" t="s">
        <v>77</v>
      </c>
      <c r="D1771" s="28" t="s">
        <v>77</v>
      </c>
      <c r="E1771" s="28" t="s">
        <v>77</v>
      </c>
      <c r="F1771" s="28" t="s">
        <v>77</v>
      </c>
      <c r="G1771" s="28" t="s">
        <v>77</v>
      </c>
      <c r="I1771" s="26" t="s">
        <v>77</v>
      </c>
      <c r="J1771" s="26" t="s">
        <v>77</v>
      </c>
      <c r="K1771" s="18"/>
      <c r="L1771" s="26" t="s">
        <v>77</v>
      </c>
      <c r="M1771" s="6" t="s">
        <v>77</v>
      </c>
      <c r="N1771" s="28" t="s">
        <v>77</v>
      </c>
      <c r="O1771" s="26" t="s">
        <v>77</v>
      </c>
    </row>
    <row r="1772">
      <c r="A1772" s="52" t="s">
        <v>77</v>
      </c>
      <c r="B1772" s="28" t="s">
        <v>77</v>
      </c>
      <c r="C1772" s="28" t="s">
        <v>77</v>
      </c>
      <c r="D1772" s="28" t="s">
        <v>77</v>
      </c>
      <c r="E1772" s="28" t="s">
        <v>77</v>
      </c>
      <c r="F1772" s="28" t="s">
        <v>77</v>
      </c>
      <c r="G1772" s="28" t="s">
        <v>77</v>
      </c>
      <c r="I1772" s="26" t="s">
        <v>77</v>
      </c>
      <c r="J1772" s="26" t="s">
        <v>77</v>
      </c>
      <c r="K1772" s="18"/>
      <c r="L1772" s="26" t="s">
        <v>77</v>
      </c>
      <c r="M1772" s="6" t="s">
        <v>77</v>
      </c>
      <c r="N1772" s="28" t="s">
        <v>77</v>
      </c>
      <c r="O1772" s="26" t="s">
        <v>77</v>
      </c>
    </row>
    <row r="1773">
      <c r="A1773" s="52" t="s">
        <v>77</v>
      </c>
      <c r="B1773" s="28" t="s">
        <v>77</v>
      </c>
      <c r="C1773" s="28" t="s">
        <v>77</v>
      </c>
      <c r="D1773" s="28" t="s">
        <v>77</v>
      </c>
      <c r="E1773" s="28" t="s">
        <v>77</v>
      </c>
      <c r="F1773" s="28" t="s">
        <v>77</v>
      </c>
      <c r="G1773" s="28" t="s">
        <v>77</v>
      </c>
      <c r="I1773" s="26" t="s">
        <v>77</v>
      </c>
      <c r="J1773" s="26" t="s">
        <v>77</v>
      </c>
      <c r="K1773" s="18"/>
      <c r="L1773" s="26" t="s">
        <v>77</v>
      </c>
      <c r="M1773" s="6" t="s">
        <v>77</v>
      </c>
      <c r="N1773" s="28" t="s">
        <v>77</v>
      </c>
      <c r="O1773" s="26" t="s">
        <v>77</v>
      </c>
    </row>
    <row r="1774">
      <c r="A1774" s="52" t="s">
        <v>77</v>
      </c>
      <c r="B1774" s="28" t="s">
        <v>77</v>
      </c>
      <c r="C1774" s="28" t="s">
        <v>77</v>
      </c>
      <c r="D1774" s="28" t="s">
        <v>77</v>
      </c>
      <c r="E1774" s="28" t="s">
        <v>77</v>
      </c>
      <c r="F1774" s="28" t="s">
        <v>77</v>
      </c>
      <c r="G1774" s="28" t="s">
        <v>77</v>
      </c>
      <c r="I1774" s="26" t="s">
        <v>77</v>
      </c>
      <c r="J1774" s="26" t="s">
        <v>77</v>
      </c>
      <c r="K1774" s="18"/>
      <c r="L1774" s="26" t="s">
        <v>77</v>
      </c>
      <c r="M1774" s="6" t="s">
        <v>77</v>
      </c>
      <c r="N1774" s="28" t="s">
        <v>77</v>
      </c>
      <c r="O1774" s="26" t="s">
        <v>77</v>
      </c>
    </row>
    <row r="1775">
      <c r="A1775" s="52" t="s">
        <v>77</v>
      </c>
      <c r="B1775" s="28" t="s">
        <v>77</v>
      </c>
      <c r="C1775" s="28" t="s">
        <v>77</v>
      </c>
      <c r="D1775" s="28" t="s">
        <v>77</v>
      </c>
      <c r="E1775" s="28" t="s">
        <v>77</v>
      </c>
      <c r="F1775" s="28" t="s">
        <v>77</v>
      </c>
      <c r="G1775" s="28" t="s">
        <v>77</v>
      </c>
      <c r="I1775" s="26" t="s">
        <v>77</v>
      </c>
      <c r="J1775" s="26" t="s">
        <v>77</v>
      </c>
      <c r="K1775" s="18"/>
      <c r="L1775" s="26" t="s">
        <v>77</v>
      </c>
      <c r="M1775" s="6" t="s">
        <v>77</v>
      </c>
      <c r="N1775" s="28" t="s">
        <v>77</v>
      </c>
      <c r="O1775" s="26" t="s">
        <v>77</v>
      </c>
    </row>
    <row r="1776">
      <c r="A1776" s="52" t="s">
        <v>77</v>
      </c>
      <c r="B1776" s="28" t="s">
        <v>77</v>
      </c>
      <c r="C1776" s="28" t="s">
        <v>77</v>
      </c>
      <c r="D1776" s="28" t="s">
        <v>77</v>
      </c>
      <c r="E1776" s="28" t="s">
        <v>77</v>
      </c>
      <c r="F1776" s="28" t="s">
        <v>77</v>
      </c>
      <c r="G1776" s="28" t="s">
        <v>77</v>
      </c>
      <c r="I1776" s="26" t="s">
        <v>77</v>
      </c>
      <c r="J1776" s="26" t="s">
        <v>77</v>
      </c>
      <c r="K1776" s="18"/>
      <c r="L1776" s="26" t="s">
        <v>77</v>
      </c>
      <c r="M1776" s="6" t="s">
        <v>77</v>
      </c>
      <c r="N1776" s="28" t="s">
        <v>77</v>
      </c>
      <c r="O1776" s="26" t="s">
        <v>77</v>
      </c>
    </row>
    <row r="1777">
      <c r="A1777" s="52" t="s">
        <v>77</v>
      </c>
      <c r="B1777" s="28" t="s">
        <v>77</v>
      </c>
      <c r="C1777" s="28" t="s">
        <v>77</v>
      </c>
      <c r="D1777" s="28" t="s">
        <v>77</v>
      </c>
      <c r="E1777" s="28" t="s">
        <v>77</v>
      </c>
      <c r="F1777" s="28" t="s">
        <v>77</v>
      </c>
      <c r="G1777" s="28" t="s">
        <v>77</v>
      </c>
      <c r="I1777" s="26" t="s">
        <v>77</v>
      </c>
      <c r="J1777" s="26" t="s">
        <v>77</v>
      </c>
      <c r="K1777" s="18"/>
      <c r="L1777" s="26" t="s">
        <v>77</v>
      </c>
      <c r="M1777" s="6" t="s">
        <v>77</v>
      </c>
      <c r="N1777" s="28" t="s">
        <v>77</v>
      </c>
      <c r="O1777" s="26" t="s">
        <v>77</v>
      </c>
    </row>
    <row r="1778">
      <c r="A1778" s="52" t="s">
        <v>77</v>
      </c>
      <c r="B1778" s="28" t="s">
        <v>77</v>
      </c>
      <c r="C1778" s="28" t="s">
        <v>77</v>
      </c>
      <c r="D1778" s="28" t="s">
        <v>77</v>
      </c>
      <c r="E1778" s="28" t="s">
        <v>77</v>
      </c>
      <c r="F1778" s="28" t="s">
        <v>77</v>
      </c>
      <c r="G1778" s="28" t="s">
        <v>77</v>
      </c>
      <c r="I1778" s="26" t="s">
        <v>77</v>
      </c>
      <c r="J1778" s="26" t="s">
        <v>77</v>
      </c>
      <c r="K1778" s="18"/>
      <c r="L1778" s="26" t="s">
        <v>77</v>
      </c>
      <c r="M1778" s="6" t="s">
        <v>77</v>
      </c>
      <c r="N1778" s="28" t="s">
        <v>77</v>
      </c>
      <c r="O1778" s="26" t="s">
        <v>77</v>
      </c>
    </row>
    <row r="1779">
      <c r="A1779" s="52" t="s">
        <v>77</v>
      </c>
      <c r="B1779" s="28" t="s">
        <v>77</v>
      </c>
      <c r="C1779" s="28" t="s">
        <v>77</v>
      </c>
      <c r="D1779" s="28" t="s">
        <v>77</v>
      </c>
      <c r="E1779" s="28" t="s">
        <v>77</v>
      </c>
      <c r="F1779" s="28" t="s">
        <v>77</v>
      </c>
      <c r="G1779" s="28" t="s">
        <v>77</v>
      </c>
      <c r="I1779" s="26" t="s">
        <v>77</v>
      </c>
      <c r="J1779" s="26" t="s">
        <v>77</v>
      </c>
      <c r="K1779" s="18"/>
      <c r="L1779" s="26" t="s">
        <v>77</v>
      </c>
      <c r="M1779" s="6" t="s">
        <v>77</v>
      </c>
      <c r="N1779" s="28" t="s">
        <v>77</v>
      </c>
      <c r="O1779" s="26" t="s">
        <v>77</v>
      </c>
    </row>
    <row r="1780">
      <c r="A1780" s="52" t="s">
        <v>77</v>
      </c>
      <c r="B1780" s="28" t="s">
        <v>77</v>
      </c>
      <c r="C1780" s="28" t="s">
        <v>77</v>
      </c>
      <c r="D1780" s="28" t="s">
        <v>77</v>
      </c>
      <c r="E1780" s="28" t="s">
        <v>77</v>
      </c>
      <c r="F1780" s="28" t="s">
        <v>77</v>
      </c>
      <c r="G1780" s="28" t="s">
        <v>77</v>
      </c>
      <c r="I1780" s="26" t="s">
        <v>77</v>
      </c>
      <c r="J1780" s="26" t="s">
        <v>77</v>
      </c>
      <c r="K1780" s="18"/>
      <c r="L1780" s="26" t="s">
        <v>77</v>
      </c>
      <c r="M1780" s="6" t="s">
        <v>77</v>
      </c>
      <c r="N1780" s="28" t="s">
        <v>77</v>
      </c>
      <c r="O1780" s="26" t="s">
        <v>77</v>
      </c>
    </row>
    <row r="1781">
      <c r="A1781" s="52" t="s">
        <v>77</v>
      </c>
      <c r="B1781" s="28" t="s">
        <v>77</v>
      </c>
      <c r="C1781" s="28" t="s">
        <v>77</v>
      </c>
      <c r="D1781" s="28" t="s">
        <v>77</v>
      </c>
      <c r="E1781" s="28" t="s">
        <v>77</v>
      </c>
      <c r="F1781" s="28" t="s">
        <v>77</v>
      </c>
      <c r="G1781" s="28" t="s">
        <v>77</v>
      </c>
      <c r="I1781" s="26" t="s">
        <v>77</v>
      </c>
      <c r="J1781" s="26" t="s">
        <v>77</v>
      </c>
      <c r="K1781" s="18"/>
      <c r="L1781" s="26" t="s">
        <v>77</v>
      </c>
      <c r="M1781" s="6" t="s">
        <v>77</v>
      </c>
      <c r="N1781" s="28" t="s">
        <v>77</v>
      </c>
      <c r="O1781" s="26" t="s">
        <v>77</v>
      </c>
    </row>
    <row r="1782">
      <c r="A1782" s="52" t="s">
        <v>77</v>
      </c>
      <c r="B1782" s="28" t="s">
        <v>77</v>
      </c>
      <c r="C1782" s="28" t="s">
        <v>77</v>
      </c>
      <c r="D1782" s="28" t="s">
        <v>77</v>
      </c>
      <c r="E1782" s="28" t="s">
        <v>77</v>
      </c>
      <c r="F1782" s="28" t="s">
        <v>77</v>
      </c>
      <c r="G1782" s="28" t="s">
        <v>77</v>
      </c>
      <c r="I1782" s="26" t="s">
        <v>77</v>
      </c>
      <c r="J1782" s="26" t="s">
        <v>77</v>
      </c>
      <c r="K1782" s="18"/>
      <c r="L1782" s="26" t="s">
        <v>77</v>
      </c>
      <c r="M1782" s="6" t="s">
        <v>77</v>
      </c>
      <c r="N1782" s="28" t="s">
        <v>77</v>
      </c>
      <c r="O1782" s="26" t="s">
        <v>77</v>
      </c>
    </row>
    <row r="1783">
      <c r="A1783" s="52" t="s">
        <v>77</v>
      </c>
      <c r="B1783" s="28" t="s">
        <v>77</v>
      </c>
      <c r="C1783" s="28" t="s">
        <v>77</v>
      </c>
      <c r="D1783" s="28" t="s">
        <v>77</v>
      </c>
      <c r="E1783" s="28" t="s">
        <v>77</v>
      </c>
      <c r="F1783" s="28" t="s">
        <v>77</v>
      </c>
      <c r="G1783" s="28" t="s">
        <v>77</v>
      </c>
      <c r="I1783" s="26" t="s">
        <v>77</v>
      </c>
      <c r="J1783" s="26" t="s">
        <v>77</v>
      </c>
      <c r="K1783" s="18"/>
      <c r="L1783" s="26" t="s">
        <v>77</v>
      </c>
      <c r="M1783" s="6" t="s">
        <v>77</v>
      </c>
      <c r="N1783" s="28" t="s">
        <v>77</v>
      </c>
      <c r="O1783" s="26" t="s">
        <v>77</v>
      </c>
    </row>
    <row r="1784">
      <c r="A1784" s="52" t="s">
        <v>77</v>
      </c>
      <c r="B1784" s="28" t="s">
        <v>77</v>
      </c>
      <c r="C1784" s="28" t="s">
        <v>77</v>
      </c>
      <c r="D1784" s="28" t="s">
        <v>77</v>
      </c>
      <c r="E1784" s="28" t="s">
        <v>77</v>
      </c>
      <c r="F1784" s="28" t="s">
        <v>77</v>
      </c>
      <c r="G1784" s="28" t="s">
        <v>77</v>
      </c>
      <c r="I1784" s="26" t="s">
        <v>77</v>
      </c>
      <c r="J1784" s="26" t="s">
        <v>77</v>
      </c>
      <c r="K1784" s="18"/>
      <c r="L1784" s="26" t="s">
        <v>77</v>
      </c>
      <c r="M1784" s="6" t="s">
        <v>77</v>
      </c>
      <c r="N1784" s="28" t="s">
        <v>77</v>
      </c>
      <c r="O1784" s="26" t="s">
        <v>77</v>
      </c>
    </row>
    <row r="1785">
      <c r="A1785" s="52" t="s">
        <v>77</v>
      </c>
      <c r="B1785" s="28" t="s">
        <v>77</v>
      </c>
      <c r="C1785" s="28" t="s">
        <v>77</v>
      </c>
      <c r="D1785" s="28" t="s">
        <v>77</v>
      </c>
      <c r="E1785" s="28" t="s">
        <v>77</v>
      </c>
      <c r="F1785" s="28" t="s">
        <v>77</v>
      </c>
      <c r="G1785" s="28" t="s">
        <v>77</v>
      </c>
      <c r="I1785" s="26" t="s">
        <v>77</v>
      </c>
      <c r="J1785" s="26" t="s">
        <v>77</v>
      </c>
      <c r="K1785" s="18"/>
      <c r="L1785" s="26" t="s">
        <v>77</v>
      </c>
      <c r="M1785" s="6" t="s">
        <v>77</v>
      </c>
      <c r="N1785" s="28" t="s">
        <v>77</v>
      </c>
      <c r="O1785" s="26" t="s">
        <v>77</v>
      </c>
    </row>
    <row r="1786">
      <c r="A1786" s="52" t="s">
        <v>77</v>
      </c>
      <c r="B1786" s="28" t="s">
        <v>77</v>
      </c>
      <c r="C1786" s="28" t="s">
        <v>77</v>
      </c>
      <c r="D1786" s="28" t="s">
        <v>77</v>
      </c>
      <c r="E1786" s="28" t="s">
        <v>77</v>
      </c>
      <c r="F1786" s="28" t="s">
        <v>77</v>
      </c>
      <c r="G1786" s="28" t="s">
        <v>77</v>
      </c>
      <c r="I1786" s="26" t="s">
        <v>77</v>
      </c>
      <c r="J1786" s="26" t="s">
        <v>77</v>
      </c>
      <c r="K1786" s="18"/>
      <c r="L1786" s="26" t="s">
        <v>77</v>
      </c>
      <c r="M1786" s="6" t="s">
        <v>77</v>
      </c>
      <c r="N1786" s="28" t="s">
        <v>77</v>
      </c>
      <c r="O1786" s="26" t="s">
        <v>77</v>
      </c>
    </row>
    <row r="1787">
      <c r="A1787" s="52" t="s">
        <v>77</v>
      </c>
      <c r="B1787" s="28" t="s">
        <v>77</v>
      </c>
      <c r="C1787" s="28" t="s">
        <v>77</v>
      </c>
      <c r="D1787" s="28" t="s">
        <v>77</v>
      </c>
      <c r="E1787" s="28" t="s">
        <v>77</v>
      </c>
      <c r="F1787" s="28" t="s">
        <v>77</v>
      </c>
      <c r="G1787" s="28" t="s">
        <v>77</v>
      </c>
      <c r="I1787" s="26" t="s">
        <v>77</v>
      </c>
      <c r="J1787" s="26" t="s">
        <v>77</v>
      </c>
      <c r="K1787" s="18"/>
      <c r="L1787" s="26" t="s">
        <v>77</v>
      </c>
      <c r="M1787" s="6" t="s">
        <v>77</v>
      </c>
      <c r="N1787" s="28" t="s">
        <v>77</v>
      </c>
      <c r="O1787" s="26" t="s">
        <v>77</v>
      </c>
    </row>
    <row r="1788">
      <c r="A1788" s="52" t="s">
        <v>77</v>
      </c>
      <c r="B1788" s="28" t="s">
        <v>77</v>
      </c>
      <c r="C1788" s="28" t="s">
        <v>77</v>
      </c>
      <c r="D1788" s="28" t="s">
        <v>77</v>
      </c>
      <c r="E1788" s="28" t="s">
        <v>77</v>
      </c>
      <c r="F1788" s="28" t="s">
        <v>77</v>
      </c>
      <c r="G1788" s="28" t="s">
        <v>77</v>
      </c>
      <c r="I1788" s="26" t="s">
        <v>77</v>
      </c>
      <c r="J1788" s="26" t="s">
        <v>77</v>
      </c>
      <c r="K1788" s="18"/>
      <c r="L1788" s="26" t="s">
        <v>77</v>
      </c>
      <c r="M1788" s="6" t="s">
        <v>77</v>
      </c>
      <c r="N1788" s="28" t="s">
        <v>77</v>
      </c>
      <c r="O1788" s="26" t="s">
        <v>77</v>
      </c>
    </row>
    <row r="1789">
      <c r="A1789" s="52" t="s">
        <v>77</v>
      </c>
      <c r="B1789" s="28" t="s">
        <v>77</v>
      </c>
      <c r="C1789" s="28" t="s">
        <v>77</v>
      </c>
      <c r="D1789" s="28" t="s">
        <v>77</v>
      </c>
      <c r="E1789" s="28" t="s">
        <v>77</v>
      </c>
      <c r="F1789" s="28" t="s">
        <v>77</v>
      </c>
      <c r="G1789" s="28" t="s">
        <v>77</v>
      </c>
      <c r="I1789" s="26" t="s">
        <v>77</v>
      </c>
      <c r="J1789" s="26" t="s">
        <v>77</v>
      </c>
      <c r="K1789" s="18"/>
      <c r="L1789" s="26" t="s">
        <v>77</v>
      </c>
      <c r="M1789" s="6" t="s">
        <v>77</v>
      </c>
      <c r="N1789" s="28" t="s">
        <v>77</v>
      </c>
      <c r="O1789" s="26" t="s">
        <v>77</v>
      </c>
    </row>
    <row r="1790">
      <c r="A1790" s="52" t="s">
        <v>77</v>
      </c>
      <c r="B1790" s="28" t="s">
        <v>77</v>
      </c>
      <c r="C1790" s="28" t="s">
        <v>77</v>
      </c>
      <c r="D1790" s="28" t="s">
        <v>77</v>
      </c>
      <c r="E1790" s="28" t="s">
        <v>77</v>
      </c>
      <c r="F1790" s="28" t="s">
        <v>77</v>
      </c>
      <c r="G1790" s="28" t="s">
        <v>77</v>
      </c>
      <c r="I1790" s="26" t="s">
        <v>77</v>
      </c>
      <c r="J1790" s="26" t="s">
        <v>77</v>
      </c>
      <c r="K1790" s="18"/>
      <c r="L1790" s="26" t="s">
        <v>77</v>
      </c>
      <c r="M1790" s="6" t="s">
        <v>77</v>
      </c>
      <c r="N1790" s="28" t="s">
        <v>77</v>
      </c>
      <c r="O1790" s="26" t="s">
        <v>77</v>
      </c>
    </row>
    <row r="1791">
      <c r="A1791" s="52" t="s">
        <v>77</v>
      </c>
      <c r="B1791" s="28" t="s">
        <v>77</v>
      </c>
      <c r="C1791" s="28" t="s">
        <v>77</v>
      </c>
      <c r="D1791" s="28" t="s">
        <v>77</v>
      </c>
      <c r="E1791" s="28" t="s">
        <v>77</v>
      </c>
      <c r="F1791" s="28" t="s">
        <v>77</v>
      </c>
      <c r="G1791" s="28" t="s">
        <v>77</v>
      </c>
      <c r="I1791" s="26" t="s">
        <v>77</v>
      </c>
      <c r="J1791" s="26" t="s">
        <v>77</v>
      </c>
      <c r="K1791" s="18"/>
      <c r="L1791" s="26" t="s">
        <v>77</v>
      </c>
      <c r="M1791" s="6" t="s">
        <v>77</v>
      </c>
      <c r="N1791" s="28" t="s">
        <v>77</v>
      </c>
      <c r="O1791" s="26" t="s">
        <v>77</v>
      </c>
    </row>
    <row r="1792">
      <c r="A1792" s="52" t="s">
        <v>77</v>
      </c>
      <c r="B1792" s="28" t="s">
        <v>77</v>
      </c>
      <c r="C1792" s="28" t="s">
        <v>77</v>
      </c>
      <c r="D1792" s="28" t="s">
        <v>77</v>
      </c>
      <c r="E1792" s="28" t="s">
        <v>77</v>
      </c>
      <c r="F1792" s="28" t="s">
        <v>77</v>
      </c>
      <c r="G1792" s="28" t="s">
        <v>77</v>
      </c>
      <c r="I1792" s="26" t="s">
        <v>77</v>
      </c>
      <c r="J1792" s="26" t="s">
        <v>77</v>
      </c>
      <c r="K1792" s="18"/>
      <c r="L1792" s="26" t="s">
        <v>77</v>
      </c>
      <c r="M1792" s="6" t="s">
        <v>77</v>
      </c>
      <c r="N1792" s="28" t="s">
        <v>77</v>
      </c>
      <c r="O1792" s="26" t="s">
        <v>77</v>
      </c>
    </row>
    <row r="1793">
      <c r="A1793" s="52" t="s">
        <v>77</v>
      </c>
      <c r="B1793" s="28" t="s">
        <v>77</v>
      </c>
      <c r="C1793" s="28" t="s">
        <v>77</v>
      </c>
      <c r="D1793" s="28" t="s">
        <v>77</v>
      </c>
      <c r="E1793" s="28" t="s">
        <v>77</v>
      </c>
      <c r="F1793" s="28" t="s">
        <v>77</v>
      </c>
      <c r="G1793" s="28" t="s">
        <v>77</v>
      </c>
      <c r="I1793" s="26" t="s">
        <v>77</v>
      </c>
      <c r="J1793" s="26" t="s">
        <v>77</v>
      </c>
      <c r="K1793" s="18"/>
      <c r="L1793" s="26" t="s">
        <v>77</v>
      </c>
      <c r="M1793" s="6" t="s">
        <v>77</v>
      </c>
      <c r="N1793" s="28" t="s">
        <v>77</v>
      </c>
      <c r="O1793" s="26" t="s">
        <v>77</v>
      </c>
    </row>
    <row r="1794">
      <c r="A1794" s="52" t="s">
        <v>77</v>
      </c>
      <c r="B1794" s="28" t="s">
        <v>77</v>
      </c>
      <c r="C1794" s="28" t="s">
        <v>77</v>
      </c>
      <c r="D1794" s="28" t="s">
        <v>77</v>
      </c>
      <c r="E1794" s="28" t="s">
        <v>77</v>
      </c>
      <c r="F1794" s="28" t="s">
        <v>77</v>
      </c>
      <c r="G1794" s="28" t="s">
        <v>77</v>
      </c>
      <c r="I1794" s="26" t="s">
        <v>77</v>
      </c>
      <c r="J1794" s="26" t="s">
        <v>77</v>
      </c>
      <c r="K1794" s="18"/>
      <c r="L1794" s="26" t="s">
        <v>77</v>
      </c>
      <c r="M1794" s="6" t="s">
        <v>77</v>
      </c>
      <c r="N1794" s="28" t="s">
        <v>77</v>
      </c>
      <c r="O1794" s="26" t="s">
        <v>77</v>
      </c>
    </row>
    <row r="1795">
      <c r="A1795" s="52" t="s">
        <v>77</v>
      </c>
      <c r="B1795" s="28" t="s">
        <v>77</v>
      </c>
      <c r="C1795" s="28" t="s">
        <v>77</v>
      </c>
      <c r="D1795" s="28" t="s">
        <v>77</v>
      </c>
      <c r="E1795" s="28" t="s">
        <v>77</v>
      </c>
      <c r="F1795" s="28" t="s">
        <v>77</v>
      </c>
      <c r="G1795" s="28" t="s">
        <v>77</v>
      </c>
      <c r="I1795" s="26" t="s">
        <v>77</v>
      </c>
      <c r="J1795" s="26" t="s">
        <v>77</v>
      </c>
      <c r="K1795" s="18"/>
      <c r="L1795" s="26" t="s">
        <v>77</v>
      </c>
      <c r="M1795" s="6" t="s">
        <v>77</v>
      </c>
      <c r="N1795" s="28" t="s">
        <v>77</v>
      </c>
      <c r="O1795" s="26" t="s">
        <v>77</v>
      </c>
    </row>
    <row r="1796">
      <c r="A1796" s="52" t="s">
        <v>77</v>
      </c>
      <c r="B1796" s="28" t="s">
        <v>77</v>
      </c>
      <c r="C1796" s="28" t="s">
        <v>77</v>
      </c>
      <c r="D1796" s="28" t="s">
        <v>77</v>
      </c>
      <c r="E1796" s="28" t="s">
        <v>77</v>
      </c>
      <c r="F1796" s="28" t="s">
        <v>77</v>
      </c>
      <c r="G1796" s="28" t="s">
        <v>77</v>
      </c>
      <c r="I1796" s="26" t="s">
        <v>77</v>
      </c>
      <c r="J1796" s="26" t="s">
        <v>77</v>
      </c>
      <c r="K1796" s="18"/>
      <c r="L1796" s="26" t="s">
        <v>77</v>
      </c>
      <c r="M1796" s="6" t="s">
        <v>77</v>
      </c>
      <c r="N1796" s="28" t="s">
        <v>77</v>
      </c>
      <c r="O1796" s="26" t="s">
        <v>77</v>
      </c>
    </row>
    <row r="1797">
      <c r="A1797" s="52" t="s">
        <v>77</v>
      </c>
      <c r="B1797" s="28" t="s">
        <v>77</v>
      </c>
      <c r="C1797" s="28" t="s">
        <v>77</v>
      </c>
      <c r="D1797" s="28" t="s">
        <v>77</v>
      </c>
      <c r="E1797" s="28" t="s">
        <v>77</v>
      </c>
      <c r="F1797" s="28" t="s">
        <v>77</v>
      </c>
      <c r="G1797" s="28" t="s">
        <v>77</v>
      </c>
      <c r="I1797" s="26" t="s">
        <v>77</v>
      </c>
      <c r="J1797" s="26" t="s">
        <v>77</v>
      </c>
      <c r="K1797" s="18"/>
      <c r="L1797" s="26" t="s">
        <v>77</v>
      </c>
      <c r="M1797" s="6" t="s">
        <v>77</v>
      </c>
      <c r="N1797" s="28" t="s">
        <v>77</v>
      </c>
      <c r="O1797" s="26" t="s">
        <v>77</v>
      </c>
    </row>
    <row r="1798">
      <c r="A1798" s="52" t="s">
        <v>77</v>
      </c>
      <c r="B1798" s="28" t="s">
        <v>77</v>
      </c>
      <c r="C1798" s="28" t="s">
        <v>77</v>
      </c>
      <c r="D1798" s="28" t="s">
        <v>77</v>
      </c>
      <c r="E1798" s="28" t="s">
        <v>77</v>
      </c>
      <c r="F1798" s="28" t="s">
        <v>77</v>
      </c>
      <c r="G1798" s="28" t="s">
        <v>77</v>
      </c>
      <c r="I1798" s="26" t="s">
        <v>77</v>
      </c>
      <c r="J1798" s="26" t="s">
        <v>77</v>
      </c>
      <c r="K1798" s="18"/>
      <c r="L1798" s="26" t="s">
        <v>77</v>
      </c>
      <c r="M1798" s="6" t="s">
        <v>77</v>
      </c>
      <c r="N1798" s="28" t="s">
        <v>77</v>
      </c>
      <c r="O1798" s="26" t="s">
        <v>77</v>
      </c>
    </row>
    <row r="1799">
      <c r="A1799" s="52" t="s">
        <v>77</v>
      </c>
      <c r="B1799" s="28" t="s">
        <v>77</v>
      </c>
      <c r="C1799" s="28" t="s">
        <v>77</v>
      </c>
      <c r="D1799" s="28" t="s">
        <v>77</v>
      </c>
      <c r="E1799" s="28" t="s">
        <v>77</v>
      </c>
      <c r="F1799" s="28" t="s">
        <v>77</v>
      </c>
      <c r="G1799" s="28" t="s">
        <v>77</v>
      </c>
      <c r="I1799" s="26" t="s">
        <v>77</v>
      </c>
      <c r="J1799" s="26" t="s">
        <v>77</v>
      </c>
      <c r="K1799" s="18"/>
      <c r="L1799" s="26" t="s">
        <v>77</v>
      </c>
      <c r="M1799" s="6" t="s">
        <v>77</v>
      </c>
      <c r="N1799" s="28" t="s">
        <v>77</v>
      </c>
      <c r="O1799" s="26" t="s">
        <v>77</v>
      </c>
    </row>
    <row r="1800">
      <c r="A1800" s="52" t="s">
        <v>77</v>
      </c>
      <c r="B1800" s="28" t="s">
        <v>77</v>
      </c>
      <c r="C1800" s="28" t="s">
        <v>77</v>
      </c>
      <c r="D1800" s="28" t="s">
        <v>77</v>
      </c>
      <c r="E1800" s="28" t="s">
        <v>77</v>
      </c>
      <c r="F1800" s="28" t="s">
        <v>77</v>
      </c>
      <c r="G1800" s="28" t="s">
        <v>77</v>
      </c>
      <c r="I1800" s="26" t="s">
        <v>77</v>
      </c>
      <c r="J1800" s="26" t="s">
        <v>77</v>
      </c>
      <c r="K1800" s="18"/>
      <c r="L1800" s="26" t="s">
        <v>77</v>
      </c>
      <c r="M1800" s="6" t="s">
        <v>77</v>
      </c>
      <c r="N1800" s="28" t="s">
        <v>77</v>
      </c>
      <c r="O1800" s="26" t="s">
        <v>77</v>
      </c>
    </row>
    <row r="1801">
      <c r="A1801" s="52" t="s">
        <v>77</v>
      </c>
      <c r="B1801" s="28" t="s">
        <v>77</v>
      </c>
      <c r="C1801" s="28" t="s">
        <v>77</v>
      </c>
      <c r="D1801" s="28" t="s">
        <v>77</v>
      </c>
      <c r="E1801" s="28" t="s">
        <v>77</v>
      </c>
      <c r="F1801" s="28" t="s">
        <v>77</v>
      </c>
      <c r="G1801" s="28" t="s">
        <v>77</v>
      </c>
      <c r="I1801" s="26" t="s">
        <v>77</v>
      </c>
      <c r="J1801" s="26" t="s">
        <v>77</v>
      </c>
      <c r="K1801" s="18"/>
      <c r="L1801" s="26" t="s">
        <v>77</v>
      </c>
      <c r="M1801" s="6" t="s">
        <v>77</v>
      </c>
      <c r="N1801" s="28" t="s">
        <v>77</v>
      </c>
      <c r="O1801" s="26" t="s">
        <v>77</v>
      </c>
    </row>
    <row r="1802">
      <c r="A1802" s="52" t="s">
        <v>77</v>
      </c>
      <c r="B1802" s="28" t="s">
        <v>77</v>
      </c>
      <c r="C1802" s="28" t="s">
        <v>77</v>
      </c>
      <c r="D1802" s="28" t="s">
        <v>77</v>
      </c>
      <c r="E1802" s="28" t="s">
        <v>77</v>
      </c>
      <c r="F1802" s="28" t="s">
        <v>77</v>
      </c>
      <c r="G1802" s="28" t="s">
        <v>77</v>
      </c>
      <c r="I1802" s="26" t="s">
        <v>77</v>
      </c>
      <c r="J1802" s="26" t="s">
        <v>77</v>
      </c>
      <c r="K1802" s="18"/>
      <c r="L1802" s="26" t="s">
        <v>77</v>
      </c>
      <c r="M1802" s="6" t="s">
        <v>77</v>
      </c>
      <c r="N1802" s="28" t="s">
        <v>77</v>
      </c>
      <c r="O1802" s="26" t="s">
        <v>77</v>
      </c>
    </row>
    <row r="1803">
      <c r="A1803" s="52" t="s">
        <v>77</v>
      </c>
      <c r="B1803" s="28" t="s">
        <v>77</v>
      </c>
      <c r="C1803" s="28" t="s">
        <v>77</v>
      </c>
      <c r="D1803" s="28" t="s">
        <v>77</v>
      </c>
      <c r="E1803" s="28" t="s">
        <v>77</v>
      </c>
      <c r="F1803" s="28" t="s">
        <v>77</v>
      </c>
      <c r="G1803" s="28" t="s">
        <v>77</v>
      </c>
      <c r="I1803" s="26" t="s">
        <v>77</v>
      </c>
      <c r="J1803" s="26" t="s">
        <v>77</v>
      </c>
      <c r="K1803" s="18"/>
      <c r="L1803" s="26" t="s">
        <v>77</v>
      </c>
      <c r="M1803" s="6" t="s">
        <v>77</v>
      </c>
      <c r="N1803" s="28" t="s">
        <v>77</v>
      </c>
      <c r="O1803" s="26" t="s">
        <v>77</v>
      </c>
    </row>
    <row r="1804">
      <c r="A1804" s="52" t="s">
        <v>77</v>
      </c>
      <c r="B1804" s="28" t="s">
        <v>77</v>
      </c>
      <c r="C1804" s="28" t="s">
        <v>77</v>
      </c>
      <c r="D1804" s="28" t="s">
        <v>77</v>
      </c>
      <c r="E1804" s="28" t="s">
        <v>77</v>
      </c>
      <c r="F1804" s="28" t="s">
        <v>77</v>
      </c>
      <c r="G1804" s="28" t="s">
        <v>77</v>
      </c>
      <c r="I1804" s="26" t="s">
        <v>77</v>
      </c>
      <c r="J1804" s="26" t="s">
        <v>77</v>
      </c>
      <c r="K1804" s="18"/>
      <c r="L1804" s="26" t="s">
        <v>77</v>
      </c>
      <c r="M1804" s="6" t="s">
        <v>77</v>
      </c>
      <c r="N1804" s="28" t="s">
        <v>77</v>
      </c>
      <c r="O1804" s="26" t="s">
        <v>77</v>
      </c>
    </row>
    <row r="1805">
      <c r="A1805" s="52" t="s">
        <v>77</v>
      </c>
      <c r="B1805" s="28" t="s">
        <v>77</v>
      </c>
      <c r="C1805" s="28" t="s">
        <v>77</v>
      </c>
      <c r="D1805" s="28" t="s">
        <v>77</v>
      </c>
      <c r="E1805" s="28" t="s">
        <v>77</v>
      </c>
      <c r="F1805" s="28" t="s">
        <v>77</v>
      </c>
      <c r="G1805" s="28" t="s">
        <v>77</v>
      </c>
      <c r="I1805" s="26" t="s">
        <v>77</v>
      </c>
      <c r="J1805" s="26" t="s">
        <v>77</v>
      </c>
      <c r="K1805" s="18"/>
      <c r="L1805" s="26" t="s">
        <v>77</v>
      </c>
      <c r="M1805" s="6" t="s">
        <v>77</v>
      </c>
      <c r="N1805" s="28" t="s">
        <v>77</v>
      </c>
      <c r="O1805" s="26" t="s">
        <v>77</v>
      </c>
    </row>
    <row r="1806">
      <c r="A1806" s="52" t="s">
        <v>77</v>
      </c>
      <c r="B1806" s="28" t="s">
        <v>77</v>
      </c>
      <c r="C1806" s="28" t="s">
        <v>77</v>
      </c>
      <c r="D1806" s="28" t="s">
        <v>77</v>
      </c>
      <c r="E1806" s="28" t="s">
        <v>77</v>
      </c>
      <c r="F1806" s="28" t="s">
        <v>77</v>
      </c>
      <c r="G1806" s="28" t="s">
        <v>77</v>
      </c>
      <c r="I1806" s="26" t="s">
        <v>77</v>
      </c>
      <c r="J1806" s="26" t="s">
        <v>77</v>
      </c>
      <c r="K1806" s="18"/>
      <c r="L1806" s="26" t="s">
        <v>77</v>
      </c>
      <c r="M1806" s="6" t="s">
        <v>77</v>
      </c>
      <c r="N1806" s="28" t="s">
        <v>77</v>
      </c>
      <c r="O1806" s="26" t="s">
        <v>77</v>
      </c>
    </row>
    <row r="1807">
      <c r="A1807" s="52" t="s">
        <v>77</v>
      </c>
      <c r="B1807" s="28" t="s">
        <v>77</v>
      </c>
      <c r="C1807" s="28" t="s">
        <v>77</v>
      </c>
      <c r="D1807" s="28" t="s">
        <v>77</v>
      </c>
      <c r="E1807" s="28" t="s">
        <v>77</v>
      </c>
      <c r="F1807" s="28" t="s">
        <v>77</v>
      </c>
      <c r="G1807" s="28" t="s">
        <v>77</v>
      </c>
      <c r="I1807" s="26" t="s">
        <v>77</v>
      </c>
      <c r="J1807" s="26" t="s">
        <v>77</v>
      </c>
      <c r="K1807" s="18"/>
      <c r="L1807" s="26" t="s">
        <v>77</v>
      </c>
      <c r="M1807" s="6" t="s">
        <v>77</v>
      </c>
      <c r="N1807" s="28" t="s">
        <v>77</v>
      </c>
      <c r="O1807" s="26" t="s">
        <v>77</v>
      </c>
    </row>
    <row r="1808">
      <c r="A1808" s="52" t="s">
        <v>77</v>
      </c>
      <c r="B1808" s="28" t="s">
        <v>77</v>
      </c>
      <c r="C1808" s="28" t="s">
        <v>77</v>
      </c>
      <c r="D1808" s="28" t="s">
        <v>77</v>
      </c>
      <c r="E1808" s="28" t="s">
        <v>77</v>
      </c>
      <c r="F1808" s="28" t="s">
        <v>77</v>
      </c>
      <c r="G1808" s="28" t="s">
        <v>77</v>
      </c>
      <c r="I1808" s="26" t="s">
        <v>77</v>
      </c>
      <c r="J1808" s="26" t="s">
        <v>77</v>
      </c>
      <c r="K1808" s="18"/>
      <c r="L1808" s="26" t="s">
        <v>77</v>
      </c>
      <c r="M1808" s="6" t="s">
        <v>77</v>
      </c>
      <c r="N1808" s="28" t="s">
        <v>77</v>
      </c>
      <c r="O1808" s="26" t="s">
        <v>77</v>
      </c>
    </row>
    <row r="1809">
      <c r="A1809" s="52" t="s">
        <v>77</v>
      </c>
      <c r="B1809" s="28" t="s">
        <v>77</v>
      </c>
      <c r="C1809" s="28" t="s">
        <v>77</v>
      </c>
      <c r="D1809" s="28" t="s">
        <v>77</v>
      </c>
      <c r="E1809" s="28" t="s">
        <v>77</v>
      </c>
      <c r="F1809" s="28" t="s">
        <v>77</v>
      </c>
      <c r="G1809" s="28" t="s">
        <v>77</v>
      </c>
      <c r="I1809" s="26" t="s">
        <v>77</v>
      </c>
      <c r="J1809" s="26" t="s">
        <v>77</v>
      </c>
      <c r="K1809" s="18"/>
      <c r="L1809" s="26" t="s">
        <v>77</v>
      </c>
      <c r="M1809" s="6" t="s">
        <v>77</v>
      </c>
      <c r="N1809" s="28" t="s">
        <v>77</v>
      </c>
      <c r="O1809" s="26" t="s">
        <v>77</v>
      </c>
    </row>
    <row r="1810">
      <c r="A1810" s="52" t="s">
        <v>77</v>
      </c>
      <c r="B1810" s="28" t="s">
        <v>77</v>
      </c>
      <c r="C1810" s="28" t="s">
        <v>77</v>
      </c>
      <c r="D1810" s="28" t="s">
        <v>77</v>
      </c>
      <c r="E1810" s="28" t="s">
        <v>77</v>
      </c>
      <c r="F1810" s="28" t="s">
        <v>77</v>
      </c>
      <c r="G1810" s="28" t="s">
        <v>77</v>
      </c>
      <c r="I1810" s="26" t="s">
        <v>77</v>
      </c>
      <c r="J1810" s="26" t="s">
        <v>77</v>
      </c>
      <c r="K1810" s="18"/>
      <c r="L1810" s="26" t="s">
        <v>77</v>
      </c>
      <c r="M1810" s="6" t="s">
        <v>77</v>
      </c>
      <c r="N1810" s="28" t="s">
        <v>77</v>
      </c>
      <c r="O1810" s="26" t="s">
        <v>77</v>
      </c>
    </row>
    <row r="1811">
      <c r="A1811" s="52" t="s">
        <v>77</v>
      </c>
      <c r="B1811" s="28" t="s">
        <v>77</v>
      </c>
      <c r="C1811" s="28" t="s">
        <v>77</v>
      </c>
      <c r="D1811" s="28" t="s">
        <v>77</v>
      </c>
      <c r="E1811" s="28" t="s">
        <v>77</v>
      </c>
      <c r="F1811" s="28" t="s">
        <v>77</v>
      </c>
      <c r="G1811" s="28" t="s">
        <v>77</v>
      </c>
      <c r="I1811" s="26" t="s">
        <v>77</v>
      </c>
      <c r="J1811" s="26" t="s">
        <v>77</v>
      </c>
      <c r="K1811" s="18"/>
      <c r="L1811" s="26" t="s">
        <v>77</v>
      </c>
      <c r="M1811" s="6" t="s">
        <v>77</v>
      </c>
      <c r="N1811" s="28" t="s">
        <v>77</v>
      </c>
      <c r="O1811" s="26" t="s">
        <v>77</v>
      </c>
    </row>
    <row r="1812">
      <c r="A1812" s="52" t="s">
        <v>77</v>
      </c>
      <c r="B1812" s="28" t="s">
        <v>77</v>
      </c>
      <c r="C1812" s="28" t="s">
        <v>77</v>
      </c>
      <c r="D1812" s="28" t="s">
        <v>77</v>
      </c>
      <c r="E1812" s="28" t="s">
        <v>77</v>
      </c>
      <c r="F1812" s="28" t="s">
        <v>77</v>
      </c>
      <c r="G1812" s="28" t="s">
        <v>77</v>
      </c>
      <c r="I1812" s="26" t="s">
        <v>77</v>
      </c>
      <c r="J1812" s="26" t="s">
        <v>77</v>
      </c>
      <c r="K1812" s="18"/>
      <c r="L1812" s="26" t="s">
        <v>77</v>
      </c>
      <c r="M1812" s="6" t="s">
        <v>77</v>
      </c>
      <c r="N1812" s="28" t="s">
        <v>77</v>
      </c>
      <c r="O1812" s="26" t="s">
        <v>77</v>
      </c>
    </row>
    <row r="1813">
      <c r="A1813" s="52" t="s">
        <v>77</v>
      </c>
      <c r="B1813" s="28" t="s">
        <v>77</v>
      </c>
      <c r="C1813" s="28" t="s">
        <v>77</v>
      </c>
      <c r="D1813" s="28" t="s">
        <v>77</v>
      </c>
      <c r="E1813" s="28" t="s">
        <v>77</v>
      </c>
      <c r="F1813" s="28" t="s">
        <v>77</v>
      </c>
      <c r="G1813" s="28" t="s">
        <v>77</v>
      </c>
      <c r="I1813" s="26" t="s">
        <v>77</v>
      </c>
      <c r="J1813" s="26" t="s">
        <v>77</v>
      </c>
      <c r="K1813" s="18"/>
      <c r="L1813" s="26" t="s">
        <v>77</v>
      </c>
      <c r="M1813" s="6" t="s">
        <v>77</v>
      </c>
      <c r="N1813" s="28" t="s">
        <v>77</v>
      </c>
      <c r="O1813" s="26" t="s">
        <v>77</v>
      </c>
    </row>
    <row r="1814">
      <c r="A1814" s="52" t="s">
        <v>77</v>
      </c>
      <c r="B1814" s="28" t="s">
        <v>77</v>
      </c>
      <c r="C1814" s="28" t="s">
        <v>77</v>
      </c>
      <c r="D1814" s="28" t="s">
        <v>77</v>
      </c>
      <c r="E1814" s="28" t="s">
        <v>77</v>
      </c>
      <c r="F1814" s="28" t="s">
        <v>77</v>
      </c>
      <c r="G1814" s="28" t="s">
        <v>77</v>
      </c>
      <c r="I1814" s="26" t="s">
        <v>77</v>
      </c>
      <c r="J1814" s="26" t="s">
        <v>77</v>
      </c>
      <c r="K1814" s="18"/>
      <c r="L1814" s="26" t="s">
        <v>77</v>
      </c>
      <c r="M1814" s="6" t="s">
        <v>77</v>
      </c>
      <c r="N1814" s="28" t="s">
        <v>77</v>
      </c>
      <c r="O1814" s="26" t="s">
        <v>77</v>
      </c>
    </row>
    <row r="1815">
      <c r="A1815" s="52" t="s">
        <v>77</v>
      </c>
      <c r="B1815" s="28" t="s">
        <v>77</v>
      </c>
      <c r="C1815" s="28" t="s">
        <v>77</v>
      </c>
      <c r="D1815" s="28" t="s">
        <v>77</v>
      </c>
      <c r="E1815" s="28" t="s">
        <v>77</v>
      </c>
      <c r="F1815" s="28" t="s">
        <v>77</v>
      </c>
      <c r="G1815" s="28" t="s">
        <v>77</v>
      </c>
      <c r="I1815" s="26" t="s">
        <v>77</v>
      </c>
      <c r="J1815" s="26" t="s">
        <v>77</v>
      </c>
      <c r="K1815" s="18"/>
      <c r="L1815" s="26" t="s">
        <v>77</v>
      </c>
      <c r="M1815" s="6" t="s">
        <v>77</v>
      </c>
      <c r="N1815" s="28" t="s">
        <v>77</v>
      </c>
      <c r="O1815" s="26" t="s">
        <v>77</v>
      </c>
    </row>
    <row r="1816">
      <c r="A1816" s="52" t="s">
        <v>77</v>
      </c>
      <c r="B1816" s="28" t="s">
        <v>77</v>
      </c>
      <c r="C1816" s="28" t="s">
        <v>77</v>
      </c>
      <c r="D1816" s="28" t="s">
        <v>77</v>
      </c>
      <c r="E1816" s="28" t="s">
        <v>77</v>
      </c>
      <c r="F1816" s="28" t="s">
        <v>77</v>
      </c>
      <c r="G1816" s="28" t="s">
        <v>77</v>
      </c>
      <c r="I1816" s="26" t="s">
        <v>77</v>
      </c>
      <c r="J1816" s="26" t="s">
        <v>77</v>
      </c>
      <c r="K1816" s="18"/>
      <c r="L1816" s="26" t="s">
        <v>77</v>
      </c>
      <c r="M1816" s="6" t="s">
        <v>77</v>
      </c>
      <c r="N1816" s="28" t="s">
        <v>77</v>
      </c>
      <c r="O1816" s="26" t="s">
        <v>77</v>
      </c>
    </row>
    <row r="1817">
      <c r="A1817" s="52" t="s">
        <v>77</v>
      </c>
      <c r="B1817" s="28" t="s">
        <v>77</v>
      </c>
      <c r="C1817" s="28" t="s">
        <v>77</v>
      </c>
      <c r="D1817" s="28" t="s">
        <v>77</v>
      </c>
      <c r="E1817" s="28" t="s">
        <v>77</v>
      </c>
      <c r="F1817" s="28" t="s">
        <v>77</v>
      </c>
      <c r="G1817" s="28" t="s">
        <v>77</v>
      </c>
      <c r="I1817" s="26" t="s">
        <v>77</v>
      </c>
      <c r="J1817" s="26" t="s">
        <v>77</v>
      </c>
      <c r="K1817" s="18"/>
      <c r="L1817" s="26" t="s">
        <v>77</v>
      </c>
      <c r="M1817" s="6" t="s">
        <v>77</v>
      </c>
      <c r="N1817" s="28" t="s">
        <v>77</v>
      </c>
      <c r="O1817" s="26" t="s">
        <v>77</v>
      </c>
    </row>
    <row r="1818">
      <c r="A1818" s="52" t="s">
        <v>77</v>
      </c>
      <c r="B1818" s="28" t="s">
        <v>77</v>
      </c>
      <c r="C1818" s="28" t="s">
        <v>77</v>
      </c>
      <c r="D1818" s="28" t="s">
        <v>77</v>
      </c>
      <c r="E1818" s="28" t="s">
        <v>77</v>
      </c>
      <c r="F1818" s="28" t="s">
        <v>77</v>
      </c>
      <c r="G1818" s="28" t="s">
        <v>77</v>
      </c>
      <c r="I1818" s="26" t="s">
        <v>77</v>
      </c>
      <c r="J1818" s="26" t="s">
        <v>77</v>
      </c>
      <c r="K1818" s="18"/>
      <c r="L1818" s="26" t="s">
        <v>77</v>
      </c>
      <c r="M1818" s="6" t="s">
        <v>77</v>
      </c>
      <c r="N1818" s="28" t="s">
        <v>77</v>
      </c>
      <c r="O1818" s="26" t="s">
        <v>77</v>
      </c>
    </row>
    <row r="1819">
      <c r="A1819" s="52" t="s">
        <v>77</v>
      </c>
      <c r="B1819" s="28" t="s">
        <v>77</v>
      </c>
      <c r="C1819" s="28" t="s">
        <v>77</v>
      </c>
      <c r="D1819" s="28" t="s">
        <v>77</v>
      </c>
      <c r="E1819" s="28" t="s">
        <v>77</v>
      </c>
      <c r="F1819" s="28" t="s">
        <v>77</v>
      </c>
      <c r="G1819" s="28" t="s">
        <v>77</v>
      </c>
      <c r="I1819" s="26" t="s">
        <v>77</v>
      </c>
      <c r="J1819" s="26" t="s">
        <v>77</v>
      </c>
      <c r="K1819" s="18"/>
      <c r="L1819" s="26" t="s">
        <v>77</v>
      </c>
      <c r="M1819" s="6" t="s">
        <v>77</v>
      </c>
      <c r="N1819" s="28" t="s">
        <v>77</v>
      </c>
      <c r="O1819" s="26" t="s">
        <v>77</v>
      </c>
    </row>
    <row r="1820">
      <c r="A1820" s="52" t="s">
        <v>77</v>
      </c>
      <c r="B1820" s="28" t="s">
        <v>77</v>
      </c>
      <c r="C1820" s="28" t="s">
        <v>77</v>
      </c>
      <c r="D1820" s="28" t="s">
        <v>77</v>
      </c>
      <c r="E1820" s="28" t="s">
        <v>77</v>
      </c>
      <c r="F1820" s="28" t="s">
        <v>77</v>
      </c>
      <c r="G1820" s="28" t="s">
        <v>77</v>
      </c>
      <c r="I1820" s="26" t="s">
        <v>77</v>
      </c>
      <c r="J1820" s="26" t="s">
        <v>77</v>
      </c>
      <c r="K1820" s="18"/>
      <c r="L1820" s="26" t="s">
        <v>77</v>
      </c>
      <c r="M1820" s="6" t="s">
        <v>77</v>
      </c>
      <c r="N1820" s="28" t="s">
        <v>77</v>
      </c>
      <c r="O1820" s="26" t="s">
        <v>77</v>
      </c>
    </row>
    <row r="1821">
      <c r="A1821" s="52" t="s">
        <v>77</v>
      </c>
      <c r="B1821" s="28" t="s">
        <v>77</v>
      </c>
      <c r="C1821" s="28" t="s">
        <v>77</v>
      </c>
      <c r="D1821" s="28" t="s">
        <v>77</v>
      </c>
      <c r="E1821" s="28" t="s">
        <v>77</v>
      </c>
      <c r="F1821" s="28" t="s">
        <v>77</v>
      </c>
      <c r="G1821" s="28" t="s">
        <v>77</v>
      </c>
      <c r="I1821" s="26" t="s">
        <v>77</v>
      </c>
      <c r="J1821" s="26" t="s">
        <v>77</v>
      </c>
      <c r="K1821" s="18"/>
      <c r="L1821" s="26" t="s">
        <v>77</v>
      </c>
      <c r="M1821" s="6" t="s">
        <v>77</v>
      </c>
      <c r="N1821" s="28" t="s">
        <v>77</v>
      </c>
      <c r="O1821" s="26" t="s">
        <v>77</v>
      </c>
    </row>
    <row r="1822">
      <c r="A1822" s="52" t="s">
        <v>77</v>
      </c>
      <c r="B1822" s="28" t="s">
        <v>77</v>
      </c>
      <c r="C1822" s="28" t="s">
        <v>77</v>
      </c>
      <c r="D1822" s="28" t="s">
        <v>77</v>
      </c>
      <c r="E1822" s="28" t="s">
        <v>77</v>
      </c>
      <c r="F1822" s="28" t="s">
        <v>77</v>
      </c>
      <c r="G1822" s="28" t="s">
        <v>77</v>
      </c>
      <c r="I1822" s="26" t="s">
        <v>77</v>
      </c>
      <c r="J1822" s="26" t="s">
        <v>77</v>
      </c>
      <c r="K1822" s="18"/>
      <c r="L1822" s="26" t="s">
        <v>77</v>
      </c>
      <c r="M1822" s="6" t="s">
        <v>77</v>
      </c>
      <c r="N1822" s="28" t="s">
        <v>77</v>
      </c>
      <c r="O1822" s="26" t="s">
        <v>77</v>
      </c>
    </row>
    <row r="1823">
      <c r="A1823" s="52" t="s">
        <v>77</v>
      </c>
      <c r="B1823" s="28" t="s">
        <v>77</v>
      </c>
      <c r="C1823" s="28" t="s">
        <v>77</v>
      </c>
      <c r="D1823" s="28" t="s">
        <v>77</v>
      </c>
      <c r="E1823" s="28" t="s">
        <v>77</v>
      </c>
      <c r="F1823" s="28" t="s">
        <v>77</v>
      </c>
      <c r="G1823" s="28" t="s">
        <v>77</v>
      </c>
      <c r="I1823" s="26" t="s">
        <v>77</v>
      </c>
      <c r="J1823" s="26" t="s">
        <v>77</v>
      </c>
      <c r="K1823" s="18"/>
      <c r="L1823" s="26" t="s">
        <v>77</v>
      </c>
      <c r="M1823" s="6" t="s">
        <v>77</v>
      </c>
      <c r="N1823" s="28" t="s">
        <v>77</v>
      </c>
      <c r="O1823" s="26" t="s">
        <v>77</v>
      </c>
    </row>
    <row r="1824">
      <c r="A1824" s="52" t="s">
        <v>77</v>
      </c>
      <c r="B1824" s="28" t="s">
        <v>77</v>
      </c>
      <c r="C1824" s="28" t="s">
        <v>77</v>
      </c>
      <c r="D1824" s="28" t="s">
        <v>77</v>
      </c>
      <c r="E1824" s="28" t="s">
        <v>77</v>
      </c>
      <c r="F1824" s="28" t="s">
        <v>77</v>
      </c>
      <c r="G1824" s="28" t="s">
        <v>77</v>
      </c>
      <c r="I1824" s="26" t="s">
        <v>77</v>
      </c>
      <c r="J1824" s="26" t="s">
        <v>77</v>
      </c>
      <c r="K1824" s="18"/>
      <c r="L1824" s="26" t="s">
        <v>77</v>
      </c>
      <c r="M1824" s="6" t="s">
        <v>77</v>
      </c>
      <c r="N1824" s="28" t="s">
        <v>77</v>
      </c>
      <c r="O1824" s="26" t="s">
        <v>77</v>
      </c>
    </row>
    <row r="1825">
      <c r="A1825" s="52" t="s">
        <v>77</v>
      </c>
      <c r="B1825" s="28" t="s">
        <v>77</v>
      </c>
      <c r="C1825" s="28" t="s">
        <v>77</v>
      </c>
      <c r="D1825" s="28" t="s">
        <v>77</v>
      </c>
      <c r="E1825" s="28" t="s">
        <v>77</v>
      </c>
      <c r="F1825" s="28" t="s">
        <v>77</v>
      </c>
      <c r="G1825" s="28" t="s">
        <v>77</v>
      </c>
      <c r="I1825" s="26" t="s">
        <v>77</v>
      </c>
      <c r="J1825" s="26" t="s">
        <v>77</v>
      </c>
      <c r="K1825" s="18"/>
      <c r="L1825" s="26" t="s">
        <v>77</v>
      </c>
      <c r="M1825" s="6" t="s">
        <v>77</v>
      </c>
      <c r="N1825" s="28" t="s">
        <v>77</v>
      </c>
      <c r="O1825" s="26" t="s">
        <v>77</v>
      </c>
    </row>
    <row r="1826">
      <c r="A1826" s="52" t="s">
        <v>77</v>
      </c>
      <c r="B1826" s="28" t="s">
        <v>77</v>
      </c>
      <c r="C1826" s="28" t="s">
        <v>77</v>
      </c>
      <c r="D1826" s="28" t="s">
        <v>77</v>
      </c>
      <c r="E1826" s="28" t="s">
        <v>77</v>
      </c>
      <c r="F1826" s="28" t="s">
        <v>77</v>
      </c>
      <c r="G1826" s="28" t="s">
        <v>77</v>
      </c>
      <c r="I1826" s="26" t="s">
        <v>77</v>
      </c>
      <c r="J1826" s="26" t="s">
        <v>77</v>
      </c>
      <c r="K1826" s="18"/>
      <c r="L1826" s="26" t="s">
        <v>77</v>
      </c>
      <c r="M1826" s="6" t="s">
        <v>77</v>
      </c>
      <c r="N1826" s="28" t="s">
        <v>77</v>
      </c>
      <c r="O1826" s="26" t="s">
        <v>77</v>
      </c>
    </row>
    <row r="1827">
      <c r="A1827" s="52" t="s">
        <v>77</v>
      </c>
      <c r="B1827" s="28" t="s">
        <v>77</v>
      </c>
      <c r="C1827" s="28" t="s">
        <v>77</v>
      </c>
      <c r="D1827" s="28" t="s">
        <v>77</v>
      </c>
      <c r="E1827" s="28" t="s">
        <v>77</v>
      </c>
      <c r="F1827" s="28" t="s">
        <v>77</v>
      </c>
      <c r="G1827" s="28" t="s">
        <v>77</v>
      </c>
      <c r="I1827" s="26" t="s">
        <v>77</v>
      </c>
      <c r="J1827" s="26" t="s">
        <v>77</v>
      </c>
      <c r="K1827" s="18"/>
      <c r="L1827" s="26" t="s">
        <v>77</v>
      </c>
      <c r="M1827" s="6" t="s">
        <v>77</v>
      </c>
      <c r="N1827" s="28" t="s">
        <v>77</v>
      </c>
      <c r="O1827" s="26" t="s">
        <v>77</v>
      </c>
    </row>
    <row r="1828">
      <c r="A1828" s="52" t="s">
        <v>77</v>
      </c>
      <c r="B1828" s="28" t="s">
        <v>77</v>
      </c>
      <c r="C1828" s="28" t="s">
        <v>77</v>
      </c>
      <c r="D1828" s="28" t="s">
        <v>77</v>
      </c>
      <c r="E1828" s="28" t="s">
        <v>77</v>
      </c>
      <c r="F1828" s="28" t="s">
        <v>77</v>
      </c>
      <c r="G1828" s="28" t="s">
        <v>77</v>
      </c>
      <c r="I1828" s="26" t="s">
        <v>77</v>
      </c>
      <c r="J1828" s="26" t="s">
        <v>77</v>
      </c>
      <c r="K1828" s="18"/>
      <c r="L1828" s="26" t="s">
        <v>77</v>
      </c>
      <c r="M1828" s="6" t="s">
        <v>77</v>
      </c>
      <c r="N1828" s="28" t="s">
        <v>77</v>
      </c>
      <c r="O1828" s="26" t="s">
        <v>77</v>
      </c>
    </row>
    <row r="1829">
      <c r="A1829" s="52" t="s">
        <v>77</v>
      </c>
      <c r="B1829" s="28" t="s">
        <v>77</v>
      </c>
      <c r="C1829" s="28" t="s">
        <v>77</v>
      </c>
      <c r="D1829" s="28" t="s">
        <v>77</v>
      </c>
      <c r="E1829" s="28" t="s">
        <v>77</v>
      </c>
      <c r="F1829" s="28" t="s">
        <v>77</v>
      </c>
      <c r="G1829" s="28" t="s">
        <v>77</v>
      </c>
      <c r="I1829" s="26" t="s">
        <v>77</v>
      </c>
      <c r="J1829" s="26" t="s">
        <v>77</v>
      </c>
      <c r="K1829" s="18"/>
      <c r="L1829" s="26" t="s">
        <v>77</v>
      </c>
      <c r="M1829" s="6" t="s">
        <v>77</v>
      </c>
      <c r="N1829" s="28" t="s">
        <v>77</v>
      </c>
      <c r="O1829" s="26" t="s">
        <v>77</v>
      </c>
    </row>
    <row r="1830">
      <c r="A1830" s="52" t="s">
        <v>77</v>
      </c>
      <c r="B1830" s="28" t="s">
        <v>77</v>
      </c>
      <c r="C1830" s="28" t="s">
        <v>77</v>
      </c>
      <c r="D1830" s="28" t="s">
        <v>77</v>
      </c>
      <c r="E1830" s="28" t="s">
        <v>77</v>
      </c>
      <c r="F1830" s="28" t="s">
        <v>77</v>
      </c>
      <c r="G1830" s="28" t="s">
        <v>77</v>
      </c>
      <c r="I1830" s="26" t="s">
        <v>77</v>
      </c>
      <c r="J1830" s="26" t="s">
        <v>77</v>
      </c>
      <c r="K1830" s="18"/>
      <c r="L1830" s="26" t="s">
        <v>77</v>
      </c>
      <c r="M1830" s="6" t="s">
        <v>77</v>
      </c>
      <c r="N1830" s="28" t="s">
        <v>77</v>
      </c>
      <c r="O1830" s="26" t="s">
        <v>77</v>
      </c>
    </row>
    <row r="1831">
      <c r="A1831" s="52" t="s">
        <v>77</v>
      </c>
      <c r="B1831" s="28" t="s">
        <v>77</v>
      </c>
      <c r="C1831" s="28" t="s">
        <v>77</v>
      </c>
      <c r="D1831" s="28" t="s">
        <v>77</v>
      </c>
      <c r="E1831" s="28" t="s">
        <v>77</v>
      </c>
      <c r="F1831" s="28" t="s">
        <v>77</v>
      </c>
      <c r="G1831" s="28" t="s">
        <v>77</v>
      </c>
      <c r="I1831" s="26" t="s">
        <v>77</v>
      </c>
      <c r="J1831" s="26" t="s">
        <v>77</v>
      </c>
      <c r="K1831" s="18"/>
      <c r="L1831" s="26" t="s">
        <v>77</v>
      </c>
      <c r="M1831" s="6" t="s">
        <v>77</v>
      </c>
      <c r="N1831" s="28" t="s">
        <v>77</v>
      </c>
      <c r="O1831" s="26" t="s">
        <v>77</v>
      </c>
    </row>
    <row r="1832">
      <c r="A1832" s="52" t="s">
        <v>77</v>
      </c>
      <c r="B1832" s="28" t="s">
        <v>77</v>
      </c>
      <c r="C1832" s="28" t="s">
        <v>77</v>
      </c>
      <c r="D1832" s="28" t="s">
        <v>77</v>
      </c>
      <c r="E1832" s="28" t="s">
        <v>77</v>
      </c>
      <c r="F1832" s="28" t="s">
        <v>77</v>
      </c>
      <c r="G1832" s="28" t="s">
        <v>77</v>
      </c>
      <c r="I1832" s="26" t="s">
        <v>77</v>
      </c>
      <c r="J1832" s="26" t="s">
        <v>77</v>
      </c>
      <c r="K1832" s="18"/>
      <c r="L1832" s="26" t="s">
        <v>77</v>
      </c>
      <c r="M1832" s="6" t="s">
        <v>77</v>
      </c>
      <c r="N1832" s="28" t="s">
        <v>77</v>
      </c>
      <c r="O1832" s="26" t="s">
        <v>77</v>
      </c>
    </row>
    <row r="1833">
      <c r="A1833" s="52" t="s">
        <v>77</v>
      </c>
      <c r="B1833" s="28" t="s">
        <v>77</v>
      </c>
      <c r="C1833" s="28" t="s">
        <v>77</v>
      </c>
      <c r="D1833" s="28" t="s">
        <v>77</v>
      </c>
      <c r="E1833" s="28" t="s">
        <v>77</v>
      </c>
      <c r="F1833" s="28" t="s">
        <v>77</v>
      </c>
      <c r="G1833" s="28" t="s">
        <v>77</v>
      </c>
      <c r="I1833" s="26" t="s">
        <v>77</v>
      </c>
      <c r="J1833" s="26" t="s">
        <v>77</v>
      </c>
      <c r="K1833" s="18"/>
      <c r="L1833" s="26" t="s">
        <v>77</v>
      </c>
      <c r="M1833" s="6" t="s">
        <v>77</v>
      </c>
      <c r="N1833" s="28" t="s">
        <v>77</v>
      </c>
      <c r="O1833" s="26" t="s">
        <v>77</v>
      </c>
    </row>
    <row r="1834">
      <c r="A1834" s="52" t="s">
        <v>77</v>
      </c>
      <c r="B1834" s="28" t="s">
        <v>77</v>
      </c>
      <c r="C1834" s="28" t="s">
        <v>77</v>
      </c>
      <c r="D1834" s="28" t="s">
        <v>77</v>
      </c>
      <c r="E1834" s="28" t="s">
        <v>77</v>
      </c>
      <c r="F1834" s="28" t="s">
        <v>77</v>
      </c>
      <c r="G1834" s="28" t="s">
        <v>77</v>
      </c>
      <c r="I1834" s="26" t="s">
        <v>77</v>
      </c>
      <c r="J1834" s="26" t="s">
        <v>77</v>
      </c>
      <c r="K1834" s="18"/>
      <c r="L1834" s="26" t="s">
        <v>77</v>
      </c>
      <c r="M1834" s="6" t="s">
        <v>77</v>
      </c>
      <c r="N1834" s="28" t="s">
        <v>77</v>
      </c>
      <c r="O1834" s="26" t="s">
        <v>77</v>
      </c>
    </row>
    <row r="1835">
      <c r="A1835" s="52" t="s">
        <v>77</v>
      </c>
      <c r="B1835" s="28" t="s">
        <v>77</v>
      </c>
      <c r="C1835" s="28" t="s">
        <v>77</v>
      </c>
      <c r="D1835" s="28" t="s">
        <v>77</v>
      </c>
      <c r="E1835" s="28" t="s">
        <v>77</v>
      </c>
      <c r="F1835" s="28" t="s">
        <v>77</v>
      </c>
      <c r="G1835" s="28" t="s">
        <v>77</v>
      </c>
      <c r="I1835" s="26" t="s">
        <v>77</v>
      </c>
      <c r="J1835" s="26" t="s">
        <v>77</v>
      </c>
      <c r="K1835" s="18"/>
      <c r="L1835" s="26" t="s">
        <v>77</v>
      </c>
      <c r="M1835" s="6" t="s">
        <v>77</v>
      </c>
      <c r="N1835" s="28" t="s">
        <v>77</v>
      </c>
      <c r="O1835" s="26" t="s">
        <v>77</v>
      </c>
    </row>
    <row r="1836">
      <c r="A1836" s="52" t="s">
        <v>77</v>
      </c>
      <c r="B1836" s="28" t="s">
        <v>77</v>
      </c>
      <c r="C1836" s="28" t="s">
        <v>77</v>
      </c>
      <c r="D1836" s="28" t="s">
        <v>77</v>
      </c>
      <c r="E1836" s="28" t="s">
        <v>77</v>
      </c>
      <c r="F1836" s="28" t="s">
        <v>77</v>
      </c>
      <c r="G1836" s="28" t="s">
        <v>77</v>
      </c>
      <c r="I1836" s="26" t="s">
        <v>77</v>
      </c>
      <c r="J1836" s="26" t="s">
        <v>77</v>
      </c>
      <c r="K1836" s="18"/>
      <c r="L1836" s="26" t="s">
        <v>77</v>
      </c>
      <c r="M1836" s="6" t="s">
        <v>77</v>
      </c>
      <c r="N1836" s="28" t="s">
        <v>77</v>
      </c>
      <c r="O1836" s="26" t="s">
        <v>77</v>
      </c>
    </row>
    <row r="1837">
      <c r="A1837" s="52" t="s">
        <v>77</v>
      </c>
      <c r="B1837" s="28" t="s">
        <v>77</v>
      </c>
      <c r="C1837" s="28" t="s">
        <v>77</v>
      </c>
      <c r="D1837" s="28" t="s">
        <v>77</v>
      </c>
      <c r="E1837" s="28" t="s">
        <v>77</v>
      </c>
      <c r="F1837" s="28" t="s">
        <v>77</v>
      </c>
      <c r="G1837" s="28" t="s">
        <v>77</v>
      </c>
      <c r="I1837" s="26" t="s">
        <v>77</v>
      </c>
      <c r="J1837" s="26" t="s">
        <v>77</v>
      </c>
      <c r="K1837" s="18"/>
      <c r="L1837" s="26" t="s">
        <v>77</v>
      </c>
      <c r="M1837" s="6" t="s">
        <v>77</v>
      </c>
      <c r="N1837" s="28" t="s">
        <v>77</v>
      </c>
      <c r="O1837" s="26" t="s">
        <v>77</v>
      </c>
    </row>
    <row r="1838">
      <c r="A1838" s="52" t="s">
        <v>77</v>
      </c>
      <c r="B1838" s="28" t="s">
        <v>77</v>
      </c>
      <c r="C1838" s="28" t="s">
        <v>77</v>
      </c>
      <c r="D1838" s="28" t="s">
        <v>77</v>
      </c>
      <c r="E1838" s="28" t="s">
        <v>77</v>
      </c>
      <c r="F1838" s="28" t="s">
        <v>77</v>
      </c>
      <c r="G1838" s="28" t="s">
        <v>77</v>
      </c>
      <c r="I1838" s="26" t="s">
        <v>77</v>
      </c>
      <c r="J1838" s="26" t="s">
        <v>77</v>
      </c>
      <c r="K1838" s="18"/>
      <c r="L1838" s="26" t="s">
        <v>77</v>
      </c>
      <c r="M1838" s="6" t="s">
        <v>77</v>
      </c>
      <c r="N1838" s="28" t="s">
        <v>77</v>
      </c>
      <c r="O1838" s="26" t="s">
        <v>77</v>
      </c>
    </row>
    <row r="1839">
      <c r="A1839" s="52" t="s">
        <v>77</v>
      </c>
      <c r="B1839" s="28" t="s">
        <v>77</v>
      </c>
      <c r="C1839" s="28" t="s">
        <v>77</v>
      </c>
      <c r="D1839" s="28" t="s">
        <v>77</v>
      </c>
      <c r="E1839" s="28" t="s">
        <v>77</v>
      </c>
      <c r="F1839" s="28" t="s">
        <v>77</v>
      </c>
      <c r="G1839" s="28" t="s">
        <v>77</v>
      </c>
      <c r="I1839" s="26" t="s">
        <v>77</v>
      </c>
      <c r="J1839" s="26" t="s">
        <v>77</v>
      </c>
      <c r="K1839" s="18"/>
      <c r="L1839" s="26" t="s">
        <v>77</v>
      </c>
      <c r="M1839" s="6" t="s">
        <v>77</v>
      </c>
      <c r="N1839" s="28" t="s">
        <v>77</v>
      </c>
      <c r="O1839" s="26" t="s">
        <v>77</v>
      </c>
    </row>
    <row r="1840">
      <c r="A1840" s="52" t="s">
        <v>77</v>
      </c>
      <c r="B1840" s="28" t="s">
        <v>77</v>
      </c>
      <c r="C1840" s="28" t="s">
        <v>77</v>
      </c>
      <c r="D1840" s="28" t="s">
        <v>77</v>
      </c>
      <c r="E1840" s="28" t="s">
        <v>77</v>
      </c>
      <c r="F1840" s="28" t="s">
        <v>77</v>
      </c>
      <c r="G1840" s="28" t="s">
        <v>77</v>
      </c>
      <c r="I1840" s="26" t="s">
        <v>77</v>
      </c>
      <c r="J1840" s="26" t="s">
        <v>77</v>
      </c>
      <c r="K1840" s="18"/>
      <c r="L1840" s="26" t="s">
        <v>77</v>
      </c>
      <c r="M1840" s="6" t="s">
        <v>77</v>
      </c>
      <c r="N1840" s="28" t="s">
        <v>77</v>
      </c>
      <c r="O1840" s="26" t="s">
        <v>77</v>
      </c>
    </row>
    <row r="1841">
      <c r="A1841" s="52" t="s">
        <v>77</v>
      </c>
      <c r="B1841" s="28" t="s">
        <v>77</v>
      </c>
      <c r="C1841" s="28" t="s">
        <v>77</v>
      </c>
      <c r="D1841" s="28" t="s">
        <v>77</v>
      </c>
      <c r="E1841" s="28" t="s">
        <v>77</v>
      </c>
      <c r="F1841" s="28" t="s">
        <v>77</v>
      </c>
      <c r="G1841" s="28" t="s">
        <v>77</v>
      </c>
      <c r="I1841" s="26" t="s">
        <v>77</v>
      </c>
      <c r="J1841" s="26" t="s">
        <v>77</v>
      </c>
      <c r="K1841" s="18"/>
      <c r="L1841" s="26" t="s">
        <v>77</v>
      </c>
      <c r="M1841" s="6" t="s">
        <v>77</v>
      </c>
      <c r="N1841" s="28" t="s">
        <v>77</v>
      </c>
      <c r="O1841" s="26" t="s">
        <v>77</v>
      </c>
    </row>
    <row r="1842">
      <c r="A1842" s="52" t="s">
        <v>77</v>
      </c>
      <c r="B1842" s="28" t="s">
        <v>77</v>
      </c>
      <c r="C1842" s="28" t="s">
        <v>77</v>
      </c>
      <c r="D1842" s="28" t="s">
        <v>77</v>
      </c>
      <c r="E1842" s="28" t="s">
        <v>77</v>
      </c>
      <c r="F1842" s="28" t="s">
        <v>77</v>
      </c>
      <c r="G1842" s="28" t="s">
        <v>77</v>
      </c>
      <c r="I1842" s="26" t="s">
        <v>77</v>
      </c>
      <c r="J1842" s="26" t="s">
        <v>77</v>
      </c>
      <c r="K1842" s="18"/>
      <c r="L1842" s="26" t="s">
        <v>77</v>
      </c>
      <c r="M1842" s="6" t="s">
        <v>77</v>
      </c>
      <c r="N1842" s="28" t="s">
        <v>77</v>
      </c>
      <c r="O1842" s="26" t="s">
        <v>77</v>
      </c>
    </row>
    <row r="1843">
      <c r="A1843" s="52" t="s">
        <v>77</v>
      </c>
      <c r="B1843" s="28" t="s">
        <v>77</v>
      </c>
      <c r="C1843" s="28" t="s">
        <v>77</v>
      </c>
      <c r="D1843" s="28" t="s">
        <v>77</v>
      </c>
      <c r="E1843" s="28" t="s">
        <v>77</v>
      </c>
      <c r="F1843" s="28" t="s">
        <v>77</v>
      </c>
      <c r="G1843" s="28" t="s">
        <v>77</v>
      </c>
      <c r="I1843" s="26" t="s">
        <v>77</v>
      </c>
      <c r="J1843" s="26" t="s">
        <v>77</v>
      </c>
      <c r="K1843" s="18"/>
      <c r="L1843" s="26" t="s">
        <v>77</v>
      </c>
      <c r="M1843" s="6" t="s">
        <v>77</v>
      </c>
      <c r="N1843" s="28" t="s">
        <v>77</v>
      </c>
      <c r="O1843" s="26" t="s">
        <v>77</v>
      </c>
    </row>
    <row r="1844">
      <c r="A1844" s="52" t="s">
        <v>77</v>
      </c>
      <c r="B1844" s="28" t="s">
        <v>77</v>
      </c>
      <c r="C1844" s="28" t="s">
        <v>77</v>
      </c>
      <c r="D1844" s="28" t="s">
        <v>77</v>
      </c>
      <c r="E1844" s="28" t="s">
        <v>77</v>
      </c>
      <c r="F1844" s="28" t="s">
        <v>77</v>
      </c>
      <c r="G1844" s="28" t="s">
        <v>77</v>
      </c>
      <c r="I1844" s="26" t="s">
        <v>77</v>
      </c>
      <c r="J1844" s="26" t="s">
        <v>77</v>
      </c>
      <c r="K1844" s="18"/>
      <c r="L1844" s="26" t="s">
        <v>77</v>
      </c>
      <c r="M1844" s="6" t="s">
        <v>77</v>
      </c>
      <c r="N1844" s="28" t="s">
        <v>77</v>
      </c>
      <c r="O1844" s="26" t="s">
        <v>77</v>
      </c>
    </row>
    <row r="1845">
      <c r="A1845" s="52" t="s">
        <v>77</v>
      </c>
      <c r="B1845" s="28" t="s">
        <v>77</v>
      </c>
      <c r="C1845" s="28" t="s">
        <v>77</v>
      </c>
      <c r="D1845" s="28" t="s">
        <v>77</v>
      </c>
      <c r="E1845" s="28" t="s">
        <v>77</v>
      </c>
      <c r="F1845" s="28" t="s">
        <v>77</v>
      </c>
      <c r="G1845" s="28" t="s">
        <v>77</v>
      </c>
      <c r="I1845" s="26" t="s">
        <v>77</v>
      </c>
      <c r="J1845" s="26" t="s">
        <v>77</v>
      </c>
      <c r="K1845" s="18"/>
      <c r="L1845" s="26" t="s">
        <v>77</v>
      </c>
      <c r="M1845" s="6" t="s">
        <v>77</v>
      </c>
      <c r="N1845" s="28" t="s">
        <v>77</v>
      </c>
      <c r="O1845" s="26" t="s">
        <v>77</v>
      </c>
    </row>
    <row r="1846">
      <c r="A1846" s="52" t="s">
        <v>77</v>
      </c>
      <c r="B1846" s="28" t="s">
        <v>77</v>
      </c>
      <c r="C1846" s="28" t="s">
        <v>77</v>
      </c>
      <c r="D1846" s="28" t="s">
        <v>77</v>
      </c>
      <c r="E1846" s="28" t="s">
        <v>77</v>
      </c>
      <c r="F1846" s="28" t="s">
        <v>77</v>
      </c>
      <c r="G1846" s="28" t="s">
        <v>77</v>
      </c>
      <c r="I1846" s="26" t="s">
        <v>77</v>
      </c>
      <c r="J1846" s="26" t="s">
        <v>77</v>
      </c>
      <c r="K1846" s="18"/>
      <c r="L1846" s="26" t="s">
        <v>77</v>
      </c>
      <c r="M1846" s="6" t="s">
        <v>77</v>
      </c>
      <c r="N1846" s="28" t="s">
        <v>77</v>
      </c>
      <c r="O1846" s="26" t="s">
        <v>77</v>
      </c>
    </row>
    <row r="1847">
      <c r="A1847" s="52" t="s">
        <v>77</v>
      </c>
      <c r="B1847" s="28" t="s">
        <v>77</v>
      </c>
      <c r="C1847" s="28" t="s">
        <v>77</v>
      </c>
      <c r="D1847" s="28" t="s">
        <v>77</v>
      </c>
      <c r="E1847" s="28" t="s">
        <v>77</v>
      </c>
      <c r="F1847" s="28" t="s">
        <v>77</v>
      </c>
      <c r="G1847" s="28" t="s">
        <v>77</v>
      </c>
      <c r="I1847" s="26" t="s">
        <v>77</v>
      </c>
      <c r="J1847" s="26" t="s">
        <v>77</v>
      </c>
      <c r="K1847" s="18"/>
      <c r="L1847" s="26" t="s">
        <v>77</v>
      </c>
      <c r="M1847" s="6" t="s">
        <v>77</v>
      </c>
      <c r="N1847" s="28" t="s">
        <v>77</v>
      </c>
      <c r="O1847" s="26" t="s">
        <v>77</v>
      </c>
    </row>
    <row r="1848">
      <c r="A1848" s="52" t="s">
        <v>77</v>
      </c>
      <c r="B1848" s="28" t="s">
        <v>77</v>
      </c>
      <c r="C1848" s="28" t="s">
        <v>77</v>
      </c>
      <c r="D1848" s="28" t="s">
        <v>77</v>
      </c>
      <c r="E1848" s="28" t="s">
        <v>77</v>
      </c>
      <c r="F1848" s="28" t="s">
        <v>77</v>
      </c>
      <c r="G1848" s="28" t="s">
        <v>77</v>
      </c>
      <c r="I1848" s="26" t="s">
        <v>77</v>
      </c>
      <c r="J1848" s="26" t="s">
        <v>77</v>
      </c>
      <c r="K1848" s="18"/>
      <c r="L1848" s="26" t="s">
        <v>77</v>
      </c>
      <c r="M1848" s="6" t="s">
        <v>77</v>
      </c>
      <c r="N1848" s="28" t="s">
        <v>77</v>
      </c>
      <c r="O1848" s="26" t="s">
        <v>77</v>
      </c>
    </row>
    <row r="1849">
      <c r="A1849" s="52" t="s">
        <v>77</v>
      </c>
      <c r="B1849" s="28" t="s">
        <v>77</v>
      </c>
      <c r="C1849" s="28" t="s">
        <v>77</v>
      </c>
      <c r="D1849" s="28" t="s">
        <v>77</v>
      </c>
      <c r="E1849" s="28" t="s">
        <v>77</v>
      </c>
      <c r="F1849" s="28" t="s">
        <v>77</v>
      </c>
      <c r="G1849" s="28" t="s">
        <v>77</v>
      </c>
      <c r="I1849" s="26" t="s">
        <v>77</v>
      </c>
      <c r="J1849" s="26" t="s">
        <v>77</v>
      </c>
      <c r="K1849" s="18"/>
      <c r="L1849" s="26" t="s">
        <v>77</v>
      </c>
      <c r="M1849" s="6" t="s">
        <v>77</v>
      </c>
      <c r="N1849" s="28" t="s">
        <v>77</v>
      </c>
      <c r="O1849" s="26" t="s">
        <v>77</v>
      </c>
    </row>
    <row r="1850">
      <c r="A1850" s="52" t="s">
        <v>77</v>
      </c>
      <c r="B1850" s="28" t="s">
        <v>77</v>
      </c>
      <c r="C1850" s="28" t="s">
        <v>77</v>
      </c>
      <c r="D1850" s="28" t="s">
        <v>77</v>
      </c>
      <c r="E1850" s="28" t="s">
        <v>77</v>
      </c>
      <c r="F1850" s="28" t="s">
        <v>77</v>
      </c>
      <c r="G1850" s="28" t="s">
        <v>77</v>
      </c>
      <c r="I1850" s="26" t="s">
        <v>77</v>
      </c>
      <c r="J1850" s="26" t="s">
        <v>77</v>
      </c>
      <c r="K1850" s="18"/>
      <c r="L1850" s="26" t="s">
        <v>77</v>
      </c>
      <c r="M1850" s="6" t="s">
        <v>77</v>
      </c>
      <c r="N1850" s="28" t="s">
        <v>77</v>
      </c>
      <c r="O1850" s="26" t="s">
        <v>77</v>
      </c>
    </row>
    <row r="1851">
      <c r="A1851" s="52" t="s">
        <v>77</v>
      </c>
      <c r="B1851" s="28" t="s">
        <v>77</v>
      </c>
      <c r="C1851" s="28" t="s">
        <v>77</v>
      </c>
      <c r="D1851" s="28" t="s">
        <v>77</v>
      </c>
      <c r="E1851" s="28" t="s">
        <v>77</v>
      </c>
      <c r="F1851" s="28" t="s">
        <v>77</v>
      </c>
      <c r="G1851" s="28" t="s">
        <v>77</v>
      </c>
      <c r="I1851" s="26" t="s">
        <v>77</v>
      </c>
      <c r="J1851" s="26" t="s">
        <v>77</v>
      </c>
      <c r="K1851" s="18"/>
      <c r="L1851" s="26" t="s">
        <v>77</v>
      </c>
      <c r="M1851" s="6" t="s">
        <v>77</v>
      </c>
      <c r="N1851" s="28" t="s">
        <v>77</v>
      </c>
      <c r="O1851" s="26" t="s">
        <v>77</v>
      </c>
    </row>
    <row r="1852">
      <c r="A1852" s="52" t="s">
        <v>77</v>
      </c>
      <c r="B1852" s="28" t="s">
        <v>77</v>
      </c>
      <c r="C1852" s="28" t="s">
        <v>77</v>
      </c>
      <c r="D1852" s="28" t="s">
        <v>77</v>
      </c>
      <c r="E1852" s="28" t="s">
        <v>77</v>
      </c>
      <c r="F1852" s="28" t="s">
        <v>77</v>
      </c>
      <c r="G1852" s="28" t="s">
        <v>77</v>
      </c>
      <c r="I1852" s="26" t="s">
        <v>77</v>
      </c>
      <c r="J1852" s="26" t="s">
        <v>77</v>
      </c>
      <c r="K1852" s="18"/>
      <c r="L1852" s="26" t="s">
        <v>77</v>
      </c>
      <c r="M1852" s="6" t="s">
        <v>77</v>
      </c>
      <c r="N1852" s="28" t="s">
        <v>77</v>
      </c>
      <c r="O1852" s="26" t="s">
        <v>77</v>
      </c>
    </row>
    <row r="1853">
      <c r="A1853" s="52" t="s">
        <v>77</v>
      </c>
      <c r="B1853" s="28" t="s">
        <v>77</v>
      </c>
      <c r="C1853" s="28" t="s">
        <v>77</v>
      </c>
      <c r="D1853" s="28" t="s">
        <v>77</v>
      </c>
      <c r="E1853" s="28" t="s">
        <v>77</v>
      </c>
      <c r="F1853" s="28" t="s">
        <v>77</v>
      </c>
      <c r="G1853" s="28" t="s">
        <v>77</v>
      </c>
      <c r="I1853" s="26" t="s">
        <v>77</v>
      </c>
      <c r="J1853" s="26" t="s">
        <v>77</v>
      </c>
      <c r="K1853" s="18"/>
      <c r="L1853" s="26" t="s">
        <v>77</v>
      </c>
      <c r="M1853" s="6" t="s">
        <v>77</v>
      </c>
      <c r="N1853" s="28" t="s">
        <v>77</v>
      </c>
      <c r="O1853" s="26" t="s">
        <v>77</v>
      </c>
    </row>
    <row r="1854">
      <c r="A1854" s="52" t="s">
        <v>77</v>
      </c>
      <c r="B1854" s="28" t="s">
        <v>77</v>
      </c>
      <c r="C1854" s="28" t="s">
        <v>77</v>
      </c>
      <c r="D1854" s="28" t="s">
        <v>77</v>
      </c>
      <c r="E1854" s="28" t="s">
        <v>77</v>
      </c>
      <c r="F1854" s="28" t="s">
        <v>77</v>
      </c>
      <c r="G1854" s="28" t="s">
        <v>77</v>
      </c>
      <c r="I1854" s="26" t="s">
        <v>77</v>
      </c>
      <c r="J1854" s="26" t="s">
        <v>77</v>
      </c>
      <c r="K1854" s="18"/>
      <c r="L1854" s="26" t="s">
        <v>77</v>
      </c>
      <c r="M1854" s="6" t="s">
        <v>77</v>
      </c>
      <c r="N1854" s="28" t="s">
        <v>77</v>
      </c>
      <c r="O1854" s="26" t="s">
        <v>77</v>
      </c>
    </row>
    <row r="1855">
      <c r="A1855" s="52" t="s">
        <v>77</v>
      </c>
      <c r="B1855" s="28" t="s">
        <v>77</v>
      </c>
      <c r="C1855" s="28" t="s">
        <v>77</v>
      </c>
      <c r="D1855" s="28" t="s">
        <v>77</v>
      </c>
      <c r="E1855" s="28" t="s">
        <v>77</v>
      </c>
      <c r="F1855" s="28" t="s">
        <v>77</v>
      </c>
      <c r="G1855" s="28" t="s">
        <v>77</v>
      </c>
      <c r="I1855" s="26" t="s">
        <v>77</v>
      </c>
      <c r="J1855" s="26" t="s">
        <v>77</v>
      </c>
      <c r="K1855" s="18"/>
      <c r="L1855" s="26" t="s">
        <v>77</v>
      </c>
      <c r="M1855" s="6" t="s">
        <v>77</v>
      </c>
      <c r="N1855" s="28" t="s">
        <v>77</v>
      </c>
      <c r="O1855" s="26" t="s">
        <v>77</v>
      </c>
    </row>
    <row r="1856">
      <c r="A1856" s="52" t="s">
        <v>77</v>
      </c>
      <c r="B1856" s="28" t="s">
        <v>77</v>
      </c>
      <c r="C1856" s="28" t="s">
        <v>77</v>
      </c>
      <c r="D1856" s="28" t="s">
        <v>77</v>
      </c>
      <c r="E1856" s="28" t="s">
        <v>77</v>
      </c>
      <c r="F1856" s="28" t="s">
        <v>77</v>
      </c>
      <c r="G1856" s="28" t="s">
        <v>77</v>
      </c>
      <c r="I1856" s="26" t="s">
        <v>77</v>
      </c>
      <c r="J1856" s="26" t="s">
        <v>77</v>
      </c>
      <c r="K1856" s="18"/>
      <c r="L1856" s="26" t="s">
        <v>77</v>
      </c>
      <c r="M1856" s="6" t="s">
        <v>77</v>
      </c>
      <c r="N1856" s="28" t="s">
        <v>77</v>
      </c>
      <c r="O1856" s="26" t="s">
        <v>77</v>
      </c>
    </row>
    <row r="1857">
      <c r="A1857" s="52" t="s">
        <v>77</v>
      </c>
      <c r="B1857" s="28" t="s">
        <v>77</v>
      </c>
      <c r="C1857" s="28" t="s">
        <v>77</v>
      </c>
      <c r="D1857" s="28" t="s">
        <v>77</v>
      </c>
      <c r="E1857" s="28" t="s">
        <v>77</v>
      </c>
      <c r="F1857" s="28" t="s">
        <v>77</v>
      </c>
      <c r="G1857" s="28" t="s">
        <v>77</v>
      </c>
      <c r="I1857" s="26" t="s">
        <v>77</v>
      </c>
      <c r="J1857" s="26" t="s">
        <v>77</v>
      </c>
      <c r="K1857" s="18"/>
      <c r="L1857" s="26" t="s">
        <v>77</v>
      </c>
      <c r="M1857" s="6" t="s">
        <v>77</v>
      </c>
      <c r="N1857" s="28" t="s">
        <v>77</v>
      </c>
      <c r="O1857" s="26" t="s">
        <v>77</v>
      </c>
    </row>
    <row r="1858">
      <c r="A1858" s="52" t="s">
        <v>77</v>
      </c>
      <c r="B1858" s="28" t="s">
        <v>77</v>
      </c>
      <c r="C1858" s="28" t="s">
        <v>77</v>
      </c>
      <c r="D1858" s="28" t="s">
        <v>77</v>
      </c>
      <c r="E1858" s="28" t="s">
        <v>77</v>
      </c>
      <c r="F1858" s="28" t="s">
        <v>77</v>
      </c>
      <c r="G1858" s="28" t="s">
        <v>77</v>
      </c>
      <c r="I1858" s="26" t="s">
        <v>77</v>
      </c>
      <c r="J1858" s="26" t="s">
        <v>77</v>
      </c>
      <c r="K1858" s="18"/>
      <c r="L1858" s="26" t="s">
        <v>77</v>
      </c>
      <c r="M1858" s="6" t="s">
        <v>77</v>
      </c>
      <c r="N1858" s="28" t="s">
        <v>77</v>
      </c>
      <c r="O1858" s="26" t="s">
        <v>77</v>
      </c>
    </row>
    <row r="1859">
      <c r="A1859" s="52" t="s">
        <v>77</v>
      </c>
      <c r="B1859" s="28" t="s">
        <v>77</v>
      </c>
      <c r="C1859" s="28" t="s">
        <v>77</v>
      </c>
      <c r="D1859" s="28" t="s">
        <v>77</v>
      </c>
      <c r="E1859" s="28" t="s">
        <v>77</v>
      </c>
      <c r="F1859" s="28" t="s">
        <v>77</v>
      </c>
      <c r="G1859" s="28" t="s">
        <v>77</v>
      </c>
      <c r="I1859" s="26" t="s">
        <v>77</v>
      </c>
      <c r="J1859" s="26" t="s">
        <v>77</v>
      </c>
      <c r="K1859" s="18"/>
      <c r="L1859" s="26" t="s">
        <v>77</v>
      </c>
      <c r="M1859" s="6" t="s">
        <v>77</v>
      </c>
      <c r="N1859" s="28" t="s">
        <v>77</v>
      </c>
      <c r="O1859" s="26" t="s">
        <v>77</v>
      </c>
    </row>
    <row r="1860">
      <c r="A1860" s="52" t="s">
        <v>77</v>
      </c>
      <c r="B1860" s="28" t="s">
        <v>77</v>
      </c>
      <c r="C1860" s="28" t="s">
        <v>77</v>
      </c>
      <c r="D1860" s="28" t="s">
        <v>77</v>
      </c>
      <c r="E1860" s="28" t="s">
        <v>77</v>
      </c>
      <c r="F1860" s="28" t="s">
        <v>77</v>
      </c>
      <c r="G1860" s="28" t="s">
        <v>77</v>
      </c>
      <c r="I1860" s="26" t="s">
        <v>77</v>
      </c>
      <c r="J1860" s="26" t="s">
        <v>77</v>
      </c>
      <c r="K1860" s="18"/>
      <c r="L1860" s="26" t="s">
        <v>77</v>
      </c>
      <c r="M1860" s="6" t="s">
        <v>77</v>
      </c>
      <c r="N1860" s="28" t="s">
        <v>77</v>
      </c>
      <c r="O1860" s="26" t="s">
        <v>77</v>
      </c>
    </row>
    <row r="1861">
      <c r="A1861" s="52" t="s">
        <v>77</v>
      </c>
      <c r="B1861" s="28" t="s">
        <v>77</v>
      </c>
      <c r="C1861" s="28" t="s">
        <v>77</v>
      </c>
      <c r="D1861" s="28" t="s">
        <v>77</v>
      </c>
      <c r="E1861" s="28" t="s">
        <v>77</v>
      </c>
      <c r="F1861" s="28" t="s">
        <v>77</v>
      </c>
      <c r="G1861" s="28" t="s">
        <v>77</v>
      </c>
      <c r="I1861" s="26" t="s">
        <v>77</v>
      </c>
      <c r="J1861" s="26" t="s">
        <v>77</v>
      </c>
      <c r="K1861" s="18"/>
      <c r="L1861" s="26" t="s">
        <v>77</v>
      </c>
      <c r="M1861" s="6" t="s">
        <v>77</v>
      </c>
      <c r="N1861" s="28" t="s">
        <v>77</v>
      </c>
      <c r="O1861" s="26" t="s">
        <v>77</v>
      </c>
    </row>
    <row r="1862">
      <c r="A1862" s="52" t="s">
        <v>77</v>
      </c>
      <c r="B1862" s="28" t="s">
        <v>77</v>
      </c>
      <c r="C1862" s="28" t="s">
        <v>77</v>
      </c>
      <c r="D1862" s="28" t="s">
        <v>77</v>
      </c>
      <c r="E1862" s="28" t="s">
        <v>77</v>
      </c>
      <c r="F1862" s="28" t="s">
        <v>77</v>
      </c>
      <c r="G1862" s="28" t="s">
        <v>77</v>
      </c>
      <c r="I1862" s="26" t="s">
        <v>77</v>
      </c>
      <c r="J1862" s="26" t="s">
        <v>77</v>
      </c>
      <c r="K1862" s="18"/>
      <c r="L1862" s="26" t="s">
        <v>77</v>
      </c>
      <c r="M1862" s="6" t="s">
        <v>77</v>
      </c>
      <c r="N1862" s="28" t="s">
        <v>77</v>
      </c>
      <c r="O1862" s="26" t="s">
        <v>77</v>
      </c>
    </row>
    <row r="1863">
      <c r="A1863" s="52" t="s">
        <v>77</v>
      </c>
      <c r="B1863" s="28" t="s">
        <v>77</v>
      </c>
      <c r="C1863" s="28" t="s">
        <v>77</v>
      </c>
      <c r="D1863" s="28" t="s">
        <v>77</v>
      </c>
      <c r="E1863" s="28" t="s">
        <v>77</v>
      </c>
      <c r="F1863" s="28" t="s">
        <v>77</v>
      </c>
      <c r="G1863" s="28" t="s">
        <v>77</v>
      </c>
      <c r="I1863" s="26" t="s">
        <v>77</v>
      </c>
      <c r="J1863" s="26" t="s">
        <v>77</v>
      </c>
      <c r="K1863" s="18"/>
      <c r="L1863" s="26" t="s">
        <v>77</v>
      </c>
      <c r="M1863" s="6" t="s">
        <v>77</v>
      </c>
      <c r="N1863" s="28" t="s">
        <v>77</v>
      </c>
      <c r="O1863" s="26" t="s">
        <v>77</v>
      </c>
    </row>
    <row r="1864">
      <c r="A1864" s="52" t="s">
        <v>77</v>
      </c>
      <c r="B1864" s="28" t="s">
        <v>77</v>
      </c>
      <c r="C1864" s="28" t="s">
        <v>77</v>
      </c>
      <c r="D1864" s="28" t="s">
        <v>77</v>
      </c>
      <c r="E1864" s="28" t="s">
        <v>77</v>
      </c>
      <c r="F1864" s="28" t="s">
        <v>77</v>
      </c>
      <c r="G1864" s="28" t="s">
        <v>77</v>
      </c>
      <c r="I1864" s="26" t="s">
        <v>77</v>
      </c>
      <c r="J1864" s="26" t="s">
        <v>77</v>
      </c>
      <c r="K1864" s="18"/>
      <c r="L1864" s="26" t="s">
        <v>77</v>
      </c>
      <c r="M1864" s="6" t="s">
        <v>77</v>
      </c>
      <c r="N1864" s="28" t="s">
        <v>77</v>
      </c>
      <c r="O1864" s="26" t="s">
        <v>77</v>
      </c>
    </row>
    <row r="1865">
      <c r="A1865" s="52" t="s">
        <v>77</v>
      </c>
      <c r="B1865" s="28" t="s">
        <v>77</v>
      </c>
      <c r="C1865" s="28" t="s">
        <v>77</v>
      </c>
      <c r="D1865" s="28" t="s">
        <v>77</v>
      </c>
      <c r="E1865" s="28" t="s">
        <v>77</v>
      </c>
      <c r="F1865" s="28" t="s">
        <v>77</v>
      </c>
      <c r="G1865" s="28" t="s">
        <v>77</v>
      </c>
      <c r="I1865" s="26" t="s">
        <v>77</v>
      </c>
      <c r="J1865" s="26" t="s">
        <v>77</v>
      </c>
      <c r="K1865" s="18"/>
      <c r="L1865" s="26" t="s">
        <v>77</v>
      </c>
      <c r="M1865" s="6" t="s">
        <v>77</v>
      </c>
      <c r="N1865" s="28" t="s">
        <v>77</v>
      </c>
      <c r="O1865" s="26" t="s">
        <v>77</v>
      </c>
    </row>
    <row r="1866">
      <c r="A1866" s="52" t="s">
        <v>77</v>
      </c>
      <c r="B1866" s="28" t="s">
        <v>77</v>
      </c>
      <c r="C1866" s="28" t="s">
        <v>77</v>
      </c>
      <c r="D1866" s="28" t="s">
        <v>77</v>
      </c>
      <c r="E1866" s="28" t="s">
        <v>77</v>
      </c>
      <c r="F1866" s="28" t="s">
        <v>77</v>
      </c>
      <c r="G1866" s="28" t="s">
        <v>77</v>
      </c>
      <c r="I1866" s="26" t="s">
        <v>77</v>
      </c>
      <c r="J1866" s="26" t="s">
        <v>77</v>
      </c>
      <c r="K1866" s="18"/>
      <c r="L1866" s="26" t="s">
        <v>77</v>
      </c>
      <c r="M1866" s="6" t="s">
        <v>77</v>
      </c>
      <c r="N1866" s="28" t="s">
        <v>77</v>
      </c>
      <c r="O1866" s="26" t="s">
        <v>77</v>
      </c>
    </row>
    <row r="1867">
      <c r="A1867" s="52" t="s">
        <v>77</v>
      </c>
      <c r="B1867" s="28" t="s">
        <v>77</v>
      </c>
      <c r="C1867" s="28" t="s">
        <v>77</v>
      </c>
      <c r="D1867" s="28" t="s">
        <v>77</v>
      </c>
      <c r="E1867" s="28" t="s">
        <v>77</v>
      </c>
      <c r="F1867" s="28" t="s">
        <v>77</v>
      </c>
      <c r="G1867" s="28" t="s">
        <v>77</v>
      </c>
      <c r="I1867" s="26" t="s">
        <v>77</v>
      </c>
      <c r="J1867" s="26" t="s">
        <v>77</v>
      </c>
      <c r="K1867" s="18"/>
      <c r="L1867" s="26" t="s">
        <v>77</v>
      </c>
      <c r="M1867" s="6" t="s">
        <v>77</v>
      </c>
      <c r="N1867" s="28" t="s">
        <v>77</v>
      </c>
      <c r="O1867" s="26" t="s">
        <v>77</v>
      </c>
    </row>
    <row r="1868">
      <c r="A1868" s="52" t="s">
        <v>77</v>
      </c>
      <c r="B1868" s="28" t="s">
        <v>77</v>
      </c>
      <c r="C1868" s="28" t="s">
        <v>77</v>
      </c>
      <c r="D1868" s="28" t="s">
        <v>77</v>
      </c>
      <c r="E1868" s="28" t="s">
        <v>77</v>
      </c>
      <c r="F1868" s="28" t="s">
        <v>77</v>
      </c>
      <c r="G1868" s="28" t="s">
        <v>77</v>
      </c>
      <c r="I1868" s="26" t="s">
        <v>77</v>
      </c>
      <c r="J1868" s="26" t="s">
        <v>77</v>
      </c>
      <c r="K1868" s="18"/>
      <c r="L1868" s="26" t="s">
        <v>77</v>
      </c>
      <c r="M1868" s="6" t="s">
        <v>77</v>
      </c>
      <c r="N1868" s="28" t="s">
        <v>77</v>
      </c>
      <c r="O1868" s="26" t="s">
        <v>77</v>
      </c>
    </row>
    <row r="1869">
      <c r="A1869" s="52" t="s">
        <v>77</v>
      </c>
      <c r="B1869" s="28" t="s">
        <v>77</v>
      </c>
      <c r="C1869" s="28" t="s">
        <v>77</v>
      </c>
      <c r="D1869" s="28" t="s">
        <v>77</v>
      </c>
      <c r="E1869" s="28" t="s">
        <v>77</v>
      </c>
      <c r="F1869" s="28" t="s">
        <v>77</v>
      </c>
      <c r="G1869" s="28" t="s">
        <v>77</v>
      </c>
      <c r="I1869" s="26" t="s">
        <v>77</v>
      </c>
      <c r="J1869" s="26" t="s">
        <v>77</v>
      </c>
      <c r="K1869" s="18"/>
      <c r="L1869" s="26" t="s">
        <v>77</v>
      </c>
      <c r="M1869" s="6" t="s">
        <v>77</v>
      </c>
      <c r="N1869" s="28" t="s">
        <v>77</v>
      </c>
      <c r="O1869" s="26" t="s">
        <v>77</v>
      </c>
    </row>
    <row r="1870">
      <c r="A1870" s="52" t="s">
        <v>77</v>
      </c>
      <c r="B1870" s="28" t="s">
        <v>77</v>
      </c>
      <c r="C1870" s="28" t="s">
        <v>77</v>
      </c>
      <c r="D1870" s="28" t="s">
        <v>77</v>
      </c>
      <c r="E1870" s="28" t="s">
        <v>77</v>
      </c>
      <c r="F1870" s="28" t="s">
        <v>77</v>
      </c>
      <c r="G1870" s="28" t="s">
        <v>77</v>
      </c>
      <c r="I1870" s="26" t="s">
        <v>77</v>
      </c>
      <c r="J1870" s="26" t="s">
        <v>77</v>
      </c>
      <c r="K1870" s="18"/>
      <c r="L1870" s="26" t="s">
        <v>77</v>
      </c>
      <c r="M1870" s="6" t="s">
        <v>77</v>
      </c>
      <c r="N1870" s="28" t="s">
        <v>77</v>
      </c>
      <c r="O1870" s="26" t="s">
        <v>77</v>
      </c>
    </row>
    <row r="1871">
      <c r="A1871" s="52" t="s">
        <v>77</v>
      </c>
      <c r="B1871" s="28" t="s">
        <v>77</v>
      </c>
      <c r="C1871" s="28" t="s">
        <v>77</v>
      </c>
      <c r="D1871" s="28" t="s">
        <v>77</v>
      </c>
      <c r="E1871" s="28" t="s">
        <v>77</v>
      </c>
      <c r="F1871" s="28" t="s">
        <v>77</v>
      </c>
      <c r="G1871" s="28" t="s">
        <v>77</v>
      </c>
      <c r="I1871" s="26" t="s">
        <v>77</v>
      </c>
      <c r="J1871" s="26" t="s">
        <v>77</v>
      </c>
      <c r="K1871" s="18"/>
      <c r="L1871" s="26" t="s">
        <v>77</v>
      </c>
      <c r="M1871" s="6" t="s">
        <v>77</v>
      </c>
      <c r="N1871" s="28" t="s">
        <v>77</v>
      </c>
      <c r="O1871" s="26" t="s">
        <v>77</v>
      </c>
    </row>
    <row r="1872">
      <c r="A1872" s="52" t="s">
        <v>77</v>
      </c>
      <c r="B1872" s="28" t="s">
        <v>77</v>
      </c>
      <c r="C1872" s="28" t="s">
        <v>77</v>
      </c>
      <c r="D1872" s="28" t="s">
        <v>77</v>
      </c>
      <c r="E1872" s="28" t="s">
        <v>77</v>
      </c>
      <c r="F1872" s="28" t="s">
        <v>77</v>
      </c>
      <c r="G1872" s="28" t="s">
        <v>77</v>
      </c>
      <c r="I1872" s="26" t="s">
        <v>77</v>
      </c>
      <c r="J1872" s="26" t="s">
        <v>77</v>
      </c>
      <c r="K1872" s="18"/>
      <c r="L1872" s="26" t="s">
        <v>77</v>
      </c>
      <c r="M1872" s="6" t="s">
        <v>77</v>
      </c>
      <c r="N1872" s="28" t="s">
        <v>77</v>
      </c>
      <c r="O1872" s="26" t="s">
        <v>77</v>
      </c>
    </row>
    <row r="1873">
      <c r="A1873" s="52" t="s">
        <v>77</v>
      </c>
      <c r="B1873" s="28" t="s">
        <v>77</v>
      </c>
      <c r="C1873" s="28" t="s">
        <v>77</v>
      </c>
      <c r="D1873" s="28" t="s">
        <v>77</v>
      </c>
      <c r="E1873" s="28" t="s">
        <v>77</v>
      </c>
      <c r="F1873" s="28" t="s">
        <v>77</v>
      </c>
      <c r="G1873" s="28" t="s">
        <v>77</v>
      </c>
      <c r="I1873" s="26" t="s">
        <v>77</v>
      </c>
      <c r="J1873" s="26" t="s">
        <v>77</v>
      </c>
      <c r="K1873" s="18"/>
      <c r="L1873" s="26" t="s">
        <v>77</v>
      </c>
      <c r="M1873" s="6" t="s">
        <v>77</v>
      </c>
      <c r="N1873" s="28" t="s">
        <v>77</v>
      </c>
      <c r="O1873" s="26" t="s">
        <v>77</v>
      </c>
    </row>
    <row r="1874">
      <c r="A1874" s="52" t="s">
        <v>77</v>
      </c>
      <c r="B1874" s="28" t="s">
        <v>77</v>
      </c>
      <c r="C1874" s="28" t="s">
        <v>77</v>
      </c>
      <c r="D1874" s="28" t="s">
        <v>77</v>
      </c>
      <c r="E1874" s="28" t="s">
        <v>77</v>
      </c>
      <c r="F1874" s="28" t="s">
        <v>77</v>
      </c>
      <c r="G1874" s="28" t="s">
        <v>77</v>
      </c>
      <c r="I1874" s="26" t="s">
        <v>77</v>
      </c>
      <c r="J1874" s="26" t="s">
        <v>77</v>
      </c>
      <c r="K1874" s="18"/>
      <c r="L1874" s="26" t="s">
        <v>77</v>
      </c>
      <c r="M1874" s="6" t="s">
        <v>77</v>
      </c>
      <c r="N1874" s="28" t="s">
        <v>77</v>
      </c>
      <c r="O1874" s="26" t="s">
        <v>77</v>
      </c>
    </row>
    <row r="1875">
      <c r="A1875" s="52" t="s">
        <v>77</v>
      </c>
      <c r="B1875" s="28" t="s">
        <v>77</v>
      </c>
      <c r="C1875" s="28" t="s">
        <v>77</v>
      </c>
      <c r="D1875" s="28" t="s">
        <v>77</v>
      </c>
      <c r="E1875" s="28" t="s">
        <v>77</v>
      </c>
      <c r="F1875" s="28" t="s">
        <v>77</v>
      </c>
      <c r="G1875" s="28" t="s">
        <v>77</v>
      </c>
      <c r="I1875" s="26" t="s">
        <v>77</v>
      </c>
      <c r="J1875" s="26" t="s">
        <v>77</v>
      </c>
      <c r="K1875" s="18"/>
      <c r="L1875" s="26" t="s">
        <v>77</v>
      </c>
      <c r="M1875" s="6" t="s">
        <v>77</v>
      </c>
      <c r="N1875" s="28" t="s">
        <v>77</v>
      </c>
      <c r="O1875" s="26" t="s">
        <v>77</v>
      </c>
    </row>
    <row r="1876">
      <c r="A1876" s="52" t="s">
        <v>77</v>
      </c>
      <c r="B1876" s="28" t="s">
        <v>77</v>
      </c>
      <c r="C1876" s="28" t="s">
        <v>77</v>
      </c>
      <c r="D1876" s="28" t="s">
        <v>77</v>
      </c>
      <c r="E1876" s="28" t="s">
        <v>77</v>
      </c>
      <c r="F1876" s="28" t="s">
        <v>77</v>
      </c>
      <c r="G1876" s="28" t="s">
        <v>77</v>
      </c>
      <c r="I1876" s="26" t="s">
        <v>77</v>
      </c>
      <c r="J1876" s="26" t="s">
        <v>77</v>
      </c>
      <c r="K1876" s="18"/>
      <c r="L1876" s="26" t="s">
        <v>77</v>
      </c>
      <c r="M1876" s="6" t="s">
        <v>77</v>
      </c>
      <c r="N1876" s="28" t="s">
        <v>77</v>
      </c>
      <c r="O1876" s="26" t="s">
        <v>77</v>
      </c>
    </row>
    <row r="1877">
      <c r="A1877" s="52" t="s">
        <v>77</v>
      </c>
      <c r="B1877" s="28" t="s">
        <v>77</v>
      </c>
      <c r="C1877" s="28" t="s">
        <v>77</v>
      </c>
      <c r="D1877" s="28" t="s">
        <v>77</v>
      </c>
      <c r="E1877" s="28" t="s">
        <v>77</v>
      </c>
      <c r="F1877" s="28" t="s">
        <v>77</v>
      </c>
      <c r="G1877" s="28" t="s">
        <v>77</v>
      </c>
      <c r="I1877" s="26" t="s">
        <v>77</v>
      </c>
      <c r="J1877" s="26" t="s">
        <v>77</v>
      </c>
      <c r="K1877" s="18"/>
      <c r="L1877" s="26" t="s">
        <v>77</v>
      </c>
      <c r="M1877" s="6" t="s">
        <v>77</v>
      </c>
      <c r="N1877" s="28" t="s">
        <v>77</v>
      </c>
      <c r="O1877" s="26" t="s">
        <v>77</v>
      </c>
    </row>
    <row r="1878">
      <c r="A1878" s="52" t="s">
        <v>77</v>
      </c>
      <c r="B1878" s="28" t="s">
        <v>77</v>
      </c>
      <c r="C1878" s="28" t="s">
        <v>77</v>
      </c>
      <c r="D1878" s="28" t="s">
        <v>77</v>
      </c>
      <c r="E1878" s="28" t="s">
        <v>77</v>
      </c>
      <c r="F1878" s="28" t="s">
        <v>77</v>
      </c>
      <c r="G1878" s="28" t="s">
        <v>77</v>
      </c>
      <c r="I1878" s="26" t="s">
        <v>77</v>
      </c>
      <c r="J1878" s="26" t="s">
        <v>77</v>
      </c>
      <c r="K1878" s="18"/>
      <c r="L1878" s="26" t="s">
        <v>77</v>
      </c>
      <c r="M1878" s="6" t="s">
        <v>77</v>
      </c>
      <c r="N1878" s="28" t="s">
        <v>77</v>
      </c>
      <c r="O1878" s="26" t="s">
        <v>77</v>
      </c>
    </row>
    <row r="1879">
      <c r="A1879" s="52" t="s">
        <v>77</v>
      </c>
      <c r="B1879" s="28" t="s">
        <v>77</v>
      </c>
      <c r="C1879" s="28" t="s">
        <v>77</v>
      </c>
      <c r="D1879" s="28" t="s">
        <v>77</v>
      </c>
      <c r="E1879" s="28" t="s">
        <v>77</v>
      </c>
      <c r="F1879" s="28" t="s">
        <v>77</v>
      </c>
      <c r="G1879" s="28" t="s">
        <v>77</v>
      </c>
      <c r="I1879" s="26" t="s">
        <v>77</v>
      </c>
      <c r="J1879" s="26" t="s">
        <v>77</v>
      </c>
      <c r="K1879" s="18"/>
      <c r="L1879" s="26" t="s">
        <v>77</v>
      </c>
      <c r="M1879" s="6" t="s">
        <v>77</v>
      </c>
      <c r="N1879" s="28" t="s">
        <v>77</v>
      </c>
      <c r="O1879" s="26" t="s">
        <v>77</v>
      </c>
    </row>
    <row r="1880">
      <c r="A1880" s="52" t="s">
        <v>77</v>
      </c>
      <c r="B1880" s="28" t="s">
        <v>77</v>
      </c>
      <c r="C1880" s="28" t="s">
        <v>77</v>
      </c>
      <c r="D1880" s="28" t="s">
        <v>77</v>
      </c>
      <c r="E1880" s="28" t="s">
        <v>77</v>
      </c>
      <c r="F1880" s="28" t="s">
        <v>77</v>
      </c>
      <c r="G1880" s="28" t="s">
        <v>77</v>
      </c>
      <c r="I1880" s="26" t="s">
        <v>77</v>
      </c>
      <c r="J1880" s="26" t="s">
        <v>77</v>
      </c>
      <c r="K1880" s="18"/>
      <c r="L1880" s="26" t="s">
        <v>77</v>
      </c>
      <c r="M1880" s="6" t="s">
        <v>77</v>
      </c>
      <c r="N1880" s="28" t="s">
        <v>77</v>
      </c>
      <c r="O1880" s="26" t="s">
        <v>77</v>
      </c>
    </row>
    <row r="1881">
      <c r="A1881" s="52" t="s">
        <v>77</v>
      </c>
      <c r="B1881" s="28" t="s">
        <v>77</v>
      </c>
      <c r="C1881" s="28" t="s">
        <v>77</v>
      </c>
      <c r="D1881" s="28" t="s">
        <v>77</v>
      </c>
      <c r="E1881" s="28" t="s">
        <v>77</v>
      </c>
      <c r="F1881" s="28" t="s">
        <v>77</v>
      </c>
      <c r="G1881" s="28" t="s">
        <v>77</v>
      </c>
      <c r="I1881" s="26" t="s">
        <v>77</v>
      </c>
      <c r="J1881" s="26" t="s">
        <v>77</v>
      </c>
      <c r="K1881" s="18"/>
      <c r="L1881" s="26" t="s">
        <v>77</v>
      </c>
      <c r="M1881" s="6" t="s">
        <v>77</v>
      </c>
      <c r="N1881" s="28" t="s">
        <v>77</v>
      </c>
      <c r="O1881" s="26" t="s">
        <v>77</v>
      </c>
    </row>
    <row r="1882">
      <c r="A1882" s="52" t="s">
        <v>77</v>
      </c>
      <c r="B1882" s="28" t="s">
        <v>77</v>
      </c>
      <c r="C1882" s="28" t="s">
        <v>77</v>
      </c>
      <c r="D1882" s="28" t="s">
        <v>77</v>
      </c>
      <c r="E1882" s="28" t="s">
        <v>77</v>
      </c>
      <c r="F1882" s="28" t="s">
        <v>77</v>
      </c>
      <c r="G1882" s="28" t="s">
        <v>77</v>
      </c>
      <c r="I1882" s="26" t="s">
        <v>77</v>
      </c>
      <c r="J1882" s="26" t="s">
        <v>77</v>
      </c>
      <c r="K1882" s="18"/>
      <c r="L1882" s="26" t="s">
        <v>77</v>
      </c>
      <c r="M1882" s="6" t="s">
        <v>77</v>
      </c>
      <c r="N1882" s="28" t="s">
        <v>77</v>
      </c>
      <c r="O1882" s="26" t="s">
        <v>77</v>
      </c>
    </row>
    <row r="1883">
      <c r="A1883" s="52" t="s">
        <v>77</v>
      </c>
      <c r="B1883" s="28" t="s">
        <v>77</v>
      </c>
      <c r="C1883" s="28" t="s">
        <v>77</v>
      </c>
      <c r="D1883" s="28" t="s">
        <v>77</v>
      </c>
      <c r="E1883" s="28" t="s">
        <v>77</v>
      </c>
      <c r="F1883" s="28" t="s">
        <v>77</v>
      </c>
      <c r="G1883" s="28" t="s">
        <v>77</v>
      </c>
      <c r="I1883" s="26" t="s">
        <v>77</v>
      </c>
      <c r="J1883" s="26" t="s">
        <v>77</v>
      </c>
      <c r="K1883" s="18"/>
      <c r="L1883" s="26" t="s">
        <v>77</v>
      </c>
      <c r="M1883" s="6" t="s">
        <v>77</v>
      </c>
      <c r="N1883" s="28" t="s">
        <v>77</v>
      </c>
      <c r="O1883" s="26" t="s">
        <v>77</v>
      </c>
    </row>
    <row r="1884">
      <c r="A1884" s="52" t="s">
        <v>77</v>
      </c>
      <c r="B1884" s="28" t="s">
        <v>77</v>
      </c>
      <c r="C1884" s="28" t="s">
        <v>77</v>
      </c>
      <c r="D1884" s="28" t="s">
        <v>77</v>
      </c>
      <c r="E1884" s="28" t="s">
        <v>77</v>
      </c>
      <c r="F1884" s="28" t="s">
        <v>77</v>
      </c>
      <c r="G1884" s="28" t="s">
        <v>77</v>
      </c>
      <c r="I1884" s="26" t="s">
        <v>77</v>
      </c>
      <c r="J1884" s="26" t="s">
        <v>77</v>
      </c>
      <c r="K1884" s="18"/>
      <c r="L1884" s="26" t="s">
        <v>77</v>
      </c>
      <c r="M1884" s="6" t="s">
        <v>77</v>
      </c>
      <c r="N1884" s="28" t="s">
        <v>77</v>
      </c>
      <c r="O1884" s="26" t="s">
        <v>77</v>
      </c>
    </row>
    <row r="1885">
      <c r="A1885" s="52" t="s">
        <v>77</v>
      </c>
      <c r="B1885" s="28" t="s">
        <v>77</v>
      </c>
      <c r="C1885" s="28" t="s">
        <v>77</v>
      </c>
      <c r="D1885" s="28" t="s">
        <v>77</v>
      </c>
      <c r="E1885" s="28" t="s">
        <v>77</v>
      </c>
      <c r="F1885" s="28" t="s">
        <v>77</v>
      </c>
      <c r="G1885" s="28" t="s">
        <v>77</v>
      </c>
      <c r="I1885" s="26" t="s">
        <v>77</v>
      </c>
      <c r="J1885" s="26" t="s">
        <v>77</v>
      </c>
      <c r="K1885" s="18"/>
      <c r="L1885" s="26" t="s">
        <v>77</v>
      </c>
      <c r="M1885" s="6" t="s">
        <v>77</v>
      </c>
      <c r="N1885" s="28" t="s">
        <v>77</v>
      </c>
      <c r="O1885" s="26" t="s">
        <v>77</v>
      </c>
    </row>
    <row r="1886">
      <c r="A1886" s="52" t="s">
        <v>77</v>
      </c>
      <c r="B1886" s="28" t="s">
        <v>77</v>
      </c>
      <c r="C1886" s="28" t="s">
        <v>77</v>
      </c>
      <c r="D1886" s="28" t="s">
        <v>77</v>
      </c>
      <c r="E1886" s="28" t="s">
        <v>77</v>
      </c>
      <c r="F1886" s="28" t="s">
        <v>77</v>
      </c>
      <c r="G1886" s="28" t="s">
        <v>77</v>
      </c>
      <c r="I1886" s="26" t="s">
        <v>77</v>
      </c>
      <c r="J1886" s="26" t="s">
        <v>77</v>
      </c>
      <c r="K1886" s="18"/>
      <c r="L1886" s="26" t="s">
        <v>77</v>
      </c>
      <c r="M1886" s="6" t="s">
        <v>77</v>
      </c>
      <c r="N1886" s="28" t="s">
        <v>77</v>
      </c>
      <c r="O1886" s="26" t="s">
        <v>77</v>
      </c>
    </row>
    <row r="1887">
      <c r="A1887" s="52" t="s">
        <v>77</v>
      </c>
      <c r="B1887" s="28" t="s">
        <v>77</v>
      </c>
      <c r="C1887" s="28" t="s">
        <v>77</v>
      </c>
      <c r="D1887" s="28" t="s">
        <v>77</v>
      </c>
      <c r="E1887" s="28" t="s">
        <v>77</v>
      </c>
      <c r="F1887" s="28" t="s">
        <v>77</v>
      </c>
      <c r="G1887" s="28" t="s">
        <v>77</v>
      </c>
      <c r="I1887" s="26" t="s">
        <v>77</v>
      </c>
      <c r="J1887" s="26" t="s">
        <v>77</v>
      </c>
      <c r="K1887" s="18"/>
      <c r="L1887" s="26" t="s">
        <v>77</v>
      </c>
      <c r="M1887" s="6" t="s">
        <v>77</v>
      </c>
      <c r="N1887" s="28" t="s">
        <v>77</v>
      </c>
      <c r="O1887" s="26" t="s">
        <v>77</v>
      </c>
    </row>
    <row r="1888">
      <c r="A1888" s="52" t="s">
        <v>77</v>
      </c>
      <c r="B1888" s="28" t="s">
        <v>77</v>
      </c>
      <c r="C1888" s="28" t="s">
        <v>77</v>
      </c>
      <c r="D1888" s="28" t="s">
        <v>77</v>
      </c>
      <c r="E1888" s="28" t="s">
        <v>77</v>
      </c>
      <c r="F1888" s="28" t="s">
        <v>77</v>
      </c>
      <c r="G1888" s="28" t="s">
        <v>77</v>
      </c>
      <c r="I1888" s="26" t="s">
        <v>77</v>
      </c>
      <c r="J1888" s="26" t="s">
        <v>77</v>
      </c>
      <c r="K1888" s="18"/>
      <c r="L1888" s="26" t="s">
        <v>77</v>
      </c>
      <c r="M1888" s="6" t="s">
        <v>77</v>
      </c>
      <c r="N1888" s="28" t="s">
        <v>77</v>
      </c>
      <c r="O1888" s="26" t="s">
        <v>77</v>
      </c>
    </row>
    <row r="1889">
      <c r="A1889" s="52" t="s">
        <v>77</v>
      </c>
      <c r="B1889" s="28" t="s">
        <v>77</v>
      </c>
      <c r="C1889" s="28" t="s">
        <v>77</v>
      </c>
      <c r="D1889" s="28" t="s">
        <v>77</v>
      </c>
      <c r="E1889" s="28" t="s">
        <v>77</v>
      </c>
      <c r="F1889" s="28" t="s">
        <v>77</v>
      </c>
      <c r="G1889" s="28" t="s">
        <v>77</v>
      </c>
      <c r="I1889" s="26" t="s">
        <v>77</v>
      </c>
      <c r="J1889" s="26" t="s">
        <v>77</v>
      </c>
      <c r="K1889" s="18"/>
      <c r="L1889" s="26" t="s">
        <v>77</v>
      </c>
      <c r="M1889" s="6" t="s">
        <v>77</v>
      </c>
      <c r="N1889" s="28" t="s">
        <v>77</v>
      </c>
      <c r="O1889" s="26" t="s">
        <v>77</v>
      </c>
    </row>
    <row r="1890">
      <c r="A1890" s="52" t="s">
        <v>77</v>
      </c>
      <c r="B1890" s="28" t="s">
        <v>77</v>
      </c>
      <c r="C1890" s="28" t="s">
        <v>77</v>
      </c>
      <c r="D1890" s="28" t="s">
        <v>77</v>
      </c>
      <c r="E1890" s="28" t="s">
        <v>77</v>
      </c>
      <c r="F1890" s="28" t="s">
        <v>77</v>
      </c>
      <c r="G1890" s="28" t="s">
        <v>77</v>
      </c>
      <c r="I1890" s="26" t="s">
        <v>77</v>
      </c>
      <c r="J1890" s="26" t="s">
        <v>77</v>
      </c>
      <c r="K1890" s="18"/>
      <c r="L1890" s="26" t="s">
        <v>77</v>
      </c>
      <c r="M1890" s="6" t="s">
        <v>77</v>
      </c>
      <c r="N1890" s="28" t="s">
        <v>77</v>
      </c>
      <c r="O1890" s="26" t="s">
        <v>77</v>
      </c>
    </row>
    <row r="1891">
      <c r="A1891" s="52" t="s">
        <v>77</v>
      </c>
      <c r="B1891" s="28" t="s">
        <v>77</v>
      </c>
      <c r="C1891" s="28" t="s">
        <v>77</v>
      </c>
      <c r="D1891" s="28" t="s">
        <v>77</v>
      </c>
      <c r="E1891" s="28" t="s">
        <v>77</v>
      </c>
      <c r="F1891" s="28" t="s">
        <v>77</v>
      </c>
      <c r="G1891" s="28" t="s">
        <v>77</v>
      </c>
      <c r="I1891" s="26" t="s">
        <v>77</v>
      </c>
      <c r="J1891" s="26" t="s">
        <v>77</v>
      </c>
      <c r="K1891" s="18"/>
      <c r="L1891" s="26" t="s">
        <v>77</v>
      </c>
      <c r="M1891" s="6" t="s">
        <v>77</v>
      </c>
      <c r="N1891" s="28" t="s">
        <v>77</v>
      </c>
      <c r="O1891" s="26" t="s">
        <v>77</v>
      </c>
    </row>
    <row r="1892">
      <c r="A1892" s="52" t="s">
        <v>77</v>
      </c>
      <c r="B1892" s="28" t="s">
        <v>77</v>
      </c>
      <c r="C1892" s="28" t="s">
        <v>77</v>
      </c>
      <c r="D1892" s="28" t="s">
        <v>77</v>
      </c>
      <c r="E1892" s="28" t="s">
        <v>77</v>
      </c>
      <c r="F1892" s="28" t="s">
        <v>77</v>
      </c>
      <c r="G1892" s="28" t="s">
        <v>77</v>
      </c>
      <c r="I1892" s="26" t="s">
        <v>77</v>
      </c>
      <c r="J1892" s="26" t="s">
        <v>77</v>
      </c>
      <c r="K1892" s="18"/>
      <c r="L1892" s="26" t="s">
        <v>77</v>
      </c>
      <c r="M1892" s="6" t="s">
        <v>77</v>
      </c>
      <c r="N1892" s="28" t="s">
        <v>77</v>
      </c>
      <c r="O1892" s="26" t="s">
        <v>77</v>
      </c>
    </row>
    <row r="1893">
      <c r="A1893" s="52" t="s">
        <v>77</v>
      </c>
      <c r="B1893" s="28" t="s">
        <v>77</v>
      </c>
      <c r="C1893" s="28" t="s">
        <v>77</v>
      </c>
      <c r="D1893" s="28" t="s">
        <v>77</v>
      </c>
      <c r="E1893" s="28" t="s">
        <v>77</v>
      </c>
      <c r="F1893" s="28" t="s">
        <v>77</v>
      </c>
      <c r="G1893" s="28" t="s">
        <v>77</v>
      </c>
      <c r="I1893" s="26" t="s">
        <v>77</v>
      </c>
      <c r="J1893" s="26" t="s">
        <v>77</v>
      </c>
      <c r="K1893" s="18"/>
      <c r="L1893" s="26" t="s">
        <v>77</v>
      </c>
      <c r="M1893" s="6" t="s">
        <v>77</v>
      </c>
      <c r="N1893" s="28" t="s">
        <v>77</v>
      </c>
      <c r="O1893" s="26" t="s">
        <v>77</v>
      </c>
    </row>
    <row r="1894">
      <c r="A1894" s="52" t="s">
        <v>77</v>
      </c>
      <c r="B1894" s="28" t="s">
        <v>77</v>
      </c>
      <c r="C1894" s="28" t="s">
        <v>77</v>
      </c>
      <c r="D1894" s="28" t="s">
        <v>77</v>
      </c>
      <c r="E1894" s="28" t="s">
        <v>77</v>
      </c>
      <c r="F1894" s="28" t="s">
        <v>77</v>
      </c>
      <c r="G1894" s="28" t="s">
        <v>77</v>
      </c>
      <c r="I1894" s="26" t="s">
        <v>77</v>
      </c>
      <c r="J1894" s="26" t="s">
        <v>77</v>
      </c>
      <c r="K1894" s="18"/>
      <c r="L1894" s="26" t="s">
        <v>77</v>
      </c>
      <c r="M1894" s="6" t="s">
        <v>77</v>
      </c>
      <c r="N1894" s="28" t="s">
        <v>77</v>
      </c>
      <c r="O1894" s="26" t="s">
        <v>77</v>
      </c>
    </row>
    <row r="1895">
      <c r="A1895" s="52" t="s">
        <v>77</v>
      </c>
      <c r="B1895" s="28" t="s">
        <v>77</v>
      </c>
      <c r="C1895" s="28" t="s">
        <v>77</v>
      </c>
      <c r="D1895" s="28" t="s">
        <v>77</v>
      </c>
      <c r="E1895" s="28" t="s">
        <v>77</v>
      </c>
      <c r="F1895" s="28" t="s">
        <v>77</v>
      </c>
      <c r="G1895" s="28" t="s">
        <v>77</v>
      </c>
      <c r="I1895" s="26" t="s">
        <v>77</v>
      </c>
      <c r="J1895" s="26" t="s">
        <v>77</v>
      </c>
      <c r="K1895" s="18"/>
      <c r="L1895" s="26" t="s">
        <v>77</v>
      </c>
      <c r="M1895" s="6" t="s">
        <v>77</v>
      </c>
      <c r="N1895" s="28" t="s">
        <v>77</v>
      </c>
      <c r="O1895" s="26" t="s">
        <v>77</v>
      </c>
    </row>
    <row r="1896">
      <c r="A1896" s="52" t="s">
        <v>77</v>
      </c>
      <c r="B1896" s="28" t="s">
        <v>77</v>
      </c>
      <c r="C1896" s="28" t="s">
        <v>77</v>
      </c>
      <c r="D1896" s="28" t="s">
        <v>77</v>
      </c>
      <c r="E1896" s="28" t="s">
        <v>77</v>
      </c>
      <c r="F1896" s="28" t="s">
        <v>77</v>
      </c>
      <c r="G1896" s="28" t="s">
        <v>77</v>
      </c>
      <c r="I1896" s="26" t="s">
        <v>77</v>
      </c>
      <c r="J1896" s="26" t="s">
        <v>77</v>
      </c>
      <c r="K1896" s="18"/>
      <c r="L1896" s="26" t="s">
        <v>77</v>
      </c>
      <c r="M1896" s="6" t="s">
        <v>77</v>
      </c>
      <c r="N1896" s="28" t="s">
        <v>77</v>
      </c>
      <c r="O1896" s="26" t="s">
        <v>77</v>
      </c>
    </row>
    <row r="1897">
      <c r="A1897" s="52" t="s">
        <v>77</v>
      </c>
      <c r="B1897" s="28" t="s">
        <v>77</v>
      </c>
      <c r="C1897" s="28" t="s">
        <v>77</v>
      </c>
      <c r="D1897" s="28" t="s">
        <v>77</v>
      </c>
      <c r="E1897" s="28" t="s">
        <v>77</v>
      </c>
      <c r="F1897" s="28" t="s">
        <v>77</v>
      </c>
      <c r="G1897" s="28" t="s">
        <v>77</v>
      </c>
      <c r="I1897" s="26" t="s">
        <v>77</v>
      </c>
      <c r="J1897" s="26" t="s">
        <v>77</v>
      </c>
      <c r="K1897" s="18"/>
      <c r="L1897" s="26" t="s">
        <v>77</v>
      </c>
      <c r="M1897" s="6" t="s">
        <v>77</v>
      </c>
      <c r="N1897" s="28" t="s">
        <v>77</v>
      </c>
      <c r="O1897" s="26" t="s">
        <v>77</v>
      </c>
    </row>
    <row r="1898">
      <c r="A1898" s="52" t="s">
        <v>77</v>
      </c>
      <c r="B1898" s="28" t="s">
        <v>77</v>
      </c>
      <c r="C1898" s="28" t="s">
        <v>77</v>
      </c>
      <c r="D1898" s="28" t="s">
        <v>77</v>
      </c>
      <c r="E1898" s="28" t="s">
        <v>77</v>
      </c>
      <c r="F1898" s="28" t="s">
        <v>77</v>
      </c>
      <c r="G1898" s="28" t="s">
        <v>77</v>
      </c>
      <c r="I1898" s="26" t="s">
        <v>77</v>
      </c>
      <c r="J1898" s="26" t="s">
        <v>77</v>
      </c>
      <c r="K1898" s="18"/>
      <c r="L1898" s="26" t="s">
        <v>77</v>
      </c>
      <c r="M1898" s="6" t="s">
        <v>77</v>
      </c>
      <c r="N1898" s="28" t="s">
        <v>77</v>
      </c>
      <c r="O1898" s="26" t="s">
        <v>77</v>
      </c>
    </row>
    <row r="1899">
      <c r="A1899" s="52" t="s">
        <v>77</v>
      </c>
      <c r="B1899" s="28" t="s">
        <v>77</v>
      </c>
      <c r="C1899" s="28" t="s">
        <v>77</v>
      </c>
      <c r="D1899" s="28" t="s">
        <v>77</v>
      </c>
      <c r="E1899" s="28" t="s">
        <v>77</v>
      </c>
      <c r="F1899" s="28" t="s">
        <v>77</v>
      </c>
      <c r="G1899" s="28" t="s">
        <v>77</v>
      </c>
      <c r="I1899" s="26" t="s">
        <v>77</v>
      </c>
      <c r="J1899" s="26" t="s">
        <v>77</v>
      </c>
      <c r="K1899" s="18"/>
      <c r="L1899" s="26" t="s">
        <v>77</v>
      </c>
      <c r="M1899" s="6" t="s">
        <v>77</v>
      </c>
      <c r="N1899" s="28" t="s">
        <v>77</v>
      </c>
      <c r="O1899" s="26" t="s">
        <v>77</v>
      </c>
    </row>
    <row r="1900">
      <c r="A1900" s="52" t="s">
        <v>77</v>
      </c>
      <c r="B1900" s="28" t="s">
        <v>77</v>
      </c>
      <c r="C1900" s="28" t="s">
        <v>77</v>
      </c>
      <c r="D1900" s="28" t="s">
        <v>77</v>
      </c>
      <c r="E1900" s="28" t="s">
        <v>77</v>
      </c>
      <c r="F1900" s="28" t="s">
        <v>77</v>
      </c>
      <c r="G1900" s="28" t="s">
        <v>77</v>
      </c>
      <c r="I1900" s="26" t="s">
        <v>77</v>
      </c>
      <c r="J1900" s="26" t="s">
        <v>77</v>
      </c>
      <c r="K1900" s="18"/>
      <c r="L1900" s="26" t="s">
        <v>77</v>
      </c>
      <c r="M1900" s="6" t="s">
        <v>77</v>
      </c>
      <c r="N1900" s="28" t="s">
        <v>77</v>
      </c>
      <c r="O1900" s="26" t="s">
        <v>77</v>
      </c>
    </row>
    <row r="1901">
      <c r="A1901" s="52" t="s">
        <v>77</v>
      </c>
      <c r="B1901" s="28" t="s">
        <v>77</v>
      </c>
      <c r="C1901" s="28" t="s">
        <v>77</v>
      </c>
      <c r="D1901" s="28" t="s">
        <v>77</v>
      </c>
      <c r="E1901" s="28" t="s">
        <v>77</v>
      </c>
      <c r="F1901" s="28" t="s">
        <v>77</v>
      </c>
      <c r="G1901" s="28" t="s">
        <v>77</v>
      </c>
      <c r="I1901" s="26" t="s">
        <v>77</v>
      </c>
      <c r="J1901" s="26" t="s">
        <v>77</v>
      </c>
      <c r="K1901" s="18"/>
      <c r="L1901" s="26" t="s">
        <v>77</v>
      </c>
      <c r="M1901" s="6" t="s">
        <v>77</v>
      </c>
      <c r="N1901" s="28" t="s">
        <v>77</v>
      </c>
      <c r="O1901" s="26" t="s">
        <v>77</v>
      </c>
    </row>
    <row r="1902">
      <c r="A1902" s="52" t="s">
        <v>77</v>
      </c>
      <c r="B1902" s="28" t="s">
        <v>77</v>
      </c>
      <c r="C1902" s="28" t="s">
        <v>77</v>
      </c>
      <c r="D1902" s="28" t="s">
        <v>77</v>
      </c>
      <c r="E1902" s="28" t="s">
        <v>77</v>
      </c>
      <c r="F1902" s="28" t="s">
        <v>77</v>
      </c>
      <c r="G1902" s="28" t="s">
        <v>77</v>
      </c>
      <c r="I1902" s="26" t="s">
        <v>77</v>
      </c>
      <c r="J1902" s="26" t="s">
        <v>77</v>
      </c>
      <c r="K1902" s="18"/>
      <c r="L1902" s="26" t="s">
        <v>77</v>
      </c>
      <c r="M1902" s="6" t="s">
        <v>77</v>
      </c>
      <c r="N1902" s="28" t="s">
        <v>77</v>
      </c>
      <c r="O1902" s="26" t="s">
        <v>77</v>
      </c>
    </row>
    <row r="1903">
      <c r="A1903" s="52" t="s">
        <v>77</v>
      </c>
      <c r="B1903" s="28" t="s">
        <v>77</v>
      </c>
      <c r="C1903" s="28" t="s">
        <v>77</v>
      </c>
      <c r="D1903" s="28" t="s">
        <v>77</v>
      </c>
      <c r="E1903" s="28" t="s">
        <v>77</v>
      </c>
      <c r="F1903" s="28" t="s">
        <v>77</v>
      </c>
      <c r="G1903" s="28" t="s">
        <v>77</v>
      </c>
      <c r="I1903" s="26" t="s">
        <v>77</v>
      </c>
      <c r="J1903" s="26" t="s">
        <v>77</v>
      </c>
      <c r="K1903" s="18"/>
      <c r="L1903" s="26" t="s">
        <v>77</v>
      </c>
      <c r="M1903" s="6" t="s">
        <v>77</v>
      </c>
      <c r="N1903" s="28" t="s">
        <v>77</v>
      </c>
      <c r="O1903" s="26" t="s">
        <v>77</v>
      </c>
    </row>
    <row r="1904">
      <c r="A1904" s="52" t="s">
        <v>77</v>
      </c>
      <c r="B1904" s="28" t="s">
        <v>77</v>
      </c>
      <c r="C1904" s="28" t="s">
        <v>77</v>
      </c>
      <c r="D1904" s="28" t="s">
        <v>77</v>
      </c>
      <c r="E1904" s="28" t="s">
        <v>77</v>
      </c>
      <c r="F1904" s="28" t="s">
        <v>77</v>
      </c>
      <c r="G1904" s="28" t="s">
        <v>77</v>
      </c>
      <c r="I1904" s="26" t="s">
        <v>77</v>
      </c>
      <c r="J1904" s="26" t="s">
        <v>77</v>
      </c>
      <c r="K1904" s="18"/>
      <c r="L1904" s="26" t="s">
        <v>77</v>
      </c>
      <c r="M1904" s="6" t="s">
        <v>77</v>
      </c>
      <c r="N1904" s="28" t="s">
        <v>77</v>
      </c>
      <c r="O1904" s="26" t="s">
        <v>77</v>
      </c>
    </row>
    <row r="1905">
      <c r="A1905" s="52" t="s">
        <v>77</v>
      </c>
      <c r="B1905" s="28" t="s">
        <v>77</v>
      </c>
      <c r="C1905" s="28" t="s">
        <v>77</v>
      </c>
      <c r="D1905" s="28" t="s">
        <v>77</v>
      </c>
      <c r="E1905" s="28" t="s">
        <v>77</v>
      </c>
      <c r="F1905" s="28" t="s">
        <v>77</v>
      </c>
      <c r="G1905" s="28" t="s">
        <v>77</v>
      </c>
      <c r="I1905" s="26" t="s">
        <v>77</v>
      </c>
      <c r="J1905" s="26" t="s">
        <v>77</v>
      </c>
      <c r="K1905" s="18"/>
      <c r="L1905" s="26" t="s">
        <v>77</v>
      </c>
      <c r="M1905" s="6" t="s">
        <v>77</v>
      </c>
      <c r="N1905" s="28" t="s">
        <v>77</v>
      </c>
      <c r="O1905" s="26" t="s">
        <v>77</v>
      </c>
    </row>
    <row r="1906">
      <c r="A1906" s="52" t="s">
        <v>77</v>
      </c>
      <c r="B1906" s="28" t="s">
        <v>77</v>
      </c>
      <c r="C1906" s="28" t="s">
        <v>77</v>
      </c>
      <c r="D1906" s="28" t="s">
        <v>77</v>
      </c>
      <c r="E1906" s="28" t="s">
        <v>77</v>
      </c>
      <c r="F1906" s="28" t="s">
        <v>77</v>
      </c>
      <c r="G1906" s="28" t="s">
        <v>77</v>
      </c>
      <c r="I1906" s="26" t="s">
        <v>77</v>
      </c>
      <c r="J1906" s="26" t="s">
        <v>77</v>
      </c>
      <c r="K1906" s="18"/>
      <c r="L1906" s="26" t="s">
        <v>77</v>
      </c>
      <c r="M1906" s="6" t="s">
        <v>77</v>
      </c>
      <c r="N1906" s="28" t="s">
        <v>77</v>
      </c>
      <c r="O1906" s="26" t="s">
        <v>77</v>
      </c>
    </row>
    <row r="1907">
      <c r="A1907" s="52" t="s">
        <v>77</v>
      </c>
      <c r="B1907" s="28" t="s">
        <v>77</v>
      </c>
      <c r="C1907" s="28" t="s">
        <v>77</v>
      </c>
      <c r="D1907" s="28" t="s">
        <v>77</v>
      </c>
      <c r="E1907" s="28" t="s">
        <v>77</v>
      </c>
      <c r="F1907" s="28" t="s">
        <v>77</v>
      </c>
      <c r="G1907" s="28" t="s">
        <v>77</v>
      </c>
      <c r="I1907" s="26" t="s">
        <v>77</v>
      </c>
      <c r="J1907" s="26" t="s">
        <v>77</v>
      </c>
      <c r="K1907" s="18"/>
      <c r="L1907" s="26" t="s">
        <v>77</v>
      </c>
      <c r="M1907" s="6" t="s">
        <v>77</v>
      </c>
      <c r="N1907" s="28" t="s">
        <v>77</v>
      </c>
      <c r="O1907" s="26" t="s">
        <v>77</v>
      </c>
    </row>
    <row r="1908">
      <c r="A1908" s="52" t="s">
        <v>77</v>
      </c>
      <c r="B1908" s="28" t="s">
        <v>77</v>
      </c>
      <c r="C1908" s="28" t="s">
        <v>77</v>
      </c>
      <c r="D1908" s="28" t="s">
        <v>77</v>
      </c>
      <c r="E1908" s="28" t="s">
        <v>77</v>
      </c>
      <c r="F1908" s="28" t="s">
        <v>77</v>
      </c>
      <c r="G1908" s="28" t="s">
        <v>77</v>
      </c>
      <c r="I1908" s="26" t="s">
        <v>77</v>
      </c>
      <c r="J1908" s="26" t="s">
        <v>77</v>
      </c>
      <c r="K1908" s="18"/>
      <c r="L1908" s="26" t="s">
        <v>77</v>
      </c>
      <c r="M1908" s="6" t="s">
        <v>77</v>
      </c>
      <c r="N1908" s="28" t="s">
        <v>77</v>
      </c>
      <c r="O1908" s="26" t="s">
        <v>77</v>
      </c>
    </row>
    <row r="1909">
      <c r="A1909" s="52" t="s">
        <v>77</v>
      </c>
      <c r="B1909" s="28" t="s">
        <v>77</v>
      </c>
      <c r="C1909" s="28" t="s">
        <v>77</v>
      </c>
      <c r="D1909" s="28" t="s">
        <v>77</v>
      </c>
      <c r="E1909" s="28" t="s">
        <v>77</v>
      </c>
      <c r="F1909" s="28" t="s">
        <v>77</v>
      </c>
      <c r="G1909" s="28" t="s">
        <v>77</v>
      </c>
      <c r="I1909" s="26" t="s">
        <v>77</v>
      </c>
      <c r="J1909" s="26" t="s">
        <v>77</v>
      </c>
      <c r="K1909" s="18"/>
      <c r="L1909" s="26" t="s">
        <v>77</v>
      </c>
      <c r="M1909" s="6" t="s">
        <v>77</v>
      </c>
      <c r="N1909" s="28" t="s">
        <v>77</v>
      </c>
      <c r="O1909" s="26" t="s">
        <v>77</v>
      </c>
    </row>
    <row r="1910">
      <c r="A1910" s="52" t="s">
        <v>77</v>
      </c>
      <c r="B1910" s="28" t="s">
        <v>77</v>
      </c>
      <c r="C1910" s="28" t="s">
        <v>77</v>
      </c>
      <c r="D1910" s="28" t="s">
        <v>77</v>
      </c>
      <c r="E1910" s="28" t="s">
        <v>77</v>
      </c>
      <c r="F1910" s="28" t="s">
        <v>77</v>
      </c>
      <c r="G1910" s="28" t="s">
        <v>77</v>
      </c>
      <c r="I1910" s="26" t="s">
        <v>77</v>
      </c>
      <c r="J1910" s="26" t="s">
        <v>77</v>
      </c>
      <c r="K1910" s="18"/>
      <c r="L1910" s="26" t="s">
        <v>77</v>
      </c>
      <c r="M1910" s="6" t="s">
        <v>77</v>
      </c>
      <c r="N1910" s="28" t="s">
        <v>77</v>
      </c>
      <c r="O1910" s="26" t="s">
        <v>77</v>
      </c>
    </row>
    <row r="1911">
      <c r="A1911" s="52" t="s">
        <v>77</v>
      </c>
      <c r="B1911" s="28" t="s">
        <v>77</v>
      </c>
      <c r="C1911" s="28" t="s">
        <v>77</v>
      </c>
      <c r="D1911" s="28" t="s">
        <v>77</v>
      </c>
      <c r="E1911" s="28" t="s">
        <v>77</v>
      </c>
      <c r="F1911" s="28" t="s">
        <v>77</v>
      </c>
      <c r="G1911" s="28" t="s">
        <v>77</v>
      </c>
      <c r="I1911" s="26" t="s">
        <v>77</v>
      </c>
      <c r="J1911" s="26" t="s">
        <v>77</v>
      </c>
      <c r="K1911" s="18"/>
      <c r="L1911" s="26" t="s">
        <v>77</v>
      </c>
      <c r="M1911" s="6" t="s">
        <v>77</v>
      </c>
      <c r="N1911" s="28" t="s">
        <v>77</v>
      </c>
      <c r="O1911" s="26" t="s">
        <v>77</v>
      </c>
    </row>
    <row r="1912">
      <c r="A1912" s="52" t="s">
        <v>77</v>
      </c>
      <c r="B1912" s="28" t="s">
        <v>77</v>
      </c>
      <c r="C1912" s="28" t="s">
        <v>77</v>
      </c>
      <c r="D1912" s="28" t="s">
        <v>77</v>
      </c>
      <c r="E1912" s="28" t="s">
        <v>77</v>
      </c>
      <c r="F1912" s="28" t="s">
        <v>77</v>
      </c>
      <c r="G1912" s="28" t="s">
        <v>77</v>
      </c>
      <c r="I1912" s="26" t="s">
        <v>77</v>
      </c>
      <c r="J1912" s="26" t="s">
        <v>77</v>
      </c>
      <c r="K1912" s="18"/>
      <c r="L1912" s="26" t="s">
        <v>77</v>
      </c>
      <c r="M1912" s="6" t="s">
        <v>77</v>
      </c>
      <c r="N1912" s="28" t="s">
        <v>77</v>
      </c>
      <c r="O1912" s="26" t="s">
        <v>77</v>
      </c>
    </row>
    <row r="1913">
      <c r="A1913" s="52" t="s">
        <v>77</v>
      </c>
      <c r="B1913" s="28" t="s">
        <v>77</v>
      </c>
      <c r="C1913" s="28" t="s">
        <v>77</v>
      </c>
      <c r="D1913" s="28" t="s">
        <v>77</v>
      </c>
      <c r="E1913" s="28" t="s">
        <v>77</v>
      </c>
      <c r="F1913" s="28" t="s">
        <v>77</v>
      </c>
      <c r="G1913" s="28" t="s">
        <v>77</v>
      </c>
      <c r="I1913" s="26" t="s">
        <v>77</v>
      </c>
      <c r="J1913" s="26" t="s">
        <v>77</v>
      </c>
      <c r="K1913" s="18"/>
      <c r="L1913" s="26" t="s">
        <v>77</v>
      </c>
      <c r="M1913" s="6" t="s">
        <v>77</v>
      </c>
      <c r="N1913" s="28" t="s">
        <v>77</v>
      </c>
      <c r="O1913" s="26" t="s">
        <v>77</v>
      </c>
    </row>
    <row r="1914">
      <c r="A1914" s="52" t="s">
        <v>77</v>
      </c>
      <c r="B1914" s="28" t="s">
        <v>77</v>
      </c>
      <c r="C1914" s="28" t="s">
        <v>77</v>
      </c>
      <c r="D1914" s="28" t="s">
        <v>77</v>
      </c>
      <c r="E1914" s="28" t="s">
        <v>77</v>
      </c>
      <c r="F1914" s="28" t="s">
        <v>77</v>
      </c>
      <c r="G1914" s="28" t="s">
        <v>77</v>
      </c>
      <c r="I1914" s="26" t="s">
        <v>77</v>
      </c>
      <c r="J1914" s="26" t="s">
        <v>77</v>
      </c>
      <c r="K1914" s="18"/>
      <c r="L1914" s="26" t="s">
        <v>77</v>
      </c>
      <c r="M1914" s="6" t="s">
        <v>77</v>
      </c>
      <c r="N1914" s="28" t="s">
        <v>77</v>
      </c>
      <c r="O1914" s="26" t="s">
        <v>77</v>
      </c>
    </row>
    <row r="1915">
      <c r="A1915" s="52" t="s">
        <v>77</v>
      </c>
      <c r="B1915" s="28" t="s">
        <v>77</v>
      </c>
      <c r="C1915" s="28" t="s">
        <v>77</v>
      </c>
      <c r="D1915" s="28" t="s">
        <v>77</v>
      </c>
      <c r="E1915" s="28" t="s">
        <v>77</v>
      </c>
      <c r="F1915" s="28" t="s">
        <v>77</v>
      </c>
      <c r="G1915" s="28" t="s">
        <v>77</v>
      </c>
      <c r="I1915" s="26" t="s">
        <v>77</v>
      </c>
      <c r="J1915" s="26" t="s">
        <v>77</v>
      </c>
      <c r="K1915" s="18"/>
      <c r="L1915" s="26" t="s">
        <v>77</v>
      </c>
      <c r="M1915" s="6" t="s">
        <v>77</v>
      </c>
      <c r="N1915" s="28" t="s">
        <v>77</v>
      </c>
      <c r="O1915" s="26" t="s">
        <v>77</v>
      </c>
    </row>
    <row r="1916">
      <c r="A1916" s="52" t="s">
        <v>77</v>
      </c>
      <c r="B1916" s="28" t="s">
        <v>77</v>
      </c>
      <c r="C1916" s="28" t="s">
        <v>77</v>
      </c>
      <c r="D1916" s="28" t="s">
        <v>77</v>
      </c>
      <c r="E1916" s="28" t="s">
        <v>77</v>
      </c>
      <c r="F1916" s="28" t="s">
        <v>77</v>
      </c>
      <c r="G1916" s="28" t="s">
        <v>77</v>
      </c>
      <c r="I1916" s="26" t="s">
        <v>77</v>
      </c>
      <c r="J1916" s="26" t="s">
        <v>77</v>
      </c>
      <c r="K1916" s="18"/>
      <c r="L1916" s="26" t="s">
        <v>77</v>
      </c>
      <c r="M1916" s="6" t="s">
        <v>77</v>
      </c>
      <c r="N1916" s="28" t="s">
        <v>77</v>
      </c>
      <c r="O1916" s="26" t="s">
        <v>77</v>
      </c>
    </row>
    <row r="1917">
      <c r="A1917" s="52" t="s">
        <v>77</v>
      </c>
      <c r="B1917" s="28" t="s">
        <v>77</v>
      </c>
      <c r="C1917" s="28" t="s">
        <v>77</v>
      </c>
      <c r="D1917" s="28" t="s">
        <v>77</v>
      </c>
      <c r="E1917" s="28" t="s">
        <v>77</v>
      </c>
      <c r="F1917" s="28" t="s">
        <v>77</v>
      </c>
      <c r="G1917" s="28" t="s">
        <v>77</v>
      </c>
      <c r="I1917" s="26" t="s">
        <v>77</v>
      </c>
      <c r="J1917" s="26" t="s">
        <v>77</v>
      </c>
      <c r="K1917" s="18"/>
      <c r="L1917" s="26" t="s">
        <v>77</v>
      </c>
      <c r="M1917" s="6" t="s">
        <v>77</v>
      </c>
      <c r="N1917" s="28" t="s">
        <v>77</v>
      </c>
      <c r="O1917" s="26" t="s">
        <v>77</v>
      </c>
    </row>
    <row r="1918">
      <c r="A1918" s="52" t="s">
        <v>77</v>
      </c>
      <c r="B1918" s="28" t="s">
        <v>77</v>
      </c>
      <c r="C1918" s="28" t="s">
        <v>77</v>
      </c>
      <c r="D1918" s="28" t="s">
        <v>77</v>
      </c>
      <c r="E1918" s="28" t="s">
        <v>77</v>
      </c>
      <c r="F1918" s="28" t="s">
        <v>77</v>
      </c>
      <c r="G1918" s="28" t="s">
        <v>77</v>
      </c>
      <c r="I1918" s="26" t="s">
        <v>77</v>
      </c>
      <c r="J1918" s="26" t="s">
        <v>77</v>
      </c>
      <c r="K1918" s="18"/>
      <c r="L1918" s="26" t="s">
        <v>77</v>
      </c>
      <c r="M1918" s="6" t="s">
        <v>77</v>
      </c>
      <c r="N1918" s="28" t="s">
        <v>77</v>
      </c>
      <c r="O1918" s="26" t="s">
        <v>77</v>
      </c>
    </row>
    <row r="1919">
      <c r="A1919" s="52" t="s">
        <v>77</v>
      </c>
      <c r="B1919" s="28" t="s">
        <v>77</v>
      </c>
      <c r="C1919" s="28" t="s">
        <v>77</v>
      </c>
      <c r="D1919" s="28" t="s">
        <v>77</v>
      </c>
      <c r="E1919" s="28" t="s">
        <v>77</v>
      </c>
      <c r="F1919" s="28" t="s">
        <v>77</v>
      </c>
      <c r="G1919" s="28" t="s">
        <v>77</v>
      </c>
      <c r="I1919" s="26" t="s">
        <v>77</v>
      </c>
      <c r="J1919" s="26" t="s">
        <v>77</v>
      </c>
      <c r="K1919" s="18"/>
      <c r="L1919" s="26" t="s">
        <v>77</v>
      </c>
      <c r="M1919" s="6" t="s">
        <v>77</v>
      </c>
      <c r="N1919" s="28" t="s">
        <v>77</v>
      </c>
      <c r="O1919" s="26" t="s">
        <v>77</v>
      </c>
    </row>
    <row r="1920">
      <c r="A1920" s="52" t="s">
        <v>77</v>
      </c>
      <c r="B1920" s="28" t="s">
        <v>77</v>
      </c>
      <c r="C1920" s="28" t="s">
        <v>77</v>
      </c>
      <c r="D1920" s="28" t="s">
        <v>77</v>
      </c>
      <c r="E1920" s="28" t="s">
        <v>77</v>
      </c>
      <c r="F1920" s="28" t="s">
        <v>77</v>
      </c>
      <c r="G1920" s="28" t="s">
        <v>77</v>
      </c>
      <c r="I1920" s="26" t="s">
        <v>77</v>
      </c>
      <c r="J1920" s="26" t="s">
        <v>77</v>
      </c>
      <c r="K1920" s="18"/>
      <c r="L1920" s="26" t="s">
        <v>77</v>
      </c>
      <c r="M1920" s="6" t="s">
        <v>77</v>
      </c>
      <c r="N1920" s="28" t="s">
        <v>77</v>
      </c>
      <c r="O1920" s="26" t="s">
        <v>77</v>
      </c>
    </row>
    <row r="1921">
      <c r="A1921" s="52" t="s">
        <v>77</v>
      </c>
      <c r="B1921" s="28" t="s">
        <v>77</v>
      </c>
      <c r="C1921" s="28" t="s">
        <v>77</v>
      </c>
      <c r="D1921" s="28" t="s">
        <v>77</v>
      </c>
      <c r="E1921" s="28" t="s">
        <v>77</v>
      </c>
      <c r="F1921" s="28" t="s">
        <v>77</v>
      </c>
      <c r="G1921" s="28" t="s">
        <v>77</v>
      </c>
      <c r="I1921" s="26" t="s">
        <v>77</v>
      </c>
      <c r="J1921" s="26" t="s">
        <v>77</v>
      </c>
      <c r="K1921" s="18"/>
      <c r="L1921" s="26" t="s">
        <v>77</v>
      </c>
      <c r="M1921" s="6" t="s">
        <v>77</v>
      </c>
      <c r="N1921" s="28" t="s">
        <v>77</v>
      </c>
      <c r="O1921" s="26" t="s">
        <v>77</v>
      </c>
    </row>
    <row r="1922">
      <c r="A1922" s="52" t="s">
        <v>77</v>
      </c>
      <c r="B1922" s="28" t="s">
        <v>77</v>
      </c>
      <c r="C1922" s="28" t="s">
        <v>77</v>
      </c>
      <c r="D1922" s="28" t="s">
        <v>77</v>
      </c>
      <c r="E1922" s="28" t="s">
        <v>77</v>
      </c>
      <c r="F1922" s="28" t="s">
        <v>77</v>
      </c>
      <c r="G1922" s="28" t="s">
        <v>77</v>
      </c>
      <c r="I1922" s="26" t="s">
        <v>77</v>
      </c>
      <c r="J1922" s="26" t="s">
        <v>77</v>
      </c>
      <c r="K1922" s="18"/>
      <c r="L1922" s="26" t="s">
        <v>77</v>
      </c>
      <c r="M1922" s="6" t="s">
        <v>77</v>
      </c>
      <c r="N1922" s="28" t="s">
        <v>77</v>
      </c>
      <c r="O1922" s="26" t="s">
        <v>77</v>
      </c>
    </row>
    <row r="1923">
      <c r="A1923" s="52" t="s">
        <v>77</v>
      </c>
      <c r="B1923" s="28" t="s">
        <v>77</v>
      </c>
      <c r="C1923" s="28" t="s">
        <v>77</v>
      </c>
      <c r="D1923" s="28" t="s">
        <v>77</v>
      </c>
      <c r="E1923" s="28" t="s">
        <v>77</v>
      </c>
      <c r="F1923" s="28" t="s">
        <v>77</v>
      </c>
      <c r="G1923" s="28" t="s">
        <v>77</v>
      </c>
      <c r="I1923" s="26" t="s">
        <v>77</v>
      </c>
      <c r="J1923" s="26" t="s">
        <v>77</v>
      </c>
      <c r="K1923" s="18"/>
      <c r="L1923" s="26" t="s">
        <v>77</v>
      </c>
      <c r="M1923" s="6" t="s">
        <v>77</v>
      </c>
      <c r="N1923" s="28" t="s">
        <v>77</v>
      </c>
      <c r="O1923" s="26" t="s">
        <v>77</v>
      </c>
    </row>
    <row r="1924">
      <c r="A1924" s="52" t="s">
        <v>77</v>
      </c>
      <c r="B1924" s="28" t="s">
        <v>77</v>
      </c>
      <c r="C1924" s="28" t="s">
        <v>77</v>
      </c>
      <c r="D1924" s="28" t="s">
        <v>77</v>
      </c>
      <c r="E1924" s="28" t="s">
        <v>77</v>
      </c>
      <c r="F1924" s="28" t="s">
        <v>77</v>
      </c>
      <c r="G1924" s="28" t="s">
        <v>77</v>
      </c>
      <c r="I1924" s="26" t="s">
        <v>77</v>
      </c>
      <c r="J1924" s="26" t="s">
        <v>77</v>
      </c>
      <c r="K1924" s="18"/>
      <c r="L1924" s="26" t="s">
        <v>77</v>
      </c>
      <c r="M1924" s="6" t="s">
        <v>77</v>
      </c>
      <c r="N1924" s="28" t="s">
        <v>77</v>
      </c>
      <c r="O1924" s="26" t="s">
        <v>77</v>
      </c>
    </row>
    <row r="1925">
      <c r="A1925" s="52" t="s">
        <v>77</v>
      </c>
      <c r="B1925" s="28" t="s">
        <v>77</v>
      </c>
      <c r="C1925" s="28" t="s">
        <v>77</v>
      </c>
      <c r="D1925" s="28" t="s">
        <v>77</v>
      </c>
      <c r="E1925" s="28" t="s">
        <v>77</v>
      </c>
      <c r="F1925" s="28" t="s">
        <v>77</v>
      </c>
      <c r="G1925" s="28" t="s">
        <v>77</v>
      </c>
      <c r="I1925" s="26" t="s">
        <v>77</v>
      </c>
      <c r="J1925" s="26" t="s">
        <v>77</v>
      </c>
      <c r="K1925" s="18"/>
      <c r="L1925" s="26" t="s">
        <v>77</v>
      </c>
      <c r="M1925" s="6" t="s">
        <v>77</v>
      </c>
      <c r="N1925" s="28" t="s">
        <v>77</v>
      </c>
      <c r="O1925" s="26" t="s">
        <v>77</v>
      </c>
    </row>
    <row r="1926">
      <c r="A1926" s="52" t="s">
        <v>77</v>
      </c>
      <c r="B1926" s="28" t="s">
        <v>77</v>
      </c>
      <c r="C1926" s="28" t="s">
        <v>77</v>
      </c>
      <c r="D1926" s="28" t="s">
        <v>77</v>
      </c>
      <c r="E1926" s="28" t="s">
        <v>77</v>
      </c>
      <c r="F1926" s="28" t="s">
        <v>77</v>
      </c>
      <c r="G1926" s="28" t="s">
        <v>77</v>
      </c>
      <c r="I1926" s="26" t="s">
        <v>77</v>
      </c>
      <c r="J1926" s="26" t="s">
        <v>77</v>
      </c>
      <c r="K1926" s="18"/>
      <c r="L1926" s="26" t="s">
        <v>77</v>
      </c>
      <c r="M1926" s="6" t="s">
        <v>77</v>
      </c>
      <c r="N1926" s="28" t="s">
        <v>77</v>
      </c>
      <c r="O1926" s="26" t="s">
        <v>77</v>
      </c>
    </row>
    <row r="1927">
      <c r="A1927" s="52" t="s">
        <v>77</v>
      </c>
      <c r="B1927" s="28" t="s">
        <v>77</v>
      </c>
      <c r="C1927" s="28" t="s">
        <v>77</v>
      </c>
      <c r="D1927" s="28" t="s">
        <v>77</v>
      </c>
      <c r="E1927" s="28" t="s">
        <v>77</v>
      </c>
      <c r="F1927" s="28" t="s">
        <v>77</v>
      </c>
      <c r="G1927" s="28" t="s">
        <v>77</v>
      </c>
      <c r="I1927" s="26" t="s">
        <v>77</v>
      </c>
      <c r="J1927" s="26" t="s">
        <v>77</v>
      </c>
      <c r="K1927" s="18"/>
      <c r="L1927" s="26" t="s">
        <v>77</v>
      </c>
      <c r="M1927" s="6" t="s">
        <v>77</v>
      </c>
      <c r="N1927" s="28" t="s">
        <v>77</v>
      </c>
      <c r="O1927" s="26" t="s">
        <v>77</v>
      </c>
    </row>
    <row r="1928">
      <c r="A1928" s="52" t="s">
        <v>77</v>
      </c>
      <c r="B1928" s="28" t="s">
        <v>77</v>
      </c>
      <c r="C1928" s="28" t="s">
        <v>77</v>
      </c>
      <c r="D1928" s="28" t="s">
        <v>77</v>
      </c>
      <c r="E1928" s="28" t="s">
        <v>77</v>
      </c>
      <c r="F1928" s="28" t="s">
        <v>77</v>
      </c>
      <c r="G1928" s="28" t="s">
        <v>77</v>
      </c>
      <c r="I1928" s="26" t="s">
        <v>77</v>
      </c>
      <c r="J1928" s="26" t="s">
        <v>77</v>
      </c>
      <c r="K1928" s="18"/>
      <c r="L1928" s="26" t="s">
        <v>77</v>
      </c>
      <c r="M1928" s="6" t="s">
        <v>77</v>
      </c>
      <c r="N1928" s="28" t="s">
        <v>77</v>
      </c>
      <c r="O1928" s="26" t="s">
        <v>77</v>
      </c>
    </row>
    <row r="1929">
      <c r="A1929" s="52" t="s">
        <v>77</v>
      </c>
      <c r="B1929" s="28" t="s">
        <v>77</v>
      </c>
      <c r="C1929" s="28" t="s">
        <v>77</v>
      </c>
      <c r="D1929" s="28" t="s">
        <v>77</v>
      </c>
      <c r="E1929" s="28" t="s">
        <v>77</v>
      </c>
      <c r="F1929" s="28" t="s">
        <v>77</v>
      </c>
      <c r="G1929" s="28" t="s">
        <v>77</v>
      </c>
      <c r="I1929" s="26" t="s">
        <v>77</v>
      </c>
      <c r="J1929" s="26" t="s">
        <v>77</v>
      </c>
      <c r="K1929" s="18"/>
      <c r="L1929" s="26" t="s">
        <v>77</v>
      </c>
      <c r="M1929" s="6" t="s">
        <v>77</v>
      </c>
      <c r="N1929" s="28" t="s">
        <v>77</v>
      </c>
      <c r="O1929" s="26" t="s">
        <v>77</v>
      </c>
    </row>
    <row r="1930">
      <c r="A1930" s="52" t="s">
        <v>77</v>
      </c>
      <c r="B1930" s="28" t="s">
        <v>77</v>
      </c>
      <c r="C1930" s="28" t="s">
        <v>77</v>
      </c>
      <c r="D1930" s="28" t="s">
        <v>77</v>
      </c>
      <c r="E1930" s="28" t="s">
        <v>77</v>
      </c>
      <c r="F1930" s="28" t="s">
        <v>77</v>
      </c>
      <c r="G1930" s="28" t="s">
        <v>77</v>
      </c>
      <c r="I1930" s="26" t="s">
        <v>77</v>
      </c>
      <c r="J1930" s="26" t="s">
        <v>77</v>
      </c>
      <c r="K1930" s="18"/>
      <c r="L1930" s="26" t="s">
        <v>77</v>
      </c>
      <c r="M1930" s="6" t="s">
        <v>77</v>
      </c>
      <c r="N1930" s="28" t="s">
        <v>77</v>
      </c>
      <c r="O1930" s="26" t="s">
        <v>77</v>
      </c>
    </row>
    <row r="1931">
      <c r="A1931" s="52" t="s">
        <v>77</v>
      </c>
      <c r="B1931" s="28" t="s">
        <v>77</v>
      </c>
      <c r="C1931" s="28" t="s">
        <v>77</v>
      </c>
      <c r="D1931" s="28" t="s">
        <v>77</v>
      </c>
      <c r="E1931" s="28" t="s">
        <v>77</v>
      </c>
      <c r="F1931" s="28" t="s">
        <v>77</v>
      </c>
      <c r="G1931" s="28" t="s">
        <v>77</v>
      </c>
      <c r="I1931" s="26" t="s">
        <v>77</v>
      </c>
      <c r="J1931" s="26" t="s">
        <v>77</v>
      </c>
      <c r="K1931" s="18"/>
      <c r="L1931" s="26" t="s">
        <v>77</v>
      </c>
      <c r="M1931" s="6" t="s">
        <v>77</v>
      </c>
      <c r="N1931" s="28" t="s">
        <v>77</v>
      </c>
      <c r="O1931" s="26" t="s">
        <v>77</v>
      </c>
    </row>
    <row r="1932">
      <c r="A1932" s="52" t="s">
        <v>77</v>
      </c>
      <c r="B1932" s="28" t="s">
        <v>77</v>
      </c>
      <c r="C1932" s="28" t="s">
        <v>77</v>
      </c>
      <c r="D1932" s="28" t="s">
        <v>77</v>
      </c>
      <c r="E1932" s="28" t="s">
        <v>77</v>
      </c>
      <c r="F1932" s="28" t="s">
        <v>77</v>
      </c>
      <c r="G1932" s="28" t="s">
        <v>77</v>
      </c>
      <c r="I1932" s="26" t="s">
        <v>77</v>
      </c>
      <c r="J1932" s="26" t="s">
        <v>77</v>
      </c>
      <c r="K1932" s="18"/>
      <c r="L1932" s="26" t="s">
        <v>77</v>
      </c>
      <c r="M1932" s="6" t="s">
        <v>77</v>
      </c>
      <c r="N1932" s="28" t="s">
        <v>77</v>
      </c>
      <c r="O1932" s="26" t="s">
        <v>77</v>
      </c>
    </row>
    <row r="1933">
      <c r="A1933" s="52" t="s">
        <v>77</v>
      </c>
      <c r="B1933" s="28" t="s">
        <v>77</v>
      </c>
      <c r="C1933" s="28" t="s">
        <v>77</v>
      </c>
      <c r="D1933" s="28" t="s">
        <v>77</v>
      </c>
      <c r="E1933" s="28" t="s">
        <v>77</v>
      </c>
      <c r="F1933" s="28" t="s">
        <v>77</v>
      </c>
      <c r="G1933" s="28" t="s">
        <v>77</v>
      </c>
      <c r="I1933" s="26" t="s">
        <v>77</v>
      </c>
      <c r="J1933" s="26" t="s">
        <v>77</v>
      </c>
      <c r="K1933" s="18"/>
      <c r="L1933" s="26" t="s">
        <v>77</v>
      </c>
      <c r="M1933" s="6" t="s">
        <v>77</v>
      </c>
      <c r="N1933" s="28" t="s">
        <v>77</v>
      </c>
      <c r="O1933" s="26" t="s">
        <v>77</v>
      </c>
    </row>
    <row r="1934">
      <c r="A1934" s="52" t="s">
        <v>77</v>
      </c>
      <c r="B1934" s="28" t="s">
        <v>77</v>
      </c>
      <c r="C1934" s="28" t="s">
        <v>77</v>
      </c>
      <c r="D1934" s="28" t="s">
        <v>77</v>
      </c>
      <c r="E1934" s="28" t="s">
        <v>77</v>
      </c>
      <c r="F1934" s="28" t="s">
        <v>77</v>
      </c>
      <c r="G1934" s="28" t="s">
        <v>77</v>
      </c>
      <c r="I1934" s="26" t="s">
        <v>77</v>
      </c>
      <c r="J1934" s="26" t="s">
        <v>77</v>
      </c>
      <c r="K1934" s="18"/>
      <c r="L1934" s="26" t="s">
        <v>77</v>
      </c>
      <c r="M1934" s="6" t="s">
        <v>77</v>
      </c>
      <c r="N1934" s="28" t="s">
        <v>77</v>
      </c>
      <c r="O1934" s="26" t="s">
        <v>77</v>
      </c>
    </row>
    <row r="1935">
      <c r="A1935" s="52" t="s">
        <v>77</v>
      </c>
      <c r="B1935" s="28" t="s">
        <v>77</v>
      </c>
      <c r="C1935" s="28" t="s">
        <v>77</v>
      </c>
      <c r="D1935" s="28" t="s">
        <v>77</v>
      </c>
      <c r="E1935" s="28" t="s">
        <v>77</v>
      </c>
      <c r="F1935" s="28" t="s">
        <v>77</v>
      </c>
      <c r="G1935" s="28" t="s">
        <v>77</v>
      </c>
      <c r="I1935" s="26" t="s">
        <v>77</v>
      </c>
      <c r="J1935" s="26" t="s">
        <v>77</v>
      </c>
      <c r="K1935" s="18"/>
      <c r="L1935" s="26" t="s">
        <v>77</v>
      </c>
      <c r="M1935" s="6" t="s">
        <v>77</v>
      </c>
      <c r="N1935" s="28" t="s">
        <v>77</v>
      </c>
      <c r="O1935" s="26" t="s">
        <v>77</v>
      </c>
    </row>
    <row r="1936">
      <c r="A1936" s="52" t="s">
        <v>77</v>
      </c>
      <c r="B1936" s="28" t="s">
        <v>77</v>
      </c>
      <c r="C1936" s="28" t="s">
        <v>77</v>
      </c>
      <c r="D1936" s="28" t="s">
        <v>77</v>
      </c>
      <c r="E1936" s="28" t="s">
        <v>77</v>
      </c>
      <c r="F1936" s="28" t="s">
        <v>77</v>
      </c>
      <c r="G1936" s="28" t="s">
        <v>77</v>
      </c>
      <c r="I1936" s="26" t="s">
        <v>77</v>
      </c>
      <c r="J1936" s="26" t="s">
        <v>77</v>
      </c>
      <c r="K1936" s="18"/>
      <c r="L1936" s="26" t="s">
        <v>77</v>
      </c>
      <c r="M1936" s="6" t="s">
        <v>77</v>
      </c>
      <c r="N1936" s="28" t="s">
        <v>77</v>
      </c>
      <c r="O1936" s="26" t="s">
        <v>77</v>
      </c>
    </row>
    <row r="1937">
      <c r="A1937" s="52" t="s">
        <v>77</v>
      </c>
      <c r="B1937" s="28" t="s">
        <v>77</v>
      </c>
      <c r="C1937" s="28" t="s">
        <v>77</v>
      </c>
      <c r="D1937" s="28" t="s">
        <v>77</v>
      </c>
      <c r="E1937" s="28" t="s">
        <v>77</v>
      </c>
      <c r="F1937" s="28" t="s">
        <v>77</v>
      </c>
      <c r="G1937" s="28" t="s">
        <v>77</v>
      </c>
      <c r="I1937" s="26" t="s">
        <v>77</v>
      </c>
      <c r="J1937" s="26" t="s">
        <v>77</v>
      </c>
      <c r="K1937" s="18"/>
      <c r="L1937" s="26" t="s">
        <v>77</v>
      </c>
      <c r="M1937" s="6" t="s">
        <v>77</v>
      </c>
      <c r="N1937" s="28" t="s">
        <v>77</v>
      </c>
      <c r="O1937" s="26" t="s">
        <v>77</v>
      </c>
    </row>
    <row r="1938">
      <c r="A1938" s="52" t="s">
        <v>77</v>
      </c>
      <c r="B1938" s="28" t="s">
        <v>77</v>
      </c>
      <c r="C1938" s="28" t="s">
        <v>77</v>
      </c>
      <c r="D1938" s="28" t="s">
        <v>77</v>
      </c>
      <c r="E1938" s="28" t="s">
        <v>77</v>
      </c>
      <c r="F1938" s="28" t="s">
        <v>77</v>
      </c>
      <c r="G1938" s="28" t="s">
        <v>77</v>
      </c>
      <c r="I1938" s="26" t="s">
        <v>77</v>
      </c>
      <c r="J1938" s="26" t="s">
        <v>77</v>
      </c>
      <c r="K1938" s="18"/>
      <c r="L1938" s="26" t="s">
        <v>77</v>
      </c>
      <c r="M1938" s="6" t="s">
        <v>77</v>
      </c>
      <c r="N1938" s="28" t="s">
        <v>77</v>
      </c>
      <c r="O1938" s="26" t="s">
        <v>77</v>
      </c>
    </row>
    <row r="1939">
      <c r="A1939" s="52" t="s">
        <v>77</v>
      </c>
      <c r="B1939" s="28" t="s">
        <v>77</v>
      </c>
      <c r="C1939" s="28" t="s">
        <v>77</v>
      </c>
      <c r="D1939" s="28" t="s">
        <v>77</v>
      </c>
      <c r="E1939" s="28" t="s">
        <v>77</v>
      </c>
      <c r="F1939" s="28" t="s">
        <v>77</v>
      </c>
      <c r="G1939" s="28" t="s">
        <v>77</v>
      </c>
      <c r="I1939" s="26" t="s">
        <v>77</v>
      </c>
      <c r="J1939" s="26" t="s">
        <v>77</v>
      </c>
      <c r="K1939" s="18"/>
      <c r="L1939" s="26" t="s">
        <v>77</v>
      </c>
      <c r="M1939" s="6" t="s">
        <v>77</v>
      </c>
      <c r="N1939" s="28" t="s">
        <v>77</v>
      </c>
      <c r="O1939" s="26" t="s">
        <v>77</v>
      </c>
    </row>
    <row r="1940">
      <c r="A1940" s="52" t="s">
        <v>77</v>
      </c>
      <c r="B1940" s="28" t="s">
        <v>77</v>
      </c>
      <c r="C1940" s="28" t="s">
        <v>77</v>
      </c>
      <c r="D1940" s="28" t="s">
        <v>77</v>
      </c>
      <c r="E1940" s="28" t="s">
        <v>77</v>
      </c>
      <c r="F1940" s="28" t="s">
        <v>77</v>
      </c>
      <c r="G1940" s="28" t="s">
        <v>77</v>
      </c>
      <c r="I1940" s="26" t="s">
        <v>77</v>
      </c>
      <c r="J1940" s="26" t="s">
        <v>77</v>
      </c>
      <c r="K1940" s="18"/>
      <c r="L1940" s="26" t="s">
        <v>77</v>
      </c>
      <c r="M1940" s="6" t="s">
        <v>77</v>
      </c>
      <c r="N1940" s="28" t="s">
        <v>77</v>
      </c>
      <c r="O1940" s="26" t="s">
        <v>77</v>
      </c>
    </row>
    <row r="1941">
      <c r="A1941" s="52" t="s">
        <v>77</v>
      </c>
      <c r="B1941" s="28" t="s">
        <v>77</v>
      </c>
      <c r="C1941" s="28" t="s">
        <v>77</v>
      </c>
      <c r="D1941" s="28" t="s">
        <v>77</v>
      </c>
      <c r="E1941" s="28" t="s">
        <v>77</v>
      </c>
      <c r="F1941" s="28" t="s">
        <v>77</v>
      </c>
      <c r="G1941" s="28" t="s">
        <v>77</v>
      </c>
      <c r="I1941" s="26" t="s">
        <v>77</v>
      </c>
      <c r="J1941" s="26" t="s">
        <v>77</v>
      </c>
      <c r="K1941" s="18"/>
      <c r="L1941" s="26" t="s">
        <v>77</v>
      </c>
      <c r="M1941" s="6" t="s">
        <v>77</v>
      </c>
      <c r="N1941" s="28" t="s">
        <v>77</v>
      </c>
      <c r="O1941" s="26" t="s">
        <v>77</v>
      </c>
    </row>
    <row r="1942">
      <c r="A1942" s="52" t="s">
        <v>77</v>
      </c>
      <c r="B1942" s="28" t="s">
        <v>77</v>
      </c>
      <c r="C1942" s="28" t="s">
        <v>77</v>
      </c>
      <c r="D1942" s="28" t="s">
        <v>77</v>
      </c>
      <c r="E1942" s="28" t="s">
        <v>77</v>
      </c>
      <c r="F1942" s="28" t="s">
        <v>77</v>
      </c>
      <c r="G1942" s="28" t="s">
        <v>77</v>
      </c>
      <c r="I1942" s="26" t="s">
        <v>77</v>
      </c>
      <c r="J1942" s="26" t="s">
        <v>77</v>
      </c>
      <c r="K1942" s="18"/>
      <c r="L1942" s="26" t="s">
        <v>77</v>
      </c>
      <c r="M1942" s="6" t="s">
        <v>77</v>
      </c>
      <c r="N1942" s="28" t="s">
        <v>77</v>
      </c>
      <c r="O1942" s="26" t="s">
        <v>77</v>
      </c>
    </row>
    <row r="1943">
      <c r="A1943" s="52" t="s">
        <v>77</v>
      </c>
      <c r="B1943" s="28" t="s">
        <v>77</v>
      </c>
      <c r="C1943" s="28" t="s">
        <v>77</v>
      </c>
      <c r="D1943" s="28" t="s">
        <v>77</v>
      </c>
      <c r="E1943" s="28" t="s">
        <v>77</v>
      </c>
      <c r="F1943" s="28" t="s">
        <v>77</v>
      </c>
      <c r="G1943" s="28" t="s">
        <v>77</v>
      </c>
      <c r="I1943" s="26" t="s">
        <v>77</v>
      </c>
      <c r="J1943" s="26" t="s">
        <v>77</v>
      </c>
      <c r="K1943" s="18"/>
      <c r="L1943" s="26" t="s">
        <v>77</v>
      </c>
      <c r="M1943" s="6" t="s">
        <v>77</v>
      </c>
      <c r="N1943" s="28" t="s">
        <v>77</v>
      </c>
      <c r="O1943" s="26" t="s">
        <v>77</v>
      </c>
    </row>
    <row r="1944">
      <c r="A1944" s="52" t="s">
        <v>77</v>
      </c>
      <c r="B1944" s="28" t="s">
        <v>77</v>
      </c>
      <c r="C1944" s="28" t="s">
        <v>77</v>
      </c>
      <c r="D1944" s="28" t="s">
        <v>77</v>
      </c>
      <c r="E1944" s="28" t="s">
        <v>77</v>
      </c>
      <c r="F1944" s="28" t="s">
        <v>77</v>
      </c>
      <c r="G1944" s="28" t="s">
        <v>77</v>
      </c>
      <c r="I1944" s="26" t="s">
        <v>77</v>
      </c>
      <c r="J1944" s="26" t="s">
        <v>77</v>
      </c>
      <c r="K1944" s="18"/>
      <c r="L1944" s="26" t="s">
        <v>77</v>
      </c>
      <c r="M1944" s="6" t="s">
        <v>77</v>
      </c>
      <c r="N1944" s="28" t="s">
        <v>77</v>
      </c>
      <c r="O1944" s="26" t="s">
        <v>77</v>
      </c>
    </row>
    <row r="1945">
      <c r="A1945" s="52" t="s">
        <v>77</v>
      </c>
      <c r="B1945" s="28" t="s">
        <v>77</v>
      </c>
      <c r="C1945" s="28" t="s">
        <v>77</v>
      </c>
      <c r="D1945" s="28" t="s">
        <v>77</v>
      </c>
      <c r="E1945" s="28" t="s">
        <v>77</v>
      </c>
      <c r="F1945" s="28" t="s">
        <v>77</v>
      </c>
      <c r="G1945" s="28" t="s">
        <v>77</v>
      </c>
      <c r="I1945" s="26" t="s">
        <v>77</v>
      </c>
      <c r="J1945" s="26" t="s">
        <v>77</v>
      </c>
      <c r="K1945" s="18"/>
      <c r="L1945" s="26" t="s">
        <v>77</v>
      </c>
      <c r="M1945" s="6" t="s">
        <v>77</v>
      </c>
      <c r="N1945" s="28" t="s">
        <v>77</v>
      </c>
      <c r="O1945" s="26" t="s">
        <v>77</v>
      </c>
    </row>
    <row r="1946">
      <c r="A1946" s="52" t="s">
        <v>77</v>
      </c>
      <c r="B1946" s="28" t="s">
        <v>77</v>
      </c>
      <c r="C1946" s="28" t="s">
        <v>77</v>
      </c>
      <c r="D1946" s="28" t="s">
        <v>77</v>
      </c>
      <c r="E1946" s="28" t="s">
        <v>77</v>
      </c>
      <c r="F1946" s="28" t="s">
        <v>77</v>
      </c>
      <c r="G1946" s="28" t="s">
        <v>77</v>
      </c>
      <c r="I1946" s="26" t="s">
        <v>77</v>
      </c>
      <c r="J1946" s="26" t="s">
        <v>77</v>
      </c>
      <c r="K1946" s="18"/>
      <c r="L1946" s="26" t="s">
        <v>77</v>
      </c>
      <c r="M1946" s="6" t="s">
        <v>77</v>
      </c>
      <c r="N1946" s="28" t="s">
        <v>77</v>
      </c>
      <c r="O1946" s="26" t="s">
        <v>77</v>
      </c>
    </row>
    <row r="1947">
      <c r="A1947" s="52" t="s">
        <v>77</v>
      </c>
      <c r="B1947" s="28" t="s">
        <v>77</v>
      </c>
      <c r="C1947" s="28" t="s">
        <v>77</v>
      </c>
      <c r="D1947" s="28" t="s">
        <v>77</v>
      </c>
      <c r="E1947" s="28" t="s">
        <v>77</v>
      </c>
      <c r="F1947" s="28" t="s">
        <v>77</v>
      </c>
      <c r="G1947" s="28" t="s">
        <v>77</v>
      </c>
      <c r="I1947" s="26" t="s">
        <v>77</v>
      </c>
      <c r="J1947" s="26" t="s">
        <v>77</v>
      </c>
      <c r="K1947" s="18"/>
      <c r="L1947" s="26" t="s">
        <v>77</v>
      </c>
      <c r="M1947" s="6" t="s">
        <v>77</v>
      </c>
      <c r="N1947" s="28" t="s">
        <v>77</v>
      </c>
      <c r="O1947" s="26" t="s">
        <v>77</v>
      </c>
    </row>
    <row r="1948">
      <c r="A1948" s="52" t="s">
        <v>77</v>
      </c>
      <c r="B1948" s="28" t="s">
        <v>77</v>
      </c>
      <c r="C1948" s="28" t="s">
        <v>77</v>
      </c>
      <c r="D1948" s="28" t="s">
        <v>77</v>
      </c>
      <c r="E1948" s="28" t="s">
        <v>77</v>
      </c>
      <c r="F1948" s="28" t="s">
        <v>77</v>
      </c>
      <c r="G1948" s="28" t="s">
        <v>77</v>
      </c>
      <c r="I1948" s="26" t="s">
        <v>77</v>
      </c>
      <c r="J1948" s="26" t="s">
        <v>77</v>
      </c>
      <c r="K1948" s="18"/>
      <c r="L1948" s="26" t="s">
        <v>77</v>
      </c>
      <c r="M1948" s="6" t="s">
        <v>77</v>
      </c>
      <c r="N1948" s="28" t="s">
        <v>77</v>
      </c>
      <c r="O1948" s="26" t="s">
        <v>77</v>
      </c>
    </row>
    <row r="1949">
      <c r="A1949" s="52" t="s">
        <v>77</v>
      </c>
      <c r="B1949" s="28" t="s">
        <v>77</v>
      </c>
      <c r="C1949" s="28" t="s">
        <v>77</v>
      </c>
      <c r="D1949" s="28" t="s">
        <v>77</v>
      </c>
      <c r="E1949" s="28" t="s">
        <v>77</v>
      </c>
      <c r="F1949" s="28" t="s">
        <v>77</v>
      </c>
      <c r="G1949" s="28" t="s">
        <v>77</v>
      </c>
      <c r="I1949" s="26" t="s">
        <v>77</v>
      </c>
      <c r="J1949" s="26" t="s">
        <v>77</v>
      </c>
      <c r="K1949" s="18"/>
      <c r="L1949" s="26" t="s">
        <v>77</v>
      </c>
      <c r="M1949" s="6" t="s">
        <v>77</v>
      </c>
      <c r="N1949" s="28" t="s">
        <v>77</v>
      </c>
      <c r="O1949" s="26" t="s">
        <v>77</v>
      </c>
    </row>
    <row r="1950">
      <c r="A1950" s="52" t="s">
        <v>77</v>
      </c>
      <c r="B1950" s="28" t="s">
        <v>77</v>
      </c>
      <c r="C1950" s="28" t="s">
        <v>77</v>
      </c>
      <c r="D1950" s="28" t="s">
        <v>77</v>
      </c>
      <c r="E1950" s="28" t="s">
        <v>77</v>
      </c>
      <c r="F1950" s="28" t="s">
        <v>77</v>
      </c>
      <c r="G1950" s="28" t="s">
        <v>77</v>
      </c>
      <c r="I1950" s="26" t="s">
        <v>77</v>
      </c>
      <c r="J1950" s="26" t="s">
        <v>77</v>
      </c>
      <c r="K1950" s="18"/>
      <c r="L1950" s="26" t="s">
        <v>77</v>
      </c>
      <c r="M1950" s="6" t="s">
        <v>77</v>
      </c>
      <c r="N1950" s="28" t="s">
        <v>77</v>
      </c>
      <c r="O1950" s="26" t="s">
        <v>77</v>
      </c>
    </row>
    <row r="1951">
      <c r="A1951" s="52" t="s">
        <v>77</v>
      </c>
      <c r="B1951" s="28" t="s">
        <v>77</v>
      </c>
      <c r="C1951" s="28" t="s">
        <v>77</v>
      </c>
      <c r="D1951" s="28" t="s">
        <v>77</v>
      </c>
      <c r="E1951" s="28" t="s">
        <v>77</v>
      </c>
      <c r="F1951" s="28" t="s">
        <v>77</v>
      </c>
      <c r="G1951" s="28" t="s">
        <v>77</v>
      </c>
      <c r="I1951" s="26" t="s">
        <v>77</v>
      </c>
      <c r="J1951" s="26" t="s">
        <v>77</v>
      </c>
      <c r="K1951" s="18"/>
      <c r="L1951" s="26" t="s">
        <v>77</v>
      </c>
      <c r="M1951" s="6" t="s">
        <v>77</v>
      </c>
      <c r="N1951" s="28" t="s">
        <v>77</v>
      </c>
      <c r="O1951" s="26" t="s">
        <v>77</v>
      </c>
    </row>
    <row r="1952">
      <c r="A1952" s="52" t="s">
        <v>77</v>
      </c>
      <c r="B1952" s="28" t="s">
        <v>77</v>
      </c>
      <c r="C1952" s="28" t="s">
        <v>77</v>
      </c>
      <c r="D1952" s="28" t="s">
        <v>77</v>
      </c>
      <c r="E1952" s="28" t="s">
        <v>77</v>
      </c>
      <c r="F1952" s="28" t="s">
        <v>77</v>
      </c>
      <c r="G1952" s="28" t="s">
        <v>77</v>
      </c>
      <c r="I1952" s="26" t="s">
        <v>77</v>
      </c>
      <c r="J1952" s="26" t="s">
        <v>77</v>
      </c>
      <c r="K1952" s="18"/>
      <c r="L1952" s="26" t="s">
        <v>77</v>
      </c>
      <c r="M1952" s="6" t="s">
        <v>77</v>
      </c>
      <c r="N1952" s="28" t="s">
        <v>77</v>
      </c>
      <c r="O1952" s="26" t="s">
        <v>77</v>
      </c>
    </row>
    <row r="1953">
      <c r="A1953" s="52" t="s">
        <v>77</v>
      </c>
      <c r="B1953" s="28" t="s">
        <v>77</v>
      </c>
      <c r="C1953" s="28" t="s">
        <v>77</v>
      </c>
      <c r="D1953" s="28" t="s">
        <v>77</v>
      </c>
      <c r="E1953" s="28" t="s">
        <v>77</v>
      </c>
      <c r="F1953" s="28" t="s">
        <v>77</v>
      </c>
      <c r="G1953" s="28" t="s">
        <v>77</v>
      </c>
      <c r="I1953" s="26" t="s">
        <v>77</v>
      </c>
      <c r="J1953" s="26" t="s">
        <v>77</v>
      </c>
      <c r="K1953" s="18"/>
      <c r="L1953" s="26" t="s">
        <v>77</v>
      </c>
      <c r="M1953" s="6" t="s">
        <v>77</v>
      </c>
      <c r="N1953" s="28" t="s">
        <v>77</v>
      </c>
      <c r="O1953" s="26" t="s">
        <v>77</v>
      </c>
    </row>
    <row r="1954">
      <c r="A1954" s="52" t="s">
        <v>77</v>
      </c>
      <c r="B1954" s="28" t="s">
        <v>77</v>
      </c>
      <c r="C1954" s="28" t="s">
        <v>77</v>
      </c>
      <c r="D1954" s="28" t="s">
        <v>77</v>
      </c>
      <c r="E1954" s="28" t="s">
        <v>77</v>
      </c>
      <c r="F1954" s="28" t="s">
        <v>77</v>
      </c>
      <c r="G1954" s="28" t="s">
        <v>77</v>
      </c>
      <c r="I1954" s="26" t="s">
        <v>77</v>
      </c>
      <c r="J1954" s="26" t="s">
        <v>77</v>
      </c>
      <c r="K1954" s="18"/>
      <c r="L1954" s="26" t="s">
        <v>77</v>
      </c>
      <c r="M1954" s="6" t="s">
        <v>77</v>
      </c>
      <c r="N1954" s="28" t="s">
        <v>77</v>
      </c>
      <c r="O1954" s="26" t="s">
        <v>77</v>
      </c>
    </row>
    <row r="1955">
      <c r="A1955" s="52" t="s">
        <v>77</v>
      </c>
      <c r="B1955" s="28" t="s">
        <v>77</v>
      </c>
      <c r="C1955" s="28" t="s">
        <v>77</v>
      </c>
      <c r="D1955" s="28" t="s">
        <v>77</v>
      </c>
      <c r="E1955" s="28" t="s">
        <v>77</v>
      </c>
      <c r="F1955" s="28" t="s">
        <v>77</v>
      </c>
      <c r="G1955" s="28" t="s">
        <v>77</v>
      </c>
      <c r="I1955" s="26" t="s">
        <v>77</v>
      </c>
      <c r="J1955" s="26" t="s">
        <v>77</v>
      </c>
      <c r="K1955" s="18"/>
      <c r="L1955" s="26" t="s">
        <v>77</v>
      </c>
      <c r="M1955" s="6" t="s">
        <v>77</v>
      </c>
      <c r="N1955" s="28" t="s">
        <v>77</v>
      </c>
      <c r="O1955" s="26" t="s">
        <v>77</v>
      </c>
    </row>
    <row r="1956">
      <c r="A1956" s="52" t="s">
        <v>77</v>
      </c>
      <c r="B1956" s="28" t="s">
        <v>77</v>
      </c>
      <c r="C1956" s="28" t="s">
        <v>77</v>
      </c>
      <c r="D1956" s="28" t="s">
        <v>77</v>
      </c>
      <c r="E1956" s="28" t="s">
        <v>77</v>
      </c>
      <c r="F1956" s="28" t="s">
        <v>77</v>
      </c>
      <c r="G1956" s="28" t="s">
        <v>77</v>
      </c>
      <c r="I1956" s="26" t="s">
        <v>77</v>
      </c>
      <c r="J1956" s="26" t="s">
        <v>77</v>
      </c>
      <c r="K1956" s="18"/>
      <c r="L1956" s="26" t="s">
        <v>77</v>
      </c>
      <c r="M1956" s="6" t="s">
        <v>77</v>
      </c>
      <c r="N1956" s="28" t="s">
        <v>77</v>
      </c>
      <c r="O1956" s="26" t="s">
        <v>77</v>
      </c>
    </row>
    <row r="1957">
      <c r="A1957" s="52" t="s">
        <v>77</v>
      </c>
      <c r="B1957" s="28" t="s">
        <v>77</v>
      </c>
      <c r="C1957" s="28" t="s">
        <v>77</v>
      </c>
      <c r="D1957" s="28" t="s">
        <v>77</v>
      </c>
      <c r="E1957" s="28" t="s">
        <v>77</v>
      </c>
      <c r="F1957" s="28" t="s">
        <v>77</v>
      </c>
      <c r="G1957" s="28" t="s">
        <v>77</v>
      </c>
      <c r="I1957" s="26" t="s">
        <v>77</v>
      </c>
      <c r="J1957" s="26" t="s">
        <v>77</v>
      </c>
      <c r="K1957" s="18"/>
      <c r="L1957" s="26" t="s">
        <v>77</v>
      </c>
      <c r="M1957" s="6" t="s">
        <v>77</v>
      </c>
      <c r="N1957" s="28" t="s">
        <v>77</v>
      </c>
      <c r="O1957" s="26" t="s">
        <v>77</v>
      </c>
    </row>
    <row r="1958">
      <c r="A1958" s="52" t="s">
        <v>77</v>
      </c>
      <c r="B1958" s="28" t="s">
        <v>77</v>
      </c>
      <c r="C1958" s="28" t="s">
        <v>77</v>
      </c>
      <c r="D1958" s="28" t="s">
        <v>77</v>
      </c>
      <c r="E1958" s="28" t="s">
        <v>77</v>
      </c>
      <c r="F1958" s="28" t="s">
        <v>77</v>
      </c>
      <c r="G1958" s="28" t="s">
        <v>77</v>
      </c>
      <c r="I1958" s="26" t="s">
        <v>77</v>
      </c>
      <c r="J1958" s="26" t="s">
        <v>77</v>
      </c>
      <c r="K1958" s="18"/>
      <c r="L1958" s="26" t="s">
        <v>77</v>
      </c>
      <c r="M1958" s="6" t="s">
        <v>77</v>
      </c>
      <c r="N1958" s="28" t="s">
        <v>77</v>
      </c>
      <c r="O1958" s="26" t="s">
        <v>77</v>
      </c>
    </row>
    <row r="1959">
      <c r="A1959" s="52" t="s">
        <v>77</v>
      </c>
      <c r="B1959" s="28" t="s">
        <v>77</v>
      </c>
      <c r="C1959" s="28" t="s">
        <v>77</v>
      </c>
      <c r="D1959" s="28" t="s">
        <v>77</v>
      </c>
      <c r="E1959" s="28" t="s">
        <v>77</v>
      </c>
      <c r="F1959" s="28" t="s">
        <v>77</v>
      </c>
      <c r="G1959" s="28" t="s">
        <v>77</v>
      </c>
      <c r="I1959" s="26" t="s">
        <v>77</v>
      </c>
      <c r="J1959" s="26" t="s">
        <v>77</v>
      </c>
      <c r="K1959" s="18"/>
      <c r="L1959" s="26" t="s">
        <v>77</v>
      </c>
      <c r="M1959" s="6" t="s">
        <v>77</v>
      </c>
      <c r="N1959" s="28" t="s">
        <v>77</v>
      </c>
      <c r="O1959" s="26" t="s">
        <v>77</v>
      </c>
    </row>
    <row r="1960">
      <c r="A1960" s="52" t="s">
        <v>77</v>
      </c>
      <c r="B1960" s="28" t="s">
        <v>77</v>
      </c>
      <c r="C1960" s="28" t="s">
        <v>77</v>
      </c>
      <c r="D1960" s="28" t="s">
        <v>77</v>
      </c>
      <c r="E1960" s="28" t="s">
        <v>77</v>
      </c>
      <c r="F1960" s="28" t="s">
        <v>77</v>
      </c>
      <c r="G1960" s="28" t="s">
        <v>77</v>
      </c>
      <c r="I1960" s="26" t="s">
        <v>77</v>
      </c>
      <c r="J1960" s="26" t="s">
        <v>77</v>
      </c>
      <c r="K1960" s="18"/>
      <c r="L1960" s="26" t="s">
        <v>77</v>
      </c>
      <c r="M1960" s="6" t="s">
        <v>77</v>
      </c>
      <c r="N1960" s="28" t="s">
        <v>77</v>
      </c>
      <c r="O1960" s="26" t="s">
        <v>77</v>
      </c>
    </row>
    <row r="1961">
      <c r="A1961" s="52" t="s">
        <v>77</v>
      </c>
      <c r="B1961" s="28" t="s">
        <v>77</v>
      </c>
      <c r="C1961" s="28" t="s">
        <v>77</v>
      </c>
      <c r="D1961" s="28" t="s">
        <v>77</v>
      </c>
      <c r="E1961" s="28" t="s">
        <v>77</v>
      </c>
      <c r="F1961" s="28" t="s">
        <v>77</v>
      </c>
      <c r="G1961" s="28" t="s">
        <v>77</v>
      </c>
      <c r="I1961" s="26" t="s">
        <v>77</v>
      </c>
      <c r="J1961" s="26" t="s">
        <v>77</v>
      </c>
      <c r="K1961" s="18"/>
      <c r="L1961" s="26" t="s">
        <v>77</v>
      </c>
      <c r="M1961" s="6" t="s">
        <v>77</v>
      </c>
      <c r="N1961" s="28" t="s">
        <v>77</v>
      </c>
      <c r="O1961" s="26" t="s">
        <v>77</v>
      </c>
    </row>
    <row r="1962">
      <c r="A1962" s="52" t="s">
        <v>77</v>
      </c>
      <c r="B1962" s="28" t="s">
        <v>77</v>
      </c>
      <c r="C1962" s="28" t="s">
        <v>77</v>
      </c>
      <c r="D1962" s="28" t="s">
        <v>77</v>
      </c>
      <c r="E1962" s="28" t="s">
        <v>77</v>
      </c>
      <c r="F1962" s="28" t="s">
        <v>77</v>
      </c>
      <c r="G1962" s="28" t="s">
        <v>77</v>
      </c>
      <c r="I1962" s="26" t="s">
        <v>77</v>
      </c>
      <c r="J1962" s="26" t="s">
        <v>77</v>
      </c>
      <c r="K1962" s="18"/>
      <c r="L1962" s="26" t="s">
        <v>77</v>
      </c>
      <c r="M1962" s="6" t="s">
        <v>77</v>
      </c>
      <c r="N1962" s="28" t="s">
        <v>77</v>
      </c>
      <c r="O1962" s="26" t="s">
        <v>77</v>
      </c>
    </row>
    <row r="1963">
      <c r="A1963" s="52" t="s">
        <v>77</v>
      </c>
      <c r="B1963" s="28" t="s">
        <v>77</v>
      </c>
      <c r="C1963" s="28" t="s">
        <v>77</v>
      </c>
      <c r="D1963" s="28" t="s">
        <v>77</v>
      </c>
      <c r="E1963" s="28" t="s">
        <v>77</v>
      </c>
      <c r="F1963" s="28" t="s">
        <v>77</v>
      </c>
      <c r="G1963" s="28" t="s">
        <v>77</v>
      </c>
      <c r="I1963" s="26" t="s">
        <v>77</v>
      </c>
      <c r="J1963" s="26" t="s">
        <v>77</v>
      </c>
      <c r="K1963" s="18"/>
      <c r="L1963" s="26" t="s">
        <v>77</v>
      </c>
      <c r="M1963" s="6" t="s">
        <v>77</v>
      </c>
      <c r="N1963" s="28" t="s">
        <v>77</v>
      </c>
      <c r="O1963" s="26" t="s">
        <v>77</v>
      </c>
    </row>
    <row r="1964">
      <c r="A1964" s="52" t="s">
        <v>77</v>
      </c>
      <c r="B1964" s="28" t="s">
        <v>77</v>
      </c>
      <c r="C1964" s="28" t="s">
        <v>77</v>
      </c>
      <c r="D1964" s="28" t="s">
        <v>77</v>
      </c>
      <c r="E1964" s="28" t="s">
        <v>77</v>
      </c>
      <c r="F1964" s="28" t="s">
        <v>77</v>
      </c>
      <c r="G1964" s="28" t="s">
        <v>77</v>
      </c>
      <c r="I1964" s="26" t="s">
        <v>77</v>
      </c>
      <c r="J1964" s="26" t="s">
        <v>77</v>
      </c>
      <c r="K1964" s="18"/>
      <c r="L1964" s="26" t="s">
        <v>77</v>
      </c>
      <c r="M1964" s="6" t="s">
        <v>77</v>
      </c>
      <c r="N1964" s="28" t="s">
        <v>77</v>
      </c>
      <c r="O1964" s="26" t="s">
        <v>77</v>
      </c>
    </row>
    <row r="1965">
      <c r="A1965" s="52" t="s">
        <v>77</v>
      </c>
      <c r="B1965" s="28" t="s">
        <v>77</v>
      </c>
      <c r="C1965" s="28" t="s">
        <v>77</v>
      </c>
      <c r="D1965" s="28" t="s">
        <v>77</v>
      </c>
      <c r="E1965" s="28" t="s">
        <v>77</v>
      </c>
      <c r="F1965" s="28" t="s">
        <v>77</v>
      </c>
      <c r="G1965" s="28" t="s">
        <v>77</v>
      </c>
      <c r="I1965" s="26" t="s">
        <v>77</v>
      </c>
      <c r="J1965" s="26" t="s">
        <v>77</v>
      </c>
      <c r="K1965" s="18"/>
      <c r="L1965" s="26" t="s">
        <v>77</v>
      </c>
      <c r="M1965" s="6" t="s">
        <v>77</v>
      </c>
      <c r="N1965" s="28" t="s">
        <v>77</v>
      </c>
      <c r="O1965" s="26" t="s">
        <v>77</v>
      </c>
    </row>
    <row r="1966">
      <c r="A1966" s="52" t="s">
        <v>77</v>
      </c>
      <c r="B1966" s="28" t="s">
        <v>77</v>
      </c>
      <c r="C1966" s="28" t="s">
        <v>77</v>
      </c>
      <c r="D1966" s="28" t="s">
        <v>77</v>
      </c>
      <c r="E1966" s="28" t="s">
        <v>77</v>
      </c>
      <c r="F1966" s="28" t="s">
        <v>77</v>
      </c>
      <c r="G1966" s="28" t="s">
        <v>77</v>
      </c>
      <c r="I1966" s="26" t="s">
        <v>77</v>
      </c>
      <c r="J1966" s="26" t="s">
        <v>77</v>
      </c>
      <c r="K1966" s="18"/>
      <c r="L1966" s="26" t="s">
        <v>77</v>
      </c>
      <c r="M1966" s="6" t="s">
        <v>77</v>
      </c>
      <c r="N1966" s="28" t="s">
        <v>77</v>
      </c>
      <c r="O1966" s="26" t="s">
        <v>77</v>
      </c>
    </row>
    <row r="1967">
      <c r="A1967" s="52" t="s">
        <v>77</v>
      </c>
      <c r="B1967" s="28" t="s">
        <v>77</v>
      </c>
      <c r="C1967" s="28" t="s">
        <v>77</v>
      </c>
      <c r="D1967" s="28" t="s">
        <v>77</v>
      </c>
      <c r="E1967" s="28" t="s">
        <v>77</v>
      </c>
      <c r="F1967" s="28" t="s">
        <v>77</v>
      </c>
      <c r="G1967" s="28" t="s">
        <v>77</v>
      </c>
      <c r="I1967" s="26" t="s">
        <v>77</v>
      </c>
      <c r="J1967" s="26" t="s">
        <v>77</v>
      </c>
      <c r="K1967" s="18"/>
      <c r="L1967" s="26" t="s">
        <v>77</v>
      </c>
      <c r="M1967" s="6" t="s">
        <v>77</v>
      </c>
      <c r="N1967" s="28" t="s">
        <v>77</v>
      </c>
      <c r="O1967" s="26" t="s">
        <v>77</v>
      </c>
    </row>
    <row r="1968">
      <c r="A1968" s="52" t="s">
        <v>77</v>
      </c>
      <c r="B1968" s="28" t="s">
        <v>77</v>
      </c>
      <c r="C1968" s="28" t="s">
        <v>77</v>
      </c>
      <c r="D1968" s="28" t="s">
        <v>77</v>
      </c>
      <c r="E1968" s="28" t="s">
        <v>77</v>
      </c>
      <c r="F1968" s="28" t="s">
        <v>77</v>
      </c>
      <c r="G1968" s="28" t="s">
        <v>77</v>
      </c>
      <c r="I1968" s="26" t="s">
        <v>77</v>
      </c>
      <c r="J1968" s="26" t="s">
        <v>77</v>
      </c>
      <c r="K1968" s="18"/>
      <c r="L1968" s="26" t="s">
        <v>77</v>
      </c>
      <c r="M1968" s="6" t="s">
        <v>77</v>
      </c>
      <c r="N1968" s="28" t="s">
        <v>77</v>
      </c>
      <c r="O1968" s="26" t="s">
        <v>77</v>
      </c>
    </row>
    <row r="1969">
      <c r="A1969" s="52" t="s">
        <v>77</v>
      </c>
      <c r="B1969" s="28" t="s">
        <v>77</v>
      </c>
      <c r="C1969" s="28" t="s">
        <v>77</v>
      </c>
      <c r="D1969" s="28" t="s">
        <v>77</v>
      </c>
      <c r="E1969" s="28" t="s">
        <v>77</v>
      </c>
      <c r="F1969" s="28" t="s">
        <v>77</v>
      </c>
      <c r="G1969" s="28" t="s">
        <v>77</v>
      </c>
      <c r="I1969" s="26" t="s">
        <v>77</v>
      </c>
      <c r="J1969" s="26" t="s">
        <v>77</v>
      </c>
      <c r="K1969" s="18"/>
      <c r="L1969" s="26" t="s">
        <v>77</v>
      </c>
      <c r="M1969" s="6" t="s">
        <v>77</v>
      </c>
      <c r="N1969" s="28" t="s">
        <v>77</v>
      </c>
      <c r="O1969" s="26" t="s">
        <v>77</v>
      </c>
    </row>
    <row r="1970">
      <c r="A1970" s="52" t="s">
        <v>77</v>
      </c>
      <c r="B1970" s="28" t="s">
        <v>77</v>
      </c>
      <c r="C1970" s="28" t="s">
        <v>77</v>
      </c>
      <c r="D1970" s="28" t="s">
        <v>77</v>
      </c>
      <c r="E1970" s="28" t="s">
        <v>77</v>
      </c>
      <c r="F1970" s="28" t="s">
        <v>77</v>
      </c>
      <c r="G1970" s="28" t="s">
        <v>77</v>
      </c>
      <c r="I1970" s="26" t="s">
        <v>77</v>
      </c>
      <c r="J1970" s="26" t="s">
        <v>77</v>
      </c>
      <c r="K1970" s="18"/>
      <c r="L1970" s="26" t="s">
        <v>77</v>
      </c>
      <c r="M1970" s="6" t="s">
        <v>77</v>
      </c>
      <c r="N1970" s="28" t="s">
        <v>77</v>
      </c>
      <c r="O1970" s="26" t="s">
        <v>77</v>
      </c>
    </row>
    <row r="1971">
      <c r="A1971" s="52" t="s">
        <v>77</v>
      </c>
      <c r="B1971" s="28" t="s">
        <v>77</v>
      </c>
      <c r="C1971" s="28" t="s">
        <v>77</v>
      </c>
      <c r="D1971" s="28" t="s">
        <v>77</v>
      </c>
      <c r="E1971" s="28" t="s">
        <v>77</v>
      </c>
      <c r="F1971" s="28" t="s">
        <v>77</v>
      </c>
      <c r="G1971" s="28" t="s">
        <v>77</v>
      </c>
      <c r="I1971" s="26" t="s">
        <v>77</v>
      </c>
      <c r="J1971" s="26" t="s">
        <v>77</v>
      </c>
      <c r="K1971" s="18"/>
      <c r="L1971" s="26" t="s">
        <v>77</v>
      </c>
      <c r="M1971" s="6" t="s">
        <v>77</v>
      </c>
      <c r="N1971" s="28" t="s">
        <v>77</v>
      </c>
      <c r="O1971" s="26" t="s">
        <v>77</v>
      </c>
    </row>
    <row r="1972">
      <c r="A1972" s="52" t="s">
        <v>77</v>
      </c>
      <c r="B1972" s="28" t="s">
        <v>77</v>
      </c>
      <c r="C1972" s="28" t="s">
        <v>77</v>
      </c>
      <c r="D1972" s="28" t="s">
        <v>77</v>
      </c>
      <c r="E1972" s="28" t="s">
        <v>77</v>
      </c>
      <c r="F1972" s="28" t="s">
        <v>77</v>
      </c>
      <c r="G1972" s="28" t="s">
        <v>77</v>
      </c>
      <c r="I1972" s="26" t="s">
        <v>77</v>
      </c>
      <c r="J1972" s="26" t="s">
        <v>77</v>
      </c>
      <c r="K1972" s="18"/>
      <c r="L1972" s="26" t="s">
        <v>77</v>
      </c>
      <c r="M1972" s="6" t="s">
        <v>77</v>
      </c>
      <c r="N1972" s="28" t="s">
        <v>77</v>
      </c>
      <c r="O1972" s="26" t="s">
        <v>77</v>
      </c>
    </row>
    <row r="1973">
      <c r="A1973" s="52" t="s">
        <v>77</v>
      </c>
      <c r="B1973" s="28" t="s">
        <v>77</v>
      </c>
      <c r="C1973" s="28" t="s">
        <v>77</v>
      </c>
      <c r="D1973" s="28" t="s">
        <v>77</v>
      </c>
      <c r="E1973" s="28" t="s">
        <v>77</v>
      </c>
      <c r="F1973" s="28" t="s">
        <v>77</v>
      </c>
      <c r="G1973" s="28" t="s">
        <v>77</v>
      </c>
      <c r="I1973" s="26" t="s">
        <v>77</v>
      </c>
      <c r="J1973" s="26" t="s">
        <v>77</v>
      </c>
      <c r="K1973" s="18"/>
      <c r="L1973" s="26" t="s">
        <v>77</v>
      </c>
      <c r="M1973" s="6" t="s">
        <v>77</v>
      </c>
      <c r="N1973" s="28" t="s">
        <v>77</v>
      </c>
      <c r="O1973" s="26" t="s">
        <v>77</v>
      </c>
    </row>
    <row r="1974">
      <c r="A1974" s="52" t="s">
        <v>77</v>
      </c>
      <c r="B1974" s="28" t="s">
        <v>77</v>
      </c>
      <c r="C1974" s="28" t="s">
        <v>77</v>
      </c>
      <c r="D1974" s="28" t="s">
        <v>77</v>
      </c>
      <c r="E1974" s="28" t="s">
        <v>77</v>
      </c>
      <c r="F1974" s="28" t="s">
        <v>77</v>
      </c>
      <c r="G1974" s="28" t="s">
        <v>77</v>
      </c>
      <c r="I1974" s="26" t="s">
        <v>77</v>
      </c>
      <c r="J1974" s="26" t="s">
        <v>77</v>
      </c>
      <c r="K1974" s="18"/>
      <c r="L1974" s="26" t="s">
        <v>77</v>
      </c>
      <c r="M1974" s="6" t="s">
        <v>77</v>
      </c>
      <c r="N1974" s="28" t="s">
        <v>77</v>
      </c>
      <c r="O1974" s="26" t="s">
        <v>77</v>
      </c>
    </row>
    <row r="1975">
      <c r="A1975" s="52" t="s">
        <v>77</v>
      </c>
      <c r="B1975" s="28" t="s">
        <v>77</v>
      </c>
      <c r="C1975" s="28" t="s">
        <v>77</v>
      </c>
      <c r="D1975" s="28" t="s">
        <v>77</v>
      </c>
      <c r="E1975" s="28" t="s">
        <v>77</v>
      </c>
      <c r="F1975" s="28" t="s">
        <v>77</v>
      </c>
      <c r="G1975" s="28" t="s">
        <v>77</v>
      </c>
      <c r="I1975" s="26" t="s">
        <v>77</v>
      </c>
      <c r="J1975" s="26" t="s">
        <v>77</v>
      </c>
      <c r="K1975" s="18"/>
      <c r="L1975" s="26" t="s">
        <v>77</v>
      </c>
      <c r="M1975" s="6" t="s">
        <v>77</v>
      </c>
      <c r="N1975" s="28" t="s">
        <v>77</v>
      </c>
      <c r="O1975" s="26" t="s">
        <v>77</v>
      </c>
    </row>
    <row r="1976">
      <c r="A1976" s="52" t="s">
        <v>77</v>
      </c>
      <c r="B1976" s="28" t="s">
        <v>77</v>
      </c>
      <c r="C1976" s="28" t="s">
        <v>77</v>
      </c>
      <c r="D1976" s="28" t="s">
        <v>77</v>
      </c>
      <c r="E1976" s="28" t="s">
        <v>77</v>
      </c>
      <c r="F1976" s="28" t="s">
        <v>77</v>
      </c>
      <c r="G1976" s="28" t="s">
        <v>77</v>
      </c>
      <c r="I1976" s="26" t="s">
        <v>77</v>
      </c>
      <c r="J1976" s="26" t="s">
        <v>77</v>
      </c>
      <c r="K1976" s="18"/>
      <c r="L1976" s="26" t="s">
        <v>77</v>
      </c>
      <c r="M1976" s="6" t="s">
        <v>77</v>
      </c>
      <c r="N1976" s="28" t="s">
        <v>77</v>
      </c>
      <c r="O1976" s="26" t="s">
        <v>77</v>
      </c>
    </row>
    <row r="1977">
      <c r="A1977" s="52" t="s">
        <v>77</v>
      </c>
      <c r="B1977" s="28" t="s">
        <v>77</v>
      </c>
      <c r="C1977" s="28" t="s">
        <v>77</v>
      </c>
      <c r="D1977" s="28" t="s">
        <v>77</v>
      </c>
      <c r="E1977" s="28" t="s">
        <v>77</v>
      </c>
      <c r="F1977" s="28" t="s">
        <v>77</v>
      </c>
      <c r="G1977" s="28" t="s">
        <v>77</v>
      </c>
      <c r="I1977" s="26" t="s">
        <v>77</v>
      </c>
      <c r="J1977" s="26" t="s">
        <v>77</v>
      </c>
      <c r="K1977" s="18"/>
      <c r="L1977" s="26" t="s">
        <v>77</v>
      </c>
      <c r="M1977" s="6" t="s">
        <v>77</v>
      </c>
      <c r="N1977" s="28" t="s">
        <v>77</v>
      </c>
      <c r="O1977" s="26" t="s">
        <v>77</v>
      </c>
    </row>
    <row r="1978">
      <c r="A1978" s="52" t="s">
        <v>77</v>
      </c>
      <c r="B1978" s="28" t="s">
        <v>77</v>
      </c>
      <c r="C1978" s="28" t="s">
        <v>77</v>
      </c>
      <c r="D1978" s="28" t="s">
        <v>77</v>
      </c>
      <c r="E1978" s="28" t="s">
        <v>77</v>
      </c>
      <c r="F1978" s="28" t="s">
        <v>77</v>
      </c>
      <c r="G1978" s="28" t="s">
        <v>77</v>
      </c>
      <c r="I1978" s="26" t="s">
        <v>77</v>
      </c>
      <c r="J1978" s="26" t="s">
        <v>77</v>
      </c>
      <c r="K1978" s="18"/>
      <c r="L1978" s="26" t="s">
        <v>77</v>
      </c>
      <c r="M1978" s="6" t="s">
        <v>77</v>
      </c>
      <c r="N1978" s="28" t="s">
        <v>77</v>
      </c>
      <c r="O1978" s="26" t="s">
        <v>77</v>
      </c>
    </row>
    <row r="1979">
      <c r="A1979" s="52" t="s">
        <v>77</v>
      </c>
      <c r="B1979" s="28" t="s">
        <v>77</v>
      </c>
      <c r="C1979" s="28" t="s">
        <v>77</v>
      </c>
      <c r="D1979" s="28" t="s">
        <v>77</v>
      </c>
      <c r="E1979" s="28" t="s">
        <v>77</v>
      </c>
      <c r="F1979" s="28" t="s">
        <v>77</v>
      </c>
      <c r="G1979" s="28" t="s">
        <v>77</v>
      </c>
      <c r="I1979" s="26" t="s">
        <v>77</v>
      </c>
      <c r="J1979" s="26" t="s">
        <v>77</v>
      </c>
      <c r="K1979" s="18"/>
      <c r="L1979" s="26" t="s">
        <v>77</v>
      </c>
      <c r="M1979" s="6" t="s">
        <v>77</v>
      </c>
      <c r="N1979" s="28" t="s">
        <v>77</v>
      </c>
      <c r="O1979" s="26" t="s">
        <v>77</v>
      </c>
    </row>
    <row r="1980">
      <c r="A1980" s="52" t="s">
        <v>77</v>
      </c>
      <c r="B1980" s="28" t="s">
        <v>77</v>
      </c>
      <c r="C1980" s="28" t="s">
        <v>77</v>
      </c>
      <c r="D1980" s="28" t="s">
        <v>77</v>
      </c>
      <c r="E1980" s="28" t="s">
        <v>77</v>
      </c>
      <c r="F1980" s="28" t="s">
        <v>77</v>
      </c>
      <c r="G1980" s="28" t="s">
        <v>77</v>
      </c>
      <c r="I1980" s="26" t="s">
        <v>77</v>
      </c>
      <c r="J1980" s="26" t="s">
        <v>77</v>
      </c>
      <c r="K1980" s="18"/>
      <c r="L1980" s="26" t="s">
        <v>77</v>
      </c>
      <c r="M1980" s="6" t="s">
        <v>77</v>
      </c>
      <c r="N1980" s="28" t="s">
        <v>77</v>
      </c>
      <c r="O1980" s="26" t="s">
        <v>77</v>
      </c>
    </row>
    <row r="1981">
      <c r="A1981" s="52" t="s">
        <v>77</v>
      </c>
      <c r="B1981" s="28" t="s">
        <v>77</v>
      </c>
      <c r="C1981" s="28" t="s">
        <v>77</v>
      </c>
      <c r="D1981" s="28" t="s">
        <v>77</v>
      </c>
      <c r="E1981" s="28" t="s">
        <v>77</v>
      </c>
      <c r="F1981" s="28" t="s">
        <v>77</v>
      </c>
      <c r="G1981" s="28" t="s">
        <v>77</v>
      </c>
      <c r="I1981" s="26" t="s">
        <v>77</v>
      </c>
      <c r="J1981" s="26" t="s">
        <v>77</v>
      </c>
      <c r="K1981" s="18"/>
      <c r="L1981" s="26" t="s">
        <v>77</v>
      </c>
      <c r="M1981" s="6" t="s">
        <v>77</v>
      </c>
      <c r="N1981" s="28" t="s">
        <v>77</v>
      </c>
      <c r="O1981" s="26" t="s">
        <v>77</v>
      </c>
    </row>
    <row r="1982">
      <c r="A1982" s="52" t="s">
        <v>77</v>
      </c>
      <c r="B1982" s="28" t="s">
        <v>77</v>
      </c>
      <c r="C1982" s="28" t="s">
        <v>77</v>
      </c>
      <c r="D1982" s="28" t="s">
        <v>77</v>
      </c>
      <c r="E1982" s="28" t="s">
        <v>77</v>
      </c>
      <c r="F1982" s="28" t="s">
        <v>77</v>
      </c>
      <c r="G1982" s="28" t="s">
        <v>77</v>
      </c>
      <c r="I1982" s="26" t="s">
        <v>77</v>
      </c>
      <c r="J1982" s="26" t="s">
        <v>77</v>
      </c>
      <c r="K1982" s="18"/>
      <c r="L1982" s="26" t="s">
        <v>77</v>
      </c>
      <c r="M1982" s="6" t="s">
        <v>77</v>
      </c>
      <c r="N1982" s="28" t="s">
        <v>77</v>
      </c>
      <c r="O1982" s="26" t="s">
        <v>77</v>
      </c>
    </row>
    <row r="1983">
      <c r="A1983" s="52" t="s">
        <v>77</v>
      </c>
      <c r="B1983" s="28" t="s">
        <v>77</v>
      </c>
      <c r="C1983" s="28" t="s">
        <v>77</v>
      </c>
      <c r="D1983" s="28" t="s">
        <v>77</v>
      </c>
      <c r="E1983" s="28" t="s">
        <v>77</v>
      </c>
      <c r="F1983" s="28" t="s">
        <v>77</v>
      </c>
      <c r="G1983" s="28" t="s">
        <v>77</v>
      </c>
      <c r="I1983" s="26" t="s">
        <v>77</v>
      </c>
      <c r="J1983" s="26" t="s">
        <v>77</v>
      </c>
      <c r="K1983" s="18"/>
      <c r="L1983" s="26" t="s">
        <v>77</v>
      </c>
      <c r="M1983" s="6" t="s">
        <v>77</v>
      </c>
      <c r="N1983" s="28" t="s">
        <v>77</v>
      </c>
      <c r="O1983" s="26" t="s">
        <v>77</v>
      </c>
    </row>
    <row r="1984">
      <c r="A1984" s="52" t="s">
        <v>77</v>
      </c>
      <c r="B1984" s="28" t="s">
        <v>77</v>
      </c>
      <c r="C1984" s="28" t="s">
        <v>77</v>
      </c>
      <c r="D1984" s="28" t="s">
        <v>77</v>
      </c>
      <c r="E1984" s="28" t="s">
        <v>77</v>
      </c>
      <c r="F1984" s="28" t="s">
        <v>77</v>
      </c>
      <c r="G1984" s="28" t="s">
        <v>77</v>
      </c>
      <c r="I1984" s="26" t="s">
        <v>77</v>
      </c>
      <c r="J1984" s="26" t="s">
        <v>77</v>
      </c>
      <c r="K1984" s="18"/>
      <c r="L1984" s="26" t="s">
        <v>77</v>
      </c>
      <c r="M1984" s="6" t="s">
        <v>77</v>
      </c>
      <c r="N1984" s="28" t="s">
        <v>77</v>
      </c>
      <c r="O1984" s="26" t="s">
        <v>77</v>
      </c>
    </row>
    <row r="1985">
      <c r="A1985" s="52" t="s">
        <v>77</v>
      </c>
      <c r="B1985" s="28" t="s">
        <v>77</v>
      </c>
      <c r="C1985" s="28" t="s">
        <v>77</v>
      </c>
      <c r="D1985" s="28" t="s">
        <v>77</v>
      </c>
      <c r="E1985" s="28" t="s">
        <v>77</v>
      </c>
      <c r="F1985" s="28" t="s">
        <v>77</v>
      </c>
      <c r="G1985" s="28" t="s">
        <v>77</v>
      </c>
      <c r="I1985" s="26" t="s">
        <v>77</v>
      </c>
      <c r="J1985" s="26" t="s">
        <v>77</v>
      </c>
      <c r="K1985" s="18"/>
      <c r="L1985" s="26" t="s">
        <v>77</v>
      </c>
      <c r="M1985" s="6" t="s">
        <v>77</v>
      </c>
      <c r="N1985" s="28" t="s">
        <v>77</v>
      </c>
      <c r="O1985" s="26" t="s">
        <v>77</v>
      </c>
    </row>
    <row r="1986">
      <c r="A1986" s="52" t="s">
        <v>77</v>
      </c>
      <c r="B1986" s="28" t="s">
        <v>77</v>
      </c>
      <c r="C1986" s="28" t="s">
        <v>77</v>
      </c>
      <c r="D1986" s="28" t="s">
        <v>77</v>
      </c>
      <c r="E1986" s="28" t="s">
        <v>77</v>
      </c>
      <c r="F1986" s="28" t="s">
        <v>77</v>
      </c>
      <c r="G1986" s="28" t="s">
        <v>77</v>
      </c>
      <c r="I1986" s="26" t="s">
        <v>77</v>
      </c>
      <c r="J1986" s="26" t="s">
        <v>77</v>
      </c>
      <c r="K1986" s="18"/>
      <c r="L1986" s="26" t="s">
        <v>77</v>
      </c>
      <c r="M1986" s="6" t="s">
        <v>77</v>
      </c>
      <c r="N1986" s="28" t="s">
        <v>77</v>
      </c>
      <c r="O1986" s="26" t="s">
        <v>77</v>
      </c>
    </row>
    <row r="1987">
      <c r="A1987" s="52" t="s">
        <v>77</v>
      </c>
      <c r="B1987" s="28" t="s">
        <v>77</v>
      </c>
      <c r="C1987" s="28" t="s">
        <v>77</v>
      </c>
      <c r="D1987" s="28" t="s">
        <v>77</v>
      </c>
      <c r="E1987" s="28" t="s">
        <v>77</v>
      </c>
      <c r="F1987" s="28" t="s">
        <v>77</v>
      </c>
      <c r="G1987" s="28" t="s">
        <v>77</v>
      </c>
      <c r="I1987" s="26" t="s">
        <v>77</v>
      </c>
      <c r="J1987" s="26" t="s">
        <v>77</v>
      </c>
      <c r="K1987" s="18"/>
      <c r="L1987" s="26" t="s">
        <v>77</v>
      </c>
      <c r="M1987" s="6" t="s">
        <v>77</v>
      </c>
      <c r="N1987" s="28" t="s">
        <v>77</v>
      </c>
      <c r="O1987" s="26" t="s">
        <v>77</v>
      </c>
    </row>
    <row r="1988">
      <c r="A1988" s="52" t="s">
        <v>77</v>
      </c>
      <c r="B1988" s="28" t="s">
        <v>77</v>
      </c>
      <c r="C1988" s="28" t="s">
        <v>77</v>
      </c>
      <c r="D1988" s="28" t="s">
        <v>77</v>
      </c>
      <c r="E1988" s="28" t="s">
        <v>77</v>
      </c>
      <c r="F1988" s="28" t="s">
        <v>77</v>
      </c>
      <c r="G1988" s="28" t="s">
        <v>77</v>
      </c>
      <c r="I1988" s="26" t="s">
        <v>77</v>
      </c>
      <c r="J1988" s="26" t="s">
        <v>77</v>
      </c>
      <c r="K1988" s="18"/>
      <c r="L1988" s="26" t="s">
        <v>77</v>
      </c>
      <c r="M1988" s="6" t="s">
        <v>77</v>
      </c>
      <c r="N1988" s="28" t="s">
        <v>77</v>
      </c>
      <c r="O1988" s="26" t="s">
        <v>77</v>
      </c>
    </row>
    <row r="1989">
      <c r="A1989" s="52" t="s">
        <v>77</v>
      </c>
      <c r="B1989" s="28" t="s">
        <v>77</v>
      </c>
      <c r="C1989" s="28" t="s">
        <v>77</v>
      </c>
      <c r="D1989" s="28" t="s">
        <v>77</v>
      </c>
      <c r="E1989" s="28" t="s">
        <v>77</v>
      </c>
      <c r="F1989" s="28" t="s">
        <v>77</v>
      </c>
      <c r="G1989" s="28" t="s">
        <v>77</v>
      </c>
      <c r="I1989" s="26" t="s">
        <v>77</v>
      </c>
      <c r="J1989" s="26" t="s">
        <v>77</v>
      </c>
      <c r="K1989" s="18"/>
      <c r="L1989" s="26" t="s">
        <v>77</v>
      </c>
      <c r="M1989" s="6" t="s">
        <v>77</v>
      </c>
      <c r="N1989" s="28" t="s">
        <v>77</v>
      </c>
      <c r="O1989" s="26" t="s">
        <v>77</v>
      </c>
    </row>
    <row r="1990">
      <c r="A1990" s="52" t="s">
        <v>77</v>
      </c>
      <c r="B1990" s="28" t="s">
        <v>77</v>
      </c>
      <c r="C1990" s="28" t="s">
        <v>77</v>
      </c>
      <c r="D1990" s="28" t="s">
        <v>77</v>
      </c>
      <c r="E1990" s="28" t="s">
        <v>77</v>
      </c>
      <c r="F1990" s="28" t="s">
        <v>77</v>
      </c>
      <c r="G1990" s="28" t="s">
        <v>77</v>
      </c>
      <c r="I1990" s="26" t="s">
        <v>77</v>
      </c>
      <c r="J1990" s="26" t="s">
        <v>77</v>
      </c>
      <c r="K1990" s="18"/>
      <c r="L1990" s="26" t="s">
        <v>77</v>
      </c>
      <c r="M1990" s="6" t="s">
        <v>77</v>
      </c>
      <c r="N1990" s="28" t="s">
        <v>77</v>
      </c>
      <c r="O1990" s="26" t="s">
        <v>77</v>
      </c>
    </row>
    <row r="1991">
      <c r="A1991" s="52" t="s">
        <v>77</v>
      </c>
      <c r="B1991" s="28" t="s">
        <v>77</v>
      </c>
      <c r="C1991" s="28" t="s">
        <v>77</v>
      </c>
      <c r="D1991" s="28" t="s">
        <v>77</v>
      </c>
      <c r="E1991" s="28" t="s">
        <v>77</v>
      </c>
      <c r="F1991" s="28" t="s">
        <v>77</v>
      </c>
      <c r="G1991" s="28" t="s">
        <v>77</v>
      </c>
      <c r="I1991" s="26" t="s">
        <v>77</v>
      </c>
      <c r="J1991" s="26" t="s">
        <v>77</v>
      </c>
      <c r="K1991" s="18"/>
      <c r="L1991" s="26" t="s">
        <v>77</v>
      </c>
      <c r="M1991" s="6" t="s">
        <v>77</v>
      </c>
      <c r="N1991" s="28" t="s">
        <v>77</v>
      </c>
      <c r="O1991" s="26" t="s">
        <v>77</v>
      </c>
    </row>
    <row r="1992">
      <c r="A1992" s="52" t="s">
        <v>77</v>
      </c>
      <c r="B1992" s="28" t="s">
        <v>77</v>
      </c>
      <c r="C1992" s="28" t="s">
        <v>77</v>
      </c>
      <c r="D1992" s="28" t="s">
        <v>77</v>
      </c>
      <c r="E1992" s="28" t="s">
        <v>77</v>
      </c>
      <c r="F1992" s="28" t="s">
        <v>77</v>
      </c>
      <c r="G1992" s="28" t="s">
        <v>77</v>
      </c>
      <c r="I1992" s="26" t="s">
        <v>77</v>
      </c>
      <c r="J1992" s="26" t="s">
        <v>77</v>
      </c>
      <c r="K1992" s="18"/>
      <c r="L1992" s="26" t="s">
        <v>77</v>
      </c>
      <c r="M1992" s="6" t="s">
        <v>77</v>
      </c>
      <c r="N1992" s="28" t="s">
        <v>77</v>
      </c>
      <c r="O1992" s="26" t="s">
        <v>77</v>
      </c>
    </row>
    <row r="1993">
      <c r="A1993" s="52" t="s">
        <v>77</v>
      </c>
      <c r="B1993" s="28" t="s">
        <v>77</v>
      </c>
      <c r="C1993" s="28" t="s">
        <v>77</v>
      </c>
      <c r="D1993" s="28" t="s">
        <v>77</v>
      </c>
      <c r="E1993" s="28" t="s">
        <v>77</v>
      </c>
      <c r="F1993" s="28" t="s">
        <v>77</v>
      </c>
      <c r="G1993" s="28" t="s">
        <v>77</v>
      </c>
      <c r="I1993" s="26" t="s">
        <v>77</v>
      </c>
      <c r="J1993" s="26" t="s">
        <v>77</v>
      </c>
      <c r="K1993" s="18"/>
      <c r="L1993" s="26" t="s">
        <v>77</v>
      </c>
      <c r="M1993" s="6" t="s">
        <v>77</v>
      </c>
      <c r="N1993" s="28" t="s">
        <v>77</v>
      </c>
      <c r="O1993" s="26" t="s">
        <v>77</v>
      </c>
    </row>
    <row r="1994">
      <c r="A1994" s="52" t="s">
        <v>77</v>
      </c>
      <c r="B1994" s="28" t="s">
        <v>77</v>
      </c>
      <c r="C1994" s="28" t="s">
        <v>77</v>
      </c>
      <c r="D1994" s="28" t="s">
        <v>77</v>
      </c>
      <c r="E1994" s="28" t="s">
        <v>77</v>
      </c>
      <c r="F1994" s="28" t="s">
        <v>77</v>
      </c>
      <c r="G1994" s="28" t="s">
        <v>77</v>
      </c>
      <c r="I1994" s="26" t="s">
        <v>77</v>
      </c>
      <c r="J1994" s="26" t="s">
        <v>77</v>
      </c>
      <c r="K1994" s="18"/>
      <c r="L1994" s="26" t="s">
        <v>77</v>
      </c>
      <c r="M1994" s="6" t="s">
        <v>77</v>
      </c>
      <c r="N1994" s="28" t="s">
        <v>77</v>
      </c>
      <c r="O1994" s="26" t="s">
        <v>77</v>
      </c>
    </row>
    <row r="1995">
      <c r="A1995" s="52" t="s">
        <v>77</v>
      </c>
      <c r="B1995" s="28" t="s">
        <v>77</v>
      </c>
      <c r="C1995" s="28" t="s">
        <v>77</v>
      </c>
      <c r="D1995" s="28" t="s">
        <v>77</v>
      </c>
      <c r="E1995" s="28" t="s">
        <v>77</v>
      </c>
      <c r="F1995" s="28" t="s">
        <v>77</v>
      </c>
      <c r="G1995" s="28" t="s">
        <v>77</v>
      </c>
      <c r="I1995" s="26" t="s">
        <v>77</v>
      </c>
      <c r="J1995" s="26" t="s">
        <v>77</v>
      </c>
      <c r="K1995" s="18"/>
      <c r="L1995" s="26" t="s">
        <v>77</v>
      </c>
      <c r="M1995" s="6" t="s">
        <v>77</v>
      </c>
      <c r="N1995" s="28" t="s">
        <v>77</v>
      </c>
      <c r="O1995" s="26" t="s">
        <v>77</v>
      </c>
    </row>
    <row r="1996">
      <c r="A1996" s="52" t="s">
        <v>77</v>
      </c>
      <c r="B1996" s="28" t="s">
        <v>77</v>
      </c>
      <c r="C1996" s="28" t="s">
        <v>77</v>
      </c>
      <c r="D1996" s="28" t="s">
        <v>77</v>
      </c>
      <c r="E1996" s="28" t="s">
        <v>77</v>
      </c>
      <c r="F1996" s="28" t="s">
        <v>77</v>
      </c>
      <c r="G1996" s="28" t="s">
        <v>77</v>
      </c>
      <c r="I1996" s="26" t="s">
        <v>77</v>
      </c>
      <c r="J1996" s="26" t="s">
        <v>77</v>
      </c>
      <c r="K1996" s="18"/>
      <c r="L1996" s="26" t="s">
        <v>77</v>
      </c>
      <c r="M1996" s="6" t="s">
        <v>77</v>
      </c>
      <c r="N1996" s="28" t="s">
        <v>77</v>
      </c>
      <c r="O1996" s="26" t="s">
        <v>77</v>
      </c>
    </row>
    <row r="1997">
      <c r="A1997" s="52" t="s">
        <v>77</v>
      </c>
      <c r="B1997" s="28" t="s">
        <v>77</v>
      </c>
      <c r="C1997" s="28" t="s">
        <v>77</v>
      </c>
      <c r="D1997" s="28" t="s">
        <v>77</v>
      </c>
      <c r="E1997" s="28" t="s">
        <v>77</v>
      </c>
      <c r="F1997" s="28" t="s">
        <v>77</v>
      </c>
      <c r="G1997" s="28" t="s">
        <v>77</v>
      </c>
      <c r="I1997" s="26" t="s">
        <v>77</v>
      </c>
      <c r="J1997" s="26" t="s">
        <v>77</v>
      </c>
      <c r="K1997" s="18"/>
      <c r="L1997" s="26" t="s">
        <v>77</v>
      </c>
      <c r="M1997" s="6" t="s">
        <v>77</v>
      </c>
      <c r="N1997" s="28" t="s">
        <v>77</v>
      </c>
      <c r="O1997" s="26" t="s">
        <v>77</v>
      </c>
    </row>
    <row r="1998">
      <c r="A1998" s="52" t="s">
        <v>77</v>
      </c>
      <c r="B1998" s="28" t="s">
        <v>77</v>
      </c>
      <c r="C1998" s="28" t="s">
        <v>77</v>
      </c>
      <c r="D1998" s="28" t="s">
        <v>77</v>
      </c>
      <c r="E1998" s="28" t="s">
        <v>77</v>
      </c>
      <c r="F1998" s="28" t="s">
        <v>77</v>
      </c>
      <c r="G1998" s="28" t="s">
        <v>77</v>
      </c>
      <c r="I1998" s="26" t="s">
        <v>77</v>
      </c>
      <c r="J1998" s="26" t="s">
        <v>77</v>
      </c>
      <c r="K1998" s="18"/>
      <c r="L1998" s="26" t="s">
        <v>77</v>
      </c>
      <c r="M1998" s="6" t="s">
        <v>77</v>
      </c>
      <c r="N1998" s="28" t="s">
        <v>77</v>
      </c>
      <c r="O1998" s="26" t="s">
        <v>77</v>
      </c>
    </row>
    <row r="1999">
      <c r="A1999" s="52" t="s">
        <v>77</v>
      </c>
      <c r="B1999" s="28" t="s">
        <v>77</v>
      </c>
      <c r="C1999" s="28" t="s">
        <v>77</v>
      </c>
      <c r="D1999" s="28" t="s">
        <v>77</v>
      </c>
      <c r="E1999" s="28" t="s">
        <v>77</v>
      </c>
      <c r="F1999" s="28" t="s">
        <v>77</v>
      </c>
      <c r="G1999" s="28" t="s">
        <v>77</v>
      </c>
      <c r="I1999" s="26" t="s">
        <v>77</v>
      </c>
      <c r="J1999" s="26" t="s">
        <v>77</v>
      </c>
      <c r="K1999" s="18"/>
      <c r="L1999" s="26" t="s">
        <v>77</v>
      </c>
      <c r="M1999" s="6" t="s">
        <v>77</v>
      </c>
      <c r="N1999" s="28" t="s">
        <v>77</v>
      </c>
      <c r="O1999" s="26" t="s">
        <v>77</v>
      </c>
    </row>
    <row r="2000">
      <c r="A2000" s="52" t="s">
        <v>77</v>
      </c>
      <c r="B2000" s="28" t="s">
        <v>77</v>
      </c>
      <c r="C2000" s="28" t="s">
        <v>77</v>
      </c>
      <c r="D2000" s="28" t="s">
        <v>77</v>
      </c>
      <c r="E2000" s="28" t="s">
        <v>77</v>
      </c>
      <c r="F2000" s="28" t="s">
        <v>77</v>
      </c>
      <c r="G2000" s="28" t="s">
        <v>77</v>
      </c>
      <c r="I2000" s="26" t="s">
        <v>77</v>
      </c>
      <c r="J2000" s="26" t="s">
        <v>77</v>
      </c>
      <c r="K2000" s="18"/>
      <c r="L2000" s="26" t="s">
        <v>77</v>
      </c>
      <c r="M2000" s="6" t="s">
        <v>77</v>
      </c>
      <c r="N2000" s="28" t="s">
        <v>77</v>
      </c>
      <c r="O2000" s="26" t="s">
        <v>77</v>
      </c>
    </row>
    <row r="2001">
      <c r="A2001" s="52" t="s">
        <v>77</v>
      </c>
      <c r="B2001" s="28" t="s">
        <v>77</v>
      </c>
      <c r="C2001" s="28" t="s">
        <v>77</v>
      </c>
      <c r="D2001" s="28" t="s">
        <v>77</v>
      </c>
      <c r="E2001" s="28" t="s">
        <v>77</v>
      </c>
      <c r="F2001" s="28" t="s">
        <v>77</v>
      </c>
      <c r="G2001" s="28" t="s">
        <v>77</v>
      </c>
      <c r="I2001" s="26" t="s">
        <v>77</v>
      </c>
      <c r="J2001" s="26" t="s">
        <v>77</v>
      </c>
      <c r="K2001" s="18"/>
      <c r="L2001" s="26" t="s">
        <v>77</v>
      </c>
      <c r="M2001" s="6" t="s">
        <v>77</v>
      </c>
      <c r="N2001" s="28" t="s">
        <v>77</v>
      </c>
      <c r="O2001" s="26" t="s">
        <v>77</v>
      </c>
    </row>
    <row r="2002">
      <c r="A2002" s="52" t="s">
        <v>77</v>
      </c>
      <c r="B2002" s="28" t="s">
        <v>77</v>
      </c>
      <c r="C2002" s="28" t="s">
        <v>77</v>
      </c>
      <c r="D2002" s="28" t="s">
        <v>77</v>
      </c>
      <c r="E2002" s="28" t="s">
        <v>77</v>
      </c>
      <c r="F2002" s="28" t="s">
        <v>77</v>
      </c>
      <c r="G2002" s="28" t="s">
        <v>77</v>
      </c>
      <c r="I2002" s="26" t="s">
        <v>77</v>
      </c>
      <c r="J2002" s="26" t="s">
        <v>77</v>
      </c>
      <c r="K2002" s="18"/>
      <c r="L2002" s="26" t="s">
        <v>77</v>
      </c>
      <c r="M2002" s="6" t="s">
        <v>77</v>
      </c>
      <c r="N2002" s="28" t="s">
        <v>77</v>
      </c>
      <c r="O2002" s="26" t="s">
        <v>77</v>
      </c>
    </row>
    <row r="2003">
      <c r="A2003" s="52" t="s">
        <v>77</v>
      </c>
      <c r="B2003" s="28" t="s">
        <v>77</v>
      </c>
      <c r="C2003" s="28" t="s">
        <v>77</v>
      </c>
      <c r="D2003" s="28" t="s">
        <v>77</v>
      </c>
      <c r="E2003" s="28" t="s">
        <v>77</v>
      </c>
      <c r="F2003" s="28" t="s">
        <v>77</v>
      </c>
      <c r="G2003" s="28" t="s">
        <v>77</v>
      </c>
      <c r="I2003" s="26" t="s">
        <v>77</v>
      </c>
      <c r="J2003" s="26" t="s">
        <v>77</v>
      </c>
      <c r="K2003" s="18"/>
      <c r="L2003" s="26" t="s">
        <v>77</v>
      </c>
      <c r="M2003" s="6" t="s">
        <v>77</v>
      </c>
      <c r="N2003" s="28" t="s">
        <v>77</v>
      </c>
      <c r="O2003" s="26" t="s">
        <v>77</v>
      </c>
    </row>
    <row r="2004">
      <c r="A2004" s="52" t="s">
        <v>77</v>
      </c>
      <c r="B2004" s="28" t="s">
        <v>77</v>
      </c>
      <c r="C2004" s="28" t="s">
        <v>77</v>
      </c>
      <c r="D2004" s="28" t="s">
        <v>77</v>
      </c>
      <c r="E2004" s="28" t="s">
        <v>77</v>
      </c>
      <c r="F2004" s="28" t="s">
        <v>77</v>
      </c>
      <c r="G2004" s="28" t="s">
        <v>77</v>
      </c>
      <c r="I2004" s="26" t="s">
        <v>77</v>
      </c>
      <c r="J2004" s="26" t="s">
        <v>77</v>
      </c>
      <c r="K2004" s="18"/>
      <c r="L2004" s="26" t="s">
        <v>77</v>
      </c>
      <c r="M2004" s="6" t="s">
        <v>77</v>
      </c>
      <c r="N2004" s="28" t="s">
        <v>77</v>
      </c>
      <c r="O2004" s="26" t="s">
        <v>77</v>
      </c>
    </row>
    <row r="2005">
      <c r="A2005" s="52" t="s">
        <v>77</v>
      </c>
      <c r="B2005" s="28" t="s">
        <v>77</v>
      </c>
      <c r="C2005" s="28" t="s">
        <v>77</v>
      </c>
      <c r="D2005" s="28" t="s">
        <v>77</v>
      </c>
      <c r="E2005" s="28" t="s">
        <v>77</v>
      </c>
      <c r="F2005" s="28" t="s">
        <v>77</v>
      </c>
      <c r="G2005" s="28" t="s">
        <v>77</v>
      </c>
      <c r="I2005" s="26" t="s">
        <v>77</v>
      </c>
      <c r="J2005" s="26" t="s">
        <v>77</v>
      </c>
      <c r="K2005" s="18"/>
      <c r="L2005" s="26" t="s">
        <v>77</v>
      </c>
      <c r="M2005" s="6" t="s">
        <v>77</v>
      </c>
      <c r="N2005" s="28" t="s">
        <v>77</v>
      </c>
      <c r="O2005" s="26" t="s">
        <v>77</v>
      </c>
    </row>
    <row r="2006">
      <c r="A2006" s="52" t="s">
        <v>77</v>
      </c>
      <c r="B2006" s="28" t="s">
        <v>77</v>
      </c>
      <c r="C2006" s="28" t="s">
        <v>77</v>
      </c>
      <c r="D2006" s="28" t="s">
        <v>77</v>
      </c>
      <c r="E2006" s="28" t="s">
        <v>77</v>
      </c>
      <c r="F2006" s="28" t="s">
        <v>77</v>
      </c>
      <c r="G2006" s="28" t="s">
        <v>77</v>
      </c>
      <c r="I2006" s="26" t="s">
        <v>77</v>
      </c>
      <c r="J2006" s="26" t="s">
        <v>77</v>
      </c>
      <c r="K2006" s="18"/>
      <c r="L2006" s="26" t="s">
        <v>77</v>
      </c>
      <c r="M2006" s="6" t="s">
        <v>77</v>
      </c>
      <c r="N2006" s="28" t="s">
        <v>77</v>
      </c>
      <c r="O2006" s="26" t="s">
        <v>77</v>
      </c>
    </row>
    <row r="2007">
      <c r="A2007" s="52" t="s">
        <v>77</v>
      </c>
      <c r="B2007" s="28" t="s">
        <v>77</v>
      </c>
      <c r="C2007" s="28" t="s">
        <v>77</v>
      </c>
      <c r="D2007" s="28" t="s">
        <v>77</v>
      </c>
      <c r="E2007" s="28" t="s">
        <v>77</v>
      </c>
      <c r="F2007" s="28" t="s">
        <v>77</v>
      </c>
      <c r="G2007" s="28" t="s">
        <v>77</v>
      </c>
      <c r="I2007" s="26" t="s">
        <v>77</v>
      </c>
      <c r="J2007" s="26" t="s">
        <v>77</v>
      </c>
      <c r="K2007" s="18"/>
      <c r="L2007" s="26" t="s">
        <v>77</v>
      </c>
      <c r="M2007" s="6" t="s">
        <v>77</v>
      </c>
      <c r="N2007" s="28" t="s">
        <v>77</v>
      </c>
      <c r="O2007" s="26" t="s">
        <v>77</v>
      </c>
    </row>
    <row r="2008">
      <c r="A2008" s="52" t="s">
        <v>77</v>
      </c>
      <c r="B2008" s="28" t="s">
        <v>77</v>
      </c>
      <c r="C2008" s="28" t="s">
        <v>77</v>
      </c>
      <c r="D2008" s="28" t="s">
        <v>77</v>
      </c>
      <c r="E2008" s="28" t="s">
        <v>77</v>
      </c>
      <c r="F2008" s="28" t="s">
        <v>77</v>
      </c>
      <c r="G2008" s="28" t="s">
        <v>77</v>
      </c>
      <c r="I2008" s="26" t="s">
        <v>77</v>
      </c>
      <c r="J2008" s="26" t="s">
        <v>77</v>
      </c>
      <c r="K2008" s="18"/>
      <c r="L2008" s="26" t="s">
        <v>77</v>
      </c>
      <c r="M2008" s="6" t="s">
        <v>77</v>
      </c>
      <c r="N2008" s="28" t="s">
        <v>77</v>
      </c>
      <c r="O2008" s="26" t="s">
        <v>77</v>
      </c>
    </row>
    <row r="2009">
      <c r="A2009" s="52" t="s">
        <v>77</v>
      </c>
      <c r="B2009" s="28" t="s">
        <v>77</v>
      </c>
      <c r="C2009" s="28" t="s">
        <v>77</v>
      </c>
      <c r="D2009" s="28" t="s">
        <v>77</v>
      </c>
      <c r="E2009" s="28" t="s">
        <v>77</v>
      </c>
      <c r="F2009" s="28" t="s">
        <v>77</v>
      </c>
      <c r="G2009" s="28" t="s">
        <v>77</v>
      </c>
      <c r="I2009" s="26" t="s">
        <v>77</v>
      </c>
      <c r="J2009" s="26" t="s">
        <v>77</v>
      </c>
      <c r="K2009" s="18"/>
      <c r="L2009" s="26" t="s">
        <v>77</v>
      </c>
      <c r="M2009" s="6" t="s">
        <v>77</v>
      </c>
      <c r="N2009" s="28" t="s">
        <v>77</v>
      </c>
      <c r="O2009" s="26" t="s">
        <v>77</v>
      </c>
    </row>
    <row r="2010">
      <c r="A2010" s="52" t="s">
        <v>77</v>
      </c>
      <c r="B2010" s="28" t="s">
        <v>77</v>
      </c>
      <c r="C2010" s="28" t="s">
        <v>77</v>
      </c>
      <c r="D2010" s="28" t="s">
        <v>77</v>
      </c>
      <c r="E2010" s="28" t="s">
        <v>77</v>
      </c>
      <c r="F2010" s="28" t="s">
        <v>77</v>
      </c>
      <c r="G2010" s="28" t="s">
        <v>77</v>
      </c>
      <c r="I2010" s="26" t="s">
        <v>77</v>
      </c>
      <c r="J2010" s="26" t="s">
        <v>77</v>
      </c>
      <c r="K2010" s="18"/>
      <c r="L2010" s="26" t="s">
        <v>77</v>
      </c>
      <c r="M2010" s="6" t="s">
        <v>77</v>
      </c>
      <c r="N2010" s="28" t="s">
        <v>77</v>
      </c>
      <c r="O2010" s="26" t="s">
        <v>77</v>
      </c>
    </row>
    <row r="2011">
      <c r="A2011" s="52" t="s">
        <v>77</v>
      </c>
      <c r="B2011" s="28" t="s">
        <v>77</v>
      </c>
      <c r="C2011" s="28" t="s">
        <v>77</v>
      </c>
      <c r="D2011" s="28" t="s">
        <v>77</v>
      </c>
      <c r="E2011" s="28" t="s">
        <v>77</v>
      </c>
      <c r="F2011" s="28" t="s">
        <v>77</v>
      </c>
      <c r="G2011" s="28" t="s">
        <v>77</v>
      </c>
      <c r="I2011" s="26" t="s">
        <v>77</v>
      </c>
      <c r="J2011" s="26" t="s">
        <v>77</v>
      </c>
      <c r="K2011" s="18"/>
      <c r="L2011" s="26" t="s">
        <v>77</v>
      </c>
      <c r="M2011" s="6" t="s">
        <v>77</v>
      </c>
      <c r="N2011" s="28" t="s">
        <v>77</v>
      </c>
      <c r="O2011" s="26" t="s">
        <v>77</v>
      </c>
    </row>
    <row r="2012">
      <c r="A2012" s="52" t="s">
        <v>77</v>
      </c>
      <c r="B2012" s="28" t="s">
        <v>77</v>
      </c>
      <c r="C2012" s="28" t="s">
        <v>77</v>
      </c>
      <c r="D2012" s="28" t="s">
        <v>77</v>
      </c>
      <c r="E2012" s="28" t="s">
        <v>77</v>
      </c>
      <c r="F2012" s="28" t="s">
        <v>77</v>
      </c>
      <c r="G2012" s="28" t="s">
        <v>77</v>
      </c>
      <c r="I2012" s="26" t="s">
        <v>77</v>
      </c>
      <c r="J2012" s="26" t="s">
        <v>77</v>
      </c>
      <c r="K2012" s="18"/>
      <c r="L2012" s="26" t="s">
        <v>77</v>
      </c>
      <c r="M2012" s="6" t="s">
        <v>77</v>
      </c>
      <c r="N2012" s="28" t="s">
        <v>77</v>
      </c>
      <c r="O2012" s="26" t="s">
        <v>77</v>
      </c>
    </row>
    <row r="2013">
      <c r="A2013" s="52" t="s">
        <v>77</v>
      </c>
      <c r="B2013" s="28" t="s">
        <v>77</v>
      </c>
      <c r="C2013" s="28" t="s">
        <v>77</v>
      </c>
      <c r="D2013" s="28" t="s">
        <v>77</v>
      </c>
      <c r="E2013" s="28" t="s">
        <v>77</v>
      </c>
      <c r="F2013" s="28" t="s">
        <v>77</v>
      </c>
      <c r="G2013" s="28" t="s">
        <v>77</v>
      </c>
      <c r="I2013" s="26" t="s">
        <v>77</v>
      </c>
      <c r="J2013" s="26" t="s">
        <v>77</v>
      </c>
      <c r="K2013" s="18"/>
      <c r="L2013" s="26" t="s">
        <v>77</v>
      </c>
      <c r="M2013" s="6" t="s">
        <v>77</v>
      </c>
      <c r="N2013" s="28" t="s">
        <v>77</v>
      </c>
      <c r="O2013" s="26" t="s">
        <v>77</v>
      </c>
    </row>
    <row r="2014">
      <c r="A2014" s="52" t="s">
        <v>77</v>
      </c>
      <c r="B2014" s="28" t="s">
        <v>77</v>
      </c>
      <c r="C2014" s="28" t="s">
        <v>77</v>
      </c>
      <c r="D2014" s="28" t="s">
        <v>77</v>
      </c>
      <c r="E2014" s="28" t="s">
        <v>77</v>
      </c>
      <c r="F2014" s="28" t="s">
        <v>77</v>
      </c>
      <c r="G2014" s="28" t="s">
        <v>77</v>
      </c>
      <c r="I2014" s="26" t="s">
        <v>77</v>
      </c>
      <c r="J2014" s="26" t="s">
        <v>77</v>
      </c>
      <c r="K2014" s="18"/>
      <c r="L2014" s="26" t="s">
        <v>77</v>
      </c>
      <c r="M2014" s="6" t="s">
        <v>77</v>
      </c>
      <c r="N2014" s="28" t="s">
        <v>77</v>
      </c>
      <c r="O2014" s="26" t="s">
        <v>77</v>
      </c>
    </row>
    <row r="2015">
      <c r="A2015" s="52" t="s">
        <v>77</v>
      </c>
      <c r="B2015" s="28" t="s">
        <v>77</v>
      </c>
      <c r="C2015" s="28" t="s">
        <v>77</v>
      </c>
      <c r="D2015" s="28" t="s">
        <v>77</v>
      </c>
      <c r="E2015" s="28" t="s">
        <v>77</v>
      </c>
      <c r="F2015" s="28" t="s">
        <v>77</v>
      </c>
      <c r="G2015" s="28" t="s">
        <v>77</v>
      </c>
      <c r="I2015" s="26" t="s">
        <v>77</v>
      </c>
      <c r="J2015" s="26" t="s">
        <v>77</v>
      </c>
      <c r="K2015" s="18"/>
      <c r="L2015" s="26" t="s">
        <v>77</v>
      </c>
      <c r="M2015" s="6" t="s">
        <v>77</v>
      </c>
      <c r="N2015" s="28" t="s">
        <v>77</v>
      </c>
      <c r="O2015" s="26" t="s">
        <v>77</v>
      </c>
    </row>
    <row r="2016">
      <c r="A2016" s="52" t="s">
        <v>77</v>
      </c>
      <c r="B2016" s="28" t="s">
        <v>77</v>
      </c>
      <c r="C2016" s="28" t="s">
        <v>77</v>
      </c>
      <c r="D2016" s="28" t="s">
        <v>77</v>
      </c>
      <c r="E2016" s="28" t="s">
        <v>77</v>
      </c>
      <c r="F2016" s="28" t="s">
        <v>77</v>
      </c>
      <c r="G2016" s="28" t="s">
        <v>77</v>
      </c>
      <c r="I2016" s="26" t="s">
        <v>77</v>
      </c>
      <c r="J2016" s="26" t="s">
        <v>77</v>
      </c>
      <c r="K2016" s="18"/>
      <c r="L2016" s="26" t="s">
        <v>77</v>
      </c>
      <c r="M2016" s="6" t="s">
        <v>77</v>
      </c>
      <c r="N2016" s="28" t="s">
        <v>77</v>
      </c>
      <c r="O2016" s="26" t="s">
        <v>77</v>
      </c>
    </row>
    <row r="2017">
      <c r="A2017" s="52" t="s">
        <v>77</v>
      </c>
      <c r="B2017" s="28" t="s">
        <v>77</v>
      </c>
      <c r="C2017" s="28" t="s">
        <v>77</v>
      </c>
      <c r="D2017" s="28" t="s">
        <v>77</v>
      </c>
      <c r="E2017" s="28" t="s">
        <v>77</v>
      </c>
      <c r="F2017" s="28" t="s">
        <v>77</v>
      </c>
      <c r="G2017" s="28" t="s">
        <v>77</v>
      </c>
      <c r="I2017" s="26" t="s">
        <v>77</v>
      </c>
      <c r="J2017" s="26" t="s">
        <v>77</v>
      </c>
      <c r="K2017" s="18"/>
      <c r="L2017" s="26" t="s">
        <v>77</v>
      </c>
      <c r="M2017" s="6" t="s">
        <v>77</v>
      </c>
      <c r="N2017" s="28" t="s">
        <v>77</v>
      </c>
      <c r="O2017" s="26" t="s">
        <v>77</v>
      </c>
    </row>
    <row r="2018">
      <c r="A2018" s="52" t="s">
        <v>77</v>
      </c>
      <c r="B2018" s="28" t="s">
        <v>77</v>
      </c>
      <c r="C2018" s="28" t="s">
        <v>77</v>
      </c>
      <c r="D2018" s="28" t="s">
        <v>77</v>
      </c>
      <c r="E2018" s="28" t="s">
        <v>77</v>
      </c>
      <c r="F2018" s="28" t="s">
        <v>77</v>
      </c>
      <c r="G2018" s="28" t="s">
        <v>77</v>
      </c>
      <c r="I2018" s="26" t="s">
        <v>77</v>
      </c>
      <c r="J2018" s="26" t="s">
        <v>77</v>
      </c>
      <c r="K2018" s="18"/>
      <c r="L2018" s="26" t="s">
        <v>77</v>
      </c>
      <c r="M2018" s="6" t="s">
        <v>77</v>
      </c>
      <c r="N2018" s="28" t="s">
        <v>77</v>
      </c>
      <c r="O2018" s="26" t="s">
        <v>77</v>
      </c>
    </row>
    <row r="2019">
      <c r="A2019" s="52" t="s">
        <v>77</v>
      </c>
      <c r="B2019" s="28" t="s">
        <v>77</v>
      </c>
      <c r="C2019" s="28" t="s">
        <v>77</v>
      </c>
      <c r="D2019" s="28" t="s">
        <v>77</v>
      </c>
      <c r="E2019" s="28" t="s">
        <v>77</v>
      </c>
      <c r="F2019" s="28" t="s">
        <v>77</v>
      </c>
      <c r="G2019" s="28" t="s">
        <v>77</v>
      </c>
      <c r="I2019" s="26" t="s">
        <v>77</v>
      </c>
      <c r="J2019" s="26" t="s">
        <v>77</v>
      </c>
      <c r="K2019" s="18"/>
      <c r="L2019" s="26" t="s">
        <v>77</v>
      </c>
      <c r="M2019" s="6" t="s">
        <v>77</v>
      </c>
      <c r="N2019" s="28" t="s">
        <v>77</v>
      </c>
      <c r="O2019" s="26" t="s">
        <v>77</v>
      </c>
    </row>
    <row r="2020">
      <c r="A2020" s="52" t="s">
        <v>77</v>
      </c>
      <c r="B2020" s="28" t="s">
        <v>77</v>
      </c>
      <c r="C2020" s="28" t="s">
        <v>77</v>
      </c>
      <c r="D2020" s="28" t="s">
        <v>77</v>
      </c>
      <c r="E2020" s="28" t="s">
        <v>77</v>
      </c>
      <c r="F2020" s="28" t="s">
        <v>77</v>
      </c>
      <c r="G2020" s="28" t="s">
        <v>77</v>
      </c>
      <c r="I2020" s="26" t="s">
        <v>77</v>
      </c>
      <c r="J2020" s="26" t="s">
        <v>77</v>
      </c>
      <c r="K2020" s="18"/>
      <c r="L2020" s="26" t="s">
        <v>77</v>
      </c>
      <c r="M2020" s="6" t="s">
        <v>77</v>
      </c>
      <c r="N2020" s="28" t="s">
        <v>77</v>
      </c>
      <c r="O2020" s="26" t="s">
        <v>77</v>
      </c>
    </row>
    <row r="2021">
      <c r="A2021" s="52" t="s">
        <v>77</v>
      </c>
      <c r="B2021" s="28" t="s">
        <v>77</v>
      </c>
      <c r="C2021" s="28" t="s">
        <v>77</v>
      </c>
      <c r="D2021" s="28" t="s">
        <v>77</v>
      </c>
      <c r="E2021" s="28" t="s">
        <v>77</v>
      </c>
      <c r="F2021" s="28" t="s">
        <v>77</v>
      </c>
      <c r="G2021" s="28" t="s">
        <v>77</v>
      </c>
      <c r="I2021" s="26" t="s">
        <v>77</v>
      </c>
      <c r="J2021" s="26" t="s">
        <v>77</v>
      </c>
      <c r="K2021" s="18"/>
      <c r="L2021" s="26" t="s">
        <v>77</v>
      </c>
      <c r="M2021" s="6" t="s">
        <v>77</v>
      </c>
      <c r="N2021" s="28" t="s">
        <v>77</v>
      </c>
      <c r="O2021" s="26" t="s">
        <v>77</v>
      </c>
    </row>
    <row r="2022">
      <c r="A2022" s="52" t="s">
        <v>77</v>
      </c>
      <c r="B2022" s="28" t="s">
        <v>77</v>
      </c>
      <c r="C2022" s="28" t="s">
        <v>77</v>
      </c>
      <c r="D2022" s="28" t="s">
        <v>77</v>
      </c>
      <c r="E2022" s="28" t="s">
        <v>77</v>
      </c>
      <c r="F2022" s="28" t="s">
        <v>77</v>
      </c>
      <c r="G2022" s="28" t="s">
        <v>77</v>
      </c>
      <c r="I2022" s="26" t="s">
        <v>77</v>
      </c>
      <c r="J2022" s="26" t="s">
        <v>77</v>
      </c>
      <c r="K2022" s="18"/>
      <c r="L2022" s="26" t="s">
        <v>77</v>
      </c>
      <c r="M2022" s="6" t="s">
        <v>77</v>
      </c>
      <c r="N2022" s="28" t="s">
        <v>77</v>
      </c>
      <c r="O2022" s="26" t="s">
        <v>77</v>
      </c>
    </row>
    <row r="2023">
      <c r="A2023" s="52" t="s">
        <v>77</v>
      </c>
      <c r="B2023" s="28" t="s">
        <v>77</v>
      </c>
      <c r="C2023" s="28" t="s">
        <v>77</v>
      </c>
      <c r="D2023" s="28" t="s">
        <v>77</v>
      </c>
      <c r="E2023" s="28" t="s">
        <v>77</v>
      </c>
      <c r="F2023" s="28" t="s">
        <v>77</v>
      </c>
      <c r="G2023" s="28" t="s">
        <v>77</v>
      </c>
      <c r="I2023" s="26" t="s">
        <v>77</v>
      </c>
      <c r="J2023" s="26" t="s">
        <v>77</v>
      </c>
      <c r="K2023" s="18"/>
      <c r="L2023" s="26" t="s">
        <v>77</v>
      </c>
      <c r="M2023" s="6" t="s">
        <v>77</v>
      </c>
      <c r="N2023" s="28" t="s">
        <v>77</v>
      </c>
      <c r="O2023" s="26" t="s">
        <v>77</v>
      </c>
    </row>
    <row r="2024">
      <c r="A2024" s="52" t="s">
        <v>77</v>
      </c>
      <c r="B2024" s="28" t="s">
        <v>77</v>
      </c>
      <c r="C2024" s="28" t="s">
        <v>77</v>
      </c>
      <c r="D2024" s="28" t="s">
        <v>77</v>
      </c>
      <c r="E2024" s="28" t="s">
        <v>77</v>
      </c>
      <c r="F2024" s="28" t="s">
        <v>77</v>
      </c>
      <c r="G2024" s="28" t="s">
        <v>77</v>
      </c>
      <c r="I2024" s="26" t="s">
        <v>77</v>
      </c>
      <c r="J2024" s="26" t="s">
        <v>77</v>
      </c>
      <c r="K2024" s="18"/>
      <c r="L2024" s="26" t="s">
        <v>77</v>
      </c>
      <c r="M2024" s="6" t="s">
        <v>77</v>
      </c>
      <c r="N2024" s="28" t="s">
        <v>77</v>
      </c>
      <c r="O2024" s="26" t="s">
        <v>77</v>
      </c>
    </row>
    <row r="2025">
      <c r="A2025" s="52" t="s">
        <v>77</v>
      </c>
      <c r="B2025" s="28" t="s">
        <v>77</v>
      </c>
      <c r="C2025" s="28" t="s">
        <v>77</v>
      </c>
      <c r="D2025" s="28" t="s">
        <v>77</v>
      </c>
      <c r="E2025" s="28" t="s">
        <v>77</v>
      </c>
      <c r="F2025" s="28" t="s">
        <v>77</v>
      </c>
      <c r="G2025" s="28" t="s">
        <v>77</v>
      </c>
      <c r="I2025" s="26" t="s">
        <v>77</v>
      </c>
      <c r="J2025" s="26" t="s">
        <v>77</v>
      </c>
      <c r="K2025" s="18"/>
      <c r="L2025" s="26" t="s">
        <v>77</v>
      </c>
      <c r="M2025" s="6" t="s">
        <v>77</v>
      </c>
      <c r="N2025" s="28" t="s">
        <v>77</v>
      </c>
      <c r="O2025" s="26" t="s">
        <v>77</v>
      </c>
    </row>
    <row r="2026">
      <c r="A2026" s="52" t="s">
        <v>77</v>
      </c>
      <c r="B2026" s="28" t="s">
        <v>77</v>
      </c>
      <c r="C2026" s="28" t="s">
        <v>77</v>
      </c>
      <c r="D2026" s="28" t="s">
        <v>77</v>
      </c>
      <c r="E2026" s="28" t="s">
        <v>77</v>
      </c>
      <c r="F2026" s="28" t="s">
        <v>77</v>
      </c>
      <c r="G2026" s="28" t="s">
        <v>77</v>
      </c>
      <c r="I2026" s="26" t="s">
        <v>77</v>
      </c>
      <c r="J2026" s="26" t="s">
        <v>77</v>
      </c>
      <c r="K2026" s="18"/>
      <c r="L2026" s="26" t="s">
        <v>77</v>
      </c>
      <c r="M2026" s="6" t="s">
        <v>77</v>
      </c>
      <c r="N2026" s="28" t="s">
        <v>77</v>
      </c>
      <c r="O2026" s="26" t="s">
        <v>77</v>
      </c>
    </row>
    <row r="2027">
      <c r="A2027" s="52" t="s">
        <v>77</v>
      </c>
      <c r="B2027" s="28" t="s">
        <v>77</v>
      </c>
      <c r="C2027" s="28" t="s">
        <v>77</v>
      </c>
      <c r="D2027" s="28" t="s">
        <v>77</v>
      </c>
      <c r="E2027" s="28" t="s">
        <v>77</v>
      </c>
      <c r="F2027" s="28" t="s">
        <v>77</v>
      </c>
      <c r="G2027" s="28" t="s">
        <v>77</v>
      </c>
      <c r="I2027" s="26" t="s">
        <v>77</v>
      </c>
      <c r="J2027" s="26" t="s">
        <v>77</v>
      </c>
      <c r="K2027" s="18"/>
      <c r="L2027" s="26" t="s">
        <v>77</v>
      </c>
      <c r="M2027" s="6" t="s">
        <v>77</v>
      </c>
      <c r="N2027" s="28" t="s">
        <v>77</v>
      </c>
      <c r="O2027" s="26" t="s">
        <v>77</v>
      </c>
    </row>
    <row r="2028">
      <c r="A2028" s="52" t="s">
        <v>77</v>
      </c>
      <c r="B2028" s="28" t="s">
        <v>77</v>
      </c>
      <c r="C2028" s="28" t="s">
        <v>77</v>
      </c>
      <c r="D2028" s="28" t="s">
        <v>77</v>
      </c>
      <c r="E2028" s="28" t="s">
        <v>77</v>
      </c>
      <c r="F2028" s="28" t="s">
        <v>77</v>
      </c>
      <c r="G2028" s="28" t="s">
        <v>77</v>
      </c>
      <c r="I2028" s="26" t="s">
        <v>77</v>
      </c>
      <c r="J2028" s="26" t="s">
        <v>77</v>
      </c>
      <c r="K2028" s="18"/>
      <c r="L2028" s="26" t="s">
        <v>77</v>
      </c>
      <c r="M2028" s="6" t="s">
        <v>77</v>
      </c>
      <c r="N2028" s="28" t="s">
        <v>77</v>
      </c>
      <c r="O2028" s="26" t="s">
        <v>77</v>
      </c>
    </row>
    <row r="2029">
      <c r="A2029" s="52" t="s">
        <v>77</v>
      </c>
      <c r="B2029" s="28" t="s">
        <v>77</v>
      </c>
      <c r="C2029" s="28" t="s">
        <v>77</v>
      </c>
      <c r="D2029" s="28" t="s">
        <v>77</v>
      </c>
      <c r="E2029" s="28" t="s">
        <v>77</v>
      </c>
      <c r="F2029" s="28" t="s">
        <v>77</v>
      </c>
      <c r="G2029" s="28" t="s">
        <v>77</v>
      </c>
      <c r="I2029" s="26" t="s">
        <v>77</v>
      </c>
      <c r="J2029" s="26" t="s">
        <v>77</v>
      </c>
      <c r="K2029" s="18"/>
      <c r="L2029" s="26" t="s">
        <v>77</v>
      </c>
      <c r="M2029" s="6" t="s">
        <v>77</v>
      </c>
      <c r="N2029" s="28" t="s">
        <v>77</v>
      </c>
      <c r="O2029" s="26" t="s">
        <v>77</v>
      </c>
    </row>
    <row r="2030">
      <c r="A2030" s="52" t="s">
        <v>77</v>
      </c>
      <c r="B2030" s="28" t="s">
        <v>77</v>
      </c>
      <c r="C2030" s="28" t="s">
        <v>77</v>
      </c>
      <c r="D2030" s="28" t="s">
        <v>77</v>
      </c>
      <c r="E2030" s="28" t="s">
        <v>77</v>
      </c>
      <c r="F2030" s="28" t="s">
        <v>77</v>
      </c>
      <c r="G2030" s="28" t="s">
        <v>77</v>
      </c>
      <c r="I2030" s="26" t="s">
        <v>77</v>
      </c>
      <c r="J2030" s="26" t="s">
        <v>77</v>
      </c>
      <c r="K2030" s="18"/>
      <c r="L2030" s="26" t="s">
        <v>77</v>
      </c>
      <c r="M2030" s="6" t="s">
        <v>77</v>
      </c>
      <c r="N2030" s="28" t="s">
        <v>77</v>
      </c>
      <c r="O2030" s="26" t="s">
        <v>77</v>
      </c>
    </row>
    <row r="2031">
      <c r="A2031" s="52" t="s">
        <v>77</v>
      </c>
      <c r="B2031" s="28" t="s">
        <v>77</v>
      </c>
      <c r="C2031" s="28" t="s">
        <v>77</v>
      </c>
      <c r="D2031" s="28" t="s">
        <v>77</v>
      </c>
      <c r="E2031" s="28" t="s">
        <v>77</v>
      </c>
      <c r="F2031" s="28" t="s">
        <v>77</v>
      </c>
      <c r="G2031" s="28" t="s">
        <v>77</v>
      </c>
      <c r="I2031" s="26" t="s">
        <v>77</v>
      </c>
      <c r="J2031" s="26" t="s">
        <v>77</v>
      </c>
      <c r="K2031" s="18"/>
      <c r="L2031" s="26" t="s">
        <v>77</v>
      </c>
      <c r="M2031" s="6" t="s">
        <v>77</v>
      </c>
      <c r="N2031" s="28" t="s">
        <v>77</v>
      </c>
      <c r="O2031" s="26" t="s">
        <v>77</v>
      </c>
    </row>
    <row r="2032">
      <c r="A2032" s="52" t="s">
        <v>77</v>
      </c>
      <c r="B2032" s="28" t="s">
        <v>77</v>
      </c>
      <c r="C2032" s="28" t="s">
        <v>77</v>
      </c>
      <c r="D2032" s="28" t="s">
        <v>77</v>
      </c>
      <c r="E2032" s="28" t="s">
        <v>77</v>
      </c>
      <c r="F2032" s="28" t="s">
        <v>77</v>
      </c>
      <c r="G2032" s="28" t="s">
        <v>77</v>
      </c>
      <c r="I2032" s="26" t="s">
        <v>77</v>
      </c>
      <c r="J2032" s="26" t="s">
        <v>77</v>
      </c>
      <c r="K2032" s="18"/>
      <c r="L2032" s="26" t="s">
        <v>77</v>
      </c>
      <c r="M2032" s="6" t="s">
        <v>77</v>
      </c>
      <c r="N2032" s="28" t="s">
        <v>77</v>
      </c>
      <c r="O2032" s="26" t="s">
        <v>77</v>
      </c>
    </row>
    <row r="2033">
      <c r="A2033" s="52" t="s">
        <v>77</v>
      </c>
      <c r="B2033" s="28" t="s">
        <v>77</v>
      </c>
      <c r="C2033" s="28" t="s">
        <v>77</v>
      </c>
      <c r="D2033" s="28" t="s">
        <v>77</v>
      </c>
      <c r="E2033" s="28" t="s">
        <v>77</v>
      </c>
      <c r="F2033" s="28" t="s">
        <v>77</v>
      </c>
      <c r="G2033" s="28" t="s">
        <v>77</v>
      </c>
      <c r="I2033" s="26" t="s">
        <v>77</v>
      </c>
      <c r="J2033" s="26" t="s">
        <v>77</v>
      </c>
      <c r="K2033" s="18"/>
      <c r="L2033" s="26" t="s">
        <v>77</v>
      </c>
      <c r="M2033" s="6" t="s">
        <v>77</v>
      </c>
      <c r="N2033" s="28" t="s">
        <v>77</v>
      </c>
      <c r="O2033" s="26" t="s">
        <v>77</v>
      </c>
    </row>
    <row r="2034">
      <c r="A2034" s="52" t="s">
        <v>77</v>
      </c>
      <c r="B2034" s="28" t="s">
        <v>77</v>
      </c>
      <c r="C2034" s="28" t="s">
        <v>77</v>
      </c>
      <c r="D2034" s="28" t="s">
        <v>77</v>
      </c>
      <c r="E2034" s="28" t="s">
        <v>77</v>
      </c>
      <c r="F2034" s="28" t="s">
        <v>77</v>
      </c>
      <c r="G2034" s="28" t="s">
        <v>77</v>
      </c>
      <c r="I2034" s="26" t="s">
        <v>77</v>
      </c>
      <c r="J2034" s="26" t="s">
        <v>77</v>
      </c>
      <c r="K2034" s="18"/>
      <c r="L2034" s="26" t="s">
        <v>77</v>
      </c>
      <c r="M2034" s="6" t="s">
        <v>77</v>
      </c>
      <c r="N2034" s="28" t="s">
        <v>77</v>
      </c>
      <c r="O2034" s="26" t="s">
        <v>77</v>
      </c>
    </row>
    <row r="2035">
      <c r="A2035" s="52" t="s">
        <v>77</v>
      </c>
      <c r="B2035" s="28" t="s">
        <v>77</v>
      </c>
      <c r="C2035" s="28" t="s">
        <v>77</v>
      </c>
      <c r="D2035" s="28" t="s">
        <v>77</v>
      </c>
      <c r="E2035" s="28" t="s">
        <v>77</v>
      </c>
      <c r="F2035" s="28" t="s">
        <v>77</v>
      </c>
      <c r="G2035" s="28" t="s">
        <v>77</v>
      </c>
      <c r="I2035" s="26" t="s">
        <v>77</v>
      </c>
      <c r="J2035" s="26" t="s">
        <v>77</v>
      </c>
      <c r="K2035" s="18"/>
      <c r="L2035" s="26" t="s">
        <v>77</v>
      </c>
      <c r="M2035" s="6" t="s">
        <v>77</v>
      </c>
      <c r="N2035" s="28" t="s">
        <v>77</v>
      </c>
      <c r="O2035" s="26" t="s">
        <v>77</v>
      </c>
    </row>
    <row r="2036">
      <c r="A2036" s="52" t="s">
        <v>77</v>
      </c>
      <c r="B2036" s="28" t="s">
        <v>77</v>
      </c>
      <c r="C2036" s="28" t="s">
        <v>77</v>
      </c>
      <c r="D2036" s="28" t="s">
        <v>77</v>
      </c>
      <c r="E2036" s="28" t="s">
        <v>77</v>
      </c>
      <c r="F2036" s="28" t="s">
        <v>77</v>
      </c>
      <c r="G2036" s="28" t="s">
        <v>77</v>
      </c>
      <c r="I2036" s="26" t="s">
        <v>77</v>
      </c>
      <c r="J2036" s="26" t="s">
        <v>77</v>
      </c>
      <c r="K2036" s="18"/>
      <c r="L2036" s="26" t="s">
        <v>77</v>
      </c>
      <c r="M2036" s="6" t="s">
        <v>77</v>
      </c>
      <c r="N2036" s="28" t="s">
        <v>77</v>
      </c>
      <c r="O2036" s="26" t="s">
        <v>77</v>
      </c>
    </row>
    <row r="2037">
      <c r="A2037" s="52" t="s">
        <v>77</v>
      </c>
      <c r="B2037" s="28" t="s">
        <v>77</v>
      </c>
      <c r="C2037" s="28" t="s">
        <v>77</v>
      </c>
      <c r="D2037" s="28" t="s">
        <v>77</v>
      </c>
      <c r="E2037" s="28" t="s">
        <v>77</v>
      </c>
      <c r="F2037" s="28" t="s">
        <v>77</v>
      </c>
      <c r="G2037" s="28" t="s">
        <v>77</v>
      </c>
      <c r="I2037" s="26" t="s">
        <v>77</v>
      </c>
      <c r="J2037" s="26" t="s">
        <v>77</v>
      </c>
      <c r="K2037" s="18"/>
      <c r="L2037" s="26" t="s">
        <v>77</v>
      </c>
      <c r="M2037" s="6" t="s">
        <v>77</v>
      </c>
      <c r="N2037" s="28" t="s">
        <v>77</v>
      </c>
      <c r="O2037" s="26" t="s">
        <v>77</v>
      </c>
    </row>
    <row r="2038">
      <c r="A2038" s="52" t="s">
        <v>77</v>
      </c>
      <c r="B2038" s="28" t="s">
        <v>77</v>
      </c>
      <c r="C2038" s="28" t="s">
        <v>77</v>
      </c>
      <c r="D2038" s="28" t="s">
        <v>77</v>
      </c>
      <c r="E2038" s="28" t="s">
        <v>77</v>
      </c>
      <c r="F2038" s="28" t="s">
        <v>77</v>
      </c>
      <c r="G2038" s="28" t="s">
        <v>77</v>
      </c>
      <c r="I2038" s="26" t="s">
        <v>77</v>
      </c>
      <c r="J2038" s="26" t="s">
        <v>77</v>
      </c>
      <c r="K2038" s="18"/>
      <c r="L2038" s="26" t="s">
        <v>77</v>
      </c>
      <c r="M2038" s="6" t="s">
        <v>77</v>
      </c>
      <c r="N2038" s="28" t="s">
        <v>77</v>
      </c>
      <c r="O2038" s="26" t="s">
        <v>77</v>
      </c>
    </row>
    <row r="2039">
      <c r="A2039" s="52" t="s">
        <v>77</v>
      </c>
      <c r="B2039" s="28" t="s">
        <v>77</v>
      </c>
      <c r="C2039" s="28" t="s">
        <v>77</v>
      </c>
      <c r="D2039" s="28" t="s">
        <v>77</v>
      </c>
      <c r="E2039" s="28" t="s">
        <v>77</v>
      </c>
      <c r="F2039" s="28" t="s">
        <v>77</v>
      </c>
      <c r="G2039" s="28" t="s">
        <v>77</v>
      </c>
      <c r="I2039" s="26" t="s">
        <v>77</v>
      </c>
      <c r="J2039" s="26" t="s">
        <v>77</v>
      </c>
      <c r="K2039" s="18"/>
      <c r="L2039" s="26" t="s">
        <v>77</v>
      </c>
      <c r="M2039" s="6" t="s">
        <v>77</v>
      </c>
      <c r="N2039" s="28" t="s">
        <v>77</v>
      </c>
      <c r="O2039" s="26" t="s">
        <v>77</v>
      </c>
    </row>
    <row r="2040">
      <c r="A2040" s="52" t="s">
        <v>77</v>
      </c>
      <c r="B2040" s="28" t="s">
        <v>77</v>
      </c>
      <c r="C2040" s="28" t="s">
        <v>77</v>
      </c>
      <c r="D2040" s="28" t="s">
        <v>77</v>
      </c>
      <c r="E2040" s="28" t="s">
        <v>77</v>
      </c>
      <c r="F2040" s="28" t="s">
        <v>77</v>
      </c>
      <c r="G2040" s="28" t="s">
        <v>77</v>
      </c>
      <c r="I2040" s="26" t="s">
        <v>77</v>
      </c>
      <c r="J2040" s="26" t="s">
        <v>77</v>
      </c>
      <c r="K2040" s="18"/>
      <c r="L2040" s="26" t="s">
        <v>77</v>
      </c>
      <c r="M2040" s="6" t="s">
        <v>77</v>
      </c>
      <c r="N2040" s="28" t="s">
        <v>77</v>
      </c>
      <c r="O2040" s="26" t="s">
        <v>77</v>
      </c>
    </row>
    <row r="2041">
      <c r="A2041" s="52" t="s">
        <v>77</v>
      </c>
      <c r="B2041" s="28" t="s">
        <v>77</v>
      </c>
      <c r="C2041" s="28" t="s">
        <v>77</v>
      </c>
      <c r="D2041" s="28" t="s">
        <v>77</v>
      </c>
      <c r="E2041" s="28" t="s">
        <v>77</v>
      </c>
      <c r="F2041" s="28" t="s">
        <v>77</v>
      </c>
      <c r="G2041" s="28" t="s">
        <v>77</v>
      </c>
      <c r="I2041" s="26" t="s">
        <v>77</v>
      </c>
      <c r="J2041" s="26" t="s">
        <v>77</v>
      </c>
      <c r="K2041" s="18"/>
      <c r="L2041" s="26" t="s">
        <v>77</v>
      </c>
      <c r="M2041" s="6" t="s">
        <v>77</v>
      </c>
      <c r="N2041" s="28" t="s">
        <v>77</v>
      </c>
      <c r="O2041" s="26" t="s">
        <v>77</v>
      </c>
    </row>
    <row r="2042">
      <c r="A2042" s="52" t="s">
        <v>77</v>
      </c>
      <c r="B2042" s="28" t="s">
        <v>77</v>
      </c>
      <c r="C2042" s="28" t="s">
        <v>77</v>
      </c>
      <c r="D2042" s="28" t="s">
        <v>77</v>
      </c>
      <c r="E2042" s="28" t="s">
        <v>77</v>
      </c>
      <c r="F2042" s="28" t="s">
        <v>77</v>
      </c>
      <c r="G2042" s="28" t="s">
        <v>77</v>
      </c>
      <c r="I2042" s="26" t="s">
        <v>77</v>
      </c>
      <c r="J2042" s="26" t="s">
        <v>77</v>
      </c>
      <c r="K2042" s="18"/>
      <c r="L2042" s="26" t="s">
        <v>77</v>
      </c>
      <c r="M2042" s="6" t="s">
        <v>77</v>
      </c>
      <c r="N2042" s="28" t="s">
        <v>77</v>
      </c>
      <c r="O2042" s="26" t="s">
        <v>77</v>
      </c>
    </row>
    <row r="2043">
      <c r="A2043" s="52" t="s">
        <v>77</v>
      </c>
      <c r="B2043" s="28" t="s">
        <v>77</v>
      </c>
      <c r="C2043" s="28" t="s">
        <v>77</v>
      </c>
      <c r="D2043" s="28" t="s">
        <v>77</v>
      </c>
      <c r="E2043" s="28" t="s">
        <v>77</v>
      </c>
      <c r="F2043" s="28" t="s">
        <v>77</v>
      </c>
      <c r="G2043" s="28" t="s">
        <v>77</v>
      </c>
      <c r="I2043" s="26" t="s">
        <v>77</v>
      </c>
      <c r="J2043" s="26" t="s">
        <v>77</v>
      </c>
      <c r="K2043" s="18"/>
      <c r="L2043" s="26" t="s">
        <v>77</v>
      </c>
      <c r="M2043" s="6" t="s">
        <v>77</v>
      </c>
      <c r="N2043" s="28" t="s">
        <v>77</v>
      </c>
      <c r="O2043" s="26" t="s">
        <v>77</v>
      </c>
    </row>
    <row r="2044">
      <c r="A2044" s="52" t="s">
        <v>77</v>
      </c>
      <c r="B2044" s="28" t="s">
        <v>77</v>
      </c>
      <c r="C2044" s="28" t="s">
        <v>77</v>
      </c>
      <c r="D2044" s="28" t="s">
        <v>77</v>
      </c>
      <c r="E2044" s="28" t="s">
        <v>77</v>
      </c>
      <c r="F2044" s="28" t="s">
        <v>77</v>
      </c>
      <c r="G2044" s="28" t="s">
        <v>77</v>
      </c>
      <c r="I2044" s="26" t="s">
        <v>77</v>
      </c>
      <c r="J2044" s="26" t="s">
        <v>77</v>
      </c>
      <c r="K2044" s="18"/>
      <c r="L2044" s="26" t="s">
        <v>77</v>
      </c>
      <c r="M2044" s="6" t="s">
        <v>77</v>
      </c>
      <c r="N2044" s="28" t="s">
        <v>77</v>
      </c>
      <c r="O2044" s="26" t="s">
        <v>77</v>
      </c>
    </row>
    <row r="2045">
      <c r="A2045" s="52" t="s">
        <v>77</v>
      </c>
      <c r="B2045" s="28" t="s">
        <v>77</v>
      </c>
      <c r="C2045" s="28" t="s">
        <v>77</v>
      </c>
      <c r="D2045" s="28" t="s">
        <v>77</v>
      </c>
      <c r="E2045" s="28" t="s">
        <v>77</v>
      </c>
      <c r="F2045" s="28" t="s">
        <v>77</v>
      </c>
      <c r="G2045" s="28" t="s">
        <v>77</v>
      </c>
      <c r="I2045" s="26" t="s">
        <v>77</v>
      </c>
      <c r="J2045" s="26" t="s">
        <v>77</v>
      </c>
      <c r="K2045" s="18"/>
      <c r="L2045" s="26" t="s">
        <v>77</v>
      </c>
      <c r="M2045" s="6" t="s">
        <v>77</v>
      </c>
      <c r="N2045" s="28" t="s">
        <v>77</v>
      </c>
      <c r="O2045" s="26" t="s">
        <v>77</v>
      </c>
    </row>
    <row r="2046">
      <c r="A2046" s="52" t="s">
        <v>77</v>
      </c>
      <c r="B2046" s="28" t="s">
        <v>77</v>
      </c>
      <c r="C2046" s="28" t="s">
        <v>77</v>
      </c>
      <c r="D2046" s="28" t="s">
        <v>77</v>
      </c>
      <c r="E2046" s="28" t="s">
        <v>77</v>
      </c>
      <c r="F2046" s="28" t="s">
        <v>77</v>
      </c>
      <c r="G2046" s="28" t="s">
        <v>77</v>
      </c>
      <c r="I2046" s="26" t="s">
        <v>77</v>
      </c>
      <c r="J2046" s="26" t="s">
        <v>77</v>
      </c>
      <c r="K2046" s="18"/>
      <c r="L2046" s="26" t="s">
        <v>77</v>
      </c>
      <c r="M2046" s="6" t="s">
        <v>77</v>
      </c>
      <c r="N2046" s="28" t="s">
        <v>77</v>
      </c>
      <c r="O2046" s="26" t="s">
        <v>77</v>
      </c>
    </row>
    <row r="2047">
      <c r="A2047" s="52" t="s">
        <v>77</v>
      </c>
      <c r="B2047" s="28" t="s">
        <v>77</v>
      </c>
      <c r="C2047" s="28" t="s">
        <v>77</v>
      </c>
      <c r="D2047" s="28" t="s">
        <v>77</v>
      </c>
      <c r="E2047" s="28" t="s">
        <v>77</v>
      </c>
      <c r="F2047" s="28" t="s">
        <v>77</v>
      </c>
      <c r="G2047" s="28" t="s">
        <v>77</v>
      </c>
      <c r="I2047" s="26" t="s">
        <v>77</v>
      </c>
      <c r="J2047" s="26" t="s">
        <v>77</v>
      </c>
      <c r="K2047" s="18"/>
      <c r="L2047" s="26" t="s">
        <v>77</v>
      </c>
      <c r="M2047" s="6" t="s">
        <v>77</v>
      </c>
      <c r="N2047" s="28" t="s">
        <v>77</v>
      </c>
      <c r="O2047" s="26" t="s">
        <v>77</v>
      </c>
    </row>
    <row r="2048">
      <c r="A2048" s="52" t="s">
        <v>77</v>
      </c>
      <c r="B2048" s="28" t="s">
        <v>77</v>
      </c>
      <c r="C2048" s="28" t="s">
        <v>77</v>
      </c>
      <c r="D2048" s="28" t="s">
        <v>77</v>
      </c>
      <c r="E2048" s="28" t="s">
        <v>77</v>
      </c>
      <c r="F2048" s="28" t="s">
        <v>77</v>
      </c>
      <c r="G2048" s="28" t="s">
        <v>77</v>
      </c>
      <c r="I2048" s="26" t="s">
        <v>77</v>
      </c>
      <c r="J2048" s="26" t="s">
        <v>77</v>
      </c>
      <c r="K2048" s="18"/>
      <c r="L2048" s="26" t="s">
        <v>77</v>
      </c>
      <c r="M2048" s="6" t="s">
        <v>77</v>
      </c>
      <c r="N2048" s="28" t="s">
        <v>77</v>
      </c>
      <c r="O2048" s="26" t="s">
        <v>77</v>
      </c>
    </row>
    <row r="2049">
      <c r="A2049" s="52" t="s">
        <v>77</v>
      </c>
      <c r="B2049" s="28" t="s">
        <v>77</v>
      </c>
      <c r="C2049" s="28" t="s">
        <v>77</v>
      </c>
      <c r="D2049" s="28" t="s">
        <v>77</v>
      </c>
      <c r="E2049" s="28" t="s">
        <v>77</v>
      </c>
      <c r="F2049" s="28" t="s">
        <v>77</v>
      </c>
      <c r="G2049" s="28" t="s">
        <v>77</v>
      </c>
      <c r="I2049" s="26" t="s">
        <v>77</v>
      </c>
      <c r="J2049" s="26" t="s">
        <v>77</v>
      </c>
      <c r="K2049" s="18"/>
      <c r="L2049" s="26" t="s">
        <v>77</v>
      </c>
      <c r="M2049" s="6" t="s">
        <v>77</v>
      </c>
      <c r="N2049" s="28" t="s">
        <v>77</v>
      </c>
      <c r="O2049" s="26" t="s">
        <v>77</v>
      </c>
    </row>
    <row r="2050">
      <c r="A2050" s="52" t="s">
        <v>77</v>
      </c>
      <c r="B2050" s="28" t="s">
        <v>77</v>
      </c>
      <c r="C2050" s="28" t="s">
        <v>77</v>
      </c>
      <c r="D2050" s="28" t="s">
        <v>77</v>
      </c>
      <c r="E2050" s="28" t="s">
        <v>77</v>
      </c>
      <c r="F2050" s="28" t="s">
        <v>77</v>
      </c>
      <c r="G2050" s="28" t="s">
        <v>77</v>
      </c>
      <c r="I2050" s="26" t="s">
        <v>77</v>
      </c>
      <c r="J2050" s="26" t="s">
        <v>77</v>
      </c>
      <c r="K2050" s="18"/>
      <c r="L2050" s="26" t="s">
        <v>77</v>
      </c>
      <c r="M2050" s="6" t="s">
        <v>77</v>
      </c>
      <c r="N2050" s="28" t="s">
        <v>77</v>
      </c>
      <c r="O2050" s="26" t="s">
        <v>77</v>
      </c>
    </row>
    <row r="2051">
      <c r="A2051" s="52" t="s">
        <v>77</v>
      </c>
      <c r="B2051" s="28" t="s">
        <v>77</v>
      </c>
      <c r="C2051" s="28" t="s">
        <v>77</v>
      </c>
      <c r="D2051" s="28" t="s">
        <v>77</v>
      </c>
      <c r="E2051" s="28" t="s">
        <v>77</v>
      </c>
      <c r="F2051" s="28" t="s">
        <v>77</v>
      </c>
      <c r="G2051" s="28" t="s">
        <v>77</v>
      </c>
      <c r="I2051" s="26" t="s">
        <v>77</v>
      </c>
      <c r="J2051" s="26" t="s">
        <v>77</v>
      </c>
      <c r="K2051" s="18"/>
      <c r="L2051" s="26" t="s">
        <v>77</v>
      </c>
      <c r="M2051" s="6" t="s">
        <v>77</v>
      </c>
      <c r="N2051" s="28" t="s">
        <v>77</v>
      </c>
      <c r="O2051" s="26" t="s">
        <v>77</v>
      </c>
    </row>
    <row r="2052">
      <c r="A2052" s="52" t="s">
        <v>77</v>
      </c>
      <c r="B2052" s="28" t="s">
        <v>77</v>
      </c>
      <c r="C2052" s="28" t="s">
        <v>77</v>
      </c>
      <c r="D2052" s="28" t="s">
        <v>77</v>
      </c>
      <c r="E2052" s="28" t="s">
        <v>77</v>
      </c>
      <c r="F2052" s="28" t="s">
        <v>77</v>
      </c>
      <c r="G2052" s="28" t="s">
        <v>77</v>
      </c>
      <c r="I2052" s="26" t="s">
        <v>77</v>
      </c>
      <c r="J2052" s="26" t="s">
        <v>77</v>
      </c>
      <c r="K2052" s="18"/>
      <c r="L2052" s="26" t="s">
        <v>77</v>
      </c>
      <c r="M2052" s="6" t="s">
        <v>77</v>
      </c>
      <c r="N2052" s="28" t="s">
        <v>77</v>
      </c>
      <c r="O2052" s="26" t="s">
        <v>77</v>
      </c>
    </row>
    <row r="2053">
      <c r="A2053" s="52" t="s">
        <v>77</v>
      </c>
      <c r="B2053" s="28" t="s">
        <v>77</v>
      </c>
      <c r="C2053" s="28" t="s">
        <v>77</v>
      </c>
      <c r="D2053" s="28" t="s">
        <v>77</v>
      </c>
      <c r="E2053" s="28" t="s">
        <v>77</v>
      </c>
      <c r="F2053" s="28" t="s">
        <v>77</v>
      </c>
      <c r="G2053" s="28" t="s">
        <v>77</v>
      </c>
      <c r="I2053" s="26" t="s">
        <v>77</v>
      </c>
      <c r="J2053" s="26" t="s">
        <v>77</v>
      </c>
      <c r="K2053" s="18"/>
      <c r="L2053" s="26" t="s">
        <v>77</v>
      </c>
      <c r="M2053" s="6" t="s">
        <v>77</v>
      </c>
      <c r="N2053" s="28" t="s">
        <v>77</v>
      </c>
      <c r="O2053" s="26" t="s">
        <v>77</v>
      </c>
    </row>
    <row r="2054">
      <c r="A2054" s="52" t="s">
        <v>77</v>
      </c>
      <c r="B2054" s="28" t="s">
        <v>77</v>
      </c>
      <c r="C2054" s="28" t="s">
        <v>77</v>
      </c>
      <c r="D2054" s="28" t="s">
        <v>77</v>
      </c>
      <c r="E2054" s="28" t="s">
        <v>77</v>
      </c>
      <c r="F2054" s="28" t="s">
        <v>77</v>
      </c>
      <c r="G2054" s="28" t="s">
        <v>77</v>
      </c>
      <c r="I2054" s="26" t="s">
        <v>77</v>
      </c>
      <c r="J2054" s="26" t="s">
        <v>77</v>
      </c>
      <c r="K2054" s="18"/>
      <c r="L2054" s="26" t="s">
        <v>77</v>
      </c>
      <c r="M2054" s="6" t="s">
        <v>77</v>
      </c>
      <c r="N2054" s="28" t="s">
        <v>77</v>
      </c>
      <c r="O2054" s="26" t="s">
        <v>77</v>
      </c>
    </row>
    <row r="2055">
      <c r="A2055" s="52" t="s">
        <v>77</v>
      </c>
      <c r="B2055" s="28" t="s">
        <v>77</v>
      </c>
      <c r="C2055" s="28" t="s">
        <v>77</v>
      </c>
      <c r="D2055" s="28" t="s">
        <v>77</v>
      </c>
      <c r="E2055" s="28" t="s">
        <v>77</v>
      </c>
      <c r="F2055" s="28" t="s">
        <v>77</v>
      </c>
      <c r="G2055" s="28" t="s">
        <v>77</v>
      </c>
      <c r="I2055" s="26" t="s">
        <v>77</v>
      </c>
      <c r="J2055" s="26" t="s">
        <v>77</v>
      </c>
      <c r="K2055" s="18"/>
      <c r="L2055" s="26" t="s">
        <v>77</v>
      </c>
      <c r="M2055" s="6" t="s">
        <v>77</v>
      </c>
      <c r="N2055" s="28" t="s">
        <v>77</v>
      </c>
      <c r="O2055" s="26" t="s">
        <v>77</v>
      </c>
    </row>
    <row r="2056">
      <c r="A2056" s="52" t="s">
        <v>77</v>
      </c>
      <c r="B2056" s="28" t="s">
        <v>77</v>
      </c>
      <c r="C2056" s="28" t="s">
        <v>77</v>
      </c>
      <c r="D2056" s="28" t="s">
        <v>77</v>
      </c>
      <c r="E2056" s="28" t="s">
        <v>77</v>
      </c>
      <c r="F2056" s="28" t="s">
        <v>77</v>
      </c>
      <c r="G2056" s="28" t="s">
        <v>77</v>
      </c>
      <c r="I2056" s="26" t="s">
        <v>77</v>
      </c>
      <c r="J2056" s="26" t="s">
        <v>77</v>
      </c>
      <c r="K2056" s="18"/>
      <c r="L2056" s="26" t="s">
        <v>77</v>
      </c>
      <c r="M2056" s="6" t="s">
        <v>77</v>
      </c>
      <c r="N2056" s="28" t="s">
        <v>77</v>
      </c>
      <c r="O2056" s="26" t="s">
        <v>77</v>
      </c>
    </row>
    <row r="2057">
      <c r="A2057" s="52" t="s">
        <v>77</v>
      </c>
      <c r="B2057" s="28" t="s">
        <v>77</v>
      </c>
      <c r="C2057" s="28" t="s">
        <v>77</v>
      </c>
      <c r="D2057" s="28" t="s">
        <v>77</v>
      </c>
      <c r="E2057" s="28" t="s">
        <v>77</v>
      </c>
      <c r="F2057" s="28" t="s">
        <v>77</v>
      </c>
      <c r="G2057" s="28" t="s">
        <v>77</v>
      </c>
      <c r="I2057" s="26" t="s">
        <v>77</v>
      </c>
      <c r="J2057" s="26" t="s">
        <v>77</v>
      </c>
      <c r="K2057" s="18"/>
      <c r="L2057" s="26" t="s">
        <v>77</v>
      </c>
      <c r="M2057" s="6" t="s">
        <v>77</v>
      </c>
      <c r="N2057" s="28" t="s">
        <v>77</v>
      </c>
      <c r="O2057" s="26" t="s">
        <v>77</v>
      </c>
    </row>
    <row r="2058">
      <c r="A2058" s="52" t="s">
        <v>77</v>
      </c>
      <c r="B2058" s="28" t="s">
        <v>77</v>
      </c>
      <c r="C2058" s="28" t="s">
        <v>77</v>
      </c>
      <c r="D2058" s="28" t="s">
        <v>77</v>
      </c>
      <c r="E2058" s="28" t="s">
        <v>77</v>
      </c>
      <c r="F2058" s="28" t="s">
        <v>77</v>
      </c>
      <c r="G2058" s="28" t="s">
        <v>77</v>
      </c>
      <c r="I2058" s="26" t="s">
        <v>77</v>
      </c>
      <c r="J2058" s="26" t="s">
        <v>77</v>
      </c>
      <c r="K2058" s="18"/>
      <c r="L2058" s="26" t="s">
        <v>77</v>
      </c>
      <c r="M2058" s="6" t="s">
        <v>77</v>
      </c>
      <c r="N2058" s="28" t="s">
        <v>77</v>
      </c>
      <c r="O2058" s="26" t="s">
        <v>77</v>
      </c>
    </row>
    <row r="2059">
      <c r="A2059" s="52" t="s">
        <v>77</v>
      </c>
      <c r="B2059" s="28" t="s">
        <v>77</v>
      </c>
      <c r="C2059" s="28" t="s">
        <v>77</v>
      </c>
      <c r="D2059" s="28" t="s">
        <v>77</v>
      </c>
      <c r="E2059" s="28" t="s">
        <v>77</v>
      </c>
      <c r="F2059" s="28" t="s">
        <v>77</v>
      </c>
      <c r="G2059" s="28" t="s">
        <v>77</v>
      </c>
      <c r="I2059" s="26" t="s">
        <v>77</v>
      </c>
      <c r="J2059" s="26" t="s">
        <v>77</v>
      </c>
      <c r="K2059" s="18"/>
      <c r="L2059" s="26" t="s">
        <v>77</v>
      </c>
      <c r="M2059" s="6" t="s">
        <v>77</v>
      </c>
      <c r="N2059" s="28" t="s">
        <v>77</v>
      </c>
      <c r="O2059" s="26" t="s">
        <v>77</v>
      </c>
    </row>
    <row r="2060">
      <c r="A2060" s="52" t="s">
        <v>77</v>
      </c>
      <c r="B2060" s="28" t="s">
        <v>77</v>
      </c>
      <c r="C2060" s="28" t="s">
        <v>77</v>
      </c>
      <c r="D2060" s="28" t="s">
        <v>77</v>
      </c>
      <c r="E2060" s="28" t="s">
        <v>77</v>
      </c>
      <c r="F2060" s="28" t="s">
        <v>77</v>
      </c>
      <c r="G2060" s="28" t="s">
        <v>77</v>
      </c>
      <c r="I2060" s="26" t="s">
        <v>77</v>
      </c>
      <c r="J2060" s="26" t="s">
        <v>77</v>
      </c>
      <c r="K2060" s="18"/>
      <c r="L2060" s="26" t="s">
        <v>77</v>
      </c>
      <c r="M2060" s="6" t="s">
        <v>77</v>
      </c>
      <c r="N2060" s="28" t="s">
        <v>77</v>
      </c>
      <c r="O2060" s="26" t="s">
        <v>77</v>
      </c>
    </row>
    <row r="2061">
      <c r="A2061" s="52" t="s">
        <v>77</v>
      </c>
      <c r="B2061" s="28" t="s">
        <v>77</v>
      </c>
      <c r="C2061" s="28" t="s">
        <v>77</v>
      </c>
      <c r="D2061" s="28" t="s">
        <v>77</v>
      </c>
      <c r="E2061" s="28" t="s">
        <v>77</v>
      </c>
      <c r="F2061" s="28" t="s">
        <v>77</v>
      </c>
      <c r="G2061" s="28" t="s">
        <v>77</v>
      </c>
      <c r="I2061" s="26" t="s">
        <v>77</v>
      </c>
      <c r="J2061" s="26" t="s">
        <v>77</v>
      </c>
      <c r="K2061" s="18"/>
      <c r="L2061" s="26" t="s">
        <v>77</v>
      </c>
      <c r="M2061" s="6" t="s">
        <v>77</v>
      </c>
      <c r="N2061" s="28" t="s">
        <v>77</v>
      </c>
      <c r="O2061" s="26" t="s">
        <v>77</v>
      </c>
    </row>
    <row r="2062">
      <c r="A2062" s="52" t="s">
        <v>77</v>
      </c>
      <c r="B2062" s="28" t="s">
        <v>77</v>
      </c>
      <c r="C2062" s="28" t="s">
        <v>77</v>
      </c>
      <c r="D2062" s="28" t="s">
        <v>77</v>
      </c>
      <c r="E2062" s="28" t="s">
        <v>77</v>
      </c>
      <c r="F2062" s="28" t="s">
        <v>77</v>
      </c>
      <c r="G2062" s="28" t="s">
        <v>77</v>
      </c>
      <c r="I2062" s="26" t="s">
        <v>77</v>
      </c>
      <c r="J2062" s="26" t="s">
        <v>77</v>
      </c>
      <c r="K2062" s="18"/>
      <c r="L2062" s="26" t="s">
        <v>77</v>
      </c>
      <c r="M2062" s="6" t="s">
        <v>77</v>
      </c>
      <c r="N2062" s="28" t="s">
        <v>77</v>
      </c>
      <c r="O2062" s="26" t="s">
        <v>77</v>
      </c>
    </row>
    <row r="2063">
      <c r="A2063" s="52" t="s">
        <v>77</v>
      </c>
      <c r="B2063" s="28" t="s">
        <v>77</v>
      </c>
      <c r="C2063" s="28" t="s">
        <v>77</v>
      </c>
      <c r="D2063" s="28" t="s">
        <v>77</v>
      </c>
      <c r="E2063" s="28" t="s">
        <v>77</v>
      </c>
      <c r="F2063" s="28" t="s">
        <v>77</v>
      </c>
      <c r="G2063" s="28" t="s">
        <v>77</v>
      </c>
      <c r="I2063" s="26" t="s">
        <v>77</v>
      </c>
      <c r="J2063" s="26" t="s">
        <v>77</v>
      </c>
      <c r="K2063" s="18"/>
      <c r="L2063" s="26" t="s">
        <v>77</v>
      </c>
      <c r="M2063" s="6" t="s">
        <v>77</v>
      </c>
      <c r="N2063" s="28" t="s">
        <v>77</v>
      </c>
      <c r="O2063" s="26" t="s">
        <v>77</v>
      </c>
    </row>
    <row r="2064">
      <c r="A2064" s="52" t="s">
        <v>77</v>
      </c>
      <c r="B2064" s="28" t="s">
        <v>77</v>
      </c>
      <c r="C2064" s="28" t="s">
        <v>77</v>
      </c>
      <c r="D2064" s="28" t="s">
        <v>77</v>
      </c>
      <c r="E2064" s="28" t="s">
        <v>77</v>
      </c>
      <c r="F2064" s="28" t="s">
        <v>77</v>
      </c>
      <c r="G2064" s="28" t="s">
        <v>77</v>
      </c>
      <c r="I2064" s="26" t="s">
        <v>77</v>
      </c>
      <c r="J2064" s="26" t="s">
        <v>77</v>
      </c>
      <c r="K2064" s="18"/>
      <c r="L2064" s="26" t="s">
        <v>77</v>
      </c>
      <c r="M2064" s="6" t="s">
        <v>77</v>
      </c>
      <c r="N2064" s="28" t="s">
        <v>77</v>
      </c>
      <c r="O2064" s="26" t="s">
        <v>77</v>
      </c>
    </row>
    <row r="2065">
      <c r="A2065" s="52" t="s">
        <v>77</v>
      </c>
      <c r="B2065" s="28" t="s">
        <v>77</v>
      </c>
      <c r="C2065" s="28" t="s">
        <v>77</v>
      </c>
      <c r="D2065" s="28" t="s">
        <v>77</v>
      </c>
      <c r="E2065" s="28" t="s">
        <v>77</v>
      </c>
      <c r="F2065" s="28" t="s">
        <v>77</v>
      </c>
      <c r="G2065" s="28" t="s">
        <v>77</v>
      </c>
      <c r="I2065" s="26" t="s">
        <v>77</v>
      </c>
      <c r="J2065" s="26" t="s">
        <v>77</v>
      </c>
      <c r="K2065" s="18"/>
      <c r="L2065" s="26" t="s">
        <v>77</v>
      </c>
      <c r="M2065" s="6" t="s">
        <v>77</v>
      </c>
      <c r="N2065" s="28" t="s">
        <v>77</v>
      </c>
      <c r="O2065" s="26" t="s">
        <v>77</v>
      </c>
    </row>
    <row r="2066">
      <c r="A2066" s="52" t="s">
        <v>77</v>
      </c>
      <c r="B2066" s="28" t="s">
        <v>77</v>
      </c>
      <c r="C2066" s="28" t="s">
        <v>77</v>
      </c>
      <c r="D2066" s="28" t="s">
        <v>77</v>
      </c>
      <c r="E2066" s="28" t="s">
        <v>77</v>
      </c>
      <c r="F2066" s="28" t="s">
        <v>77</v>
      </c>
      <c r="G2066" s="28" t="s">
        <v>77</v>
      </c>
      <c r="I2066" s="26" t="s">
        <v>77</v>
      </c>
      <c r="J2066" s="26" t="s">
        <v>77</v>
      </c>
      <c r="K2066" s="18"/>
      <c r="L2066" s="26" t="s">
        <v>77</v>
      </c>
      <c r="M2066" s="6" t="s">
        <v>77</v>
      </c>
      <c r="N2066" s="28" t="s">
        <v>77</v>
      </c>
      <c r="O2066" s="26" t="s">
        <v>77</v>
      </c>
    </row>
    <row r="2067">
      <c r="A2067" s="52" t="s">
        <v>77</v>
      </c>
      <c r="B2067" s="28" t="s">
        <v>77</v>
      </c>
      <c r="C2067" s="28" t="s">
        <v>77</v>
      </c>
      <c r="D2067" s="28" t="s">
        <v>77</v>
      </c>
      <c r="E2067" s="28" t="s">
        <v>77</v>
      </c>
      <c r="F2067" s="28" t="s">
        <v>77</v>
      </c>
      <c r="G2067" s="28" t="s">
        <v>77</v>
      </c>
      <c r="I2067" s="26" t="s">
        <v>77</v>
      </c>
      <c r="J2067" s="26" t="s">
        <v>77</v>
      </c>
      <c r="K2067" s="18"/>
      <c r="L2067" s="26" t="s">
        <v>77</v>
      </c>
      <c r="M2067" s="6" t="s">
        <v>77</v>
      </c>
      <c r="N2067" s="28" t="s">
        <v>77</v>
      </c>
      <c r="O2067" s="26" t="s">
        <v>77</v>
      </c>
    </row>
    <row r="2068">
      <c r="A2068" s="52" t="s">
        <v>77</v>
      </c>
      <c r="B2068" s="28" t="s">
        <v>77</v>
      </c>
      <c r="C2068" s="28" t="s">
        <v>77</v>
      </c>
      <c r="D2068" s="28" t="s">
        <v>77</v>
      </c>
      <c r="E2068" s="28" t="s">
        <v>77</v>
      </c>
      <c r="F2068" s="28" t="s">
        <v>77</v>
      </c>
      <c r="G2068" s="28" t="s">
        <v>77</v>
      </c>
      <c r="I2068" s="26" t="s">
        <v>77</v>
      </c>
      <c r="J2068" s="26" t="s">
        <v>77</v>
      </c>
      <c r="K2068" s="18"/>
      <c r="L2068" s="26" t="s">
        <v>77</v>
      </c>
      <c r="M2068" s="6" t="s">
        <v>77</v>
      </c>
      <c r="N2068" s="28" t="s">
        <v>77</v>
      </c>
      <c r="O2068" s="26" t="s">
        <v>77</v>
      </c>
    </row>
    <row r="2069">
      <c r="A2069" s="52" t="s">
        <v>77</v>
      </c>
      <c r="B2069" s="28" t="s">
        <v>77</v>
      </c>
      <c r="C2069" s="28" t="s">
        <v>77</v>
      </c>
      <c r="D2069" s="28" t="s">
        <v>77</v>
      </c>
      <c r="E2069" s="28" t="s">
        <v>77</v>
      </c>
      <c r="F2069" s="28" t="s">
        <v>77</v>
      </c>
      <c r="G2069" s="28" t="s">
        <v>77</v>
      </c>
      <c r="I2069" s="26" t="s">
        <v>77</v>
      </c>
      <c r="J2069" s="26" t="s">
        <v>77</v>
      </c>
      <c r="K2069" s="18"/>
      <c r="L2069" s="26" t="s">
        <v>77</v>
      </c>
      <c r="M2069" s="6" t="s">
        <v>77</v>
      </c>
      <c r="N2069" s="28" t="s">
        <v>77</v>
      </c>
      <c r="O2069" s="26" t="s">
        <v>77</v>
      </c>
    </row>
    <row r="2070">
      <c r="A2070" s="52" t="s">
        <v>77</v>
      </c>
      <c r="B2070" s="28" t="s">
        <v>77</v>
      </c>
      <c r="C2070" s="28" t="s">
        <v>77</v>
      </c>
      <c r="D2070" s="28" t="s">
        <v>77</v>
      </c>
      <c r="E2070" s="28" t="s">
        <v>77</v>
      </c>
      <c r="F2070" s="28" t="s">
        <v>77</v>
      </c>
      <c r="G2070" s="28" t="s">
        <v>77</v>
      </c>
      <c r="I2070" s="26" t="s">
        <v>77</v>
      </c>
      <c r="J2070" s="26" t="s">
        <v>77</v>
      </c>
      <c r="K2070" s="18"/>
      <c r="L2070" s="26" t="s">
        <v>77</v>
      </c>
      <c r="M2070" s="6" t="s">
        <v>77</v>
      </c>
      <c r="N2070" s="28" t="s">
        <v>77</v>
      </c>
      <c r="O2070" s="26" t="s">
        <v>77</v>
      </c>
    </row>
    <row r="2071">
      <c r="A2071" s="52" t="s">
        <v>77</v>
      </c>
      <c r="B2071" s="28" t="s">
        <v>77</v>
      </c>
      <c r="C2071" s="28" t="s">
        <v>77</v>
      </c>
      <c r="D2071" s="28" t="s">
        <v>77</v>
      </c>
      <c r="E2071" s="28" t="s">
        <v>77</v>
      </c>
      <c r="F2071" s="28" t="s">
        <v>77</v>
      </c>
      <c r="G2071" s="28" t="s">
        <v>77</v>
      </c>
      <c r="I2071" s="26" t="s">
        <v>77</v>
      </c>
      <c r="J2071" s="26" t="s">
        <v>77</v>
      </c>
      <c r="K2071" s="18"/>
      <c r="L2071" s="26" t="s">
        <v>77</v>
      </c>
      <c r="M2071" s="6" t="s">
        <v>77</v>
      </c>
      <c r="N2071" s="28" t="s">
        <v>77</v>
      </c>
      <c r="O2071" s="26" t="s">
        <v>77</v>
      </c>
    </row>
    <row r="2072">
      <c r="A2072" s="52" t="s">
        <v>77</v>
      </c>
      <c r="B2072" s="28" t="s">
        <v>77</v>
      </c>
      <c r="C2072" s="28" t="s">
        <v>77</v>
      </c>
      <c r="D2072" s="28" t="s">
        <v>77</v>
      </c>
      <c r="E2072" s="28" t="s">
        <v>77</v>
      </c>
      <c r="F2072" s="28" t="s">
        <v>77</v>
      </c>
      <c r="G2072" s="28" t="s">
        <v>77</v>
      </c>
      <c r="I2072" s="26" t="s">
        <v>77</v>
      </c>
      <c r="J2072" s="26" t="s">
        <v>77</v>
      </c>
      <c r="K2072" s="18"/>
      <c r="L2072" s="26" t="s">
        <v>77</v>
      </c>
      <c r="M2072" s="6" t="s">
        <v>77</v>
      </c>
      <c r="N2072" s="28" t="s">
        <v>77</v>
      </c>
      <c r="O2072" s="26" t="s">
        <v>77</v>
      </c>
    </row>
    <row r="2073">
      <c r="A2073" s="52" t="s">
        <v>77</v>
      </c>
      <c r="B2073" s="28" t="s">
        <v>77</v>
      </c>
      <c r="C2073" s="28" t="s">
        <v>77</v>
      </c>
      <c r="D2073" s="28" t="s">
        <v>77</v>
      </c>
      <c r="E2073" s="28" t="s">
        <v>77</v>
      </c>
      <c r="F2073" s="28" t="s">
        <v>77</v>
      </c>
      <c r="G2073" s="28" t="s">
        <v>77</v>
      </c>
      <c r="I2073" s="26" t="s">
        <v>77</v>
      </c>
      <c r="J2073" s="26" t="s">
        <v>77</v>
      </c>
      <c r="K2073" s="18"/>
      <c r="L2073" s="26" t="s">
        <v>77</v>
      </c>
      <c r="M2073" s="6" t="s">
        <v>77</v>
      </c>
      <c r="N2073" s="28" t="s">
        <v>77</v>
      </c>
      <c r="O2073" s="26" t="s">
        <v>77</v>
      </c>
    </row>
    <row r="2074">
      <c r="A2074" s="52" t="s">
        <v>77</v>
      </c>
      <c r="B2074" s="28" t="s">
        <v>77</v>
      </c>
      <c r="C2074" s="28" t="s">
        <v>77</v>
      </c>
      <c r="D2074" s="28" t="s">
        <v>77</v>
      </c>
      <c r="E2074" s="28" t="s">
        <v>77</v>
      </c>
      <c r="F2074" s="28" t="s">
        <v>77</v>
      </c>
      <c r="G2074" s="28" t="s">
        <v>77</v>
      </c>
      <c r="I2074" s="26" t="s">
        <v>77</v>
      </c>
      <c r="J2074" s="26" t="s">
        <v>77</v>
      </c>
      <c r="K2074" s="18"/>
      <c r="L2074" s="26" t="s">
        <v>77</v>
      </c>
      <c r="M2074" s="6" t="s">
        <v>77</v>
      </c>
      <c r="N2074" s="28" t="s">
        <v>77</v>
      </c>
      <c r="O2074" s="26" t="s">
        <v>77</v>
      </c>
    </row>
    <row r="2075">
      <c r="A2075" s="52" t="s">
        <v>77</v>
      </c>
      <c r="B2075" s="28" t="s">
        <v>77</v>
      </c>
      <c r="C2075" s="28" t="s">
        <v>77</v>
      </c>
      <c r="D2075" s="28" t="s">
        <v>77</v>
      </c>
      <c r="E2075" s="28" t="s">
        <v>77</v>
      </c>
      <c r="F2075" s="28" t="s">
        <v>77</v>
      </c>
      <c r="G2075" s="28" t="s">
        <v>77</v>
      </c>
      <c r="I2075" s="26" t="s">
        <v>77</v>
      </c>
      <c r="J2075" s="26" t="s">
        <v>77</v>
      </c>
      <c r="K2075" s="18"/>
      <c r="L2075" s="26" t="s">
        <v>77</v>
      </c>
      <c r="M2075" s="6" t="s">
        <v>77</v>
      </c>
      <c r="N2075" s="28" t="s">
        <v>77</v>
      </c>
      <c r="O2075" s="26" t="s">
        <v>77</v>
      </c>
    </row>
    <row r="2076">
      <c r="A2076" s="52" t="s">
        <v>77</v>
      </c>
      <c r="B2076" s="28" t="s">
        <v>77</v>
      </c>
      <c r="C2076" s="28" t="s">
        <v>77</v>
      </c>
      <c r="D2076" s="28" t="s">
        <v>77</v>
      </c>
      <c r="E2076" s="28" t="s">
        <v>77</v>
      </c>
      <c r="F2076" s="28" t="s">
        <v>77</v>
      </c>
      <c r="G2076" s="28" t="s">
        <v>77</v>
      </c>
      <c r="I2076" s="26" t="s">
        <v>77</v>
      </c>
      <c r="J2076" s="26" t="s">
        <v>77</v>
      </c>
      <c r="K2076" s="18"/>
      <c r="L2076" s="26" t="s">
        <v>77</v>
      </c>
      <c r="M2076" s="6" t="s">
        <v>77</v>
      </c>
      <c r="N2076" s="28" t="s">
        <v>77</v>
      </c>
      <c r="O2076" s="26" t="s">
        <v>77</v>
      </c>
    </row>
    <row r="2077">
      <c r="A2077" s="52" t="s">
        <v>77</v>
      </c>
      <c r="B2077" s="28" t="s">
        <v>77</v>
      </c>
      <c r="C2077" s="28" t="s">
        <v>77</v>
      </c>
      <c r="D2077" s="28" t="s">
        <v>77</v>
      </c>
      <c r="E2077" s="28" t="s">
        <v>77</v>
      </c>
      <c r="F2077" s="28" t="s">
        <v>77</v>
      </c>
      <c r="G2077" s="28" t="s">
        <v>77</v>
      </c>
      <c r="I2077" s="26" t="s">
        <v>77</v>
      </c>
      <c r="J2077" s="26" t="s">
        <v>77</v>
      </c>
      <c r="K2077" s="18"/>
      <c r="L2077" s="26" t="s">
        <v>77</v>
      </c>
      <c r="M2077" s="6" t="s">
        <v>77</v>
      </c>
      <c r="N2077" s="28" t="s">
        <v>77</v>
      </c>
      <c r="O2077" s="26" t="s">
        <v>77</v>
      </c>
    </row>
    <row r="2078">
      <c r="A2078" s="52" t="s">
        <v>77</v>
      </c>
      <c r="B2078" s="28" t="s">
        <v>77</v>
      </c>
      <c r="C2078" s="28" t="s">
        <v>77</v>
      </c>
      <c r="D2078" s="28" t="s">
        <v>77</v>
      </c>
      <c r="E2078" s="28" t="s">
        <v>77</v>
      </c>
      <c r="F2078" s="28" t="s">
        <v>77</v>
      </c>
      <c r="G2078" s="28" t="s">
        <v>77</v>
      </c>
      <c r="I2078" s="26" t="s">
        <v>77</v>
      </c>
      <c r="J2078" s="26" t="s">
        <v>77</v>
      </c>
      <c r="K2078" s="18"/>
      <c r="L2078" s="26" t="s">
        <v>77</v>
      </c>
      <c r="M2078" s="6" t="s">
        <v>77</v>
      </c>
      <c r="N2078" s="28" t="s">
        <v>77</v>
      </c>
      <c r="O2078" s="26" t="s">
        <v>77</v>
      </c>
    </row>
    <row r="2079">
      <c r="A2079" s="52" t="s">
        <v>77</v>
      </c>
      <c r="B2079" s="28" t="s">
        <v>77</v>
      </c>
      <c r="C2079" s="28" t="s">
        <v>77</v>
      </c>
      <c r="D2079" s="28" t="s">
        <v>77</v>
      </c>
      <c r="E2079" s="28" t="s">
        <v>77</v>
      </c>
      <c r="F2079" s="28" t="s">
        <v>77</v>
      </c>
      <c r="G2079" s="28" t="s">
        <v>77</v>
      </c>
      <c r="I2079" s="26" t="s">
        <v>77</v>
      </c>
      <c r="J2079" s="26" t="s">
        <v>77</v>
      </c>
      <c r="K2079" s="18"/>
      <c r="L2079" s="26" t="s">
        <v>77</v>
      </c>
      <c r="M2079" s="6" t="s">
        <v>77</v>
      </c>
      <c r="N2079" s="28" t="s">
        <v>77</v>
      </c>
      <c r="O2079" s="26" t="s">
        <v>77</v>
      </c>
    </row>
    <row r="2080">
      <c r="A2080" s="52" t="s">
        <v>77</v>
      </c>
      <c r="B2080" s="28" t="s">
        <v>77</v>
      </c>
      <c r="C2080" s="28" t="s">
        <v>77</v>
      </c>
      <c r="D2080" s="28" t="s">
        <v>77</v>
      </c>
      <c r="E2080" s="28" t="s">
        <v>77</v>
      </c>
      <c r="F2080" s="28" t="s">
        <v>77</v>
      </c>
      <c r="G2080" s="28" t="s">
        <v>77</v>
      </c>
      <c r="I2080" s="26" t="s">
        <v>77</v>
      </c>
      <c r="J2080" s="26" t="s">
        <v>77</v>
      </c>
      <c r="K2080" s="18"/>
      <c r="L2080" s="26" t="s">
        <v>77</v>
      </c>
      <c r="M2080" s="6" t="s">
        <v>77</v>
      </c>
      <c r="N2080" s="28" t="s">
        <v>77</v>
      </c>
      <c r="O2080" s="26" t="s">
        <v>77</v>
      </c>
    </row>
    <row r="2081">
      <c r="A2081" s="52" t="s">
        <v>77</v>
      </c>
      <c r="B2081" s="28" t="s">
        <v>77</v>
      </c>
      <c r="C2081" s="28" t="s">
        <v>77</v>
      </c>
      <c r="D2081" s="28" t="s">
        <v>77</v>
      </c>
      <c r="E2081" s="28" t="s">
        <v>77</v>
      </c>
      <c r="F2081" s="28" t="s">
        <v>77</v>
      </c>
      <c r="G2081" s="28" t="s">
        <v>77</v>
      </c>
      <c r="I2081" s="26" t="s">
        <v>77</v>
      </c>
      <c r="J2081" s="26" t="s">
        <v>77</v>
      </c>
      <c r="K2081" s="18"/>
      <c r="L2081" s="26" t="s">
        <v>77</v>
      </c>
      <c r="M2081" s="6" t="s">
        <v>77</v>
      </c>
      <c r="N2081" s="28" t="s">
        <v>77</v>
      </c>
      <c r="O2081" s="26" t="s">
        <v>77</v>
      </c>
    </row>
    <row r="2082">
      <c r="A2082" s="52" t="s">
        <v>77</v>
      </c>
      <c r="B2082" s="28" t="s">
        <v>77</v>
      </c>
      <c r="C2082" s="28" t="s">
        <v>77</v>
      </c>
      <c r="D2082" s="28" t="s">
        <v>77</v>
      </c>
      <c r="E2082" s="28" t="s">
        <v>77</v>
      </c>
      <c r="F2082" s="28" t="s">
        <v>77</v>
      </c>
      <c r="G2082" s="28" t="s">
        <v>77</v>
      </c>
      <c r="I2082" s="26" t="s">
        <v>77</v>
      </c>
      <c r="J2082" s="26" t="s">
        <v>77</v>
      </c>
      <c r="K2082" s="18"/>
      <c r="L2082" s="26" t="s">
        <v>77</v>
      </c>
      <c r="M2082" s="6" t="s">
        <v>77</v>
      </c>
      <c r="N2082" s="28" t="s">
        <v>77</v>
      </c>
      <c r="O2082" s="26" t="s">
        <v>77</v>
      </c>
    </row>
    <row r="2083">
      <c r="A2083" s="52" t="s">
        <v>77</v>
      </c>
      <c r="B2083" s="28" t="s">
        <v>77</v>
      </c>
      <c r="C2083" s="28" t="s">
        <v>77</v>
      </c>
      <c r="D2083" s="28" t="s">
        <v>77</v>
      </c>
      <c r="E2083" s="28" t="s">
        <v>77</v>
      </c>
      <c r="F2083" s="28" t="s">
        <v>77</v>
      </c>
      <c r="G2083" s="28" t="s">
        <v>77</v>
      </c>
      <c r="I2083" s="26" t="s">
        <v>77</v>
      </c>
      <c r="J2083" s="26" t="s">
        <v>77</v>
      </c>
      <c r="K2083" s="18"/>
      <c r="L2083" s="26" t="s">
        <v>77</v>
      </c>
      <c r="M2083" s="6" t="s">
        <v>77</v>
      </c>
      <c r="N2083" s="28" t="s">
        <v>77</v>
      </c>
      <c r="O2083" s="26" t="s">
        <v>77</v>
      </c>
    </row>
    <row r="2084">
      <c r="A2084" s="52" t="s">
        <v>77</v>
      </c>
      <c r="B2084" s="28" t="s">
        <v>77</v>
      </c>
      <c r="C2084" s="28" t="s">
        <v>77</v>
      </c>
      <c r="D2084" s="28" t="s">
        <v>77</v>
      </c>
      <c r="E2084" s="28" t="s">
        <v>77</v>
      </c>
      <c r="F2084" s="28" t="s">
        <v>77</v>
      </c>
      <c r="G2084" s="28" t="s">
        <v>77</v>
      </c>
      <c r="I2084" s="26" t="s">
        <v>77</v>
      </c>
      <c r="J2084" s="26" t="s">
        <v>77</v>
      </c>
      <c r="K2084" s="18"/>
      <c r="L2084" s="26" t="s">
        <v>77</v>
      </c>
      <c r="M2084" s="6" t="s">
        <v>77</v>
      </c>
      <c r="N2084" s="28" t="s">
        <v>77</v>
      </c>
      <c r="O2084" s="26" t="s">
        <v>77</v>
      </c>
    </row>
    <row r="2085">
      <c r="A2085" s="52" t="s">
        <v>77</v>
      </c>
      <c r="B2085" s="28" t="s">
        <v>77</v>
      </c>
      <c r="C2085" s="28" t="s">
        <v>77</v>
      </c>
      <c r="D2085" s="28" t="s">
        <v>77</v>
      </c>
      <c r="E2085" s="28" t="s">
        <v>77</v>
      </c>
      <c r="F2085" s="28" t="s">
        <v>77</v>
      </c>
      <c r="G2085" s="28" t="s">
        <v>77</v>
      </c>
      <c r="I2085" s="26" t="s">
        <v>77</v>
      </c>
      <c r="J2085" s="26" t="s">
        <v>77</v>
      </c>
      <c r="K2085" s="18"/>
      <c r="L2085" s="26" t="s">
        <v>77</v>
      </c>
      <c r="M2085" s="6" t="s">
        <v>77</v>
      </c>
      <c r="N2085" s="28" t="s">
        <v>77</v>
      </c>
      <c r="O2085" s="26" t="s">
        <v>77</v>
      </c>
    </row>
    <row r="2086">
      <c r="A2086" s="52" t="s">
        <v>77</v>
      </c>
      <c r="B2086" s="28" t="s">
        <v>77</v>
      </c>
      <c r="C2086" s="28" t="s">
        <v>77</v>
      </c>
      <c r="D2086" s="28" t="s">
        <v>77</v>
      </c>
      <c r="E2086" s="28" t="s">
        <v>77</v>
      </c>
      <c r="F2086" s="28" t="s">
        <v>77</v>
      </c>
      <c r="G2086" s="28" t="s">
        <v>77</v>
      </c>
      <c r="I2086" s="26" t="s">
        <v>77</v>
      </c>
      <c r="J2086" s="26" t="s">
        <v>77</v>
      </c>
      <c r="K2086" s="18"/>
      <c r="L2086" s="26" t="s">
        <v>77</v>
      </c>
      <c r="M2086" s="6" t="s">
        <v>77</v>
      </c>
      <c r="N2086" s="28" t="s">
        <v>77</v>
      </c>
      <c r="O2086" s="26" t="s">
        <v>77</v>
      </c>
    </row>
    <row r="2087">
      <c r="A2087" s="52" t="s">
        <v>77</v>
      </c>
      <c r="B2087" s="28" t="s">
        <v>77</v>
      </c>
      <c r="C2087" s="28" t="s">
        <v>77</v>
      </c>
      <c r="D2087" s="28" t="s">
        <v>77</v>
      </c>
      <c r="E2087" s="28" t="s">
        <v>77</v>
      </c>
      <c r="F2087" s="28" t="s">
        <v>77</v>
      </c>
      <c r="G2087" s="28" t="s">
        <v>77</v>
      </c>
      <c r="I2087" s="26" t="s">
        <v>77</v>
      </c>
      <c r="J2087" s="26" t="s">
        <v>77</v>
      </c>
      <c r="K2087" s="18"/>
      <c r="L2087" s="26" t="s">
        <v>77</v>
      </c>
      <c r="M2087" s="6" t="s">
        <v>77</v>
      </c>
      <c r="N2087" s="28" t="s">
        <v>77</v>
      </c>
      <c r="O2087" s="26" t="s">
        <v>77</v>
      </c>
    </row>
    <row r="2088">
      <c r="A2088" s="52" t="s">
        <v>77</v>
      </c>
      <c r="B2088" s="28" t="s">
        <v>77</v>
      </c>
      <c r="C2088" s="28" t="s">
        <v>77</v>
      </c>
      <c r="D2088" s="28" t="s">
        <v>77</v>
      </c>
      <c r="E2088" s="28" t="s">
        <v>77</v>
      </c>
      <c r="F2088" s="28" t="s">
        <v>77</v>
      </c>
      <c r="G2088" s="28" t="s">
        <v>77</v>
      </c>
      <c r="I2088" s="26" t="s">
        <v>77</v>
      </c>
      <c r="J2088" s="26" t="s">
        <v>77</v>
      </c>
      <c r="K2088" s="18"/>
      <c r="L2088" s="26" t="s">
        <v>77</v>
      </c>
      <c r="M2088" s="6" t="s">
        <v>77</v>
      </c>
      <c r="N2088" s="28" t="s">
        <v>77</v>
      </c>
      <c r="O2088" s="26" t="s">
        <v>77</v>
      </c>
    </row>
    <row r="2089">
      <c r="A2089" s="52" t="s">
        <v>77</v>
      </c>
      <c r="B2089" s="28" t="s">
        <v>77</v>
      </c>
      <c r="C2089" s="28" t="s">
        <v>77</v>
      </c>
      <c r="D2089" s="28" t="s">
        <v>77</v>
      </c>
      <c r="E2089" s="28" t="s">
        <v>77</v>
      </c>
      <c r="F2089" s="28" t="s">
        <v>77</v>
      </c>
      <c r="G2089" s="28" t="s">
        <v>77</v>
      </c>
      <c r="I2089" s="26" t="s">
        <v>77</v>
      </c>
      <c r="J2089" s="26" t="s">
        <v>77</v>
      </c>
      <c r="K2089" s="18"/>
      <c r="L2089" s="26" t="s">
        <v>77</v>
      </c>
      <c r="M2089" s="6" t="s">
        <v>77</v>
      </c>
      <c r="N2089" s="28" t="s">
        <v>77</v>
      </c>
      <c r="O2089" s="26" t="s">
        <v>77</v>
      </c>
    </row>
    <row r="2090">
      <c r="A2090" s="52" t="s">
        <v>77</v>
      </c>
      <c r="B2090" s="28" t="s">
        <v>77</v>
      </c>
      <c r="C2090" s="28" t="s">
        <v>77</v>
      </c>
      <c r="D2090" s="28" t="s">
        <v>77</v>
      </c>
      <c r="E2090" s="28" t="s">
        <v>77</v>
      </c>
      <c r="F2090" s="28" t="s">
        <v>77</v>
      </c>
      <c r="G2090" s="28" t="s">
        <v>77</v>
      </c>
      <c r="I2090" s="26" t="s">
        <v>77</v>
      </c>
      <c r="J2090" s="26" t="s">
        <v>77</v>
      </c>
      <c r="K2090" s="18"/>
      <c r="L2090" s="26" t="s">
        <v>77</v>
      </c>
      <c r="M2090" s="6" t="s">
        <v>77</v>
      </c>
      <c r="N2090" s="28" t="s">
        <v>77</v>
      </c>
      <c r="O2090" s="26" t="s">
        <v>77</v>
      </c>
    </row>
    <row r="2091">
      <c r="A2091" s="52" t="s">
        <v>77</v>
      </c>
      <c r="B2091" s="28" t="s">
        <v>77</v>
      </c>
      <c r="C2091" s="28" t="s">
        <v>77</v>
      </c>
      <c r="D2091" s="28" t="s">
        <v>77</v>
      </c>
      <c r="E2091" s="28" t="s">
        <v>77</v>
      </c>
      <c r="F2091" s="28" t="s">
        <v>77</v>
      </c>
      <c r="G2091" s="28" t="s">
        <v>77</v>
      </c>
      <c r="I2091" s="26" t="s">
        <v>77</v>
      </c>
      <c r="J2091" s="26" t="s">
        <v>77</v>
      </c>
      <c r="K2091" s="18"/>
      <c r="L2091" s="26" t="s">
        <v>77</v>
      </c>
      <c r="M2091" s="6" t="s">
        <v>77</v>
      </c>
      <c r="N2091" s="28" t="s">
        <v>77</v>
      </c>
      <c r="O2091" s="26" t="s">
        <v>77</v>
      </c>
    </row>
    <row r="2092">
      <c r="A2092" s="52" t="s">
        <v>77</v>
      </c>
      <c r="B2092" s="28" t="s">
        <v>77</v>
      </c>
      <c r="C2092" s="28" t="s">
        <v>77</v>
      </c>
      <c r="D2092" s="28" t="s">
        <v>77</v>
      </c>
      <c r="E2092" s="28" t="s">
        <v>77</v>
      </c>
      <c r="F2092" s="28" t="s">
        <v>77</v>
      </c>
      <c r="G2092" s="28" t="s">
        <v>77</v>
      </c>
      <c r="I2092" s="26" t="s">
        <v>77</v>
      </c>
      <c r="J2092" s="26" t="s">
        <v>77</v>
      </c>
      <c r="K2092" s="18"/>
      <c r="L2092" s="26" t="s">
        <v>77</v>
      </c>
      <c r="M2092" s="6" t="s">
        <v>77</v>
      </c>
      <c r="N2092" s="28" t="s">
        <v>77</v>
      </c>
      <c r="O2092" s="26" t="s">
        <v>77</v>
      </c>
    </row>
    <row r="2093">
      <c r="A2093" s="52" t="s">
        <v>77</v>
      </c>
      <c r="B2093" s="28" t="s">
        <v>77</v>
      </c>
      <c r="C2093" s="28" t="s">
        <v>77</v>
      </c>
      <c r="D2093" s="28" t="s">
        <v>77</v>
      </c>
      <c r="E2093" s="28" t="s">
        <v>77</v>
      </c>
      <c r="F2093" s="28" t="s">
        <v>77</v>
      </c>
      <c r="G2093" s="28" t="s">
        <v>77</v>
      </c>
      <c r="I2093" s="26" t="s">
        <v>77</v>
      </c>
      <c r="J2093" s="26" t="s">
        <v>77</v>
      </c>
      <c r="K2093" s="18"/>
      <c r="L2093" s="26" t="s">
        <v>77</v>
      </c>
      <c r="M2093" s="6" t="s">
        <v>77</v>
      </c>
      <c r="N2093" s="28" t="s">
        <v>77</v>
      </c>
      <c r="O2093" s="26" t="s">
        <v>77</v>
      </c>
    </row>
    <row r="2094">
      <c r="A2094" s="52" t="s">
        <v>77</v>
      </c>
      <c r="B2094" s="28" t="s">
        <v>77</v>
      </c>
      <c r="C2094" s="28" t="s">
        <v>77</v>
      </c>
      <c r="D2094" s="28" t="s">
        <v>77</v>
      </c>
      <c r="E2094" s="28" t="s">
        <v>77</v>
      </c>
      <c r="F2094" s="28" t="s">
        <v>77</v>
      </c>
      <c r="G2094" s="28" t="s">
        <v>77</v>
      </c>
      <c r="I2094" s="26" t="s">
        <v>77</v>
      </c>
      <c r="J2094" s="26" t="s">
        <v>77</v>
      </c>
      <c r="K2094" s="18"/>
      <c r="L2094" s="26" t="s">
        <v>77</v>
      </c>
      <c r="M2094" s="6" t="s">
        <v>77</v>
      </c>
      <c r="N2094" s="28" t="s">
        <v>77</v>
      </c>
      <c r="O2094" s="26" t="s">
        <v>77</v>
      </c>
    </row>
    <row r="2095">
      <c r="A2095" s="52" t="s">
        <v>77</v>
      </c>
      <c r="B2095" s="28" t="s">
        <v>77</v>
      </c>
      <c r="C2095" s="28" t="s">
        <v>77</v>
      </c>
      <c r="D2095" s="28" t="s">
        <v>77</v>
      </c>
      <c r="E2095" s="28" t="s">
        <v>77</v>
      </c>
      <c r="F2095" s="28" t="s">
        <v>77</v>
      </c>
      <c r="G2095" s="28" t="s">
        <v>77</v>
      </c>
      <c r="I2095" s="26" t="s">
        <v>77</v>
      </c>
      <c r="J2095" s="26" t="s">
        <v>77</v>
      </c>
      <c r="K2095" s="18"/>
      <c r="L2095" s="26" t="s">
        <v>77</v>
      </c>
      <c r="M2095" s="6" t="s">
        <v>77</v>
      </c>
      <c r="N2095" s="28" t="s">
        <v>77</v>
      </c>
      <c r="O2095" s="26" t="s">
        <v>77</v>
      </c>
    </row>
    <row r="2096">
      <c r="A2096" s="52" t="s">
        <v>77</v>
      </c>
      <c r="B2096" s="28" t="s">
        <v>77</v>
      </c>
      <c r="C2096" s="28" t="s">
        <v>77</v>
      </c>
      <c r="D2096" s="28" t="s">
        <v>77</v>
      </c>
      <c r="E2096" s="28" t="s">
        <v>77</v>
      </c>
      <c r="F2096" s="28" t="s">
        <v>77</v>
      </c>
      <c r="G2096" s="28" t="s">
        <v>77</v>
      </c>
      <c r="I2096" s="26" t="s">
        <v>77</v>
      </c>
      <c r="J2096" s="26" t="s">
        <v>77</v>
      </c>
      <c r="K2096" s="18"/>
      <c r="L2096" s="26" t="s">
        <v>77</v>
      </c>
      <c r="M2096" s="6" t="s">
        <v>77</v>
      </c>
      <c r="N2096" s="28" t="s">
        <v>77</v>
      </c>
      <c r="O2096" s="26" t="s">
        <v>77</v>
      </c>
    </row>
    <row r="2097">
      <c r="A2097" s="52" t="s">
        <v>77</v>
      </c>
      <c r="B2097" s="28" t="s">
        <v>77</v>
      </c>
      <c r="C2097" s="28" t="s">
        <v>77</v>
      </c>
      <c r="D2097" s="28" t="s">
        <v>77</v>
      </c>
      <c r="E2097" s="28" t="s">
        <v>77</v>
      </c>
      <c r="F2097" s="28" t="s">
        <v>77</v>
      </c>
      <c r="G2097" s="28" t="s">
        <v>77</v>
      </c>
      <c r="I2097" s="26" t="s">
        <v>77</v>
      </c>
      <c r="J2097" s="26" t="s">
        <v>77</v>
      </c>
      <c r="K2097" s="18"/>
      <c r="L2097" s="26" t="s">
        <v>77</v>
      </c>
      <c r="M2097" s="6" t="s">
        <v>77</v>
      </c>
      <c r="N2097" s="28" t="s">
        <v>77</v>
      </c>
      <c r="O2097" s="26" t="s">
        <v>77</v>
      </c>
    </row>
    <row r="2098">
      <c r="A2098" s="52" t="s">
        <v>77</v>
      </c>
      <c r="B2098" s="28" t="s">
        <v>77</v>
      </c>
      <c r="C2098" s="28" t="s">
        <v>77</v>
      </c>
      <c r="D2098" s="28" t="s">
        <v>77</v>
      </c>
      <c r="E2098" s="28" t="s">
        <v>77</v>
      </c>
      <c r="F2098" s="28" t="s">
        <v>77</v>
      </c>
      <c r="G2098" s="28" t="s">
        <v>77</v>
      </c>
      <c r="I2098" s="26" t="s">
        <v>77</v>
      </c>
      <c r="J2098" s="26" t="s">
        <v>77</v>
      </c>
      <c r="K2098" s="18"/>
      <c r="L2098" s="26" t="s">
        <v>77</v>
      </c>
      <c r="M2098" s="6" t="s">
        <v>77</v>
      </c>
      <c r="N2098" s="28" t="s">
        <v>77</v>
      </c>
      <c r="O2098" s="26" t="s">
        <v>77</v>
      </c>
    </row>
    <row r="2099">
      <c r="A2099" s="52" t="s">
        <v>77</v>
      </c>
      <c r="B2099" s="28" t="s">
        <v>77</v>
      </c>
      <c r="C2099" s="28" t="s">
        <v>77</v>
      </c>
      <c r="D2099" s="28" t="s">
        <v>77</v>
      </c>
      <c r="E2099" s="28" t="s">
        <v>77</v>
      </c>
      <c r="F2099" s="28" t="s">
        <v>77</v>
      </c>
      <c r="G2099" s="28" t="s">
        <v>77</v>
      </c>
      <c r="I2099" s="26" t="s">
        <v>77</v>
      </c>
      <c r="J2099" s="26" t="s">
        <v>77</v>
      </c>
      <c r="K2099" s="18"/>
      <c r="L2099" s="26" t="s">
        <v>77</v>
      </c>
      <c r="M2099" s="6" t="s">
        <v>77</v>
      </c>
      <c r="N2099" s="28" t="s">
        <v>77</v>
      </c>
      <c r="O2099" s="26" t="s">
        <v>77</v>
      </c>
    </row>
    <row r="2100">
      <c r="A2100" s="52" t="s">
        <v>77</v>
      </c>
      <c r="B2100" s="28" t="s">
        <v>77</v>
      </c>
      <c r="C2100" s="28" t="s">
        <v>77</v>
      </c>
      <c r="D2100" s="28" t="s">
        <v>77</v>
      </c>
      <c r="E2100" s="28" t="s">
        <v>77</v>
      </c>
      <c r="F2100" s="28" t="s">
        <v>77</v>
      </c>
      <c r="G2100" s="28" t="s">
        <v>77</v>
      </c>
      <c r="I2100" s="26" t="s">
        <v>77</v>
      </c>
      <c r="J2100" s="26" t="s">
        <v>77</v>
      </c>
      <c r="K2100" s="18"/>
      <c r="L2100" s="26" t="s">
        <v>77</v>
      </c>
      <c r="M2100" s="6" t="s">
        <v>77</v>
      </c>
      <c r="N2100" s="28" t="s">
        <v>77</v>
      </c>
      <c r="O2100" s="26" t="s">
        <v>77</v>
      </c>
    </row>
    <row r="2101">
      <c r="A2101" s="52" t="s">
        <v>77</v>
      </c>
      <c r="B2101" s="28" t="s">
        <v>77</v>
      </c>
      <c r="C2101" s="28" t="s">
        <v>77</v>
      </c>
      <c r="D2101" s="28" t="s">
        <v>77</v>
      </c>
      <c r="E2101" s="28" t="s">
        <v>77</v>
      </c>
      <c r="F2101" s="28" t="s">
        <v>77</v>
      </c>
      <c r="G2101" s="28" t="s">
        <v>77</v>
      </c>
      <c r="I2101" s="26" t="s">
        <v>77</v>
      </c>
      <c r="J2101" s="26" t="s">
        <v>77</v>
      </c>
      <c r="K2101" s="18"/>
      <c r="L2101" s="26" t="s">
        <v>77</v>
      </c>
      <c r="M2101" s="6" t="s">
        <v>77</v>
      </c>
      <c r="N2101" s="28" t="s">
        <v>77</v>
      </c>
      <c r="O2101" s="26" t="s">
        <v>77</v>
      </c>
    </row>
    <row r="2102">
      <c r="A2102" s="52" t="s">
        <v>77</v>
      </c>
      <c r="B2102" s="28" t="s">
        <v>77</v>
      </c>
      <c r="C2102" s="28" t="s">
        <v>77</v>
      </c>
      <c r="D2102" s="28" t="s">
        <v>77</v>
      </c>
      <c r="E2102" s="28" t="s">
        <v>77</v>
      </c>
      <c r="F2102" s="28" t="s">
        <v>77</v>
      </c>
      <c r="G2102" s="28" t="s">
        <v>77</v>
      </c>
      <c r="I2102" s="26" t="s">
        <v>77</v>
      </c>
      <c r="J2102" s="26" t="s">
        <v>77</v>
      </c>
      <c r="K2102" s="18"/>
      <c r="L2102" s="26" t="s">
        <v>77</v>
      </c>
      <c r="M2102" s="6" t="s">
        <v>77</v>
      </c>
      <c r="N2102" s="28" t="s">
        <v>77</v>
      </c>
      <c r="O2102" s="26" t="s">
        <v>77</v>
      </c>
    </row>
    <row r="2103">
      <c r="A2103" s="52" t="s">
        <v>77</v>
      </c>
      <c r="B2103" s="28" t="s">
        <v>77</v>
      </c>
      <c r="C2103" s="28" t="s">
        <v>77</v>
      </c>
      <c r="D2103" s="28" t="s">
        <v>77</v>
      </c>
      <c r="E2103" s="28" t="s">
        <v>77</v>
      </c>
      <c r="F2103" s="28" t="s">
        <v>77</v>
      </c>
      <c r="G2103" s="28" t="s">
        <v>77</v>
      </c>
      <c r="I2103" s="26" t="s">
        <v>77</v>
      </c>
      <c r="J2103" s="26" t="s">
        <v>77</v>
      </c>
      <c r="K2103" s="18"/>
      <c r="L2103" s="26" t="s">
        <v>77</v>
      </c>
      <c r="M2103" s="6" t="s">
        <v>77</v>
      </c>
      <c r="N2103" s="28" t="s">
        <v>77</v>
      </c>
      <c r="O2103" s="26" t="s">
        <v>77</v>
      </c>
    </row>
    <row r="2104">
      <c r="A2104" s="52" t="s">
        <v>77</v>
      </c>
      <c r="B2104" s="28" t="s">
        <v>77</v>
      </c>
      <c r="C2104" s="28" t="s">
        <v>77</v>
      </c>
      <c r="D2104" s="28" t="s">
        <v>77</v>
      </c>
      <c r="E2104" s="28" t="s">
        <v>77</v>
      </c>
      <c r="F2104" s="28" t="s">
        <v>77</v>
      </c>
      <c r="G2104" s="28" t="s">
        <v>77</v>
      </c>
      <c r="I2104" s="26" t="s">
        <v>77</v>
      </c>
      <c r="J2104" s="26" t="s">
        <v>77</v>
      </c>
      <c r="K2104" s="18"/>
      <c r="L2104" s="26" t="s">
        <v>77</v>
      </c>
      <c r="M2104" s="6" t="s">
        <v>77</v>
      </c>
      <c r="N2104" s="28" t="s">
        <v>77</v>
      </c>
      <c r="O2104" s="26" t="s">
        <v>77</v>
      </c>
    </row>
    <row r="2105">
      <c r="A2105" s="52" t="s">
        <v>77</v>
      </c>
      <c r="B2105" s="28" t="s">
        <v>77</v>
      </c>
      <c r="C2105" s="28" t="s">
        <v>77</v>
      </c>
      <c r="D2105" s="28" t="s">
        <v>77</v>
      </c>
      <c r="E2105" s="28" t="s">
        <v>77</v>
      </c>
      <c r="F2105" s="28" t="s">
        <v>77</v>
      </c>
      <c r="G2105" s="28" t="s">
        <v>77</v>
      </c>
      <c r="I2105" s="26" t="s">
        <v>77</v>
      </c>
      <c r="J2105" s="26" t="s">
        <v>77</v>
      </c>
      <c r="K2105" s="18"/>
      <c r="L2105" s="26" t="s">
        <v>77</v>
      </c>
      <c r="M2105" s="6" t="s">
        <v>77</v>
      </c>
      <c r="N2105" s="28" t="s">
        <v>77</v>
      </c>
      <c r="O2105" s="26" t="s">
        <v>77</v>
      </c>
    </row>
    <row r="2106">
      <c r="A2106" s="52" t="s">
        <v>77</v>
      </c>
      <c r="B2106" s="28" t="s">
        <v>77</v>
      </c>
      <c r="C2106" s="28" t="s">
        <v>77</v>
      </c>
      <c r="D2106" s="28" t="s">
        <v>77</v>
      </c>
      <c r="E2106" s="28" t="s">
        <v>77</v>
      </c>
      <c r="F2106" s="28" t="s">
        <v>77</v>
      </c>
      <c r="G2106" s="28" t="s">
        <v>77</v>
      </c>
      <c r="I2106" s="26" t="s">
        <v>77</v>
      </c>
      <c r="J2106" s="26" t="s">
        <v>77</v>
      </c>
      <c r="K2106" s="18"/>
      <c r="L2106" s="26" t="s">
        <v>77</v>
      </c>
      <c r="M2106" s="6" t="s">
        <v>77</v>
      </c>
      <c r="N2106" s="28" t="s">
        <v>77</v>
      </c>
      <c r="O2106" s="26" t="s">
        <v>77</v>
      </c>
    </row>
    <row r="2107">
      <c r="A2107" s="52" t="s">
        <v>77</v>
      </c>
      <c r="B2107" s="28" t="s">
        <v>77</v>
      </c>
      <c r="C2107" s="28" t="s">
        <v>77</v>
      </c>
      <c r="D2107" s="28" t="s">
        <v>77</v>
      </c>
      <c r="E2107" s="28" t="s">
        <v>77</v>
      </c>
      <c r="F2107" s="28" t="s">
        <v>77</v>
      </c>
      <c r="G2107" s="28" t="s">
        <v>77</v>
      </c>
      <c r="I2107" s="26" t="s">
        <v>77</v>
      </c>
      <c r="J2107" s="26" t="s">
        <v>77</v>
      </c>
      <c r="K2107" s="18"/>
      <c r="L2107" s="26" t="s">
        <v>77</v>
      </c>
      <c r="M2107" s="6" t="s">
        <v>77</v>
      </c>
      <c r="N2107" s="28" t="s">
        <v>77</v>
      </c>
      <c r="O2107" s="26" t="s">
        <v>77</v>
      </c>
    </row>
    <row r="2108">
      <c r="A2108" s="52" t="s">
        <v>77</v>
      </c>
      <c r="B2108" s="28" t="s">
        <v>77</v>
      </c>
      <c r="C2108" s="28" t="s">
        <v>77</v>
      </c>
      <c r="D2108" s="28" t="s">
        <v>77</v>
      </c>
      <c r="E2108" s="28" t="s">
        <v>77</v>
      </c>
      <c r="F2108" s="28" t="s">
        <v>77</v>
      </c>
      <c r="G2108" s="28" t="s">
        <v>77</v>
      </c>
      <c r="I2108" s="26" t="s">
        <v>77</v>
      </c>
      <c r="J2108" s="26" t="s">
        <v>77</v>
      </c>
      <c r="K2108" s="18"/>
      <c r="L2108" s="26" t="s">
        <v>77</v>
      </c>
      <c r="M2108" s="6" t="s">
        <v>77</v>
      </c>
      <c r="N2108" s="28" t="s">
        <v>77</v>
      </c>
      <c r="O2108" s="26" t="s">
        <v>77</v>
      </c>
    </row>
    <row r="2109">
      <c r="A2109" s="52" t="s">
        <v>77</v>
      </c>
      <c r="B2109" s="28" t="s">
        <v>77</v>
      </c>
      <c r="C2109" s="28" t="s">
        <v>77</v>
      </c>
      <c r="D2109" s="28" t="s">
        <v>77</v>
      </c>
      <c r="E2109" s="28" t="s">
        <v>77</v>
      </c>
      <c r="F2109" s="28" t="s">
        <v>77</v>
      </c>
      <c r="G2109" s="28" t="s">
        <v>77</v>
      </c>
      <c r="I2109" s="26" t="s">
        <v>77</v>
      </c>
      <c r="J2109" s="26" t="s">
        <v>77</v>
      </c>
      <c r="K2109" s="18"/>
      <c r="L2109" s="26" t="s">
        <v>77</v>
      </c>
      <c r="M2109" s="6" t="s">
        <v>77</v>
      </c>
      <c r="N2109" s="28" t="s">
        <v>77</v>
      </c>
      <c r="O2109" s="26" t="s">
        <v>77</v>
      </c>
    </row>
    <row r="2110">
      <c r="A2110" s="52" t="s">
        <v>77</v>
      </c>
      <c r="B2110" s="28" t="s">
        <v>77</v>
      </c>
      <c r="C2110" s="28" t="s">
        <v>77</v>
      </c>
      <c r="D2110" s="28" t="s">
        <v>77</v>
      </c>
      <c r="E2110" s="28" t="s">
        <v>77</v>
      </c>
      <c r="F2110" s="28" t="s">
        <v>77</v>
      </c>
      <c r="G2110" s="28" t="s">
        <v>77</v>
      </c>
      <c r="I2110" s="26" t="s">
        <v>77</v>
      </c>
      <c r="J2110" s="26" t="s">
        <v>77</v>
      </c>
      <c r="K2110" s="18"/>
      <c r="L2110" s="26" t="s">
        <v>77</v>
      </c>
      <c r="M2110" s="6" t="s">
        <v>77</v>
      </c>
      <c r="N2110" s="28" t="s">
        <v>77</v>
      </c>
      <c r="O2110" s="26" t="s">
        <v>77</v>
      </c>
    </row>
    <row r="2111">
      <c r="A2111" s="52" t="s">
        <v>77</v>
      </c>
      <c r="B2111" s="28" t="s">
        <v>77</v>
      </c>
      <c r="C2111" s="28" t="s">
        <v>77</v>
      </c>
      <c r="D2111" s="28" t="s">
        <v>77</v>
      </c>
      <c r="E2111" s="28" t="s">
        <v>77</v>
      </c>
      <c r="F2111" s="28" t="s">
        <v>77</v>
      </c>
      <c r="G2111" s="28" t="s">
        <v>77</v>
      </c>
      <c r="I2111" s="26" t="s">
        <v>77</v>
      </c>
      <c r="J2111" s="26" t="s">
        <v>77</v>
      </c>
      <c r="K2111" s="18"/>
      <c r="L2111" s="26" t="s">
        <v>77</v>
      </c>
      <c r="M2111" s="6" t="s">
        <v>77</v>
      </c>
      <c r="N2111" s="28" t="s">
        <v>77</v>
      </c>
      <c r="O2111" s="26" t="s">
        <v>77</v>
      </c>
    </row>
    <row r="2112">
      <c r="A2112" s="52" t="s">
        <v>77</v>
      </c>
      <c r="B2112" s="28" t="s">
        <v>77</v>
      </c>
      <c r="C2112" s="28" t="s">
        <v>77</v>
      </c>
      <c r="D2112" s="28" t="s">
        <v>77</v>
      </c>
      <c r="E2112" s="28" t="s">
        <v>77</v>
      </c>
      <c r="F2112" s="28" t="s">
        <v>77</v>
      </c>
      <c r="G2112" s="28" t="s">
        <v>77</v>
      </c>
      <c r="I2112" s="26" t="s">
        <v>77</v>
      </c>
      <c r="J2112" s="26" t="s">
        <v>77</v>
      </c>
      <c r="K2112" s="18"/>
      <c r="L2112" s="26" t="s">
        <v>77</v>
      </c>
      <c r="M2112" s="6" t="s">
        <v>77</v>
      </c>
      <c r="N2112" s="28" t="s">
        <v>77</v>
      </c>
      <c r="O2112" s="26" t="s">
        <v>77</v>
      </c>
    </row>
    <row r="2113">
      <c r="A2113" s="52" t="s">
        <v>77</v>
      </c>
      <c r="B2113" s="28" t="s">
        <v>77</v>
      </c>
      <c r="C2113" s="28" t="s">
        <v>77</v>
      </c>
      <c r="D2113" s="28" t="s">
        <v>77</v>
      </c>
      <c r="E2113" s="28" t="s">
        <v>77</v>
      </c>
      <c r="F2113" s="28" t="s">
        <v>77</v>
      </c>
      <c r="G2113" s="28" t="s">
        <v>77</v>
      </c>
      <c r="I2113" s="26" t="s">
        <v>77</v>
      </c>
      <c r="J2113" s="26" t="s">
        <v>77</v>
      </c>
      <c r="K2113" s="18"/>
      <c r="L2113" s="26" t="s">
        <v>77</v>
      </c>
      <c r="M2113" s="6" t="s">
        <v>77</v>
      </c>
      <c r="N2113" s="28" t="s">
        <v>77</v>
      </c>
      <c r="O2113" s="26" t="s">
        <v>77</v>
      </c>
    </row>
    <row r="2114">
      <c r="A2114" s="52" t="s">
        <v>77</v>
      </c>
      <c r="B2114" s="28" t="s">
        <v>77</v>
      </c>
      <c r="C2114" s="28" t="s">
        <v>77</v>
      </c>
      <c r="D2114" s="28" t="s">
        <v>77</v>
      </c>
      <c r="E2114" s="28" t="s">
        <v>77</v>
      </c>
      <c r="F2114" s="28" t="s">
        <v>77</v>
      </c>
      <c r="G2114" s="28" t="s">
        <v>77</v>
      </c>
      <c r="I2114" s="26" t="s">
        <v>77</v>
      </c>
      <c r="J2114" s="26" t="s">
        <v>77</v>
      </c>
      <c r="K2114" s="18"/>
      <c r="L2114" s="26" t="s">
        <v>77</v>
      </c>
      <c r="M2114" s="6" t="s">
        <v>77</v>
      </c>
      <c r="N2114" s="28" t="s">
        <v>77</v>
      </c>
      <c r="O2114" s="26" t="s">
        <v>77</v>
      </c>
    </row>
    <row r="2115">
      <c r="A2115" s="52" t="s">
        <v>77</v>
      </c>
      <c r="B2115" s="28" t="s">
        <v>77</v>
      </c>
      <c r="C2115" s="28" t="s">
        <v>77</v>
      </c>
      <c r="D2115" s="28" t="s">
        <v>77</v>
      </c>
      <c r="E2115" s="28" t="s">
        <v>77</v>
      </c>
      <c r="F2115" s="28" t="s">
        <v>77</v>
      </c>
      <c r="G2115" s="28" t="s">
        <v>77</v>
      </c>
      <c r="I2115" s="26" t="s">
        <v>77</v>
      </c>
      <c r="J2115" s="26" t="s">
        <v>77</v>
      </c>
      <c r="K2115" s="18"/>
      <c r="L2115" s="26" t="s">
        <v>77</v>
      </c>
      <c r="M2115" s="6" t="s">
        <v>77</v>
      </c>
      <c r="N2115" s="28" t="s">
        <v>77</v>
      </c>
      <c r="O2115" s="26" t="s">
        <v>77</v>
      </c>
    </row>
    <row r="2116">
      <c r="A2116" s="52" t="s">
        <v>77</v>
      </c>
      <c r="B2116" s="28" t="s">
        <v>77</v>
      </c>
      <c r="C2116" s="28" t="s">
        <v>77</v>
      </c>
      <c r="D2116" s="28" t="s">
        <v>77</v>
      </c>
      <c r="E2116" s="28" t="s">
        <v>77</v>
      </c>
      <c r="F2116" s="28" t="s">
        <v>77</v>
      </c>
      <c r="G2116" s="28" t="s">
        <v>77</v>
      </c>
      <c r="I2116" s="26" t="s">
        <v>77</v>
      </c>
      <c r="J2116" s="26" t="s">
        <v>77</v>
      </c>
      <c r="K2116" s="18"/>
      <c r="L2116" s="26" t="s">
        <v>77</v>
      </c>
      <c r="M2116" s="6" t="s">
        <v>77</v>
      </c>
      <c r="N2116" s="28" t="s">
        <v>77</v>
      </c>
      <c r="O2116" s="26" t="s">
        <v>77</v>
      </c>
    </row>
    <row r="2117">
      <c r="A2117" s="52" t="s">
        <v>77</v>
      </c>
      <c r="B2117" s="28" t="s">
        <v>77</v>
      </c>
      <c r="C2117" s="28" t="s">
        <v>77</v>
      </c>
      <c r="D2117" s="28" t="s">
        <v>77</v>
      </c>
      <c r="E2117" s="28" t="s">
        <v>77</v>
      </c>
      <c r="F2117" s="28" t="s">
        <v>77</v>
      </c>
      <c r="G2117" s="28" t="s">
        <v>77</v>
      </c>
      <c r="I2117" s="26" t="s">
        <v>77</v>
      </c>
      <c r="J2117" s="26" t="s">
        <v>77</v>
      </c>
      <c r="K2117" s="18"/>
      <c r="L2117" s="26" t="s">
        <v>77</v>
      </c>
      <c r="M2117" s="6" t="s">
        <v>77</v>
      </c>
      <c r="N2117" s="28" t="s">
        <v>77</v>
      </c>
      <c r="O2117" s="26" t="s">
        <v>77</v>
      </c>
    </row>
    <row r="2118">
      <c r="A2118" s="52" t="s">
        <v>77</v>
      </c>
      <c r="B2118" s="28" t="s">
        <v>77</v>
      </c>
      <c r="C2118" s="28" t="s">
        <v>77</v>
      </c>
      <c r="D2118" s="28" t="s">
        <v>77</v>
      </c>
      <c r="E2118" s="28" t="s">
        <v>77</v>
      </c>
      <c r="F2118" s="28" t="s">
        <v>77</v>
      </c>
      <c r="G2118" s="28" t="s">
        <v>77</v>
      </c>
      <c r="I2118" s="26" t="s">
        <v>77</v>
      </c>
      <c r="J2118" s="26" t="s">
        <v>77</v>
      </c>
      <c r="K2118" s="18"/>
      <c r="L2118" s="26" t="s">
        <v>77</v>
      </c>
      <c r="M2118" s="6" t="s">
        <v>77</v>
      </c>
      <c r="N2118" s="28" t="s">
        <v>77</v>
      </c>
      <c r="O2118" s="26" t="s">
        <v>77</v>
      </c>
    </row>
    <row r="2119">
      <c r="A2119" s="52" t="s">
        <v>77</v>
      </c>
      <c r="B2119" s="28" t="s">
        <v>77</v>
      </c>
      <c r="C2119" s="28" t="s">
        <v>77</v>
      </c>
      <c r="D2119" s="28" t="s">
        <v>77</v>
      </c>
      <c r="E2119" s="28" t="s">
        <v>77</v>
      </c>
      <c r="F2119" s="28" t="s">
        <v>77</v>
      </c>
      <c r="G2119" s="28" t="s">
        <v>77</v>
      </c>
      <c r="I2119" s="26" t="s">
        <v>77</v>
      </c>
      <c r="J2119" s="26" t="s">
        <v>77</v>
      </c>
      <c r="K2119" s="18"/>
      <c r="L2119" s="26" t="s">
        <v>77</v>
      </c>
      <c r="M2119" s="6" t="s">
        <v>77</v>
      </c>
      <c r="N2119" s="28" t="s">
        <v>77</v>
      </c>
      <c r="O2119" s="26" t="s">
        <v>77</v>
      </c>
    </row>
    <row r="2120">
      <c r="A2120" s="52" t="s">
        <v>77</v>
      </c>
      <c r="B2120" s="28" t="s">
        <v>77</v>
      </c>
      <c r="C2120" s="28" t="s">
        <v>77</v>
      </c>
      <c r="D2120" s="28" t="s">
        <v>77</v>
      </c>
      <c r="E2120" s="28" t="s">
        <v>77</v>
      </c>
      <c r="F2120" s="28" t="s">
        <v>77</v>
      </c>
      <c r="G2120" s="28" t="s">
        <v>77</v>
      </c>
      <c r="I2120" s="26" t="s">
        <v>77</v>
      </c>
      <c r="J2120" s="26" t="s">
        <v>77</v>
      </c>
      <c r="K2120" s="18"/>
      <c r="L2120" s="26" t="s">
        <v>77</v>
      </c>
      <c r="M2120" s="6" t="s">
        <v>77</v>
      </c>
      <c r="N2120" s="28" t="s">
        <v>77</v>
      </c>
      <c r="O2120" s="26" t="s">
        <v>77</v>
      </c>
    </row>
    <row r="2121">
      <c r="A2121" s="52" t="s">
        <v>77</v>
      </c>
      <c r="B2121" s="28" t="s">
        <v>77</v>
      </c>
      <c r="C2121" s="28" t="s">
        <v>77</v>
      </c>
      <c r="D2121" s="28" t="s">
        <v>77</v>
      </c>
      <c r="E2121" s="28" t="s">
        <v>77</v>
      </c>
      <c r="F2121" s="28" t="s">
        <v>77</v>
      </c>
      <c r="G2121" s="28" t="s">
        <v>77</v>
      </c>
      <c r="I2121" s="26" t="s">
        <v>77</v>
      </c>
      <c r="J2121" s="26" t="s">
        <v>77</v>
      </c>
      <c r="K2121" s="18"/>
      <c r="L2121" s="26" t="s">
        <v>77</v>
      </c>
      <c r="M2121" s="6" t="s">
        <v>77</v>
      </c>
      <c r="N2121" s="28" t="s">
        <v>77</v>
      </c>
      <c r="O2121" s="26" t="s">
        <v>77</v>
      </c>
    </row>
    <row r="2122">
      <c r="A2122" s="52" t="s">
        <v>77</v>
      </c>
      <c r="B2122" s="28" t="s">
        <v>77</v>
      </c>
      <c r="C2122" s="28" t="s">
        <v>77</v>
      </c>
      <c r="D2122" s="28" t="s">
        <v>77</v>
      </c>
      <c r="E2122" s="28" t="s">
        <v>77</v>
      </c>
      <c r="F2122" s="28" t="s">
        <v>77</v>
      </c>
      <c r="G2122" s="28" t="s">
        <v>77</v>
      </c>
      <c r="I2122" s="26" t="s">
        <v>77</v>
      </c>
      <c r="J2122" s="26" t="s">
        <v>77</v>
      </c>
      <c r="K2122" s="18"/>
      <c r="L2122" s="26" t="s">
        <v>77</v>
      </c>
      <c r="M2122" s="6" t="s">
        <v>77</v>
      </c>
      <c r="N2122" s="28" t="s">
        <v>77</v>
      </c>
      <c r="O2122" s="26" t="s">
        <v>77</v>
      </c>
    </row>
    <row r="2123">
      <c r="A2123" s="52" t="s">
        <v>77</v>
      </c>
      <c r="B2123" s="28" t="s">
        <v>77</v>
      </c>
      <c r="C2123" s="28" t="s">
        <v>77</v>
      </c>
      <c r="D2123" s="28" t="s">
        <v>77</v>
      </c>
      <c r="E2123" s="28" t="s">
        <v>77</v>
      </c>
      <c r="F2123" s="28" t="s">
        <v>77</v>
      </c>
      <c r="G2123" s="28" t="s">
        <v>77</v>
      </c>
      <c r="I2123" s="26" t="s">
        <v>77</v>
      </c>
      <c r="J2123" s="26" t="s">
        <v>77</v>
      </c>
      <c r="K2123" s="18"/>
      <c r="L2123" s="26" t="s">
        <v>77</v>
      </c>
      <c r="M2123" s="6" t="s">
        <v>77</v>
      </c>
      <c r="N2123" s="28" t="s">
        <v>77</v>
      </c>
      <c r="O2123" s="26" t="s">
        <v>77</v>
      </c>
    </row>
    <row r="2124">
      <c r="A2124" s="52" t="s">
        <v>77</v>
      </c>
      <c r="B2124" s="28" t="s">
        <v>77</v>
      </c>
      <c r="C2124" s="28" t="s">
        <v>77</v>
      </c>
      <c r="D2124" s="28" t="s">
        <v>77</v>
      </c>
      <c r="E2124" s="28" t="s">
        <v>77</v>
      </c>
      <c r="F2124" s="28" t="s">
        <v>77</v>
      </c>
      <c r="G2124" s="28" t="s">
        <v>77</v>
      </c>
      <c r="I2124" s="26" t="s">
        <v>77</v>
      </c>
      <c r="J2124" s="26" t="s">
        <v>77</v>
      </c>
      <c r="K2124" s="18"/>
      <c r="L2124" s="26" t="s">
        <v>77</v>
      </c>
      <c r="M2124" s="6" t="s">
        <v>77</v>
      </c>
      <c r="N2124" s="28" t="s">
        <v>77</v>
      </c>
      <c r="O2124" s="26" t="s">
        <v>77</v>
      </c>
    </row>
    <row r="2125">
      <c r="A2125" s="52" t="s">
        <v>77</v>
      </c>
      <c r="B2125" s="28" t="s">
        <v>77</v>
      </c>
      <c r="C2125" s="28" t="s">
        <v>77</v>
      </c>
      <c r="D2125" s="28" t="s">
        <v>77</v>
      </c>
      <c r="E2125" s="28" t="s">
        <v>77</v>
      </c>
      <c r="F2125" s="28" t="s">
        <v>77</v>
      </c>
      <c r="G2125" s="28" t="s">
        <v>77</v>
      </c>
      <c r="I2125" s="26" t="s">
        <v>77</v>
      </c>
      <c r="J2125" s="26" t="s">
        <v>77</v>
      </c>
      <c r="K2125" s="18"/>
      <c r="L2125" s="26" t="s">
        <v>77</v>
      </c>
      <c r="M2125" s="6" t="s">
        <v>77</v>
      </c>
      <c r="N2125" s="28" t="s">
        <v>77</v>
      </c>
      <c r="O2125" s="26" t="s">
        <v>77</v>
      </c>
    </row>
    <row r="2126">
      <c r="A2126" s="52" t="s">
        <v>77</v>
      </c>
      <c r="B2126" s="28" t="s">
        <v>77</v>
      </c>
      <c r="C2126" s="28" t="s">
        <v>77</v>
      </c>
      <c r="D2126" s="28" t="s">
        <v>77</v>
      </c>
      <c r="E2126" s="28" t="s">
        <v>77</v>
      </c>
      <c r="F2126" s="28" t="s">
        <v>77</v>
      </c>
      <c r="G2126" s="28" t="s">
        <v>77</v>
      </c>
      <c r="I2126" s="26" t="s">
        <v>77</v>
      </c>
      <c r="J2126" s="26" t="s">
        <v>77</v>
      </c>
      <c r="K2126" s="18"/>
      <c r="L2126" s="26" t="s">
        <v>77</v>
      </c>
      <c r="M2126" s="6" t="s">
        <v>77</v>
      </c>
      <c r="N2126" s="28" t="s">
        <v>77</v>
      </c>
      <c r="O2126" s="26" t="s">
        <v>77</v>
      </c>
    </row>
    <row r="2127">
      <c r="A2127" s="52" t="s">
        <v>77</v>
      </c>
      <c r="B2127" s="28" t="s">
        <v>77</v>
      </c>
      <c r="C2127" s="28" t="s">
        <v>77</v>
      </c>
      <c r="D2127" s="28" t="s">
        <v>77</v>
      </c>
      <c r="E2127" s="28" t="s">
        <v>77</v>
      </c>
      <c r="F2127" s="28" t="s">
        <v>77</v>
      </c>
      <c r="G2127" s="28" t="s">
        <v>77</v>
      </c>
      <c r="I2127" s="26" t="s">
        <v>77</v>
      </c>
      <c r="J2127" s="26" t="s">
        <v>77</v>
      </c>
      <c r="K2127" s="18"/>
      <c r="L2127" s="26" t="s">
        <v>77</v>
      </c>
      <c r="M2127" s="6" t="s">
        <v>77</v>
      </c>
      <c r="N2127" s="28" t="s">
        <v>77</v>
      </c>
      <c r="O2127" s="26" t="s">
        <v>77</v>
      </c>
    </row>
    <row r="2128">
      <c r="A2128" s="52" t="s">
        <v>77</v>
      </c>
      <c r="B2128" s="28" t="s">
        <v>77</v>
      </c>
      <c r="C2128" s="28" t="s">
        <v>77</v>
      </c>
      <c r="D2128" s="28" t="s">
        <v>77</v>
      </c>
      <c r="E2128" s="28" t="s">
        <v>77</v>
      </c>
      <c r="F2128" s="28" t="s">
        <v>77</v>
      </c>
      <c r="G2128" s="28" t="s">
        <v>77</v>
      </c>
      <c r="I2128" s="26" t="s">
        <v>77</v>
      </c>
      <c r="J2128" s="26" t="s">
        <v>77</v>
      </c>
      <c r="K2128" s="18"/>
      <c r="L2128" s="26" t="s">
        <v>77</v>
      </c>
      <c r="M2128" s="6" t="s">
        <v>77</v>
      </c>
      <c r="N2128" s="28" t="s">
        <v>77</v>
      </c>
      <c r="O2128" s="26" t="s">
        <v>77</v>
      </c>
    </row>
    <row r="2129">
      <c r="A2129" s="52" t="s">
        <v>77</v>
      </c>
      <c r="B2129" s="28" t="s">
        <v>77</v>
      </c>
      <c r="C2129" s="28" t="s">
        <v>77</v>
      </c>
      <c r="D2129" s="28" t="s">
        <v>77</v>
      </c>
      <c r="E2129" s="28" t="s">
        <v>77</v>
      </c>
      <c r="F2129" s="28" t="s">
        <v>77</v>
      </c>
      <c r="G2129" s="28" t="s">
        <v>77</v>
      </c>
      <c r="I2129" s="26" t="s">
        <v>77</v>
      </c>
      <c r="J2129" s="26" t="s">
        <v>77</v>
      </c>
      <c r="K2129" s="18"/>
      <c r="L2129" s="26" t="s">
        <v>77</v>
      </c>
      <c r="M2129" s="6" t="s">
        <v>77</v>
      </c>
      <c r="N2129" s="28" t="s">
        <v>77</v>
      </c>
      <c r="O2129" s="26" t="s">
        <v>77</v>
      </c>
    </row>
    <row r="2130">
      <c r="A2130" s="52" t="s">
        <v>77</v>
      </c>
      <c r="B2130" s="28" t="s">
        <v>77</v>
      </c>
      <c r="C2130" s="28" t="s">
        <v>77</v>
      </c>
      <c r="D2130" s="28" t="s">
        <v>77</v>
      </c>
      <c r="E2130" s="28" t="s">
        <v>77</v>
      </c>
      <c r="F2130" s="28" t="s">
        <v>77</v>
      </c>
      <c r="G2130" s="28" t="s">
        <v>77</v>
      </c>
      <c r="I2130" s="26" t="s">
        <v>77</v>
      </c>
      <c r="J2130" s="26" t="s">
        <v>77</v>
      </c>
      <c r="K2130" s="18"/>
      <c r="L2130" s="26" t="s">
        <v>77</v>
      </c>
      <c r="M2130" s="6" t="s">
        <v>77</v>
      </c>
      <c r="N2130" s="28" t="s">
        <v>77</v>
      </c>
      <c r="O2130" s="26" t="s">
        <v>77</v>
      </c>
    </row>
    <row r="2131">
      <c r="A2131" s="52" t="s">
        <v>77</v>
      </c>
      <c r="B2131" s="28" t="s">
        <v>77</v>
      </c>
      <c r="C2131" s="28" t="s">
        <v>77</v>
      </c>
      <c r="D2131" s="28" t="s">
        <v>77</v>
      </c>
      <c r="E2131" s="28" t="s">
        <v>77</v>
      </c>
      <c r="F2131" s="28" t="s">
        <v>77</v>
      </c>
      <c r="G2131" s="28" t="s">
        <v>77</v>
      </c>
      <c r="I2131" s="26" t="s">
        <v>77</v>
      </c>
      <c r="J2131" s="26" t="s">
        <v>77</v>
      </c>
      <c r="K2131" s="18"/>
      <c r="L2131" s="26" t="s">
        <v>77</v>
      </c>
      <c r="M2131" s="6" t="s">
        <v>77</v>
      </c>
      <c r="N2131" s="28" t="s">
        <v>77</v>
      </c>
      <c r="O2131" s="26" t="s">
        <v>77</v>
      </c>
    </row>
    <row r="2132">
      <c r="A2132" s="52" t="s">
        <v>77</v>
      </c>
      <c r="B2132" s="28" t="s">
        <v>77</v>
      </c>
      <c r="C2132" s="28" t="s">
        <v>77</v>
      </c>
      <c r="D2132" s="28" t="s">
        <v>77</v>
      </c>
      <c r="E2132" s="28" t="s">
        <v>77</v>
      </c>
      <c r="F2132" s="28" t="s">
        <v>77</v>
      </c>
      <c r="G2132" s="28" t="s">
        <v>77</v>
      </c>
      <c r="I2132" s="26" t="s">
        <v>77</v>
      </c>
      <c r="J2132" s="26" t="s">
        <v>77</v>
      </c>
      <c r="K2132" s="18"/>
      <c r="L2132" s="26" t="s">
        <v>77</v>
      </c>
      <c r="M2132" s="6" t="s">
        <v>77</v>
      </c>
      <c r="N2132" s="28" t="s">
        <v>77</v>
      </c>
      <c r="O2132" s="26" t="s">
        <v>77</v>
      </c>
    </row>
    <row r="2133">
      <c r="A2133" s="52" t="s">
        <v>77</v>
      </c>
      <c r="B2133" s="28" t="s">
        <v>77</v>
      </c>
      <c r="C2133" s="28" t="s">
        <v>77</v>
      </c>
      <c r="D2133" s="28" t="s">
        <v>77</v>
      </c>
      <c r="E2133" s="28" t="s">
        <v>77</v>
      </c>
      <c r="F2133" s="28" t="s">
        <v>77</v>
      </c>
      <c r="G2133" s="28" t="s">
        <v>77</v>
      </c>
      <c r="I2133" s="26" t="s">
        <v>77</v>
      </c>
      <c r="J2133" s="26" t="s">
        <v>77</v>
      </c>
      <c r="K2133" s="18"/>
      <c r="L2133" s="26" t="s">
        <v>77</v>
      </c>
      <c r="M2133" s="6" t="s">
        <v>77</v>
      </c>
      <c r="N2133" s="28" t="s">
        <v>77</v>
      </c>
      <c r="O2133" s="26" t="s">
        <v>77</v>
      </c>
    </row>
    <row r="2134">
      <c r="A2134" s="52" t="s">
        <v>77</v>
      </c>
      <c r="B2134" s="28" t="s">
        <v>77</v>
      </c>
      <c r="C2134" s="28" t="s">
        <v>77</v>
      </c>
      <c r="D2134" s="28" t="s">
        <v>77</v>
      </c>
      <c r="E2134" s="28" t="s">
        <v>77</v>
      </c>
      <c r="F2134" s="28" t="s">
        <v>77</v>
      </c>
      <c r="G2134" s="28" t="s">
        <v>77</v>
      </c>
      <c r="I2134" s="26" t="s">
        <v>77</v>
      </c>
      <c r="J2134" s="26" t="s">
        <v>77</v>
      </c>
      <c r="K2134" s="18"/>
      <c r="L2134" s="26" t="s">
        <v>77</v>
      </c>
      <c r="M2134" s="6" t="s">
        <v>77</v>
      </c>
      <c r="N2134" s="28" t="s">
        <v>77</v>
      </c>
      <c r="O2134" s="26" t="s">
        <v>77</v>
      </c>
    </row>
    <row r="2135">
      <c r="A2135" s="52" t="s">
        <v>77</v>
      </c>
      <c r="B2135" s="28" t="s">
        <v>77</v>
      </c>
      <c r="C2135" s="28" t="s">
        <v>77</v>
      </c>
      <c r="D2135" s="28" t="s">
        <v>77</v>
      </c>
      <c r="E2135" s="28" t="s">
        <v>77</v>
      </c>
      <c r="F2135" s="28" t="s">
        <v>77</v>
      </c>
      <c r="G2135" s="28" t="s">
        <v>77</v>
      </c>
      <c r="I2135" s="26" t="s">
        <v>77</v>
      </c>
      <c r="J2135" s="26" t="s">
        <v>77</v>
      </c>
      <c r="K2135" s="18"/>
      <c r="L2135" s="26" t="s">
        <v>77</v>
      </c>
      <c r="M2135" s="6" t="s">
        <v>77</v>
      </c>
      <c r="N2135" s="28" t="s">
        <v>77</v>
      </c>
      <c r="O2135" s="26" t="s">
        <v>77</v>
      </c>
    </row>
    <row r="2136">
      <c r="A2136" s="52" t="s">
        <v>77</v>
      </c>
      <c r="B2136" s="28" t="s">
        <v>77</v>
      </c>
      <c r="C2136" s="28" t="s">
        <v>77</v>
      </c>
      <c r="D2136" s="28" t="s">
        <v>77</v>
      </c>
      <c r="E2136" s="28" t="s">
        <v>77</v>
      </c>
      <c r="F2136" s="28" t="s">
        <v>77</v>
      </c>
      <c r="G2136" s="28" t="s">
        <v>77</v>
      </c>
      <c r="I2136" s="26" t="s">
        <v>77</v>
      </c>
      <c r="J2136" s="26" t="s">
        <v>77</v>
      </c>
      <c r="K2136" s="18"/>
      <c r="L2136" s="26" t="s">
        <v>77</v>
      </c>
      <c r="M2136" s="6" t="s">
        <v>77</v>
      </c>
      <c r="N2136" s="28" t="s">
        <v>77</v>
      </c>
      <c r="O2136" s="26" t="s">
        <v>77</v>
      </c>
    </row>
    <row r="2137">
      <c r="A2137" s="52" t="s">
        <v>77</v>
      </c>
      <c r="B2137" s="28" t="s">
        <v>77</v>
      </c>
      <c r="C2137" s="28" t="s">
        <v>77</v>
      </c>
      <c r="D2137" s="28" t="s">
        <v>77</v>
      </c>
      <c r="E2137" s="28" t="s">
        <v>77</v>
      </c>
      <c r="F2137" s="28" t="s">
        <v>77</v>
      </c>
      <c r="G2137" s="28" t="s">
        <v>77</v>
      </c>
      <c r="I2137" s="26" t="s">
        <v>77</v>
      </c>
      <c r="J2137" s="26" t="s">
        <v>77</v>
      </c>
      <c r="K2137" s="18"/>
      <c r="L2137" s="26" t="s">
        <v>77</v>
      </c>
      <c r="M2137" s="6" t="s">
        <v>77</v>
      </c>
      <c r="N2137" s="28" t="s">
        <v>77</v>
      </c>
      <c r="O2137" s="26" t="s">
        <v>77</v>
      </c>
    </row>
    <row r="2138">
      <c r="A2138" s="52" t="s">
        <v>77</v>
      </c>
      <c r="B2138" s="28" t="s">
        <v>77</v>
      </c>
      <c r="C2138" s="28" t="s">
        <v>77</v>
      </c>
      <c r="D2138" s="28" t="s">
        <v>77</v>
      </c>
      <c r="E2138" s="28" t="s">
        <v>77</v>
      </c>
      <c r="F2138" s="28" t="s">
        <v>77</v>
      </c>
      <c r="G2138" s="28" t="s">
        <v>77</v>
      </c>
      <c r="I2138" s="26" t="s">
        <v>77</v>
      </c>
      <c r="J2138" s="26" t="s">
        <v>77</v>
      </c>
      <c r="K2138" s="18"/>
      <c r="L2138" s="26" t="s">
        <v>77</v>
      </c>
      <c r="M2138" s="6" t="s">
        <v>77</v>
      </c>
      <c r="N2138" s="28" t="s">
        <v>77</v>
      </c>
      <c r="O2138" s="26" t="s">
        <v>77</v>
      </c>
    </row>
    <row r="2139">
      <c r="A2139" s="52" t="s">
        <v>77</v>
      </c>
      <c r="B2139" s="28" t="s">
        <v>77</v>
      </c>
      <c r="C2139" s="28" t="s">
        <v>77</v>
      </c>
      <c r="D2139" s="28" t="s">
        <v>77</v>
      </c>
      <c r="E2139" s="28" t="s">
        <v>77</v>
      </c>
      <c r="F2139" s="28" t="s">
        <v>77</v>
      </c>
      <c r="G2139" s="28" t="s">
        <v>77</v>
      </c>
      <c r="I2139" s="26" t="s">
        <v>77</v>
      </c>
      <c r="J2139" s="26" t="s">
        <v>77</v>
      </c>
      <c r="K2139" s="18"/>
      <c r="L2139" s="26" t="s">
        <v>77</v>
      </c>
      <c r="M2139" s="6" t="s">
        <v>77</v>
      </c>
      <c r="N2139" s="28" t="s">
        <v>77</v>
      </c>
      <c r="O2139" s="26" t="s">
        <v>77</v>
      </c>
    </row>
    <row r="2140">
      <c r="A2140" s="52" t="s">
        <v>77</v>
      </c>
      <c r="B2140" s="28" t="s">
        <v>77</v>
      </c>
      <c r="C2140" s="28" t="s">
        <v>77</v>
      </c>
      <c r="D2140" s="28" t="s">
        <v>77</v>
      </c>
      <c r="E2140" s="28" t="s">
        <v>77</v>
      </c>
      <c r="F2140" s="28" t="s">
        <v>77</v>
      </c>
      <c r="G2140" s="28" t="s">
        <v>77</v>
      </c>
      <c r="I2140" s="26" t="s">
        <v>77</v>
      </c>
      <c r="J2140" s="26" t="s">
        <v>77</v>
      </c>
      <c r="K2140" s="18"/>
      <c r="L2140" s="26" t="s">
        <v>77</v>
      </c>
      <c r="M2140" s="6" t="s">
        <v>77</v>
      </c>
      <c r="N2140" s="28" t="s">
        <v>77</v>
      </c>
      <c r="O2140" s="26" t="s">
        <v>77</v>
      </c>
    </row>
    <row r="2141">
      <c r="A2141" s="52" t="s">
        <v>77</v>
      </c>
      <c r="B2141" s="28" t="s">
        <v>77</v>
      </c>
      <c r="C2141" s="28" t="s">
        <v>77</v>
      </c>
      <c r="D2141" s="28" t="s">
        <v>77</v>
      </c>
      <c r="E2141" s="28" t="s">
        <v>77</v>
      </c>
      <c r="F2141" s="28" t="s">
        <v>77</v>
      </c>
      <c r="G2141" s="28" t="s">
        <v>77</v>
      </c>
      <c r="I2141" s="26" t="s">
        <v>77</v>
      </c>
      <c r="J2141" s="26" t="s">
        <v>77</v>
      </c>
      <c r="K2141" s="18"/>
      <c r="L2141" s="26" t="s">
        <v>77</v>
      </c>
      <c r="M2141" s="6" t="s">
        <v>77</v>
      </c>
      <c r="N2141" s="28" t="s">
        <v>77</v>
      </c>
      <c r="O2141" s="26" t="s">
        <v>77</v>
      </c>
    </row>
    <row r="2142">
      <c r="A2142" s="52" t="s">
        <v>77</v>
      </c>
      <c r="B2142" s="28" t="s">
        <v>77</v>
      </c>
      <c r="C2142" s="28" t="s">
        <v>77</v>
      </c>
      <c r="D2142" s="28" t="s">
        <v>77</v>
      </c>
      <c r="E2142" s="28" t="s">
        <v>77</v>
      </c>
      <c r="F2142" s="28" t="s">
        <v>77</v>
      </c>
      <c r="G2142" s="28" t="s">
        <v>77</v>
      </c>
      <c r="I2142" s="26" t="s">
        <v>77</v>
      </c>
      <c r="J2142" s="26" t="s">
        <v>77</v>
      </c>
      <c r="K2142" s="18"/>
      <c r="L2142" s="26" t="s">
        <v>77</v>
      </c>
      <c r="M2142" s="6" t="s">
        <v>77</v>
      </c>
      <c r="N2142" s="28" t="s">
        <v>77</v>
      </c>
      <c r="O2142" s="26" t="s">
        <v>77</v>
      </c>
    </row>
    <row r="2143">
      <c r="A2143" s="52" t="s">
        <v>77</v>
      </c>
      <c r="B2143" s="28" t="s">
        <v>77</v>
      </c>
      <c r="C2143" s="28" t="s">
        <v>77</v>
      </c>
      <c r="D2143" s="28" t="s">
        <v>77</v>
      </c>
      <c r="E2143" s="28" t="s">
        <v>77</v>
      </c>
      <c r="F2143" s="28" t="s">
        <v>77</v>
      </c>
      <c r="G2143" s="28" t="s">
        <v>77</v>
      </c>
      <c r="I2143" s="26" t="s">
        <v>77</v>
      </c>
      <c r="J2143" s="26" t="s">
        <v>77</v>
      </c>
      <c r="K2143" s="18"/>
      <c r="L2143" s="26" t="s">
        <v>77</v>
      </c>
      <c r="M2143" s="6" t="s">
        <v>77</v>
      </c>
      <c r="N2143" s="28" t="s">
        <v>77</v>
      </c>
      <c r="O2143" s="26" t="s">
        <v>77</v>
      </c>
    </row>
    <row r="2144">
      <c r="A2144" s="52" t="s">
        <v>77</v>
      </c>
      <c r="B2144" s="28" t="s">
        <v>77</v>
      </c>
      <c r="C2144" s="28" t="s">
        <v>77</v>
      </c>
      <c r="D2144" s="28" t="s">
        <v>77</v>
      </c>
      <c r="E2144" s="28" t="s">
        <v>77</v>
      </c>
      <c r="F2144" s="28" t="s">
        <v>77</v>
      </c>
      <c r="G2144" s="28" t="s">
        <v>77</v>
      </c>
      <c r="I2144" s="26" t="s">
        <v>77</v>
      </c>
      <c r="J2144" s="26" t="s">
        <v>77</v>
      </c>
      <c r="K2144" s="18"/>
      <c r="L2144" s="26" t="s">
        <v>77</v>
      </c>
      <c r="M2144" s="6" t="s">
        <v>77</v>
      </c>
      <c r="N2144" s="28" t="s">
        <v>77</v>
      </c>
      <c r="O2144" s="26" t="s">
        <v>77</v>
      </c>
    </row>
    <row r="2145">
      <c r="A2145" s="52" t="s">
        <v>77</v>
      </c>
      <c r="B2145" s="28" t="s">
        <v>77</v>
      </c>
      <c r="C2145" s="28" t="s">
        <v>77</v>
      </c>
      <c r="D2145" s="28" t="s">
        <v>77</v>
      </c>
      <c r="E2145" s="28" t="s">
        <v>77</v>
      </c>
      <c r="F2145" s="28" t="s">
        <v>77</v>
      </c>
      <c r="G2145" s="28" t="s">
        <v>77</v>
      </c>
      <c r="I2145" s="26" t="s">
        <v>77</v>
      </c>
      <c r="J2145" s="26" t="s">
        <v>77</v>
      </c>
      <c r="K2145" s="18"/>
      <c r="L2145" s="26" t="s">
        <v>77</v>
      </c>
      <c r="M2145" s="6" t="s">
        <v>77</v>
      </c>
      <c r="N2145" s="28" t="s">
        <v>77</v>
      </c>
      <c r="O2145" s="26" t="s">
        <v>77</v>
      </c>
    </row>
    <row r="2146">
      <c r="A2146" s="52" t="s">
        <v>77</v>
      </c>
      <c r="B2146" s="28" t="s">
        <v>77</v>
      </c>
      <c r="C2146" s="28" t="s">
        <v>77</v>
      </c>
      <c r="D2146" s="28" t="s">
        <v>77</v>
      </c>
      <c r="E2146" s="28" t="s">
        <v>77</v>
      </c>
      <c r="F2146" s="28" t="s">
        <v>77</v>
      </c>
      <c r="G2146" s="28" t="s">
        <v>77</v>
      </c>
      <c r="I2146" s="26" t="s">
        <v>77</v>
      </c>
      <c r="J2146" s="26" t="s">
        <v>77</v>
      </c>
      <c r="K2146" s="18"/>
      <c r="L2146" s="26" t="s">
        <v>77</v>
      </c>
      <c r="M2146" s="6" t="s">
        <v>77</v>
      </c>
      <c r="N2146" s="28" t="s">
        <v>77</v>
      </c>
      <c r="O2146" s="26" t="s">
        <v>77</v>
      </c>
    </row>
    <row r="2147">
      <c r="A2147" s="52" t="s">
        <v>77</v>
      </c>
      <c r="B2147" s="28" t="s">
        <v>77</v>
      </c>
      <c r="C2147" s="28" t="s">
        <v>77</v>
      </c>
      <c r="D2147" s="28" t="s">
        <v>77</v>
      </c>
      <c r="E2147" s="28" t="s">
        <v>77</v>
      </c>
      <c r="F2147" s="28" t="s">
        <v>77</v>
      </c>
      <c r="G2147" s="28" t="s">
        <v>77</v>
      </c>
      <c r="I2147" s="26" t="s">
        <v>77</v>
      </c>
      <c r="J2147" s="26" t="s">
        <v>77</v>
      </c>
      <c r="K2147" s="18"/>
      <c r="L2147" s="26" t="s">
        <v>77</v>
      </c>
      <c r="M2147" s="6" t="s">
        <v>77</v>
      </c>
      <c r="N2147" s="28" t="s">
        <v>77</v>
      </c>
      <c r="O2147" s="26" t="s">
        <v>77</v>
      </c>
    </row>
    <row r="2148">
      <c r="A2148" s="52" t="s">
        <v>77</v>
      </c>
      <c r="B2148" s="28" t="s">
        <v>77</v>
      </c>
      <c r="C2148" s="28" t="s">
        <v>77</v>
      </c>
      <c r="D2148" s="28" t="s">
        <v>77</v>
      </c>
      <c r="E2148" s="28" t="s">
        <v>77</v>
      </c>
      <c r="F2148" s="28" t="s">
        <v>77</v>
      </c>
      <c r="G2148" s="28" t="s">
        <v>77</v>
      </c>
      <c r="I2148" s="26" t="s">
        <v>77</v>
      </c>
      <c r="J2148" s="26" t="s">
        <v>77</v>
      </c>
      <c r="K2148" s="18"/>
      <c r="L2148" s="26" t="s">
        <v>77</v>
      </c>
      <c r="M2148" s="6" t="s">
        <v>77</v>
      </c>
      <c r="N2148" s="28" t="s">
        <v>77</v>
      </c>
      <c r="O2148" s="26" t="s">
        <v>77</v>
      </c>
    </row>
    <row r="2149">
      <c r="A2149" s="52" t="s">
        <v>77</v>
      </c>
      <c r="B2149" s="28" t="s">
        <v>77</v>
      </c>
      <c r="C2149" s="28" t="s">
        <v>77</v>
      </c>
      <c r="D2149" s="28" t="s">
        <v>77</v>
      </c>
      <c r="E2149" s="28" t="s">
        <v>77</v>
      </c>
      <c r="F2149" s="28" t="s">
        <v>77</v>
      </c>
      <c r="G2149" s="28" t="s">
        <v>77</v>
      </c>
      <c r="I2149" s="26" t="s">
        <v>77</v>
      </c>
      <c r="J2149" s="26" t="s">
        <v>77</v>
      </c>
      <c r="K2149" s="18"/>
      <c r="L2149" s="26" t="s">
        <v>77</v>
      </c>
      <c r="M2149" s="6" t="s">
        <v>77</v>
      </c>
      <c r="N2149" s="28" t="s">
        <v>77</v>
      </c>
      <c r="O2149" s="26" t="s">
        <v>77</v>
      </c>
    </row>
    <row r="2150">
      <c r="A2150" s="52" t="s">
        <v>77</v>
      </c>
      <c r="B2150" s="28" t="s">
        <v>77</v>
      </c>
      <c r="C2150" s="28" t="s">
        <v>77</v>
      </c>
      <c r="D2150" s="28" t="s">
        <v>77</v>
      </c>
      <c r="E2150" s="28" t="s">
        <v>77</v>
      </c>
      <c r="F2150" s="28" t="s">
        <v>77</v>
      </c>
      <c r="G2150" s="28" t="s">
        <v>77</v>
      </c>
      <c r="I2150" s="26" t="s">
        <v>77</v>
      </c>
      <c r="J2150" s="26" t="s">
        <v>77</v>
      </c>
      <c r="K2150" s="18"/>
      <c r="L2150" s="26" t="s">
        <v>77</v>
      </c>
      <c r="M2150" s="6" t="s">
        <v>77</v>
      </c>
      <c r="N2150" s="28" t="s">
        <v>77</v>
      </c>
      <c r="O2150" s="26" t="s">
        <v>77</v>
      </c>
    </row>
    <row r="2151">
      <c r="A2151" s="52" t="s">
        <v>77</v>
      </c>
      <c r="B2151" s="28" t="s">
        <v>77</v>
      </c>
      <c r="C2151" s="28" t="s">
        <v>77</v>
      </c>
      <c r="D2151" s="28" t="s">
        <v>77</v>
      </c>
      <c r="E2151" s="28" t="s">
        <v>77</v>
      </c>
      <c r="F2151" s="28" t="s">
        <v>77</v>
      </c>
      <c r="G2151" s="28" t="s">
        <v>77</v>
      </c>
      <c r="I2151" s="26" t="s">
        <v>77</v>
      </c>
      <c r="J2151" s="26" t="s">
        <v>77</v>
      </c>
      <c r="K2151" s="18"/>
      <c r="L2151" s="26" t="s">
        <v>77</v>
      </c>
      <c r="M2151" s="6" t="s">
        <v>77</v>
      </c>
      <c r="N2151" s="28" t="s">
        <v>77</v>
      </c>
      <c r="O2151" s="26" t="s">
        <v>77</v>
      </c>
    </row>
    <row r="2152">
      <c r="A2152" s="52" t="s">
        <v>77</v>
      </c>
      <c r="B2152" s="28" t="s">
        <v>77</v>
      </c>
      <c r="C2152" s="28" t="s">
        <v>77</v>
      </c>
      <c r="D2152" s="28" t="s">
        <v>77</v>
      </c>
      <c r="E2152" s="28" t="s">
        <v>77</v>
      </c>
      <c r="F2152" s="28" t="s">
        <v>77</v>
      </c>
      <c r="G2152" s="28" t="s">
        <v>77</v>
      </c>
      <c r="I2152" s="26" t="s">
        <v>77</v>
      </c>
      <c r="J2152" s="26" t="s">
        <v>77</v>
      </c>
      <c r="K2152" s="18"/>
      <c r="L2152" s="26" t="s">
        <v>77</v>
      </c>
      <c r="M2152" s="6" t="s">
        <v>77</v>
      </c>
      <c r="N2152" s="28" t="s">
        <v>77</v>
      </c>
      <c r="O2152" s="26" t="s">
        <v>77</v>
      </c>
    </row>
    <row r="2153">
      <c r="A2153" s="52" t="s">
        <v>77</v>
      </c>
      <c r="B2153" s="28" t="s">
        <v>77</v>
      </c>
      <c r="C2153" s="28" t="s">
        <v>77</v>
      </c>
      <c r="D2153" s="28" t="s">
        <v>77</v>
      </c>
      <c r="E2153" s="28" t="s">
        <v>77</v>
      </c>
      <c r="F2153" s="28" t="s">
        <v>77</v>
      </c>
      <c r="G2153" s="28" t="s">
        <v>77</v>
      </c>
      <c r="I2153" s="26" t="s">
        <v>77</v>
      </c>
      <c r="J2153" s="26" t="s">
        <v>77</v>
      </c>
      <c r="K2153" s="18"/>
      <c r="L2153" s="26" t="s">
        <v>77</v>
      </c>
      <c r="M2153" s="6" t="s">
        <v>77</v>
      </c>
      <c r="N2153" s="28" t="s">
        <v>77</v>
      </c>
      <c r="O2153" s="26" t="s">
        <v>77</v>
      </c>
    </row>
    <row r="2154">
      <c r="A2154" s="52" t="s">
        <v>77</v>
      </c>
      <c r="B2154" s="28" t="s">
        <v>77</v>
      </c>
      <c r="C2154" s="28" t="s">
        <v>77</v>
      </c>
      <c r="D2154" s="28" t="s">
        <v>77</v>
      </c>
      <c r="E2154" s="28" t="s">
        <v>77</v>
      </c>
      <c r="F2154" s="28" t="s">
        <v>77</v>
      </c>
      <c r="G2154" s="28" t="s">
        <v>77</v>
      </c>
      <c r="I2154" s="26" t="s">
        <v>77</v>
      </c>
      <c r="J2154" s="26" t="s">
        <v>77</v>
      </c>
      <c r="K2154" s="18"/>
      <c r="L2154" s="26" t="s">
        <v>77</v>
      </c>
      <c r="M2154" s="6" t="s">
        <v>77</v>
      </c>
      <c r="N2154" s="28" t="s">
        <v>77</v>
      </c>
      <c r="O2154" s="26" t="s">
        <v>77</v>
      </c>
    </row>
    <row r="2155">
      <c r="A2155" s="52" t="s">
        <v>77</v>
      </c>
      <c r="B2155" s="28" t="s">
        <v>77</v>
      </c>
      <c r="C2155" s="28" t="s">
        <v>77</v>
      </c>
      <c r="D2155" s="28" t="s">
        <v>77</v>
      </c>
      <c r="E2155" s="28" t="s">
        <v>77</v>
      </c>
      <c r="F2155" s="28" t="s">
        <v>77</v>
      </c>
      <c r="G2155" s="28" t="s">
        <v>77</v>
      </c>
      <c r="I2155" s="26" t="s">
        <v>77</v>
      </c>
      <c r="J2155" s="26" t="s">
        <v>77</v>
      </c>
      <c r="K2155" s="18"/>
      <c r="L2155" s="26" t="s">
        <v>77</v>
      </c>
      <c r="M2155" s="6" t="s">
        <v>77</v>
      </c>
      <c r="N2155" s="28" t="s">
        <v>77</v>
      </c>
      <c r="O2155" s="26" t="s">
        <v>77</v>
      </c>
    </row>
    <row r="2156">
      <c r="A2156" s="52" t="s">
        <v>77</v>
      </c>
      <c r="B2156" s="28" t="s">
        <v>77</v>
      </c>
      <c r="C2156" s="28" t="s">
        <v>77</v>
      </c>
      <c r="D2156" s="28" t="s">
        <v>77</v>
      </c>
      <c r="E2156" s="28" t="s">
        <v>77</v>
      </c>
      <c r="F2156" s="28" t="s">
        <v>77</v>
      </c>
      <c r="G2156" s="28" t="s">
        <v>77</v>
      </c>
      <c r="I2156" s="26" t="s">
        <v>77</v>
      </c>
      <c r="J2156" s="26" t="s">
        <v>77</v>
      </c>
      <c r="K2156" s="18"/>
      <c r="L2156" s="26" t="s">
        <v>77</v>
      </c>
      <c r="M2156" s="6" t="s">
        <v>77</v>
      </c>
      <c r="N2156" s="28" t="s">
        <v>77</v>
      </c>
      <c r="O2156" s="26" t="s">
        <v>77</v>
      </c>
    </row>
    <row r="2157">
      <c r="A2157" s="52" t="s">
        <v>77</v>
      </c>
      <c r="B2157" s="28" t="s">
        <v>77</v>
      </c>
      <c r="C2157" s="28" t="s">
        <v>77</v>
      </c>
      <c r="D2157" s="28" t="s">
        <v>77</v>
      </c>
      <c r="E2157" s="28" t="s">
        <v>77</v>
      </c>
      <c r="F2157" s="28" t="s">
        <v>77</v>
      </c>
      <c r="G2157" s="28" t="s">
        <v>77</v>
      </c>
      <c r="I2157" s="26" t="s">
        <v>77</v>
      </c>
      <c r="J2157" s="26" t="s">
        <v>77</v>
      </c>
      <c r="K2157" s="18"/>
      <c r="L2157" s="26" t="s">
        <v>77</v>
      </c>
      <c r="M2157" s="6" t="s">
        <v>77</v>
      </c>
      <c r="N2157" s="28" t="s">
        <v>77</v>
      </c>
      <c r="O2157" s="26" t="s">
        <v>77</v>
      </c>
    </row>
    <row r="2158">
      <c r="A2158" s="52" t="s">
        <v>77</v>
      </c>
      <c r="B2158" s="28" t="s">
        <v>77</v>
      </c>
      <c r="C2158" s="28" t="s">
        <v>77</v>
      </c>
      <c r="D2158" s="28" t="s">
        <v>77</v>
      </c>
      <c r="E2158" s="28" t="s">
        <v>77</v>
      </c>
      <c r="F2158" s="28" t="s">
        <v>77</v>
      </c>
      <c r="G2158" s="28" t="s">
        <v>77</v>
      </c>
      <c r="I2158" s="26" t="s">
        <v>77</v>
      </c>
      <c r="J2158" s="26" t="s">
        <v>77</v>
      </c>
      <c r="K2158" s="18"/>
      <c r="L2158" s="26" t="s">
        <v>77</v>
      </c>
      <c r="M2158" s="6" t="s">
        <v>77</v>
      </c>
      <c r="N2158" s="28" t="s">
        <v>77</v>
      </c>
      <c r="O2158" s="26" t="s">
        <v>77</v>
      </c>
    </row>
    <row r="2159">
      <c r="A2159" s="52" t="s">
        <v>77</v>
      </c>
      <c r="B2159" s="28" t="s">
        <v>77</v>
      </c>
      <c r="C2159" s="28" t="s">
        <v>77</v>
      </c>
      <c r="D2159" s="28" t="s">
        <v>77</v>
      </c>
      <c r="E2159" s="28" t="s">
        <v>77</v>
      </c>
      <c r="F2159" s="28" t="s">
        <v>77</v>
      </c>
      <c r="G2159" s="28" t="s">
        <v>77</v>
      </c>
      <c r="I2159" s="26" t="s">
        <v>77</v>
      </c>
      <c r="J2159" s="26" t="s">
        <v>77</v>
      </c>
      <c r="K2159" s="18"/>
      <c r="L2159" s="26" t="s">
        <v>77</v>
      </c>
      <c r="M2159" s="6" t="s">
        <v>77</v>
      </c>
      <c r="N2159" s="28" t="s">
        <v>77</v>
      </c>
      <c r="O2159" s="26" t="s">
        <v>77</v>
      </c>
    </row>
    <row r="2160">
      <c r="A2160" s="52" t="s">
        <v>77</v>
      </c>
      <c r="B2160" s="28" t="s">
        <v>77</v>
      </c>
      <c r="C2160" s="28" t="s">
        <v>77</v>
      </c>
      <c r="D2160" s="28" t="s">
        <v>77</v>
      </c>
      <c r="E2160" s="28" t="s">
        <v>77</v>
      </c>
      <c r="F2160" s="28" t="s">
        <v>77</v>
      </c>
      <c r="G2160" s="28" t="s">
        <v>77</v>
      </c>
      <c r="I2160" s="26" t="s">
        <v>77</v>
      </c>
      <c r="J2160" s="26" t="s">
        <v>77</v>
      </c>
      <c r="K2160" s="18"/>
      <c r="L2160" s="26" t="s">
        <v>77</v>
      </c>
      <c r="M2160" s="6" t="s">
        <v>77</v>
      </c>
      <c r="N2160" s="28" t="s">
        <v>77</v>
      </c>
      <c r="O2160" s="26" t="s">
        <v>77</v>
      </c>
    </row>
    <row r="2161">
      <c r="A2161" s="52" t="s">
        <v>77</v>
      </c>
      <c r="B2161" s="28" t="s">
        <v>77</v>
      </c>
      <c r="C2161" s="28" t="s">
        <v>77</v>
      </c>
      <c r="D2161" s="28" t="s">
        <v>77</v>
      </c>
      <c r="E2161" s="28" t="s">
        <v>77</v>
      </c>
      <c r="F2161" s="28" t="s">
        <v>77</v>
      </c>
      <c r="G2161" s="28" t="s">
        <v>77</v>
      </c>
      <c r="I2161" s="26" t="s">
        <v>77</v>
      </c>
      <c r="J2161" s="26" t="s">
        <v>77</v>
      </c>
      <c r="K2161" s="18"/>
      <c r="L2161" s="26" t="s">
        <v>77</v>
      </c>
      <c r="M2161" s="6" t="s">
        <v>77</v>
      </c>
      <c r="N2161" s="28" t="s">
        <v>77</v>
      </c>
      <c r="O2161" s="26" t="s">
        <v>77</v>
      </c>
    </row>
    <row r="2162">
      <c r="A2162" s="52" t="s">
        <v>77</v>
      </c>
      <c r="B2162" s="28" t="s">
        <v>77</v>
      </c>
      <c r="C2162" s="28" t="s">
        <v>77</v>
      </c>
      <c r="D2162" s="28" t="s">
        <v>77</v>
      </c>
      <c r="E2162" s="28" t="s">
        <v>77</v>
      </c>
      <c r="F2162" s="28" t="s">
        <v>77</v>
      </c>
      <c r="G2162" s="28" t="s">
        <v>77</v>
      </c>
      <c r="I2162" s="26" t="s">
        <v>77</v>
      </c>
      <c r="J2162" s="26" t="s">
        <v>77</v>
      </c>
      <c r="K2162" s="18"/>
      <c r="L2162" s="26" t="s">
        <v>77</v>
      </c>
      <c r="M2162" s="6" t="s">
        <v>77</v>
      </c>
      <c r="N2162" s="28" t="s">
        <v>77</v>
      </c>
      <c r="O2162" s="26" t="s">
        <v>77</v>
      </c>
    </row>
    <row r="2163">
      <c r="A2163" s="52" t="s">
        <v>77</v>
      </c>
      <c r="B2163" s="28" t="s">
        <v>77</v>
      </c>
      <c r="C2163" s="28" t="s">
        <v>77</v>
      </c>
      <c r="D2163" s="28" t="s">
        <v>77</v>
      </c>
      <c r="E2163" s="28" t="s">
        <v>77</v>
      </c>
      <c r="F2163" s="28" t="s">
        <v>77</v>
      </c>
      <c r="G2163" s="28" t="s">
        <v>77</v>
      </c>
      <c r="I2163" s="26" t="s">
        <v>77</v>
      </c>
      <c r="J2163" s="26" t="s">
        <v>77</v>
      </c>
      <c r="K2163" s="18"/>
      <c r="L2163" s="26" t="s">
        <v>77</v>
      </c>
      <c r="M2163" s="6" t="s">
        <v>77</v>
      </c>
      <c r="N2163" s="28" t="s">
        <v>77</v>
      </c>
      <c r="O2163" s="26" t="s">
        <v>77</v>
      </c>
    </row>
    <row r="2164">
      <c r="A2164" s="52" t="s">
        <v>77</v>
      </c>
      <c r="B2164" s="28" t="s">
        <v>77</v>
      </c>
      <c r="C2164" s="28" t="s">
        <v>77</v>
      </c>
      <c r="D2164" s="28" t="s">
        <v>77</v>
      </c>
      <c r="E2164" s="28" t="s">
        <v>77</v>
      </c>
      <c r="F2164" s="28" t="s">
        <v>77</v>
      </c>
      <c r="G2164" s="28" t="s">
        <v>77</v>
      </c>
      <c r="I2164" s="26" t="s">
        <v>77</v>
      </c>
      <c r="J2164" s="26" t="s">
        <v>77</v>
      </c>
      <c r="K2164" s="18"/>
      <c r="L2164" s="26" t="s">
        <v>77</v>
      </c>
      <c r="M2164" s="6" t="s">
        <v>77</v>
      </c>
      <c r="N2164" s="28" t="s">
        <v>77</v>
      </c>
      <c r="O2164" s="26" t="s">
        <v>77</v>
      </c>
    </row>
    <row r="2165">
      <c r="A2165" s="52" t="s">
        <v>77</v>
      </c>
      <c r="B2165" s="28" t="s">
        <v>77</v>
      </c>
      <c r="C2165" s="28" t="s">
        <v>77</v>
      </c>
      <c r="D2165" s="28" t="s">
        <v>77</v>
      </c>
      <c r="E2165" s="28" t="s">
        <v>77</v>
      </c>
      <c r="F2165" s="28" t="s">
        <v>77</v>
      </c>
      <c r="G2165" s="28" t="s">
        <v>77</v>
      </c>
      <c r="I2165" s="26" t="s">
        <v>77</v>
      </c>
      <c r="J2165" s="26" t="s">
        <v>77</v>
      </c>
      <c r="K2165" s="18"/>
      <c r="L2165" s="26" t="s">
        <v>77</v>
      </c>
      <c r="M2165" s="6" t="s">
        <v>77</v>
      </c>
      <c r="N2165" s="28" t="s">
        <v>77</v>
      </c>
      <c r="O2165" s="26" t="s">
        <v>77</v>
      </c>
    </row>
    <row r="2166">
      <c r="A2166" s="52" t="s">
        <v>77</v>
      </c>
      <c r="B2166" s="28" t="s">
        <v>77</v>
      </c>
      <c r="C2166" s="28" t="s">
        <v>77</v>
      </c>
      <c r="D2166" s="28" t="s">
        <v>77</v>
      </c>
      <c r="E2166" s="28" t="s">
        <v>77</v>
      </c>
      <c r="F2166" s="28" t="s">
        <v>77</v>
      </c>
      <c r="G2166" s="28" t="s">
        <v>77</v>
      </c>
      <c r="I2166" s="26" t="s">
        <v>77</v>
      </c>
      <c r="J2166" s="26" t="s">
        <v>77</v>
      </c>
      <c r="K2166" s="18"/>
      <c r="L2166" s="26" t="s">
        <v>77</v>
      </c>
      <c r="M2166" s="6" t="s">
        <v>77</v>
      </c>
      <c r="N2166" s="28" t="s">
        <v>77</v>
      </c>
      <c r="O2166" s="26" t="s">
        <v>77</v>
      </c>
    </row>
    <row r="2167">
      <c r="A2167" s="52" t="s">
        <v>77</v>
      </c>
      <c r="B2167" s="28" t="s">
        <v>77</v>
      </c>
      <c r="C2167" s="28" t="s">
        <v>77</v>
      </c>
      <c r="D2167" s="28" t="s">
        <v>77</v>
      </c>
      <c r="E2167" s="28" t="s">
        <v>77</v>
      </c>
      <c r="F2167" s="28" t="s">
        <v>77</v>
      </c>
      <c r="G2167" s="28" t="s">
        <v>77</v>
      </c>
      <c r="I2167" s="26" t="s">
        <v>77</v>
      </c>
      <c r="J2167" s="26" t="s">
        <v>77</v>
      </c>
      <c r="K2167" s="18"/>
      <c r="L2167" s="26" t="s">
        <v>77</v>
      </c>
      <c r="M2167" s="6" t="s">
        <v>77</v>
      </c>
      <c r="N2167" s="28" t="s">
        <v>77</v>
      </c>
      <c r="O2167" s="26" t="s">
        <v>77</v>
      </c>
    </row>
    <row r="2168">
      <c r="A2168" s="52" t="s">
        <v>77</v>
      </c>
      <c r="B2168" s="28" t="s">
        <v>77</v>
      </c>
      <c r="C2168" s="28" t="s">
        <v>77</v>
      </c>
      <c r="D2168" s="28" t="s">
        <v>77</v>
      </c>
      <c r="E2168" s="28" t="s">
        <v>77</v>
      </c>
      <c r="F2168" s="28" t="s">
        <v>77</v>
      </c>
      <c r="G2168" s="28" t="s">
        <v>77</v>
      </c>
      <c r="I2168" s="26" t="s">
        <v>77</v>
      </c>
      <c r="J2168" s="26" t="s">
        <v>77</v>
      </c>
      <c r="K2168" s="18"/>
      <c r="L2168" s="26" t="s">
        <v>77</v>
      </c>
      <c r="M2168" s="6" t="s">
        <v>77</v>
      </c>
      <c r="N2168" s="28" t="s">
        <v>77</v>
      </c>
      <c r="O2168" s="26" t="s">
        <v>77</v>
      </c>
    </row>
    <row r="2169">
      <c r="A2169" s="52" t="s">
        <v>77</v>
      </c>
      <c r="B2169" s="28" t="s">
        <v>77</v>
      </c>
      <c r="C2169" s="28" t="s">
        <v>77</v>
      </c>
      <c r="D2169" s="28" t="s">
        <v>77</v>
      </c>
      <c r="E2169" s="28" t="s">
        <v>77</v>
      </c>
      <c r="F2169" s="28" t="s">
        <v>77</v>
      </c>
      <c r="G2169" s="28" t="s">
        <v>77</v>
      </c>
      <c r="I2169" s="26" t="s">
        <v>77</v>
      </c>
      <c r="J2169" s="26" t="s">
        <v>77</v>
      </c>
      <c r="K2169" s="18"/>
      <c r="L2169" s="26" t="s">
        <v>77</v>
      </c>
      <c r="M2169" s="6" t="s">
        <v>77</v>
      </c>
      <c r="N2169" s="28" t="s">
        <v>77</v>
      </c>
      <c r="O2169" s="26" t="s">
        <v>77</v>
      </c>
    </row>
    <row r="2170">
      <c r="A2170" s="52" t="s">
        <v>77</v>
      </c>
      <c r="B2170" s="28" t="s">
        <v>77</v>
      </c>
      <c r="C2170" s="28" t="s">
        <v>77</v>
      </c>
      <c r="D2170" s="28" t="s">
        <v>77</v>
      </c>
      <c r="E2170" s="28" t="s">
        <v>77</v>
      </c>
      <c r="F2170" s="28" t="s">
        <v>77</v>
      </c>
      <c r="G2170" s="28" t="s">
        <v>77</v>
      </c>
      <c r="I2170" s="26" t="s">
        <v>77</v>
      </c>
      <c r="J2170" s="26" t="s">
        <v>77</v>
      </c>
      <c r="K2170" s="18"/>
      <c r="L2170" s="26" t="s">
        <v>77</v>
      </c>
      <c r="M2170" s="6" t="s">
        <v>77</v>
      </c>
      <c r="N2170" s="28" t="s">
        <v>77</v>
      </c>
      <c r="O2170" s="26" t="s">
        <v>77</v>
      </c>
    </row>
    <row r="2171">
      <c r="A2171" s="52" t="s">
        <v>77</v>
      </c>
      <c r="B2171" s="28" t="s">
        <v>77</v>
      </c>
      <c r="C2171" s="28" t="s">
        <v>77</v>
      </c>
      <c r="D2171" s="28" t="s">
        <v>77</v>
      </c>
      <c r="E2171" s="28" t="s">
        <v>77</v>
      </c>
      <c r="F2171" s="28" t="s">
        <v>77</v>
      </c>
      <c r="G2171" s="28" t="s">
        <v>77</v>
      </c>
      <c r="I2171" s="26" t="s">
        <v>77</v>
      </c>
      <c r="J2171" s="26" t="s">
        <v>77</v>
      </c>
      <c r="K2171" s="18"/>
      <c r="L2171" s="26" t="s">
        <v>77</v>
      </c>
      <c r="M2171" s="6" t="s">
        <v>77</v>
      </c>
      <c r="N2171" s="28" t="s">
        <v>77</v>
      </c>
      <c r="O2171" s="26" t="s">
        <v>77</v>
      </c>
    </row>
    <row r="2172">
      <c r="A2172" s="52" t="s">
        <v>77</v>
      </c>
      <c r="B2172" s="28" t="s">
        <v>77</v>
      </c>
      <c r="C2172" s="28" t="s">
        <v>77</v>
      </c>
      <c r="D2172" s="28" t="s">
        <v>77</v>
      </c>
      <c r="E2172" s="28" t="s">
        <v>77</v>
      </c>
      <c r="F2172" s="28" t="s">
        <v>77</v>
      </c>
      <c r="G2172" s="28" t="s">
        <v>77</v>
      </c>
      <c r="I2172" s="26" t="s">
        <v>77</v>
      </c>
      <c r="J2172" s="26" t="s">
        <v>77</v>
      </c>
      <c r="K2172" s="18"/>
      <c r="L2172" s="26" t="s">
        <v>77</v>
      </c>
      <c r="M2172" s="6" t="s">
        <v>77</v>
      </c>
      <c r="N2172" s="28" t="s">
        <v>77</v>
      </c>
      <c r="O2172" s="26" t="s">
        <v>77</v>
      </c>
    </row>
    <row r="2173">
      <c r="A2173" s="52" t="s">
        <v>77</v>
      </c>
      <c r="B2173" s="28" t="s">
        <v>77</v>
      </c>
      <c r="C2173" s="28" t="s">
        <v>77</v>
      </c>
      <c r="D2173" s="28" t="s">
        <v>77</v>
      </c>
      <c r="E2173" s="28" t="s">
        <v>77</v>
      </c>
      <c r="F2173" s="28" t="s">
        <v>77</v>
      </c>
      <c r="G2173" s="28" t="s">
        <v>77</v>
      </c>
      <c r="I2173" s="26" t="s">
        <v>77</v>
      </c>
      <c r="J2173" s="26" t="s">
        <v>77</v>
      </c>
      <c r="K2173" s="18"/>
      <c r="L2173" s="26" t="s">
        <v>77</v>
      </c>
      <c r="M2173" s="6" t="s">
        <v>77</v>
      </c>
      <c r="N2173" s="28" t="s">
        <v>77</v>
      </c>
      <c r="O2173" s="26" t="s">
        <v>77</v>
      </c>
    </row>
    <row r="2174">
      <c r="A2174" s="52" t="s">
        <v>77</v>
      </c>
      <c r="B2174" s="28" t="s">
        <v>77</v>
      </c>
      <c r="C2174" s="28" t="s">
        <v>77</v>
      </c>
      <c r="D2174" s="28" t="s">
        <v>77</v>
      </c>
      <c r="E2174" s="28" t="s">
        <v>77</v>
      </c>
      <c r="F2174" s="28" t="s">
        <v>77</v>
      </c>
      <c r="G2174" s="28" t="s">
        <v>77</v>
      </c>
      <c r="I2174" s="26" t="s">
        <v>77</v>
      </c>
      <c r="J2174" s="26" t="s">
        <v>77</v>
      </c>
      <c r="K2174" s="18"/>
      <c r="L2174" s="26" t="s">
        <v>77</v>
      </c>
      <c r="M2174" s="6" t="s">
        <v>77</v>
      </c>
      <c r="N2174" s="28" t="s">
        <v>77</v>
      </c>
      <c r="O2174" s="26" t="s">
        <v>77</v>
      </c>
    </row>
    <row r="2175">
      <c r="A2175" s="52" t="s">
        <v>77</v>
      </c>
      <c r="B2175" s="28" t="s">
        <v>77</v>
      </c>
      <c r="C2175" s="28" t="s">
        <v>77</v>
      </c>
      <c r="D2175" s="28" t="s">
        <v>77</v>
      </c>
      <c r="E2175" s="28" t="s">
        <v>77</v>
      </c>
      <c r="F2175" s="28" t="s">
        <v>77</v>
      </c>
      <c r="G2175" s="28" t="s">
        <v>77</v>
      </c>
      <c r="I2175" s="26" t="s">
        <v>77</v>
      </c>
      <c r="J2175" s="26" t="s">
        <v>77</v>
      </c>
      <c r="K2175" s="18"/>
      <c r="L2175" s="26" t="s">
        <v>77</v>
      </c>
      <c r="M2175" s="6" t="s">
        <v>77</v>
      </c>
      <c r="N2175" s="28" t="s">
        <v>77</v>
      </c>
      <c r="O2175" s="26" t="s">
        <v>77</v>
      </c>
    </row>
    <row r="2176">
      <c r="A2176" s="52" t="s">
        <v>77</v>
      </c>
      <c r="B2176" s="28" t="s">
        <v>77</v>
      </c>
      <c r="C2176" s="28" t="s">
        <v>77</v>
      </c>
      <c r="D2176" s="28" t="s">
        <v>77</v>
      </c>
      <c r="E2176" s="28" t="s">
        <v>77</v>
      </c>
      <c r="F2176" s="28" t="s">
        <v>77</v>
      </c>
      <c r="G2176" s="28" t="s">
        <v>77</v>
      </c>
      <c r="I2176" s="26" t="s">
        <v>77</v>
      </c>
      <c r="J2176" s="26" t="s">
        <v>77</v>
      </c>
      <c r="K2176" s="18"/>
      <c r="L2176" s="26" t="s">
        <v>77</v>
      </c>
      <c r="M2176" s="6" t="s">
        <v>77</v>
      </c>
      <c r="N2176" s="28" t="s">
        <v>77</v>
      </c>
      <c r="O2176" s="26" t="s">
        <v>77</v>
      </c>
    </row>
    <row r="2177">
      <c r="A2177" s="52" t="s">
        <v>77</v>
      </c>
      <c r="B2177" s="28" t="s">
        <v>77</v>
      </c>
      <c r="C2177" s="28" t="s">
        <v>77</v>
      </c>
      <c r="D2177" s="28" t="s">
        <v>77</v>
      </c>
      <c r="E2177" s="28" t="s">
        <v>77</v>
      </c>
      <c r="F2177" s="28" t="s">
        <v>77</v>
      </c>
      <c r="G2177" s="28" t="s">
        <v>77</v>
      </c>
      <c r="I2177" s="26" t="s">
        <v>77</v>
      </c>
      <c r="J2177" s="26" t="s">
        <v>77</v>
      </c>
      <c r="K2177" s="18"/>
      <c r="L2177" s="26" t="s">
        <v>77</v>
      </c>
      <c r="M2177" s="6" t="s">
        <v>77</v>
      </c>
      <c r="N2177" s="28" t="s">
        <v>77</v>
      </c>
      <c r="O2177" s="26" t="s">
        <v>77</v>
      </c>
    </row>
    <row r="2178">
      <c r="A2178" s="52" t="s">
        <v>77</v>
      </c>
      <c r="B2178" s="28" t="s">
        <v>77</v>
      </c>
      <c r="C2178" s="28" t="s">
        <v>77</v>
      </c>
      <c r="D2178" s="28" t="s">
        <v>77</v>
      </c>
      <c r="E2178" s="28" t="s">
        <v>77</v>
      </c>
      <c r="F2178" s="28" t="s">
        <v>77</v>
      </c>
      <c r="G2178" s="28" t="s">
        <v>77</v>
      </c>
      <c r="I2178" s="26" t="s">
        <v>77</v>
      </c>
      <c r="J2178" s="26" t="s">
        <v>77</v>
      </c>
      <c r="K2178" s="18"/>
      <c r="L2178" s="26" t="s">
        <v>77</v>
      </c>
      <c r="M2178" s="6" t="s">
        <v>77</v>
      </c>
      <c r="N2178" s="28" t="s">
        <v>77</v>
      </c>
      <c r="O2178" s="26" t="s">
        <v>77</v>
      </c>
    </row>
    <row r="2179">
      <c r="A2179" s="52" t="s">
        <v>77</v>
      </c>
      <c r="B2179" s="28" t="s">
        <v>77</v>
      </c>
      <c r="C2179" s="28" t="s">
        <v>77</v>
      </c>
      <c r="D2179" s="28" t="s">
        <v>77</v>
      </c>
      <c r="E2179" s="28" t="s">
        <v>77</v>
      </c>
      <c r="F2179" s="28" t="s">
        <v>77</v>
      </c>
      <c r="G2179" s="28" t="s">
        <v>77</v>
      </c>
      <c r="I2179" s="26" t="s">
        <v>77</v>
      </c>
      <c r="J2179" s="26" t="s">
        <v>77</v>
      </c>
      <c r="K2179" s="18"/>
      <c r="L2179" s="26" t="s">
        <v>77</v>
      </c>
      <c r="M2179" s="6" t="s">
        <v>77</v>
      </c>
      <c r="N2179" s="28" t="s">
        <v>77</v>
      </c>
      <c r="O2179" s="26" t="s">
        <v>77</v>
      </c>
    </row>
    <row r="2180">
      <c r="A2180" s="52" t="s">
        <v>77</v>
      </c>
      <c r="B2180" s="28" t="s">
        <v>77</v>
      </c>
      <c r="C2180" s="28" t="s">
        <v>77</v>
      </c>
      <c r="D2180" s="28" t="s">
        <v>77</v>
      </c>
      <c r="E2180" s="28" t="s">
        <v>77</v>
      </c>
      <c r="F2180" s="28" t="s">
        <v>77</v>
      </c>
      <c r="G2180" s="28" t="s">
        <v>77</v>
      </c>
      <c r="I2180" s="26" t="s">
        <v>77</v>
      </c>
      <c r="J2180" s="26" t="s">
        <v>77</v>
      </c>
      <c r="K2180" s="18"/>
      <c r="L2180" s="26" t="s">
        <v>77</v>
      </c>
      <c r="M2180" s="6" t="s">
        <v>77</v>
      </c>
      <c r="N2180" s="28" t="s">
        <v>77</v>
      </c>
      <c r="O2180" s="26" t="s">
        <v>77</v>
      </c>
    </row>
    <row r="2181">
      <c r="A2181" s="52" t="s">
        <v>77</v>
      </c>
      <c r="B2181" s="28" t="s">
        <v>77</v>
      </c>
      <c r="C2181" s="28" t="s">
        <v>77</v>
      </c>
      <c r="D2181" s="28" t="s">
        <v>77</v>
      </c>
      <c r="E2181" s="28" t="s">
        <v>77</v>
      </c>
      <c r="F2181" s="28" t="s">
        <v>77</v>
      </c>
      <c r="G2181" s="28" t="s">
        <v>77</v>
      </c>
      <c r="I2181" s="26" t="s">
        <v>77</v>
      </c>
      <c r="J2181" s="26" t="s">
        <v>77</v>
      </c>
      <c r="K2181" s="18"/>
      <c r="L2181" s="26" t="s">
        <v>77</v>
      </c>
      <c r="M2181" s="6" t="s">
        <v>77</v>
      </c>
      <c r="N2181" s="28" t="s">
        <v>77</v>
      </c>
      <c r="O2181" s="26" t="s">
        <v>77</v>
      </c>
    </row>
    <row r="2182">
      <c r="A2182" s="52" t="s">
        <v>77</v>
      </c>
      <c r="B2182" s="28" t="s">
        <v>77</v>
      </c>
      <c r="C2182" s="28" t="s">
        <v>77</v>
      </c>
      <c r="D2182" s="28" t="s">
        <v>77</v>
      </c>
      <c r="E2182" s="28" t="s">
        <v>77</v>
      </c>
      <c r="F2182" s="28" t="s">
        <v>77</v>
      </c>
      <c r="G2182" s="28" t="s">
        <v>77</v>
      </c>
      <c r="I2182" s="26" t="s">
        <v>77</v>
      </c>
      <c r="J2182" s="26" t="s">
        <v>77</v>
      </c>
      <c r="K2182" s="18"/>
      <c r="L2182" s="26" t="s">
        <v>77</v>
      </c>
      <c r="M2182" s="6" t="s">
        <v>77</v>
      </c>
      <c r="N2182" s="28" t="s">
        <v>77</v>
      </c>
      <c r="O2182" s="26" t="s">
        <v>77</v>
      </c>
    </row>
    <row r="2183">
      <c r="A2183" s="52" t="s">
        <v>77</v>
      </c>
      <c r="B2183" s="28" t="s">
        <v>77</v>
      </c>
      <c r="C2183" s="28" t="s">
        <v>77</v>
      </c>
      <c r="D2183" s="28" t="s">
        <v>77</v>
      </c>
      <c r="E2183" s="28" t="s">
        <v>77</v>
      </c>
      <c r="F2183" s="28" t="s">
        <v>77</v>
      </c>
      <c r="G2183" s="28" t="s">
        <v>77</v>
      </c>
      <c r="I2183" s="26" t="s">
        <v>77</v>
      </c>
      <c r="J2183" s="26" t="s">
        <v>77</v>
      </c>
      <c r="K2183" s="18"/>
      <c r="L2183" s="26" t="s">
        <v>77</v>
      </c>
      <c r="M2183" s="6" t="s">
        <v>77</v>
      </c>
      <c r="N2183" s="28" t="s">
        <v>77</v>
      </c>
      <c r="O2183" s="26" t="s">
        <v>77</v>
      </c>
    </row>
    <row r="2184">
      <c r="A2184" s="52" t="s">
        <v>77</v>
      </c>
      <c r="B2184" s="28" t="s">
        <v>77</v>
      </c>
      <c r="C2184" s="28" t="s">
        <v>77</v>
      </c>
      <c r="D2184" s="28" t="s">
        <v>77</v>
      </c>
      <c r="E2184" s="28" t="s">
        <v>77</v>
      </c>
      <c r="F2184" s="28" t="s">
        <v>77</v>
      </c>
      <c r="G2184" s="28" t="s">
        <v>77</v>
      </c>
      <c r="I2184" s="26" t="s">
        <v>77</v>
      </c>
      <c r="J2184" s="26" t="s">
        <v>77</v>
      </c>
      <c r="K2184" s="18"/>
      <c r="L2184" s="26" t="s">
        <v>77</v>
      </c>
      <c r="M2184" s="6" t="s">
        <v>77</v>
      </c>
      <c r="N2184" s="28" t="s">
        <v>77</v>
      </c>
      <c r="O2184" s="26" t="s">
        <v>77</v>
      </c>
    </row>
    <row r="2185">
      <c r="A2185" s="52" t="s">
        <v>77</v>
      </c>
      <c r="B2185" s="28" t="s">
        <v>77</v>
      </c>
      <c r="C2185" s="28" t="s">
        <v>77</v>
      </c>
      <c r="D2185" s="28" t="s">
        <v>77</v>
      </c>
      <c r="E2185" s="28" t="s">
        <v>77</v>
      </c>
      <c r="F2185" s="28" t="s">
        <v>77</v>
      </c>
      <c r="G2185" s="28" t="s">
        <v>77</v>
      </c>
      <c r="I2185" s="26" t="s">
        <v>77</v>
      </c>
      <c r="J2185" s="26" t="s">
        <v>77</v>
      </c>
      <c r="K2185" s="18"/>
      <c r="L2185" s="26" t="s">
        <v>77</v>
      </c>
      <c r="M2185" s="6" t="s">
        <v>77</v>
      </c>
      <c r="N2185" s="28" t="s">
        <v>77</v>
      </c>
      <c r="O2185" s="26" t="s">
        <v>77</v>
      </c>
    </row>
    <row r="2186">
      <c r="A2186" s="52" t="s">
        <v>77</v>
      </c>
      <c r="B2186" s="28" t="s">
        <v>77</v>
      </c>
      <c r="C2186" s="28" t="s">
        <v>77</v>
      </c>
      <c r="D2186" s="28" t="s">
        <v>77</v>
      </c>
      <c r="E2186" s="28" t="s">
        <v>77</v>
      </c>
      <c r="F2186" s="28" t="s">
        <v>77</v>
      </c>
      <c r="G2186" s="28" t="s">
        <v>77</v>
      </c>
      <c r="I2186" s="26" t="s">
        <v>77</v>
      </c>
      <c r="J2186" s="26" t="s">
        <v>77</v>
      </c>
      <c r="K2186" s="18"/>
      <c r="L2186" s="26" t="s">
        <v>77</v>
      </c>
      <c r="M2186" s="6" t="s">
        <v>77</v>
      </c>
      <c r="N2186" s="28" t="s">
        <v>77</v>
      </c>
      <c r="O2186" s="26" t="s">
        <v>77</v>
      </c>
    </row>
    <row r="2187">
      <c r="A2187" s="52" t="s">
        <v>77</v>
      </c>
      <c r="B2187" s="28" t="s">
        <v>77</v>
      </c>
      <c r="C2187" s="28" t="s">
        <v>77</v>
      </c>
      <c r="D2187" s="28" t="s">
        <v>77</v>
      </c>
      <c r="E2187" s="28" t="s">
        <v>77</v>
      </c>
      <c r="F2187" s="28" t="s">
        <v>77</v>
      </c>
      <c r="G2187" s="28" t="s">
        <v>77</v>
      </c>
      <c r="I2187" s="26" t="s">
        <v>77</v>
      </c>
      <c r="J2187" s="26" t="s">
        <v>77</v>
      </c>
      <c r="K2187" s="18"/>
      <c r="L2187" s="26" t="s">
        <v>77</v>
      </c>
      <c r="M2187" s="6" t="s">
        <v>77</v>
      </c>
      <c r="N2187" s="28" t="s">
        <v>77</v>
      </c>
      <c r="O2187" s="26" t="s">
        <v>77</v>
      </c>
    </row>
    <row r="2188">
      <c r="A2188" s="52" t="s">
        <v>77</v>
      </c>
      <c r="B2188" s="28" t="s">
        <v>77</v>
      </c>
      <c r="C2188" s="28" t="s">
        <v>77</v>
      </c>
      <c r="D2188" s="28" t="s">
        <v>77</v>
      </c>
      <c r="E2188" s="28" t="s">
        <v>77</v>
      </c>
      <c r="F2188" s="28" t="s">
        <v>77</v>
      </c>
      <c r="G2188" s="28" t="s">
        <v>77</v>
      </c>
      <c r="I2188" s="26" t="s">
        <v>77</v>
      </c>
      <c r="J2188" s="26" t="s">
        <v>77</v>
      </c>
      <c r="K2188" s="18"/>
      <c r="L2188" s="26" t="s">
        <v>77</v>
      </c>
      <c r="M2188" s="6" t="s">
        <v>77</v>
      </c>
      <c r="N2188" s="28" t="s">
        <v>77</v>
      </c>
      <c r="O2188" s="26" t="s">
        <v>77</v>
      </c>
    </row>
    <row r="2189">
      <c r="A2189" s="52" t="s">
        <v>77</v>
      </c>
      <c r="B2189" s="28" t="s">
        <v>77</v>
      </c>
      <c r="C2189" s="28" t="s">
        <v>77</v>
      </c>
      <c r="D2189" s="28" t="s">
        <v>77</v>
      </c>
      <c r="E2189" s="28" t="s">
        <v>77</v>
      </c>
      <c r="F2189" s="28" t="s">
        <v>77</v>
      </c>
      <c r="G2189" s="28" t="s">
        <v>77</v>
      </c>
      <c r="I2189" s="26" t="s">
        <v>77</v>
      </c>
      <c r="J2189" s="26" t="s">
        <v>77</v>
      </c>
      <c r="K2189" s="18"/>
      <c r="L2189" s="26" t="s">
        <v>77</v>
      </c>
      <c r="M2189" s="6" t="s">
        <v>77</v>
      </c>
      <c r="N2189" s="28" t="s">
        <v>77</v>
      </c>
      <c r="O2189" s="26" t="s">
        <v>77</v>
      </c>
    </row>
    <row r="2190">
      <c r="A2190" s="52" t="s">
        <v>77</v>
      </c>
      <c r="B2190" s="28" t="s">
        <v>77</v>
      </c>
      <c r="C2190" s="28" t="s">
        <v>77</v>
      </c>
      <c r="D2190" s="28" t="s">
        <v>77</v>
      </c>
      <c r="E2190" s="28" t="s">
        <v>77</v>
      </c>
      <c r="F2190" s="28" t="s">
        <v>77</v>
      </c>
      <c r="G2190" s="28" t="s">
        <v>77</v>
      </c>
      <c r="I2190" s="26" t="s">
        <v>77</v>
      </c>
      <c r="J2190" s="26" t="s">
        <v>77</v>
      </c>
      <c r="K2190" s="18"/>
      <c r="L2190" s="26" t="s">
        <v>77</v>
      </c>
      <c r="M2190" s="6" t="s">
        <v>77</v>
      </c>
      <c r="N2190" s="28" t="s">
        <v>77</v>
      </c>
      <c r="O2190" s="26" t="s">
        <v>77</v>
      </c>
    </row>
    <row r="2191">
      <c r="A2191" s="52" t="s">
        <v>77</v>
      </c>
      <c r="B2191" s="28" t="s">
        <v>77</v>
      </c>
      <c r="C2191" s="28" t="s">
        <v>77</v>
      </c>
      <c r="D2191" s="28" t="s">
        <v>77</v>
      </c>
      <c r="E2191" s="28" t="s">
        <v>77</v>
      </c>
      <c r="F2191" s="28" t="s">
        <v>77</v>
      </c>
      <c r="G2191" s="28" t="s">
        <v>77</v>
      </c>
      <c r="I2191" s="26" t="s">
        <v>77</v>
      </c>
      <c r="J2191" s="26" t="s">
        <v>77</v>
      </c>
      <c r="K2191" s="18"/>
      <c r="L2191" s="26" t="s">
        <v>77</v>
      </c>
      <c r="M2191" s="6" t="s">
        <v>77</v>
      </c>
      <c r="N2191" s="28" t="s">
        <v>77</v>
      </c>
      <c r="O2191" s="26" t="s">
        <v>77</v>
      </c>
    </row>
    <row r="2192">
      <c r="A2192" s="52" t="s">
        <v>77</v>
      </c>
      <c r="B2192" s="28" t="s">
        <v>77</v>
      </c>
      <c r="C2192" s="28" t="s">
        <v>77</v>
      </c>
      <c r="D2192" s="28" t="s">
        <v>77</v>
      </c>
      <c r="E2192" s="28" t="s">
        <v>77</v>
      </c>
      <c r="F2192" s="28" t="s">
        <v>77</v>
      </c>
      <c r="G2192" s="28" t="s">
        <v>77</v>
      </c>
      <c r="I2192" s="26" t="s">
        <v>77</v>
      </c>
      <c r="J2192" s="26" t="s">
        <v>77</v>
      </c>
      <c r="K2192" s="18"/>
      <c r="L2192" s="26" t="s">
        <v>77</v>
      </c>
      <c r="M2192" s="6" t="s">
        <v>77</v>
      </c>
      <c r="N2192" s="28" t="s">
        <v>77</v>
      </c>
      <c r="O2192" s="26" t="s">
        <v>77</v>
      </c>
    </row>
    <row r="2193">
      <c r="A2193" s="52" t="s">
        <v>77</v>
      </c>
      <c r="B2193" s="28" t="s">
        <v>77</v>
      </c>
      <c r="C2193" s="28" t="s">
        <v>77</v>
      </c>
      <c r="D2193" s="28" t="s">
        <v>77</v>
      </c>
      <c r="E2193" s="28" t="s">
        <v>77</v>
      </c>
      <c r="F2193" s="28" t="s">
        <v>77</v>
      </c>
      <c r="G2193" s="28" t="s">
        <v>77</v>
      </c>
      <c r="I2193" s="26" t="s">
        <v>77</v>
      </c>
      <c r="J2193" s="26" t="s">
        <v>77</v>
      </c>
      <c r="K2193" s="18"/>
      <c r="L2193" s="26" t="s">
        <v>77</v>
      </c>
      <c r="M2193" s="6" t="s">
        <v>77</v>
      </c>
      <c r="N2193" s="28" t="s">
        <v>77</v>
      </c>
      <c r="O2193" s="26" t="s">
        <v>77</v>
      </c>
    </row>
    <row r="2194">
      <c r="A2194" s="52" t="s">
        <v>77</v>
      </c>
      <c r="B2194" s="28" t="s">
        <v>77</v>
      </c>
      <c r="C2194" s="28" t="s">
        <v>77</v>
      </c>
      <c r="D2194" s="28" t="s">
        <v>77</v>
      </c>
      <c r="E2194" s="28" t="s">
        <v>77</v>
      </c>
      <c r="F2194" s="28" t="s">
        <v>77</v>
      </c>
      <c r="G2194" s="28" t="s">
        <v>77</v>
      </c>
      <c r="I2194" s="26" t="s">
        <v>77</v>
      </c>
      <c r="J2194" s="26" t="s">
        <v>77</v>
      </c>
      <c r="K2194" s="18"/>
      <c r="L2194" s="26" t="s">
        <v>77</v>
      </c>
      <c r="M2194" s="6" t="s">
        <v>77</v>
      </c>
      <c r="N2194" s="28" t="s">
        <v>77</v>
      </c>
      <c r="O2194" s="26" t="s">
        <v>77</v>
      </c>
    </row>
    <row r="2195">
      <c r="A2195" s="52" t="s">
        <v>77</v>
      </c>
      <c r="B2195" s="28" t="s">
        <v>77</v>
      </c>
      <c r="C2195" s="28" t="s">
        <v>77</v>
      </c>
      <c r="D2195" s="28" t="s">
        <v>77</v>
      </c>
      <c r="E2195" s="28" t="s">
        <v>77</v>
      </c>
      <c r="F2195" s="28" t="s">
        <v>77</v>
      </c>
      <c r="G2195" s="28" t="s">
        <v>77</v>
      </c>
      <c r="I2195" s="26" t="s">
        <v>77</v>
      </c>
      <c r="J2195" s="26" t="s">
        <v>77</v>
      </c>
      <c r="K2195" s="18"/>
      <c r="L2195" s="26" t="s">
        <v>77</v>
      </c>
      <c r="M2195" s="6" t="s">
        <v>77</v>
      </c>
      <c r="N2195" s="28" t="s">
        <v>77</v>
      </c>
      <c r="O2195" s="26" t="s">
        <v>77</v>
      </c>
    </row>
    <row r="2196">
      <c r="A2196" s="52" t="s">
        <v>77</v>
      </c>
      <c r="B2196" s="28" t="s">
        <v>77</v>
      </c>
      <c r="C2196" s="28" t="s">
        <v>77</v>
      </c>
      <c r="D2196" s="28" t="s">
        <v>77</v>
      </c>
      <c r="E2196" s="28" t="s">
        <v>77</v>
      </c>
      <c r="F2196" s="28" t="s">
        <v>77</v>
      </c>
      <c r="G2196" s="28" t="s">
        <v>77</v>
      </c>
      <c r="I2196" s="26" t="s">
        <v>77</v>
      </c>
      <c r="J2196" s="26" t="s">
        <v>77</v>
      </c>
      <c r="K2196" s="18"/>
      <c r="L2196" s="26" t="s">
        <v>77</v>
      </c>
      <c r="M2196" s="6" t="s">
        <v>77</v>
      </c>
      <c r="N2196" s="28" t="s">
        <v>77</v>
      </c>
      <c r="O2196" s="26" t="s">
        <v>77</v>
      </c>
    </row>
    <row r="2197">
      <c r="A2197" s="52" t="s">
        <v>77</v>
      </c>
      <c r="B2197" s="28" t="s">
        <v>77</v>
      </c>
      <c r="C2197" s="28" t="s">
        <v>77</v>
      </c>
      <c r="D2197" s="28" t="s">
        <v>77</v>
      </c>
      <c r="E2197" s="28" t="s">
        <v>77</v>
      </c>
      <c r="F2197" s="28" t="s">
        <v>77</v>
      </c>
      <c r="G2197" s="28" t="s">
        <v>77</v>
      </c>
      <c r="I2197" s="26" t="s">
        <v>77</v>
      </c>
      <c r="J2197" s="26" t="s">
        <v>77</v>
      </c>
      <c r="K2197" s="18"/>
      <c r="L2197" s="26" t="s">
        <v>77</v>
      </c>
      <c r="M2197" s="6" t="s">
        <v>77</v>
      </c>
      <c r="N2197" s="28" t="s">
        <v>77</v>
      </c>
      <c r="O2197" s="26" t="s">
        <v>77</v>
      </c>
    </row>
    <row r="2198">
      <c r="A2198" s="52" t="s">
        <v>77</v>
      </c>
      <c r="B2198" s="28" t="s">
        <v>77</v>
      </c>
      <c r="C2198" s="28" t="s">
        <v>77</v>
      </c>
      <c r="D2198" s="28" t="s">
        <v>77</v>
      </c>
      <c r="E2198" s="28" t="s">
        <v>77</v>
      </c>
      <c r="F2198" s="28" t="s">
        <v>77</v>
      </c>
      <c r="G2198" s="28" t="s">
        <v>77</v>
      </c>
      <c r="I2198" s="26" t="s">
        <v>77</v>
      </c>
      <c r="J2198" s="26" t="s">
        <v>77</v>
      </c>
      <c r="K2198" s="18"/>
      <c r="L2198" s="26" t="s">
        <v>77</v>
      </c>
      <c r="M2198" s="6" t="s">
        <v>77</v>
      </c>
      <c r="N2198" s="28" t="s">
        <v>77</v>
      </c>
      <c r="O2198" s="26" t="s">
        <v>77</v>
      </c>
    </row>
    <row r="2199">
      <c r="A2199" s="52" t="s">
        <v>77</v>
      </c>
      <c r="B2199" s="28" t="s">
        <v>77</v>
      </c>
      <c r="C2199" s="28" t="s">
        <v>77</v>
      </c>
      <c r="D2199" s="28" t="s">
        <v>77</v>
      </c>
      <c r="E2199" s="28" t="s">
        <v>77</v>
      </c>
      <c r="F2199" s="28" t="s">
        <v>77</v>
      </c>
      <c r="G2199" s="28" t="s">
        <v>77</v>
      </c>
      <c r="I2199" s="26" t="s">
        <v>77</v>
      </c>
      <c r="J2199" s="26" t="s">
        <v>77</v>
      </c>
      <c r="K2199" s="18"/>
      <c r="L2199" s="26" t="s">
        <v>77</v>
      </c>
      <c r="M2199" s="6" t="s">
        <v>77</v>
      </c>
      <c r="N2199" s="28" t="s">
        <v>77</v>
      </c>
      <c r="O2199" s="26" t="s">
        <v>77</v>
      </c>
    </row>
    <row r="2200">
      <c r="A2200" s="52" t="s">
        <v>77</v>
      </c>
      <c r="B2200" s="28" t="s">
        <v>77</v>
      </c>
      <c r="C2200" s="28" t="s">
        <v>77</v>
      </c>
      <c r="D2200" s="28" t="s">
        <v>77</v>
      </c>
      <c r="E2200" s="28" t="s">
        <v>77</v>
      </c>
      <c r="F2200" s="28" t="s">
        <v>77</v>
      </c>
      <c r="G2200" s="28" t="s">
        <v>77</v>
      </c>
      <c r="I2200" s="26" t="s">
        <v>77</v>
      </c>
      <c r="J2200" s="26" t="s">
        <v>77</v>
      </c>
      <c r="K2200" s="18"/>
      <c r="L2200" s="26" t="s">
        <v>77</v>
      </c>
      <c r="M2200" s="6" t="s">
        <v>77</v>
      </c>
      <c r="N2200" s="28" t="s">
        <v>77</v>
      </c>
      <c r="O2200" s="26" t="s">
        <v>77</v>
      </c>
    </row>
    <row r="2201">
      <c r="A2201" s="52" t="s">
        <v>77</v>
      </c>
      <c r="B2201" s="28" t="s">
        <v>77</v>
      </c>
      <c r="C2201" s="28" t="s">
        <v>77</v>
      </c>
      <c r="D2201" s="28" t="s">
        <v>77</v>
      </c>
      <c r="E2201" s="28" t="s">
        <v>77</v>
      </c>
      <c r="F2201" s="28" t="s">
        <v>77</v>
      </c>
      <c r="G2201" s="28" t="s">
        <v>77</v>
      </c>
      <c r="I2201" s="26" t="s">
        <v>77</v>
      </c>
      <c r="J2201" s="26" t="s">
        <v>77</v>
      </c>
      <c r="K2201" s="18"/>
      <c r="L2201" s="26" t="s">
        <v>77</v>
      </c>
      <c r="M2201" s="6" t="s">
        <v>77</v>
      </c>
      <c r="N2201" s="28" t="s">
        <v>77</v>
      </c>
      <c r="O2201" s="26" t="s">
        <v>77</v>
      </c>
    </row>
    <row r="2202">
      <c r="A2202" s="52" t="s">
        <v>77</v>
      </c>
      <c r="B2202" s="28" t="s">
        <v>77</v>
      </c>
      <c r="C2202" s="28" t="s">
        <v>77</v>
      </c>
      <c r="D2202" s="28" t="s">
        <v>77</v>
      </c>
      <c r="E2202" s="28" t="s">
        <v>77</v>
      </c>
      <c r="F2202" s="28" t="s">
        <v>77</v>
      </c>
      <c r="G2202" s="28" t="s">
        <v>77</v>
      </c>
      <c r="I2202" s="26" t="s">
        <v>77</v>
      </c>
      <c r="J2202" s="26" t="s">
        <v>77</v>
      </c>
      <c r="K2202" s="18"/>
      <c r="L2202" s="26" t="s">
        <v>77</v>
      </c>
      <c r="M2202" s="6" t="s">
        <v>77</v>
      </c>
      <c r="N2202" s="28" t="s">
        <v>77</v>
      </c>
      <c r="O2202" s="26" t="s">
        <v>77</v>
      </c>
    </row>
    <row r="2203">
      <c r="A2203" s="52" t="s">
        <v>77</v>
      </c>
      <c r="B2203" s="28" t="s">
        <v>77</v>
      </c>
      <c r="C2203" s="28" t="s">
        <v>77</v>
      </c>
      <c r="D2203" s="28" t="s">
        <v>77</v>
      </c>
      <c r="E2203" s="28" t="s">
        <v>77</v>
      </c>
      <c r="F2203" s="28" t="s">
        <v>77</v>
      </c>
      <c r="G2203" s="28" t="s">
        <v>77</v>
      </c>
      <c r="I2203" s="26" t="s">
        <v>77</v>
      </c>
      <c r="J2203" s="26" t="s">
        <v>77</v>
      </c>
      <c r="K2203" s="18"/>
      <c r="L2203" s="26" t="s">
        <v>77</v>
      </c>
      <c r="M2203" s="6" t="s">
        <v>77</v>
      </c>
      <c r="N2203" s="28" t="s">
        <v>77</v>
      </c>
      <c r="O2203" s="26" t="s">
        <v>77</v>
      </c>
    </row>
    <row r="2204">
      <c r="A2204" s="52" t="s">
        <v>77</v>
      </c>
      <c r="B2204" s="28" t="s">
        <v>77</v>
      </c>
      <c r="C2204" s="28" t="s">
        <v>77</v>
      </c>
      <c r="D2204" s="28" t="s">
        <v>77</v>
      </c>
      <c r="E2204" s="28" t="s">
        <v>77</v>
      </c>
      <c r="F2204" s="28" t="s">
        <v>77</v>
      </c>
      <c r="G2204" s="28" t="s">
        <v>77</v>
      </c>
      <c r="I2204" s="26" t="s">
        <v>77</v>
      </c>
      <c r="J2204" s="26" t="s">
        <v>77</v>
      </c>
      <c r="K2204" s="18"/>
      <c r="L2204" s="26" t="s">
        <v>77</v>
      </c>
      <c r="M2204" s="6" t="s">
        <v>77</v>
      </c>
      <c r="N2204" s="28" t="s">
        <v>77</v>
      </c>
      <c r="O2204" s="26" t="s">
        <v>77</v>
      </c>
    </row>
    <row r="2205">
      <c r="A2205" s="52" t="s">
        <v>77</v>
      </c>
      <c r="B2205" s="28" t="s">
        <v>77</v>
      </c>
      <c r="C2205" s="28" t="s">
        <v>77</v>
      </c>
      <c r="D2205" s="28" t="s">
        <v>77</v>
      </c>
      <c r="E2205" s="28" t="s">
        <v>77</v>
      </c>
      <c r="F2205" s="28" t="s">
        <v>77</v>
      </c>
      <c r="G2205" s="28" t="s">
        <v>77</v>
      </c>
      <c r="I2205" s="26" t="s">
        <v>77</v>
      </c>
      <c r="J2205" s="26" t="s">
        <v>77</v>
      </c>
      <c r="K2205" s="18"/>
      <c r="L2205" s="26" t="s">
        <v>77</v>
      </c>
      <c r="M2205" s="6" t="s">
        <v>77</v>
      </c>
      <c r="N2205" s="28" t="s">
        <v>77</v>
      </c>
      <c r="O2205" s="26" t="s">
        <v>77</v>
      </c>
    </row>
    <row r="2206">
      <c r="A2206" s="52" t="s">
        <v>77</v>
      </c>
      <c r="B2206" s="28" t="s">
        <v>77</v>
      </c>
      <c r="C2206" s="28" t="s">
        <v>77</v>
      </c>
      <c r="D2206" s="28" t="s">
        <v>77</v>
      </c>
      <c r="E2206" s="28" t="s">
        <v>77</v>
      </c>
      <c r="F2206" s="28" t="s">
        <v>77</v>
      </c>
      <c r="G2206" s="28" t="s">
        <v>77</v>
      </c>
      <c r="I2206" s="26" t="s">
        <v>77</v>
      </c>
      <c r="J2206" s="26" t="s">
        <v>77</v>
      </c>
      <c r="K2206" s="18"/>
      <c r="L2206" s="26" t="s">
        <v>77</v>
      </c>
      <c r="M2206" s="6" t="s">
        <v>77</v>
      </c>
      <c r="N2206" s="28" t="s">
        <v>77</v>
      </c>
      <c r="O2206" s="26" t="s">
        <v>77</v>
      </c>
    </row>
    <row r="2207">
      <c r="A2207" s="52" t="s">
        <v>77</v>
      </c>
      <c r="B2207" s="28" t="s">
        <v>77</v>
      </c>
      <c r="C2207" s="28" t="s">
        <v>77</v>
      </c>
      <c r="D2207" s="28" t="s">
        <v>77</v>
      </c>
      <c r="E2207" s="28" t="s">
        <v>77</v>
      </c>
      <c r="F2207" s="28" t="s">
        <v>77</v>
      </c>
      <c r="G2207" s="28" t="s">
        <v>77</v>
      </c>
      <c r="I2207" s="26" t="s">
        <v>77</v>
      </c>
      <c r="J2207" s="26" t="s">
        <v>77</v>
      </c>
      <c r="K2207" s="18"/>
      <c r="L2207" s="26" t="s">
        <v>77</v>
      </c>
      <c r="M2207" s="6" t="s">
        <v>77</v>
      </c>
      <c r="N2207" s="28" t="s">
        <v>77</v>
      </c>
      <c r="O2207" s="26" t="s">
        <v>77</v>
      </c>
    </row>
    <row r="2208">
      <c r="A2208" s="52" t="s">
        <v>77</v>
      </c>
      <c r="B2208" s="28" t="s">
        <v>77</v>
      </c>
      <c r="C2208" s="28" t="s">
        <v>77</v>
      </c>
      <c r="D2208" s="28" t="s">
        <v>77</v>
      </c>
      <c r="E2208" s="28" t="s">
        <v>77</v>
      </c>
      <c r="F2208" s="28" t="s">
        <v>77</v>
      </c>
      <c r="G2208" s="28" t="s">
        <v>77</v>
      </c>
      <c r="I2208" s="26" t="s">
        <v>77</v>
      </c>
      <c r="J2208" s="26" t="s">
        <v>77</v>
      </c>
      <c r="K2208" s="18"/>
      <c r="L2208" s="26" t="s">
        <v>77</v>
      </c>
      <c r="M2208" s="6" t="s">
        <v>77</v>
      </c>
      <c r="N2208" s="28" t="s">
        <v>77</v>
      </c>
      <c r="O2208" s="26" t="s">
        <v>77</v>
      </c>
    </row>
    <row r="2209">
      <c r="A2209" s="52" t="s">
        <v>77</v>
      </c>
      <c r="B2209" s="28" t="s">
        <v>77</v>
      </c>
      <c r="C2209" s="28" t="s">
        <v>77</v>
      </c>
      <c r="D2209" s="28" t="s">
        <v>77</v>
      </c>
      <c r="E2209" s="28" t="s">
        <v>77</v>
      </c>
      <c r="F2209" s="28" t="s">
        <v>77</v>
      </c>
      <c r="G2209" s="28" t="s">
        <v>77</v>
      </c>
      <c r="I2209" s="26" t="s">
        <v>77</v>
      </c>
      <c r="J2209" s="26" t="s">
        <v>77</v>
      </c>
      <c r="K2209" s="18"/>
      <c r="L2209" s="26" t="s">
        <v>77</v>
      </c>
      <c r="M2209" s="6" t="s">
        <v>77</v>
      </c>
      <c r="N2209" s="28" t="s">
        <v>77</v>
      </c>
      <c r="O2209" s="26" t="s">
        <v>77</v>
      </c>
    </row>
    <row r="2210">
      <c r="A2210" s="52" t="s">
        <v>77</v>
      </c>
      <c r="B2210" s="28" t="s">
        <v>77</v>
      </c>
      <c r="C2210" s="28" t="s">
        <v>77</v>
      </c>
      <c r="D2210" s="28" t="s">
        <v>77</v>
      </c>
      <c r="E2210" s="28" t="s">
        <v>77</v>
      </c>
      <c r="F2210" s="28" t="s">
        <v>77</v>
      </c>
      <c r="G2210" s="28" t="s">
        <v>77</v>
      </c>
      <c r="I2210" s="26" t="s">
        <v>77</v>
      </c>
      <c r="J2210" s="26" t="s">
        <v>77</v>
      </c>
      <c r="K2210" s="18"/>
      <c r="L2210" s="26" t="s">
        <v>77</v>
      </c>
      <c r="M2210" s="6" t="s">
        <v>77</v>
      </c>
      <c r="N2210" s="28" t="s">
        <v>77</v>
      </c>
      <c r="O2210" s="26" t="s">
        <v>77</v>
      </c>
    </row>
    <row r="2211">
      <c r="A2211" s="52" t="s">
        <v>77</v>
      </c>
      <c r="B2211" s="28" t="s">
        <v>77</v>
      </c>
      <c r="C2211" s="28" t="s">
        <v>77</v>
      </c>
      <c r="D2211" s="28" t="s">
        <v>77</v>
      </c>
      <c r="E2211" s="28" t="s">
        <v>77</v>
      </c>
      <c r="F2211" s="28" t="s">
        <v>77</v>
      </c>
      <c r="G2211" s="28" t="s">
        <v>77</v>
      </c>
      <c r="I2211" s="26" t="s">
        <v>77</v>
      </c>
      <c r="J2211" s="26" t="s">
        <v>77</v>
      </c>
      <c r="K2211" s="18"/>
      <c r="L2211" s="26" t="s">
        <v>77</v>
      </c>
      <c r="M2211" s="6" t="s">
        <v>77</v>
      </c>
      <c r="N2211" s="28" t="s">
        <v>77</v>
      </c>
      <c r="O2211" s="26" t="s">
        <v>77</v>
      </c>
    </row>
    <row r="2212">
      <c r="A2212" s="52" t="s">
        <v>77</v>
      </c>
      <c r="B2212" s="28" t="s">
        <v>77</v>
      </c>
      <c r="C2212" s="28" t="s">
        <v>77</v>
      </c>
      <c r="D2212" s="28" t="s">
        <v>77</v>
      </c>
      <c r="E2212" s="28" t="s">
        <v>77</v>
      </c>
      <c r="F2212" s="28" t="s">
        <v>77</v>
      </c>
      <c r="G2212" s="28" t="s">
        <v>77</v>
      </c>
      <c r="I2212" s="26" t="s">
        <v>77</v>
      </c>
      <c r="J2212" s="26" t="s">
        <v>77</v>
      </c>
      <c r="K2212" s="18"/>
      <c r="L2212" s="26" t="s">
        <v>77</v>
      </c>
      <c r="M2212" s="6" t="s">
        <v>77</v>
      </c>
      <c r="N2212" s="28" t="s">
        <v>77</v>
      </c>
      <c r="O2212" s="26" t="s">
        <v>77</v>
      </c>
    </row>
    <row r="2213">
      <c r="A2213" s="52" t="s">
        <v>77</v>
      </c>
      <c r="B2213" s="28" t="s">
        <v>77</v>
      </c>
      <c r="C2213" s="28" t="s">
        <v>77</v>
      </c>
      <c r="D2213" s="28" t="s">
        <v>77</v>
      </c>
      <c r="E2213" s="28" t="s">
        <v>77</v>
      </c>
      <c r="F2213" s="28" t="s">
        <v>77</v>
      </c>
      <c r="G2213" s="28" t="s">
        <v>77</v>
      </c>
      <c r="I2213" s="26" t="s">
        <v>77</v>
      </c>
      <c r="J2213" s="26" t="s">
        <v>77</v>
      </c>
      <c r="K2213" s="18"/>
      <c r="L2213" s="26" t="s">
        <v>77</v>
      </c>
      <c r="M2213" s="6" t="s">
        <v>77</v>
      </c>
      <c r="N2213" s="28" t="s">
        <v>77</v>
      </c>
      <c r="O2213" s="26" t="s">
        <v>77</v>
      </c>
    </row>
    <row r="2214">
      <c r="A2214" s="52" t="s">
        <v>77</v>
      </c>
      <c r="B2214" s="28" t="s">
        <v>77</v>
      </c>
      <c r="C2214" s="28" t="s">
        <v>77</v>
      </c>
      <c r="D2214" s="28" t="s">
        <v>77</v>
      </c>
      <c r="E2214" s="28" t="s">
        <v>77</v>
      </c>
      <c r="F2214" s="28" t="s">
        <v>77</v>
      </c>
      <c r="G2214" s="28" t="s">
        <v>77</v>
      </c>
      <c r="I2214" s="26" t="s">
        <v>77</v>
      </c>
      <c r="J2214" s="26" t="s">
        <v>77</v>
      </c>
      <c r="K2214" s="18"/>
      <c r="L2214" s="26" t="s">
        <v>77</v>
      </c>
      <c r="M2214" s="6" t="s">
        <v>77</v>
      </c>
      <c r="N2214" s="28" t="s">
        <v>77</v>
      </c>
      <c r="O2214" s="26" t="s">
        <v>77</v>
      </c>
    </row>
    <row r="2215">
      <c r="A2215" s="52" t="s">
        <v>77</v>
      </c>
      <c r="B2215" s="28" t="s">
        <v>77</v>
      </c>
      <c r="C2215" s="28" t="s">
        <v>77</v>
      </c>
      <c r="D2215" s="28" t="s">
        <v>77</v>
      </c>
      <c r="E2215" s="28" t="s">
        <v>77</v>
      </c>
      <c r="F2215" s="28" t="s">
        <v>77</v>
      </c>
      <c r="G2215" s="28" t="s">
        <v>77</v>
      </c>
      <c r="I2215" s="26" t="s">
        <v>77</v>
      </c>
      <c r="J2215" s="26" t="s">
        <v>77</v>
      </c>
      <c r="K2215" s="18"/>
      <c r="L2215" s="26" t="s">
        <v>77</v>
      </c>
      <c r="M2215" s="6" t="s">
        <v>77</v>
      </c>
      <c r="N2215" s="28" t="s">
        <v>77</v>
      </c>
      <c r="O2215" s="26" t="s">
        <v>77</v>
      </c>
    </row>
    <row r="2216">
      <c r="A2216" s="52" t="s">
        <v>77</v>
      </c>
      <c r="B2216" s="28" t="s">
        <v>77</v>
      </c>
      <c r="C2216" s="28" t="s">
        <v>77</v>
      </c>
      <c r="D2216" s="28" t="s">
        <v>77</v>
      </c>
      <c r="E2216" s="28" t="s">
        <v>77</v>
      </c>
      <c r="F2216" s="28" t="s">
        <v>77</v>
      </c>
      <c r="G2216" s="28" t="s">
        <v>77</v>
      </c>
      <c r="I2216" s="26" t="s">
        <v>77</v>
      </c>
      <c r="J2216" s="26" t="s">
        <v>77</v>
      </c>
      <c r="K2216" s="18"/>
      <c r="L2216" s="26" t="s">
        <v>77</v>
      </c>
      <c r="M2216" s="6" t="s">
        <v>77</v>
      </c>
      <c r="N2216" s="28" t="s">
        <v>77</v>
      </c>
      <c r="O2216" s="26" t="s">
        <v>77</v>
      </c>
    </row>
    <row r="2217">
      <c r="A2217" s="52" t="s">
        <v>77</v>
      </c>
      <c r="B2217" s="28" t="s">
        <v>77</v>
      </c>
      <c r="C2217" s="28" t="s">
        <v>77</v>
      </c>
      <c r="D2217" s="28" t="s">
        <v>77</v>
      </c>
      <c r="E2217" s="28" t="s">
        <v>77</v>
      </c>
      <c r="F2217" s="28" t="s">
        <v>77</v>
      </c>
      <c r="G2217" s="28" t="s">
        <v>77</v>
      </c>
      <c r="I2217" s="26" t="s">
        <v>77</v>
      </c>
      <c r="J2217" s="26" t="s">
        <v>77</v>
      </c>
      <c r="K2217" s="18"/>
      <c r="L2217" s="26" t="s">
        <v>77</v>
      </c>
      <c r="M2217" s="6" t="s">
        <v>77</v>
      </c>
      <c r="N2217" s="28" t="s">
        <v>77</v>
      </c>
      <c r="O2217" s="26" t="s">
        <v>77</v>
      </c>
    </row>
    <row r="2218">
      <c r="A2218" s="52" t="s">
        <v>77</v>
      </c>
      <c r="B2218" s="28" t="s">
        <v>77</v>
      </c>
      <c r="C2218" s="28" t="s">
        <v>77</v>
      </c>
      <c r="D2218" s="28" t="s">
        <v>77</v>
      </c>
      <c r="E2218" s="28" t="s">
        <v>77</v>
      </c>
      <c r="F2218" s="28" t="s">
        <v>77</v>
      </c>
      <c r="G2218" s="28" t="s">
        <v>77</v>
      </c>
      <c r="I2218" s="26" t="s">
        <v>77</v>
      </c>
      <c r="J2218" s="26" t="s">
        <v>77</v>
      </c>
      <c r="K2218" s="18"/>
      <c r="L2218" s="26" t="s">
        <v>77</v>
      </c>
      <c r="M2218" s="6" t="s">
        <v>77</v>
      </c>
      <c r="N2218" s="28" t="s">
        <v>77</v>
      </c>
      <c r="O2218" s="26" t="s">
        <v>77</v>
      </c>
    </row>
    <row r="2219">
      <c r="A2219" s="52" t="s">
        <v>77</v>
      </c>
      <c r="B2219" s="28" t="s">
        <v>77</v>
      </c>
      <c r="C2219" s="28" t="s">
        <v>77</v>
      </c>
      <c r="D2219" s="28" t="s">
        <v>77</v>
      </c>
      <c r="E2219" s="28" t="s">
        <v>77</v>
      </c>
      <c r="F2219" s="28" t="s">
        <v>77</v>
      </c>
      <c r="G2219" s="28" t="s">
        <v>77</v>
      </c>
      <c r="I2219" s="26" t="s">
        <v>77</v>
      </c>
      <c r="J2219" s="26" t="s">
        <v>77</v>
      </c>
      <c r="K2219" s="18"/>
      <c r="L2219" s="26" t="s">
        <v>77</v>
      </c>
      <c r="M2219" s="6" t="s">
        <v>77</v>
      </c>
      <c r="N2219" s="28" t="s">
        <v>77</v>
      </c>
      <c r="O2219" s="26" t="s">
        <v>77</v>
      </c>
    </row>
    <row r="2220">
      <c r="A2220" s="52" t="s">
        <v>77</v>
      </c>
      <c r="B2220" s="28" t="s">
        <v>77</v>
      </c>
      <c r="C2220" s="28" t="s">
        <v>77</v>
      </c>
      <c r="D2220" s="28" t="s">
        <v>77</v>
      </c>
      <c r="E2220" s="28" t="s">
        <v>77</v>
      </c>
      <c r="F2220" s="28" t="s">
        <v>77</v>
      </c>
      <c r="G2220" s="28" t="s">
        <v>77</v>
      </c>
      <c r="I2220" s="26" t="s">
        <v>77</v>
      </c>
      <c r="J2220" s="26" t="s">
        <v>77</v>
      </c>
      <c r="K2220" s="18"/>
      <c r="L2220" s="26" t="s">
        <v>77</v>
      </c>
      <c r="M2220" s="6" t="s">
        <v>77</v>
      </c>
      <c r="N2220" s="28" t="s">
        <v>77</v>
      </c>
      <c r="O2220" s="26" t="s">
        <v>77</v>
      </c>
    </row>
    <row r="2221">
      <c r="A2221" s="52" t="s">
        <v>77</v>
      </c>
      <c r="B2221" s="28" t="s">
        <v>77</v>
      </c>
      <c r="C2221" s="28" t="s">
        <v>77</v>
      </c>
      <c r="D2221" s="28" t="s">
        <v>77</v>
      </c>
      <c r="E2221" s="28" t="s">
        <v>77</v>
      </c>
      <c r="F2221" s="28" t="s">
        <v>77</v>
      </c>
      <c r="G2221" s="28" t="s">
        <v>77</v>
      </c>
      <c r="I2221" s="26" t="s">
        <v>77</v>
      </c>
      <c r="J2221" s="26" t="s">
        <v>77</v>
      </c>
      <c r="K2221" s="18"/>
      <c r="L2221" s="26" t="s">
        <v>77</v>
      </c>
      <c r="M2221" s="6" t="s">
        <v>77</v>
      </c>
      <c r="N2221" s="28" t="s">
        <v>77</v>
      </c>
      <c r="O2221" s="26" t="s">
        <v>77</v>
      </c>
    </row>
    <row r="2222">
      <c r="A2222" s="52" t="s">
        <v>77</v>
      </c>
      <c r="B2222" s="28" t="s">
        <v>77</v>
      </c>
      <c r="C2222" s="28" t="s">
        <v>77</v>
      </c>
      <c r="D2222" s="28" t="s">
        <v>77</v>
      </c>
      <c r="E2222" s="28" t="s">
        <v>77</v>
      </c>
      <c r="F2222" s="28" t="s">
        <v>77</v>
      </c>
      <c r="G2222" s="28" t="s">
        <v>77</v>
      </c>
      <c r="I2222" s="26" t="s">
        <v>77</v>
      </c>
      <c r="J2222" s="26" t="s">
        <v>77</v>
      </c>
      <c r="K2222" s="18"/>
      <c r="L2222" s="26" t="s">
        <v>77</v>
      </c>
      <c r="M2222" s="6" t="s">
        <v>77</v>
      </c>
      <c r="N2222" s="28" t="s">
        <v>77</v>
      </c>
      <c r="O2222" s="26" t="s">
        <v>77</v>
      </c>
    </row>
    <row r="2223">
      <c r="A2223" s="52" t="s">
        <v>77</v>
      </c>
      <c r="B2223" s="28" t="s">
        <v>77</v>
      </c>
      <c r="C2223" s="28" t="s">
        <v>77</v>
      </c>
      <c r="D2223" s="28" t="s">
        <v>77</v>
      </c>
      <c r="E2223" s="28" t="s">
        <v>77</v>
      </c>
      <c r="F2223" s="28" t="s">
        <v>77</v>
      </c>
      <c r="G2223" s="28" t="s">
        <v>77</v>
      </c>
      <c r="I2223" s="26" t="s">
        <v>77</v>
      </c>
      <c r="J2223" s="26" t="s">
        <v>77</v>
      </c>
      <c r="K2223" s="18"/>
      <c r="L2223" s="26" t="s">
        <v>77</v>
      </c>
      <c r="M2223" s="6" t="s">
        <v>77</v>
      </c>
      <c r="N2223" s="28" t="s">
        <v>77</v>
      </c>
      <c r="O2223" s="26" t="s">
        <v>77</v>
      </c>
    </row>
    <row r="2224">
      <c r="A2224" s="52" t="s">
        <v>77</v>
      </c>
      <c r="B2224" s="28" t="s">
        <v>77</v>
      </c>
      <c r="C2224" s="28" t="s">
        <v>77</v>
      </c>
      <c r="D2224" s="28" t="s">
        <v>77</v>
      </c>
      <c r="E2224" s="28" t="s">
        <v>77</v>
      </c>
      <c r="F2224" s="28" t="s">
        <v>77</v>
      </c>
      <c r="G2224" s="28" t="s">
        <v>77</v>
      </c>
      <c r="I2224" s="26" t="s">
        <v>77</v>
      </c>
      <c r="J2224" s="26" t="s">
        <v>77</v>
      </c>
      <c r="K2224" s="18"/>
      <c r="L2224" s="26" t="s">
        <v>77</v>
      </c>
      <c r="M2224" s="6" t="s">
        <v>77</v>
      </c>
      <c r="N2224" s="28" t="s">
        <v>77</v>
      </c>
      <c r="O2224" s="26" t="s">
        <v>77</v>
      </c>
    </row>
    <row r="2225">
      <c r="A2225" s="52" t="s">
        <v>77</v>
      </c>
      <c r="B2225" s="28" t="s">
        <v>77</v>
      </c>
      <c r="C2225" s="28" t="s">
        <v>77</v>
      </c>
      <c r="D2225" s="28" t="s">
        <v>77</v>
      </c>
      <c r="E2225" s="28" t="s">
        <v>77</v>
      </c>
      <c r="F2225" s="28" t="s">
        <v>77</v>
      </c>
      <c r="G2225" s="28" t="s">
        <v>77</v>
      </c>
      <c r="I2225" s="26" t="s">
        <v>77</v>
      </c>
      <c r="J2225" s="26" t="s">
        <v>77</v>
      </c>
      <c r="K2225" s="18"/>
      <c r="L2225" s="26" t="s">
        <v>77</v>
      </c>
      <c r="M2225" s="6" t="s">
        <v>77</v>
      </c>
      <c r="N2225" s="28" t="s">
        <v>77</v>
      </c>
      <c r="O2225" s="26" t="s">
        <v>77</v>
      </c>
    </row>
    <row r="2226">
      <c r="A2226" s="52" t="s">
        <v>77</v>
      </c>
      <c r="B2226" s="28" t="s">
        <v>77</v>
      </c>
      <c r="C2226" s="28" t="s">
        <v>77</v>
      </c>
      <c r="D2226" s="28" t="s">
        <v>77</v>
      </c>
      <c r="E2226" s="28" t="s">
        <v>77</v>
      </c>
      <c r="F2226" s="28" t="s">
        <v>77</v>
      </c>
      <c r="G2226" s="28" t="s">
        <v>77</v>
      </c>
      <c r="I2226" s="26" t="s">
        <v>77</v>
      </c>
      <c r="J2226" s="26" t="s">
        <v>77</v>
      </c>
      <c r="K2226" s="18"/>
      <c r="L2226" s="26" t="s">
        <v>77</v>
      </c>
      <c r="M2226" s="6" t="s">
        <v>77</v>
      </c>
      <c r="N2226" s="28" t="s">
        <v>77</v>
      </c>
      <c r="O2226" s="26" t="s">
        <v>77</v>
      </c>
    </row>
    <row r="2227">
      <c r="A2227" s="52" t="s">
        <v>77</v>
      </c>
      <c r="B2227" s="28" t="s">
        <v>77</v>
      </c>
      <c r="C2227" s="28" t="s">
        <v>77</v>
      </c>
      <c r="D2227" s="28" t="s">
        <v>77</v>
      </c>
      <c r="E2227" s="28" t="s">
        <v>77</v>
      </c>
      <c r="F2227" s="28" t="s">
        <v>77</v>
      </c>
      <c r="G2227" s="28" t="s">
        <v>77</v>
      </c>
      <c r="I2227" s="26" t="s">
        <v>77</v>
      </c>
      <c r="J2227" s="26" t="s">
        <v>77</v>
      </c>
      <c r="K2227" s="18"/>
      <c r="L2227" s="26" t="s">
        <v>77</v>
      </c>
      <c r="M2227" s="6" t="s">
        <v>77</v>
      </c>
      <c r="N2227" s="28" t="s">
        <v>77</v>
      </c>
      <c r="O2227" s="26" t="s">
        <v>77</v>
      </c>
    </row>
    <row r="2228">
      <c r="A2228" s="52" t="s">
        <v>77</v>
      </c>
      <c r="B2228" s="28" t="s">
        <v>77</v>
      </c>
      <c r="C2228" s="28" t="s">
        <v>77</v>
      </c>
      <c r="D2228" s="28" t="s">
        <v>77</v>
      </c>
      <c r="E2228" s="28" t="s">
        <v>77</v>
      </c>
      <c r="F2228" s="28" t="s">
        <v>77</v>
      </c>
      <c r="G2228" s="28" t="s">
        <v>77</v>
      </c>
      <c r="I2228" s="26" t="s">
        <v>77</v>
      </c>
      <c r="J2228" s="26" t="s">
        <v>77</v>
      </c>
      <c r="K2228" s="18"/>
      <c r="L2228" s="26" t="s">
        <v>77</v>
      </c>
      <c r="M2228" s="6" t="s">
        <v>77</v>
      </c>
      <c r="N2228" s="28" t="s">
        <v>77</v>
      </c>
      <c r="O2228" s="26" t="s">
        <v>77</v>
      </c>
    </row>
    <row r="2229">
      <c r="A2229" s="52" t="s">
        <v>77</v>
      </c>
      <c r="B2229" s="28" t="s">
        <v>77</v>
      </c>
      <c r="C2229" s="28" t="s">
        <v>77</v>
      </c>
      <c r="D2229" s="28" t="s">
        <v>77</v>
      </c>
      <c r="E2229" s="28" t="s">
        <v>77</v>
      </c>
      <c r="F2229" s="28" t="s">
        <v>77</v>
      </c>
      <c r="G2229" s="28" t="s">
        <v>77</v>
      </c>
      <c r="I2229" s="26" t="s">
        <v>77</v>
      </c>
      <c r="J2229" s="26" t="s">
        <v>77</v>
      </c>
      <c r="K2229" s="18"/>
      <c r="L2229" s="26" t="s">
        <v>77</v>
      </c>
      <c r="M2229" s="6" t="s">
        <v>77</v>
      </c>
      <c r="N2229" s="28" t="s">
        <v>77</v>
      </c>
      <c r="O2229" s="26" t="s">
        <v>77</v>
      </c>
    </row>
    <row r="2230">
      <c r="A2230" s="52" t="s">
        <v>77</v>
      </c>
      <c r="B2230" s="28" t="s">
        <v>77</v>
      </c>
      <c r="C2230" s="28" t="s">
        <v>77</v>
      </c>
      <c r="D2230" s="28" t="s">
        <v>77</v>
      </c>
      <c r="E2230" s="28" t="s">
        <v>77</v>
      </c>
      <c r="F2230" s="28" t="s">
        <v>77</v>
      </c>
      <c r="G2230" s="28" t="s">
        <v>77</v>
      </c>
      <c r="I2230" s="26" t="s">
        <v>77</v>
      </c>
      <c r="J2230" s="26" t="s">
        <v>77</v>
      </c>
      <c r="K2230" s="18"/>
      <c r="L2230" s="26" t="s">
        <v>77</v>
      </c>
      <c r="M2230" s="6" t="s">
        <v>77</v>
      </c>
      <c r="N2230" s="28" t="s">
        <v>77</v>
      </c>
      <c r="O2230" s="26" t="s">
        <v>77</v>
      </c>
    </row>
    <row r="2231">
      <c r="A2231" s="52" t="s">
        <v>77</v>
      </c>
      <c r="B2231" s="28" t="s">
        <v>77</v>
      </c>
      <c r="C2231" s="28" t="s">
        <v>77</v>
      </c>
      <c r="D2231" s="28" t="s">
        <v>77</v>
      </c>
      <c r="E2231" s="28" t="s">
        <v>77</v>
      </c>
      <c r="F2231" s="28" t="s">
        <v>77</v>
      </c>
      <c r="G2231" s="28" t="s">
        <v>77</v>
      </c>
      <c r="I2231" s="26" t="s">
        <v>77</v>
      </c>
      <c r="J2231" s="26" t="s">
        <v>77</v>
      </c>
      <c r="K2231" s="18"/>
      <c r="L2231" s="26" t="s">
        <v>77</v>
      </c>
      <c r="M2231" s="6" t="s">
        <v>77</v>
      </c>
      <c r="N2231" s="28" t="s">
        <v>77</v>
      </c>
      <c r="O2231" s="26" t="s">
        <v>77</v>
      </c>
    </row>
    <row r="2232">
      <c r="A2232" s="52" t="s">
        <v>77</v>
      </c>
      <c r="B2232" s="28" t="s">
        <v>77</v>
      </c>
      <c r="C2232" s="28" t="s">
        <v>77</v>
      </c>
      <c r="D2232" s="28" t="s">
        <v>77</v>
      </c>
      <c r="E2232" s="28" t="s">
        <v>77</v>
      </c>
      <c r="F2232" s="28" t="s">
        <v>77</v>
      </c>
      <c r="G2232" s="28" t="s">
        <v>77</v>
      </c>
      <c r="I2232" s="26" t="s">
        <v>77</v>
      </c>
      <c r="J2232" s="26" t="s">
        <v>77</v>
      </c>
      <c r="K2232" s="18"/>
      <c r="L2232" s="26" t="s">
        <v>77</v>
      </c>
      <c r="M2232" s="6" t="s">
        <v>77</v>
      </c>
      <c r="N2232" s="28" t="s">
        <v>77</v>
      </c>
      <c r="O2232" s="26" t="s">
        <v>77</v>
      </c>
    </row>
    <row r="2233">
      <c r="A2233" s="52" t="s">
        <v>77</v>
      </c>
      <c r="B2233" s="28" t="s">
        <v>77</v>
      </c>
      <c r="C2233" s="28" t="s">
        <v>77</v>
      </c>
      <c r="D2233" s="28" t="s">
        <v>77</v>
      </c>
      <c r="E2233" s="28" t="s">
        <v>77</v>
      </c>
      <c r="F2233" s="28" t="s">
        <v>77</v>
      </c>
      <c r="G2233" s="28" t="s">
        <v>77</v>
      </c>
      <c r="I2233" s="26" t="s">
        <v>77</v>
      </c>
      <c r="J2233" s="26" t="s">
        <v>77</v>
      </c>
      <c r="K2233" s="18"/>
      <c r="L2233" s="26" t="s">
        <v>77</v>
      </c>
      <c r="M2233" s="6" t="s">
        <v>77</v>
      </c>
      <c r="N2233" s="28" t="s">
        <v>77</v>
      </c>
      <c r="O2233" s="26" t="s">
        <v>77</v>
      </c>
    </row>
    <row r="2234">
      <c r="A2234" s="52" t="s">
        <v>77</v>
      </c>
      <c r="B2234" s="28" t="s">
        <v>77</v>
      </c>
      <c r="C2234" s="28" t="s">
        <v>77</v>
      </c>
      <c r="D2234" s="28" t="s">
        <v>77</v>
      </c>
      <c r="E2234" s="28" t="s">
        <v>77</v>
      </c>
      <c r="F2234" s="28" t="s">
        <v>77</v>
      </c>
      <c r="G2234" s="28" t="s">
        <v>77</v>
      </c>
      <c r="I2234" s="26" t="s">
        <v>77</v>
      </c>
      <c r="J2234" s="26" t="s">
        <v>77</v>
      </c>
      <c r="K2234" s="18"/>
      <c r="L2234" s="26" t="s">
        <v>77</v>
      </c>
      <c r="M2234" s="6" t="s">
        <v>77</v>
      </c>
      <c r="N2234" s="28" t="s">
        <v>77</v>
      </c>
      <c r="O2234" s="26" t="s">
        <v>77</v>
      </c>
    </row>
    <row r="2235">
      <c r="A2235" s="52" t="s">
        <v>77</v>
      </c>
      <c r="B2235" s="28" t="s">
        <v>77</v>
      </c>
      <c r="C2235" s="28" t="s">
        <v>77</v>
      </c>
      <c r="D2235" s="28" t="s">
        <v>77</v>
      </c>
      <c r="E2235" s="28" t="s">
        <v>77</v>
      </c>
      <c r="F2235" s="28" t="s">
        <v>77</v>
      </c>
      <c r="G2235" s="28" t="s">
        <v>77</v>
      </c>
      <c r="I2235" s="26" t="s">
        <v>77</v>
      </c>
      <c r="J2235" s="26" t="s">
        <v>77</v>
      </c>
      <c r="K2235" s="18"/>
      <c r="L2235" s="26" t="s">
        <v>77</v>
      </c>
      <c r="M2235" s="6" t="s">
        <v>77</v>
      </c>
      <c r="N2235" s="28" t="s">
        <v>77</v>
      </c>
      <c r="O2235" s="26" t="s">
        <v>77</v>
      </c>
    </row>
    <row r="2236">
      <c r="A2236" s="52" t="s">
        <v>77</v>
      </c>
      <c r="B2236" s="28" t="s">
        <v>77</v>
      </c>
      <c r="C2236" s="28" t="s">
        <v>77</v>
      </c>
      <c r="D2236" s="28" t="s">
        <v>77</v>
      </c>
      <c r="E2236" s="28" t="s">
        <v>77</v>
      </c>
      <c r="F2236" s="28" t="s">
        <v>77</v>
      </c>
      <c r="G2236" s="28" t="s">
        <v>77</v>
      </c>
      <c r="I2236" s="26" t="s">
        <v>77</v>
      </c>
      <c r="J2236" s="26" t="s">
        <v>77</v>
      </c>
      <c r="K2236" s="18"/>
      <c r="L2236" s="26" t="s">
        <v>77</v>
      </c>
      <c r="M2236" s="6" t="s">
        <v>77</v>
      </c>
      <c r="N2236" s="28" t="s">
        <v>77</v>
      </c>
      <c r="O2236" s="26" t="s">
        <v>77</v>
      </c>
    </row>
    <row r="2237">
      <c r="A2237" s="52" t="s">
        <v>77</v>
      </c>
      <c r="B2237" s="28" t="s">
        <v>77</v>
      </c>
      <c r="C2237" s="28" t="s">
        <v>77</v>
      </c>
      <c r="D2237" s="28" t="s">
        <v>77</v>
      </c>
      <c r="E2237" s="28" t="s">
        <v>77</v>
      </c>
      <c r="F2237" s="28" t="s">
        <v>77</v>
      </c>
      <c r="G2237" s="28" t="s">
        <v>77</v>
      </c>
      <c r="I2237" s="26" t="s">
        <v>77</v>
      </c>
      <c r="J2237" s="26" t="s">
        <v>77</v>
      </c>
      <c r="K2237" s="18"/>
      <c r="L2237" s="26" t="s">
        <v>77</v>
      </c>
      <c r="M2237" s="6" t="s">
        <v>77</v>
      </c>
      <c r="N2237" s="28" t="s">
        <v>77</v>
      </c>
      <c r="O2237" s="26" t="s">
        <v>77</v>
      </c>
    </row>
    <row r="2238">
      <c r="A2238" s="52" t="s">
        <v>77</v>
      </c>
      <c r="B2238" s="28" t="s">
        <v>77</v>
      </c>
      <c r="C2238" s="28" t="s">
        <v>77</v>
      </c>
      <c r="D2238" s="28" t="s">
        <v>77</v>
      </c>
      <c r="E2238" s="28" t="s">
        <v>77</v>
      </c>
      <c r="F2238" s="28" t="s">
        <v>77</v>
      </c>
      <c r="G2238" s="28" t="s">
        <v>77</v>
      </c>
      <c r="I2238" s="26" t="s">
        <v>77</v>
      </c>
      <c r="J2238" s="26" t="s">
        <v>77</v>
      </c>
      <c r="K2238" s="18"/>
      <c r="L2238" s="26" t="s">
        <v>77</v>
      </c>
      <c r="M2238" s="6" t="s">
        <v>77</v>
      </c>
      <c r="N2238" s="28" t="s">
        <v>77</v>
      </c>
      <c r="O2238" s="26" t="s">
        <v>77</v>
      </c>
    </row>
    <row r="2239">
      <c r="A2239" s="52" t="s">
        <v>77</v>
      </c>
      <c r="B2239" s="28" t="s">
        <v>77</v>
      </c>
      <c r="C2239" s="28" t="s">
        <v>77</v>
      </c>
      <c r="D2239" s="28" t="s">
        <v>77</v>
      </c>
      <c r="E2239" s="28" t="s">
        <v>77</v>
      </c>
      <c r="F2239" s="28" t="s">
        <v>77</v>
      </c>
      <c r="G2239" s="28" t="s">
        <v>77</v>
      </c>
      <c r="I2239" s="26" t="s">
        <v>77</v>
      </c>
      <c r="J2239" s="26" t="s">
        <v>77</v>
      </c>
      <c r="K2239" s="18"/>
      <c r="L2239" s="26" t="s">
        <v>77</v>
      </c>
      <c r="M2239" s="6" t="s">
        <v>77</v>
      </c>
      <c r="N2239" s="28" t="s">
        <v>77</v>
      </c>
      <c r="O2239" s="26" t="s">
        <v>77</v>
      </c>
    </row>
    <row r="2240">
      <c r="A2240" s="52" t="s">
        <v>77</v>
      </c>
      <c r="B2240" s="28" t="s">
        <v>77</v>
      </c>
      <c r="C2240" s="28" t="s">
        <v>77</v>
      </c>
      <c r="D2240" s="28" t="s">
        <v>77</v>
      </c>
      <c r="E2240" s="28" t="s">
        <v>77</v>
      </c>
      <c r="F2240" s="28" t="s">
        <v>77</v>
      </c>
      <c r="G2240" s="28" t="s">
        <v>77</v>
      </c>
      <c r="I2240" s="26" t="s">
        <v>77</v>
      </c>
      <c r="J2240" s="26" t="s">
        <v>77</v>
      </c>
      <c r="K2240" s="18"/>
      <c r="L2240" s="26" t="s">
        <v>77</v>
      </c>
      <c r="M2240" s="6" t="s">
        <v>77</v>
      </c>
      <c r="N2240" s="28" t="s">
        <v>77</v>
      </c>
      <c r="O2240" s="26" t="s">
        <v>77</v>
      </c>
    </row>
    <row r="2241">
      <c r="A2241" s="52" t="s">
        <v>77</v>
      </c>
      <c r="B2241" s="28" t="s">
        <v>77</v>
      </c>
      <c r="C2241" s="28" t="s">
        <v>77</v>
      </c>
      <c r="D2241" s="28" t="s">
        <v>77</v>
      </c>
      <c r="E2241" s="28" t="s">
        <v>77</v>
      </c>
      <c r="F2241" s="28" t="s">
        <v>77</v>
      </c>
      <c r="G2241" s="28" t="s">
        <v>77</v>
      </c>
      <c r="I2241" s="26" t="s">
        <v>77</v>
      </c>
      <c r="J2241" s="26" t="s">
        <v>77</v>
      </c>
      <c r="K2241" s="18"/>
      <c r="L2241" s="26" t="s">
        <v>77</v>
      </c>
      <c r="M2241" s="6" t="s">
        <v>77</v>
      </c>
      <c r="N2241" s="28" t="s">
        <v>77</v>
      </c>
      <c r="O2241" s="26" t="s">
        <v>77</v>
      </c>
    </row>
    <row r="2242">
      <c r="A2242" s="52" t="s">
        <v>77</v>
      </c>
      <c r="B2242" s="28" t="s">
        <v>77</v>
      </c>
      <c r="C2242" s="28" t="s">
        <v>77</v>
      </c>
      <c r="D2242" s="28" t="s">
        <v>77</v>
      </c>
      <c r="E2242" s="28" t="s">
        <v>77</v>
      </c>
      <c r="F2242" s="28" t="s">
        <v>77</v>
      </c>
      <c r="G2242" s="28" t="s">
        <v>77</v>
      </c>
      <c r="I2242" s="26" t="s">
        <v>77</v>
      </c>
      <c r="J2242" s="26" t="s">
        <v>77</v>
      </c>
      <c r="K2242" s="18"/>
      <c r="L2242" s="26" t="s">
        <v>77</v>
      </c>
      <c r="M2242" s="6" t="s">
        <v>77</v>
      </c>
      <c r="N2242" s="28" t="s">
        <v>77</v>
      </c>
      <c r="O2242" s="26" t="s">
        <v>77</v>
      </c>
    </row>
    <row r="2243">
      <c r="A2243" s="52" t="s">
        <v>77</v>
      </c>
      <c r="B2243" s="28" t="s">
        <v>77</v>
      </c>
      <c r="C2243" s="28" t="s">
        <v>77</v>
      </c>
      <c r="D2243" s="28" t="s">
        <v>77</v>
      </c>
      <c r="E2243" s="28" t="s">
        <v>77</v>
      </c>
      <c r="F2243" s="28" t="s">
        <v>77</v>
      </c>
      <c r="G2243" s="28" t="s">
        <v>77</v>
      </c>
      <c r="I2243" s="26" t="s">
        <v>77</v>
      </c>
      <c r="J2243" s="26" t="s">
        <v>77</v>
      </c>
      <c r="K2243" s="18"/>
      <c r="L2243" s="26" t="s">
        <v>77</v>
      </c>
      <c r="M2243" s="6" t="s">
        <v>77</v>
      </c>
      <c r="N2243" s="28" t="s">
        <v>77</v>
      </c>
      <c r="O2243" s="26" t="s">
        <v>77</v>
      </c>
    </row>
    <row r="2244">
      <c r="A2244" s="52" t="s">
        <v>77</v>
      </c>
      <c r="B2244" s="28" t="s">
        <v>77</v>
      </c>
      <c r="C2244" s="28" t="s">
        <v>77</v>
      </c>
      <c r="D2244" s="28" t="s">
        <v>77</v>
      </c>
      <c r="E2244" s="28" t="s">
        <v>77</v>
      </c>
      <c r="F2244" s="28" t="s">
        <v>77</v>
      </c>
      <c r="G2244" s="28" t="s">
        <v>77</v>
      </c>
      <c r="I2244" s="26" t="s">
        <v>77</v>
      </c>
      <c r="J2244" s="26" t="s">
        <v>77</v>
      </c>
      <c r="K2244" s="18"/>
      <c r="L2244" s="26" t="s">
        <v>77</v>
      </c>
      <c r="M2244" s="6" t="s">
        <v>77</v>
      </c>
      <c r="N2244" s="28" t="s">
        <v>77</v>
      </c>
      <c r="O2244" s="26" t="s">
        <v>77</v>
      </c>
    </row>
    <row r="2245">
      <c r="A2245" s="52" t="s">
        <v>77</v>
      </c>
      <c r="B2245" s="28" t="s">
        <v>77</v>
      </c>
      <c r="C2245" s="28" t="s">
        <v>77</v>
      </c>
      <c r="D2245" s="28" t="s">
        <v>77</v>
      </c>
      <c r="E2245" s="28" t="s">
        <v>77</v>
      </c>
      <c r="F2245" s="28" t="s">
        <v>77</v>
      </c>
      <c r="G2245" s="28" t="s">
        <v>77</v>
      </c>
      <c r="I2245" s="26" t="s">
        <v>77</v>
      </c>
      <c r="J2245" s="26" t="s">
        <v>77</v>
      </c>
      <c r="K2245" s="18"/>
      <c r="L2245" s="26" t="s">
        <v>77</v>
      </c>
      <c r="M2245" s="6" t="s">
        <v>77</v>
      </c>
      <c r="N2245" s="28" t="s">
        <v>77</v>
      </c>
      <c r="O2245" s="26" t="s">
        <v>77</v>
      </c>
    </row>
    <row r="2246">
      <c r="A2246" s="52" t="s">
        <v>77</v>
      </c>
      <c r="B2246" s="28" t="s">
        <v>77</v>
      </c>
      <c r="C2246" s="28" t="s">
        <v>77</v>
      </c>
      <c r="D2246" s="28" t="s">
        <v>77</v>
      </c>
      <c r="E2246" s="28" t="s">
        <v>77</v>
      </c>
      <c r="F2246" s="28" t="s">
        <v>77</v>
      </c>
      <c r="G2246" s="28" t="s">
        <v>77</v>
      </c>
      <c r="I2246" s="26" t="s">
        <v>77</v>
      </c>
      <c r="J2246" s="26" t="s">
        <v>77</v>
      </c>
      <c r="K2246" s="18"/>
      <c r="L2246" s="26" t="s">
        <v>77</v>
      </c>
      <c r="M2246" s="6" t="s">
        <v>77</v>
      </c>
      <c r="N2246" s="28" t="s">
        <v>77</v>
      </c>
      <c r="O2246" s="26" t="s">
        <v>77</v>
      </c>
    </row>
    <row r="2247">
      <c r="A2247" s="52" t="s">
        <v>77</v>
      </c>
      <c r="B2247" s="28" t="s">
        <v>77</v>
      </c>
      <c r="C2247" s="28" t="s">
        <v>77</v>
      </c>
      <c r="D2247" s="28" t="s">
        <v>77</v>
      </c>
      <c r="E2247" s="28" t="s">
        <v>77</v>
      </c>
      <c r="F2247" s="28" t="s">
        <v>77</v>
      </c>
      <c r="G2247" s="28" t="s">
        <v>77</v>
      </c>
      <c r="I2247" s="26" t="s">
        <v>77</v>
      </c>
      <c r="J2247" s="26" t="s">
        <v>77</v>
      </c>
      <c r="K2247" s="18"/>
      <c r="L2247" s="26" t="s">
        <v>77</v>
      </c>
      <c r="M2247" s="6" t="s">
        <v>77</v>
      </c>
      <c r="N2247" s="28" t="s">
        <v>77</v>
      </c>
      <c r="O2247" s="26" t="s">
        <v>77</v>
      </c>
    </row>
    <row r="2248">
      <c r="A2248" s="52" t="s">
        <v>77</v>
      </c>
      <c r="B2248" s="28" t="s">
        <v>77</v>
      </c>
      <c r="C2248" s="28" t="s">
        <v>77</v>
      </c>
      <c r="D2248" s="28" t="s">
        <v>77</v>
      </c>
      <c r="E2248" s="28" t="s">
        <v>77</v>
      </c>
      <c r="F2248" s="28" t="s">
        <v>77</v>
      </c>
      <c r="G2248" s="28" t="s">
        <v>77</v>
      </c>
      <c r="I2248" s="26" t="s">
        <v>77</v>
      </c>
      <c r="J2248" s="26" t="s">
        <v>77</v>
      </c>
      <c r="K2248" s="18"/>
      <c r="L2248" s="26" t="s">
        <v>77</v>
      </c>
      <c r="M2248" s="6" t="s">
        <v>77</v>
      </c>
      <c r="N2248" s="28" t="s">
        <v>77</v>
      </c>
      <c r="O2248" s="26" t="s">
        <v>77</v>
      </c>
    </row>
    <row r="2249">
      <c r="A2249" s="52" t="s">
        <v>77</v>
      </c>
      <c r="B2249" s="28" t="s">
        <v>77</v>
      </c>
      <c r="C2249" s="28" t="s">
        <v>77</v>
      </c>
      <c r="D2249" s="28" t="s">
        <v>77</v>
      </c>
      <c r="E2249" s="28" t="s">
        <v>77</v>
      </c>
      <c r="F2249" s="28" t="s">
        <v>77</v>
      </c>
      <c r="G2249" s="28" t="s">
        <v>77</v>
      </c>
      <c r="I2249" s="26" t="s">
        <v>77</v>
      </c>
      <c r="J2249" s="26" t="s">
        <v>77</v>
      </c>
      <c r="K2249" s="18"/>
      <c r="L2249" s="26" t="s">
        <v>77</v>
      </c>
      <c r="M2249" s="6" t="s">
        <v>77</v>
      </c>
      <c r="N2249" s="28" t="s">
        <v>77</v>
      </c>
      <c r="O2249" s="26" t="s">
        <v>77</v>
      </c>
    </row>
    <row r="2250">
      <c r="A2250" s="52" t="s">
        <v>77</v>
      </c>
      <c r="B2250" s="28" t="s">
        <v>77</v>
      </c>
      <c r="C2250" s="28" t="s">
        <v>77</v>
      </c>
      <c r="D2250" s="28" t="s">
        <v>77</v>
      </c>
      <c r="E2250" s="28" t="s">
        <v>77</v>
      </c>
      <c r="F2250" s="28" t="s">
        <v>77</v>
      </c>
      <c r="G2250" s="28" t="s">
        <v>77</v>
      </c>
      <c r="I2250" s="26" t="s">
        <v>77</v>
      </c>
      <c r="J2250" s="26" t="s">
        <v>77</v>
      </c>
      <c r="K2250" s="18"/>
      <c r="L2250" s="26" t="s">
        <v>77</v>
      </c>
      <c r="M2250" s="6" t="s">
        <v>77</v>
      </c>
      <c r="N2250" s="28" t="s">
        <v>77</v>
      </c>
      <c r="O2250" s="26" t="s">
        <v>77</v>
      </c>
    </row>
    <row r="2251">
      <c r="A2251" s="52" t="s">
        <v>77</v>
      </c>
      <c r="B2251" s="28" t="s">
        <v>77</v>
      </c>
      <c r="C2251" s="28" t="s">
        <v>77</v>
      </c>
      <c r="D2251" s="28" t="s">
        <v>77</v>
      </c>
      <c r="E2251" s="28" t="s">
        <v>77</v>
      </c>
      <c r="F2251" s="28" t="s">
        <v>77</v>
      </c>
      <c r="G2251" s="28" t="s">
        <v>77</v>
      </c>
      <c r="I2251" s="26" t="s">
        <v>77</v>
      </c>
      <c r="J2251" s="26" t="s">
        <v>77</v>
      </c>
      <c r="K2251" s="18"/>
      <c r="L2251" s="26" t="s">
        <v>77</v>
      </c>
      <c r="M2251" s="6" t="s">
        <v>77</v>
      </c>
      <c r="N2251" s="28" t="s">
        <v>77</v>
      </c>
      <c r="O2251" s="26" t="s">
        <v>77</v>
      </c>
    </row>
    <row r="2252">
      <c r="A2252" s="52" t="s">
        <v>77</v>
      </c>
      <c r="B2252" s="28" t="s">
        <v>77</v>
      </c>
      <c r="C2252" s="28" t="s">
        <v>77</v>
      </c>
      <c r="D2252" s="28" t="s">
        <v>77</v>
      </c>
      <c r="E2252" s="28" t="s">
        <v>77</v>
      </c>
      <c r="F2252" s="28" t="s">
        <v>77</v>
      </c>
      <c r="G2252" s="28" t="s">
        <v>77</v>
      </c>
      <c r="I2252" s="26" t="s">
        <v>77</v>
      </c>
      <c r="J2252" s="26" t="s">
        <v>77</v>
      </c>
      <c r="K2252" s="18"/>
      <c r="L2252" s="26" t="s">
        <v>77</v>
      </c>
      <c r="M2252" s="6" t="s">
        <v>77</v>
      </c>
      <c r="N2252" s="28" t="s">
        <v>77</v>
      </c>
      <c r="O2252" s="26" t="s">
        <v>77</v>
      </c>
    </row>
    <row r="2253">
      <c r="A2253" s="52" t="s">
        <v>77</v>
      </c>
      <c r="B2253" s="28" t="s">
        <v>77</v>
      </c>
      <c r="C2253" s="28" t="s">
        <v>77</v>
      </c>
      <c r="D2253" s="28" t="s">
        <v>77</v>
      </c>
      <c r="E2253" s="28" t="s">
        <v>77</v>
      </c>
      <c r="F2253" s="28" t="s">
        <v>77</v>
      </c>
      <c r="G2253" s="28" t="s">
        <v>77</v>
      </c>
      <c r="I2253" s="26" t="s">
        <v>77</v>
      </c>
      <c r="J2253" s="26" t="s">
        <v>77</v>
      </c>
      <c r="K2253" s="18"/>
      <c r="L2253" s="26" t="s">
        <v>77</v>
      </c>
      <c r="M2253" s="6" t="s">
        <v>77</v>
      </c>
      <c r="N2253" s="28" t="s">
        <v>77</v>
      </c>
      <c r="O2253" s="26" t="s">
        <v>77</v>
      </c>
    </row>
    <row r="2254">
      <c r="A2254" s="52" t="s">
        <v>77</v>
      </c>
      <c r="B2254" s="28" t="s">
        <v>77</v>
      </c>
      <c r="C2254" s="28" t="s">
        <v>77</v>
      </c>
      <c r="D2254" s="28" t="s">
        <v>77</v>
      </c>
      <c r="E2254" s="28" t="s">
        <v>77</v>
      </c>
      <c r="F2254" s="28" t="s">
        <v>77</v>
      </c>
      <c r="G2254" s="28" t="s">
        <v>77</v>
      </c>
      <c r="I2254" s="26" t="s">
        <v>77</v>
      </c>
      <c r="J2254" s="26" t="s">
        <v>77</v>
      </c>
      <c r="K2254" s="18"/>
      <c r="L2254" s="26" t="s">
        <v>77</v>
      </c>
      <c r="M2254" s="6" t="s">
        <v>77</v>
      </c>
      <c r="N2254" s="28" t="s">
        <v>77</v>
      </c>
      <c r="O2254" s="26" t="s">
        <v>77</v>
      </c>
    </row>
    <row r="2255">
      <c r="A2255" s="52" t="s">
        <v>77</v>
      </c>
      <c r="B2255" s="28" t="s">
        <v>77</v>
      </c>
      <c r="C2255" s="28" t="s">
        <v>77</v>
      </c>
      <c r="D2255" s="28" t="s">
        <v>77</v>
      </c>
      <c r="E2255" s="28" t="s">
        <v>77</v>
      </c>
      <c r="F2255" s="28" t="s">
        <v>77</v>
      </c>
      <c r="G2255" s="28" t="s">
        <v>77</v>
      </c>
      <c r="I2255" s="26" t="s">
        <v>77</v>
      </c>
      <c r="J2255" s="26" t="s">
        <v>77</v>
      </c>
      <c r="K2255" s="18"/>
      <c r="L2255" s="26" t="s">
        <v>77</v>
      </c>
      <c r="M2255" s="6" t="s">
        <v>77</v>
      </c>
      <c r="N2255" s="28" t="s">
        <v>77</v>
      </c>
      <c r="O2255" s="26" t="s">
        <v>77</v>
      </c>
    </row>
    <row r="2256">
      <c r="A2256" s="52" t="s">
        <v>77</v>
      </c>
      <c r="B2256" s="28" t="s">
        <v>77</v>
      </c>
      <c r="C2256" s="28" t="s">
        <v>77</v>
      </c>
      <c r="D2256" s="28" t="s">
        <v>77</v>
      </c>
      <c r="E2256" s="28" t="s">
        <v>77</v>
      </c>
      <c r="F2256" s="28" t="s">
        <v>77</v>
      </c>
      <c r="G2256" s="28" t="s">
        <v>77</v>
      </c>
      <c r="I2256" s="26" t="s">
        <v>77</v>
      </c>
      <c r="J2256" s="26" t="s">
        <v>77</v>
      </c>
      <c r="K2256" s="18"/>
      <c r="L2256" s="26" t="s">
        <v>77</v>
      </c>
      <c r="M2256" s="6" t="s">
        <v>77</v>
      </c>
      <c r="N2256" s="28" t="s">
        <v>77</v>
      </c>
      <c r="O2256" s="26" t="s">
        <v>77</v>
      </c>
    </row>
    <row r="2257">
      <c r="A2257" s="52" t="s">
        <v>77</v>
      </c>
      <c r="B2257" s="28" t="s">
        <v>77</v>
      </c>
      <c r="C2257" s="28" t="s">
        <v>77</v>
      </c>
      <c r="D2257" s="28" t="s">
        <v>77</v>
      </c>
      <c r="E2257" s="28" t="s">
        <v>77</v>
      </c>
      <c r="F2257" s="28" t="s">
        <v>77</v>
      </c>
      <c r="G2257" s="28" t="s">
        <v>77</v>
      </c>
      <c r="I2257" s="26" t="s">
        <v>77</v>
      </c>
      <c r="J2257" s="26" t="s">
        <v>77</v>
      </c>
      <c r="K2257" s="18"/>
      <c r="L2257" s="26" t="s">
        <v>77</v>
      </c>
      <c r="M2257" s="6" t="s">
        <v>77</v>
      </c>
      <c r="N2257" s="28" t="s">
        <v>77</v>
      </c>
      <c r="O2257" s="26" t="s">
        <v>77</v>
      </c>
    </row>
    <row r="2258">
      <c r="A2258" s="52" t="s">
        <v>77</v>
      </c>
      <c r="B2258" s="28" t="s">
        <v>77</v>
      </c>
      <c r="C2258" s="28" t="s">
        <v>77</v>
      </c>
      <c r="D2258" s="28" t="s">
        <v>77</v>
      </c>
      <c r="E2258" s="28" t="s">
        <v>77</v>
      </c>
      <c r="F2258" s="28" t="s">
        <v>77</v>
      </c>
      <c r="G2258" s="28" t="s">
        <v>77</v>
      </c>
      <c r="I2258" s="26" t="s">
        <v>77</v>
      </c>
      <c r="J2258" s="26" t="s">
        <v>77</v>
      </c>
      <c r="K2258" s="18"/>
      <c r="L2258" s="26" t="s">
        <v>77</v>
      </c>
      <c r="M2258" s="6" t="s">
        <v>77</v>
      </c>
      <c r="N2258" s="28" t="s">
        <v>77</v>
      </c>
      <c r="O2258" s="26" t="s">
        <v>77</v>
      </c>
    </row>
    <row r="2259">
      <c r="A2259" s="52" t="s">
        <v>77</v>
      </c>
      <c r="B2259" s="28" t="s">
        <v>77</v>
      </c>
      <c r="C2259" s="28" t="s">
        <v>77</v>
      </c>
      <c r="D2259" s="28" t="s">
        <v>77</v>
      </c>
      <c r="E2259" s="28" t="s">
        <v>77</v>
      </c>
      <c r="F2259" s="28" t="s">
        <v>77</v>
      </c>
      <c r="G2259" s="28" t="s">
        <v>77</v>
      </c>
      <c r="I2259" s="26" t="s">
        <v>77</v>
      </c>
      <c r="J2259" s="26" t="s">
        <v>77</v>
      </c>
      <c r="K2259" s="18"/>
      <c r="L2259" s="26" t="s">
        <v>77</v>
      </c>
      <c r="M2259" s="6" t="s">
        <v>77</v>
      </c>
      <c r="N2259" s="28" t="s">
        <v>77</v>
      </c>
      <c r="O2259" s="26" t="s">
        <v>77</v>
      </c>
    </row>
    <row r="2260">
      <c r="A2260" s="52" t="s">
        <v>77</v>
      </c>
      <c r="B2260" s="28" t="s">
        <v>77</v>
      </c>
      <c r="C2260" s="28" t="s">
        <v>77</v>
      </c>
      <c r="D2260" s="28" t="s">
        <v>77</v>
      </c>
      <c r="E2260" s="28" t="s">
        <v>77</v>
      </c>
      <c r="F2260" s="28" t="s">
        <v>77</v>
      </c>
      <c r="G2260" s="28" t="s">
        <v>77</v>
      </c>
      <c r="I2260" s="26" t="s">
        <v>77</v>
      </c>
      <c r="J2260" s="26" t="s">
        <v>77</v>
      </c>
      <c r="K2260" s="18"/>
      <c r="L2260" s="26" t="s">
        <v>77</v>
      </c>
      <c r="M2260" s="6" t="s">
        <v>77</v>
      </c>
      <c r="N2260" s="28" t="s">
        <v>77</v>
      </c>
      <c r="O2260" s="26" t="s">
        <v>77</v>
      </c>
    </row>
    <row r="2261">
      <c r="A2261" s="52" t="s">
        <v>77</v>
      </c>
      <c r="B2261" s="28" t="s">
        <v>77</v>
      </c>
      <c r="C2261" s="28" t="s">
        <v>77</v>
      </c>
      <c r="D2261" s="28" t="s">
        <v>77</v>
      </c>
      <c r="E2261" s="28" t="s">
        <v>77</v>
      </c>
      <c r="F2261" s="28" t="s">
        <v>77</v>
      </c>
      <c r="G2261" s="28" t="s">
        <v>77</v>
      </c>
      <c r="I2261" s="26" t="s">
        <v>77</v>
      </c>
      <c r="J2261" s="26" t="s">
        <v>77</v>
      </c>
      <c r="K2261" s="18"/>
      <c r="L2261" s="26" t="s">
        <v>77</v>
      </c>
      <c r="M2261" s="6" t="s">
        <v>77</v>
      </c>
      <c r="N2261" s="28" t="s">
        <v>77</v>
      </c>
      <c r="O2261" s="26" t="s">
        <v>77</v>
      </c>
    </row>
    <row r="2262">
      <c r="A2262" s="52" t="s">
        <v>77</v>
      </c>
      <c r="B2262" s="28" t="s">
        <v>77</v>
      </c>
      <c r="C2262" s="28" t="s">
        <v>77</v>
      </c>
      <c r="D2262" s="28" t="s">
        <v>77</v>
      </c>
      <c r="E2262" s="28" t="s">
        <v>77</v>
      </c>
      <c r="F2262" s="28" t="s">
        <v>77</v>
      </c>
      <c r="G2262" s="28" t="s">
        <v>77</v>
      </c>
      <c r="I2262" s="26" t="s">
        <v>77</v>
      </c>
      <c r="J2262" s="26" t="s">
        <v>77</v>
      </c>
      <c r="K2262" s="18"/>
      <c r="L2262" s="26" t="s">
        <v>77</v>
      </c>
      <c r="M2262" s="6" t="s">
        <v>77</v>
      </c>
      <c r="N2262" s="28" t="s">
        <v>77</v>
      </c>
      <c r="O2262" s="26" t="s">
        <v>77</v>
      </c>
    </row>
    <row r="2263">
      <c r="A2263" s="52" t="s">
        <v>77</v>
      </c>
      <c r="B2263" s="28" t="s">
        <v>77</v>
      </c>
      <c r="C2263" s="28" t="s">
        <v>77</v>
      </c>
      <c r="D2263" s="28" t="s">
        <v>77</v>
      </c>
      <c r="E2263" s="28" t="s">
        <v>77</v>
      </c>
      <c r="F2263" s="28" t="s">
        <v>77</v>
      </c>
      <c r="G2263" s="28" t="s">
        <v>77</v>
      </c>
      <c r="I2263" s="26" t="s">
        <v>77</v>
      </c>
      <c r="J2263" s="26" t="s">
        <v>77</v>
      </c>
      <c r="K2263" s="18"/>
      <c r="L2263" s="26" t="s">
        <v>77</v>
      </c>
      <c r="M2263" s="6" t="s">
        <v>77</v>
      </c>
      <c r="N2263" s="28" t="s">
        <v>77</v>
      </c>
      <c r="O2263" s="26" t="s">
        <v>77</v>
      </c>
    </row>
    <row r="2264">
      <c r="A2264" s="52" t="s">
        <v>77</v>
      </c>
      <c r="B2264" s="28" t="s">
        <v>77</v>
      </c>
      <c r="C2264" s="28" t="s">
        <v>77</v>
      </c>
      <c r="D2264" s="28" t="s">
        <v>77</v>
      </c>
      <c r="E2264" s="28" t="s">
        <v>77</v>
      </c>
      <c r="F2264" s="28" t="s">
        <v>77</v>
      </c>
      <c r="G2264" s="28" t="s">
        <v>77</v>
      </c>
      <c r="I2264" s="26" t="s">
        <v>77</v>
      </c>
      <c r="J2264" s="26" t="s">
        <v>77</v>
      </c>
      <c r="K2264" s="18"/>
      <c r="L2264" s="26" t="s">
        <v>77</v>
      </c>
      <c r="M2264" s="6" t="s">
        <v>77</v>
      </c>
      <c r="N2264" s="28" t="s">
        <v>77</v>
      </c>
      <c r="O2264" s="26" t="s">
        <v>77</v>
      </c>
    </row>
    <row r="2265">
      <c r="A2265" s="52" t="s">
        <v>77</v>
      </c>
      <c r="B2265" s="28" t="s">
        <v>77</v>
      </c>
      <c r="C2265" s="28" t="s">
        <v>77</v>
      </c>
      <c r="D2265" s="28" t="s">
        <v>77</v>
      </c>
      <c r="E2265" s="28" t="s">
        <v>77</v>
      </c>
      <c r="F2265" s="28" t="s">
        <v>77</v>
      </c>
      <c r="G2265" s="28" t="s">
        <v>77</v>
      </c>
      <c r="I2265" s="26" t="s">
        <v>77</v>
      </c>
      <c r="J2265" s="26" t="s">
        <v>77</v>
      </c>
      <c r="K2265" s="18"/>
      <c r="L2265" s="26" t="s">
        <v>77</v>
      </c>
      <c r="M2265" s="6" t="s">
        <v>77</v>
      </c>
      <c r="N2265" s="28" t="s">
        <v>77</v>
      </c>
      <c r="O2265" s="26" t="s">
        <v>77</v>
      </c>
    </row>
    <row r="2266">
      <c r="A2266" s="52" t="s">
        <v>77</v>
      </c>
      <c r="B2266" s="28" t="s">
        <v>77</v>
      </c>
      <c r="C2266" s="28" t="s">
        <v>77</v>
      </c>
      <c r="D2266" s="28" t="s">
        <v>77</v>
      </c>
      <c r="E2266" s="28" t="s">
        <v>77</v>
      </c>
      <c r="F2266" s="28" t="s">
        <v>77</v>
      </c>
      <c r="G2266" s="28" t="s">
        <v>77</v>
      </c>
      <c r="I2266" s="26" t="s">
        <v>77</v>
      </c>
      <c r="J2266" s="26" t="s">
        <v>77</v>
      </c>
      <c r="K2266" s="18"/>
      <c r="L2266" s="26" t="s">
        <v>77</v>
      </c>
      <c r="M2266" s="6" t="s">
        <v>77</v>
      </c>
      <c r="N2266" s="28" t="s">
        <v>77</v>
      </c>
      <c r="O2266" s="26" t="s">
        <v>77</v>
      </c>
    </row>
    <row r="2267">
      <c r="A2267" s="52" t="s">
        <v>77</v>
      </c>
      <c r="B2267" s="28" t="s">
        <v>77</v>
      </c>
      <c r="C2267" s="28" t="s">
        <v>77</v>
      </c>
      <c r="D2267" s="28" t="s">
        <v>77</v>
      </c>
      <c r="E2267" s="28" t="s">
        <v>77</v>
      </c>
      <c r="F2267" s="28" t="s">
        <v>77</v>
      </c>
      <c r="G2267" s="28" t="s">
        <v>77</v>
      </c>
      <c r="I2267" s="26" t="s">
        <v>77</v>
      </c>
      <c r="J2267" s="26" t="s">
        <v>77</v>
      </c>
      <c r="K2267" s="18"/>
      <c r="L2267" s="26" t="s">
        <v>77</v>
      </c>
      <c r="M2267" s="6" t="s">
        <v>77</v>
      </c>
      <c r="N2267" s="28" t="s">
        <v>77</v>
      </c>
      <c r="O2267" s="26" t="s">
        <v>77</v>
      </c>
    </row>
    <row r="2268">
      <c r="A2268" s="52" t="s">
        <v>77</v>
      </c>
      <c r="B2268" s="28" t="s">
        <v>77</v>
      </c>
      <c r="C2268" s="28" t="s">
        <v>77</v>
      </c>
      <c r="D2268" s="28" t="s">
        <v>77</v>
      </c>
      <c r="E2268" s="28" t="s">
        <v>77</v>
      </c>
      <c r="F2268" s="28" t="s">
        <v>77</v>
      </c>
      <c r="G2268" s="28" t="s">
        <v>77</v>
      </c>
      <c r="I2268" s="26" t="s">
        <v>77</v>
      </c>
      <c r="J2268" s="26" t="s">
        <v>77</v>
      </c>
      <c r="K2268" s="18"/>
      <c r="L2268" s="26" t="s">
        <v>77</v>
      </c>
      <c r="M2268" s="6" t="s">
        <v>77</v>
      </c>
      <c r="N2268" s="28" t="s">
        <v>77</v>
      </c>
      <c r="O2268" s="26" t="s">
        <v>77</v>
      </c>
    </row>
    <row r="2269">
      <c r="A2269" s="52" t="s">
        <v>77</v>
      </c>
      <c r="B2269" s="28" t="s">
        <v>77</v>
      </c>
      <c r="C2269" s="28" t="s">
        <v>77</v>
      </c>
      <c r="D2269" s="28" t="s">
        <v>77</v>
      </c>
      <c r="E2269" s="28" t="s">
        <v>77</v>
      </c>
      <c r="F2269" s="28" t="s">
        <v>77</v>
      </c>
      <c r="G2269" s="28" t="s">
        <v>77</v>
      </c>
      <c r="I2269" s="26" t="s">
        <v>77</v>
      </c>
      <c r="J2269" s="26" t="s">
        <v>77</v>
      </c>
      <c r="K2269" s="18"/>
      <c r="L2269" s="26" t="s">
        <v>77</v>
      </c>
      <c r="M2269" s="6" t="s">
        <v>77</v>
      </c>
      <c r="N2269" s="28" t="s">
        <v>77</v>
      </c>
      <c r="O2269" s="26" t="s">
        <v>77</v>
      </c>
    </row>
    <row r="2270">
      <c r="A2270" s="52" t="s">
        <v>77</v>
      </c>
      <c r="B2270" s="28" t="s">
        <v>77</v>
      </c>
      <c r="C2270" s="28" t="s">
        <v>77</v>
      </c>
      <c r="D2270" s="28" t="s">
        <v>77</v>
      </c>
      <c r="E2270" s="28" t="s">
        <v>77</v>
      </c>
      <c r="F2270" s="28" t="s">
        <v>77</v>
      </c>
      <c r="G2270" s="28" t="s">
        <v>77</v>
      </c>
      <c r="I2270" s="26" t="s">
        <v>77</v>
      </c>
      <c r="J2270" s="26" t="s">
        <v>77</v>
      </c>
      <c r="K2270" s="18"/>
      <c r="L2270" s="26" t="s">
        <v>77</v>
      </c>
      <c r="M2270" s="6" t="s">
        <v>77</v>
      </c>
      <c r="N2270" s="28" t="s">
        <v>77</v>
      </c>
      <c r="O2270" s="26" t="s">
        <v>77</v>
      </c>
    </row>
    <row r="2271">
      <c r="A2271" s="52" t="s">
        <v>77</v>
      </c>
      <c r="B2271" s="28" t="s">
        <v>77</v>
      </c>
      <c r="C2271" s="28" t="s">
        <v>77</v>
      </c>
      <c r="D2271" s="28" t="s">
        <v>77</v>
      </c>
      <c r="E2271" s="28" t="s">
        <v>77</v>
      </c>
      <c r="F2271" s="28" t="s">
        <v>77</v>
      </c>
      <c r="G2271" s="28" t="s">
        <v>77</v>
      </c>
      <c r="I2271" s="26" t="s">
        <v>77</v>
      </c>
      <c r="J2271" s="26" t="s">
        <v>77</v>
      </c>
      <c r="K2271" s="18"/>
      <c r="L2271" s="26" t="s">
        <v>77</v>
      </c>
      <c r="M2271" s="6" t="s">
        <v>77</v>
      </c>
      <c r="N2271" s="28" t="s">
        <v>77</v>
      </c>
      <c r="O2271" s="26" t="s">
        <v>77</v>
      </c>
    </row>
    <row r="2272">
      <c r="A2272" s="52" t="s">
        <v>77</v>
      </c>
      <c r="B2272" s="28" t="s">
        <v>77</v>
      </c>
      <c r="C2272" s="28" t="s">
        <v>77</v>
      </c>
      <c r="D2272" s="28" t="s">
        <v>77</v>
      </c>
      <c r="E2272" s="28" t="s">
        <v>77</v>
      </c>
      <c r="F2272" s="28" t="s">
        <v>77</v>
      </c>
      <c r="G2272" s="28" t="s">
        <v>77</v>
      </c>
      <c r="I2272" s="26" t="s">
        <v>77</v>
      </c>
      <c r="J2272" s="26" t="s">
        <v>77</v>
      </c>
      <c r="K2272" s="18"/>
      <c r="L2272" s="26" t="s">
        <v>77</v>
      </c>
      <c r="M2272" s="6" t="s">
        <v>77</v>
      </c>
      <c r="N2272" s="28" t="s">
        <v>77</v>
      </c>
      <c r="O2272" s="26" t="s">
        <v>77</v>
      </c>
    </row>
    <row r="2273">
      <c r="A2273" s="52" t="s">
        <v>77</v>
      </c>
      <c r="B2273" s="28" t="s">
        <v>77</v>
      </c>
      <c r="C2273" s="28" t="s">
        <v>77</v>
      </c>
      <c r="D2273" s="28" t="s">
        <v>77</v>
      </c>
      <c r="E2273" s="28" t="s">
        <v>77</v>
      </c>
      <c r="F2273" s="28" t="s">
        <v>77</v>
      </c>
      <c r="G2273" s="28" t="s">
        <v>77</v>
      </c>
      <c r="I2273" s="26" t="s">
        <v>77</v>
      </c>
      <c r="J2273" s="26" t="s">
        <v>77</v>
      </c>
      <c r="K2273" s="18"/>
      <c r="L2273" s="26" t="s">
        <v>77</v>
      </c>
      <c r="M2273" s="6" t="s">
        <v>77</v>
      </c>
      <c r="N2273" s="28" t="s">
        <v>77</v>
      </c>
      <c r="O2273" s="26" t="s">
        <v>77</v>
      </c>
    </row>
    <row r="2274">
      <c r="A2274" s="52" t="s">
        <v>77</v>
      </c>
      <c r="B2274" s="28" t="s">
        <v>77</v>
      </c>
      <c r="C2274" s="28" t="s">
        <v>77</v>
      </c>
      <c r="D2274" s="28" t="s">
        <v>77</v>
      </c>
      <c r="E2274" s="28" t="s">
        <v>77</v>
      </c>
      <c r="F2274" s="28" t="s">
        <v>77</v>
      </c>
      <c r="G2274" s="28" t="s">
        <v>77</v>
      </c>
      <c r="I2274" s="26" t="s">
        <v>77</v>
      </c>
      <c r="J2274" s="26" t="s">
        <v>77</v>
      </c>
      <c r="K2274" s="18"/>
      <c r="L2274" s="26" t="s">
        <v>77</v>
      </c>
      <c r="M2274" s="6" t="s">
        <v>77</v>
      </c>
      <c r="N2274" s="28" t="s">
        <v>77</v>
      </c>
      <c r="O2274" s="26" t="s">
        <v>77</v>
      </c>
    </row>
    <row r="2275">
      <c r="A2275" s="52" t="s">
        <v>77</v>
      </c>
      <c r="B2275" s="28" t="s">
        <v>77</v>
      </c>
      <c r="C2275" s="28" t="s">
        <v>77</v>
      </c>
      <c r="D2275" s="28" t="s">
        <v>77</v>
      </c>
      <c r="E2275" s="28" t="s">
        <v>77</v>
      </c>
      <c r="F2275" s="28" t="s">
        <v>77</v>
      </c>
      <c r="G2275" s="28" t="s">
        <v>77</v>
      </c>
      <c r="I2275" s="26" t="s">
        <v>77</v>
      </c>
      <c r="J2275" s="26" t="s">
        <v>77</v>
      </c>
      <c r="K2275" s="18"/>
      <c r="L2275" s="26" t="s">
        <v>77</v>
      </c>
      <c r="M2275" s="6" t="s">
        <v>77</v>
      </c>
      <c r="N2275" s="28" t="s">
        <v>77</v>
      </c>
      <c r="O2275" s="26" t="s">
        <v>77</v>
      </c>
    </row>
    <row r="2276">
      <c r="A2276" s="52" t="s">
        <v>77</v>
      </c>
      <c r="B2276" s="28" t="s">
        <v>77</v>
      </c>
      <c r="C2276" s="28" t="s">
        <v>77</v>
      </c>
      <c r="D2276" s="28" t="s">
        <v>77</v>
      </c>
      <c r="E2276" s="28" t="s">
        <v>77</v>
      </c>
      <c r="F2276" s="28" t="s">
        <v>77</v>
      </c>
      <c r="G2276" s="28" t="s">
        <v>77</v>
      </c>
      <c r="I2276" s="26" t="s">
        <v>77</v>
      </c>
      <c r="J2276" s="26" t="s">
        <v>77</v>
      </c>
      <c r="K2276" s="18"/>
      <c r="L2276" s="26" t="s">
        <v>77</v>
      </c>
      <c r="M2276" s="6" t="s">
        <v>77</v>
      </c>
      <c r="N2276" s="28" t="s">
        <v>77</v>
      </c>
      <c r="O2276" s="26" t="s">
        <v>77</v>
      </c>
    </row>
    <row r="2277">
      <c r="A2277" s="52" t="s">
        <v>77</v>
      </c>
      <c r="B2277" s="28" t="s">
        <v>77</v>
      </c>
      <c r="C2277" s="28" t="s">
        <v>77</v>
      </c>
      <c r="D2277" s="28" t="s">
        <v>77</v>
      </c>
      <c r="E2277" s="28" t="s">
        <v>77</v>
      </c>
      <c r="F2277" s="28" t="s">
        <v>77</v>
      </c>
      <c r="G2277" s="28" t="s">
        <v>77</v>
      </c>
      <c r="I2277" s="26" t="s">
        <v>77</v>
      </c>
      <c r="J2277" s="26" t="s">
        <v>77</v>
      </c>
      <c r="K2277" s="18"/>
      <c r="L2277" s="26" t="s">
        <v>77</v>
      </c>
      <c r="M2277" s="6" t="s">
        <v>77</v>
      </c>
      <c r="N2277" s="28" t="s">
        <v>77</v>
      </c>
      <c r="O2277" s="26" t="s">
        <v>77</v>
      </c>
    </row>
    <row r="2278">
      <c r="A2278" s="52" t="s">
        <v>77</v>
      </c>
      <c r="B2278" s="28" t="s">
        <v>77</v>
      </c>
      <c r="C2278" s="28" t="s">
        <v>77</v>
      </c>
      <c r="D2278" s="28" t="s">
        <v>77</v>
      </c>
      <c r="E2278" s="28" t="s">
        <v>77</v>
      </c>
      <c r="F2278" s="28" t="s">
        <v>77</v>
      </c>
      <c r="G2278" s="28" t="s">
        <v>77</v>
      </c>
      <c r="I2278" s="26" t="s">
        <v>77</v>
      </c>
      <c r="J2278" s="26" t="s">
        <v>77</v>
      </c>
      <c r="K2278" s="18"/>
      <c r="L2278" s="26" t="s">
        <v>77</v>
      </c>
      <c r="M2278" s="6" t="s">
        <v>77</v>
      </c>
      <c r="N2278" s="28" t="s">
        <v>77</v>
      </c>
      <c r="O2278" s="26" t="s">
        <v>77</v>
      </c>
    </row>
    <row r="2279">
      <c r="A2279" s="52" t="s">
        <v>77</v>
      </c>
      <c r="B2279" s="28" t="s">
        <v>77</v>
      </c>
      <c r="C2279" s="28" t="s">
        <v>77</v>
      </c>
      <c r="D2279" s="28" t="s">
        <v>77</v>
      </c>
      <c r="E2279" s="28" t="s">
        <v>77</v>
      </c>
      <c r="F2279" s="28" t="s">
        <v>77</v>
      </c>
      <c r="G2279" s="28" t="s">
        <v>77</v>
      </c>
      <c r="I2279" s="26" t="s">
        <v>77</v>
      </c>
      <c r="J2279" s="26" t="s">
        <v>77</v>
      </c>
      <c r="K2279" s="18"/>
      <c r="L2279" s="26" t="s">
        <v>77</v>
      </c>
      <c r="M2279" s="6" t="s">
        <v>77</v>
      </c>
      <c r="N2279" s="28" t="s">
        <v>77</v>
      </c>
      <c r="O2279" s="26" t="s">
        <v>77</v>
      </c>
    </row>
    <row r="2280">
      <c r="A2280" s="52" t="s">
        <v>77</v>
      </c>
      <c r="B2280" s="28" t="s">
        <v>77</v>
      </c>
      <c r="C2280" s="28" t="s">
        <v>77</v>
      </c>
      <c r="D2280" s="28" t="s">
        <v>77</v>
      </c>
      <c r="E2280" s="28" t="s">
        <v>77</v>
      </c>
      <c r="F2280" s="28" t="s">
        <v>77</v>
      </c>
      <c r="G2280" s="28" t="s">
        <v>77</v>
      </c>
      <c r="I2280" s="26" t="s">
        <v>77</v>
      </c>
      <c r="J2280" s="26" t="s">
        <v>77</v>
      </c>
      <c r="K2280" s="18"/>
      <c r="L2280" s="26" t="s">
        <v>77</v>
      </c>
      <c r="M2280" s="6" t="s">
        <v>77</v>
      </c>
      <c r="N2280" s="28" t="s">
        <v>77</v>
      </c>
      <c r="O2280" s="26" t="s">
        <v>77</v>
      </c>
    </row>
    <row r="2281">
      <c r="A2281" s="52" t="s">
        <v>77</v>
      </c>
      <c r="B2281" s="28" t="s">
        <v>77</v>
      </c>
      <c r="C2281" s="28" t="s">
        <v>77</v>
      </c>
      <c r="D2281" s="28" t="s">
        <v>77</v>
      </c>
      <c r="E2281" s="28" t="s">
        <v>77</v>
      </c>
      <c r="F2281" s="28" t="s">
        <v>77</v>
      </c>
      <c r="G2281" s="28" t="s">
        <v>77</v>
      </c>
      <c r="I2281" s="26" t="s">
        <v>77</v>
      </c>
      <c r="J2281" s="26" t="s">
        <v>77</v>
      </c>
      <c r="K2281" s="18"/>
      <c r="L2281" s="26" t="s">
        <v>77</v>
      </c>
      <c r="M2281" s="6" t="s">
        <v>77</v>
      </c>
      <c r="N2281" s="28" t="s">
        <v>77</v>
      </c>
      <c r="O2281" s="26" t="s">
        <v>77</v>
      </c>
    </row>
    <row r="2282">
      <c r="A2282" s="52" t="s">
        <v>77</v>
      </c>
      <c r="B2282" s="28" t="s">
        <v>77</v>
      </c>
      <c r="C2282" s="28" t="s">
        <v>77</v>
      </c>
      <c r="D2282" s="28" t="s">
        <v>77</v>
      </c>
      <c r="E2282" s="28" t="s">
        <v>77</v>
      </c>
      <c r="F2282" s="28" t="s">
        <v>77</v>
      </c>
      <c r="G2282" s="28" t="s">
        <v>77</v>
      </c>
      <c r="I2282" s="26" t="s">
        <v>77</v>
      </c>
      <c r="J2282" s="26" t="s">
        <v>77</v>
      </c>
      <c r="K2282" s="18"/>
      <c r="L2282" s="26" t="s">
        <v>77</v>
      </c>
      <c r="M2282" s="6" t="s">
        <v>77</v>
      </c>
      <c r="N2282" s="28" t="s">
        <v>77</v>
      </c>
      <c r="O2282" s="26" t="s">
        <v>77</v>
      </c>
    </row>
    <row r="2283">
      <c r="A2283" s="52" t="s">
        <v>77</v>
      </c>
      <c r="B2283" s="28" t="s">
        <v>77</v>
      </c>
      <c r="C2283" s="28" t="s">
        <v>77</v>
      </c>
      <c r="D2283" s="28" t="s">
        <v>77</v>
      </c>
      <c r="E2283" s="28" t="s">
        <v>77</v>
      </c>
      <c r="F2283" s="28" t="s">
        <v>77</v>
      </c>
      <c r="G2283" s="28" t="s">
        <v>77</v>
      </c>
      <c r="I2283" s="26" t="s">
        <v>77</v>
      </c>
      <c r="J2283" s="26" t="s">
        <v>77</v>
      </c>
      <c r="K2283" s="18"/>
      <c r="L2283" s="26" t="s">
        <v>77</v>
      </c>
      <c r="M2283" s="6" t="s">
        <v>77</v>
      </c>
      <c r="N2283" s="28" t="s">
        <v>77</v>
      </c>
      <c r="O2283" s="26" t="s">
        <v>77</v>
      </c>
    </row>
    <row r="2284">
      <c r="A2284" s="52" t="s">
        <v>77</v>
      </c>
      <c r="B2284" s="28" t="s">
        <v>77</v>
      </c>
      <c r="C2284" s="28" t="s">
        <v>77</v>
      </c>
      <c r="D2284" s="28" t="s">
        <v>77</v>
      </c>
      <c r="E2284" s="28" t="s">
        <v>77</v>
      </c>
      <c r="F2284" s="28" t="s">
        <v>77</v>
      </c>
      <c r="G2284" s="28" t="s">
        <v>77</v>
      </c>
      <c r="I2284" s="26" t="s">
        <v>77</v>
      </c>
      <c r="J2284" s="26" t="s">
        <v>77</v>
      </c>
      <c r="K2284" s="18"/>
      <c r="L2284" s="26" t="s">
        <v>77</v>
      </c>
      <c r="M2284" s="6" t="s">
        <v>77</v>
      </c>
      <c r="N2284" s="28" t="s">
        <v>77</v>
      </c>
      <c r="O2284" s="26" t="s">
        <v>77</v>
      </c>
    </row>
    <row r="2285">
      <c r="A2285" s="52" t="s">
        <v>77</v>
      </c>
      <c r="B2285" s="28" t="s">
        <v>77</v>
      </c>
      <c r="C2285" s="28" t="s">
        <v>77</v>
      </c>
      <c r="D2285" s="28" t="s">
        <v>77</v>
      </c>
      <c r="E2285" s="28" t="s">
        <v>77</v>
      </c>
      <c r="F2285" s="28" t="s">
        <v>77</v>
      </c>
      <c r="G2285" s="28" t="s">
        <v>77</v>
      </c>
      <c r="I2285" s="26" t="s">
        <v>77</v>
      </c>
      <c r="J2285" s="26" t="s">
        <v>77</v>
      </c>
      <c r="K2285" s="18"/>
      <c r="L2285" s="26" t="s">
        <v>77</v>
      </c>
      <c r="M2285" s="6" t="s">
        <v>77</v>
      </c>
      <c r="N2285" s="28" t="s">
        <v>77</v>
      </c>
      <c r="O2285" s="26" t="s">
        <v>77</v>
      </c>
    </row>
    <row r="2286">
      <c r="A2286" s="52" t="s">
        <v>77</v>
      </c>
      <c r="B2286" s="28" t="s">
        <v>77</v>
      </c>
      <c r="C2286" s="28" t="s">
        <v>77</v>
      </c>
      <c r="D2286" s="28" t="s">
        <v>77</v>
      </c>
      <c r="E2286" s="28" t="s">
        <v>77</v>
      </c>
      <c r="F2286" s="28" t="s">
        <v>77</v>
      </c>
      <c r="G2286" s="28" t="s">
        <v>77</v>
      </c>
      <c r="I2286" s="26" t="s">
        <v>77</v>
      </c>
      <c r="J2286" s="26" t="s">
        <v>77</v>
      </c>
      <c r="K2286" s="18"/>
      <c r="L2286" s="26" t="s">
        <v>77</v>
      </c>
      <c r="M2286" s="6" t="s">
        <v>77</v>
      </c>
      <c r="N2286" s="28" t="s">
        <v>77</v>
      </c>
      <c r="O2286" s="26" t="s">
        <v>77</v>
      </c>
    </row>
    <row r="2287">
      <c r="A2287" s="52" t="s">
        <v>77</v>
      </c>
      <c r="B2287" s="28" t="s">
        <v>77</v>
      </c>
      <c r="C2287" s="28" t="s">
        <v>77</v>
      </c>
      <c r="D2287" s="28" t="s">
        <v>77</v>
      </c>
      <c r="E2287" s="28" t="s">
        <v>77</v>
      </c>
      <c r="F2287" s="28" t="s">
        <v>77</v>
      </c>
      <c r="G2287" s="28" t="s">
        <v>77</v>
      </c>
      <c r="I2287" s="26" t="s">
        <v>77</v>
      </c>
      <c r="J2287" s="26" t="s">
        <v>77</v>
      </c>
      <c r="K2287" s="18"/>
      <c r="L2287" s="26" t="s">
        <v>77</v>
      </c>
      <c r="M2287" s="6" t="s">
        <v>77</v>
      </c>
      <c r="N2287" s="28" t="s">
        <v>77</v>
      </c>
      <c r="O2287" s="26" t="s">
        <v>77</v>
      </c>
    </row>
    <row r="2288">
      <c r="A2288" s="52" t="s">
        <v>77</v>
      </c>
      <c r="B2288" s="28" t="s">
        <v>77</v>
      </c>
      <c r="C2288" s="28" t="s">
        <v>77</v>
      </c>
      <c r="D2288" s="28" t="s">
        <v>77</v>
      </c>
      <c r="E2288" s="28" t="s">
        <v>77</v>
      </c>
      <c r="F2288" s="28" t="s">
        <v>77</v>
      </c>
      <c r="G2288" s="28" t="s">
        <v>77</v>
      </c>
      <c r="I2288" s="26" t="s">
        <v>77</v>
      </c>
      <c r="J2288" s="26" t="s">
        <v>77</v>
      </c>
      <c r="K2288" s="18"/>
      <c r="L2288" s="26" t="s">
        <v>77</v>
      </c>
      <c r="M2288" s="6" t="s">
        <v>77</v>
      </c>
      <c r="N2288" s="28" t="s">
        <v>77</v>
      </c>
      <c r="O2288" s="26" t="s">
        <v>77</v>
      </c>
    </row>
    <row r="2289">
      <c r="A2289" s="52" t="s">
        <v>77</v>
      </c>
      <c r="B2289" s="28" t="s">
        <v>77</v>
      </c>
      <c r="C2289" s="28" t="s">
        <v>77</v>
      </c>
      <c r="D2289" s="28" t="s">
        <v>77</v>
      </c>
      <c r="E2289" s="28" t="s">
        <v>77</v>
      </c>
      <c r="F2289" s="28" t="s">
        <v>77</v>
      </c>
      <c r="G2289" s="28" t="s">
        <v>77</v>
      </c>
      <c r="I2289" s="26" t="s">
        <v>77</v>
      </c>
      <c r="J2289" s="26" t="s">
        <v>77</v>
      </c>
      <c r="K2289" s="18"/>
      <c r="L2289" s="26" t="s">
        <v>77</v>
      </c>
      <c r="M2289" s="6" t="s">
        <v>77</v>
      </c>
      <c r="N2289" s="28" t="s">
        <v>77</v>
      </c>
      <c r="O2289" s="26" t="s">
        <v>77</v>
      </c>
    </row>
    <row r="2290">
      <c r="A2290" s="52" t="s">
        <v>77</v>
      </c>
      <c r="B2290" s="28" t="s">
        <v>77</v>
      </c>
      <c r="C2290" s="28" t="s">
        <v>77</v>
      </c>
      <c r="D2290" s="28" t="s">
        <v>77</v>
      </c>
      <c r="E2290" s="28" t="s">
        <v>77</v>
      </c>
      <c r="F2290" s="28" t="s">
        <v>77</v>
      </c>
      <c r="G2290" s="28" t="s">
        <v>77</v>
      </c>
      <c r="I2290" s="26" t="s">
        <v>77</v>
      </c>
      <c r="J2290" s="26" t="s">
        <v>77</v>
      </c>
      <c r="K2290" s="18"/>
      <c r="L2290" s="26" t="s">
        <v>77</v>
      </c>
      <c r="M2290" s="6" t="s">
        <v>77</v>
      </c>
      <c r="N2290" s="28" t="s">
        <v>77</v>
      </c>
      <c r="O2290" s="26" t="s">
        <v>77</v>
      </c>
    </row>
    <row r="2291">
      <c r="A2291" s="52" t="s">
        <v>77</v>
      </c>
      <c r="B2291" s="28" t="s">
        <v>77</v>
      </c>
      <c r="C2291" s="28" t="s">
        <v>77</v>
      </c>
      <c r="D2291" s="28" t="s">
        <v>77</v>
      </c>
      <c r="E2291" s="28" t="s">
        <v>77</v>
      </c>
      <c r="F2291" s="28" t="s">
        <v>77</v>
      </c>
      <c r="G2291" s="28" t="s">
        <v>77</v>
      </c>
      <c r="I2291" s="26" t="s">
        <v>77</v>
      </c>
      <c r="J2291" s="26" t="s">
        <v>77</v>
      </c>
      <c r="K2291" s="18"/>
      <c r="L2291" s="26" t="s">
        <v>77</v>
      </c>
      <c r="M2291" s="6" t="s">
        <v>77</v>
      </c>
      <c r="N2291" s="28" t="s">
        <v>77</v>
      </c>
      <c r="O2291" s="26" t="s">
        <v>77</v>
      </c>
    </row>
    <row r="2292">
      <c r="A2292" s="52" t="s">
        <v>77</v>
      </c>
      <c r="B2292" s="28" t="s">
        <v>77</v>
      </c>
      <c r="C2292" s="28" t="s">
        <v>77</v>
      </c>
      <c r="D2292" s="28" t="s">
        <v>77</v>
      </c>
      <c r="E2292" s="28" t="s">
        <v>77</v>
      </c>
      <c r="F2292" s="28" t="s">
        <v>77</v>
      </c>
      <c r="G2292" s="28" t="s">
        <v>77</v>
      </c>
      <c r="I2292" s="26" t="s">
        <v>77</v>
      </c>
      <c r="J2292" s="26" t="s">
        <v>77</v>
      </c>
      <c r="K2292" s="18"/>
      <c r="L2292" s="26" t="s">
        <v>77</v>
      </c>
      <c r="M2292" s="6" t="s">
        <v>77</v>
      </c>
      <c r="N2292" s="28" t="s">
        <v>77</v>
      </c>
      <c r="O2292" s="26" t="s">
        <v>77</v>
      </c>
    </row>
    <row r="2293">
      <c r="A2293" s="52" t="s">
        <v>77</v>
      </c>
      <c r="B2293" s="28" t="s">
        <v>77</v>
      </c>
      <c r="C2293" s="28" t="s">
        <v>77</v>
      </c>
      <c r="D2293" s="28" t="s">
        <v>77</v>
      </c>
      <c r="E2293" s="28" t="s">
        <v>77</v>
      </c>
      <c r="F2293" s="28" t="s">
        <v>77</v>
      </c>
      <c r="G2293" s="28" t="s">
        <v>77</v>
      </c>
      <c r="I2293" s="26" t="s">
        <v>77</v>
      </c>
      <c r="J2293" s="26" t="s">
        <v>77</v>
      </c>
      <c r="K2293" s="18"/>
      <c r="L2293" s="26" t="s">
        <v>77</v>
      </c>
      <c r="M2293" s="6" t="s">
        <v>77</v>
      </c>
      <c r="N2293" s="28" t="s">
        <v>77</v>
      </c>
      <c r="O2293" s="26" t="s">
        <v>77</v>
      </c>
    </row>
    <row r="2294">
      <c r="A2294" s="52" t="s">
        <v>77</v>
      </c>
      <c r="B2294" s="28" t="s">
        <v>77</v>
      </c>
      <c r="C2294" s="28" t="s">
        <v>77</v>
      </c>
      <c r="D2294" s="28" t="s">
        <v>77</v>
      </c>
      <c r="E2294" s="28" t="s">
        <v>77</v>
      </c>
      <c r="F2294" s="28" t="s">
        <v>77</v>
      </c>
      <c r="G2294" s="28" t="s">
        <v>77</v>
      </c>
      <c r="I2294" s="26" t="s">
        <v>77</v>
      </c>
      <c r="J2294" s="26" t="s">
        <v>77</v>
      </c>
      <c r="K2294" s="18"/>
      <c r="L2294" s="26" t="s">
        <v>77</v>
      </c>
      <c r="M2294" s="6" t="s">
        <v>77</v>
      </c>
      <c r="N2294" s="28" t="s">
        <v>77</v>
      </c>
      <c r="O2294" s="26" t="s">
        <v>77</v>
      </c>
    </row>
    <row r="2295">
      <c r="A2295" s="52" t="s">
        <v>77</v>
      </c>
      <c r="B2295" s="28" t="s">
        <v>77</v>
      </c>
      <c r="C2295" s="28" t="s">
        <v>77</v>
      </c>
      <c r="D2295" s="28" t="s">
        <v>77</v>
      </c>
      <c r="E2295" s="28" t="s">
        <v>77</v>
      </c>
      <c r="F2295" s="28" t="s">
        <v>77</v>
      </c>
      <c r="G2295" s="28" t="s">
        <v>77</v>
      </c>
      <c r="I2295" s="26" t="s">
        <v>77</v>
      </c>
      <c r="J2295" s="26" t="s">
        <v>77</v>
      </c>
      <c r="K2295" s="18"/>
      <c r="L2295" s="26" t="s">
        <v>77</v>
      </c>
      <c r="M2295" s="6" t="s">
        <v>77</v>
      </c>
      <c r="N2295" s="28" t="s">
        <v>77</v>
      </c>
      <c r="O2295" s="26" t="s">
        <v>77</v>
      </c>
    </row>
    <row r="2296">
      <c r="A2296" s="52" t="s">
        <v>77</v>
      </c>
      <c r="B2296" s="28" t="s">
        <v>77</v>
      </c>
      <c r="C2296" s="28" t="s">
        <v>77</v>
      </c>
      <c r="D2296" s="28" t="s">
        <v>77</v>
      </c>
      <c r="E2296" s="28" t="s">
        <v>77</v>
      </c>
      <c r="F2296" s="28" t="s">
        <v>77</v>
      </c>
      <c r="G2296" s="28" t="s">
        <v>77</v>
      </c>
      <c r="I2296" s="26" t="s">
        <v>77</v>
      </c>
      <c r="J2296" s="26" t="s">
        <v>77</v>
      </c>
      <c r="K2296" s="18"/>
      <c r="L2296" s="26" t="s">
        <v>77</v>
      </c>
      <c r="M2296" s="6" t="s">
        <v>77</v>
      </c>
      <c r="N2296" s="28" t="s">
        <v>77</v>
      </c>
      <c r="O2296" s="26" t="s">
        <v>77</v>
      </c>
    </row>
    <row r="2297">
      <c r="A2297" s="52" t="s">
        <v>77</v>
      </c>
      <c r="B2297" s="28" t="s">
        <v>77</v>
      </c>
      <c r="C2297" s="28" t="s">
        <v>77</v>
      </c>
      <c r="D2297" s="28" t="s">
        <v>77</v>
      </c>
      <c r="E2297" s="28" t="s">
        <v>77</v>
      </c>
      <c r="F2297" s="28" t="s">
        <v>77</v>
      </c>
      <c r="G2297" s="28" t="s">
        <v>77</v>
      </c>
      <c r="I2297" s="26" t="s">
        <v>77</v>
      </c>
      <c r="J2297" s="26" t="s">
        <v>77</v>
      </c>
      <c r="K2297" s="18"/>
      <c r="L2297" s="26" t="s">
        <v>77</v>
      </c>
      <c r="M2297" s="6" t="s">
        <v>77</v>
      </c>
      <c r="N2297" s="28" t="s">
        <v>77</v>
      </c>
      <c r="O2297" s="26" t="s">
        <v>77</v>
      </c>
    </row>
    <row r="2298">
      <c r="A2298" s="52" t="s">
        <v>77</v>
      </c>
      <c r="B2298" s="28" t="s">
        <v>77</v>
      </c>
      <c r="C2298" s="28" t="s">
        <v>77</v>
      </c>
      <c r="D2298" s="28" t="s">
        <v>77</v>
      </c>
      <c r="E2298" s="28" t="s">
        <v>77</v>
      </c>
      <c r="F2298" s="28" t="s">
        <v>77</v>
      </c>
      <c r="G2298" s="28" t="s">
        <v>77</v>
      </c>
      <c r="I2298" s="26" t="s">
        <v>77</v>
      </c>
      <c r="J2298" s="26" t="s">
        <v>77</v>
      </c>
      <c r="K2298" s="18"/>
      <c r="L2298" s="26" t="s">
        <v>77</v>
      </c>
      <c r="M2298" s="6" t="s">
        <v>77</v>
      </c>
      <c r="N2298" s="28" t="s">
        <v>77</v>
      </c>
      <c r="O2298" s="26" t="s">
        <v>77</v>
      </c>
    </row>
    <row r="2299">
      <c r="A2299" s="52" t="s">
        <v>77</v>
      </c>
      <c r="B2299" s="28" t="s">
        <v>77</v>
      </c>
      <c r="C2299" s="28" t="s">
        <v>77</v>
      </c>
      <c r="D2299" s="28" t="s">
        <v>77</v>
      </c>
      <c r="E2299" s="28" t="s">
        <v>77</v>
      </c>
      <c r="F2299" s="28" t="s">
        <v>77</v>
      </c>
      <c r="G2299" s="28" t="s">
        <v>77</v>
      </c>
      <c r="I2299" s="26" t="s">
        <v>77</v>
      </c>
      <c r="J2299" s="26" t="s">
        <v>77</v>
      </c>
      <c r="K2299" s="18"/>
      <c r="L2299" s="26" t="s">
        <v>77</v>
      </c>
      <c r="M2299" s="6" t="s">
        <v>77</v>
      </c>
      <c r="N2299" s="28" t="s">
        <v>77</v>
      </c>
      <c r="O2299" s="26" t="s">
        <v>77</v>
      </c>
    </row>
    <row r="2300">
      <c r="A2300" s="52" t="s">
        <v>77</v>
      </c>
      <c r="B2300" s="28" t="s">
        <v>77</v>
      </c>
      <c r="C2300" s="28" t="s">
        <v>77</v>
      </c>
      <c r="D2300" s="28" t="s">
        <v>77</v>
      </c>
      <c r="E2300" s="28" t="s">
        <v>77</v>
      </c>
      <c r="F2300" s="28" t="s">
        <v>77</v>
      </c>
      <c r="G2300" s="28" t="s">
        <v>77</v>
      </c>
      <c r="I2300" s="26" t="s">
        <v>77</v>
      </c>
      <c r="J2300" s="26" t="s">
        <v>77</v>
      </c>
      <c r="K2300" s="18"/>
      <c r="L2300" s="26" t="s">
        <v>77</v>
      </c>
      <c r="M2300" s="6" t="s">
        <v>77</v>
      </c>
      <c r="N2300" s="28" t="s">
        <v>77</v>
      </c>
      <c r="O2300" s="26" t="s">
        <v>77</v>
      </c>
    </row>
    <row r="2301">
      <c r="A2301" s="52" t="s">
        <v>77</v>
      </c>
      <c r="B2301" s="28" t="s">
        <v>77</v>
      </c>
      <c r="C2301" s="28" t="s">
        <v>77</v>
      </c>
      <c r="D2301" s="28" t="s">
        <v>77</v>
      </c>
      <c r="E2301" s="28" t="s">
        <v>77</v>
      </c>
      <c r="F2301" s="28" t="s">
        <v>77</v>
      </c>
      <c r="G2301" s="28" t="s">
        <v>77</v>
      </c>
      <c r="I2301" s="26" t="s">
        <v>77</v>
      </c>
      <c r="J2301" s="26" t="s">
        <v>77</v>
      </c>
      <c r="K2301" s="18"/>
      <c r="L2301" s="26" t="s">
        <v>77</v>
      </c>
      <c r="M2301" s="6" t="s">
        <v>77</v>
      </c>
      <c r="N2301" s="28" t="s">
        <v>77</v>
      </c>
      <c r="O2301" s="26" t="s">
        <v>77</v>
      </c>
    </row>
    <row r="2302">
      <c r="A2302" s="52" t="s">
        <v>77</v>
      </c>
      <c r="B2302" s="28" t="s">
        <v>77</v>
      </c>
      <c r="C2302" s="28" t="s">
        <v>77</v>
      </c>
      <c r="D2302" s="28" t="s">
        <v>77</v>
      </c>
      <c r="E2302" s="28" t="s">
        <v>77</v>
      </c>
      <c r="F2302" s="28" t="s">
        <v>77</v>
      </c>
      <c r="G2302" s="28" t="s">
        <v>77</v>
      </c>
      <c r="I2302" s="26" t="s">
        <v>77</v>
      </c>
      <c r="J2302" s="26" t="s">
        <v>77</v>
      </c>
      <c r="K2302" s="18"/>
      <c r="L2302" s="26" t="s">
        <v>77</v>
      </c>
      <c r="M2302" s="6" t="s">
        <v>77</v>
      </c>
      <c r="N2302" s="28" t="s">
        <v>77</v>
      </c>
      <c r="O2302" s="26" t="s">
        <v>77</v>
      </c>
    </row>
    <row r="2303">
      <c r="A2303" s="52" t="s">
        <v>77</v>
      </c>
      <c r="B2303" s="28" t="s">
        <v>77</v>
      </c>
      <c r="C2303" s="28" t="s">
        <v>77</v>
      </c>
      <c r="D2303" s="28" t="s">
        <v>77</v>
      </c>
      <c r="E2303" s="28" t="s">
        <v>77</v>
      </c>
      <c r="F2303" s="28" t="s">
        <v>77</v>
      </c>
      <c r="G2303" s="28" t="s">
        <v>77</v>
      </c>
      <c r="I2303" s="26" t="s">
        <v>77</v>
      </c>
      <c r="J2303" s="26" t="s">
        <v>77</v>
      </c>
      <c r="K2303" s="18"/>
      <c r="L2303" s="26" t="s">
        <v>77</v>
      </c>
      <c r="M2303" s="6" t="s">
        <v>77</v>
      </c>
      <c r="N2303" s="28" t="s">
        <v>77</v>
      </c>
      <c r="O2303" s="26" t="s">
        <v>77</v>
      </c>
    </row>
    <row r="2304">
      <c r="A2304" s="52" t="s">
        <v>77</v>
      </c>
      <c r="B2304" s="28" t="s">
        <v>77</v>
      </c>
      <c r="C2304" s="28" t="s">
        <v>77</v>
      </c>
      <c r="D2304" s="28" t="s">
        <v>77</v>
      </c>
      <c r="E2304" s="28" t="s">
        <v>77</v>
      </c>
      <c r="F2304" s="28" t="s">
        <v>77</v>
      </c>
      <c r="G2304" s="28" t="s">
        <v>77</v>
      </c>
      <c r="I2304" s="26" t="s">
        <v>77</v>
      </c>
      <c r="J2304" s="26" t="s">
        <v>77</v>
      </c>
      <c r="K2304" s="18"/>
      <c r="L2304" s="26" t="s">
        <v>77</v>
      </c>
      <c r="M2304" s="6" t="s">
        <v>77</v>
      </c>
      <c r="N2304" s="28" t="s">
        <v>77</v>
      </c>
      <c r="O2304" s="26" t="s">
        <v>77</v>
      </c>
    </row>
    <row r="2305">
      <c r="A2305" s="52" t="s">
        <v>77</v>
      </c>
      <c r="B2305" s="28" t="s">
        <v>77</v>
      </c>
      <c r="C2305" s="28" t="s">
        <v>77</v>
      </c>
      <c r="D2305" s="28" t="s">
        <v>77</v>
      </c>
      <c r="E2305" s="28" t="s">
        <v>77</v>
      </c>
      <c r="F2305" s="28" t="s">
        <v>77</v>
      </c>
      <c r="G2305" s="28" t="s">
        <v>77</v>
      </c>
      <c r="I2305" s="26" t="s">
        <v>77</v>
      </c>
      <c r="J2305" s="26" t="s">
        <v>77</v>
      </c>
      <c r="K2305" s="18"/>
      <c r="L2305" s="26" t="s">
        <v>77</v>
      </c>
      <c r="M2305" s="6" t="s">
        <v>77</v>
      </c>
      <c r="N2305" s="28" t="s">
        <v>77</v>
      </c>
      <c r="O2305" s="26" t="s">
        <v>77</v>
      </c>
    </row>
    <row r="2306">
      <c r="A2306" s="52" t="s">
        <v>77</v>
      </c>
      <c r="B2306" s="28" t="s">
        <v>77</v>
      </c>
      <c r="C2306" s="28" t="s">
        <v>77</v>
      </c>
      <c r="D2306" s="28" t="s">
        <v>77</v>
      </c>
      <c r="E2306" s="28" t="s">
        <v>77</v>
      </c>
      <c r="F2306" s="28" t="s">
        <v>77</v>
      </c>
      <c r="G2306" s="28" t="s">
        <v>77</v>
      </c>
      <c r="I2306" s="26" t="s">
        <v>77</v>
      </c>
      <c r="J2306" s="26" t="s">
        <v>77</v>
      </c>
      <c r="K2306" s="18"/>
      <c r="L2306" s="26" t="s">
        <v>77</v>
      </c>
      <c r="M2306" s="6" t="s">
        <v>77</v>
      </c>
      <c r="N2306" s="28" t="s">
        <v>77</v>
      </c>
      <c r="O2306" s="26" t="s">
        <v>77</v>
      </c>
    </row>
    <row r="2307">
      <c r="A2307" s="52" t="s">
        <v>77</v>
      </c>
      <c r="B2307" s="28" t="s">
        <v>77</v>
      </c>
      <c r="C2307" s="28" t="s">
        <v>77</v>
      </c>
      <c r="D2307" s="28" t="s">
        <v>77</v>
      </c>
      <c r="E2307" s="28" t="s">
        <v>77</v>
      </c>
      <c r="F2307" s="28" t="s">
        <v>77</v>
      </c>
      <c r="G2307" s="28" t="s">
        <v>77</v>
      </c>
      <c r="I2307" s="26" t="s">
        <v>77</v>
      </c>
      <c r="J2307" s="26" t="s">
        <v>77</v>
      </c>
      <c r="K2307" s="18"/>
      <c r="L2307" s="26" t="s">
        <v>77</v>
      </c>
      <c r="M2307" s="6" t="s">
        <v>77</v>
      </c>
      <c r="N2307" s="28" t="s">
        <v>77</v>
      </c>
      <c r="O2307" s="26" t="s">
        <v>77</v>
      </c>
    </row>
    <row r="2308">
      <c r="A2308" s="52" t="s">
        <v>77</v>
      </c>
      <c r="B2308" s="28" t="s">
        <v>77</v>
      </c>
      <c r="C2308" s="28" t="s">
        <v>77</v>
      </c>
      <c r="D2308" s="28" t="s">
        <v>77</v>
      </c>
      <c r="E2308" s="28" t="s">
        <v>77</v>
      </c>
      <c r="F2308" s="28" t="s">
        <v>77</v>
      </c>
      <c r="G2308" s="28" t="s">
        <v>77</v>
      </c>
      <c r="I2308" s="26" t="s">
        <v>77</v>
      </c>
      <c r="J2308" s="26" t="s">
        <v>77</v>
      </c>
      <c r="K2308" s="18"/>
      <c r="L2308" s="26" t="s">
        <v>77</v>
      </c>
      <c r="M2308" s="6" t="s">
        <v>77</v>
      </c>
      <c r="N2308" s="28" t="s">
        <v>77</v>
      </c>
      <c r="O2308" s="26" t="s">
        <v>77</v>
      </c>
    </row>
    <row r="2309">
      <c r="A2309" s="52" t="s">
        <v>77</v>
      </c>
      <c r="B2309" s="28" t="s">
        <v>77</v>
      </c>
      <c r="C2309" s="28" t="s">
        <v>77</v>
      </c>
      <c r="D2309" s="28" t="s">
        <v>77</v>
      </c>
      <c r="E2309" s="28" t="s">
        <v>77</v>
      </c>
      <c r="F2309" s="28" t="s">
        <v>77</v>
      </c>
      <c r="G2309" s="28" t="s">
        <v>77</v>
      </c>
      <c r="I2309" s="26" t="s">
        <v>77</v>
      </c>
      <c r="J2309" s="26" t="s">
        <v>77</v>
      </c>
      <c r="K2309" s="18"/>
      <c r="L2309" s="26" t="s">
        <v>77</v>
      </c>
      <c r="M2309" s="6" t="s">
        <v>77</v>
      </c>
      <c r="N2309" s="28" t="s">
        <v>77</v>
      </c>
      <c r="O2309" s="26" t="s">
        <v>77</v>
      </c>
    </row>
    <row r="2310">
      <c r="A2310" s="52" t="s">
        <v>77</v>
      </c>
      <c r="B2310" s="28" t="s">
        <v>77</v>
      </c>
      <c r="C2310" s="28" t="s">
        <v>77</v>
      </c>
      <c r="D2310" s="28" t="s">
        <v>77</v>
      </c>
      <c r="E2310" s="28" t="s">
        <v>77</v>
      </c>
      <c r="F2310" s="28" t="s">
        <v>77</v>
      </c>
      <c r="G2310" s="28" t="s">
        <v>77</v>
      </c>
      <c r="I2310" s="26" t="s">
        <v>77</v>
      </c>
      <c r="J2310" s="26" t="s">
        <v>77</v>
      </c>
      <c r="K2310" s="18"/>
      <c r="L2310" s="26" t="s">
        <v>77</v>
      </c>
      <c r="M2310" s="6" t="s">
        <v>77</v>
      </c>
      <c r="N2310" s="28" t="s">
        <v>77</v>
      </c>
      <c r="O2310" s="26" t="s">
        <v>77</v>
      </c>
    </row>
    <row r="2311">
      <c r="A2311" s="52" t="s">
        <v>77</v>
      </c>
      <c r="B2311" s="28" t="s">
        <v>77</v>
      </c>
      <c r="C2311" s="28" t="s">
        <v>77</v>
      </c>
      <c r="D2311" s="28" t="s">
        <v>77</v>
      </c>
      <c r="E2311" s="28" t="s">
        <v>77</v>
      </c>
      <c r="F2311" s="28" t="s">
        <v>77</v>
      </c>
      <c r="G2311" s="28" t="s">
        <v>77</v>
      </c>
      <c r="I2311" s="26" t="s">
        <v>77</v>
      </c>
      <c r="J2311" s="26" t="s">
        <v>77</v>
      </c>
      <c r="K2311" s="18"/>
      <c r="L2311" s="26" t="s">
        <v>77</v>
      </c>
      <c r="M2311" s="6" t="s">
        <v>77</v>
      </c>
      <c r="N2311" s="28" t="s">
        <v>77</v>
      </c>
      <c r="O2311" s="26" t="s">
        <v>77</v>
      </c>
    </row>
    <row r="2312">
      <c r="A2312" s="52" t="s">
        <v>77</v>
      </c>
      <c r="B2312" s="28" t="s">
        <v>77</v>
      </c>
      <c r="C2312" s="28" t="s">
        <v>77</v>
      </c>
      <c r="D2312" s="28" t="s">
        <v>77</v>
      </c>
      <c r="E2312" s="28" t="s">
        <v>77</v>
      </c>
      <c r="F2312" s="28" t="s">
        <v>77</v>
      </c>
      <c r="G2312" s="28" t="s">
        <v>77</v>
      </c>
      <c r="I2312" s="26" t="s">
        <v>77</v>
      </c>
      <c r="J2312" s="26" t="s">
        <v>77</v>
      </c>
      <c r="K2312" s="18"/>
      <c r="L2312" s="26" t="s">
        <v>77</v>
      </c>
      <c r="M2312" s="6" t="s">
        <v>77</v>
      </c>
      <c r="N2312" s="28" t="s">
        <v>77</v>
      </c>
      <c r="O2312" s="26" t="s">
        <v>77</v>
      </c>
    </row>
    <row r="2313">
      <c r="A2313" s="52" t="s">
        <v>77</v>
      </c>
      <c r="B2313" s="28" t="s">
        <v>77</v>
      </c>
      <c r="C2313" s="28" t="s">
        <v>77</v>
      </c>
      <c r="D2313" s="28" t="s">
        <v>77</v>
      </c>
      <c r="E2313" s="28" t="s">
        <v>77</v>
      </c>
      <c r="F2313" s="28" t="s">
        <v>77</v>
      </c>
      <c r="G2313" s="28" t="s">
        <v>77</v>
      </c>
      <c r="I2313" s="26" t="s">
        <v>77</v>
      </c>
      <c r="J2313" s="26" t="s">
        <v>77</v>
      </c>
      <c r="K2313" s="18"/>
      <c r="L2313" s="26" t="s">
        <v>77</v>
      </c>
      <c r="M2313" s="6" t="s">
        <v>77</v>
      </c>
      <c r="N2313" s="28" t="s">
        <v>77</v>
      </c>
      <c r="O2313" s="26" t="s">
        <v>77</v>
      </c>
    </row>
    <row r="2314">
      <c r="A2314" s="52" t="s">
        <v>77</v>
      </c>
      <c r="B2314" s="28" t="s">
        <v>77</v>
      </c>
      <c r="C2314" s="28" t="s">
        <v>77</v>
      </c>
      <c r="D2314" s="28" t="s">
        <v>77</v>
      </c>
      <c r="E2314" s="28" t="s">
        <v>77</v>
      </c>
      <c r="F2314" s="28" t="s">
        <v>77</v>
      </c>
      <c r="G2314" s="28" t="s">
        <v>77</v>
      </c>
      <c r="I2314" s="26" t="s">
        <v>77</v>
      </c>
      <c r="J2314" s="26" t="s">
        <v>77</v>
      </c>
      <c r="K2314" s="18"/>
      <c r="L2314" s="26" t="s">
        <v>77</v>
      </c>
      <c r="M2314" s="6" t="s">
        <v>77</v>
      </c>
      <c r="N2314" s="28" t="s">
        <v>77</v>
      </c>
      <c r="O2314" s="26" t="s">
        <v>77</v>
      </c>
    </row>
    <row r="2315">
      <c r="A2315" s="52" t="s">
        <v>77</v>
      </c>
      <c r="B2315" s="28" t="s">
        <v>77</v>
      </c>
      <c r="C2315" s="28" t="s">
        <v>77</v>
      </c>
      <c r="D2315" s="28" t="s">
        <v>77</v>
      </c>
      <c r="E2315" s="28" t="s">
        <v>77</v>
      </c>
      <c r="F2315" s="28" t="s">
        <v>77</v>
      </c>
      <c r="G2315" s="28" t="s">
        <v>77</v>
      </c>
      <c r="I2315" s="26" t="s">
        <v>77</v>
      </c>
      <c r="J2315" s="26" t="s">
        <v>77</v>
      </c>
      <c r="K2315" s="18"/>
      <c r="L2315" s="26" t="s">
        <v>77</v>
      </c>
      <c r="M2315" s="6" t="s">
        <v>77</v>
      </c>
      <c r="N2315" s="28" t="s">
        <v>77</v>
      </c>
      <c r="O2315" s="26" t="s">
        <v>77</v>
      </c>
    </row>
    <row r="2316">
      <c r="A2316" s="52" t="s">
        <v>77</v>
      </c>
      <c r="B2316" s="28" t="s">
        <v>77</v>
      </c>
      <c r="C2316" s="28" t="s">
        <v>77</v>
      </c>
      <c r="D2316" s="28" t="s">
        <v>77</v>
      </c>
      <c r="E2316" s="28" t="s">
        <v>77</v>
      </c>
      <c r="F2316" s="28" t="s">
        <v>77</v>
      </c>
      <c r="G2316" s="28" t="s">
        <v>77</v>
      </c>
      <c r="I2316" s="26" t="s">
        <v>77</v>
      </c>
      <c r="J2316" s="26" t="s">
        <v>77</v>
      </c>
      <c r="K2316" s="18"/>
      <c r="L2316" s="26" t="s">
        <v>77</v>
      </c>
      <c r="M2316" s="6" t="s">
        <v>77</v>
      </c>
      <c r="N2316" s="28" t="s">
        <v>77</v>
      </c>
      <c r="O2316" s="26" t="s">
        <v>77</v>
      </c>
    </row>
    <row r="2317">
      <c r="A2317" s="52" t="s">
        <v>77</v>
      </c>
      <c r="B2317" s="28" t="s">
        <v>77</v>
      </c>
      <c r="C2317" s="28" t="s">
        <v>77</v>
      </c>
      <c r="D2317" s="28" t="s">
        <v>77</v>
      </c>
      <c r="E2317" s="28" t="s">
        <v>77</v>
      </c>
      <c r="F2317" s="28" t="s">
        <v>77</v>
      </c>
      <c r="G2317" s="28" t="s">
        <v>77</v>
      </c>
      <c r="I2317" s="26" t="s">
        <v>77</v>
      </c>
      <c r="J2317" s="26" t="s">
        <v>77</v>
      </c>
      <c r="K2317" s="18"/>
      <c r="L2317" s="26" t="s">
        <v>77</v>
      </c>
      <c r="M2317" s="6" t="s">
        <v>77</v>
      </c>
      <c r="N2317" s="28" t="s">
        <v>77</v>
      </c>
      <c r="O2317" s="26" t="s">
        <v>77</v>
      </c>
    </row>
    <row r="2318">
      <c r="A2318" s="52" t="s">
        <v>77</v>
      </c>
      <c r="B2318" s="28" t="s">
        <v>77</v>
      </c>
      <c r="C2318" s="28" t="s">
        <v>77</v>
      </c>
      <c r="D2318" s="28" t="s">
        <v>77</v>
      </c>
      <c r="E2318" s="28" t="s">
        <v>77</v>
      </c>
      <c r="F2318" s="28" t="s">
        <v>77</v>
      </c>
      <c r="G2318" s="28" t="s">
        <v>77</v>
      </c>
      <c r="I2318" s="26" t="s">
        <v>77</v>
      </c>
      <c r="J2318" s="26" t="s">
        <v>77</v>
      </c>
      <c r="K2318" s="18"/>
      <c r="L2318" s="26" t="s">
        <v>77</v>
      </c>
      <c r="M2318" s="6" t="s">
        <v>77</v>
      </c>
      <c r="N2318" s="28" t="s">
        <v>77</v>
      </c>
      <c r="O2318" s="26" t="s">
        <v>77</v>
      </c>
    </row>
    <row r="2319">
      <c r="A2319" s="52" t="s">
        <v>77</v>
      </c>
      <c r="B2319" s="28" t="s">
        <v>77</v>
      </c>
      <c r="C2319" s="28" t="s">
        <v>77</v>
      </c>
      <c r="D2319" s="28" t="s">
        <v>77</v>
      </c>
      <c r="E2319" s="28" t="s">
        <v>77</v>
      </c>
      <c r="F2319" s="28" t="s">
        <v>77</v>
      </c>
      <c r="G2319" s="28" t="s">
        <v>77</v>
      </c>
      <c r="I2319" s="26" t="s">
        <v>77</v>
      </c>
      <c r="J2319" s="26" t="s">
        <v>77</v>
      </c>
      <c r="K2319" s="18"/>
      <c r="L2319" s="26" t="s">
        <v>77</v>
      </c>
      <c r="M2319" s="6" t="s">
        <v>77</v>
      </c>
      <c r="N2319" s="28" t="s">
        <v>77</v>
      </c>
      <c r="O2319" s="26" t="s">
        <v>77</v>
      </c>
    </row>
    <row r="2320">
      <c r="A2320" s="52" t="s">
        <v>77</v>
      </c>
      <c r="B2320" s="28" t="s">
        <v>77</v>
      </c>
      <c r="C2320" s="28" t="s">
        <v>77</v>
      </c>
      <c r="D2320" s="28" t="s">
        <v>77</v>
      </c>
      <c r="E2320" s="28" t="s">
        <v>77</v>
      </c>
      <c r="F2320" s="28" t="s">
        <v>77</v>
      </c>
      <c r="G2320" s="28" t="s">
        <v>77</v>
      </c>
      <c r="I2320" s="26" t="s">
        <v>77</v>
      </c>
      <c r="J2320" s="26" t="s">
        <v>77</v>
      </c>
      <c r="K2320" s="18"/>
      <c r="L2320" s="26" t="s">
        <v>77</v>
      </c>
      <c r="M2320" s="6" t="s">
        <v>77</v>
      </c>
      <c r="N2320" s="28" t="s">
        <v>77</v>
      </c>
      <c r="O2320" s="26" t="s">
        <v>77</v>
      </c>
    </row>
    <row r="2321">
      <c r="A2321" s="52" t="s">
        <v>77</v>
      </c>
      <c r="B2321" s="28" t="s">
        <v>77</v>
      </c>
      <c r="C2321" s="28" t="s">
        <v>77</v>
      </c>
      <c r="D2321" s="28" t="s">
        <v>77</v>
      </c>
      <c r="E2321" s="28" t="s">
        <v>77</v>
      </c>
      <c r="F2321" s="28" t="s">
        <v>77</v>
      </c>
      <c r="G2321" s="28" t="s">
        <v>77</v>
      </c>
      <c r="I2321" s="26" t="s">
        <v>77</v>
      </c>
      <c r="J2321" s="26" t="s">
        <v>77</v>
      </c>
      <c r="K2321" s="18"/>
      <c r="L2321" s="26" t="s">
        <v>77</v>
      </c>
      <c r="M2321" s="6" t="s">
        <v>77</v>
      </c>
      <c r="N2321" s="28" t="s">
        <v>77</v>
      </c>
      <c r="O2321" s="26" t="s">
        <v>77</v>
      </c>
    </row>
    <row r="2322">
      <c r="A2322" s="52" t="s">
        <v>77</v>
      </c>
      <c r="B2322" s="28" t="s">
        <v>77</v>
      </c>
      <c r="C2322" s="28" t="s">
        <v>77</v>
      </c>
      <c r="D2322" s="28" t="s">
        <v>77</v>
      </c>
      <c r="E2322" s="28" t="s">
        <v>77</v>
      </c>
      <c r="F2322" s="28" t="s">
        <v>77</v>
      </c>
      <c r="G2322" s="28" t="s">
        <v>77</v>
      </c>
      <c r="I2322" s="26" t="s">
        <v>77</v>
      </c>
      <c r="J2322" s="26" t="s">
        <v>77</v>
      </c>
      <c r="K2322" s="18"/>
      <c r="L2322" s="26" t="s">
        <v>77</v>
      </c>
      <c r="M2322" s="6" t="s">
        <v>77</v>
      </c>
      <c r="N2322" s="28" t="s">
        <v>77</v>
      </c>
      <c r="O2322" s="26" t="s">
        <v>77</v>
      </c>
    </row>
    <row r="2323">
      <c r="A2323" s="52" t="s">
        <v>77</v>
      </c>
      <c r="B2323" s="28" t="s">
        <v>77</v>
      </c>
      <c r="C2323" s="28" t="s">
        <v>77</v>
      </c>
      <c r="D2323" s="28" t="s">
        <v>77</v>
      </c>
      <c r="E2323" s="28" t="s">
        <v>77</v>
      </c>
      <c r="F2323" s="28" t="s">
        <v>77</v>
      </c>
      <c r="G2323" s="28" t="s">
        <v>77</v>
      </c>
      <c r="I2323" s="26" t="s">
        <v>77</v>
      </c>
      <c r="J2323" s="26" t="s">
        <v>77</v>
      </c>
      <c r="K2323" s="18"/>
      <c r="L2323" s="26" t="s">
        <v>77</v>
      </c>
      <c r="M2323" s="6" t="s">
        <v>77</v>
      </c>
      <c r="N2323" s="28" t="s">
        <v>77</v>
      </c>
      <c r="O2323" s="26" t="s">
        <v>77</v>
      </c>
    </row>
    <row r="2324">
      <c r="A2324" s="52" t="s">
        <v>77</v>
      </c>
      <c r="B2324" s="28" t="s">
        <v>77</v>
      </c>
      <c r="C2324" s="28" t="s">
        <v>77</v>
      </c>
      <c r="D2324" s="28" t="s">
        <v>77</v>
      </c>
      <c r="E2324" s="28" t="s">
        <v>77</v>
      </c>
      <c r="F2324" s="28" t="s">
        <v>77</v>
      </c>
      <c r="G2324" s="28" t="s">
        <v>77</v>
      </c>
      <c r="I2324" s="26" t="s">
        <v>77</v>
      </c>
      <c r="J2324" s="26" t="s">
        <v>77</v>
      </c>
      <c r="K2324" s="18"/>
      <c r="L2324" s="26" t="s">
        <v>77</v>
      </c>
      <c r="M2324" s="6" t="s">
        <v>77</v>
      </c>
      <c r="N2324" s="28" t="s">
        <v>77</v>
      </c>
      <c r="O2324" s="26" t="s">
        <v>77</v>
      </c>
    </row>
    <row r="2325">
      <c r="A2325" s="52" t="s">
        <v>77</v>
      </c>
      <c r="B2325" s="28" t="s">
        <v>77</v>
      </c>
      <c r="C2325" s="28" t="s">
        <v>77</v>
      </c>
      <c r="D2325" s="28" t="s">
        <v>77</v>
      </c>
      <c r="E2325" s="28" t="s">
        <v>77</v>
      </c>
      <c r="F2325" s="28" t="s">
        <v>77</v>
      </c>
      <c r="G2325" s="28" t="s">
        <v>77</v>
      </c>
      <c r="I2325" s="26" t="s">
        <v>77</v>
      </c>
      <c r="J2325" s="26" t="s">
        <v>77</v>
      </c>
      <c r="K2325" s="18"/>
      <c r="L2325" s="26" t="s">
        <v>77</v>
      </c>
      <c r="M2325" s="6" t="s">
        <v>77</v>
      </c>
      <c r="N2325" s="28" t="s">
        <v>77</v>
      </c>
      <c r="O2325" s="26" t="s">
        <v>77</v>
      </c>
    </row>
    <row r="2326">
      <c r="A2326" s="52" t="s">
        <v>77</v>
      </c>
      <c r="B2326" s="28" t="s">
        <v>77</v>
      </c>
      <c r="C2326" s="28" t="s">
        <v>77</v>
      </c>
      <c r="D2326" s="28" t="s">
        <v>77</v>
      </c>
      <c r="E2326" s="28" t="s">
        <v>77</v>
      </c>
      <c r="F2326" s="28" t="s">
        <v>77</v>
      </c>
      <c r="G2326" s="28" t="s">
        <v>77</v>
      </c>
      <c r="I2326" s="26" t="s">
        <v>77</v>
      </c>
      <c r="J2326" s="26" t="s">
        <v>77</v>
      </c>
      <c r="K2326" s="18"/>
      <c r="L2326" s="26" t="s">
        <v>77</v>
      </c>
      <c r="M2326" s="6" t="s">
        <v>77</v>
      </c>
      <c r="N2326" s="28" t="s">
        <v>77</v>
      </c>
      <c r="O2326" s="26" t="s">
        <v>77</v>
      </c>
    </row>
    <row r="2327">
      <c r="A2327" s="52" t="s">
        <v>77</v>
      </c>
      <c r="B2327" s="28" t="s">
        <v>77</v>
      </c>
      <c r="C2327" s="28" t="s">
        <v>77</v>
      </c>
      <c r="D2327" s="28" t="s">
        <v>77</v>
      </c>
      <c r="E2327" s="28" t="s">
        <v>77</v>
      </c>
      <c r="F2327" s="28" t="s">
        <v>77</v>
      </c>
      <c r="G2327" s="28" t="s">
        <v>77</v>
      </c>
      <c r="I2327" s="26" t="s">
        <v>77</v>
      </c>
      <c r="J2327" s="26" t="s">
        <v>77</v>
      </c>
      <c r="K2327" s="18"/>
      <c r="L2327" s="26" t="s">
        <v>77</v>
      </c>
      <c r="M2327" s="6" t="s">
        <v>77</v>
      </c>
      <c r="N2327" s="28" t="s">
        <v>77</v>
      </c>
      <c r="O2327" s="26" t="s">
        <v>77</v>
      </c>
    </row>
    <row r="2328">
      <c r="A2328" s="52" t="s">
        <v>77</v>
      </c>
      <c r="B2328" s="28" t="s">
        <v>77</v>
      </c>
      <c r="C2328" s="28" t="s">
        <v>77</v>
      </c>
      <c r="D2328" s="28" t="s">
        <v>77</v>
      </c>
      <c r="E2328" s="28" t="s">
        <v>77</v>
      </c>
      <c r="F2328" s="28" t="s">
        <v>77</v>
      </c>
      <c r="G2328" s="28" t="s">
        <v>77</v>
      </c>
      <c r="I2328" s="26" t="s">
        <v>77</v>
      </c>
      <c r="J2328" s="26" t="s">
        <v>77</v>
      </c>
      <c r="K2328" s="18"/>
      <c r="L2328" s="26" t="s">
        <v>77</v>
      </c>
      <c r="M2328" s="6" t="s">
        <v>77</v>
      </c>
      <c r="N2328" s="28" t="s">
        <v>77</v>
      </c>
      <c r="O2328" s="26" t="s">
        <v>77</v>
      </c>
    </row>
    <row r="2329">
      <c r="A2329" s="52" t="s">
        <v>77</v>
      </c>
      <c r="B2329" s="28" t="s">
        <v>77</v>
      </c>
      <c r="C2329" s="28" t="s">
        <v>77</v>
      </c>
      <c r="D2329" s="28" t="s">
        <v>77</v>
      </c>
      <c r="E2329" s="28" t="s">
        <v>77</v>
      </c>
      <c r="F2329" s="28" t="s">
        <v>77</v>
      </c>
      <c r="G2329" s="28" t="s">
        <v>77</v>
      </c>
      <c r="I2329" s="26" t="s">
        <v>77</v>
      </c>
      <c r="J2329" s="26" t="s">
        <v>77</v>
      </c>
      <c r="K2329" s="18"/>
      <c r="L2329" s="26" t="s">
        <v>77</v>
      </c>
      <c r="M2329" s="6" t="s">
        <v>77</v>
      </c>
      <c r="N2329" s="28" t="s">
        <v>77</v>
      </c>
      <c r="O2329" s="26" t="s">
        <v>77</v>
      </c>
    </row>
    <row r="2330">
      <c r="A2330" s="52" t="s">
        <v>77</v>
      </c>
      <c r="B2330" s="28" t="s">
        <v>77</v>
      </c>
      <c r="C2330" s="28" t="s">
        <v>77</v>
      </c>
      <c r="D2330" s="28" t="s">
        <v>77</v>
      </c>
      <c r="E2330" s="28" t="s">
        <v>77</v>
      </c>
      <c r="F2330" s="28" t="s">
        <v>77</v>
      </c>
      <c r="G2330" s="28" t="s">
        <v>77</v>
      </c>
      <c r="I2330" s="26" t="s">
        <v>77</v>
      </c>
      <c r="J2330" s="26" t="s">
        <v>77</v>
      </c>
      <c r="K2330" s="18"/>
      <c r="L2330" s="26" t="s">
        <v>77</v>
      </c>
      <c r="M2330" s="6" t="s">
        <v>77</v>
      </c>
      <c r="N2330" s="28" t="s">
        <v>77</v>
      </c>
      <c r="O2330" s="26" t="s">
        <v>77</v>
      </c>
    </row>
    <row r="2331">
      <c r="A2331" s="52" t="s">
        <v>77</v>
      </c>
      <c r="B2331" s="28" t="s">
        <v>77</v>
      </c>
      <c r="C2331" s="28" t="s">
        <v>77</v>
      </c>
      <c r="D2331" s="28" t="s">
        <v>77</v>
      </c>
      <c r="E2331" s="28" t="s">
        <v>77</v>
      </c>
      <c r="F2331" s="28" t="s">
        <v>77</v>
      </c>
      <c r="G2331" s="28" t="s">
        <v>77</v>
      </c>
      <c r="I2331" s="26" t="s">
        <v>77</v>
      </c>
      <c r="J2331" s="26" t="s">
        <v>77</v>
      </c>
      <c r="K2331" s="18"/>
      <c r="L2331" s="26" t="s">
        <v>77</v>
      </c>
      <c r="M2331" s="6" t="s">
        <v>77</v>
      </c>
      <c r="N2331" s="28" t="s">
        <v>77</v>
      </c>
      <c r="O2331" s="26" t="s">
        <v>77</v>
      </c>
    </row>
    <row r="2332">
      <c r="A2332" s="52" t="s">
        <v>77</v>
      </c>
      <c r="B2332" s="28" t="s">
        <v>77</v>
      </c>
      <c r="C2332" s="28" t="s">
        <v>77</v>
      </c>
      <c r="D2332" s="28" t="s">
        <v>77</v>
      </c>
      <c r="E2332" s="28" t="s">
        <v>77</v>
      </c>
      <c r="F2332" s="28" t="s">
        <v>77</v>
      </c>
      <c r="G2332" s="28" t="s">
        <v>77</v>
      </c>
      <c r="I2332" s="26" t="s">
        <v>77</v>
      </c>
      <c r="J2332" s="26" t="s">
        <v>77</v>
      </c>
      <c r="K2332" s="18"/>
      <c r="L2332" s="26" t="s">
        <v>77</v>
      </c>
      <c r="M2332" s="6" t="s">
        <v>77</v>
      </c>
      <c r="N2332" s="28" t="s">
        <v>77</v>
      </c>
      <c r="O2332" s="26" t="s">
        <v>77</v>
      </c>
    </row>
    <row r="2333">
      <c r="A2333" s="52" t="s">
        <v>77</v>
      </c>
      <c r="B2333" s="28" t="s">
        <v>77</v>
      </c>
      <c r="C2333" s="28" t="s">
        <v>77</v>
      </c>
      <c r="D2333" s="28" t="s">
        <v>77</v>
      </c>
      <c r="E2333" s="28" t="s">
        <v>77</v>
      </c>
      <c r="F2333" s="28" t="s">
        <v>77</v>
      </c>
      <c r="G2333" s="28" t="s">
        <v>77</v>
      </c>
      <c r="I2333" s="26" t="s">
        <v>77</v>
      </c>
      <c r="J2333" s="26" t="s">
        <v>77</v>
      </c>
      <c r="K2333" s="18"/>
      <c r="L2333" s="26" t="s">
        <v>77</v>
      </c>
      <c r="M2333" s="6" t="s">
        <v>77</v>
      </c>
      <c r="N2333" s="28" t="s">
        <v>77</v>
      </c>
      <c r="O2333" s="26" t="s">
        <v>77</v>
      </c>
    </row>
    <row r="2334">
      <c r="A2334" s="52" t="s">
        <v>77</v>
      </c>
      <c r="B2334" s="28" t="s">
        <v>77</v>
      </c>
      <c r="C2334" s="28" t="s">
        <v>77</v>
      </c>
      <c r="D2334" s="28" t="s">
        <v>77</v>
      </c>
      <c r="E2334" s="28" t="s">
        <v>77</v>
      </c>
      <c r="F2334" s="28" t="s">
        <v>77</v>
      </c>
      <c r="G2334" s="28" t="s">
        <v>77</v>
      </c>
      <c r="I2334" s="26" t="s">
        <v>77</v>
      </c>
      <c r="J2334" s="26" t="s">
        <v>77</v>
      </c>
      <c r="K2334" s="18"/>
      <c r="L2334" s="26" t="s">
        <v>77</v>
      </c>
      <c r="M2334" s="6" t="s">
        <v>77</v>
      </c>
      <c r="N2334" s="28" t="s">
        <v>77</v>
      </c>
      <c r="O2334" s="26" t="s">
        <v>77</v>
      </c>
    </row>
    <row r="2335">
      <c r="A2335" s="52" t="s">
        <v>77</v>
      </c>
      <c r="B2335" s="28" t="s">
        <v>77</v>
      </c>
      <c r="C2335" s="28" t="s">
        <v>77</v>
      </c>
      <c r="D2335" s="28" t="s">
        <v>77</v>
      </c>
      <c r="E2335" s="28" t="s">
        <v>77</v>
      </c>
      <c r="F2335" s="28" t="s">
        <v>77</v>
      </c>
      <c r="G2335" s="28" t="s">
        <v>77</v>
      </c>
      <c r="I2335" s="26" t="s">
        <v>77</v>
      </c>
      <c r="J2335" s="26" t="s">
        <v>77</v>
      </c>
      <c r="K2335" s="18"/>
      <c r="L2335" s="26" t="s">
        <v>77</v>
      </c>
      <c r="M2335" s="6" t="s">
        <v>77</v>
      </c>
      <c r="N2335" s="28" t="s">
        <v>77</v>
      </c>
      <c r="O2335" s="26" t="s">
        <v>77</v>
      </c>
    </row>
    <row r="2336">
      <c r="A2336" s="52" t="s">
        <v>77</v>
      </c>
      <c r="B2336" s="28" t="s">
        <v>77</v>
      </c>
      <c r="C2336" s="28" t="s">
        <v>77</v>
      </c>
      <c r="D2336" s="28" t="s">
        <v>77</v>
      </c>
      <c r="E2336" s="28" t="s">
        <v>77</v>
      </c>
      <c r="F2336" s="28" t="s">
        <v>77</v>
      </c>
      <c r="G2336" s="28" t="s">
        <v>77</v>
      </c>
      <c r="I2336" s="26" t="s">
        <v>77</v>
      </c>
      <c r="J2336" s="26" t="s">
        <v>77</v>
      </c>
      <c r="K2336" s="18"/>
      <c r="L2336" s="26" t="s">
        <v>77</v>
      </c>
      <c r="M2336" s="6" t="s">
        <v>77</v>
      </c>
      <c r="N2336" s="28" t="s">
        <v>77</v>
      </c>
      <c r="O2336" s="26" t="s">
        <v>77</v>
      </c>
    </row>
    <row r="2337">
      <c r="A2337" s="52" t="s">
        <v>77</v>
      </c>
      <c r="B2337" s="28" t="s">
        <v>77</v>
      </c>
      <c r="C2337" s="28" t="s">
        <v>77</v>
      </c>
      <c r="D2337" s="28" t="s">
        <v>77</v>
      </c>
      <c r="E2337" s="28" t="s">
        <v>77</v>
      </c>
      <c r="F2337" s="28" t="s">
        <v>77</v>
      </c>
      <c r="G2337" s="28" t="s">
        <v>77</v>
      </c>
      <c r="I2337" s="26" t="s">
        <v>77</v>
      </c>
      <c r="J2337" s="26" t="s">
        <v>77</v>
      </c>
      <c r="K2337" s="18"/>
      <c r="L2337" s="26" t="s">
        <v>77</v>
      </c>
      <c r="M2337" s="6" t="s">
        <v>77</v>
      </c>
      <c r="N2337" s="28" t="s">
        <v>77</v>
      </c>
      <c r="O2337" s="26" t="s">
        <v>77</v>
      </c>
    </row>
    <row r="2338">
      <c r="A2338" s="52" t="s">
        <v>77</v>
      </c>
      <c r="B2338" s="28" t="s">
        <v>77</v>
      </c>
      <c r="C2338" s="28" t="s">
        <v>77</v>
      </c>
      <c r="D2338" s="28" t="s">
        <v>77</v>
      </c>
      <c r="E2338" s="28" t="s">
        <v>77</v>
      </c>
      <c r="F2338" s="28" t="s">
        <v>77</v>
      </c>
      <c r="G2338" s="28" t="s">
        <v>77</v>
      </c>
      <c r="I2338" s="26" t="s">
        <v>77</v>
      </c>
      <c r="J2338" s="26" t="s">
        <v>77</v>
      </c>
      <c r="K2338" s="18"/>
      <c r="L2338" s="26" t="s">
        <v>77</v>
      </c>
      <c r="M2338" s="6" t="s">
        <v>77</v>
      </c>
      <c r="N2338" s="28" t="s">
        <v>77</v>
      </c>
      <c r="O2338" s="26" t="s">
        <v>77</v>
      </c>
    </row>
    <row r="2339">
      <c r="A2339" s="52" t="s">
        <v>77</v>
      </c>
      <c r="B2339" s="28" t="s">
        <v>77</v>
      </c>
      <c r="C2339" s="28" t="s">
        <v>77</v>
      </c>
      <c r="D2339" s="28" t="s">
        <v>77</v>
      </c>
      <c r="E2339" s="28" t="s">
        <v>77</v>
      </c>
      <c r="F2339" s="28" t="s">
        <v>77</v>
      </c>
      <c r="G2339" s="28" t="s">
        <v>77</v>
      </c>
      <c r="I2339" s="26" t="s">
        <v>77</v>
      </c>
      <c r="J2339" s="26" t="s">
        <v>77</v>
      </c>
      <c r="K2339" s="18"/>
      <c r="L2339" s="26" t="s">
        <v>77</v>
      </c>
      <c r="M2339" s="6" t="s">
        <v>77</v>
      </c>
      <c r="N2339" s="28" t="s">
        <v>77</v>
      </c>
      <c r="O2339" s="26" t="s">
        <v>77</v>
      </c>
    </row>
    <row r="2340">
      <c r="A2340" s="52" t="s">
        <v>77</v>
      </c>
      <c r="B2340" s="28" t="s">
        <v>77</v>
      </c>
      <c r="C2340" s="28" t="s">
        <v>77</v>
      </c>
      <c r="D2340" s="28" t="s">
        <v>77</v>
      </c>
      <c r="E2340" s="28" t="s">
        <v>77</v>
      </c>
      <c r="F2340" s="28" t="s">
        <v>77</v>
      </c>
      <c r="G2340" s="28" t="s">
        <v>77</v>
      </c>
      <c r="I2340" s="26" t="s">
        <v>77</v>
      </c>
      <c r="J2340" s="26" t="s">
        <v>77</v>
      </c>
      <c r="K2340" s="18"/>
      <c r="L2340" s="26" t="s">
        <v>77</v>
      </c>
      <c r="M2340" s="6" t="s">
        <v>77</v>
      </c>
      <c r="N2340" s="28" t="s">
        <v>77</v>
      </c>
      <c r="O2340" s="26" t="s">
        <v>77</v>
      </c>
    </row>
    <row r="2341">
      <c r="A2341" s="52" t="s">
        <v>77</v>
      </c>
      <c r="B2341" s="28" t="s">
        <v>77</v>
      </c>
      <c r="C2341" s="28" t="s">
        <v>77</v>
      </c>
      <c r="D2341" s="28" t="s">
        <v>77</v>
      </c>
      <c r="E2341" s="28" t="s">
        <v>77</v>
      </c>
      <c r="F2341" s="28" t="s">
        <v>77</v>
      </c>
      <c r="G2341" s="28" t="s">
        <v>77</v>
      </c>
      <c r="I2341" s="26" t="s">
        <v>77</v>
      </c>
      <c r="J2341" s="26" t="s">
        <v>77</v>
      </c>
      <c r="K2341" s="18"/>
      <c r="L2341" s="26" t="s">
        <v>77</v>
      </c>
      <c r="M2341" s="6" t="s">
        <v>77</v>
      </c>
      <c r="N2341" s="28" t="s">
        <v>77</v>
      </c>
      <c r="O2341" s="26" t="s">
        <v>77</v>
      </c>
    </row>
    <row r="2342">
      <c r="A2342" s="52" t="s">
        <v>77</v>
      </c>
      <c r="B2342" s="28" t="s">
        <v>77</v>
      </c>
      <c r="C2342" s="28" t="s">
        <v>77</v>
      </c>
      <c r="D2342" s="28" t="s">
        <v>77</v>
      </c>
      <c r="E2342" s="28" t="s">
        <v>77</v>
      </c>
      <c r="F2342" s="28" t="s">
        <v>77</v>
      </c>
      <c r="G2342" s="28" t="s">
        <v>77</v>
      </c>
      <c r="I2342" s="26" t="s">
        <v>77</v>
      </c>
      <c r="J2342" s="26" t="s">
        <v>77</v>
      </c>
      <c r="K2342" s="18"/>
      <c r="L2342" s="26" t="s">
        <v>77</v>
      </c>
      <c r="M2342" s="6" t="s">
        <v>77</v>
      </c>
      <c r="N2342" s="28" t="s">
        <v>77</v>
      </c>
      <c r="O2342" s="26" t="s">
        <v>77</v>
      </c>
    </row>
    <row r="2343">
      <c r="A2343" s="52" t="s">
        <v>77</v>
      </c>
      <c r="B2343" s="28" t="s">
        <v>77</v>
      </c>
      <c r="C2343" s="28" t="s">
        <v>77</v>
      </c>
      <c r="D2343" s="28" t="s">
        <v>77</v>
      </c>
      <c r="E2343" s="28" t="s">
        <v>77</v>
      </c>
      <c r="F2343" s="28" t="s">
        <v>77</v>
      </c>
      <c r="G2343" s="28" t="s">
        <v>77</v>
      </c>
      <c r="I2343" s="26" t="s">
        <v>77</v>
      </c>
      <c r="J2343" s="26" t="s">
        <v>77</v>
      </c>
      <c r="K2343" s="18"/>
      <c r="L2343" s="26" t="s">
        <v>77</v>
      </c>
      <c r="M2343" s="6" t="s">
        <v>77</v>
      </c>
      <c r="N2343" s="28" t="s">
        <v>77</v>
      </c>
      <c r="O2343" s="26" t="s">
        <v>77</v>
      </c>
    </row>
    <row r="2344">
      <c r="A2344" s="52" t="s">
        <v>77</v>
      </c>
      <c r="B2344" s="28" t="s">
        <v>77</v>
      </c>
      <c r="C2344" s="28" t="s">
        <v>77</v>
      </c>
      <c r="D2344" s="28" t="s">
        <v>77</v>
      </c>
      <c r="E2344" s="28" t="s">
        <v>77</v>
      </c>
      <c r="F2344" s="28" t="s">
        <v>77</v>
      </c>
      <c r="G2344" s="28" t="s">
        <v>77</v>
      </c>
      <c r="I2344" s="26" t="s">
        <v>77</v>
      </c>
      <c r="J2344" s="26" t="s">
        <v>77</v>
      </c>
      <c r="K2344" s="18"/>
      <c r="L2344" s="26" t="s">
        <v>77</v>
      </c>
      <c r="M2344" s="6" t="s">
        <v>77</v>
      </c>
      <c r="N2344" s="28" t="s">
        <v>77</v>
      </c>
      <c r="O2344" s="26" t="s">
        <v>77</v>
      </c>
    </row>
    <row r="2345">
      <c r="A2345" s="52" t="s">
        <v>77</v>
      </c>
      <c r="B2345" s="28" t="s">
        <v>77</v>
      </c>
      <c r="C2345" s="28" t="s">
        <v>77</v>
      </c>
      <c r="D2345" s="28" t="s">
        <v>77</v>
      </c>
      <c r="E2345" s="28" t="s">
        <v>77</v>
      </c>
      <c r="F2345" s="28" t="s">
        <v>77</v>
      </c>
      <c r="G2345" s="28" t="s">
        <v>77</v>
      </c>
      <c r="I2345" s="26" t="s">
        <v>77</v>
      </c>
      <c r="J2345" s="26" t="s">
        <v>77</v>
      </c>
      <c r="K2345" s="18"/>
      <c r="L2345" s="26" t="s">
        <v>77</v>
      </c>
      <c r="M2345" s="6" t="s">
        <v>77</v>
      </c>
      <c r="N2345" s="28" t="s">
        <v>77</v>
      </c>
      <c r="O2345" s="26" t="s">
        <v>77</v>
      </c>
    </row>
    <row r="2346">
      <c r="A2346" s="52" t="s">
        <v>77</v>
      </c>
      <c r="B2346" s="28" t="s">
        <v>77</v>
      </c>
      <c r="C2346" s="28" t="s">
        <v>77</v>
      </c>
      <c r="D2346" s="28" t="s">
        <v>77</v>
      </c>
      <c r="E2346" s="28" t="s">
        <v>77</v>
      </c>
      <c r="F2346" s="28" t="s">
        <v>77</v>
      </c>
      <c r="G2346" s="28" t="s">
        <v>77</v>
      </c>
      <c r="I2346" s="26" t="s">
        <v>77</v>
      </c>
      <c r="J2346" s="26" t="s">
        <v>77</v>
      </c>
      <c r="K2346" s="18"/>
      <c r="L2346" s="26" t="s">
        <v>77</v>
      </c>
      <c r="M2346" s="6" t="s">
        <v>77</v>
      </c>
      <c r="N2346" s="28" t="s">
        <v>77</v>
      </c>
      <c r="O2346" s="26" t="s">
        <v>77</v>
      </c>
    </row>
    <row r="2347">
      <c r="A2347" s="52" t="s">
        <v>77</v>
      </c>
      <c r="B2347" s="28" t="s">
        <v>77</v>
      </c>
      <c r="C2347" s="28" t="s">
        <v>77</v>
      </c>
      <c r="D2347" s="28" t="s">
        <v>77</v>
      </c>
      <c r="E2347" s="28" t="s">
        <v>77</v>
      </c>
      <c r="F2347" s="28" t="s">
        <v>77</v>
      </c>
      <c r="G2347" s="28" t="s">
        <v>77</v>
      </c>
      <c r="I2347" s="26" t="s">
        <v>77</v>
      </c>
      <c r="J2347" s="26" t="s">
        <v>77</v>
      </c>
      <c r="K2347" s="18"/>
      <c r="L2347" s="26" t="s">
        <v>77</v>
      </c>
      <c r="M2347" s="6" t="s">
        <v>77</v>
      </c>
      <c r="N2347" s="28" t="s">
        <v>77</v>
      </c>
      <c r="O2347" s="26" t="s">
        <v>77</v>
      </c>
    </row>
    <row r="2348">
      <c r="A2348" s="52" t="s">
        <v>77</v>
      </c>
      <c r="B2348" s="28" t="s">
        <v>77</v>
      </c>
      <c r="C2348" s="28" t="s">
        <v>77</v>
      </c>
      <c r="D2348" s="28" t="s">
        <v>77</v>
      </c>
      <c r="E2348" s="28" t="s">
        <v>77</v>
      </c>
      <c r="F2348" s="28" t="s">
        <v>77</v>
      </c>
      <c r="G2348" s="28" t="s">
        <v>77</v>
      </c>
      <c r="I2348" s="26" t="s">
        <v>77</v>
      </c>
      <c r="J2348" s="26" t="s">
        <v>77</v>
      </c>
      <c r="K2348" s="18"/>
      <c r="L2348" s="26" t="s">
        <v>77</v>
      </c>
      <c r="M2348" s="6" t="s">
        <v>77</v>
      </c>
      <c r="N2348" s="28" t="s">
        <v>77</v>
      </c>
      <c r="O2348" s="26" t="s">
        <v>77</v>
      </c>
    </row>
    <row r="2349">
      <c r="A2349" s="52" t="s">
        <v>77</v>
      </c>
      <c r="B2349" s="28" t="s">
        <v>77</v>
      </c>
      <c r="C2349" s="28" t="s">
        <v>77</v>
      </c>
      <c r="D2349" s="28" t="s">
        <v>77</v>
      </c>
      <c r="E2349" s="28" t="s">
        <v>77</v>
      </c>
      <c r="F2349" s="28" t="s">
        <v>77</v>
      </c>
      <c r="G2349" s="28" t="s">
        <v>77</v>
      </c>
      <c r="I2349" s="26" t="s">
        <v>77</v>
      </c>
      <c r="J2349" s="26" t="s">
        <v>77</v>
      </c>
      <c r="K2349" s="18"/>
      <c r="L2349" s="26" t="s">
        <v>77</v>
      </c>
      <c r="M2349" s="6" t="s">
        <v>77</v>
      </c>
      <c r="N2349" s="28" t="s">
        <v>77</v>
      </c>
      <c r="O2349" s="26" t="s">
        <v>77</v>
      </c>
    </row>
    <row r="2350">
      <c r="A2350" s="52" t="s">
        <v>77</v>
      </c>
      <c r="B2350" s="28" t="s">
        <v>77</v>
      </c>
      <c r="C2350" s="28" t="s">
        <v>77</v>
      </c>
      <c r="D2350" s="28" t="s">
        <v>77</v>
      </c>
      <c r="E2350" s="28" t="s">
        <v>77</v>
      </c>
      <c r="F2350" s="28" t="s">
        <v>77</v>
      </c>
      <c r="G2350" s="28" t="s">
        <v>77</v>
      </c>
      <c r="I2350" s="26" t="s">
        <v>77</v>
      </c>
      <c r="J2350" s="26" t="s">
        <v>77</v>
      </c>
      <c r="K2350" s="18"/>
      <c r="L2350" s="26" t="s">
        <v>77</v>
      </c>
      <c r="M2350" s="6" t="s">
        <v>77</v>
      </c>
      <c r="N2350" s="28" t="s">
        <v>77</v>
      </c>
      <c r="O2350" s="26" t="s">
        <v>77</v>
      </c>
    </row>
    <row r="2351">
      <c r="A2351" s="52" t="s">
        <v>77</v>
      </c>
      <c r="B2351" s="28" t="s">
        <v>77</v>
      </c>
      <c r="C2351" s="28" t="s">
        <v>77</v>
      </c>
      <c r="D2351" s="28" t="s">
        <v>77</v>
      </c>
      <c r="E2351" s="28" t="s">
        <v>77</v>
      </c>
      <c r="F2351" s="28" t="s">
        <v>77</v>
      </c>
      <c r="G2351" s="28" t="s">
        <v>77</v>
      </c>
      <c r="I2351" s="26" t="s">
        <v>77</v>
      </c>
      <c r="J2351" s="26" t="s">
        <v>77</v>
      </c>
      <c r="K2351" s="18"/>
      <c r="L2351" s="26" t="s">
        <v>77</v>
      </c>
      <c r="M2351" s="6" t="s">
        <v>77</v>
      </c>
      <c r="N2351" s="28" t="s">
        <v>77</v>
      </c>
      <c r="O2351" s="26" t="s">
        <v>77</v>
      </c>
    </row>
    <row r="2352">
      <c r="A2352" s="52" t="s">
        <v>77</v>
      </c>
      <c r="B2352" s="28" t="s">
        <v>77</v>
      </c>
      <c r="C2352" s="28" t="s">
        <v>77</v>
      </c>
      <c r="D2352" s="28" t="s">
        <v>77</v>
      </c>
      <c r="E2352" s="28" t="s">
        <v>77</v>
      </c>
      <c r="F2352" s="28" t="s">
        <v>77</v>
      </c>
      <c r="G2352" s="28" t="s">
        <v>77</v>
      </c>
      <c r="I2352" s="26" t="s">
        <v>77</v>
      </c>
      <c r="J2352" s="26" t="s">
        <v>77</v>
      </c>
      <c r="K2352" s="18"/>
      <c r="L2352" s="26" t="s">
        <v>77</v>
      </c>
      <c r="M2352" s="6" t="s">
        <v>77</v>
      </c>
      <c r="N2352" s="28" t="s">
        <v>77</v>
      </c>
      <c r="O2352" s="26" t="s">
        <v>77</v>
      </c>
    </row>
    <row r="2353">
      <c r="A2353" s="52" t="s">
        <v>77</v>
      </c>
      <c r="B2353" s="28" t="s">
        <v>77</v>
      </c>
      <c r="C2353" s="28" t="s">
        <v>77</v>
      </c>
      <c r="D2353" s="28" t="s">
        <v>77</v>
      </c>
      <c r="E2353" s="28" t="s">
        <v>77</v>
      </c>
      <c r="F2353" s="28" t="s">
        <v>77</v>
      </c>
      <c r="G2353" s="28" t="s">
        <v>77</v>
      </c>
      <c r="I2353" s="26" t="s">
        <v>77</v>
      </c>
      <c r="J2353" s="26" t="s">
        <v>77</v>
      </c>
      <c r="K2353" s="18"/>
      <c r="L2353" s="26" t="s">
        <v>77</v>
      </c>
      <c r="M2353" s="6" t="s">
        <v>77</v>
      </c>
      <c r="N2353" s="28" t="s">
        <v>77</v>
      </c>
      <c r="O2353" s="26" t="s">
        <v>77</v>
      </c>
    </row>
    <row r="2354">
      <c r="A2354" s="52" t="s">
        <v>77</v>
      </c>
      <c r="B2354" s="28" t="s">
        <v>77</v>
      </c>
      <c r="C2354" s="28" t="s">
        <v>77</v>
      </c>
      <c r="D2354" s="28" t="s">
        <v>77</v>
      </c>
      <c r="E2354" s="28" t="s">
        <v>77</v>
      </c>
      <c r="F2354" s="28" t="s">
        <v>77</v>
      </c>
      <c r="G2354" s="28" t="s">
        <v>77</v>
      </c>
      <c r="I2354" s="26" t="s">
        <v>77</v>
      </c>
      <c r="J2354" s="26" t="s">
        <v>77</v>
      </c>
      <c r="K2354" s="18"/>
      <c r="L2354" s="26" t="s">
        <v>77</v>
      </c>
      <c r="M2354" s="6" t="s">
        <v>77</v>
      </c>
      <c r="N2354" s="28" t="s">
        <v>77</v>
      </c>
      <c r="O2354" s="26" t="s">
        <v>77</v>
      </c>
    </row>
    <row r="2355">
      <c r="A2355" s="52" t="s">
        <v>77</v>
      </c>
      <c r="B2355" s="28" t="s">
        <v>77</v>
      </c>
      <c r="C2355" s="28" t="s">
        <v>77</v>
      </c>
      <c r="D2355" s="28" t="s">
        <v>77</v>
      </c>
      <c r="E2355" s="28" t="s">
        <v>77</v>
      </c>
      <c r="F2355" s="28" t="s">
        <v>77</v>
      </c>
      <c r="G2355" s="28" t="s">
        <v>77</v>
      </c>
      <c r="I2355" s="26" t="s">
        <v>77</v>
      </c>
      <c r="J2355" s="26" t="s">
        <v>77</v>
      </c>
      <c r="K2355" s="18"/>
      <c r="L2355" s="26" t="s">
        <v>77</v>
      </c>
      <c r="M2355" s="6" t="s">
        <v>77</v>
      </c>
      <c r="N2355" s="28" t="s">
        <v>77</v>
      </c>
      <c r="O2355" s="26" t="s">
        <v>77</v>
      </c>
    </row>
    <row r="2356">
      <c r="A2356" s="52" t="s">
        <v>77</v>
      </c>
      <c r="B2356" s="28" t="s">
        <v>77</v>
      </c>
      <c r="C2356" s="28" t="s">
        <v>77</v>
      </c>
      <c r="D2356" s="28" t="s">
        <v>77</v>
      </c>
      <c r="E2356" s="28" t="s">
        <v>77</v>
      </c>
      <c r="F2356" s="28" t="s">
        <v>77</v>
      </c>
      <c r="G2356" s="28" t="s">
        <v>77</v>
      </c>
      <c r="I2356" s="26" t="s">
        <v>77</v>
      </c>
      <c r="J2356" s="26" t="s">
        <v>77</v>
      </c>
      <c r="K2356" s="18"/>
      <c r="L2356" s="26" t="s">
        <v>77</v>
      </c>
      <c r="M2356" s="6" t="s">
        <v>77</v>
      </c>
      <c r="N2356" s="28" t="s">
        <v>77</v>
      </c>
      <c r="O2356" s="26" t="s">
        <v>77</v>
      </c>
    </row>
    <row r="2357">
      <c r="A2357" s="52" t="s">
        <v>77</v>
      </c>
      <c r="B2357" s="28" t="s">
        <v>77</v>
      </c>
      <c r="C2357" s="28" t="s">
        <v>77</v>
      </c>
      <c r="D2357" s="28" t="s">
        <v>77</v>
      </c>
      <c r="E2357" s="28" t="s">
        <v>77</v>
      </c>
      <c r="F2357" s="28" t="s">
        <v>77</v>
      </c>
      <c r="G2357" s="28" t="s">
        <v>77</v>
      </c>
      <c r="I2357" s="26" t="s">
        <v>77</v>
      </c>
      <c r="J2357" s="26" t="s">
        <v>77</v>
      </c>
      <c r="K2357" s="18"/>
      <c r="L2357" s="26" t="s">
        <v>77</v>
      </c>
      <c r="M2357" s="6" t="s">
        <v>77</v>
      </c>
      <c r="N2357" s="28" t="s">
        <v>77</v>
      </c>
      <c r="O2357" s="26" t="s">
        <v>77</v>
      </c>
    </row>
    <row r="2358">
      <c r="A2358" s="52" t="s">
        <v>77</v>
      </c>
      <c r="B2358" s="28" t="s">
        <v>77</v>
      </c>
      <c r="C2358" s="28" t="s">
        <v>77</v>
      </c>
      <c r="D2358" s="28" t="s">
        <v>77</v>
      </c>
      <c r="E2358" s="28" t="s">
        <v>77</v>
      </c>
      <c r="F2358" s="28" t="s">
        <v>77</v>
      </c>
      <c r="G2358" s="28" t="s">
        <v>77</v>
      </c>
      <c r="I2358" s="26" t="s">
        <v>77</v>
      </c>
      <c r="J2358" s="26" t="s">
        <v>77</v>
      </c>
      <c r="K2358" s="18"/>
      <c r="L2358" s="26" t="s">
        <v>77</v>
      </c>
      <c r="M2358" s="6" t="s">
        <v>77</v>
      </c>
      <c r="N2358" s="28" t="s">
        <v>77</v>
      </c>
      <c r="O2358" s="26" t="s">
        <v>77</v>
      </c>
    </row>
    <row r="2359">
      <c r="A2359" s="52" t="s">
        <v>77</v>
      </c>
      <c r="B2359" s="28" t="s">
        <v>77</v>
      </c>
      <c r="C2359" s="28" t="s">
        <v>77</v>
      </c>
      <c r="D2359" s="28" t="s">
        <v>77</v>
      </c>
      <c r="E2359" s="28" t="s">
        <v>77</v>
      </c>
      <c r="F2359" s="28" t="s">
        <v>77</v>
      </c>
      <c r="G2359" s="28" t="s">
        <v>77</v>
      </c>
      <c r="I2359" s="26" t="s">
        <v>77</v>
      </c>
      <c r="J2359" s="26" t="s">
        <v>77</v>
      </c>
      <c r="K2359" s="18"/>
      <c r="L2359" s="26" t="s">
        <v>77</v>
      </c>
      <c r="M2359" s="6" t="s">
        <v>77</v>
      </c>
      <c r="N2359" s="28" t="s">
        <v>77</v>
      </c>
      <c r="O2359" s="26" t="s">
        <v>77</v>
      </c>
    </row>
    <row r="2360">
      <c r="A2360" s="52" t="s">
        <v>77</v>
      </c>
      <c r="B2360" s="28" t="s">
        <v>77</v>
      </c>
      <c r="C2360" s="28" t="s">
        <v>77</v>
      </c>
      <c r="D2360" s="28" t="s">
        <v>77</v>
      </c>
      <c r="E2360" s="28" t="s">
        <v>77</v>
      </c>
      <c r="F2360" s="28" t="s">
        <v>77</v>
      </c>
      <c r="G2360" s="28" t="s">
        <v>77</v>
      </c>
      <c r="I2360" s="26" t="s">
        <v>77</v>
      </c>
      <c r="J2360" s="26" t="s">
        <v>77</v>
      </c>
      <c r="K2360" s="18"/>
      <c r="L2360" s="26" t="s">
        <v>77</v>
      </c>
      <c r="M2360" s="6" t="s">
        <v>77</v>
      </c>
      <c r="N2360" s="28" t="s">
        <v>77</v>
      </c>
      <c r="O2360" s="26" t="s">
        <v>77</v>
      </c>
    </row>
    <row r="2361">
      <c r="A2361" s="52" t="s">
        <v>77</v>
      </c>
      <c r="B2361" s="28" t="s">
        <v>77</v>
      </c>
      <c r="C2361" s="28" t="s">
        <v>77</v>
      </c>
      <c r="D2361" s="28" t="s">
        <v>77</v>
      </c>
      <c r="E2361" s="28" t="s">
        <v>77</v>
      </c>
      <c r="F2361" s="28" t="s">
        <v>77</v>
      </c>
      <c r="G2361" s="28" t="s">
        <v>77</v>
      </c>
      <c r="I2361" s="26" t="s">
        <v>77</v>
      </c>
      <c r="J2361" s="26" t="s">
        <v>77</v>
      </c>
      <c r="K2361" s="18"/>
      <c r="L2361" s="26" t="s">
        <v>77</v>
      </c>
      <c r="M2361" s="6" t="s">
        <v>77</v>
      </c>
      <c r="N2361" s="28" t="s">
        <v>77</v>
      </c>
      <c r="O2361" s="26" t="s">
        <v>77</v>
      </c>
    </row>
    <row r="2362">
      <c r="A2362" s="52" t="s">
        <v>77</v>
      </c>
      <c r="B2362" s="28" t="s">
        <v>77</v>
      </c>
      <c r="C2362" s="28" t="s">
        <v>77</v>
      </c>
      <c r="D2362" s="28" t="s">
        <v>77</v>
      </c>
      <c r="E2362" s="28" t="s">
        <v>77</v>
      </c>
      <c r="F2362" s="28" t="s">
        <v>77</v>
      </c>
      <c r="G2362" s="28" t="s">
        <v>77</v>
      </c>
      <c r="I2362" s="26" t="s">
        <v>77</v>
      </c>
      <c r="J2362" s="26" t="s">
        <v>77</v>
      </c>
      <c r="K2362" s="18"/>
      <c r="L2362" s="26" t="s">
        <v>77</v>
      </c>
      <c r="M2362" s="6" t="s">
        <v>77</v>
      </c>
      <c r="N2362" s="28" t="s">
        <v>77</v>
      </c>
      <c r="O2362" s="26" t="s">
        <v>77</v>
      </c>
    </row>
    <row r="2363">
      <c r="A2363" s="52" t="s">
        <v>77</v>
      </c>
      <c r="B2363" s="28" t="s">
        <v>77</v>
      </c>
      <c r="C2363" s="28" t="s">
        <v>77</v>
      </c>
      <c r="D2363" s="28" t="s">
        <v>77</v>
      </c>
      <c r="E2363" s="28" t="s">
        <v>77</v>
      </c>
      <c r="F2363" s="28" t="s">
        <v>77</v>
      </c>
      <c r="G2363" s="28" t="s">
        <v>77</v>
      </c>
      <c r="I2363" s="26" t="s">
        <v>77</v>
      </c>
      <c r="J2363" s="26" t="s">
        <v>77</v>
      </c>
      <c r="K2363" s="18"/>
      <c r="L2363" s="26" t="s">
        <v>77</v>
      </c>
      <c r="M2363" s="6" t="s">
        <v>77</v>
      </c>
      <c r="N2363" s="28" t="s">
        <v>77</v>
      </c>
      <c r="O2363" s="26" t="s">
        <v>77</v>
      </c>
    </row>
    <row r="2364">
      <c r="A2364" s="52" t="s">
        <v>77</v>
      </c>
      <c r="B2364" s="28" t="s">
        <v>77</v>
      </c>
      <c r="C2364" s="28" t="s">
        <v>77</v>
      </c>
      <c r="D2364" s="28" t="s">
        <v>77</v>
      </c>
      <c r="E2364" s="28" t="s">
        <v>77</v>
      </c>
      <c r="F2364" s="28" t="s">
        <v>77</v>
      </c>
      <c r="G2364" s="28" t="s">
        <v>77</v>
      </c>
      <c r="I2364" s="26" t="s">
        <v>77</v>
      </c>
      <c r="J2364" s="26" t="s">
        <v>77</v>
      </c>
      <c r="K2364" s="18"/>
      <c r="L2364" s="26" t="s">
        <v>77</v>
      </c>
      <c r="M2364" s="6" t="s">
        <v>77</v>
      </c>
      <c r="N2364" s="28" t="s">
        <v>77</v>
      </c>
      <c r="O2364" s="26" t="s">
        <v>77</v>
      </c>
    </row>
    <row r="2365">
      <c r="A2365" s="52" t="s">
        <v>77</v>
      </c>
      <c r="B2365" s="28" t="s">
        <v>77</v>
      </c>
      <c r="C2365" s="28" t="s">
        <v>77</v>
      </c>
      <c r="D2365" s="28" t="s">
        <v>77</v>
      </c>
      <c r="E2365" s="28" t="s">
        <v>77</v>
      </c>
      <c r="F2365" s="28" t="s">
        <v>77</v>
      </c>
      <c r="G2365" s="28" t="s">
        <v>77</v>
      </c>
      <c r="I2365" s="26" t="s">
        <v>77</v>
      </c>
      <c r="J2365" s="26" t="s">
        <v>77</v>
      </c>
      <c r="K2365" s="18"/>
      <c r="L2365" s="26" t="s">
        <v>77</v>
      </c>
      <c r="M2365" s="6" t="s">
        <v>77</v>
      </c>
      <c r="N2365" s="28" t="s">
        <v>77</v>
      </c>
      <c r="O2365" s="26" t="s">
        <v>77</v>
      </c>
    </row>
    <row r="2366">
      <c r="A2366" s="52" t="s">
        <v>77</v>
      </c>
      <c r="B2366" s="28" t="s">
        <v>77</v>
      </c>
      <c r="C2366" s="28" t="s">
        <v>77</v>
      </c>
      <c r="D2366" s="28" t="s">
        <v>77</v>
      </c>
      <c r="E2366" s="28" t="s">
        <v>77</v>
      </c>
      <c r="F2366" s="28" t="s">
        <v>77</v>
      </c>
      <c r="G2366" s="28" t="s">
        <v>77</v>
      </c>
      <c r="I2366" s="26" t="s">
        <v>77</v>
      </c>
      <c r="J2366" s="26" t="s">
        <v>77</v>
      </c>
      <c r="K2366" s="18"/>
      <c r="L2366" s="26" t="s">
        <v>77</v>
      </c>
      <c r="M2366" s="6" t="s">
        <v>77</v>
      </c>
      <c r="N2366" s="28" t="s">
        <v>77</v>
      </c>
      <c r="O2366" s="26" t="s">
        <v>77</v>
      </c>
    </row>
    <row r="2367">
      <c r="A2367" s="52" t="s">
        <v>77</v>
      </c>
      <c r="B2367" s="28" t="s">
        <v>77</v>
      </c>
      <c r="C2367" s="28" t="s">
        <v>77</v>
      </c>
      <c r="D2367" s="28" t="s">
        <v>77</v>
      </c>
      <c r="E2367" s="28" t="s">
        <v>77</v>
      </c>
      <c r="F2367" s="28" t="s">
        <v>77</v>
      </c>
      <c r="G2367" s="28" t="s">
        <v>77</v>
      </c>
      <c r="I2367" s="26" t="s">
        <v>77</v>
      </c>
      <c r="J2367" s="26" t="s">
        <v>77</v>
      </c>
      <c r="K2367" s="18"/>
      <c r="L2367" s="26" t="s">
        <v>77</v>
      </c>
      <c r="M2367" s="6" t="s">
        <v>77</v>
      </c>
      <c r="N2367" s="28" t="s">
        <v>77</v>
      </c>
      <c r="O2367" s="26" t="s">
        <v>77</v>
      </c>
    </row>
    <row r="2368">
      <c r="A2368" s="52" t="s">
        <v>77</v>
      </c>
      <c r="B2368" s="28" t="s">
        <v>77</v>
      </c>
      <c r="C2368" s="28" t="s">
        <v>77</v>
      </c>
      <c r="D2368" s="28" t="s">
        <v>77</v>
      </c>
      <c r="E2368" s="28" t="s">
        <v>77</v>
      </c>
      <c r="F2368" s="28" t="s">
        <v>77</v>
      </c>
      <c r="G2368" s="28" t="s">
        <v>77</v>
      </c>
      <c r="I2368" s="26" t="s">
        <v>77</v>
      </c>
      <c r="J2368" s="26" t="s">
        <v>77</v>
      </c>
      <c r="K2368" s="18"/>
      <c r="L2368" s="26" t="s">
        <v>77</v>
      </c>
      <c r="M2368" s="6" t="s">
        <v>77</v>
      </c>
      <c r="N2368" s="28" t="s">
        <v>77</v>
      </c>
      <c r="O2368" s="26" t="s">
        <v>77</v>
      </c>
    </row>
    <row r="2369">
      <c r="A2369" s="52" t="s">
        <v>77</v>
      </c>
      <c r="B2369" s="28" t="s">
        <v>77</v>
      </c>
      <c r="C2369" s="28" t="s">
        <v>77</v>
      </c>
      <c r="D2369" s="28" t="s">
        <v>77</v>
      </c>
      <c r="E2369" s="28" t="s">
        <v>77</v>
      </c>
      <c r="F2369" s="28" t="s">
        <v>77</v>
      </c>
      <c r="G2369" s="28" t="s">
        <v>77</v>
      </c>
      <c r="I2369" s="26" t="s">
        <v>77</v>
      </c>
      <c r="J2369" s="26" t="s">
        <v>77</v>
      </c>
      <c r="K2369" s="18"/>
      <c r="L2369" s="26" t="s">
        <v>77</v>
      </c>
      <c r="M2369" s="6" t="s">
        <v>77</v>
      </c>
      <c r="N2369" s="28" t="s">
        <v>77</v>
      </c>
      <c r="O2369" s="26" t="s">
        <v>77</v>
      </c>
    </row>
    <row r="2370">
      <c r="A2370" s="52" t="s">
        <v>77</v>
      </c>
      <c r="B2370" s="28" t="s">
        <v>77</v>
      </c>
      <c r="C2370" s="28" t="s">
        <v>77</v>
      </c>
      <c r="D2370" s="28" t="s">
        <v>77</v>
      </c>
      <c r="E2370" s="28" t="s">
        <v>77</v>
      </c>
      <c r="F2370" s="28" t="s">
        <v>77</v>
      </c>
      <c r="G2370" s="28" t="s">
        <v>77</v>
      </c>
      <c r="I2370" s="26" t="s">
        <v>77</v>
      </c>
      <c r="J2370" s="26" t="s">
        <v>77</v>
      </c>
      <c r="K2370" s="18"/>
      <c r="L2370" s="26" t="s">
        <v>77</v>
      </c>
      <c r="M2370" s="6" t="s">
        <v>77</v>
      </c>
      <c r="N2370" s="28" t="s">
        <v>77</v>
      </c>
      <c r="O2370" s="26" t="s">
        <v>77</v>
      </c>
    </row>
    <row r="2371">
      <c r="A2371" s="52" t="s">
        <v>77</v>
      </c>
      <c r="B2371" s="28" t="s">
        <v>77</v>
      </c>
      <c r="C2371" s="28" t="s">
        <v>77</v>
      </c>
      <c r="D2371" s="28" t="s">
        <v>77</v>
      </c>
      <c r="E2371" s="28" t="s">
        <v>77</v>
      </c>
      <c r="F2371" s="28" t="s">
        <v>77</v>
      </c>
      <c r="G2371" s="28" t="s">
        <v>77</v>
      </c>
      <c r="I2371" s="26" t="s">
        <v>77</v>
      </c>
      <c r="J2371" s="26" t="s">
        <v>77</v>
      </c>
      <c r="K2371" s="18"/>
      <c r="L2371" s="26" t="s">
        <v>77</v>
      </c>
      <c r="M2371" s="6" t="s">
        <v>77</v>
      </c>
      <c r="N2371" s="28" t="s">
        <v>77</v>
      </c>
      <c r="O2371" s="26" t="s">
        <v>77</v>
      </c>
    </row>
    <row r="2372">
      <c r="A2372" s="52" t="s">
        <v>77</v>
      </c>
      <c r="B2372" s="28" t="s">
        <v>77</v>
      </c>
      <c r="C2372" s="28" t="s">
        <v>77</v>
      </c>
      <c r="D2372" s="28" t="s">
        <v>77</v>
      </c>
      <c r="E2372" s="28" t="s">
        <v>77</v>
      </c>
      <c r="F2372" s="28" t="s">
        <v>77</v>
      </c>
      <c r="G2372" s="28" t="s">
        <v>77</v>
      </c>
      <c r="I2372" s="26" t="s">
        <v>77</v>
      </c>
      <c r="J2372" s="26" t="s">
        <v>77</v>
      </c>
      <c r="K2372" s="18"/>
      <c r="L2372" s="26" t="s">
        <v>77</v>
      </c>
      <c r="M2372" s="6" t="s">
        <v>77</v>
      </c>
      <c r="N2372" s="28" t="s">
        <v>77</v>
      </c>
      <c r="O2372" s="26" t="s">
        <v>77</v>
      </c>
    </row>
    <row r="2373">
      <c r="A2373" s="52" t="s">
        <v>77</v>
      </c>
      <c r="B2373" s="28" t="s">
        <v>77</v>
      </c>
      <c r="C2373" s="28" t="s">
        <v>77</v>
      </c>
      <c r="D2373" s="28" t="s">
        <v>77</v>
      </c>
      <c r="E2373" s="28" t="s">
        <v>77</v>
      </c>
      <c r="F2373" s="28" t="s">
        <v>77</v>
      </c>
      <c r="G2373" s="28" t="s">
        <v>77</v>
      </c>
      <c r="I2373" s="26" t="s">
        <v>77</v>
      </c>
      <c r="J2373" s="26" t="s">
        <v>77</v>
      </c>
      <c r="K2373" s="18"/>
      <c r="L2373" s="26" t="s">
        <v>77</v>
      </c>
      <c r="M2373" s="6" t="s">
        <v>77</v>
      </c>
      <c r="N2373" s="28" t="s">
        <v>77</v>
      </c>
      <c r="O2373" s="26" t="s">
        <v>77</v>
      </c>
    </row>
    <row r="2374">
      <c r="A2374" s="52" t="s">
        <v>77</v>
      </c>
      <c r="B2374" s="28" t="s">
        <v>77</v>
      </c>
      <c r="C2374" s="28" t="s">
        <v>77</v>
      </c>
      <c r="D2374" s="28" t="s">
        <v>77</v>
      </c>
      <c r="E2374" s="28" t="s">
        <v>77</v>
      </c>
      <c r="F2374" s="28" t="s">
        <v>77</v>
      </c>
      <c r="G2374" s="28" t="s">
        <v>77</v>
      </c>
      <c r="I2374" s="26" t="s">
        <v>77</v>
      </c>
      <c r="J2374" s="26" t="s">
        <v>77</v>
      </c>
      <c r="K2374" s="18"/>
      <c r="L2374" s="26" t="s">
        <v>77</v>
      </c>
      <c r="M2374" s="6" t="s">
        <v>77</v>
      </c>
      <c r="N2374" s="28" t="s">
        <v>77</v>
      </c>
      <c r="O2374" s="26" t="s">
        <v>77</v>
      </c>
    </row>
    <row r="2375">
      <c r="A2375" s="52" t="s">
        <v>77</v>
      </c>
      <c r="B2375" s="28" t="s">
        <v>77</v>
      </c>
      <c r="C2375" s="28" t="s">
        <v>77</v>
      </c>
      <c r="D2375" s="28" t="s">
        <v>77</v>
      </c>
      <c r="E2375" s="28" t="s">
        <v>77</v>
      </c>
      <c r="F2375" s="28" t="s">
        <v>77</v>
      </c>
      <c r="G2375" s="28" t="s">
        <v>77</v>
      </c>
      <c r="I2375" s="26" t="s">
        <v>77</v>
      </c>
      <c r="J2375" s="26" t="s">
        <v>77</v>
      </c>
      <c r="K2375" s="18"/>
      <c r="L2375" s="26" t="s">
        <v>77</v>
      </c>
      <c r="M2375" s="6" t="s">
        <v>77</v>
      </c>
      <c r="N2375" s="28" t="s">
        <v>77</v>
      </c>
      <c r="O2375" s="26" t="s">
        <v>77</v>
      </c>
    </row>
    <row r="2376">
      <c r="A2376" s="52" t="s">
        <v>77</v>
      </c>
      <c r="B2376" s="28" t="s">
        <v>77</v>
      </c>
      <c r="C2376" s="28" t="s">
        <v>77</v>
      </c>
      <c r="D2376" s="28" t="s">
        <v>77</v>
      </c>
      <c r="E2376" s="28" t="s">
        <v>77</v>
      </c>
      <c r="F2376" s="28" t="s">
        <v>77</v>
      </c>
      <c r="G2376" s="28" t="s">
        <v>77</v>
      </c>
      <c r="I2376" s="26" t="s">
        <v>77</v>
      </c>
      <c r="J2376" s="26" t="s">
        <v>77</v>
      </c>
      <c r="K2376" s="18"/>
      <c r="L2376" s="26" t="s">
        <v>77</v>
      </c>
      <c r="M2376" s="6" t="s">
        <v>77</v>
      </c>
      <c r="N2376" s="28" t="s">
        <v>77</v>
      </c>
      <c r="O2376" s="26" t="s">
        <v>77</v>
      </c>
    </row>
    <row r="2377">
      <c r="A2377" s="52" t="s">
        <v>77</v>
      </c>
      <c r="B2377" s="28" t="s">
        <v>77</v>
      </c>
      <c r="C2377" s="28" t="s">
        <v>77</v>
      </c>
      <c r="D2377" s="28" t="s">
        <v>77</v>
      </c>
      <c r="E2377" s="28" t="s">
        <v>77</v>
      </c>
      <c r="F2377" s="28" t="s">
        <v>77</v>
      </c>
      <c r="G2377" s="28" t="s">
        <v>77</v>
      </c>
      <c r="I2377" s="26" t="s">
        <v>77</v>
      </c>
      <c r="J2377" s="26" t="s">
        <v>77</v>
      </c>
      <c r="K2377" s="18"/>
      <c r="L2377" s="26" t="s">
        <v>77</v>
      </c>
      <c r="M2377" s="6" t="s">
        <v>77</v>
      </c>
      <c r="N2377" s="28" t="s">
        <v>77</v>
      </c>
      <c r="O2377" s="26" t="s">
        <v>77</v>
      </c>
    </row>
    <row r="2378">
      <c r="A2378" s="52" t="s">
        <v>77</v>
      </c>
      <c r="B2378" s="28" t="s">
        <v>77</v>
      </c>
      <c r="C2378" s="28" t="s">
        <v>77</v>
      </c>
      <c r="D2378" s="28" t="s">
        <v>77</v>
      </c>
      <c r="E2378" s="28" t="s">
        <v>77</v>
      </c>
      <c r="F2378" s="28" t="s">
        <v>77</v>
      </c>
      <c r="G2378" s="28" t="s">
        <v>77</v>
      </c>
      <c r="I2378" s="26" t="s">
        <v>77</v>
      </c>
      <c r="J2378" s="26" t="s">
        <v>77</v>
      </c>
      <c r="K2378" s="18"/>
      <c r="L2378" s="26" t="s">
        <v>77</v>
      </c>
      <c r="M2378" s="6" t="s">
        <v>77</v>
      </c>
      <c r="N2378" s="28" t="s">
        <v>77</v>
      </c>
      <c r="O2378" s="26" t="s">
        <v>77</v>
      </c>
    </row>
    <row r="2379">
      <c r="A2379" s="52" t="s">
        <v>77</v>
      </c>
      <c r="B2379" s="28" t="s">
        <v>77</v>
      </c>
      <c r="C2379" s="28" t="s">
        <v>77</v>
      </c>
      <c r="D2379" s="28" t="s">
        <v>77</v>
      </c>
      <c r="E2379" s="28" t="s">
        <v>77</v>
      </c>
      <c r="F2379" s="28" t="s">
        <v>77</v>
      </c>
      <c r="G2379" s="28" t="s">
        <v>77</v>
      </c>
      <c r="I2379" s="26" t="s">
        <v>77</v>
      </c>
      <c r="J2379" s="26" t="s">
        <v>77</v>
      </c>
      <c r="K2379" s="18"/>
      <c r="L2379" s="26" t="s">
        <v>77</v>
      </c>
      <c r="M2379" s="6" t="s">
        <v>77</v>
      </c>
      <c r="N2379" s="28" t="s">
        <v>77</v>
      </c>
      <c r="O2379" s="26" t="s">
        <v>77</v>
      </c>
    </row>
    <row r="2380">
      <c r="A2380" s="52" t="s">
        <v>77</v>
      </c>
      <c r="B2380" s="28" t="s">
        <v>77</v>
      </c>
      <c r="C2380" s="28" t="s">
        <v>77</v>
      </c>
      <c r="D2380" s="28" t="s">
        <v>77</v>
      </c>
      <c r="E2380" s="28" t="s">
        <v>77</v>
      </c>
      <c r="F2380" s="28" t="s">
        <v>77</v>
      </c>
      <c r="G2380" s="28" t="s">
        <v>77</v>
      </c>
      <c r="I2380" s="26" t="s">
        <v>77</v>
      </c>
      <c r="J2380" s="26" t="s">
        <v>77</v>
      </c>
      <c r="K2380" s="18"/>
      <c r="L2380" s="26" t="s">
        <v>77</v>
      </c>
      <c r="M2380" s="6" t="s">
        <v>77</v>
      </c>
      <c r="N2380" s="28" t="s">
        <v>77</v>
      </c>
      <c r="O2380" s="26" t="s">
        <v>77</v>
      </c>
    </row>
    <row r="2381">
      <c r="A2381" s="52" t="s">
        <v>77</v>
      </c>
      <c r="B2381" s="28" t="s">
        <v>77</v>
      </c>
      <c r="C2381" s="28" t="s">
        <v>77</v>
      </c>
      <c r="D2381" s="28" t="s">
        <v>77</v>
      </c>
      <c r="E2381" s="28" t="s">
        <v>77</v>
      </c>
      <c r="F2381" s="28" t="s">
        <v>77</v>
      </c>
      <c r="G2381" s="28" t="s">
        <v>77</v>
      </c>
      <c r="I2381" s="26" t="s">
        <v>77</v>
      </c>
      <c r="J2381" s="26" t="s">
        <v>77</v>
      </c>
      <c r="K2381" s="18"/>
      <c r="L2381" s="26" t="s">
        <v>77</v>
      </c>
      <c r="M2381" s="6" t="s">
        <v>77</v>
      </c>
      <c r="N2381" s="28" t="s">
        <v>77</v>
      </c>
      <c r="O2381" s="26" t="s">
        <v>77</v>
      </c>
    </row>
    <row r="2382">
      <c r="A2382" s="52" t="s">
        <v>77</v>
      </c>
      <c r="B2382" s="28" t="s">
        <v>77</v>
      </c>
      <c r="C2382" s="28" t="s">
        <v>77</v>
      </c>
      <c r="D2382" s="28" t="s">
        <v>77</v>
      </c>
      <c r="E2382" s="28" t="s">
        <v>77</v>
      </c>
      <c r="F2382" s="28" t="s">
        <v>77</v>
      </c>
      <c r="G2382" s="28" t="s">
        <v>77</v>
      </c>
      <c r="I2382" s="26" t="s">
        <v>77</v>
      </c>
      <c r="J2382" s="26" t="s">
        <v>77</v>
      </c>
      <c r="K2382" s="18"/>
      <c r="L2382" s="26" t="s">
        <v>77</v>
      </c>
      <c r="M2382" s="6" t="s">
        <v>77</v>
      </c>
      <c r="N2382" s="28" t="s">
        <v>77</v>
      </c>
      <c r="O2382" s="26" t="s">
        <v>77</v>
      </c>
    </row>
    <row r="2383">
      <c r="A2383" s="52" t="s">
        <v>77</v>
      </c>
      <c r="B2383" s="28" t="s">
        <v>77</v>
      </c>
      <c r="C2383" s="28" t="s">
        <v>77</v>
      </c>
      <c r="D2383" s="28" t="s">
        <v>77</v>
      </c>
      <c r="E2383" s="28" t="s">
        <v>77</v>
      </c>
      <c r="F2383" s="28" t="s">
        <v>77</v>
      </c>
      <c r="G2383" s="28" t="s">
        <v>77</v>
      </c>
      <c r="I2383" s="26" t="s">
        <v>77</v>
      </c>
      <c r="J2383" s="26" t="s">
        <v>77</v>
      </c>
      <c r="K2383" s="18"/>
      <c r="L2383" s="26" t="s">
        <v>77</v>
      </c>
      <c r="M2383" s="6" t="s">
        <v>77</v>
      </c>
      <c r="N2383" s="28" t="s">
        <v>77</v>
      </c>
      <c r="O2383" s="26" t="s">
        <v>77</v>
      </c>
    </row>
    <row r="2384">
      <c r="A2384" s="52" t="s">
        <v>77</v>
      </c>
      <c r="B2384" s="28" t="s">
        <v>77</v>
      </c>
      <c r="C2384" s="28" t="s">
        <v>77</v>
      </c>
      <c r="D2384" s="28" t="s">
        <v>77</v>
      </c>
      <c r="E2384" s="28" t="s">
        <v>77</v>
      </c>
      <c r="F2384" s="28" t="s">
        <v>77</v>
      </c>
      <c r="G2384" s="28" t="s">
        <v>77</v>
      </c>
      <c r="I2384" s="26" t="s">
        <v>77</v>
      </c>
      <c r="J2384" s="26" t="s">
        <v>77</v>
      </c>
      <c r="K2384" s="18"/>
      <c r="L2384" s="26" t="s">
        <v>77</v>
      </c>
      <c r="M2384" s="6" t="s">
        <v>77</v>
      </c>
      <c r="N2384" s="28" t="s">
        <v>77</v>
      </c>
      <c r="O2384" s="26" t="s">
        <v>77</v>
      </c>
    </row>
    <row r="2385">
      <c r="A2385" s="52" t="s">
        <v>77</v>
      </c>
      <c r="B2385" s="28" t="s">
        <v>77</v>
      </c>
      <c r="C2385" s="28" t="s">
        <v>77</v>
      </c>
      <c r="D2385" s="28" t="s">
        <v>77</v>
      </c>
      <c r="E2385" s="28" t="s">
        <v>77</v>
      </c>
      <c r="F2385" s="28" t="s">
        <v>77</v>
      </c>
      <c r="G2385" s="28" t="s">
        <v>77</v>
      </c>
      <c r="I2385" s="26" t="s">
        <v>77</v>
      </c>
      <c r="J2385" s="26" t="s">
        <v>77</v>
      </c>
      <c r="K2385" s="18"/>
      <c r="L2385" s="26" t="s">
        <v>77</v>
      </c>
      <c r="M2385" s="6" t="s">
        <v>77</v>
      </c>
      <c r="N2385" s="28" t="s">
        <v>77</v>
      </c>
      <c r="O2385" s="26" t="s">
        <v>77</v>
      </c>
    </row>
    <row r="2386">
      <c r="A2386" s="52" t="s">
        <v>77</v>
      </c>
      <c r="B2386" s="28" t="s">
        <v>77</v>
      </c>
      <c r="C2386" s="28" t="s">
        <v>77</v>
      </c>
      <c r="D2386" s="28" t="s">
        <v>77</v>
      </c>
      <c r="E2386" s="28" t="s">
        <v>77</v>
      </c>
      <c r="F2386" s="28" t="s">
        <v>77</v>
      </c>
      <c r="G2386" s="28" t="s">
        <v>77</v>
      </c>
      <c r="I2386" s="26" t="s">
        <v>77</v>
      </c>
      <c r="J2386" s="26" t="s">
        <v>77</v>
      </c>
      <c r="K2386" s="18"/>
      <c r="L2386" s="26" t="s">
        <v>77</v>
      </c>
      <c r="M2386" s="6" t="s">
        <v>77</v>
      </c>
      <c r="N2386" s="28" t="s">
        <v>77</v>
      </c>
      <c r="O2386" s="26" t="s">
        <v>77</v>
      </c>
    </row>
    <row r="2387">
      <c r="A2387" s="52" t="s">
        <v>77</v>
      </c>
      <c r="B2387" s="28" t="s">
        <v>77</v>
      </c>
      <c r="C2387" s="28" t="s">
        <v>77</v>
      </c>
      <c r="D2387" s="28" t="s">
        <v>77</v>
      </c>
      <c r="E2387" s="28" t="s">
        <v>77</v>
      </c>
      <c r="F2387" s="28" t="s">
        <v>77</v>
      </c>
      <c r="G2387" s="28" t="s">
        <v>77</v>
      </c>
      <c r="I2387" s="26" t="s">
        <v>77</v>
      </c>
      <c r="J2387" s="26" t="s">
        <v>77</v>
      </c>
      <c r="K2387" s="18"/>
      <c r="L2387" s="26" t="s">
        <v>77</v>
      </c>
      <c r="M2387" s="6" t="s">
        <v>77</v>
      </c>
      <c r="N2387" s="28" t="s">
        <v>77</v>
      </c>
      <c r="O2387" s="26" t="s">
        <v>77</v>
      </c>
    </row>
    <row r="2388">
      <c r="A2388" s="52" t="s">
        <v>77</v>
      </c>
      <c r="B2388" s="28" t="s">
        <v>77</v>
      </c>
      <c r="C2388" s="28" t="s">
        <v>77</v>
      </c>
      <c r="D2388" s="28" t="s">
        <v>77</v>
      </c>
      <c r="E2388" s="28" t="s">
        <v>77</v>
      </c>
      <c r="F2388" s="28" t="s">
        <v>77</v>
      </c>
      <c r="G2388" s="28" t="s">
        <v>77</v>
      </c>
      <c r="I2388" s="26" t="s">
        <v>77</v>
      </c>
      <c r="J2388" s="26" t="s">
        <v>77</v>
      </c>
      <c r="K2388" s="18"/>
      <c r="L2388" s="26" t="s">
        <v>77</v>
      </c>
      <c r="M2388" s="6" t="s">
        <v>77</v>
      </c>
      <c r="N2388" s="28" t="s">
        <v>77</v>
      </c>
      <c r="O2388" s="26" t="s">
        <v>77</v>
      </c>
    </row>
    <row r="2389">
      <c r="A2389" s="52" t="s">
        <v>77</v>
      </c>
      <c r="B2389" s="28" t="s">
        <v>77</v>
      </c>
      <c r="C2389" s="28" t="s">
        <v>77</v>
      </c>
      <c r="D2389" s="28" t="s">
        <v>77</v>
      </c>
      <c r="E2389" s="28" t="s">
        <v>77</v>
      </c>
      <c r="F2389" s="28" t="s">
        <v>77</v>
      </c>
      <c r="G2389" s="28" t="s">
        <v>77</v>
      </c>
      <c r="I2389" s="26" t="s">
        <v>77</v>
      </c>
      <c r="J2389" s="26" t="s">
        <v>77</v>
      </c>
      <c r="K2389" s="18"/>
      <c r="L2389" s="26" t="s">
        <v>77</v>
      </c>
      <c r="M2389" s="6" t="s">
        <v>77</v>
      </c>
      <c r="N2389" s="28" t="s">
        <v>77</v>
      </c>
      <c r="O2389" s="26" t="s">
        <v>77</v>
      </c>
    </row>
    <row r="2390">
      <c r="A2390" s="52" t="s">
        <v>77</v>
      </c>
      <c r="B2390" s="28" t="s">
        <v>77</v>
      </c>
      <c r="C2390" s="28" t="s">
        <v>77</v>
      </c>
      <c r="D2390" s="28" t="s">
        <v>77</v>
      </c>
      <c r="E2390" s="28" t="s">
        <v>77</v>
      </c>
      <c r="F2390" s="28" t="s">
        <v>77</v>
      </c>
      <c r="G2390" s="28" t="s">
        <v>77</v>
      </c>
      <c r="I2390" s="26" t="s">
        <v>77</v>
      </c>
      <c r="J2390" s="26" t="s">
        <v>77</v>
      </c>
      <c r="K2390" s="18"/>
      <c r="L2390" s="26" t="s">
        <v>77</v>
      </c>
      <c r="M2390" s="6" t="s">
        <v>77</v>
      </c>
      <c r="N2390" s="28" t="s">
        <v>77</v>
      </c>
      <c r="O2390" s="26" t="s">
        <v>77</v>
      </c>
    </row>
    <row r="2391">
      <c r="A2391" s="52" t="s">
        <v>77</v>
      </c>
      <c r="B2391" s="28" t="s">
        <v>77</v>
      </c>
      <c r="C2391" s="28" t="s">
        <v>77</v>
      </c>
      <c r="D2391" s="28" t="s">
        <v>77</v>
      </c>
      <c r="E2391" s="28" t="s">
        <v>77</v>
      </c>
      <c r="F2391" s="28" t="s">
        <v>77</v>
      </c>
      <c r="G2391" s="28" t="s">
        <v>77</v>
      </c>
      <c r="I2391" s="26" t="s">
        <v>77</v>
      </c>
      <c r="J2391" s="26" t="s">
        <v>77</v>
      </c>
      <c r="K2391" s="18"/>
      <c r="L2391" s="26" t="s">
        <v>77</v>
      </c>
      <c r="M2391" s="6" t="s">
        <v>77</v>
      </c>
      <c r="N2391" s="28" t="s">
        <v>77</v>
      </c>
      <c r="O2391" s="26" t="s">
        <v>77</v>
      </c>
    </row>
    <row r="2392">
      <c r="A2392" s="52" t="s">
        <v>77</v>
      </c>
      <c r="B2392" s="28" t="s">
        <v>77</v>
      </c>
      <c r="C2392" s="28" t="s">
        <v>77</v>
      </c>
      <c r="D2392" s="28" t="s">
        <v>77</v>
      </c>
      <c r="E2392" s="28" t="s">
        <v>77</v>
      </c>
      <c r="F2392" s="28" t="s">
        <v>77</v>
      </c>
      <c r="G2392" s="28" t="s">
        <v>77</v>
      </c>
      <c r="I2392" s="26" t="s">
        <v>77</v>
      </c>
      <c r="J2392" s="26" t="s">
        <v>77</v>
      </c>
      <c r="K2392" s="18"/>
      <c r="L2392" s="26" t="s">
        <v>77</v>
      </c>
      <c r="M2392" s="6" t="s">
        <v>77</v>
      </c>
      <c r="N2392" s="28" t="s">
        <v>77</v>
      </c>
      <c r="O2392" s="26" t="s">
        <v>77</v>
      </c>
    </row>
    <row r="2393">
      <c r="A2393" s="52" t="s">
        <v>77</v>
      </c>
      <c r="B2393" s="28" t="s">
        <v>77</v>
      </c>
      <c r="C2393" s="28" t="s">
        <v>77</v>
      </c>
      <c r="D2393" s="28" t="s">
        <v>77</v>
      </c>
      <c r="E2393" s="28" t="s">
        <v>77</v>
      </c>
      <c r="F2393" s="28" t="s">
        <v>77</v>
      </c>
      <c r="G2393" s="28" t="s">
        <v>77</v>
      </c>
      <c r="I2393" s="26" t="s">
        <v>77</v>
      </c>
      <c r="J2393" s="26" t="s">
        <v>77</v>
      </c>
      <c r="K2393" s="18"/>
      <c r="L2393" s="26" t="s">
        <v>77</v>
      </c>
      <c r="M2393" s="6" t="s">
        <v>77</v>
      </c>
      <c r="N2393" s="28" t="s">
        <v>77</v>
      </c>
      <c r="O2393" s="26" t="s">
        <v>77</v>
      </c>
    </row>
    <row r="2394">
      <c r="A2394" s="52" t="s">
        <v>77</v>
      </c>
      <c r="B2394" s="28" t="s">
        <v>77</v>
      </c>
      <c r="C2394" s="28" t="s">
        <v>77</v>
      </c>
      <c r="D2394" s="28" t="s">
        <v>77</v>
      </c>
      <c r="E2394" s="28" t="s">
        <v>77</v>
      </c>
      <c r="F2394" s="28" t="s">
        <v>77</v>
      </c>
      <c r="G2394" s="28" t="s">
        <v>77</v>
      </c>
      <c r="I2394" s="26" t="s">
        <v>77</v>
      </c>
      <c r="J2394" s="26" t="s">
        <v>77</v>
      </c>
      <c r="K2394" s="18"/>
      <c r="L2394" s="26" t="s">
        <v>77</v>
      </c>
      <c r="M2394" s="6" t="s">
        <v>77</v>
      </c>
      <c r="N2394" s="28" t="s">
        <v>77</v>
      </c>
      <c r="O2394" s="26" t="s">
        <v>77</v>
      </c>
    </row>
    <row r="2395">
      <c r="A2395" s="52" t="s">
        <v>77</v>
      </c>
      <c r="B2395" s="28" t="s">
        <v>77</v>
      </c>
      <c r="C2395" s="28" t="s">
        <v>77</v>
      </c>
      <c r="D2395" s="28" t="s">
        <v>77</v>
      </c>
      <c r="E2395" s="28" t="s">
        <v>77</v>
      </c>
      <c r="F2395" s="28" t="s">
        <v>77</v>
      </c>
      <c r="G2395" s="28" t="s">
        <v>77</v>
      </c>
      <c r="I2395" s="26" t="s">
        <v>77</v>
      </c>
      <c r="J2395" s="26" t="s">
        <v>77</v>
      </c>
      <c r="K2395" s="18"/>
      <c r="L2395" s="26" t="s">
        <v>77</v>
      </c>
      <c r="M2395" s="6" t="s">
        <v>77</v>
      </c>
      <c r="N2395" s="28" t="s">
        <v>77</v>
      </c>
      <c r="O2395" s="26" t="s">
        <v>77</v>
      </c>
    </row>
    <row r="2396">
      <c r="A2396" s="52" t="s">
        <v>77</v>
      </c>
      <c r="B2396" s="28" t="s">
        <v>77</v>
      </c>
      <c r="C2396" s="28" t="s">
        <v>77</v>
      </c>
      <c r="D2396" s="28" t="s">
        <v>77</v>
      </c>
      <c r="E2396" s="28" t="s">
        <v>77</v>
      </c>
      <c r="F2396" s="28" t="s">
        <v>77</v>
      </c>
      <c r="G2396" s="28" t="s">
        <v>77</v>
      </c>
      <c r="I2396" s="26" t="s">
        <v>77</v>
      </c>
      <c r="J2396" s="26" t="s">
        <v>77</v>
      </c>
      <c r="K2396" s="18"/>
      <c r="L2396" s="26" t="s">
        <v>77</v>
      </c>
      <c r="M2396" s="6" t="s">
        <v>77</v>
      </c>
      <c r="N2396" s="28" t="s">
        <v>77</v>
      </c>
      <c r="O2396" s="26" t="s">
        <v>77</v>
      </c>
    </row>
    <row r="2397">
      <c r="A2397" s="52" t="s">
        <v>77</v>
      </c>
      <c r="B2397" s="28" t="s">
        <v>77</v>
      </c>
      <c r="C2397" s="28" t="s">
        <v>77</v>
      </c>
      <c r="D2397" s="28" t="s">
        <v>77</v>
      </c>
      <c r="E2397" s="28" t="s">
        <v>77</v>
      </c>
      <c r="F2397" s="28" t="s">
        <v>77</v>
      </c>
      <c r="G2397" s="28" t="s">
        <v>77</v>
      </c>
      <c r="I2397" s="26" t="s">
        <v>77</v>
      </c>
      <c r="J2397" s="26" t="s">
        <v>77</v>
      </c>
      <c r="K2397" s="18"/>
      <c r="L2397" s="26" t="s">
        <v>77</v>
      </c>
      <c r="M2397" s="6" t="s">
        <v>77</v>
      </c>
      <c r="N2397" s="28" t="s">
        <v>77</v>
      </c>
      <c r="O2397" s="26" t="s">
        <v>77</v>
      </c>
    </row>
    <row r="2398">
      <c r="A2398" s="52" t="s">
        <v>77</v>
      </c>
      <c r="B2398" s="28" t="s">
        <v>77</v>
      </c>
      <c r="C2398" s="28" t="s">
        <v>77</v>
      </c>
      <c r="D2398" s="28" t="s">
        <v>77</v>
      </c>
      <c r="E2398" s="28" t="s">
        <v>77</v>
      </c>
      <c r="F2398" s="28" t="s">
        <v>77</v>
      </c>
      <c r="G2398" s="28" t="s">
        <v>77</v>
      </c>
      <c r="I2398" s="26" t="s">
        <v>77</v>
      </c>
      <c r="J2398" s="26" t="s">
        <v>77</v>
      </c>
      <c r="K2398" s="18"/>
      <c r="L2398" s="26" t="s">
        <v>77</v>
      </c>
      <c r="M2398" s="6" t="s">
        <v>77</v>
      </c>
      <c r="N2398" s="28" t="s">
        <v>77</v>
      </c>
      <c r="O2398" s="26" t="s">
        <v>77</v>
      </c>
    </row>
    <row r="2399">
      <c r="A2399" s="52" t="s">
        <v>77</v>
      </c>
      <c r="B2399" s="28" t="s">
        <v>77</v>
      </c>
      <c r="C2399" s="28" t="s">
        <v>77</v>
      </c>
      <c r="D2399" s="28" t="s">
        <v>77</v>
      </c>
      <c r="E2399" s="28" t="s">
        <v>77</v>
      </c>
      <c r="F2399" s="28" t="s">
        <v>77</v>
      </c>
      <c r="G2399" s="28" t="s">
        <v>77</v>
      </c>
      <c r="I2399" s="26" t="s">
        <v>77</v>
      </c>
      <c r="J2399" s="26" t="s">
        <v>77</v>
      </c>
      <c r="K2399" s="18"/>
      <c r="L2399" s="26" t="s">
        <v>77</v>
      </c>
      <c r="M2399" s="6" t="s">
        <v>77</v>
      </c>
      <c r="N2399" s="28" t="s">
        <v>77</v>
      </c>
      <c r="O2399" s="26" t="s">
        <v>77</v>
      </c>
    </row>
    <row r="2400">
      <c r="A2400" s="52" t="s">
        <v>77</v>
      </c>
      <c r="B2400" s="28" t="s">
        <v>77</v>
      </c>
      <c r="C2400" s="28" t="s">
        <v>77</v>
      </c>
      <c r="D2400" s="28" t="s">
        <v>77</v>
      </c>
      <c r="E2400" s="28" t="s">
        <v>77</v>
      </c>
      <c r="F2400" s="28" t="s">
        <v>77</v>
      </c>
      <c r="G2400" s="28" t="s">
        <v>77</v>
      </c>
      <c r="I2400" s="26" t="s">
        <v>77</v>
      </c>
      <c r="J2400" s="26" t="s">
        <v>77</v>
      </c>
      <c r="K2400" s="18"/>
      <c r="L2400" s="26" t="s">
        <v>77</v>
      </c>
      <c r="M2400" s="6" t="s">
        <v>77</v>
      </c>
      <c r="N2400" s="28" t="s">
        <v>77</v>
      </c>
      <c r="O2400" s="26" t="s">
        <v>77</v>
      </c>
    </row>
    <row r="2401">
      <c r="A2401" s="52" t="s">
        <v>77</v>
      </c>
      <c r="B2401" s="28" t="s">
        <v>77</v>
      </c>
      <c r="C2401" s="28" t="s">
        <v>77</v>
      </c>
      <c r="D2401" s="28" t="s">
        <v>77</v>
      </c>
      <c r="E2401" s="28" t="s">
        <v>77</v>
      </c>
      <c r="F2401" s="28" t="s">
        <v>77</v>
      </c>
      <c r="G2401" s="28" t="s">
        <v>77</v>
      </c>
      <c r="I2401" s="26" t="s">
        <v>77</v>
      </c>
      <c r="J2401" s="26" t="s">
        <v>77</v>
      </c>
      <c r="K2401" s="18"/>
      <c r="L2401" s="26" t="s">
        <v>77</v>
      </c>
      <c r="M2401" s="6" t="s">
        <v>77</v>
      </c>
      <c r="N2401" s="28" t="s">
        <v>77</v>
      </c>
      <c r="O2401" s="26" t="s">
        <v>77</v>
      </c>
    </row>
    <row r="2402">
      <c r="A2402" s="52" t="s">
        <v>77</v>
      </c>
      <c r="B2402" s="28" t="s">
        <v>77</v>
      </c>
      <c r="C2402" s="28" t="s">
        <v>77</v>
      </c>
      <c r="D2402" s="28" t="s">
        <v>77</v>
      </c>
      <c r="E2402" s="28" t="s">
        <v>77</v>
      </c>
      <c r="F2402" s="28" t="s">
        <v>77</v>
      </c>
      <c r="G2402" s="28" t="s">
        <v>77</v>
      </c>
      <c r="I2402" s="26" t="s">
        <v>77</v>
      </c>
      <c r="J2402" s="26" t="s">
        <v>77</v>
      </c>
      <c r="K2402" s="18"/>
      <c r="L2402" s="26" t="s">
        <v>77</v>
      </c>
      <c r="M2402" s="6" t="s">
        <v>77</v>
      </c>
      <c r="N2402" s="28" t="s">
        <v>77</v>
      </c>
      <c r="O2402" s="26" t="s">
        <v>77</v>
      </c>
    </row>
    <row r="2403">
      <c r="A2403" s="52" t="s">
        <v>77</v>
      </c>
      <c r="B2403" s="28" t="s">
        <v>77</v>
      </c>
      <c r="C2403" s="28" t="s">
        <v>77</v>
      </c>
      <c r="D2403" s="28" t="s">
        <v>77</v>
      </c>
      <c r="E2403" s="28" t="s">
        <v>77</v>
      </c>
      <c r="F2403" s="28" t="s">
        <v>77</v>
      </c>
      <c r="G2403" s="28" t="s">
        <v>77</v>
      </c>
      <c r="I2403" s="26" t="s">
        <v>77</v>
      </c>
      <c r="J2403" s="26" t="s">
        <v>77</v>
      </c>
      <c r="K2403" s="18"/>
      <c r="L2403" s="26" t="s">
        <v>77</v>
      </c>
      <c r="M2403" s="6" t="s">
        <v>77</v>
      </c>
      <c r="N2403" s="28" t="s">
        <v>77</v>
      </c>
      <c r="O2403" s="26" t="s">
        <v>77</v>
      </c>
    </row>
    <row r="2404">
      <c r="A2404" s="52" t="s">
        <v>77</v>
      </c>
      <c r="B2404" s="28" t="s">
        <v>77</v>
      </c>
      <c r="C2404" s="28" t="s">
        <v>77</v>
      </c>
      <c r="D2404" s="28" t="s">
        <v>77</v>
      </c>
      <c r="E2404" s="28" t="s">
        <v>77</v>
      </c>
      <c r="F2404" s="28" t="s">
        <v>77</v>
      </c>
      <c r="G2404" s="28" t="s">
        <v>77</v>
      </c>
      <c r="I2404" s="26" t="s">
        <v>77</v>
      </c>
      <c r="J2404" s="26" t="s">
        <v>77</v>
      </c>
      <c r="K2404" s="18"/>
      <c r="L2404" s="26" t="s">
        <v>77</v>
      </c>
      <c r="M2404" s="6" t="s">
        <v>77</v>
      </c>
      <c r="N2404" s="28" t="s">
        <v>77</v>
      </c>
      <c r="O2404" s="26" t="s">
        <v>77</v>
      </c>
    </row>
    <row r="2405">
      <c r="A2405" s="52" t="s">
        <v>77</v>
      </c>
      <c r="B2405" s="28" t="s">
        <v>77</v>
      </c>
      <c r="C2405" s="28" t="s">
        <v>77</v>
      </c>
      <c r="D2405" s="28" t="s">
        <v>77</v>
      </c>
      <c r="E2405" s="28" t="s">
        <v>77</v>
      </c>
      <c r="F2405" s="28" t="s">
        <v>77</v>
      </c>
      <c r="G2405" s="28" t="s">
        <v>77</v>
      </c>
      <c r="I2405" s="26" t="s">
        <v>77</v>
      </c>
      <c r="J2405" s="26" t="s">
        <v>77</v>
      </c>
      <c r="K2405" s="18"/>
      <c r="L2405" s="26" t="s">
        <v>77</v>
      </c>
      <c r="M2405" s="6" t="s">
        <v>77</v>
      </c>
      <c r="N2405" s="28" t="s">
        <v>77</v>
      </c>
      <c r="O2405" s="26" t="s">
        <v>77</v>
      </c>
    </row>
    <row r="2406">
      <c r="A2406" s="52" t="s">
        <v>77</v>
      </c>
      <c r="B2406" s="28" t="s">
        <v>77</v>
      </c>
      <c r="C2406" s="28" t="s">
        <v>77</v>
      </c>
      <c r="D2406" s="28" t="s">
        <v>77</v>
      </c>
      <c r="E2406" s="28" t="s">
        <v>77</v>
      </c>
      <c r="F2406" s="28" t="s">
        <v>77</v>
      </c>
      <c r="G2406" s="28" t="s">
        <v>77</v>
      </c>
      <c r="I2406" s="26" t="s">
        <v>77</v>
      </c>
      <c r="J2406" s="26" t="s">
        <v>77</v>
      </c>
      <c r="K2406" s="18"/>
      <c r="L2406" s="26" t="s">
        <v>77</v>
      </c>
      <c r="M2406" s="6" t="s">
        <v>77</v>
      </c>
      <c r="N2406" s="28" t="s">
        <v>77</v>
      </c>
      <c r="O2406" s="26" t="s">
        <v>77</v>
      </c>
    </row>
    <row r="2407">
      <c r="A2407" s="52" t="s">
        <v>77</v>
      </c>
      <c r="B2407" s="28" t="s">
        <v>77</v>
      </c>
      <c r="C2407" s="28" t="s">
        <v>77</v>
      </c>
      <c r="D2407" s="28" t="s">
        <v>77</v>
      </c>
      <c r="E2407" s="28" t="s">
        <v>77</v>
      </c>
      <c r="F2407" s="28" t="s">
        <v>77</v>
      </c>
      <c r="G2407" s="28" t="s">
        <v>77</v>
      </c>
      <c r="I2407" s="26" t="s">
        <v>77</v>
      </c>
      <c r="J2407" s="26" t="s">
        <v>77</v>
      </c>
      <c r="K2407" s="18"/>
      <c r="L2407" s="26" t="s">
        <v>77</v>
      </c>
      <c r="M2407" s="6" t="s">
        <v>77</v>
      </c>
      <c r="N2407" s="28" t="s">
        <v>77</v>
      </c>
      <c r="O2407" s="26" t="s">
        <v>77</v>
      </c>
    </row>
    <row r="2408">
      <c r="A2408" s="52" t="s">
        <v>77</v>
      </c>
      <c r="B2408" s="28" t="s">
        <v>77</v>
      </c>
      <c r="C2408" s="28" t="s">
        <v>77</v>
      </c>
      <c r="D2408" s="28" t="s">
        <v>77</v>
      </c>
      <c r="E2408" s="28" t="s">
        <v>77</v>
      </c>
      <c r="F2408" s="28" t="s">
        <v>77</v>
      </c>
      <c r="G2408" s="28" t="s">
        <v>77</v>
      </c>
      <c r="I2408" s="26" t="s">
        <v>77</v>
      </c>
      <c r="J2408" s="26" t="s">
        <v>77</v>
      </c>
      <c r="K2408" s="18"/>
      <c r="L2408" s="26" t="s">
        <v>77</v>
      </c>
      <c r="M2408" s="6" t="s">
        <v>77</v>
      </c>
      <c r="N2408" s="28" t="s">
        <v>77</v>
      </c>
      <c r="O2408" s="26" t="s">
        <v>77</v>
      </c>
    </row>
    <row r="2409">
      <c r="A2409" s="52" t="s">
        <v>77</v>
      </c>
      <c r="B2409" s="28" t="s">
        <v>77</v>
      </c>
      <c r="C2409" s="28" t="s">
        <v>77</v>
      </c>
      <c r="D2409" s="28" t="s">
        <v>77</v>
      </c>
      <c r="E2409" s="28" t="s">
        <v>77</v>
      </c>
      <c r="F2409" s="28" t="s">
        <v>77</v>
      </c>
      <c r="G2409" s="28" t="s">
        <v>77</v>
      </c>
      <c r="I2409" s="26" t="s">
        <v>77</v>
      </c>
      <c r="J2409" s="26" t="s">
        <v>77</v>
      </c>
      <c r="K2409" s="18"/>
      <c r="L2409" s="26" t="s">
        <v>77</v>
      </c>
      <c r="M2409" s="6" t="s">
        <v>77</v>
      </c>
      <c r="N2409" s="28" t="s">
        <v>77</v>
      </c>
      <c r="O2409" s="26" t="s">
        <v>77</v>
      </c>
    </row>
    <row r="2410">
      <c r="A2410" s="52" t="s">
        <v>77</v>
      </c>
      <c r="B2410" s="28" t="s">
        <v>77</v>
      </c>
      <c r="C2410" s="28" t="s">
        <v>77</v>
      </c>
      <c r="D2410" s="28" t="s">
        <v>77</v>
      </c>
      <c r="E2410" s="28" t="s">
        <v>77</v>
      </c>
      <c r="F2410" s="28" t="s">
        <v>77</v>
      </c>
      <c r="G2410" s="28" t="s">
        <v>77</v>
      </c>
      <c r="I2410" s="26" t="s">
        <v>77</v>
      </c>
      <c r="J2410" s="26" t="s">
        <v>77</v>
      </c>
      <c r="K2410" s="18"/>
      <c r="L2410" s="26" t="s">
        <v>77</v>
      </c>
      <c r="M2410" s="6" t="s">
        <v>77</v>
      </c>
      <c r="N2410" s="28" t="s">
        <v>77</v>
      </c>
      <c r="O2410" s="26" t="s">
        <v>77</v>
      </c>
    </row>
    <row r="2411">
      <c r="A2411" s="52" t="s">
        <v>77</v>
      </c>
      <c r="B2411" s="28" t="s">
        <v>77</v>
      </c>
      <c r="C2411" s="28" t="s">
        <v>77</v>
      </c>
      <c r="D2411" s="28" t="s">
        <v>77</v>
      </c>
      <c r="E2411" s="28" t="s">
        <v>77</v>
      </c>
      <c r="F2411" s="28" t="s">
        <v>77</v>
      </c>
      <c r="G2411" s="28" t="s">
        <v>77</v>
      </c>
      <c r="I2411" s="26" t="s">
        <v>77</v>
      </c>
      <c r="J2411" s="26" t="s">
        <v>77</v>
      </c>
      <c r="K2411" s="18"/>
      <c r="L2411" s="26" t="s">
        <v>77</v>
      </c>
      <c r="M2411" s="6" t="s">
        <v>77</v>
      </c>
      <c r="N2411" s="28" t="s">
        <v>77</v>
      </c>
      <c r="O2411" s="26" t="s">
        <v>77</v>
      </c>
    </row>
    <row r="2412">
      <c r="A2412" s="52" t="s">
        <v>77</v>
      </c>
      <c r="B2412" s="28" t="s">
        <v>77</v>
      </c>
      <c r="C2412" s="28" t="s">
        <v>77</v>
      </c>
      <c r="D2412" s="28" t="s">
        <v>77</v>
      </c>
      <c r="E2412" s="28" t="s">
        <v>77</v>
      </c>
      <c r="F2412" s="28" t="s">
        <v>77</v>
      </c>
      <c r="G2412" s="28" t="s">
        <v>77</v>
      </c>
      <c r="I2412" s="26" t="s">
        <v>77</v>
      </c>
      <c r="J2412" s="26" t="s">
        <v>77</v>
      </c>
      <c r="K2412" s="18"/>
      <c r="L2412" s="26" t="s">
        <v>77</v>
      </c>
      <c r="M2412" s="6" t="s">
        <v>77</v>
      </c>
      <c r="N2412" s="28" t="s">
        <v>77</v>
      </c>
      <c r="O2412" s="26" t="s">
        <v>77</v>
      </c>
    </row>
    <row r="2413">
      <c r="A2413" s="52" t="s">
        <v>77</v>
      </c>
      <c r="B2413" s="28" t="s">
        <v>77</v>
      </c>
      <c r="C2413" s="28" t="s">
        <v>77</v>
      </c>
      <c r="D2413" s="28" t="s">
        <v>77</v>
      </c>
      <c r="E2413" s="28" t="s">
        <v>77</v>
      </c>
      <c r="F2413" s="28" t="s">
        <v>77</v>
      </c>
      <c r="G2413" s="28" t="s">
        <v>77</v>
      </c>
      <c r="I2413" s="26" t="s">
        <v>77</v>
      </c>
      <c r="J2413" s="26" t="s">
        <v>77</v>
      </c>
      <c r="K2413" s="18"/>
      <c r="L2413" s="26" t="s">
        <v>77</v>
      </c>
      <c r="M2413" s="6" t="s">
        <v>77</v>
      </c>
      <c r="N2413" s="28" t="s">
        <v>77</v>
      </c>
      <c r="O2413" s="26" t="s">
        <v>77</v>
      </c>
    </row>
    <row r="2414">
      <c r="A2414" s="52" t="s">
        <v>77</v>
      </c>
      <c r="B2414" s="28" t="s">
        <v>77</v>
      </c>
      <c r="C2414" s="28" t="s">
        <v>77</v>
      </c>
      <c r="D2414" s="28" t="s">
        <v>77</v>
      </c>
      <c r="E2414" s="28" t="s">
        <v>77</v>
      </c>
      <c r="F2414" s="28" t="s">
        <v>77</v>
      </c>
      <c r="G2414" s="28" t="s">
        <v>77</v>
      </c>
      <c r="I2414" s="26" t="s">
        <v>77</v>
      </c>
      <c r="J2414" s="26" t="s">
        <v>77</v>
      </c>
      <c r="K2414" s="18"/>
      <c r="L2414" s="26" t="s">
        <v>77</v>
      </c>
      <c r="M2414" s="6" t="s">
        <v>77</v>
      </c>
      <c r="N2414" s="28" t="s">
        <v>77</v>
      </c>
      <c r="O2414" s="26" t="s">
        <v>77</v>
      </c>
    </row>
    <row r="2415">
      <c r="A2415" s="52" t="s">
        <v>77</v>
      </c>
      <c r="B2415" s="28" t="s">
        <v>77</v>
      </c>
      <c r="C2415" s="28" t="s">
        <v>77</v>
      </c>
      <c r="D2415" s="28" t="s">
        <v>77</v>
      </c>
      <c r="E2415" s="28" t="s">
        <v>77</v>
      </c>
      <c r="F2415" s="28" t="s">
        <v>77</v>
      </c>
      <c r="G2415" s="28" t="s">
        <v>77</v>
      </c>
      <c r="I2415" s="26" t="s">
        <v>77</v>
      </c>
      <c r="J2415" s="26" t="s">
        <v>77</v>
      </c>
      <c r="K2415" s="18"/>
      <c r="L2415" s="26" t="s">
        <v>77</v>
      </c>
      <c r="M2415" s="6" t="s">
        <v>77</v>
      </c>
      <c r="N2415" s="28" t="s">
        <v>77</v>
      </c>
      <c r="O2415" s="26" t="s">
        <v>77</v>
      </c>
    </row>
    <row r="2416">
      <c r="A2416" s="52" t="s">
        <v>77</v>
      </c>
      <c r="B2416" s="28" t="s">
        <v>77</v>
      </c>
      <c r="C2416" s="28" t="s">
        <v>77</v>
      </c>
      <c r="D2416" s="28" t="s">
        <v>77</v>
      </c>
      <c r="E2416" s="28" t="s">
        <v>77</v>
      </c>
      <c r="F2416" s="28" t="s">
        <v>77</v>
      </c>
      <c r="G2416" s="28" t="s">
        <v>77</v>
      </c>
      <c r="I2416" s="26" t="s">
        <v>77</v>
      </c>
      <c r="J2416" s="26" t="s">
        <v>77</v>
      </c>
      <c r="K2416" s="18"/>
      <c r="L2416" s="26" t="s">
        <v>77</v>
      </c>
      <c r="M2416" s="6" t="s">
        <v>77</v>
      </c>
      <c r="N2416" s="28" t="s">
        <v>77</v>
      </c>
      <c r="O2416" s="26" t="s">
        <v>77</v>
      </c>
    </row>
    <row r="2417">
      <c r="A2417" s="52" t="s">
        <v>77</v>
      </c>
      <c r="B2417" s="28" t="s">
        <v>77</v>
      </c>
      <c r="C2417" s="28" t="s">
        <v>77</v>
      </c>
      <c r="D2417" s="28" t="s">
        <v>77</v>
      </c>
      <c r="E2417" s="28" t="s">
        <v>77</v>
      </c>
      <c r="F2417" s="28" t="s">
        <v>77</v>
      </c>
      <c r="G2417" s="28" t="s">
        <v>77</v>
      </c>
      <c r="I2417" s="26" t="s">
        <v>77</v>
      </c>
      <c r="J2417" s="26" t="s">
        <v>77</v>
      </c>
      <c r="K2417" s="18"/>
      <c r="L2417" s="26" t="s">
        <v>77</v>
      </c>
      <c r="M2417" s="6" t="s">
        <v>77</v>
      </c>
      <c r="N2417" s="28" t="s">
        <v>77</v>
      </c>
      <c r="O2417" s="26" t="s">
        <v>77</v>
      </c>
    </row>
    <row r="2418">
      <c r="A2418" s="52" t="s">
        <v>77</v>
      </c>
      <c r="B2418" s="28" t="s">
        <v>77</v>
      </c>
      <c r="C2418" s="28" t="s">
        <v>77</v>
      </c>
      <c r="D2418" s="28" t="s">
        <v>77</v>
      </c>
      <c r="E2418" s="28" t="s">
        <v>77</v>
      </c>
      <c r="F2418" s="28" t="s">
        <v>77</v>
      </c>
      <c r="G2418" s="28" t="s">
        <v>77</v>
      </c>
      <c r="I2418" s="26" t="s">
        <v>77</v>
      </c>
      <c r="J2418" s="26" t="s">
        <v>77</v>
      </c>
      <c r="K2418" s="18"/>
      <c r="L2418" s="26" t="s">
        <v>77</v>
      </c>
      <c r="M2418" s="6" t="s">
        <v>77</v>
      </c>
      <c r="N2418" s="28" t="s">
        <v>77</v>
      </c>
      <c r="O2418" s="26" t="s">
        <v>77</v>
      </c>
    </row>
    <row r="2419">
      <c r="A2419" s="52" t="s">
        <v>77</v>
      </c>
      <c r="B2419" s="28" t="s">
        <v>77</v>
      </c>
      <c r="C2419" s="28" t="s">
        <v>77</v>
      </c>
      <c r="D2419" s="28" t="s">
        <v>77</v>
      </c>
      <c r="E2419" s="28" t="s">
        <v>77</v>
      </c>
      <c r="F2419" s="28" t="s">
        <v>77</v>
      </c>
      <c r="G2419" s="28" t="s">
        <v>77</v>
      </c>
      <c r="I2419" s="26" t="s">
        <v>77</v>
      </c>
      <c r="J2419" s="26" t="s">
        <v>77</v>
      </c>
      <c r="K2419" s="18"/>
      <c r="L2419" s="26" t="s">
        <v>77</v>
      </c>
      <c r="M2419" s="6" t="s">
        <v>77</v>
      </c>
      <c r="N2419" s="28" t="s">
        <v>77</v>
      </c>
      <c r="O2419" s="26" t="s">
        <v>77</v>
      </c>
    </row>
    <row r="2420">
      <c r="A2420" s="52" t="s">
        <v>77</v>
      </c>
      <c r="B2420" s="28" t="s">
        <v>77</v>
      </c>
      <c r="C2420" s="28" t="s">
        <v>77</v>
      </c>
      <c r="D2420" s="28" t="s">
        <v>77</v>
      </c>
      <c r="E2420" s="28" t="s">
        <v>77</v>
      </c>
      <c r="F2420" s="28" t="s">
        <v>77</v>
      </c>
      <c r="G2420" s="28" t="s">
        <v>77</v>
      </c>
      <c r="I2420" s="26" t="s">
        <v>77</v>
      </c>
      <c r="J2420" s="26" t="s">
        <v>77</v>
      </c>
      <c r="K2420" s="18"/>
      <c r="L2420" s="26" t="s">
        <v>77</v>
      </c>
      <c r="M2420" s="6" t="s">
        <v>77</v>
      </c>
      <c r="N2420" s="28" t="s">
        <v>77</v>
      </c>
      <c r="O2420" s="26" t="s">
        <v>77</v>
      </c>
    </row>
    <row r="2421">
      <c r="A2421" s="52" t="s">
        <v>77</v>
      </c>
      <c r="B2421" s="28" t="s">
        <v>77</v>
      </c>
      <c r="C2421" s="28" t="s">
        <v>77</v>
      </c>
      <c r="D2421" s="28" t="s">
        <v>77</v>
      </c>
      <c r="E2421" s="28" t="s">
        <v>77</v>
      </c>
      <c r="F2421" s="28" t="s">
        <v>77</v>
      </c>
      <c r="G2421" s="28" t="s">
        <v>77</v>
      </c>
      <c r="I2421" s="26" t="s">
        <v>77</v>
      </c>
      <c r="J2421" s="26" t="s">
        <v>77</v>
      </c>
      <c r="K2421" s="18"/>
      <c r="L2421" s="26" t="s">
        <v>77</v>
      </c>
      <c r="M2421" s="6" t="s">
        <v>77</v>
      </c>
      <c r="N2421" s="28" t="s">
        <v>77</v>
      </c>
      <c r="O2421" s="26" t="s">
        <v>77</v>
      </c>
    </row>
    <row r="2422">
      <c r="A2422" s="52" t="s">
        <v>77</v>
      </c>
      <c r="B2422" s="28" t="s">
        <v>77</v>
      </c>
      <c r="C2422" s="28" t="s">
        <v>77</v>
      </c>
      <c r="D2422" s="28" t="s">
        <v>77</v>
      </c>
      <c r="E2422" s="28" t="s">
        <v>77</v>
      </c>
      <c r="F2422" s="28" t="s">
        <v>77</v>
      </c>
      <c r="G2422" s="28" t="s">
        <v>77</v>
      </c>
      <c r="I2422" s="26" t="s">
        <v>77</v>
      </c>
      <c r="J2422" s="26" t="s">
        <v>77</v>
      </c>
      <c r="K2422" s="18"/>
      <c r="L2422" s="26" t="s">
        <v>77</v>
      </c>
      <c r="M2422" s="6" t="s">
        <v>77</v>
      </c>
      <c r="N2422" s="28" t="s">
        <v>77</v>
      </c>
      <c r="O2422" s="26" t="s">
        <v>77</v>
      </c>
    </row>
    <row r="2423">
      <c r="A2423" s="52" t="s">
        <v>77</v>
      </c>
      <c r="B2423" s="28" t="s">
        <v>77</v>
      </c>
      <c r="C2423" s="28" t="s">
        <v>77</v>
      </c>
      <c r="D2423" s="28" t="s">
        <v>77</v>
      </c>
      <c r="E2423" s="28" t="s">
        <v>77</v>
      </c>
      <c r="F2423" s="28" t="s">
        <v>77</v>
      </c>
      <c r="G2423" s="28" t="s">
        <v>77</v>
      </c>
      <c r="I2423" s="26" t="s">
        <v>77</v>
      </c>
      <c r="J2423" s="26" t="s">
        <v>77</v>
      </c>
      <c r="K2423" s="18"/>
      <c r="L2423" s="26" t="s">
        <v>77</v>
      </c>
      <c r="M2423" s="6" t="s">
        <v>77</v>
      </c>
      <c r="N2423" s="28" t="s">
        <v>77</v>
      </c>
      <c r="O2423" s="26" t="s">
        <v>77</v>
      </c>
    </row>
    <row r="2424">
      <c r="A2424" s="52" t="s">
        <v>77</v>
      </c>
      <c r="B2424" s="28" t="s">
        <v>77</v>
      </c>
      <c r="C2424" s="28" t="s">
        <v>77</v>
      </c>
      <c r="D2424" s="28" t="s">
        <v>77</v>
      </c>
      <c r="E2424" s="28" t="s">
        <v>77</v>
      </c>
      <c r="F2424" s="28" t="s">
        <v>77</v>
      </c>
      <c r="G2424" s="28" t="s">
        <v>77</v>
      </c>
      <c r="I2424" s="26" t="s">
        <v>77</v>
      </c>
      <c r="J2424" s="26" t="s">
        <v>77</v>
      </c>
      <c r="K2424" s="18"/>
      <c r="L2424" s="26" t="s">
        <v>77</v>
      </c>
      <c r="M2424" s="6" t="s">
        <v>77</v>
      </c>
      <c r="N2424" s="28" t="s">
        <v>77</v>
      </c>
      <c r="O2424" s="26" t="s">
        <v>77</v>
      </c>
    </row>
    <row r="2425">
      <c r="A2425" s="52" t="s">
        <v>77</v>
      </c>
      <c r="B2425" s="28" t="s">
        <v>77</v>
      </c>
      <c r="C2425" s="28" t="s">
        <v>77</v>
      </c>
      <c r="D2425" s="28" t="s">
        <v>77</v>
      </c>
      <c r="E2425" s="28" t="s">
        <v>77</v>
      </c>
      <c r="F2425" s="28" t="s">
        <v>77</v>
      </c>
      <c r="G2425" s="28" t="s">
        <v>77</v>
      </c>
      <c r="I2425" s="26" t="s">
        <v>77</v>
      </c>
      <c r="J2425" s="26" t="s">
        <v>77</v>
      </c>
      <c r="K2425" s="18"/>
      <c r="L2425" s="26" t="s">
        <v>77</v>
      </c>
      <c r="M2425" s="6" t="s">
        <v>77</v>
      </c>
      <c r="N2425" s="28" t="s">
        <v>77</v>
      </c>
      <c r="O2425" s="26" t="s">
        <v>77</v>
      </c>
    </row>
    <row r="2426">
      <c r="A2426" s="52" t="s">
        <v>77</v>
      </c>
      <c r="B2426" s="28" t="s">
        <v>77</v>
      </c>
      <c r="C2426" s="28" t="s">
        <v>77</v>
      </c>
      <c r="D2426" s="28" t="s">
        <v>77</v>
      </c>
      <c r="E2426" s="28" t="s">
        <v>77</v>
      </c>
      <c r="F2426" s="28" t="s">
        <v>77</v>
      </c>
      <c r="G2426" s="28" t="s">
        <v>77</v>
      </c>
      <c r="I2426" s="26" t="s">
        <v>77</v>
      </c>
      <c r="J2426" s="26" t="s">
        <v>77</v>
      </c>
      <c r="K2426" s="18"/>
      <c r="L2426" s="26" t="s">
        <v>77</v>
      </c>
      <c r="M2426" s="6" t="s">
        <v>77</v>
      </c>
      <c r="N2426" s="28" t="s">
        <v>77</v>
      </c>
      <c r="O2426" s="26" t="s">
        <v>77</v>
      </c>
    </row>
    <row r="2427">
      <c r="A2427" s="52" t="s">
        <v>77</v>
      </c>
      <c r="B2427" s="28" t="s">
        <v>77</v>
      </c>
      <c r="C2427" s="28" t="s">
        <v>77</v>
      </c>
      <c r="D2427" s="28" t="s">
        <v>77</v>
      </c>
      <c r="E2427" s="28" t="s">
        <v>77</v>
      </c>
      <c r="F2427" s="28" t="s">
        <v>77</v>
      </c>
      <c r="G2427" s="28" t="s">
        <v>77</v>
      </c>
      <c r="I2427" s="26" t="s">
        <v>77</v>
      </c>
      <c r="J2427" s="26" t="s">
        <v>77</v>
      </c>
      <c r="K2427" s="18"/>
      <c r="L2427" s="26" t="s">
        <v>77</v>
      </c>
      <c r="M2427" s="6" t="s">
        <v>77</v>
      </c>
      <c r="N2427" s="28" t="s">
        <v>77</v>
      </c>
      <c r="O2427" s="26" t="s">
        <v>77</v>
      </c>
    </row>
    <row r="2428">
      <c r="A2428" s="52" t="s">
        <v>77</v>
      </c>
      <c r="B2428" s="28" t="s">
        <v>77</v>
      </c>
      <c r="C2428" s="28" t="s">
        <v>77</v>
      </c>
      <c r="D2428" s="28" t="s">
        <v>77</v>
      </c>
      <c r="E2428" s="28" t="s">
        <v>77</v>
      </c>
      <c r="F2428" s="28" t="s">
        <v>77</v>
      </c>
      <c r="G2428" s="28" t="s">
        <v>77</v>
      </c>
      <c r="I2428" s="26" t="s">
        <v>77</v>
      </c>
      <c r="J2428" s="26" t="s">
        <v>77</v>
      </c>
      <c r="K2428" s="18"/>
      <c r="L2428" s="26" t="s">
        <v>77</v>
      </c>
      <c r="M2428" s="6" t="s">
        <v>77</v>
      </c>
      <c r="N2428" s="28" t="s">
        <v>77</v>
      </c>
      <c r="O2428" s="26" t="s">
        <v>77</v>
      </c>
    </row>
    <row r="2429">
      <c r="A2429" s="52" t="s">
        <v>77</v>
      </c>
      <c r="B2429" s="28" t="s">
        <v>77</v>
      </c>
      <c r="C2429" s="28" t="s">
        <v>77</v>
      </c>
      <c r="D2429" s="28" t="s">
        <v>77</v>
      </c>
      <c r="E2429" s="28" t="s">
        <v>77</v>
      </c>
      <c r="F2429" s="28" t="s">
        <v>77</v>
      </c>
      <c r="G2429" s="28" t="s">
        <v>77</v>
      </c>
      <c r="I2429" s="26" t="s">
        <v>77</v>
      </c>
      <c r="J2429" s="26" t="s">
        <v>77</v>
      </c>
      <c r="K2429" s="18"/>
      <c r="L2429" s="26" t="s">
        <v>77</v>
      </c>
      <c r="M2429" s="6" t="s">
        <v>77</v>
      </c>
      <c r="N2429" s="28" t="s">
        <v>77</v>
      </c>
      <c r="O2429" s="26" t="s">
        <v>77</v>
      </c>
    </row>
    <row r="2430">
      <c r="A2430" s="52" t="s">
        <v>77</v>
      </c>
      <c r="B2430" s="28" t="s">
        <v>77</v>
      </c>
      <c r="C2430" s="28" t="s">
        <v>77</v>
      </c>
      <c r="D2430" s="28" t="s">
        <v>77</v>
      </c>
      <c r="E2430" s="28" t="s">
        <v>77</v>
      </c>
      <c r="F2430" s="28" t="s">
        <v>77</v>
      </c>
      <c r="G2430" s="28" t="s">
        <v>77</v>
      </c>
      <c r="I2430" s="26" t="s">
        <v>77</v>
      </c>
      <c r="J2430" s="26" t="s">
        <v>77</v>
      </c>
      <c r="K2430" s="18"/>
      <c r="L2430" s="26" t="s">
        <v>77</v>
      </c>
      <c r="M2430" s="6" t="s">
        <v>77</v>
      </c>
      <c r="N2430" s="28" t="s">
        <v>77</v>
      </c>
      <c r="O2430" s="26" t="s">
        <v>77</v>
      </c>
    </row>
    <row r="2431">
      <c r="A2431" s="52" t="s">
        <v>77</v>
      </c>
      <c r="B2431" s="28" t="s">
        <v>77</v>
      </c>
      <c r="C2431" s="28" t="s">
        <v>77</v>
      </c>
      <c r="D2431" s="28" t="s">
        <v>77</v>
      </c>
      <c r="E2431" s="28" t="s">
        <v>77</v>
      </c>
      <c r="F2431" s="28" t="s">
        <v>77</v>
      </c>
      <c r="G2431" s="28" t="s">
        <v>77</v>
      </c>
      <c r="I2431" s="26" t="s">
        <v>77</v>
      </c>
      <c r="J2431" s="26" t="s">
        <v>77</v>
      </c>
      <c r="K2431" s="18"/>
      <c r="L2431" s="26" t="s">
        <v>77</v>
      </c>
      <c r="M2431" s="6" t="s">
        <v>77</v>
      </c>
      <c r="N2431" s="28" t="s">
        <v>77</v>
      </c>
      <c r="O2431" s="26" t="s">
        <v>77</v>
      </c>
    </row>
    <row r="2432">
      <c r="A2432" s="52" t="s">
        <v>77</v>
      </c>
      <c r="B2432" s="28" t="s">
        <v>77</v>
      </c>
      <c r="C2432" s="28" t="s">
        <v>77</v>
      </c>
      <c r="D2432" s="28" t="s">
        <v>77</v>
      </c>
      <c r="E2432" s="28" t="s">
        <v>77</v>
      </c>
      <c r="F2432" s="28" t="s">
        <v>77</v>
      </c>
      <c r="G2432" s="28" t="s">
        <v>77</v>
      </c>
      <c r="I2432" s="26" t="s">
        <v>77</v>
      </c>
      <c r="J2432" s="26" t="s">
        <v>77</v>
      </c>
      <c r="K2432" s="18"/>
      <c r="L2432" s="26" t="s">
        <v>77</v>
      </c>
      <c r="M2432" s="6" t="s">
        <v>77</v>
      </c>
      <c r="N2432" s="28" t="s">
        <v>77</v>
      </c>
      <c r="O2432" s="26" t="s">
        <v>77</v>
      </c>
    </row>
    <row r="2433">
      <c r="A2433" s="52" t="s">
        <v>77</v>
      </c>
      <c r="B2433" s="28" t="s">
        <v>77</v>
      </c>
      <c r="C2433" s="28" t="s">
        <v>77</v>
      </c>
      <c r="D2433" s="28" t="s">
        <v>77</v>
      </c>
      <c r="E2433" s="28" t="s">
        <v>77</v>
      </c>
      <c r="F2433" s="28" t="s">
        <v>77</v>
      </c>
      <c r="G2433" s="28" t="s">
        <v>77</v>
      </c>
      <c r="I2433" s="26" t="s">
        <v>77</v>
      </c>
      <c r="J2433" s="26" t="s">
        <v>77</v>
      </c>
      <c r="K2433" s="18"/>
      <c r="L2433" s="26" t="s">
        <v>77</v>
      </c>
      <c r="M2433" s="6" t="s">
        <v>77</v>
      </c>
      <c r="N2433" s="28" t="s">
        <v>77</v>
      </c>
      <c r="O2433" s="26" t="s">
        <v>77</v>
      </c>
    </row>
    <row r="2434">
      <c r="A2434" s="52" t="s">
        <v>77</v>
      </c>
      <c r="B2434" s="28" t="s">
        <v>77</v>
      </c>
      <c r="C2434" s="28" t="s">
        <v>77</v>
      </c>
      <c r="D2434" s="28" t="s">
        <v>77</v>
      </c>
      <c r="E2434" s="28" t="s">
        <v>77</v>
      </c>
      <c r="F2434" s="28" t="s">
        <v>77</v>
      </c>
      <c r="G2434" s="28" t="s">
        <v>77</v>
      </c>
      <c r="I2434" s="26" t="s">
        <v>77</v>
      </c>
      <c r="J2434" s="26" t="s">
        <v>77</v>
      </c>
      <c r="K2434" s="18"/>
      <c r="L2434" s="26" t="s">
        <v>77</v>
      </c>
      <c r="M2434" s="6" t="s">
        <v>77</v>
      </c>
      <c r="N2434" s="28" t="s">
        <v>77</v>
      </c>
      <c r="O2434" s="26" t="s">
        <v>77</v>
      </c>
    </row>
    <row r="2435">
      <c r="A2435" s="52" t="s">
        <v>77</v>
      </c>
      <c r="B2435" s="28" t="s">
        <v>77</v>
      </c>
      <c r="C2435" s="28" t="s">
        <v>77</v>
      </c>
      <c r="D2435" s="28" t="s">
        <v>77</v>
      </c>
      <c r="E2435" s="28" t="s">
        <v>77</v>
      </c>
      <c r="F2435" s="28" t="s">
        <v>77</v>
      </c>
      <c r="G2435" s="28" t="s">
        <v>77</v>
      </c>
      <c r="I2435" s="26" t="s">
        <v>77</v>
      </c>
      <c r="J2435" s="26" t="s">
        <v>77</v>
      </c>
      <c r="K2435" s="18"/>
      <c r="L2435" s="26" t="s">
        <v>77</v>
      </c>
      <c r="M2435" s="6" t="s">
        <v>77</v>
      </c>
      <c r="N2435" s="28" t="s">
        <v>77</v>
      </c>
      <c r="O2435" s="26" t="s">
        <v>77</v>
      </c>
    </row>
    <row r="2436">
      <c r="A2436" s="52" t="s">
        <v>77</v>
      </c>
      <c r="B2436" s="28" t="s">
        <v>77</v>
      </c>
      <c r="C2436" s="28" t="s">
        <v>77</v>
      </c>
      <c r="D2436" s="28" t="s">
        <v>77</v>
      </c>
      <c r="E2436" s="28" t="s">
        <v>77</v>
      </c>
      <c r="F2436" s="28" t="s">
        <v>77</v>
      </c>
      <c r="G2436" s="28" t="s">
        <v>77</v>
      </c>
      <c r="I2436" s="26" t="s">
        <v>77</v>
      </c>
      <c r="J2436" s="26" t="s">
        <v>77</v>
      </c>
      <c r="K2436" s="18"/>
      <c r="L2436" s="26" t="s">
        <v>77</v>
      </c>
      <c r="M2436" s="6" t="s">
        <v>77</v>
      </c>
      <c r="N2436" s="28" t="s">
        <v>77</v>
      </c>
      <c r="O2436" s="26" t="s">
        <v>77</v>
      </c>
    </row>
    <row r="2437">
      <c r="A2437" s="52" t="s">
        <v>77</v>
      </c>
      <c r="B2437" s="28" t="s">
        <v>77</v>
      </c>
      <c r="C2437" s="28" t="s">
        <v>77</v>
      </c>
      <c r="D2437" s="28" t="s">
        <v>77</v>
      </c>
      <c r="E2437" s="28" t="s">
        <v>77</v>
      </c>
      <c r="F2437" s="28" t="s">
        <v>77</v>
      </c>
      <c r="G2437" s="28" t="s">
        <v>77</v>
      </c>
      <c r="I2437" s="26" t="s">
        <v>77</v>
      </c>
      <c r="J2437" s="26" t="s">
        <v>77</v>
      </c>
      <c r="K2437" s="18"/>
      <c r="L2437" s="26" t="s">
        <v>77</v>
      </c>
      <c r="M2437" s="6" t="s">
        <v>77</v>
      </c>
      <c r="N2437" s="28" t="s">
        <v>77</v>
      </c>
      <c r="O2437" s="26" t="s">
        <v>77</v>
      </c>
    </row>
    <row r="2438">
      <c r="A2438" s="52" t="s">
        <v>77</v>
      </c>
      <c r="B2438" s="28" t="s">
        <v>77</v>
      </c>
      <c r="C2438" s="28" t="s">
        <v>77</v>
      </c>
      <c r="D2438" s="28" t="s">
        <v>77</v>
      </c>
      <c r="E2438" s="28" t="s">
        <v>77</v>
      </c>
      <c r="F2438" s="28" t="s">
        <v>77</v>
      </c>
      <c r="G2438" s="28" t="s">
        <v>77</v>
      </c>
      <c r="I2438" s="26" t="s">
        <v>77</v>
      </c>
      <c r="J2438" s="26" t="s">
        <v>77</v>
      </c>
      <c r="K2438" s="18"/>
      <c r="L2438" s="26" t="s">
        <v>77</v>
      </c>
      <c r="M2438" s="6" t="s">
        <v>77</v>
      </c>
      <c r="N2438" s="28" t="s">
        <v>77</v>
      </c>
      <c r="O2438" s="26" t="s">
        <v>77</v>
      </c>
    </row>
    <row r="2439">
      <c r="A2439" s="52" t="s">
        <v>77</v>
      </c>
      <c r="B2439" s="28" t="s">
        <v>77</v>
      </c>
      <c r="C2439" s="28" t="s">
        <v>77</v>
      </c>
      <c r="D2439" s="28" t="s">
        <v>77</v>
      </c>
      <c r="E2439" s="28" t="s">
        <v>77</v>
      </c>
      <c r="F2439" s="28" t="s">
        <v>77</v>
      </c>
      <c r="G2439" s="28" t="s">
        <v>77</v>
      </c>
      <c r="I2439" s="26" t="s">
        <v>77</v>
      </c>
      <c r="J2439" s="26" t="s">
        <v>77</v>
      </c>
      <c r="K2439" s="18"/>
      <c r="L2439" s="26" t="s">
        <v>77</v>
      </c>
      <c r="M2439" s="6" t="s">
        <v>77</v>
      </c>
      <c r="N2439" s="28" t="s">
        <v>77</v>
      </c>
      <c r="O2439" s="26" t="s">
        <v>77</v>
      </c>
    </row>
    <row r="2440">
      <c r="A2440" s="52" t="s">
        <v>77</v>
      </c>
      <c r="B2440" s="28" t="s">
        <v>77</v>
      </c>
      <c r="C2440" s="28" t="s">
        <v>77</v>
      </c>
      <c r="D2440" s="28" t="s">
        <v>77</v>
      </c>
      <c r="E2440" s="28" t="s">
        <v>77</v>
      </c>
      <c r="F2440" s="28" t="s">
        <v>77</v>
      </c>
      <c r="G2440" s="28" t="s">
        <v>77</v>
      </c>
      <c r="I2440" s="26" t="s">
        <v>77</v>
      </c>
      <c r="J2440" s="26" t="s">
        <v>77</v>
      </c>
      <c r="K2440" s="18"/>
      <c r="L2440" s="26" t="s">
        <v>77</v>
      </c>
      <c r="M2440" s="6" t="s">
        <v>77</v>
      </c>
      <c r="N2440" s="28" t="s">
        <v>77</v>
      </c>
      <c r="O2440" s="26" t="s">
        <v>77</v>
      </c>
    </row>
    <row r="2441">
      <c r="A2441" s="52" t="s">
        <v>77</v>
      </c>
      <c r="B2441" s="28" t="s">
        <v>77</v>
      </c>
      <c r="C2441" s="28" t="s">
        <v>77</v>
      </c>
      <c r="D2441" s="28" t="s">
        <v>77</v>
      </c>
      <c r="E2441" s="28" t="s">
        <v>77</v>
      </c>
      <c r="F2441" s="28" t="s">
        <v>77</v>
      </c>
      <c r="G2441" s="28" t="s">
        <v>77</v>
      </c>
      <c r="I2441" s="26" t="s">
        <v>77</v>
      </c>
      <c r="J2441" s="26" t="s">
        <v>77</v>
      </c>
      <c r="K2441" s="18"/>
      <c r="L2441" s="26" t="s">
        <v>77</v>
      </c>
      <c r="M2441" s="6" t="s">
        <v>77</v>
      </c>
      <c r="N2441" s="28" t="s">
        <v>77</v>
      </c>
      <c r="O2441" s="26" t="s">
        <v>77</v>
      </c>
    </row>
    <row r="2442">
      <c r="A2442" s="52" t="s">
        <v>77</v>
      </c>
      <c r="B2442" s="28" t="s">
        <v>77</v>
      </c>
      <c r="C2442" s="28" t="s">
        <v>77</v>
      </c>
      <c r="D2442" s="28" t="s">
        <v>77</v>
      </c>
      <c r="E2442" s="28" t="s">
        <v>77</v>
      </c>
      <c r="F2442" s="28" t="s">
        <v>77</v>
      </c>
      <c r="G2442" s="28" t="s">
        <v>77</v>
      </c>
      <c r="I2442" s="26" t="s">
        <v>77</v>
      </c>
      <c r="J2442" s="26" t="s">
        <v>77</v>
      </c>
      <c r="K2442" s="18"/>
      <c r="L2442" s="26" t="s">
        <v>77</v>
      </c>
      <c r="M2442" s="6" t="s">
        <v>77</v>
      </c>
      <c r="N2442" s="28" t="s">
        <v>77</v>
      </c>
      <c r="O2442" s="26" t="s">
        <v>77</v>
      </c>
    </row>
    <row r="2443">
      <c r="A2443" s="52" t="s">
        <v>77</v>
      </c>
      <c r="B2443" s="28" t="s">
        <v>77</v>
      </c>
      <c r="C2443" s="28" t="s">
        <v>77</v>
      </c>
      <c r="D2443" s="28" t="s">
        <v>77</v>
      </c>
      <c r="E2443" s="28" t="s">
        <v>77</v>
      </c>
      <c r="F2443" s="28" t="s">
        <v>77</v>
      </c>
      <c r="G2443" s="28" t="s">
        <v>77</v>
      </c>
      <c r="I2443" s="26" t="s">
        <v>77</v>
      </c>
      <c r="J2443" s="26" t="s">
        <v>77</v>
      </c>
      <c r="K2443" s="18"/>
      <c r="L2443" s="26" t="s">
        <v>77</v>
      </c>
      <c r="M2443" s="6" t="s">
        <v>77</v>
      </c>
      <c r="N2443" s="28" t="s">
        <v>77</v>
      </c>
      <c r="O2443" s="26" t="s">
        <v>77</v>
      </c>
    </row>
    <row r="2444">
      <c r="A2444" s="52" t="s">
        <v>77</v>
      </c>
      <c r="B2444" s="28" t="s">
        <v>77</v>
      </c>
      <c r="C2444" s="28" t="s">
        <v>77</v>
      </c>
      <c r="D2444" s="28" t="s">
        <v>77</v>
      </c>
      <c r="E2444" s="28" t="s">
        <v>77</v>
      </c>
      <c r="F2444" s="28" t="s">
        <v>77</v>
      </c>
      <c r="G2444" s="28" t="s">
        <v>77</v>
      </c>
      <c r="I2444" s="26" t="s">
        <v>77</v>
      </c>
      <c r="J2444" s="26" t="s">
        <v>77</v>
      </c>
      <c r="K2444" s="18"/>
      <c r="L2444" s="26" t="s">
        <v>77</v>
      </c>
      <c r="M2444" s="6" t="s">
        <v>77</v>
      </c>
      <c r="N2444" s="28" t="s">
        <v>77</v>
      </c>
      <c r="O2444" s="26" t="s">
        <v>77</v>
      </c>
    </row>
    <row r="2445">
      <c r="A2445" s="52" t="s">
        <v>77</v>
      </c>
      <c r="B2445" s="28" t="s">
        <v>77</v>
      </c>
      <c r="C2445" s="28" t="s">
        <v>77</v>
      </c>
      <c r="D2445" s="28" t="s">
        <v>77</v>
      </c>
      <c r="E2445" s="28" t="s">
        <v>77</v>
      </c>
      <c r="F2445" s="28" t="s">
        <v>77</v>
      </c>
      <c r="G2445" s="28" t="s">
        <v>77</v>
      </c>
      <c r="I2445" s="26" t="s">
        <v>77</v>
      </c>
      <c r="J2445" s="26" t="s">
        <v>77</v>
      </c>
      <c r="K2445" s="18"/>
      <c r="L2445" s="26" t="s">
        <v>77</v>
      </c>
      <c r="M2445" s="6" t="s">
        <v>77</v>
      </c>
      <c r="N2445" s="28" t="s">
        <v>77</v>
      </c>
      <c r="O2445" s="26" t="s">
        <v>77</v>
      </c>
    </row>
    <row r="2446">
      <c r="A2446" s="52" t="s">
        <v>77</v>
      </c>
      <c r="B2446" s="28" t="s">
        <v>77</v>
      </c>
      <c r="C2446" s="28" t="s">
        <v>77</v>
      </c>
      <c r="D2446" s="28" t="s">
        <v>77</v>
      </c>
      <c r="E2446" s="28" t="s">
        <v>77</v>
      </c>
      <c r="F2446" s="28" t="s">
        <v>77</v>
      </c>
      <c r="G2446" s="28" t="s">
        <v>77</v>
      </c>
      <c r="I2446" s="26" t="s">
        <v>77</v>
      </c>
      <c r="J2446" s="26" t="s">
        <v>77</v>
      </c>
      <c r="K2446" s="18"/>
      <c r="L2446" s="26" t="s">
        <v>77</v>
      </c>
      <c r="M2446" s="6" t="s">
        <v>77</v>
      </c>
      <c r="N2446" s="28" t="s">
        <v>77</v>
      </c>
      <c r="O2446" s="26" t="s">
        <v>77</v>
      </c>
    </row>
    <row r="2447">
      <c r="A2447" s="52" t="s">
        <v>77</v>
      </c>
      <c r="B2447" s="28" t="s">
        <v>77</v>
      </c>
      <c r="C2447" s="28" t="s">
        <v>77</v>
      </c>
      <c r="D2447" s="28" t="s">
        <v>77</v>
      </c>
      <c r="E2447" s="28" t="s">
        <v>77</v>
      </c>
      <c r="F2447" s="28" t="s">
        <v>77</v>
      </c>
      <c r="G2447" s="28" t="s">
        <v>77</v>
      </c>
      <c r="I2447" s="26" t="s">
        <v>77</v>
      </c>
      <c r="J2447" s="26" t="s">
        <v>77</v>
      </c>
      <c r="K2447" s="18"/>
      <c r="L2447" s="26" t="s">
        <v>77</v>
      </c>
      <c r="M2447" s="6" t="s">
        <v>77</v>
      </c>
      <c r="N2447" s="28" t="s">
        <v>77</v>
      </c>
      <c r="O2447" s="26" t="s">
        <v>77</v>
      </c>
    </row>
    <row r="2448">
      <c r="A2448" s="52" t="s">
        <v>77</v>
      </c>
      <c r="B2448" s="28" t="s">
        <v>77</v>
      </c>
      <c r="C2448" s="28" t="s">
        <v>77</v>
      </c>
      <c r="D2448" s="28" t="s">
        <v>77</v>
      </c>
      <c r="E2448" s="28" t="s">
        <v>77</v>
      </c>
      <c r="F2448" s="28" t="s">
        <v>77</v>
      </c>
      <c r="G2448" s="28" t="s">
        <v>77</v>
      </c>
      <c r="I2448" s="26" t="s">
        <v>77</v>
      </c>
      <c r="J2448" s="26" t="s">
        <v>77</v>
      </c>
      <c r="K2448" s="18"/>
      <c r="L2448" s="26" t="s">
        <v>77</v>
      </c>
      <c r="M2448" s="6" t="s">
        <v>77</v>
      </c>
      <c r="N2448" s="28" t="s">
        <v>77</v>
      </c>
      <c r="O2448" s="26" t="s">
        <v>77</v>
      </c>
    </row>
    <row r="2449">
      <c r="A2449" s="52" t="s">
        <v>77</v>
      </c>
      <c r="B2449" s="28" t="s">
        <v>77</v>
      </c>
      <c r="C2449" s="28" t="s">
        <v>77</v>
      </c>
      <c r="D2449" s="28" t="s">
        <v>77</v>
      </c>
      <c r="E2449" s="28" t="s">
        <v>77</v>
      </c>
      <c r="F2449" s="28" t="s">
        <v>77</v>
      </c>
      <c r="G2449" s="28" t="s">
        <v>77</v>
      </c>
      <c r="I2449" s="26" t="s">
        <v>77</v>
      </c>
      <c r="J2449" s="26" t="s">
        <v>77</v>
      </c>
      <c r="K2449" s="18"/>
      <c r="L2449" s="26" t="s">
        <v>77</v>
      </c>
      <c r="M2449" s="6" t="s">
        <v>77</v>
      </c>
      <c r="N2449" s="28" t="s">
        <v>77</v>
      </c>
      <c r="O2449" s="26" t="s">
        <v>77</v>
      </c>
    </row>
    <row r="2450">
      <c r="A2450" s="52" t="s">
        <v>77</v>
      </c>
      <c r="B2450" s="28" t="s">
        <v>77</v>
      </c>
      <c r="C2450" s="28" t="s">
        <v>77</v>
      </c>
      <c r="D2450" s="28" t="s">
        <v>77</v>
      </c>
      <c r="E2450" s="28" t="s">
        <v>77</v>
      </c>
      <c r="F2450" s="28" t="s">
        <v>77</v>
      </c>
      <c r="G2450" s="28" t="s">
        <v>77</v>
      </c>
      <c r="I2450" s="26" t="s">
        <v>77</v>
      </c>
      <c r="J2450" s="26" t="s">
        <v>77</v>
      </c>
      <c r="K2450" s="18"/>
      <c r="L2450" s="26" t="s">
        <v>77</v>
      </c>
      <c r="M2450" s="6" t="s">
        <v>77</v>
      </c>
      <c r="N2450" s="28" t="s">
        <v>77</v>
      </c>
      <c r="O2450" s="26" t="s">
        <v>77</v>
      </c>
    </row>
    <row r="2451">
      <c r="A2451" s="52" t="s">
        <v>77</v>
      </c>
      <c r="B2451" s="28" t="s">
        <v>77</v>
      </c>
      <c r="C2451" s="28" t="s">
        <v>77</v>
      </c>
      <c r="D2451" s="28" t="s">
        <v>77</v>
      </c>
      <c r="E2451" s="28" t="s">
        <v>77</v>
      </c>
      <c r="F2451" s="28" t="s">
        <v>77</v>
      </c>
      <c r="G2451" s="28" t="s">
        <v>77</v>
      </c>
      <c r="I2451" s="26" t="s">
        <v>77</v>
      </c>
      <c r="J2451" s="26" t="s">
        <v>77</v>
      </c>
      <c r="K2451" s="18"/>
      <c r="L2451" s="26" t="s">
        <v>77</v>
      </c>
      <c r="M2451" s="6" t="s">
        <v>77</v>
      </c>
      <c r="N2451" s="28" t="s">
        <v>77</v>
      </c>
      <c r="O2451" s="26" t="s">
        <v>77</v>
      </c>
    </row>
    <row r="2452">
      <c r="A2452" s="52" t="s">
        <v>77</v>
      </c>
      <c r="B2452" s="28" t="s">
        <v>77</v>
      </c>
      <c r="C2452" s="28" t="s">
        <v>77</v>
      </c>
      <c r="D2452" s="28" t="s">
        <v>77</v>
      </c>
      <c r="E2452" s="28" t="s">
        <v>77</v>
      </c>
      <c r="F2452" s="28" t="s">
        <v>77</v>
      </c>
      <c r="G2452" s="28" t="s">
        <v>77</v>
      </c>
      <c r="I2452" s="26" t="s">
        <v>77</v>
      </c>
      <c r="J2452" s="26" t="s">
        <v>77</v>
      </c>
      <c r="K2452" s="18"/>
      <c r="L2452" s="26" t="s">
        <v>77</v>
      </c>
      <c r="M2452" s="6" t="s">
        <v>77</v>
      </c>
      <c r="N2452" s="28" t="s">
        <v>77</v>
      </c>
      <c r="O2452" s="26" t="s">
        <v>77</v>
      </c>
    </row>
    <row r="2453">
      <c r="A2453" s="52" t="s">
        <v>77</v>
      </c>
      <c r="B2453" s="28" t="s">
        <v>77</v>
      </c>
      <c r="C2453" s="28" t="s">
        <v>77</v>
      </c>
      <c r="D2453" s="28" t="s">
        <v>77</v>
      </c>
      <c r="E2453" s="28" t="s">
        <v>77</v>
      </c>
      <c r="F2453" s="28" t="s">
        <v>77</v>
      </c>
      <c r="G2453" s="28" t="s">
        <v>77</v>
      </c>
      <c r="I2453" s="26" t="s">
        <v>77</v>
      </c>
      <c r="J2453" s="26" t="s">
        <v>77</v>
      </c>
      <c r="K2453" s="18"/>
      <c r="L2453" s="26" t="s">
        <v>77</v>
      </c>
      <c r="M2453" s="6" t="s">
        <v>77</v>
      </c>
      <c r="N2453" s="28" t="s">
        <v>77</v>
      </c>
      <c r="O2453" s="26" t="s">
        <v>77</v>
      </c>
    </row>
    <row r="2454">
      <c r="A2454" s="52" t="s">
        <v>77</v>
      </c>
      <c r="B2454" s="28" t="s">
        <v>77</v>
      </c>
      <c r="C2454" s="28" t="s">
        <v>77</v>
      </c>
      <c r="D2454" s="28" t="s">
        <v>77</v>
      </c>
      <c r="E2454" s="28" t="s">
        <v>77</v>
      </c>
      <c r="F2454" s="28" t="s">
        <v>77</v>
      </c>
      <c r="G2454" s="28" t="s">
        <v>77</v>
      </c>
      <c r="I2454" s="26" t="s">
        <v>77</v>
      </c>
      <c r="J2454" s="26" t="s">
        <v>77</v>
      </c>
      <c r="K2454" s="18"/>
      <c r="L2454" s="26" t="s">
        <v>77</v>
      </c>
      <c r="M2454" s="6" t="s">
        <v>77</v>
      </c>
      <c r="N2454" s="28" t="s">
        <v>77</v>
      </c>
      <c r="O2454" s="26" t="s">
        <v>77</v>
      </c>
    </row>
    <row r="2455">
      <c r="A2455" s="52" t="s">
        <v>77</v>
      </c>
      <c r="B2455" s="28" t="s">
        <v>77</v>
      </c>
      <c r="C2455" s="28" t="s">
        <v>77</v>
      </c>
      <c r="D2455" s="28" t="s">
        <v>77</v>
      </c>
      <c r="E2455" s="28" t="s">
        <v>77</v>
      </c>
      <c r="F2455" s="28" t="s">
        <v>77</v>
      </c>
      <c r="G2455" s="28" t="s">
        <v>77</v>
      </c>
      <c r="I2455" s="26" t="s">
        <v>77</v>
      </c>
      <c r="J2455" s="26" t="s">
        <v>77</v>
      </c>
      <c r="K2455" s="18"/>
      <c r="L2455" s="26" t="s">
        <v>77</v>
      </c>
      <c r="M2455" s="6" t="s">
        <v>77</v>
      </c>
      <c r="N2455" s="28" t="s">
        <v>77</v>
      </c>
      <c r="O2455" s="26" t="s">
        <v>77</v>
      </c>
    </row>
    <row r="2456">
      <c r="A2456" s="52" t="s">
        <v>77</v>
      </c>
      <c r="B2456" s="28" t="s">
        <v>77</v>
      </c>
      <c r="C2456" s="28" t="s">
        <v>77</v>
      </c>
      <c r="D2456" s="28" t="s">
        <v>77</v>
      </c>
      <c r="E2456" s="28" t="s">
        <v>77</v>
      </c>
      <c r="F2456" s="28" t="s">
        <v>77</v>
      </c>
      <c r="G2456" s="28" t="s">
        <v>77</v>
      </c>
      <c r="I2456" s="26" t="s">
        <v>77</v>
      </c>
      <c r="J2456" s="26" t="s">
        <v>77</v>
      </c>
      <c r="K2456" s="18"/>
      <c r="L2456" s="26" t="s">
        <v>77</v>
      </c>
      <c r="M2456" s="6" t="s">
        <v>77</v>
      </c>
      <c r="N2456" s="28" t="s">
        <v>77</v>
      </c>
      <c r="O2456" s="26" t="s">
        <v>77</v>
      </c>
    </row>
    <row r="2457">
      <c r="A2457" s="52" t="s">
        <v>77</v>
      </c>
      <c r="B2457" s="28" t="s">
        <v>77</v>
      </c>
      <c r="C2457" s="28" t="s">
        <v>77</v>
      </c>
      <c r="D2457" s="28" t="s">
        <v>77</v>
      </c>
      <c r="E2457" s="28" t="s">
        <v>77</v>
      </c>
      <c r="F2457" s="28" t="s">
        <v>77</v>
      </c>
      <c r="G2457" s="28" t="s">
        <v>77</v>
      </c>
      <c r="I2457" s="26" t="s">
        <v>77</v>
      </c>
      <c r="J2457" s="26" t="s">
        <v>77</v>
      </c>
      <c r="K2457" s="18"/>
      <c r="L2457" s="26" t="s">
        <v>77</v>
      </c>
      <c r="M2457" s="6" t="s">
        <v>77</v>
      </c>
      <c r="N2457" s="28" t="s">
        <v>77</v>
      </c>
      <c r="O2457" s="26" t="s">
        <v>77</v>
      </c>
    </row>
    <row r="2458">
      <c r="A2458" s="52" t="s">
        <v>77</v>
      </c>
      <c r="B2458" s="28" t="s">
        <v>77</v>
      </c>
      <c r="C2458" s="28" t="s">
        <v>77</v>
      </c>
      <c r="D2458" s="28" t="s">
        <v>77</v>
      </c>
      <c r="E2458" s="28" t="s">
        <v>77</v>
      </c>
      <c r="F2458" s="28" t="s">
        <v>77</v>
      </c>
      <c r="G2458" s="28" t="s">
        <v>77</v>
      </c>
      <c r="I2458" s="26" t="s">
        <v>77</v>
      </c>
      <c r="J2458" s="26" t="s">
        <v>77</v>
      </c>
      <c r="K2458" s="18"/>
      <c r="L2458" s="26" t="s">
        <v>77</v>
      </c>
      <c r="M2458" s="6" t="s">
        <v>77</v>
      </c>
      <c r="N2458" s="28" t="s">
        <v>77</v>
      </c>
      <c r="O2458" s="26" t="s">
        <v>77</v>
      </c>
    </row>
    <row r="2459">
      <c r="A2459" s="52" t="s">
        <v>77</v>
      </c>
      <c r="B2459" s="28" t="s">
        <v>77</v>
      </c>
      <c r="C2459" s="28" t="s">
        <v>77</v>
      </c>
      <c r="D2459" s="28" t="s">
        <v>77</v>
      </c>
      <c r="E2459" s="28" t="s">
        <v>77</v>
      </c>
      <c r="F2459" s="28" t="s">
        <v>77</v>
      </c>
      <c r="G2459" s="28" t="s">
        <v>77</v>
      </c>
      <c r="I2459" s="26" t="s">
        <v>77</v>
      </c>
      <c r="J2459" s="26" t="s">
        <v>77</v>
      </c>
      <c r="K2459" s="18"/>
      <c r="L2459" s="26" t="s">
        <v>77</v>
      </c>
      <c r="M2459" s="6" t="s">
        <v>77</v>
      </c>
      <c r="N2459" s="28" t="s">
        <v>77</v>
      </c>
      <c r="O2459" s="26" t="s">
        <v>77</v>
      </c>
    </row>
    <row r="2460">
      <c r="A2460" s="52" t="s">
        <v>77</v>
      </c>
      <c r="B2460" s="28" t="s">
        <v>77</v>
      </c>
      <c r="C2460" s="28" t="s">
        <v>77</v>
      </c>
      <c r="D2460" s="28" t="s">
        <v>77</v>
      </c>
      <c r="E2460" s="28" t="s">
        <v>77</v>
      </c>
      <c r="F2460" s="28" t="s">
        <v>77</v>
      </c>
      <c r="G2460" s="28" t="s">
        <v>77</v>
      </c>
      <c r="I2460" s="26" t="s">
        <v>77</v>
      </c>
      <c r="J2460" s="26" t="s">
        <v>77</v>
      </c>
      <c r="K2460" s="18"/>
      <c r="L2460" s="26" t="s">
        <v>77</v>
      </c>
      <c r="M2460" s="6" t="s">
        <v>77</v>
      </c>
      <c r="N2460" s="28" t="s">
        <v>77</v>
      </c>
      <c r="O2460" s="26" t="s">
        <v>77</v>
      </c>
    </row>
    <row r="2461">
      <c r="A2461" s="52" t="s">
        <v>77</v>
      </c>
      <c r="B2461" s="28" t="s">
        <v>77</v>
      </c>
      <c r="C2461" s="28" t="s">
        <v>77</v>
      </c>
      <c r="D2461" s="28" t="s">
        <v>77</v>
      </c>
      <c r="E2461" s="28" t="s">
        <v>77</v>
      </c>
      <c r="F2461" s="28" t="s">
        <v>77</v>
      </c>
      <c r="G2461" s="28" t="s">
        <v>77</v>
      </c>
      <c r="I2461" s="26" t="s">
        <v>77</v>
      </c>
      <c r="J2461" s="26" t="s">
        <v>77</v>
      </c>
      <c r="K2461" s="18"/>
      <c r="L2461" s="26" t="s">
        <v>77</v>
      </c>
      <c r="M2461" s="6" t="s">
        <v>77</v>
      </c>
      <c r="N2461" s="28" t="s">
        <v>77</v>
      </c>
      <c r="O2461" s="26" t="s">
        <v>77</v>
      </c>
    </row>
    <row r="2462">
      <c r="A2462" s="52" t="s">
        <v>77</v>
      </c>
      <c r="B2462" s="28" t="s">
        <v>77</v>
      </c>
      <c r="C2462" s="28" t="s">
        <v>77</v>
      </c>
      <c r="D2462" s="28" t="s">
        <v>77</v>
      </c>
      <c r="E2462" s="28" t="s">
        <v>77</v>
      </c>
      <c r="F2462" s="28" t="s">
        <v>77</v>
      </c>
      <c r="G2462" s="28" t="s">
        <v>77</v>
      </c>
      <c r="I2462" s="26" t="s">
        <v>77</v>
      </c>
      <c r="J2462" s="26" t="s">
        <v>77</v>
      </c>
      <c r="K2462" s="18"/>
      <c r="L2462" s="26" t="s">
        <v>77</v>
      </c>
      <c r="M2462" s="6" t="s">
        <v>77</v>
      </c>
      <c r="N2462" s="28" t="s">
        <v>77</v>
      </c>
      <c r="O2462" s="26" t="s">
        <v>77</v>
      </c>
    </row>
    <row r="2463">
      <c r="A2463" s="52" t="s">
        <v>77</v>
      </c>
      <c r="B2463" s="28" t="s">
        <v>77</v>
      </c>
      <c r="C2463" s="28" t="s">
        <v>77</v>
      </c>
      <c r="D2463" s="28" t="s">
        <v>77</v>
      </c>
      <c r="E2463" s="28" t="s">
        <v>77</v>
      </c>
      <c r="F2463" s="28" t="s">
        <v>77</v>
      </c>
      <c r="G2463" s="28" t="s">
        <v>77</v>
      </c>
      <c r="I2463" s="26" t="s">
        <v>77</v>
      </c>
      <c r="J2463" s="26" t="s">
        <v>77</v>
      </c>
      <c r="K2463" s="18"/>
      <c r="L2463" s="26" t="s">
        <v>77</v>
      </c>
      <c r="M2463" s="6" t="s">
        <v>77</v>
      </c>
      <c r="N2463" s="28" t="s">
        <v>77</v>
      </c>
      <c r="O2463" s="26" t="s">
        <v>77</v>
      </c>
    </row>
    <row r="2464">
      <c r="A2464" s="52" t="s">
        <v>77</v>
      </c>
      <c r="B2464" s="28" t="s">
        <v>77</v>
      </c>
      <c r="C2464" s="28" t="s">
        <v>77</v>
      </c>
      <c r="D2464" s="28" t="s">
        <v>77</v>
      </c>
      <c r="E2464" s="28" t="s">
        <v>77</v>
      </c>
      <c r="F2464" s="28" t="s">
        <v>77</v>
      </c>
      <c r="G2464" s="28" t="s">
        <v>77</v>
      </c>
      <c r="I2464" s="26" t="s">
        <v>77</v>
      </c>
      <c r="J2464" s="26" t="s">
        <v>77</v>
      </c>
      <c r="K2464" s="18"/>
      <c r="L2464" s="26" t="s">
        <v>77</v>
      </c>
      <c r="M2464" s="6" t="s">
        <v>77</v>
      </c>
      <c r="N2464" s="28" t="s">
        <v>77</v>
      </c>
      <c r="O2464" s="26" t="s">
        <v>77</v>
      </c>
    </row>
    <row r="2465">
      <c r="A2465" s="52" t="s">
        <v>77</v>
      </c>
      <c r="B2465" s="28" t="s">
        <v>77</v>
      </c>
      <c r="C2465" s="28" t="s">
        <v>77</v>
      </c>
      <c r="D2465" s="28" t="s">
        <v>77</v>
      </c>
      <c r="E2465" s="28" t="s">
        <v>77</v>
      </c>
      <c r="F2465" s="28" t="s">
        <v>77</v>
      </c>
      <c r="G2465" s="28" t="s">
        <v>77</v>
      </c>
      <c r="I2465" s="26" t="s">
        <v>77</v>
      </c>
      <c r="J2465" s="26" t="s">
        <v>77</v>
      </c>
      <c r="K2465" s="18"/>
      <c r="L2465" s="26" t="s">
        <v>77</v>
      </c>
      <c r="M2465" s="6" t="s">
        <v>77</v>
      </c>
      <c r="N2465" s="28" t="s">
        <v>77</v>
      </c>
      <c r="O2465" s="26" t="s">
        <v>77</v>
      </c>
    </row>
    <row r="2466">
      <c r="A2466" s="52" t="s">
        <v>77</v>
      </c>
      <c r="B2466" s="28" t="s">
        <v>77</v>
      </c>
      <c r="C2466" s="28" t="s">
        <v>77</v>
      </c>
      <c r="D2466" s="28" t="s">
        <v>77</v>
      </c>
      <c r="E2466" s="28" t="s">
        <v>77</v>
      </c>
      <c r="F2466" s="28" t="s">
        <v>77</v>
      </c>
      <c r="G2466" s="28" t="s">
        <v>77</v>
      </c>
      <c r="I2466" s="26" t="s">
        <v>77</v>
      </c>
      <c r="J2466" s="26" t="s">
        <v>77</v>
      </c>
      <c r="K2466" s="18"/>
      <c r="L2466" s="26" t="s">
        <v>77</v>
      </c>
      <c r="M2466" s="6" t="s">
        <v>77</v>
      </c>
      <c r="N2466" s="28" t="s">
        <v>77</v>
      </c>
      <c r="O2466" s="26" t="s">
        <v>77</v>
      </c>
    </row>
    <row r="2467">
      <c r="A2467" s="52" t="s">
        <v>77</v>
      </c>
      <c r="B2467" s="28" t="s">
        <v>77</v>
      </c>
      <c r="C2467" s="28" t="s">
        <v>77</v>
      </c>
      <c r="D2467" s="28" t="s">
        <v>77</v>
      </c>
      <c r="E2467" s="28" t="s">
        <v>77</v>
      </c>
      <c r="F2467" s="28" t="s">
        <v>77</v>
      </c>
      <c r="G2467" s="28" t="s">
        <v>77</v>
      </c>
      <c r="I2467" s="26" t="s">
        <v>77</v>
      </c>
      <c r="J2467" s="26" t="s">
        <v>77</v>
      </c>
      <c r="K2467" s="18"/>
      <c r="L2467" s="26" t="s">
        <v>77</v>
      </c>
      <c r="M2467" s="6" t="s">
        <v>77</v>
      </c>
      <c r="N2467" s="28" t="s">
        <v>77</v>
      </c>
      <c r="O2467" s="26" t="s">
        <v>77</v>
      </c>
    </row>
    <row r="2468">
      <c r="A2468" s="52" t="s">
        <v>77</v>
      </c>
      <c r="B2468" s="28" t="s">
        <v>77</v>
      </c>
      <c r="C2468" s="28" t="s">
        <v>77</v>
      </c>
      <c r="D2468" s="28" t="s">
        <v>77</v>
      </c>
      <c r="E2468" s="28" t="s">
        <v>77</v>
      </c>
      <c r="F2468" s="28" t="s">
        <v>77</v>
      </c>
      <c r="G2468" s="28" t="s">
        <v>77</v>
      </c>
      <c r="I2468" s="26" t="s">
        <v>77</v>
      </c>
      <c r="J2468" s="26" t="s">
        <v>77</v>
      </c>
      <c r="K2468" s="18"/>
      <c r="L2468" s="26" t="s">
        <v>77</v>
      </c>
      <c r="M2468" s="6" t="s">
        <v>77</v>
      </c>
      <c r="N2468" s="28" t="s">
        <v>77</v>
      </c>
      <c r="O2468" s="26" t="s">
        <v>77</v>
      </c>
    </row>
    <row r="2469">
      <c r="A2469" s="52" t="s">
        <v>77</v>
      </c>
      <c r="B2469" s="28" t="s">
        <v>77</v>
      </c>
      <c r="C2469" s="28" t="s">
        <v>77</v>
      </c>
      <c r="D2469" s="28" t="s">
        <v>77</v>
      </c>
      <c r="E2469" s="28" t="s">
        <v>77</v>
      </c>
      <c r="F2469" s="28" t="s">
        <v>77</v>
      </c>
      <c r="G2469" s="28" t="s">
        <v>77</v>
      </c>
      <c r="I2469" s="26" t="s">
        <v>77</v>
      </c>
      <c r="J2469" s="26" t="s">
        <v>77</v>
      </c>
      <c r="K2469" s="18"/>
      <c r="L2469" s="26" t="s">
        <v>77</v>
      </c>
      <c r="M2469" s="6" t="s">
        <v>77</v>
      </c>
      <c r="N2469" s="28" t="s">
        <v>77</v>
      </c>
      <c r="O2469" s="26" t="s">
        <v>77</v>
      </c>
    </row>
    <row r="2470">
      <c r="A2470" s="52" t="s">
        <v>77</v>
      </c>
      <c r="B2470" s="28" t="s">
        <v>77</v>
      </c>
      <c r="C2470" s="28" t="s">
        <v>77</v>
      </c>
      <c r="D2470" s="28" t="s">
        <v>77</v>
      </c>
      <c r="E2470" s="28" t="s">
        <v>77</v>
      </c>
      <c r="F2470" s="28" t="s">
        <v>77</v>
      </c>
      <c r="G2470" s="28" t="s">
        <v>77</v>
      </c>
      <c r="I2470" s="26" t="s">
        <v>77</v>
      </c>
      <c r="J2470" s="26" t="s">
        <v>77</v>
      </c>
      <c r="K2470" s="18"/>
      <c r="L2470" s="26" t="s">
        <v>77</v>
      </c>
      <c r="M2470" s="6" t="s">
        <v>77</v>
      </c>
      <c r="N2470" s="28" t="s">
        <v>77</v>
      </c>
      <c r="O2470" s="26" t="s">
        <v>77</v>
      </c>
    </row>
    <row r="2471">
      <c r="A2471" s="52" t="s">
        <v>77</v>
      </c>
      <c r="B2471" s="28" t="s">
        <v>77</v>
      </c>
      <c r="C2471" s="28" t="s">
        <v>77</v>
      </c>
      <c r="D2471" s="28" t="s">
        <v>77</v>
      </c>
      <c r="E2471" s="28" t="s">
        <v>77</v>
      </c>
      <c r="F2471" s="28" t="s">
        <v>77</v>
      </c>
      <c r="G2471" s="28" t="s">
        <v>77</v>
      </c>
      <c r="I2471" s="26" t="s">
        <v>77</v>
      </c>
      <c r="J2471" s="26" t="s">
        <v>77</v>
      </c>
      <c r="K2471" s="18"/>
      <c r="L2471" s="26" t="s">
        <v>77</v>
      </c>
      <c r="M2471" s="6" t="s">
        <v>77</v>
      </c>
      <c r="N2471" s="28" t="s">
        <v>77</v>
      </c>
      <c r="O2471" s="26" t="s">
        <v>77</v>
      </c>
    </row>
    <row r="2472">
      <c r="A2472" s="52" t="s">
        <v>77</v>
      </c>
      <c r="B2472" s="28" t="s">
        <v>77</v>
      </c>
      <c r="C2472" s="28" t="s">
        <v>77</v>
      </c>
      <c r="D2472" s="28" t="s">
        <v>77</v>
      </c>
      <c r="E2472" s="28" t="s">
        <v>77</v>
      </c>
      <c r="F2472" s="28" t="s">
        <v>77</v>
      </c>
      <c r="G2472" s="28" t="s">
        <v>77</v>
      </c>
      <c r="I2472" s="26" t="s">
        <v>77</v>
      </c>
      <c r="J2472" s="26" t="s">
        <v>77</v>
      </c>
      <c r="K2472" s="18"/>
      <c r="L2472" s="26" t="s">
        <v>77</v>
      </c>
      <c r="M2472" s="6" t="s">
        <v>77</v>
      </c>
      <c r="N2472" s="28" t="s">
        <v>77</v>
      </c>
      <c r="O2472" s="26" t="s">
        <v>77</v>
      </c>
    </row>
    <row r="2473">
      <c r="A2473" s="52" t="s">
        <v>77</v>
      </c>
      <c r="B2473" s="28" t="s">
        <v>77</v>
      </c>
      <c r="C2473" s="28" t="s">
        <v>77</v>
      </c>
      <c r="D2473" s="28" t="s">
        <v>77</v>
      </c>
      <c r="E2473" s="28" t="s">
        <v>77</v>
      </c>
      <c r="F2473" s="28" t="s">
        <v>77</v>
      </c>
      <c r="G2473" s="28" t="s">
        <v>77</v>
      </c>
      <c r="I2473" s="26" t="s">
        <v>77</v>
      </c>
      <c r="J2473" s="26" t="s">
        <v>77</v>
      </c>
      <c r="K2473" s="18"/>
      <c r="L2473" s="26" t="s">
        <v>77</v>
      </c>
      <c r="M2473" s="6" t="s">
        <v>77</v>
      </c>
      <c r="N2473" s="28" t="s">
        <v>77</v>
      </c>
      <c r="O2473" s="26" t="s">
        <v>77</v>
      </c>
    </row>
    <row r="2474">
      <c r="A2474" s="52" t="s">
        <v>77</v>
      </c>
      <c r="B2474" s="28" t="s">
        <v>77</v>
      </c>
      <c r="C2474" s="28" t="s">
        <v>77</v>
      </c>
      <c r="D2474" s="28" t="s">
        <v>77</v>
      </c>
      <c r="E2474" s="28" t="s">
        <v>77</v>
      </c>
      <c r="F2474" s="28" t="s">
        <v>77</v>
      </c>
      <c r="G2474" s="28" t="s">
        <v>77</v>
      </c>
      <c r="I2474" s="26" t="s">
        <v>77</v>
      </c>
      <c r="J2474" s="26" t="s">
        <v>77</v>
      </c>
      <c r="K2474" s="18"/>
      <c r="L2474" s="26" t="s">
        <v>77</v>
      </c>
      <c r="M2474" s="6" t="s">
        <v>77</v>
      </c>
      <c r="N2474" s="28" t="s">
        <v>77</v>
      </c>
      <c r="O2474" s="26" t="s">
        <v>77</v>
      </c>
    </row>
    <row r="2475">
      <c r="A2475" s="52" t="s">
        <v>77</v>
      </c>
      <c r="B2475" s="28" t="s">
        <v>77</v>
      </c>
      <c r="C2475" s="28" t="s">
        <v>77</v>
      </c>
      <c r="D2475" s="28" t="s">
        <v>77</v>
      </c>
      <c r="E2475" s="28" t="s">
        <v>77</v>
      </c>
      <c r="F2475" s="28" t="s">
        <v>77</v>
      </c>
      <c r="G2475" s="28" t="s">
        <v>77</v>
      </c>
      <c r="I2475" s="26" t="s">
        <v>77</v>
      </c>
      <c r="J2475" s="26" t="s">
        <v>77</v>
      </c>
      <c r="K2475" s="18"/>
      <c r="L2475" s="26" t="s">
        <v>77</v>
      </c>
      <c r="M2475" s="6" t="s">
        <v>77</v>
      </c>
      <c r="N2475" s="28" t="s">
        <v>77</v>
      </c>
      <c r="O2475" s="26" t="s">
        <v>77</v>
      </c>
    </row>
    <row r="2476">
      <c r="A2476" s="52" t="s">
        <v>77</v>
      </c>
      <c r="B2476" s="28" t="s">
        <v>77</v>
      </c>
      <c r="C2476" s="28" t="s">
        <v>77</v>
      </c>
      <c r="D2476" s="28" t="s">
        <v>77</v>
      </c>
      <c r="E2476" s="28" t="s">
        <v>77</v>
      </c>
      <c r="F2476" s="28" t="s">
        <v>77</v>
      </c>
      <c r="G2476" s="28" t="s">
        <v>77</v>
      </c>
      <c r="I2476" s="26" t="s">
        <v>77</v>
      </c>
      <c r="J2476" s="26" t="s">
        <v>77</v>
      </c>
      <c r="K2476" s="18"/>
      <c r="L2476" s="26" t="s">
        <v>77</v>
      </c>
      <c r="M2476" s="6" t="s">
        <v>77</v>
      </c>
      <c r="N2476" s="28" t="s">
        <v>77</v>
      </c>
      <c r="O2476" s="26" t="s">
        <v>77</v>
      </c>
    </row>
    <row r="2477">
      <c r="A2477" s="52" t="s">
        <v>77</v>
      </c>
      <c r="B2477" s="28" t="s">
        <v>77</v>
      </c>
      <c r="C2477" s="28" t="s">
        <v>77</v>
      </c>
      <c r="D2477" s="28" t="s">
        <v>77</v>
      </c>
      <c r="E2477" s="28" t="s">
        <v>77</v>
      </c>
      <c r="F2477" s="28" t="s">
        <v>77</v>
      </c>
      <c r="G2477" s="28" t="s">
        <v>77</v>
      </c>
      <c r="I2477" s="26" t="s">
        <v>77</v>
      </c>
      <c r="J2477" s="26" t="s">
        <v>77</v>
      </c>
      <c r="K2477" s="18"/>
      <c r="L2477" s="26" t="s">
        <v>77</v>
      </c>
      <c r="M2477" s="6" t="s">
        <v>77</v>
      </c>
      <c r="N2477" s="28" t="s">
        <v>77</v>
      </c>
      <c r="O2477" s="26" t="s">
        <v>77</v>
      </c>
    </row>
    <row r="2478">
      <c r="A2478" s="52" t="s">
        <v>77</v>
      </c>
      <c r="B2478" s="28" t="s">
        <v>77</v>
      </c>
      <c r="C2478" s="28" t="s">
        <v>77</v>
      </c>
      <c r="D2478" s="28" t="s">
        <v>77</v>
      </c>
      <c r="E2478" s="28" t="s">
        <v>77</v>
      </c>
      <c r="F2478" s="28" t="s">
        <v>77</v>
      </c>
      <c r="G2478" s="28" t="s">
        <v>77</v>
      </c>
      <c r="I2478" s="26" t="s">
        <v>77</v>
      </c>
      <c r="J2478" s="26" t="s">
        <v>77</v>
      </c>
      <c r="K2478" s="18"/>
      <c r="L2478" s="26" t="s">
        <v>77</v>
      </c>
      <c r="M2478" s="6" t="s">
        <v>77</v>
      </c>
      <c r="N2478" s="28" t="s">
        <v>77</v>
      </c>
      <c r="O2478" s="26" t="s">
        <v>77</v>
      </c>
    </row>
    <row r="2479">
      <c r="A2479" s="52" t="s">
        <v>77</v>
      </c>
      <c r="B2479" s="28" t="s">
        <v>77</v>
      </c>
      <c r="C2479" s="28" t="s">
        <v>77</v>
      </c>
      <c r="D2479" s="28" t="s">
        <v>77</v>
      </c>
      <c r="E2479" s="28" t="s">
        <v>77</v>
      </c>
      <c r="F2479" s="28" t="s">
        <v>77</v>
      </c>
      <c r="G2479" s="28" t="s">
        <v>77</v>
      </c>
      <c r="I2479" s="26" t="s">
        <v>77</v>
      </c>
      <c r="J2479" s="26" t="s">
        <v>77</v>
      </c>
      <c r="K2479" s="18"/>
      <c r="L2479" s="26" t="s">
        <v>77</v>
      </c>
      <c r="M2479" s="6" t="s">
        <v>77</v>
      </c>
      <c r="N2479" s="28" t="s">
        <v>77</v>
      </c>
      <c r="O2479" s="26" t="s">
        <v>77</v>
      </c>
    </row>
    <row r="2480">
      <c r="A2480" s="52" t="s">
        <v>77</v>
      </c>
      <c r="B2480" s="28" t="s">
        <v>77</v>
      </c>
      <c r="C2480" s="28" t="s">
        <v>77</v>
      </c>
      <c r="D2480" s="28" t="s">
        <v>77</v>
      </c>
      <c r="E2480" s="28" t="s">
        <v>77</v>
      </c>
      <c r="F2480" s="28" t="s">
        <v>77</v>
      </c>
      <c r="G2480" s="28" t="s">
        <v>77</v>
      </c>
      <c r="I2480" s="26" t="s">
        <v>77</v>
      </c>
      <c r="J2480" s="26" t="s">
        <v>77</v>
      </c>
      <c r="K2480" s="18"/>
      <c r="L2480" s="26" t="s">
        <v>77</v>
      </c>
      <c r="M2480" s="6" t="s">
        <v>77</v>
      </c>
      <c r="N2480" s="28" t="s">
        <v>77</v>
      </c>
      <c r="O2480" s="26" t="s">
        <v>77</v>
      </c>
    </row>
    <row r="2481">
      <c r="A2481" s="52" t="s">
        <v>77</v>
      </c>
      <c r="B2481" s="28" t="s">
        <v>77</v>
      </c>
      <c r="C2481" s="28" t="s">
        <v>77</v>
      </c>
      <c r="D2481" s="28" t="s">
        <v>77</v>
      </c>
      <c r="E2481" s="28" t="s">
        <v>77</v>
      </c>
      <c r="F2481" s="28" t="s">
        <v>77</v>
      </c>
      <c r="G2481" s="28" t="s">
        <v>77</v>
      </c>
      <c r="I2481" s="26" t="s">
        <v>77</v>
      </c>
      <c r="J2481" s="26" t="s">
        <v>77</v>
      </c>
      <c r="K2481" s="18"/>
      <c r="L2481" s="26" t="s">
        <v>77</v>
      </c>
      <c r="M2481" s="6" t="s">
        <v>77</v>
      </c>
      <c r="N2481" s="28" t="s">
        <v>77</v>
      </c>
      <c r="O2481" s="26" t="s">
        <v>77</v>
      </c>
    </row>
    <row r="2482">
      <c r="A2482" s="52" t="s">
        <v>77</v>
      </c>
      <c r="B2482" s="28" t="s">
        <v>77</v>
      </c>
      <c r="C2482" s="28" t="s">
        <v>77</v>
      </c>
      <c r="D2482" s="28" t="s">
        <v>77</v>
      </c>
      <c r="E2482" s="28" t="s">
        <v>77</v>
      </c>
      <c r="F2482" s="28" t="s">
        <v>77</v>
      </c>
      <c r="G2482" s="28" t="s">
        <v>77</v>
      </c>
      <c r="I2482" s="26" t="s">
        <v>77</v>
      </c>
      <c r="J2482" s="26" t="s">
        <v>77</v>
      </c>
      <c r="K2482" s="18"/>
      <c r="L2482" s="26" t="s">
        <v>77</v>
      </c>
      <c r="M2482" s="6" t="s">
        <v>77</v>
      </c>
      <c r="N2482" s="28" t="s">
        <v>77</v>
      </c>
      <c r="O2482" s="26" t="s">
        <v>77</v>
      </c>
    </row>
    <row r="2483">
      <c r="A2483" s="52" t="s">
        <v>77</v>
      </c>
      <c r="B2483" s="28" t="s">
        <v>77</v>
      </c>
      <c r="C2483" s="28" t="s">
        <v>77</v>
      </c>
      <c r="D2483" s="28" t="s">
        <v>77</v>
      </c>
      <c r="E2483" s="28" t="s">
        <v>77</v>
      </c>
      <c r="F2483" s="28" t="s">
        <v>77</v>
      </c>
      <c r="G2483" s="28" t="s">
        <v>77</v>
      </c>
      <c r="I2483" s="26" t="s">
        <v>77</v>
      </c>
      <c r="J2483" s="26" t="s">
        <v>77</v>
      </c>
      <c r="K2483" s="18"/>
      <c r="L2483" s="26" t="s">
        <v>77</v>
      </c>
      <c r="M2483" s="6" t="s">
        <v>77</v>
      </c>
      <c r="N2483" s="28" t="s">
        <v>77</v>
      </c>
      <c r="O2483" s="26" t="s">
        <v>77</v>
      </c>
    </row>
    <row r="2484">
      <c r="A2484" s="52" t="s">
        <v>77</v>
      </c>
      <c r="B2484" s="28" t="s">
        <v>77</v>
      </c>
      <c r="C2484" s="28" t="s">
        <v>77</v>
      </c>
      <c r="D2484" s="28" t="s">
        <v>77</v>
      </c>
      <c r="E2484" s="28" t="s">
        <v>77</v>
      </c>
      <c r="F2484" s="28" t="s">
        <v>77</v>
      </c>
      <c r="G2484" s="28" t="s">
        <v>77</v>
      </c>
      <c r="I2484" s="26" t="s">
        <v>77</v>
      </c>
      <c r="J2484" s="26" t="s">
        <v>77</v>
      </c>
      <c r="K2484" s="18"/>
      <c r="L2484" s="26" t="s">
        <v>77</v>
      </c>
      <c r="M2484" s="6" t="s">
        <v>77</v>
      </c>
      <c r="N2484" s="28" t="s">
        <v>77</v>
      </c>
      <c r="O2484" s="26" t="s">
        <v>77</v>
      </c>
    </row>
    <row r="2485">
      <c r="A2485" s="52" t="s">
        <v>77</v>
      </c>
      <c r="B2485" s="28" t="s">
        <v>77</v>
      </c>
      <c r="C2485" s="28" t="s">
        <v>77</v>
      </c>
      <c r="D2485" s="28" t="s">
        <v>77</v>
      </c>
      <c r="E2485" s="28" t="s">
        <v>77</v>
      </c>
      <c r="F2485" s="28" t="s">
        <v>77</v>
      </c>
      <c r="G2485" s="28" t="s">
        <v>77</v>
      </c>
      <c r="I2485" s="26" t="s">
        <v>77</v>
      </c>
      <c r="J2485" s="26" t="s">
        <v>77</v>
      </c>
      <c r="K2485" s="18"/>
      <c r="L2485" s="26" t="s">
        <v>77</v>
      </c>
      <c r="M2485" s="6" t="s">
        <v>77</v>
      </c>
      <c r="N2485" s="28" t="s">
        <v>77</v>
      </c>
      <c r="O2485" s="26" t="s">
        <v>77</v>
      </c>
    </row>
    <row r="2486">
      <c r="A2486" s="52" t="s">
        <v>77</v>
      </c>
      <c r="B2486" s="28" t="s">
        <v>77</v>
      </c>
      <c r="C2486" s="28" t="s">
        <v>77</v>
      </c>
      <c r="D2486" s="28" t="s">
        <v>77</v>
      </c>
      <c r="E2486" s="28" t="s">
        <v>77</v>
      </c>
      <c r="F2486" s="28" t="s">
        <v>77</v>
      </c>
      <c r="G2486" s="28" t="s">
        <v>77</v>
      </c>
      <c r="I2486" s="26" t="s">
        <v>77</v>
      </c>
      <c r="J2486" s="26" t="s">
        <v>77</v>
      </c>
      <c r="K2486" s="18"/>
      <c r="L2486" s="26" t="s">
        <v>77</v>
      </c>
      <c r="M2486" s="6" t="s">
        <v>77</v>
      </c>
      <c r="N2486" s="28" t="s">
        <v>77</v>
      </c>
      <c r="O2486" s="26" t="s">
        <v>77</v>
      </c>
    </row>
    <row r="2487">
      <c r="A2487" s="52" t="s">
        <v>77</v>
      </c>
      <c r="B2487" s="28" t="s">
        <v>77</v>
      </c>
      <c r="C2487" s="28" t="s">
        <v>77</v>
      </c>
      <c r="D2487" s="28" t="s">
        <v>77</v>
      </c>
      <c r="E2487" s="28" t="s">
        <v>77</v>
      </c>
      <c r="F2487" s="28" t="s">
        <v>77</v>
      </c>
      <c r="G2487" s="28" t="s">
        <v>77</v>
      </c>
      <c r="I2487" s="26" t="s">
        <v>77</v>
      </c>
      <c r="J2487" s="26" t="s">
        <v>77</v>
      </c>
      <c r="K2487" s="18"/>
      <c r="L2487" s="26" t="s">
        <v>77</v>
      </c>
      <c r="M2487" s="6" t="s">
        <v>77</v>
      </c>
      <c r="N2487" s="28" t="s">
        <v>77</v>
      </c>
      <c r="O2487" s="26" t="s">
        <v>77</v>
      </c>
    </row>
    <row r="2488">
      <c r="A2488" s="52" t="s">
        <v>77</v>
      </c>
      <c r="B2488" s="28" t="s">
        <v>77</v>
      </c>
      <c r="C2488" s="28" t="s">
        <v>77</v>
      </c>
      <c r="D2488" s="28" t="s">
        <v>77</v>
      </c>
      <c r="E2488" s="28" t="s">
        <v>77</v>
      </c>
      <c r="F2488" s="28" t="s">
        <v>77</v>
      </c>
      <c r="G2488" s="28" t="s">
        <v>77</v>
      </c>
      <c r="I2488" s="26" t="s">
        <v>77</v>
      </c>
      <c r="J2488" s="26" t="s">
        <v>77</v>
      </c>
      <c r="K2488" s="18"/>
      <c r="L2488" s="26" t="s">
        <v>77</v>
      </c>
      <c r="M2488" s="6" t="s">
        <v>77</v>
      </c>
      <c r="N2488" s="28" t="s">
        <v>77</v>
      </c>
      <c r="O2488" s="26" t="s">
        <v>77</v>
      </c>
    </row>
    <row r="2489">
      <c r="A2489" s="52" t="s">
        <v>77</v>
      </c>
      <c r="B2489" s="28" t="s">
        <v>77</v>
      </c>
      <c r="C2489" s="28" t="s">
        <v>77</v>
      </c>
      <c r="D2489" s="28" t="s">
        <v>77</v>
      </c>
      <c r="E2489" s="28" t="s">
        <v>77</v>
      </c>
      <c r="F2489" s="28" t="s">
        <v>77</v>
      </c>
      <c r="G2489" s="28" t="s">
        <v>77</v>
      </c>
      <c r="I2489" s="26" t="s">
        <v>77</v>
      </c>
      <c r="J2489" s="26" t="s">
        <v>77</v>
      </c>
      <c r="K2489" s="18"/>
      <c r="L2489" s="26" t="s">
        <v>77</v>
      </c>
      <c r="M2489" s="6" t="s">
        <v>77</v>
      </c>
      <c r="N2489" s="28" t="s">
        <v>77</v>
      </c>
      <c r="O2489" s="26" t="s">
        <v>77</v>
      </c>
    </row>
    <row r="2490">
      <c r="A2490" s="52" t="s">
        <v>77</v>
      </c>
      <c r="B2490" s="28" t="s">
        <v>77</v>
      </c>
      <c r="C2490" s="28" t="s">
        <v>77</v>
      </c>
      <c r="D2490" s="28" t="s">
        <v>77</v>
      </c>
      <c r="E2490" s="28" t="s">
        <v>77</v>
      </c>
      <c r="F2490" s="28" t="s">
        <v>77</v>
      </c>
      <c r="G2490" s="28" t="s">
        <v>77</v>
      </c>
      <c r="I2490" s="26" t="s">
        <v>77</v>
      </c>
      <c r="J2490" s="26" t="s">
        <v>77</v>
      </c>
      <c r="K2490" s="18"/>
      <c r="L2490" s="26" t="s">
        <v>77</v>
      </c>
      <c r="M2490" s="6" t="s">
        <v>77</v>
      </c>
      <c r="N2490" s="28" t="s">
        <v>77</v>
      </c>
      <c r="O2490" s="26" t="s">
        <v>77</v>
      </c>
    </row>
    <row r="2491">
      <c r="A2491" s="52" t="s">
        <v>77</v>
      </c>
      <c r="B2491" s="28" t="s">
        <v>77</v>
      </c>
      <c r="C2491" s="28" t="s">
        <v>77</v>
      </c>
      <c r="D2491" s="28" t="s">
        <v>77</v>
      </c>
      <c r="E2491" s="28" t="s">
        <v>77</v>
      </c>
      <c r="F2491" s="28" t="s">
        <v>77</v>
      </c>
      <c r="G2491" s="28" t="s">
        <v>77</v>
      </c>
      <c r="I2491" s="26" t="s">
        <v>77</v>
      </c>
      <c r="J2491" s="26" t="s">
        <v>77</v>
      </c>
      <c r="K2491" s="18"/>
      <c r="L2491" s="26" t="s">
        <v>77</v>
      </c>
      <c r="M2491" s="6" t="s">
        <v>77</v>
      </c>
      <c r="N2491" s="28" t="s">
        <v>77</v>
      </c>
      <c r="O2491" s="26" t="s">
        <v>77</v>
      </c>
    </row>
    <row r="2492">
      <c r="A2492" s="52" t="s">
        <v>77</v>
      </c>
      <c r="B2492" s="28" t="s">
        <v>77</v>
      </c>
      <c r="C2492" s="28" t="s">
        <v>77</v>
      </c>
      <c r="D2492" s="28" t="s">
        <v>77</v>
      </c>
      <c r="E2492" s="28" t="s">
        <v>77</v>
      </c>
      <c r="F2492" s="28" t="s">
        <v>77</v>
      </c>
      <c r="G2492" s="28" t="s">
        <v>77</v>
      </c>
      <c r="I2492" s="26" t="s">
        <v>77</v>
      </c>
      <c r="J2492" s="26" t="s">
        <v>77</v>
      </c>
      <c r="K2492" s="18"/>
      <c r="L2492" s="26" t="s">
        <v>77</v>
      </c>
      <c r="M2492" s="6" t="s">
        <v>77</v>
      </c>
      <c r="N2492" s="28" t="s">
        <v>77</v>
      </c>
      <c r="O2492" s="26" t="s">
        <v>77</v>
      </c>
    </row>
    <row r="2493">
      <c r="A2493" s="52" t="s">
        <v>77</v>
      </c>
      <c r="B2493" s="28" t="s">
        <v>77</v>
      </c>
      <c r="C2493" s="28" t="s">
        <v>77</v>
      </c>
      <c r="D2493" s="28" t="s">
        <v>77</v>
      </c>
      <c r="E2493" s="28" t="s">
        <v>77</v>
      </c>
      <c r="F2493" s="28" t="s">
        <v>77</v>
      </c>
      <c r="G2493" s="28" t="s">
        <v>77</v>
      </c>
      <c r="I2493" s="26" t="s">
        <v>77</v>
      </c>
      <c r="J2493" s="26" t="s">
        <v>77</v>
      </c>
      <c r="K2493" s="18"/>
      <c r="L2493" s="26" t="s">
        <v>77</v>
      </c>
      <c r="M2493" s="6" t="s">
        <v>77</v>
      </c>
      <c r="N2493" s="28" t="s">
        <v>77</v>
      </c>
      <c r="O2493" s="26" t="s">
        <v>77</v>
      </c>
    </row>
    <row r="2494">
      <c r="A2494" s="52" t="s">
        <v>77</v>
      </c>
      <c r="B2494" s="28" t="s">
        <v>77</v>
      </c>
      <c r="C2494" s="28" t="s">
        <v>77</v>
      </c>
      <c r="D2494" s="28" t="s">
        <v>77</v>
      </c>
      <c r="E2494" s="28" t="s">
        <v>77</v>
      </c>
      <c r="F2494" s="28" t="s">
        <v>77</v>
      </c>
      <c r="G2494" s="28" t="s">
        <v>77</v>
      </c>
      <c r="I2494" s="26" t="s">
        <v>77</v>
      </c>
      <c r="J2494" s="26" t="s">
        <v>77</v>
      </c>
      <c r="K2494" s="18"/>
      <c r="L2494" s="26" t="s">
        <v>77</v>
      </c>
      <c r="M2494" s="6" t="s">
        <v>77</v>
      </c>
      <c r="N2494" s="28" t="s">
        <v>77</v>
      </c>
      <c r="O2494" s="26" t="s">
        <v>77</v>
      </c>
    </row>
    <row r="2495">
      <c r="A2495" s="52" t="s">
        <v>77</v>
      </c>
      <c r="B2495" s="28" t="s">
        <v>77</v>
      </c>
      <c r="C2495" s="28" t="s">
        <v>77</v>
      </c>
      <c r="D2495" s="28" t="s">
        <v>77</v>
      </c>
      <c r="E2495" s="28" t="s">
        <v>77</v>
      </c>
      <c r="F2495" s="28" t="s">
        <v>77</v>
      </c>
      <c r="G2495" s="28" t="s">
        <v>77</v>
      </c>
      <c r="I2495" s="26" t="s">
        <v>77</v>
      </c>
      <c r="J2495" s="26" t="s">
        <v>77</v>
      </c>
      <c r="K2495" s="18"/>
      <c r="L2495" s="26" t="s">
        <v>77</v>
      </c>
      <c r="M2495" s="6" t="s">
        <v>77</v>
      </c>
      <c r="N2495" s="28" t="s">
        <v>77</v>
      </c>
      <c r="O2495" s="26" t="s">
        <v>77</v>
      </c>
    </row>
    <row r="2496">
      <c r="A2496" s="52" t="s">
        <v>77</v>
      </c>
      <c r="B2496" s="28" t="s">
        <v>77</v>
      </c>
      <c r="C2496" s="28" t="s">
        <v>77</v>
      </c>
      <c r="D2496" s="28" t="s">
        <v>77</v>
      </c>
      <c r="E2496" s="28" t="s">
        <v>77</v>
      </c>
      <c r="F2496" s="28" t="s">
        <v>77</v>
      </c>
      <c r="G2496" s="28" t="s">
        <v>77</v>
      </c>
      <c r="I2496" s="26" t="s">
        <v>77</v>
      </c>
      <c r="J2496" s="26" t="s">
        <v>77</v>
      </c>
      <c r="K2496" s="18"/>
      <c r="L2496" s="26" t="s">
        <v>77</v>
      </c>
      <c r="M2496" s="6" t="s">
        <v>77</v>
      </c>
      <c r="N2496" s="28" t="s">
        <v>77</v>
      </c>
      <c r="O2496" s="26" t="s">
        <v>77</v>
      </c>
    </row>
    <row r="2497">
      <c r="A2497" s="52" t="s">
        <v>77</v>
      </c>
      <c r="B2497" s="28" t="s">
        <v>77</v>
      </c>
      <c r="C2497" s="28" t="s">
        <v>77</v>
      </c>
      <c r="D2497" s="28" t="s">
        <v>77</v>
      </c>
      <c r="E2497" s="28" t="s">
        <v>77</v>
      </c>
      <c r="F2497" s="28" t="s">
        <v>77</v>
      </c>
      <c r="G2497" s="28" t="s">
        <v>77</v>
      </c>
      <c r="I2497" s="26" t="s">
        <v>77</v>
      </c>
      <c r="J2497" s="26" t="s">
        <v>77</v>
      </c>
      <c r="K2497" s="18"/>
      <c r="L2497" s="26" t="s">
        <v>77</v>
      </c>
      <c r="M2497" s="6" t="s">
        <v>77</v>
      </c>
      <c r="N2497" s="28" t="s">
        <v>77</v>
      </c>
      <c r="O2497" s="26" t="s">
        <v>77</v>
      </c>
    </row>
    <row r="2498">
      <c r="A2498" s="52" t="s">
        <v>77</v>
      </c>
      <c r="B2498" s="28" t="s">
        <v>77</v>
      </c>
      <c r="C2498" s="28" t="s">
        <v>77</v>
      </c>
      <c r="D2498" s="28" t="s">
        <v>77</v>
      </c>
      <c r="E2498" s="28" t="s">
        <v>77</v>
      </c>
      <c r="F2498" s="28" t="s">
        <v>77</v>
      </c>
      <c r="G2498" s="28" t="s">
        <v>77</v>
      </c>
      <c r="I2498" s="26" t="s">
        <v>77</v>
      </c>
      <c r="J2498" s="26" t="s">
        <v>77</v>
      </c>
      <c r="K2498" s="18"/>
      <c r="L2498" s="26" t="s">
        <v>77</v>
      </c>
      <c r="M2498" s="6" t="s">
        <v>77</v>
      </c>
      <c r="N2498" s="28" t="s">
        <v>77</v>
      </c>
      <c r="O2498" s="26" t="s">
        <v>77</v>
      </c>
    </row>
    <row r="2499">
      <c r="A2499" s="52" t="s">
        <v>77</v>
      </c>
      <c r="B2499" s="28" t="s">
        <v>77</v>
      </c>
      <c r="C2499" s="28" t="s">
        <v>77</v>
      </c>
      <c r="D2499" s="28" t="s">
        <v>77</v>
      </c>
      <c r="E2499" s="28" t="s">
        <v>77</v>
      </c>
      <c r="F2499" s="28" t="s">
        <v>77</v>
      </c>
      <c r="G2499" s="28" t="s">
        <v>77</v>
      </c>
      <c r="I2499" s="26" t="s">
        <v>77</v>
      </c>
      <c r="J2499" s="26" t="s">
        <v>77</v>
      </c>
      <c r="K2499" s="18"/>
      <c r="L2499" s="26" t="s">
        <v>77</v>
      </c>
      <c r="M2499" s="6" t="s">
        <v>77</v>
      </c>
      <c r="N2499" s="28" t="s">
        <v>77</v>
      </c>
      <c r="O2499" s="26" t="s">
        <v>77</v>
      </c>
    </row>
    <row r="2500">
      <c r="A2500" s="52" t="s">
        <v>77</v>
      </c>
      <c r="B2500" s="28" t="s">
        <v>77</v>
      </c>
      <c r="C2500" s="28" t="s">
        <v>77</v>
      </c>
      <c r="D2500" s="28" t="s">
        <v>77</v>
      </c>
      <c r="E2500" s="28" t="s">
        <v>77</v>
      </c>
      <c r="F2500" s="28" t="s">
        <v>77</v>
      </c>
      <c r="G2500" s="28" t="s">
        <v>77</v>
      </c>
      <c r="I2500" s="26" t="s">
        <v>77</v>
      </c>
      <c r="J2500" s="26" t="s">
        <v>77</v>
      </c>
      <c r="K2500" s="18"/>
      <c r="L2500" s="26" t="s">
        <v>77</v>
      </c>
      <c r="M2500" s="6" t="s">
        <v>77</v>
      </c>
      <c r="N2500" s="28" t="s">
        <v>77</v>
      </c>
      <c r="O2500" s="26" t="s">
        <v>77</v>
      </c>
    </row>
    <row r="2501">
      <c r="A2501" s="52" t="s">
        <v>77</v>
      </c>
      <c r="B2501" s="28" t="s">
        <v>77</v>
      </c>
      <c r="C2501" s="28" t="s">
        <v>77</v>
      </c>
      <c r="D2501" s="28" t="s">
        <v>77</v>
      </c>
      <c r="E2501" s="28" t="s">
        <v>77</v>
      </c>
      <c r="F2501" s="28" t="s">
        <v>77</v>
      </c>
      <c r="G2501" s="28" t="s">
        <v>77</v>
      </c>
      <c r="I2501" s="26" t="s">
        <v>77</v>
      </c>
      <c r="J2501" s="26" t="s">
        <v>77</v>
      </c>
      <c r="K2501" s="18"/>
      <c r="L2501" s="26" t="s">
        <v>77</v>
      </c>
      <c r="M2501" s="6" t="s">
        <v>77</v>
      </c>
      <c r="N2501" s="28" t="s">
        <v>77</v>
      </c>
      <c r="O2501" s="26" t="s">
        <v>77</v>
      </c>
    </row>
    <row r="2502">
      <c r="A2502" s="52" t="s">
        <v>77</v>
      </c>
      <c r="B2502" s="28" t="s">
        <v>77</v>
      </c>
      <c r="C2502" s="28" t="s">
        <v>77</v>
      </c>
      <c r="D2502" s="28" t="s">
        <v>77</v>
      </c>
      <c r="E2502" s="28" t="s">
        <v>77</v>
      </c>
      <c r="F2502" s="28" t="s">
        <v>77</v>
      </c>
      <c r="G2502" s="28" t="s">
        <v>77</v>
      </c>
      <c r="I2502" s="26" t="s">
        <v>77</v>
      </c>
      <c r="J2502" s="26" t="s">
        <v>77</v>
      </c>
      <c r="K2502" s="18"/>
      <c r="L2502" s="26" t="s">
        <v>77</v>
      </c>
      <c r="M2502" s="6" t="s">
        <v>77</v>
      </c>
      <c r="N2502" s="28" t="s">
        <v>77</v>
      </c>
      <c r="O2502" s="26" t="s">
        <v>77</v>
      </c>
    </row>
    <row r="2503">
      <c r="A2503" s="52" t="s">
        <v>77</v>
      </c>
      <c r="B2503" s="28" t="s">
        <v>77</v>
      </c>
      <c r="C2503" s="28" t="s">
        <v>77</v>
      </c>
      <c r="D2503" s="28" t="s">
        <v>77</v>
      </c>
      <c r="E2503" s="28" t="s">
        <v>77</v>
      </c>
      <c r="F2503" s="28" t="s">
        <v>77</v>
      </c>
      <c r="G2503" s="28" t="s">
        <v>77</v>
      </c>
      <c r="I2503" s="26" t="s">
        <v>77</v>
      </c>
      <c r="J2503" s="26" t="s">
        <v>77</v>
      </c>
      <c r="K2503" s="18"/>
      <c r="L2503" s="26" t="s">
        <v>77</v>
      </c>
      <c r="M2503" s="6" t="s">
        <v>77</v>
      </c>
      <c r="N2503" s="28" t="s">
        <v>77</v>
      </c>
      <c r="O2503" s="26" t="s">
        <v>77</v>
      </c>
    </row>
    <row r="2504">
      <c r="A2504" s="52" t="s">
        <v>77</v>
      </c>
      <c r="B2504" s="28" t="s">
        <v>77</v>
      </c>
      <c r="C2504" s="28" t="s">
        <v>77</v>
      </c>
      <c r="D2504" s="28" t="s">
        <v>77</v>
      </c>
      <c r="E2504" s="28" t="s">
        <v>77</v>
      </c>
      <c r="F2504" s="28" t="s">
        <v>77</v>
      </c>
      <c r="G2504" s="28" t="s">
        <v>77</v>
      </c>
      <c r="I2504" s="26" t="s">
        <v>77</v>
      </c>
      <c r="J2504" s="26" t="s">
        <v>77</v>
      </c>
      <c r="K2504" s="18"/>
      <c r="L2504" s="26" t="s">
        <v>77</v>
      </c>
      <c r="M2504" s="6" t="s">
        <v>77</v>
      </c>
      <c r="N2504" s="28" t="s">
        <v>77</v>
      </c>
      <c r="O2504" s="26" t="s">
        <v>77</v>
      </c>
    </row>
    <row r="2505">
      <c r="A2505" s="52" t="s">
        <v>77</v>
      </c>
      <c r="B2505" s="28" t="s">
        <v>77</v>
      </c>
      <c r="C2505" s="28" t="s">
        <v>77</v>
      </c>
      <c r="D2505" s="28" t="s">
        <v>77</v>
      </c>
      <c r="E2505" s="28" t="s">
        <v>77</v>
      </c>
      <c r="F2505" s="28" t="s">
        <v>77</v>
      </c>
      <c r="G2505" s="28" t="s">
        <v>77</v>
      </c>
      <c r="I2505" s="26" t="s">
        <v>77</v>
      </c>
      <c r="J2505" s="26" t="s">
        <v>77</v>
      </c>
      <c r="K2505" s="18"/>
      <c r="L2505" s="26" t="s">
        <v>77</v>
      </c>
      <c r="M2505" s="6" t="s">
        <v>77</v>
      </c>
      <c r="N2505" s="28" t="s">
        <v>77</v>
      </c>
      <c r="O2505" s="26" t="s">
        <v>77</v>
      </c>
    </row>
    <row r="2506">
      <c r="A2506" s="52" t="s">
        <v>77</v>
      </c>
      <c r="B2506" s="28" t="s">
        <v>77</v>
      </c>
      <c r="C2506" s="28" t="s">
        <v>77</v>
      </c>
      <c r="D2506" s="28" t="s">
        <v>77</v>
      </c>
      <c r="E2506" s="28" t="s">
        <v>77</v>
      </c>
      <c r="F2506" s="28" t="s">
        <v>77</v>
      </c>
      <c r="G2506" s="28" t="s">
        <v>77</v>
      </c>
      <c r="I2506" s="26" t="s">
        <v>77</v>
      </c>
      <c r="J2506" s="26" t="s">
        <v>77</v>
      </c>
      <c r="K2506" s="18"/>
      <c r="L2506" s="26" t="s">
        <v>77</v>
      </c>
      <c r="M2506" s="6" t="s">
        <v>77</v>
      </c>
      <c r="N2506" s="28" t="s">
        <v>77</v>
      </c>
      <c r="O2506" s="26" t="s">
        <v>77</v>
      </c>
    </row>
    <row r="2507">
      <c r="A2507" s="52" t="s">
        <v>77</v>
      </c>
      <c r="B2507" s="28" t="s">
        <v>77</v>
      </c>
      <c r="C2507" s="28" t="s">
        <v>77</v>
      </c>
      <c r="D2507" s="28" t="s">
        <v>77</v>
      </c>
      <c r="E2507" s="28" t="s">
        <v>77</v>
      </c>
      <c r="F2507" s="28" t="s">
        <v>77</v>
      </c>
      <c r="G2507" s="28" t="s">
        <v>77</v>
      </c>
      <c r="I2507" s="26" t="s">
        <v>77</v>
      </c>
      <c r="J2507" s="26" t="s">
        <v>77</v>
      </c>
      <c r="K2507" s="18"/>
      <c r="L2507" s="26" t="s">
        <v>77</v>
      </c>
      <c r="M2507" s="6" t="s">
        <v>77</v>
      </c>
      <c r="N2507" s="28" t="s">
        <v>77</v>
      </c>
      <c r="O2507" s="26" t="s">
        <v>77</v>
      </c>
    </row>
    <row r="2508">
      <c r="A2508" s="52" t="s">
        <v>77</v>
      </c>
      <c r="B2508" s="28" t="s">
        <v>77</v>
      </c>
      <c r="C2508" s="28" t="s">
        <v>77</v>
      </c>
      <c r="D2508" s="28" t="s">
        <v>77</v>
      </c>
      <c r="E2508" s="28" t="s">
        <v>77</v>
      </c>
      <c r="F2508" s="28" t="s">
        <v>77</v>
      </c>
      <c r="G2508" s="28" t="s">
        <v>77</v>
      </c>
      <c r="I2508" s="26" t="s">
        <v>77</v>
      </c>
      <c r="J2508" s="26" t="s">
        <v>77</v>
      </c>
      <c r="K2508" s="18"/>
      <c r="L2508" s="26" t="s">
        <v>77</v>
      </c>
      <c r="M2508" s="6" t="s">
        <v>77</v>
      </c>
      <c r="N2508" s="28" t="s">
        <v>77</v>
      </c>
      <c r="O2508" s="26" t="s">
        <v>77</v>
      </c>
    </row>
    <row r="2509">
      <c r="A2509" s="52" t="s">
        <v>77</v>
      </c>
      <c r="B2509" s="28" t="s">
        <v>77</v>
      </c>
      <c r="C2509" s="28" t="s">
        <v>77</v>
      </c>
      <c r="D2509" s="28" t="s">
        <v>77</v>
      </c>
      <c r="E2509" s="28" t="s">
        <v>77</v>
      </c>
      <c r="F2509" s="28" t="s">
        <v>77</v>
      </c>
      <c r="G2509" s="28" t="s">
        <v>77</v>
      </c>
      <c r="I2509" s="26" t="s">
        <v>77</v>
      </c>
      <c r="J2509" s="26" t="s">
        <v>77</v>
      </c>
      <c r="K2509" s="18"/>
      <c r="L2509" s="26" t="s">
        <v>77</v>
      </c>
      <c r="M2509" s="6" t="s">
        <v>77</v>
      </c>
      <c r="N2509" s="28" t="s">
        <v>77</v>
      </c>
      <c r="O2509" s="26" t="s">
        <v>77</v>
      </c>
    </row>
    <row r="2510">
      <c r="A2510" s="52" t="s">
        <v>77</v>
      </c>
      <c r="B2510" s="28" t="s">
        <v>77</v>
      </c>
      <c r="C2510" s="28" t="s">
        <v>77</v>
      </c>
      <c r="D2510" s="28" t="s">
        <v>77</v>
      </c>
      <c r="E2510" s="28" t="s">
        <v>77</v>
      </c>
      <c r="F2510" s="28" t="s">
        <v>77</v>
      </c>
      <c r="G2510" s="28" t="s">
        <v>77</v>
      </c>
      <c r="I2510" s="26" t="s">
        <v>77</v>
      </c>
      <c r="J2510" s="26" t="s">
        <v>77</v>
      </c>
      <c r="K2510" s="18"/>
      <c r="L2510" s="26" t="s">
        <v>77</v>
      </c>
      <c r="M2510" s="6" t="s">
        <v>77</v>
      </c>
      <c r="N2510" s="28" t="s">
        <v>77</v>
      </c>
      <c r="O2510" s="26" t="s">
        <v>77</v>
      </c>
    </row>
    <row r="2511">
      <c r="A2511" s="52" t="s">
        <v>77</v>
      </c>
      <c r="B2511" s="28" t="s">
        <v>77</v>
      </c>
      <c r="C2511" s="28" t="s">
        <v>77</v>
      </c>
      <c r="D2511" s="28" t="s">
        <v>77</v>
      </c>
      <c r="E2511" s="28" t="s">
        <v>77</v>
      </c>
      <c r="F2511" s="28" t="s">
        <v>77</v>
      </c>
      <c r="G2511" s="28" t="s">
        <v>77</v>
      </c>
      <c r="I2511" s="26" t="s">
        <v>77</v>
      </c>
      <c r="J2511" s="26" t="s">
        <v>77</v>
      </c>
      <c r="K2511" s="18"/>
      <c r="L2511" s="26" t="s">
        <v>77</v>
      </c>
      <c r="M2511" s="6" t="s">
        <v>77</v>
      </c>
      <c r="N2511" s="28" t="s">
        <v>77</v>
      </c>
      <c r="O2511" s="26" t="s">
        <v>77</v>
      </c>
    </row>
    <row r="2512">
      <c r="A2512" s="52" t="s">
        <v>77</v>
      </c>
      <c r="B2512" s="28" t="s">
        <v>77</v>
      </c>
      <c r="C2512" s="28" t="s">
        <v>77</v>
      </c>
      <c r="D2512" s="28" t="s">
        <v>77</v>
      </c>
      <c r="E2512" s="28" t="s">
        <v>77</v>
      </c>
      <c r="F2512" s="28" t="s">
        <v>77</v>
      </c>
      <c r="G2512" s="28" t="s">
        <v>77</v>
      </c>
      <c r="I2512" s="26" t="s">
        <v>77</v>
      </c>
      <c r="J2512" s="26" t="s">
        <v>77</v>
      </c>
      <c r="K2512" s="18"/>
      <c r="L2512" s="26" t="s">
        <v>77</v>
      </c>
      <c r="M2512" s="6" t="s">
        <v>77</v>
      </c>
      <c r="N2512" s="28" t="s">
        <v>77</v>
      </c>
      <c r="O2512" s="26" t="s">
        <v>77</v>
      </c>
    </row>
    <row r="2513">
      <c r="A2513" s="52" t="s">
        <v>77</v>
      </c>
      <c r="B2513" s="28" t="s">
        <v>77</v>
      </c>
      <c r="C2513" s="28" t="s">
        <v>77</v>
      </c>
      <c r="D2513" s="28" t="s">
        <v>77</v>
      </c>
      <c r="E2513" s="28" t="s">
        <v>77</v>
      </c>
      <c r="F2513" s="28" t="s">
        <v>77</v>
      </c>
      <c r="G2513" s="28" t="s">
        <v>77</v>
      </c>
      <c r="I2513" s="26" t="s">
        <v>77</v>
      </c>
      <c r="J2513" s="26" t="s">
        <v>77</v>
      </c>
      <c r="K2513" s="18"/>
      <c r="L2513" s="26" t="s">
        <v>77</v>
      </c>
      <c r="M2513" s="6" t="s">
        <v>77</v>
      </c>
      <c r="N2513" s="28" t="s">
        <v>77</v>
      </c>
      <c r="O2513" s="26" t="s">
        <v>77</v>
      </c>
    </row>
    <row r="2514">
      <c r="A2514" s="52" t="s">
        <v>77</v>
      </c>
      <c r="B2514" s="28" t="s">
        <v>77</v>
      </c>
      <c r="C2514" s="28" t="s">
        <v>77</v>
      </c>
      <c r="D2514" s="28" t="s">
        <v>77</v>
      </c>
      <c r="E2514" s="28" t="s">
        <v>77</v>
      </c>
      <c r="F2514" s="28" t="s">
        <v>77</v>
      </c>
      <c r="G2514" s="28" t="s">
        <v>77</v>
      </c>
      <c r="I2514" s="26" t="s">
        <v>77</v>
      </c>
      <c r="J2514" s="26" t="s">
        <v>77</v>
      </c>
      <c r="K2514" s="18"/>
      <c r="L2514" s="26" t="s">
        <v>77</v>
      </c>
      <c r="M2514" s="6" t="s">
        <v>77</v>
      </c>
      <c r="N2514" s="28" t="s">
        <v>77</v>
      </c>
      <c r="O2514" s="26" t="s">
        <v>77</v>
      </c>
    </row>
    <row r="2515">
      <c r="A2515" s="52" t="s">
        <v>77</v>
      </c>
      <c r="B2515" s="28" t="s">
        <v>77</v>
      </c>
      <c r="C2515" s="28" t="s">
        <v>77</v>
      </c>
      <c r="D2515" s="28" t="s">
        <v>77</v>
      </c>
      <c r="E2515" s="28" t="s">
        <v>77</v>
      </c>
      <c r="F2515" s="28" t="s">
        <v>77</v>
      </c>
      <c r="G2515" s="28" t="s">
        <v>77</v>
      </c>
      <c r="I2515" s="26" t="s">
        <v>77</v>
      </c>
      <c r="J2515" s="26" t="s">
        <v>77</v>
      </c>
      <c r="K2515" s="18"/>
      <c r="L2515" s="26" t="s">
        <v>77</v>
      </c>
      <c r="M2515" s="6" t="s">
        <v>77</v>
      </c>
      <c r="N2515" s="28" t="s">
        <v>77</v>
      </c>
      <c r="O2515" s="26" t="s">
        <v>77</v>
      </c>
    </row>
    <row r="2516">
      <c r="A2516" s="52" t="s">
        <v>77</v>
      </c>
      <c r="B2516" s="28" t="s">
        <v>77</v>
      </c>
      <c r="C2516" s="28" t="s">
        <v>77</v>
      </c>
      <c r="D2516" s="28" t="s">
        <v>77</v>
      </c>
      <c r="E2516" s="28" t="s">
        <v>77</v>
      </c>
      <c r="F2516" s="28" t="s">
        <v>77</v>
      </c>
      <c r="G2516" s="28" t="s">
        <v>77</v>
      </c>
      <c r="I2516" s="26" t="s">
        <v>77</v>
      </c>
      <c r="J2516" s="26" t="s">
        <v>77</v>
      </c>
      <c r="K2516" s="18"/>
      <c r="L2516" s="26" t="s">
        <v>77</v>
      </c>
      <c r="M2516" s="6" t="s">
        <v>77</v>
      </c>
      <c r="N2516" s="28" t="s">
        <v>77</v>
      </c>
      <c r="O2516" s="26" t="s">
        <v>77</v>
      </c>
    </row>
    <row r="2517">
      <c r="A2517" s="52" t="s">
        <v>77</v>
      </c>
      <c r="B2517" s="28" t="s">
        <v>77</v>
      </c>
      <c r="C2517" s="28" t="s">
        <v>77</v>
      </c>
      <c r="D2517" s="28" t="s">
        <v>77</v>
      </c>
      <c r="E2517" s="28" t="s">
        <v>77</v>
      </c>
      <c r="F2517" s="28" t="s">
        <v>77</v>
      </c>
      <c r="G2517" s="28" t="s">
        <v>77</v>
      </c>
      <c r="I2517" s="26" t="s">
        <v>77</v>
      </c>
      <c r="J2517" s="26" t="s">
        <v>77</v>
      </c>
      <c r="K2517" s="18"/>
      <c r="L2517" s="26" t="s">
        <v>77</v>
      </c>
      <c r="M2517" s="6" t="s">
        <v>77</v>
      </c>
      <c r="N2517" s="28" t="s">
        <v>77</v>
      </c>
      <c r="O2517" s="26" t="s">
        <v>77</v>
      </c>
    </row>
    <row r="2518">
      <c r="A2518" s="52" t="s">
        <v>77</v>
      </c>
      <c r="B2518" s="28" t="s">
        <v>77</v>
      </c>
      <c r="C2518" s="28" t="s">
        <v>77</v>
      </c>
      <c r="D2518" s="28" t="s">
        <v>77</v>
      </c>
      <c r="E2518" s="28" t="s">
        <v>77</v>
      </c>
      <c r="F2518" s="28" t="s">
        <v>77</v>
      </c>
      <c r="G2518" s="28" t="s">
        <v>77</v>
      </c>
      <c r="I2518" s="26" t="s">
        <v>77</v>
      </c>
      <c r="J2518" s="26" t="s">
        <v>77</v>
      </c>
      <c r="K2518" s="18"/>
      <c r="L2518" s="26" t="s">
        <v>77</v>
      </c>
      <c r="M2518" s="6" t="s">
        <v>77</v>
      </c>
      <c r="N2518" s="28" t="s">
        <v>77</v>
      </c>
      <c r="O2518" s="26" t="s">
        <v>77</v>
      </c>
    </row>
    <row r="2519">
      <c r="A2519" s="52" t="s">
        <v>77</v>
      </c>
      <c r="B2519" s="28" t="s">
        <v>77</v>
      </c>
      <c r="C2519" s="28" t="s">
        <v>77</v>
      </c>
      <c r="D2519" s="28" t="s">
        <v>77</v>
      </c>
      <c r="E2519" s="28" t="s">
        <v>77</v>
      </c>
      <c r="F2519" s="28" t="s">
        <v>77</v>
      </c>
      <c r="G2519" s="28" t="s">
        <v>77</v>
      </c>
      <c r="I2519" s="26" t="s">
        <v>77</v>
      </c>
      <c r="J2519" s="26" t="s">
        <v>77</v>
      </c>
      <c r="K2519" s="18"/>
      <c r="L2519" s="26" t="s">
        <v>77</v>
      </c>
      <c r="M2519" s="6" t="s">
        <v>77</v>
      </c>
      <c r="N2519" s="28" t="s">
        <v>77</v>
      </c>
      <c r="O2519" s="26" t="s">
        <v>77</v>
      </c>
    </row>
    <row r="2520">
      <c r="A2520" s="52" t="s">
        <v>77</v>
      </c>
      <c r="B2520" s="28" t="s">
        <v>77</v>
      </c>
      <c r="C2520" s="28" t="s">
        <v>77</v>
      </c>
      <c r="D2520" s="28" t="s">
        <v>77</v>
      </c>
      <c r="E2520" s="28" t="s">
        <v>77</v>
      </c>
      <c r="F2520" s="28" t="s">
        <v>77</v>
      </c>
      <c r="G2520" s="28" t="s">
        <v>77</v>
      </c>
      <c r="I2520" s="26" t="s">
        <v>77</v>
      </c>
      <c r="J2520" s="26" t="s">
        <v>77</v>
      </c>
      <c r="K2520" s="18"/>
      <c r="L2520" s="26" t="s">
        <v>77</v>
      </c>
      <c r="M2520" s="6" t="s">
        <v>77</v>
      </c>
      <c r="N2520" s="28" t="s">
        <v>77</v>
      </c>
      <c r="O2520" s="26" t="s">
        <v>77</v>
      </c>
    </row>
    <row r="2521">
      <c r="A2521" s="52" t="s">
        <v>77</v>
      </c>
      <c r="B2521" s="28" t="s">
        <v>77</v>
      </c>
      <c r="C2521" s="28" t="s">
        <v>77</v>
      </c>
      <c r="D2521" s="28" t="s">
        <v>77</v>
      </c>
      <c r="E2521" s="28" t="s">
        <v>77</v>
      </c>
      <c r="F2521" s="28" t="s">
        <v>77</v>
      </c>
      <c r="G2521" s="28" t="s">
        <v>77</v>
      </c>
      <c r="I2521" s="26" t="s">
        <v>77</v>
      </c>
      <c r="J2521" s="26" t="s">
        <v>77</v>
      </c>
      <c r="K2521" s="18"/>
      <c r="L2521" s="26" t="s">
        <v>77</v>
      </c>
      <c r="M2521" s="6" t="s">
        <v>77</v>
      </c>
      <c r="N2521" s="28" t="s">
        <v>77</v>
      </c>
      <c r="O2521" s="26" t="s">
        <v>77</v>
      </c>
    </row>
    <row r="2522">
      <c r="A2522" s="52" t="s">
        <v>77</v>
      </c>
      <c r="B2522" s="28" t="s">
        <v>77</v>
      </c>
      <c r="C2522" s="28" t="s">
        <v>77</v>
      </c>
      <c r="D2522" s="28" t="s">
        <v>77</v>
      </c>
      <c r="E2522" s="28" t="s">
        <v>77</v>
      </c>
      <c r="F2522" s="28" t="s">
        <v>77</v>
      </c>
      <c r="G2522" s="28" t="s">
        <v>77</v>
      </c>
      <c r="I2522" s="26" t="s">
        <v>77</v>
      </c>
      <c r="J2522" s="26" t="s">
        <v>77</v>
      </c>
      <c r="K2522" s="18"/>
      <c r="L2522" s="26" t="s">
        <v>77</v>
      </c>
      <c r="M2522" s="6" t="s">
        <v>77</v>
      </c>
      <c r="N2522" s="28" t="s">
        <v>77</v>
      </c>
      <c r="O2522" s="26" t="s">
        <v>77</v>
      </c>
    </row>
    <row r="2523">
      <c r="A2523" s="52" t="s">
        <v>77</v>
      </c>
      <c r="B2523" s="28" t="s">
        <v>77</v>
      </c>
      <c r="C2523" s="28" t="s">
        <v>77</v>
      </c>
      <c r="D2523" s="28" t="s">
        <v>77</v>
      </c>
      <c r="E2523" s="28" t="s">
        <v>77</v>
      </c>
      <c r="F2523" s="28" t="s">
        <v>77</v>
      </c>
      <c r="G2523" s="28" t="s">
        <v>77</v>
      </c>
      <c r="I2523" s="26" t="s">
        <v>77</v>
      </c>
      <c r="J2523" s="26" t="s">
        <v>77</v>
      </c>
      <c r="K2523" s="18"/>
      <c r="L2523" s="26" t="s">
        <v>77</v>
      </c>
      <c r="M2523" s="6" t="s">
        <v>77</v>
      </c>
      <c r="N2523" s="28" t="s">
        <v>77</v>
      </c>
      <c r="O2523" s="26" t="s">
        <v>77</v>
      </c>
    </row>
    <row r="2524">
      <c r="A2524" s="52" t="s">
        <v>77</v>
      </c>
      <c r="B2524" s="28" t="s">
        <v>77</v>
      </c>
      <c r="C2524" s="28" t="s">
        <v>77</v>
      </c>
      <c r="D2524" s="28" t="s">
        <v>77</v>
      </c>
      <c r="E2524" s="28" t="s">
        <v>77</v>
      </c>
      <c r="F2524" s="28" t="s">
        <v>77</v>
      </c>
      <c r="G2524" s="28" t="s">
        <v>77</v>
      </c>
      <c r="I2524" s="26" t="s">
        <v>77</v>
      </c>
      <c r="J2524" s="26" t="s">
        <v>77</v>
      </c>
      <c r="K2524" s="18"/>
      <c r="L2524" s="26" t="s">
        <v>77</v>
      </c>
      <c r="M2524" s="6" t="s">
        <v>77</v>
      </c>
      <c r="N2524" s="28" t="s">
        <v>77</v>
      </c>
      <c r="O2524" s="26" t="s">
        <v>77</v>
      </c>
    </row>
    <row r="2525">
      <c r="A2525" s="52" t="s">
        <v>77</v>
      </c>
      <c r="B2525" s="28" t="s">
        <v>77</v>
      </c>
      <c r="C2525" s="28" t="s">
        <v>77</v>
      </c>
      <c r="D2525" s="28" t="s">
        <v>77</v>
      </c>
      <c r="E2525" s="28" t="s">
        <v>77</v>
      </c>
      <c r="F2525" s="28" t="s">
        <v>77</v>
      </c>
      <c r="G2525" s="28" t="s">
        <v>77</v>
      </c>
      <c r="I2525" s="26" t="s">
        <v>77</v>
      </c>
      <c r="J2525" s="26" t="s">
        <v>77</v>
      </c>
      <c r="K2525" s="18"/>
      <c r="L2525" s="26" t="s">
        <v>77</v>
      </c>
      <c r="M2525" s="6" t="s">
        <v>77</v>
      </c>
      <c r="N2525" s="28" t="s">
        <v>77</v>
      </c>
      <c r="O2525" s="26" t="s">
        <v>77</v>
      </c>
    </row>
    <row r="2526">
      <c r="A2526" s="52" t="s">
        <v>77</v>
      </c>
      <c r="B2526" s="28" t="s">
        <v>77</v>
      </c>
      <c r="C2526" s="28" t="s">
        <v>77</v>
      </c>
      <c r="D2526" s="28" t="s">
        <v>77</v>
      </c>
      <c r="E2526" s="28" t="s">
        <v>77</v>
      </c>
      <c r="F2526" s="28" t="s">
        <v>77</v>
      </c>
      <c r="G2526" s="28" t="s">
        <v>77</v>
      </c>
      <c r="I2526" s="26" t="s">
        <v>77</v>
      </c>
      <c r="J2526" s="26" t="s">
        <v>77</v>
      </c>
      <c r="K2526" s="18"/>
      <c r="L2526" s="26" t="s">
        <v>77</v>
      </c>
      <c r="M2526" s="6" t="s">
        <v>77</v>
      </c>
      <c r="N2526" s="28" t="s">
        <v>77</v>
      </c>
      <c r="O2526" s="26" t="s">
        <v>77</v>
      </c>
    </row>
    <row r="2527">
      <c r="A2527" s="52" t="s">
        <v>77</v>
      </c>
      <c r="B2527" s="28" t="s">
        <v>77</v>
      </c>
      <c r="C2527" s="28" t="s">
        <v>77</v>
      </c>
      <c r="D2527" s="28" t="s">
        <v>77</v>
      </c>
      <c r="E2527" s="28" t="s">
        <v>77</v>
      </c>
      <c r="F2527" s="28" t="s">
        <v>77</v>
      </c>
      <c r="G2527" s="28" t="s">
        <v>77</v>
      </c>
      <c r="I2527" s="26" t="s">
        <v>77</v>
      </c>
      <c r="J2527" s="26" t="s">
        <v>77</v>
      </c>
      <c r="K2527" s="18"/>
      <c r="L2527" s="26" t="s">
        <v>77</v>
      </c>
      <c r="M2527" s="6" t="s">
        <v>77</v>
      </c>
      <c r="N2527" s="28" t="s">
        <v>77</v>
      </c>
      <c r="O2527" s="26" t="s">
        <v>77</v>
      </c>
    </row>
    <row r="2528">
      <c r="A2528" s="52" t="s">
        <v>77</v>
      </c>
      <c r="B2528" s="28" t="s">
        <v>77</v>
      </c>
      <c r="C2528" s="28" t="s">
        <v>77</v>
      </c>
      <c r="D2528" s="28" t="s">
        <v>77</v>
      </c>
      <c r="E2528" s="28" t="s">
        <v>77</v>
      </c>
      <c r="F2528" s="28" t="s">
        <v>77</v>
      </c>
      <c r="G2528" s="28" t="s">
        <v>77</v>
      </c>
      <c r="I2528" s="26" t="s">
        <v>77</v>
      </c>
      <c r="J2528" s="26" t="s">
        <v>77</v>
      </c>
      <c r="K2528" s="18"/>
      <c r="L2528" s="26" t="s">
        <v>77</v>
      </c>
      <c r="M2528" s="6" t="s">
        <v>77</v>
      </c>
      <c r="N2528" s="28" t="s">
        <v>77</v>
      </c>
      <c r="O2528" s="26" t="s">
        <v>77</v>
      </c>
    </row>
    <row r="2529">
      <c r="A2529" s="52" t="s">
        <v>77</v>
      </c>
      <c r="B2529" s="28" t="s">
        <v>77</v>
      </c>
      <c r="C2529" s="28" t="s">
        <v>77</v>
      </c>
      <c r="D2529" s="28" t="s">
        <v>77</v>
      </c>
      <c r="E2529" s="28" t="s">
        <v>77</v>
      </c>
      <c r="F2529" s="28" t="s">
        <v>77</v>
      </c>
      <c r="G2529" s="28" t="s">
        <v>77</v>
      </c>
      <c r="I2529" s="26" t="s">
        <v>77</v>
      </c>
      <c r="J2529" s="26" t="s">
        <v>77</v>
      </c>
      <c r="K2529" s="18"/>
      <c r="L2529" s="26" t="s">
        <v>77</v>
      </c>
      <c r="M2529" s="6" t="s">
        <v>77</v>
      </c>
      <c r="N2529" s="28" t="s">
        <v>77</v>
      </c>
      <c r="O2529" s="26" t="s">
        <v>77</v>
      </c>
    </row>
    <row r="2530">
      <c r="A2530" s="52" t="s">
        <v>77</v>
      </c>
      <c r="B2530" s="28" t="s">
        <v>77</v>
      </c>
      <c r="C2530" s="28" t="s">
        <v>77</v>
      </c>
      <c r="D2530" s="28" t="s">
        <v>77</v>
      </c>
      <c r="E2530" s="28" t="s">
        <v>77</v>
      </c>
      <c r="F2530" s="28" t="s">
        <v>77</v>
      </c>
      <c r="G2530" s="28" t="s">
        <v>77</v>
      </c>
      <c r="I2530" s="26" t="s">
        <v>77</v>
      </c>
      <c r="J2530" s="26" t="s">
        <v>77</v>
      </c>
      <c r="K2530" s="18"/>
      <c r="L2530" s="26" t="s">
        <v>77</v>
      </c>
      <c r="M2530" s="6" t="s">
        <v>77</v>
      </c>
      <c r="N2530" s="28" t="s">
        <v>77</v>
      </c>
      <c r="O2530" s="26" t="s">
        <v>77</v>
      </c>
    </row>
    <row r="2531">
      <c r="A2531" s="52" t="s">
        <v>77</v>
      </c>
      <c r="B2531" s="28" t="s">
        <v>77</v>
      </c>
      <c r="C2531" s="28" t="s">
        <v>77</v>
      </c>
      <c r="D2531" s="28" t="s">
        <v>77</v>
      </c>
      <c r="E2531" s="28" t="s">
        <v>77</v>
      </c>
      <c r="F2531" s="28" t="s">
        <v>77</v>
      </c>
      <c r="G2531" s="28" t="s">
        <v>77</v>
      </c>
      <c r="I2531" s="26" t="s">
        <v>77</v>
      </c>
      <c r="J2531" s="26" t="s">
        <v>77</v>
      </c>
      <c r="K2531" s="18"/>
      <c r="L2531" s="26" t="s">
        <v>77</v>
      </c>
      <c r="M2531" s="6" t="s">
        <v>77</v>
      </c>
      <c r="N2531" s="28" t="s">
        <v>77</v>
      </c>
      <c r="O2531" s="26" t="s">
        <v>77</v>
      </c>
    </row>
    <row r="2532">
      <c r="A2532" s="52" t="s">
        <v>77</v>
      </c>
      <c r="B2532" s="28" t="s">
        <v>77</v>
      </c>
      <c r="C2532" s="28" t="s">
        <v>77</v>
      </c>
      <c r="D2532" s="28" t="s">
        <v>77</v>
      </c>
      <c r="E2532" s="28" t="s">
        <v>77</v>
      </c>
      <c r="F2532" s="28" t="s">
        <v>77</v>
      </c>
      <c r="G2532" s="28" t="s">
        <v>77</v>
      </c>
      <c r="I2532" s="26" t="s">
        <v>77</v>
      </c>
      <c r="J2532" s="26" t="s">
        <v>77</v>
      </c>
      <c r="K2532" s="18"/>
      <c r="L2532" s="26" t="s">
        <v>77</v>
      </c>
      <c r="M2532" s="6" t="s">
        <v>77</v>
      </c>
      <c r="N2532" s="28" t="s">
        <v>77</v>
      </c>
      <c r="O2532" s="26" t="s">
        <v>77</v>
      </c>
    </row>
    <row r="2533">
      <c r="A2533" s="52" t="s">
        <v>77</v>
      </c>
      <c r="B2533" s="28" t="s">
        <v>77</v>
      </c>
      <c r="C2533" s="28" t="s">
        <v>77</v>
      </c>
      <c r="D2533" s="28" t="s">
        <v>77</v>
      </c>
      <c r="E2533" s="28" t="s">
        <v>77</v>
      </c>
      <c r="F2533" s="28" t="s">
        <v>77</v>
      </c>
      <c r="G2533" s="28" t="s">
        <v>77</v>
      </c>
      <c r="I2533" s="26" t="s">
        <v>77</v>
      </c>
      <c r="J2533" s="26" t="s">
        <v>77</v>
      </c>
      <c r="K2533" s="18"/>
      <c r="L2533" s="26" t="s">
        <v>77</v>
      </c>
      <c r="M2533" s="6" t="s">
        <v>77</v>
      </c>
      <c r="N2533" s="28" t="s">
        <v>77</v>
      </c>
      <c r="O2533" s="26" t="s">
        <v>77</v>
      </c>
    </row>
    <row r="2534">
      <c r="A2534" s="52" t="s">
        <v>77</v>
      </c>
      <c r="B2534" s="28" t="s">
        <v>77</v>
      </c>
      <c r="C2534" s="28" t="s">
        <v>77</v>
      </c>
      <c r="D2534" s="28" t="s">
        <v>77</v>
      </c>
      <c r="E2534" s="28" t="s">
        <v>77</v>
      </c>
      <c r="F2534" s="28" t="s">
        <v>77</v>
      </c>
      <c r="G2534" s="28" t="s">
        <v>77</v>
      </c>
      <c r="I2534" s="26" t="s">
        <v>77</v>
      </c>
      <c r="J2534" s="26" t="s">
        <v>77</v>
      </c>
      <c r="K2534" s="18"/>
      <c r="L2534" s="26" t="s">
        <v>77</v>
      </c>
      <c r="M2534" s="6" t="s">
        <v>77</v>
      </c>
      <c r="N2534" s="28" t="s">
        <v>77</v>
      </c>
      <c r="O2534" s="26" t="s">
        <v>77</v>
      </c>
    </row>
    <row r="2535">
      <c r="A2535" s="52" t="s">
        <v>77</v>
      </c>
      <c r="B2535" s="28" t="s">
        <v>77</v>
      </c>
      <c r="C2535" s="28" t="s">
        <v>77</v>
      </c>
      <c r="D2535" s="28" t="s">
        <v>77</v>
      </c>
      <c r="E2535" s="28" t="s">
        <v>77</v>
      </c>
      <c r="F2535" s="28" t="s">
        <v>77</v>
      </c>
      <c r="G2535" s="28" t="s">
        <v>77</v>
      </c>
      <c r="I2535" s="26" t="s">
        <v>77</v>
      </c>
      <c r="J2535" s="26" t="s">
        <v>77</v>
      </c>
      <c r="K2535" s="18"/>
      <c r="L2535" s="26" t="s">
        <v>77</v>
      </c>
      <c r="M2535" s="6" t="s">
        <v>77</v>
      </c>
      <c r="N2535" s="28" t="s">
        <v>77</v>
      </c>
      <c r="O2535" s="26" t="s">
        <v>77</v>
      </c>
    </row>
    <row r="2536">
      <c r="A2536" s="52" t="s">
        <v>77</v>
      </c>
      <c r="B2536" s="28" t="s">
        <v>77</v>
      </c>
      <c r="C2536" s="28" t="s">
        <v>77</v>
      </c>
      <c r="D2536" s="28" t="s">
        <v>77</v>
      </c>
      <c r="E2536" s="28" t="s">
        <v>77</v>
      </c>
      <c r="F2536" s="28" t="s">
        <v>77</v>
      </c>
      <c r="G2536" s="28" t="s">
        <v>77</v>
      </c>
      <c r="I2536" s="26" t="s">
        <v>77</v>
      </c>
      <c r="J2536" s="26" t="s">
        <v>77</v>
      </c>
      <c r="K2536" s="18"/>
      <c r="L2536" s="26" t="s">
        <v>77</v>
      </c>
      <c r="M2536" s="6" t="s">
        <v>77</v>
      </c>
      <c r="N2536" s="28" t="s">
        <v>77</v>
      </c>
      <c r="O2536" s="26" t="s">
        <v>77</v>
      </c>
    </row>
    <row r="2537">
      <c r="A2537" s="52" t="s">
        <v>77</v>
      </c>
      <c r="B2537" s="28" t="s">
        <v>77</v>
      </c>
      <c r="C2537" s="28" t="s">
        <v>77</v>
      </c>
      <c r="D2537" s="28" t="s">
        <v>77</v>
      </c>
      <c r="E2537" s="28" t="s">
        <v>77</v>
      </c>
      <c r="F2537" s="28" t="s">
        <v>77</v>
      </c>
      <c r="G2537" s="28" t="s">
        <v>77</v>
      </c>
      <c r="I2537" s="26" t="s">
        <v>77</v>
      </c>
      <c r="J2537" s="26" t="s">
        <v>77</v>
      </c>
      <c r="K2537" s="18"/>
      <c r="L2537" s="26" t="s">
        <v>77</v>
      </c>
      <c r="M2537" s="6" t="s">
        <v>77</v>
      </c>
      <c r="N2537" s="28" t="s">
        <v>77</v>
      </c>
      <c r="O2537" s="26" t="s">
        <v>77</v>
      </c>
    </row>
    <row r="2538">
      <c r="A2538" s="52" t="s">
        <v>77</v>
      </c>
      <c r="B2538" s="28" t="s">
        <v>77</v>
      </c>
      <c r="C2538" s="28" t="s">
        <v>77</v>
      </c>
      <c r="D2538" s="28" t="s">
        <v>77</v>
      </c>
      <c r="E2538" s="28" t="s">
        <v>77</v>
      </c>
      <c r="F2538" s="28" t="s">
        <v>77</v>
      </c>
      <c r="G2538" s="28" t="s">
        <v>77</v>
      </c>
      <c r="I2538" s="26" t="s">
        <v>77</v>
      </c>
      <c r="J2538" s="26" t="s">
        <v>77</v>
      </c>
      <c r="K2538" s="18"/>
      <c r="L2538" s="26" t="s">
        <v>77</v>
      </c>
      <c r="M2538" s="6" t="s">
        <v>77</v>
      </c>
      <c r="N2538" s="28" t="s">
        <v>77</v>
      </c>
      <c r="O2538" s="26" t="s">
        <v>77</v>
      </c>
    </row>
    <row r="2539">
      <c r="A2539" s="52" t="s">
        <v>77</v>
      </c>
      <c r="B2539" s="28" t="s">
        <v>77</v>
      </c>
      <c r="C2539" s="28" t="s">
        <v>77</v>
      </c>
      <c r="D2539" s="28" t="s">
        <v>77</v>
      </c>
      <c r="E2539" s="28" t="s">
        <v>77</v>
      </c>
      <c r="F2539" s="28" t="s">
        <v>77</v>
      </c>
      <c r="G2539" s="28" t="s">
        <v>77</v>
      </c>
      <c r="I2539" s="26" t="s">
        <v>77</v>
      </c>
      <c r="J2539" s="26" t="s">
        <v>77</v>
      </c>
      <c r="K2539" s="18"/>
      <c r="L2539" s="26" t="s">
        <v>77</v>
      </c>
      <c r="M2539" s="6" t="s">
        <v>77</v>
      </c>
      <c r="N2539" s="28" t="s">
        <v>77</v>
      </c>
      <c r="O2539" s="26" t="s">
        <v>77</v>
      </c>
    </row>
    <row r="2540">
      <c r="A2540" s="52" t="s">
        <v>77</v>
      </c>
      <c r="B2540" s="28" t="s">
        <v>77</v>
      </c>
      <c r="C2540" s="28" t="s">
        <v>77</v>
      </c>
      <c r="D2540" s="28" t="s">
        <v>77</v>
      </c>
      <c r="E2540" s="28" t="s">
        <v>77</v>
      </c>
      <c r="F2540" s="28" t="s">
        <v>77</v>
      </c>
      <c r="G2540" s="28" t="s">
        <v>77</v>
      </c>
      <c r="I2540" s="26" t="s">
        <v>77</v>
      </c>
      <c r="J2540" s="26" t="s">
        <v>77</v>
      </c>
      <c r="K2540" s="18"/>
      <c r="L2540" s="26" t="s">
        <v>77</v>
      </c>
      <c r="M2540" s="6" t="s">
        <v>77</v>
      </c>
      <c r="N2540" s="28" t="s">
        <v>77</v>
      </c>
      <c r="O2540" s="26" t="s">
        <v>77</v>
      </c>
    </row>
    <row r="2541">
      <c r="A2541" s="52" t="s">
        <v>77</v>
      </c>
      <c r="B2541" s="28" t="s">
        <v>77</v>
      </c>
      <c r="C2541" s="28" t="s">
        <v>77</v>
      </c>
      <c r="D2541" s="28" t="s">
        <v>77</v>
      </c>
      <c r="E2541" s="28" t="s">
        <v>77</v>
      </c>
      <c r="F2541" s="28" t="s">
        <v>77</v>
      </c>
      <c r="G2541" s="28" t="s">
        <v>77</v>
      </c>
      <c r="I2541" s="26" t="s">
        <v>77</v>
      </c>
      <c r="J2541" s="26" t="s">
        <v>77</v>
      </c>
      <c r="K2541" s="18"/>
      <c r="L2541" s="26" t="s">
        <v>77</v>
      </c>
      <c r="M2541" s="6" t="s">
        <v>77</v>
      </c>
      <c r="N2541" s="28" t="s">
        <v>77</v>
      </c>
      <c r="O2541" s="26" t="s">
        <v>77</v>
      </c>
    </row>
    <row r="2542">
      <c r="A2542" s="52" t="s">
        <v>77</v>
      </c>
      <c r="B2542" s="28" t="s">
        <v>77</v>
      </c>
      <c r="C2542" s="28" t="s">
        <v>77</v>
      </c>
      <c r="D2542" s="28" t="s">
        <v>77</v>
      </c>
      <c r="E2542" s="28" t="s">
        <v>77</v>
      </c>
      <c r="F2542" s="28" t="s">
        <v>77</v>
      </c>
      <c r="G2542" s="28" t="s">
        <v>77</v>
      </c>
      <c r="I2542" s="26" t="s">
        <v>77</v>
      </c>
      <c r="J2542" s="26" t="s">
        <v>77</v>
      </c>
      <c r="K2542" s="18"/>
      <c r="L2542" s="26" t="s">
        <v>77</v>
      </c>
      <c r="M2542" s="6" t="s">
        <v>77</v>
      </c>
      <c r="N2542" s="28" t="s">
        <v>77</v>
      </c>
      <c r="O2542" s="26" t="s">
        <v>77</v>
      </c>
    </row>
    <row r="2543">
      <c r="A2543" s="52" t="s">
        <v>77</v>
      </c>
      <c r="B2543" s="28" t="s">
        <v>77</v>
      </c>
      <c r="C2543" s="28" t="s">
        <v>77</v>
      </c>
      <c r="D2543" s="28" t="s">
        <v>77</v>
      </c>
      <c r="E2543" s="28" t="s">
        <v>77</v>
      </c>
      <c r="F2543" s="28" t="s">
        <v>77</v>
      </c>
      <c r="G2543" s="28" t="s">
        <v>77</v>
      </c>
      <c r="I2543" s="26" t="s">
        <v>77</v>
      </c>
      <c r="J2543" s="26" t="s">
        <v>77</v>
      </c>
      <c r="K2543" s="18"/>
      <c r="L2543" s="26" t="s">
        <v>77</v>
      </c>
      <c r="M2543" s="6" t="s">
        <v>77</v>
      </c>
      <c r="N2543" s="28" t="s">
        <v>77</v>
      </c>
      <c r="O2543" s="26" t="s">
        <v>77</v>
      </c>
    </row>
    <row r="2544">
      <c r="A2544" s="52" t="s">
        <v>77</v>
      </c>
      <c r="B2544" s="28" t="s">
        <v>77</v>
      </c>
      <c r="C2544" s="28" t="s">
        <v>77</v>
      </c>
      <c r="D2544" s="28" t="s">
        <v>77</v>
      </c>
      <c r="E2544" s="28" t="s">
        <v>77</v>
      </c>
      <c r="F2544" s="28" t="s">
        <v>77</v>
      </c>
      <c r="G2544" s="28" t="s">
        <v>77</v>
      </c>
      <c r="I2544" s="26" t="s">
        <v>77</v>
      </c>
      <c r="J2544" s="26" t="s">
        <v>77</v>
      </c>
      <c r="K2544" s="18"/>
      <c r="L2544" s="26" t="s">
        <v>77</v>
      </c>
      <c r="M2544" s="6" t="s">
        <v>77</v>
      </c>
      <c r="N2544" s="28" t="s">
        <v>77</v>
      </c>
      <c r="O2544" s="26" t="s">
        <v>77</v>
      </c>
    </row>
    <row r="2545">
      <c r="A2545" s="52" t="s">
        <v>77</v>
      </c>
      <c r="B2545" s="28" t="s">
        <v>77</v>
      </c>
      <c r="C2545" s="28" t="s">
        <v>77</v>
      </c>
      <c r="D2545" s="28" t="s">
        <v>77</v>
      </c>
      <c r="E2545" s="28" t="s">
        <v>77</v>
      </c>
      <c r="F2545" s="28" t="s">
        <v>77</v>
      </c>
      <c r="G2545" s="28" t="s">
        <v>77</v>
      </c>
      <c r="I2545" s="26" t="s">
        <v>77</v>
      </c>
      <c r="J2545" s="26" t="s">
        <v>77</v>
      </c>
      <c r="K2545" s="18"/>
      <c r="L2545" s="26" t="s">
        <v>77</v>
      </c>
      <c r="M2545" s="6" t="s">
        <v>77</v>
      </c>
      <c r="N2545" s="28" t="s">
        <v>77</v>
      </c>
      <c r="O2545" s="26" t="s">
        <v>77</v>
      </c>
    </row>
    <row r="2546">
      <c r="A2546" s="52" t="s">
        <v>77</v>
      </c>
      <c r="B2546" s="28" t="s">
        <v>77</v>
      </c>
      <c r="C2546" s="28" t="s">
        <v>77</v>
      </c>
      <c r="D2546" s="28" t="s">
        <v>77</v>
      </c>
      <c r="E2546" s="28" t="s">
        <v>77</v>
      </c>
      <c r="F2546" s="28" t="s">
        <v>77</v>
      </c>
      <c r="G2546" s="28" t="s">
        <v>77</v>
      </c>
      <c r="I2546" s="26" t="s">
        <v>77</v>
      </c>
      <c r="J2546" s="26" t="s">
        <v>77</v>
      </c>
      <c r="K2546" s="18"/>
      <c r="L2546" s="26" t="s">
        <v>77</v>
      </c>
      <c r="M2546" s="6" t="s">
        <v>77</v>
      </c>
      <c r="N2546" s="28" t="s">
        <v>77</v>
      </c>
      <c r="O2546" s="26" t="s">
        <v>77</v>
      </c>
    </row>
    <row r="2547">
      <c r="A2547" s="52" t="s">
        <v>77</v>
      </c>
      <c r="B2547" s="28" t="s">
        <v>77</v>
      </c>
      <c r="C2547" s="28" t="s">
        <v>77</v>
      </c>
      <c r="D2547" s="28" t="s">
        <v>77</v>
      </c>
      <c r="E2547" s="28" t="s">
        <v>77</v>
      </c>
      <c r="F2547" s="28" t="s">
        <v>77</v>
      </c>
      <c r="G2547" s="28" t="s">
        <v>77</v>
      </c>
      <c r="I2547" s="26" t="s">
        <v>77</v>
      </c>
      <c r="J2547" s="26" t="s">
        <v>77</v>
      </c>
      <c r="K2547" s="18"/>
      <c r="L2547" s="26" t="s">
        <v>77</v>
      </c>
      <c r="M2547" s="6" t="s">
        <v>77</v>
      </c>
      <c r="N2547" s="28" t="s">
        <v>77</v>
      </c>
      <c r="O2547" s="26" t="s">
        <v>77</v>
      </c>
    </row>
    <row r="2548">
      <c r="A2548" s="52" t="s">
        <v>77</v>
      </c>
      <c r="B2548" s="28" t="s">
        <v>77</v>
      </c>
      <c r="C2548" s="28" t="s">
        <v>77</v>
      </c>
      <c r="D2548" s="28" t="s">
        <v>77</v>
      </c>
      <c r="E2548" s="28" t="s">
        <v>77</v>
      </c>
      <c r="F2548" s="28" t="s">
        <v>77</v>
      </c>
      <c r="G2548" s="28" t="s">
        <v>77</v>
      </c>
      <c r="I2548" s="26" t="s">
        <v>77</v>
      </c>
      <c r="J2548" s="26" t="s">
        <v>77</v>
      </c>
      <c r="K2548" s="18"/>
      <c r="L2548" s="26" t="s">
        <v>77</v>
      </c>
      <c r="M2548" s="6" t="s">
        <v>77</v>
      </c>
      <c r="N2548" s="28" t="s">
        <v>77</v>
      </c>
      <c r="O2548" s="26" t="s">
        <v>77</v>
      </c>
    </row>
    <row r="2549">
      <c r="A2549" s="52" t="s">
        <v>77</v>
      </c>
      <c r="B2549" s="28" t="s">
        <v>77</v>
      </c>
      <c r="C2549" s="28" t="s">
        <v>77</v>
      </c>
      <c r="D2549" s="28" t="s">
        <v>77</v>
      </c>
      <c r="E2549" s="28" t="s">
        <v>77</v>
      </c>
      <c r="F2549" s="28" t="s">
        <v>77</v>
      </c>
      <c r="G2549" s="28" t="s">
        <v>77</v>
      </c>
      <c r="I2549" s="26" t="s">
        <v>77</v>
      </c>
      <c r="J2549" s="26" t="s">
        <v>77</v>
      </c>
      <c r="K2549" s="18"/>
      <c r="L2549" s="26" t="s">
        <v>77</v>
      </c>
      <c r="M2549" s="6" t="s">
        <v>77</v>
      </c>
      <c r="N2549" s="28" t="s">
        <v>77</v>
      </c>
      <c r="O2549" s="26" t="s">
        <v>77</v>
      </c>
    </row>
    <row r="2550">
      <c r="A2550" s="52" t="s">
        <v>77</v>
      </c>
      <c r="B2550" s="28" t="s">
        <v>77</v>
      </c>
      <c r="C2550" s="28" t="s">
        <v>77</v>
      </c>
      <c r="D2550" s="28" t="s">
        <v>77</v>
      </c>
      <c r="E2550" s="28" t="s">
        <v>77</v>
      </c>
      <c r="F2550" s="28" t="s">
        <v>77</v>
      </c>
      <c r="G2550" s="28" t="s">
        <v>77</v>
      </c>
      <c r="I2550" s="26" t="s">
        <v>77</v>
      </c>
      <c r="J2550" s="26" t="s">
        <v>77</v>
      </c>
      <c r="K2550" s="18"/>
      <c r="L2550" s="26" t="s">
        <v>77</v>
      </c>
      <c r="M2550" s="6" t="s">
        <v>77</v>
      </c>
      <c r="N2550" s="28" t="s">
        <v>77</v>
      </c>
      <c r="O2550" s="26" t="s">
        <v>77</v>
      </c>
    </row>
    <row r="2551">
      <c r="A2551" s="52" t="s">
        <v>77</v>
      </c>
      <c r="B2551" s="28" t="s">
        <v>77</v>
      </c>
      <c r="C2551" s="28" t="s">
        <v>77</v>
      </c>
      <c r="D2551" s="28" t="s">
        <v>77</v>
      </c>
      <c r="E2551" s="28" t="s">
        <v>77</v>
      </c>
      <c r="F2551" s="28" t="s">
        <v>77</v>
      </c>
      <c r="G2551" s="28" t="s">
        <v>77</v>
      </c>
      <c r="I2551" s="26" t="s">
        <v>77</v>
      </c>
      <c r="J2551" s="26" t="s">
        <v>77</v>
      </c>
      <c r="K2551" s="18"/>
      <c r="L2551" s="26" t="s">
        <v>77</v>
      </c>
      <c r="M2551" s="6" t="s">
        <v>77</v>
      </c>
      <c r="N2551" s="28" t="s">
        <v>77</v>
      </c>
      <c r="O2551" s="26" t="s">
        <v>77</v>
      </c>
    </row>
    <row r="2552">
      <c r="A2552" s="52" t="s">
        <v>77</v>
      </c>
      <c r="B2552" s="28" t="s">
        <v>77</v>
      </c>
      <c r="C2552" s="28" t="s">
        <v>77</v>
      </c>
      <c r="D2552" s="28" t="s">
        <v>77</v>
      </c>
      <c r="E2552" s="28" t="s">
        <v>77</v>
      </c>
      <c r="F2552" s="28" t="s">
        <v>77</v>
      </c>
      <c r="G2552" s="28" t="s">
        <v>77</v>
      </c>
      <c r="I2552" s="26" t="s">
        <v>77</v>
      </c>
      <c r="J2552" s="26" t="s">
        <v>77</v>
      </c>
      <c r="K2552" s="18"/>
      <c r="L2552" s="26" t="s">
        <v>77</v>
      </c>
      <c r="M2552" s="6" t="s">
        <v>77</v>
      </c>
      <c r="N2552" s="28" t="s">
        <v>77</v>
      </c>
      <c r="O2552" s="26" t="s">
        <v>77</v>
      </c>
    </row>
    <row r="2553">
      <c r="A2553" s="52" t="s">
        <v>77</v>
      </c>
      <c r="B2553" s="28" t="s">
        <v>77</v>
      </c>
      <c r="C2553" s="28" t="s">
        <v>77</v>
      </c>
      <c r="D2553" s="28" t="s">
        <v>77</v>
      </c>
      <c r="E2553" s="28" t="s">
        <v>77</v>
      </c>
      <c r="F2553" s="28" t="s">
        <v>77</v>
      </c>
      <c r="G2553" s="28" t="s">
        <v>77</v>
      </c>
      <c r="I2553" s="26" t="s">
        <v>77</v>
      </c>
      <c r="J2553" s="26" t="s">
        <v>77</v>
      </c>
      <c r="K2553" s="18"/>
      <c r="L2553" s="26" t="s">
        <v>77</v>
      </c>
      <c r="M2553" s="6" t="s">
        <v>77</v>
      </c>
      <c r="N2553" s="28" t="s">
        <v>77</v>
      </c>
      <c r="O2553" s="26" t="s">
        <v>77</v>
      </c>
    </row>
    <row r="2554">
      <c r="A2554" s="52" t="s">
        <v>77</v>
      </c>
      <c r="B2554" s="28" t="s">
        <v>77</v>
      </c>
      <c r="C2554" s="28" t="s">
        <v>77</v>
      </c>
      <c r="D2554" s="28" t="s">
        <v>77</v>
      </c>
      <c r="E2554" s="28" t="s">
        <v>77</v>
      </c>
      <c r="F2554" s="28" t="s">
        <v>77</v>
      </c>
      <c r="G2554" s="28" t="s">
        <v>77</v>
      </c>
      <c r="I2554" s="26" t="s">
        <v>77</v>
      </c>
      <c r="J2554" s="26" t="s">
        <v>77</v>
      </c>
      <c r="K2554" s="18"/>
      <c r="L2554" s="26" t="s">
        <v>77</v>
      </c>
      <c r="M2554" s="6" t="s">
        <v>77</v>
      </c>
      <c r="N2554" s="28" t="s">
        <v>77</v>
      </c>
      <c r="O2554" s="26" t="s">
        <v>77</v>
      </c>
    </row>
    <row r="2555">
      <c r="A2555" s="52" t="s">
        <v>77</v>
      </c>
      <c r="B2555" s="28" t="s">
        <v>77</v>
      </c>
      <c r="C2555" s="28" t="s">
        <v>77</v>
      </c>
      <c r="D2555" s="28" t="s">
        <v>77</v>
      </c>
      <c r="E2555" s="28" t="s">
        <v>77</v>
      </c>
      <c r="F2555" s="28" t="s">
        <v>77</v>
      </c>
      <c r="G2555" s="28" t="s">
        <v>77</v>
      </c>
      <c r="I2555" s="26" t="s">
        <v>77</v>
      </c>
      <c r="J2555" s="26" t="s">
        <v>77</v>
      </c>
      <c r="K2555" s="18"/>
      <c r="L2555" s="26" t="s">
        <v>77</v>
      </c>
      <c r="M2555" s="6" t="s">
        <v>77</v>
      </c>
      <c r="N2555" s="28" t="s">
        <v>77</v>
      </c>
      <c r="O2555" s="26" t="s">
        <v>77</v>
      </c>
    </row>
    <row r="2556">
      <c r="A2556" s="52" t="s">
        <v>77</v>
      </c>
      <c r="B2556" s="28" t="s">
        <v>77</v>
      </c>
      <c r="C2556" s="28" t="s">
        <v>77</v>
      </c>
      <c r="D2556" s="28" t="s">
        <v>77</v>
      </c>
      <c r="E2556" s="28" t="s">
        <v>77</v>
      </c>
      <c r="F2556" s="28" t="s">
        <v>77</v>
      </c>
      <c r="G2556" s="28" t="s">
        <v>77</v>
      </c>
      <c r="I2556" s="26" t="s">
        <v>77</v>
      </c>
      <c r="J2556" s="26" t="s">
        <v>77</v>
      </c>
      <c r="K2556" s="18"/>
      <c r="L2556" s="26" t="s">
        <v>77</v>
      </c>
      <c r="M2556" s="6" t="s">
        <v>77</v>
      </c>
      <c r="N2556" s="28" t="s">
        <v>77</v>
      </c>
      <c r="O2556" s="26" t="s">
        <v>77</v>
      </c>
    </row>
    <row r="2557">
      <c r="A2557" s="52" t="s">
        <v>77</v>
      </c>
      <c r="B2557" s="28" t="s">
        <v>77</v>
      </c>
      <c r="C2557" s="28" t="s">
        <v>77</v>
      </c>
      <c r="D2557" s="28" t="s">
        <v>77</v>
      </c>
      <c r="E2557" s="28" t="s">
        <v>77</v>
      </c>
      <c r="F2557" s="28" t="s">
        <v>77</v>
      </c>
      <c r="G2557" s="28" t="s">
        <v>77</v>
      </c>
      <c r="I2557" s="26" t="s">
        <v>77</v>
      </c>
      <c r="J2557" s="26" t="s">
        <v>77</v>
      </c>
      <c r="K2557" s="18"/>
      <c r="L2557" s="26" t="s">
        <v>77</v>
      </c>
      <c r="M2557" s="6" t="s">
        <v>77</v>
      </c>
      <c r="N2557" s="28" t="s">
        <v>77</v>
      </c>
      <c r="O2557" s="26" t="s">
        <v>77</v>
      </c>
    </row>
    <row r="2558">
      <c r="A2558" s="52" t="s">
        <v>77</v>
      </c>
      <c r="B2558" s="28" t="s">
        <v>77</v>
      </c>
      <c r="C2558" s="28" t="s">
        <v>77</v>
      </c>
      <c r="D2558" s="28" t="s">
        <v>77</v>
      </c>
      <c r="E2558" s="28" t="s">
        <v>77</v>
      </c>
      <c r="F2558" s="28" t="s">
        <v>77</v>
      </c>
      <c r="G2558" s="28" t="s">
        <v>77</v>
      </c>
      <c r="I2558" s="26" t="s">
        <v>77</v>
      </c>
      <c r="J2558" s="26" t="s">
        <v>77</v>
      </c>
      <c r="K2558" s="18"/>
      <c r="L2558" s="26" t="s">
        <v>77</v>
      </c>
      <c r="M2558" s="6" t="s">
        <v>77</v>
      </c>
      <c r="N2558" s="28" t="s">
        <v>77</v>
      </c>
      <c r="O2558" s="26" t="s">
        <v>77</v>
      </c>
    </row>
    <row r="2559">
      <c r="A2559" s="52" t="s">
        <v>77</v>
      </c>
      <c r="B2559" s="28" t="s">
        <v>77</v>
      </c>
      <c r="C2559" s="28" t="s">
        <v>77</v>
      </c>
      <c r="D2559" s="28" t="s">
        <v>77</v>
      </c>
      <c r="E2559" s="28" t="s">
        <v>77</v>
      </c>
      <c r="F2559" s="28" t="s">
        <v>77</v>
      </c>
      <c r="G2559" s="28" t="s">
        <v>77</v>
      </c>
      <c r="I2559" s="26" t="s">
        <v>77</v>
      </c>
      <c r="J2559" s="26" t="s">
        <v>77</v>
      </c>
      <c r="K2559" s="18"/>
      <c r="L2559" s="26" t="s">
        <v>77</v>
      </c>
      <c r="M2559" s="6" t="s">
        <v>77</v>
      </c>
      <c r="N2559" s="28" t="s">
        <v>77</v>
      </c>
      <c r="O2559" s="26" t="s">
        <v>77</v>
      </c>
    </row>
    <row r="2560">
      <c r="A2560" s="52" t="s">
        <v>77</v>
      </c>
      <c r="B2560" s="28" t="s">
        <v>77</v>
      </c>
      <c r="C2560" s="28" t="s">
        <v>77</v>
      </c>
      <c r="D2560" s="28" t="s">
        <v>77</v>
      </c>
      <c r="E2560" s="28" t="s">
        <v>77</v>
      </c>
      <c r="F2560" s="28" t="s">
        <v>77</v>
      </c>
      <c r="G2560" s="28" t="s">
        <v>77</v>
      </c>
      <c r="I2560" s="26" t="s">
        <v>77</v>
      </c>
      <c r="J2560" s="26" t="s">
        <v>77</v>
      </c>
      <c r="K2560" s="18"/>
      <c r="L2560" s="26" t="s">
        <v>77</v>
      </c>
      <c r="M2560" s="6" t="s">
        <v>77</v>
      </c>
      <c r="N2560" s="28" t="s">
        <v>77</v>
      </c>
      <c r="O2560" s="26" t="s">
        <v>77</v>
      </c>
    </row>
    <row r="2561">
      <c r="A2561" s="52" t="s">
        <v>77</v>
      </c>
      <c r="B2561" s="28" t="s">
        <v>77</v>
      </c>
      <c r="C2561" s="28" t="s">
        <v>77</v>
      </c>
      <c r="D2561" s="28" t="s">
        <v>77</v>
      </c>
      <c r="E2561" s="28" t="s">
        <v>77</v>
      </c>
      <c r="F2561" s="28" t="s">
        <v>77</v>
      </c>
      <c r="G2561" s="28" t="s">
        <v>77</v>
      </c>
      <c r="I2561" s="26" t="s">
        <v>77</v>
      </c>
      <c r="J2561" s="26" t="s">
        <v>77</v>
      </c>
      <c r="K2561" s="18"/>
      <c r="L2561" s="26" t="s">
        <v>77</v>
      </c>
      <c r="M2561" s="6" t="s">
        <v>77</v>
      </c>
      <c r="N2561" s="28" t="s">
        <v>77</v>
      </c>
      <c r="O2561" s="26" t="s">
        <v>77</v>
      </c>
    </row>
    <row r="2562">
      <c r="A2562" s="52" t="s">
        <v>77</v>
      </c>
      <c r="B2562" s="28" t="s">
        <v>77</v>
      </c>
      <c r="C2562" s="28" t="s">
        <v>77</v>
      </c>
      <c r="D2562" s="28" t="s">
        <v>77</v>
      </c>
      <c r="E2562" s="28" t="s">
        <v>77</v>
      </c>
      <c r="F2562" s="28" t="s">
        <v>77</v>
      </c>
      <c r="G2562" s="28" t="s">
        <v>77</v>
      </c>
      <c r="I2562" s="26" t="s">
        <v>77</v>
      </c>
      <c r="J2562" s="26" t="s">
        <v>77</v>
      </c>
      <c r="K2562" s="18"/>
      <c r="L2562" s="26" t="s">
        <v>77</v>
      </c>
      <c r="M2562" s="6" t="s">
        <v>77</v>
      </c>
      <c r="N2562" s="28" t="s">
        <v>77</v>
      </c>
      <c r="O2562" s="26" t="s">
        <v>77</v>
      </c>
    </row>
    <row r="2563">
      <c r="A2563" s="52" t="s">
        <v>77</v>
      </c>
      <c r="B2563" s="28" t="s">
        <v>77</v>
      </c>
      <c r="C2563" s="28" t="s">
        <v>77</v>
      </c>
      <c r="D2563" s="28" t="s">
        <v>77</v>
      </c>
      <c r="E2563" s="28" t="s">
        <v>77</v>
      </c>
      <c r="F2563" s="28" t="s">
        <v>77</v>
      </c>
      <c r="G2563" s="28" t="s">
        <v>77</v>
      </c>
      <c r="I2563" s="26" t="s">
        <v>77</v>
      </c>
      <c r="J2563" s="26" t="s">
        <v>77</v>
      </c>
      <c r="K2563" s="18"/>
      <c r="L2563" s="26" t="s">
        <v>77</v>
      </c>
      <c r="M2563" s="6" t="s">
        <v>77</v>
      </c>
      <c r="N2563" s="28" t="s">
        <v>77</v>
      </c>
      <c r="O2563" s="26" t="s">
        <v>77</v>
      </c>
    </row>
    <row r="2564">
      <c r="A2564" s="52" t="s">
        <v>77</v>
      </c>
      <c r="B2564" s="28" t="s">
        <v>77</v>
      </c>
      <c r="C2564" s="28" t="s">
        <v>77</v>
      </c>
      <c r="D2564" s="28" t="s">
        <v>77</v>
      </c>
      <c r="E2564" s="28" t="s">
        <v>77</v>
      </c>
      <c r="F2564" s="28" t="s">
        <v>77</v>
      </c>
      <c r="G2564" s="28" t="s">
        <v>77</v>
      </c>
      <c r="I2564" s="26" t="s">
        <v>77</v>
      </c>
      <c r="J2564" s="26" t="s">
        <v>77</v>
      </c>
      <c r="K2564" s="18"/>
      <c r="L2564" s="26" t="s">
        <v>77</v>
      </c>
      <c r="M2564" s="6" t="s">
        <v>77</v>
      </c>
      <c r="N2564" s="28" t="s">
        <v>77</v>
      </c>
      <c r="O2564" s="26" t="s">
        <v>77</v>
      </c>
    </row>
    <row r="2565">
      <c r="A2565" s="52" t="s">
        <v>77</v>
      </c>
      <c r="B2565" s="28" t="s">
        <v>77</v>
      </c>
      <c r="C2565" s="28" t="s">
        <v>77</v>
      </c>
      <c r="D2565" s="28" t="s">
        <v>77</v>
      </c>
      <c r="E2565" s="28" t="s">
        <v>77</v>
      </c>
      <c r="F2565" s="28" t="s">
        <v>77</v>
      </c>
      <c r="G2565" s="28" t="s">
        <v>77</v>
      </c>
      <c r="I2565" s="26" t="s">
        <v>77</v>
      </c>
      <c r="J2565" s="26" t="s">
        <v>77</v>
      </c>
      <c r="K2565" s="18"/>
      <c r="L2565" s="26" t="s">
        <v>77</v>
      </c>
      <c r="M2565" s="6" t="s">
        <v>77</v>
      </c>
      <c r="N2565" s="28" t="s">
        <v>77</v>
      </c>
      <c r="O2565" s="26" t="s">
        <v>77</v>
      </c>
    </row>
    <row r="2566">
      <c r="A2566" s="52" t="s">
        <v>77</v>
      </c>
      <c r="B2566" s="28" t="s">
        <v>77</v>
      </c>
      <c r="C2566" s="28" t="s">
        <v>77</v>
      </c>
      <c r="D2566" s="28" t="s">
        <v>77</v>
      </c>
      <c r="E2566" s="28" t="s">
        <v>77</v>
      </c>
      <c r="F2566" s="28" t="s">
        <v>77</v>
      </c>
      <c r="G2566" s="28" t="s">
        <v>77</v>
      </c>
      <c r="I2566" s="26" t="s">
        <v>77</v>
      </c>
      <c r="J2566" s="26" t="s">
        <v>77</v>
      </c>
      <c r="K2566" s="18"/>
      <c r="L2566" s="26" t="s">
        <v>77</v>
      </c>
      <c r="M2566" s="6" t="s">
        <v>77</v>
      </c>
      <c r="N2566" s="28" t="s">
        <v>77</v>
      </c>
      <c r="O2566" s="26" t="s">
        <v>77</v>
      </c>
    </row>
    <row r="2567">
      <c r="A2567" s="52" t="s">
        <v>77</v>
      </c>
      <c r="B2567" s="28" t="s">
        <v>77</v>
      </c>
      <c r="C2567" s="28" t="s">
        <v>77</v>
      </c>
      <c r="D2567" s="28" t="s">
        <v>77</v>
      </c>
      <c r="E2567" s="28" t="s">
        <v>77</v>
      </c>
      <c r="F2567" s="28" t="s">
        <v>77</v>
      </c>
      <c r="G2567" s="28" t="s">
        <v>77</v>
      </c>
      <c r="I2567" s="26" t="s">
        <v>77</v>
      </c>
      <c r="J2567" s="26" t="s">
        <v>77</v>
      </c>
      <c r="K2567" s="18"/>
      <c r="L2567" s="26" t="s">
        <v>77</v>
      </c>
      <c r="M2567" s="6" t="s">
        <v>77</v>
      </c>
      <c r="N2567" s="28" t="s">
        <v>77</v>
      </c>
      <c r="O2567" s="26" t="s">
        <v>77</v>
      </c>
    </row>
    <row r="2568">
      <c r="A2568" s="52" t="s">
        <v>77</v>
      </c>
      <c r="B2568" s="28" t="s">
        <v>77</v>
      </c>
      <c r="C2568" s="28" t="s">
        <v>77</v>
      </c>
      <c r="D2568" s="28" t="s">
        <v>77</v>
      </c>
      <c r="E2568" s="28" t="s">
        <v>77</v>
      </c>
      <c r="F2568" s="28" t="s">
        <v>77</v>
      </c>
      <c r="G2568" s="28" t="s">
        <v>77</v>
      </c>
      <c r="I2568" s="26" t="s">
        <v>77</v>
      </c>
      <c r="J2568" s="26" t="s">
        <v>77</v>
      </c>
      <c r="K2568" s="18"/>
      <c r="L2568" s="26" t="s">
        <v>77</v>
      </c>
      <c r="M2568" s="6" t="s">
        <v>77</v>
      </c>
      <c r="N2568" s="28" t="s">
        <v>77</v>
      </c>
      <c r="O2568" s="26" t="s">
        <v>77</v>
      </c>
    </row>
    <row r="2569">
      <c r="A2569" s="52" t="s">
        <v>77</v>
      </c>
      <c r="B2569" s="28" t="s">
        <v>77</v>
      </c>
      <c r="C2569" s="28" t="s">
        <v>77</v>
      </c>
      <c r="D2569" s="28" t="s">
        <v>77</v>
      </c>
      <c r="E2569" s="28" t="s">
        <v>77</v>
      </c>
      <c r="F2569" s="28" t="s">
        <v>77</v>
      </c>
      <c r="G2569" s="28" t="s">
        <v>77</v>
      </c>
      <c r="I2569" s="26" t="s">
        <v>77</v>
      </c>
      <c r="J2569" s="26" t="s">
        <v>77</v>
      </c>
      <c r="K2569" s="18"/>
      <c r="L2569" s="26" t="s">
        <v>77</v>
      </c>
      <c r="M2569" s="6" t="s">
        <v>77</v>
      </c>
      <c r="N2569" s="28" t="s">
        <v>77</v>
      </c>
      <c r="O2569" s="26" t="s">
        <v>77</v>
      </c>
    </row>
    <row r="2570">
      <c r="A2570" s="52" t="s">
        <v>77</v>
      </c>
      <c r="B2570" s="28" t="s">
        <v>77</v>
      </c>
      <c r="C2570" s="28" t="s">
        <v>77</v>
      </c>
      <c r="D2570" s="28" t="s">
        <v>77</v>
      </c>
      <c r="E2570" s="28" t="s">
        <v>77</v>
      </c>
      <c r="F2570" s="28" t="s">
        <v>77</v>
      </c>
      <c r="G2570" s="28" t="s">
        <v>77</v>
      </c>
      <c r="I2570" s="26" t="s">
        <v>77</v>
      </c>
      <c r="J2570" s="26" t="s">
        <v>77</v>
      </c>
      <c r="K2570" s="18"/>
      <c r="L2570" s="26" t="s">
        <v>77</v>
      </c>
      <c r="M2570" s="6" t="s">
        <v>77</v>
      </c>
      <c r="N2570" s="28" t="s">
        <v>77</v>
      </c>
      <c r="O2570" s="26" t="s">
        <v>77</v>
      </c>
    </row>
    <row r="2571">
      <c r="A2571" s="52" t="s">
        <v>77</v>
      </c>
      <c r="B2571" s="28" t="s">
        <v>77</v>
      </c>
      <c r="C2571" s="28" t="s">
        <v>77</v>
      </c>
      <c r="D2571" s="28" t="s">
        <v>77</v>
      </c>
      <c r="E2571" s="28" t="s">
        <v>77</v>
      </c>
      <c r="F2571" s="28" t="s">
        <v>77</v>
      </c>
      <c r="G2571" s="28" t="s">
        <v>77</v>
      </c>
      <c r="I2571" s="26" t="s">
        <v>77</v>
      </c>
      <c r="J2571" s="26" t="s">
        <v>77</v>
      </c>
      <c r="K2571" s="18"/>
      <c r="L2571" s="26" t="s">
        <v>77</v>
      </c>
      <c r="M2571" s="6" t="s">
        <v>77</v>
      </c>
      <c r="N2571" s="28" t="s">
        <v>77</v>
      </c>
      <c r="O2571" s="26" t="s">
        <v>77</v>
      </c>
    </row>
    <row r="2572">
      <c r="A2572" s="52" t="s">
        <v>77</v>
      </c>
      <c r="B2572" s="28" t="s">
        <v>77</v>
      </c>
      <c r="C2572" s="28" t="s">
        <v>77</v>
      </c>
      <c r="D2572" s="28" t="s">
        <v>77</v>
      </c>
      <c r="E2572" s="28" t="s">
        <v>77</v>
      </c>
      <c r="F2572" s="28" t="s">
        <v>77</v>
      </c>
      <c r="G2572" s="28" t="s">
        <v>77</v>
      </c>
      <c r="I2572" s="26" t="s">
        <v>77</v>
      </c>
      <c r="J2572" s="26" t="s">
        <v>77</v>
      </c>
      <c r="K2572" s="18"/>
      <c r="L2572" s="26" t="s">
        <v>77</v>
      </c>
      <c r="M2572" s="6" t="s">
        <v>77</v>
      </c>
      <c r="N2572" s="28" t="s">
        <v>77</v>
      </c>
      <c r="O2572" s="26" t="s">
        <v>77</v>
      </c>
    </row>
    <row r="2573">
      <c r="A2573" s="52" t="s">
        <v>77</v>
      </c>
      <c r="B2573" s="28" t="s">
        <v>77</v>
      </c>
      <c r="C2573" s="28" t="s">
        <v>77</v>
      </c>
      <c r="D2573" s="28" t="s">
        <v>77</v>
      </c>
      <c r="E2573" s="28" t="s">
        <v>77</v>
      </c>
      <c r="F2573" s="28" t="s">
        <v>77</v>
      </c>
      <c r="G2573" s="28" t="s">
        <v>77</v>
      </c>
      <c r="I2573" s="26" t="s">
        <v>77</v>
      </c>
      <c r="J2573" s="26" t="s">
        <v>77</v>
      </c>
      <c r="K2573" s="18"/>
      <c r="L2573" s="26" t="s">
        <v>77</v>
      </c>
      <c r="M2573" s="6" t="s">
        <v>77</v>
      </c>
      <c r="N2573" s="28" t="s">
        <v>77</v>
      </c>
      <c r="O2573" s="26" t="s">
        <v>77</v>
      </c>
    </row>
    <row r="2574">
      <c r="A2574" s="52" t="s">
        <v>77</v>
      </c>
      <c r="B2574" s="28" t="s">
        <v>77</v>
      </c>
      <c r="C2574" s="28" t="s">
        <v>77</v>
      </c>
      <c r="D2574" s="28" t="s">
        <v>77</v>
      </c>
      <c r="E2574" s="28" t="s">
        <v>77</v>
      </c>
      <c r="F2574" s="28" t="s">
        <v>77</v>
      </c>
      <c r="G2574" s="28" t="s">
        <v>77</v>
      </c>
      <c r="I2574" s="26" t="s">
        <v>77</v>
      </c>
      <c r="J2574" s="26" t="s">
        <v>77</v>
      </c>
      <c r="K2574" s="18"/>
      <c r="L2574" s="26" t="s">
        <v>77</v>
      </c>
      <c r="M2574" s="6" t="s">
        <v>77</v>
      </c>
      <c r="N2574" s="28" t="s">
        <v>77</v>
      </c>
      <c r="O2574" s="26" t="s">
        <v>77</v>
      </c>
    </row>
    <row r="2575">
      <c r="A2575" s="52" t="s">
        <v>77</v>
      </c>
      <c r="B2575" s="28" t="s">
        <v>77</v>
      </c>
      <c r="C2575" s="28" t="s">
        <v>77</v>
      </c>
      <c r="D2575" s="28" t="s">
        <v>77</v>
      </c>
      <c r="E2575" s="28" t="s">
        <v>77</v>
      </c>
      <c r="F2575" s="28" t="s">
        <v>77</v>
      </c>
      <c r="G2575" s="28" t="s">
        <v>77</v>
      </c>
      <c r="I2575" s="26" t="s">
        <v>77</v>
      </c>
      <c r="J2575" s="26" t="s">
        <v>77</v>
      </c>
      <c r="K2575" s="18"/>
      <c r="L2575" s="26" t="s">
        <v>77</v>
      </c>
      <c r="M2575" s="6" t="s">
        <v>77</v>
      </c>
      <c r="N2575" s="28" t="s">
        <v>77</v>
      </c>
      <c r="O2575" s="26" t="s">
        <v>77</v>
      </c>
    </row>
    <row r="2576">
      <c r="A2576" s="52" t="s">
        <v>77</v>
      </c>
      <c r="B2576" s="28" t="s">
        <v>77</v>
      </c>
      <c r="C2576" s="28" t="s">
        <v>77</v>
      </c>
      <c r="D2576" s="28" t="s">
        <v>77</v>
      </c>
      <c r="E2576" s="28" t="s">
        <v>77</v>
      </c>
      <c r="F2576" s="28" t="s">
        <v>77</v>
      </c>
      <c r="G2576" s="28" t="s">
        <v>77</v>
      </c>
      <c r="I2576" s="26" t="s">
        <v>77</v>
      </c>
      <c r="J2576" s="26" t="s">
        <v>77</v>
      </c>
      <c r="K2576" s="18"/>
      <c r="L2576" s="26" t="s">
        <v>77</v>
      </c>
      <c r="M2576" s="6" t="s">
        <v>77</v>
      </c>
      <c r="N2576" s="28" t="s">
        <v>77</v>
      </c>
      <c r="O2576" s="26" t="s">
        <v>77</v>
      </c>
    </row>
    <row r="2577">
      <c r="A2577" s="52" t="s">
        <v>77</v>
      </c>
      <c r="B2577" s="28" t="s">
        <v>77</v>
      </c>
      <c r="C2577" s="28" t="s">
        <v>77</v>
      </c>
      <c r="D2577" s="28" t="s">
        <v>77</v>
      </c>
      <c r="E2577" s="28" t="s">
        <v>77</v>
      </c>
      <c r="F2577" s="28" t="s">
        <v>77</v>
      </c>
      <c r="G2577" s="28" t="s">
        <v>77</v>
      </c>
      <c r="I2577" s="26" t="s">
        <v>77</v>
      </c>
      <c r="J2577" s="26" t="s">
        <v>77</v>
      </c>
      <c r="K2577" s="18"/>
      <c r="L2577" s="26" t="s">
        <v>77</v>
      </c>
      <c r="M2577" s="6" t="s">
        <v>77</v>
      </c>
      <c r="N2577" s="28" t="s">
        <v>77</v>
      </c>
      <c r="O2577" s="26" t="s">
        <v>77</v>
      </c>
    </row>
    <row r="2578">
      <c r="A2578" s="52" t="s">
        <v>77</v>
      </c>
      <c r="B2578" s="28" t="s">
        <v>77</v>
      </c>
      <c r="C2578" s="28" t="s">
        <v>77</v>
      </c>
      <c r="D2578" s="28" t="s">
        <v>77</v>
      </c>
      <c r="E2578" s="28" t="s">
        <v>77</v>
      </c>
      <c r="F2578" s="28" t="s">
        <v>77</v>
      </c>
      <c r="G2578" s="28" t="s">
        <v>77</v>
      </c>
      <c r="I2578" s="26" t="s">
        <v>77</v>
      </c>
      <c r="J2578" s="26" t="s">
        <v>77</v>
      </c>
      <c r="K2578" s="18"/>
      <c r="L2578" s="26" t="s">
        <v>77</v>
      </c>
      <c r="M2578" s="6" t="s">
        <v>77</v>
      </c>
      <c r="N2578" s="28" t="s">
        <v>77</v>
      </c>
      <c r="O2578" s="26" t="s">
        <v>77</v>
      </c>
    </row>
    <row r="2579">
      <c r="A2579" s="52" t="s">
        <v>77</v>
      </c>
      <c r="B2579" s="28" t="s">
        <v>77</v>
      </c>
      <c r="C2579" s="28" t="s">
        <v>77</v>
      </c>
      <c r="D2579" s="28" t="s">
        <v>77</v>
      </c>
      <c r="E2579" s="28" t="s">
        <v>77</v>
      </c>
      <c r="F2579" s="28" t="s">
        <v>77</v>
      </c>
      <c r="G2579" s="28" t="s">
        <v>77</v>
      </c>
      <c r="I2579" s="26" t="s">
        <v>77</v>
      </c>
      <c r="J2579" s="26" t="s">
        <v>77</v>
      </c>
      <c r="K2579" s="18"/>
      <c r="L2579" s="26" t="s">
        <v>77</v>
      </c>
      <c r="M2579" s="6" t="s">
        <v>77</v>
      </c>
      <c r="N2579" s="28" t="s">
        <v>77</v>
      </c>
      <c r="O2579" s="26" t="s">
        <v>77</v>
      </c>
    </row>
    <row r="2580">
      <c r="A2580" s="52" t="s">
        <v>77</v>
      </c>
      <c r="B2580" s="28" t="s">
        <v>77</v>
      </c>
      <c r="C2580" s="28" t="s">
        <v>77</v>
      </c>
      <c r="D2580" s="28" t="s">
        <v>77</v>
      </c>
      <c r="E2580" s="28" t="s">
        <v>77</v>
      </c>
      <c r="F2580" s="28" t="s">
        <v>77</v>
      </c>
      <c r="G2580" s="28" t="s">
        <v>77</v>
      </c>
      <c r="I2580" s="26" t="s">
        <v>77</v>
      </c>
      <c r="J2580" s="26" t="s">
        <v>77</v>
      </c>
      <c r="K2580" s="18"/>
      <c r="L2580" s="26" t="s">
        <v>77</v>
      </c>
      <c r="M2580" s="6" t="s">
        <v>77</v>
      </c>
      <c r="N2580" s="28" t="s">
        <v>77</v>
      </c>
      <c r="O2580" s="26" t="s">
        <v>77</v>
      </c>
    </row>
    <row r="2581">
      <c r="A2581" s="52" t="s">
        <v>77</v>
      </c>
      <c r="B2581" s="28" t="s">
        <v>77</v>
      </c>
      <c r="C2581" s="28" t="s">
        <v>77</v>
      </c>
      <c r="D2581" s="28" t="s">
        <v>77</v>
      </c>
      <c r="E2581" s="28" t="s">
        <v>77</v>
      </c>
      <c r="F2581" s="28" t="s">
        <v>77</v>
      </c>
      <c r="G2581" s="28" t="s">
        <v>77</v>
      </c>
      <c r="I2581" s="26" t="s">
        <v>77</v>
      </c>
      <c r="J2581" s="26" t="s">
        <v>77</v>
      </c>
      <c r="K2581" s="18"/>
      <c r="L2581" s="26" t="s">
        <v>77</v>
      </c>
      <c r="M2581" s="6" t="s">
        <v>77</v>
      </c>
      <c r="N2581" s="28" t="s">
        <v>77</v>
      </c>
      <c r="O2581" s="26" t="s">
        <v>77</v>
      </c>
    </row>
    <row r="2582">
      <c r="A2582" s="52" t="s">
        <v>77</v>
      </c>
      <c r="B2582" s="28" t="s">
        <v>77</v>
      </c>
      <c r="C2582" s="28" t="s">
        <v>77</v>
      </c>
      <c r="D2582" s="28" t="s">
        <v>77</v>
      </c>
      <c r="E2582" s="28" t="s">
        <v>77</v>
      </c>
      <c r="F2582" s="28" t="s">
        <v>77</v>
      </c>
      <c r="G2582" s="28" t="s">
        <v>77</v>
      </c>
      <c r="I2582" s="26" t="s">
        <v>77</v>
      </c>
      <c r="J2582" s="26" t="s">
        <v>77</v>
      </c>
      <c r="K2582" s="18"/>
      <c r="L2582" s="26" t="s">
        <v>77</v>
      </c>
      <c r="M2582" s="6" t="s">
        <v>77</v>
      </c>
      <c r="N2582" s="28" t="s">
        <v>77</v>
      </c>
      <c r="O2582" s="26" t="s">
        <v>77</v>
      </c>
    </row>
    <row r="2583">
      <c r="A2583" s="52" t="s">
        <v>77</v>
      </c>
      <c r="B2583" s="28" t="s">
        <v>77</v>
      </c>
      <c r="C2583" s="28" t="s">
        <v>77</v>
      </c>
      <c r="D2583" s="28" t="s">
        <v>77</v>
      </c>
      <c r="E2583" s="28" t="s">
        <v>77</v>
      </c>
      <c r="F2583" s="28" t="s">
        <v>77</v>
      </c>
      <c r="G2583" s="28" t="s">
        <v>77</v>
      </c>
      <c r="I2583" s="26" t="s">
        <v>77</v>
      </c>
      <c r="J2583" s="26" t="s">
        <v>77</v>
      </c>
      <c r="K2583" s="18"/>
      <c r="L2583" s="26" t="s">
        <v>77</v>
      </c>
      <c r="M2583" s="6" t="s">
        <v>77</v>
      </c>
      <c r="N2583" s="28" t="s">
        <v>77</v>
      </c>
      <c r="O2583" s="26" t="s">
        <v>77</v>
      </c>
    </row>
    <row r="2584">
      <c r="A2584" s="52" t="s">
        <v>77</v>
      </c>
      <c r="B2584" s="28" t="s">
        <v>77</v>
      </c>
      <c r="C2584" s="28" t="s">
        <v>77</v>
      </c>
      <c r="D2584" s="28" t="s">
        <v>77</v>
      </c>
      <c r="E2584" s="28" t="s">
        <v>77</v>
      </c>
      <c r="F2584" s="28" t="s">
        <v>77</v>
      </c>
      <c r="G2584" s="28" t="s">
        <v>77</v>
      </c>
      <c r="I2584" s="26" t="s">
        <v>77</v>
      </c>
      <c r="J2584" s="26" t="s">
        <v>77</v>
      </c>
      <c r="K2584" s="18"/>
      <c r="L2584" s="26" t="s">
        <v>77</v>
      </c>
      <c r="M2584" s="6" t="s">
        <v>77</v>
      </c>
      <c r="N2584" s="28" t="s">
        <v>77</v>
      </c>
      <c r="O2584" s="26" t="s">
        <v>77</v>
      </c>
    </row>
    <row r="2585">
      <c r="A2585" s="52" t="s">
        <v>77</v>
      </c>
      <c r="B2585" s="28" t="s">
        <v>77</v>
      </c>
      <c r="C2585" s="28" t="s">
        <v>77</v>
      </c>
      <c r="D2585" s="28" t="s">
        <v>77</v>
      </c>
      <c r="E2585" s="28" t="s">
        <v>77</v>
      </c>
      <c r="F2585" s="28" t="s">
        <v>77</v>
      </c>
      <c r="G2585" s="28" t="s">
        <v>77</v>
      </c>
      <c r="I2585" s="26" t="s">
        <v>77</v>
      </c>
      <c r="J2585" s="26" t="s">
        <v>77</v>
      </c>
      <c r="K2585" s="18"/>
      <c r="L2585" s="26" t="s">
        <v>77</v>
      </c>
      <c r="M2585" s="6" t="s">
        <v>77</v>
      </c>
      <c r="N2585" s="28" t="s">
        <v>77</v>
      </c>
      <c r="O2585" s="26" t="s">
        <v>77</v>
      </c>
    </row>
    <row r="2586">
      <c r="A2586" s="52" t="s">
        <v>77</v>
      </c>
      <c r="B2586" s="28" t="s">
        <v>77</v>
      </c>
      <c r="C2586" s="28" t="s">
        <v>77</v>
      </c>
      <c r="D2586" s="28" t="s">
        <v>77</v>
      </c>
      <c r="E2586" s="28" t="s">
        <v>77</v>
      </c>
      <c r="F2586" s="28" t="s">
        <v>77</v>
      </c>
      <c r="G2586" s="28" t="s">
        <v>77</v>
      </c>
      <c r="I2586" s="26" t="s">
        <v>77</v>
      </c>
      <c r="J2586" s="26" t="s">
        <v>77</v>
      </c>
      <c r="K2586" s="18"/>
      <c r="L2586" s="26" t="s">
        <v>77</v>
      </c>
      <c r="M2586" s="6" t="s">
        <v>77</v>
      </c>
      <c r="N2586" s="28" t="s">
        <v>77</v>
      </c>
      <c r="O2586" s="26" t="s">
        <v>77</v>
      </c>
    </row>
    <row r="2587">
      <c r="A2587" s="52" t="s">
        <v>77</v>
      </c>
      <c r="B2587" s="28" t="s">
        <v>77</v>
      </c>
      <c r="C2587" s="28" t="s">
        <v>77</v>
      </c>
      <c r="D2587" s="28" t="s">
        <v>77</v>
      </c>
      <c r="E2587" s="28" t="s">
        <v>77</v>
      </c>
      <c r="F2587" s="28" t="s">
        <v>77</v>
      </c>
      <c r="G2587" s="28" t="s">
        <v>77</v>
      </c>
      <c r="I2587" s="26" t="s">
        <v>77</v>
      </c>
      <c r="J2587" s="26" t="s">
        <v>77</v>
      </c>
      <c r="K2587" s="18"/>
      <c r="L2587" s="26" t="s">
        <v>77</v>
      </c>
      <c r="M2587" s="6" t="s">
        <v>77</v>
      </c>
      <c r="N2587" s="28" t="s">
        <v>77</v>
      </c>
      <c r="O2587" s="26" t="s">
        <v>77</v>
      </c>
    </row>
    <row r="2588">
      <c r="A2588" s="52" t="s">
        <v>77</v>
      </c>
      <c r="B2588" s="28" t="s">
        <v>77</v>
      </c>
      <c r="C2588" s="28" t="s">
        <v>77</v>
      </c>
      <c r="D2588" s="28" t="s">
        <v>77</v>
      </c>
      <c r="E2588" s="28" t="s">
        <v>77</v>
      </c>
      <c r="F2588" s="28" t="s">
        <v>77</v>
      </c>
      <c r="G2588" s="28" t="s">
        <v>77</v>
      </c>
      <c r="I2588" s="26" t="s">
        <v>77</v>
      </c>
      <c r="J2588" s="26" t="s">
        <v>77</v>
      </c>
      <c r="K2588" s="18"/>
      <c r="L2588" s="26" t="s">
        <v>77</v>
      </c>
      <c r="M2588" s="6" t="s">
        <v>77</v>
      </c>
      <c r="N2588" s="28" t="s">
        <v>77</v>
      </c>
      <c r="O2588" s="26" t="s">
        <v>77</v>
      </c>
    </row>
    <row r="2589">
      <c r="A2589" s="52" t="s">
        <v>77</v>
      </c>
      <c r="B2589" s="28" t="s">
        <v>77</v>
      </c>
      <c r="C2589" s="28" t="s">
        <v>77</v>
      </c>
      <c r="D2589" s="28" t="s">
        <v>77</v>
      </c>
      <c r="E2589" s="28" t="s">
        <v>77</v>
      </c>
      <c r="F2589" s="28" t="s">
        <v>77</v>
      </c>
      <c r="G2589" s="28" t="s">
        <v>77</v>
      </c>
      <c r="I2589" s="26" t="s">
        <v>77</v>
      </c>
      <c r="J2589" s="26" t="s">
        <v>77</v>
      </c>
      <c r="K2589" s="18"/>
      <c r="L2589" s="26" t="s">
        <v>77</v>
      </c>
      <c r="M2589" s="6" t="s">
        <v>77</v>
      </c>
      <c r="N2589" s="28" t="s">
        <v>77</v>
      </c>
      <c r="O2589" s="26" t="s">
        <v>77</v>
      </c>
    </row>
    <row r="2590">
      <c r="A2590" s="52" t="s">
        <v>77</v>
      </c>
      <c r="B2590" s="28" t="s">
        <v>77</v>
      </c>
      <c r="C2590" s="28" t="s">
        <v>77</v>
      </c>
      <c r="D2590" s="28" t="s">
        <v>77</v>
      </c>
      <c r="E2590" s="28" t="s">
        <v>77</v>
      </c>
      <c r="F2590" s="28" t="s">
        <v>77</v>
      </c>
      <c r="G2590" s="28" t="s">
        <v>77</v>
      </c>
      <c r="I2590" s="26" t="s">
        <v>77</v>
      </c>
      <c r="J2590" s="26" t="s">
        <v>77</v>
      </c>
      <c r="K2590" s="18"/>
      <c r="L2590" s="26" t="s">
        <v>77</v>
      </c>
      <c r="M2590" s="6" t="s">
        <v>77</v>
      </c>
      <c r="N2590" s="28" t="s">
        <v>77</v>
      </c>
      <c r="O2590" s="26" t="s">
        <v>77</v>
      </c>
    </row>
    <row r="2591">
      <c r="A2591" s="52" t="s">
        <v>77</v>
      </c>
      <c r="B2591" s="28" t="s">
        <v>77</v>
      </c>
      <c r="C2591" s="28" t="s">
        <v>77</v>
      </c>
      <c r="D2591" s="28" t="s">
        <v>77</v>
      </c>
      <c r="E2591" s="28" t="s">
        <v>77</v>
      </c>
      <c r="F2591" s="28" t="s">
        <v>77</v>
      </c>
      <c r="G2591" s="28" t="s">
        <v>77</v>
      </c>
      <c r="I2591" s="26" t="s">
        <v>77</v>
      </c>
      <c r="J2591" s="26" t="s">
        <v>77</v>
      </c>
      <c r="K2591" s="18"/>
      <c r="L2591" s="26" t="s">
        <v>77</v>
      </c>
      <c r="M2591" s="6" t="s">
        <v>77</v>
      </c>
      <c r="N2591" s="28" t="s">
        <v>77</v>
      </c>
      <c r="O2591" s="26" t="s">
        <v>77</v>
      </c>
    </row>
    <row r="2592">
      <c r="A2592" s="52" t="s">
        <v>77</v>
      </c>
      <c r="B2592" s="28" t="s">
        <v>77</v>
      </c>
      <c r="C2592" s="28" t="s">
        <v>77</v>
      </c>
      <c r="D2592" s="28" t="s">
        <v>77</v>
      </c>
      <c r="E2592" s="28" t="s">
        <v>77</v>
      </c>
      <c r="F2592" s="28" t="s">
        <v>77</v>
      </c>
      <c r="G2592" s="28" t="s">
        <v>77</v>
      </c>
      <c r="I2592" s="26" t="s">
        <v>77</v>
      </c>
      <c r="J2592" s="26" t="s">
        <v>77</v>
      </c>
      <c r="K2592" s="18"/>
      <c r="L2592" s="26" t="s">
        <v>77</v>
      </c>
      <c r="M2592" s="6" t="s">
        <v>77</v>
      </c>
      <c r="N2592" s="28" t="s">
        <v>77</v>
      </c>
      <c r="O2592" s="26" t="s">
        <v>77</v>
      </c>
    </row>
    <row r="2593">
      <c r="A2593" s="52" t="s">
        <v>77</v>
      </c>
      <c r="B2593" s="28" t="s">
        <v>77</v>
      </c>
      <c r="C2593" s="28" t="s">
        <v>77</v>
      </c>
      <c r="D2593" s="28" t="s">
        <v>77</v>
      </c>
      <c r="E2593" s="28" t="s">
        <v>77</v>
      </c>
      <c r="F2593" s="28" t="s">
        <v>77</v>
      </c>
      <c r="G2593" s="28" t="s">
        <v>77</v>
      </c>
      <c r="I2593" s="26" t="s">
        <v>77</v>
      </c>
      <c r="J2593" s="26" t="s">
        <v>77</v>
      </c>
      <c r="K2593" s="18"/>
      <c r="L2593" s="26" t="s">
        <v>77</v>
      </c>
      <c r="M2593" s="6" t="s">
        <v>77</v>
      </c>
      <c r="N2593" s="28" t="s">
        <v>77</v>
      </c>
      <c r="O2593" s="26" t="s">
        <v>77</v>
      </c>
    </row>
    <row r="2594">
      <c r="A2594" s="52" t="s">
        <v>77</v>
      </c>
      <c r="B2594" s="28" t="s">
        <v>77</v>
      </c>
      <c r="C2594" s="28" t="s">
        <v>77</v>
      </c>
      <c r="D2594" s="28" t="s">
        <v>77</v>
      </c>
      <c r="E2594" s="28" t="s">
        <v>77</v>
      </c>
      <c r="F2594" s="28" t="s">
        <v>77</v>
      </c>
      <c r="G2594" s="28" t="s">
        <v>77</v>
      </c>
      <c r="I2594" s="26" t="s">
        <v>77</v>
      </c>
      <c r="J2594" s="26" t="s">
        <v>77</v>
      </c>
      <c r="K2594" s="18"/>
      <c r="L2594" s="26" t="s">
        <v>77</v>
      </c>
      <c r="M2594" s="6" t="s">
        <v>77</v>
      </c>
      <c r="N2594" s="28" t="s">
        <v>77</v>
      </c>
      <c r="O2594" s="26" t="s">
        <v>77</v>
      </c>
    </row>
    <row r="2595">
      <c r="A2595" s="52" t="s">
        <v>77</v>
      </c>
      <c r="B2595" s="28" t="s">
        <v>77</v>
      </c>
      <c r="C2595" s="28" t="s">
        <v>77</v>
      </c>
      <c r="D2595" s="28" t="s">
        <v>77</v>
      </c>
      <c r="E2595" s="28" t="s">
        <v>77</v>
      </c>
      <c r="F2595" s="28" t="s">
        <v>77</v>
      </c>
      <c r="G2595" s="28" t="s">
        <v>77</v>
      </c>
      <c r="I2595" s="26" t="s">
        <v>77</v>
      </c>
      <c r="J2595" s="26" t="s">
        <v>77</v>
      </c>
      <c r="K2595" s="18"/>
      <c r="L2595" s="26" t="s">
        <v>77</v>
      </c>
      <c r="M2595" s="6" t="s">
        <v>77</v>
      </c>
      <c r="N2595" s="28" t="s">
        <v>77</v>
      </c>
      <c r="O2595" s="26" t="s">
        <v>77</v>
      </c>
    </row>
    <row r="2596">
      <c r="A2596" s="52" t="s">
        <v>77</v>
      </c>
      <c r="B2596" s="28" t="s">
        <v>77</v>
      </c>
      <c r="C2596" s="28" t="s">
        <v>77</v>
      </c>
      <c r="D2596" s="28" t="s">
        <v>77</v>
      </c>
      <c r="E2596" s="28" t="s">
        <v>77</v>
      </c>
      <c r="F2596" s="28" t="s">
        <v>77</v>
      </c>
      <c r="G2596" s="28" t="s">
        <v>77</v>
      </c>
      <c r="I2596" s="26" t="s">
        <v>77</v>
      </c>
      <c r="J2596" s="26" t="s">
        <v>77</v>
      </c>
      <c r="K2596" s="18"/>
      <c r="L2596" s="26" t="s">
        <v>77</v>
      </c>
      <c r="M2596" s="6" t="s">
        <v>77</v>
      </c>
      <c r="N2596" s="28" t="s">
        <v>77</v>
      </c>
      <c r="O2596" s="26" t="s">
        <v>77</v>
      </c>
    </row>
    <row r="2597">
      <c r="A2597" s="52" t="s">
        <v>77</v>
      </c>
      <c r="B2597" s="28" t="s">
        <v>77</v>
      </c>
      <c r="C2597" s="28" t="s">
        <v>77</v>
      </c>
      <c r="D2597" s="28" t="s">
        <v>77</v>
      </c>
      <c r="E2597" s="28" t="s">
        <v>77</v>
      </c>
      <c r="F2597" s="28" t="s">
        <v>77</v>
      </c>
      <c r="G2597" s="28" t="s">
        <v>77</v>
      </c>
      <c r="I2597" s="26" t="s">
        <v>77</v>
      </c>
      <c r="J2597" s="26" t="s">
        <v>77</v>
      </c>
      <c r="K2597" s="18"/>
      <c r="L2597" s="26" t="s">
        <v>77</v>
      </c>
      <c r="M2597" s="6" t="s">
        <v>77</v>
      </c>
      <c r="N2597" s="28" t="s">
        <v>77</v>
      </c>
      <c r="O2597" s="26" t="s">
        <v>77</v>
      </c>
    </row>
    <row r="2598">
      <c r="A2598" s="52" t="s">
        <v>77</v>
      </c>
      <c r="B2598" s="28" t="s">
        <v>77</v>
      </c>
      <c r="C2598" s="28" t="s">
        <v>77</v>
      </c>
      <c r="D2598" s="28" t="s">
        <v>77</v>
      </c>
      <c r="E2598" s="28" t="s">
        <v>77</v>
      </c>
      <c r="F2598" s="28" t="s">
        <v>77</v>
      </c>
      <c r="G2598" s="28" t="s">
        <v>77</v>
      </c>
      <c r="I2598" s="26" t="s">
        <v>77</v>
      </c>
      <c r="J2598" s="26" t="s">
        <v>77</v>
      </c>
      <c r="K2598" s="18"/>
      <c r="L2598" s="26" t="s">
        <v>77</v>
      </c>
      <c r="M2598" s="6" t="s">
        <v>77</v>
      </c>
      <c r="N2598" s="28" t="s">
        <v>77</v>
      </c>
      <c r="O2598" s="26" t="s">
        <v>77</v>
      </c>
    </row>
    <row r="2599">
      <c r="A2599" s="52" t="s">
        <v>77</v>
      </c>
      <c r="B2599" s="28" t="s">
        <v>77</v>
      </c>
      <c r="C2599" s="28" t="s">
        <v>77</v>
      </c>
      <c r="D2599" s="28" t="s">
        <v>77</v>
      </c>
      <c r="E2599" s="28" t="s">
        <v>77</v>
      </c>
      <c r="F2599" s="28" t="s">
        <v>77</v>
      </c>
      <c r="G2599" s="28" t="s">
        <v>77</v>
      </c>
      <c r="I2599" s="26" t="s">
        <v>77</v>
      </c>
      <c r="J2599" s="26" t="s">
        <v>77</v>
      </c>
      <c r="K2599" s="18"/>
      <c r="L2599" s="26" t="s">
        <v>77</v>
      </c>
      <c r="M2599" s="6" t="s">
        <v>77</v>
      </c>
      <c r="N2599" s="28" t="s">
        <v>77</v>
      </c>
      <c r="O2599" s="26" t="s">
        <v>77</v>
      </c>
    </row>
    <row r="2600">
      <c r="A2600" s="52" t="s">
        <v>77</v>
      </c>
      <c r="B2600" s="28" t="s">
        <v>77</v>
      </c>
      <c r="C2600" s="28" t="s">
        <v>77</v>
      </c>
      <c r="D2600" s="28" t="s">
        <v>77</v>
      </c>
      <c r="E2600" s="28" t="s">
        <v>77</v>
      </c>
      <c r="F2600" s="28" t="s">
        <v>77</v>
      </c>
      <c r="G2600" s="28" t="s">
        <v>77</v>
      </c>
      <c r="I2600" s="26" t="s">
        <v>77</v>
      </c>
      <c r="J2600" s="26" t="s">
        <v>77</v>
      </c>
      <c r="K2600" s="18"/>
      <c r="L2600" s="26" t="s">
        <v>77</v>
      </c>
      <c r="M2600" s="6" t="s">
        <v>77</v>
      </c>
      <c r="N2600" s="28" t="s">
        <v>77</v>
      </c>
      <c r="O2600" s="26" t="s">
        <v>77</v>
      </c>
    </row>
    <row r="2601">
      <c r="A2601" s="52" t="s">
        <v>77</v>
      </c>
      <c r="B2601" s="28" t="s">
        <v>77</v>
      </c>
      <c r="C2601" s="28" t="s">
        <v>77</v>
      </c>
      <c r="D2601" s="28" t="s">
        <v>77</v>
      </c>
      <c r="E2601" s="28" t="s">
        <v>77</v>
      </c>
      <c r="F2601" s="28" t="s">
        <v>77</v>
      </c>
      <c r="G2601" s="28" t="s">
        <v>77</v>
      </c>
      <c r="I2601" s="26" t="s">
        <v>77</v>
      </c>
      <c r="J2601" s="26" t="s">
        <v>77</v>
      </c>
      <c r="K2601" s="18"/>
      <c r="L2601" s="26" t="s">
        <v>77</v>
      </c>
      <c r="M2601" s="6" t="s">
        <v>77</v>
      </c>
      <c r="N2601" s="28" t="s">
        <v>77</v>
      </c>
      <c r="O2601" s="26" t="s">
        <v>77</v>
      </c>
    </row>
    <row r="2602">
      <c r="A2602" s="52" t="s">
        <v>77</v>
      </c>
      <c r="B2602" s="28" t="s">
        <v>77</v>
      </c>
      <c r="C2602" s="28" t="s">
        <v>77</v>
      </c>
      <c r="D2602" s="28" t="s">
        <v>77</v>
      </c>
      <c r="E2602" s="28" t="s">
        <v>77</v>
      </c>
      <c r="F2602" s="28" t="s">
        <v>77</v>
      </c>
      <c r="G2602" s="28" t="s">
        <v>77</v>
      </c>
      <c r="I2602" s="26" t="s">
        <v>77</v>
      </c>
      <c r="J2602" s="26" t="s">
        <v>77</v>
      </c>
      <c r="K2602" s="18"/>
      <c r="L2602" s="26" t="s">
        <v>77</v>
      </c>
      <c r="M2602" s="6" t="s">
        <v>77</v>
      </c>
      <c r="N2602" s="28" t="s">
        <v>77</v>
      </c>
      <c r="O2602" s="26" t="s">
        <v>77</v>
      </c>
    </row>
    <row r="2603">
      <c r="A2603" s="52" t="s">
        <v>77</v>
      </c>
      <c r="B2603" s="28" t="s">
        <v>77</v>
      </c>
      <c r="C2603" s="28" t="s">
        <v>77</v>
      </c>
      <c r="D2603" s="28" t="s">
        <v>77</v>
      </c>
      <c r="E2603" s="28" t="s">
        <v>77</v>
      </c>
      <c r="F2603" s="28" t="s">
        <v>77</v>
      </c>
      <c r="G2603" s="28" t="s">
        <v>77</v>
      </c>
      <c r="I2603" s="26" t="s">
        <v>77</v>
      </c>
      <c r="J2603" s="26" t="s">
        <v>77</v>
      </c>
      <c r="K2603" s="18"/>
      <c r="L2603" s="26" t="s">
        <v>77</v>
      </c>
      <c r="M2603" s="6" t="s">
        <v>77</v>
      </c>
      <c r="N2603" s="28" t="s">
        <v>77</v>
      </c>
      <c r="O2603" s="26" t="s">
        <v>77</v>
      </c>
    </row>
    <row r="2604">
      <c r="A2604" s="52" t="s">
        <v>77</v>
      </c>
      <c r="B2604" s="28" t="s">
        <v>77</v>
      </c>
      <c r="C2604" s="28" t="s">
        <v>77</v>
      </c>
      <c r="D2604" s="28" t="s">
        <v>77</v>
      </c>
      <c r="E2604" s="28" t="s">
        <v>77</v>
      </c>
      <c r="F2604" s="28" t="s">
        <v>77</v>
      </c>
      <c r="G2604" s="28" t="s">
        <v>77</v>
      </c>
      <c r="I2604" s="26" t="s">
        <v>77</v>
      </c>
      <c r="J2604" s="26" t="s">
        <v>77</v>
      </c>
      <c r="K2604" s="18"/>
      <c r="L2604" s="26" t="s">
        <v>77</v>
      </c>
      <c r="M2604" s="6" t="s">
        <v>77</v>
      </c>
      <c r="N2604" s="28" t="s">
        <v>77</v>
      </c>
      <c r="O2604" s="26" t="s">
        <v>77</v>
      </c>
    </row>
    <row r="2605">
      <c r="A2605" s="52" t="s">
        <v>77</v>
      </c>
      <c r="B2605" s="28" t="s">
        <v>77</v>
      </c>
      <c r="C2605" s="28" t="s">
        <v>77</v>
      </c>
      <c r="D2605" s="28" t="s">
        <v>77</v>
      </c>
      <c r="E2605" s="28" t="s">
        <v>77</v>
      </c>
      <c r="F2605" s="28" t="s">
        <v>77</v>
      </c>
      <c r="G2605" s="28" t="s">
        <v>77</v>
      </c>
      <c r="I2605" s="26" t="s">
        <v>77</v>
      </c>
      <c r="J2605" s="26" t="s">
        <v>77</v>
      </c>
      <c r="K2605" s="18"/>
      <c r="L2605" s="26" t="s">
        <v>77</v>
      </c>
      <c r="M2605" s="6" t="s">
        <v>77</v>
      </c>
      <c r="N2605" s="28" t="s">
        <v>77</v>
      </c>
      <c r="O2605" s="26" t="s">
        <v>77</v>
      </c>
    </row>
    <row r="2606">
      <c r="A2606" s="52" t="s">
        <v>77</v>
      </c>
      <c r="B2606" s="28" t="s">
        <v>77</v>
      </c>
      <c r="C2606" s="28" t="s">
        <v>77</v>
      </c>
      <c r="D2606" s="28" t="s">
        <v>77</v>
      </c>
      <c r="E2606" s="28" t="s">
        <v>77</v>
      </c>
      <c r="F2606" s="28" t="s">
        <v>77</v>
      </c>
      <c r="G2606" s="28" t="s">
        <v>77</v>
      </c>
      <c r="I2606" s="26" t="s">
        <v>77</v>
      </c>
      <c r="J2606" s="26" t="s">
        <v>77</v>
      </c>
      <c r="K2606" s="18"/>
      <c r="L2606" s="26" t="s">
        <v>77</v>
      </c>
      <c r="M2606" s="6" t="s">
        <v>77</v>
      </c>
      <c r="N2606" s="28" t="s">
        <v>77</v>
      </c>
      <c r="O2606" s="26" t="s">
        <v>77</v>
      </c>
    </row>
    <row r="2607">
      <c r="A2607" s="52" t="s">
        <v>77</v>
      </c>
      <c r="B2607" s="28" t="s">
        <v>77</v>
      </c>
      <c r="C2607" s="28" t="s">
        <v>77</v>
      </c>
      <c r="D2607" s="28" t="s">
        <v>77</v>
      </c>
      <c r="E2607" s="28" t="s">
        <v>77</v>
      </c>
      <c r="F2607" s="28" t="s">
        <v>77</v>
      </c>
      <c r="G2607" s="28" t="s">
        <v>77</v>
      </c>
      <c r="I2607" s="26" t="s">
        <v>77</v>
      </c>
      <c r="J2607" s="26" t="s">
        <v>77</v>
      </c>
      <c r="K2607" s="18"/>
      <c r="L2607" s="26" t="s">
        <v>77</v>
      </c>
      <c r="M2607" s="6" t="s">
        <v>77</v>
      </c>
      <c r="N2607" s="28" t="s">
        <v>77</v>
      </c>
      <c r="O2607" s="26" t="s">
        <v>77</v>
      </c>
    </row>
    <row r="2608">
      <c r="A2608" s="52" t="s">
        <v>77</v>
      </c>
      <c r="B2608" s="28" t="s">
        <v>77</v>
      </c>
      <c r="C2608" s="28" t="s">
        <v>77</v>
      </c>
      <c r="D2608" s="28" t="s">
        <v>77</v>
      </c>
      <c r="E2608" s="28" t="s">
        <v>77</v>
      </c>
      <c r="F2608" s="28" t="s">
        <v>77</v>
      </c>
      <c r="G2608" s="28" t="s">
        <v>77</v>
      </c>
      <c r="I2608" s="26" t="s">
        <v>77</v>
      </c>
      <c r="J2608" s="26" t="s">
        <v>77</v>
      </c>
      <c r="K2608" s="18"/>
      <c r="L2608" s="26" t="s">
        <v>77</v>
      </c>
      <c r="M2608" s="6" t="s">
        <v>77</v>
      </c>
      <c r="N2608" s="28" t="s">
        <v>77</v>
      </c>
      <c r="O2608" s="26" t="s">
        <v>77</v>
      </c>
    </row>
    <row r="2609">
      <c r="A2609" s="52" t="s">
        <v>77</v>
      </c>
      <c r="B2609" s="28" t="s">
        <v>77</v>
      </c>
      <c r="C2609" s="28" t="s">
        <v>77</v>
      </c>
      <c r="D2609" s="28" t="s">
        <v>77</v>
      </c>
      <c r="E2609" s="28" t="s">
        <v>77</v>
      </c>
      <c r="F2609" s="28" t="s">
        <v>77</v>
      </c>
      <c r="G2609" s="28" t="s">
        <v>77</v>
      </c>
      <c r="I2609" s="26" t="s">
        <v>77</v>
      </c>
      <c r="J2609" s="26" t="s">
        <v>77</v>
      </c>
      <c r="K2609" s="18"/>
      <c r="L2609" s="26" t="s">
        <v>77</v>
      </c>
      <c r="M2609" s="6" t="s">
        <v>77</v>
      </c>
      <c r="N2609" s="28" t="s">
        <v>77</v>
      </c>
      <c r="O2609" s="26" t="s">
        <v>77</v>
      </c>
    </row>
    <row r="2610">
      <c r="A2610" s="52" t="s">
        <v>77</v>
      </c>
      <c r="B2610" s="28" t="s">
        <v>77</v>
      </c>
      <c r="C2610" s="28" t="s">
        <v>77</v>
      </c>
      <c r="D2610" s="28" t="s">
        <v>77</v>
      </c>
      <c r="E2610" s="28" t="s">
        <v>77</v>
      </c>
      <c r="F2610" s="28" t="s">
        <v>77</v>
      </c>
      <c r="G2610" s="28" t="s">
        <v>77</v>
      </c>
      <c r="I2610" s="26" t="s">
        <v>77</v>
      </c>
      <c r="J2610" s="26" t="s">
        <v>77</v>
      </c>
      <c r="K2610" s="18"/>
      <c r="L2610" s="26" t="s">
        <v>77</v>
      </c>
      <c r="M2610" s="6" t="s">
        <v>77</v>
      </c>
      <c r="N2610" s="28" t="s">
        <v>77</v>
      </c>
      <c r="O2610" s="26" t="s">
        <v>77</v>
      </c>
    </row>
    <row r="2611">
      <c r="A2611" s="52" t="s">
        <v>77</v>
      </c>
      <c r="B2611" s="28" t="s">
        <v>77</v>
      </c>
      <c r="C2611" s="28" t="s">
        <v>77</v>
      </c>
      <c r="D2611" s="28" t="s">
        <v>77</v>
      </c>
      <c r="E2611" s="28" t="s">
        <v>77</v>
      </c>
      <c r="F2611" s="28" t="s">
        <v>77</v>
      </c>
      <c r="G2611" s="28" t="s">
        <v>77</v>
      </c>
      <c r="I2611" s="26" t="s">
        <v>77</v>
      </c>
      <c r="J2611" s="26" t="s">
        <v>77</v>
      </c>
      <c r="K2611" s="18"/>
      <c r="L2611" s="26" t="s">
        <v>77</v>
      </c>
      <c r="M2611" s="6" t="s">
        <v>77</v>
      </c>
      <c r="N2611" s="28" t="s">
        <v>77</v>
      </c>
      <c r="O2611" s="26" t="s">
        <v>77</v>
      </c>
    </row>
    <row r="2612">
      <c r="A2612" s="52" t="s">
        <v>77</v>
      </c>
      <c r="B2612" s="28" t="s">
        <v>77</v>
      </c>
      <c r="C2612" s="28" t="s">
        <v>77</v>
      </c>
      <c r="D2612" s="28" t="s">
        <v>77</v>
      </c>
      <c r="E2612" s="28" t="s">
        <v>77</v>
      </c>
      <c r="F2612" s="28" t="s">
        <v>77</v>
      </c>
      <c r="G2612" s="28" t="s">
        <v>77</v>
      </c>
      <c r="I2612" s="26" t="s">
        <v>77</v>
      </c>
      <c r="J2612" s="26" t="s">
        <v>77</v>
      </c>
      <c r="K2612" s="18"/>
      <c r="L2612" s="26" t="s">
        <v>77</v>
      </c>
      <c r="M2612" s="6" t="s">
        <v>77</v>
      </c>
      <c r="N2612" s="28" t="s">
        <v>77</v>
      </c>
      <c r="O2612" s="26" t="s">
        <v>77</v>
      </c>
    </row>
    <row r="2613">
      <c r="A2613" s="52" t="s">
        <v>77</v>
      </c>
      <c r="B2613" s="28" t="s">
        <v>77</v>
      </c>
      <c r="C2613" s="28" t="s">
        <v>77</v>
      </c>
      <c r="D2613" s="28" t="s">
        <v>77</v>
      </c>
      <c r="E2613" s="28" t="s">
        <v>77</v>
      </c>
      <c r="F2613" s="28" t="s">
        <v>77</v>
      </c>
      <c r="G2613" s="28" t="s">
        <v>77</v>
      </c>
      <c r="I2613" s="26" t="s">
        <v>77</v>
      </c>
      <c r="J2613" s="26" t="s">
        <v>77</v>
      </c>
      <c r="K2613" s="18"/>
      <c r="L2613" s="26" t="s">
        <v>77</v>
      </c>
      <c r="M2613" s="6" t="s">
        <v>77</v>
      </c>
      <c r="N2613" s="28" t="s">
        <v>77</v>
      </c>
      <c r="O2613" s="26" t="s">
        <v>77</v>
      </c>
    </row>
    <row r="2614">
      <c r="A2614" s="52" t="s">
        <v>77</v>
      </c>
      <c r="B2614" s="28" t="s">
        <v>77</v>
      </c>
      <c r="C2614" s="28" t="s">
        <v>77</v>
      </c>
      <c r="D2614" s="28" t="s">
        <v>77</v>
      </c>
      <c r="E2614" s="28" t="s">
        <v>77</v>
      </c>
      <c r="F2614" s="28" t="s">
        <v>77</v>
      </c>
      <c r="G2614" s="28" t="s">
        <v>77</v>
      </c>
      <c r="I2614" s="26" t="s">
        <v>77</v>
      </c>
      <c r="J2614" s="26" t="s">
        <v>77</v>
      </c>
      <c r="K2614" s="18"/>
      <c r="L2614" s="26" t="s">
        <v>77</v>
      </c>
      <c r="M2614" s="6" t="s">
        <v>77</v>
      </c>
      <c r="N2614" s="28" t="s">
        <v>77</v>
      </c>
      <c r="O2614" s="26" t="s">
        <v>77</v>
      </c>
    </row>
    <row r="2615">
      <c r="A2615" s="52" t="s">
        <v>77</v>
      </c>
      <c r="B2615" s="28" t="s">
        <v>77</v>
      </c>
      <c r="C2615" s="28" t="s">
        <v>77</v>
      </c>
      <c r="D2615" s="28" t="s">
        <v>77</v>
      </c>
      <c r="E2615" s="28" t="s">
        <v>77</v>
      </c>
      <c r="F2615" s="28" t="s">
        <v>77</v>
      </c>
      <c r="G2615" s="28" t="s">
        <v>77</v>
      </c>
      <c r="I2615" s="26" t="s">
        <v>77</v>
      </c>
      <c r="J2615" s="26" t="s">
        <v>77</v>
      </c>
      <c r="K2615" s="18"/>
      <c r="L2615" s="26" t="s">
        <v>77</v>
      </c>
      <c r="M2615" s="6" t="s">
        <v>77</v>
      </c>
      <c r="N2615" s="28" t="s">
        <v>77</v>
      </c>
      <c r="O2615" s="26" t="s">
        <v>77</v>
      </c>
    </row>
    <row r="2616">
      <c r="A2616" s="52" t="s">
        <v>77</v>
      </c>
      <c r="B2616" s="28" t="s">
        <v>77</v>
      </c>
      <c r="C2616" s="28" t="s">
        <v>77</v>
      </c>
      <c r="D2616" s="28" t="s">
        <v>77</v>
      </c>
      <c r="E2616" s="28" t="s">
        <v>77</v>
      </c>
      <c r="F2616" s="28" t="s">
        <v>77</v>
      </c>
      <c r="G2616" s="28" t="s">
        <v>77</v>
      </c>
      <c r="I2616" s="26" t="s">
        <v>77</v>
      </c>
      <c r="J2616" s="26" t="s">
        <v>77</v>
      </c>
      <c r="K2616" s="18"/>
      <c r="L2616" s="26" t="s">
        <v>77</v>
      </c>
      <c r="M2616" s="6" t="s">
        <v>77</v>
      </c>
      <c r="N2616" s="28" t="s">
        <v>77</v>
      </c>
      <c r="O2616" s="26" t="s">
        <v>77</v>
      </c>
    </row>
    <row r="2617">
      <c r="A2617" s="52" t="s">
        <v>77</v>
      </c>
      <c r="B2617" s="28" t="s">
        <v>77</v>
      </c>
      <c r="C2617" s="28" t="s">
        <v>77</v>
      </c>
      <c r="D2617" s="28" t="s">
        <v>77</v>
      </c>
      <c r="E2617" s="28" t="s">
        <v>77</v>
      </c>
      <c r="F2617" s="28" t="s">
        <v>77</v>
      </c>
      <c r="G2617" s="28" t="s">
        <v>77</v>
      </c>
      <c r="I2617" s="26" t="s">
        <v>77</v>
      </c>
      <c r="J2617" s="26" t="s">
        <v>77</v>
      </c>
      <c r="K2617" s="18"/>
      <c r="L2617" s="26" t="s">
        <v>77</v>
      </c>
      <c r="M2617" s="6" t="s">
        <v>77</v>
      </c>
      <c r="N2617" s="28" t="s">
        <v>77</v>
      </c>
      <c r="O2617" s="26" t="s">
        <v>77</v>
      </c>
    </row>
    <row r="2618">
      <c r="A2618" s="52" t="s">
        <v>77</v>
      </c>
      <c r="B2618" s="28" t="s">
        <v>77</v>
      </c>
      <c r="C2618" s="28" t="s">
        <v>77</v>
      </c>
      <c r="D2618" s="28" t="s">
        <v>77</v>
      </c>
      <c r="E2618" s="28" t="s">
        <v>77</v>
      </c>
      <c r="F2618" s="28" t="s">
        <v>77</v>
      </c>
      <c r="G2618" s="28" t="s">
        <v>77</v>
      </c>
      <c r="I2618" s="26" t="s">
        <v>77</v>
      </c>
      <c r="J2618" s="26" t="s">
        <v>77</v>
      </c>
      <c r="K2618" s="18"/>
      <c r="L2618" s="26" t="s">
        <v>77</v>
      </c>
      <c r="M2618" s="6" t="s">
        <v>77</v>
      </c>
      <c r="N2618" s="28" t="s">
        <v>77</v>
      </c>
      <c r="O2618" s="26" t="s">
        <v>77</v>
      </c>
    </row>
    <row r="2619">
      <c r="A2619" s="52" t="s">
        <v>77</v>
      </c>
      <c r="B2619" s="28" t="s">
        <v>77</v>
      </c>
      <c r="C2619" s="28" t="s">
        <v>77</v>
      </c>
      <c r="D2619" s="28" t="s">
        <v>77</v>
      </c>
      <c r="E2619" s="28" t="s">
        <v>77</v>
      </c>
      <c r="F2619" s="28" t="s">
        <v>77</v>
      </c>
      <c r="G2619" s="28" t="s">
        <v>77</v>
      </c>
      <c r="I2619" s="26" t="s">
        <v>77</v>
      </c>
      <c r="J2619" s="26" t="s">
        <v>77</v>
      </c>
      <c r="K2619" s="18"/>
      <c r="L2619" s="26" t="s">
        <v>77</v>
      </c>
      <c r="M2619" s="6" t="s">
        <v>77</v>
      </c>
      <c r="N2619" s="28" t="s">
        <v>77</v>
      </c>
      <c r="O2619" s="26" t="s">
        <v>77</v>
      </c>
    </row>
    <row r="2620">
      <c r="A2620" s="52" t="s">
        <v>77</v>
      </c>
      <c r="B2620" s="28" t="s">
        <v>77</v>
      </c>
      <c r="C2620" s="28" t="s">
        <v>77</v>
      </c>
      <c r="D2620" s="28" t="s">
        <v>77</v>
      </c>
      <c r="E2620" s="28" t="s">
        <v>77</v>
      </c>
      <c r="F2620" s="28" t="s">
        <v>77</v>
      </c>
      <c r="G2620" s="28" t="s">
        <v>77</v>
      </c>
      <c r="I2620" s="26" t="s">
        <v>77</v>
      </c>
      <c r="J2620" s="26" t="s">
        <v>77</v>
      </c>
      <c r="K2620" s="18"/>
      <c r="L2620" s="26" t="s">
        <v>77</v>
      </c>
      <c r="M2620" s="6" t="s">
        <v>77</v>
      </c>
      <c r="N2620" s="28" t="s">
        <v>77</v>
      </c>
      <c r="O2620" s="26" t="s">
        <v>77</v>
      </c>
    </row>
    <row r="2621">
      <c r="A2621" s="52" t="s">
        <v>77</v>
      </c>
      <c r="B2621" s="28" t="s">
        <v>77</v>
      </c>
      <c r="C2621" s="28" t="s">
        <v>77</v>
      </c>
      <c r="D2621" s="28" t="s">
        <v>77</v>
      </c>
      <c r="E2621" s="28" t="s">
        <v>77</v>
      </c>
      <c r="F2621" s="28" t="s">
        <v>77</v>
      </c>
      <c r="G2621" s="28" t="s">
        <v>77</v>
      </c>
      <c r="I2621" s="26" t="s">
        <v>77</v>
      </c>
      <c r="J2621" s="26" t="s">
        <v>77</v>
      </c>
      <c r="K2621" s="18"/>
      <c r="L2621" s="26" t="s">
        <v>77</v>
      </c>
      <c r="M2621" s="6" t="s">
        <v>77</v>
      </c>
      <c r="N2621" s="28" t="s">
        <v>77</v>
      </c>
      <c r="O2621" s="26" t="s">
        <v>77</v>
      </c>
    </row>
    <row r="2622">
      <c r="A2622" s="52" t="s">
        <v>77</v>
      </c>
      <c r="B2622" s="28" t="s">
        <v>77</v>
      </c>
      <c r="C2622" s="28" t="s">
        <v>77</v>
      </c>
      <c r="D2622" s="28" t="s">
        <v>77</v>
      </c>
      <c r="E2622" s="28" t="s">
        <v>77</v>
      </c>
      <c r="F2622" s="28" t="s">
        <v>77</v>
      </c>
      <c r="G2622" s="28" t="s">
        <v>77</v>
      </c>
      <c r="I2622" s="26" t="s">
        <v>77</v>
      </c>
      <c r="J2622" s="26" t="s">
        <v>77</v>
      </c>
      <c r="K2622" s="18"/>
      <c r="L2622" s="26" t="s">
        <v>77</v>
      </c>
      <c r="M2622" s="6" t="s">
        <v>77</v>
      </c>
      <c r="N2622" s="28" t="s">
        <v>77</v>
      </c>
      <c r="O2622" s="26" t="s">
        <v>77</v>
      </c>
    </row>
    <row r="2623">
      <c r="A2623" s="52" t="s">
        <v>77</v>
      </c>
      <c r="B2623" s="28" t="s">
        <v>77</v>
      </c>
      <c r="C2623" s="28" t="s">
        <v>77</v>
      </c>
      <c r="D2623" s="28" t="s">
        <v>77</v>
      </c>
      <c r="E2623" s="28" t="s">
        <v>77</v>
      </c>
      <c r="F2623" s="28" t="s">
        <v>77</v>
      </c>
      <c r="G2623" s="28" t="s">
        <v>77</v>
      </c>
      <c r="I2623" s="26" t="s">
        <v>77</v>
      </c>
      <c r="J2623" s="26" t="s">
        <v>77</v>
      </c>
      <c r="K2623" s="18"/>
      <c r="L2623" s="26" t="s">
        <v>77</v>
      </c>
      <c r="M2623" s="6" t="s">
        <v>77</v>
      </c>
      <c r="N2623" s="28" t="s">
        <v>77</v>
      </c>
      <c r="O2623" s="26" t="s">
        <v>77</v>
      </c>
    </row>
    <row r="2624">
      <c r="A2624" s="52" t="s">
        <v>77</v>
      </c>
      <c r="B2624" s="28" t="s">
        <v>77</v>
      </c>
      <c r="C2624" s="28" t="s">
        <v>77</v>
      </c>
      <c r="D2624" s="28" t="s">
        <v>77</v>
      </c>
      <c r="E2624" s="28" t="s">
        <v>77</v>
      </c>
      <c r="F2624" s="28" t="s">
        <v>77</v>
      </c>
      <c r="G2624" s="28" t="s">
        <v>77</v>
      </c>
      <c r="I2624" s="26" t="s">
        <v>77</v>
      </c>
      <c r="J2624" s="26" t="s">
        <v>77</v>
      </c>
      <c r="K2624" s="18"/>
      <c r="L2624" s="26" t="s">
        <v>77</v>
      </c>
      <c r="M2624" s="6" t="s">
        <v>77</v>
      </c>
      <c r="N2624" s="28" t="s">
        <v>77</v>
      </c>
      <c r="O2624" s="26" t="s">
        <v>77</v>
      </c>
    </row>
    <row r="2625">
      <c r="A2625" s="52" t="s">
        <v>77</v>
      </c>
      <c r="B2625" s="28" t="s">
        <v>77</v>
      </c>
      <c r="C2625" s="28" t="s">
        <v>77</v>
      </c>
      <c r="D2625" s="28" t="s">
        <v>77</v>
      </c>
      <c r="E2625" s="28" t="s">
        <v>77</v>
      </c>
      <c r="F2625" s="28" t="s">
        <v>77</v>
      </c>
      <c r="G2625" s="28" t="s">
        <v>77</v>
      </c>
      <c r="I2625" s="26" t="s">
        <v>77</v>
      </c>
      <c r="J2625" s="26" t="s">
        <v>77</v>
      </c>
      <c r="K2625" s="18"/>
      <c r="L2625" s="26" t="s">
        <v>77</v>
      </c>
      <c r="M2625" s="6" t="s">
        <v>77</v>
      </c>
      <c r="N2625" s="28" t="s">
        <v>77</v>
      </c>
      <c r="O2625" s="26" t="s">
        <v>77</v>
      </c>
    </row>
    <row r="2626">
      <c r="A2626" s="52" t="s">
        <v>77</v>
      </c>
      <c r="B2626" s="28" t="s">
        <v>77</v>
      </c>
      <c r="C2626" s="28" t="s">
        <v>77</v>
      </c>
      <c r="D2626" s="28" t="s">
        <v>77</v>
      </c>
      <c r="E2626" s="28" t="s">
        <v>77</v>
      </c>
      <c r="F2626" s="28" t="s">
        <v>77</v>
      </c>
      <c r="G2626" s="28" t="s">
        <v>77</v>
      </c>
      <c r="I2626" s="26" t="s">
        <v>77</v>
      </c>
      <c r="J2626" s="26" t="s">
        <v>77</v>
      </c>
      <c r="K2626" s="18"/>
      <c r="L2626" s="26" t="s">
        <v>77</v>
      </c>
      <c r="M2626" s="6" t="s">
        <v>77</v>
      </c>
      <c r="N2626" s="28" t="s">
        <v>77</v>
      </c>
      <c r="O2626" s="26" t="s">
        <v>77</v>
      </c>
    </row>
    <row r="2627">
      <c r="A2627" s="52" t="s">
        <v>77</v>
      </c>
      <c r="B2627" s="28" t="s">
        <v>77</v>
      </c>
      <c r="C2627" s="28" t="s">
        <v>77</v>
      </c>
      <c r="D2627" s="28" t="s">
        <v>77</v>
      </c>
      <c r="E2627" s="28" t="s">
        <v>77</v>
      </c>
      <c r="F2627" s="28" t="s">
        <v>77</v>
      </c>
      <c r="G2627" s="28" t="s">
        <v>77</v>
      </c>
      <c r="I2627" s="26" t="s">
        <v>77</v>
      </c>
      <c r="J2627" s="26" t="s">
        <v>77</v>
      </c>
      <c r="K2627" s="18"/>
      <c r="L2627" s="26" t="s">
        <v>77</v>
      </c>
      <c r="M2627" s="6" t="s">
        <v>77</v>
      </c>
      <c r="N2627" s="28" t="s">
        <v>77</v>
      </c>
      <c r="O2627" s="26" t="s">
        <v>77</v>
      </c>
    </row>
    <row r="2628">
      <c r="A2628" s="52" t="s">
        <v>77</v>
      </c>
      <c r="B2628" s="28" t="s">
        <v>77</v>
      </c>
      <c r="C2628" s="28" t="s">
        <v>77</v>
      </c>
      <c r="D2628" s="28" t="s">
        <v>77</v>
      </c>
      <c r="E2628" s="28" t="s">
        <v>77</v>
      </c>
      <c r="F2628" s="28" t="s">
        <v>77</v>
      </c>
      <c r="G2628" s="28" t="s">
        <v>77</v>
      </c>
      <c r="I2628" s="26" t="s">
        <v>77</v>
      </c>
      <c r="J2628" s="26" t="s">
        <v>77</v>
      </c>
      <c r="K2628" s="18"/>
      <c r="L2628" s="26" t="s">
        <v>77</v>
      </c>
      <c r="M2628" s="6" t="s">
        <v>77</v>
      </c>
      <c r="N2628" s="28" t="s">
        <v>77</v>
      </c>
      <c r="O2628" s="26" t="s">
        <v>77</v>
      </c>
    </row>
    <row r="2629">
      <c r="A2629" s="52" t="s">
        <v>77</v>
      </c>
      <c r="B2629" s="28" t="s">
        <v>77</v>
      </c>
      <c r="C2629" s="28" t="s">
        <v>77</v>
      </c>
      <c r="D2629" s="28" t="s">
        <v>77</v>
      </c>
      <c r="E2629" s="28" t="s">
        <v>77</v>
      </c>
      <c r="F2629" s="28" t="s">
        <v>77</v>
      </c>
      <c r="G2629" s="28" t="s">
        <v>77</v>
      </c>
      <c r="I2629" s="26" t="s">
        <v>77</v>
      </c>
      <c r="J2629" s="26" t="s">
        <v>77</v>
      </c>
      <c r="K2629" s="18"/>
      <c r="L2629" s="26" t="s">
        <v>77</v>
      </c>
      <c r="M2629" s="6" t="s">
        <v>77</v>
      </c>
      <c r="N2629" s="28" t="s">
        <v>77</v>
      </c>
      <c r="O2629" s="26" t="s">
        <v>77</v>
      </c>
    </row>
    <row r="2630">
      <c r="A2630" s="52" t="s">
        <v>77</v>
      </c>
      <c r="B2630" s="28" t="s">
        <v>77</v>
      </c>
      <c r="C2630" s="28" t="s">
        <v>77</v>
      </c>
      <c r="D2630" s="28" t="s">
        <v>77</v>
      </c>
      <c r="E2630" s="28" t="s">
        <v>77</v>
      </c>
      <c r="F2630" s="28" t="s">
        <v>77</v>
      </c>
      <c r="G2630" s="28" t="s">
        <v>77</v>
      </c>
      <c r="I2630" s="26" t="s">
        <v>77</v>
      </c>
      <c r="J2630" s="26" t="s">
        <v>77</v>
      </c>
      <c r="K2630" s="18"/>
      <c r="L2630" s="26" t="s">
        <v>77</v>
      </c>
      <c r="M2630" s="6" t="s">
        <v>77</v>
      </c>
      <c r="N2630" s="28" t="s">
        <v>77</v>
      </c>
      <c r="O2630" s="26" t="s">
        <v>77</v>
      </c>
    </row>
    <row r="2631">
      <c r="A2631" s="52" t="s">
        <v>77</v>
      </c>
      <c r="B2631" s="28" t="s">
        <v>77</v>
      </c>
      <c r="C2631" s="28" t="s">
        <v>77</v>
      </c>
      <c r="D2631" s="28" t="s">
        <v>77</v>
      </c>
      <c r="E2631" s="28" t="s">
        <v>77</v>
      </c>
      <c r="F2631" s="28" t="s">
        <v>77</v>
      </c>
      <c r="G2631" s="28" t="s">
        <v>77</v>
      </c>
      <c r="I2631" s="26" t="s">
        <v>77</v>
      </c>
      <c r="J2631" s="26" t="s">
        <v>77</v>
      </c>
      <c r="K2631" s="18"/>
      <c r="L2631" s="26" t="s">
        <v>77</v>
      </c>
      <c r="M2631" s="6" t="s">
        <v>77</v>
      </c>
      <c r="N2631" s="28" t="s">
        <v>77</v>
      </c>
      <c r="O2631" s="26" t="s">
        <v>77</v>
      </c>
    </row>
    <row r="2632">
      <c r="A2632" s="52" t="s">
        <v>77</v>
      </c>
      <c r="B2632" s="28" t="s">
        <v>77</v>
      </c>
      <c r="C2632" s="28" t="s">
        <v>77</v>
      </c>
      <c r="D2632" s="28" t="s">
        <v>77</v>
      </c>
      <c r="E2632" s="28" t="s">
        <v>77</v>
      </c>
      <c r="F2632" s="28" t="s">
        <v>77</v>
      </c>
      <c r="G2632" s="28" t="s">
        <v>77</v>
      </c>
      <c r="I2632" s="26" t="s">
        <v>77</v>
      </c>
      <c r="J2632" s="26" t="s">
        <v>77</v>
      </c>
      <c r="K2632" s="18"/>
      <c r="L2632" s="26" t="s">
        <v>77</v>
      </c>
      <c r="M2632" s="6" t="s">
        <v>77</v>
      </c>
      <c r="N2632" s="28" t="s">
        <v>77</v>
      </c>
      <c r="O2632" s="26" t="s">
        <v>77</v>
      </c>
    </row>
    <row r="2633">
      <c r="A2633" s="52" t="s">
        <v>77</v>
      </c>
      <c r="B2633" s="28" t="s">
        <v>77</v>
      </c>
      <c r="C2633" s="28" t="s">
        <v>77</v>
      </c>
      <c r="D2633" s="28" t="s">
        <v>77</v>
      </c>
      <c r="E2633" s="28" t="s">
        <v>77</v>
      </c>
      <c r="F2633" s="28" t="s">
        <v>77</v>
      </c>
      <c r="G2633" s="28" t="s">
        <v>77</v>
      </c>
      <c r="I2633" s="26" t="s">
        <v>77</v>
      </c>
      <c r="J2633" s="26" t="s">
        <v>77</v>
      </c>
      <c r="K2633" s="18"/>
      <c r="L2633" s="26" t="s">
        <v>77</v>
      </c>
      <c r="M2633" s="6" t="s">
        <v>77</v>
      </c>
      <c r="N2633" s="28" t="s">
        <v>77</v>
      </c>
      <c r="O2633" s="26" t="s">
        <v>77</v>
      </c>
    </row>
    <row r="2634">
      <c r="A2634" s="52" t="s">
        <v>77</v>
      </c>
      <c r="B2634" s="28" t="s">
        <v>77</v>
      </c>
      <c r="C2634" s="28" t="s">
        <v>77</v>
      </c>
      <c r="D2634" s="28" t="s">
        <v>77</v>
      </c>
      <c r="E2634" s="28" t="s">
        <v>77</v>
      </c>
      <c r="F2634" s="28" t="s">
        <v>77</v>
      </c>
      <c r="G2634" s="28" t="s">
        <v>77</v>
      </c>
      <c r="I2634" s="26" t="s">
        <v>77</v>
      </c>
      <c r="J2634" s="26" t="s">
        <v>77</v>
      </c>
      <c r="K2634" s="18"/>
      <c r="L2634" s="26" t="s">
        <v>77</v>
      </c>
      <c r="M2634" s="6" t="s">
        <v>77</v>
      </c>
      <c r="N2634" s="28" t="s">
        <v>77</v>
      </c>
      <c r="O2634" s="26" t="s">
        <v>77</v>
      </c>
    </row>
    <row r="2635">
      <c r="A2635" s="52" t="s">
        <v>77</v>
      </c>
      <c r="B2635" s="28" t="s">
        <v>77</v>
      </c>
      <c r="C2635" s="28" t="s">
        <v>77</v>
      </c>
      <c r="D2635" s="28" t="s">
        <v>77</v>
      </c>
      <c r="E2635" s="28" t="s">
        <v>77</v>
      </c>
      <c r="F2635" s="28" t="s">
        <v>77</v>
      </c>
      <c r="G2635" s="28" t="s">
        <v>77</v>
      </c>
      <c r="I2635" s="26" t="s">
        <v>77</v>
      </c>
      <c r="J2635" s="26" t="s">
        <v>77</v>
      </c>
      <c r="K2635" s="18"/>
      <c r="L2635" s="26" t="s">
        <v>77</v>
      </c>
      <c r="M2635" s="6" t="s">
        <v>77</v>
      </c>
      <c r="N2635" s="28" t="s">
        <v>77</v>
      </c>
      <c r="O2635" s="26" t="s">
        <v>77</v>
      </c>
    </row>
    <row r="2636">
      <c r="A2636" s="52" t="s">
        <v>77</v>
      </c>
      <c r="B2636" s="28" t="s">
        <v>77</v>
      </c>
      <c r="C2636" s="28" t="s">
        <v>77</v>
      </c>
      <c r="D2636" s="28" t="s">
        <v>77</v>
      </c>
      <c r="E2636" s="28" t="s">
        <v>77</v>
      </c>
      <c r="F2636" s="28" t="s">
        <v>77</v>
      </c>
      <c r="G2636" s="28" t="s">
        <v>77</v>
      </c>
      <c r="I2636" s="26" t="s">
        <v>77</v>
      </c>
      <c r="J2636" s="26" t="s">
        <v>77</v>
      </c>
      <c r="K2636" s="18"/>
      <c r="L2636" s="26" t="s">
        <v>77</v>
      </c>
      <c r="M2636" s="6" t="s">
        <v>77</v>
      </c>
      <c r="N2636" s="28" t="s">
        <v>77</v>
      </c>
      <c r="O2636" s="26" t="s">
        <v>77</v>
      </c>
    </row>
    <row r="2637">
      <c r="A2637" s="52" t="s">
        <v>77</v>
      </c>
      <c r="B2637" s="28" t="s">
        <v>77</v>
      </c>
      <c r="C2637" s="28" t="s">
        <v>77</v>
      </c>
      <c r="D2637" s="28" t="s">
        <v>77</v>
      </c>
      <c r="E2637" s="28" t="s">
        <v>77</v>
      </c>
      <c r="F2637" s="28" t="s">
        <v>77</v>
      </c>
      <c r="G2637" s="28" t="s">
        <v>77</v>
      </c>
      <c r="I2637" s="26" t="s">
        <v>77</v>
      </c>
      <c r="J2637" s="26" t="s">
        <v>77</v>
      </c>
      <c r="K2637" s="18"/>
      <c r="L2637" s="26" t="s">
        <v>77</v>
      </c>
      <c r="M2637" s="6" t="s">
        <v>77</v>
      </c>
      <c r="N2637" s="28" t="s">
        <v>77</v>
      </c>
      <c r="O2637" s="26" t="s">
        <v>77</v>
      </c>
    </row>
    <row r="2638">
      <c r="A2638" s="52" t="s">
        <v>77</v>
      </c>
      <c r="B2638" s="28" t="s">
        <v>77</v>
      </c>
      <c r="C2638" s="28" t="s">
        <v>77</v>
      </c>
      <c r="D2638" s="28" t="s">
        <v>77</v>
      </c>
      <c r="E2638" s="28" t="s">
        <v>77</v>
      </c>
      <c r="F2638" s="28" t="s">
        <v>77</v>
      </c>
      <c r="G2638" s="28" t="s">
        <v>77</v>
      </c>
      <c r="I2638" s="26" t="s">
        <v>77</v>
      </c>
      <c r="J2638" s="26" t="s">
        <v>77</v>
      </c>
      <c r="K2638" s="18"/>
      <c r="L2638" s="26" t="s">
        <v>77</v>
      </c>
      <c r="M2638" s="6" t="s">
        <v>77</v>
      </c>
      <c r="N2638" s="28" t="s">
        <v>77</v>
      </c>
      <c r="O2638" s="26" t="s">
        <v>77</v>
      </c>
    </row>
    <row r="2639">
      <c r="A2639" s="52" t="s">
        <v>77</v>
      </c>
      <c r="B2639" s="28" t="s">
        <v>77</v>
      </c>
      <c r="C2639" s="28" t="s">
        <v>77</v>
      </c>
      <c r="D2639" s="28" t="s">
        <v>77</v>
      </c>
      <c r="E2639" s="28" t="s">
        <v>77</v>
      </c>
      <c r="F2639" s="28" t="s">
        <v>77</v>
      </c>
      <c r="G2639" s="28" t="s">
        <v>77</v>
      </c>
      <c r="I2639" s="26" t="s">
        <v>77</v>
      </c>
      <c r="J2639" s="26" t="s">
        <v>77</v>
      </c>
      <c r="K2639" s="18"/>
      <c r="L2639" s="26" t="s">
        <v>77</v>
      </c>
      <c r="M2639" s="6" t="s">
        <v>77</v>
      </c>
      <c r="N2639" s="28" t="s">
        <v>77</v>
      </c>
      <c r="O2639" s="26" t="s">
        <v>77</v>
      </c>
    </row>
    <row r="2640">
      <c r="A2640" s="52" t="s">
        <v>77</v>
      </c>
      <c r="B2640" s="28" t="s">
        <v>77</v>
      </c>
      <c r="C2640" s="28" t="s">
        <v>77</v>
      </c>
      <c r="D2640" s="28" t="s">
        <v>77</v>
      </c>
      <c r="E2640" s="28" t="s">
        <v>77</v>
      </c>
      <c r="F2640" s="28" t="s">
        <v>77</v>
      </c>
      <c r="G2640" s="28" t="s">
        <v>77</v>
      </c>
      <c r="I2640" s="26" t="s">
        <v>77</v>
      </c>
      <c r="J2640" s="26" t="s">
        <v>77</v>
      </c>
      <c r="K2640" s="18"/>
      <c r="L2640" s="26" t="s">
        <v>77</v>
      </c>
      <c r="M2640" s="6" t="s">
        <v>77</v>
      </c>
      <c r="N2640" s="28" t="s">
        <v>77</v>
      </c>
      <c r="O2640" s="26" t="s">
        <v>77</v>
      </c>
    </row>
    <row r="2641">
      <c r="A2641" s="52" t="s">
        <v>77</v>
      </c>
      <c r="B2641" s="28" t="s">
        <v>77</v>
      </c>
      <c r="C2641" s="28" t="s">
        <v>77</v>
      </c>
      <c r="D2641" s="28" t="s">
        <v>77</v>
      </c>
      <c r="E2641" s="28" t="s">
        <v>77</v>
      </c>
      <c r="F2641" s="28" t="s">
        <v>77</v>
      </c>
      <c r="G2641" s="28" t="s">
        <v>77</v>
      </c>
      <c r="I2641" s="26" t="s">
        <v>77</v>
      </c>
      <c r="J2641" s="26" t="s">
        <v>77</v>
      </c>
      <c r="K2641" s="18"/>
      <c r="L2641" s="26" t="s">
        <v>77</v>
      </c>
      <c r="M2641" s="6" t="s">
        <v>77</v>
      </c>
      <c r="N2641" s="28" t="s">
        <v>77</v>
      </c>
      <c r="O2641" s="26" t="s">
        <v>77</v>
      </c>
    </row>
    <row r="2642">
      <c r="A2642" s="52" t="s">
        <v>77</v>
      </c>
      <c r="B2642" s="28" t="s">
        <v>77</v>
      </c>
      <c r="C2642" s="28" t="s">
        <v>77</v>
      </c>
      <c r="D2642" s="28" t="s">
        <v>77</v>
      </c>
      <c r="E2642" s="28" t="s">
        <v>77</v>
      </c>
      <c r="F2642" s="28" t="s">
        <v>77</v>
      </c>
      <c r="G2642" s="28" t="s">
        <v>77</v>
      </c>
      <c r="I2642" s="26" t="s">
        <v>77</v>
      </c>
      <c r="J2642" s="26" t="s">
        <v>77</v>
      </c>
      <c r="K2642" s="18"/>
      <c r="L2642" s="26" t="s">
        <v>77</v>
      </c>
      <c r="M2642" s="6" t="s">
        <v>77</v>
      </c>
      <c r="N2642" s="28" t="s">
        <v>77</v>
      </c>
      <c r="O2642" s="26" t="s">
        <v>77</v>
      </c>
    </row>
    <row r="2643">
      <c r="A2643" s="52" t="s">
        <v>77</v>
      </c>
      <c r="B2643" s="28" t="s">
        <v>77</v>
      </c>
      <c r="C2643" s="28" t="s">
        <v>77</v>
      </c>
      <c r="D2643" s="28" t="s">
        <v>77</v>
      </c>
      <c r="E2643" s="28" t="s">
        <v>77</v>
      </c>
      <c r="F2643" s="28" t="s">
        <v>77</v>
      </c>
      <c r="G2643" s="28" t="s">
        <v>77</v>
      </c>
      <c r="I2643" s="26" t="s">
        <v>77</v>
      </c>
      <c r="J2643" s="26" t="s">
        <v>77</v>
      </c>
      <c r="K2643" s="18"/>
      <c r="L2643" s="26" t="s">
        <v>77</v>
      </c>
      <c r="M2643" s="6" t="s">
        <v>77</v>
      </c>
      <c r="N2643" s="28" t="s">
        <v>77</v>
      </c>
      <c r="O2643" s="26" t="s">
        <v>77</v>
      </c>
    </row>
    <row r="2644">
      <c r="A2644" s="52" t="s">
        <v>77</v>
      </c>
      <c r="B2644" s="28" t="s">
        <v>77</v>
      </c>
      <c r="C2644" s="28" t="s">
        <v>77</v>
      </c>
      <c r="D2644" s="28" t="s">
        <v>77</v>
      </c>
      <c r="E2644" s="28" t="s">
        <v>77</v>
      </c>
      <c r="F2644" s="28" t="s">
        <v>77</v>
      </c>
      <c r="G2644" s="28" t="s">
        <v>77</v>
      </c>
      <c r="I2644" s="26" t="s">
        <v>77</v>
      </c>
      <c r="J2644" s="26" t="s">
        <v>77</v>
      </c>
      <c r="K2644" s="18"/>
      <c r="L2644" s="26" t="s">
        <v>77</v>
      </c>
      <c r="M2644" s="6" t="s">
        <v>77</v>
      </c>
      <c r="N2644" s="28" t="s">
        <v>77</v>
      </c>
      <c r="O2644" s="26" t="s">
        <v>77</v>
      </c>
    </row>
    <row r="2645">
      <c r="A2645" s="52" t="s">
        <v>77</v>
      </c>
      <c r="B2645" s="28" t="s">
        <v>77</v>
      </c>
      <c r="C2645" s="28" t="s">
        <v>77</v>
      </c>
      <c r="D2645" s="28" t="s">
        <v>77</v>
      </c>
      <c r="E2645" s="28" t="s">
        <v>77</v>
      </c>
      <c r="F2645" s="28" t="s">
        <v>77</v>
      </c>
      <c r="G2645" s="28" t="s">
        <v>77</v>
      </c>
      <c r="I2645" s="26" t="s">
        <v>77</v>
      </c>
      <c r="J2645" s="26" t="s">
        <v>77</v>
      </c>
      <c r="K2645" s="18"/>
      <c r="L2645" s="26" t="s">
        <v>77</v>
      </c>
      <c r="M2645" s="6" t="s">
        <v>77</v>
      </c>
      <c r="N2645" s="28" t="s">
        <v>77</v>
      </c>
      <c r="O2645" s="26" t="s">
        <v>77</v>
      </c>
    </row>
    <row r="2646">
      <c r="A2646" s="52" t="s">
        <v>77</v>
      </c>
      <c r="B2646" s="28" t="s">
        <v>77</v>
      </c>
      <c r="C2646" s="28" t="s">
        <v>77</v>
      </c>
      <c r="D2646" s="28" t="s">
        <v>77</v>
      </c>
      <c r="E2646" s="28" t="s">
        <v>77</v>
      </c>
      <c r="F2646" s="28" t="s">
        <v>77</v>
      </c>
      <c r="G2646" s="28" t="s">
        <v>77</v>
      </c>
      <c r="I2646" s="26" t="s">
        <v>77</v>
      </c>
      <c r="J2646" s="26" t="s">
        <v>77</v>
      </c>
      <c r="K2646" s="18"/>
      <c r="L2646" s="26" t="s">
        <v>77</v>
      </c>
      <c r="M2646" s="6" t="s">
        <v>77</v>
      </c>
      <c r="N2646" s="28" t="s">
        <v>77</v>
      </c>
      <c r="O2646" s="26" t="s">
        <v>77</v>
      </c>
    </row>
    <row r="2647">
      <c r="A2647" s="52" t="s">
        <v>77</v>
      </c>
      <c r="B2647" s="28" t="s">
        <v>77</v>
      </c>
      <c r="C2647" s="28" t="s">
        <v>77</v>
      </c>
      <c r="D2647" s="28" t="s">
        <v>77</v>
      </c>
      <c r="E2647" s="28" t="s">
        <v>77</v>
      </c>
      <c r="F2647" s="28" t="s">
        <v>77</v>
      </c>
      <c r="G2647" s="28" t="s">
        <v>77</v>
      </c>
      <c r="I2647" s="26" t="s">
        <v>77</v>
      </c>
      <c r="J2647" s="26" t="s">
        <v>77</v>
      </c>
      <c r="K2647" s="18"/>
      <c r="L2647" s="26" t="s">
        <v>77</v>
      </c>
      <c r="M2647" s="6" t="s">
        <v>77</v>
      </c>
      <c r="N2647" s="28" t="s">
        <v>77</v>
      </c>
      <c r="O2647" s="26" t="s">
        <v>77</v>
      </c>
    </row>
    <row r="2648">
      <c r="A2648" s="52" t="s">
        <v>77</v>
      </c>
      <c r="B2648" s="28" t="s">
        <v>77</v>
      </c>
      <c r="C2648" s="28" t="s">
        <v>77</v>
      </c>
      <c r="D2648" s="28" t="s">
        <v>77</v>
      </c>
      <c r="E2648" s="28" t="s">
        <v>77</v>
      </c>
      <c r="F2648" s="28" t="s">
        <v>77</v>
      </c>
      <c r="G2648" s="28" t="s">
        <v>77</v>
      </c>
      <c r="I2648" s="26" t="s">
        <v>77</v>
      </c>
      <c r="J2648" s="26" t="s">
        <v>77</v>
      </c>
      <c r="K2648" s="18"/>
      <c r="L2648" s="26" t="s">
        <v>77</v>
      </c>
      <c r="M2648" s="6" t="s">
        <v>77</v>
      </c>
      <c r="N2648" s="28" t="s">
        <v>77</v>
      </c>
      <c r="O2648" s="26" t="s">
        <v>77</v>
      </c>
    </row>
    <row r="2649">
      <c r="A2649" s="52" t="s">
        <v>77</v>
      </c>
      <c r="B2649" s="28" t="s">
        <v>77</v>
      </c>
      <c r="C2649" s="28" t="s">
        <v>77</v>
      </c>
      <c r="D2649" s="28" t="s">
        <v>77</v>
      </c>
      <c r="E2649" s="28" t="s">
        <v>77</v>
      </c>
      <c r="F2649" s="28" t="s">
        <v>77</v>
      </c>
      <c r="G2649" s="28" t="s">
        <v>77</v>
      </c>
      <c r="I2649" s="26" t="s">
        <v>77</v>
      </c>
      <c r="J2649" s="26" t="s">
        <v>77</v>
      </c>
      <c r="K2649" s="18"/>
      <c r="L2649" s="26" t="s">
        <v>77</v>
      </c>
      <c r="M2649" s="6" t="s">
        <v>77</v>
      </c>
      <c r="N2649" s="28" t="s">
        <v>77</v>
      </c>
      <c r="O2649" s="26" t="s">
        <v>77</v>
      </c>
    </row>
    <row r="2650">
      <c r="A2650" s="52" t="s">
        <v>77</v>
      </c>
      <c r="B2650" s="28" t="s">
        <v>77</v>
      </c>
      <c r="C2650" s="28" t="s">
        <v>77</v>
      </c>
      <c r="D2650" s="28" t="s">
        <v>77</v>
      </c>
      <c r="E2650" s="28" t="s">
        <v>77</v>
      </c>
      <c r="F2650" s="28" t="s">
        <v>77</v>
      </c>
      <c r="G2650" s="28" t="s">
        <v>77</v>
      </c>
      <c r="I2650" s="26" t="s">
        <v>77</v>
      </c>
      <c r="J2650" s="26" t="s">
        <v>77</v>
      </c>
      <c r="K2650" s="18"/>
      <c r="L2650" s="26" t="s">
        <v>77</v>
      </c>
      <c r="M2650" s="6" t="s">
        <v>77</v>
      </c>
      <c r="N2650" s="28" t="s">
        <v>77</v>
      </c>
      <c r="O2650" s="26" t="s">
        <v>77</v>
      </c>
    </row>
    <row r="2651">
      <c r="A2651" s="52" t="s">
        <v>77</v>
      </c>
      <c r="B2651" s="28" t="s">
        <v>77</v>
      </c>
      <c r="C2651" s="28" t="s">
        <v>77</v>
      </c>
      <c r="D2651" s="28" t="s">
        <v>77</v>
      </c>
      <c r="E2651" s="28" t="s">
        <v>77</v>
      </c>
      <c r="F2651" s="28" t="s">
        <v>77</v>
      </c>
      <c r="G2651" s="28" t="s">
        <v>77</v>
      </c>
      <c r="I2651" s="26" t="s">
        <v>77</v>
      </c>
      <c r="J2651" s="26" t="s">
        <v>77</v>
      </c>
      <c r="K2651" s="18"/>
      <c r="L2651" s="26" t="s">
        <v>77</v>
      </c>
      <c r="M2651" s="6" t="s">
        <v>77</v>
      </c>
      <c r="N2651" s="28" t="s">
        <v>77</v>
      </c>
      <c r="O2651" s="26" t="s">
        <v>77</v>
      </c>
    </row>
    <row r="2652">
      <c r="A2652" s="52" t="s">
        <v>77</v>
      </c>
      <c r="B2652" s="28" t="s">
        <v>77</v>
      </c>
      <c r="C2652" s="28" t="s">
        <v>77</v>
      </c>
      <c r="D2652" s="28" t="s">
        <v>77</v>
      </c>
      <c r="E2652" s="28" t="s">
        <v>77</v>
      </c>
      <c r="F2652" s="28" t="s">
        <v>77</v>
      </c>
      <c r="G2652" s="28" t="s">
        <v>77</v>
      </c>
      <c r="I2652" s="26" t="s">
        <v>77</v>
      </c>
      <c r="J2652" s="26" t="s">
        <v>77</v>
      </c>
      <c r="K2652" s="18"/>
      <c r="L2652" s="26" t="s">
        <v>77</v>
      </c>
      <c r="M2652" s="6" t="s">
        <v>77</v>
      </c>
      <c r="N2652" s="28" t="s">
        <v>77</v>
      </c>
      <c r="O2652" s="26" t="s">
        <v>77</v>
      </c>
    </row>
    <row r="2653">
      <c r="A2653" s="52" t="s">
        <v>77</v>
      </c>
      <c r="B2653" s="28" t="s">
        <v>77</v>
      </c>
      <c r="C2653" s="28" t="s">
        <v>77</v>
      </c>
      <c r="D2653" s="28" t="s">
        <v>77</v>
      </c>
      <c r="E2653" s="28" t="s">
        <v>77</v>
      </c>
      <c r="F2653" s="28" t="s">
        <v>77</v>
      </c>
      <c r="G2653" s="28" t="s">
        <v>77</v>
      </c>
      <c r="I2653" s="26" t="s">
        <v>77</v>
      </c>
      <c r="J2653" s="26" t="s">
        <v>77</v>
      </c>
      <c r="K2653" s="18"/>
      <c r="L2653" s="26" t="s">
        <v>77</v>
      </c>
      <c r="M2653" s="6" t="s">
        <v>77</v>
      </c>
      <c r="N2653" s="28" t="s">
        <v>77</v>
      </c>
      <c r="O2653" s="26" t="s">
        <v>77</v>
      </c>
    </row>
    <row r="2654">
      <c r="A2654" s="52" t="s">
        <v>77</v>
      </c>
      <c r="B2654" s="28" t="s">
        <v>77</v>
      </c>
      <c r="C2654" s="28" t="s">
        <v>77</v>
      </c>
      <c r="D2654" s="28" t="s">
        <v>77</v>
      </c>
      <c r="E2654" s="28" t="s">
        <v>77</v>
      </c>
      <c r="F2654" s="28" t="s">
        <v>77</v>
      </c>
      <c r="G2654" s="28" t="s">
        <v>77</v>
      </c>
      <c r="I2654" s="26" t="s">
        <v>77</v>
      </c>
      <c r="J2654" s="26" t="s">
        <v>77</v>
      </c>
      <c r="K2654" s="18"/>
      <c r="L2654" s="26" t="s">
        <v>77</v>
      </c>
      <c r="M2654" s="6" t="s">
        <v>77</v>
      </c>
      <c r="N2654" s="28" t="s">
        <v>77</v>
      </c>
      <c r="O2654" s="26" t="s">
        <v>77</v>
      </c>
    </row>
    <row r="2655">
      <c r="A2655" s="52" t="s">
        <v>77</v>
      </c>
      <c r="B2655" s="28" t="s">
        <v>77</v>
      </c>
      <c r="C2655" s="28" t="s">
        <v>77</v>
      </c>
      <c r="D2655" s="28" t="s">
        <v>77</v>
      </c>
      <c r="E2655" s="28" t="s">
        <v>77</v>
      </c>
      <c r="F2655" s="28" t="s">
        <v>77</v>
      </c>
      <c r="G2655" s="28" t="s">
        <v>77</v>
      </c>
      <c r="I2655" s="26" t="s">
        <v>77</v>
      </c>
      <c r="J2655" s="26" t="s">
        <v>77</v>
      </c>
      <c r="K2655" s="18"/>
      <c r="L2655" s="26" t="s">
        <v>77</v>
      </c>
      <c r="M2655" s="6" t="s">
        <v>77</v>
      </c>
      <c r="N2655" s="28" t="s">
        <v>77</v>
      </c>
      <c r="O2655" s="26" t="s">
        <v>77</v>
      </c>
    </row>
    <row r="2656">
      <c r="A2656" s="52" t="s">
        <v>77</v>
      </c>
      <c r="B2656" s="28" t="s">
        <v>77</v>
      </c>
      <c r="C2656" s="28" t="s">
        <v>77</v>
      </c>
      <c r="D2656" s="28" t="s">
        <v>77</v>
      </c>
      <c r="E2656" s="28" t="s">
        <v>77</v>
      </c>
      <c r="F2656" s="28" t="s">
        <v>77</v>
      </c>
      <c r="G2656" s="28" t="s">
        <v>77</v>
      </c>
      <c r="I2656" s="26" t="s">
        <v>77</v>
      </c>
      <c r="J2656" s="26" t="s">
        <v>77</v>
      </c>
      <c r="K2656" s="18"/>
      <c r="L2656" s="26" t="s">
        <v>77</v>
      </c>
      <c r="M2656" s="6" t="s">
        <v>77</v>
      </c>
      <c r="N2656" s="28" t="s">
        <v>77</v>
      </c>
      <c r="O2656" s="26" t="s">
        <v>77</v>
      </c>
    </row>
    <row r="2657">
      <c r="A2657" s="52" t="s">
        <v>77</v>
      </c>
      <c r="B2657" s="28" t="s">
        <v>77</v>
      </c>
      <c r="C2657" s="28" t="s">
        <v>77</v>
      </c>
      <c r="D2657" s="28" t="s">
        <v>77</v>
      </c>
      <c r="E2657" s="28" t="s">
        <v>77</v>
      </c>
      <c r="F2657" s="28" t="s">
        <v>77</v>
      </c>
      <c r="G2657" s="28" t="s">
        <v>77</v>
      </c>
      <c r="I2657" s="26" t="s">
        <v>77</v>
      </c>
      <c r="J2657" s="26" t="s">
        <v>77</v>
      </c>
      <c r="K2657" s="18"/>
      <c r="L2657" s="26" t="s">
        <v>77</v>
      </c>
      <c r="M2657" s="6" t="s">
        <v>77</v>
      </c>
      <c r="N2657" s="28" t="s">
        <v>77</v>
      </c>
      <c r="O2657" s="26" t="s">
        <v>77</v>
      </c>
    </row>
    <row r="2658">
      <c r="A2658" s="52" t="s">
        <v>77</v>
      </c>
      <c r="B2658" s="28" t="s">
        <v>77</v>
      </c>
      <c r="C2658" s="28" t="s">
        <v>77</v>
      </c>
      <c r="D2658" s="28" t="s">
        <v>77</v>
      </c>
      <c r="E2658" s="28" t="s">
        <v>77</v>
      </c>
      <c r="F2658" s="28" t="s">
        <v>77</v>
      </c>
      <c r="G2658" s="28" t="s">
        <v>77</v>
      </c>
      <c r="I2658" s="26" t="s">
        <v>77</v>
      </c>
      <c r="J2658" s="26" t="s">
        <v>77</v>
      </c>
      <c r="K2658" s="18"/>
      <c r="L2658" s="26" t="s">
        <v>77</v>
      </c>
      <c r="M2658" s="6" t="s">
        <v>77</v>
      </c>
      <c r="N2658" s="28" t="s">
        <v>77</v>
      </c>
      <c r="O2658" s="26" t="s">
        <v>77</v>
      </c>
    </row>
    <row r="2659">
      <c r="A2659" s="52" t="s">
        <v>77</v>
      </c>
      <c r="B2659" s="28" t="s">
        <v>77</v>
      </c>
      <c r="C2659" s="28" t="s">
        <v>77</v>
      </c>
      <c r="D2659" s="28" t="s">
        <v>77</v>
      </c>
      <c r="E2659" s="28" t="s">
        <v>77</v>
      </c>
      <c r="F2659" s="28" t="s">
        <v>77</v>
      </c>
      <c r="G2659" s="28" t="s">
        <v>77</v>
      </c>
      <c r="I2659" s="26" t="s">
        <v>77</v>
      </c>
      <c r="J2659" s="26" t="s">
        <v>77</v>
      </c>
      <c r="K2659" s="18"/>
      <c r="L2659" s="26" t="s">
        <v>77</v>
      </c>
      <c r="M2659" s="6" t="s">
        <v>77</v>
      </c>
      <c r="N2659" s="28" t="s">
        <v>77</v>
      </c>
      <c r="O2659" s="26" t="s">
        <v>77</v>
      </c>
    </row>
    <row r="2660">
      <c r="A2660" s="52" t="s">
        <v>77</v>
      </c>
      <c r="B2660" s="28" t="s">
        <v>77</v>
      </c>
      <c r="C2660" s="28" t="s">
        <v>77</v>
      </c>
      <c r="D2660" s="28" t="s">
        <v>77</v>
      </c>
      <c r="E2660" s="28" t="s">
        <v>77</v>
      </c>
      <c r="F2660" s="28" t="s">
        <v>77</v>
      </c>
      <c r="G2660" s="28" t="s">
        <v>77</v>
      </c>
      <c r="I2660" s="26" t="s">
        <v>77</v>
      </c>
      <c r="J2660" s="26" t="s">
        <v>77</v>
      </c>
      <c r="K2660" s="18"/>
      <c r="L2660" s="26" t="s">
        <v>77</v>
      </c>
      <c r="M2660" s="6" t="s">
        <v>77</v>
      </c>
      <c r="N2660" s="28" t="s">
        <v>77</v>
      </c>
      <c r="O2660" s="26" t="s">
        <v>77</v>
      </c>
    </row>
    <row r="2661">
      <c r="A2661" s="52" t="s">
        <v>77</v>
      </c>
      <c r="B2661" s="28" t="s">
        <v>77</v>
      </c>
      <c r="C2661" s="28" t="s">
        <v>77</v>
      </c>
      <c r="D2661" s="28" t="s">
        <v>77</v>
      </c>
      <c r="E2661" s="28" t="s">
        <v>77</v>
      </c>
      <c r="F2661" s="28" t="s">
        <v>77</v>
      </c>
      <c r="G2661" s="28" t="s">
        <v>77</v>
      </c>
      <c r="I2661" s="26" t="s">
        <v>77</v>
      </c>
      <c r="J2661" s="26" t="s">
        <v>77</v>
      </c>
      <c r="K2661" s="18"/>
      <c r="L2661" s="26" t="s">
        <v>77</v>
      </c>
      <c r="M2661" s="6" t="s">
        <v>77</v>
      </c>
      <c r="N2661" s="28" t="s">
        <v>77</v>
      </c>
      <c r="O2661" s="26" t="s">
        <v>77</v>
      </c>
    </row>
    <row r="2662">
      <c r="A2662" s="52" t="s">
        <v>77</v>
      </c>
      <c r="B2662" s="28" t="s">
        <v>77</v>
      </c>
      <c r="C2662" s="28" t="s">
        <v>77</v>
      </c>
      <c r="D2662" s="28" t="s">
        <v>77</v>
      </c>
      <c r="E2662" s="28" t="s">
        <v>77</v>
      </c>
      <c r="F2662" s="28" t="s">
        <v>77</v>
      </c>
      <c r="G2662" s="28" t="s">
        <v>77</v>
      </c>
      <c r="I2662" s="26" t="s">
        <v>77</v>
      </c>
      <c r="J2662" s="26" t="s">
        <v>77</v>
      </c>
      <c r="K2662" s="18"/>
      <c r="L2662" s="26" t="s">
        <v>77</v>
      </c>
      <c r="M2662" s="6" t="s">
        <v>77</v>
      </c>
      <c r="N2662" s="28" t="s">
        <v>77</v>
      </c>
      <c r="O2662" s="26" t="s">
        <v>77</v>
      </c>
    </row>
    <row r="2663">
      <c r="A2663" s="52" t="s">
        <v>77</v>
      </c>
      <c r="B2663" s="28" t="s">
        <v>77</v>
      </c>
      <c r="C2663" s="28" t="s">
        <v>77</v>
      </c>
      <c r="D2663" s="28" t="s">
        <v>77</v>
      </c>
      <c r="E2663" s="28" t="s">
        <v>77</v>
      </c>
      <c r="F2663" s="28" t="s">
        <v>77</v>
      </c>
      <c r="G2663" s="28" t="s">
        <v>77</v>
      </c>
      <c r="I2663" s="26" t="s">
        <v>77</v>
      </c>
      <c r="J2663" s="26" t="s">
        <v>77</v>
      </c>
      <c r="K2663" s="18"/>
      <c r="L2663" s="26" t="s">
        <v>77</v>
      </c>
      <c r="M2663" s="6" t="s">
        <v>77</v>
      </c>
      <c r="N2663" s="28" t="s">
        <v>77</v>
      </c>
      <c r="O2663" s="26" t="s">
        <v>77</v>
      </c>
    </row>
    <row r="2664">
      <c r="A2664" s="52" t="s">
        <v>77</v>
      </c>
      <c r="B2664" s="28" t="s">
        <v>77</v>
      </c>
      <c r="C2664" s="28" t="s">
        <v>77</v>
      </c>
      <c r="D2664" s="28" t="s">
        <v>77</v>
      </c>
      <c r="E2664" s="28" t="s">
        <v>77</v>
      </c>
      <c r="F2664" s="28" t="s">
        <v>77</v>
      </c>
      <c r="G2664" s="28" t="s">
        <v>77</v>
      </c>
      <c r="I2664" s="26" t="s">
        <v>77</v>
      </c>
      <c r="J2664" s="26" t="s">
        <v>77</v>
      </c>
      <c r="K2664" s="18"/>
      <c r="L2664" s="26" t="s">
        <v>77</v>
      </c>
      <c r="M2664" s="6" t="s">
        <v>77</v>
      </c>
      <c r="N2664" s="28" t="s">
        <v>77</v>
      </c>
      <c r="O2664" s="26" t="s">
        <v>77</v>
      </c>
    </row>
    <row r="2665">
      <c r="A2665" s="52" t="s">
        <v>77</v>
      </c>
      <c r="B2665" s="28" t="s">
        <v>77</v>
      </c>
      <c r="C2665" s="28" t="s">
        <v>77</v>
      </c>
      <c r="D2665" s="28" t="s">
        <v>77</v>
      </c>
      <c r="E2665" s="28" t="s">
        <v>77</v>
      </c>
      <c r="F2665" s="28" t="s">
        <v>77</v>
      </c>
      <c r="G2665" s="28" t="s">
        <v>77</v>
      </c>
      <c r="I2665" s="26" t="s">
        <v>77</v>
      </c>
      <c r="J2665" s="26" t="s">
        <v>77</v>
      </c>
      <c r="K2665" s="18"/>
      <c r="L2665" s="26" t="s">
        <v>77</v>
      </c>
      <c r="M2665" s="6" t="s">
        <v>77</v>
      </c>
      <c r="N2665" s="28" t="s">
        <v>77</v>
      </c>
      <c r="O2665" s="26" t="s">
        <v>77</v>
      </c>
    </row>
    <row r="2666">
      <c r="A2666" s="52" t="s">
        <v>77</v>
      </c>
      <c r="B2666" s="28" t="s">
        <v>77</v>
      </c>
      <c r="C2666" s="28" t="s">
        <v>77</v>
      </c>
      <c r="D2666" s="28" t="s">
        <v>77</v>
      </c>
      <c r="E2666" s="28" t="s">
        <v>77</v>
      </c>
      <c r="F2666" s="28" t="s">
        <v>77</v>
      </c>
      <c r="G2666" s="28" t="s">
        <v>77</v>
      </c>
      <c r="I2666" s="26" t="s">
        <v>77</v>
      </c>
      <c r="J2666" s="26" t="s">
        <v>77</v>
      </c>
      <c r="K2666" s="18"/>
      <c r="L2666" s="26" t="s">
        <v>77</v>
      </c>
      <c r="M2666" s="6" t="s">
        <v>77</v>
      </c>
      <c r="N2666" s="28" t="s">
        <v>77</v>
      </c>
      <c r="O2666" s="26" t="s">
        <v>77</v>
      </c>
    </row>
    <row r="2667">
      <c r="A2667" s="52" t="s">
        <v>77</v>
      </c>
      <c r="B2667" s="28" t="s">
        <v>77</v>
      </c>
      <c r="C2667" s="28" t="s">
        <v>77</v>
      </c>
      <c r="D2667" s="28" t="s">
        <v>77</v>
      </c>
      <c r="E2667" s="28" t="s">
        <v>77</v>
      </c>
      <c r="F2667" s="28" t="s">
        <v>77</v>
      </c>
      <c r="G2667" s="28" t="s">
        <v>77</v>
      </c>
      <c r="I2667" s="26" t="s">
        <v>77</v>
      </c>
      <c r="J2667" s="26" t="s">
        <v>77</v>
      </c>
      <c r="K2667" s="18"/>
      <c r="L2667" s="26" t="s">
        <v>77</v>
      </c>
      <c r="M2667" s="6" t="s">
        <v>77</v>
      </c>
      <c r="N2667" s="28" t="s">
        <v>77</v>
      </c>
      <c r="O2667" s="26" t="s">
        <v>77</v>
      </c>
    </row>
    <row r="2668">
      <c r="A2668" s="52" t="s">
        <v>77</v>
      </c>
      <c r="B2668" s="28" t="s">
        <v>77</v>
      </c>
      <c r="C2668" s="28" t="s">
        <v>77</v>
      </c>
      <c r="D2668" s="28" t="s">
        <v>77</v>
      </c>
      <c r="E2668" s="28" t="s">
        <v>77</v>
      </c>
      <c r="F2668" s="28" t="s">
        <v>77</v>
      </c>
      <c r="G2668" s="28" t="s">
        <v>77</v>
      </c>
      <c r="I2668" s="26" t="s">
        <v>77</v>
      </c>
      <c r="J2668" s="26" t="s">
        <v>77</v>
      </c>
      <c r="K2668" s="18"/>
      <c r="L2668" s="26" t="s">
        <v>77</v>
      </c>
      <c r="M2668" s="6" t="s">
        <v>77</v>
      </c>
      <c r="N2668" s="28" t="s">
        <v>77</v>
      </c>
      <c r="O2668" s="26" t="s">
        <v>77</v>
      </c>
    </row>
    <row r="2669">
      <c r="A2669" s="52" t="s">
        <v>77</v>
      </c>
      <c r="B2669" s="28" t="s">
        <v>77</v>
      </c>
      <c r="C2669" s="28" t="s">
        <v>77</v>
      </c>
      <c r="D2669" s="28" t="s">
        <v>77</v>
      </c>
      <c r="E2669" s="28" t="s">
        <v>77</v>
      </c>
      <c r="F2669" s="28" t="s">
        <v>77</v>
      </c>
      <c r="G2669" s="28" t="s">
        <v>77</v>
      </c>
      <c r="I2669" s="26" t="s">
        <v>77</v>
      </c>
      <c r="J2669" s="26" t="s">
        <v>77</v>
      </c>
      <c r="K2669" s="18"/>
      <c r="L2669" s="26" t="s">
        <v>77</v>
      </c>
      <c r="M2669" s="6" t="s">
        <v>77</v>
      </c>
      <c r="N2669" s="28" t="s">
        <v>77</v>
      </c>
      <c r="O2669" s="26" t="s">
        <v>77</v>
      </c>
    </row>
    <row r="2670">
      <c r="A2670" s="52" t="s">
        <v>77</v>
      </c>
      <c r="B2670" s="28" t="s">
        <v>77</v>
      </c>
      <c r="C2670" s="28" t="s">
        <v>77</v>
      </c>
      <c r="D2670" s="28" t="s">
        <v>77</v>
      </c>
      <c r="E2670" s="28" t="s">
        <v>77</v>
      </c>
      <c r="F2670" s="28" t="s">
        <v>77</v>
      </c>
      <c r="G2670" s="28" t="s">
        <v>77</v>
      </c>
      <c r="I2670" s="26" t="s">
        <v>77</v>
      </c>
      <c r="J2670" s="26" t="s">
        <v>77</v>
      </c>
      <c r="K2670" s="18"/>
      <c r="L2670" s="26" t="s">
        <v>77</v>
      </c>
      <c r="M2670" s="6" t="s">
        <v>77</v>
      </c>
      <c r="N2670" s="28" t="s">
        <v>77</v>
      </c>
      <c r="O2670" s="26" t="s">
        <v>77</v>
      </c>
    </row>
    <row r="2671">
      <c r="A2671" s="52" t="s">
        <v>77</v>
      </c>
      <c r="B2671" s="28" t="s">
        <v>77</v>
      </c>
      <c r="C2671" s="28" t="s">
        <v>77</v>
      </c>
      <c r="D2671" s="28" t="s">
        <v>77</v>
      </c>
      <c r="E2671" s="28" t="s">
        <v>77</v>
      </c>
      <c r="F2671" s="28" t="s">
        <v>77</v>
      </c>
      <c r="G2671" s="28" t="s">
        <v>77</v>
      </c>
      <c r="I2671" s="26" t="s">
        <v>77</v>
      </c>
      <c r="J2671" s="26" t="s">
        <v>77</v>
      </c>
      <c r="K2671" s="18"/>
      <c r="L2671" s="26" t="s">
        <v>77</v>
      </c>
      <c r="M2671" s="6" t="s">
        <v>77</v>
      </c>
      <c r="N2671" s="28" t="s">
        <v>77</v>
      </c>
      <c r="O2671" s="26" t="s">
        <v>77</v>
      </c>
    </row>
    <row r="2672">
      <c r="A2672" s="52" t="s">
        <v>77</v>
      </c>
      <c r="B2672" s="28" t="s">
        <v>77</v>
      </c>
      <c r="C2672" s="28" t="s">
        <v>77</v>
      </c>
      <c r="D2672" s="28" t="s">
        <v>77</v>
      </c>
      <c r="E2672" s="28" t="s">
        <v>77</v>
      </c>
      <c r="F2672" s="28" t="s">
        <v>77</v>
      </c>
      <c r="G2672" s="28" t="s">
        <v>77</v>
      </c>
      <c r="I2672" s="26" t="s">
        <v>77</v>
      </c>
      <c r="J2672" s="26" t="s">
        <v>77</v>
      </c>
      <c r="K2672" s="18"/>
      <c r="L2672" s="26" t="s">
        <v>77</v>
      </c>
      <c r="M2672" s="6" t="s">
        <v>77</v>
      </c>
      <c r="N2672" s="28" t="s">
        <v>77</v>
      </c>
      <c r="O2672" s="26" t="s">
        <v>77</v>
      </c>
    </row>
    <row r="2673">
      <c r="A2673" s="52" t="s">
        <v>77</v>
      </c>
      <c r="B2673" s="28" t="s">
        <v>77</v>
      </c>
      <c r="C2673" s="28" t="s">
        <v>77</v>
      </c>
      <c r="D2673" s="28" t="s">
        <v>77</v>
      </c>
      <c r="E2673" s="28" t="s">
        <v>77</v>
      </c>
      <c r="F2673" s="28" t="s">
        <v>77</v>
      </c>
      <c r="G2673" s="28" t="s">
        <v>77</v>
      </c>
      <c r="I2673" s="26" t="s">
        <v>77</v>
      </c>
      <c r="J2673" s="26" t="s">
        <v>77</v>
      </c>
      <c r="K2673" s="18"/>
      <c r="L2673" s="26" t="s">
        <v>77</v>
      </c>
      <c r="M2673" s="6" t="s">
        <v>77</v>
      </c>
      <c r="N2673" s="28" t="s">
        <v>77</v>
      </c>
      <c r="O2673" s="26" t="s">
        <v>77</v>
      </c>
    </row>
    <row r="2674">
      <c r="A2674" s="52" t="s">
        <v>77</v>
      </c>
      <c r="B2674" s="28" t="s">
        <v>77</v>
      </c>
      <c r="C2674" s="28" t="s">
        <v>77</v>
      </c>
      <c r="D2674" s="28" t="s">
        <v>77</v>
      </c>
      <c r="E2674" s="28" t="s">
        <v>77</v>
      </c>
      <c r="F2674" s="28" t="s">
        <v>77</v>
      </c>
      <c r="G2674" s="28" t="s">
        <v>77</v>
      </c>
      <c r="I2674" s="26" t="s">
        <v>77</v>
      </c>
      <c r="J2674" s="26" t="s">
        <v>77</v>
      </c>
      <c r="K2674" s="18"/>
      <c r="L2674" s="26" t="s">
        <v>77</v>
      </c>
      <c r="M2674" s="6" t="s">
        <v>77</v>
      </c>
      <c r="N2674" s="28" t="s">
        <v>77</v>
      </c>
      <c r="O2674" s="26" t="s">
        <v>77</v>
      </c>
    </row>
    <row r="2675">
      <c r="A2675" s="52" t="s">
        <v>77</v>
      </c>
      <c r="B2675" s="28" t="s">
        <v>77</v>
      </c>
      <c r="C2675" s="28" t="s">
        <v>77</v>
      </c>
      <c r="D2675" s="28" t="s">
        <v>77</v>
      </c>
      <c r="E2675" s="28" t="s">
        <v>77</v>
      </c>
      <c r="F2675" s="28" t="s">
        <v>77</v>
      </c>
      <c r="G2675" s="28" t="s">
        <v>77</v>
      </c>
      <c r="I2675" s="26" t="s">
        <v>77</v>
      </c>
      <c r="J2675" s="26" t="s">
        <v>77</v>
      </c>
      <c r="K2675" s="18"/>
      <c r="L2675" s="26" t="s">
        <v>77</v>
      </c>
      <c r="M2675" s="6" t="s">
        <v>77</v>
      </c>
      <c r="N2675" s="28" t="s">
        <v>77</v>
      </c>
      <c r="O2675" s="26" t="s">
        <v>77</v>
      </c>
    </row>
    <row r="2676">
      <c r="A2676" s="52" t="s">
        <v>77</v>
      </c>
      <c r="B2676" s="28" t="s">
        <v>77</v>
      </c>
      <c r="C2676" s="28" t="s">
        <v>77</v>
      </c>
      <c r="D2676" s="28" t="s">
        <v>77</v>
      </c>
      <c r="E2676" s="28" t="s">
        <v>77</v>
      </c>
      <c r="F2676" s="28" t="s">
        <v>77</v>
      </c>
      <c r="G2676" s="28" t="s">
        <v>77</v>
      </c>
      <c r="I2676" s="26" t="s">
        <v>77</v>
      </c>
      <c r="J2676" s="26" t="s">
        <v>77</v>
      </c>
      <c r="K2676" s="18"/>
      <c r="L2676" s="26" t="s">
        <v>77</v>
      </c>
      <c r="M2676" s="6" t="s">
        <v>77</v>
      </c>
      <c r="N2676" s="28" t="s">
        <v>77</v>
      </c>
      <c r="O2676" s="26" t="s">
        <v>77</v>
      </c>
    </row>
    <row r="2677">
      <c r="A2677" s="52" t="s">
        <v>77</v>
      </c>
      <c r="B2677" s="28" t="s">
        <v>77</v>
      </c>
      <c r="C2677" s="28" t="s">
        <v>77</v>
      </c>
      <c r="D2677" s="28" t="s">
        <v>77</v>
      </c>
      <c r="E2677" s="28" t="s">
        <v>77</v>
      </c>
      <c r="F2677" s="28" t="s">
        <v>77</v>
      </c>
      <c r="G2677" s="28" t="s">
        <v>77</v>
      </c>
      <c r="I2677" s="26" t="s">
        <v>77</v>
      </c>
      <c r="J2677" s="26" t="s">
        <v>77</v>
      </c>
      <c r="K2677" s="18"/>
      <c r="L2677" s="26" t="s">
        <v>77</v>
      </c>
      <c r="M2677" s="6" t="s">
        <v>77</v>
      </c>
      <c r="N2677" s="28" t="s">
        <v>77</v>
      </c>
      <c r="O2677" s="26" t="s">
        <v>77</v>
      </c>
    </row>
    <row r="2678">
      <c r="A2678" s="52" t="s">
        <v>77</v>
      </c>
      <c r="B2678" s="28" t="s">
        <v>77</v>
      </c>
      <c r="C2678" s="28" t="s">
        <v>77</v>
      </c>
      <c r="D2678" s="28" t="s">
        <v>77</v>
      </c>
      <c r="E2678" s="28" t="s">
        <v>77</v>
      </c>
      <c r="F2678" s="28" t="s">
        <v>77</v>
      </c>
      <c r="G2678" s="28" t="s">
        <v>77</v>
      </c>
      <c r="I2678" s="26" t="s">
        <v>77</v>
      </c>
      <c r="J2678" s="26" t="s">
        <v>77</v>
      </c>
      <c r="K2678" s="18"/>
      <c r="L2678" s="26" t="s">
        <v>77</v>
      </c>
      <c r="M2678" s="6" t="s">
        <v>77</v>
      </c>
      <c r="N2678" s="28" t="s">
        <v>77</v>
      </c>
      <c r="O2678" s="26" t="s">
        <v>77</v>
      </c>
    </row>
    <row r="2679">
      <c r="A2679" s="52" t="s">
        <v>77</v>
      </c>
      <c r="B2679" s="28" t="s">
        <v>77</v>
      </c>
      <c r="C2679" s="28" t="s">
        <v>77</v>
      </c>
      <c r="D2679" s="28" t="s">
        <v>77</v>
      </c>
      <c r="E2679" s="28" t="s">
        <v>77</v>
      </c>
      <c r="F2679" s="28" t="s">
        <v>77</v>
      </c>
      <c r="G2679" s="28" t="s">
        <v>77</v>
      </c>
      <c r="I2679" s="26" t="s">
        <v>77</v>
      </c>
      <c r="J2679" s="26" t="s">
        <v>77</v>
      </c>
      <c r="K2679" s="18"/>
      <c r="L2679" s="26" t="s">
        <v>77</v>
      </c>
      <c r="M2679" s="6" t="s">
        <v>77</v>
      </c>
      <c r="N2679" s="28" t="s">
        <v>77</v>
      </c>
      <c r="O2679" s="26" t="s">
        <v>77</v>
      </c>
    </row>
    <row r="2680">
      <c r="A2680" s="52" t="s">
        <v>77</v>
      </c>
      <c r="B2680" s="28" t="s">
        <v>77</v>
      </c>
      <c r="C2680" s="28" t="s">
        <v>77</v>
      </c>
      <c r="D2680" s="28" t="s">
        <v>77</v>
      </c>
      <c r="E2680" s="28" t="s">
        <v>77</v>
      </c>
      <c r="F2680" s="28" t="s">
        <v>77</v>
      </c>
      <c r="G2680" s="28" t="s">
        <v>77</v>
      </c>
      <c r="I2680" s="26" t="s">
        <v>77</v>
      </c>
      <c r="J2680" s="26" t="s">
        <v>77</v>
      </c>
      <c r="K2680" s="18"/>
      <c r="L2680" s="26" t="s">
        <v>77</v>
      </c>
      <c r="M2680" s="6" t="s">
        <v>77</v>
      </c>
      <c r="N2680" s="28" t="s">
        <v>77</v>
      </c>
      <c r="O2680" s="26" t="s">
        <v>77</v>
      </c>
    </row>
    <row r="2681">
      <c r="A2681" s="52" t="s">
        <v>77</v>
      </c>
      <c r="B2681" s="28" t="s">
        <v>77</v>
      </c>
      <c r="C2681" s="28" t="s">
        <v>77</v>
      </c>
      <c r="D2681" s="28" t="s">
        <v>77</v>
      </c>
      <c r="E2681" s="28" t="s">
        <v>77</v>
      </c>
      <c r="F2681" s="28" t="s">
        <v>77</v>
      </c>
      <c r="G2681" s="28" t="s">
        <v>77</v>
      </c>
      <c r="I2681" s="26" t="s">
        <v>77</v>
      </c>
      <c r="J2681" s="26" t="s">
        <v>77</v>
      </c>
      <c r="K2681" s="18"/>
      <c r="L2681" s="26" t="s">
        <v>77</v>
      </c>
      <c r="M2681" s="6" t="s">
        <v>77</v>
      </c>
      <c r="N2681" s="28" t="s">
        <v>77</v>
      </c>
      <c r="O2681" s="26" t="s">
        <v>77</v>
      </c>
    </row>
    <row r="2682">
      <c r="A2682" s="52" t="s">
        <v>77</v>
      </c>
      <c r="B2682" s="28" t="s">
        <v>77</v>
      </c>
      <c r="C2682" s="28" t="s">
        <v>77</v>
      </c>
      <c r="D2682" s="28" t="s">
        <v>77</v>
      </c>
      <c r="E2682" s="28" t="s">
        <v>77</v>
      </c>
      <c r="F2682" s="28" t="s">
        <v>77</v>
      </c>
      <c r="G2682" s="28" t="s">
        <v>77</v>
      </c>
      <c r="I2682" s="26" t="s">
        <v>77</v>
      </c>
      <c r="J2682" s="26" t="s">
        <v>77</v>
      </c>
      <c r="K2682" s="18"/>
      <c r="L2682" s="26" t="s">
        <v>77</v>
      </c>
      <c r="M2682" s="6" t="s">
        <v>77</v>
      </c>
      <c r="N2682" s="28" t="s">
        <v>77</v>
      </c>
      <c r="O2682" s="26" t="s">
        <v>77</v>
      </c>
    </row>
    <row r="2683">
      <c r="A2683" s="52" t="s">
        <v>77</v>
      </c>
      <c r="B2683" s="28" t="s">
        <v>77</v>
      </c>
      <c r="C2683" s="28" t="s">
        <v>77</v>
      </c>
      <c r="D2683" s="28" t="s">
        <v>77</v>
      </c>
      <c r="E2683" s="28" t="s">
        <v>77</v>
      </c>
      <c r="F2683" s="28" t="s">
        <v>77</v>
      </c>
      <c r="G2683" s="28" t="s">
        <v>77</v>
      </c>
      <c r="I2683" s="26" t="s">
        <v>77</v>
      </c>
      <c r="J2683" s="26" t="s">
        <v>77</v>
      </c>
      <c r="K2683" s="18"/>
      <c r="L2683" s="26" t="s">
        <v>77</v>
      </c>
      <c r="M2683" s="6" t="s">
        <v>77</v>
      </c>
      <c r="N2683" s="28" t="s">
        <v>77</v>
      </c>
      <c r="O2683" s="26" t="s">
        <v>77</v>
      </c>
    </row>
    <row r="2684">
      <c r="A2684" s="52" t="s">
        <v>77</v>
      </c>
      <c r="B2684" s="28" t="s">
        <v>77</v>
      </c>
      <c r="C2684" s="28" t="s">
        <v>77</v>
      </c>
      <c r="D2684" s="28" t="s">
        <v>77</v>
      </c>
      <c r="E2684" s="28" t="s">
        <v>77</v>
      </c>
      <c r="F2684" s="28" t="s">
        <v>77</v>
      </c>
      <c r="G2684" s="28" t="s">
        <v>77</v>
      </c>
      <c r="I2684" s="26" t="s">
        <v>77</v>
      </c>
      <c r="J2684" s="26" t="s">
        <v>77</v>
      </c>
      <c r="K2684" s="18"/>
      <c r="L2684" s="26" t="s">
        <v>77</v>
      </c>
      <c r="M2684" s="6" t="s">
        <v>77</v>
      </c>
      <c r="N2684" s="28" t="s">
        <v>77</v>
      </c>
      <c r="O2684" s="26" t="s">
        <v>77</v>
      </c>
    </row>
    <row r="2685">
      <c r="A2685" s="52" t="s">
        <v>77</v>
      </c>
      <c r="B2685" s="28" t="s">
        <v>77</v>
      </c>
      <c r="C2685" s="28" t="s">
        <v>77</v>
      </c>
      <c r="D2685" s="28" t="s">
        <v>77</v>
      </c>
      <c r="E2685" s="28" t="s">
        <v>77</v>
      </c>
      <c r="F2685" s="28" t="s">
        <v>77</v>
      </c>
      <c r="G2685" s="28" t="s">
        <v>77</v>
      </c>
      <c r="I2685" s="26" t="s">
        <v>77</v>
      </c>
      <c r="J2685" s="26" t="s">
        <v>77</v>
      </c>
      <c r="K2685" s="18"/>
      <c r="L2685" s="26" t="s">
        <v>77</v>
      </c>
      <c r="M2685" s="6" t="s">
        <v>77</v>
      </c>
      <c r="N2685" s="28" t="s">
        <v>77</v>
      </c>
      <c r="O2685" s="26" t="s">
        <v>77</v>
      </c>
    </row>
    <row r="2686">
      <c r="A2686" s="52" t="s">
        <v>77</v>
      </c>
      <c r="B2686" s="28" t="s">
        <v>77</v>
      </c>
      <c r="C2686" s="28" t="s">
        <v>77</v>
      </c>
      <c r="D2686" s="28" t="s">
        <v>77</v>
      </c>
      <c r="E2686" s="28" t="s">
        <v>77</v>
      </c>
      <c r="F2686" s="28" t="s">
        <v>77</v>
      </c>
      <c r="G2686" s="28" t="s">
        <v>77</v>
      </c>
      <c r="I2686" s="26" t="s">
        <v>77</v>
      </c>
      <c r="J2686" s="26" t="s">
        <v>77</v>
      </c>
      <c r="K2686" s="18"/>
      <c r="L2686" s="26" t="s">
        <v>77</v>
      </c>
      <c r="M2686" s="6" t="s">
        <v>77</v>
      </c>
      <c r="N2686" s="28" t="s">
        <v>77</v>
      </c>
      <c r="O2686" s="26" t="s">
        <v>77</v>
      </c>
    </row>
    <row r="2687">
      <c r="A2687" s="52" t="s">
        <v>77</v>
      </c>
      <c r="B2687" s="28" t="s">
        <v>77</v>
      </c>
      <c r="C2687" s="28" t="s">
        <v>77</v>
      </c>
      <c r="D2687" s="28" t="s">
        <v>77</v>
      </c>
      <c r="E2687" s="28" t="s">
        <v>77</v>
      </c>
      <c r="F2687" s="28" t="s">
        <v>77</v>
      </c>
      <c r="G2687" s="28" t="s">
        <v>77</v>
      </c>
      <c r="I2687" s="26" t="s">
        <v>77</v>
      </c>
      <c r="J2687" s="26" t="s">
        <v>77</v>
      </c>
      <c r="K2687" s="18"/>
      <c r="L2687" s="26" t="s">
        <v>77</v>
      </c>
      <c r="M2687" s="6" t="s">
        <v>77</v>
      </c>
      <c r="N2687" s="28" t="s">
        <v>77</v>
      </c>
      <c r="O2687" s="26" t="s">
        <v>77</v>
      </c>
    </row>
    <row r="2688">
      <c r="A2688" s="52" t="s">
        <v>77</v>
      </c>
      <c r="B2688" s="28" t="s">
        <v>77</v>
      </c>
      <c r="C2688" s="28" t="s">
        <v>77</v>
      </c>
      <c r="D2688" s="28" t="s">
        <v>77</v>
      </c>
      <c r="E2688" s="28" t="s">
        <v>77</v>
      </c>
      <c r="F2688" s="28" t="s">
        <v>77</v>
      </c>
      <c r="G2688" s="28" t="s">
        <v>77</v>
      </c>
      <c r="I2688" s="26" t="s">
        <v>77</v>
      </c>
      <c r="J2688" s="26" t="s">
        <v>77</v>
      </c>
      <c r="K2688" s="18"/>
      <c r="L2688" s="26" t="s">
        <v>77</v>
      </c>
      <c r="M2688" s="6" t="s">
        <v>77</v>
      </c>
      <c r="N2688" s="28" t="s">
        <v>77</v>
      </c>
      <c r="O2688" s="26" t="s">
        <v>77</v>
      </c>
    </row>
    <row r="2689">
      <c r="A2689" s="52" t="s">
        <v>77</v>
      </c>
      <c r="B2689" s="28" t="s">
        <v>77</v>
      </c>
      <c r="C2689" s="28" t="s">
        <v>77</v>
      </c>
      <c r="D2689" s="28" t="s">
        <v>77</v>
      </c>
      <c r="E2689" s="28" t="s">
        <v>77</v>
      </c>
      <c r="F2689" s="28" t="s">
        <v>77</v>
      </c>
      <c r="G2689" s="28" t="s">
        <v>77</v>
      </c>
      <c r="I2689" s="26" t="s">
        <v>77</v>
      </c>
      <c r="J2689" s="26" t="s">
        <v>77</v>
      </c>
      <c r="K2689" s="18"/>
      <c r="L2689" s="26" t="s">
        <v>77</v>
      </c>
      <c r="M2689" s="6" t="s">
        <v>77</v>
      </c>
      <c r="N2689" s="28" t="s">
        <v>77</v>
      </c>
      <c r="O2689" s="26" t="s">
        <v>77</v>
      </c>
    </row>
    <row r="2690">
      <c r="A2690" s="52" t="s">
        <v>77</v>
      </c>
      <c r="B2690" s="28" t="s">
        <v>77</v>
      </c>
      <c r="C2690" s="28" t="s">
        <v>77</v>
      </c>
      <c r="D2690" s="28" t="s">
        <v>77</v>
      </c>
      <c r="E2690" s="28" t="s">
        <v>77</v>
      </c>
      <c r="F2690" s="28" t="s">
        <v>77</v>
      </c>
      <c r="G2690" s="28" t="s">
        <v>77</v>
      </c>
      <c r="I2690" s="26" t="s">
        <v>77</v>
      </c>
      <c r="J2690" s="26" t="s">
        <v>77</v>
      </c>
      <c r="K2690" s="18"/>
      <c r="L2690" s="26" t="s">
        <v>77</v>
      </c>
      <c r="M2690" s="6" t="s">
        <v>77</v>
      </c>
      <c r="N2690" s="28" t="s">
        <v>77</v>
      </c>
      <c r="O2690" s="26" t="s">
        <v>77</v>
      </c>
    </row>
    <row r="2691">
      <c r="A2691" s="52" t="s">
        <v>77</v>
      </c>
      <c r="B2691" s="28" t="s">
        <v>77</v>
      </c>
      <c r="C2691" s="28" t="s">
        <v>77</v>
      </c>
      <c r="D2691" s="28" t="s">
        <v>77</v>
      </c>
      <c r="E2691" s="28" t="s">
        <v>77</v>
      </c>
      <c r="F2691" s="28" t="s">
        <v>77</v>
      </c>
      <c r="G2691" s="28" t="s">
        <v>77</v>
      </c>
      <c r="I2691" s="26" t="s">
        <v>77</v>
      </c>
      <c r="J2691" s="26" t="s">
        <v>77</v>
      </c>
      <c r="K2691" s="18"/>
      <c r="L2691" s="26" t="s">
        <v>77</v>
      </c>
      <c r="M2691" s="6" t="s">
        <v>77</v>
      </c>
      <c r="N2691" s="28" t="s">
        <v>77</v>
      </c>
      <c r="O2691" s="26" t="s">
        <v>77</v>
      </c>
    </row>
    <row r="2692">
      <c r="A2692" s="52" t="s">
        <v>77</v>
      </c>
      <c r="B2692" s="28" t="s">
        <v>77</v>
      </c>
      <c r="C2692" s="28" t="s">
        <v>77</v>
      </c>
      <c r="D2692" s="28" t="s">
        <v>77</v>
      </c>
      <c r="E2692" s="28" t="s">
        <v>77</v>
      </c>
      <c r="F2692" s="28" t="s">
        <v>77</v>
      </c>
      <c r="G2692" s="28" t="s">
        <v>77</v>
      </c>
      <c r="I2692" s="26" t="s">
        <v>77</v>
      </c>
      <c r="J2692" s="26" t="s">
        <v>77</v>
      </c>
      <c r="K2692" s="18"/>
      <c r="L2692" s="26" t="s">
        <v>77</v>
      </c>
      <c r="M2692" s="6" t="s">
        <v>77</v>
      </c>
      <c r="N2692" s="28" t="s">
        <v>77</v>
      </c>
      <c r="O2692" s="26" t="s">
        <v>77</v>
      </c>
    </row>
    <row r="2693">
      <c r="A2693" s="52" t="s">
        <v>77</v>
      </c>
      <c r="B2693" s="28" t="s">
        <v>77</v>
      </c>
      <c r="C2693" s="28" t="s">
        <v>77</v>
      </c>
      <c r="D2693" s="28" t="s">
        <v>77</v>
      </c>
      <c r="E2693" s="28" t="s">
        <v>77</v>
      </c>
      <c r="F2693" s="28" t="s">
        <v>77</v>
      </c>
      <c r="G2693" s="28" t="s">
        <v>77</v>
      </c>
      <c r="I2693" s="26" t="s">
        <v>77</v>
      </c>
      <c r="J2693" s="26" t="s">
        <v>77</v>
      </c>
      <c r="K2693" s="18"/>
      <c r="L2693" s="26" t="s">
        <v>77</v>
      </c>
      <c r="M2693" s="6" t="s">
        <v>77</v>
      </c>
      <c r="N2693" s="28" t="s">
        <v>77</v>
      </c>
      <c r="O2693" s="26" t="s">
        <v>77</v>
      </c>
    </row>
    <row r="2694">
      <c r="A2694" s="52" t="s">
        <v>77</v>
      </c>
      <c r="B2694" s="28" t="s">
        <v>77</v>
      </c>
      <c r="C2694" s="28" t="s">
        <v>77</v>
      </c>
      <c r="D2694" s="28" t="s">
        <v>77</v>
      </c>
      <c r="E2694" s="28" t="s">
        <v>77</v>
      </c>
      <c r="F2694" s="28" t="s">
        <v>77</v>
      </c>
      <c r="G2694" s="28" t="s">
        <v>77</v>
      </c>
      <c r="I2694" s="26" t="s">
        <v>77</v>
      </c>
      <c r="J2694" s="26" t="s">
        <v>77</v>
      </c>
      <c r="K2694" s="18"/>
      <c r="L2694" s="26" t="s">
        <v>77</v>
      </c>
      <c r="M2694" s="6" t="s">
        <v>77</v>
      </c>
      <c r="N2694" s="28" t="s">
        <v>77</v>
      </c>
      <c r="O2694" s="26" t="s">
        <v>77</v>
      </c>
    </row>
    <row r="2695">
      <c r="A2695" s="52" t="s">
        <v>77</v>
      </c>
      <c r="B2695" s="28" t="s">
        <v>77</v>
      </c>
      <c r="C2695" s="28" t="s">
        <v>77</v>
      </c>
      <c r="D2695" s="28" t="s">
        <v>77</v>
      </c>
      <c r="E2695" s="28" t="s">
        <v>77</v>
      </c>
      <c r="F2695" s="28" t="s">
        <v>77</v>
      </c>
      <c r="G2695" s="28" t="s">
        <v>77</v>
      </c>
      <c r="I2695" s="26" t="s">
        <v>77</v>
      </c>
      <c r="J2695" s="26" t="s">
        <v>77</v>
      </c>
      <c r="K2695" s="18"/>
      <c r="L2695" s="26" t="s">
        <v>77</v>
      </c>
      <c r="M2695" s="6" t="s">
        <v>77</v>
      </c>
      <c r="N2695" s="28" t="s">
        <v>77</v>
      </c>
      <c r="O2695" s="26" t="s">
        <v>77</v>
      </c>
    </row>
    <row r="2696">
      <c r="A2696" s="52" t="s">
        <v>77</v>
      </c>
      <c r="B2696" s="28" t="s">
        <v>77</v>
      </c>
      <c r="C2696" s="28" t="s">
        <v>77</v>
      </c>
      <c r="D2696" s="28" t="s">
        <v>77</v>
      </c>
      <c r="E2696" s="28" t="s">
        <v>77</v>
      </c>
      <c r="F2696" s="28" t="s">
        <v>77</v>
      </c>
      <c r="G2696" s="28" t="s">
        <v>77</v>
      </c>
      <c r="I2696" s="26" t="s">
        <v>77</v>
      </c>
      <c r="J2696" s="26" t="s">
        <v>77</v>
      </c>
      <c r="K2696" s="18"/>
      <c r="L2696" s="26" t="s">
        <v>77</v>
      </c>
      <c r="M2696" s="6" t="s">
        <v>77</v>
      </c>
      <c r="N2696" s="28" t="s">
        <v>77</v>
      </c>
      <c r="O2696" s="26" t="s">
        <v>77</v>
      </c>
    </row>
    <row r="2697">
      <c r="A2697" s="52" t="s">
        <v>77</v>
      </c>
      <c r="B2697" s="28" t="s">
        <v>77</v>
      </c>
      <c r="C2697" s="28" t="s">
        <v>77</v>
      </c>
      <c r="D2697" s="28" t="s">
        <v>77</v>
      </c>
      <c r="E2697" s="28" t="s">
        <v>77</v>
      </c>
      <c r="F2697" s="28" t="s">
        <v>77</v>
      </c>
      <c r="G2697" s="28" t="s">
        <v>77</v>
      </c>
      <c r="I2697" s="26" t="s">
        <v>77</v>
      </c>
      <c r="J2697" s="26" t="s">
        <v>77</v>
      </c>
      <c r="K2697" s="18"/>
      <c r="L2697" s="26" t="s">
        <v>77</v>
      </c>
      <c r="M2697" s="6" t="s">
        <v>77</v>
      </c>
      <c r="N2697" s="28" t="s">
        <v>77</v>
      </c>
      <c r="O2697" s="26" t="s">
        <v>77</v>
      </c>
    </row>
    <row r="2698">
      <c r="A2698" s="52" t="s">
        <v>77</v>
      </c>
      <c r="B2698" s="28" t="s">
        <v>77</v>
      </c>
      <c r="C2698" s="28" t="s">
        <v>77</v>
      </c>
      <c r="D2698" s="28" t="s">
        <v>77</v>
      </c>
      <c r="E2698" s="28" t="s">
        <v>77</v>
      </c>
      <c r="F2698" s="28" t="s">
        <v>77</v>
      </c>
      <c r="G2698" s="28" t="s">
        <v>77</v>
      </c>
      <c r="I2698" s="26" t="s">
        <v>77</v>
      </c>
      <c r="J2698" s="26" t="s">
        <v>77</v>
      </c>
      <c r="K2698" s="18"/>
      <c r="L2698" s="26" t="s">
        <v>77</v>
      </c>
      <c r="M2698" s="6" t="s">
        <v>77</v>
      </c>
      <c r="N2698" s="28" t="s">
        <v>77</v>
      </c>
      <c r="O2698" s="26" t="s">
        <v>77</v>
      </c>
    </row>
    <row r="2699">
      <c r="A2699" s="52" t="s">
        <v>77</v>
      </c>
      <c r="B2699" s="28" t="s">
        <v>77</v>
      </c>
      <c r="C2699" s="28" t="s">
        <v>77</v>
      </c>
      <c r="D2699" s="28" t="s">
        <v>77</v>
      </c>
      <c r="E2699" s="28" t="s">
        <v>77</v>
      </c>
      <c r="F2699" s="28" t="s">
        <v>77</v>
      </c>
      <c r="G2699" s="28" t="s">
        <v>77</v>
      </c>
      <c r="I2699" s="26" t="s">
        <v>77</v>
      </c>
      <c r="J2699" s="26" t="s">
        <v>77</v>
      </c>
      <c r="K2699" s="18"/>
      <c r="L2699" s="26" t="s">
        <v>77</v>
      </c>
      <c r="M2699" s="6" t="s">
        <v>77</v>
      </c>
      <c r="N2699" s="28" t="s">
        <v>77</v>
      </c>
      <c r="O2699" s="26" t="s">
        <v>77</v>
      </c>
    </row>
    <row r="2700">
      <c r="A2700" s="52" t="s">
        <v>77</v>
      </c>
      <c r="B2700" s="28" t="s">
        <v>77</v>
      </c>
      <c r="C2700" s="28" t="s">
        <v>77</v>
      </c>
      <c r="D2700" s="28" t="s">
        <v>77</v>
      </c>
      <c r="E2700" s="28" t="s">
        <v>77</v>
      </c>
      <c r="F2700" s="28" t="s">
        <v>77</v>
      </c>
      <c r="G2700" s="28" t="s">
        <v>77</v>
      </c>
      <c r="I2700" s="26" t="s">
        <v>77</v>
      </c>
      <c r="J2700" s="26" t="s">
        <v>77</v>
      </c>
      <c r="K2700" s="18"/>
      <c r="L2700" s="26" t="s">
        <v>77</v>
      </c>
      <c r="M2700" s="6" t="s">
        <v>77</v>
      </c>
      <c r="N2700" s="28" t="s">
        <v>77</v>
      </c>
      <c r="O2700" s="26" t="s">
        <v>77</v>
      </c>
    </row>
    <row r="2701">
      <c r="A2701" s="52" t="s">
        <v>77</v>
      </c>
      <c r="B2701" s="28" t="s">
        <v>77</v>
      </c>
      <c r="C2701" s="28" t="s">
        <v>77</v>
      </c>
      <c r="D2701" s="28" t="s">
        <v>77</v>
      </c>
      <c r="E2701" s="28" t="s">
        <v>77</v>
      </c>
      <c r="F2701" s="28" t="s">
        <v>77</v>
      </c>
      <c r="G2701" s="28" t="s">
        <v>77</v>
      </c>
      <c r="I2701" s="26" t="s">
        <v>77</v>
      </c>
      <c r="J2701" s="26" t="s">
        <v>77</v>
      </c>
      <c r="K2701" s="18"/>
      <c r="L2701" s="26" t="s">
        <v>77</v>
      </c>
      <c r="M2701" s="6" t="s">
        <v>77</v>
      </c>
      <c r="N2701" s="28" t="s">
        <v>77</v>
      </c>
      <c r="O2701" s="26" t="s">
        <v>77</v>
      </c>
    </row>
    <row r="2702">
      <c r="A2702" s="52" t="s">
        <v>77</v>
      </c>
      <c r="B2702" s="28" t="s">
        <v>77</v>
      </c>
      <c r="C2702" s="28" t="s">
        <v>77</v>
      </c>
      <c r="D2702" s="28" t="s">
        <v>77</v>
      </c>
      <c r="E2702" s="28" t="s">
        <v>77</v>
      </c>
      <c r="F2702" s="28" t="s">
        <v>77</v>
      </c>
      <c r="G2702" s="28" t="s">
        <v>77</v>
      </c>
      <c r="I2702" s="26" t="s">
        <v>77</v>
      </c>
      <c r="J2702" s="26" t="s">
        <v>77</v>
      </c>
      <c r="K2702" s="18"/>
      <c r="L2702" s="26" t="s">
        <v>77</v>
      </c>
      <c r="M2702" s="6" t="s">
        <v>77</v>
      </c>
      <c r="N2702" s="28" t="s">
        <v>77</v>
      </c>
      <c r="O2702" s="26" t="s">
        <v>77</v>
      </c>
    </row>
    <row r="2703">
      <c r="A2703" s="52" t="s">
        <v>77</v>
      </c>
      <c r="B2703" s="28" t="s">
        <v>77</v>
      </c>
      <c r="C2703" s="28" t="s">
        <v>77</v>
      </c>
      <c r="D2703" s="28" t="s">
        <v>77</v>
      </c>
      <c r="E2703" s="28" t="s">
        <v>77</v>
      </c>
      <c r="F2703" s="28" t="s">
        <v>77</v>
      </c>
      <c r="G2703" s="28" t="s">
        <v>77</v>
      </c>
      <c r="I2703" s="26" t="s">
        <v>77</v>
      </c>
      <c r="J2703" s="26" t="s">
        <v>77</v>
      </c>
      <c r="K2703" s="18"/>
      <c r="L2703" s="26" t="s">
        <v>77</v>
      </c>
      <c r="M2703" s="6" t="s">
        <v>77</v>
      </c>
      <c r="N2703" s="28" t="s">
        <v>77</v>
      </c>
      <c r="O2703" s="26" t="s">
        <v>77</v>
      </c>
    </row>
    <row r="2704">
      <c r="A2704" s="52" t="s">
        <v>77</v>
      </c>
      <c r="B2704" s="28" t="s">
        <v>77</v>
      </c>
      <c r="C2704" s="28" t="s">
        <v>77</v>
      </c>
      <c r="D2704" s="28" t="s">
        <v>77</v>
      </c>
      <c r="E2704" s="28" t="s">
        <v>77</v>
      </c>
      <c r="F2704" s="28" t="s">
        <v>77</v>
      </c>
      <c r="G2704" s="28" t="s">
        <v>77</v>
      </c>
      <c r="I2704" s="26" t="s">
        <v>77</v>
      </c>
      <c r="J2704" s="26" t="s">
        <v>77</v>
      </c>
      <c r="K2704" s="18"/>
      <c r="L2704" s="26" t="s">
        <v>77</v>
      </c>
      <c r="M2704" s="6" t="s">
        <v>77</v>
      </c>
      <c r="N2704" s="28" t="s">
        <v>77</v>
      </c>
      <c r="O2704" s="26" t="s">
        <v>77</v>
      </c>
    </row>
    <row r="2705">
      <c r="A2705" s="52" t="s">
        <v>77</v>
      </c>
      <c r="B2705" s="28" t="s">
        <v>77</v>
      </c>
      <c r="C2705" s="28" t="s">
        <v>77</v>
      </c>
      <c r="D2705" s="28" t="s">
        <v>77</v>
      </c>
      <c r="E2705" s="28" t="s">
        <v>77</v>
      </c>
      <c r="F2705" s="28" t="s">
        <v>77</v>
      </c>
      <c r="G2705" s="28" t="s">
        <v>77</v>
      </c>
      <c r="I2705" s="26" t="s">
        <v>77</v>
      </c>
      <c r="J2705" s="26" t="s">
        <v>77</v>
      </c>
      <c r="K2705" s="18"/>
      <c r="L2705" s="26" t="s">
        <v>77</v>
      </c>
      <c r="M2705" s="6" t="s">
        <v>77</v>
      </c>
      <c r="N2705" s="28" t="s">
        <v>77</v>
      </c>
      <c r="O2705" s="26" t="s">
        <v>77</v>
      </c>
    </row>
    <row r="2706">
      <c r="A2706" s="52" t="s">
        <v>77</v>
      </c>
      <c r="B2706" s="28" t="s">
        <v>77</v>
      </c>
      <c r="C2706" s="28" t="s">
        <v>77</v>
      </c>
      <c r="D2706" s="28" t="s">
        <v>77</v>
      </c>
      <c r="E2706" s="28" t="s">
        <v>77</v>
      </c>
      <c r="F2706" s="28" t="s">
        <v>77</v>
      </c>
      <c r="G2706" s="28" t="s">
        <v>77</v>
      </c>
      <c r="I2706" s="26" t="s">
        <v>77</v>
      </c>
      <c r="J2706" s="26" t="s">
        <v>77</v>
      </c>
      <c r="K2706" s="18"/>
      <c r="L2706" s="26" t="s">
        <v>77</v>
      </c>
      <c r="M2706" s="6" t="s">
        <v>77</v>
      </c>
      <c r="N2706" s="28" t="s">
        <v>77</v>
      </c>
      <c r="O2706" s="26" t="s">
        <v>77</v>
      </c>
    </row>
    <row r="2707">
      <c r="A2707" s="52" t="s">
        <v>77</v>
      </c>
      <c r="B2707" s="28" t="s">
        <v>77</v>
      </c>
      <c r="C2707" s="28" t="s">
        <v>77</v>
      </c>
      <c r="D2707" s="28" t="s">
        <v>77</v>
      </c>
      <c r="E2707" s="28" t="s">
        <v>77</v>
      </c>
      <c r="F2707" s="28" t="s">
        <v>77</v>
      </c>
      <c r="G2707" s="28" t="s">
        <v>77</v>
      </c>
      <c r="I2707" s="26" t="s">
        <v>77</v>
      </c>
      <c r="J2707" s="26" t="s">
        <v>77</v>
      </c>
      <c r="K2707" s="18"/>
      <c r="L2707" s="26" t="s">
        <v>77</v>
      </c>
      <c r="M2707" s="6" t="s">
        <v>77</v>
      </c>
      <c r="N2707" s="28" t="s">
        <v>77</v>
      </c>
      <c r="O2707" s="26" t="s">
        <v>77</v>
      </c>
    </row>
    <row r="2708">
      <c r="A2708" s="52" t="s">
        <v>77</v>
      </c>
      <c r="B2708" s="28" t="s">
        <v>77</v>
      </c>
      <c r="C2708" s="28" t="s">
        <v>77</v>
      </c>
      <c r="D2708" s="28" t="s">
        <v>77</v>
      </c>
      <c r="E2708" s="28" t="s">
        <v>77</v>
      </c>
      <c r="F2708" s="28" t="s">
        <v>77</v>
      </c>
      <c r="G2708" s="28" t="s">
        <v>77</v>
      </c>
      <c r="I2708" s="26" t="s">
        <v>77</v>
      </c>
      <c r="J2708" s="26" t="s">
        <v>77</v>
      </c>
      <c r="K2708" s="18"/>
      <c r="L2708" s="26" t="s">
        <v>77</v>
      </c>
      <c r="M2708" s="6" t="s">
        <v>77</v>
      </c>
      <c r="N2708" s="28" t="s">
        <v>77</v>
      </c>
      <c r="O2708" s="26" t="s">
        <v>77</v>
      </c>
    </row>
    <row r="2709">
      <c r="A2709" s="52" t="s">
        <v>77</v>
      </c>
      <c r="B2709" s="28" t="s">
        <v>77</v>
      </c>
      <c r="C2709" s="28" t="s">
        <v>77</v>
      </c>
      <c r="D2709" s="28" t="s">
        <v>77</v>
      </c>
      <c r="E2709" s="28" t="s">
        <v>77</v>
      </c>
      <c r="F2709" s="28" t="s">
        <v>77</v>
      </c>
      <c r="G2709" s="28" t="s">
        <v>77</v>
      </c>
      <c r="I2709" s="26" t="s">
        <v>77</v>
      </c>
      <c r="J2709" s="26" t="s">
        <v>77</v>
      </c>
      <c r="K2709" s="18"/>
      <c r="L2709" s="26" t="s">
        <v>77</v>
      </c>
      <c r="M2709" s="6" t="s">
        <v>77</v>
      </c>
      <c r="N2709" s="28" t="s">
        <v>77</v>
      </c>
      <c r="O2709" s="26" t="s">
        <v>77</v>
      </c>
    </row>
    <row r="2710">
      <c r="A2710" s="52" t="s">
        <v>77</v>
      </c>
      <c r="B2710" s="28" t="s">
        <v>77</v>
      </c>
      <c r="C2710" s="28" t="s">
        <v>77</v>
      </c>
      <c r="D2710" s="28" t="s">
        <v>77</v>
      </c>
      <c r="E2710" s="28" t="s">
        <v>77</v>
      </c>
      <c r="F2710" s="28" t="s">
        <v>77</v>
      </c>
      <c r="G2710" s="28" t="s">
        <v>77</v>
      </c>
      <c r="I2710" s="26" t="s">
        <v>77</v>
      </c>
      <c r="J2710" s="26" t="s">
        <v>77</v>
      </c>
      <c r="K2710" s="18"/>
      <c r="L2710" s="26" t="s">
        <v>77</v>
      </c>
      <c r="M2710" s="6" t="s">
        <v>77</v>
      </c>
      <c r="N2710" s="28" t="s">
        <v>77</v>
      </c>
      <c r="O2710" s="26" t="s">
        <v>77</v>
      </c>
    </row>
    <row r="2711">
      <c r="A2711" s="52" t="s">
        <v>77</v>
      </c>
      <c r="B2711" s="28" t="s">
        <v>77</v>
      </c>
      <c r="C2711" s="28" t="s">
        <v>77</v>
      </c>
      <c r="D2711" s="28" t="s">
        <v>77</v>
      </c>
      <c r="E2711" s="28" t="s">
        <v>77</v>
      </c>
      <c r="F2711" s="28" t="s">
        <v>77</v>
      </c>
      <c r="G2711" s="28" t="s">
        <v>77</v>
      </c>
      <c r="I2711" s="26" t="s">
        <v>77</v>
      </c>
      <c r="J2711" s="26" t="s">
        <v>77</v>
      </c>
      <c r="K2711" s="18"/>
      <c r="L2711" s="26" t="s">
        <v>77</v>
      </c>
      <c r="M2711" s="6" t="s">
        <v>77</v>
      </c>
      <c r="N2711" s="28" t="s">
        <v>77</v>
      </c>
      <c r="O2711" s="26" t="s">
        <v>77</v>
      </c>
    </row>
    <row r="2712">
      <c r="A2712" s="52" t="s">
        <v>77</v>
      </c>
      <c r="B2712" s="28" t="s">
        <v>77</v>
      </c>
      <c r="C2712" s="28" t="s">
        <v>77</v>
      </c>
      <c r="D2712" s="28" t="s">
        <v>77</v>
      </c>
      <c r="E2712" s="28" t="s">
        <v>77</v>
      </c>
      <c r="F2712" s="28" t="s">
        <v>77</v>
      </c>
      <c r="G2712" s="28" t="s">
        <v>77</v>
      </c>
      <c r="I2712" s="26" t="s">
        <v>77</v>
      </c>
      <c r="J2712" s="26" t="s">
        <v>77</v>
      </c>
      <c r="K2712" s="18"/>
      <c r="L2712" s="26" t="s">
        <v>77</v>
      </c>
      <c r="M2712" s="6" t="s">
        <v>77</v>
      </c>
      <c r="N2712" s="28" t="s">
        <v>77</v>
      </c>
      <c r="O2712" s="26" t="s">
        <v>77</v>
      </c>
    </row>
    <row r="2713">
      <c r="A2713" s="52" t="s">
        <v>77</v>
      </c>
      <c r="B2713" s="28" t="s">
        <v>77</v>
      </c>
      <c r="C2713" s="28" t="s">
        <v>77</v>
      </c>
      <c r="D2713" s="28" t="s">
        <v>77</v>
      </c>
      <c r="E2713" s="28" t="s">
        <v>77</v>
      </c>
      <c r="F2713" s="28" t="s">
        <v>77</v>
      </c>
      <c r="G2713" s="28" t="s">
        <v>77</v>
      </c>
      <c r="I2713" s="26" t="s">
        <v>77</v>
      </c>
      <c r="J2713" s="26" t="s">
        <v>77</v>
      </c>
      <c r="K2713" s="18"/>
      <c r="L2713" s="26" t="s">
        <v>77</v>
      </c>
      <c r="M2713" s="6" t="s">
        <v>77</v>
      </c>
      <c r="N2713" s="28" t="s">
        <v>77</v>
      </c>
      <c r="O2713" s="26" t="s">
        <v>77</v>
      </c>
    </row>
    <row r="2714">
      <c r="A2714" s="52" t="s">
        <v>77</v>
      </c>
      <c r="B2714" s="28" t="s">
        <v>77</v>
      </c>
      <c r="C2714" s="28" t="s">
        <v>77</v>
      </c>
      <c r="D2714" s="28" t="s">
        <v>77</v>
      </c>
      <c r="E2714" s="28" t="s">
        <v>77</v>
      </c>
      <c r="F2714" s="28" t="s">
        <v>77</v>
      </c>
      <c r="G2714" s="28" t="s">
        <v>77</v>
      </c>
      <c r="I2714" s="26" t="s">
        <v>77</v>
      </c>
      <c r="J2714" s="26" t="s">
        <v>77</v>
      </c>
      <c r="K2714" s="18"/>
      <c r="L2714" s="26" t="s">
        <v>77</v>
      </c>
      <c r="M2714" s="6" t="s">
        <v>77</v>
      </c>
      <c r="N2714" s="28" t="s">
        <v>77</v>
      </c>
      <c r="O2714" s="26" t="s">
        <v>77</v>
      </c>
    </row>
    <row r="2715">
      <c r="A2715" s="52" t="s">
        <v>77</v>
      </c>
      <c r="B2715" s="28" t="s">
        <v>77</v>
      </c>
      <c r="C2715" s="28" t="s">
        <v>77</v>
      </c>
      <c r="D2715" s="28" t="s">
        <v>77</v>
      </c>
      <c r="E2715" s="28" t="s">
        <v>77</v>
      </c>
      <c r="F2715" s="28" t="s">
        <v>77</v>
      </c>
      <c r="G2715" s="28" t="s">
        <v>77</v>
      </c>
      <c r="I2715" s="26" t="s">
        <v>77</v>
      </c>
      <c r="J2715" s="26" t="s">
        <v>77</v>
      </c>
      <c r="K2715" s="18"/>
      <c r="L2715" s="26" t="s">
        <v>77</v>
      </c>
      <c r="M2715" s="6" t="s">
        <v>77</v>
      </c>
      <c r="N2715" s="28" t="s">
        <v>77</v>
      </c>
      <c r="O2715" s="26" t="s">
        <v>77</v>
      </c>
    </row>
    <row r="2716">
      <c r="A2716" s="52" t="s">
        <v>77</v>
      </c>
      <c r="B2716" s="28" t="s">
        <v>77</v>
      </c>
      <c r="C2716" s="28" t="s">
        <v>77</v>
      </c>
      <c r="D2716" s="28" t="s">
        <v>77</v>
      </c>
      <c r="E2716" s="28" t="s">
        <v>77</v>
      </c>
      <c r="F2716" s="28" t="s">
        <v>77</v>
      </c>
      <c r="G2716" s="28" t="s">
        <v>77</v>
      </c>
      <c r="I2716" s="26" t="s">
        <v>77</v>
      </c>
      <c r="J2716" s="26" t="s">
        <v>77</v>
      </c>
      <c r="K2716" s="18"/>
      <c r="L2716" s="26" t="s">
        <v>77</v>
      </c>
      <c r="M2716" s="6" t="s">
        <v>77</v>
      </c>
      <c r="N2716" s="28" t="s">
        <v>77</v>
      </c>
      <c r="O2716" s="26" t="s">
        <v>77</v>
      </c>
    </row>
    <row r="2717">
      <c r="A2717" s="52" t="s">
        <v>77</v>
      </c>
      <c r="B2717" s="28" t="s">
        <v>77</v>
      </c>
      <c r="C2717" s="28" t="s">
        <v>77</v>
      </c>
      <c r="D2717" s="28" t="s">
        <v>77</v>
      </c>
      <c r="E2717" s="28" t="s">
        <v>77</v>
      </c>
      <c r="F2717" s="28" t="s">
        <v>77</v>
      </c>
      <c r="G2717" s="28" t="s">
        <v>77</v>
      </c>
      <c r="I2717" s="26" t="s">
        <v>77</v>
      </c>
      <c r="J2717" s="26" t="s">
        <v>77</v>
      </c>
      <c r="K2717" s="18"/>
      <c r="L2717" s="26" t="s">
        <v>77</v>
      </c>
      <c r="M2717" s="6" t="s">
        <v>77</v>
      </c>
      <c r="N2717" s="28" t="s">
        <v>77</v>
      </c>
      <c r="O2717" s="26" t="s">
        <v>77</v>
      </c>
    </row>
    <row r="2718">
      <c r="A2718" s="52" t="s">
        <v>77</v>
      </c>
      <c r="B2718" s="28" t="s">
        <v>77</v>
      </c>
      <c r="C2718" s="28" t="s">
        <v>77</v>
      </c>
      <c r="D2718" s="28" t="s">
        <v>77</v>
      </c>
      <c r="E2718" s="28" t="s">
        <v>77</v>
      </c>
      <c r="F2718" s="28" t="s">
        <v>77</v>
      </c>
      <c r="G2718" s="28" t="s">
        <v>77</v>
      </c>
      <c r="I2718" s="26" t="s">
        <v>77</v>
      </c>
      <c r="J2718" s="26" t="s">
        <v>77</v>
      </c>
      <c r="K2718" s="18"/>
      <c r="L2718" s="26" t="s">
        <v>77</v>
      </c>
      <c r="M2718" s="6" t="s">
        <v>77</v>
      </c>
      <c r="N2718" s="28" t="s">
        <v>77</v>
      </c>
      <c r="O2718" s="26" t="s">
        <v>77</v>
      </c>
    </row>
    <row r="2719">
      <c r="A2719" s="52" t="s">
        <v>77</v>
      </c>
      <c r="B2719" s="28" t="s">
        <v>77</v>
      </c>
      <c r="C2719" s="28" t="s">
        <v>77</v>
      </c>
      <c r="D2719" s="28" t="s">
        <v>77</v>
      </c>
      <c r="E2719" s="28" t="s">
        <v>77</v>
      </c>
      <c r="F2719" s="28" t="s">
        <v>77</v>
      </c>
      <c r="G2719" s="28" t="s">
        <v>77</v>
      </c>
      <c r="I2719" s="26" t="s">
        <v>77</v>
      </c>
      <c r="J2719" s="26" t="s">
        <v>77</v>
      </c>
      <c r="K2719" s="18"/>
      <c r="L2719" s="26" t="s">
        <v>77</v>
      </c>
      <c r="M2719" s="6" t="s">
        <v>77</v>
      </c>
      <c r="N2719" s="28" t="s">
        <v>77</v>
      </c>
      <c r="O2719" s="26" t="s">
        <v>77</v>
      </c>
    </row>
    <row r="2720">
      <c r="A2720" s="52" t="s">
        <v>77</v>
      </c>
      <c r="B2720" s="28" t="s">
        <v>77</v>
      </c>
      <c r="C2720" s="28" t="s">
        <v>77</v>
      </c>
      <c r="D2720" s="28" t="s">
        <v>77</v>
      </c>
      <c r="E2720" s="28" t="s">
        <v>77</v>
      </c>
      <c r="F2720" s="28" t="s">
        <v>77</v>
      </c>
      <c r="G2720" s="28" t="s">
        <v>77</v>
      </c>
      <c r="I2720" s="26" t="s">
        <v>77</v>
      </c>
      <c r="J2720" s="26" t="s">
        <v>77</v>
      </c>
      <c r="K2720" s="18"/>
      <c r="L2720" s="26" t="s">
        <v>77</v>
      </c>
      <c r="M2720" s="6" t="s">
        <v>77</v>
      </c>
      <c r="N2720" s="28" t="s">
        <v>77</v>
      </c>
      <c r="O2720" s="26" t="s">
        <v>77</v>
      </c>
    </row>
    <row r="2721">
      <c r="A2721" s="52" t="s">
        <v>77</v>
      </c>
      <c r="B2721" s="28" t="s">
        <v>77</v>
      </c>
      <c r="C2721" s="28" t="s">
        <v>77</v>
      </c>
      <c r="D2721" s="28" t="s">
        <v>77</v>
      </c>
      <c r="E2721" s="28" t="s">
        <v>77</v>
      </c>
      <c r="F2721" s="28" t="s">
        <v>77</v>
      </c>
      <c r="G2721" s="28" t="s">
        <v>77</v>
      </c>
      <c r="I2721" s="26" t="s">
        <v>77</v>
      </c>
      <c r="J2721" s="26" t="s">
        <v>77</v>
      </c>
      <c r="K2721" s="18"/>
      <c r="L2721" s="26" t="s">
        <v>77</v>
      </c>
      <c r="M2721" s="6" t="s">
        <v>77</v>
      </c>
      <c r="N2721" s="28" t="s">
        <v>77</v>
      </c>
      <c r="O2721" s="26" t="s">
        <v>77</v>
      </c>
    </row>
    <row r="2722">
      <c r="A2722" s="52" t="s">
        <v>77</v>
      </c>
      <c r="B2722" s="28" t="s">
        <v>77</v>
      </c>
      <c r="C2722" s="28" t="s">
        <v>77</v>
      </c>
      <c r="D2722" s="28" t="s">
        <v>77</v>
      </c>
      <c r="E2722" s="28" t="s">
        <v>77</v>
      </c>
      <c r="F2722" s="28" t="s">
        <v>77</v>
      </c>
      <c r="G2722" s="28" t="s">
        <v>77</v>
      </c>
      <c r="I2722" s="26" t="s">
        <v>77</v>
      </c>
      <c r="J2722" s="26" t="s">
        <v>77</v>
      </c>
      <c r="K2722" s="18"/>
      <c r="L2722" s="26" t="s">
        <v>77</v>
      </c>
      <c r="M2722" s="6" t="s">
        <v>77</v>
      </c>
      <c r="N2722" s="28" t="s">
        <v>77</v>
      </c>
      <c r="O2722" s="26" t="s">
        <v>77</v>
      </c>
    </row>
    <row r="2723">
      <c r="A2723" s="52" t="s">
        <v>77</v>
      </c>
      <c r="B2723" s="28" t="s">
        <v>77</v>
      </c>
      <c r="C2723" s="28" t="s">
        <v>77</v>
      </c>
      <c r="D2723" s="28" t="s">
        <v>77</v>
      </c>
      <c r="E2723" s="28" t="s">
        <v>77</v>
      </c>
      <c r="F2723" s="28" t="s">
        <v>77</v>
      </c>
      <c r="G2723" s="28" t="s">
        <v>77</v>
      </c>
      <c r="I2723" s="26" t="s">
        <v>77</v>
      </c>
      <c r="J2723" s="26" t="s">
        <v>77</v>
      </c>
      <c r="K2723" s="18"/>
      <c r="L2723" s="26" t="s">
        <v>77</v>
      </c>
      <c r="M2723" s="6" t="s">
        <v>77</v>
      </c>
      <c r="N2723" s="28" t="s">
        <v>77</v>
      </c>
      <c r="O2723" s="26" t="s">
        <v>77</v>
      </c>
    </row>
    <row r="2724">
      <c r="A2724" s="52" t="s">
        <v>77</v>
      </c>
      <c r="B2724" s="28" t="s">
        <v>77</v>
      </c>
      <c r="C2724" s="28" t="s">
        <v>77</v>
      </c>
      <c r="D2724" s="28" t="s">
        <v>77</v>
      </c>
      <c r="E2724" s="28" t="s">
        <v>77</v>
      </c>
      <c r="F2724" s="28" t="s">
        <v>77</v>
      </c>
      <c r="G2724" s="28" t="s">
        <v>77</v>
      </c>
      <c r="I2724" s="26" t="s">
        <v>77</v>
      </c>
      <c r="J2724" s="26" t="s">
        <v>77</v>
      </c>
      <c r="K2724" s="18"/>
      <c r="L2724" s="26" t="s">
        <v>77</v>
      </c>
      <c r="M2724" s="6" t="s">
        <v>77</v>
      </c>
      <c r="N2724" s="28" t="s">
        <v>77</v>
      </c>
      <c r="O2724" s="26" t="s">
        <v>77</v>
      </c>
    </row>
    <row r="2725">
      <c r="A2725" s="52" t="s">
        <v>77</v>
      </c>
      <c r="B2725" s="28" t="s">
        <v>77</v>
      </c>
      <c r="C2725" s="28" t="s">
        <v>77</v>
      </c>
      <c r="D2725" s="28" t="s">
        <v>77</v>
      </c>
      <c r="E2725" s="28" t="s">
        <v>77</v>
      </c>
      <c r="F2725" s="28" t="s">
        <v>77</v>
      </c>
      <c r="G2725" s="28" t="s">
        <v>77</v>
      </c>
      <c r="I2725" s="26" t="s">
        <v>77</v>
      </c>
      <c r="J2725" s="26" t="s">
        <v>77</v>
      </c>
      <c r="K2725" s="18"/>
      <c r="L2725" s="26" t="s">
        <v>77</v>
      </c>
      <c r="M2725" s="6" t="s">
        <v>77</v>
      </c>
      <c r="N2725" s="28" t="s">
        <v>77</v>
      </c>
      <c r="O2725" s="26" t="s">
        <v>77</v>
      </c>
    </row>
    <row r="2726">
      <c r="A2726" s="52" t="s">
        <v>77</v>
      </c>
      <c r="B2726" s="28" t="s">
        <v>77</v>
      </c>
      <c r="C2726" s="28" t="s">
        <v>77</v>
      </c>
      <c r="D2726" s="28" t="s">
        <v>77</v>
      </c>
      <c r="E2726" s="28" t="s">
        <v>77</v>
      </c>
      <c r="F2726" s="28" t="s">
        <v>77</v>
      </c>
      <c r="G2726" s="28" t="s">
        <v>77</v>
      </c>
      <c r="I2726" s="26" t="s">
        <v>77</v>
      </c>
      <c r="J2726" s="26" t="s">
        <v>77</v>
      </c>
      <c r="K2726" s="18"/>
      <c r="L2726" s="26" t="s">
        <v>77</v>
      </c>
      <c r="M2726" s="6" t="s">
        <v>77</v>
      </c>
      <c r="N2726" s="28" t="s">
        <v>77</v>
      </c>
      <c r="O2726" s="26" t="s">
        <v>77</v>
      </c>
    </row>
    <row r="2727">
      <c r="A2727" s="52" t="s">
        <v>77</v>
      </c>
      <c r="B2727" s="28" t="s">
        <v>77</v>
      </c>
      <c r="C2727" s="28" t="s">
        <v>77</v>
      </c>
      <c r="D2727" s="28" t="s">
        <v>77</v>
      </c>
      <c r="E2727" s="28" t="s">
        <v>77</v>
      </c>
      <c r="F2727" s="28" t="s">
        <v>77</v>
      </c>
      <c r="G2727" s="28" t="s">
        <v>77</v>
      </c>
      <c r="I2727" s="26" t="s">
        <v>77</v>
      </c>
      <c r="J2727" s="26" t="s">
        <v>77</v>
      </c>
      <c r="K2727" s="18"/>
      <c r="L2727" s="26" t="s">
        <v>77</v>
      </c>
      <c r="M2727" s="6" t="s">
        <v>77</v>
      </c>
      <c r="N2727" s="28" t="s">
        <v>77</v>
      </c>
      <c r="O2727" s="26" t="s">
        <v>77</v>
      </c>
    </row>
    <row r="2728">
      <c r="A2728" s="52" t="s">
        <v>77</v>
      </c>
      <c r="B2728" s="28" t="s">
        <v>77</v>
      </c>
      <c r="C2728" s="28" t="s">
        <v>77</v>
      </c>
      <c r="D2728" s="28" t="s">
        <v>77</v>
      </c>
      <c r="E2728" s="28" t="s">
        <v>77</v>
      </c>
      <c r="F2728" s="28" t="s">
        <v>77</v>
      </c>
      <c r="G2728" s="28" t="s">
        <v>77</v>
      </c>
      <c r="I2728" s="26" t="s">
        <v>77</v>
      </c>
      <c r="J2728" s="26" t="s">
        <v>77</v>
      </c>
      <c r="K2728" s="18"/>
      <c r="L2728" s="26" t="s">
        <v>77</v>
      </c>
      <c r="M2728" s="6" t="s">
        <v>77</v>
      </c>
      <c r="N2728" s="28" t="s">
        <v>77</v>
      </c>
      <c r="O2728" s="26" t="s">
        <v>77</v>
      </c>
    </row>
    <row r="2729">
      <c r="A2729" s="52" t="s">
        <v>77</v>
      </c>
      <c r="B2729" s="28" t="s">
        <v>77</v>
      </c>
      <c r="C2729" s="28" t="s">
        <v>77</v>
      </c>
      <c r="D2729" s="28" t="s">
        <v>77</v>
      </c>
      <c r="E2729" s="28" t="s">
        <v>77</v>
      </c>
      <c r="F2729" s="28" t="s">
        <v>77</v>
      </c>
      <c r="G2729" s="28" t="s">
        <v>77</v>
      </c>
      <c r="I2729" s="26" t="s">
        <v>77</v>
      </c>
      <c r="J2729" s="26" t="s">
        <v>77</v>
      </c>
      <c r="K2729" s="18"/>
      <c r="L2729" s="26" t="s">
        <v>77</v>
      </c>
      <c r="M2729" s="6" t="s">
        <v>77</v>
      </c>
      <c r="N2729" s="28" t="s">
        <v>77</v>
      </c>
      <c r="O2729" s="26" t="s">
        <v>77</v>
      </c>
    </row>
    <row r="2730">
      <c r="A2730" s="52" t="s">
        <v>77</v>
      </c>
      <c r="B2730" s="28" t="s">
        <v>77</v>
      </c>
      <c r="C2730" s="28" t="s">
        <v>77</v>
      </c>
      <c r="D2730" s="28" t="s">
        <v>77</v>
      </c>
      <c r="E2730" s="28" t="s">
        <v>77</v>
      </c>
      <c r="F2730" s="28" t="s">
        <v>77</v>
      </c>
      <c r="G2730" s="28" t="s">
        <v>77</v>
      </c>
      <c r="I2730" s="26" t="s">
        <v>77</v>
      </c>
      <c r="J2730" s="26" t="s">
        <v>77</v>
      </c>
      <c r="K2730" s="18"/>
      <c r="L2730" s="26" t="s">
        <v>77</v>
      </c>
      <c r="M2730" s="6" t="s">
        <v>77</v>
      </c>
      <c r="N2730" s="28" t="s">
        <v>77</v>
      </c>
      <c r="O2730" s="26" t="s">
        <v>77</v>
      </c>
    </row>
    <row r="2731">
      <c r="A2731" s="52" t="s">
        <v>77</v>
      </c>
      <c r="B2731" s="28" t="s">
        <v>77</v>
      </c>
      <c r="C2731" s="28" t="s">
        <v>77</v>
      </c>
      <c r="D2731" s="28" t="s">
        <v>77</v>
      </c>
      <c r="E2731" s="28" t="s">
        <v>77</v>
      </c>
      <c r="F2731" s="28" t="s">
        <v>77</v>
      </c>
      <c r="G2731" s="28" t="s">
        <v>77</v>
      </c>
      <c r="I2731" s="26" t="s">
        <v>77</v>
      </c>
      <c r="J2731" s="26" t="s">
        <v>77</v>
      </c>
      <c r="K2731" s="18"/>
      <c r="L2731" s="26" t="s">
        <v>77</v>
      </c>
      <c r="M2731" s="6" t="s">
        <v>77</v>
      </c>
      <c r="N2731" s="28" t="s">
        <v>77</v>
      </c>
      <c r="O2731" s="26" t="s">
        <v>77</v>
      </c>
    </row>
    <row r="2732">
      <c r="A2732" s="52" t="s">
        <v>77</v>
      </c>
      <c r="B2732" s="28" t="s">
        <v>77</v>
      </c>
      <c r="C2732" s="28" t="s">
        <v>77</v>
      </c>
      <c r="D2732" s="28" t="s">
        <v>77</v>
      </c>
      <c r="E2732" s="28" t="s">
        <v>77</v>
      </c>
      <c r="F2732" s="28" t="s">
        <v>77</v>
      </c>
      <c r="G2732" s="28" t="s">
        <v>77</v>
      </c>
      <c r="I2732" s="26" t="s">
        <v>77</v>
      </c>
      <c r="J2732" s="26" t="s">
        <v>77</v>
      </c>
      <c r="K2732" s="18"/>
      <c r="L2732" s="26" t="s">
        <v>77</v>
      </c>
      <c r="M2732" s="6" t="s">
        <v>77</v>
      </c>
      <c r="N2732" s="28" t="s">
        <v>77</v>
      </c>
      <c r="O2732" s="26" t="s">
        <v>77</v>
      </c>
    </row>
    <row r="2733">
      <c r="A2733" s="52" t="s">
        <v>77</v>
      </c>
      <c r="B2733" s="28" t="s">
        <v>77</v>
      </c>
      <c r="C2733" s="28" t="s">
        <v>77</v>
      </c>
      <c r="D2733" s="28" t="s">
        <v>77</v>
      </c>
      <c r="E2733" s="28" t="s">
        <v>77</v>
      </c>
      <c r="F2733" s="28" t="s">
        <v>77</v>
      </c>
      <c r="G2733" s="28" t="s">
        <v>77</v>
      </c>
      <c r="I2733" s="26" t="s">
        <v>77</v>
      </c>
      <c r="J2733" s="26" t="s">
        <v>77</v>
      </c>
      <c r="K2733" s="18"/>
      <c r="L2733" s="26" t="s">
        <v>77</v>
      </c>
      <c r="M2733" s="6" t="s">
        <v>77</v>
      </c>
      <c r="N2733" s="28" t="s">
        <v>77</v>
      </c>
      <c r="O2733" s="26" t="s">
        <v>77</v>
      </c>
    </row>
    <row r="2734">
      <c r="A2734" s="52" t="s">
        <v>77</v>
      </c>
      <c r="B2734" s="28" t="s">
        <v>77</v>
      </c>
      <c r="C2734" s="28" t="s">
        <v>77</v>
      </c>
      <c r="D2734" s="28" t="s">
        <v>77</v>
      </c>
      <c r="E2734" s="28" t="s">
        <v>77</v>
      </c>
      <c r="F2734" s="28" t="s">
        <v>77</v>
      </c>
      <c r="G2734" s="28" t="s">
        <v>77</v>
      </c>
      <c r="I2734" s="26" t="s">
        <v>77</v>
      </c>
      <c r="J2734" s="26" t="s">
        <v>77</v>
      </c>
      <c r="K2734" s="18"/>
      <c r="L2734" s="26" t="s">
        <v>77</v>
      </c>
      <c r="M2734" s="6" t="s">
        <v>77</v>
      </c>
      <c r="N2734" s="28" t="s">
        <v>77</v>
      </c>
      <c r="O2734" s="26" t="s">
        <v>77</v>
      </c>
    </row>
    <row r="2735">
      <c r="A2735" s="52" t="s">
        <v>77</v>
      </c>
      <c r="B2735" s="28" t="s">
        <v>77</v>
      </c>
      <c r="C2735" s="28" t="s">
        <v>77</v>
      </c>
      <c r="D2735" s="28" t="s">
        <v>77</v>
      </c>
      <c r="E2735" s="28" t="s">
        <v>77</v>
      </c>
      <c r="F2735" s="28" t="s">
        <v>77</v>
      </c>
      <c r="G2735" s="28" t="s">
        <v>77</v>
      </c>
      <c r="I2735" s="26" t="s">
        <v>77</v>
      </c>
      <c r="J2735" s="26" t="s">
        <v>77</v>
      </c>
      <c r="K2735" s="18"/>
      <c r="L2735" s="26" t="s">
        <v>77</v>
      </c>
      <c r="M2735" s="6" t="s">
        <v>77</v>
      </c>
      <c r="N2735" s="28" t="s">
        <v>77</v>
      </c>
      <c r="O2735" s="26" t="s">
        <v>77</v>
      </c>
    </row>
    <row r="2736">
      <c r="A2736" s="52" t="s">
        <v>77</v>
      </c>
      <c r="B2736" s="28" t="s">
        <v>77</v>
      </c>
      <c r="C2736" s="28" t="s">
        <v>77</v>
      </c>
      <c r="D2736" s="28" t="s">
        <v>77</v>
      </c>
      <c r="E2736" s="28" t="s">
        <v>77</v>
      </c>
      <c r="F2736" s="28" t="s">
        <v>77</v>
      </c>
      <c r="G2736" s="28" t="s">
        <v>77</v>
      </c>
      <c r="I2736" s="26" t="s">
        <v>77</v>
      </c>
      <c r="J2736" s="26" t="s">
        <v>77</v>
      </c>
      <c r="K2736" s="18"/>
      <c r="L2736" s="26" t="s">
        <v>77</v>
      </c>
      <c r="M2736" s="6" t="s">
        <v>77</v>
      </c>
      <c r="N2736" s="28" t="s">
        <v>77</v>
      </c>
      <c r="O2736" s="26" t="s">
        <v>77</v>
      </c>
    </row>
    <row r="2737">
      <c r="A2737" s="52" t="s">
        <v>77</v>
      </c>
      <c r="B2737" s="28" t="s">
        <v>77</v>
      </c>
      <c r="C2737" s="28" t="s">
        <v>77</v>
      </c>
      <c r="D2737" s="28" t="s">
        <v>77</v>
      </c>
      <c r="E2737" s="28" t="s">
        <v>77</v>
      </c>
      <c r="F2737" s="28" t="s">
        <v>77</v>
      </c>
      <c r="G2737" s="28" t="s">
        <v>77</v>
      </c>
      <c r="I2737" s="26" t="s">
        <v>77</v>
      </c>
      <c r="J2737" s="26" t="s">
        <v>77</v>
      </c>
      <c r="K2737" s="18"/>
      <c r="L2737" s="26" t="s">
        <v>77</v>
      </c>
      <c r="M2737" s="6" t="s">
        <v>77</v>
      </c>
      <c r="N2737" s="28" t="s">
        <v>77</v>
      </c>
      <c r="O2737" s="26" t="s">
        <v>77</v>
      </c>
    </row>
    <row r="2738">
      <c r="A2738" s="52" t="s">
        <v>77</v>
      </c>
      <c r="B2738" s="28" t="s">
        <v>77</v>
      </c>
      <c r="C2738" s="28" t="s">
        <v>77</v>
      </c>
      <c r="D2738" s="28" t="s">
        <v>77</v>
      </c>
      <c r="E2738" s="28" t="s">
        <v>77</v>
      </c>
      <c r="F2738" s="28" t="s">
        <v>77</v>
      </c>
      <c r="G2738" s="28" t="s">
        <v>77</v>
      </c>
      <c r="I2738" s="26" t="s">
        <v>77</v>
      </c>
      <c r="J2738" s="26" t="s">
        <v>77</v>
      </c>
      <c r="K2738" s="18"/>
      <c r="L2738" s="26" t="s">
        <v>77</v>
      </c>
      <c r="M2738" s="6" t="s">
        <v>77</v>
      </c>
      <c r="N2738" s="28" t="s">
        <v>77</v>
      </c>
      <c r="O2738" s="26" t="s">
        <v>77</v>
      </c>
    </row>
    <row r="2739">
      <c r="A2739" s="52" t="s">
        <v>77</v>
      </c>
      <c r="B2739" s="28" t="s">
        <v>77</v>
      </c>
      <c r="C2739" s="28" t="s">
        <v>77</v>
      </c>
      <c r="D2739" s="28" t="s">
        <v>77</v>
      </c>
      <c r="E2739" s="28" t="s">
        <v>77</v>
      </c>
      <c r="F2739" s="28" t="s">
        <v>77</v>
      </c>
      <c r="G2739" s="28" t="s">
        <v>77</v>
      </c>
      <c r="I2739" s="26" t="s">
        <v>77</v>
      </c>
      <c r="J2739" s="26" t="s">
        <v>77</v>
      </c>
      <c r="K2739" s="18"/>
      <c r="L2739" s="26" t="s">
        <v>77</v>
      </c>
      <c r="M2739" s="6" t="s">
        <v>77</v>
      </c>
      <c r="N2739" s="28" t="s">
        <v>77</v>
      </c>
      <c r="O2739" s="26" t="s">
        <v>77</v>
      </c>
    </row>
    <row r="2740">
      <c r="A2740" s="52" t="s">
        <v>77</v>
      </c>
      <c r="B2740" s="28" t="s">
        <v>77</v>
      </c>
      <c r="C2740" s="28" t="s">
        <v>77</v>
      </c>
      <c r="D2740" s="28" t="s">
        <v>77</v>
      </c>
      <c r="E2740" s="28" t="s">
        <v>77</v>
      </c>
      <c r="F2740" s="28" t="s">
        <v>77</v>
      </c>
      <c r="G2740" s="28" t="s">
        <v>77</v>
      </c>
      <c r="I2740" s="26" t="s">
        <v>77</v>
      </c>
      <c r="J2740" s="26" t="s">
        <v>77</v>
      </c>
      <c r="K2740" s="18"/>
      <c r="L2740" s="26" t="s">
        <v>77</v>
      </c>
      <c r="M2740" s="6" t="s">
        <v>77</v>
      </c>
      <c r="N2740" s="28" t="s">
        <v>77</v>
      </c>
      <c r="O2740" s="26" t="s">
        <v>77</v>
      </c>
    </row>
    <row r="2741">
      <c r="A2741" s="52" t="s">
        <v>77</v>
      </c>
      <c r="B2741" s="28" t="s">
        <v>77</v>
      </c>
      <c r="C2741" s="28" t="s">
        <v>77</v>
      </c>
      <c r="D2741" s="28" t="s">
        <v>77</v>
      </c>
      <c r="E2741" s="28" t="s">
        <v>77</v>
      </c>
      <c r="F2741" s="28" t="s">
        <v>77</v>
      </c>
      <c r="G2741" s="28" t="s">
        <v>77</v>
      </c>
      <c r="I2741" s="26" t="s">
        <v>77</v>
      </c>
      <c r="J2741" s="26" t="s">
        <v>77</v>
      </c>
      <c r="K2741" s="18"/>
      <c r="L2741" s="26" t="s">
        <v>77</v>
      </c>
      <c r="M2741" s="6" t="s">
        <v>77</v>
      </c>
      <c r="N2741" s="28" t="s">
        <v>77</v>
      </c>
      <c r="O2741" s="26" t="s">
        <v>77</v>
      </c>
    </row>
    <row r="2742">
      <c r="A2742" s="52" t="s">
        <v>77</v>
      </c>
      <c r="B2742" s="28" t="s">
        <v>77</v>
      </c>
      <c r="C2742" s="28" t="s">
        <v>77</v>
      </c>
      <c r="D2742" s="28" t="s">
        <v>77</v>
      </c>
      <c r="E2742" s="28" t="s">
        <v>77</v>
      </c>
      <c r="F2742" s="28" t="s">
        <v>77</v>
      </c>
      <c r="G2742" s="28" t="s">
        <v>77</v>
      </c>
      <c r="I2742" s="26" t="s">
        <v>77</v>
      </c>
      <c r="J2742" s="26" t="s">
        <v>77</v>
      </c>
      <c r="K2742" s="18"/>
      <c r="L2742" s="26" t="s">
        <v>77</v>
      </c>
      <c r="M2742" s="6" t="s">
        <v>77</v>
      </c>
      <c r="N2742" s="28" t="s">
        <v>77</v>
      </c>
      <c r="O2742" s="26" t="s">
        <v>77</v>
      </c>
    </row>
    <row r="2743">
      <c r="A2743" s="52" t="s">
        <v>77</v>
      </c>
      <c r="B2743" s="28" t="s">
        <v>77</v>
      </c>
      <c r="C2743" s="28" t="s">
        <v>77</v>
      </c>
      <c r="D2743" s="28" t="s">
        <v>77</v>
      </c>
      <c r="E2743" s="28" t="s">
        <v>77</v>
      </c>
      <c r="F2743" s="28" t="s">
        <v>77</v>
      </c>
      <c r="G2743" s="28" t="s">
        <v>77</v>
      </c>
      <c r="I2743" s="26" t="s">
        <v>77</v>
      </c>
      <c r="J2743" s="26" t="s">
        <v>77</v>
      </c>
      <c r="K2743" s="18"/>
      <c r="L2743" s="26" t="s">
        <v>77</v>
      </c>
      <c r="M2743" s="6" t="s">
        <v>77</v>
      </c>
      <c r="N2743" s="28" t="s">
        <v>77</v>
      </c>
      <c r="O2743" s="26" t="s">
        <v>77</v>
      </c>
    </row>
    <row r="2744">
      <c r="A2744" s="52" t="s">
        <v>77</v>
      </c>
      <c r="B2744" s="28" t="s">
        <v>77</v>
      </c>
      <c r="C2744" s="28" t="s">
        <v>77</v>
      </c>
      <c r="D2744" s="28" t="s">
        <v>77</v>
      </c>
      <c r="E2744" s="28" t="s">
        <v>77</v>
      </c>
      <c r="F2744" s="28" t="s">
        <v>77</v>
      </c>
      <c r="G2744" s="28" t="s">
        <v>77</v>
      </c>
      <c r="I2744" s="26" t="s">
        <v>77</v>
      </c>
      <c r="J2744" s="26" t="s">
        <v>77</v>
      </c>
      <c r="K2744" s="18"/>
      <c r="L2744" s="26" t="s">
        <v>77</v>
      </c>
      <c r="M2744" s="6" t="s">
        <v>77</v>
      </c>
      <c r="N2744" s="28" t="s">
        <v>77</v>
      </c>
      <c r="O2744" s="26" t="s">
        <v>77</v>
      </c>
    </row>
    <row r="2745">
      <c r="A2745" s="52" t="s">
        <v>77</v>
      </c>
      <c r="B2745" s="28" t="s">
        <v>77</v>
      </c>
      <c r="C2745" s="28" t="s">
        <v>77</v>
      </c>
      <c r="D2745" s="28" t="s">
        <v>77</v>
      </c>
      <c r="E2745" s="28" t="s">
        <v>77</v>
      </c>
      <c r="F2745" s="28" t="s">
        <v>77</v>
      </c>
      <c r="G2745" s="28" t="s">
        <v>77</v>
      </c>
      <c r="I2745" s="26" t="s">
        <v>77</v>
      </c>
      <c r="J2745" s="26" t="s">
        <v>77</v>
      </c>
      <c r="K2745" s="18"/>
      <c r="L2745" s="26" t="s">
        <v>77</v>
      </c>
      <c r="M2745" s="6" t="s">
        <v>77</v>
      </c>
      <c r="N2745" s="28" t="s">
        <v>77</v>
      </c>
      <c r="O2745" s="26" t="s">
        <v>77</v>
      </c>
    </row>
    <row r="2746">
      <c r="A2746" s="52" t="s">
        <v>77</v>
      </c>
      <c r="B2746" s="28" t="s">
        <v>77</v>
      </c>
      <c r="C2746" s="28" t="s">
        <v>77</v>
      </c>
      <c r="D2746" s="28" t="s">
        <v>77</v>
      </c>
      <c r="E2746" s="28" t="s">
        <v>77</v>
      </c>
      <c r="F2746" s="28" t="s">
        <v>77</v>
      </c>
      <c r="G2746" s="28" t="s">
        <v>77</v>
      </c>
      <c r="I2746" s="26" t="s">
        <v>77</v>
      </c>
      <c r="J2746" s="26" t="s">
        <v>77</v>
      </c>
      <c r="K2746" s="18"/>
      <c r="L2746" s="26" t="s">
        <v>77</v>
      </c>
      <c r="M2746" s="6" t="s">
        <v>77</v>
      </c>
      <c r="N2746" s="28" t="s">
        <v>77</v>
      </c>
      <c r="O2746" s="26" t="s">
        <v>77</v>
      </c>
    </row>
    <row r="2747">
      <c r="A2747" s="52" t="s">
        <v>77</v>
      </c>
      <c r="B2747" s="28" t="s">
        <v>77</v>
      </c>
      <c r="C2747" s="28" t="s">
        <v>77</v>
      </c>
      <c r="D2747" s="28" t="s">
        <v>77</v>
      </c>
      <c r="E2747" s="28" t="s">
        <v>77</v>
      </c>
      <c r="F2747" s="28" t="s">
        <v>77</v>
      </c>
      <c r="G2747" s="28" t="s">
        <v>77</v>
      </c>
      <c r="I2747" s="26" t="s">
        <v>77</v>
      </c>
      <c r="J2747" s="26" t="s">
        <v>77</v>
      </c>
      <c r="K2747" s="18"/>
      <c r="L2747" s="26" t="s">
        <v>77</v>
      </c>
      <c r="M2747" s="6" t="s">
        <v>77</v>
      </c>
      <c r="N2747" s="28" t="s">
        <v>77</v>
      </c>
      <c r="O2747" s="26" t="s">
        <v>77</v>
      </c>
    </row>
    <row r="2748">
      <c r="A2748" s="52" t="s">
        <v>77</v>
      </c>
      <c r="B2748" s="28" t="s">
        <v>77</v>
      </c>
      <c r="C2748" s="28" t="s">
        <v>77</v>
      </c>
      <c r="D2748" s="28" t="s">
        <v>77</v>
      </c>
      <c r="E2748" s="28" t="s">
        <v>77</v>
      </c>
      <c r="F2748" s="28" t="s">
        <v>77</v>
      </c>
      <c r="G2748" s="28" t="s">
        <v>77</v>
      </c>
      <c r="I2748" s="26" t="s">
        <v>77</v>
      </c>
      <c r="J2748" s="26" t="s">
        <v>77</v>
      </c>
      <c r="K2748" s="18"/>
      <c r="L2748" s="26" t="s">
        <v>77</v>
      </c>
      <c r="M2748" s="6" t="s">
        <v>77</v>
      </c>
      <c r="N2748" s="28" t="s">
        <v>77</v>
      </c>
      <c r="O2748" s="26" t="s">
        <v>77</v>
      </c>
    </row>
    <row r="2749">
      <c r="A2749" s="52" t="s">
        <v>77</v>
      </c>
      <c r="B2749" s="28" t="s">
        <v>77</v>
      </c>
      <c r="C2749" s="28" t="s">
        <v>77</v>
      </c>
      <c r="D2749" s="28" t="s">
        <v>77</v>
      </c>
      <c r="E2749" s="28" t="s">
        <v>77</v>
      </c>
      <c r="F2749" s="28" t="s">
        <v>77</v>
      </c>
      <c r="G2749" s="28" t="s">
        <v>77</v>
      </c>
      <c r="I2749" s="26" t="s">
        <v>77</v>
      </c>
      <c r="J2749" s="26" t="s">
        <v>77</v>
      </c>
      <c r="K2749" s="18"/>
      <c r="L2749" s="26" t="s">
        <v>77</v>
      </c>
      <c r="M2749" s="6" t="s">
        <v>77</v>
      </c>
      <c r="N2749" s="28" t="s">
        <v>77</v>
      </c>
      <c r="O2749" s="26" t="s">
        <v>77</v>
      </c>
    </row>
    <row r="2750">
      <c r="A2750" s="52" t="s">
        <v>77</v>
      </c>
      <c r="B2750" s="28" t="s">
        <v>77</v>
      </c>
      <c r="C2750" s="28" t="s">
        <v>77</v>
      </c>
      <c r="D2750" s="28" t="s">
        <v>77</v>
      </c>
      <c r="E2750" s="28" t="s">
        <v>77</v>
      </c>
      <c r="F2750" s="28" t="s">
        <v>77</v>
      </c>
      <c r="G2750" s="28" t="s">
        <v>77</v>
      </c>
      <c r="I2750" s="26" t="s">
        <v>77</v>
      </c>
      <c r="J2750" s="26" t="s">
        <v>77</v>
      </c>
      <c r="K2750" s="18"/>
      <c r="L2750" s="26" t="s">
        <v>77</v>
      </c>
      <c r="M2750" s="6" t="s">
        <v>77</v>
      </c>
      <c r="N2750" s="28" t="s">
        <v>77</v>
      </c>
      <c r="O2750" s="26" t="s">
        <v>77</v>
      </c>
    </row>
    <row r="2751">
      <c r="A2751" s="52" t="s">
        <v>77</v>
      </c>
      <c r="B2751" s="28" t="s">
        <v>77</v>
      </c>
      <c r="C2751" s="28" t="s">
        <v>77</v>
      </c>
      <c r="D2751" s="28" t="s">
        <v>77</v>
      </c>
      <c r="E2751" s="28" t="s">
        <v>77</v>
      </c>
      <c r="F2751" s="28" t="s">
        <v>77</v>
      </c>
      <c r="G2751" s="28" t="s">
        <v>77</v>
      </c>
      <c r="I2751" s="26" t="s">
        <v>77</v>
      </c>
      <c r="J2751" s="26" t="s">
        <v>77</v>
      </c>
      <c r="K2751" s="18"/>
      <c r="L2751" s="26" t="s">
        <v>77</v>
      </c>
      <c r="M2751" s="6" t="s">
        <v>77</v>
      </c>
      <c r="N2751" s="28" t="s">
        <v>77</v>
      </c>
      <c r="O2751" s="26" t="s">
        <v>77</v>
      </c>
    </row>
    <row r="2752">
      <c r="A2752" s="52" t="s">
        <v>77</v>
      </c>
      <c r="B2752" s="28" t="s">
        <v>77</v>
      </c>
      <c r="C2752" s="28" t="s">
        <v>77</v>
      </c>
      <c r="D2752" s="28" t="s">
        <v>77</v>
      </c>
      <c r="E2752" s="28" t="s">
        <v>77</v>
      </c>
      <c r="F2752" s="28" t="s">
        <v>77</v>
      </c>
      <c r="G2752" s="28" t="s">
        <v>77</v>
      </c>
      <c r="I2752" s="26" t="s">
        <v>77</v>
      </c>
      <c r="J2752" s="26" t="s">
        <v>77</v>
      </c>
      <c r="K2752" s="18"/>
      <c r="L2752" s="26" t="s">
        <v>77</v>
      </c>
      <c r="M2752" s="6" t="s">
        <v>77</v>
      </c>
      <c r="N2752" s="28" t="s">
        <v>77</v>
      </c>
      <c r="O2752" s="26" t="s">
        <v>77</v>
      </c>
    </row>
    <row r="2753">
      <c r="A2753" s="52" t="s">
        <v>77</v>
      </c>
      <c r="B2753" s="28" t="s">
        <v>77</v>
      </c>
      <c r="C2753" s="28" t="s">
        <v>77</v>
      </c>
      <c r="D2753" s="28" t="s">
        <v>77</v>
      </c>
      <c r="E2753" s="28" t="s">
        <v>77</v>
      </c>
      <c r="F2753" s="28" t="s">
        <v>77</v>
      </c>
      <c r="G2753" s="28" t="s">
        <v>77</v>
      </c>
      <c r="I2753" s="26" t="s">
        <v>77</v>
      </c>
      <c r="J2753" s="26" t="s">
        <v>77</v>
      </c>
      <c r="K2753" s="18"/>
      <c r="L2753" s="26" t="s">
        <v>77</v>
      </c>
      <c r="M2753" s="6" t="s">
        <v>77</v>
      </c>
      <c r="N2753" s="28" t="s">
        <v>77</v>
      </c>
      <c r="O2753" s="26" t="s">
        <v>77</v>
      </c>
    </row>
    <row r="2754">
      <c r="A2754" s="52" t="s">
        <v>77</v>
      </c>
      <c r="B2754" s="28" t="s">
        <v>77</v>
      </c>
      <c r="C2754" s="28" t="s">
        <v>77</v>
      </c>
      <c r="D2754" s="28" t="s">
        <v>77</v>
      </c>
      <c r="E2754" s="28" t="s">
        <v>77</v>
      </c>
      <c r="F2754" s="28" t="s">
        <v>77</v>
      </c>
      <c r="G2754" s="28" t="s">
        <v>77</v>
      </c>
      <c r="I2754" s="26" t="s">
        <v>77</v>
      </c>
      <c r="J2754" s="26" t="s">
        <v>77</v>
      </c>
      <c r="K2754" s="18"/>
      <c r="L2754" s="26" t="s">
        <v>77</v>
      </c>
      <c r="M2754" s="6" t="s">
        <v>77</v>
      </c>
      <c r="N2754" s="28" t="s">
        <v>77</v>
      </c>
      <c r="O2754" s="26" t="s">
        <v>77</v>
      </c>
    </row>
    <row r="2755">
      <c r="A2755" s="52" t="s">
        <v>77</v>
      </c>
      <c r="B2755" s="28" t="s">
        <v>77</v>
      </c>
      <c r="C2755" s="28" t="s">
        <v>77</v>
      </c>
      <c r="D2755" s="28" t="s">
        <v>77</v>
      </c>
      <c r="E2755" s="28" t="s">
        <v>77</v>
      </c>
      <c r="F2755" s="28" t="s">
        <v>77</v>
      </c>
      <c r="G2755" s="28" t="s">
        <v>77</v>
      </c>
      <c r="I2755" s="26" t="s">
        <v>77</v>
      </c>
      <c r="J2755" s="26" t="s">
        <v>77</v>
      </c>
      <c r="K2755" s="18"/>
      <c r="L2755" s="26" t="s">
        <v>77</v>
      </c>
      <c r="M2755" s="6" t="s">
        <v>77</v>
      </c>
      <c r="N2755" s="28" t="s">
        <v>77</v>
      </c>
      <c r="O2755" s="26" t="s">
        <v>77</v>
      </c>
    </row>
    <row r="2756">
      <c r="A2756" s="52" t="s">
        <v>77</v>
      </c>
      <c r="B2756" s="28" t="s">
        <v>77</v>
      </c>
      <c r="C2756" s="28" t="s">
        <v>77</v>
      </c>
      <c r="D2756" s="28" t="s">
        <v>77</v>
      </c>
      <c r="E2756" s="28" t="s">
        <v>77</v>
      </c>
      <c r="F2756" s="28" t="s">
        <v>77</v>
      </c>
      <c r="G2756" s="28" t="s">
        <v>77</v>
      </c>
      <c r="I2756" s="26" t="s">
        <v>77</v>
      </c>
      <c r="J2756" s="26" t="s">
        <v>77</v>
      </c>
      <c r="K2756" s="18"/>
      <c r="L2756" s="26" t="s">
        <v>77</v>
      </c>
      <c r="M2756" s="6" t="s">
        <v>77</v>
      </c>
      <c r="N2756" s="28" t="s">
        <v>77</v>
      </c>
      <c r="O2756" s="26" t="s">
        <v>77</v>
      </c>
    </row>
    <row r="2757">
      <c r="A2757" s="52" t="s">
        <v>77</v>
      </c>
      <c r="B2757" s="28" t="s">
        <v>77</v>
      </c>
      <c r="C2757" s="28" t="s">
        <v>77</v>
      </c>
      <c r="D2757" s="28" t="s">
        <v>77</v>
      </c>
      <c r="E2757" s="28" t="s">
        <v>77</v>
      </c>
      <c r="F2757" s="28" t="s">
        <v>77</v>
      </c>
      <c r="G2757" s="28" t="s">
        <v>77</v>
      </c>
      <c r="I2757" s="26" t="s">
        <v>77</v>
      </c>
      <c r="J2757" s="26" t="s">
        <v>77</v>
      </c>
      <c r="K2757" s="18"/>
      <c r="L2757" s="26" t="s">
        <v>77</v>
      </c>
      <c r="M2757" s="6" t="s">
        <v>77</v>
      </c>
      <c r="N2757" s="28" t="s">
        <v>77</v>
      </c>
      <c r="O2757" s="26" t="s">
        <v>77</v>
      </c>
    </row>
    <row r="2758">
      <c r="A2758" s="52" t="s">
        <v>77</v>
      </c>
      <c r="B2758" s="28" t="s">
        <v>77</v>
      </c>
      <c r="C2758" s="28" t="s">
        <v>77</v>
      </c>
      <c r="D2758" s="28" t="s">
        <v>77</v>
      </c>
      <c r="E2758" s="28" t="s">
        <v>77</v>
      </c>
      <c r="F2758" s="28" t="s">
        <v>77</v>
      </c>
      <c r="G2758" s="28" t="s">
        <v>77</v>
      </c>
      <c r="I2758" s="26" t="s">
        <v>77</v>
      </c>
      <c r="J2758" s="26" t="s">
        <v>77</v>
      </c>
      <c r="K2758" s="18"/>
      <c r="L2758" s="26" t="s">
        <v>77</v>
      </c>
      <c r="M2758" s="6" t="s">
        <v>77</v>
      </c>
      <c r="N2758" s="28" t="s">
        <v>77</v>
      </c>
      <c r="O2758" s="26" t="s">
        <v>77</v>
      </c>
    </row>
    <row r="2759">
      <c r="A2759" s="52" t="s">
        <v>77</v>
      </c>
      <c r="B2759" s="28" t="s">
        <v>77</v>
      </c>
      <c r="C2759" s="28" t="s">
        <v>77</v>
      </c>
      <c r="D2759" s="28" t="s">
        <v>77</v>
      </c>
      <c r="E2759" s="28" t="s">
        <v>77</v>
      </c>
      <c r="F2759" s="28" t="s">
        <v>77</v>
      </c>
      <c r="G2759" s="28" t="s">
        <v>77</v>
      </c>
      <c r="I2759" s="26" t="s">
        <v>77</v>
      </c>
      <c r="J2759" s="26" t="s">
        <v>77</v>
      </c>
      <c r="K2759" s="18"/>
      <c r="L2759" s="26" t="s">
        <v>77</v>
      </c>
      <c r="M2759" s="6" t="s">
        <v>77</v>
      </c>
      <c r="N2759" s="28" t="s">
        <v>77</v>
      </c>
      <c r="O2759" s="26" t="s">
        <v>77</v>
      </c>
    </row>
    <row r="2760">
      <c r="A2760" s="52" t="s">
        <v>77</v>
      </c>
      <c r="B2760" s="28" t="s">
        <v>77</v>
      </c>
      <c r="C2760" s="28" t="s">
        <v>77</v>
      </c>
      <c r="D2760" s="28" t="s">
        <v>77</v>
      </c>
      <c r="E2760" s="28" t="s">
        <v>77</v>
      </c>
      <c r="F2760" s="28" t="s">
        <v>77</v>
      </c>
      <c r="G2760" s="28" t="s">
        <v>77</v>
      </c>
      <c r="I2760" s="26" t="s">
        <v>77</v>
      </c>
      <c r="J2760" s="26" t="s">
        <v>77</v>
      </c>
      <c r="K2760" s="18"/>
      <c r="L2760" s="26" t="s">
        <v>77</v>
      </c>
      <c r="M2760" s="6" t="s">
        <v>77</v>
      </c>
      <c r="N2760" s="28" t="s">
        <v>77</v>
      </c>
      <c r="O2760" s="26" t="s">
        <v>77</v>
      </c>
    </row>
    <row r="2761">
      <c r="A2761" s="52" t="s">
        <v>77</v>
      </c>
      <c r="B2761" s="28" t="s">
        <v>77</v>
      </c>
      <c r="C2761" s="28" t="s">
        <v>77</v>
      </c>
      <c r="D2761" s="28" t="s">
        <v>77</v>
      </c>
      <c r="E2761" s="28" t="s">
        <v>77</v>
      </c>
      <c r="F2761" s="28" t="s">
        <v>77</v>
      </c>
      <c r="G2761" s="28" t="s">
        <v>77</v>
      </c>
      <c r="I2761" s="26" t="s">
        <v>77</v>
      </c>
      <c r="J2761" s="26" t="s">
        <v>77</v>
      </c>
      <c r="K2761" s="18"/>
      <c r="L2761" s="26" t="s">
        <v>77</v>
      </c>
      <c r="M2761" s="6" t="s">
        <v>77</v>
      </c>
      <c r="N2761" s="28" t="s">
        <v>77</v>
      </c>
      <c r="O2761" s="26" t="s">
        <v>77</v>
      </c>
    </row>
    <row r="2762">
      <c r="A2762" s="52" t="s">
        <v>77</v>
      </c>
      <c r="B2762" s="28" t="s">
        <v>77</v>
      </c>
      <c r="C2762" s="28" t="s">
        <v>77</v>
      </c>
      <c r="D2762" s="28" t="s">
        <v>77</v>
      </c>
      <c r="E2762" s="28" t="s">
        <v>77</v>
      </c>
      <c r="F2762" s="28" t="s">
        <v>77</v>
      </c>
      <c r="G2762" s="28" t="s">
        <v>77</v>
      </c>
      <c r="I2762" s="26" t="s">
        <v>77</v>
      </c>
      <c r="J2762" s="26" t="s">
        <v>77</v>
      </c>
      <c r="K2762" s="18"/>
      <c r="L2762" s="26" t="s">
        <v>77</v>
      </c>
      <c r="M2762" s="6" t="s">
        <v>77</v>
      </c>
      <c r="N2762" s="28" t="s">
        <v>77</v>
      </c>
      <c r="O2762" s="26" t="s">
        <v>77</v>
      </c>
    </row>
    <row r="2763">
      <c r="A2763" s="52" t="s">
        <v>77</v>
      </c>
      <c r="B2763" s="28" t="s">
        <v>77</v>
      </c>
      <c r="C2763" s="28" t="s">
        <v>77</v>
      </c>
      <c r="D2763" s="28" t="s">
        <v>77</v>
      </c>
      <c r="E2763" s="28" t="s">
        <v>77</v>
      </c>
      <c r="F2763" s="28" t="s">
        <v>77</v>
      </c>
      <c r="G2763" s="28" t="s">
        <v>77</v>
      </c>
      <c r="I2763" s="26" t="s">
        <v>77</v>
      </c>
      <c r="J2763" s="26" t="s">
        <v>77</v>
      </c>
      <c r="K2763" s="18"/>
      <c r="L2763" s="26" t="s">
        <v>77</v>
      </c>
      <c r="M2763" s="6" t="s">
        <v>77</v>
      </c>
      <c r="N2763" s="28" t="s">
        <v>77</v>
      </c>
      <c r="O2763" s="26" t="s">
        <v>77</v>
      </c>
    </row>
    <row r="2764">
      <c r="A2764" s="52" t="s">
        <v>77</v>
      </c>
      <c r="B2764" s="28" t="s">
        <v>77</v>
      </c>
      <c r="C2764" s="28" t="s">
        <v>77</v>
      </c>
      <c r="D2764" s="28" t="s">
        <v>77</v>
      </c>
      <c r="E2764" s="28" t="s">
        <v>77</v>
      </c>
      <c r="F2764" s="28" t="s">
        <v>77</v>
      </c>
      <c r="G2764" s="28" t="s">
        <v>77</v>
      </c>
      <c r="I2764" s="26" t="s">
        <v>77</v>
      </c>
      <c r="J2764" s="26" t="s">
        <v>77</v>
      </c>
      <c r="K2764" s="18"/>
      <c r="L2764" s="26" t="s">
        <v>77</v>
      </c>
      <c r="M2764" s="6" t="s">
        <v>77</v>
      </c>
      <c r="N2764" s="28" t="s">
        <v>77</v>
      </c>
      <c r="O2764" s="26" t="s">
        <v>77</v>
      </c>
    </row>
    <row r="2765">
      <c r="A2765" s="52" t="s">
        <v>77</v>
      </c>
      <c r="B2765" s="28" t="s">
        <v>77</v>
      </c>
      <c r="C2765" s="28" t="s">
        <v>77</v>
      </c>
      <c r="D2765" s="28" t="s">
        <v>77</v>
      </c>
      <c r="E2765" s="28" t="s">
        <v>77</v>
      </c>
      <c r="F2765" s="28" t="s">
        <v>77</v>
      </c>
      <c r="G2765" s="28" t="s">
        <v>77</v>
      </c>
      <c r="I2765" s="26" t="s">
        <v>77</v>
      </c>
      <c r="J2765" s="26" t="s">
        <v>77</v>
      </c>
      <c r="K2765" s="18"/>
      <c r="L2765" s="26" t="s">
        <v>77</v>
      </c>
      <c r="M2765" s="6" t="s">
        <v>77</v>
      </c>
      <c r="N2765" s="28" t="s">
        <v>77</v>
      </c>
      <c r="O2765" s="26" t="s">
        <v>77</v>
      </c>
    </row>
    <row r="2766">
      <c r="A2766" s="52" t="s">
        <v>77</v>
      </c>
      <c r="B2766" s="28" t="s">
        <v>77</v>
      </c>
      <c r="C2766" s="28" t="s">
        <v>77</v>
      </c>
      <c r="D2766" s="28" t="s">
        <v>77</v>
      </c>
      <c r="E2766" s="28" t="s">
        <v>77</v>
      </c>
      <c r="F2766" s="28" t="s">
        <v>77</v>
      </c>
      <c r="G2766" s="28" t="s">
        <v>77</v>
      </c>
      <c r="I2766" s="26" t="s">
        <v>77</v>
      </c>
      <c r="J2766" s="26" t="s">
        <v>77</v>
      </c>
      <c r="K2766" s="18"/>
      <c r="L2766" s="26" t="s">
        <v>77</v>
      </c>
      <c r="M2766" s="6" t="s">
        <v>77</v>
      </c>
      <c r="N2766" s="28" t="s">
        <v>77</v>
      </c>
      <c r="O2766" s="26" t="s">
        <v>77</v>
      </c>
    </row>
    <row r="2767">
      <c r="A2767" s="52" t="s">
        <v>77</v>
      </c>
      <c r="B2767" s="28" t="s">
        <v>77</v>
      </c>
      <c r="C2767" s="28" t="s">
        <v>77</v>
      </c>
      <c r="D2767" s="28" t="s">
        <v>77</v>
      </c>
      <c r="E2767" s="28" t="s">
        <v>77</v>
      </c>
      <c r="F2767" s="28" t="s">
        <v>77</v>
      </c>
      <c r="G2767" s="28" t="s">
        <v>77</v>
      </c>
      <c r="I2767" s="26" t="s">
        <v>77</v>
      </c>
      <c r="J2767" s="26" t="s">
        <v>77</v>
      </c>
      <c r="K2767" s="18"/>
      <c r="L2767" s="26" t="s">
        <v>77</v>
      </c>
      <c r="M2767" s="6" t="s">
        <v>77</v>
      </c>
      <c r="N2767" s="28" t="s">
        <v>77</v>
      </c>
      <c r="O2767" s="26" t="s">
        <v>77</v>
      </c>
    </row>
    <row r="2768">
      <c r="A2768" s="52" t="s">
        <v>77</v>
      </c>
      <c r="B2768" s="28" t="s">
        <v>77</v>
      </c>
      <c r="C2768" s="28" t="s">
        <v>77</v>
      </c>
      <c r="D2768" s="28" t="s">
        <v>77</v>
      </c>
      <c r="E2768" s="28" t="s">
        <v>77</v>
      </c>
      <c r="F2768" s="28" t="s">
        <v>77</v>
      </c>
      <c r="G2768" s="28" t="s">
        <v>77</v>
      </c>
      <c r="I2768" s="26" t="s">
        <v>77</v>
      </c>
      <c r="J2768" s="26" t="s">
        <v>77</v>
      </c>
      <c r="K2768" s="18"/>
      <c r="L2768" s="26" t="s">
        <v>77</v>
      </c>
      <c r="M2768" s="6" t="s">
        <v>77</v>
      </c>
      <c r="N2768" s="28" t="s">
        <v>77</v>
      </c>
      <c r="O2768" s="26" t="s">
        <v>77</v>
      </c>
    </row>
    <row r="2769">
      <c r="A2769" s="52" t="s">
        <v>77</v>
      </c>
      <c r="B2769" s="28" t="s">
        <v>77</v>
      </c>
      <c r="C2769" s="28" t="s">
        <v>77</v>
      </c>
      <c r="D2769" s="28" t="s">
        <v>77</v>
      </c>
      <c r="E2769" s="28" t="s">
        <v>77</v>
      </c>
      <c r="F2769" s="28" t="s">
        <v>77</v>
      </c>
      <c r="G2769" s="28" t="s">
        <v>77</v>
      </c>
      <c r="I2769" s="26" t="s">
        <v>77</v>
      </c>
      <c r="J2769" s="26" t="s">
        <v>77</v>
      </c>
      <c r="K2769" s="18"/>
      <c r="L2769" s="26" t="s">
        <v>77</v>
      </c>
      <c r="M2769" s="6" t="s">
        <v>77</v>
      </c>
      <c r="N2769" s="28" t="s">
        <v>77</v>
      </c>
      <c r="O2769" s="26" t="s">
        <v>77</v>
      </c>
    </row>
    <row r="2770">
      <c r="A2770" s="52" t="s">
        <v>77</v>
      </c>
      <c r="B2770" s="28" t="s">
        <v>77</v>
      </c>
      <c r="C2770" s="28" t="s">
        <v>77</v>
      </c>
      <c r="D2770" s="28" t="s">
        <v>77</v>
      </c>
      <c r="E2770" s="28" t="s">
        <v>77</v>
      </c>
      <c r="F2770" s="28" t="s">
        <v>77</v>
      </c>
      <c r="G2770" s="28" t="s">
        <v>77</v>
      </c>
      <c r="I2770" s="26" t="s">
        <v>77</v>
      </c>
      <c r="J2770" s="26" t="s">
        <v>77</v>
      </c>
      <c r="K2770" s="18"/>
      <c r="L2770" s="26" t="s">
        <v>77</v>
      </c>
      <c r="M2770" s="6" t="s">
        <v>77</v>
      </c>
      <c r="N2770" s="28" t="s">
        <v>77</v>
      </c>
      <c r="O2770" s="26" t="s">
        <v>77</v>
      </c>
    </row>
    <row r="2771">
      <c r="A2771" s="52" t="s">
        <v>77</v>
      </c>
      <c r="B2771" s="28" t="s">
        <v>77</v>
      </c>
      <c r="C2771" s="28" t="s">
        <v>77</v>
      </c>
      <c r="D2771" s="28" t="s">
        <v>77</v>
      </c>
      <c r="E2771" s="28" t="s">
        <v>77</v>
      </c>
      <c r="F2771" s="28" t="s">
        <v>77</v>
      </c>
      <c r="G2771" s="28" t="s">
        <v>77</v>
      </c>
      <c r="I2771" s="26" t="s">
        <v>77</v>
      </c>
      <c r="J2771" s="26" t="s">
        <v>77</v>
      </c>
      <c r="K2771" s="18"/>
      <c r="L2771" s="26" t="s">
        <v>77</v>
      </c>
      <c r="M2771" s="6" t="s">
        <v>77</v>
      </c>
      <c r="N2771" s="28" t="s">
        <v>77</v>
      </c>
      <c r="O2771" s="26" t="s">
        <v>77</v>
      </c>
    </row>
    <row r="2772">
      <c r="A2772" s="52" t="s">
        <v>77</v>
      </c>
      <c r="B2772" s="28" t="s">
        <v>77</v>
      </c>
      <c r="C2772" s="28" t="s">
        <v>77</v>
      </c>
      <c r="D2772" s="28" t="s">
        <v>77</v>
      </c>
      <c r="E2772" s="28" t="s">
        <v>77</v>
      </c>
      <c r="F2772" s="28" t="s">
        <v>77</v>
      </c>
      <c r="G2772" s="28" t="s">
        <v>77</v>
      </c>
      <c r="I2772" s="26" t="s">
        <v>77</v>
      </c>
      <c r="J2772" s="26" t="s">
        <v>77</v>
      </c>
      <c r="K2772" s="18"/>
      <c r="L2772" s="26" t="s">
        <v>77</v>
      </c>
      <c r="M2772" s="6" t="s">
        <v>77</v>
      </c>
      <c r="N2772" s="28" t="s">
        <v>77</v>
      </c>
      <c r="O2772" s="26" t="s">
        <v>77</v>
      </c>
    </row>
    <row r="2773">
      <c r="A2773" s="52" t="s">
        <v>77</v>
      </c>
      <c r="B2773" s="28" t="s">
        <v>77</v>
      </c>
      <c r="C2773" s="28" t="s">
        <v>77</v>
      </c>
      <c r="D2773" s="28" t="s">
        <v>77</v>
      </c>
      <c r="E2773" s="28" t="s">
        <v>77</v>
      </c>
      <c r="F2773" s="28" t="s">
        <v>77</v>
      </c>
      <c r="G2773" s="28" t="s">
        <v>77</v>
      </c>
      <c r="I2773" s="26" t="s">
        <v>77</v>
      </c>
      <c r="J2773" s="26" t="s">
        <v>77</v>
      </c>
      <c r="K2773" s="18"/>
      <c r="L2773" s="26" t="s">
        <v>77</v>
      </c>
      <c r="M2773" s="6" t="s">
        <v>77</v>
      </c>
      <c r="N2773" s="28" t="s">
        <v>77</v>
      </c>
      <c r="O2773" s="26" t="s">
        <v>77</v>
      </c>
    </row>
    <row r="2774">
      <c r="A2774" s="52" t="s">
        <v>77</v>
      </c>
      <c r="B2774" s="28" t="s">
        <v>77</v>
      </c>
      <c r="C2774" s="28" t="s">
        <v>77</v>
      </c>
      <c r="D2774" s="28" t="s">
        <v>77</v>
      </c>
      <c r="E2774" s="28" t="s">
        <v>77</v>
      </c>
      <c r="F2774" s="28" t="s">
        <v>77</v>
      </c>
      <c r="G2774" s="28" t="s">
        <v>77</v>
      </c>
      <c r="I2774" s="26" t="s">
        <v>77</v>
      </c>
      <c r="J2774" s="26" t="s">
        <v>77</v>
      </c>
      <c r="K2774" s="18"/>
      <c r="L2774" s="26" t="s">
        <v>77</v>
      </c>
      <c r="M2774" s="6" t="s">
        <v>77</v>
      </c>
      <c r="N2774" s="28" t="s">
        <v>77</v>
      </c>
      <c r="O2774" s="26" t="s">
        <v>77</v>
      </c>
    </row>
    <row r="2775">
      <c r="A2775" s="52" t="s">
        <v>77</v>
      </c>
      <c r="B2775" s="28" t="s">
        <v>77</v>
      </c>
      <c r="C2775" s="28" t="s">
        <v>77</v>
      </c>
      <c r="D2775" s="28" t="s">
        <v>77</v>
      </c>
      <c r="E2775" s="28" t="s">
        <v>77</v>
      </c>
      <c r="F2775" s="28" t="s">
        <v>77</v>
      </c>
      <c r="G2775" s="28" t="s">
        <v>77</v>
      </c>
      <c r="I2775" s="26" t="s">
        <v>77</v>
      </c>
      <c r="J2775" s="26" t="s">
        <v>77</v>
      </c>
      <c r="K2775" s="18"/>
      <c r="L2775" s="26" t="s">
        <v>77</v>
      </c>
      <c r="M2775" s="6" t="s">
        <v>77</v>
      </c>
      <c r="N2775" s="28" t="s">
        <v>77</v>
      </c>
      <c r="O2775" s="26" t="s">
        <v>77</v>
      </c>
    </row>
    <row r="2776">
      <c r="A2776" s="52" t="s">
        <v>77</v>
      </c>
      <c r="B2776" s="28" t="s">
        <v>77</v>
      </c>
      <c r="C2776" s="28" t="s">
        <v>77</v>
      </c>
      <c r="D2776" s="28" t="s">
        <v>77</v>
      </c>
      <c r="E2776" s="28" t="s">
        <v>77</v>
      </c>
      <c r="F2776" s="28" t="s">
        <v>77</v>
      </c>
      <c r="G2776" s="28" t="s">
        <v>77</v>
      </c>
      <c r="I2776" s="26" t="s">
        <v>77</v>
      </c>
      <c r="J2776" s="26" t="s">
        <v>77</v>
      </c>
      <c r="K2776" s="18"/>
      <c r="L2776" s="26" t="s">
        <v>77</v>
      </c>
      <c r="M2776" s="6" t="s">
        <v>77</v>
      </c>
      <c r="N2776" s="28" t="s">
        <v>77</v>
      </c>
      <c r="O2776" s="26" t="s">
        <v>77</v>
      </c>
    </row>
    <row r="2777">
      <c r="A2777" s="52" t="s">
        <v>77</v>
      </c>
      <c r="B2777" s="28" t="s">
        <v>77</v>
      </c>
      <c r="C2777" s="28" t="s">
        <v>77</v>
      </c>
      <c r="D2777" s="28" t="s">
        <v>77</v>
      </c>
      <c r="E2777" s="28" t="s">
        <v>77</v>
      </c>
      <c r="F2777" s="28" t="s">
        <v>77</v>
      </c>
      <c r="G2777" s="28" t="s">
        <v>77</v>
      </c>
      <c r="I2777" s="26" t="s">
        <v>77</v>
      </c>
      <c r="J2777" s="26" t="s">
        <v>77</v>
      </c>
      <c r="K2777" s="18"/>
      <c r="L2777" s="26" t="s">
        <v>77</v>
      </c>
      <c r="M2777" s="6" t="s">
        <v>77</v>
      </c>
      <c r="N2777" s="28" t="s">
        <v>77</v>
      </c>
      <c r="O2777" s="26" t="s">
        <v>77</v>
      </c>
    </row>
    <row r="2778">
      <c r="A2778" s="52" t="s">
        <v>77</v>
      </c>
      <c r="B2778" s="28" t="s">
        <v>77</v>
      </c>
      <c r="C2778" s="28" t="s">
        <v>77</v>
      </c>
      <c r="D2778" s="28" t="s">
        <v>77</v>
      </c>
      <c r="E2778" s="28" t="s">
        <v>77</v>
      </c>
      <c r="F2778" s="28" t="s">
        <v>77</v>
      </c>
      <c r="G2778" s="28" t="s">
        <v>77</v>
      </c>
      <c r="I2778" s="26" t="s">
        <v>77</v>
      </c>
      <c r="J2778" s="26" t="s">
        <v>77</v>
      </c>
      <c r="K2778" s="18"/>
      <c r="L2778" s="26" t="s">
        <v>77</v>
      </c>
      <c r="M2778" s="6" t="s">
        <v>77</v>
      </c>
      <c r="N2778" s="28" t="s">
        <v>77</v>
      </c>
      <c r="O2778" s="26" t="s">
        <v>77</v>
      </c>
    </row>
    <row r="2779">
      <c r="A2779" s="52" t="s">
        <v>77</v>
      </c>
      <c r="B2779" s="28" t="s">
        <v>77</v>
      </c>
      <c r="C2779" s="28" t="s">
        <v>77</v>
      </c>
      <c r="D2779" s="28" t="s">
        <v>77</v>
      </c>
      <c r="E2779" s="28" t="s">
        <v>77</v>
      </c>
      <c r="F2779" s="28" t="s">
        <v>77</v>
      </c>
      <c r="G2779" s="28" t="s">
        <v>77</v>
      </c>
      <c r="I2779" s="26" t="s">
        <v>77</v>
      </c>
      <c r="J2779" s="26" t="s">
        <v>77</v>
      </c>
      <c r="K2779" s="18"/>
      <c r="L2779" s="26" t="s">
        <v>77</v>
      </c>
      <c r="M2779" s="6" t="s">
        <v>77</v>
      </c>
      <c r="N2779" s="28" t="s">
        <v>77</v>
      </c>
      <c r="O2779" s="26" t="s">
        <v>77</v>
      </c>
    </row>
    <row r="2780">
      <c r="A2780" s="52" t="s">
        <v>77</v>
      </c>
      <c r="B2780" s="28" t="s">
        <v>77</v>
      </c>
      <c r="C2780" s="28" t="s">
        <v>77</v>
      </c>
      <c r="D2780" s="28" t="s">
        <v>77</v>
      </c>
      <c r="E2780" s="28" t="s">
        <v>77</v>
      </c>
      <c r="F2780" s="28" t="s">
        <v>77</v>
      </c>
      <c r="G2780" s="28" t="s">
        <v>77</v>
      </c>
      <c r="I2780" s="26" t="s">
        <v>77</v>
      </c>
      <c r="J2780" s="26" t="s">
        <v>77</v>
      </c>
      <c r="K2780" s="18"/>
      <c r="L2780" s="26" t="s">
        <v>77</v>
      </c>
      <c r="M2780" s="6" t="s">
        <v>77</v>
      </c>
      <c r="N2780" s="28" t="s">
        <v>77</v>
      </c>
      <c r="O2780" s="26" t="s">
        <v>77</v>
      </c>
    </row>
    <row r="2781">
      <c r="A2781" s="52" t="s">
        <v>77</v>
      </c>
      <c r="B2781" s="28" t="s">
        <v>77</v>
      </c>
      <c r="C2781" s="28" t="s">
        <v>77</v>
      </c>
      <c r="D2781" s="28" t="s">
        <v>77</v>
      </c>
      <c r="E2781" s="28" t="s">
        <v>77</v>
      </c>
      <c r="F2781" s="28" t="s">
        <v>77</v>
      </c>
      <c r="G2781" s="28" t="s">
        <v>77</v>
      </c>
      <c r="I2781" s="26" t="s">
        <v>77</v>
      </c>
      <c r="J2781" s="26" t="s">
        <v>77</v>
      </c>
      <c r="K2781" s="18"/>
      <c r="L2781" s="26" t="s">
        <v>77</v>
      </c>
      <c r="M2781" s="6" t="s">
        <v>77</v>
      </c>
      <c r="N2781" s="28" t="s">
        <v>77</v>
      </c>
      <c r="O2781" s="26" t="s">
        <v>77</v>
      </c>
    </row>
    <row r="2782">
      <c r="A2782" s="52" t="s">
        <v>77</v>
      </c>
      <c r="B2782" s="28" t="s">
        <v>77</v>
      </c>
      <c r="C2782" s="28" t="s">
        <v>77</v>
      </c>
      <c r="D2782" s="28" t="s">
        <v>77</v>
      </c>
      <c r="E2782" s="28" t="s">
        <v>77</v>
      </c>
      <c r="F2782" s="28" t="s">
        <v>77</v>
      </c>
      <c r="G2782" s="28" t="s">
        <v>77</v>
      </c>
      <c r="I2782" s="26" t="s">
        <v>77</v>
      </c>
      <c r="J2782" s="26" t="s">
        <v>77</v>
      </c>
      <c r="K2782" s="18"/>
      <c r="L2782" s="26" t="s">
        <v>77</v>
      </c>
      <c r="M2782" s="6" t="s">
        <v>77</v>
      </c>
      <c r="N2782" s="28" t="s">
        <v>77</v>
      </c>
      <c r="O2782" s="26" t="s">
        <v>77</v>
      </c>
    </row>
    <row r="2783">
      <c r="A2783" s="52" t="s">
        <v>77</v>
      </c>
      <c r="B2783" s="28" t="s">
        <v>77</v>
      </c>
      <c r="C2783" s="28" t="s">
        <v>77</v>
      </c>
      <c r="D2783" s="28" t="s">
        <v>77</v>
      </c>
      <c r="E2783" s="28" t="s">
        <v>77</v>
      </c>
      <c r="F2783" s="28" t="s">
        <v>77</v>
      </c>
      <c r="G2783" s="28" t="s">
        <v>77</v>
      </c>
      <c r="I2783" s="26" t="s">
        <v>77</v>
      </c>
      <c r="J2783" s="26" t="s">
        <v>77</v>
      </c>
      <c r="K2783" s="18"/>
      <c r="L2783" s="26" t="s">
        <v>77</v>
      </c>
      <c r="M2783" s="6" t="s">
        <v>77</v>
      </c>
      <c r="N2783" s="28" t="s">
        <v>77</v>
      </c>
      <c r="O2783" s="26" t="s">
        <v>77</v>
      </c>
    </row>
    <row r="2784">
      <c r="A2784" s="52" t="s">
        <v>77</v>
      </c>
      <c r="B2784" s="28" t="s">
        <v>77</v>
      </c>
      <c r="C2784" s="28" t="s">
        <v>77</v>
      </c>
      <c r="D2784" s="28" t="s">
        <v>77</v>
      </c>
      <c r="E2784" s="28" t="s">
        <v>77</v>
      </c>
      <c r="F2784" s="28" t="s">
        <v>77</v>
      </c>
      <c r="G2784" s="28" t="s">
        <v>77</v>
      </c>
      <c r="I2784" s="26" t="s">
        <v>77</v>
      </c>
      <c r="J2784" s="26" t="s">
        <v>77</v>
      </c>
      <c r="K2784" s="18"/>
      <c r="L2784" s="26" t="s">
        <v>77</v>
      </c>
      <c r="M2784" s="6" t="s">
        <v>77</v>
      </c>
      <c r="N2784" s="28" t="s">
        <v>77</v>
      </c>
      <c r="O2784" s="26" t="s">
        <v>77</v>
      </c>
    </row>
    <row r="2785">
      <c r="A2785" s="52" t="s">
        <v>77</v>
      </c>
      <c r="B2785" s="28" t="s">
        <v>77</v>
      </c>
      <c r="C2785" s="28" t="s">
        <v>77</v>
      </c>
      <c r="D2785" s="28" t="s">
        <v>77</v>
      </c>
      <c r="E2785" s="28" t="s">
        <v>77</v>
      </c>
      <c r="F2785" s="28" t="s">
        <v>77</v>
      </c>
      <c r="G2785" s="28" t="s">
        <v>77</v>
      </c>
      <c r="I2785" s="26" t="s">
        <v>77</v>
      </c>
      <c r="J2785" s="26" t="s">
        <v>77</v>
      </c>
      <c r="K2785" s="18"/>
      <c r="L2785" s="26" t="s">
        <v>77</v>
      </c>
      <c r="M2785" s="6" t="s">
        <v>77</v>
      </c>
      <c r="N2785" s="28" t="s">
        <v>77</v>
      </c>
      <c r="O2785" s="26" t="s">
        <v>77</v>
      </c>
    </row>
    <row r="2786">
      <c r="A2786" s="52" t="s">
        <v>77</v>
      </c>
      <c r="B2786" s="28" t="s">
        <v>77</v>
      </c>
      <c r="C2786" s="28" t="s">
        <v>77</v>
      </c>
      <c r="D2786" s="28" t="s">
        <v>77</v>
      </c>
      <c r="E2786" s="28" t="s">
        <v>77</v>
      </c>
      <c r="F2786" s="28" t="s">
        <v>77</v>
      </c>
      <c r="G2786" s="28" t="s">
        <v>77</v>
      </c>
      <c r="I2786" s="26" t="s">
        <v>77</v>
      </c>
      <c r="J2786" s="26" t="s">
        <v>77</v>
      </c>
      <c r="K2786" s="18"/>
      <c r="L2786" s="26" t="s">
        <v>77</v>
      </c>
      <c r="M2786" s="6" t="s">
        <v>77</v>
      </c>
      <c r="N2786" s="28" t="s">
        <v>77</v>
      </c>
      <c r="O2786" s="26" t="s">
        <v>77</v>
      </c>
    </row>
    <row r="2787">
      <c r="A2787" s="52" t="s">
        <v>77</v>
      </c>
      <c r="B2787" s="28" t="s">
        <v>77</v>
      </c>
      <c r="C2787" s="28" t="s">
        <v>77</v>
      </c>
      <c r="D2787" s="28" t="s">
        <v>77</v>
      </c>
      <c r="E2787" s="28" t="s">
        <v>77</v>
      </c>
      <c r="F2787" s="28" t="s">
        <v>77</v>
      </c>
      <c r="G2787" s="28" t="s">
        <v>77</v>
      </c>
      <c r="I2787" s="26" t="s">
        <v>77</v>
      </c>
      <c r="J2787" s="26" t="s">
        <v>77</v>
      </c>
      <c r="K2787" s="18"/>
      <c r="L2787" s="26" t="s">
        <v>77</v>
      </c>
      <c r="M2787" s="6" t="s">
        <v>77</v>
      </c>
      <c r="N2787" s="28" t="s">
        <v>77</v>
      </c>
      <c r="O2787" s="26" t="s">
        <v>77</v>
      </c>
    </row>
    <row r="2788">
      <c r="A2788" s="52" t="s">
        <v>77</v>
      </c>
      <c r="B2788" s="28" t="s">
        <v>77</v>
      </c>
      <c r="C2788" s="28" t="s">
        <v>77</v>
      </c>
      <c r="D2788" s="28" t="s">
        <v>77</v>
      </c>
      <c r="E2788" s="28" t="s">
        <v>77</v>
      </c>
      <c r="F2788" s="28" t="s">
        <v>77</v>
      </c>
      <c r="G2788" s="28" t="s">
        <v>77</v>
      </c>
      <c r="I2788" s="26" t="s">
        <v>77</v>
      </c>
      <c r="J2788" s="26" t="s">
        <v>77</v>
      </c>
      <c r="K2788" s="18"/>
      <c r="L2788" s="26" t="s">
        <v>77</v>
      </c>
      <c r="M2788" s="6" t="s">
        <v>77</v>
      </c>
      <c r="N2788" s="28" t="s">
        <v>77</v>
      </c>
      <c r="O2788" s="26" t="s">
        <v>77</v>
      </c>
    </row>
    <row r="2789">
      <c r="A2789" s="52" t="s">
        <v>77</v>
      </c>
      <c r="B2789" s="28" t="s">
        <v>77</v>
      </c>
      <c r="C2789" s="28" t="s">
        <v>77</v>
      </c>
      <c r="D2789" s="28" t="s">
        <v>77</v>
      </c>
      <c r="E2789" s="28" t="s">
        <v>77</v>
      </c>
      <c r="F2789" s="28" t="s">
        <v>77</v>
      </c>
      <c r="G2789" s="28" t="s">
        <v>77</v>
      </c>
      <c r="I2789" s="26" t="s">
        <v>77</v>
      </c>
      <c r="J2789" s="26" t="s">
        <v>77</v>
      </c>
      <c r="K2789" s="18"/>
      <c r="L2789" s="26" t="s">
        <v>77</v>
      </c>
      <c r="M2789" s="6" t="s">
        <v>77</v>
      </c>
      <c r="N2789" s="28" t="s">
        <v>77</v>
      </c>
      <c r="O2789" s="26" t="s">
        <v>77</v>
      </c>
    </row>
    <row r="2790">
      <c r="A2790" s="52" t="s">
        <v>77</v>
      </c>
      <c r="B2790" s="28" t="s">
        <v>77</v>
      </c>
      <c r="C2790" s="28" t="s">
        <v>77</v>
      </c>
      <c r="D2790" s="28" t="s">
        <v>77</v>
      </c>
      <c r="E2790" s="28" t="s">
        <v>77</v>
      </c>
      <c r="F2790" s="28" t="s">
        <v>77</v>
      </c>
      <c r="G2790" s="28" t="s">
        <v>77</v>
      </c>
      <c r="I2790" s="26" t="s">
        <v>77</v>
      </c>
      <c r="J2790" s="26" t="s">
        <v>77</v>
      </c>
      <c r="K2790" s="18"/>
      <c r="L2790" s="26" t="s">
        <v>77</v>
      </c>
      <c r="M2790" s="6" t="s">
        <v>77</v>
      </c>
      <c r="N2790" s="28" t="s">
        <v>77</v>
      </c>
      <c r="O2790" s="26" t="s">
        <v>77</v>
      </c>
    </row>
    <row r="2791">
      <c r="A2791" s="52" t="s">
        <v>77</v>
      </c>
      <c r="B2791" s="28" t="s">
        <v>77</v>
      </c>
      <c r="C2791" s="28" t="s">
        <v>77</v>
      </c>
      <c r="D2791" s="28" t="s">
        <v>77</v>
      </c>
      <c r="E2791" s="28" t="s">
        <v>77</v>
      </c>
      <c r="F2791" s="28" t="s">
        <v>77</v>
      </c>
      <c r="G2791" s="28" t="s">
        <v>77</v>
      </c>
      <c r="I2791" s="26" t="s">
        <v>77</v>
      </c>
      <c r="J2791" s="26" t="s">
        <v>77</v>
      </c>
      <c r="K2791" s="18"/>
      <c r="L2791" s="26" t="s">
        <v>77</v>
      </c>
      <c r="M2791" s="6" t="s">
        <v>77</v>
      </c>
      <c r="N2791" s="28" t="s">
        <v>77</v>
      </c>
      <c r="O2791" s="26" t="s">
        <v>77</v>
      </c>
    </row>
    <row r="2792">
      <c r="A2792" s="52" t="s">
        <v>77</v>
      </c>
      <c r="B2792" s="28" t="s">
        <v>77</v>
      </c>
      <c r="C2792" s="28" t="s">
        <v>77</v>
      </c>
      <c r="D2792" s="28" t="s">
        <v>77</v>
      </c>
      <c r="E2792" s="28" t="s">
        <v>77</v>
      </c>
      <c r="F2792" s="28" t="s">
        <v>77</v>
      </c>
      <c r="G2792" s="28" t="s">
        <v>77</v>
      </c>
      <c r="I2792" s="26" t="s">
        <v>77</v>
      </c>
      <c r="J2792" s="26" t="s">
        <v>77</v>
      </c>
      <c r="K2792" s="18"/>
      <c r="L2792" s="26" t="s">
        <v>77</v>
      </c>
      <c r="M2792" s="6" t="s">
        <v>77</v>
      </c>
      <c r="N2792" s="28" t="s">
        <v>77</v>
      </c>
      <c r="O2792" s="26" t="s">
        <v>77</v>
      </c>
    </row>
    <row r="2793">
      <c r="A2793" s="52" t="s">
        <v>77</v>
      </c>
      <c r="B2793" s="28" t="s">
        <v>77</v>
      </c>
      <c r="C2793" s="28" t="s">
        <v>77</v>
      </c>
      <c r="D2793" s="28" t="s">
        <v>77</v>
      </c>
      <c r="E2793" s="28" t="s">
        <v>77</v>
      </c>
      <c r="F2793" s="28" t="s">
        <v>77</v>
      </c>
      <c r="G2793" s="28" t="s">
        <v>77</v>
      </c>
      <c r="I2793" s="26" t="s">
        <v>77</v>
      </c>
      <c r="J2793" s="26" t="s">
        <v>77</v>
      </c>
      <c r="K2793" s="18"/>
      <c r="L2793" s="26" t="s">
        <v>77</v>
      </c>
      <c r="M2793" s="6" t="s">
        <v>77</v>
      </c>
      <c r="N2793" s="28" t="s">
        <v>77</v>
      </c>
      <c r="O2793" s="26" t="s">
        <v>77</v>
      </c>
    </row>
    <row r="2794">
      <c r="A2794" s="52" t="s">
        <v>77</v>
      </c>
      <c r="B2794" s="28" t="s">
        <v>77</v>
      </c>
      <c r="C2794" s="28" t="s">
        <v>77</v>
      </c>
      <c r="D2794" s="28" t="s">
        <v>77</v>
      </c>
      <c r="E2794" s="28" t="s">
        <v>77</v>
      </c>
      <c r="F2794" s="28" t="s">
        <v>77</v>
      </c>
      <c r="G2794" s="28" t="s">
        <v>77</v>
      </c>
      <c r="I2794" s="26" t="s">
        <v>77</v>
      </c>
      <c r="J2794" s="26" t="s">
        <v>77</v>
      </c>
      <c r="K2794" s="18"/>
      <c r="L2794" s="26" t="s">
        <v>77</v>
      </c>
      <c r="M2794" s="6" t="s">
        <v>77</v>
      </c>
      <c r="N2794" s="28" t="s">
        <v>77</v>
      </c>
      <c r="O2794" s="26" t="s">
        <v>77</v>
      </c>
    </row>
    <row r="2795">
      <c r="A2795" s="52" t="s">
        <v>77</v>
      </c>
      <c r="B2795" s="28" t="s">
        <v>77</v>
      </c>
      <c r="C2795" s="28" t="s">
        <v>77</v>
      </c>
      <c r="D2795" s="28" t="s">
        <v>77</v>
      </c>
      <c r="E2795" s="28" t="s">
        <v>77</v>
      </c>
      <c r="F2795" s="28" t="s">
        <v>77</v>
      </c>
      <c r="G2795" s="28" t="s">
        <v>77</v>
      </c>
      <c r="I2795" s="26" t="s">
        <v>77</v>
      </c>
      <c r="J2795" s="26" t="s">
        <v>77</v>
      </c>
      <c r="K2795" s="18"/>
      <c r="L2795" s="26" t="s">
        <v>77</v>
      </c>
      <c r="M2795" s="6" t="s">
        <v>77</v>
      </c>
      <c r="N2795" s="28" t="s">
        <v>77</v>
      </c>
      <c r="O2795" s="26" t="s">
        <v>77</v>
      </c>
    </row>
    <row r="2796">
      <c r="A2796" s="52" t="s">
        <v>77</v>
      </c>
      <c r="B2796" s="28" t="s">
        <v>77</v>
      </c>
      <c r="C2796" s="28" t="s">
        <v>77</v>
      </c>
      <c r="D2796" s="28" t="s">
        <v>77</v>
      </c>
      <c r="E2796" s="28" t="s">
        <v>77</v>
      </c>
      <c r="F2796" s="28" t="s">
        <v>77</v>
      </c>
      <c r="G2796" s="28" t="s">
        <v>77</v>
      </c>
      <c r="I2796" s="26" t="s">
        <v>77</v>
      </c>
      <c r="J2796" s="26" t="s">
        <v>77</v>
      </c>
      <c r="K2796" s="18"/>
      <c r="L2796" s="26" t="s">
        <v>77</v>
      </c>
      <c r="M2796" s="6" t="s">
        <v>77</v>
      </c>
      <c r="N2796" s="28" t="s">
        <v>77</v>
      </c>
      <c r="O2796" s="26" t="s">
        <v>77</v>
      </c>
    </row>
    <row r="2797">
      <c r="A2797" s="52" t="s">
        <v>77</v>
      </c>
      <c r="B2797" s="28" t="s">
        <v>77</v>
      </c>
      <c r="C2797" s="28" t="s">
        <v>77</v>
      </c>
      <c r="D2797" s="28" t="s">
        <v>77</v>
      </c>
      <c r="E2797" s="28" t="s">
        <v>77</v>
      </c>
      <c r="F2797" s="28" t="s">
        <v>77</v>
      </c>
      <c r="G2797" s="28" t="s">
        <v>77</v>
      </c>
      <c r="I2797" s="26" t="s">
        <v>77</v>
      </c>
      <c r="J2797" s="26" t="s">
        <v>77</v>
      </c>
      <c r="K2797" s="18"/>
      <c r="L2797" s="26" t="s">
        <v>77</v>
      </c>
      <c r="M2797" s="6" t="s">
        <v>77</v>
      </c>
      <c r="N2797" s="28" t="s">
        <v>77</v>
      </c>
      <c r="O2797" s="26" t="s">
        <v>77</v>
      </c>
    </row>
    <row r="2798">
      <c r="A2798" s="52" t="s">
        <v>77</v>
      </c>
      <c r="B2798" s="28" t="s">
        <v>77</v>
      </c>
      <c r="C2798" s="28" t="s">
        <v>77</v>
      </c>
      <c r="D2798" s="28" t="s">
        <v>77</v>
      </c>
      <c r="E2798" s="28" t="s">
        <v>77</v>
      </c>
      <c r="F2798" s="28" t="s">
        <v>77</v>
      </c>
      <c r="G2798" s="28" t="s">
        <v>77</v>
      </c>
      <c r="I2798" s="26" t="s">
        <v>77</v>
      </c>
      <c r="J2798" s="26" t="s">
        <v>77</v>
      </c>
      <c r="K2798" s="18"/>
      <c r="L2798" s="26" t="s">
        <v>77</v>
      </c>
      <c r="M2798" s="6" t="s">
        <v>77</v>
      </c>
      <c r="N2798" s="28" t="s">
        <v>77</v>
      </c>
      <c r="O2798" s="26" t="s">
        <v>77</v>
      </c>
    </row>
    <row r="2799">
      <c r="A2799" s="52" t="s">
        <v>77</v>
      </c>
      <c r="B2799" s="28" t="s">
        <v>77</v>
      </c>
      <c r="C2799" s="28" t="s">
        <v>77</v>
      </c>
      <c r="D2799" s="28" t="s">
        <v>77</v>
      </c>
      <c r="E2799" s="28" t="s">
        <v>77</v>
      </c>
      <c r="F2799" s="28" t="s">
        <v>77</v>
      </c>
      <c r="G2799" s="28" t="s">
        <v>77</v>
      </c>
      <c r="I2799" s="26" t="s">
        <v>77</v>
      </c>
      <c r="J2799" s="26" t="s">
        <v>77</v>
      </c>
      <c r="K2799" s="18"/>
      <c r="L2799" s="26" t="s">
        <v>77</v>
      </c>
      <c r="M2799" s="6" t="s">
        <v>77</v>
      </c>
      <c r="N2799" s="28" t="s">
        <v>77</v>
      </c>
      <c r="O2799" s="26" t="s">
        <v>77</v>
      </c>
    </row>
    <row r="2800">
      <c r="A2800" s="52" t="s">
        <v>77</v>
      </c>
      <c r="B2800" s="28" t="s">
        <v>77</v>
      </c>
      <c r="C2800" s="28" t="s">
        <v>77</v>
      </c>
      <c r="D2800" s="28" t="s">
        <v>77</v>
      </c>
      <c r="E2800" s="28" t="s">
        <v>77</v>
      </c>
      <c r="F2800" s="28" t="s">
        <v>77</v>
      </c>
      <c r="G2800" s="28" t="s">
        <v>77</v>
      </c>
      <c r="I2800" s="26" t="s">
        <v>77</v>
      </c>
      <c r="J2800" s="26" t="s">
        <v>77</v>
      </c>
      <c r="K2800" s="18"/>
      <c r="L2800" s="26" t="s">
        <v>77</v>
      </c>
      <c r="M2800" s="6" t="s">
        <v>77</v>
      </c>
      <c r="N2800" s="28" t="s">
        <v>77</v>
      </c>
      <c r="O2800" s="26" t="s">
        <v>77</v>
      </c>
    </row>
    <row r="2801">
      <c r="A2801" s="52" t="s">
        <v>77</v>
      </c>
      <c r="B2801" s="28" t="s">
        <v>77</v>
      </c>
      <c r="C2801" s="28" t="s">
        <v>77</v>
      </c>
      <c r="D2801" s="28" t="s">
        <v>77</v>
      </c>
      <c r="E2801" s="28" t="s">
        <v>77</v>
      </c>
      <c r="F2801" s="28" t="s">
        <v>77</v>
      </c>
      <c r="G2801" s="28" t="s">
        <v>77</v>
      </c>
      <c r="I2801" s="26" t="s">
        <v>77</v>
      </c>
      <c r="J2801" s="26" t="s">
        <v>77</v>
      </c>
      <c r="K2801" s="18"/>
      <c r="L2801" s="26" t="s">
        <v>77</v>
      </c>
      <c r="M2801" s="6" t="s">
        <v>77</v>
      </c>
      <c r="N2801" s="28" t="s">
        <v>77</v>
      </c>
      <c r="O2801" s="26" t="s">
        <v>77</v>
      </c>
    </row>
    <row r="2802">
      <c r="A2802" s="52" t="s">
        <v>77</v>
      </c>
      <c r="B2802" s="28" t="s">
        <v>77</v>
      </c>
      <c r="C2802" s="28" t="s">
        <v>77</v>
      </c>
      <c r="D2802" s="28" t="s">
        <v>77</v>
      </c>
      <c r="E2802" s="28" t="s">
        <v>77</v>
      </c>
      <c r="F2802" s="28" t="s">
        <v>77</v>
      </c>
      <c r="G2802" s="28" t="s">
        <v>77</v>
      </c>
      <c r="I2802" s="26" t="s">
        <v>77</v>
      </c>
      <c r="J2802" s="26" t="s">
        <v>77</v>
      </c>
      <c r="K2802" s="18"/>
      <c r="L2802" s="26" t="s">
        <v>77</v>
      </c>
      <c r="M2802" s="6" t="s">
        <v>77</v>
      </c>
      <c r="N2802" s="28" t="s">
        <v>77</v>
      </c>
      <c r="O2802" s="26" t="s">
        <v>77</v>
      </c>
    </row>
    <row r="2803">
      <c r="A2803" s="52" t="s">
        <v>77</v>
      </c>
      <c r="B2803" s="28" t="s">
        <v>77</v>
      </c>
      <c r="C2803" s="28" t="s">
        <v>77</v>
      </c>
      <c r="D2803" s="28" t="s">
        <v>77</v>
      </c>
      <c r="E2803" s="28" t="s">
        <v>77</v>
      </c>
      <c r="F2803" s="28" t="s">
        <v>77</v>
      </c>
      <c r="G2803" s="28" t="s">
        <v>77</v>
      </c>
      <c r="I2803" s="26" t="s">
        <v>77</v>
      </c>
      <c r="J2803" s="26" t="s">
        <v>77</v>
      </c>
      <c r="K2803" s="18"/>
      <c r="L2803" s="26" t="s">
        <v>77</v>
      </c>
      <c r="M2803" s="6" t="s">
        <v>77</v>
      </c>
      <c r="N2803" s="28" t="s">
        <v>77</v>
      </c>
      <c r="O2803" s="26" t="s">
        <v>77</v>
      </c>
    </row>
    <row r="2804">
      <c r="A2804" s="52" t="s">
        <v>77</v>
      </c>
      <c r="B2804" s="28" t="s">
        <v>77</v>
      </c>
      <c r="C2804" s="28" t="s">
        <v>77</v>
      </c>
      <c r="D2804" s="28" t="s">
        <v>77</v>
      </c>
      <c r="E2804" s="28" t="s">
        <v>77</v>
      </c>
      <c r="F2804" s="28" t="s">
        <v>77</v>
      </c>
      <c r="G2804" s="28" t="s">
        <v>77</v>
      </c>
      <c r="I2804" s="26" t="s">
        <v>77</v>
      </c>
      <c r="J2804" s="26" t="s">
        <v>77</v>
      </c>
      <c r="K2804" s="18"/>
      <c r="L2804" s="26" t="s">
        <v>77</v>
      </c>
      <c r="M2804" s="6" t="s">
        <v>77</v>
      </c>
      <c r="N2804" s="28" t="s">
        <v>77</v>
      </c>
      <c r="O2804" s="26" t="s">
        <v>77</v>
      </c>
    </row>
    <row r="2805">
      <c r="A2805" s="52" t="s">
        <v>77</v>
      </c>
      <c r="B2805" s="28" t="s">
        <v>77</v>
      </c>
      <c r="C2805" s="28" t="s">
        <v>77</v>
      </c>
      <c r="D2805" s="28" t="s">
        <v>77</v>
      </c>
      <c r="E2805" s="28" t="s">
        <v>77</v>
      </c>
      <c r="F2805" s="28" t="s">
        <v>77</v>
      </c>
      <c r="G2805" s="28" t="s">
        <v>77</v>
      </c>
      <c r="I2805" s="26" t="s">
        <v>77</v>
      </c>
      <c r="J2805" s="26" t="s">
        <v>77</v>
      </c>
      <c r="K2805" s="18"/>
      <c r="L2805" s="26" t="s">
        <v>77</v>
      </c>
      <c r="M2805" s="6" t="s">
        <v>77</v>
      </c>
      <c r="N2805" s="28" t="s">
        <v>77</v>
      </c>
      <c r="O2805" s="26" t="s">
        <v>77</v>
      </c>
    </row>
    <row r="2806">
      <c r="A2806" s="52" t="s">
        <v>77</v>
      </c>
      <c r="B2806" s="28" t="s">
        <v>77</v>
      </c>
      <c r="C2806" s="28" t="s">
        <v>77</v>
      </c>
      <c r="D2806" s="28" t="s">
        <v>77</v>
      </c>
      <c r="E2806" s="28" t="s">
        <v>77</v>
      </c>
      <c r="F2806" s="28" t="s">
        <v>77</v>
      </c>
      <c r="G2806" s="28" t="s">
        <v>77</v>
      </c>
      <c r="I2806" s="26" t="s">
        <v>77</v>
      </c>
      <c r="J2806" s="26" t="s">
        <v>77</v>
      </c>
      <c r="K2806" s="18"/>
      <c r="L2806" s="26" t="s">
        <v>77</v>
      </c>
      <c r="M2806" s="6" t="s">
        <v>77</v>
      </c>
      <c r="N2806" s="28" t="s">
        <v>77</v>
      </c>
      <c r="O2806" s="26" t="s">
        <v>77</v>
      </c>
    </row>
    <row r="2807">
      <c r="A2807" s="52" t="s">
        <v>77</v>
      </c>
      <c r="B2807" s="28" t="s">
        <v>77</v>
      </c>
      <c r="C2807" s="28" t="s">
        <v>77</v>
      </c>
      <c r="D2807" s="28" t="s">
        <v>77</v>
      </c>
      <c r="E2807" s="28" t="s">
        <v>77</v>
      </c>
      <c r="F2807" s="28" t="s">
        <v>77</v>
      </c>
      <c r="G2807" s="28" t="s">
        <v>77</v>
      </c>
      <c r="I2807" s="26" t="s">
        <v>77</v>
      </c>
      <c r="J2807" s="26" t="s">
        <v>77</v>
      </c>
      <c r="K2807" s="18"/>
      <c r="L2807" s="26" t="s">
        <v>77</v>
      </c>
      <c r="M2807" s="6" t="s">
        <v>77</v>
      </c>
      <c r="N2807" s="28" t="s">
        <v>77</v>
      </c>
      <c r="O2807" s="26" t="s">
        <v>77</v>
      </c>
    </row>
    <row r="2808">
      <c r="A2808" s="52" t="s">
        <v>77</v>
      </c>
      <c r="B2808" s="28" t="s">
        <v>77</v>
      </c>
      <c r="C2808" s="28" t="s">
        <v>77</v>
      </c>
      <c r="D2808" s="28" t="s">
        <v>77</v>
      </c>
      <c r="E2808" s="28" t="s">
        <v>77</v>
      </c>
      <c r="F2808" s="28" t="s">
        <v>77</v>
      </c>
      <c r="G2808" s="28" t="s">
        <v>77</v>
      </c>
      <c r="I2808" s="26" t="s">
        <v>77</v>
      </c>
      <c r="J2808" s="26" t="s">
        <v>77</v>
      </c>
      <c r="K2808" s="18"/>
      <c r="L2808" s="26" t="s">
        <v>77</v>
      </c>
      <c r="M2808" s="6" t="s">
        <v>77</v>
      </c>
      <c r="N2808" s="28" t="s">
        <v>77</v>
      </c>
      <c r="O2808" s="26" t="s">
        <v>77</v>
      </c>
    </row>
    <row r="2809">
      <c r="A2809" s="52" t="s">
        <v>77</v>
      </c>
      <c r="B2809" s="28" t="s">
        <v>77</v>
      </c>
      <c r="C2809" s="28" t="s">
        <v>77</v>
      </c>
      <c r="D2809" s="28" t="s">
        <v>77</v>
      </c>
      <c r="E2809" s="28" t="s">
        <v>77</v>
      </c>
      <c r="F2809" s="28" t="s">
        <v>77</v>
      </c>
      <c r="G2809" s="28" t="s">
        <v>77</v>
      </c>
      <c r="I2809" s="26" t="s">
        <v>77</v>
      </c>
      <c r="J2809" s="26" t="s">
        <v>77</v>
      </c>
      <c r="K2809" s="18"/>
      <c r="L2809" s="26" t="s">
        <v>77</v>
      </c>
      <c r="M2809" s="6" t="s">
        <v>77</v>
      </c>
      <c r="N2809" s="28" t="s">
        <v>77</v>
      </c>
      <c r="O2809" s="26" t="s">
        <v>77</v>
      </c>
    </row>
    <row r="2810">
      <c r="A2810" s="52" t="s">
        <v>77</v>
      </c>
      <c r="B2810" s="28" t="s">
        <v>77</v>
      </c>
      <c r="C2810" s="28" t="s">
        <v>77</v>
      </c>
      <c r="D2810" s="28" t="s">
        <v>77</v>
      </c>
      <c r="E2810" s="28" t="s">
        <v>77</v>
      </c>
      <c r="F2810" s="28" t="s">
        <v>77</v>
      </c>
      <c r="G2810" s="28" t="s">
        <v>77</v>
      </c>
      <c r="I2810" s="26" t="s">
        <v>77</v>
      </c>
      <c r="J2810" s="26" t="s">
        <v>77</v>
      </c>
      <c r="K2810" s="18"/>
      <c r="L2810" s="26" t="s">
        <v>77</v>
      </c>
      <c r="M2810" s="6" t="s">
        <v>77</v>
      </c>
      <c r="N2810" s="28" t="s">
        <v>77</v>
      </c>
      <c r="O2810" s="26" t="s">
        <v>77</v>
      </c>
    </row>
    <row r="2811">
      <c r="A2811" s="52" t="s">
        <v>77</v>
      </c>
      <c r="B2811" s="28" t="s">
        <v>77</v>
      </c>
      <c r="C2811" s="28" t="s">
        <v>77</v>
      </c>
      <c r="D2811" s="28" t="s">
        <v>77</v>
      </c>
      <c r="E2811" s="28" t="s">
        <v>77</v>
      </c>
      <c r="F2811" s="28" t="s">
        <v>77</v>
      </c>
      <c r="G2811" s="28" t="s">
        <v>77</v>
      </c>
      <c r="I2811" s="26" t="s">
        <v>77</v>
      </c>
      <c r="J2811" s="26" t="s">
        <v>77</v>
      </c>
      <c r="K2811" s="18"/>
      <c r="L2811" s="26" t="s">
        <v>77</v>
      </c>
      <c r="M2811" s="6" t="s">
        <v>77</v>
      </c>
      <c r="N2811" s="28" t="s">
        <v>77</v>
      </c>
      <c r="O2811" s="26" t="s">
        <v>77</v>
      </c>
    </row>
    <row r="2812">
      <c r="A2812" s="52" t="s">
        <v>77</v>
      </c>
      <c r="B2812" s="28" t="s">
        <v>77</v>
      </c>
      <c r="C2812" s="28" t="s">
        <v>77</v>
      </c>
      <c r="D2812" s="28" t="s">
        <v>77</v>
      </c>
      <c r="E2812" s="28" t="s">
        <v>77</v>
      </c>
      <c r="F2812" s="28" t="s">
        <v>77</v>
      </c>
      <c r="G2812" s="28" t="s">
        <v>77</v>
      </c>
      <c r="I2812" s="26" t="s">
        <v>77</v>
      </c>
      <c r="J2812" s="26" t="s">
        <v>77</v>
      </c>
      <c r="K2812" s="18"/>
      <c r="L2812" s="26" t="s">
        <v>77</v>
      </c>
      <c r="M2812" s="6" t="s">
        <v>77</v>
      </c>
      <c r="N2812" s="28" t="s">
        <v>77</v>
      </c>
      <c r="O2812" s="26" t="s">
        <v>77</v>
      </c>
    </row>
    <row r="2813">
      <c r="A2813" s="52" t="s">
        <v>77</v>
      </c>
      <c r="B2813" s="28" t="s">
        <v>77</v>
      </c>
      <c r="C2813" s="28" t="s">
        <v>77</v>
      </c>
      <c r="D2813" s="28" t="s">
        <v>77</v>
      </c>
      <c r="E2813" s="28" t="s">
        <v>77</v>
      </c>
      <c r="F2813" s="28" t="s">
        <v>77</v>
      </c>
      <c r="G2813" s="28" t="s">
        <v>77</v>
      </c>
      <c r="I2813" s="26" t="s">
        <v>77</v>
      </c>
      <c r="J2813" s="26" t="s">
        <v>77</v>
      </c>
      <c r="K2813" s="18"/>
      <c r="L2813" s="26" t="s">
        <v>77</v>
      </c>
      <c r="M2813" s="6" t="s">
        <v>77</v>
      </c>
      <c r="N2813" s="28" t="s">
        <v>77</v>
      </c>
      <c r="O2813" s="26" t="s">
        <v>77</v>
      </c>
    </row>
    <row r="2814">
      <c r="A2814" s="52" t="s">
        <v>77</v>
      </c>
      <c r="B2814" s="28" t="s">
        <v>77</v>
      </c>
      <c r="C2814" s="28" t="s">
        <v>77</v>
      </c>
      <c r="D2814" s="28" t="s">
        <v>77</v>
      </c>
      <c r="E2814" s="28" t="s">
        <v>77</v>
      </c>
      <c r="F2814" s="28" t="s">
        <v>77</v>
      </c>
      <c r="G2814" s="28" t="s">
        <v>77</v>
      </c>
      <c r="I2814" s="26" t="s">
        <v>77</v>
      </c>
      <c r="J2814" s="26" t="s">
        <v>77</v>
      </c>
      <c r="K2814" s="18"/>
      <c r="L2814" s="26" t="s">
        <v>77</v>
      </c>
      <c r="M2814" s="6" t="s">
        <v>77</v>
      </c>
      <c r="N2814" s="28" t="s">
        <v>77</v>
      </c>
      <c r="O2814" s="26" t="s">
        <v>77</v>
      </c>
    </row>
    <row r="2815">
      <c r="A2815" s="52" t="s">
        <v>77</v>
      </c>
      <c r="B2815" s="28" t="s">
        <v>77</v>
      </c>
      <c r="C2815" s="28" t="s">
        <v>77</v>
      </c>
      <c r="D2815" s="28" t="s">
        <v>77</v>
      </c>
      <c r="E2815" s="28" t="s">
        <v>77</v>
      </c>
      <c r="F2815" s="28" t="s">
        <v>77</v>
      </c>
      <c r="G2815" s="28" t="s">
        <v>77</v>
      </c>
      <c r="I2815" s="26" t="s">
        <v>77</v>
      </c>
      <c r="J2815" s="26" t="s">
        <v>77</v>
      </c>
      <c r="K2815" s="18"/>
      <c r="L2815" s="26" t="s">
        <v>77</v>
      </c>
      <c r="M2815" s="6" t="s">
        <v>77</v>
      </c>
      <c r="N2815" s="28" t="s">
        <v>77</v>
      </c>
      <c r="O2815" s="26" t="s">
        <v>77</v>
      </c>
    </row>
    <row r="2816">
      <c r="A2816" s="52" t="s">
        <v>77</v>
      </c>
      <c r="B2816" s="28" t="s">
        <v>77</v>
      </c>
      <c r="C2816" s="28" t="s">
        <v>77</v>
      </c>
      <c r="D2816" s="28" t="s">
        <v>77</v>
      </c>
      <c r="E2816" s="28" t="s">
        <v>77</v>
      </c>
      <c r="F2816" s="28" t="s">
        <v>77</v>
      </c>
      <c r="G2816" s="28" t="s">
        <v>77</v>
      </c>
      <c r="I2816" s="26" t="s">
        <v>77</v>
      </c>
      <c r="J2816" s="26" t="s">
        <v>77</v>
      </c>
      <c r="K2816" s="18"/>
      <c r="L2816" s="26" t="s">
        <v>77</v>
      </c>
      <c r="M2816" s="6" t="s">
        <v>77</v>
      </c>
      <c r="N2816" s="28" t="s">
        <v>77</v>
      </c>
      <c r="O2816" s="26" t="s">
        <v>77</v>
      </c>
    </row>
    <row r="2817">
      <c r="A2817" s="52" t="s">
        <v>77</v>
      </c>
      <c r="B2817" s="28" t="s">
        <v>77</v>
      </c>
      <c r="C2817" s="28" t="s">
        <v>77</v>
      </c>
      <c r="D2817" s="28" t="s">
        <v>77</v>
      </c>
      <c r="E2817" s="28" t="s">
        <v>77</v>
      </c>
      <c r="F2817" s="28" t="s">
        <v>77</v>
      </c>
      <c r="G2817" s="28" t="s">
        <v>77</v>
      </c>
      <c r="I2817" s="26" t="s">
        <v>77</v>
      </c>
      <c r="J2817" s="26" t="s">
        <v>77</v>
      </c>
      <c r="K2817" s="18"/>
      <c r="L2817" s="26" t="s">
        <v>77</v>
      </c>
      <c r="M2817" s="6" t="s">
        <v>77</v>
      </c>
      <c r="N2817" s="28" t="s">
        <v>77</v>
      </c>
      <c r="O2817" s="26" t="s">
        <v>77</v>
      </c>
    </row>
    <row r="2818">
      <c r="A2818" s="52" t="s">
        <v>77</v>
      </c>
      <c r="B2818" s="28" t="s">
        <v>77</v>
      </c>
      <c r="C2818" s="28" t="s">
        <v>77</v>
      </c>
      <c r="D2818" s="28" t="s">
        <v>77</v>
      </c>
      <c r="E2818" s="28" t="s">
        <v>77</v>
      </c>
      <c r="F2818" s="28" t="s">
        <v>77</v>
      </c>
      <c r="G2818" s="28" t="s">
        <v>77</v>
      </c>
      <c r="I2818" s="26" t="s">
        <v>77</v>
      </c>
      <c r="J2818" s="26" t="s">
        <v>77</v>
      </c>
      <c r="K2818" s="18"/>
      <c r="L2818" s="26" t="s">
        <v>77</v>
      </c>
      <c r="M2818" s="6" t="s">
        <v>77</v>
      </c>
      <c r="N2818" s="28" t="s">
        <v>77</v>
      </c>
      <c r="O2818" s="26" t="s">
        <v>77</v>
      </c>
    </row>
    <row r="2819">
      <c r="A2819" s="52" t="s">
        <v>77</v>
      </c>
      <c r="B2819" s="28" t="s">
        <v>77</v>
      </c>
      <c r="C2819" s="28" t="s">
        <v>77</v>
      </c>
      <c r="D2819" s="28" t="s">
        <v>77</v>
      </c>
      <c r="E2819" s="28" t="s">
        <v>77</v>
      </c>
      <c r="F2819" s="28" t="s">
        <v>77</v>
      </c>
      <c r="G2819" s="28" t="s">
        <v>77</v>
      </c>
      <c r="I2819" s="26" t="s">
        <v>77</v>
      </c>
      <c r="J2819" s="26" t="s">
        <v>77</v>
      </c>
      <c r="K2819" s="18"/>
      <c r="L2819" s="26" t="s">
        <v>77</v>
      </c>
      <c r="M2819" s="6" t="s">
        <v>77</v>
      </c>
      <c r="N2819" s="28" t="s">
        <v>77</v>
      </c>
      <c r="O2819" s="26" t="s">
        <v>77</v>
      </c>
    </row>
    <row r="2820">
      <c r="A2820" s="52" t="s">
        <v>77</v>
      </c>
      <c r="B2820" s="28" t="s">
        <v>77</v>
      </c>
      <c r="C2820" s="28" t="s">
        <v>77</v>
      </c>
      <c r="D2820" s="28" t="s">
        <v>77</v>
      </c>
      <c r="E2820" s="28" t="s">
        <v>77</v>
      </c>
      <c r="F2820" s="28" t="s">
        <v>77</v>
      </c>
      <c r="G2820" s="28" t="s">
        <v>77</v>
      </c>
      <c r="I2820" s="26" t="s">
        <v>77</v>
      </c>
      <c r="J2820" s="26" t="s">
        <v>77</v>
      </c>
      <c r="K2820" s="18"/>
      <c r="L2820" s="26" t="s">
        <v>77</v>
      </c>
      <c r="M2820" s="6" t="s">
        <v>77</v>
      </c>
      <c r="N2820" s="28" t="s">
        <v>77</v>
      </c>
      <c r="O2820" s="26" t="s">
        <v>77</v>
      </c>
    </row>
    <row r="2821">
      <c r="A2821" s="52" t="s">
        <v>77</v>
      </c>
      <c r="B2821" s="28" t="s">
        <v>77</v>
      </c>
      <c r="C2821" s="28" t="s">
        <v>77</v>
      </c>
      <c r="D2821" s="28" t="s">
        <v>77</v>
      </c>
      <c r="E2821" s="28" t="s">
        <v>77</v>
      </c>
      <c r="F2821" s="28" t="s">
        <v>77</v>
      </c>
      <c r="G2821" s="28" t="s">
        <v>77</v>
      </c>
      <c r="I2821" s="26" t="s">
        <v>77</v>
      </c>
      <c r="J2821" s="26" t="s">
        <v>77</v>
      </c>
      <c r="K2821" s="18"/>
      <c r="L2821" s="26" t="s">
        <v>77</v>
      </c>
      <c r="M2821" s="6" t="s">
        <v>77</v>
      </c>
      <c r="N2821" s="28" t="s">
        <v>77</v>
      </c>
      <c r="O2821" s="26" t="s">
        <v>77</v>
      </c>
    </row>
    <row r="2822">
      <c r="A2822" s="52" t="s">
        <v>77</v>
      </c>
      <c r="B2822" s="28" t="s">
        <v>77</v>
      </c>
      <c r="C2822" s="28" t="s">
        <v>77</v>
      </c>
      <c r="D2822" s="28" t="s">
        <v>77</v>
      </c>
      <c r="E2822" s="28" t="s">
        <v>77</v>
      </c>
      <c r="F2822" s="28" t="s">
        <v>77</v>
      </c>
      <c r="G2822" s="28" t="s">
        <v>77</v>
      </c>
      <c r="I2822" s="26" t="s">
        <v>77</v>
      </c>
      <c r="J2822" s="26" t="s">
        <v>77</v>
      </c>
      <c r="K2822" s="18"/>
      <c r="L2822" s="26" t="s">
        <v>77</v>
      </c>
      <c r="M2822" s="6" t="s">
        <v>77</v>
      </c>
      <c r="N2822" s="28" t="s">
        <v>77</v>
      </c>
      <c r="O2822" s="26" t="s">
        <v>77</v>
      </c>
    </row>
    <row r="2823">
      <c r="A2823" s="52" t="s">
        <v>77</v>
      </c>
      <c r="B2823" s="28" t="s">
        <v>77</v>
      </c>
      <c r="C2823" s="28" t="s">
        <v>77</v>
      </c>
      <c r="D2823" s="28" t="s">
        <v>77</v>
      </c>
      <c r="E2823" s="28" t="s">
        <v>77</v>
      </c>
      <c r="F2823" s="28" t="s">
        <v>77</v>
      </c>
      <c r="G2823" s="28" t="s">
        <v>77</v>
      </c>
      <c r="I2823" s="26" t="s">
        <v>77</v>
      </c>
      <c r="J2823" s="26" t="s">
        <v>77</v>
      </c>
      <c r="K2823" s="18"/>
      <c r="L2823" s="26" t="s">
        <v>77</v>
      </c>
      <c r="M2823" s="6" t="s">
        <v>77</v>
      </c>
      <c r="N2823" s="28" t="s">
        <v>77</v>
      </c>
      <c r="O2823" s="26" t="s">
        <v>77</v>
      </c>
    </row>
    <row r="2824">
      <c r="A2824" s="52" t="s">
        <v>77</v>
      </c>
      <c r="B2824" s="28" t="s">
        <v>77</v>
      </c>
      <c r="C2824" s="28" t="s">
        <v>77</v>
      </c>
      <c r="D2824" s="28" t="s">
        <v>77</v>
      </c>
      <c r="E2824" s="28" t="s">
        <v>77</v>
      </c>
      <c r="F2824" s="28" t="s">
        <v>77</v>
      </c>
      <c r="G2824" s="28" t="s">
        <v>77</v>
      </c>
      <c r="I2824" s="26" t="s">
        <v>77</v>
      </c>
      <c r="J2824" s="26" t="s">
        <v>77</v>
      </c>
      <c r="K2824" s="18"/>
      <c r="L2824" s="26" t="s">
        <v>77</v>
      </c>
      <c r="M2824" s="6" t="s">
        <v>77</v>
      </c>
      <c r="N2824" s="28" t="s">
        <v>77</v>
      </c>
      <c r="O2824" s="26" t="s">
        <v>77</v>
      </c>
    </row>
    <row r="2825">
      <c r="A2825" s="52" t="s">
        <v>77</v>
      </c>
      <c r="B2825" s="28" t="s">
        <v>77</v>
      </c>
      <c r="C2825" s="28" t="s">
        <v>77</v>
      </c>
      <c r="D2825" s="28" t="s">
        <v>77</v>
      </c>
      <c r="E2825" s="28" t="s">
        <v>77</v>
      </c>
      <c r="F2825" s="28" t="s">
        <v>77</v>
      </c>
      <c r="G2825" s="28" t="s">
        <v>77</v>
      </c>
      <c r="I2825" s="26" t="s">
        <v>77</v>
      </c>
      <c r="J2825" s="26" t="s">
        <v>77</v>
      </c>
      <c r="K2825" s="18"/>
      <c r="L2825" s="26" t="s">
        <v>77</v>
      </c>
      <c r="M2825" s="6" t="s">
        <v>77</v>
      </c>
      <c r="N2825" s="28" t="s">
        <v>77</v>
      </c>
      <c r="O2825" s="26" t="s">
        <v>77</v>
      </c>
    </row>
    <row r="2826">
      <c r="A2826" s="52" t="s">
        <v>77</v>
      </c>
      <c r="B2826" s="28" t="s">
        <v>77</v>
      </c>
      <c r="C2826" s="28" t="s">
        <v>77</v>
      </c>
      <c r="D2826" s="28" t="s">
        <v>77</v>
      </c>
      <c r="E2826" s="28" t="s">
        <v>77</v>
      </c>
      <c r="F2826" s="28" t="s">
        <v>77</v>
      </c>
      <c r="G2826" s="28" t="s">
        <v>77</v>
      </c>
      <c r="I2826" s="26" t="s">
        <v>77</v>
      </c>
      <c r="J2826" s="26" t="s">
        <v>77</v>
      </c>
      <c r="K2826" s="18"/>
      <c r="L2826" s="26" t="s">
        <v>77</v>
      </c>
      <c r="M2826" s="6" t="s">
        <v>77</v>
      </c>
      <c r="N2826" s="28" t="s">
        <v>77</v>
      </c>
      <c r="O2826" s="26" t="s">
        <v>77</v>
      </c>
    </row>
    <row r="2827">
      <c r="A2827" s="52" t="s">
        <v>77</v>
      </c>
      <c r="B2827" s="28" t="s">
        <v>77</v>
      </c>
      <c r="C2827" s="28" t="s">
        <v>77</v>
      </c>
      <c r="D2827" s="28" t="s">
        <v>77</v>
      </c>
      <c r="E2827" s="28" t="s">
        <v>77</v>
      </c>
      <c r="F2827" s="28" t="s">
        <v>77</v>
      </c>
      <c r="G2827" s="28" t="s">
        <v>77</v>
      </c>
      <c r="I2827" s="26" t="s">
        <v>77</v>
      </c>
      <c r="J2827" s="26" t="s">
        <v>77</v>
      </c>
      <c r="K2827" s="18"/>
      <c r="L2827" s="26" t="s">
        <v>77</v>
      </c>
      <c r="M2827" s="6" t="s">
        <v>77</v>
      </c>
      <c r="N2827" s="28" t="s">
        <v>77</v>
      </c>
      <c r="O2827" s="26" t="s">
        <v>77</v>
      </c>
    </row>
    <row r="2828">
      <c r="A2828" s="52" t="s">
        <v>77</v>
      </c>
      <c r="B2828" s="28" t="s">
        <v>77</v>
      </c>
      <c r="C2828" s="28" t="s">
        <v>77</v>
      </c>
      <c r="D2828" s="28" t="s">
        <v>77</v>
      </c>
      <c r="E2828" s="28" t="s">
        <v>77</v>
      </c>
      <c r="F2828" s="28" t="s">
        <v>77</v>
      </c>
      <c r="G2828" s="28" t="s">
        <v>77</v>
      </c>
      <c r="I2828" s="26" t="s">
        <v>77</v>
      </c>
      <c r="J2828" s="26" t="s">
        <v>77</v>
      </c>
      <c r="K2828" s="18"/>
      <c r="L2828" s="26" t="s">
        <v>77</v>
      </c>
      <c r="M2828" s="6" t="s">
        <v>77</v>
      </c>
      <c r="N2828" s="28" t="s">
        <v>77</v>
      </c>
      <c r="O2828" s="26" t="s">
        <v>77</v>
      </c>
    </row>
    <row r="2829">
      <c r="A2829" s="52" t="s">
        <v>77</v>
      </c>
      <c r="B2829" s="28" t="s">
        <v>77</v>
      </c>
      <c r="C2829" s="28" t="s">
        <v>77</v>
      </c>
      <c r="D2829" s="28" t="s">
        <v>77</v>
      </c>
      <c r="E2829" s="28" t="s">
        <v>77</v>
      </c>
      <c r="F2829" s="28" t="s">
        <v>77</v>
      </c>
      <c r="G2829" s="28" t="s">
        <v>77</v>
      </c>
      <c r="I2829" s="26" t="s">
        <v>77</v>
      </c>
      <c r="J2829" s="26" t="s">
        <v>77</v>
      </c>
      <c r="K2829" s="18"/>
      <c r="L2829" s="26" t="s">
        <v>77</v>
      </c>
      <c r="M2829" s="6" t="s">
        <v>77</v>
      </c>
      <c r="N2829" s="28" t="s">
        <v>77</v>
      </c>
      <c r="O2829" s="26" t="s">
        <v>77</v>
      </c>
    </row>
    <row r="2830">
      <c r="A2830" s="52" t="s">
        <v>77</v>
      </c>
      <c r="B2830" s="28" t="s">
        <v>77</v>
      </c>
      <c r="C2830" s="28" t="s">
        <v>77</v>
      </c>
      <c r="D2830" s="28" t="s">
        <v>77</v>
      </c>
      <c r="E2830" s="28" t="s">
        <v>77</v>
      </c>
      <c r="F2830" s="28" t="s">
        <v>77</v>
      </c>
      <c r="G2830" s="28" t="s">
        <v>77</v>
      </c>
      <c r="I2830" s="26" t="s">
        <v>77</v>
      </c>
      <c r="J2830" s="26" t="s">
        <v>77</v>
      </c>
      <c r="K2830" s="18"/>
      <c r="L2830" s="26" t="s">
        <v>77</v>
      </c>
      <c r="M2830" s="6" t="s">
        <v>77</v>
      </c>
      <c r="N2830" s="28" t="s">
        <v>77</v>
      </c>
      <c r="O2830" s="26" t="s">
        <v>77</v>
      </c>
    </row>
    <row r="2831">
      <c r="A2831" s="52" t="s">
        <v>77</v>
      </c>
      <c r="B2831" s="28" t="s">
        <v>77</v>
      </c>
      <c r="C2831" s="28" t="s">
        <v>77</v>
      </c>
      <c r="D2831" s="28" t="s">
        <v>77</v>
      </c>
      <c r="E2831" s="28" t="s">
        <v>77</v>
      </c>
      <c r="F2831" s="28" t="s">
        <v>77</v>
      </c>
      <c r="G2831" s="28" t="s">
        <v>77</v>
      </c>
      <c r="I2831" s="26" t="s">
        <v>77</v>
      </c>
      <c r="J2831" s="26" t="s">
        <v>77</v>
      </c>
      <c r="K2831" s="18"/>
      <c r="L2831" s="26" t="s">
        <v>77</v>
      </c>
      <c r="M2831" s="6" t="s">
        <v>77</v>
      </c>
      <c r="N2831" s="28" t="s">
        <v>77</v>
      </c>
      <c r="O2831" s="26" t="s">
        <v>77</v>
      </c>
    </row>
    <row r="2832">
      <c r="A2832" s="52" t="s">
        <v>77</v>
      </c>
      <c r="B2832" s="28" t="s">
        <v>77</v>
      </c>
      <c r="C2832" s="28" t="s">
        <v>77</v>
      </c>
      <c r="D2832" s="28" t="s">
        <v>77</v>
      </c>
      <c r="E2832" s="28" t="s">
        <v>77</v>
      </c>
      <c r="F2832" s="28" t="s">
        <v>77</v>
      </c>
      <c r="G2832" s="28" t="s">
        <v>77</v>
      </c>
      <c r="I2832" s="26" t="s">
        <v>77</v>
      </c>
      <c r="J2832" s="26" t="s">
        <v>77</v>
      </c>
      <c r="K2832" s="18"/>
      <c r="L2832" s="26" t="s">
        <v>77</v>
      </c>
      <c r="M2832" s="6" t="s">
        <v>77</v>
      </c>
      <c r="N2832" s="28" t="s">
        <v>77</v>
      </c>
      <c r="O2832" s="26" t="s">
        <v>77</v>
      </c>
    </row>
    <row r="2833">
      <c r="A2833" s="52" t="s">
        <v>77</v>
      </c>
      <c r="B2833" s="28" t="s">
        <v>77</v>
      </c>
      <c r="C2833" s="28" t="s">
        <v>77</v>
      </c>
      <c r="D2833" s="28" t="s">
        <v>77</v>
      </c>
      <c r="E2833" s="28" t="s">
        <v>77</v>
      </c>
      <c r="F2833" s="28" t="s">
        <v>77</v>
      </c>
      <c r="G2833" s="28" t="s">
        <v>77</v>
      </c>
      <c r="I2833" s="26" t="s">
        <v>77</v>
      </c>
      <c r="J2833" s="26" t="s">
        <v>77</v>
      </c>
      <c r="K2833" s="18"/>
      <c r="L2833" s="26" t="s">
        <v>77</v>
      </c>
      <c r="M2833" s="6" t="s">
        <v>77</v>
      </c>
      <c r="N2833" s="28" t="s">
        <v>77</v>
      </c>
      <c r="O2833" s="26" t="s">
        <v>77</v>
      </c>
    </row>
    <row r="2834">
      <c r="A2834" s="52" t="s">
        <v>77</v>
      </c>
      <c r="B2834" s="28" t="s">
        <v>77</v>
      </c>
      <c r="C2834" s="28" t="s">
        <v>77</v>
      </c>
      <c r="D2834" s="28" t="s">
        <v>77</v>
      </c>
      <c r="E2834" s="28" t="s">
        <v>77</v>
      </c>
      <c r="F2834" s="28" t="s">
        <v>77</v>
      </c>
      <c r="G2834" s="28" t="s">
        <v>77</v>
      </c>
      <c r="I2834" s="26" t="s">
        <v>77</v>
      </c>
      <c r="J2834" s="26" t="s">
        <v>77</v>
      </c>
      <c r="K2834" s="18"/>
      <c r="L2834" s="26" t="s">
        <v>77</v>
      </c>
      <c r="M2834" s="6" t="s">
        <v>77</v>
      </c>
      <c r="N2834" s="28" t="s">
        <v>77</v>
      </c>
      <c r="O2834" s="26" t="s">
        <v>77</v>
      </c>
    </row>
    <row r="2835">
      <c r="A2835" s="52" t="s">
        <v>77</v>
      </c>
      <c r="B2835" s="28" t="s">
        <v>77</v>
      </c>
      <c r="C2835" s="28" t="s">
        <v>77</v>
      </c>
      <c r="D2835" s="28" t="s">
        <v>77</v>
      </c>
      <c r="E2835" s="28" t="s">
        <v>77</v>
      </c>
      <c r="F2835" s="28" t="s">
        <v>77</v>
      </c>
      <c r="G2835" s="28" t="s">
        <v>77</v>
      </c>
      <c r="I2835" s="26" t="s">
        <v>77</v>
      </c>
      <c r="J2835" s="26" t="s">
        <v>77</v>
      </c>
      <c r="K2835" s="18"/>
      <c r="L2835" s="26" t="s">
        <v>77</v>
      </c>
      <c r="M2835" s="6" t="s">
        <v>77</v>
      </c>
      <c r="N2835" s="28" t="s">
        <v>77</v>
      </c>
      <c r="O2835" s="26" t="s">
        <v>77</v>
      </c>
    </row>
    <row r="2836">
      <c r="A2836" s="52" t="s">
        <v>77</v>
      </c>
      <c r="B2836" s="28" t="s">
        <v>77</v>
      </c>
      <c r="C2836" s="28" t="s">
        <v>77</v>
      </c>
      <c r="D2836" s="28" t="s">
        <v>77</v>
      </c>
      <c r="E2836" s="28" t="s">
        <v>77</v>
      </c>
      <c r="F2836" s="28" t="s">
        <v>77</v>
      </c>
      <c r="G2836" s="28" t="s">
        <v>77</v>
      </c>
      <c r="I2836" s="26" t="s">
        <v>77</v>
      </c>
      <c r="J2836" s="26" t="s">
        <v>77</v>
      </c>
      <c r="K2836" s="18"/>
      <c r="L2836" s="26" t="s">
        <v>77</v>
      </c>
      <c r="M2836" s="6" t="s">
        <v>77</v>
      </c>
      <c r="N2836" s="28" t="s">
        <v>77</v>
      </c>
      <c r="O2836" s="26" t="s">
        <v>77</v>
      </c>
    </row>
    <row r="2837">
      <c r="A2837" s="52" t="s">
        <v>77</v>
      </c>
      <c r="B2837" s="28" t="s">
        <v>77</v>
      </c>
      <c r="C2837" s="28" t="s">
        <v>77</v>
      </c>
      <c r="D2837" s="28" t="s">
        <v>77</v>
      </c>
      <c r="E2837" s="28" t="s">
        <v>77</v>
      </c>
      <c r="F2837" s="28" t="s">
        <v>77</v>
      </c>
      <c r="G2837" s="28" t="s">
        <v>77</v>
      </c>
      <c r="I2837" s="26" t="s">
        <v>77</v>
      </c>
      <c r="J2837" s="26" t="s">
        <v>77</v>
      </c>
      <c r="K2837" s="18"/>
      <c r="L2837" s="26" t="s">
        <v>77</v>
      </c>
      <c r="M2837" s="6" t="s">
        <v>77</v>
      </c>
      <c r="N2837" s="28" t="s">
        <v>77</v>
      </c>
      <c r="O2837" s="26" t="s">
        <v>77</v>
      </c>
    </row>
    <row r="2838">
      <c r="A2838" s="52" t="s">
        <v>77</v>
      </c>
      <c r="B2838" s="28" t="s">
        <v>77</v>
      </c>
      <c r="C2838" s="28" t="s">
        <v>77</v>
      </c>
      <c r="D2838" s="28" t="s">
        <v>77</v>
      </c>
      <c r="E2838" s="28" t="s">
        <v>77</v>
      </c>
      <c r="F2838" s="28" t="s">
        <v>77</v>
      </c>
      <c r="G2838" s="28" t="s">
        <v>77</v>
      </c>
      <c r="I2838" s="26" t="s">
        <v>77</v>
      </c>
      <c r="J2838" s="26" t="s">
        <v>77</v>
      </c>
      <c r="K2838" s="18"/>
      <c r="L2838" s="26" t="s">
        <v>77</v>
      </c>
      <c r="M2838" s="6" t="s">
        <v>77</v>
      </c>
      <c r="N2838" s="28" t="s">
        <v>77</v>
      </c>
      <c r="O2838" s="26" t="s">
        <v>77</v>
      </c>
    </row>
    <row r="2839">
      <c r="A2839" s="52" t="s">
        <v>77</v>
      </c>
      <c r="B2839" s="28" t="s">
        <v>77</v>
      </c>
      <c r="C2839" s="28" t="s">
        <v>77</v>
      </c>
      <c r="D2839" s="28" t="s">
        <v>77</v>
      </c>
      <c r="E2839" s="28" t="s">
        <v>77</v>
      </c>
      <c r="F2839" s="28" t="s">
        <v>77</v>
      </c>
      <c r="G2839" s="28" t="s">
        <v>77</v>
      </c>
      <c r="I2839" s="26" t="s">
        <v>77</v>
      </c>
      <c r="J2839" s="26" t="s">
        <v>77</v>
      </c>
      <c r="K2839" s="18"/>
      <c r="L2839" s="26" t="s">
        <v>77</v>
      </c>
      <c r="M2839" s="6" t="s">
        <v>77</v>
      </c>
      <c r="N2839" s="28" t="s">
        <v>77</v>
      </c>
      <c r="O2839" s="26" t="s">
        <v>77</v>
      </c>
    </row>
    <row r="2840">
      <c r="A2840" s="52" t="s">
        <v>77</v>
      </c>
      <c r="B2840" s="28" t="s">
        <v>77</v>
      </c>
      <c r="C2840" s="28" t="s">
        <v>77</v>
      </c>
      <c r="D2840" s="28" t="s">
        <v>77</v>
      </c>
      <c r="E2840" s="28" t="s">
        <v>77</v>
      </c>
      <c r="F2840" s="28" t="s">
        <v>77</v>
      </c>
      <c r="G2840" s="28" t="s">
        <v>77</v>
      </c>
      <c r="I2840" s="26" t="s">
        <v>77</v>
      </c>
      <c r="J2840" s="26" t="s">
        <v>77</v>
      </c>
      <c r="K2840" s="18"/>
      <c r="L2840" s="26" t="s">
        <v>77</v>
      </c>
      <c r="M2840" s="6" t="s">
        <v>77</v>
      </c>
      <c r="N2840" s="28" t="s">
        <v>77</v>
      </c>
      <c r="O2840" s="26" t="s">
        <v>77</v>
      </c>
    </row>
    <row r="2841">
      <c r="A2841" s="52" t="s">
        <v>77</v>
      </c>
      <c r="B2841" s="28" t="s">
        <v>77</v>
      </c>
      <c r="C2841" s="28" t="s">
        <v>77</v>
      </c>
      <c r="D2841" s="28" t="s">
        <v>77</v>
      </c>
      <c r="E2841" s="28" t="s">
        <v>77</v>
      </c>
      <c r="F2841" s="28" t="s">
        <v>77</v>
      </c>
      <c r="G2841" s="28" t="s">
        <v>77</v>
      </c>
      <c r="I2841" s="26" t="s">
        <v>77</v>
      </c>
      <c r="J2841" s="26" t="s">
        <v>77</v>
      </c>
      <c r="K2841" s="18"/>
      <c r="L2841" s="26" t="s">
        <v>77</v>
      </c>
      <c r="M2841" s="6" t="s">
        <v>77</v>
      </c>
      <c r="N2841" s="28" t="s">
        <v>77</v>
      </c>
      <c r="O2841" s="26" t="s">
        <v>77</v>
      </c>
    </row>
    <row r="2842">
      <c r="A2842" s="52" t="s">
        <v>77</v>
      </c>
      <c r="B2842" s="28" t="s">
        <v>77</v>
      </c>
      <c r="C2842" s="28" t="s">
        <v>77</v>
      </c>
      <c r="D2842" s="28" t="s">
        <v>77</v>
      </c>
      <c r="E2842" s="28" t="s">
        <v>77</v>
      </c>
      <c r="F2842" s="28" t="s">
        <v>77</v>
      </c>
      <c r="G2842" s="28" t="s">
        <v>77</v>
      </c>
      <c r="I2842" s="26" t="s">
        <v>77</v>
      </c>
      <c r="J2842" s="26" t="s">
        <v>77</v>
      </c>
      <c r="K2842" s="18"/>
      <c r="L2842" s="26" t="s">
        <v>77</v>
      </c>
      <c r="M2842" s="6" t="s">
        <v>77</v>
      </c>
      <c r="N2842" s="28" t="s">
        <v>77</v>
      </c>
      <c r="O2842" s="26" t="s">
        <v>77</v>
      </c>
    </row>
    <row r="2843">
      <c r="A2843" s="52" t="s">
        <v>77</v>
      </c>
      <c r="B2843" s="28" t="s">
        <v>77</v>
      </c>
      <c r="C2843" s="28" t="s">
        <v>77</v>
      </c>
      <c r="D2843" s="28" t="s">
        <v>77</v>
      </c>
      <c r="E2843" s="28" t="s">
        <v>77</v>
      </c>
      <c r="F2843" s="28" t="s">
        <v>77</v>
      </c>
      <c r="G2843" s="28" t="s">
        <v>77</v>
      </c>
      <c r="I2843" s="26" t="s">
        <v>77</v>
      </c>
      <c r="J2843" s="26" t="s">
        <v>77</v>
      </c>
      <c r="K2843" s="18"/>
      <c r="L2843" s="26" t="s">
        <v>77</v>
      </c>
      <c r="M2843" s="6" t="s">
        <v>77</v>
      </c>
      <c r="N2843" s="28" t="s">
        <v>77</v>
      </c>
      <c r="O2843" s="26" t="s">
        <v>77</v>
      </c>
    </row>
    <row r="2844">
      <c r="A2844" s="52" t="s">
        <v>77</v>
      </c>
      <c r="B2844" s="28" t="s">
        <v>77</v>
      </c>
      <c r="C2844" s="28" t="s">
        <v>77</v>
      </c>
      <c r="D2844" s="28" t="s">
        <v>77</v>
      </c>
      <c r="E2844" s="28" t="s">
        <v>77</v>
      </c>
      <c r="F2844" s="28" t="s">
        <v>77</v>
      </c>
      <c r="G2844" s="28" t="s">
        <v>77</v>
      </c>
      <c r="I2844" s="26" t="s">
        <v>77</v>
      </c>
      <c r="J2844" s="26" t="s">
        <v>77</v>
      </c>
      <c r="K2844" s="18"/>
      <c r="L2844" s="26" t="s">
        <v>77</v>
      </c>
      <c r="M2844" s="6" t="s">
        <v>77</v>
      </c>
      <c r="N2844" s="28" t="s">
        <v>77</v>
      </c>
      <c r="O2844" s="26" t="s">
        <v>77</v>
      </c>
    </row>
    <row r="2845">
      <c r="A2845" s="52" t="s">
        <v>77</v>
      </c>
      <c r="B2845" s="28" t="s">
        <v>77</v>
      </c>
      <c r="C2845" s="28" t="s">
        <v>77</v>
      </c>
      <c r="D2845" s="28" t="s">
        <v>77</v>
      </c>
      <c r="E2845" s="28" t="s">
        <v>77</v>
      </c>
      <c r="F2845" s="28" t="s">
        <v>77</v>
      </c>
      <c r="G2845" s="28" t="s">
        <v>77</v>
      </c>
      <c r="I2845" s="26" t="s">
        <v>77</v>
      </c>
      <c r="J2845" s="26" t="s">
        <v>77</v>
      </c>
      <c r="K2845" s="18"/>
      <c r="L2845" s="26" t="s">
        <v>77</v>
      </c>
      <c r="M2845" s="6" t="s">
        <v>77</v>
      </c>
      <c r="N2845" s="28" t="s">
        <v>77</v>
      </c>
      <c r="O2845" s="26" t="s">
        <v>77</v>
      </c>
    </row>
    <row r="2846">
      <c r="A2846" s="52" t="s">
        <v>77</v>
      </c>
      <c r="B2846" s="28" t="s">
        <v>77</v>
      </c>
      <c r="C2846" s="28" t="s">
        <v>77</v>
      </c>
      <c r="D2846" s="28" t="s">
        <v>77</v>
      </c>
      <c r="E2846" s="28" t="s">
        <v>77</v>
      </c>
      <c r="F2846" s="28" t="s">
        <v>77</v>
      </c>
      <c r="G2846" s="28" t="s">
        <v>77</v>
      </c>
      <c r="I2846" s="26" t="s">
        <v>77</v>
      </c>
      <c r="J2846" s="26" t="s">
        <v>77</v>
      </c>
      <c r="K2846" s="18"/>
      <c r="L2846" s="26" t="s">
        <v>77</v>
      </c>
      <c r="M2846" s="6" t="s">
        <v>77</v>
      </c>
      <c r="N2846" s="28" t="s">
        <v>77</v>
      </c>
      <c r="O2846" s="26" t="s">
        <v>77</v>
      </c>
    </row>
    <row r="2847">
      <c r="A2847" s="52" t="s">
        <v>77</v>
      </c>
      <c r="B2847" s="28" t="s">
        <v>77</v>
      </c>
      <c r="C2847" s="28" t="s">
        <v>77</v>
      </c>
      <c r="D2847" s="28" t="s">
        <v>77</v>
      </c>
      <c r="E2847" s="28" t="s">
        <v>77</v>
      </c>
      <c r="F2847" s="28" t="s">
        <v>77</v>
      </c>
      <c r="G2847" s="28" t="s">
        <v>77</v>
      </c>
      <c r="I2847" s="26" t="s">
        <v>77</v>
      </c>
      <c r="J2847" s="26" t="s">
        <v>77</v>
      </c>
      <c r="K2847" s="18"/>
      <c r="L2847" s="26" t="s">
        <v>77</v>
      </c>
      <c r="M2847" s="6" t="s">
        <v>77</v>
      </c>
      <c r="N2847" s="28" t="s">
        <v>77</v>
      </c>
      <c r="O2847" s="26" t="s">
        <v>77</v>
      </c>
    </row>
    <row r="2848">
      <c r="A2848" s="52" t="s">
        <v>77</v>
      </c>
      <c r="B2848" s="28" t="s">
        <v>77</v>
      </c>
      <c r="C2848" s="28" t="s">
        <v>77</v>
      </c>
      <c r="D2848" s="28" t="s">
        <v>77</v>
      </c>
      <c r="E2848" s="28" t="s">
        <v>77</v>
      </c>
      <c r="F2848" s="28" t="s">
        <v>77</v>
      </c>
      <c r="G2848" s="28" t="s">
        <v>77</v>
      </c>
      <c r="I2848" s="26" t="s">
        <v>77</v>
      </c>
      <c r="J2848" s="26" t="s">
        <v>77</v>
      </c>
      <c r="K2848" s="18"/>
      <c r="L2848" s="26" t="s">
        <v>77</v>
      </c>
      <c r="M2848" s="6" t="s">
        <v>77</v>
      </c>
      <c r="N2848" s="28" t="s">
        <v>77</v>
      </c>
      <c r="O2848" s="26" t="s">
        <v>77</v>
      </c>
    </row>
    <row r="2849">
      <c r="A2849" s="52" t="s">
        <v>77</v>
      </c>
      <c r="B2849" s="28" t="s">
        <v>77</v>
      </c>
      <c r="C2849" s="28" t="s">
        <v>77</v>
      </c>
      <c r="D2849" s="28" t="s">
        <v>77</v>
      </c>
      <c r="E2849" s="28" t="s">
        <v>77</v>
      </c>
      <c r="F2849" s="28" t="s">
        <v>77</v>
      </c>
      <c r="G2849" s="28" t="s">
        <v>77</v>
      </c>
      <c r="I2849" s="26" t="s">
        <v>77</v>
      </c>
      <c r="J2849" s="26" t="s">
        <v>77</v>
      </c>
      <c r="K2849" s="18"/>
      <c r="L2849" s="26" t="s">
        <v>77</v>
      </c>
      <c r="M2849" s="6" t="s">
        <v>77</v>
      </c>
      <c r="N2849" s="28" t="s">
        <v>77</v>
      </c>
      <c r="O2849" s="26" t="s">
        <v>77</v>
      </c>
    </row>
    <row r="2850">
      <c r="A2850" s="52" t="s">
        <v>77</v>
      </c>
      <c r="B2850" s="28" t="s">
        <v>77</v>
      </c>
      <c r="C2850" s="28" t="s">
        <v>77</v>
      </c>
      <c r="D2850" s="28" t="s">
        <v>77</v>
      </c>
      <c r="E2850" s="28" t="s">
        <v>77</v>
      </c>
      <c r="F2850" s="28" t="s">
        <v>77</v>
      </c>
      <c r="G2850" s="28" t="s">
        <v>77</v>
      </c>
      <c r="I2850" s="26" t="s">
        <v>77</v>
      </c>
      <c r="J2850" s="26" t="s">
        <v>77</v>
      </c>
      <c r="K2850" s="18"/>
      <c r="L2850" s="26" t="s">
        <v>77</v>
      </c>
      <c r="M2850" s="6" t="s">
        <v>77</v>
      </c>
      <c r="N2850" s="28" t="s">
        <v>77</v>
      </c>
      <c r="O2850" s="26" t="s">
        <v>77</v>
      </c>
    </row>
    <row r="2851">
      <c r="A2851" s="52" t="s">
        <v>77</v>
      </c>
      <c r="B2851" s="28" t="s">
        <v>77</v>
      </c>
      <c r="C2851" s="28" t="s">
        <v>77</v>
      </c>
      <c r="D2851" s="28" t="s">
        <v>77</v>
      </c>
      <c r="E2851" s="28" t="s">
        <v>77</v>
      </c>
      <c r="F2851" s="28" t="s">
        <v>77</v>
      </c>
      <c r="G2851" s="28" t="s">
        <v>77</v>
      </c>
      <c r="I2851" s="26" t="s">
        <v>77</v>
      </c>
      <c r="J2851" s="26" t="s">
        <v>77</v>
      </c>
      <c r="K2851" s="18"/>
      <c r="L2851" s="26" t="s">
        <v>77</v>
      </c>
      <c r="M2851" s="6" t="s">
        <v>77</v>
      </c>
      <c r="N2851" s="28" t="s">
        <v>77</v>
      </c>
      <c r="O2851" s="26" t="s">
        <v>77</v>
      </c>
    </row>
    <row r="2852">
      <c r="A2852" s="52" t="s">
        <v>77</v>
      </c>
      <c r="B2852" s="28" t="s">
        <v>77</v>
      </c>
      <c r="C2852" s="28" t="s">
        <v>77</v>
      </c>
      <c r="D2852" s="28" t="s">
        <v>77</v>
      </c>
      <c r="E2852" s="28" t="s">
        <v>77</v>
      </c>
      <c r="F2852" s="28" t="s">
        <v>77</v>
      </c>
      <c r="G2852" s="28" t="s">
        <v>77</v>
      </c>
      <c r="I2852" s="26" t="s">
        <v>77</v>
      </c>
      <c r="J2852" s="26" t="s">
        <v>77</v>
      </c>
      <c r="K2852" s="18"/>
      <c r="L2852" s="26" t="s">
        <v>77</v>
      </c>
      <c r="M2852" s="6" t="s">
        <v>77</v>
      </c>
      <c r="N2852" s="28" t="s">
        <v>77</v>
      </c>
      <c r="O2852" s="26" t="s">
        <v>77</v>
      </c>
    </row>
    <row r="2853">
      <c r="A2853" s="52" t="s">
        <v>77</v>
      </c>
      <c r="B2853" s="28" t="s">
        <v>77</v>
      </c>
      <c r="C2853" s="28" t="s">
        <v>77</v>
      </c>
      <c r="D2853" s="28" t="s">
        <v>77</v>
      </c>
      <c r="E2853" s="28" t="s">
        <v>77</v>
      </c>
      <c r="F2853" s="28" t="s">
        <v>77</v>
      </c>
      <c r="G2853" s="28" t="s">
        <v>77</v>
      </c>
      <c r="I2853" s="26" t="s">
        <v>77</v>
      </c>
      <c r="J2853" s="26" t="s">
        <v>77</v>
      </c>
      <c r="K2853" s="18"/>
      <c r="L2853" s="26" t="s">
        <v>77</v>
      </c>
      <c r="M2853" s="6" t="s">
        <v>77</v>
      </c>
      <c r="N2853" s="28" t="s">
        <v>77</v>
      </c>
      <c r="O2853" s="26" t="s">
        <v>77</v>
      </c>
    </row>
    <row r="2854">
      <c r="A2854" s="52" t="s">
        <v>77</v>
      </c>
      <c r="B2854" s="28" t="s">
        <v>77</v>
      </c>
      <c r="C2854" s="28" t="s">
        <v>77</v>
      </c>
      <c r="D2854" s="28" t="s">
        <v>77</v>
      </c>
      <c r="E2854" s="28" t="s">
        <v>77</v>
      </c>
      <c r="F2854" s="28" t="s">
        <v>77</v>
      </c>
      <c r="G2854" s="28" t="s">
        <v>77</v>
      </c>
      <c r="I2854" s="26" t="s">
        <v>77</v>
      </c>
      <c r="J2854" s="26" t="s">
        <v>77</v>
      </c>
      <c r="K2854" s="18"/>
      <c r="L2854" s="26" t="s">
        <v>77</v>
      </c>
      <c r="M2854" s="6" t="s">
        <v>77</v>
      </c>
      <c r="N2854" s="28" t="s">
        <v>77</v>
      </c>
      <c r="O2854" s="26" t="s">
        <v>77</v>
      </c>
    </row>
    <row r="2855">
      <c r="A2855" s="52" t="s">
        <v>77</v>
      </c>
      <c r="B2855" s="28" t="s">
        <v>77</v>
      </c>
      <c r="C2855" s="28" t="s">
        <v>77</v>
      </c>
      <c r="D2855" s="28" t="s">
        <v>77</v>
      </c>
      <c r="E2855" s="28" t="s">
        <v>77</v>
      </c>
      <c r="F2855" s="28" t="s">
        <v>77</v>
      </c>
      <c r="G2855" s="28" t="s">
        <v>77</v>
      </c>
      <c r="I2855" s="26" t="s">
        <v>77</v>
      </c>
      <c r="J2855" s="26" t="s">
        <v>77</v>
      </c>
      <c r="K2855" s="18"/>
      <c r="L2855" s="26" t="s">
        <v>77</v>
      </c>
      <c r="M2855" s="6" t="s">
        <v>77</v>
      </c>
      <c r="N2855" s="28" t="s">
        <v>77</v>
      </c>
      <c r="O2855" s="26" t="s">
        <v>77</v>
      </c>
    </row>
    <row r="2856">
      <c r="A2856" s="52" t="s">
        <v>77</v>
      </c>
      <c r="B2856" s="28" t="s">
        <v>77</v>
      </c>
      <c r="C2856" s="28" t="s">
        <v>77</v>
      </c>
      <c r="D2856" s="28" t="s">
        <v>77</v>
      </c>
      <c r="E2856" s="28" t="s">
        <v>77</v>
      </c>
      <c r="F2856" s="28" t="s">
        <v>77</v>
      </c>
      <c r="G2856" s="28" t="s">
        <v>77</v>
      </c>
      <c r="I2856" s="26" t="s">
        <v>77</v>
      </c>
      <c r="J2856" s="26" t="s">
        <v>77</v>
      </c>
      <c r="K2856" s="18"/>
      <c r="L2856" s="26" t="s">
        <v>77</v>
      </c>
      <c r="M2856" s="6" t="s">
        <v>77</v>
      </c>
      <c r="N2856" s="28" t="s">
        <v>77</v>
      </c>
      <c r="O2856" s="26" t="s">
        <v>77</v>
      </c>
    </row>
    <row r="2857">
      <c r="A2857" s="52" t="s">
        <v>77</v>
      </c>
      <c r="B2857" s="28" t="s">
        <v>77</v>
      </c>
      <c r="C2857" s="28" t="s">
        <v>77</v>
      </c>
      <c r="D2857" s="28" t="s">
        <v>77</v>
      </c>
      <c r="E2857" s="28" t="s">
        <v>77</v>
      </c>
      <c r="F2857" s="28" t="s">
        <v>77</v>
      </c>
      <c r="G2857" s="28" t="s">
        <v>77</v>
      </c>
      <c r="I2857" s="26" t="s">
        <v>77</v>
      </c>
      <c r="J2857" s="26" t="s">
        <v>77</v>
      </c>
      <c r="K2857" s="18"/>
      <c r="L2857" s="26" t="s">
        <v>77</v>
      </c>
      <c r="M2857" s="6" t="s">
        <v>77</v>
      </c>
      <c r="N2857" s="28" t="s">
        <v>77</v>
      </c>
      <c r="O2857" s="26" t="s">
        <v>77</v>
      </c>
    </row>
    <row r="2858">
      <c r="A2858" s="52" t="s">
        <v>77</v>
      </c>
      <c r="B2858" s="28" t="s">
        <v>77</v>
      </c>
      <c r="C2858" s="28" t="s">
        <v>77</v>
      </c>
      <c r="D2858" s="28" t="s">
        <v>77</v>
      </c>
      <c r="E2858" s="28" t="s">
        <v>77</v>
      </c>
      <c r="F2858" s="28" t="s">
        <v>77</v>
      </c>
      <c r="G2858" s="28" t="s">
        <v>77</v>
      </c>
      <c r="I2858" s="26" t="s">
        <v>77</v>
      </c>
      <c r="J2858" s="26" t="s">
        <v>77</v>
      </c>
      <c r="K2858" s="18"/>
      <c r="L2858" s="26" t="s">
        <v>77</v>
      </c>
      <c r="M2858" s="6" t="s">
        <v>77</v>
      </c>
      <c r="N2858" s="28" t="s">
        <v>77</v>
      </c>
      <c r="O2858" s="26" t="s">
        <v>77</v>
      </c>
    </row>
    <row r="2859">
      <c r="A2859" s="52" t="s">
        <v>77</v>
      </c>
      <c r="B2859" s="28" t="s">
        <v>77</v>
      </c>
      <c r="C2859" s="28" t="s">
        <v>77</v>
      </c>
      <c r="D2859" s="28" t="s">
        <v>77</v>
      </c>
      <c r="E2859" s="28" t="s">
        <v>77</v>
      </c>
      <c r="F2859" s="28" t="s">
        <v>77</v>
      </c>
      <c r="G2859" s="28" t="s">
        <v>77</v>
      </c>
      <c r="I2859" s="26" t="s">
        <v>77</v>
      </c>
      <c r="J2859" s="26" t="s">
        <v>77</v>
      </c>
      <c r="K2859" s="18"/>
      <c r="L2859" s="26" t="s">
        <v>77</v>
      </c>
      <c r="M2859" s="6" t="s">
        <v>77</v>
      </c>
      <c r="N2859" s="28" t="s">
        <v>77</v>
      </c>
      <c r="O2859" s="26" t="s">
        <v>77</v>
      </c>
    </row>
    <row r="2860">
      <c r="A2860" s="52" t="s">
        <v>77</v>
      </c>
      <c r="B2860" s="28" t="s">
        <v>77</v>
      </c>
      <c r="C2860" s="28" t="s">
        <v>77</v>
      </c>
      <c r="D2860" s="28" t="s">
        <v>77</v>
      </c>
      <c r="E2860" s="28" t="s">
        <v>77</v>
      </c>
      <c r="F2860" s="28" t="s">
        <v>77</v>
      </c>
      <c r="G2860" s="28" t="s">
        <v>77</v>
      </c>
      <c r="I2860" s="26" t="s">
        <v>77</v>
      </c>
      <c r="J2860" s="26" t="s">
        <v>77</v>
      </c>
      <c r="K2860" s="18"/>
      <c r="L2860" s="26" t="s">
        <v>77</v>
      </c>
      <c r="M2860" s="6" t="s">
        <v>77</v>
      </c>
      <c r="N2860" s="28" t="s">
        <v>77</v>
      </c>
      <c r="O2860" s="26" t="s">
        <v>77</v>
      </c>
    </row>
    <row r="2861">
      <c r="A2861" s="52" t="s">
        <v>77</v>
      </c>
      <c r="B2861" s="28" t="s">
        <v>77</v>
      </c>
      <c r="C2861" s="28" t="s">
        <v>77</v>
      </c>
      <c r="D2861" s="28" t="s">
        <v>77</v>
      </c>
      <c r="E2861" s="28" t="s">
        <v>77</v>
      </c>
      <c r="F2861" s="28" t="s">
        <v>77</v>
      </c>
      <c r="G2861" s="28" t="s">
        <v>77</v>
      </c>
      <c r="I2861" s="26" t="s">
        <v>77</v>
      </c>
      <c r="J2861" s="26" t="s">
        <v>77</v>
      </c>
      <c r="K2861" s="18"/>
      <c r="L2861" s="26" t="s">
        <v>77</v>
      </c>
      <c r="M2861" s="6" t="s">
        <v>77</v>
      </c>
      <c r="N2861" s="28" t="s">
        <v>77</v>
      </c>
      <c r="O2861" s="26" t="s">
        <v>77</v>
      </c>
    </row>
    <row r="2862">
      <c r="A2862" s="52" t="s">
        <v>77</v>
      </c>
      <c r="B2862" s="28" t="s">
        <v>77</v>
      </c>
      <c r="C2862" s="28" t="s">
        <v>77</v>
      </c>
      <c r="D2862" s="28" t="s">
        <v>77</v>
      </c>
      <c r="E2862" s="28" t="s">
        <v>77</v>
      </c>
      <c r="F2862" s="28" t="s">
        <v>77</v>
      </c>
      <c r="G2862" s="28" t="s">
        <v>77</v>
      </c>
      <c r="I2862" s="26" t="s">
        <v>77</v>
      </c>
      <c r="J2862" s="26" t="s">
        <v>77</v>
      </c>
      <c r="K2862" s="18"/>
      <c r="L2862" s="26" t="s">
        <v>77</v>
      </c>
      <c r="M2862" s="6" t="s">
        <v>77</v>
      </c>
      <c r="N2862" s="28" t="s">
        <v>77</v>
      </c>
      <c r="O2862" s="26" t="s">
        <v>77</v>
      </c>
    </row>
    <row r="2863">
      <c r="A2863" s="52" t="s">
        <v>77</v>
      </c>
      <c r="B2863" s="28" t="s">
        <v>77</v>
      </c>
      <c r="C2863" s="28" t="s">
        <v>77</v>
      </c>
      <c r="D2863" s="28" t="s">
        <v>77</v>
      </c>
      <c r="E2863" s="28" t="s">
        <v>77</v>
      </c>
      <c r="F2863" s="28" t="s">
        <v>77</v>
      </c>
      <c r="G2863" s="28" t="s">
        <v>77</v>
      </c>
      <c r="I2863" s="26" t="s">
        <v>77</v>
      </c>
      <c r="J2863" s="26" t="s">
        <v>77</v>
      </c>
      <c r="K2863" s="18"/>
      <c r="L2863" s="26" t="s">
        <v>77</v>
      </c>
      <c r="M2863" s="6" t="s">
        <v>77</v>
      </c>
      <c r="N2863" s="28" t="s">
        <v>77</v>
      </c>
      <c r="O2863" s="26" t="s">
        <v>77</v>
      </c>
    </row>
    <row r="2864">
      <c r="A2864" s="52" t="s">
        <v>77</v>
      </c>
      <c r="B2864" s="28" t="s">
        <v>77</v>
      </c>
      <c r="C2864" s="28" t="s">
        <v>77</v>
      </c>
      <c r="D2864" s="28" t="s">
        <v>77</v>
      </c>
      <c r="E2864" s="28" t="s">
        <v>77</v>
      </c>
      <c r="F2864" s="28" t="s">
        <v>77</v>
      </c>
      <c r="G2864" s="28" t="s">
        <v>77</v>
      </c>
      <c r="I2864" s="26" t="s">
        <v>77</v>
      </c>
      <c r="J2864" s="26" t="s">
        <v>77</v>
      </c>
      <c r="K2864" s="18"/>
      <c r="L2864" s="26" t="s">
        <v>77</v>
      </c>
      <c r="M2864" s="6" t="s">
        <v>77</v>
      </c>
      <c r="N2864" s="28" t="s">
        <v>77</v>
      </c>
      <c r="O2864" s="26" t="s">
        <v>77</v>
      </c>
    </row>
    <row r="2865">
      <c r="A2865" s="52" t="s">
        <v>77</v>
      </c>
      <c r="B2865" s="28" t="s">
        <v>77</v>
      </c>
      <c r="C2865" s="28" t="s">
        <v>77</v>
      </c>
      <c r="D2865" s="28" t="s">
        <v>77</v>
      </c>
      <c r="E2865" s="28" t="s">
        <v>77</v>
      </c>
      <c r="F2865" s="28" t="s">
        <v>77</v>
      </c>
      <c r="G2865" s="28" t="s">
        <v>77</v>
      </c>
      <c r="I2865" s="26" t="s">
        <v>77</v>
      </c>
      <c r="J2865" s="26" t="s">
        <v>77</v>
      </c>
      <c r="K2865" s="18"/>
      <c r="L2865" s="26" t="s">
        <v>77</v>
      </c>
      <c r="M2865" s="6" t="s">
        <v>77</v>
      </c>
      <c r="N2865" s="28" t="s">
        <v>77</v>
      </c>
      <c r="O2865" s="26" t="s">
        <v>77</v>
      </c>
    </row>
    <row r="2866">
      <c r="A2866" s="52" t="s">
        <v>77</v>
      </c>
      <c r="B2866" s="28" t="s">
        <v>77</v>
      </c>
      <c r="C2866" s="28" t="s">
        <v>77</v>
      </c>
      <c r="D2866" s="28" t="s">
        <v>77</v>
      </c>
      <c r="E2866" s="28" t="s">
        <v>77</v>
      </c>
      <c r="F2866" s="28" t="s">
        <v>77</v>
      </c>
      <c r="G2866" s="28" t="s">
        <v>77</v>
      </c>
      <c r="I2866" s="26" t="s">
        <v>77</v>
      </c>
      <c r="J2866" s="26" t="s">
        <v>77</v>
      </c>
      <c r="K2866" s="18"/>
      <c r="L2866" s="26" t="s">
        <v>77</v>
      </c>
      <c r="M2866" s="6" t="s">
        <v>77</v>
      </c>
      <c r="N2866" s="28" t="s">
        <v>77</v>
      </c>
      <c r="O2866" s="26" t="s">
        <v>77</v>
      </c>
    </row>
    <row r="2867">
      <c r="A2867" s="52" t="s">
        <v>77</v>
      </c>
      <c r="B2867" s="28" t="s">
        <v>77</v>
      </c>
      <c r="C2867" s="28" t="s">
        <v>77</v>
      </c>
      <c r="D2867" s="28" t="s">
        <v>77</v>
      </c>
      <c r="E2867" s="28" t="s">
        <v>77</v>
      </c>
      <c r="F2867" s="28" t="s">
        <v>77</v>
      </c>
      <c r="G2867" s="28" t="s">
        <v>77</v>
      </c>
      <c r="I2867" s="26" t="s">
        <v>77</v>
      </c>
      <c r="J2867" s="26" t="s">
        <v>77</v>
      </c>
      <c r="K2867" s="18"/>
      <c r="L2867" s="26" t="s">
        <v>77</v>
      </c>
      <c r="M2867" s="6" t="s">
        <v>77</v>
      </c>
      <c r="N2867" s="28" t="s">
        <v>77</v>
      </c>
      <c r="O2867" s="26" t="s">
        <v>77</v>
      </c>
    </row>
    <row r="2868">
      <c r="A2868" s="52" t="s">
        <v>77</v>
      </c>
      <c r="B2868" s="28" t="s">
        <v>77</v>
      </c>
      <c r="C2868" s="28" t="s">
        <v>77</v>
      </c>
      <c r="D2868" s="28" t="s">
        <v>77</v>
      </c>
      <c r="E2868" s="28" t="s">
        <v>77</v>
      </c>
      <c r="F2868" s="28" t="s">
        <v>77</v>
      </c>
      <c r="G2868" s="28" t="s">
        <v>77</v>
      </c>
      <c r="I2868" s="26" t="s">
        <v>77</v>
      </c>
      <c r="J2868" s="26" t="s">
        <v>77</v>
      </c>
      <c r="K2868" s="18"/>
      <c r="L2868" s="26" t="s">
        <v>77</v>
      </c>
      <c r="M2868" s="6" t="s">
        <v>77</v>
      </c>
      <c r="N2868" s="28" t="s">
        <v>77</v>
      </c>
      <c r="O2868" s="26" t="s">
        <v>77</v>
      </c>
    </row>
    <row r="2869">
      <c r="A2869" s="52" t="s">
        <v>77</v>
      </c>
      <c r="B2869" s="28" t="s">
        <v>77</v>
      </c>
      <c r="C2869" s="28" t="s">
        <v>77</v>
      </c>
      <c r="D2869" s="28" t="s">
        <v>77</v>
      </c>
      <c r="E2869" s="28" t="s">
        <v>77</v>
      </c>
      <c r="F2869" s="28" t="s">
        <v>77</v>
      </c>
      <c r="G2869" s="28" t="s">
        <v>77</v>
      </c>
      <c r="I2869" s="26" t="s">
        <v>77</v>
      </c>
      <c r="J2869" s="26" t="s">
        <v>77</v>
      </c>
      <c r="K2869" s="18"/>
      <c r="L2869" s="26" t="s">
        <v>77</v>
      </c>
      <c r="M2869" s="6" t="s">
        <v>77</v>
      </c>
      <c r="N2869" s="28" t="s">
        <v>77</v>
      </c>
      <c r="O2869" s="26" t="s">
        <v>77</v>
      </c>
    </row>
    <row r="2870">
      <c r="A2870" s="52" t="s">
        <v>77</v>
      </c>
      <c r="B2870" s="28" t="s">
        <v>77</v>
      </c>
      <c r="C2870" s="28" t="s">
        <v>77</v>
      </c>
      <c r="D2870" s="28" t="s">
        <v>77</v>
      </c>
      <c r="E2870" s="28" t="s">
        <v>77</v>
      </c>
      <c r="F2870" s="28" t="s">
        <v>77</v>
      </c>
      <c r="G2870" s="28" t="s">
        <v>77</v>
      </c>
      <c r="I2870" s="26" t="s">
        <v>77</v>
      </c>
      <c r="J2870" s="26" t="s">
        <v>77</v>
      </c>
      <c r="K2870" s="18"/>
      <c r="L2870" s="26" t="s">
        <v>77</v>
      </c>
      <c r="M2870" s="6" t="s">
        <v>77</v>
      </c>
      <c r="N2870" s="28" t="s">
        <v>77</v>
      </c>
      <c r="O2870" s="26" t="s">
        <v>77</v>
      </c>
    </row>
    <row r="2871">
      <c r="A2871" s="52" t="s">
        <v>77</v>
      </c>
      <c r="B2871" s="28" t="s">
        <v>77</v>
      </c>
      <c r="C2871" s="28" t="s">
        <v>77</v>
      </c>
      <c r="D2871" s="28" t="s">
        <v>77</v>
      </c>
      <c r="E2871" s="28" t="s">
        <v>77</v>
      </c>
      <c r="F2871" s="28" t="s">
        <v>77</v>
      </c>
      <c r="G2871" s="28" t="s">
        <v>77</v>
      </c>
      <c r="I2871" s="26" t="s">
        <v>77</v>
      </c>
      <c r="J2871" s="26" t="s">
        <v>77</v>
      </c>
      <c r="K2871" s="18"/>
      <c r="L2871" s="26" t="s">
        <v>77</v>
      </c>
      <c r="M2871" s="6" t="s">
        <v>77</v>
      </c>
      <c r="N2871" s="28" t="s">
        <v>77</v>
      </c>
      <c r="O2871" s="26" t="s">
        <v>77</v>
      </c>
    </row>
    <row r="2872">
      <c r="A2872" s="52" t="s">
        <v>77</v>
      </c>
      <c r="B2872" s="28" t="s">
        <v>77</v>
      </c>
      <c r="C2872" s="28" t="s">
        <v>77</v>
      </c>
      <c r="D2872" s="28" t="s">
        <v>77</v>
      </c>
      <c r="E2872" s="28" t="s">
        <v>77</v>
      </c>
      <c r="F2872" s="28" t="s">
        <v>77</v>
      </c>
      <c r="G2872" s="28" t="s">
        <v>77</v>
      </c>
      <c r="I2872" s="26" t="s">
        <v>77</v>
      </c>
      <c r="J2872" s="26" t="s">
        <v>77</v>
      </c>
      <c r="K2872" s="18"/>
      <c r="L2872" s="26" t="s">
        <v>77</v>
      </c>
      <c r="M2872" s="6" t="s">
        <v>77</v>
      </c>
      <c r="N2872" s="28" t="s">
        <v>77</v>
      </c>
      <c r="O2872" s="26" t="s">
        <v>77</v>
      </c>
    </row>
    <row r="2873">
      <c r="A2873" s="52" t="s">
        <v>77</v>
      </c>
      <c r="B2873" s="28" t="s">
        <v>77</v>
      </c>
      <c r="C2873" s="28" t="s">
        <v>77</v>
      </c>
      <c r="D2873" s="28" t="s">
        <v>77</v>
      </c>
      <c r="E2873" s="28" t="s">
        <v>77</v>
      </c>
      <c r="F2873" s="28" t="s">
        <v>77</v>
      </c>
      <c r="G2873" s="28" t="s">
        <v>77</v>
      </c>
      <c r="I2873" s="26" t="s">
        <v>77</v>
      </c>
      <c r="J2873" s="26" t="s">
        <v>77</v>
      </c>
      <c r="K2873" s="18"/>
      <c r="L2873" s="26" t="s">
        <v>77</v>
      </c>
      <c r="M2873" s="6" t="s">
        <v>77</v>
      </c>
      <c r="N2873" s="28" t="s">
        <v>77</v>
      </c>
      <c r="O2873" s="26" t="s">
        <v>77</v>
      </c>
    </row>
    <row r="2874">
      <c r="A2874" s="52" t="s">
        <v>77</v>
      </c>
      <c r="B2874" s="28" t="s">
        <v>77</v>
      </c>
      <c r="C2874" s="28" t="s">
        <v>77</v>
      </c>
      <c r="D2874" s="28" t="s">
        <v>77</v>
      </c>
      <c r="E2874" s="28" t="s">
        <v>77</v>
      </c>
      <c r="F2874" s="28" t="s">
        <v>77</v>
      </c>
      <c r="G2874" s="28" t="s">
        <v>77</v>
      </c>
      <c r="I2874" s="26" t="s">
        <v>77</v>
      </c>
      <c r="J2874" s="26" t="s">
        <v>77</v>
      </c>
      <c r="K2874" s="18"/>
      <c r="L2874" s="26" t="s">
        <v>77</v>
      </c>
      <c r="M2874" s="6" t="s">
        <v>77</v>
      </c>
      <c r="N2874" s="28" t="s">
        <v>77</v>
      </c>
      <c r="O2874" s="26" t="s">
        <v>77</v>
      </c>
    </row>
    <row r="2875">
      <c r="A2875" s="52" t="s">
        <v>77</v>
      </c>
      <c r="B2875" s="28" t="s">
        <v>77</v>
      </c>
      <c r="C2875" s="28" t="s">
        <v>77</v>
      </c>
      <c r="D2875" s="28" t="s">
        <v>77</v>
      </c>
      <c r="E2875" s="28" t="s">
        <v>77</v>
      </c>
      <c r="F2875" s="28" t="s">
        <v>77</v>
      </c>
      <c r="G2875" s="28" t="s">
        <v>77</v>
      </c>
      <c r="I2875" s="26" t="s">
        <v>77</v>
      </c>
      <c r="J2875" s="26" t="s">
        <v>77</v>
      </c>
      <c r="K2875" s="18"/>
      <c r="L2875" s="26" t="s">
        <v>77</v>
      </c>
      <c r="M2875" s="6" t="s">
        <v>77</v>
      </c>
      <c r="N2875" s="28" t="s">
        <v>77</v>
      </c>
      <c r="O2875" s="26" t="s">
        <v>77</v>
      </c>
    </row>
    <row r="2876">
      <c r="A2876" s="52" t="s">
        <v>77</v>
      </c>
      <c r="B2876" s="28" t="s">
        <v>77</v>
      </c>
      <c r="C2876" s="28" t="s">
        <v>77</v>
      </c>
      <c r="D2876" s="28" t="s">
        <v>77</v>
      </c>
      <c r="E2876" s="28" t="s">
        <v>77</v>
      </c>
      <c r="F2876" s="28" t="s">
        <v>77</v>
      </c>
      <c r="G2876" s="28" t="s">
        <v>77</v>
      </c>
      <c r="I2876" s="26" t="s">
        <v>77</v>
      </c>
      <c r="J2876" s="26" t="s">
        <v>77</v>
      </c>
      <c r="K2876" s="18"/>
      <c r="L2876" s="26" t="s">
        <v>77</v>
      </c>
      <c r="M2876" s="6" t="s">
        <v>77</v>
      </c>
      <c r="N2876" s="28" t="s">
        <v>77</v>
      </c>
      <c r="O2876" s="26" t="s">
        <v>77</v>
      </c>
    </row>
    <row r="2877">
      <c r="A2877" s="52" t="s">
        <v>77</v>
      </c>
      <c r="B2877" s="28" t="s">
        <v>77</v>
      </c>
      <c r="C2877" s="28" t="s">
        <v>77</v>
      </c>
      <c r="D2877" s="28" t="s">
        <v>77</v>
      </c>
      <c r="E2877" s="28" t="s">
        <v>77</v>
      </c>
      <c r="F2877" s="28" t="s">
        <v>77</v>
      </c>
      <c r="G2877" s="28" t="s">
        <v>77</v>
      </c>
      <c r="I2877" s="26" t="s">
        <v>77</v>
      </c>
      <c r="J2877" s="26" t="s">
        <v>77</v>
      </c>
      <c r="K2877" s="18"/>
      <c r="L2877" s="26" t="s">
        <v>77</v>
      </c>
      <c r="M2877" s="6" t="s">
        <v>77</v>
      </c>
      <c r="N2877" s="28" t="s">
        <v>77</v>
      </c>
      <c r="O2877" s="26" t="s">
        <v>77</v>
      </c>
    </row>
    <row r="2878">
      <c r="A2878" s="52" t="s">
        <v>77</v>
      </c>
      <c r="B2878" s="28" t="s">
        <v>77</v>
      </c>
      <c r="C2878" s="28" t="s">
        <v>77</v>
      </c>
      <c r="D2878" s="28" t="s">
        <v>77</v>
      </c>
      <c r="E2878" s="28" t="s">
        <v>77</v>
      </c>
      <c r="F2878" s="28" t="s">
        <v>77</v>
      </c>
      <c r="G2878" s="28" t="s">
        <v>77</v>
      </c>
      <c r="I2878" s="26" t="s">
        <v>77</v>
      </c>
      <c r="J2878" s="26" t="s">
        <v>77</v>
      </c>
      <c r="K2878" s="18"/>
      <c r="L2878" s="26" t="s">
        <v>77</v>
      </c>
      <c r="M2878" s="6" t="s">
        <v>77</v>
      </c>
      <c r="N2878" s="28" t="s">
        <v>77</v>
      </c>
      <c r="O2878" s="26" t="s">
        <v>77</v>
      </c>
    </row>
    <row r="2879">
      <c r="A2879" s="52" t="s">
        <v>77</v>
      </c>
      <c r="B2879" s="28" t="s">
        <v>77</v>
      </c>
      <c r="C2879" s="28" t="s">
        <v>77</v>
      </c>
      <c r="D2879" s="28" t="s">
        <v>77</v>
      </c>
      <c r="E2879" s="28" t="s">
        <v>77</v>
      </c>
      <c r="F2879" s="28" t="s">
        <v>77</v>
      </c>
      <c r="G2879" s="28" t="s">
        <v>77</v>
      </c>
      <c r="I2879" s="26" t="s">
        <v>77</v>
      </c>
      <c r="J2879" s="26" t="s">
        <v>77</v>
      </c>
      <c r="K2879" s="18"/>
      <c r="L2879" s="26" t="s">
        <v>77</v>
      </c>
      <c r="M2879" s="6" t="s">
        <v>77</v>
      </c>
      <c r="N2879" s="28" t="s">
        <v>77</v>
      </c>
      <c r="O2879" s="26" t="s">
        <v>77</v>
      </c>
    </row>
    <row r="2880">
      <c r="A2880" s="52" t="s">
        <v>77</v>
      </c>
      <c r="B2880" s="28" t="s">
        <v>77</v>
      </c>
      <c r="C2880" s="28" t="s">
        <v>77</v>
      </c>
      <c r="D2880" s="28" t="s">
        <v>77</v>
      </c>
      <c r="E2880" s="28" t="s">
        <v>77</v>
      </c>
      <c r="F2880" s="28" t="s">
        <v>77</v>
      </c>
      <c r="G2880" s="28" t="s">
        <v>77</v>
      </c>
      <c r="I2880" s="26" t="s">
        <v>77</v>
      </c>
      <c r="J2880" s="26" t="s">
        <v>77</v>
      </c>
      <c r="K2880" s="18"/>
      <c r="L2880" s="26" t="s">
        <v>77</v>
      </c>
      <c r="M2880" s="6" t="s">
        <v>77</v>
      </c>
      <c r="N2880" s="28" t="s">
        <v>77</v>
      </c>
      <c r="O2880" s="26" t="s">
        <v>77</v>
      </c>
    </row>
    <row r="2881">
      <c r="A2881" s="52" t="s">
        <v>77</v>
      </c>
      <c r="B2881" s="28" t="s">
        <v>77</v>
      </c>
      <c r="C2881" s="28" t="s">
        <v>77</v>
      </c>
      <c r="D2881" s="28" t="s">
        <v>77</v>
      </c>
      <c r="E2881" s="28" t="s">
        <v>77</v>
      </c>
      <c r="F2881" s="28" t="s">
        <v>77</v>
      </c>
      <c r="G2881" s="28" t="s">
        <v>77</v>
      </c>
      <c r="I2881" s="26" t="s">
        <v>77</v>
      </c>
      <c r="J2881" s="26" t="s">
        <v>77</v>
      </c>
      <c r="K2881" s="18"/>
      <c r="L2881" s="26" t="s">
        <v>77</v>
      </c>
      <c r="M2881" s="6" t="s">
        <v>77</v>
      </c>
      <c r="N2881" s="28" t="s">
        <v>77</v>
      </c>
      <c r="O2881" s="26" t="s">
        <v>77</v>
      </c>
    </row>
    <row r="2882">
      <c r="A2882" s="52" t="s">
        <v>77</v>
      </c>
      <c r="B2882" s="28" t="s">
        <v>77</v>
      </c>
      <c r="C2882" s="28" t="s">
        <v>77</v>
      </c>
      <c r="D2882" s="28" t="s">
        <v>77</v>
      </c>
      <c r="E2882" s="28" t="s">
        <v>77</v>
      </c>
      <c r="F2882" s="28" t="s">
        <v>77</v>
      </c>
      <c r="G2882" s="28" t="s">
        <v>77</v>
      </c>
      <c r="I2882" s="26" t="s">
        <v>77</v>
      </c>
      <c r="J2882" s="26" t="s">
        <v>77</v>
      </c>
      <c r="K2882" s="18"/>
      <c r="L2882" s="26" t="s">
        <v>77</v>
      </c>
      <c r="M2882" s="6" t="s">
        <v>77</v>
      </c>
      <c r="N2882" s="28" t="s">
        <v>77</v>
      </c>
      <c r="O2882" s="26" t="s">
        <v>77</v>
      </c>
    </row>
    <row r="2883">
      <c r="A2883" s="52" t="s">
        <v>77</v>
      </c>
      <c r="B2883" s="28" t="s">
        <v>77</v>
      </c>
      <c r="C2883" s="28" t="s">
        <v>77</v>
      </c>
      <c r="D2883" s="28" t="s">
        <v>77</v>
      </c>
      <c r="E2883" s="28" t="s">
        <v>77</v>
      </c>
      <c r="F2883" s="28" t="s">
        <v>77</v>
      </c>
      <c r="G2883" s="28" t="s">
        <v>77</v>
      </c>
      <c r="I2883" s="26" t="s">
        <v>77</v>
      </c>
      <c r="J2883" s="26" t="s">
        <v>77</v>
      </c>
      <c r="K2883" s="18"/>
      <c r="L2883" s="26" t="s">
        <v>77</v>
      </c>
      <c r="M2883" s="6" t="s">
        <v>77</v>
      </c>
      <c r="N2883" s="28" t="s">
        <v>77</v>
      </c>
      <c r="O2883" s="26" t="s">
        <v>77</v>
      </c>
    </row>
    <row r="2884">
      <c r="A2884" s="52" t="s">
        <v>77</v>
      </c>
      <c r="B2884" s="28" t="s">
        <v>77</v>
      </c>
      <c r="C2884" s="28" t="s">
        <v>77</v>
      </c>
      <c r="D2884" s="28" t="s">
        <v>77</v>
      </c>
      <c r="E2884" s="28" t="s">
        <v>77</v>
      </c>
      <c r="F2884" s="28" t="s">
        <v>77</v>
      </c>
      <c r="G2884" s="28" t="s">
        <v>77</v>
      </c>
      <c r="I2884" s="26" t="s">
        <v>77</v>
      </c>
      <c r="J2884" s="26" t="s">
        <v>77</v>
      </c>
      <c r="K2884" s="18"/>
      <c r="L2884" s="26" t="s">
        <v>77</v>
      </c>
      <c r="M2884" s="6" t="s">
        <v>77</v>
      </c>
      <c r="N2884" s="28" t="s">
        <v>77</v>
      </c>
      <c r="O2884" s="26" t="s">
        <v>77</v>
      </c>
    </row>
    <row r="2885">
      <c r="A2885" s="52" t="s">
        <v>77</v>
      </c>
      <c r="B2885" s="28" t="s">
        <v>77</v>
      </c>
      <c r="C2885" s="28" t="s">
        <v>77</v>
      </c>
      <c r="D2885" s="28" t="s">
        <v>77</v>
      </c>
      <c r="E2885" s="28" t="s">
        <v>77</v>
      </c>
      <c r="F2885" s="28" t="s">
        <v>77</v>
      </c>
      <c r="G2885" s="28" t="s">
        <v>77</v>
      </c>
      <c r="I2885" s="26" t="s">
        <v>77</v>
      </c>
      <c r="J2885" s="26" t="s">
        <v>77</v>
      </c>
      <c r="K2885" s="18"/>
      <c r="L2885" s="26" t="s">
        <v>77</v>
      </c>
      <c r="M2885" s="6" t="s">
        <v>77</v>
      </c>
      <c r="N2885" s="28" t="s">
        <v>77</v>
      </c>
      <c r="O2885" s="26" t="s">
        <v>77</v>
      </c>
    </row>
    <row r="2886">
      <c r="A2886" s="52" t="s">
        <v>77</v>
      </c>
      <c r="B2886" s="28" t="s">
        <v>77</v>
      </c>
      <c r="C2886" s="28" t="s">
        <v>77</v>
      </c>
      <c r="D2886" s="28" t="s">
        <v>77</v>
      </c>
      <c r="E2886" s="28" t="s">
        <v>77</v>
      </c>
      <c r="F2886" s="28" t="s">
        <v>77</v>
      </c>
      <c r="G2886" s="28" t="s">
        <v>77</v>
      </c>
      <c r="I2886" s="26" t="s">
        <v>77</v>
      </c>
      <c r="J2886" s="26" t="s">
        <v>77</v>
      </c>
      <c r="K2886" s="18"/>
      <c r="L2886" s="26" t="s">
        <v>77</v>
      </c>
      <c r="M2886" s="6" t="s">
        <v>77</v>
      </c>
      <c r="N2886" s="28" t="s">
        <v>77</v>
      </c>
      <c r="O2886" s="26" t="s">
        <v>77</v>
      </c>
    </row>
    <row r="2887">
      <c r="A2887" s="52" t="s">
        <v>77</v>
      </c>
      <c r="B2887" s="28" t="s">
        <v>77</v>
      </c>
      <c r="C2887" s="28" t="s">
        <v>77</v>
      </c>
      <c r="D2887" s="28" t="s">
        <v>77</v>
      </c>
      <c r="E2887" s="28" t="s">
        <v>77</v>
      </c>
      <c r="F2887" s="28" t="s">
        <v>77</v>
      </c>
      <c r="G2887" s="28" t="s">
        <v>77</v>
      </c>
      <c r="I2887" s="26" t="s">
        <v>77</v>
      </c>
      <c r="J2887" s="26" t="s">
        <v>77</v>
      </c>
      <c r="K2887" s="18"/>
      <c r="L2887" s="26" t="s">
        <v>77</v>
      </c>
      <c r="M2887" s="6" t="s">
        <v>77</v>
      </c>
      <c r="N2887" s="28" t="s">
        <v>77</v>
      </c>
      <c r="O2887" s="26" t="s">
        <v>77</v>
      </c>
    </row>
    <row r="2888">
      <c r="A2888" s="52" t="s">
        <v>77</v>
      </c>
      <c r="B2888" s="28" t="s">
        <v>77</v>
      </c>
      <c r="C2888" s="28" t="s">
        <v>77</v>
      </c>
      <c r="D2888" s="28" t="s">
        <v>77</v>
      </c>
      <c r="E2888" s="28" t="s">
        <v>77</v>
      </c>
      <c r="F2888" s="28" t="s">
        <v>77</v>
      </c>
      <c r="G2888" s="28" t="s">
        <v>77</v>
      </c>
      <c r="I2888" s="26" t="s">
        <v>77</v>
      </c>
      <c r="J2888" s="26" t="s">
        <v>77</v>
      </c>
      <c r="K2888" s="18"/>
      <c r="L2888" s="26" t="s">
        <v>77</v>
      </c>
      <c r="M2888" s="6" t="s">
        <v>77</v>
      </c>
      <c r="N2888" s="28" t="s">
        <v>77</v>
      </c>
      <c r="O2888" s="26" t="s">
        <v>77</v>
      </c>
    </row>
    <row r="2889">
      <c r="A2889" s="52" t="s">
        <v>77</v>
      </c>
      <c r="B2889" s="28" t="s">
        <v>77</v>
      </c>
      <c r="C2889" s="28" t="s">
        <v>77</v>
      </c>
      <c r="D2889" s="28" t="s">
        <v>77</v>
      </c>
      <c r="E2889" s="28" t="s">
        <v>77</v>
      </c>
      <c r="F2889" s="28" t="s">
        <v>77</v>
      </c>
      <c r="G2889" s="28" t="s">
        <v>77</v>
      </c>
      <c r="I2889" s="26" t="s">
        <v>77</v>
      </c>
      <c r="J2889" s="26" t="s">
        <v>77</v>
      </c>
      <c r="K2889" s="18"/>
      <c r="L2889" s="26" t="s">
        <v>77</v>
      </c>
      <c r="M2889" s="6" t="s">
        <v>77</v>
      </c>
      <c r="N2889" s="28" t="s">
        <v>77</v>
      </c>
      <c r="O2889" s="26" t="s">
        <v>77</v>
      </c>
    </row>
    <row r="2890">
      <c r="A2890" s="52" t="s">
        <v>77</v>
      </c>
      <c r="B2890" s="28" t="s">
        <v>77</v>
      </c>
      <c r="C2890" s="28" t="s">
        <v>77</v>
      </c>
      <c r="D2890" s="28" t="s">
        <v>77</v>
      </c>
      <c r="E2890" s="28" t="s">
        <v>77</v>
      </c>
      <c r="F2890" s="28" t="s">
        <v>77</v>
      </c>
      <c r="G2890" s="28" t="s">
        <v>77</v>
      </c>
      <c r="I2890" s="26" t="s">
        <v>77</v>
      </c>
      <c r="J2890" s="26" t="s">
        <v>77</v>
      </c>
      <c r="K2890" s="18"/>
      <c r="L2890" s="26" t="s">
        <v>77</v>
      </c>
      <c r="M2890" s="6" t="s">
        <v>77</v>
      </c>
      <c r="N2890" s="28" t="s">
        <v>77</v>
      </c>
      <c r="O2890" s="26" t="s">
        <v>77</v>
      </c>
    </row>
    <row r="2891">
      <c r="A2891" s="52" t="s">
        <v>77</v>
      </c>
      <c r="B2891" s="28" t="s">
        <v>77</v>
      </c>
      <c r="C2891" s="28" t="s">
        <v>77</v>
      </c>
      <c r="D2891" s="28" t="s">
        <v>77</v>
      </c>
      <c r="E2891" s="28" t="s">
        <v>77</v>
      </c>
      <c r="F2891" s="28" t="s">
        <v>77</v>
      </c>
      <c r="G2891" s="28" t="s">
        <v>77</v>
      </c>
      <c r="I2891" s="26" t="s">
        <v>77</v>
      </c>
      <c r="J2891" s="26" t="s">
        <v>77</v>
      </c>
      <c r="K2891" s="18"/>
      <c r="L2891" s="26" t="s">
        <v>77</v>
      </c>
      <c r="M2891" s="6" t="s">
        <v>77</v>
      </c>
      <c r="N2891" s="28" t="s">
        <v>77</v>
      </c>
      <c r="O2891" s="26" t="s">
        <v>77</v>
      </c>
    </row>
    <row r="2892">
      <c r="A2892" s="52" t="s">
        <v>77</v>
      </c>
      <c r="B2892" s="28" t="s">
        <v>77</v>
      </c>
      <c r="C2892" s="28" t="s">
        <v>77</v>
      </c>
      <c r="D2892" s="28" t="s">
        <v>77</v>
      </c>
      <c r="E2892" s="28" t="s">
        <v>77</v>
      </c>
      <c r="F2892" s="28" t="s">
        <v>77</v>
      </c>
      <c r="G2892" s="28" t="s">
        <v>77</v>
      </c>
      <c r="I2892" s="26" t="s">
        <v>77</v>
      </c>
      <c r="J2892" s="26" t="s">
        <v>77</v>
      </c>
      <c r="K2892" s="18"/>
      <c r="L2892" s="26" t="s">
        <v>77</v>
      </c>
      <c r="M2892" s="6" t="s">
        <v>77</v>
      </c>
      <c r="N2892" s="28" t="s">
        <v>77</v>
      </c>
      <c r="O2892" s="26" t="s">
        <v>77</v>
      </c>
    </row>
    <row r="2893">
      <c r="A2893" s="52" t="s">
        <v>77</v>
      </c>
      <c r="B2893" s="28" t="s">
        <v>77</v>
      </c>
      <c r="C2893" s="28" t="s">
        <v>77</v>
      </c>
      <c r="D2893" s="28" t="s">
        <v>77</v>
      </c>
      <c r="E2893" s="28" t="s">
        <v>77</v>
      </c>
      <c r="F2893" s="28" t="s">
        <v>77</v>
      </c>
      <c r="G2893" s="28" t="s">
        <v>77</v>
      </c>
      <c r="I2893" s="26" t="s">
        <v>77</v>
      </c>
      <c r="J2893" s="26" t="s">
        <v>77</v>
      </c>
      <c r="K2893" s="18"/>
      <c r="L2893" s="26" t="s">
        <v>77</v>
      </c>
      <c r="M2893" s="6" t="s">
        <v>77</v>
      </c>
      <c r="N2893" s="28" t="s">
        <v>77</v>
      </c>
      <c r="O2893" s="26" t="s">
        <v>77</v>
      </c>
    </row>
    <row r="2894">
      <c r="A2894" s="52" t="s">
        <v>77</v>
      </c>
      <c r="B2894" s="28" t="s">
        <v>77</v>
      </c>
      <c r="C2894" s="28" t="s">
        <v>77</v>
      </c>
      <c r="D2894" s="28" t="s">
        <v>77</v>
      </c>
      <c r="E2894" s="28" t="s">
        <v>77</v>
      </c>
      <c r="F2894" s="28" t="s">
        <v>77</v>
      </c>
      <c r="G2894" s="28" t="s">
        <v>77</v>
      </c>
      <c r="I2894" s="26" t="s">
        <v>77</v>
      </c>
      <c r="J2894" s="26" t="s">
        <v>77</v>
      </c>
      <c r="K2894" s="18"/>
      <c r="L2894" s="26" t="s">
        <v>77</v>
      </c>
      <c r="M2894" s="6" t="s">
        <v>77</v>
      </c>
      <c r="N2894" s="28" t="s">
        <v>77</v>
      </c>
      <c r="O2894" s="26" t="s">
        <v>77</v>
      </c>
    </row>
    <row r="2895">
      <c r="A2895" s="52" t="s">
        <v>77</v>
      </c>
      <c r="B2895" s="28" t="s">
        <v>77</v>
      </c>
      <c r="C2895" s="28" t="s">
        <v>77</v>
      </c>
      <c r="D2895" s="28" t="s">
        <v>77</v>
      </c>
      <c r="E2895" s="28" t="s">
        <v>77</v>
      </c>
      <c r="F2895" s="28" t="s">
        <v>77</v>
      </c>
      <c r="G2895" s="28" t="s">
        <v>77</v>
      </c>
      <c r="I2895" s="26" t="s">
        <v>77</v>
      </c>
      <c r="J2895" s="26" t="s">
        <v>77</v>
      </c>
      <c r="K2895" s="18"/>
      <c r="L2895" s="26" t="s">
        <v>77</v>
      </c>
      <c r="M2895" s="6" t="s">
        <v>77</v>
      </c>
      <c r="N2895" s="28" t="s">
        <v>77</v>
      </c>
      <c r="O2895" s="26" t="s">
        <v>77</v>
      </c>
    </row>
    <row r="2896">
      <c r="A2896" s="52" t="s">
        <v>77</v>
      </c>
      <c r="B2896" s="28" t="s">
        <v>77</v>
      </c>
      <c r="C2896" s="28" t="s">
        <v>77</v>
      </c>
      <c r="D2896" s="28" t="s">
        <v>77</v>
      </c>
      <c r="E2896" s="28" t="s">
        <v>77</v>
      </c>
      <c r="F2896" s="28" t="s">
        <v>77</v>
      </c>
      <c r="G2896" s="28" t="s">
        <v>77</v>
      </c>
      <c r="I2896" s="26" t="s">
        <v>77</v>
      </c>
      <c r="J2896" s="26" t="s">
        <v>77</v>
      </c>
      <c r="K2896" s="18"/>
      <c r="L2896" s="26" t="s">
        <v>77</v>
      </c>
      <c r="M2896" s="6" t="s">
        <v>77</v>
      </c>
      <c r="N2896" s="28" t="s">
        <v>77</v>
      </c>
      <c r="O2896" s="26" t="s">
        <v>77</v>
      </c>
    </row>
    <row r="2897">
      <c r="A2897" s="52" t="s">
        <v>77</v>
      </c>
      <c r="B2897" s="28" t="s">
        <v>77</v>
      </c>
      <c r="C2897" s="28" t="s">
        <v>77</v>
      </c>
      <c r="D2897" s="28" t="s">
        <v>77</v>
      </c>
      <c r="E2897" s="28" t="s">
        <v>77</v>
      </c>
      <c r="F2897" s="28" t="s">
        <v>77</v>
      </c>
      <c r="G2897" s="28" t="s">
        <v>77</v>
      </c>
      <c r="I2897" s="26" t="s">
        <v>77</v>
      </c>
      <c r="J2897" s="26" t="s">
        <v>77</v>
      </c>
      <c r="K2897" s="18"/>
      <c r="L2897" s="26" t="s">
        <v>77</v>
      </c>
      <c r="M2897" s="6" t="s">
        <v>77</v>
      </c>
      <c r="N2897" s="28" t="s">
        <v>77</v>
      </c>
      <c r="O2897" s="26" t="s">
        <v>77</v>
      </c>
    </row>
    <row r="2898">
      <c r="A2898" s="52" t="s">
        <v>77</v>
      </c>
      <c r="B2898" s="28" t="s">
        <v>77</v>
      </c>
      <c r="C2898" s="28" t="s">
        <v>77</v>
      </c>
      <c r="D2898" s="28" t="s">
        <v>77</v>
      </c>
      <c r="E2898" s="28" t="s">
        <v>77</v>
      </c>
      <c r="F2898" s="28" t="s">
        <v>77</v>
      </c>
      <c r="G2898" s="28" t="s">
        <v>77</v>
      </c>
      <c r="I2898" s="26" t="s">
        <v>77</v>
      </c>
      <c r="J2898" s="26" t="s">
        <v>77</v>
      </c>
      <c r="K2898" s="18"/>
      <c r="L2898" s="26" t="s">
        <v>77</v>
      </c>
      <c r="M2898" s="6" t="s">
        <v>77</v>
      </c>
      <c r="N2898" s="28" t="s">
        <v>77</v>
      </c>
      <c r="O2898" s="26" t="s">
        <v>77</v>
      </c>
    </row>
    <row r="2899">
      <c r="A2899" s="52" t="s">
        <v>77</v>
      </c>
      <c r="B2899" s="28" t="s">
        <v>77</v>
      </c>
      <c r="C2899" s="28" t="s">
        <v>77</v>
      </c>
      <c r="D2899" s="28" t="s">
        <v>77</v>
      </c>
      <c r="E2899" s="28" t="s">
        <v>77</v>
      </c>
      <c r="F2899" s="28" t="s">
        <v>77</v>
      </c>
      <c r="G2899" s="28" t="s">
        <v>77</v>
      </c>
      <c r="I2899" s="26" t="s">
        <v>77</v>
      </c>
      <c r="J2899" s="26" t="s">
        <v>77</v>
      </c>
      <c r="K2899" s="18"/>
      <c r="L2899" s="26" t="s">
        <v>77</v>
      </c>
      <c r="M2899" s="6" t="s">
        <v>77</v>
      </c>
      <c r="N2899" s="28" t="s">
        <v>77</v>
      </c>
      <c r="O2899" s="26" t="s">
        <v>77</v>
      </c>
    </row>
    <row r="2900">
      <c r="A2900" s="52" t="s">
        <v>77</v>
      </c>
      <c r="B2900" s="28" t="s">
        <v>77</v>
      </c>
      <c r="C2900" s="28" t="s">
        <v>77</v>
      </c>
      <c r="D2900" s="28" t="s">
        <v>77</v>
      </c>
      <c r="E2900" s="28" t="s">
        <v>77</v>
      </c>
      <c r="F2900" s="28" t="s">
        <v>77</v>
      </c>
      <c r="G2900" s="28" t="s">
        <v>77</v>
      </c>
      <c r="I2900" s="26" t="s">
        <v>77</v>
      </c>
      <c r="J2900" s="26" t="s">
        <v>77</v>
      </c>
      <c r="K2900" s="18"/>
      <c r="L2900" s="26" t="s">
        <v>77</v>
      </c>
      <c r="M2900" s="6" t="s">
        <v>77</v>
      </c>
      <c r="N2900" s="28" t="s">
        <v>77</v>
      </c>
      <c r="O2900" s="26" t="s">
        <v>77</v>
      </c>
    </row>
    <row r="2901">
      <c r="A2901" s="52" t="s">
        <v>77</v>
      </c>
      <c r="B2901" s="28" t="s">
        <v>77</v>
      </c>
      <c r="C2901" s="28" t="s">
        <v>77</v>
      </c>
      <c r="D2901" s="28" t="s">
        <v>77</v>
      </c>
      <c r="E2901" s="28" t="s">
        <v>77</v>
      </c>
      <c r="F2901" s="28" t="s">
        <v>77</v>
      </c>
      <c r="G2901" s="28" t="s">
        <v>77</v>
      </c>
      <c r="I2901" s="26" t="s">
        <v>77</v>
      </c>
      <c r="J2901" s="26" t="s">
        <v>77</v>
      </c>
      <c r="K2901" s="18"/>
      <c r="L2901" s="26" t="s">
        <v>77</v>
      </c>
      <c r="M2901" s="6" t="s">
        <v>77</v>
      </c>
      <c r="N2901" s="28" t="s">
        <v>77</v>
      </c>
      <c r="O2901" s="26" t="s">
        <v>77</v>
      </c>
    </row>
    <row r="2902">
      <c r="A2902" s="52" t="s">
        <v>77</v>
      </c>
      <c r="B2902" s="28" t="s">
        <v>77</v>
      </c>
      <c r="C2902" s="28" t="s">
        <v>77</v>
      </c>
      <c r="D2902" s="28" t="s">
        <v>77</v>
      </c>
      <c r="E2902" s="28" t="s">
        <v>77</v>
      </c>
      <c r="F2902" s="28" t="s">
        <v>77</v>
      </c>
      <c r="G2902" s="28" t="s">
        <v>77</v>
      </c>
      <c r="I2902" s="26" t="s">
        <v>77</v>
      </c>
      <c r="J2902" s="26" t="s">
        <v>77</v>
      </c>
      <c r="K2902" s="18"/>
      <c r="L2902" s="26" t="s">
        <v>77</v>
      </c>
      <c r="M2902" s="6" t="s">
        <v>77</v>
      </c>
      <c r="N2902" s="28" t="s">
        <v>77</v>
      </c>
      <c r="O2902" s="26" t="s">
        <v>77</v>
      </c>
    </row>
    <row r="2903">
      <c r="A2903" s="52" t="s">
        <v>77</v>
      </c>
      <c r="B2903" s="28" t="s">
        <v>77</v>
      </c>
      <c r="C2903" s="28" t="s">
        <v>77</v>
      </c>
      <c r="D2903" s="28" t="s">
        <v>77</v>
      </c>
      <c r="E2903" s="28" t="s">
        <v>77</v>
      </c>
      <c r="F2903" s="28" t="s">
        <v>77</v>
      </c>
      <c r="G2903" s="28" t="s">
        <v>77</v>
      </c>
      <c r="I2903" s="26" t="s">
        <v>77</v>
      </c>
      <c r="J2903" s="26" t="s">
        <v>77</v>
      </c>
      <c r="K2903" s="18"/>
      <c r="L2903" s="26" t="s">
        <v>77</v>
      </c>
      <c r="M2903" s="6" t="s">
        <v>77</v>
      </c>
      <c r="N2903" s="28" t="s">
        <v>77</v>
      </c>
      <c r="O2903" s="26" t="s">
        <v>77</v>
      </c>
    </row>
    <row r="2904">
      <c r="A2904" s="52" t="s">
        <v>77</v>
      </c>
      <c r="B2904" s="28" t="s">
        <v>77</v>
      </c>
      <c r="C2904" s="28" t="s">
        <v>77</v>
      </c>
      <c r="D2904" s="28" t="s">
        <v>77</v>
      </c>
      <c r="E2904" s="28" t="s">
        <v>77</v>
      </c>
      <c r="F2904" s="28" t="s">
        <v>77</v>
      </c>
      <c r="G2904" s="28" t="s">
        <v>77</v>
      </c>
      <c r="I2904" s="26" t="s">
        <v>77</v>
      </c>
      <c r="J2904" s="26" t="s">
        <v>77</v>
      </c>
      <c r="K2904" s="18"/>
      <c r="L2904" s="26" t="s">
        <v>77</v>
      </c>
      <c r="M2904" s="6" t="s">
        <v>77</v>
      </c>
      <c r="N2904" s="28" t="s">
        <v>77</v>
      </c>
      <c r="O2904" s="26" t="s">
        <v>77</v>
      </c>
    </row>
    <row r="2905">
      <c r="A2905" s="52" t="s">
        <v>77</v>
      </c>
      <c r="B2905" s="28" t="s">
        <v>77</v>
      </c>
      <c r="C2905" s="28" t="s">
        <v>77</v>
      </c>
      <c r="D2905" s="28" t="s">
        <v>77</v>
      </c>
      <c r="E2905" s="28" t="s">
        <v>77</v>
      </c>
      <c r="F2905" s="28" t="s">
        <v>77</v>
      </c>
      <c r="G2905" s="28" t="s">
        <v>77</v>
      </c>
      <c r="I2905" s="26" t="s">
        <v>77</v>
      </c>
      <c r="J2905" s="26" t="s">
        <v>77</v>
      </c>
      <c r="K2905" s="18"/>
      <c r="L2905" s="26" t="s">
        <v>77</v>
      </c>
      <c r="M2905" s="6" t="s">
        <v>77</v>
      </c>
      <c r="N2905" s="28" t="s">
        <v>77</v>
      </c>
      <c r="O2905" s="26" t="s">
        <v>77</v>
      </c>
    </row>
    <row r="2906">
      <c r="A2906" s="52" t="s">
        <v>77</v>
      </c>
      <c r="B2906" s="28" t="s">
        <v>77</v>
      </c>
      <c r="C2906" s="28" t="s">
        <v>77</v>
      </c>
      <c r="D2906" s="28" t="s">
        <v>77</v>
      </c>
      <c r="E2906" s="28" t="s">
        <v>77</v>
      </c>
      <c r="F2906" s="28" t="s">
        <v>77</v>
      </c>
      <c r="G2906" s="28" t="s">
        <v>77</v>
      </c>
      <c r="I2906" s="26" t="s">
        <v>77</v>
      </c>
      <c r="J2906" s="26" t="s">
        <v>77</v>
      </c>
      <c r="K2906" s="18"/>
      <c r="L2906" s="26" t="s">
        <v>77</v>
      </c>
      <c r="M2906" s="6" t="s">
        <v>77</v>
      </c>
      <c r="N2906" s="28" t="s">
        <v>77</v>
      </c>
      <c r="O2906" s="26" t="s">
        <v>77</v>
      </c>
    </row>
    <row r="2907">
      <c r="A2907" s="52" t="s">
        <v>77</v>
      </c>
      <c r="B2907" s="28" t="s">
        <v>77</v>
      </c>
      <c r="C2907" s="28" t="s">
        <v>77</v>
      </c>
      <c r="D2907" s="28" t="s">
        <v>77</v>
      </c>
      <c r="E2907" s="28" t="s">
        <v>77</v>
      </c>
      <c r="F2907" s="28" t="s">
        <v>77</v>
      </c>
      <c r="G2907" s="28" t="s">
        <v>77</v>
      </c>
      <c r="I2907" s="26" t="s">
        <v>77</v>
      </c>
      <c r="J2907" s="26" t="s">
        <v>77</v>
      </c>
      <c r="K2907" s="18"/>
      <c r="L2907" s="26" t="s">
        <v>77</v>
      </c>
      <c r="M2907" s="6" t="s">
        <v>77</v>
      </c>
      <c r="N2907" s="28" t="s">
        <v>77</v>
      </c>
      <c r="O2907" s="26" t="s">
        <v>77</v>
      </c>
    </row>
    <row r="2908">
      <c r="A2908" s="52" t="s">
        <v>77</v>
      </c>
      <c r="B2908" s="28" t="s">
        <v>77</v>
      </c>
      <c r="C2908" s="28" t="s">
        <v>77</v>
      </c>
      <c r="D2908" s="28" t="s">
        <v>77</v>
      </c>
      <c r="E2908" s="28" t="s">
        <v>77</v>
      </c>
      <c r="F2908" s="28" t="s">
        <v>77</v>
      </c>
      <c r="G2908" s="28" t="s">
        <v>77</v>
      </c>
      <c r="I2908" s="26" t="s">
        <v>77</v>
      </c>
      <c r="J2908" s="26" t="s">
        <v>77</v>
      </c>
      <c r="K2908" s="18"/>
      <c r="L2908" s="26" t="s">
        <v>77</v>
      </c>
      <c r="M2908" s="6" t="s">
        <v>77</v>
      </c>
      <c r="N2908" s="28" t="s">
        <v>77</v>
      </c>
      <c r="O2908" s="26" t="s">
        <v>77</v>
      </c>
    </row>
    <row r="2909">
      <c r="A2909" s="52" t="s">
        <v>77</v>
      </c>
      <c r="B2909" s="28" t="s">
        <v>77</v>
      </c>
      <c r="C2909" s="28" t="s">
        <v>77</v>
      </c>
      <c r="D2909" s="28" t="s">
        <v>77</v>
      </c>
      <c r="E2909" s="28" t="s">
        <v>77</v>
      </c>
      <c r="F2909" s="28" t="s">
        <v>77</v>
      </c>
      <c r="G2909" s="28" t="s">
        <v>77</v>
      </c>
      <c r="I2909" s="26" t="s">
        <v>77</v>
      </c>
      <c r="J2909" s="26" t="s">
        <v>77</v>
      </c>
      <c r="K2909" s="18"/>
      <c r="L2909" s="26" t="s">
        <v>77</v>
      </c>
      <c r="M2909" s="6" t="s">
        <v>77</v>
      </c>
      <c r="N2909" s="28" t="s">
        <v>77</v>
      </c>
      <c r="O2909" s="26" t="s">
        <v>77</v>
      </c>
    </row>
    <row r="2910">
      <c r="A2910" s="52" t="s">
        <v>77</v>
      </c>
      <c r="B2910" s="28" t="s">
        <v>77</v>
      </c>
      <c r="C2910" s="28" t="s">
        <v>77</v>
      </c>
      <c r="D2910" s="28" t="s">
        <v>77</v>
      </c>
      <c r="E2910" s="28" t="s">
        <v>77</v>
      </c>
      <c r="F2910" s="28" t="s">
        <v>77</v>
      </c>
      <c r="G2910" s="28" t="s">
        <v>77</v>
      </c>
      <c r="I2910" s="26" t="s">
        <v>77</v>
      </c>
      <c r="J2910" s="26" t="s">
        <v>77</v>
      </c>
      <c r="K2910" s="18"/>
      <c r="L2910" s="26" t="s">
        <v>77</v>
      </c>
      <c r="M2910" s="6" t="s">
        <v>77</v>
      </c>
      <c r="N2910" s="28" t="s">
        <v>77</v>
      </c>
      <c r="O2910" s="26" t="s">
        <v>77</v>
      </c>
    </row>
    <row r="2911">
      <c r="A2911" s="52" t="s">
        <v>77</v>
      </c>
      <c r="B2911" s="28" t="s">
        <v>77</v>
      </c>
      <c r="C2911" s="28" t="s">
        <v>77</v>
      </c>
      <c r="D2911" s="28" t="s">
        <v>77</v>
      </c>
      <c r="E2911" s="28" t="s">
        <v>77</v>
      </c>
      <c r="F2911" s="28" t="s">
        <v>77</v>
      </c>
      <c r="G2911" s="28" t="s">
        <v>77</v>
      </c>
      <c r="I2911" s="26" t="s">
        <v>77</v>
      </c>
      <c r="J2911" s="26" t="s">
        <v>77</v>
      </c>
      <c r="K2911" s="18"/>
      <c r="L2911" s="26" t="s">
        <v>77</v>
      </c>
      <c r="M2911" s="6" t="s">
        <v>77</v>
      </c>
      <c r="N2911" s="28" t="s">
        <v>77</v>
      </c>
      <c r="O2911" s="26" t="s">
        <v>77</v>
      </c>
    </row>
    <row r="2912">
      <c r="A2912" s="52" t="s">
        <v>77</v>
      </c>
      <c r="B2912" s="28" t="s">
        <v>77</v>
      </c>
      <c r="C2912" s="28" t="s">
        <v>77</v>
      </c>
      <c r="D2912" s="28" t="s">
        <v>77</v>
      </c>
      <c r="E2912" s="28" t="s">
        <v>77</v>
      </c>
      <c r="F2912" s="28" t="s">
        <v>77</v>
      </c>
      <c r="G2912" s="28" t="s">
        <v>77</v>
      </c>
      <c r="I2912" s="26" t="s">
        <v>77</v>
      </c>
      <c r="J2912" s="26" t="s">
        <v>77</v>
      </c>
      <c r="K2912" s="18"/>
      <c r="L2912" s="26" t="s">
        <v>77</v>
      </c>
      <c r="M2912" s="6" t="s">
        <v>77</v>
      </c>
      <c r="N2912" s="28" t="s">
        <v>77</v>
      </c>
      <c r="O2912" s="26" t="s">
        <v>77</v>
      </c>
    </row>
    <row r="2913">
      <c r="A2913" s="52" t="s">
        <v>77</v>
      </c>
      <c r="B2913" s="28" t="s">
        <v>77</v>
      </c>
      <c r="C2913" s="28" t="s">
        <v>77</v>
      </c>
      <c r="D2913" s="28" t="s">
        <v>77</v>
      </c>
      <c r="E2913" s="28" t="s">
        <v>77</v>
      </c>
      <c r="F2913" s="28" t="s">
        <v>77</v>
      </c>
      <c r="G2913" s="28" t="s">
        <v>77</v>
      </c>
      <c r="I2913" s="26" t="s">
        <v>77</v>
      </c>
      <c r="J2913" s="26" t="s">
        <v>77</v>
      </c>
      <c r="K2913" s="18"/>
      <c r="L2913" s="26" t="s">
        <v>77</v>
      </c>
      <c r="M2913" s="6" t="s">
        <v>77</v>
      </c>
      <c r="N2913" s="28" t="s">
        <v>77</v>
      </c>
      <c r="O2913" s="26" t="s">
        <v>77</v>
      </c>
    </row>
    <row r="2914">
      <c r="A2914" s="52" t="s">
        <v>77</v>
      </c>
      <c r="B2914" s="28" t="s">
        <v>77</v>
      </c>
      <c r="C2914" s="28" t="s">
        <v>77</v>
      </c>
      <c r="D2914" s="28" t="s">
        <v>77</v>
      </c>
      <c r="E2914" s="28" t="s">
        <v>77</v>
      </c>
      <c r="F2914" s="28" t="s">
        <v>77</v>
      </c>
      <c r="G2914" s="28" t="s">
        <v>77</v>
      </c>
      <c r="I2914" s="26" t="s">
        <v>77</v>
      </c>
      <c r="J2914" s="26" t="s">
        <v>77</v>
      </c>
      <c r="K2914" s="18"/>
      <c r="L2914" s="26" t="s">
        <v>77</v>
      </c>
      <c r="M2914" s="6" t="s">
        <v>77</v>
      </c>
      <c r="N2914" s="28" t="s">
        <v>77</v>
      </c>
      <c r="O2914" s="26" t="s">
        <v>77</v>
      </c>
    </row>
    <row r="2915">
      <c r="A2915" s="52" t="s">
        <v>77</v>
      </c>
      <c r="B2915" s="28" t="s">
        <v>77</v>
      </c>
      <c r="C2915" s="28" t="s">
        <v>77</v>
      </c>
      <c r="D2915" s="28" t="s">
        <v>77</v>
      </c>
      <c r="E2915" s="28" t="s">
        <v>77</v>
      </c>
      <c r="F2915" s="28" t="s">
        <v>77</v>
      </c>
      <c r="G2915" s="28" t="s">
        <v>77</v>
      </c>
      <c r="I2915" s="26" t="s">
        <v>77</v>
      </c>
      <c r="J2915" s="26" t="s">
        <v>77</v>
      </c>
      <c r="K2915" s="18"/>
      <c r="L2915" s="26" t="s">
        <v>77</v>
      </c>
      <c r="M2915" s="6" t="s">
        <v>77</v>
      </c>
      <c r="N2915" s="28" t="s">
        <v>77</v>
      </c>
      <c r="O2915" s="26" t="s">
        <v>77</v>
      </c>
    </row>
    <row r="2916">
      <c r="A2916" s="52" t="s">
        <v>77</v>
      </c>
      <c r="B2916" s="28" t="s">
        <v>77</v>
      </c>
      <c r="C2916" s="28" t="s">
        <v>77</v>
      </c>
      <c r="D2916" s="28" t="s">
        <v>77</v>
      </c>
      <c r="E2916" s="28" t="s">
        <v>77</v>
      </c>
      <c r="F2916" s="28" t="s">
        <v>77</v>
      </c>
      <c r="G2916" s="28" t="s">
        <v>77</v>
      </c>
      <c r="I2916" s="26" t="s">
        <v>77</v>
      </c>
      <c r="J2916" s="26" t="s">
        <v>77</v>
      </c>
      <c r="K2916" s="18"/>
      <c r="L2916" s="26" t="s">
        <v>77</v>
      </c>
      <c r="M2916" s="6" t="s">
        <v>77</v>
      </c>
      <c r="N2916" s="28" t="s">
        <v>77</v>
      </c>
      <c r="O2916" s="26" t="s">
        <v>77</v>
      </c>
    </row>
    <row r="2917">
      <c r="A2917" s="52" t="s">
        <v>77</v>
      </c>
      <c r="B2917" s="28" t="s">
        <v>77</v>
      </c>
      <c r="C2917" s="28" t="s">
        <v>77</v>
      </c>
      <c r="D2917" s="28" t="s">
        <v>77</v>
      </c>
      <c r="E2917" s="28" t="s">
        <v>77</v>
      </c>
      <c r="F2917" s="28" t="s">
        <v>77</v>
      </c>
      <c r="G2917" s="28" t="s">
        <v>77</v>
      </c>
      <c r="I2917" s="26" t="s">
        <v>77</v>
      </c>
      <c r="J2917" s="26" t="s">
        <v>77</v>
      </c>
      <c r="K2917" s="18"/>
      <c r="L2917" s="26" t="s">
        <v>77</v>
      </c>
      <c r="M2917" s="6" t="s">
        <v>77</v>
      </c>
      <c r="N2917" s="28" t="s">
        <v>77</v>
      </c>
      <c r="O2917" s="26" t="s">
        <v>77</v>
      </c>
    </row>
    <row r="2918">
      <c r="A2918" s="52" t="s">
        <v>77</v>
      </c>
      <c r="B2918" s="28" t="s">
        <v>77</v>
      </c>
      <c r="C2918" s="28" t="s">
        <v>77</v>
      </c>
      <c r="D2918" s="28" t="s">
        <v>77</v>
      </c>
      <c r="E2918" s="28" t="s">
        <v>77</v>
      </c>
      <c r="F2918" s="28" t="s">
        <v>77</v>
      </c>
      <c r="G2918" s="28" t="s">
        <v>77</v>
      </c>
      <c r="I2918" s="26" t="s">
        <v>77</v>
      </c>
      <c r="J2918" s="26" t="s">
        <v>77</v>
      </c>
      <c r="K2918" s="18"/>
      <c r="L2918" s="26" t="s">
        <v>77</v>
      </c>
      <c r="M2918" s="6" t="s">
        <v>77</v>
      </c>
      <c r="N2918" s="28" t="s">
        <v>77</v>
      </c>
      <c r="O2918" s="26" t="s">
        <v>77</v>
      </c>
    </row>
    <row r="2919">
      <c r="A2919" s="52" t="s">
        <v>77</v>
      </c>
      <c r="B2919" s="28" t="s">
        <v>77</v>
      </c>
      <c r="C2919" s="28" t="s">
        <v>77</v>
      </c>
      <c r="D2919" s="28" t="s">
        <v>77</v>
      </c>
      <c r="E2919" s="28" t="s">
        <v>77</v>
      </c>
      <c r="F2919" s="28" t="s">
        <v>77</v>
      </c>
      <c r="G2919" s="28" t="s">
        <v>77</v>
      </c>
      <c r="I2919" s="26" t="s">
        <v>77</v>
      </c>
      <c r="J2919" s="26" t="s">
        <v>77</v>
      </c>
      <c r="K2919" s="18"/>
      <c r="L2919" s="26" t="s">
        <v>77</v>
      </c>
      <c r="M2919" s="6" t="s">
        <v>77</v>
      </c>
      <c r="N2919" s="28" t="s">
        <v>77</v>
      </c>
      <c r="O2919" s="26" t="s">
        <v>77</v>
      </c>
    </row>
    <row r="2920">
      <c r="A2920" s="52" t="s">
        <v>77</v>
      </c>
      <c r="B2920" s="28" t="s">
        <v>77</v>
      </c>
      <c r="C2920" s="28" t="s">
        <v>77</v>
      </c>
      <c r="D2920" s="28" t="s">
        <v>77</v>
      </c>
      <c r="E2920" s="28" t="s">
        <v>77</v>
      </c>
      <c r="F2920" s="28" t="s">
        <v>77</v>
      </c>
      <c r="G2920" s="28" t="s">
        <v>77</v>
      </c>
      <c r="I2920" s="26" t="s">
        <v>77</v>
      </c>
      <c r="J2920" s="26" t="s">
        <v>77</v>
      </c>
      <c r="K2920" s="18"/>
      <c r="L2920" s="26" t="s">
        <v>77</v>
      </c>
      <c r="M2920" s="6" t="s">
        <v>77</v>
      </c>
      <c r="N2920" s="28" t="s">
        <v>77</v>
      </c>
      <c r="O2920" s="26" t="s">
        <v>77</v>
      </c>
    </row>
    <row r="2921">
      <c r="A2921" s="52" t="s">
        <v>77</v>
      </c>
      <c r="B2921" s="28" t="s">
        <v>77</v>
      </c>
      <c r="C2921" s="28" t="s">
        <v>77</v>
      </c>
      <c r="D2921" s="28" t="s">
        <v>77</v>
      </c>
      <c r="E2921" s="28" t="s">
        <v>77</v>
      </c>
      <c r="F2921" s="28" t="s">
        <v>77</v>
      </c>
      <c r="G2921" s="28" t="s">
        <v>77</v>
      </c>
      <c r="I2921" s="26" t="s">
        <v>77</v>
      </c>
      <c r="J2921" s="26" t="s">
        <v>77</v>
      </c>
      <c r="K2921" s="18"/>
      <c r="L2921" s="26" t="s">
        <v>77</v>
      </c>
      <c r="M2921" s="6" t="s">
        <v>77</v>
      </c>
      <c r="N2921" s="28" t="s">
        <v>77</v>
      </c>
      <c r="O2921" s="26" t="s">
        <v>77</v>
      </c>
    </row>
    <row r="2922">
      <c r="A2922" s="52" t="s">
        <v>77</v>
      </c>
      <c r="B2922" s="28" t="s">
        <v>77</v>
      </c>
      <c r="C2922" s="28" t="s">
        <v>77</v>
      </c>
      <c r="D2922" s="28" t="s">
        <v>77</v>
      </c>
      <c r="E2922" s="28" t="s">
        <v>77</v>
      </c>
      <c r="F2922" s="28" t="s">
        <v>77</v>
      </c>
      <c r="G2922" s="28" t="s">
        <v>77</v>
      </c>
      <c r="I2922" s="26" t="s">
        <v>77</v>
      </c>
      <c r="J2922" s="26" t="s">
        <v>77</v>
      </c>
      <c r="K2922" s="18"/>
      <c r="L2922" s="26" t="s">
        <v>77</v>
      </c>
      <c r="M2922" s="6" t="s">
        <v>77</v>
      </c>
      <c r="N2922" s="28" t="s">
        <v>77</v>
      </c>
      <c r="O2922" s="26" t="s">
        <v>77</v>
      </c>
    </row>
    <row r="2923">
      <c r="A2923" s="52" t="s">
        <v>77</v>
      </c>
      <c r="B2923" s="28" t="s">
        <v>77</v>
      </c>
      <c r="C2923" s="28" t="s">
        <v>77</v>
      </c>
      <c r="D2923" s="28" t="s">
        <v>77</v>
      </c>
      <c r="E2923" s="28" t="s">
        <v>77</v>
      </c>
      <c r="F2923" s="28" t="s">
        <v>77</v>
      </c>
      <c r="G2923" s="28" t="s">
        <v>77</v>
      </c>
      <c r="I2923" s="26" t="s">
        <v>77</v>
      </c>
      <c r="J2923" s="26" t="s">
        <v>77</v>
      </c>
      <c r="K2923" s="18"/>
      <c r="L2923" s="26" t="s">
        <v>77</v>
      </c>
      <c r="M2923" s="6" t="s">
        <v>77</v>
      </c>
      <c r="N2923" s="28" t="s">
        <v>77</v>
      </c>
      <c r="O2923" s="26" t="s">
        <v>77</v>
      </c>
    </row>
    <row r="2924">
      <c r="A2924" s="52" t="s">
        <v>77</v>
      </c>
      <c r="B2924" s="28" t="s">
        <v>77</v>
      </c>
      <c r="C2924" s="28" t="s">
        <v>77</v>
      </c>
      <c r="D2924" s="28" t="s">
        <v>77</v>
      </c>
      <c r="E2924" s="28" t="s">
        <v>77</v>
      </c>
      <c r="F2924" s="28" t="s">
        <v>77</v>
      </c>
      <c r="G2924" s="28" t="s">
        <v>77</v>
      </c>
      <c r="I2924" s="26" t="s">
        <v>77</v>
      </c>
      <c r="J2924" s="26" t="s">
        <v>77</v>
      </c>
      <c r="K2924" s="18"/>
      <c r="L2924" s="26" t="s">
        <v>77</v>
      </c>
      <c r="M2924" s="6" t="s">
        <v>77</v>
      </c>
      <c r="N2924" s="28" t="s">
        <v>77</v>
      </c>
      <c r="O2924" s="26" t="s">
        <v>77</v>
      </c>
    </row>
    <row r="2925">
      <c r="A2925" s="52" t="s">
        <v>77</v>
      </c>
      <c r="B2925" s="28" t="s">
        <v>77</v>
      </c>
      <c r="C2925" s="28" t="s">
        <v>77</v>
      </c>
      <c r="D2925" s="28" t="s">
        <v>77</v>
      </c>
      <c r="E2925" s="28" t="s">
        <v>77</v>
      </c>
      <c r="F2925" s="28" t="s">
        <v>77</v>
      </c>
      <c r="G2925" s="28" t="s">
        <v>77</v>
      </c>
      <c r="I2925" s="26" t="s">
        <v>77</v>
      </c>
      <c r="J2925" s="26" t="s">
        <v>77</v>
      </c>
      <c r="K2925" s="18"/>
      <c r="L2925" s="26" t="s">
        <v>77</v>
      </c>
      <c r="M2925" s="6" t="s">
        <v>77</v>
      </c>
      <c r="N2925" s="28" t="s">
        <v>77</v>
      </c>
      <c r="O2925" s="26" t="s">
        <v>77</v>
      </c>
    </row>
    <row r="2926">
      <c r="A2926" s="52" t="s">
        <v>77</v>
      </c>
      <c r="B2926" s="28" t="s">
        <v>77</v>
      </c>
      <c r="C2926" s="28" t="s">
        <v>77</v>
      </c>
      <c r="D2926" s="28" t="s">
        <v>77</v>
      </c>
      <c r="E2926" s="28" t="s">
        <v>77</v>
      </c>
      <c r="F2926" s="28" t="s">
        <v>77</v>
      </c>
      <c r="G2926" s="28" t="s">
        <v>77</v>
      </c>
      <c r="I2926" s="26" t="s">
        <v>77</v>
      </c>
      <c r="J2926" s="26" t="s">
        <v>77</v>
      </c>
      <c r="K2926" s="18"/>
      <c r="L2926" s="26" t="s">
        <v>77</v>
      </c>
      <c r="M2926" s="6" t="s">
        <v>77</v>
      </c>
      <c r="N2926" s="28" t="s">
        <v>77</v>
      </c>
      <c r="O2926" s="26" t="s">
        <v>77</v>
      </c>
    </row>
    <row r="2927">
      <c r="A2927" s="52" t="s">
        <v>77</v>
      </c>
      <c r="B2927" s="28" t="s">
        <v>77</v>
      </c>
      <c r="C2927" s="28" t="s">
        <v>77</v>
      </c>
      <c r="D2927" s="28" t="s">
        <v>77</v>
      </c>
      <c r="E2927" s="28" t="s">
        <v>77</v>
      </c>
      <c r="F2927" s="28" t="s">
        <v>77</v>
      </c>
      <c r="G2927" s="28" t="s">
        <v>77</v>
      </c>
      <c r="I2927" s="26" t="s">
        <v>77</v>
      </c>
      <c r="J2927" s="26" t="s">
        <v>77</v>
      </c>
      <c r="K2927" s="18"/>
      <c r="L2927" s="26" t="s">
        <v>77</v>
      </c>
      <c r="M2927" s="6" t="s">
        <v>77</v>
      </c>
      <c r="N2927" s="28" t="s">
        <v>77</v>
      </c>
      <c r="O2927" s="26" t="s">
        <v>77</v>
      </c>
    </row>
    <row r="2928">
      <c r="A2928" s="52" t="s">
        <v>77</v>
      </c>
      <c r="B2928" s="28" t="s">
        <v>77</v>
      </c>
      <c r="C2928" s="28" t="s">
        <v>77</v>
      </c>
      <c r="D2928" s="28" t="s">
        <v>77</v>
      </c>
      <c r="E2928" s="28" t="s">
        <v>77</v>
      </c>
      <c r="F2928" s="28" t="s">
        <v>77</v>
      </c>
      <c r="G2928" s="28" t="s">
        <v>77</v>
      </c>
      <c r="I2928" s="26" t="s">
        <v>77</v>
      </c>
      <c r="J2928" s="26" t="s">
        <v>77</v>
      </c>
      <c r="K2928" s="18"/>
      <c r="L2928" s="26" t="s">
        <v>77</v>
      </c>
      <c r="M2928" s="6" t="s">
        <v>77</v>
      </c>
      <c r="N2928" s="28" t="s">
        <v>77</v>
      </c>
      <c r="O2928" s="26" t="s">
        <v>77</v>
      </c>
    </row>
    <row r="2929">
      <c r="A2929" s="52" t="s">
        <v>77</v>
      </c>
      <c r="B2929" s="28" t="s">
        <v>77</v>
      </c>
      <c r="C2929" s="28" t="s">
        <v>77</v>
      </c>
      <c r="D2929" s="28" t="s">
        <v>77</v>
      </c>
      <c r="E2929" s="28" t="s">
        <v>77</v>
      </c>
      <c r="F2929" s="28" t="s">
        <v>77</v>
      </c>
      <c r="G2929" s="28" t="s">
        <v>77</v>
      </c>
      <c r="I2929" s="26" t="s">
        <v>77</v>
      </c>
      <c r="J2929" s="26" t="s">
        <v>77</v>
      </c>
      <c r="K2929" s="18"/>
      <c r="L2929" s="26" t="s">
        <v>77</v>
      </c>
      <c r="M2929" s="6" t="s">
        <v>77</v>
      </c>
      <c r="N2929" s="28" t="s">
        <v>77</v>
      </c>
      <c r="O2929" s="26" t="s">
        <v>77</v>
      </c>
    </row>
    <row r="2930">
      <c r="A2930" s="52" t="s">
        <v>77</v>
      </c>
      <c r="B2930" s="28" t="s">
        <v>77</v>
      </c>
      <c r="C2930" s="28" t="s">
        <v>77</v>
      </c>
      <c r="D2930" s="28" t="s">
        <v>77</v>
      </c>
      <c r="E2930" s="28" t="s">
        <v>77</v>
      </c>
      <c r="F2930" s="28" t="s">
        <v>77</v>
      </c>
      <c r="G2930" s="28" t="s">
        <v>77</v>
      </c>
      <c r="I2930" s="26" t="s">
        <v>77</v>
      </c>
      <c r="J2930" s="26" t="s">
        <v>77</v>
      </c>
      <c r="K2930" s="18"/>
      <c r="L2930" s="26" t="s">
        <v>77</v>
      </c>
      <c r="M2930" s="6" t="s">
        <v>77</v>
      </c>
      <c r="N2930" s="28" t="s">
        <v>77</v>
      </c>
      <c r="O2930" s="26" t="s">
        <v>77</v>
      </c>
    </row>
    <row r="2931">
      <c r="A2931" s="52" t="s">
        <v>77</v>
      </c>
      <c r="B2931" s="28" t="s">
        <v>77</v>
      </c>
      <c r="C2931" s="28" t="s">
        <v>77</v>
      </c>
      <c r="D2931" s="28" t="s">
        <v>77</v>
      </c>
      <c r="E2931" s="28" t="s">
        <v>77</v>
      </c>
      <c r="F2931" s="28" t="s">
        <v>77</v>
      </c>
      <c r="G2931" s="28" t="s">
        <v>77</v>
      </c>
      <c r="I2931" s="26" t="s">
        <v>77</v>
      </c>
      <c r="J2931" s="26" t="s">
        <v>77</v>
      </c>
      <c r="K2931" s="18"/>
      <c r="L2931" s="26" t="s">
        <v>77</v>
      </c>
      <c r="M2931" s="6" t="s">
        <v>77</v>
      </c>
      <c r="N2931" s="28" t="s">
        <v>77</v>
      </c>
      <c r="O2931" s="26" t="s">
        <v>77</v>
      </c>
    </row>
    <row r="2932">
      <c r="A2932" s="52" t="s">
        <v>77</v>
      </c>
      <c r="B2932" s="28" t="s">
        <v>77</v>
      </c>
      <c r="C2932" s="28" t="s">
        <v>77</v>
      </c>
      <c r="D2932" s="28" t="s">
        <v>77</v>
      </c>
      <c r="E2932" s="28" t="s">
        <v>77</v>
      </c>
      <c r="F2932" s="28" t="s">
        <v>77</v>
      </c>
      <c r="G2932" s="28" t="s">
        <v>77</v>
      </c>
      <c r="I2932" s="26" t="s">
        <v>77</v>
      </c>
      <c r="J2932" s="26" t="s">
        <v>77</v>
      </c>
      <c r="K2932" s="18"/>
      <c r="L2932" s="26" t="s">
        <v>77</v>
      </c>
      <c r="M2932" s="6" t="s">
        <v>77</v>
      </c>
      <c r="N2932" s="28" t="s">
        <v>77</v>
      </c>
      <c r="O2932" s="26" t="s">
        <v>77</v>
      </c>
    </row>
    <row r="2933">
      <c r="A2933" s="52" t="s">
        <v>77</v>
      </c>
      <c r="B2933" s="28" t="s">
        <v>77</v>
      </c>
      <c r="C2933" s="28" t="s">
        <v>77</v>
      </c>
      <c r="D2933" s="28" t="s">
        <v>77</v>
      </c>
      <c r="E2933" s="28" t="s">
        <v>77</v>
      </c>
      <c r="F2933" s="28" t="s">
        <v>77</v>
      </c>
      <c r="G2933" s="28" t="s">
        <v>77</v>
      </c>
      <c r="I2933" s="26" t="s">
        <v>77</v>
      </c>
      <c r="J2933" s="26" t="s">
        <v>77</v>
      </c>
      <c r="K2933" s="18"/>
      <c r="L2933" s="26" t="s">
        <v>77</v>
      </c>
      <c r="M2933" s="6" t="s">
        <v>77</v>
      </c>
      <c r="N2933" s="28" t="s">
        <v>77</v>
      </c>
      <c r="O2933" s="26" t="s">
        <v>77</v>
      </c>
    </row>
    <row r="2934">
      <c r="A2934" s="52" t="s">
        <v>77</v>
      </c>
      <c r="B2934" s="28" t="s">
        <v>77</v>
      </c>
      <c r="C2934" s="28" t="s">
        <v>77</v>
      </c>
      <c r="D2934" s="28" t="s">
        <v>77</v>
      </c>
      <c r="E2934" s="28" t="s">
        <v>77</v>
      </c>
      <c r="F2934" s="28" t="s">
        <v>77</v>
      </c>
      <c r="G2934" s="28" t="s">
        <v>77</v>
      </c>
      <c r="I2934" s="26" t="s">
        <v>77</v>
      </c>
      <c r="J2934" s="26" t="s">
        <v>77</v>
      </c>
      <c r="K2934" s="18"/>
      <c r="L2934" s="26" t="s">
        <v>77</v>
      </c>
      <c r="M2934" s="6" t="s">
        <v>77</v>
      </c>
      <c r="N2934" s="28" t="s">
        <v>77</v>
      </c>
      <c r="O2934" s="26" t="s">
        <v>77</v>
      </c>
    </row>
    <row r="2935">
      <c r="A2935" s="52" t="s">
        <v>77</v>
      </c>
      <c r="B2935" s="28" t="s">
        <v>77</v>
      </c>
      <c r="C2935" s="28" t="s">
        <v>77</v>
      </c>
      <c r="D2935" s="28" t="s">
        <v>77</v>
      </c>
      <c r="E2935" s="28" t="s">
        <v>77</v>
      </c>
      <c r="F2935" s="28" t="s">
        <v>77</v>
      </c>
      <c r="G2935" s="28" t="s">
        <v>77</v>
      </c>
      <c r="I2935" s="26" t="s">
        <v>77</v>
      </c>
      <c r="J2935" s="26" t="s">
        <v>77</v>
      </c>
      <c r="K2935" s="18"/>
      <c r="L2935" s="26" t="s">
        <v>77</v>
      </c>
      <c r="M2935" s="6" t="s">
        <v>77</v>
      </c>
      <c r="N2935" s="28" t="s">
        <v>77</v>
      </c>
      <c r="O2935" s="26" t="s">
        <v>77</v>
      </c>
    </row>
    <row r="2936">
      <c r="A2936" s="52" t="s">
        <v>77</v>
      </c>
      <c r="B2936" s="28" t="s">
        <v>77</v>
      </c>
      <c r="C2936" s="28" t="s">
        <v>77</v>
      </c>
      <c r="D2936" s="28" t="s">
        <v>77</v>
      </c>
      <c r="E2936" s="28" t="s">
        <v>77</v>
      </c>
      <c r="F2936" s="28" t="s">
        <v>77</v>
      </c>
      <c r="G2936" s="28" t="s">
        <v>77</v>
      </c>
      <c r="I2936" s="26" t="s">
        <v>77</v>
      </c>
      <c r="J2936" s="26" t="s">
        <v>77</v>
      </c>
      <c r="K2936" s="18"/>
      <c r="L2936" s="26" t="s">
        <v>77</v>
      </c>
      <c r="M2936" s="6" t="s">
        <v>77</v>
      </c>
      <c r="N2936" s="28" t="s">
        <v>77</v>
      </c>
      <c r="O2936" s="26" t="s">
        <v>77</v>
      </c>
    </row>
    <row r="2937">
      <c r="A2937" s="52" t="s">
        <v>77</v>
      </c>
      <c r="B2937" s="28" t="s">
        <v>77</v>
      </c>
      <c r="C2937" s="28" t="s">
        <v>77</v>
      </c>
      <c r="D2937" s="28" t="s">
        <v>77</v>
      </c>
      <c r="E2937" s="28" t="s">
        <v>77</v>
      </c>
      <c r="F2937" s="28" t="s">
        <v>77</v>
      </c>
      <c r="G2937" s="28" t="s">
        <v>77</v>
      </c>
      <c r="I2937" s="26" t="s">
        <v>77</v>
      </c>
      <c r="J2937" s="26" t="s">
        <v>77</v>
      </c>
      <c r="K2937" s="18"/>
      <c r="L2937" s="26" t="s">
        <v>77</v>
      </c>
      <c r="M2937" s="6" t="s">
        <v>77</v>
      </c>
      <c r="N2937" s="28" t="s">
        <v>77</v>
      </c>
      <c r="O2937" s="26" t="s">
        <v>77</v>
      </c>
    </row>
    <row r="2938">
      <c r="A2938" s="52" t="s">
        <v>77</v>
      </c>
      <c r="B2938" s="28" t="s">
        <v>77</v>
      </c>
      <c r="C2938" s="28" t="s">
        <v>77</v>
      </c>
      <c r="D2938" s="28" t="s">
        <v>77</v>
      </c>
      <c r="E2938" s="28" t="s">
        <v>77</v>
      </c>
      <c r="F2938" s="28" t="s">
        <v>77</v>
      </c>
      <c r="G2938" s="28" t="s">
        <v>77</v>
      </c>
      <c r="I2938" s="26" t="s">
        <v>77</v>
      </c>
      <c r="J2938" s="26" t="s">
        <v>77</v>
      </c>
      <c r="K2938" s="18"/>
      <c r="L2938" s="26" t="s">
        <v>77</v>
      </c>
      <c r="M2938" s="6" t="s">
        <v>77</v>
      </c>
      <c r="N2938" s="28" t="s">
        <v>77</v>
      </c>
      <c r="O2938" s="26" t="s">
        <v>77</v>
      </c>
    </row>
    <row r="2939">
      <c r="A2939" s="52" t="s">
        <v>77</v>
      </c>
      <c r="B2939" s="28" t="s">
        <v>77</v>
      </c>
      <c r="C2939" s="28" t="s">
        <v>77</v>
      </c>
      <c r="D2939" s="28" t="s">
        <v>77</v>
      </c>
      <c r="E2939" s="28" t="s">
        <v>77</v>
      </c>
      <c r="F2939" s="28" t="s">
        <v>77</v>
      </c>
      <c r="G2939" s="28" t="s">
        <v>77</v>
      </c>
      <c r="I2939" s="26" t="s">
        <v>77</v>
      </c>
      <c r="J2939" s="26" t="s">
        <v>77</v>
      </c>
      <c r="K2939" s="18"/>
      <c r="L2939" s="26" t="s">
        <v>77</v>
      </c>
      <c r="M2939" s="6" t="s">
        <v>77</v>
      </c>
      <c r="N2939" s="28" t="s">
        <v>77</v>
      </c>
      <c r="O2939" s="26" t="s">
        <v>77</v>
      </c>
    </row>
    <row r="2940">
      <c r="A2940" s="52" t="s">
        <v>77</v>
      </c>
      <c r="B2940" s="28" t="s">
        <v>77</v>
      </c>
      <c r="C2940" s="28" t="s">
        <v>77</v>
      </c>
      <c r="D2940" s="28" t="s">
        <v>77</v>
      </c>
      <c r="E2940" s="28" t="s">
        <v>77</v>
      </c>
      <c r="F2940" s="28" t="s">
        <v>77</v>
      </c>
      <c r="G2940" s="28" t="s">
        <v>77</v>
      </c>
      <c r="I2940" s="26" t="s">
        <v>77</v>
      </c>
      <c r="J2940" s="26" t="s">
        <v>77</v>
      </c>
      <c r="K2940" s="18"/>
      <c r="L2940" s="26" t="s">
        <v>77</v>
      </c>
      <c r="M2940" s="6" t="s">
        <v>77</v>
      </c>
      <c r="N2940" s="28" t="s">
        <v>77</v>
      </c>
      <c r="O2940" s="26" t="s">
        <v>77</v>
      </c>
    </row>
    <row r="2941">
      <c r="A2941" s="52" t="s">
        <v>77</v>
      </c>
      <c r="B2941" s="28" t="s">
        <v>77</v>
      </c>
      <c r="C2941" s="28" t="s">
        <v>77</v>
      </c>
      <c r="D2941" s="28" t="s">
        <v>77</v>
      </c>
      <c r="E2941" s="28" t="s">
        <v>77</v>
      </c>
      <c r="F2941" s="28" t="s">
        <v>77</v>
      </c>
      <c r="G2941" s="28" t="s">
        <v>77</v>
      </c>
      <c r="I2941" s="26" t="s">
        <v>77</v>
      </c>
      <c r="J2941" s="26" t="s">
        <v>77</v>
      </c>
      <c r="K2941" s="18"/>
      <c r="L2941" s="26" t="s">
        <v>77</v>
      </c>
      <c r="M2941" s="6" t="s">
        <v>77</v>
      </c>
      <c r="N2941" s="28" t="s">
        <v>77</v>
      </c>
      <c r="O2941" s="26" t="s">
        <v>77</v>
      </c>
    </row>
    <row r="2942">
      <c r="A2942" s="52" t="s">
        <v>77</v>
      </c>
      <c r="B2942" s="28" t="s">
        <v>77</v>
      </c>
      <c r="C2942" s="28" t="s">
        <v>77</v>
      </c>
      <c r="D2942" s="28" t="s">
        <v>77</v>
      </c>
      <c r="E2942" s="28" t="s">
        <v>77</v>
      </c>
      <c r="F2942" s="28" t="s">
        <v>77</v>
      </c>
      <c r="G2942" s="28" t="s">
        <v>77</v>
      </c>
      <c r="I2942" s="26" t="s">
        <v>77</v>
      </c>
      <c r="J2942" s="26" t="s">
        <v>77</v>
      </c>
      <c r="K2942" s="18"/>
      <c r="L2942" s="26" t="s">
        <v>77</v>
      </c>
      <c r="M2942" s="6" t="s">
        <v>77</v>
      </c>
      <c r="N2942" s="28" t="s">
        <v>77</v>
      </c>
      <c r="O2942" s="26" t="s">
        <v>77</v>
      </c>
    </row>
    <row r="2943">
      <c r="A2943" s="52" t="s">
        <v>77</v>
      </c>
      <c r="B2943" s="28" t="s">
        <v>77</v>
      </c>
      <c r="C2943" s="28" t="s">
        <v>77</v>
      </c>
      <c r="D2943" s="28" t="s">
        <v>77</v>
      </c>
      <c r="E2943" s="28" t="s">
        <v>77</v>
      </c>
      <c r="F2943" s="28" t="s">
        <v>77</v>
      </c>
      <c r="G2943" s="28" t="s">
        <v>77</v>
      </c>
      <c r="I2943" s="26" t="s">
        <v>77</v>
      </c>
      <c r="J2943" s="26" t="s">
        <v>77</v>
      </c>
      <c r="K2943" s="18"/>
      <c r="L2943" s="26" t="s">
        <v>77</v>
      </c>
      <c r="M2943" s="6" t="s">
        <v>77</v>
      </c>
      <c r="N2943" s="28" t="s">
        <v>77</v>
      </c>
      <c r="O2943" s="26" t="s">
        <v>77</v>
      </c>
    </row>
    <row r="2944">
      <c r="A2944" s="52" t="s">
        <v>77</v>
      </c>
      <c r="B2944" s="28" t="s">
        <v>77</v>
      </c>
      <c r="C2944" s="28" t="s">
        <v>77</v>
      </c>
      <c r="D2944" s="28" t="s">
        <v>77</v>
      </c>
      <c r="E2944" s="28" t="s">
        <v>77</v>
      </c>
      <c r="F2944" s="28" t="s">
        <v>77</v>
      </c>
      <c r="G2944" s="28" t="s">
        <v>77</v>
      </c>
      <c r="I2944" s="26" t="s">
        <v>77</v>
      </c>
      <c r="J2944" s="26" t="s">
        <v>77</v>
      </c>
      <c r="K2944" s="18"/>
      <c r="L2944" s="26" t="s">
        <v>77</v>
      </c>
      <c r="M2944" s="6" t="s">
        <v>77</v>
      </c>
      <c r="N2944" s="28" t="s">
        <v>77</v>
      </c>
      <c r="O2944" s="26" t="s">
        <v>77</v>
      </c>
    </row>
    <row r="2945">
      <c r="A2945" s="52" t="s">
        <v>77</v>
      </c>
      <c r="B2945" s="28" t="s">
        <v>77</v>
      </c>
      <c r="C2945" s="28" t="s">
        <v>77</v>
      </c>
      <c r="D2945" s="28" t="s">
        <v>77</v>
      </c>
      <c r="E2945" s="28" t="s">
        <v>77</v>
      </c>
      <c r="F2945" s="28" t="s">
        <v>77</v>
      </c>
      <c r="G2945" s="28" t="s">
        <v>77</v>
      </c>
      <c r="I2945" s="26" t="s">
        <v>77</v>
      </c>
      <c r="J2945" s="26" t="s">
        <v>77</v>
      </c>
      <c r="K2945" s="18"/>
      <c r="L2945" s="26" t="s">
        <v>77</v>
      </c>
      <c r="M2945" s="6" t="s">
        <v>77</v>
      </c>
      <c r="N2945" s="28" t="s">
        <v>77</v>
      </c>
      <c r="O2945" s="26" t="s">
        <v>77</v>
      </c>
    </row>
    <row r="2946">
      <c r="A2946" s="52" t="s">
        <v>77</v>
      </c>
      <c r="B2946" s="28" t="s">
        <v>77</v>
      </c>
      <c r="C2946" s="28" t="s">
        <v>77</v>
      </c>
      <c r="D2946" s="28" t="s">
        <v>77</v>
      </c>
      <c r="E2946" s="28" t="s">
        <v>77</v>
      </c>
      <c r="F2946" s="28" t="s">
        <v>77</v>
      </c>
      <c r="G2946" s="28" t="s">
        <v>77</v>
      </c>
      <c r="I2946" s="26" t="s">
        <v>77</v>
      </c>
      <c r="J2946" s="26" t="s">
        <v>77</v>
      </c>
      <c r="K2946" s="18"/>
      <c r="L2946" s="26" t="s">
        <v>77</v>
      </c>
      <c r="M2946" s="6" t="s">
        <v>77</v>
      </c>
      <c r="N2946" s="28" t="s">
        <v>77</v>
      </c>
      <c r="O2946" s="26" t="s">
        <v>77</v>
      </c>
    </row>
    <row r="2947">
      <c r="A2947" s="52" t="s">
        <v>77</v>
      </c>
      <c r="B2947" s="28" t="s">
        <v>77</v>
      </c>
      <c r="C2947" s="28" t="s">
        <v>77</v>
      </c>
      <c r="D2947" s="28" t="s">
        <v>77</v>
      </c>
      <c r="E2947" s="28" t="s">
        <v>77</v>
      </c>
      <c r="F2947" s="28" t="s">
        <v>77</v>
      </c>
      <c r="G2947" s="28" t="s">
        <v>77</v>
      </c>
      <c r="I2947" s="26" t="s">
        <v>77</v>
      </c>
      <c r="J2947" s="26" t="s">
        <v>77</v>
      </c>
      <c r="K2947" s="18"/>
      <c r="L2947" s="26" t="s">
        <v>77</v>
      </c>
      <c r="M2947" s="6" t="s">
        <v>77</v>
      </c>
      <c r="N2947" s="28" t="s">
        <v>77</v>
      </c>
      <c r="O2947" s="26" t="s">
        <v>77</v>
      </c>
    </row>
    <row r="2948">
      <c r="A2948" s="52" t="s">
        <v>77</v>
      </c>
      <c r="B2948" s="28" t="s">
        <v>77</v>
      </c>
      <c r="C2948" s="28" t="s">
        <v>77</v>
      </c>
      <c r="D2948" s="28" t="s">
        <v>77</v>
      </c>
      <c r="E2948" s="28" t="s">
        <v>77</v>
      </c>
      <c r="F2948" s="28" t="s">
        <v>77</v>
      </c>
      <c r="G2948" s="28" t="s">
        <v>77</v>
      </c>
      <c r="I2948" s="26" t="s">
        <v>77</v>
      </c>
      <c r="J2948" s="26" t="s">
        <v>77</v>
      </c>
      <c r="K2948" s="18"/>
      <c r="L2948" s="26" t="s">
        <v>77</v>
      </c>
      <c r="M2948" s="6" t="s">
        <v>77</v>
      </c>
      <c r="N2948" s="28" t="s">
        <v>77</v>
      </c>
      <c r="O2948" s="26" t="s">
        <v>77</v>
      </c>
    </row>
    <row r="2949">
      <c r="A2949" s="52" t="s">
        <v>77</v>
      </c>
      <c r="B2949" s="28" t="s">
        <v>77</v>
      </c>
      <c r="C2949" s="28" t="s">
        <v>77</v>
      </c>
      <c r="D2949" s="28" t="s">
        <v>77</v>
      </c>
      <c r="E2949" s="28" t="s">
        <v>77</v>
      </c>
      <c r="F2949" s="28" t="s">
        <v>77</v>
      </c>
      <c r="G2949" s="28" t="s">
        <v>77</v>
      </c>
      <c r="I2949" s="26" t="s">
        <v>77</v>
      </c>
      <c r="J2949" s="26" t="s">
        <v>77</v>
      </c>
      <c r="K2949" s="18"/>
      <c r="L2949" s="26" t="s">
        <v>77</v>
      </c>
      <c r="M2949" s="6" t="s">
        <v>77</v>
      </c>
      <c r="N2949" s="28" t="s">
        <v>77</v>
      </c>
      <c r="O2949" s="26" t="s">
        <v>77</v>
      </c>
    </row>
    <row r="2950">
      <c r="A2950" s="52" t="s">
        <v>77</v>
      </c>
      <c r="B2950" s="28" t="s">
        <v>77</v>
      </c>
      <c r="C2950" s="28" t="s">
        <v>77</v>
      </c>
      <c r="D2950" s="28" t="s">
        <v>77</v>
      </c>
      <c r="E2950" s="28" t="s">
        <v>77</v>
      </c>
      <c r="F2950" s="28" t="s">
        <v>77</v>
      </c>
      <c r="G2950" s="28" t="s">
        <v>77</v>
      </c>
      <c r="I2950" s="26" t="s">
        <v>77</v>
      </c>
      <c r="J2950" s="26" t="s">
        <v>77</v>
      </c>
      <c r="K2950" s="18"/>
      <c r="L2950" s="26" t="s">
        <v>77</v>
      </c>
      <c r="M2950" s="6" t="s">
        <v>77</v>
      </c>
      <c r="N2950" s="28" t="s">
        <v>77</v>
      </c>
      <c r="O2950" s="26" t="s">
        <v>77</v>
      </c>
    </row>
    <row r="2951">
      <c r="A2951" s="52" t="s">
        <v>77</v>
      </c>
      <c r="B2951" s="28" t="s">
        <v>77</v>
      </c>
      <c r="C2951" s="28" t="s">
        <v>77</v>
      </c>
      <c r="D2951" s="28" t="s">
        <v>77</v>
      </c>
      <c r="E2951" s="28" t="s">
        <v>77</v>
      </c>
      <c r="F2951" s="28" t="s">
        <v>77</v>
      </c>
      <c r="G2951" s="28" t="s">
        <v>77</v>
      </c>
      <c r="I2951" s="26" t="s">
        <v>77</v>
      </c>
      <c r="J2951" s="26" t="s">
        <v>77</v>
      </c>
      <c r="K2951" s="18"/>
      <c r="L2951" s="26" t="s">
        <v>77</v>
      </c>
      <c r="M2951" s="6" t="s">
        <v>77</v>
      </c>
      <c r="N2951" s="28" t="s">
        <v>77</v>
      </c>
      <c r="O2951" s="26" t="s">
        <v>77</v>
      </c>
    </row>
    <row r="2952">
      <c r="A2952" s="52" t="s">
        <v>77</v>
      </c>
      <c r="B2952" s="28" t="s">
        <v>77</v>
      </c>
      <c r="C2952" s="28" t="s">
        <v>77</v>
      </c>
      <c r="D2952" s="28" t="s">
        <v>77</v>
      </c>
      <c r="E2952" s="28" t="s">
        <v>77</v>
      </c>
      <c r="F2952" s="28" t="s">
        <v>77</v>
      </c>
      <c r="G2952" s="28" t="s">
        <v>77</v>
      </c>
      <c r="I2952" s="26" t="s">
        <v>77</v>
      </c>
      <c r="J2952" s="26" t="s">
        <v>77</v>
      </c>
      <c r="K2952" s="18"/>
      <c r="L2952" s="26" t="s">
        <v>77</v>
      </c>
      <c r="M2952" s="6" t="s">
        <v>77</v>
      </c>
      <c r="N2952" s="28" t="s">
        <v>77</v>
      </c>
      <c r="O2952" s="26" t="s">
        <v>77</v>
      </c>
    </row>
    <row r="2953">
      <c r="A2953" s="52" t="s">
        <v>77</v>
      </c>
      <c r="B2953" s="28" t="s">
        <v>77</v>
      </c>
      <c r="C2953" s="28" t="s">
        <v>77</v>
      </c>
      <c r="D2953" s="28" t="s">
        <v>77</v>
      </c>
      <c r="E2953" s="28" t="s">
        <v>77</v>
      </c>
      <c r="F2953" s="28" t="s">
        <v>77</v>
      </c>
      <c r="G2953" s="28" t="s">
        <v>77</v>
      </c>
      <c r="I2953" s="26" t="s">
        <v>77</v>
      </c>
      <c r="J2953" s="26" t="s">
        <v>77</v>
      </c>
      <c r="K2953" s="18"/>
      <c r="L2953" s="26" t="s">
        <v>77</v>
      </c>
      <c r="M2953" s="6" t="s">
        <v>77</v>
      </c>
      <c r="N2953" s="28" t="s">
        <v>77</v>
      </c>
      <c r="O2953" s="26" t="s">
        <v>77</v>
      </c>
    </row>
    <row r="2954">
      <c r="A2954" s="52" t="s">
        <v>77</v>
      </c>
      <c r="B2954" s="28" t="s">
        <v>77</v>
      </c>
      <c r="C2954" s="28" t="s">
        <v>77</v>
      </c>
      <c r="D2954" s="28" t="s">
        <v>77</v>
      </c>
      <c r="E2954" s="28" t="s">
        <v>77</v>
      </c>
      <c r="F2954" s="28" t="s">
        <v>77</v>
      </c>
      <c r="G2954" s="28" t="s">
        <v>77</v>
      </c>
      <c r="I2954" s="26" t="s">
        <v>77</v>
      </c>
      <c r="J2954" s="26" t="s">
        <v>77</v>
      </c>
      <c r="K2954" s="18"/>
      <c r="L2954" s="26" t="s">
        <v>77</v>
      </c>
      <c r="M2954" s="6" t="s">
        <v>77</v>
      </c>
      <c r="N2954" s="28" t="s">
        <v>77</v>
      </c>
      <c r="O2954" s="26" t="s">
        <v>77</v>
      </c>
    </row>
    <row r="2955">
      <c r="A2955" s="52" t="s">
        <v>77</v>
      </c>
      <c r="B2955" s="28" t="s">
        <v>77</v>
      </c>
      <c r="C2955" s="28" t="s">
        <v>77</v>
      </c>
      <c r="D2955" s="28" t="s">
        <v>77</v>
      </c>
      <c r="E2955" s="28" t="s">
        <v>77</v>
      </c>
      <c r="F2955" s="28" t="s">
        <v>77</v>
      </c>
      <c r="G2955" s="28" t="s">
        <v>77</v>
      </c>
      <c r="I2955" s="26" t="s">
        <v>77</v>
      </c>
      <c r="J2955" s="26" t="s">
        <v>77</v>
      </c>
      <c r="K2955" s="18"/>
      <c r="L2955" s="26" t="s">
        <v>77</v>
      </c>
      <c r="M2955" s="6" t="s">
        <v>77</v>
      </c>
      <c r="N2955" s="28" t="s">
        <v>77</v>
      </c>
      <c r="O2955" s="26" t="s">
        <v>77</v>
      </c>
    </row>
    <row r="2956">
      <c r="A2956" s="52" t="s">
        <v>77</v>
      </c>
      <c r="B2956" s="28" t="s">
        <v>77</v>
      </c>
      <c r="C2956" s="28" t="s">
        <v>77</v>
      </c>
      <c r="D2956" s="28" t="s">
        <v>77</v>
      </c>
      <c r="E2956" s="28" t="s">
        <v>77</v>
      </c>
      <c r="F2956" s="28" t="s">
        <v>77</v>
      </c>
      <c r="G2956" s="28" t="s">
        <v>77</v>
      </c>
      <c r="I2956" s="26" t="s">
        <v>77</v>
      </c>
      <c r="J2956" s="26" t="s">
        <v>77</v>
      </c>
      <c r="K2956" s="18"/>
      <c r="L2956" s="26" t="s">
        <v>77</v>
      </c>
      <c r="M2956" s="6" t="s">
        <v>77</v>
      </c>
      <c r="N2956" s="28" t="s">
        <v>77</v>
      </c>
      <c r="O2956" s="26" t="s">
        <v>77</v>
      </c>
    </row>
    <row r="2957">
      <c r="A2957" s="52" t="s">
        <v>77</v>
      </c>
      <c r="B2957" s="28" t="s">
        <v>77</v>
      </c>
      <c r="C2957" s="28" t="s">
        <v>77</v>
      </c>
      <c r="D2957" s="28" t="s">
        <v>77</v>
      </c>
      <c r="E2957" s="28" t="s">
        <v>77</v>
      </c>
      <c r="F2957" s="28" t="s">
        <v>77</v>
      </c>
      <c r="G2957" s="28" t="s">
        <v>77</v>
      </c>
      <c r="I2957" s="26" t="s">
        <v>77</v>
      </c>
      <c r="J2957" s="26" t="s">
        <v>77</v>
      </c>
      <c r="K2957" s="18"/>
      <c r="L2957" s="26" t="s">
        <v>77</v>
      </c>
      <c r="M2957" s="6" t="s">
        <v>77</v>
      </c>
      <c r="N2957" s="28" t="s">
        <v>77</v>
      </c>
      <c r="O2957" s="26" t="s">
        <v>77</v>
      </c>
    </row>
    <row r="2958">
      <c r="A2958" s="52" t="s">
        <v>77</v>
      </c>
      <c r="B2958" s="28" t="s">
        <v>77</v>
      </c>
      <c r="C2958" s="28" t="s">
        <v>77</v>
      </c>
      <c r="D2958" s="28" t="s">
        <v>77</v>
      </c>
      <c r="E2958" s="28" t="s">
        <v>77</v>
      </c>
      <c r="F2958" s="28" t="s">
        <v>77</v>
      </c>
      <c r="G2958" s="28" t="s">
        <v>77</v>
      </c>
      <c r="I2958" s="26" t="s">
        <v>77</v>
      </c>
      <c r="J2958" s="26" t="s">
        <v>77</v>
      </c>
      <c r="K2958" s="18"/>
      <c r="L2958" s="26" t="s">
        <v>77</v>
      </c>
      <c r="M2958" s="6" t="s">
        <v>77</v>
      </c>
      <c r="N2958" s="28" t="s">
        <v>77</v>
      </c>
      <c r="O2958" s="26" t="s">
        <v>77</v>
      </c>
    </row>
    <row r="2959">
      <c r="A2959" s="52" t="s">
        <v>77</v>
      </c>
      <c r="B2959" s="28" t="s">
        <v>77</v>
      </c>
      <c r="C2959" s="28" t="s">
        <v>77</v>
      </c>
      <c r="D2959" s="28" t="s">
        <v>77</v>
      </c>
      <c r="E2959" s="28" t="s">
        <v>77</v>
      </c>
      <c r="F2959" s="28" t="s">
        <v>77</v>
      </c>
      <c r="G2959" s="28" t="s">
        <v>77</v>
      </c>
      <c r="I2959" s="26" t="s">
        <v>77</v>
      </c>
      <c r="J2959" s="26" t="s">
        <v>77</v>
      </c>
      <c r="K2959" s="18"/>
      <c r="L2959" s="26" t="s">
        <v>77</v>
      </c>
      <c r="M2959" s="6" t="s">
        <v>77</v>
      </c>
      <c r="N2959" s="28" t="s">
        <v>77</v>
      </c>
      <c r="O2959" s="26" t="s">
        <v>77</v>
      </c>
    </row>
    <row r="2960">
      <c r="A2960" s="52" t="s">
        <v>77</v>
      </c>
      <c r="B2960" s="28" t="s">
        <v>77</v>
      </c>
      <c r="C2960" s="28" t="s">
        <v>77</v>
      </c>
      <c r="D2960" s="28" t="s">
        <v>77</v>
      </c>
      <c r="E2960" s="28" t="s">
        <v>77</v>
      </c>
      <c r="F2960" s="28" t="s">
        <v>77</v>
      </c>
      <c r="G2960" s="28" t="s">
        <v>77</v>
      </c>
      <c r="I2960" s="26" t="s">
        <v>77</v>
      </c>
      <c r="J2960" s="26" t="s">
        <v>77</v>
      </c>
      <c r="K2960" s="18"/>
      <c r="L2960" s="26" t="s">
        <v>77</v>
      </c>
      <c r="M2960" s="6" t="s">
        <v>77</v>
      </c>
      <c r="N2960" s="28" t="s">
        <v>77</v>
      </c>
      <c r="O2960" s="26" t="s">
        <v>77</v>
      </c>
    </row>
    <row r="2961">
      <c r="A2961" s="52" t="s">
        <v>77</v>
      </c>
      <c r="B2961" s="28" t="s">
        <v>77</v>
      </c>
      <c r="C2961" s="28" t="s">
        <v>77</v>
      </c>
      <c r="D2961" s="28" t="s">
        <v>77</v>
      </c>
      <c r="E2961" s="28" t="s">
        <v>77</v>
      </c>
      <c r="F2961" s="28" t="s">
        <v>77</v>
      </c>
      <c r="G2961" s="28" t="s">
        <v>77</v>
      </c>
      <c r="I2961" s="26" t="s">
        <v>77</v>
      </c>
      <c r="J2961" s="26" t="s">
        <v>77</v>
      </c>
      <c r="K2961" s="18"/>
      <c r="L2961" s="26" t="s">
        <v>77</v>
      </c>
      <c r="M2961" s="6" t="s">
        <v>77</v>
      </c>
      <c r="N2961" s="28" t="s">
        <v>77</v>
      </c>
      <c r="O2961" s="26" t="s">
        <v>77</v>
      </c>
    </row>
    <row r="2962">
      <c r="A2962" s="52" t="s">
        <v>77</v>
      </c>
      <c r="B2962" s="28" t="s">
        <v>77</v>
      </c>
      <c r="C2962" s="28" t="s">
        <v>77</v>
      </c>
      <c r="D2962" s="28" t="s">
        <v>77</v>
      </c>
      <c r="E2962" s="28" t="s">
        <v>77</v>
      </c>
      <c r="F2962" s="28" t="s">
        <v>77</v>
      </c>
      <c r="G2962" s="28" t="s">
        <v>77</v>
      </c>
      <c r="I2962" s="26" t="s">
        <v>77</v>
      </c>
      <c r="J2962" s="26" t="s">
        <v>77</v>
      </c>
      <c r="K2962" s="18"/>
      <c r="L2962" s="26" t="s">
        <v>77</v>
      </c>
      <c r="M2962" s="6" t="s">
        <v>77</v>
      </c>
      <c r="N2962" s="28" t="s">
        <v>77</v>
      </c>
      <c r="O2962" s="26" t="s">
        <v>77</v>
      </c>
    </row>
    <row r="2963">
      <c r="A2963" s="52" t="s">
        <v>77</v>
      </c>
      <c r="B2963" s="28" t="s">
        <v>77</v>
      </c>
      <c r="C2963" s="28" t="s">
        <v>77</v>
      </c>
      <c r="D2963" s="28" t="s">
        <v>77</v>
      </c>
      <c r="E2963" s="28" t="s">
        <v>77</v>
      </c>
      <c r="F2963" s="28" t="s">
        <v>77</v>
      </c>
      <c r="G2963" s="28" t="s">
        <v>77</v>
      </c>
      <c r="I2963" s="26" t="s">
        <v>77</v>
      </c>
      <c r="J2963" s="26" t="s">
        <v>77</v>
      </c>
      <c r="K2963" s="18"/>
      <c r="L2963" s="26" t="s">
        <v>77</v>
      </c>
      <c r="M2963" s="6" t="s">
        <v>77</v>
      </c>
      <c r="N2963" s="28" t="s">
        <v>77</v>
      </c>
      <c r="O2963" s="26" t="s">
        <v>77</v>
      </c>
    </row>
    <row r="2964">
      <c r="A2964" s="52" t="s">
        <v>77</v>
      </c>
      <c r="B2964" s="28" t="s">
        <v>77</v>
      </c>
      <c r="C2964" s="28" t="s">
        <v>77</v>
      </c>
      <c r="D2964" s="28" t="s">
        <v>77</v>
      </c>
      <c r="E2964" s="28" t="s">
        <v>77</v>
      </c>
      <c r="F2964" s="28" t="s">
        <v>77</v>
      </c>
      <c r="G2964" s="28" t="s">
        <v>77</v>
      </c>
      <c r="I2964" s="26" t="s">
        <v>77</v>
      </c>
      <c r="J2964" s="26" t="s">
        <v>77</v>
      </c>
      <c r="K2964" s="18"/>
      <c r="L2964" s="26" t="s">
        <v>77</v>
      </c>
      <c r="M2964" s="6" t="s">
        <v>77</v>
      </c>
      <c r="N2964" s="28" t="s">
        <v>77</v>
      </c>
      <c r="O2964" s="26" t="s">
        <v>77</v>
      </c>
    </row>
    <row r="2965">
      <c r="A2965" s="52" t="s">
        <v>77</v>
      </c>
      <c r="B2965" s="28" t="s">
        <v>77</v>
      </c>
      <c r="C2965" s="28" t="s">
        <v>77</v>
      </c>
      <c r="D2965" s="28" t="s">
        <v>77</v>
      </c>
      <c r="E2965" s="28" t="s">
        <v>77</v>
      </c>
      <c r="F2965" s="28" t="s">
        <v>77</v>
      </c>
      <c r="G2965" s="28" t="s">
        <v>77</v>
      </c>
      <c r="I2965" s="26" t="s">
        <v>77</v>
      </c>
      <c r="J2965" s="26" t="s">
        <v>77</v>
      </c>
      <c r="K2965" s="18"/>
      <c r="L2965" s="26" t="s">
        <v>77</v>
      </c>
      <c r="M2965" s="6" t="s">
        <v>77</v>
      </c>
      <c r="N2965" s="28" t="s">
        <v>77</v>
      </c>
      <c r="O2965" s="26" t="s">
        <v>77</v>
      </c>
    </row>
    <row r="2966">
      <c r="A2966" s="52" t="s">
        <v>77</v>
      </c>
      <c r="B2966" s="28" t="s">
        <v>77</v>
      </c>
      <c r="C2966" s="28" t="s">
        <v>77</v>
      </c>
      <c r="D2966" s="28" t="s">
        <v>77</v>
      </c>
      <c r="E2966" s="28" t="s">
        <v>77</v>
      </c>
      <c r="F2966" s="28" t="s">
        <v>77</v>
      </c>
      <c r="G2966" s="28" t="s">
        <v>77</v>
      </c>
      <c r="I2966" s="26" t="s">
        <v>77</v>
      </c>
      <c r="J2966" s="26" t="s">
        <v>77</v>
      </c>
      <c r="K2966" s="18"/>
      <c r="L2966" s="26" t="s">
        <v>77</v>
      </c>
      <c r="M2966" s="6" t="s">
        <v>77</v>
      </c>
      <c r="N2966" s="28" t="s">
        <v>77</v>
      </c>
      <c r="O2966" s="26" t="s">
        <v>77</v>
      </c>
    </row>
    <row r="2967">
      <c r="A2967" s="52" t="s">
        <v>77</v>
      </c>
      <c r="B2967" s="28" t="s">
        <v>77</v>
      </c>
      <c r="C2967" s="28" t="s">
        <v>77</v>
      </c>
      <c r="D2967" s="28" t="s">
        <v>77</v>
      </c>
      <c r="E2967" s="28" t="s">
        <v>77</v>
      </c>
      <c r="F2967" s="28" t="s">
        <v>77</v>
      </c>
      <c r="G2967" s="28" t="s">
        <v>77</v>
      </c>
      <c r="I2967" s="26" t="s">
        <v>77</v>
      </c>
      <c r="J2967" s="26" t="s">
        <v>77</v>
      </c>
      <c r="K2967" s="18"/>
      <c r="L2967" s="26" t="s">
        <v>77</v>
      </c>
      <c r="M2967" s="6" t="s">
        <v>77</v>
      </c>
      <c r="N2967" s="28" t="s">
        <v>77</v>
      </c>
      <c r="O2967" s="26" t="s">
        <v>77</v>
      </c>
    </row>
    <row r="2968">
      <c r="A2968" s="52" t="s">
        <v>77</v>
      </c>
      <c r="B2968" s="28" t="s">
        <v>77</v>
      </c>
      <c r="C2968" s="28" t="s">
        <v>77</v>
      </c>
      <c r="D2968" s="28" t="s">
        <v>77</v>
      </c>
      <c r="E2968" s="28" t="s">
        <v>77</v>
      </c>
      <c r="F2968" s="28" t="s">
        <v>77</v>
      </c>
      <c r="G2968" s="28" t="s">
        <v>77</v>
      </c>
      <c r="I2968" s="26" t="s">
        <v>77</v>
      </c>
      <c r="J2968" s="26" t="s">
        <v>77</v>
      </c>
      <c r="K2968" s="18"/>
      <c r="L2968" s="26" t="s">
        <v>77</v>
      </c>
      <c r="M2968" s="6" t="s">
        <v>77</v>
      </c>
      <c r="N2968" s="28" t="s">
        <v>77</v>
      </c>
      <c r="O2968" s="26" t="s">
        <v>77</v>
      </c>
    </row>
    <row r="2969">
      <c r="A2969" s="52" t="s">
        <v>77</v>
      </c>
      <c r="B2969" s="28" t="s">
        <v>77</v>
      </c>
      <c r="C2969" s="28" t="s">
        <v>77</v>
      </c>
      <c r="D2969" s="28" t="s">
        <v>77</v>
      </c>
      <c r="E2969" s="28" t="s">
        <v>77</v>
      </c>
      <c r="F2969" s="28" t="s">
        <v>77</v>
      </c>
      <c r="G2969" s="28" t="s">
        <v>77</v>
      </c>
      <c r="I2969" s="26" t="s">
        <v>77</v>
      </c>
      <c r="J2969" s="26" t="s">
        <v>77</v>
      </c>
      <c r="K2969" s="18"/>
      <c r="L2969" s="26" t="s">
        <v>77</v>
      </c>
      <c r="M2969" s="6" t="s">
        <v>77</v>
      </c>
      <c r="N2969" s="28" t="s">
        <v>77</v>
      </c>
      <c r="O2969" s="26" t="s">
        <v>77</v>
      </c>
    </row>
    <row r="2970">
      <c r="A2970" s="52" t="s">
        <v>77</v>
      </c>
      <c r="B2970" s="28" t="s">
        <v>77</v>
      </c>
      <c r="C2970" s="28" t="s">
        <v>77</v>
      </c>
      <c r="D2970" s="28" t="s">
        <v>77</v>
      </c>
      <c r="E2970" s="28" t="s">
        <v>77</v>
      </c>
      <c r="F2970" s="28" t="s">
        <v>77</v>
      </c>
      <c r="G2970" s="28" t="s">
        <v>77</v>
      </c>
      <c r="I2970" s="26" t="s">
        <v>77</v>
      </c>
      <c r="J2970" s="26" t="s">
        <v>77</v>
      </c>
      <c r="K2970" s="18"/>
      <c r="L2970" s="26" t="s">
        <v>77</v>
      </c>
      <c r="M2970" s="6" t="s">
        <v>77</v>
      </c>
      <c r="N2970" s="28" t="s">
        <v>77</v>
      </c>
      <c r="O2970" s="26" t="s">
        <v>77</v>
      </c>
    </row>
    <row r="2971">
      <c r="A2971" s="52" t="s">
        <v>77</v>
      </c>
      <c r="B2971" s="28" t="s">
        <v>77</v>
      </c>
      <c r="C2971" s="28" t="s">
        <v>77</v>
      </c>
      <c r="D2971" s="28" t="s">
        <v>77</v>
      </c>
      <c r="E2971" s="28" t="s">
        <v>77</v>
      </c>
      <c r="F2971" s="28" t="s">
        <v>77</v>
      </c>
      <c r="G2971" s="28" t="s">
        <v>77</v>
      </c>
      <c r="I2971" s="26" t="s">
        <v>77</v>
      </c>
      <c r="J2971" s="26" t="s">
        <v>77</v>
      </c>
      <c r="K2971" s="18"/>
      <c r="L2971" s="26" t="s">
        <v>77</v>
      </c>
      <c r="M2971" s="6" t="s">
        <v>77</v>
      </c>
      <c r="N2971" s="28" t="s">
        <v>77</v>
      </c>
      <c r="O2971" s="26" t="s">
        <v>77</v>
      </c>
    </row>
    <row r="2972">
      <c r="A2972" s="52" t="s">
        <v>77</v>
      </c>
      <c r="B2972" s="28" t="s">
        <v>77</v>
      </c>
      <c r="C2972" s="28" t="s">
        <v>77</v>
      </c>
      <c r="D2972" s="28" t="s">
        <v>77</v>
      </c>
      <c r="E2972" s="28" t="s">
        <v>77</v>
      </c>
      <c r="F2972" s="28" t="s">
        <v>77</v>
      </c>
      <c r="G2972" s="28" t="s">
        <v>77</v>
      </c>
      <c r="I2972" s="26" t="s">
        <v>77</v>
      </c>
      <c r="J2972" s="26" t="s">
        <v>77</v>
      </c>
      <c r="K2972" s="18"/>
      <c r="L2972" s="26" t="s">
        <v>77</v>
      </c>
      <c r="M2972" s="6" t="s">
        <v>77</v>
      </c>
      <c r="N2972" s="28" t="s">
        <v>77</v>
      </c>
      <c r="O2972" s="26" t="s">
        <v>77</v>
      </c>
    </row>
    <row r="2973">
      <c r="A2973" s="52" t="s">
        <v>77</v>
      </c>
      <c r="B2973" s="28" t="s">
        <v>77</v>
      </c>
      <c r="C2973" s="28" t="s">
        <v>77</v>
      </c>
      <c r="D2973" s="28" t="s">
        <v>77</v>
      </c>
      <c r="E2973" s="28" t="s">
        <v>77</v>
      </c>
      <c r="F2973" s="28" t="s">
        <v>77</v>
      </c>
      <c r="G2973" s="28" t="s">
        <v>77</v>
      </c>
      <c r="I2973" s="26" t="s">
        <v>77</v>
      </c>
      <c r="J2973" s="26" t="s">
        <v>77</v>
      </c>
      <c r="K2973" s="18"/>
      <c r="L2973" s="26" t="s">
        <v>77</v>
      </c>
      <c r="M2973" s="6" t="s">
        <v>77</v>
      </c>
      <c r="N2973" s="28" t="s">
        <v>77</v>
      </c>
      <c r="O2973" s="26" t="s">
        <v>77</v>
      </c>
    </row>
    <row r="2974">
      <c r="A2974" s="52" t="s">
        <v>77</v>
      </c>
      <c r="B2974" s="28" t="s">
        <v>77</v>
      </c>
      <c r="C2974" s="28" t="s">
        <v>77</v>
      </c>
      <c r="D2974" s="28" t="s">
        <v>77</v>
      </c>
      <c r="E2974" s="28" t="s">
        <v>77</v>
      </c>
      <c r="F2974" s="28" t="s">
        <v>77</v>
      </c>
      <c r="G2974" s="28" t="s">
        <v>77</v>
      </c>
      <c r="I2974" s="26" t="s">
        <v>77</v>
      </c>
      <c r="J2974" s="26" t="s">
        <v>77</v>
      </c>
      <c r="K2974" s="18"/>
      <c r="L2974" s="26" t="s">
        <v>77</v>
      </c>
      <c r="M2974" s="6" t="s">
        <v>77</v>
      </c>
      <c r="N2974" s="28" t="s">
        <v>77</v>
      </c>
      <c r="O2974" s="26" t="s">
        <v>77</v>
      </c>
    </row>
    <row r="2975">
      <c r="A2975" s="52" t="s">
        <v>77</v>
      </c>
      <c r="B2975" s="28" t="s">
        <v>77</v>
      </c>
      <c r="C2975" s="28" t="s">
        <v>77</v>
      </c>
      <c r="D2975" s="28" t="s">
        <v>77</v>
      </c>
      <c r="E2975" s="28" t="s">
        <v>77</v>
      </c>
      <c r="F2975" s="28" t="s">
        <v>77</v>
      </c>
      <c r="G2975" s="28" t="s">
        <v>77</v>
      </c>
      <c r="I2975" s="26" t="s">
        <v>77</v>
      </c>
      <c r="J2975" s="26" t="s">
        <v>77</v>
      </c>
      <c r="K2975" s="18"/>
      <c r="L2975" s="26" t="s">
        <v>77</v>
      </c>
      <c r="M2975" s="6" t="s">
        <v>77</v>
      </c>
      <c r="N2975" s="28" t="s">
        <v>77</v>
      </c>
      <c r="O2975" s="26" t="s">
        <v>77</v>
      </c>
    </row>
    <row r="2976">
      <c r="A2976" s="52" t="s">
        <v>77</v>
      </c>
      <c r="B2976" s="28" t="s">
        <v>77</v>
      </c>
      <c r="C2976" s="28" t="s">
        <v>77</v>
      </c>
      <c r="D2976" s="28" t="s">
        <v>77</v>
      </c>
      <c r="E2976" s="28" t="s">
        <v>77</v>
      </c>
      <c r="F2976" s="28" t="s">
        <v>77</v>
      </c>
      <c r="G2976" s="28" t="s">
        <v>77</v>
      </c>
      <c r="I2976" s="26" t="s">
        <v>77</v>
      </c>
      <c r="J2976" s="26" t="s">
        <v>77</v>
      </c>
      <c r="K2976" s="18"/>
      <c r="L2976" s="26" t="s">
        <v>77</v>
      </c>
      <c r="M2976" s="6" t="s">
        <v>77</v>
      </c>
      <c r="N2976" s="28" t="s">
        <v>77</v>
      </c>
      <c r="O2976" s="26" t="s">
        <v>77</v>
      </c>
    </row>
    <row r="2977">
      <c r="A2977" s="52" t="s">
        <v>77</v>
      </c>
      <c r="B2977" s="28" t="s">
        <v>77</v>
      </c>
      <c r="C2977" s="28" t="s">
        <v>77</v>
      </c>
      <c r="D2977" s="28" t="s">
        <v>77</v>
      </c>
      <c r="E2977" s="28" t="s">
        <v>77</v>
      </c>
      <c r="F2977" s="28" t="s">
        <v>77</v>
      </c>
      <c r="G2977" s="28" t="s">
        <v>77</v>
      </c>
      <c r="I2977" s="26" t="s">
        <v>77</v>
      </c>
      <c r="J2977" s="26" t="s">
        <v>77</v>
      </c>
      <c r="K2977" s="18"/>
      <c r="L2977" s="26" t="s">
        <v>77</v>
      </c>
      <c r="M2977" s="6" t="s">
        <v>77</v>
      </c>
      <c r="N2977" s="28" t="s">
        <v>77</v>
      </c>
      <c r="O2977" s="26" t="s">
        <v>77</v>
      </c>
    </row>
    <row r="2978">
      <c r="A2978" s="52" t="s">
        <v>77</v>
      </c>
      <c r="B2978" s="28" t="s">
        <v>77</v>
      </c>
      <c r="C2978" s="28" t="s">
        <v>77</v>
      </c>
      <c r="D2978" s="28" t="s">
        <v>77</v>
      </c>
      <c r="E2978" s="28" t="s">
        <v>77</v>
      </c>
      <c r="F2978" s="28" t="s">
        <v>77</v>
      </c>
      <c r="G2978" s="28" t="s">
        <v>77</v>
      </c>
      <c r="I2978" s="26" t="s">
        <v>77</v>
      </c>
      <c r="J2978" s="26" t="s">
        <v>77</v>
      </c>
      <c r="K2978" s="18"/>
      <c r="L2978" s="26" t="s">
        <v>77</v>
      </c>
      <c r="M2978" s="6" t="s">
        <v>77</v>
      </c>
      <c r="N2978" s="28" t="s">
        <v>77</v>
      </c>
      <c r="O2978" s="26" t="s">
        <v>77</v>
      </c>
    </row>
    <row r="2979">
      <c r="A2979" s="52" t="s">
        <v>77</v>
      </c>
      <c r="B2979" s="28" t="s">
        <v>77</v>
      </c>
      <c r="C2979" s="28" t="s">
        <v>77</v>
      </c>
      <c r="D2979" s="28" t="s">
        <v>77</v>
      </c>
      <c r="E2979" s="28" t="s">
        <v>77</v>
      </c>
      <c r="F2979" s="28" t="s">
        <v>77</v>
      </c>
      <c r="G2979" s="28" t="s">
        <v>77</v>
      </c>
      <c r="I2979" s="26" t="s">
        <v>77</v>
      </c>
      <c r="J2979" s="26" t="s">
        <v>77</v>
      </c>
      <c r="K2979" s="18"/>
      <c r="L2979" s="26" t="s">
        <v>77</v>
      </c>
      <c r="M2979" s="6" t="s">
        <v>77</v>
      </c>
      <c r="N2979" s="28" t="s">
        <v>77</v>
      </c>
      <c r="O2979" s="26" t="s">
        <v>77</v>
      </c>
    </row>
    <row r="2980">
      <c r="A2980" s="52" t="s">
        <v>77</v>
      </c>
      <c r="B2980" s="28" t="s">
        <v>77</v>
      </c>
      <c r="C2980" s="28" t="s">
        <v>77</v>
      </c>
      <c r="D2980" s="28" t="s">
        <v>77</v>
      </c>
      <c r="E2980" s="28" t="s">
        <v>77</v>
      </c>
      <c r="F2980" s="28" t="s">
        <v>77</v>
      </c>
      <c r="G2980" s="28" t="s">
        <v>77</v>
      </c>
      <c r="I2980" s="26" t="s">
        <v>77</v>
      </c>
      <c r="J2980" s="26" t="s">
        <v>77</v>
      </c>
      <c r="K2980" s="18"/>
      <c r="L2980" s="26" t="s">
        <v>77</v>
      </c>
      <c r="M2980" s="6" t="s">
        <v>77</v>
      </c>
      <c r="N2980" s="28" t="s">
        <v>77</v>
      </c>
      <c r="O2980" s="26" t="s">
        <v>77</v>
      </c>
    </row>
    <row r="2981">
      <c r="A2981" s="52" t="s">
        <v>77</v>
      </c>
      <c r="B2981" s="28" t="s">
        <v>77</v>
      </c>
      <c r="C2981" s="28" t="s">
        <v>77</v>
      </c>
      <c r="D2981" s="28" t="s">
        <v>77</v>
      </c>
      <c r="E2981" s="28" t="s">
        <v>77</v>
      </c>
      <c r="F2981" s="28" t="s">
        <v>77</v>
      </c>
      <c r="G2981" s="28" t="s">
        <v>77</v>
      </c>
      <c r="I2981" s="26" t="s">
        <v>77</v>
      </c>
      <c r="J2981" s="26" t="s">
        <v>77</v>
      </c>
      <c r="K2981" s="18"/>
      <c r="L2981" s="26" t="s">
        <v>77</v>
      </c>
      <c r="M2981" s="6" t="s">
        <v>77</v>
      </c>
      <c r="N2981" s="28" t="s">
        <v>77</v>
      </c>
      <c r="O2981" s="26" t="s">
        <v>77</v>
      </c>
    </row>
    <row r="2982">
      <c r="A2982" s="52" t="s">
        <v>77</v>
      </c>
      <c r="B2982" s="28" t="s">
        <v>77</v>
      </c>
      <c r="C2982" s="28" t="s">
        <v>77</v>
      </c>
      <c r="D2982" s="28" t="s">
        <v>77</v>
      </c>
      <c r="E2982" s="28" t="s">
        <v>77</v>
      </c>
      <c r="F2982" s="28" t="s">
        <v>77</v>
      </c>
      <c r="G2982" s="28" t="s">
        <v>77</v>
      </c>
      <c r="I2982" s="26" t="s">
        <v>77</v>
      </c>
      <c r="J2982" s="26" t="s">
        <v>77</v>
      </c>
      <c r="K2982" s="18"/>
      <c r="L2982" s="26" t="s">
        <v>77</v>
      </c>
      <c r="M2982" s="6" t="s">
        <v>77</v>
      </c>
      <c r="N2982" s="28" t="s">
        <v>77</v>
      </c>
      <c r="O2982" s="26" t="s">
        <v>77</v>
      </c>
    </row>
    <row r="2983">
      <c r="A2983" s="52" t="s">
        <v>77</v>
      </c>
      <c r="B2983" s="28" t="s">
        <v>77</v>
      </c>
      <c r="C2983" s="28" t="s">
        <v>77</v>
      </c>
      <c r="D2983" s="28" t="s">
        <v>77</v>
      </c>
      <c r="E2983" s="28" t="s">
        <v>77</v>
      </c>
      <c r="F2983" s="28" t="s">
        <v>77</v>
      </c>
      <c r="G2983" s="28" t="s">
        <v>77</v>
      </c>
      <c r="I2983" s="26" t="s">
        <v>77</v>
      </c>
      <c r="J2983" s="26" t="s">
        <v>77</v>
      </c>
      <c r="K2983" s="18"/>
      <c r="L2983" s="26" t="s">
        <v>77</v>
      </c>
      <c r="M2983" s="6" t="s">
        <v>77</v>
      </c>
      <c r="N2983" s="28" t="s">
        <v>77</v>
      </c>
      <c r="O2983" s="26" t="s">
        <v>77</v>
      </c>
    </row>
    <row r="2984">
      <c r="A2984" s="52" t="s">
        <v>77</v>
      </c>
      <c r="B2984" s="28" t="s">
        <v>77</v>
      </c>
      <c r="C2984" s="28" t="s">
        <v>77</v>
      </c>
      <c r="D2984" s="28" t="s">
        <v>77</v>
      </c>
      <c r="E2984" s="28" t="s">
        <v>77</v>
      </c>
      <c r="F2984" s="28" t="s">
        <v>77</v>
      </c>
      <c r="G2984" s="28" t="s">
        <v>77</v>
      </c>
      <c r="I2984" s="26" t="s">
        <v>77</v>
      </c>
      <c r="J2984" s="26" t="s">
        <v>77</v>
      </c>
      <c r="K2984" s="18"/>
      <c r="L2984" s="26" t="s">
        <v>77</v>
      </c>
      <c r="M2984" s="6" t="s">
        <v>77</v>
      </c>
      <c r="N2984" s="28" t="s">
        <v>77</v>
      </c>
      <c r="O2984" s="26" t="s">
        <v>77</v>
      </c>
    </row>
    <row r="2985">
      <c r="A2985" s="52" t="s">
        <v>77</v>
      </c>
      <c r="B2985" s="28" t="s">
        <v>77</v>
      </c>
      <c r="C2985" s="28" t="s">
        <v>77</v>
      </c>
      <c r="D2985" s="28" t="s">
        <v>77</v>
      </c>
      <c r="E2985" s="28" t="s">
        <v>77</v>
      </c>
      <c r="F2985" s="28" t="s">
        <v>77</v>
      </c>
      <c r="G2985" s="28" t="s">
        <v>77</v>
      </c>
      <c r="I2985" s="26" t="s">
        <v>77</v>
      </c>
      <c r="J2985" s="26" t="s">
        <v>77</v>
      </c>
      <c r="K2985" s="18"/>
      <c r="L2985" s="26" t="s">
        <v>77</v>
      </c>
      <c r="M2985" s="6" t="s">
        <v>77</v>
      </c>
      <c r="N2985" s="28" t="s">
        <v>77</v>
      </c>
      <c r="O2985" s="26" t="s">
        <v>77</v>
      </c>
    </row>
    <row r="2986">
      <c r="A2986" s="52" t="s">
        <v>77</v>
      </c>
      <c r="B2986" s="28" t="s">
        <v>77</v>
      </c>
      <c r="C2986" s="28" t="s">
        <v>77</v>
      </c>
      <c r="D2986" s="28" t="s">
        <v>77</v>
      </c>
      <c r="E2986" s="28" t="s">
        <v>77</v>
      </c>
      <c r="F2986" s="28" t="s">
        <v>77</v>
      </c>
      <c r="G2986" s="28" t="s">
        <v>77</v>
      </c>
      <c r="I2986" s="26" t="s">
        <v>77</v>
      </c>
      <c r="J2986" s="26" t="s">
        <v>77</v>
      </c>
      <c r="K2986" s="18"/>
      <c r="L2986" s="26" t="s">
        <v>77</v>
      </c>
      <c r="M2986" s="6" t="s">
        <v>77</v>
      </c>
      <c r="N2986" s="28" t="s">
        <v>77</v>
      </c>
      <c r="O2986" s="26" t="s">
        <v>77</v>
      </c>
    </row>
    <row r="2987">
      <c r="A2987" s="52" t="s">
        <v>77</v>
      </c>
      <c r="B2987" s="28" t="s">
        <v>77</v>
      </c>
      <c r="C2987" s="28" t="s">
        <v>77</v>
      </c>
      <c r="D2987" s="28" t="s">
        <v>77</v>
      </c>
      <c r="E2987" s="28" t="s">
        <v>77</v>
      </c>
      <c r="F2987" s="28" t="s">
        <v>77</v>
      </c>
      <c r="G2987" s="28" t="s">
        <v>77</v>
      </c>
      <c r="I2987" s="26" t="s">
        <v>77</v>
      </c>
      <c r="J2987" s="26" t="s">
        <v>77</v>
      </c>
      <c r="K2987" s="18"/>
      <c r="L2987" s="26" t="s">
        <v>77</v>
      </c>
      <c r="M2987" s="6" t="s">
        <v>77</v>
      </c>
      <c r="N2987" s="28" t="s">
        <v>77</v>
      </c>
      <c r="O2987" s="26" t="s">
        <v>77</v>
      </c>
    </row>
    <row r="2988">
      <c r="A2988" s="52" t="s">
        <v>77</v>
      </c>
      <c r="B2988" s="28" t="s">
        <v>77</v>
      </c>
      <c r="C2988" s="28" t="s">
        <v>77</v>
      </c>
      <c r="D2988" s="28" t="s">
        <v>77</v>
      </c>
      <c r="E2988" s="28" t="s">
        <v>77</v>
      </c>
      <c r="F2988" s="28" t="s">
        <v>77</v>
      </c>
      <c r="G2988" s="28" t="s">
        <v>77</v>
      </c>
      <c r="I2988" s="26" t="s">
        <v>77</v>
      </c>
      <c r="J2988" s="26" t="s">
        <v>77</v>
      </c>
      <c r="K2988" s="18"/>
      <c r="L2988" s="26" t="s">
        <v>77</v>
      </c>
      <c r="M2988" s="6" t="s">
        <v>77</v>
      </c>
      <c r="N2988" s="28" t="s">
        <v>77</v>
      </c>
      <c r="O2988" s="26" t="s">
        <v>77</v>
      </c>
    </row>
    <row r="2989">
      <c r="A2989" s="52" t="s">
        <v>77</v>
      </c>
      <c r="B2989" s="28" t="s">
        <v>77</v>
      </c>
      <c r="C2989" s="28" t="s">
        <v>77</v>
      </c>
      <c r="D2989" s="28" t="s">
        <v>77</v>
      </c>
      <c r="E2989" s="28" t="s">
        <v>77</v>
      </c>
      <c r="F2989" s="28" t="s">
        <v>77</v>
      </c>
      <c r="G2989" s="28" t="s">
        <v>77</v>
      </c>
      <c r="I2989" s="26" t="s">
        <v>77</v>
      </c>
      <c r="J2989" s="26" t="s">
        <v>77</v>
      </c>
      <c r="K2989" s="18"/>
      <c r="L2989" s="26" t="s">
        <v>77</v>
      </c>
      <c r="M2989" s="6" t="s">
        <v>77</v>
      </c>
      <c r="N2989" s="28" t="s">
        <v>77</v>
      </c>
      <c r="O2989" s="26" t="s">
        <v>77</v>
      </c>
    </row>
    <row r="2990">
      <c r="A2990" s="52" t="s">
        <v>77</v>
      </c>
      <c r="B2990" s="28" t="s">
        <v>77</v>
      </c>
      <c r="C2990" s="28" t="s">
        <v>77</v>
      </c>
      <c r="D2990" s="28" t="s">
        <v>77</v>
      </c>
      <c r="E2990" s="28" t="s">
        <v>77</v>
      </c>
      <c r="F2990" s="28" t="s">
        <v>77</v>
      </c>
      <c r="G2990" s="28" t="s">
        <v>77</v>
      </c>
      <c r="I2990" s="26" t="s">
        <v>77</v>
      </c>
      <c r="J2990" s="26" t="s">
        <v>77</v>
      </c>
      <c r="K2990" s="18"/>
      <c r="L2990" s="26" t="s">
        <v>77</v>
      </c>
      <c r="M2990" s="6" t="s">
        <v>77</v>
      </c>
      <c r="N2990" s="28" t="s">
        <v>77</v>
      </c>
      <c r="O2990" s="26" t="s">
        <v>77</v>
      </c>
    </row>
    <row r="2991">
      <c r="A2991" s="52" t="s">
        <v>77</v>
      </c>
      <c r="B2991" s="28" t="s">
        <v>77</v>
      </c>
      <c r="C2991" s="28" t="s">
        <v>77</v>
      </c>
      <c r="D2991" s="28" t="s">
        <v>77</v>
      </c>
      <c r="E2991" s="28" t="s">
        <v>77</v>
      </c>
      <c r="F2991" s="28" t="s">
        <v>77</v>
      </c>
      <c r="G2991" s="28" t="s">
        <v>77</v>
      </c>
      <c r="I2991" s="26" t="s">
        <v>77</v>
      </c>
      <c r="J2991" s="26" t="s">
        <v>77</v>
      </c>
      <c r="K2991" s="18"/>
      <c r="L2991" s="26" t="s">
        <v>77</v>
      </c>
      <c r="M2991" s="6" t="s">
        <v>77</v>
      </c>
      <c r="N2991" s="28" t="s">
        <v>77</v>
      </c>
      <c r="O2991" s="26" t="s">
        <v>77</v>
      </c>
    </row>
    <row r="2992">
      <c r="A2992" s="52" t="s">
        <v>77</v>
      </c>
      <c r="B2992" s="28" t="s">
        <v>77</v>
      </c>
      <c r="C2992" s="28" t="s">
        <v>77</v>
      </c>
      <c r="D2992" s="28" t="s">
        <v>77</v>
      </c>
      <c r="E2992" s="28" t="s">
        <v>77</v>
      </c>
      <c r="F2992" s="28" t="s">
        <v>77</v>
      </c>
      <c r="G2992" s="28" t="s">
        <v>77</v>
      </c>
      <c r="I2992" s="26" t="s">
        <v>77</v>
      </c>
      <c r="J2992" s="26" t="s">
        <v>77</v>
      </c>
      <c r="K2992" s="18"/>
      <c r="L2992" s="26" t="s">
        <v>77</v>
      </c>
      <c r="M2992" s="6" t="s">
        <v>77</v>
      </c>
      <c r="N2992" s="28" t="s">
        <v>77</v>
      </c>
      <c r="O2992" s="26" t="s">
        <v>77</v>
      </c>
    </row>
    <row r="2993">
      <c r="A2993" s="52" t="s">
        <v>77</v>
      </c>
      <c r="B2993" s="28" t="s">
        <v>77</v>
      </c>
      <c r="C2993" s="28" t="s">
        <v>77</v>
      </c>
      <c r="D2993" s="28" t="s">
        <v>77</v>
      </c>
      <c r="E2993" s="28" t="s">
        <v>77</v>
      </c>
      <c r="F2993" s="28" t="s">
        <v>77</v>
      </c>
      <c r="G2993" s="28" t="s">
        <v>77</v>
      </c>
      <c r="I2993" s="26" t="s">
        <v>77</v>
      </c>
      <c r="J2993" s="26" t="s">
        <v>77</v>
      </c>
      <c r="K2993" s="18"/>
      <c r="L2993" s="26" t="s">
        <v>77</v>
      </c>
      <c r="M2993" s="6" t="s">
        <v>77</v>
      </c>
      <c r="N2993" s="28" t="s">
        <v>77</v>
      </c>
      <c r="O2993" s="26" t="s">
        <v>77</v>
      </c>
    </row>
    <row r="2994">
      <c r="A2994" s="52" t="s">
        <v>77</v>
      </c>
      <c r="B2994" s="28" t="s">
        <v>77</v>
      </c>
      <c r="C2994" s="28" t="s">
        <v>77</v>
      </c>
      <c r="D2994" s="28" t="s">
        <v>77</v>
      </c>
      <c r="E2994" s="28" t="s">
        <v>77</v>
      </c>
      <c r="F2994" s="28" t="s">
        <v>77</v>
      </c>
      <c r="G2994" s="28" t="s">
        <v>77</v>
      </c>
      <c r="I2994" s="26" t="s">
        <v>77</v>
      </c>
      <c r="J2994" s="26" t="s">
        <v>77</v>
      </c>
      <c r="K2994" s="18"/>
      <c r="L2994" s="26" t="s">
        <v>77</v>
      </c>
      <c r="M2994" s="6" t="s">
        <v>77</v>
      </c>
      <c r="N2994" s="28" t="s">
        <v>77</v>
      </c>
      <c r="O2994" s="26" t="s">
        <v>77</v>
      </c>
    </row>
    <row r="2995">
      <c r="A2995" s="52" t="s">
        <v>77</v>
      </c>
      <c r="B2995" s="28" t="s">
        <v>77</v>
      </c>
      <c r="C2995" s="28" t="s">
        <v>77</v>
      </c>
      <c r="D2995" s="28" t="s">
        <v>77</v>
      </c>
      <c r="E2995" s="28" t="s">
        <v>77</v>
      </c>
      <c r="F2995" s="28" t="s">
        <v>77</v>
      </c>
      <c r="G2995" s="28" t="s">
        <v>77</v>
      </c>
      <c r="I2995" s="26" t="s">
        <v>77</v>
      </c>
      <c r="J2995" s="26" t="s">
        <v>77</v>
      </c>
      <c r="K2995" s="18"/>
      <c r="L2995" s="26" t="s">
        <v>77</v>
      </c>
      <c r="M2995" s="6" t="s">
        <v>77</v>
      </c>
      <c r="N2995" s="28" t="s">
        <v>77</v>
      </c>
      <c r="O2995" s="26" t="s">
        <v>77</v>
      </c>
    </row>
    <row r="2996">
      <c r="A2996" s="52" t="s">
        <v>77</v>
      </c>
      <c r="B2996" s="28" t="s">
        <v>77</v>
      </c>
      <c r="C2996" s="28" t="s">
        <v>77</v>
      </c>
      <c r="D2996" s="28" t="s">
        <v>77</v>
      </c>
      <c r="E2996" s="28" t="s">
        <v>77</v>
      </c>
      <c r="F2996" s="28" t="s">
        <v>77</v>
      </c>
      <c r="G2996" s="28" t="s">
        <v>77</v>
      </c>
      <c r="I2996" s="26" t="s">
        <v>77</v>
      </c>
      <c r="J2996" s="26" t="s">
        <v>77</v>
      </c>
      <c r="K2996" s="18"/>
      <c r="L2996" s="26" t="s">
        <v>77</v>
      </c>
      <c r="M2996" s="6" t="s">
        <v>77</v>
      </c>
      <c r="N2996" s="28" t="s">
        <v>77</v>
      </c>
      <c r="O2996" s="26" t="s">
        <v>77</v>
      </c>
    </row>
    <row r="2997">
      <c r="A2997" s="52" t="s">
        <v>77</v>
      </c>
      <c r="B2997" s="28" t="s">
        <v>77</v>
      </c>
      <c r="C2997" s="28" t="s">
        <v>77</v>
      </c>
      <c r="D2997" s="28" t="s">
        <v>77</v>
      </c>
      <c r="E2997" s="28" t="s">
        <v>77</v>
      </c>
      <c r="F2997" s="28" t="s">
        <v>77</v>
      </c>
      <c r="G2997" s="28" t="s">
        <v>77</v>
      </c>
      <c r="I2997" s="26" t="s">
        <v>77</v>
      </c>
      <c r="J2997" s="26" t="s">
        <v>77</v>
      </c>
      <c r="K2997" s="18"/>
      <c r="L2997" s="26" t="s">
        <v>77</v>
      </c>
      <c r="M2997" s="6" t="s">
        <v>77</v>
      </c>
      <c r="N2997" s="28" t="s">
        <v>77</v>
      </c>
      <c r="O2997" s="26" t="s">
        <v>77</v>
      </c>
    </row>
    <row r="2998">
      <c r="A2998" s="52" t="s">
        <v>77</v>
      </c>
      <c r="B2998" s="28" t="s">
        <v>77</v>
      </c>
      <c r="C2998" s="28" t="s">
        <v>77</v>
      </c>
      <c r="D2998" s="28" t="s">
        <v>77</v>
      </c>
      <c r="E2998" s="28" t="s">
        <v>77</v>
      </c>
      <c r="F2998" s="28" t="s">
        <v>77</v>
      </c>
      <c r="G2998" s="28" t="s">
        <v>77</v>
      </c>
      <c r="I2998" s="26" t="s">
        <v>77</v>
      </c>
      <c r="J2998" s="26" t="s">
        <v>77</v>
      </c>
      <c r="K2998" s="18"/>
      <c r="L2998" s="26" t="s">
        <v>77</v>
      </c>
      <c r="M2998" s="6" t="s">
        <v>77</v>
      </c>
      <c r="N2998" s="28" t="s">
        <v>77</v>
      </c>
      <c r="O2998" s="26" t="s">
        <v>77</v>
      </c>
    </row>
    <row r="2999">
      <c r="A2999" s="52" t="s">
        <v>77</v>
      </c>
      <c r="B2999" s="28" t="s">
        <v>77</v>
      </c>
      <c r="C2999" s="28" t="s">
        <v>77</v>
      </c>
      <c r="D2999" s="28" t="s">
        <v>77</v>
      </c>
      <c r="E2999" s="28" t="s">
        <v>77</v>
      </c>
      <c r="F2999" s="28" t="s">
        <v>77</v>
      </c>
      <c r="G2999" s="28" t="s">
        <v>77</v>
      </c>
      <c r="I2999" s="26" t="s">
        <v>77</v>
      </c>
      <c r="J2999" s="26" t="s">
        <v>77</v>
      </c>
      <c r="K2999" s="18"/>
      <c r="L2999" s="26" t="s">
        <v>77</v>
      </c>
      <c r="M2999" s="6" t="s">
        <v>77</v>
      </c>
      <c r="N2999" s="28" t="s">
        <v>77</v>
      </c>
      <c r="O2999" s="26" t="s">
        <v>77</v>
      </c>
    </row>
    <row r="3000">
      <c r="A3000" s="52" t="s">
        <v>77</v>
      </c>
      <c r="B3000" s="28" t="s">
        <v>77</v>
      </c>
      <c r="C3000" s="28" t="s">
        <v>77</v>
      </c>
      <c r="D3000" s="28" t="s">
        <v>77</v>
      </c>
      <c r="E3000" s="28" t="s">
        <v>77</v>
      </c>
      <c r="F3000" s="28" t="s">
        <v>77</v>
      </c>
      <c r="G3000" s="28" t="s">
        <v>77</v>
      </c>
      <c r="I3000" s="26" t="s">
        <v>77</v>
      </c>
      <c r="J3000" s="26" t="s">
        <v>77</v>
      </c>
      <c r="K3000" s="18"/>
      <c r="L3000" s="26" t="s">
        <v>77</v>
      </c>
      <c r="M3000" s="6" t="s">
        <v>77</v>
      </c>
      <c r="N3000" s="28" t="s">
        <v>77</v>
      </c>
      <c r="O3000" s="26" t="s">
        <v>77</v>
      </c>
    </row>
    <row r="3001">
      <c r="A3001" s="52" t="s">
        <v>77</v>
      </c>
      <c r="B3001" s="28" t="s">
        <v>77</v>
      </c>
      <c r="C3001" s="28" t="s">
        <v>77</v>
      </c>
      <c r="D3001" s="28" t="s">
        <v>77</v>
      </c>
      <c r="E3001" s="28" t="s">
        <v>77</v>
      </c>
      <c r="F3001" s="28" t="s">
        <v>77</v>
      </c>
      <c r="G3001" s="28" t="s">
        <v>77</v>
      </c>
      <c r="I3001" s="26" t="s">
        <v>77</v>
      </c>
      <c r="J3001" s="26" t="s">
        <v>77</v>
      </c>
      <c r="K3001" s="18"/>
      <c r="L3001" s="26" t="s">
        <v>77</v>
      </c>
      <c r="M3001" s="6" t="s">
        <v>77</v>
      </c>
      <c r="N3001" s="28" t="s">
        <v>77</v>
      </c>
      <c r="O3001" s="26" t="s">
        <v>77</v>
      </c>
    </row>
    <row r="3002">
      <c r="A3002" s="52" t="s">
        <v>77</v>
      </c>
      <c r="B3002" s="28" t="s">
        <v>77</v>
      </c>
      <c r="C3002" s="28" t="s">
        <v>77</v>
      </c>
      <c r="D3002" s="28" t="s">
        <v>77</v>
      </c>
      <c r="E3002" s="28" t="s">
        <v>77</v>
      </c>
      <c r="F3002" s="28" t="s">
        <v>77</v>
      </c>
      <c r="G3002" s="28" t="s">
        <v>77</v>
      </c>
      <c r="I3002" s="26" t="s">
        <v>77</v>
      </c>
      <c r="J3002" s="26" t="s">
        <v>77</v>
      </c>
      <c r="K3002" s="18"/>
      <c r="L3002" s="26" t="s">
        <v>77</v>
      </c>
      <c r="M3002" s="6" t="s">
        <v>77</v>
      </c>
      <c r="N3002" s="28" t="s">
        <v>77</v>
      </c>
      <c r="O3002" s="26" t="s">
        <v>77</v>
      </c>
    </row>
    <row r="3003">
      <c r="A3003" s="52" t="s">
        <v>77</v>
      </c>
      <c r="B3003" s="28" t="s">
        <v>77</v>
      </c>
      <c r="C3003" s="28" t="s">
        <v>77</v>
      </c>
      <c r="D3003" s="28" t="s">
        <v>77</v>
      </c>
      <c r="E3003" s="28" t="s">
        <v>77</v>
      </c>
      <c r="F3003" s="28" t="s">
        <v>77</v>
      </c>
      <c r="G3003" s="28" t="s">
        <v>77</v>
      </c>
      <c r="I3003" s="26" t="s">
        <v>77</v>
      </c>
      <c r="J3003" s="26" t="s">
        <v>77</v>
      </c>
      <c r="K3003" s="18"/>
      <c r="L3003" s="26" t="s">
        <v>77</v>
      </c>
      <c r="M3003" s="6" t="s">
        <v>77</v>
      </c>
      <c r="N3003" s="28" t="s">
        <v>77</v>
      </c>
      <c r="O3003" s="26" t="s">
        <v>77</v>
      </c>
    </row>
    <row r="3004">
      <c r="A3004" s="52" t="s">
        <v>77</v>
      </c>
      <c r="B3004" s="28" t="s">
        <v>77</v>
      </c>
      <c r="C3004" s="28" t="s">
        <v>77</v>
      </c>
      <c r="D3004" s="28" t="s">
        <v>77</v>
      </c>
      <c r="E3004" s="28" t="s">
        <v>77</v>
      </c>
      <c r="F3004" s="28" t="s">
        <v>77</v>
      </c>
      <c r="G3004" s="28" t="s">
        <v>77</v>
      </c>
      <c r="I3004" s="26" t="s">
        <v>77</v>
      </c>
      <c r="J3004" s="26" t="s">
        <v>77</v>
      </c>
      <c r="K3004" s="18"/>
      <c r="L3004" s="26" t="s">
        <v>77</v>
      </c>
      <c r="M3004" s="6" t="s">
        <v>77</v>
      </c>
      <c r="N3004" s="28" t="s">
        <v>77</v>
      </c>
      <c r="O3004" s="26" t="s">
        <v>77</v>
      </c>
    </row>
    <row r="3005">
      <c r="A3005" s="52" t="s">
        <v>77</v>
      </c>
      <c r="B3005" s="28" t="s">
        <v>77</v>
      </c>
      <c r="C3005" s="28" t="s">
        <v>77</v>
      </c>
      <c r="D3005" s="28" t="s">
        <v>77</v>
      </c>
      <c r="E3005" s="28" t="s">
        <v>77</v>
      </c>
      <c r="F3005" s="28" t="s">
        <v>77</v>
      </c>
      <c r="G3005" s="28" t="s">
        <v>77</v>
      </c>
      <c r="I3005" s="26" t="s">
        <v>77</v>
      </c>
      <c r="J3005" s="26" t="s">
        <v>77</v>
      </c>
      <c r="K3005" s="18"/>
      <c r="L3005" s="26" t="s">
        <v>77</v>
      </c>
      <c r="M3005" s="6" t="s">
        <v>77</v>
      </c>
      <c r="N3005" s="28" t="s">
        <v>77</v>
      </c>
      <c r="O3005" s="26" t="s">
        <v>77</v>
      </c>
    </row>
    <row r="3006">
      <c r="A3006" s="52" t="s">
        <v>77</v>
      </c>
      <c r="B3006" s="28" t="s">
        <v>77</v>
      </c>
      <c r="C3006" s="28" t="s">
        <v>77</v>
      </c>
      <c r="D3006" s="28" t="s">
        <v>77</v>
      </c>
      <c r="E3006" s="28" t="s">
        <v>77</v>
      </c>
      <c r="F3006" s="28" t="s">
        <v>77</v>
      </c>
      <c r="G3006" s="28" t="s">
        <v>77</v>
      </c>
      <c r="I3006" s="26" t="s">
        <v>77</v>
      </c>
      <c r="J3006" s="26" t="s">
        <v>77</v>
      </c>
      <c r="K3006" s="18"/>
      <c r="L3006" s="26" t="s">
        <v>77</v>
      </c>
      <c r="M3006" s="6" t="s">
        <v>77</v>
      </c>
      <c r="N3006" s="28" t="s">
        <v>77</v>
      </c>
      <c r="O3006" s="26" t="s">
        <v>77</v>
      </c>
    </row>
    <row r="3007">
      <c r="A3007" s="52" t="s">
        <v>77</v>
      </c>
      <c r="B3007" s="28" t="s">
        <v>77</v>
      </c>
      <c r="C3007" s="28" t="s">
        <v>77</v>
      </c>
      <c r="D3007" s="28" t="s">
        <v>77</v>
      </c>
      <c r="E3007" s="28" t="s">
        <v>77</v>
      </c>
      <c r="F3007" s="28" t="s">
        <v>77</v>
      </c>
      <c r="G3007" s="28" t="s">
        <v>77</v>
      </c>
      <c r="I3007" s="26" t="s">
        <v>77</v>
      </c>
      <c r="J3007" s="26" t="s">
        <v>77</v>
      </c>
      <c r="K3007" s="18"/>
      <c r="L3007" s="26" t="s">
        <v>77</v>
      </c>
      <c r="M3007" s="6" t="s">
        <v>77</v>
      </c>
      <c r="N3007" s="28" t="s">
        <v>77</v>
      </c>
      <c r="O3007" s="26" t="s">
        <v>77</v>
      </c>
    </row>
    <row r="3008">
      <c r="A3008" s="52" t="s">
        <v>77</v>
      </c>
      <c r="B3008" s="28" t="s">
        <v>77</v>
      </c>
      <c r="C3008" s="28" t="s">
        <v>77</v>
      </c>
      <c r="D3008" s="28" t="s">
        <v>77</v>
      </c>
      <c r="E3008" s="28" t="s">
        <v>77</v>
      </c>
      <c r="F3008" s="28" t="s">
        <v>77</v>
      </c>
      <c r="G3008" s="28" t="s">
        <v>77</v>
      </c>
      <c r="I3008" s="26" t="s">
        <v>77</v>
      </c>
      <c r="J3008" s="26" t="s">
        <v>77</v>
      </c>
      <c r="K3008" s="18"/>
      <c r="L3008" s="26" t="s">
        <v>77</v>
      </c>
      <c r="M3008" s="6" t="s">
        <v>77</v>
      </c>
      <c r="N3008" s="28" t="s">
        <v>77</v>
      </c>
      <c r="O3008" s="26" t="s">
        <v>77</v>
      </c>
    </row>
    <row r="3009">
      <c r="A3009" s="52" t="s">
        <v>77</v>
      </c>
      <c r="B3009" s="28" t="s">
        <v>77</v>
      </c>
      <c r="C3009" s="28" t="s">
        <v>77</v>
      </c>
      <c r="D3009" s="28" t="s">
        <v>77</v>
      </c>
      <c r="E3009" s="28" t="s">
        <v>77</v>
      </c>
      <c r="F3009" s="28" t="s">
        <v>77</v>
      </c>
      <c r="G3009" s="28" t="s">
        <v>77</v>
      </c>
      <c r="I3009" s="26" t="s">
        <v>77</v>
      </c>
      <c r="J3009" s="26" t="s">
        <v>77</v>
      </c>
      <c r="K3009" s="18"/>
      <c r="L3009" s="26" t="s">
        <v>77</v>
      </c>
      <c r="M3009" s="6" t="s">
        <v>77</v>
      </c>
      <c r="N3009" s="28" t="s">
        <v>77</v>
      </c>
      <c r="O3009" s="26" t="s">
        <v>77</v>
      </c>
    </row>
    <row r="3010">
      <c r="A3010" s="52" t="s">
        <v>77</v>
      </c>
      <c r="B3010" s="28" t="s">
        <v>77</v>
      </c>
      <c r="C3010" s="28" t="s">
        <v>77</v>
      </c>
      <c r="D3010" s="28" t="s">
        <v>77</v>
      </c>
      <c r="E3010" s="28" t="s">
        <v>77</v>
      </c>
      <c r="F3010" s="28" t="s">
        <v>77</v>
      </c>
      <c r="G3010" s="28" t="s">
        <v>77</v>
      </c>
      <c r="I3010" s="26" t="s">
        <v>77</v>
      </c>
      <c r="J3010" s="26" t="s">
        <v>77</v>
      </c>
      <c r="K3010" s="18"/>
      <c r="L3010" s="26" t="s">
        <v>77</v>
      </c>
      <c r="M3010" s="6" t="s">
        <v>77</v>
      </c>
      <c r="N3010" s="28" t="s">
        <v>77</v>
      </c>
      <c r="O3010" s="26" t="s">
        <v>77</v>
      </c>
    </row>
    <row r="3011">
      <c r="A3011" s="52" t="s">
        <v>77</v>
      </c>
      <c r="B3011" s="28" t="s">
        <v>77</v>
      </c>
      <c r="C3011" s="28" t="s">
        <v>77</v>
      </c>
      <c r="D3011" s="28" t="s">
        <v>77</v>
      </c>
      <c r="E3011" s="28" t="s">
        <v>77</v>
      </c>
      <c r="F3011" s="28" t="s">
        <v>77</v>
      </c>
      <c r="G3011" s="28" t="s">
        <v>77</v>
      </c>
      <c r="I3011" s="26" t="s">
        <v>77</v>
      </c>
      <c r="J3011" s="26" t="s">
        <v>77</v>
      </c>
      <c r="K3011" s="18"/>
      <c r="L3011" s="26" t="s">
        <v>77</v>
      </c>
      <c r="M3011" s="6" t="s">
        <v>77</v>
      </c>
      <c r="N3011" s="28" t="s">
        <v>77</v>
      </c>
      <c r="O3011" s="26" t="s">
        <v>77</v>
      </c>
    </row>
    <row r="3012">
      <c r="A3012" s="52" t="s">
        <v>77</v>
      </c>
      <c r="B3012" s="28" t="s">
        <v>77</v>
      </c>
      <c r="C3012" s="28" t="s">
        <v>77</v>
      </c>
      <c r="D3012" s="28" t="s">
        <v>77</v>
      </c>
      <c r="E3012" s="28" t="s">
        <v>77</v>
      </c>
      <c r="F3012" s="28" t="s">
        <v>77</v>
      </c>
      <c r="G3012" s="28" t="s">
        <v>77</v>
      </c>
      <c r="I3012" s="26" t="s">
        <v>77</v>
      </c>
      <c r="J3012" s="26" t="s">
        <v>77</v>
      </c>
      <c r="K3012" s="18"/>
      <c r="L3012" s="26" t="s">
        <v>77</v>
      </c>
      <c r="M3012" s="6" t="s">
        <v>77</v>
      </c>
      <c r="N3012" s="28" t="s">
        <v>77</v>
      </c>
      <c r="O3012" s="26" t="s">
        <v>77</v>
      </c>
    </row>
    <row r="3013">
      <c r="A3013" s="52" t="s">
        <v>77</v>
      </c>
      <c r="B3013" s="28" t="s">
        <v>77</v>
      </c>
      <c r="C3013" s="28" t="s">
        <v>77</v>
      </c>
      <c r="D3013" s="28" t="s">
        <v>77</v>
      </c>
      <c r="E3013" s="28" t="s">
        <v>77</v>
      </c>
      <c r="F3013" s="28" t="s">
        <v>77</v>
      </c>
      <c r="G3013" s="28" t="s">
        <v>77</v>
      </c>
      <c r="I3013" s="26" t="s">
        <v>77</v>
      </c>
      <c r="J3013" s="26" t="s">
        <v>77</v>
      </c>
      <c r="K3013" s="18"/>
      <c r="L3013" s="26" t="s">
        <v>77</v>
      </c>
      <c r="M3013" s="6" t="s">
        <v>77</v>
      </c>
      <c r="N3013" s="28" t="s">
        <v>77</v>
      </c>
      <c r="O3013" s="26" t="s">
        <v>77</v>
      </c>
    </row>
    <row r="3014">
      <c r="A3014" s="52" t="s">
        <v>77</v>
      </c>
      <c r="B3014" s="28" t="s">
        <v>77</v>
      </c>
      <c r="C3014" s="28" t="s">
        <v>77</v>
      </c>
      <c r="D3014" s="28" t="s">
        <v>77</v>
      </c>
      <c r="E3014" s="28" t="s">
        <v>77</v>
      </c>
      <c r="F3014" s="28" t="s">
        <v>77</v>
      </c>
      <c r="G3014" s="28" t="s">
        <v>77</v>
      </c>
      <c r="I3014" s="26" t="s">
        <v>77</v>
      </c>
      <c r="J3014" s="26" t="s">
        <v>77</v>
      </c>
      <c r="K3014" s="18"/>
      <c r="L3014" s="26" t="s">
        <v>77</v>
      </c>
      <c r="M3014" s="6" t="s">
        <v>77</v>
      </c>
      <c r="N3014" s="28" t="s">
        <v>77</v>
      </c>
      <c r="O3014" s="26" t="s">
        <v>77</v>
      </c>
    </row>
    <row r="3015">
      <c r="A3015" s="52" t="s">
        <v>77</v>
      </c>
      <c r="B3015" s="28" t="s">
        <v>77</v>
      </c>
      <c r="C3015" s="28" t="s">
        <v>77</v>
      </c>
      <c r="D3015" s="28" t="s">
        <v>77</v>
      </c>
      <c r="E3015" s="28" t="s">
        <v>77</v>
      </c>
      <c r="F3015" s="28" t="s">
        <v>77</v>
      </c>
      <c r="G3015" s="28" t="s">
        <v>77</v>
      </c>
      <c r="I3015" s="26" t="s">
        <v>77</v>
      </c>
      <c r="J3015" s="26" t="s">
        <v>77</v>
      </c>
      <c r="K3015" s="18"/>
      <c r="L3015" s="26" t="s">
        <v>77</v>
      </c>
      <c r="M3015" s="6" t="s">
        <v>77</v>
      </c>
      <c r="N3015" s="28" t="s">
        <v>77</v>
      </c>
      <c r="O3015" s="26" t="s">
        <v>77</v>
      </c>
    </row>
    <row r="3016">
      <c r="A3016" s="52" t="s">
        <v>77</v>
      </c>
      <c r="B3016" s="28" t="s">
        <v>77</v>
      </c>
      <c r="C3016" s="28" t="s">
        <v>77</v>
      </c>
      <c r="D3016" s="28" t="s">
        <v>77</v>
      </c>
      <c r="E3016" s="28" t="s">
        <v>77</v>
      </c>
      <c r="F3016" s="28" t="s">
        <v>77</v>
      </c>
      <c r="G3016" s="28" t="s">
        <v>77</v>
      </c>
      <c r="I3016" s="26" t="s">
        <v>77</v>
      </c>
      <c r="J3016" s="26" t="s">
        <v>77</v>
      </c>
      <c r="K3016" s="18"/>
      <c r="L3016" s="26" t="s">
        <v>77</v>
      </c>
      <c r="M3016" s="6" t="s">
        <v>77</v>
      </c>
      <c r="N3016" s="28" t="s">
        <v>77</v>
      </c>
      <c r="O3016" s="26" t="s">
        <v>77</v>
      </c>
    </row>
    <row r="3017">
      <c r="A3017" s="52" t="s">
        <v>77</v>
      </c>
      <c r="B3017" s="28" t="s">
        <v>77</v>
      </c>
      <c r="C3017" s="28" t="s">
        <v>77</v>
      </c>
      <c r="D3017" s="28" t="s">
        <v>77</v>
      </c>
      <c r="E3017" s="28" t="s">
        <v>77</v>
      </c>
      <c r="F3017" s="28" t="s">
        <v>77</v>
      </c>
      <c r="G3017" s="28" t="s">
        <v>77</v>
      </c>
      <c r="I3017" s="26" t="s">
        <v>77</v>
      </c>
      <c r="J3017" s="26" t="s">
        <v>77</v>
      </c>
      <c r="K3017" s="18"/>
      <c r="L3017" s="26" t="s">
        <v>77</v>
      </c>
      <c r="M3017" s="6" t="s">
        <v>77</v>
      </c>
      <c r="N3017" s="28" t="s">
        <v>77</v>
      </c>
      <c r="O3017" s="26" t="s">
        <v>77</v>
      </c>
    </row>
    <row r="3018">
      <c r="A3018" s="52" t="s">
        <v>77</v>
      </c>
      <c r="B3018" s="28" t="s">
        <v>77</v>
      </c>
      <c r="C3018" s="28" t="s">
        <v>77</v>
      </c>
      <c r="D3018" s="28" t="s">
        <v>77</v>
      </c>
      <c r="E3018" s="28" t="s">
        <v>77</v>
      </c>
      <c r="F3018" s="28" t="s">
        <v>77</v>
      </c>
      <c r="G3018" s="28" t="s">
        <v>77</v>
      </c>
      <c r="I3018" s="26" t="s">
        <v>77</v>
      </c>
      <c r="J3018" s="26" t="s">
        <v>77</v>
      </c>
      <c r="K3018" s="18"/>
      <c r="L3018" s="26" t="s">
        <v>77</v>
      </c>
      <c r="M3018" s="6" t="s">
        <v>77</v>
      </c>
      <c r="N3018" s="28" t="s">
        <v>77</v>
      </c>
      <c r="O3018" s="26" t="s">
        <v>77</v>
      </c>
    </row>
    <row r="3019">
      <c r="A3019" s="52" t="s">
        <v>77</v>
      </c>
      <c r="B3019" s="28" t="s">
        <v>77</v>
      </c>
      <c r="C3019" s="28" t="s">
        <v>77</v>
      </c>
      <c r="D3019" s="28" t="s">
        <v>77</v>
      </c>
      <c r="E3019" s="28" t="s">
        <v>77</v>
      </c>
      <c r="F3019" s="28" t="s">
        <v>77</v>
      </c>
      <c r="G3019" s="28" t="s">
        <v>77</v>
      </c>
      <c r="I3019" s="26" t="s">
        <v>77</v>
      </c>
      <c r="J3019" s="26" t="s">
        <v>77</v>
      </c>
      <c r="K3019" s="18"/>
      <c r="L3019" s="26" t="s">
        <v>77</v>
      </c>
      <c r="M3019" s="6" t="s">
        <v>77</v>
      </c>
      <c r="N3019" s="28" t="s">
        <v>77</v>
      </c>
      <c r="O3019" s="26" t="s">
        <v>77</v>
      </c>
    </row>
    <row r="3020">
      <c r="A3020" s="52" t="s">
        <v>77</v>
      </c>
      <c r="B3020" s="28" t="s">
        <v>77</v>
      </c>
      <c r="C3020" s="28" t="s">
        <v>77</v>
      </c>
      <c r="D3020" s="28" t="s">
        <v>77</v>
      </c>
      <c r="E3020" s="28" t="s">
        <v>77</v>
      </c>
      <c r="F3020" s="28" t="s">
        <v>77</v>
      </c>
      <c r="G3020" s="28" t="s">
        <v>77</v>
      </c>
      <c r="I3020" s="26" t="s">
        <v>77</v>
      </c>
      <c r="J3020" s="26" t="s">
        <v>77</v>
      </c>
      <c r="K3020" s="18"/>
      <c r="L3020" s="26" t="s">
        <v>77</v>
      </c>
      <c r="M3020" s="6" t="s">
        <v>77</v>
      </c>
      <c r="N3020" s="28" t="s">
        <v>77</v>
      </c>
      <c r="O3020" s="26" t="s">
        <v>77</v>
      </c>
    </row>
    <row r="3021">
      <c r="A3021" s="52" t="s">
        <v>77</v>
      </c>
      <c r="B3021" s="28" t="s">
        <v>77</v>
      </c>
      <c r="C3021" s="28" t="s">
        <v>77</v>
      </c>
      <c r="D3021" s="28" t="s">
        <v>77</v>
      </c>
      <c r="E3021" s="28" t="s">
        <v>77</v>
      </c>
      <c r="F3021" s="28" t="s">
        <v>77</v>
      </c>
      <c r="G3021" s="28" t="s">
        <v>77</v>
      </c>
      <c r="I3021" s="26" t="s">
        <v>77</v>
      </c>
      <c r="J3021" s="26" t="s">
        <v>77</v>
      </c>
      <c r="K3021" s="18"/>
      <c r="L3021" s="26" t="s">
        <v>77</v>
      </c>
      <c r="M3021" s="6" t="s">
        <v>77</v>
      </c>
      <c r="N3021" s="28" t="s">
        <v>77</v>
      </c>
      <c r="O3021" s="26" t="s">
        <v>77</v>
      </c>
    </row>
    <row r="3022">
      <c r="A3022" s="52" t="s">
        <v>77</v>
      </c>
      <c r="B3022" s="28" t="s">
        <v>77</v>
      </c>
      <c r="C3022" s="28" t="s">
        <v>77</v>
      </c>
      <c r="D3022" s="28" t="s">
        <v>77</v>
      </c>
      <c r="E3022" s="28" t="s">
        <v>77</v>
      </c>
      <c r="F3022" s="28" t="s">
        <v>77</v>
      </c>
      <c r="G3022" s="28" t="s">
        <v>77</v>
      </c>
      <c r="I3022" s="26" t="s">
        <v>77</v>
      </c>
      <c r="J3022" s="26" t="s">
        <v>77</v>
      </c>
      <c r="K3022" s="18"/>
      <c r="L3022" s="26" t="s">
        <v>77</v>
      </c>
      <c r="M3022" s="6" t="s">
        <v>77</v>
      </c>
      <c r="N3022" s="28" t="s">
        <v>77</v>
      </c>
      <c r="O3022" s="26" t="s">
        <v>77</v>
      </c>
    </row>
    <row r="3023">
      <c r="A3023" s="52" t="s">
        <v>77</v>
      </c>
      <c r="B3023" s="28" t="s">
        <v>77</v>
      </c>
      <c r="C3023" s="28" t="s">
        <v>77</v>
      </c>
      <c r="D3023" s="28" t="s">
        <v>77</v>
      </c>
      <c r="E3023" s="28" t="s">
        <v>77</v>
      </c>
      <c r="F3023" s="28" t="s">
        <v>77</v>
      </c>
      <c r="G3023" s="28" t="s">
        <v>77</v>
      </c>
      <c r="I3023" s="26" t="s">
        <v>77</v>
      </c>
      <c r="J3023" s="26" t="s">
        <v>77</v>
      </c>
      <c r="K3023" s="18"/>
      <c r="L3023" s="26" t="s">
        <v>77</v>
      </c>
      <c r="M3023" s="6" t="s">
        <v>77</v>
      </c>
      <c r="N3023" s="28" t="s">
        <v>77</v>
      </c>
      <c r="O3023" s="26" t="s">
        <v>77</v>
      </c>
    </row>
    <row r="3024">
      <c r="A3024" s="52" t="s">
        <v>77</v>
      </c>
      <c r="B3024" s="28" t="s">
        <v>77</v>
      </c>
      <c r="C3024" s="28" t="s">
        <v>77</v>
      </c>
      <c r="D3024" s="28" t="s">
        <v>77</v>
      </c>
      <c r="E3024" s="28" t="s">
        <v>77</v>
      </c>
      <c r="F3024" s="28" t="s">
        <v>77</v>
      </c>
      <c r="G3024" s="28" t="s">
        <v>77</v>
      </c>
      <c r="I3024" s="26" t="s">
        <v>77</v>
      </c>
      <c r="J3024" s="26" t="s">
        <v>77</v>
      </c>
      <c r="K3024" s="18"/>
      <c r="L3024" s="26" t="s">
        <v>77</v>
      </c>
      <c r="M3024" s="6" t="s">
        <v>77</v>
      </c>
      <c r="N3024" s="28" t="s">
        <v>77</v>
      </c>
      <c r="O3024" s="26" t="s">
        <v>77</v>
      </c>
    </row>
    <row r="3025">
      <c r="A3025" s="52" t="s">
        <v>77</v>
      </c>
      <c r="B3025" s="28" t="s">
        <v>77</v>
      </c>
      <c r="C3025" s="28" t="s">
        <v>77</v>
      </c>
      <c r="D3025" s="28" t="s">
        <v>77</v>
      </c>
      <c r="E3025" s="28" t="s">
        <v>77</v>
      </c>
      <c r="F3025" s="28" t="s">
        <v>77</v>
      </c>
      <c r="G3025" s="28" t="s">
        <v>77</v>
      </c>
      <c r="I3025" s="26" t="s">
        <v>77</v>
      </c>
      <c r="J3025" s="26" t="s">
        <v>77</v>
      </c>
      <c r="K3025" s="18"/>
      <c r="L3025" s="26" t="s">
        <v>77</v>
      </c>
      <c r="M3025" s="6" t="s">
        <v>77</v>
      </c>
      <c r="N3025" s="28" t="s">
        <v>77</v>
      </c>
      <c r="O3025" s="26" t="s">
        <v>77</v>
      </c>
    </row>
    <row r="3026">
      <c r="A3026" s="52" t="s">
        <v>77</v>
      </c>
      <c r="B3026" s="28" t="s">
        <v>77</v>
      </c>
      <c r="C3026" s="28" t="s">
        <v>77</v>
      </c>
      <c r="D3026" s="28" t="s">
        <v>77</v>
      </c>
      <c r="E3026" s="28" t="s">
        <v>77</v>
      </c>
      <c r="F3026" s="28" t="s">
        <v>77</v>
      </c>
      <c r="G3026" s="28" t="s">
        <v>77</v>
      </c>
      <c r="I3026" s="26" t="s">
        <v>77</v>
      </c>
      <c r="J3026" s="26" t="s">
        <v>77</v>
      </c>
      <c r="K3026" s="18"/>
      <c r="L3026" s="26" t="s">
        <v>77</v>
      </c>
      <c r="M3026" s="6" t="s">
        <v>77</v>
      </c>
      <c r="N3026" s="28" t="s">
        <v>77</v>
      </c>
      <c r="O3026" s="26" t="s">
        <v>77</v>
      </c>
    </row>
    <row r="3027">
      <c r="A3027" s="52" t="s">
        <v>77</v>
      </c>
      <c r="B3027" s="28" t="s">
        <v>77</v>
      </c>
      <c r="C3027" s="28" t="s">
        <v>77</v>
      </c>
      <c r="D3027" s="28" t="s">
        <v>77</v>
      </c>
      <c r="E3027" s="28" t="s">
        <v>77</v>
      </c>
      <c r="F3027" s="28" t="s">
        <v>77</v>
      </c>
      <c r="G3027" s="28" t="s">
        <v>77</v>
      </c>
      <c r="I3027" s="26" t="s">
        <v>77</v>
      </c>
      <c r="J3027" s="26" t="s">
        <v>77</v>
      </c>
      <c r="K3027" s="18"/>
      <c r="L3027" s="26" t="s">
        <v>77</v>
      </c>
      <c r="M3027" s="6" t="s">
        <v>77</v>
      </c>
      <c r="N3027" s="28" t="s">
        <v>77</v>
      </c>
      <c r="O3027" s="26" t="s">
        <v>77</v>
      </c>
    </row>
    <row r="3028">
      <c r="A3028" s="52" t="s">
        <v>77</v>
      </c>
      <c r="B3028" s="28" t="s">
        <v>77</v>
      </c>
      <c r="C3028" s="28" t="s">
        <v>77</v>
      </c>
      <c r="D3028" s="28" t="s">
        <v>77</v>
      </c>
      <c r="E3028" s="28" t="s">
        <v>77</v>
      </c>
      <c r="F3028" s="28" t="s">
        <v>77</v>
      </c>
      <c r="G3028" s="28" t="s">
        <v>77</v>
      </c>
      <c r="I3028" s="26" t="s">
        <v>77</v>
      </c>
      <c r="J3028" s="26" t="s">
        <v>77</v>
      </c>
      <c r="K3028" s="18"/>
      <c r="L3028" s="26" t="s">
        <v>77</v>
      </c>
      <c r="M3028" s="6" t="s">
        <v>77</v>
      </c>
      <c r="N3028" s="28" t="s">
        <v>77</v>
      </c>
      <c r="O3028" s="26" t="s">
        <v>77</v>
      </c>
    </row>
    <row r="3029">
      <c r="A3029" s="52" t="s">
        <v>77</v>
      </c>
      <c r="B3029" s="28" t="s">
        <v>77</v>
      </c>
      <c r="C3029" s="28" t="s">
        <v>77</v>
      </c>
      <c r="D3029" s="28" t="s">
        <v>77</v>
      </c>
      <c r="E3029" s="28" t="s">
        <v>77</v>
      </c>
      <c r="F3029" s="28" t="s">
        <v>77</v>
      </c>
      <c r="G3029" s="28" t="s">
        <v>77</v>
      </c>
      <c r="I3029" s="26" t="s">
        <v>77</v>
      </c>
      <c r="J3029" s="26" t="s">
        <v>77</v>
      </c>
      <c r="K3029" s="18"/>
      <c r="L3029" s="26" t="s">
        <v>77</v>
      </c>
      <c r="M3029" s="6" t="s">
        <v>77</v>
      </c>
      <c r="N3029" s="28" t="s">
        <v>77</v>
      </c>
      <c r="O3029" s="26" t="s">
        <v>77</v>
      </c>
    </row>
    <row r="3030">
      <c r="A3030" s="52" t="s">
        <v>77</v>
      </c>
      <c r="B3030" s="28" t="s">
        <v>77</v>
      </c>
      <c r="C3030" s="28" t="s">
        <v>77</v>
      </c>
      <c r="D3030" s="28" t="s">
        <v>77</v>
      </c>
      <c r="E3030" s="28" t="s">
        <v>77</v>
      </c>
      <c r="F3030" s="28" t="s">
        <v>77</v>
      </c>
      <c r="G3030" s="28" t="s">
        <v>77</v>
      </c>
      <c r="I3030" s="26" t="s">
        <v>77</v>
      </c>
      <c r="J3030" s="26" t="s">
        <v>77</v>
      </c>
      <c r="K3030" s="18"/>
      <c r="L3030" s="26" t="s">
        <v>77</v>
      </c>
      <c r="M3030" s="6" t="s">
        <v>77</v>
      </c>
      <c r="N3030" s="28" t="s">
        <v>77</v>
      </c>
      <c r="O3030" s="26" t="s">
        <v>77</v>
      </c>
    </row>
    <row r="3031">
      <c r="A3031" s="52" t="s">
        <v>77</v>
      </c>
      <c r="B3031" s="28" t="s">
        <v>77</v>
      </c>
      <c r="C3031" s="28" t="s">
        <v>77</v>
      </c>
      <c r="D3031" s="28" t="s">
        <v>77</v>
      </c>
      <c r="E3031" s="28" t="s">
        <v>77</v>
      </c>
      <c r="F3031" s="28" t="s">
        <v>77</v>
      </c>
      <c r="G3031" s="28" t="s">
        <v>77</v>
      </c>
      <c r="I3031" s="26" t="s">
        <v>77</v>
      </c>
      <c r="J3031" s="26" t="s">
        <v>77</v>
      </c>
      <c r="K3031" s="18"/>
      <c r="L3031" s="26" t="s">
        <v>77</v>
      </c>
      <c r="M3031" s="6" t="s">
        <v>77</v>
      </c>
      <c r="N3031" s="28" t="s">
        <v>77</v>
      </c>
      <c r="O3031" s="26" t="s">
        <v>77</v>
      </c>
    </row>
    <row r="3032">
      <c r="A3032" s="52" t="s">
        <v>77</v>
      </c>
      <c r="B3032" s="28" t="s">
        <v>77</v>
      </c>
      <c r="C3032" s="28" t="s">
        <v>77</v>
      </c>
      <c r="D3032" s="28" t="s">
        <v>77</v>
      </c>
      <c r="E3032" s="28" t="s">
        <v>77</v>
      </c>
      <c r="F3032" s="28" t="s">
        <v>77</v>
      </c>
      <c r="G3032" s="28" t="s">
        <v>77</v>
      </c>
      <c r="I3032" s="26" t="s">
        <v>77</v>
      </c>
      <c r="J3032" s="26" t="s">
        <v>77</v>
      </c>
      <c r="K3032" s="18"/>
      <c r="L3032" s="26" t="s">
        <v>77</v>
      </c>
      <c r="M3032" s="6" t="s">
        <v>77</v>
      </c>
      <c r="N3032" s="28" t="s">
        <v>77</v>
      </c>
      <c r="O3032" s="26" t="s">
        <v>77</v>
      </c>
    </row>
    <row r="3033">
      <c r="A3033" s="52" t="s">
        <v>77</v>
      </c>
      <c r="B3033" s="28" t="s">
        <v>77</v>
      </c>
      <c r="C3033" s="28" t="s">
        <v>77</v>
      </c>
      <c r="D3033" s="28" t="s">
        <v>77</v>
      </c>
      <c r="E3033" s="28" t="s">
        <v>77</v>
      </c>
      <c r="F3033" s="28" t="s">
        <v>77</v>
      </c>
      <c r="G3033" s="28" t="s">
        <v>77</v>
      </c>
      <c r="I3033" s="26" t="s">
        <v>77</v>
      </c>
      <c r="J3033" s="26" t="s">
        <v>77</v>
      </c>
      <c r="K3033" s="18"/>
      <c r="L3033" s="26" t="s">
        <v>77</v>
      </c>
      <c r="M3033" s="6" t="s">
        <v>77</v>
      </c>
      <c r="N3033" s="28" t="s">
        <v>77</v>
      </c>
      <c r="O3033" s="26" t="s">
        <v>77</v>
      </c>
    </row>
    <row r="3034">
      <c r="A3034" s="52" t="s">
        <v>77</v>
      </c>
      <c r="B3034" s="28" t="s">
        <v>77</v>
      </c>
      <c r="C3034" s="28" t="s">
        <v>77</v>
      </c>
      <c r="D3034" s="28" t="s">
        <v>77</v>
      </c>
      <c r="E3034" s="28" t="s">
        <v>77</v>
      </c>
      <c r="F3034" s="28" t="s">
        <v>77</v>
      </c>
      <c r="G3034" s="28" t="s">
        <v>77</v>
      </c>
      <c r="I3034" s="26" t="s">
        <v>77</v>
      </c>
      <c r="J3034" s="26" t="s">
        <v>77</v>
      </c>
      <c r="K3034" s="18"/>
      <c r="L3034" s="26" t="s">
        <v>77</v>
      </c>
      <c r="M3034" s="6" t="s">
        <v>77</v>
      </c>
      <c r="N3034" s="28" t="s">
        <v>77</v>
      </c>
      <c r="O3034" s="26" t="s">
        <v>77</v>
      </c>
    </row>
    <row r="3035">
      <c r="A3035" s="52" t="s">
        <v>77</v>
      </c>
      <c r="B3035" s="28" t="s">
        <v>77</v>
      </c>
      <c r="C3035" s="28" t="s">
        <v>77</v>
      </c>
      <c r="D3035" s="28" t="s">
        <v>77</v>
      </c>
      <c r="E3035" s="28" t="s">
        <v>77</v>
      </c>
      <c r="F3035" s="28" t="s">
        <v>77</v>
      </c>
      <c r="G3035" s="28" t="s">
        <v>77</v>
      </c>
      <c r="I3035" s="26" t="s">
        <v>77</v>
      </c>
      <c r="J3035" s="26" t="s">
        <v>77</v>
      </c>
      <c r="K3035" s="18"/>
      <c r="L3035" s="26" t="s">
        <v>77</v>
      </c>
      <c r="M3035" s="6" t="s">
        <v>77</v>
      </c>
      <c r="N3035" s="28" t="s">
        <v>77</v>
      </c>
      <c r="O3035" s="26" t="s">
        <v>77</v>
      </c>
    </row>
    <row r="3036">
      <c r="A3036" s="52" t="s">
        <v>77</v>
      </c>
      <c r="B3036" s="28" t="s">
        <v>77</v>
      </c>
      <c r="C3036" s="28" t="s">
        <v>77</v>
      </c>
      <c r="D3036" s="28" t="s">
        <v>77</v>
      </c>
      <c r="E3036" s="28" t="s">
        <v>77</v>
      </c>
      <c r="F3036" s="28" t="s">
        <v>77</v>
      </c>
      <c r="G3036" s="28" t="s">
        <v>77</v>
      </c>
      <c r="I3036" s="26" t="s">
        <v>77</v>
      </c>
      <c r="J3036" s="26" t="s">
        <v>77</v>
      </c>
      <c r="K3036" s="18"/>
      <c r="L3036" s="26" t="s">
        <v>77</v>
      </c>
      <c r="M3036" s="6" t="s">
        <v>77</v>
      </c>
      <c r="N3036" s="28" t="s">
        <v>77</v>
      </c>
      <c r="O3036" s="26" t="s">
        <v>77</v>
      </c>
    </row>
    <row r="3037">
      <c r="A3037" s="52" t="s">
        <v>77</v>
      </c>
      <c r="B3037" s="28" t="s">
        <v>77</v>
      </c>
      <c r="C3037" s="28" t="s">
        <v>77</v>
      </c>
      <c r="D3037" s="28" t="s">
        <v>77</v>
      </c>
      <c r="E3037" s="28" t="s">
        <v>77</v>
      </c>
      <c r="F3037" s="28" t="s">
        <v>77</v>
      </c>
      <c r="G3037" s="28" t="s">
        <v>77</v>
      </c>
      <c r="I3037" s="26" t="s">
        <v>77</v>
      </c>
      <c r="J3037" s="26" t="s">
        <v>77</v>
      </c>
      <c r="K3037" s="18"/>
      <c r="L3037" s="26" t="s">
        <v>77</v>
      </c>
      <c r="M3037" s="6" t="s">
        <v>77</v>
      </c>
      <c r="N3037" s="28" t="s">
        <v>77</v>
      </c>
      <c r="O3037" s="26" t="s">
        <v>77</v>
      </c>
    </row>
    <row r="3038">
      <c r="A3038" s="52" t="s">
        <v>77</v>
      </c>
      <c r="B3038" s="28" t="s">
        <v>77</v>
      </c>
      <c r="C3038" s="28" t="s">
        <v>77</v>
      </c>
      <c r="D3038" s="28" t="s">
        <v>77</v>
      </c>
      <c r="E3038" s="28" t="s">
        <v>77</v>
      </c>
      <c r="F3038" s="28" t="s">
        <v>77</v>
      </c>
      <c r="G3038" s="28" t="s">
        <v>77</v>
      </c>
      <c r="I3038" s="26" t="s">
        <v>77</v>
      </c>
      <c r="J3038" s="26" t="s">
        <v>77</v>
      </c>
      <c r="K3038" s="18"/>
      <c r="L3038" s="26" t="s">
        <v>77</v>
      </c>
      <c r="M3038" s="6" t="s">
        <v>77</v>
      </c>
      <c r="N3038" s="28" t="s">
        <v>77</v>
      </c>
      <c r="O3038" s="26" t="s">
        <v>77</v>
      </c>
    </row>
    <row r="3039">
      <c r="A3039" s="52" t="s">
        <v>77</v>
      </c>
      <c r="B3039" s="28" t="s">
        <v>77</v>
      </c>
      <c r="C3039" s="28" t="s">
        <v>77</v>
      </c>
      <c r="D3039" s="28" t="s">
        <v>77</v>
      </c>
      <c r="E3039" s="28" t="s">
        <v>77</v>
      </c>
      <c r="F3039" s="28" t="s">
        <v>77</v>
      </c>
      <c r="G3039" s="28" t="s">
        <v>77</v>
      </c>
      <c r="I3039" s="26" t="s">
        <v>77</v>
      </c>
      <c r="J3039" s="26" t="s">
        <v>77</v>
      </c>
      <c r="K3039" s="18"/>
      <c r="L3039" s="26" t="s">
        <v>77</v>
      </c>
      <c r="M3039" s="6" t="s">
        <v>77</v>
      </c>
      <c r="N3039" s="28" t="s">
        <v>77</v>
      </c>
      <c r="O3039" s="26" t="s">
        <v>77</v>
      </c>
    </row>
    <row r="3040">
      <c r="A3040" s="52" t="s">
        <v>77</v>
      </c>
      <c r="B3040" s="28" t="s">
        <v>77</v>
      </c>
      <c r="C3040" s="28" t="s">
        <v>77</v>
      </c>
      <c r="D3040" s="28" t="s">
        <v>77</v>
      </c>
      <c r="E3040" s="28" t="s">
        <v>77</v>
      </c>
      <c r="F3040" s="28" t="s">
        <v>77</v>
      </c>
      <c r="G3040" s="28" t="s">
        <v>77</v>
      </c>
      <c r="I3040" s="26" t="s">
        <v>77</v>
      </c>
      <c r="J3040" s="26" t="s">
        <v>77</v>
      </c>
      <c r="K3040" s="18"/>
      <c r="L3040" s="26" t="s">
        <v>77</v>
      </c>
      <c r="M3040" s="6" t="s">
        <v>77</v>
      </c>
      <c r="N3040" s="28" t="s">
        <v>77</v>
      </c>
      <c r="O3040" s="26" t="s">
        <v>77</v>
      </c>
    </row>
    <row r="3041">
      <c r="A3041" s="52" t="s">
        <v>77</v>
      </c>
      <c r="B3041" s="28" t="s">
        <v>77</v>
      </c>
      <c r="C3041" s="28" t="s">
        <v>77</v>
      </c>
      <c r="D3041" s="28" t="s">
        <v>77</v>
      </c>
      <c r="E3041" s="28" t="s">
        <v>77</v>
      </c>
      <c r="F3041" s="28" t="s">
        <v>77</v>
      </c>
      <c r="G3041" s="28" t="s">
        <v>77</v>
      </c>
      <c r="I3041" s="26" t="s">
        <v>77</v>
      </c>
      <c r="J3041" s="26" t="s">
        <v>77</v>
      </c>
      <c r="K3041" s="18"/>
      <c r="L3041" s="26" t="s">
        <v>77</v>
      </c>
      <c r="M3041" s="6" t="s">
        <v>77</v>
      </c>
      <c r="N3041" s="28" t="s">
        <v>77</v>
      </c>
      <c r="O3041" s="26" t="s">
        <v>77</v>
      </c>
    </row>
    <row r="3042">
      <c r="A3042" s="52" t="s">
        <v>77</v>
      </c>
      <c r="B3042" s="28" t="s">
        <v>77</v>
      </c>
      <c r="C3042" s="28" t="s">
        <v>77</v>
      </c>
      <c r="D3042" s="28" t="s">
        <v>77</v>
      </c>
      <c r="E3042" s="28" t="s">
        <v>77</v>
      </c>
      <c r="F3042" s="28" t="s">
        <v>77</v>
      </c>
      <c r="G3042" s="28" t="s">
        <v>77</v>
      </c>
      <c r="I3042" s="26" t="s">
        <v>77</v>
      </c>
      <c r="J3042" s="26" t="s">
        <v>77</v>
      </c>
      <c r="K3042" s="18"/>
      <c r="L3042" s="26" t="s">
        <v>77</v>
      </c>
      <c r="M3042" s="6" t="s">
        <v>77</v>
      </c>
      <c r="N3042" s="28" t="s">
        <v>77</v>
      </c>
      <c r="O3042" s="26" t="s">
        <v>77</v>
      </c>
    </row>
    <row r="3043">
      <c r="A3043" s="52" t="s">
        <v>77</v>
      </c>
      <c r="B3043" s="28" t="s">
        <v>77</v>
      </c>
      <c r="C3043" s="28" t="s">
        <v>77</v>
      </c>
      <c r="D3043" s="28" t="s">
        <v>77</v>
      </c>
      <c r="E3043" s="28" t="s">
        <v>77</v>
      </c>
      <c r="F3043" s="28" t="s">
        <v>77</v>
      </c>
      <c r="G3043" s="28" t="s">
        <v>77</v>
      </c>
      <c r="I3043" s="26" t="s">
        <v>77</v>
      </c>
      <c r="J3043" s="26" t="s">
        <v>77</v>
      </c>
      <c r="K3043" s="18"/>
      <c r="L3043" s="26" t="s">
        <v>77</v>
      </c>
      <c r="M3043" s="6" t="s">
        <v>77</v>
      </c>
      <c r="N3043" s="28" t="s">
        <v>77</v>
      </c>
      <c r="O3043" s="26" t="s">
        <v>77</v>
      </c>
    </row>
    <row r="3044">
      <c r="A3044" s="52" t="s">
        <v>77</v>
      </c>
      <c r="B3044" s="28" t="s">
        <v>77</v>
      </c>
      <c r="C3044" s="28" t="s">
        <v>77</v>
      </c>
      <c r="D3044" s="28" t="s">
        <v>77</v>
      </c>
      <c r="E3044" s="28" t="s">
        <v>77</v>
      </c>
      <c r="F3044" s="28" t="s">
        <v>77</v>
      </c>
      <c r="G3044" s="28" t="s">
        <v>77</v>
      </c>
      <c r="I3044" s="26" t="s">
        <v>77</v>
      </c>
      <c r="J3044" s="26" t="s">
        <v>77</v>
      </c>
      <c r="K3044" s="18"/>
      <c r="L3044" s="26" t="s">
        <v>77</v>
      </c>
      <c r="M3044" s="6" t="s">
        <v>77</v>
      </c>
      <c r="N3044" s="28" t="s">
        <v>77</v>
      </c>
      <c r="O3044" s="26" t="s">
        <v>77</v>
      </c>
    </row>
    <row r="3045">
      <c r="A3045" s="52" t="s">
        <v>77</v>
      </c>
      <c r="B3045" s="28" t="s">
        <v>77</v>
      </c>
      <c r="C3045" s="28" t="s">
        <v>77</v>
      </c>
      <c r="D3045" s="28" t="s">
        <v>77</v>
      </c>
      <c r="E3045" s="28" t="s">
        <v>77</v>
      </c>
      <c r="F3045" s="28" t="s">
        <v>77</v>
      </c>
      <c r="G3045" s="28" t="s">
        <v>77</v>
      </c>
      <c r="I3045" s="26" t="s">
        <v>77</v>
      </c>
      <c r="J3045" s="26" t="s">
        <v>77</v>
      </c>
      <c r="K3045" s="18"/>
      <c r="L3045" s="26" t="s">
        <v>77</v>
      </c>
      <c r="M3045" s="6" t="s">
        <v>77</v>
      </c>
      <c r="N3045" s="28" t="s">
        <v>77</v>
      </c>
      <c r="O3045" s="26" t="s">
        <v>77</v>
      </c>
    </row>
    <row r="3046">
      <c r="A3046" s="52" t="s">
        <v>77</v>
      </c>
      <c r="B3046" s="28" t="s">
        <v>77</v>
      </c>
      <c r="C3046" s="28" t="s">
        <v>77</v>
      </c>
      <c r="D3046" s="28" t="s">
        <v>77</v>
      </c>
      <c r="E3046" s="28" t="s">
        <v>77</v>
      </c>
      <c r="F3046" s="28" t="s">
        <v>77</v>
      </c>
      <c r="G3046" s="28" t="s">
        <v>77</v>
      </c>
      <c r="I3046" s="26" t="s">
        <v>77</v>
      </c>
      <c r="J3046" s="26" t="s">
        <v>77</v>
      </c>
      <c r="K3046" s="18"/>
      <c r="L3046" s="26" t="s">
        <v>77</v>
      </c>
      <c r="M3046" s="6" t="s">
        <v>77</v>
      </c>
      <c r="N3046" s="28" t="s">
        <v>77</v>
      </c>
      <c r="O3046" s="26" t="s">
        <v>77</v>
      </c>
    </row>
    <row r="3047">
      <c r="A3047" s="52" t="s">
        <v>77</v>
      </c>
      <c r="B3047" s="28" t="s">
        <v>77</v>
      </c>
      <c r="C3047" s="28" t="s">
        <v>77</v>
      </c>
      <c r="D3047" s="28" t="s">
        <v>77</v>
      </c>
      <c r="E3047" s="28" t="s">
        <v>77</v>
      </c>
      <c r="F3047" s="28" t="s">
        <v>77</v>
      </c>
      <c r="G3047" s="28" t="s">
        <v>77</v>
      </c>
      <c r="I3047" s="26" t="s">
        <v>77</v>
      </c>
      <c r="J3047" s="26" t="s">
        <v>77</v>
      </c>
      <c r="K3047" s="18"/>
      <c r="L3047" s="26" t="s">
        <v>77</v>
      </c>
      <c r="M3047" s="6" t="s">
        <v>77</v>
      </c>
      <c r="N3047" s="28" t="s">
        <v>77</v>
      </c>
      <c r="O3047" s="26" t="s">
        <v>77</v>
      </c>
    </row>
    <row r="3048">
      <c r="A3048" s="52" t="s">
        <v>77</v>
      </c>
      <c r="B3048" s="28" t="s">
        <v>77</v>
      </c>
      <c r="C3048" s="28" t="s">
        <v>77</v>
      </c>
      <c r="D3048" s="28" t="s">
        <v>77</v>
      </c>
      <c r="E3048" s="28" t="s">
        <v>77</v>
      </c>
      <c r="F3048" s="28" t="s">
        <v>77</v>
      </c>
      <c r="G3048" s="28" t="s">
        <v>77</v>
      </c>
      <c r="I3048" s="26" t="s">
        <v>77</v>
      </c>
      <c r="J3048" s="26" t="s">
        <v>77</v>
      </c>
      <c r="K3048" s="18"/>
      <c r="L3048" s="26" t="s">
        <v>77</v>
      </c>
      <c r="M3048" s="6" t="s">
        <v>77</v>
      </c>
      <c r="N3048" s="28" t="s">
        <v>77</v>
      </c>
      <c r="O3048" s="26" t="s">
        <v>77</v>
      </c>
    </row>
    <row r="3049">
      <c r="A3049" s="52" t="s">
        <v>77</v>
      </c>
      <c r="B3049" s="28" t="s">
        <v>77</v>
      </c>
      <c r="C3049" s="28" t="s">
        <v>77</v>
      </c>
      <c r="D3049" s="28" t="s">
        <v>77</v>
      </c>
      <c r="E3049" s="28" t="s">
        <v>77</v>
      </c>
      <c r="F3049" s="28" t="s">
        <v>77</v>
      </c>
      <c r="G3049" s="28" t="s">
        <v>77</v>
      </c>
      <c r="I3049" s="26" t="s">
        <v>77</v>
      </c>
      <c r="J3049" s="26" t="s">
        <v>77</v>
      </c>
      <c r="K3049" s="18"/>
      <c r="L3049" s="26" t="s">
        <v>77</v>
      </c>
      <c r="M3049" s="6" t="s">
        <v>77</v>
      </c>
      <c r="N3049" s="28" t="s">
        <v>77</v>
      </c>
      <c r="O3049" s="26" t="s">
        <v>77</v>
      </c>
    </row>
    <row r="3050">
      <c r="A3050" s="52" t="s">
        <v>77</v>
      </c>
      <c r="B3050" s="28" t="s">
        <v>77</v>
      </c>
      <c r="C3050" s="28" t="s">
        <v>77</v>
      </c>
      <c r="D3050" s="28" t="s">
        <v>77</v>
      </c>
      <c r="E3050" s="28" t="s">
        <v>77</v>
      </c>
      <c r="F3050" s="28" t="s">
        <v>77</v>
      </c>
      <c r="G3050" s="28" t="s">
        <v>77</v>
      </c>
      <c r="I3050" s="26" t="s">
        <v>77</v>
      </c>
      <c r="J3050" s="26" t="s">
        <v>77</v>
      </c>
      <c r="K3050" s="18"/>
      <c r="L3050" s="26" t="s">
        <v>77</v>
      </c>
      <c r="M3050" s="6" t="s">
        <v>77</v>
      </c>
      <c r="N3050" s="28" t="s">
        <v>77</v>
      </c>
      <c r="O3050" s="26" t="s">
        <v>77</v>
      </c>
    </row>
    <row r="3051">
      <c r="A3051" s="52" t="s">
        <v>77</v>
      </c>
      <c r="B3051" s="28" t="s">
        <v>77</v>
      </c>
      <c r="C3051" s="28" t="s">
        <v>77</v>
      </c>
      <c r="D3051" s="28" t="s">
        <v>77</v>
      </c>
      <c r="E3051" s="28" t="s">
        <v>77</v>
      </c>
      <c r="F3051" s="28" t="s">
        <v>77</v>
      </c>
      <c r="G3051" s="28" t="s">
        <v>77</v>
      </c>
      <c r="I3051" s="26" t="s">
        <v>77</v>
      </c>
      <c r="J3051" s="26" t="s">
        <v>77</v>
      </c>
      <c r="K3051" s="18"/>
      <c r="L3051" s="26" t="s">
        <v>77</v>
      </c>
      <c r="M3051" s="6" t="s">
        <v>77</v>
      </c>
      <c r="N3051" s="28" t="s">
        <v>77</v>
      </c>
      <c r="O3051" s="26" t="s">
        <v>77</v>
      </c>
    </row>
    <row r="3052">
      <c r="A3052" s="52" t="s">
        <v>77</v>
      </c>
      <c r="B3052" s="28" t="s">
        <v>77</v>
      </c>
      <c r="C3052" s="28" t="s">
        <v>77</v>
      </c>
      <c r="D3052" s="28" t="s">
        <v>77</v>
      </c>
      <c r="E3052" s="28" t="s">
        <v>77</v>
      </c>
      <c r="F3052" s="28" t="s">
        <v>77</v>
      </c>
      <c r="G3052" s="28" t="s">
        <v>77</v>
      </c>
      <c r="I3052" s="26" t="s">
        <v>77</v>
      </c>
      <c r="J3052" s="26" t="s">
        <v>77</v>
      </c>
      <c r="K3052" s="18"/>
      <c r="L3052" s="26" t="s">
        <v>77</v>
      </c>
      <c r="M3052" s="6" t="s">
        <v>77</v>
      </c>
      <c r="N3052" s="28" t="s">
        <v>77</v>
      </c>
      <c r="O3052" s="26" t="s">
        <v>77</v>
      </c>
    </row>
    <row r="3053">
      <c r="A3053" s="52" t="s">
        <v>77</v>
      </c>
      <c r="B3053" s="28" t="s">
        <v>77</v>
      </c>
      <c r="C3053" s="28" t="s">
        <v>77</v>
      </c>
      <c r="D3053" s="28" t="s">
        <v>77</v>
      </c>
      <c r="E3053" s="28" t="s">
        <v>77</v>
      </c>
      <c r="F3053" s="28" t="s">
        <v>77</v>
      </c>
      <c r="G3053" s="28" t="s">
        <v>77</v>
      </c>
      <c r="I3053" s="26" t="s">
        <v>77</v>
      </c>
      <c r="J3053" s="26" t="s">
        <v>77</v>
      </c>
      <c r="K3053" s="18"/>
      <c r="L3053" s="26" t="s">
        <v>77</v>
      </c>
      <c r="M3053" s="6" t="s">
        <v>77</v>
      </c>
      <c r="N3053" s="28" t="s">
        <v>77</v>
      </c>
      <c r="O3053" s="26" t="s">
        <v>77</v>
      </c>
    </row>
    <row r="3054">
      <c r="A3054" s="52" t="s">
        <v>77</v>
      </c>
      <c r="B3054" s="28" t="s">
        <v>77</v>
      </c>
      <c r="C3054" s="28" t="s">
        <v>77</v>
      </c>
      <c r="D3054" s="28" t="s">
        <v>77</v>
      </c>
      <c r="E3054" s="28" t="s">
        <v>77</v>
      </c>
      <c r="F3054" s="28" t="s">
        <v>77</v>
      </c>
      <c r="G3054" s="28" t="s">
        <v>77</v>
      </c>
      <c r="I3054" s="26" t="s">
        <v>77</v>
      </c>
      <c r="J3054" s="26" t="s">
        <v>77</v>
      </c>
      <c r="K3054" s="18"/>
      <c r="L3054" s="26" t="s">
        <v>77</v>
      </c>
      <c r="M3054" s="6" t="s">
        <v>77</v>
      </c>
      <c r="N3054" s="28" t="s">
        <v>77</v>
      </c>
      <c r="O3054" s="26" t="s">
        <v>77</v>
      </c>
    </row>
    <row r="3055">
      <c r="A3055" s="52" t="s">
        <v>77</v>
      </c>
      <c r="B3055" s="28" t="s">
        <v>77</v>
      </c>
      <c r="C3055" s="28" t="s">
        <v>77</v>
      </c>
      <c r="D3055" s="28" t="s">
        <v>77</v>
      </c>
      <c r="E3055" s="28" t="s">
        <v>77</v>
      </c>
      <c r="F3055" s="28" t="s">
        <v>77</v>
      </c>
      <c r="G3055" s="28" t="s">
        <v>77</v>
      </c>
      <c r="I3055" s="26" t="s">
        <v>77</v>
      </c>
      <c r="J3055" s="26" t="s">
        <v>77</v>
      </c>
      <c r="K3055" s="18"/>
      <c r="L3055" s="26" t="s">
        <v>77</v>
      </c>
      <c r="M3055" s="6" t="s">
        <v>77</v>
      </c>
      <c r="N3055" s="28" t="s">
        <v>77</v>
      </c>
      <c r="O3055" s="26" t="s">
        <v>77</v>
      </c>
    </row>
    <row r="3056">
      <c r="A3056" s="52" t="s">
        <v>77</v>
      </c>
      <c r="B3056" s="28" t="s">
        <v>77</v>
      </c>
      <c r="C3056" s="28" t="s">
        <v>77</v>
      </c>
      <c r="D3056" s="28" t="s">
        <v>77</v>
      </c>
      <c r="E3056" s="28" t="s">
        <v>77</v>
      </c>
      <c r="F3056" s="28" t="s">
        <v>77</v>
      </c>
      <c r="G3056" s="28" t="s">
        <v>77</v>
      </c>
      <c r="I3056" s="26" t="s">
        <v>77</v>
      </c>
      <c r="J3056" s="26" t="s">
        <v>77</v>
      </c>
      <c r="K3056" s="18"/>
      <c r="L3056" s="26" t="s">
        <v>77</v>
      </c>
      <c r="M3056" s="6" t="s">
        <v>77</v>
      </c>
      <c r="N3056" s="28" t="s">
        <v>77</v>
      </c>
      <c r="O3056" s="26" t="s">
        <v>77</v>
      </c>
    </row>
    <row r="3057">
      <c r="A3057" s="52" t="s">
        <v>77</v>
      </c>
      <c r="B3057" s="28" t="s">
        <v>77</v>
      </c>
      <c r="C3057" s="28" t="s">
        <v>77</v>
      </c>
      <c r="D3057" s="28" t="s">
        <v>77</v>
      </c>
      <c r="E3057" s="28" t="s">
        <v>77</v>
      </c>
      <c r="F3057" s="28" t="s">
        <v>77</v>
      </c>
      <c r="G3057" s="28" t="s">
        <v>77</v>
      </c>
      <c r="I3057" s="26" t="s">
        <v>77</v>
      </c>
      <c r="J3057" s="26" t="s">
        <v>77</v>
      </c>
      <c r="K3057" s="18"/>
      <c r="L3057" s="26" t="s">
        <v>77</v>
      </c>
      <c r="M3057" s="6" t="s">
        <v>77</v>
      </c>
      <c r="N3057" s="28" t="s">
        <v>77</v>
      </c>
      <c r="O3057" s="26" t="s">
        <v>77</v>
      </c>
    </row>
    <row r="3058">
      <c r="A3058" s="52" t="s">
        <v>77</v>
      </c>
      <c r="B3058" s="28" t="s">
        <v>77</v>
      </c>
      <c r="C3058" s="28" t="s">
        <v>77</v>
      </c>
      <c r="D3058" s="28" t="s">
        <v>77</v>
      </c>
      <c r="E3058" s="28" t="s">
        <v>77</v>
      </c>
      <c r="F3058" s="28" t="s">
        <v>77</v>
      </c>
      <c r="G3058" s="28" t="s">
        <v>77</v>
      </c>
      <c r="I3058" s="26" t="s">
        <v>77</v>
      </c>
      <c r="J3058" s="26" t="s">
        <v>77</v>
      </c>
      <c r="K3058" s="18"/>
      <c r="L3058" s="26" t="s">
        <v>77</v>
      </c>
      <c r="M3058" s="6" t="s">
        <v>77</v>
      </c>
      <c r="N3058" s="28" t="s">
        <v>77</v>
      </c>
      <c r="O3058" s="26" t="s">
        <v>77</v>
      </c>
    </row>
    <row r="3059">
      <c r="A3059" s="52" t="s">
        <v>77</v>
      </c>
      <c r="B3059" s="28" t="s">
        <v>77</v>
      </c>
      <c r="C3059" s="28" t="s">
        <v>77</v>
      </c>
      <c r="D3059" s="28" t="s">
        <v>77</v>
      </c>
      <c r="E3059" s="28" t="s">
        <v>77</v>
      </c>
      <c r="F3059" s="28" t="s">
        <v>77</v>
      </c>
      <c r="G3059" s="28" t="s">
        <v>77</v>
      </c>
      <c r="I3059" s="26" t="s">
        <v>77</v>
      </c>
      <c r="J3059" s="26" t="s">
        <v>77</v>
      </c>
      <c r="K3059" s="18"/>
      <c r="L3059" s="26" t="s">
        <v>77</v>
      </c>
      <c r="M3059" s="6" t="s">
        <v>77</v>
      </c>
      <c r="N3059" s="28" t="s">
        <v>77</v>
      </c>
      <c r="O3059" s="26" t="s">
        <v>77</v>
      </c>
    </row>
    <row r="3060">
      <c r="A3060" s="52" t="s">
        <v>77</v>
      </c>
      <c r="B3060" s="28" t="s">
        <v>77</v>
      </c>
      <c r="C3060" s="28" t="s">
        <v>77</v>
      </c>
      <c r="D3060" s="28" t="s">
        <v>77</v>
      </c>
      <c r="E3060" s="28" t="s">
        <v>77</v>
      </c>
      <c r="F3060" s="28" t="s">
        <v>77</v>
      </c>
      <c r="G3060" s="28" t="s">
        <v>77</v>
      </c>
      <c r="I3060" s="26" t="s">
        <v>77</v>
      </c>
      <c r="J3060" s="26" t="s">
        <v>77</v>
      </c>
      <c r="K3060" s="18"/>
      <c r="L3060" s="26" t="s">
        <v>77</v>
      </c>
      <c r="M3060" s="6" t="s">
        <v>77</v>
      </c>
      <c r="N3060" s="28" t="s">
        <v>77</v>
      </c>
      <c r="O3060" s="26" t="s">
        <v>77</v>
      </c>
    </row>
    <row r="3061">
      <c r="A3061" s="52" t="s">
        <v>77</v>
      </c>
      <c r="B3061" s="28" t="s">
        <v>77</v>
      </c>
      <c r="C3061" s="28" t="s">
        <v>77</v>
      </c>
      <c r="D3061" s="28" t="s">
        <v>77</v>
      </c>
      <c r="E3061" s="28" t="s">
        <v>77</v>
      </c>
      <c r="F3061" s="28" t="s">
        <v>77</v>
      </c>
      <c r="G3061" s="28" t="s">
        <v>77</v>
      </c>
      <c r="I3061" s="26" t="s">
        <v>77</v>
      </c>
      <c r="J3061" s="26" t="s">
        <v>77</v>
      </c>
      <c r="K3061" s="18"/>
      <c r="L3061" s="26" t="s">
        <v>77</v>
      </c>
      <c r="M3061" s="6" t="s">
        <v>77</v>
      </c>
      <c r="N3061" s="28" t="s">
        <v>77</v>
      </c>
      <c r="O3061" s="26" t="s">
        <v>77</v>
      </c>
    </row>
    <row r="3062">
      <c r="A3062" s="52" t="s">
        <v>77</v>
      </c>
      <c r="B3062" s="28" t="s">
        <v>77</v>
      </c>
      <c r="C3062" s="28" t="s">
        <v>77</v>
      </c>
      <c r="D3062" s="28" t="s">
        <v>77</v>
      </c>
      <c r="E3062" s="28" t="s">
        <v>77</v>
      </c>
      <c r="F3062" s="28" t="s">
        <v>77</v>
      </c>
      <c r="G3062" s="28" t="s">
        <v>77</v>
      </c>
      <c r="I3062" s="26" t="s">
        <v>77</v>
      </c>
      <c r="J3062" s="26" t="s">
        <v>77</v>
      </c>
      <c r="K3062" s="18"/>
      <c r="L3062" s="26" t="s">
        <v>77</v>
      </c>
      <c r="M3062" s="6" t="s">
        <v>77</v>
      </c>
      <c r="N3062" s="28" t="s">
        <v>77</v>
      </c>
      <c r="O3062" s="26" t="s">
        <v>77</v>
      </c>
    </row>
    <row r="3063">
      <c r="A3063" s="52" t="s">
        <v>77</v>
      </c>
      <c r="B3063" s="28" t="s">
        <v>77</v>
      </c>
      <c r="C3063" s="28" t="s">
        <v>77</v>
      </c>
      <c r="D3063" s="28" t="s">
        <v>77</v>
      </c>
      <c r="E3063" s="28" t="s">
        <v>77</v>
      </c>
      <c r="F3063" s="28" t="s">
        <v>77</v>
      </c>
      <c r="G3063" s="28" t="s">
        <v>77</v>
      </c>
      <c r="I3063" s="26" t="s">
        <v>77</v>
      </c>
      <c r="J3063" s="26" t="s">
        <v>77</v>
      </c>
      <c r="K3063" s="18"/>
      <c r="L3063" s="26" t="s">
        <v>77</v>
      </c>
      <c r="M3063" s="6" t="s">
        <v>77</v>
      </c>
      <c r="N3063" s="28" t="s">
        <v>77</v>
      </c>
      <c r="O3063" s="26" t="s">
        <v>77</v>
      </c>
    </row>
    <row r="3064">
      <c r="A3064" s="52" t="s">
        <v>77</v>
      </c>
      <c r="B3064" s="28" t="s">
        <v>77</v>
      </c>
      <c r="C3064" s="28" t="s">
        <v>77</v>
      </c>
      <c r="D3064" s="28" t="s">
        <v>77</v>
      </c>
      <c r="E3064" s="28" t="s">
        <v>77</v>
      </c>
      <c r="F3064" s="28" t="s">
        <v>77</v>
      </c>
      <c r="G3064" s="28" t="s">
        <v>77</v>
      </c>
      <c r="I3064" s="26" t="s">
        <v>77</v>
      </c>
      <c r="J3064" s="26" t="s">
        <v>77</v>
      </c>
      <c r="K3064" s="18"/>
      <c r="L3064" s="26" t="s">
        <v>77</v>
      </c>
      <c r="M3064" s="6" t="s">
        <v>77</v>
      </c>
      <c r="N3064" s="28" t="s">
        <v>77</v>
      </c>
      <c r="O3064" s="26" t="s">
        <v>77</v>
      </c>
    </row>
    <row r="3065">
      <c r="A3065" s="52" t="s">
        <v>77</v>
      </c>
      <c r="B3065" s="28" t="s">
        <v>77</v>
      </c>
      <c r="C3065" s="28" t="s">
        <v>77</v>
      </c>
      <c r="D3065" s="28" t="s">
        <v>77</v>
      </c>
      <c r="E3065" s="28" t="s">
        <v>77</v>
      </c>
      <c r="F3065" s="28" t="s">
        <v>77</v>
      </c>
      <c r="G3065" s="28" t="s">
        <v>77</v>
      </c>
      <c r="I3065" s="26" t="s">
        <v>77</v>
      </c>
      <c r="J3065" s="26" t="s">
        <v>77</v>
      </c>
      <c r="K3065" s="18"/>
      <c r="L3065" s="26" t="s">
        <v>77</v>
      </c>
      <c r="M3065" s="6" t="s">
        <v>77</v>
      </c>
      <c r="N3065" s="28" t="s">
        <v>77</v>
      </c>
      <c r="O3065" s="26" t="s">
        <v>77</v>
      </c>
    </row>
    <row r="3066">
      <c r="A3066" s="52" t="s">
        <v>77</v>
      </c>
      <c r="B3066" s="28" t="s">
        <v>77</v>
      </c>
      <c r="C3066" s="28" t="s">
        <v>77</v>
      </c>
      <c r="D3066" s="28" t="s">
        <v>77</v>
      </c>
      <c r="E3066" s="28" t="s">
        <v>77</v>
      </c>
      <c r="F3066" s="28" t="s">
        <v>77</v>
      </c>
      <c r="G3066" s="28" t="s">
        <v>77</v>
      </c>
      <c r="I3066" s="26" t="s">
        <v>77</v>
      </c>
      <c r="J3066" s="26" t="s">
        <v>77</v>
      </c>
      <c r="K3066" s="18"/>
      <c r="L3066" s="26" t="s">
        <v>77</v>
      </c>
      <c r="M3066" s="6" t="s">
        <v>77</v>
      </c>
      <c r="N3066" s="28" t="s">
        <v>77</v>
      </c>
      <c r="O3066" s="26" t="s">
        <v>77</v>
      </c>
    </row>
    <row r="3067">
      <c r="A3067" s="52" t="s">
        <v>77</v>
      </c>
      <c r="B3067" s="28" t="s">
        <v>77</v>
      </c>
      <c r="C3067" s="28" t="s">
        <v>77</v>
      </c>
      <c r="D3067" s="28" t="s">
        <v>77</v>
      </c>
      <c r="E3067" s="28" t="s">
        <v>77</v>
      </c>
      <c r="F3067" s="28" t="s">
        <v>77</v>
      </c>
      <c r="G3067" s="28" t="s">
        <v>77</v>
      </c>
      <c r="I3067" s="26" t="s">
        <v>77</v>
      </c>
      <c r="J3067" s="26" t="s">
        <v>77</v>
      </c>
      <c r="K3067" s="18"/>
      <c r="L3067" s="26" t="s">
        <v>77</v>
      </c>
      <c r="M3067" s="6" t="s">
        <v>77</v>
      </c>
      <c r="N3067" s="28" t="s">
        <v>77</v>
      </c>
      <c r="O3067" s="26" t="s">
        <v>77</v>
      </c>
    </row>
    <row r="3068">
      <c r="A3068" s="52" t="s">
        <v>77</v>
      </c>
      <c r="B3068" s="28" t="s">
        <v>77</v>
      </c>
      <c r="C3068" s="28" t="s">
        <v>77</v>
      </c>
      <c r="D3068" s="28" t="s">
        <v>77</v>
      </c>
      <c r="E3068" s="28" t="s">
        <v>77</v>
      </c>
      <c r="F3068" s="28" t="s">
        <v>77</v>
      </c>
      <c r="G3068" s="28" t="s">
        <v>77</v>
      </c>
      <c r="I3068" s="26" t="s">
        <v>77</v>
      </c>
      <c r="J3068" s="26" t="s">
        <v>77</v>
      </c>
      <c r="K3068" s="18"/>
      <c r="L3068" s="26" t="s">
        <v>77</v>
      </c>
      <c r="M3068" s="6" t="s">
        <v>77</v>
      </c>
      <c r="N3068" s="28" t="s">
        <v>77</v>
      </c>
      <c r="O3068" s="26" t="s">
        <v>77</v>
      </c>
    </row>
    <row r="3069">
      <c r="A3069" s="52" t="s">
        <v>77</v>
      </c>
      <c r="B3069" s="28" t="s">
        <v>77</v>
      </c>
      <c r="C3069" s="28" t="s">
        <v>77</v>
      </c>
      <c r="D3069" s="28" t="s">
        <v>77</v>
      </c>
      <c r="E3069" s="28" t="s">
        <v>77</v>
      </c>
      <c r="F3069" s="28" t="s">
        <v>77</v>
      </c>
      <c r="G3069" s="28" t="s">
        <v>77</v>
      </c>
      <c r="I3069" s="26" t="s">
        <v>77</v>
      </c>
      <c r="J3069" s="26" t="s">
        <v>77</v>
      </c>
      <c r="K3069" s="18"/>
      <c r="L3069" s="26" t="s">
        <v>77</v>
      </c>
      <c r="M3069" s="6" t="s">
        <v>77</v>
      </c>
      <c r="N3069" s="28" t="s">
        <v>77</v>
      </c>
      <c r="O3069" s="26" t="s">
        <v>77</v>
      </c>
    </row>
    <row r="3070">
      <c r="A3070" s="52" t="s">
        <v>77</v>
      </c>
      <c r="B3070" s="28" t="s">
        <v>77</v>
      </c>
      <c r="C3070" s="28" t="s">
        <v>77</v>
      </c>
      <c r="D3070" s="28" t="s">
        <v>77</v>
      </c>
      <c r="E3070" s="28" t="s">
        <v>77</v>
      </c>
      <c r="F3070" s="28" t="s">
        <v>77</v>
      </c>
      <c r="G3070" s="28" t="s">
        <v>77</v>
      </c>
      <c r="I3070" s="26" t="s">
        <v>77</v>
      </c>
      <c r="J3070" s="26" t="s">
        <v>77</v>
      </c>
      <c r="K3070" s="18"/>
      <c r="L3070" s="26" t="s">
        <v>77</v>
      </c>
      <c r="M3070" s="6" t="s">
        <v>77</v>
      </c>
      <c r="N3070" s="28" t="s">
        <v>77</v>
      </c>
      <c r="O3070" s="26" t="s">
        <v>77</v>
      </c>
    </row>
    <row r="3071">
      <c r="A3071" s="52" t="s">
        <v>77</v>
      </c>
      <c r="B3071" s="28" t="s">
        <v>77</v>
      </c>
      <c r="C3071" s="28" t="s">
        <v>77</v>
      </c>
      <c r="D3071" s="28" t="s">
        <v>77</v>
      </c>
      <c r="E3071" s="28" t="s">
        <v>77</v>
      </c>
      <c r="F3071" s="28" t="s">
        <v>77</v>
      </c>
      <c r="G3071" s="28" t="s">
        <v>77</v>
      </c>
      <c r="I3071" s="26" t="s">
        <v>77</v>
      </c>
      <c r="J3071" s="26" t="s">
        <v>77</v>
      </c>
      <c r="K3071" s="18"/>
      <c r="L3071" s="26" t="s">
        <v>77</v>
      </c>
      <c r="M3071" s="6" t="s">
        <v>77</v>
      </c>
      <c r="N3071" s="28" t="s">
        <v>77</v>
      </c>
      <c r="O3071" s="26" t="s">
        <v>77</v>
      </c>
    </row>
    <row r="3072">
      <c r="A3072" s="52" t="s">
        <v>77</v>
      </c>
      <c r="B3072" s="28" t="s">
        <v>77</v>
      </c>
      <c r="C3072" s="28" t="s">
        <v>77</v>
      </c>
      <c r="D3072" s="28" t="s">
        <v>77</v>
      </c>
      <c r="E3072" s="28" t="s">
        <v>77</v>
      </c>
      <c r="F3072" s="28" t="s">
        <v>77</v>
      </c>
      <c r="G3072" s="28" t="s">
        <v>77</v>
      </c>
      <c r="I3072" s="26" t="s">
        <v>77</v>
      </c>
      <c r="J3072" s="26" t="s">
        <v>77</v>
      </c>
      <c r="K3072" s="18"/>
      <c r="L3072" s="26" t="s">
        <v>77</v>
      </c>
      <c r="M3072" s="6" t="s">
        <v>77</v>
      </c>
      <c r="N3072" s="28" t="s">
        <v>77</v>
      </c>
      <c r="O3072" s="26" t="s">
        <v>77</v>
      </c>
    </row>
    <row r="3073">
      <c r="A3073" s="52" t="s">
        <v>77</v>
      </c>
      <c r="B3073" s="28" t="s">
        <v>77</v>
      </c>
      <c r="C3073" s="28" t="s">
        <v>77</v>
      </c>
      <c r="D3073" s="28" t="s">
        <v>77</v>
      </c>
      <c r="E3073" s="28" t="s">
        <v>77</v>
      </c>
      <c r="F3073" s="28" t="s">
        <v>77</v>
      </c>
      <c r="G3073" s="28" t="s">
        <v>77</v>
      </c>
      <c r="I3073" s="26" t="s">
        <v>77</v>
      </c>
      <c r="J3073" s="26" t="s">
        <v>77</v>
      </c>
      <c r="K3073" s="18"/>
      <c r="L3073" s="26" t="s">
        <v>77</v>
      </c>
      <c r="M3073" s="6" t="s">
        <v>77</v>
      </c>
      <c r="N3073" s="28" t="s">
        <v>77</v>
      </c>
      <c r="O3073" s="26" t="s">
        <v>77</v>
      </c>
    </row>
    <row r="3074">
      <c r="A3074" s="52" t="s">
        <v>77</v>
      </c>
      <c r="B3074" s="28" t="s">
        <v>77</v>
      </c>
      <c r="C3074" s="28" t="s">
        <v>77</v>
      </c>
      <c r="D3074" s="28" t="s">
        <v>77</v>
      </c>
      <c r="E3074" s="28" t="s">
        <v>77</v>
      </c>
      <c r="F3074" s="28" t="s">
        <v>77</v>
      </c>
      <c r="G3074" s="28" t="s">
        <v>77</v>
      </c>
      <c r="I3074" s="26" t="s">
        <v>77</v>
      </c>
      <c r="J3074" s="26" t="s">
        <v>77</v>
      </c>
      <c r="K3074" s="18"/>
      <c r="L3074" s="26" t="s">
        <v>77</v>
      </c>
      <c r="M3074" s="6" t="s">
        <v>77</v>
      </c>
      <c r="N3074" s="28" t="s">
        <v>77</v>
      </c>
      <c r="O3074" s="26" t="s">
        <v>77</v>
      </c>
    </row>
    <row r="3075">
      <c r="A3075" s="52" t="s">
        <v>77</v>
      </c>
      <c r="B3075" s="28" t="s">
        <v>77</v>
      </c>
      <c r="C3075" s="28" t="s">
        <v>77</v>
      </c>
      <c r="D3075" s="28" t="s">
        <v>77</v>
      </c>
      <c r="E3075" s="28" t="s">
        <v>77</v>
      </c>
      <c r="F3075" s="28" t="s">
        <v>77</v>
      </c>
      <c r="G3075" s="28" t="s">
        <v>77</v>
      </c>
      <c r="I3075" s="26" t="s">
        <v>77</v>
      </c>
      <c r="J3075" s="26" t="s">
        <v>77</v>
      </c>
      <c r="K3075" s="18"/>
      <c r="L3075" s="26" t="s">
        <v>77</v>
      </c>
      <c r="M3075" s="6" t="s">
        <v>77</v>
      </c>
      <c r="N3075" s="28" t="s">
        <v>77</v>
      </c>
      <c r="O3075" s="26" t="s">
        <v>77</v>
      </c>
    </row>
    <row r="3076">
      <c r="A3076" s="52" t="s">
        <v>77</v>
      </c>
      <c r="B3076" s="28" t="s">
        <v>77</v>
      </c>
      <c r="C3076" s="28" t="s">
        <v>77</v>
      </c>
      <c r="D3076" s="28" t="s">
        <v>77</v>
      </c>
      <c r="E3076" s="28" t="s">
        <v>77</v>
      </c>
      <c r="F3076" s="28" t="s">
        <v>77</v>
      </c>
      <c r="G3076" s="28" t="s">
        <v>77</v>
      </c>
      <c r="I3076" s="26" t="s">
        <v>77</v>
      </c>
      <c r="J3076" s="26" t="s">
        <v>77</v>
      </c>
      <c r="K3076" s="18"/>
      <c r="L3076" s="26" t="s">
        <v>77</v>
      </c>
      <c r="M3076" s="6" t="s">
        <v>77</v>
      </c>
      <c r="N3076" s="28" t="s">
        <v>77</v>
      </c>
      <c r="O3076" s="26" t="s">
        <v>77</v>
      </c>
    </row>
    <row r="3077">
      <c r="A3077" s="52" t="s">
        <v>77</v>
      </c>
      <c r="B3077" s="28" t="s">
        <v>77</v>
      </c>
      <c r="C3077" s="28" t="s">
        <v>77</v>
      </c>
      <c r="D3077" s="28" t="s">
        <v>77</v>
      </c>
      <c r="E3077" s="28" t="s">
        <v>77</v>
      </c>
      <c r="F3077" s="28" t="s">
        <v>77</v>
      </c>
      <c r="G3077" s="28" t="s">
        <v>77</v>
      </c>
      <c r="I3077" s="26" t="s">
        <v>77</v>
      </c>
      <c r="J3077" s="26" t="s">
        <v>77</v>
      </c>
      <c r="K3077" s="18"/>
      <c r="L3077" s="26" t="s">
        <v>77</v>
      </c>
      <c r="M3077" s="6" t="s">
        <v>77</v>
      </c>
      <c r="N3077" s="28" t="s">
        <v>77</v>
      </c>
      <c r="O3077" s="26" t="s">
        <v>77</v>
      </c>
    </row>
    <row r="3078">
      <c r="A3078" s="52" t="s">
        <v>77</v>
      </c>
      <c r="B3078" s="28" t="s">
        <v>77</v>
      </c>
      <c r="C3078" s="28" t="s">
        <v>77</v>
      </c>
      <c r="D3078" s="28" t="s">
        <v>77</v>
      </c>
      <c r="E3078" s="28" t="s">
        <v>77</v>
      </c>
      <c r="F3078" s="28" t="s">
        <v>77</v>
      </c>
      <c r="G3078" s="28" t="s">
        <v>77</v>
      </c>
      <c r="I3078" s="26" t="s">
        <v>77</v>
      </c>
      <c r="J3078" s="26" t="s">
        <v>77</v>
      </c>
      <c r="K3078" s="18"/>
      <c r="L3078" s="26" t="s">
        <v>77</v>
      </c>
      <c r="M3078" s="6" t="s">
        <v>77</v>
      </c>
      <c r="N3078" s="28" t="s">
        <v>77</v>
      </c>
      <c r="O3078" s="26" t="s">
        <v>77</v>
      </c>
    </row>
    <row r="3079">
      <c r="A3079" s="52" t="s">
        <v>77</v>
      </c>
      <c r="B3079" s="28" t="s">
        <v>77</v>
      </c>
      <c r="C3079" s="28" t="s">
        <v>77</v>
      </c>
      <c r="D3079" s="28" t="s">
        <v>77</v>
      </c>
      <c r="E3079" s="28" t="s">
        <v>77</v>
      </c>
      <c r="F3079" s="28" t="s">
        <v>77</v>
      </c>
      <c r="G3079" s="28" t="s">
        <v>77</v>
      </c>
      <c r="I3079" s="26" t="s">
        <v>77</v>
      </c>
      <c r="J3079" s="26" t="s">
        <v>77</v>
      </c>
      <c r="K3079" s="18"/>
      <c r="L3079" s="26" t="s">
        <v>77</v>
      </c>
      <c r="M3079" s="6" t="s">
        <v>77</v>
      </c>
      <c r="N3079" s="28" t="s">
        <v>77</v>
      </c>
      <c r="O3079" s="26" t="s">
        <v>77</v>
      </c>
    </row>
    <row r="3080">
      <c r="A3080" s="52" t="s">
        <v>77</v>
      </c>
      <c r="B3080" s="28" t="s">
        <v>77</v>
      </c>
      <c r="C3080" s="28" t="s">
        <v>77</v>
      </c>
      <c r="D3080" s="28" t="s">
        <v>77</v>
      </c>
      <c r="E3080" s="28" t="s">
        <v>77</v>
      </c>
      <c r="F3080" s="28" t="s">
        <v>77</v>
      </c>
      <c r="G3080" s="28" t="s">
        <v>77</v>
      </c>
      <c r="I3080" s="26" t="s">
        <v>77</v>
      </c>
      <c r="J3080" s="26" t="s">
        <v>77</v>
      </c>
      <c r="K3080" s="18"/>
      <c r="L3080" s="26" t="s">
        <v>77</v>
      </c>
      <c r="M3080" s="6" t="s">
        <v>77</v>
      </c>
      <c r="N3080" s="28" t="s">
        <v>77</v>
      </c>
      <c r="O3080" s="26" t="s">
        <v>77</v>
      </c>
    </row>
    <row r="3081">
      <c r="A3081" s="52" t="s">
        <v>77</v>
      </c>
      <c r="B3081" s="28" t="s">
        <v>77</v>
      </c>
      <c r="C3081" s="28" t="s">
        <v>77</v>
      </c>
      <c r="D3081" s="28" t="s">
        <v>77</v>
      </c>
      <c r="E3081" s="28" t="s">
        <v>77</v>
      </c>
      <c r="F3081" s="28" t="s">
        <v>77</v>
      </c>
      <c r="G3081" s="28" t="s">
        <v>77</v>
      </c>
      <c r="I3081" s="26" t="s">
        <v>77</v>
      </c>
      <c r="J3081" s="26" t="s">
        <v>77</v>
      </c>
      <c r="K3081" s="18"/>
      <c r="L3081" s="26" t="s">
        <v>77</v>
      </c>
      <c r="M3081" s="6" t="s">
        <v>77</v>
      </c>
      <c r="N3081" s="28" t="s">
        <v>77</v>
      </c>
      <c r="O3081" s="26" t="s">
        <v>77</v>
      </c>
    </row>
    <row r="3082">
      <c r="A3082" s="52" t="s">
        <v>77</v>
      </c>
      <c r="B3082" s="28" t="s">
        <v>77</v>
      </c>
      <c r="C3082" s="28" t="s">
        <v>77</v>
      </c>
      <c r="D3082" s="28" t="s">
        <v>77</v>
      </c>
      <c r="E3082" s="28" t="s">
        <v>77</v>
      </c>
      <c r="F3082" s="28" t="s">
        <v>77</v>
      </c>
      <c r="G3082" s="28" t="s">
        <v>77</v>
      </c>
      <c r="I3082" s="26" t="s">
        <v>77</v>
      </c>
      <c r="J3082" s="26" t="s">
        <v>77</v>
      </c>
      <c r="K3082" s="18"/>
      <c r="L3082" s="26" t="s">
        <v>77</v>
      </c>
      <c r="M3082" s="6" t="s">
        <v>77</v>
      </c>
      <c r="N3082" s="28" t="s">
        <v>77</v>
      </c>
      <c r="O3082" s="26" t="s">
        <v>77</v>
      </c>
    </row>
    <row r="3083">
      <c r="A3083" s="52" t="s">
        <v>77</v>
      </c>
      <c r="B3083" s="28" t="s">
        <v>77</v>
      </c>
      <c r="C3083" s="28" t="s">
        <v>77</v>
      </c>
      <c r="D3083" s="28" t="s">
        <v>77</v>
      </c>
      <c r="E3083" s="28" t="s">
        <v>77</v>
      </c>
      <c r="F3083" s="28" t="s">
        <v>77</v>
      </c>
      <c r="G3083" s="28" t="s">
        <v>77</v>
      </c>
      <c r="I3083" s="26" t="s">
        <v>77</v>
      </c>
      <c r="J3083" s="26" t="s">
        <v>77</v>
      </c>
      <c r="K3083" s="18"/>
      <c r="L3083" s="26" t="s">
        <v>77</v>
      </c>
      <c r="M3083" s="6" t="s">
        <v>77</v>
      </c>
      <c r="N3083" s="28" t="s">
        <v>77</v>
      </c>
      <c r="O3083" s="26" t="s">
        <v>77</v>
      </c>
    </row>
    <row r="3084">
      <c r="A3084" s="52" t="s">
        <v>77</v>
      </c>
      <c r="B3084" s="28" t="s">
        <v>77</v>
      </c>
      <c r="C3084" s="28" t="s">
        <v>77</v>
      </c>
      <c r="D3084" s="28" t="s">
        <v>77</v>
      </c>
      <c r="E3084" s="28" t="s">
        <v>77</v>
      </c>
      <c r="F3084" s="28" t="s">
        <v>77</v>
      </c>
      <c r="G3084" s="28" t="s">
        <v>77</v>
      </c>
      <c r="I3084" s="26" t="s">
        <v>77</v>
      </c>
      <c r="J3084" s="26" t="s">
        <v>77</v>
      </c>
      <c r="K3084" s="18"/>
      <c r="L3084" s="26" t="s">
        <v>77</v>
      </c>
      <c r="M3084" s="6" t="s">
        <v>77</v>
      </c>
      <c r="N3084" s="28" t="s">
        <v>77</v>
      </c>
      <c r="O3084" s="26" t="s">
        <v>77</v>
      </c>
    </row>
    <row r="3085">
      <c r="A3085" s="52" t="s">
        <v>77</v>
      </c>
      <c r="B3085" s="28" t="s">
        <v>77</v>
      </c>
      <c r="C3085" s="28" t="s">
        <v>77</v>
      </c>
      <c r="D3085" s="28" t="s">
        <v>77</v>
      </c>
      <c r="E3085" s="28" t="s">
        <v>77</v>
      </c>
      <c r="F3085" s="28" t="s">
        <v>77</v>
      </c>
      <c r="G3085" s="28" t="s">
        <v>77</v>
      </c>
      <c r="I3085" s="26" t="s">
        <v>77</v>
      </c>
      <c r="J3085" s="26" t="s">
        <v>77</v>
      </c>
      <c r="K3085" s="18"/>
      <c r="L3085" s="26" t="s">
        <v>77</v>
      </c>
      <c r="M3085" s="6" t="s">
        <v>77</v>
      </c>
      <c r="N3085" s="28" t="s">
        <v>77</v>
      </c>
      <c r="O3085" s="26" t="s">
        <v>77</v>
      </c>
    </row>
    <row r="3086">
      <c r="A3086" s="52" t="s">
        <v>77</v>
      </c>
      <c r="B3086" s="28" t="s">
        <v>77</v>
      </c>
      <c r="C3086" s="28" t="s">
        <v>77</v>
      </c>
      <c r="D3086" s="28" t="s">
        <v>77</v>
      </c>
      <c r="E3086" s="28" t="s">
        <v>77</v>
      </c>
      <c r="F3086" s="28" t="s">
        <v>77</v>
      </c>
      <c r="G3086" s="28" t="s">
        <v>77</v>
      </c>
      <c r="I3086" s="26" t="s">
        <v>77</v>
      </c>
      <c r="J3086" s="26" t="s">
        <v>77</v>
      </c>
      <c r="K3086" s="18"/>
      <c r="L3086" s="26" t="s">
        <v>77</v>
      </c>
      <c r="M3086" s="6" t="s">
        <v>77</v>
      </c>
      <c r="N3086" s="28" t="s">
        <v>77</v>
      </c>
      <c r="O3086" s="26" t="s">
        <v>77</v>
      </c>
    </row>
    <row r="3087">
      <c r="A3087" s="52" t="s">
        <v>77</v>
      </c>
      <c r="B3087" s="28" t="s">
        <v>77</v>
      </c>
      <c r="C3087" s="28" t="s">
        <v>77</v>
      </c>
      <c r="D3087" s="28" t="s">
        <v>77</v>
      </c>
      <c r="E3087" s="28" t="s">
        <v>77</v>
      </c>
      <c r="F3087" s="28" t="s">
        <v>77</v>
      </c>
      <c r="G3087" s="28" t="s">
        <v>77</v>
      </c>
      <c r="I3087" s="26" t="s">
        <v>77</v>
      </c>
      <c r="J3087" s="26" t="s">
        <v>77</v>
      </c>
      <c r="K3087" s="18"/>
      <c r="L3087" s="26" t="s">
        <v>77</v>
      </c>
      <c r="M3087" s="6" t="s">
        <v>77</v>
      </c>
      <c r="N3087" s="28" t="s">
        <v>77</v>
      </c>
      <c r="O3087" s="26" t="s">
        <v>77</v>
      </c>
    </row>
    <row r="3088">
      <c r="A3088" s="52" t="s">
        <v>77</v>
      </c>
      <c r="B3088" s="28" t="s">
        <v>77</v>
      </c>
      <c r="C3088" s="28" t="s">
        <v>77</v>
      </c>
      <c r="D3088" s="28" t="s">
        <v>77</v>
      </c>
      <c r="E3088" s="28" t="s">
        <v>77</v>
      </c>
      <c r="F3088" s="28" t="s">
        <v>77</v>
      </c>
      <c r="G3088" s="28" t="s">
        <v>77</v>
      </c>
      <c r="I3088" s="26" t="s">
        <v>77</v>
      </c>
      <c r="J3088" s="26" t="s">
        <v>77</v>
      </c>
      <c r="K3088" s="18"/>
      <c r="L3088" s="26" t="s">
        <v>77</v>
      </c>
      <c r="M3088" s="6" t="s">
        <v>77</v>
      </c>
      <c r="N3088" s="28" t="s">
        <v>77</v>
      </c>
      <c r="O3088" s="26" t="s">
        <v>77</v>
      </c>
    </row>
    <row r="3089">
      <c r="A3089" s="52" t="s">
        <v>77</v>
      </c>
      <c r="B3089" s="28" t="s">
        <v>77</v>
      </c>
      <c r="C3089" s="28" t="s">
        <v>77</v>
      </c>
      <c r="D3089" s="28" t="s">
        <v>77</v>
      </c>
      <c r="E3089" s="28" t="s">
        <v>77</v>
      </c>
      <c r="F3089" s="28" t="s">
        <v>77</v>
      </c>
      <c r="G3089" s="28" t="s">
        <v>77</v>
      </c>
      <c r="I3089" s="26" t="s">
        <v>77</v>
      </c>
      <c r="J3089" s="26" t="s">
        <v>77</v>
      </c>
      <c r="K3089" s="18"/>
      <c r="L3089" s="26" t="s">
        <v>77</v>
      </c>
      <c r="M3089" s="6" t="s">
        <v>77</v>
      </c>
      <c r="N3089" s="28" t="s">
        <v>77</v>
      </c>
      <c r="O3089" s="26" t="s">
        <v>77</v>
      </c>
    </row>
    <row r="3090">
      <c r="A3090" s="52" t="s">
        <v>77</v>
      </c>
      <c r="B3090" s="28" t="s">
        <v>77</v>
      </c>
      <c r="C3090" s="28" t="s">
        <v>77</v>
      </c>
      <c r="D3090" s="28" t="s">
        <v>77</v>
      </c>
      <c r="E3090" s="28" t="s">
        <v>77</v>
      </c>
      <c r="F3090" s="28" t="s">
        <v>77</v>
      </c>
      <c r="G3090" s="28" t="s">
        <v>77</v>
      </c>
      <c r="I3090" s="26" t="s">
        <v>77</v>
      </c>
      <c r="J3090" s="26" t="s">
        <v>77</v>
      </c>
      <c r="K3090" s="18"/>
      <c r="L3090" s="26" t="s">
        <v>77</v>
      </c>
      <c r="M3090" s="6" t="s">
        <v>77</v>
      </c>
      <c r="N3090" s="28" t="s">
        <v>77</v>
      </c>
      <c r="O3090" s="26" t="s">
        <v>77</v>
      </c>
    </row>
    <row r="3091">
      <c r="A3091" s="52" t="s">
        <v>77</v>
      </c>
      <c r="B3091" s="28" t="s">
        <v>77</v>
      </c>
      <c r="C3091" s="28" t="s">
        <v>77</v>
      </c>
      <c r="D3091" s="28" t="s">
        <v>77</v>
      </c>
      <c r="E3091" s="28" t="s">
        <v>77</v>
      </c>
      <c r="F3091" s="28" t="s">
        <v>77</v>
      </c>
      <c r="G3091" s="28" t="s">
        <v>77</v>
      </c>
      <c r="I3091" s="26" t="s">
        <v>77</v>
      </c>
      <c r="J3091" s="26" t="s">
        <v>77</v>
      </c>
      <c r="K3091" s="18"/>
      <c r="L3091" s="26" t="s">
        <v>77</v>
      </c>
      <c r="M3091" s="6" t="s">
        <v>77</v>
      </c>
      <c r="N3091" s="28" t="s">
        <v>77</v>
      </c>
      <c r="O3091" s="26" t="s">
        <v>77</v>
      </c>
    </row>
    <row r="3092">
      <c r="A3092" s="52" t="s">
        <v>77</v>
      </c>
      <c r="B3092" s="28" t="s">
        <v>77</v>
      </c>
      <c r="C3092" s="28" t="s">
        <v>77</v>
      </c>
      <c r="D3092" s="28" t="s">
        <v>77</v>
      </c>
      <c r="E3092" s="28" t="s">
        <v>77</v>
      </c>
      <c r="F3092" s="28" t="s">
        <v>77</v>
      </c>
      <c r="G3092" s="28" t="s">
        <v>77</v>
      </c>
      <c r="I3092" s="26" t="s">
        <v>77</v>
      </c>
      <c r="J3092" s="26" t="s">
        <v>77</v>
      </c>
      <c r="K3092" s="18"/>
      <c r="L3092" s="26" t="s">
        <v>77</v>
      </c>
      <c r="M3092" s="6" t="s">
        <v>77</v>
      </c>
      <c r="N3092" s="28" t="s">
        <v>77</v>
      </c>
      <c r="O3092" s="26" t="s">
        <v>77</v>
      </c>
    </row>
    <row r="3093">
      <c r="A3093" s="52" t="s">
        <v>77</v>
      </c>
      <c r="B3093" s="28" t="s">
        <v>77</v>
      </c>
      <c r="C3093" s="28" t="s">
        <v>77</v>
      </c>
      <c r="D3093" s="28" t="s">
        <v>77</v>
      </c>
      <c r="E3093" s="28" t="s">
        <v>77</v>
      </c>
      <c r="F3093" s="28" t="s">
        <v>77</v>
      </c>
      <c r="G3093" s="28" t="s">
        <v>77</v>
      </c>
      <c r="I3093" s="26" t="s">
        <v>77</v>
      </c>
      <c r="J3093" s="26" t="s">
        <v>77</v>
      </c>
      <c r="K3093" s="18"/>
      <c r="L3093" s="26" t="s">
        <v>77</v>
      </c>
      <c r="M3093" s="6" t="s">
        <v>77</v>
      </c>
      <c r="N3093" s="28" t="s">
        <v>77</v>
      </c>
      <c r="O3093" s="26" t="s">
        <v>77</v>
      </c>
    </row>
    <row r="3094">
      <c r="A3094" s="52" t="s">
        <v>77</v>
      </c>
      <c r="B3094" s="28" t="s">
        <v>77</v>
      </c>
      <c r="C3094" s="28" t="s">
        <v>77</v>
      </c>
      <c r="D3094" s="28" t="s">
        <v>77</v>
      </c>
      <c r="E3094" s="28" t="s">
        <v>77</v>
      </c>
      <c r="F3094" s="28" t="s">
        <v>77</v>
      </c>
      <c r="G3094" s="28" t="s">
        <v>77</v>
      </c>
      <c r="I3094" s="26" t="s">
        <v>77</v>
      </c>
      <c r="J3094" s="26" t="s">
        <v>77</v>
      </c>
      <c r="K3094" s="18"/>
      <c r="L3094" s="26" t="s">
        <v>77</v>
      </c>
      <c r="M3094" s="6" t="s">
        <v>77</v>
      </c>
      <c r="N3094" s="28" t="s">
        <v>77</v>
      </c>
      <c r="O3094" s="26" t="s">
        <v>77</v>
      </c>
    </row>
    <row r="3095">
      <c r="A3095" s="52" t="s">
        <v>77</v>
      </c>
      <c r="B3095" s="28" t="s">
        <v>77</v>
      </c>
      <c r="C3095" s="28" t="s">
        <v>77</v>
      </c>
      <c r="D3095" s="28" t="s">
        <v>77</v>
      </c>
      <c r="E3095" s="28" t="s">
        <v>77</v>
      </c>
      <c r="F3095" s="28" t="s">
        <v>77</v>
      </c>
      <c r="G3095" s="28" t="s">
        <v>77</v>
      </c>
      <c r="I3095" s="26" t="s">
        <v>77</v>
      </c>
      <c r="J3095" s="26" t="s">
        <v>77</v>
      </c>
      <c r="K3095" s="18"/>
      <c r="L3095" s="26" t="s">
        <v>77</v>
      </c>
      <c r="M3095" s="6" t="s">
        <v>77</v>
      </c>
      <c r="N3095" s="28" t="s">
        <v>77</v>
      </c>
      <c r="O3095" s="26" t="s">
        <v>77</v>
      </c>
    </row>
    <row r="3096">
      <c r="A3096" s="52" t="s">
        <v>77</v>
      </c>
      <c r="B3096" s="28" t="s">
        <v>77</v>
      </c>
      <c r="C3096" s="28" t="s">
        <v>77</v>
      </c>
      <c r="D3096" s="28" t="s">
        <v>77</v>
      </c>
      <c r="E3096" s="28" t="s">
        <v>77</v>
      </c>
      <c r="F3096" s="28" t="s">
        <v>77</v>
      </c>
      <c r="G3096" s="28" t="s">
        <v>77</v>
      </c>
      <c r="I3096" s="26" t="s">
        <v>77</v>
      </c>
      <c r="J3096" s="26" t="s">
        <v>77</v>
      </c>
      <c r="K3096" s="18"/>
      <c r="L3096" s="26" t="s">
        <v>77</v>
      </c>
      <c r="M3096" s="6" t="s">
        <v>77</v>
      </c>
      <c r="N3096" s="28" t="s">
        <v>77</v>
      </c>
      <c r="O3096" s="26" t="s">
        <v>77</v>
      </c>
    </row>
    <row r="3097">
      <c r="A3097" s="52" t="s">
        <v>77</v>
      </c>
      <c r="B3097" s="28" t="s">
        <v>77</v>
      </c>
      <c r="C3097" s="28" t="s">
        <v>77</v>
      </c>
      <c r="D3097" s="28" t="s">
        <v>77</v>
      </c>
      <c r="E3097" s="28" t="s">
        <v>77</v>
      </c>
      <c r="F3097" s="28" t="s">
        <v>77</v>
      </c>
      <c r="G3097" s="28" t="s">
        <v>77</v>
      </c>
      <c r="I3097" s="26" t="s">
        <v>77</v>
      </c>
      <c r="J3097" s="26" t="s">
        <v>77</v>
      </c>
      <c r="K3097" s="18"/>
      <c r="L3097" s="26" t="s">
        <v>77</v>
      </c>
      <c r="M3097" s="6" t="s">
        <v>77</v>
      </c>
      <c r="N3097" s="28" t="s">
        <v>77</v>
      </c>
      <c r="O3097" s="26" t="s">
        <v>77</v>
      </c>
    </row>
    <row r="3098">
      <c r="A3098" s="52" t="s">
        <v>77</v>
      </c>
      <c r="B3098" s="28" t="s">
        <v>77</v>
      </c>
      <c r="C3098" s="28" t="s">
        <v>77</v>
      </c>
      <c r="D3098" s="28" t="s">
        <v>77</v>
      </c>
      <c r="E3098" s="28" t="s">
        <v>77</v>
      </c>
      <c r="F3098" s="28" t="s">
        <v>77</v>
      </c>
      <c r="G3098" s="28" t="s">
        <v>77</v>
      </c>
      <c r="I3098" s="26" t="s">
        <v>77</v>
      </c>
      <c r="J3098" s="26" t="s">
        <v>77</v>
      </c>
      <c r="K3098" s="18"/>
      <c r="L3098" s="26" t="s">
        <v>77</v>
      </c>
      <c r="M3098" s="6" t="s">
        <v>77</v>
      </c>
      <c r="N3098" s="28" t="s">
        <v>77</v>
      </c>
      <c r="O3098" s="26" t="s">
        <v>77</v>
      </c>
    </row>
    <row r="3099">
      <c r="A3099" s="52" t="s">
        <v>77</v>
      </c>
      <c r="B3099" s="28" t="s">
        <v>77</v>
      </c>
      <c r="C3099" s="28" t="s">
        <v>77</v>
      </c>
      <c r="D3099" s="28" t="s">
        <v>77</v>
      </c>
      <c r="E3099" s="28" t="s">
        <v>77</v>
      </c>
      <c r="F3099" s="28" t="s">
        <v>77</v>
      </c>
      <c r="G3099" s="28" t="s">
        <v>77</v>
      </c>
      <c r="I3099" s="26" t="s">
        <v>77</v>
      </c>
      <c r="J3099" s="26" t="s">
        <v>77</v>
      </c>
      <c r="K3099" s="18"/>
      <c r="L3099" s="26" t="s">
        <v>77</v>
      </c>
      <c r="M3099" s="6" t="s">
        <v>77</v>
      </c>
      <c r="N3099" s="28" t="s">
        <v>77</v>
      </c>
      <c r="O3099" s="26" t="s">
        <v>77</v>
      </c>
    </row>
    <row r="3100">
      <c r="A3100" s="52" t="s">
        <v>77</v>
      </c>
      <c r="B3100" s="28" t="s">
        <v>77</v>
      </c>
      <c r="C3100" s="28" t="s">
        <v>77</v>
      </c>
      <c r="D3100" s="28" t="s">
        <v>77</v>
      </c>
      <c r="E3100" s="28" t="s">
        <v>77</v>
      </c>
      <c r="F3100" s="28" t="s">
        <v>77</v>
      </c>
      <c r="G3100" s="28" t="s">
        <v>77</v>
      </c>
      <c r="I3100" s="26" t="s">
        <v>77</v>
      </c>
      <c r="J3100" s="26" t="s">
        <v>77</v>
      </c>
      <c r="K3100" s="18"/>
      <c r="L3100" s="26" t="s">
        <v>77</v>
      </c>
      <c r="M3100" s="6" t="s">
        <v>77</v>
      </c>
      <c r="N3100" s="28" t="s">
        <v>77</v>
      </c>
      <c r="O3100" s="26" t="s">
        <v>77</v>
      </c>
    </row>
    <row r="3101">
      <c r="A3101" s="52" t="s">
        <v>77</v>
      </c>
      <c r="B3101" s="28" t="s">
        <v>77</v>
      </c>
      <c r="C3101" s="28" t="s">
        <v>77</v>
      </c>
      <c r="D3101" s="28" t="s">
        <v>77</v>
      </c>
      <c r="E3101" s="28" t="s">
        <v>77</v>
      </c>
      <c r="F3101" s="28" t="s">
        <v>77</v>
      </c>
      <c r="G3101" s="28" t="s">
        <v>77</v>
      </c>
      <c r="I3101" s="26" t="s">
        <v>77</v>
      </c>
      <c r="J3101" s="26" t="s">
        <v>77</v>
      </c>
      <c r="K3101" s="18"/>
      <c r="L3101" s="26" t="s">
        <v>77</v>
      </c>
      <c r="M3101" s="6" t="s">
        <v>77</v>
      </c>
      <c r="N3101" s="28" t="s">
        <v>77</v>
      </c>
      <c r="O3101" s="26" t="s">
        <v>77</v>
      </c>
    </row>
    <row r="3102">
      <c r="A3102" s="52" t="s">
        <v>77</v>
      </c>
      <c r="B3102" s="28" t="s">
        <v>77</v>
      </c>
      <c r="C3102" s="28" t="s">
        <v>77</v>
      </c>
      <c r="D3102" s="28" t="s">
        <v>77</v>
      </c>
      <c r="E3102" s="28" t="s">
        <v>77</v>
      </c>
      <c r="F3102" s="28" t="s">
        <v>77</v>
      </c>
      <c r="G3102" s="28" t="s">
        <v>77</v>
      </c>
      <c r="I3102" s="26" t="s">
        <v>77</v>
      </c>
      <c r="J3102" s="26" t="s">
        <v>77</v>
      </c>
      <c r="K3102" s="18"/>
      <c r="L3102" s="26" t="s">
        <v>77</v>
      </c>
      <c r="M3102" s="6" t="s">
        <v>77</v>
      </c>
      <c r="N3102" s="28" t="s">
        <v>77</v>
      </c>
      <c r="O3102" s="26" t="s">
        <v>77</v>
      </c>
    </row>
    <row r="3103">
      <c r="A3103" s="52" t="s">
        <v>77</v>
      </c>
      <c r="B3103" s="28" t="s">
        <v>77</v>
      </c>
      <c r="C3103" s="28" t="s">
        <v>77</v>
      </c>
      <c r="D3103" s="28" t="s">
        <v>77</v>
      </c>
      <c r="E3103" s="28" t="s">
        <v>77</v>
      </c>
      <c r="F3103" s="28" t="s">
        <v>77</v>
      </c>
      <c r="G3103" s="28" t="s">
        <v>77</v>
      </c>
      <c r="I3103" s="26" t="s">
        <v>77</v>
      </c>
      <c r="J3103" s="26" t="s">
        <v>77</v>
      </c>
      <c r="K3103" s="18"/>
      <c r="L3103" s="26" t="s">
        <v>77</v>
      </c>
      <c r="M3103" s="6" t="s">
        <v>77</v>
      </c>
      <c r="N3103" s="28" t="s">
        <v>77</v>
      </c>
      <c r="O3103" s="26" t="s">
        <v>77</v>
      </c>
    </row>
    <row r="3104">
      <c r="A3104" s="52" t="s">
        <v>77</v>
      </c>
      <c r="B3104" s="28" t="s">
        <v>77</v>
      </c>
      <c r="C3104" s="28" t="s">
        <v>77</v>
      </c>
      <c r="D3104" s="28" t="s">
        <v>77</v>
      </c>
      <c r="E3104" s="28" t="s">
        <v>77</v>
      </c>
      <c r="F3104" s="28" t="s">
        <v>77</v>
      </c>
      <c r="G3104" s="28" t="s">
        <v>77</v>
      </c>
      <c r="I3104" s="26" t="s">
        <v>77</v>
      </c>
      <c r="J3104" s="26" t="s">
        <v>77</v>
      </c>
      <c r="K3104" s="18"/>
      <c r="L3104" s="26" t="s">
        <v>77</v>
      </c>
      <c r="M3104" s="6" t="s">
        <v>77</v>
      </c>
      <c r="N3104" s="28" t="s">
        <v>77</v>
      </c>
      <c r="O3104" s="26" t="s">
        <v>77</v>
      </c>
    </row>
    <row r="3105">
      <c r="A3105" s="52" t="s">
        <v>77</v>
      </c>
      <c r="B3105" s="28" t="s">
        <v>77</v>
      </c>
      <c r="C3105" s="28" t="s">
        <v>77</v>
      </c>
      <c r="D3105" s="28" t="s">
        <v>77</v>
      </c>
      <c r="E3105" s="28" t="s">
        <v>77</v>
      </c>
      <c r="F3105" s="28" t="s">
        <v>77</v>
      </c>
      <c r="G3105" s="28" t="s">
        <v>77</v>
      </c>
      <c r="I3105" s="26" t="s">
        <v>77</v>
      </c>
      <c r="J3105" s="26" t="s">
        <v>77</v>
      </c>
      <c r="K3105" s="18"/>
      <c r="L3105" s="26" t="s">
        <v>77</v>
      </c>
      <c r="M3105" s="6" t="s">
        <v>77</v>
      </c>
      <c r="N3105" s="28" t="s">
        <v>77</v>
      </c>
      <c r="O3105" s="26" t="s">
        <v>77</v>
      </c>
    </row>
    <row r="3106">
      <c r="A3106" s="52" t="s">
        <v>77</v>
      </c>
      <c r="B3106" s="28" t="s">
        <v>77</v>
      </c>
      <c r="C3106" s="28" t="s">
        <v>77</v>
      </c>
      <c r="D3106" s="28" t="s">
        <v>77</v>
      </c>
      <c r="E3106" s="28" t="s">
        <v>77</v>
      </c>
      <c r="F3106" s="28" t="s">
        <v>77</v>
      </c>
      <c r="G3106" s="28" t="s">
        <v>77</v>
      </c>
      <c r="I3106" s="26" t="s">
        <v>77</v>
      </c>
      <c r="J3106" s="26" t="s">
        <v>77</v>
      </c>
      <c r="K3106" s="18"/>
      <c r="L3106" s="26" t="s">
        <v>77</v>
      </c>
      <c r="M3106" s="6" t="s">
        <v>77</v>
      </c>
      <c r="N3106" s="28" t="s">
        <v>77</v>
      </c>
      <c r="O3106" s="26" t="s">
        <v>77</v>
      </c>
    </row>
    <row r="3107">
      <c r="A3107" s="52" t="s">
        <v>77</v>
      </c>
      <c r="B3107" s="28" t="s">
        <v>77</v>
      </c>
      <c r="C3107" s="28" t="s">
        <v>77</v>
      </c>
      <c r="D3107" s="28" t="s">
        <v>77</v>
      </c>
      <c r="E3107" s="28" t="s">
        <v>77</v>
      </c>
      <c r="F3107" s="28" t="s">
        <v>77</v>
      </c>
      <c r="G3107" s="28" t="s">
        <v>77</v>
      </c>
      <c r="I3107" s="26" t="s">
        <v>77</v>
      </c>
      <c r="J3107" s="26" t="s">
        <v>77</v>
      </c>
      <c r="K3107" s="18"/>
      <c r="L3107" s="26" t="s">
        <v>77</v>
      </c>
      <c r="M3107" s="6" t="s">
        <v>77</v>
      </c>
      <c r="N3107" s="28" t="s">
        <v>77</v>
      </c>
      <c r="O3107" s="26" t="s">
        <v>77</v>
      </c>
    </row>
    <row r="3108">
      <c r="A3108" s="52" t="s">
        <v>77</v>
      </c>
      <c r="B3108" s="28" t="s">
        <v>77</v>
      </c>
      <c r="C3108" s="28" t="s">
        <v>77</v>
      </c>
      <c r="D3108" s="28" t="s">
        <v>77</v>
      </c>
      <c r="E3108" s="28" t="s">
        <v>77</v>
      </c>
      <c r="F3108" s="28" t="s">
        <v>77</v>
      </c>
      <c r="G3108" s="28" t="s">
        <v>77</v>
      </c>
      <c r="I3108" s="26" t="s">
        <v>77</v>
      </c>
      <c r="J3108" s="26" t="s">
        <v>77</v>
      </c>
      <c r="K3108" s="18"/>
      <c r="L3108" s="26" t="s">
        <v>77</v>
      </c>
      <c r="M3108" s="6" t="s">
        <v>77</v>
      </c>
      <c r="N3108" s="28" t="s">
        <v>77</v>
      </c>
      <c r="O3108" s="26" t="s">
        <v>77</v>
      </c>
    </row>
    <row r="3109">
      <c r="A3109" s="52" t="s">
        <v>77</v>
      </c>
      <c r="B3109" s="28" t="s">
        <v>77</v>
      </c>
      <c r="C3109" s="28" t="s">
        <v>77</v>
      </c>
      <c r="D3109" s="28" t="s">
        <v>77</v>
      </c>
      <c r="E3109" s="28" t="s">
        <v>77</v>
      </c>
      <c r="F3109" s="28" t="s">
        <v>77</v>
      </c>
      <c r="G3109" s="28" t="s">
        <v>77</v>
      </c>
      <c r="I3109" s="26" t="s">
        <v>77</v>
      </c>
      <c r="J3109" s="26" t="s">
        <v>77</v>
      </c>
      <c r="K3109" s="18"/>
      <c r="L3109" s="26" t="s">
        <v>77</v>
      </c>
      <c r="M3109" s="6" t="s">
        <v>77</v>
      </c>
      <c r="N3109" s="28" t="s">
        <v>77</v>
      </c>
      <c r="O3109" s="26" t="s">
        <v>77</v>
      </c>
    </row>
    <row r="3110">
      <c r="A3110" s="52" t="s">
        <v>77</v>
      </c>
      <c r="B3110" s="28" t="s">
        <v>77</v>
      </c>
      <c r="C3110" s="28" t="s">
        <v>77</v>
      </c>
      <c r="D3110" s="28" t="s">
        <v>77</v>
      </c>
      <c r="E3110" s="28" t="s">
        <v>77</v>
      </c>
      <c r="F3110" s="28" t="s">
        <v>77</v>
      </c>
      <c r="G3110" s="28" t="s">
        <v>77</v>
      </c>
      <c r="I3110" s="26" t="s">
        <v>77</v>
      </c>
      <c r="J3110" s="26" t="s">
        <v>77</v>
      </c>
      <c r="K3110" s="18"/>
      <c r="L3110" s="26" t="s">
        <v>77</v>
      </c>
      <c r="M3110" s="6" t="s">
        <v>77</v>
      </c>
      <c r="N3110" s="28" t="s">
        <v>77</v>
      </c>
      <c r="O3110" s="26" t="s">
        <v>77</v>
      </c>
    </row>
    <row r="3111">
      <c r="A3111" s="52" t="s">
        <v>77</v>
      </c>
      <c r="B3111" s="28" t="s">
        <v>77</v>
      </c>
      <c r="C3111" s="28" t="s">
        <v>77</v>
      </c>
      <c r="D3111" s="28" t="s">
        <v>77</v>
      </c>
      <c r="E3111" s="28" t="s">
        <v>77</v>
      </c>
      <c r="F3111" s="28" t="s">
        <v>77</v>
      </c>
      <c r="G3111" s="28" t="s">
        <v>77</v>
      </c>
      <c r="I3111" s="26" t="s">
        <v>77</v>
      </c>
      <c r="J3111" s="26" t="s">
        <v>77</v>
      </c>
      <c r="K3111" s="18"/>
      <c r="L3111" s="26" t="s">
        <v>77</v>
      </c>
      <c r="M3111" s="6" t="s">
        <v>77</v>
      </c>
      <c r="N3111" s="28" t="s">
        <v>77</v>
      </c>
      <c r="O3111" s="26" t="s">
        <v>77</v>
      </c>
    </row>
    <row r="3112">
      <c r="A3112" s="52" t="s">
        <v>77</v>
      </c>
      <c r="B3112" s="28" t="s">
        <v>77</v>
      </c>
      <c r="C3112" s="28" t="s">
        <v>77</v>
      </c>
      <c r="D3112" s="28" t="s">
        <v>77</v>
      </c>
      <c r="E3112" s="28" t="s">
        <v>77</v>
      </c>
      <c r="F3112" s="28" t="s">
        <v>77</v>
      </c>
      <c r="G3112" s="28" t="s">
        <v>77</v>
      </c>
      <c r="I3112" s="26" t="s">
        <v>77</v>
      </c>
      <c r="J3112" s="26" t="s">
        <v>77</v>
      </c>
      <c r="K3112" s="18"/>
      <c r="L3112" s="26" t="s">
        <v>77</v>
      </c>
      <c r="M3112" s="6" t="s">
        <v>77</v>
      </c>
      <c r="N3112" s="28" t="s">
        <v>77</v>
      </c>
      <c r="O3112" s="26" t="s">
        <v>77</v>
      </c>
    </row>
    <row r="3113">
      <c r="A3113" s="52" t="s">
        <v>77</v>
      </c>
      <c r="B3113" s="28" t="s">
        <v>77</v>
      </c>
      <c r="C3113" s="28" t="s">
        <v>77</v>
      </c>
      <c r="D3113" s="28" t="s">
        <v>77</v>
      </c>
      <c r="E3113" s="28" t="s">
        <v>77</v>
      </c>
      <c r="F3113" s="28" t="s">
        <v>77</v>
      </c>
      <c r="G3113" s="28" t="s">
        <v>77</v>
      </c>
      <c r="I3113" s="26" t="s">
        <v>77</v>
      </c>
      <c r="J3113" s="26" t="s">
        <v>77</v>
      </c>
      <c r="K3113" s="18"/>
      <c r="L3113" s="26" t="s">
        <v>77</v>
      </c>
      <c r="M3113" s="6" t="s">
        <v>77</v>
      </c>
      <c r="N3113" s="28" t="s">
        <v>77</v>
      </c>
      <c r="O3113" s="26" t="s">
        <v>77</v>
      </c>
    </row>
    <row r="3114">
      <c r="A3114" s="52" t="s">
        <v>77</v>
      </c>
      <c r="B3114" s="28" t="s">
        <v>77</v>
      </c>
      <c r="C3114" s="28" t="s">
        <v>77</v>
      </c>
      <c r="D3114" s="28" t="s">
        <v>77</v>
      </c>
      <c r="E3114" s="28" t="s">
        <v>77</v>
      </c>
      <c r="F3114" s="28" t="s">
        <v>77</v>
      </c>
      <c r="G3114" s="28" t="s">
        <v>77</v>
      </c>
      <c r="I3114" s="26" t="s">
        <v>77</v>
      </c>
      <c r="J3114" s="26" t="s">
        <v>77</v>
      </c>
      <c r="K3114" s="18"/>
      <c r="L3114" s="26" t="s">
        <v>77</v>
      </c>
      <c r="M3114" s="6" t="s">
        <v>77</v>
      </c>
      <c r="N3114" s="28" t="s">
        <v>77</v>
      </c>
      <c r="O3114" s="26" t="s">
        <v>77</v>
      </c>
    </row>
    <row r="3115">
      <c r="A3115" s="52" t="s">
        <v>77</v>
      </c>
      <c r="B3115" s="28" t="s">
        <v>77</v>
      </c>
      <c r="C3115" s="28" t="s">
        <v>77</v>
      </c>
      <c r="D3115" s="28" t="s">
        <v>77</v>
      </c>
      <c r="E3115" s="28" t="s">
        <v>77</v>
      </c>
      <c r="F3115" s="28" t="s">
        <v>77</v>
      </c>
      <c r="G3115" s="28" t="s">
        <v>77</v>
      </c>
      <c r="I3115" s="26" t="s">
        <v>77</v>
      </c>
      <c r="J3115" s="26" t="s">
        <v>77</v>
      </c>
      <c r="K3115" s="18"/>
      <c r="L3115" s="26" t="s">
        <v>77</v>
      </c>
      <c r="M3115" s="6" t="s">
        <v>77</v>
      </c>
      <c r="N3115" s="28" t="s">
        <v>77</v>
      </c>
      <c r="O3115" s="26" t="s">
        <v>77</v>
      </c>
    </row>
    <row r="3116">
      <c r="A3116" s="52" t="s">
        <v>77</v>
      </c>
      <c r="B3116" s="28" t="s">
        <v>77</v>
      </c>
      <c r="C3116" s="28" t="s">
        <v>77</v>
      </c>
      <c r="D3116" s="28" t="s">
        <v>77</v>
      </c>
      <c r="E3116" s="28" t="s">
        <v>77</v>
      </c>
      <c r="F3116" s="28" t="s">
        <v>77</v>
      </c>
      <c r="G3116" s="28" t="s">
        <v>77</v>
      </c>
      <c r="I3116" s="26" t="s">
        <v>77</v>
      </c>
      <c r="J3116" s="26" t="s">
        <v>77</v>
      </c>
      <c r="K3116" s="18"/>
      <c r="L3116" s="26" t="s">
        <v>77</v>
      </c>
      <c r="M3116" s="6" t="s">
        <v>77</v>
      </c>
      <c r="N3116" s="28" t="s">
        <v>77</v>
      </c>
      <c r="O3116" s="26" t="s">
        <v>77</v>
      </c>
    </row>
    <row r="3117">
      <c r="A3117" s="52" t="s">
        <v>77</v>
      </c>
      <c r="B3117" s="28" t="s">
        <v>77</v>
      </c>
      <c r="C3117" s="28" t="s">
        <v>77</v>
      </c>
      <c r="D3117" s="28" t="s">
        <v>77</v>
      </c>
      <c r="E3117" s="28" t="s">
        <v>77</v>
      </c>
      <c r="F3117" s="28" t="s">
        <v>77</v>
      </c>
      <c r="G3117" s="28" t="s">
        <v>77</v>
      </c>
      <c r="I3117" s="26" t="s">
        <v>77</v>
      </c>
      <c r="J3117" s="26" t="s">
        <v>77</v>
      </c>
      <c r="K3117" s="18"/>
      <c r="L3117" s="26" t="s">
        <v>77</v>
      </c>
      <c r="M3117" s="6" t="s">
        <v>77</v>
      </c>
      <c r="N3117" s="28" t="s">
        <v>77</v>
      </c>
      <c r="O3117" s="26" t="s">
        <v>77</v>
      </c>
    </row>
    <row r="3118">
      <c r="A3118" s="52" t="s">
        <v>77</v>
      </c>
      <c r="B3118" s="28" t="s">
        <v>77</v>
      </c>
      <c r="C3118" s="28" t="s">
        <v>77</v>
      </c>
      <c r="D3118" s="28" t="s">
        <v>77</v>
      </c>
      <c r="E3118" s="28" t="s">
        <v>77</v>
      </c>
      <c r="F3118" s="28" t="s">
        <v>77</v>
      </c>
      <c r="G3118" s="28" t="s">
        <v>77</v>
      </c>
      <c r="I3118" s="26" t="s">
        <v>77</v>
      </c>
      <c r="J3118" s="26" t="s">
        <v>77</v>
      </c>
      <c r="K3118" s="18"/>
      <c r="L3118" s="26" t="s">
        <v>77</v>
      </c>
      <c r="M3118" s="6" t="s">
        <v>77</v>
      </c>
      <c r="N3118" s="28" t="s">
        <v>77</v>
      </c>
      <c r="O3118" s="26" t="s">
        <v>77</v>
      </c>
    </row>
    <row r="3119">
      <c r="A3119" s="52" t="s">
        <v>77</v>
      </c>
      <c r="B3119" s="28" t="s">
        <v>77</v>
      </c>
      <c r="C3119" s="28" t="s">
        <v>77</v>
      </c>
      <c r="D3119" s="28" t="s">
        <v>77</v>
      </c>
      <c r="E3119" s="28" t="s">
        <v>77</v>
      </c>
      <c r="F3119" s="28" t="s">
        <v>77</v>
      </c>
      <c r="G3119" s="28" t="s">
        <v>77</v>
      </c>
      <c r="I3119" s="26" t="s">
        <v>77</v>
      </c>
      <c r="J3119" s="26" t="s">
        <v>77</v>
      </c>
      <c r="K3119" s="18"/>
      <c r="L3119" s="26" t="s">
        <v>77</v>
      </c>
      <c r="M3119" s="6" t="s">
        <v>77</v>
      </c>
      <c r="N3119" s="28" t="s">
        <v>77</v>
      </c>
      <c r="O3119" s="26" t="s">
        <v>77</v>
      </c>
    </row>
    <row r="3120">
      <c r="A3120" s="52" t="s">
        <v>77</v>
      </c>
      <c r="B3120" s="28" t="s">
        <v>77</v>
      </c>
      <c r="C3120" s="28" t="s">
        <v>77</v>
      </c>
      <c r="D3120" s="28" t="s">
        <v>77</v>
      </c>
      <c r="E3120" s="28" t="s">
        <v>77</v>
      </c>
      <c r="F3120" s="28" t="s">
        <v>77</v>
      </c>
      <c r="G3120" s="28" t="s">
        <v>77</v>
      </c>
      <c r="I3120" s="26" t="s">
        <v>77</v>
      </c>
      <c r="J3120" s="26" t="s">
        <v>77</v>
      </c>
      <c r="K3120" s="18"/>
      <c r="L3120" s="26" t="s">
        <v>77</v>
      </c>
      <c r="M3120" s="6" t="s">
        <v>77</v>
      </c>
      <c r="N3120" s="28" t="s">
        <v>77</v>
      </c>
      <c r="O3120" s="26" t="s">
        <v>77</v>
      </c>
    </row>
    <row r="3121">
      <c r="A3121" s="52" t="s">
        <v>77</v>
      </c>
      <c r="B3121" s="28" t="s">
        <v>77</v>
      </c>
      <c r="C3121" s="28" t="s">
        <v>77</v>
      </c>
      <c r="D3121" s="28" t="s">
        <v>77</v>
      </c>
      <c r="E3121" s="28" t="s">
        <v>77</v>
      </c>
      <c r="F3121" s="28" t="s">
        <v>77</v>
      </c>
      <c r="G3121" s="28" t="s">
        <v>77</v>
      </c>
      <c r="I3121" s="26" t="s">
        <v>77</v>
      </c>
      <c r="J3121" s="26" t="s">
        <v>77</v>
      </c>
      <c r="K3121" s="18"/>
      <c r="L3121" s="26" t="s">
        <v>77</v>
      </c>
      <c r="M3121" s="6" t="s">
        <v>77</v>
      </c>
      <c r="N3121" s="28" t="s">
        <v>77</v>
      </c>
      <c r="O3121" s="26" t="s">
        <v>77</v>
      </c>
    </row>
    <row r="3122">
      <c r="A3122" s="52" t="s">
        <v>77</v>
      </c>
      <c r="B3122" s="28" t="s">
        <v>77</v>
      </c>
      <c r="C3122" s="28" t="s">
        <v>77</v>
      </c>
      <c r="D3122" s="28" t="s">
        <v>77</v>
      </c>
      <c r="E3122" s="28" t="s">
        <v>77</v>
      </c>
      <c r="F3122" s="28" t="s">
        <v>77</v>
      </c>
      <c r="G3122" s="28" t="s">
        <v>77</v>
      </c>
      <c r="I3122" s="26" t="s">
        <v>77</v>
      </c>
      <c r="J3122" s="26" t="s">
        <v>77</v>
      </c>
      <c r="K3122" s="18"/>
      <c r="L3122" s="26" t="s">
        <v>77</v>
      </c>
      <c r="M3122" s="6" t="s">
        <v>77</v>
      </c>
      <c r="N3122" s="28" t="s">
        <v>77</v>
      </c>
      <c r="O3122" s="26" t="s">
        <v>77</v>
      </c>
    </row>
    <row r="3123">
      <c r="A3123" s="52" t="s">
        <v>77</v>
      </c>
      <c r="B3123" s="28" t="s">
        <v>77</v>
      </c>
      <c r="C3123" s="28" t="s">
        <v>77</v>
      </c>
      <c r="D3123" s="28" t="s">
        <v>77</v>
      </c>
      <c r="E3123" s="28" t="s">
        <v>77</v>
      </c>
      <c r="F3123" s="28" t="s">
        <v>77</v>
      </c>
      <c r="G3123" s="28" t="s">
        <v>77</v>
      </c>
      <c r="I3123" s="26" t="s">
        <v>77</v>
      </c>
      <c r="J3123" s="26" t="s">
        <v>77</v>
      </c>
      <c r="K3123" s="18"/>
      <c r="L3123" s="26" t="s">
        <v>77</v>
      </c>
      <c r="M3123" s="6" t="s">
        <v>77</v>
      </c>
      <c r="N3123" s="28" t="s">
        <v>77</v>
      </c>
      <c r="O3123" s="26" t="s">
        <v>77</v>
      </c>
    </row>
    <row r="3124">
      <c r="A3124" s="52" t="s">
        <v>77</v>
      </c>
      <c r="B3124" s="28" t="s">
        <v>77</v>
      </c>
      <c r="C3124" s="28" t="s">
        <v>77</v>
      </c>
      <c r="D3124" s="28" t="s">
        <v>77</v>
      </c>
      <c r="E3124" s="28" t="s">
        <v>77</v>
      </c>
      <c r="F3124" s="28" t="s">
        <v>77</v>
      </c>
      <c r="G3124" s="28" t="s">
        <v>77</v>
      </c>
      <c r="I3124" s="26" t="s">
        <v>77</v>
      </c>
      <c r="J3124" s="26" t="s">
        <v>77</v>
      </c>
      <c r="K3124" s="18"/>
      <c r="L3124" s="26" t="s">
        <v>77</v>
      </c>
      <c r="M3124" s="6" t="s">
        <v>77</v>
      </c>
      <c r="N3124" s="28" t="s">
        <v>77</v>
      </c>
      <c r="O3124" s="26" t="s">
        <v>77</v>
      </c>
    </row>
    <row r="3125">
      <c r="A3125" s="52" t="s">
        <v>77</v>
      </c>
      <c r="B3125" s="28" t="s">
        <v>77</v>
      </c>
      <c r="C3125" s="28" t="s">
        <v>77</v>
      </c>
      <c r="D3125" s="28" t="s">
        <v>77</v>
      </c>
      <c r="E3125" s="28" t="s">
        <v>77</v>
      </c>
      <c r="F3125" s="28" t="s">
        <v>77</v>
      </c>
      <c r="G3125" s="28" t="s">
        <v>77</v>
      </c>
      <c r="I3125" s="26" t="s">
        <v>77</v>
      </c>
      <c r="J3125" s="26" t="s">
        <v>77</v>
      </c>
      <c r="K3125" s="18"/>
      <c r="L3125" s="26" t="s">
        <v>77</v>
      </c>
      <c r="M3125" s="6" t="s">
        <v>77</v>
      </c>
      <c r="N3125" s="28" t="s">
        <v>77</v>
      </c>
      <c r="O3125" s="26" t="s">
        <v>77</v>
      </c>
    </row>
    <row r="3126">
      <c r="A3126" s="52" t="s">
        <v>77</v>
      </c>
      <c r="B3126" s="28" t="s">
        <v>77</v>
      </c>
      <c r="C3126" s="28" t="s">
        <v>77</v>
      </c>
      <c r="D3126" s="28" t="s">
        <v>77</v>
      </c>
      <c r="E3126" s="28" t="s">
        <v>77</v>
      </c>
      <c r="F3126" s="28" t="s">
        <v>77</v>
      </c>
      <c r="G3126" s="28" t="s">
        <v>77</v>
      </c>
      <c r="I3126" s="26" t="s">
        <v>77</v>
      </c>
      <c r="J3126" s="26" t="s">
        <v>77</v>
      </c>
      <c r="K3126" s="18"/>
      <c r="L3126" s="26" t="s">
        <v>77</v>
      </c>
      <c r="M3126" s="6" t="s">
        <v>77</v>
      </c>
      <c r="N3126" s="28" t="s">
        <v>77</v>
      </c>
      <c r="O3126" s="26" t="s">
        <v>77</v>
      </c>
    </row>
    <row r="3127">
      <c r="A3127" s="52" t="s">
        <v>77</v>
      </c>
      <c r="B3127" s="28" t="s">
        <v>77</v>
      </c>
      <c r="C3127" s="28" t="s">
        <v>77</v>
      </c>
      <c r="D3127" s="28" t="s">
        <v>77</v>
      </c>
      <c r="E3127" s="28" t="s">
        <v>77</v>
      </c>
      <c r="F3127" s="28" t="s">
        <v>77</v>
      </c>
      <c r="G3127" s="28" t="s">
        <v>77</v>
      </c>
      <c r="I3127" s="26" t="s">
        <v>77</v>
      </c>
      <c r="J3127" s="26" t="s">
        <v>77</v>
      </c>
      <c r="K3127" s="18"/>
      <c r="L3127" s="26" t="s">
        <v>77</v>
      </c>
      <c r="M3127" s="6" t="s">
        <v>77</v>
      </c>
      <c r="N3127" s="28" t="s">
        <v>77</v>
      </c>
      <c r="O3127" s="26" t="s">
        <v>77</v>
      </c>
    </row>
    <row r="3128">
      <c r="A3128" s="52" t="s">
        <v>77</v>
      </c>
      <c r="B3128" s="28" t="s">
        <v>77</v>
      </c>
      <c r="C3128" s="28" t="s">
        <v>77</v>
      </c>
      <c r="D3128" s="28" t="s">
        <v>77</v>
      </c>
      <c r="E3128" s="28" t="s">
        <v>77</v>
      </c>
      <c r="F3128" s="28" t="s">
        <v>77</v>
      </c>
      <c r="G3128" s="28" t="s">
        <v>77</v>
      </c>
      <c r="I3128" s="26" t="s">
        <v>77</v>
      </c>
      <c r="J3128" s="26" t="s">
        <v>77</v>
      </c>
      <c r="K3128" s="18"/>
      <c r="L3128" s="26" t="s">
        <v>77</v>
      </c>
      <c r="M3128" s="6" t="s">
        <v>77</v>
      </c>
      <c r="N3128" s="28" t="s">
        <v>77</v>
      </c>
      <c r="O3128" s="26" t="s">
        <v>77</v>
      </c>
    </row>
    <row r="3129">
      <c r="A3129" s="52" t="s">
        <v>77</v>
      </c>
      <c r="B3129" s="28" t="s">
        <v>77</v>
      </c>
      <c r="C3129" s="28" t="s">
        <v>77</v>
      </c>
      <c r="D3129" s="28" t="s">
        <v>77</v>
      </c>
      <c r="E3129" s="28" t="s">
        <v>77</v>
      </c>
      <c r="F3129" s="28" t="s">
        <v>77</v>
      </c>
      <c r="G3129" s="28" t="s">
        <v>77</v>
      </c>
      <c r="I3129" s="26" t="s">
        <v>77</v>
      </c>
      <c r="J3129" s="26" t="s">
        <v>77</v>
      </c>
      <c r="K3129" s="18"/>
      <c r="L3129" s="26" t="s">
        <v>77</v>
      </c>
      <c r="M3129" s="6" t="s">
        <v>77</v>
      </c>
      <c r="N3129" s="28" t="s">
        <v>77</v>
      </c>
      <c r="O3129" s="26" t="s">
        <v>77</v>
      </c>
    </row>
    <row r="3130">
      <c r="A3130" s="52" t="s">
        <v>77</v>
      </c>
      <c r="B3130" s="28" t="s">
        <v>77</v>
      </c>
      <c r="C3130" s="28" t="s">
        <v>77</v>
      </c>
      <c r="D3130" s="28" t="s">
        <v>77</v>
      </c>
      <c r="E3130" s="28" t="s">
        <v>77</v>
      </c>
      <c r="F3130" s="28" t="s">
        <v>77</v>
      </c>
      <c r="G3130" s="28" t="s">
        <v>77</v>
      </c>
      <c r="I3130" s="26" t="s">
        <v>77</v>
      </c>
      <c r="J3130" s="26" t="s">
        <v>77</v>
      </c>
      <c r="K3130" s="18"/>
      <c r="L3130" s="26" t="s">
        <v>77</v>
      </c>
      <c r="M3130" s="6" t="s">
        <v>77</v>
      </c>
      <c r="N3130" s="28" t="s">
        <v>77</v>
      </c>
      <c r="O3130" s="26" t="s">
        <v>77</v>
      </c>
    </row>
    <row r="3131">
      <c r="A3131" s="52" t="s">
        <v>77</v>
      </c>
      <c r="B3131" s="28" t="s">
        <v>77</v>
      </c>
      <c r="C3131" s="28" t="s">
        <v>77</v>
      </c>
      <c r="D3131" s="28" t="s">
        <v>77</v>
      </c>
      <c r="E3131" s="28" t="s">
        <v>77</v>
      </c>
      <c r="F3131" s="28" t="s">
        <v>77</v>
      </c>
      <c r="G3131" s="28" t="s">
        <v>77</v>
      </c>
      <c r="I3131" s="26" t="s">
        <v>77</v>
      </c>
      <c r="J3131" s="26" t="s">
        <v>77</v>
      </c>
      <c r="K3131" s="18"/>
      <c r="L3131" s="26" t="s">
        <v>77</v>
      </c>
      <c r="M3131" s="6" t="s">
        <v>77</v>
      </c>
      <c r="N3131" s="28" t="s">
        <v>77</v>
      </c>
      <c r="O3131" s="26" t="s">
        <v>77</v>
      </c>
    </row>
    <row r="3132">
      <c r="A3132" s="52" t="s">
        <v>77</v>
      </c>
      <c r="B3132" s="28" t="s">
        <v>77</v>
      </c>
      <c r="C3132" s="28" t="s">
        <v>77</v>
      </c>
      <c r="D3132" s="28" t="s">
        <v>77</v>
      </c>
      <c r="E3132" s="28" t="s">
        <v>77</v>
      </c>
      <c r="F3132" s="28" t="s">
        <v>77</v>
      </c>
      <c r="G3132" s="28" t="s">
        <v>77</v>
      </c>
      <c r="I3132" s="26" t="s">
        <v>77</v>
      </c>
      <c r="J3132" s="26" t="s">
        <v>77</v>
      </c>
      <c r="K3132" s="18"/>
      <c r="L3132" s="26" t="s">
        <v>77</v>
      </c>
      <c r="M3132" s="6" t="s">
        <v>77</v>
      </c>
      <c r="N3132" s="28" t="s">
        <v>77</v>
      </c>
      <c r="O3132" s="26" t="s">
        <v>77</v>
      </c>
    </row>
    <row r="3133">
      <c r="A3133" s="52" t="s">
        <v>77</v>
      </c>
      <c r="B3133" s="28" t="s">
        <v>77</v>
      </c>
      <c r="C3133" s="28" t="s">
        <v>77</v>
      </c>
      <c r="D3133" s="28" t="s">
        <v>77</v>
      </c>
      <c r="E3133" s="28" t="s">
        <v>77</v>
      </c>
      <c r="F3133" s="28" t="s">
        <v>77</v>
      </c>
      <c r="G3133" s="28" t="s">
        <v>77</v>
      </c>
      <c r="I3133" s="26" t="s">
        <v>77</v>
      </c>
      <c r="J3133" s="26" t="s">
        <v>77</v>
      </c>
      <c r="K3133" s="18"/>
      <c r="L3133" s="26" t="s">
        <v>77</v>
      </c>
      <c r="M3133" s="6" t="s">
        <v>77</v>
      </c>
      <c r="N3133" s="28" t="s">
        <v>77</v>
      </c>
      <c r="O3133" s="26" t="s">
        <v>77</v>
      </c>
    </row>
    <row r="3134">
      <c r="A3134" s="52" t="s">
        <v>77</v>
      </c>
      <c r="B3134" s="28" t="s">
        <v>77</v>
      </c>
      <c r="C3134" s="28" t="s">
        <v>77</v>
      </c>
      <c r="D3134" s="28" t="s">
        <v>77</v>
      </c>
      <c r="E3134" s="28" t="s">
        <v>77</v>
      </c>
      <c r="F3134" s="28" t="s">
        <v>77</v>
      </c>
      <c r="G3134" s="28" t="s">
        <v>77</v>
      </c>
      <c r="I3134" s="26" t="s">
        <v>77</v>
      </c>
      <c r="J3134" s="26" t="s">
        <v>77</v>
      </c>
      <c r="K3134" s="18"/>
      <c r="L3134" s="26" t="s">
        <v>77</v>
      </c>
      <c r="M3134" s="6" t="s">
        <v>77</v>
      </c>
      <c r="N3134" s="28" t="s">
        <v>77</v>
      </c>
      <c r="O3134" s="26" t="s">
        <v>77</v>
      </c>
    </row>
    <row r="3135">
      <c r="A3135" s="52" t="s">
        <v>77</v>
      </c>
      <c r="B3135" s="28" t="s">
        <v>77</v>
      </c>
      <c r="C3135" s="28" t="s">
        <v>77</v>
      </c>
      <c r="D3135" s="28" t="s">
        <v>77</v>
      </c>
      <c r="E3135" s="28" t="s">
        <v>77</v>
      </c>
      <c r="F3135" s="28" t="s">
        <v>77</v>
      </c>
      <c r="G3135" s="28" t="s">
        <v>77</v>
      </c>
      <c r="I3135" s="26" t="s">
        <v>77</v>
      </c>
      <c r="J3135" s="26" t="s">
        <v>77</v>
      </c>
      <c r="K3135" s="18"/>
      <c r="L3135" s="26" t="s">
        <v>77</v>
      </c>
      <c r="M3135" s="6" t="s">
        <v>77</v>
      </c>
      <c r="N3135" s="28" t="s">
        <v>77</v>
      </c>
      <c r="O3135" s="26" t="s">
        <v>77</v>
      </c>
    </row>
    <row r="3136">
      <c r="A3136" s="52" t="s">
        <v>77</v>
      </c>
      <c r="B3136" s="28" t="s">
        <v>77</v>
      </c>
      <c r="C3136" s="28" t="s">
        <v>77</v>
      </c>
      <c r="D3136" s="28" t="s">
        <v>77</v>
      </c>
      <c r="E3136" s="28" t="s">
        <v>77</v>
      </c>
      <c r="F3136" s="28" t="s">
        <v>77</v>
      </c>
      <c r="G3136" s="28" t="s">
        <v>77</v>
      </c>
      <c r="I3136" s="26" t="s">
        <v>77</v>
      </c>
      <c r="J3136" s="26" t="s">
        <v>77</v>
      </c>
      <c r="K3136" s="18"/>
      <c r="L3136" s="26" t="s">
        <v>77</v>
      </c>
      <c r="M3136" s="6" t="s">
        <v>77</v>
      </c>
      <c r="N3136" s="28" t="s">
        <v>77</v>
      </c>
      <c r="O3136" s="26" t="s">
        <v>77</v>
      </c>
    </row>
    <row r="3137">
      <c r="A3137" s="52" t="s">
        <v>77</v>
      </c>
      <c r="B3137" s="28" t="s">
        <v>77</v>
      </c>
      <c r="C3137" s="28" t="s">
        <v>77</v>
      </c>
      <c r="D3137" s="28" t="s">
        <v>77</v>
      </c>
      <c r="E3137" s="28" t="s">
        <v>77</v>
      </c>
      <c r="F3137" s="28" t="s">
        <v>77</v>
      </c>
      <c r="G3137" s="28" t="s">
        <v>77</v>
      </c>
      <c r="I3137" s="26" t="s">
        <v>77</v>
      </c>
      <c r="J3137" s="26" t="s">
        <v>77</v>
      </c>
      <c r="K3137" s="18"/>
      <c r="L3137" s="26" t="s">
        <v>77</v>
      </c>
      <c r="M3137" s="6" t="s">
        <v>77</v>
      </c>
      <c r="N3137" s="28" t="s">
        <v>77</v>
      </c>
      <c r="O3137" s="26" t="s">
        <v>77</v>
      </c>
    </row>
    <row r="3138">
      <c r="A3138" s="52" t="s">
        <v>77</v>
      </c>
      <c r="B3138" s="28" t="s">
        <v>77</v>
      </c>
      <c r="C3138" s="28" t="s">
        <v>77</v>
      </c>
      <c r="D3138" s="28" t="s">
        <v>77</v>
      </c>
      <c r="E3138" s="28" t="s">
        <v>77</v>
      </c>
      <c r="F3138" s="28" t="s">
        <v>77</v>
      </c>
      <c r="G3138" s="28" t="s">
        <v>77</v>
      </c>
      <c r="I3138" s="26" t="s">
        <v>77</v>
      </c>
      <c r="J3138" s="26" t="s">
        <v>77</v>
      </c>
      <c r="K3138" s="18"/>
      <c r="L3138" s="26" t="s">
        <v>77</v>
      </c>
      <c r="M3138" s="6" t="s">
        <v>77</v>
      </c>
      <c r="N3138" s="28" t="s">
        <v>77</v>
      </c>
      <c r="O3138" s="26" t="s">
        <v>77</v>
      </c>
    </row>
    <row r="3139">
      <c r="A3139" s="52" t="s">
        <v>77</v>
      </c>
      <c r="B3139" s="28" t="s">
        <v>77</v>
      </c>
      <c r="C3139" s="28" t="s">
        <v>77</v>
      </c>
      <c r="D3139" s="28" t="s">
        <v>77</v>
      </c>
      <c r="E3139" s="28" t="s">
        <v>77</v>
      </c>
      <c r="F3139" s="28" t="s">
        <v>77</v>
      </c>
      <c r="G3139" s="28" t="s">
        <v>77</v>
      </c>
      <c r="I3139" s="26" t="s">
        <v>77</v>
      </c>
      <c r="J3139" s="26" t="s">
        <v>77</v>
      </c>
      <c r="K3139" s="18"/>
      <c r="L3139" s="26" t="s">
        <v>77</v>
      </c>
      <c r="M3139" s="6" t="s">
        <v>77</v>
      </c>
      <c r="N3139" s="28" t="s">
        <v>77</v>
      </c>
      <c r="O3139" s="26" t="s">
        <v>77</v>
      </c>
    </row>
    <row r="3140">
      <c r="A3140" s="52" t="s">
        <v>77</v>
      </c>
      <c r="B3140" s="28" t="s">
        <v>77</v>
      </c>
      <c r="C3140" s="28" t="s">
        <v>77</v>
      </c>
      <c r="D3140" s="28" t="s">
        <v>77</v>
      </c>
      <c r="E3140" s="28" t="s">
        <v>77</v>
      </c>
      <c r="F3140" s="28" t="s">
        <v>77</v>
      </c>
      <c r="G3140" s="28" t="s">
        <v>77</v>
      </c>
      <c r="I3140" s="26" t="s">
        <v>77</v>
      </c>
      <c r="J3140" s="26" t="s">
        <v>77</v>
      </c>
      <c r="K3140" s="18"/>
      <c r="L3140" s="26" t="s">
        <v>77</v>
      </c>
      <c r="M3140" s="6" t="s">
        <v>77</v>
      </c>
      <c r="N3140" s="28" t="s">
        <v>77</v>
      </c>
      <c r="O3140" s="26" t="s">
        <v>77</v>
      </c>
    </row>
    <row r="3141">
      <c r="A3141" s="52" t="s">
        <v>77</v>
      </c>
      <c r="B3141" s="28" t="s">
        <v>77</v>
      </c>
      <c r="C3141" s="28" t="s">
        <v>77</v>
      </c>
      <c r="D3141" s="28" t="s">
        <v>77</v>
      </c>
      <c r="E3141" s="28" t="s">
        <v>77</v>
      </c>
      <c r="F3141" s="28" t="s">
        <v>77</v>
      </c>
      <c r="G3141" s="28" t="s">
        <v>77</v>
      </c>
      <c r="I3141" s="26" t="s">
        <v>77</v>
      </c>
      <c r="J3141" s="26" t="s">
        <v>77</v>
      </c>
      <c r="K3141" s="18"/>
      <c r="L3141" s="26" t="s">
        <v>77</v>
      </c>
      <c r="M3141" s="6" t="s">
        <v>77</v>
      </c>
      <c r="N3141" s="28" t="s">
        <v>77</v>
      </c>
      <c r="O3141" s="26" t="s">
        <v>77</v>
      </c>
    </row>
    <row r="3142">
      <c r="A3142" s="52" t="s">
        <v>77</v>
      </c>
      <c r="B3142" s="28" t="s">
        <v>77</v>
      </c>
      <c r="C3142" s="28" t="s">
        <v>77</v>
      </c>
      <c r="D3142" s="28" t="s">
        <v>77</v>
      </c>
      <c r="E3142" s="28" t="s">
        <v>77</v>
      </c>
      <c r="F3142" s="28" t="s">
        <v>77</v>
      </c>
      <c r="G3142" s="28" t="s">
        <v>77</v>
      </c>
      <c r="I3142" s="26" t="s">
        <v>77</v>
      </c>
      <c r="J3142" s="26" t="s">
        <v>77</v>
      </c>
      <c r="K3142" s="18"/>
      <c r="L3142" s="26" t="s">
        <v>77</v>
      </c>
      <c r="M3142" s="6" t="s">
        <v>77</v>
      </c>
      <c r="N3142" s="28" t="s">
        <v>77</v>
      </c>
      <c r="O3142" s="26" t="s">
        <v>77</v>
      </c>
    </row>
    <row r="3143">
      <c r="A3143" s="52" t="s">
        <v>77</v>
      </c>
      <c r="B3143" s="28" t="s">
        <v>77</v>
      </c>
      <c r="C3143" s="28" t="s">
        <v>77</v>
      </c>
      <c r="D3143" s="28" t="s">
        <v>77</v>
      </c>
      <c r="E3143" s="28" t="s">
        <v>77</v>
      </c>
      <c r="F3143" s="28" t="s">
        <v>77</v>
      </c>
      <c r="G3143" s="28" t="s">
        <v>77</v>
      </c>
      <c r="I3143" s="26" t="s">
        <v>77</v>
      </c>
      <c r="J3143" s="26" t="s">
        <v>77</v>
      </c>
      <c r="K3143" s="18"/>
      <c r="L3143" s="26" t="s">
        <v>77</v>
      </c>
      <c r="M3143" s="6" t="s">
        <v>77</v>
      </c>
      <c r="N3143" s="28" t="s">
        <v>77</v>
      </c>
      <c r="O3143" s="26" t="s">
        <v>77</v>
      </c>
    </row>
    <row r="3144">
      <c r="A3144" s="52" t="s">
        <v>77</v>
      </c>
      <c r="B3144" s="28" t="s">
        <v>77</v>
      </c>
      <c r="C3144" s="28" t="s">
        <v>77</v>
      </c>
      <c r="D3144" s="28" t="s">
        <v>77</v>
      </c>
      <c r="E3144" s="28" t="s">
        <v>77</v>
      </c>
      <c r="F3144" s="28" t="s">
        <v>77</v>
      </c>
      <c r="G3144" s="28" t="s">
        <v>77</v>
      </c>
      <c r="I3144" s="26" t="s">
        <v>77</v>
      </c>
      <c r="J3144" s="26" t="s">
        <v>77</v>
      </c>
      <c r="K3144" s="18"/>
      <c r="L3144" s="26" t="s">
        <v>77</v>
      </c>
      <c r="M3144" s="6" t="s">
        <v>77</v>
      </c>
      <c r="N3144" s="28" t="s">
        <v>77</v>
      </c>
      <c r="O3144" s="26" t="s">
        <v>77</v>
      </c>
    </row>
    <row r="3145">
      <c r="A3145" s="52" t="s">
        <v>77</v>
      </c>
      <c r="B3145" s="28" t="s">
        <v>77</v>
      </c>
      <c r="C3145" s="28" t="s">
        <v>77</v>
      </c>
      <c r="D3145" s="28" t="s">
        <v>77</v>
      </c>
      <c r="E3145" s="28" t="s">
        <v>77</v>
      </c>
      <c r="F3145" s="28" t="s">
        <v>77</v>
      </c>
      <c r="G3145" s="28" t="s">
        <v>77</v>
      </c>
      <c r="I3145" s="26" t="s">
        <v>77</v>
      </c>
      <c r="J3145" s="26" t="s">
        <v>77</v>
      </c>
      <c r="K3145" s="18"/>
      <c r="L3145" s="26" t="s">
        <v>77</v>
      </c>
      <c r="M3145" s="6" t="s">
        <v>77</v>
      </c>
      <c r="N3145" s="28" t="s">
        <v>77</v>
      </c>
      <c r="O3145" s="26" t="s">
        <v>77</v>
      </c>
    </row>
    <row r="3146">
      <c r="A3146" s="52" t="s">
        <v>77</v>
      </c>
      <c r="B3146" s="28" t="s">
        <v>77</v>
      </c>
      <c r="C3146" s="28" t="s">
        <v>77</v>
      </c>
      <c r="D3146" s="28" t="s">
        <v>77</v>
      </c>
      <c r="E3146" s="28" t="s">
        <v>77</v>
      </c>
      <c r="F3146" s="28" t="s">
        <v>77</v>
      </c>
      <c r="G3146" s="28" t="s">
        <v>77</v>
      </c>
      <c r="I3146" s="26" t="s">
        <v>77</v>
      </c>
      <c r="J3146" s="26" t="s">
        <v>77</v>
      </c>
      <c r="K3146" s="18"/>
      <c r="L3146" s="26" t="s">
        <v>77</v>
      </c>
      <c r="M3146" s="6" t="s">
        <v>77</v>
      </c>
      <c r="N3146" s="28" t="s">
        <v>77</v>
      </c>
      <c r="O3146" s="26" t="s">
        <v>77</v>
      </c>
    </row>
    <row r="3147">
      <c r="A3147" s="52" t="s">
        <v>77</v>
      </c>
      <c r="B3147" s="28" t="s">
        <v>77</v>
      </c>
      <c r="C3147" s="28" t="s">
        <v>77</v>
      </c>
      <c r="D3147" s="28" t="s">
        <v>77</v>
      </c>
      <c r="E3147" s="28" t="s">
        <v>77</v>
      </c>
      <c r="F3147" s="28" t="s">
        <v>77</v>
      </c>
      <c r="G3147" s="28" t="s">
        <v>77</v>
      </c>
      <c r="I3147" s="26" t="s">
        <v>77</v>
      </c>
      <c r="J3147" s="26" t="s">
        <v>77</v>
      </c>
      <c r="K3147" s="18"/>
      <c r="L3147" s="26" t="s">
        <v>77</v>
      </c>
      <c r="M3147" s="6" t="s">
        <v>77</v>
      </c>
      <c r="N3147" s="28" t="s">
        <v>77</v>
      </c>
      <c r="O3147" s="26" t="s">
        <v>77</v>
      </c>
    </row>
    <row r="3148">
      <c r="A3148" s="52" t="s">
        <v>77</v>
      </c>
      <c r="B3148" s="28" t="s">
        <v>77</v>
      </c>
      <c r="C3148" s="28" t="s">
        <v>77</v>
      </c>
      <c r="D3148" s="28" t="s">
        <v>77</v>
      </c>
      <c r="E3148" s="28" t="s">
        <v>77</v>
      </c>
      <c r="F3148" s="28" t="s">
        <v>77</v>
      </c>
      <c r="G3148" s="28" t="s">
        <v>77</v>
      </c>
      <c r="I3148" s="26" t="s">
        <v>77</v>
      </c>
      <c r="J3148" s="26" t="s">
        <v>77</v>
      </c>
      <c r="K3148" s="18"/>
      <c r="L3148" s="26" t="s">
        <v>77</v>
      </c>
      <c r="M3148" s="6" t="s">
        <v>77</v>
      </c>
      <c r="N3148" s="28" t="s">
        <v>77</v>
      </c>
      <c r="O3148" s="26" t="s">
        <v>77</v>
      </c>
    </row>
    <row r="3149">
      <c r="A3149" s="52" t="s">
        <v>77</v>
      </c>
      <c r="B3149" s="28" t="s">
        <v>77</v>
      </c>
      <c r="C3149" s="28" t="s">
        <v>77</v>
      </c>
      <c r="D3149" s="28" t="s">
        <v>77</v>
      </c>
      <c r="E3149" s="28" t="s">
        <v>77</v>
      </c>
      <c r="F3149" s="28" t="s">
        <v>77</v>
      </c>
      <c r="G3149" s="28" t="s">
        <v>77</v>
      </c>
      <c r="I3149" s="26" t="s">
        <v>77</v>
      </c>
      <c r="J3149" s="26" t="s">
        <v>77</v>
      </c>
      <c r="K3149" s="18"/>
      <c r="L3149" s="26" t="s">
        <v>77</v>
      </c>
      <c r="M3149" s="6" t="s">
        <v>77</v>
      </c>
      <c r="N3149" s="28" t="s">
        <v>77</v>
      </c>
      <c r="O3149" s="26" t="s">
        <v>77</v>
      </c>
    </row>
    <row r="3150">
      <c r="A3150" s="52" t="s">
        <v>77</v>
      </c>
      <c r="B3150" s="28" t="s">
        <v>77</v>
      </c>
      <c r="C3150" s="28" t="s">
        <v>77</v>
      </c>
      <c r="D3150" s="28" t="s">
        <v>77</v>
      </c>
      <c r="E3150" s="28" t="s">
        <v>77</v>
      </c>
      <c r="F3150" s="28" t="s">
        <v>77</v>
      </c>
      <c r="G3150" s="28" t="s">
        <v>77</v>
      </c>
      <c r="I3150" s="26" t="s">
        <v>77</v>
      </c>
      <c r="J3150" s="26" t="s">
        <v>77</v>
      </c>
      <c r="K3150" s="18"/>
      <c r="L3150" s="26" t="s">
        <v>77</v>
      </c>
      <c r="M3150" s="6" t="s">
        <v>77</v>
      </c>
      <c r="N3150" s="28" t="s">
        <v>77</v>
      </c>
      <c r="O3150" s="26" t="s">
        <v>77</v>
      </c>
    </row>
    <row r="3151">
      <c r="A3151" s="52" t="s">
        <v>77</v>
      </c>
      <c r="B3151" s="28" t="s">
        <v>77</v>
      </c>
      <c r="C3151" s="28" t="s">
        <v>77</v>
      </c>
      <c r="D3151" s="28" t="s">
        <v>77</v>
      </c>
      <c r="E3151" s="28" t="s">
        <v>77</v>
      </c>
      <c r="F3151" s="28" t="s">
        <v>77</v>
      </c>
      <c r="G3151" s="28" t="s">
        <v>77</v>
      </c>
      <c r="I3151" s="26" t="s">
        <v>77</v>
      </c>
      <c r="J3151" s="26" t="s">
        <v>77</v>
      </c>
      <c r="K3151" s="18"/>
      <c r="L3151" s="26" t="s">
        <v>77</v>
      </c>
      <c r="M3151" s="6" t="s">
        <v>77</v>
      </c>
      <c r="N3151" s="28" t="s">
        <v>77</v>
      </c>
      <c r="O3151" s="26" t="s">
        <v>77</v>
      </c>
    </row>
    <row r="3152">
      <c r="A3152" s="52" t="s">
        <v>77</v>
      </c>
      <c r="B3152" s="28" t="s">
        <v>77</v>
      </c>
      <c r="C3152" s="28" t="s">
        <v>77</v>
      </c>
      <c r="D3152" s="28" t="s">
        <v>77</v>
      </c>
      <c r="E3152" s="28" t="s">
        <v>77</v>
      </c>
      <c r="F3152" s="28" t="s">
        <v>77</v>
      </c>
      <c r="G3152" s="28" t="s">
        <v>77</v>
      </c>
      <c r="I3152" s="26" t="s">
        <v>77</v>
      </c>
      <c r="J3152" s="26" t="s">
        <v>77</v>
      </c>
      <c r="K3152" s="18"/>
      <c r="L3152" s="26" t="s">
        <v>77</v>
      </c>
      <c r="M3152" s="6" t="s">
        <v>77</v>
      </c>
      <c r="N3152" s="28" t="s">
        <v>77</v>
      </c>
      <c r="O3152" s="26" t="s">
        <v>77</v>
      </c>
    </row>
    <row r="3153">
      <c r="A3153" s="52" t="s">
        <v>77</v>
      </c>
      <c r="B3153" s="28" t="s">
        <v>77</v>
      </c>
      <c r="C3153" s="28" t="s">
        <v>77</v>
      </c>
      <c r="D3153" s="28" t="s">
        <v>77</v>
      </c>
      <c r="E3153" s="28" t="s">
        <v>77</v>
      </c>
      <c r="F3153" s="28" t="s">
        <v>77</v>
      </c>
      <c r="G3153" s="28" t="s">
        <v>77</v>
      </c>
      <c r="I3153" s="26" t="s">
        <v>77</v>
      </c>
      <c r="J3153" s="26" t="s">
        <v>77</v>
      </c>
      <c r="K3153" s="18"/>
      <c r="L3153" s="26" t="s">
        <v>77</v>
      </c>
      <c r="M3153" s="6" t="s">
        <v>77</v>
      </c>
      <c r="N3153" s="28" t="s">
        <v>77</v>
      </c>
      <c r="O3153" s="26" t="s">
        <v>77</v>
      </c>
    </row>
    <row r="3154">
      <c r="A3154" s="52" t="s">
        <v>77</v>
      </c>
      <c r="B3154" s="28" t="s">
        <v>77</v>
      </c>
      <c r="C3154" s="28" t="s">
        <v>77</v>
      </c>
      <c r="D3154" s="28" t="s">
        <v>77</v>
      </c>
      <c r="E3154" s="28" t="s">
        <v>77</v>
      </c>
      <c r="F3154" s="28" t="s">
        <v>77</v>
      </c>
      <c r="G3154" s="28" t="s">
        <v>77</v>
      </c>
      <c r="I3154" s="26" t="s">
        <v>77</v>
      </c>
      <c r="J3154" s="26" t="s">
        <v>77</v>
      </c>
      <c r="K3154" s="18"/>
      <c r="L3154" s="26" t="s">
        <v>77</v>
      </c>
      <c r="M3154" s="6" t="s">
        <v>77</v>
      </c>
      <c r="N3154" s="28" t="s">
        <v>77</v>
      </c>
      <c r="O3154" s="26" t="s">
        <v>77</v>
      </c>
    </row>
    <row r="3155">
      <c r="A3155" s="52" t="s">
        <v>77</v>
      </c>
      <c r="B3155" s="28" t="s">
        <v>77</v>
      </c>
      <c r="C3155" s="28" t="s">
        <v>77</v>
      </c>
      <c r="D3155" s="28" t="s">
        <v>77</v>
      </c>
      <c r="E3155" s="28" t="s">
        <v>77</v>
      </c>
      <c r="F3155" s="28" t="s">
        <v>77</v>
      </c>
      <c r="G3155" s="28" t="s">
        <v>77</v>
      </c>
      <c r="I3155" s="26" t="s">
        <v>77</v>
      </c>
      <c r="J3155" s="26" t="s">
        <v>77</v>
      </c>
      <c r="K3155" s="18"/>
      <c r="L3155" s="26" t="s">
        <v>77</v>
      </c>
      <c r="M3155" s="6" t="s">
        <v>77</v>
      </c>
      <c r="N3155" s="28" t="s">
        <v>77</v>
      </c>
      <c r="O3155" s="26" t="s">
        <v>77</v>
      </c>
    </row>
    <row r="3156">
      <c r="A3156" s="52" t="s">
        <v>77</v>
      </c>
      <c r="B3156" s="28" t="s">
        <v>77</v>
      </c>
      <c r="C3156" s="28" t="s">
        <v>77</v>
      </c>
      <c r="D3156" s="28" t="s">
        <v>77</v>
      </c>
      <c r="E3156" s="28" t="s">
        <v>77</v>
      </c>
      <c r="F3156" s="28" t="s">
        <v>77</v>
      </c>
      <c r="G3156" s="28" t="s">
        <v>77</v>
      </c>
      <c r="I3156" s="26" t="s">
        <v>77</v>
      </c>
      <c r="J3156" s="26" t="s">
        <v>77</v>
      </c>
      <c r="K3156" s="18"/>
      <c r="L3156" s="26" t="s">
        <v>77</v>
      </c>
      <c r="M3156" s="6" t="s">
        <v>77</v>
      </c>
      <c r="N3156" s="28" t="s">
        <v>77</v>
      </c>
      <c r="O3156" s="26" t="s">
        <v>77</v>
      </c>
    </row>
    <row r="3157">
      <c r="A3157" s="52" t="s">
        <v>77</v>
      </c>
      <c r="B3157" s="28" t="s">
        <v>77</v>
      </c>
      <c r="C3157" s="28" t="s">
        <v>77</v>
      </c>
      <c r="D3157" s="28" t="s">
        <v>77</v>
      </c>
      <c r="E3157" s="28" t="s">
        <v>77</v>
      </c>
      <c r="F3157" s="28" t="s">
        <v>77</v>
      </c>
      <c r="G3157" s="28" t="s">
        <v>77</v>
      </c>
      <c r="I3157" s="26" t="s">
        <v>77</v>
      </c>
      <c r="J3157" s="26" t="s">
        <v>77</v>
      </c>
      <c r="K3157" s="18"/>
      <c r="L3157" s="26" t="s">
        <v>77</v>
      </c>
      <c r="M3157" s="6" t="s">
        <v>77</v>
      </c>
      <c r="N3157" s="28" t="s">
        <v>77</v>
      </c>
      <c r="O3157" s="26" t="s">
        <v>77</v>
      </c>
    </row>
    <row r="3158">
      <c r="A3158" s="52" t="s">
        <v>77</v>
      </c>
      <c r="B3158" s="28" t="s">
        <v>77</v>
      </c>
      <c r="C3158" s="28" t="s">
        <v>77</v>
      </c>
      <c r="D3158" s="28" t="s">
        <v>77</v>
      </c>
      <c r="E3158" s="28" t="s">
        <v>77</v>
      </c>
      <c r="F3158" s="28" t="s">
        <v>77</v>
      </c>
      <c r="G3158" s="28" t="s">
        <v>77</v>
      </c>
      <c r="I3158" s="26" t="s">
        <v>77</v>
      </c>
      <c r="J3158" s="26" t="s">
        <v>77</v>
      </c>
      <c r="K3158" s="18"/>
      <c r="L3158" s="26" t="s">
        <v>77</v>
      </c>
      <c r="M3158" s="6" t="s">
        <v>77</v>
      </c>
      <c r="N3158" s="28" t="s">
        <v>77</v>
      </c>
      <c r="O3158" s="26" t="s">
        <v>77</v>
      </c>
    </row>
    <row r="3159">
      <c r="A3159" s="52" t="s">
        <v>77</v>
      </c>
      <c r="B3159" s="28" t="s">
        <v>77</v>
      </c>
      <c r="C3159" s="28" t="s">
        <v>77</v>
      </c>
      <c r="D3159" s="28" t="s">
        <v>77</v>
      </c>
      <c r="E3159" s="28" t="s">
        <v>77</v>
      </c>
      <c r="F3159" s="28" t="s">
        <v>77</v>
      </c>
      <c r="G3159" s="28" t="s">
        <v>77</v>
      </c>
      <c r="I3159" s="26" t="s">
        <v>77</v>
      </c>
      <c r="J3159" s="26" t="s">
        <v>77</v>
      </c>
      <c r="K3159" s="18"/>
      <c r="L3159" s="26" t="s">
        <v>77</v>
      </c>
      <c r="M3159" s="6" t="s">
        <v>77</v>
      </c>
      <c r="N3159" s="28" t="s">
        <v>77</v>
      </c>
      <c r="O3159" s="26" t="s">
        <v>77</v>
      </c>
    </row>
    <row r="3160">
      <c r="A3160" s="52" t="s">
        <v>77</v>
      </c>
      <c r="B3160" s="28" t="s">
        <v>77</v>
      </c>
      <c r="C3160" s="28" t="s">
        <v>77</v>
      </c>
      <c r="D3160" s="28" t="s">
        <v>77</v>
      </c>
      <c r="E3160" s="28" t="s">
        <v>77</v>
      </c>
      <c r="F3160" s="28" t="s">
        <v>77</v>
      </c>
      <c r="G3160" s="28" t="s">
        <v>77</v>
      </c>
      <c r="I3160" s="26" t="s">
        <v>77</v>
      </c>
      <c r="J3160" s="26" t="s">
        <v>77</v>
      </c>
      <c r="K3160" s="18"/>
      <c r="L3160" s="26" t="s">
        <v>77</v>
      </c>
      <c r="M3160" s="6" t="s">
        <v>77</v>
      </c>
      <c r="N3160" s="28" t="s">
        <v>77</v>
      </c>
      <c r="O3160" s="26" t="s">
        <v>77</v>
      </c>
    </row>
    <row r="3161">
      <c r="A3161" s="52" t="s">
        <v>77</v>
      </c>
      <c r="B3161" s="28" t="s">
        <v>77</v>
      </c>
      <c r="C3161" s="28" t="s">
        <v>77</v>
      </c>
      <c r="D3161" s="28" t="s">
        <v>77</v>
      </c>
      <c r="E3161" s="28" t="s">
        <v>77</v>
      </c>
      <c r="F3161" s="28" t="s">
        <v>77</v>
      </c>
      <c r="G3161" s="28" t="s">
        <v>77</v>
      </c>
      <c r="I3161" s="26" t="s">
        <v>77</v>
      </c>
      <c r="J3161" s="26" t="s">
        <v>77</v>
      </c>
      <c r="K3161" s="18"/>
      <c r="L3161" s="26" t="s">
        <v>77</v>
      </c>
      <c r="M3161" s="6" t="s">
        <v>77</v>
      </c>
      <c r="N3161" s="28" t="s">
        <v>77</v>
      </c>
      <c r="O3161" s="26" t="s">
        <v>77</v>
      </c>
    </row>
    <row r="3162">
      <c r="A3162" s="52" t="s">
        <v>77</v>
      </c>
      <c r="B3162" s="28" t="s">
        <v>77</v>
      </c>
      <c r="C3162" s="28" t="s">
        <v>77</v>
      </c>
      <c r="D3162" s="28" t="s">
        <v>77</v>
      </c>
      <c r="E3162" s="28" t="s">
        <v>77</v>
      </c>
      <c r="F3162" s="28" t="s">
        <v>77</v>
      </c>
      <c r="G3162" s="28" t="s">
        <v>77</v>
      </c>
      <c r="I3162" s="26" t="s">
        <v>77</v>
      </c>
      <c r="J3162" s="26" t="s">
        <v>77</v>
      </c>
      <c r="K3162" s="18"/>
      <c r="L3162" s="26" t="s">
        <v>77</v>
      </c>
      <c r="M3162" s="6" t="s">
        <v>77</v>
      </c>
      <c r="N3162" s="28" t="s">
        <v>77</v>
      </c>
      <c r="O3162" s="26" t="s">
        <v>77</v>
      </c>
    </row>
    <row r="3163">
      <c r="A3163" s="52" t="s">
        <v>77</v>
      </c>
      <c r="B3163" s="28" t="s">
        <v>77</v>
      </c>
      <c r="C3163" s="28" t="s">
        <v>77</v>
      </c>
      <c r="D3163" s="28" t="s">
        <v>77</v>
      </c>
      <c r="E3163" s="28" t="s">
        <v>77</v>
      </c>
      <c r="F3163" s="28" t="s">
        <v>77</v>
      </c>
      <c r="G3163" s="28" t="s">
        <v>77</v>
      </c>
      <c r="I3163" s="26" t="s">
        <v>77</v>
      </c>
      <c r="J3163" s="26" t="s">
        <v>77</v>
      </c>
      <c r="K3163" s="18"/>
      <c r="L3163" s="26" t="s">
        <v>77</v>
      </c>
      <c r="M3163" s="6" t="s">
        <v>77</v>
      </c>
      <c r="N3163" s="28" t="s">
        <v>77</v>
      </c>
      <c r="O3163" s="26" t="s">
        <v>77</v>
      </c>
    </row>
    <row r="3164">
      <c r="A3164" s="52" t="s">
        <v>77</v>
      </c>
      <c r="B3164" s="28" t="s">
        <v>77</v>
      </c>
      <c r="C3164" s="28" t="s">
        <v>77</v>
      </c>
      <c r="D3164" s="28" t="s">
        <v>77</v>
      </c>
      <c r="E3164" s="28" t="s">
        <v>77</v>
      </c>
      <c r="F3164" s="28" t="s">
        <v>77</v>
      </c>
      <c r="G3164" s="28" t="s">
        <v>77</v>
      </c>
      <c r="I3164" s="26" t="s">
        <v>77</v>
      </c>
      <c r="J3164" s="26" t="s">
        <v>77</v>
      </c>
      <c r="K3164" s="18"/>
      <c r="L3164" s="26" t="s">
        <v>77</v>
      </c>
      <c r="M3164" s="6" t="s">
        <v>77</v>
      </c>
      <c r="N3164" s="28" t="s">
        <v>77</v>
      </c>
      <c r="O3164" s="26" t="s">
        <v>77</v>
      </c>
    </row>
    <row r="3165">
      <c r="A3165" s="52" t="s">
        <v>77</v>
      </c>
      <c r="B3165" s="28" t="s">
        <v>77</v>
      </c>
      <c r="C3165" s="28" t="s">
        <v>77</v>
      </c>
      <c r="D3165" s="28" t="s">
        <v>77</v>
      </c>
      <c r="E3165" s="28" t="s">
        <v>77</v>
      </c>
      <c r="F3165" s="28" t="s">
        <v>77</v>
      </c>
      <c r="G3165" s="28" t="s">
        <v>77</v>
      </c>
      <c r="I3165" s="26" t="s">
        <v>77</v>
      </c>
      <c r="J3165" s="26" t="s">
        <v>77</v>
      </c>
      <c r="K3165" s="18"/>
      <c r="L3165" s="26" t="s">
        <v>77</v>
      </c>
      <c r="M3165" s="6" t="s">
        <v>77</v>
      </c>
      <c r="N3165" s="28" t="s">
        <v>77</v>
      </c>
      <c r="O3165" s="26" t="s">
        <v>77</v>
      </c>
    </row>
    <row r="3166">
      <c r="A3166" s="52" t="s">
        <v>77</v>
      </c>
      <c r="B3166" s="28" t="s">
        <v>77</v>
      </c>
      <c r="C3166" s="28" t="s">
        <v>77</v>
      </c>
      <c r="D3166" s="28" t="s">
        <v>77</v>
      </c>
      <c r="E3166" s="28" t="s">
        <v>77</v>
      </c>
      <c r="F3166" s="28" t="s">
        <v>77</v>
      </c>
      <c r="G3166" s="28" t="s">
        <v>77</v>
      </c>
      <c r="I3166" s="26" t="s">
        <v>77</v>
      </c>
      <c r="J3166" s="26" t="s">
        <v>77</v>
      </c>
      <c r="K3166" s="18"/>
      <c r="L3166" s="26" t="s">
        <v>77</v>
      </c>
      <c r="M3166" s="6" t="s">
        <v>77</v>
      </c>
      <c r="N3166" s="28" t="s">
        <v>77</v>
      </c>
      <c r="O3166" s="26" t="s">
        <v>77</v>
      </c>
    </row>
    <row r="3167">
      <c r="A3167" s="52" t="s">
        <v>77</v>
      </c>
      <c r="B3167" s="28" t="s">
        <v>77</v>
      </c>
      <c r="C3167" s="28" t="s">
        <v>77</v>
      </c>
      <c r="D3167" s="28" t="s">
        <v>77</v>
      </c>
      <c r="E3167" s="28" t="s">
        <v>77</v>
      </c>
      <c r="F3167" s="28" t="s">
        <v>77</v>
      </c>
      <c r="G3167" s="28" t="s">
        <v>77</v>
      </c>
      <c r="I3167" s="26" t="s">
        <v>77</v>
      </c>
      <c r="J3167" s="26" t="s">
        <v>77</v>
      </c>
      <c r="K3167" s="18"/>
      <c r="L3167" s="26" t="s">
        <v>77</v>
      </c>
      <c r="M3167" s="6" t="s">
        <v>77</v>
      </c>
      <c r="N3167" s="28" t="s">
        <v>77</v>
      </c>
      <c r="O3167" s="26" t="s">
        <v>77</v>
      </c>
    </row>
    <row r="3168">
      <c r="A3168" s="52" t="s">
        <v>77</v>
      </c>
      <c r="B3168" s="28" t="s">
        <v>77</v>
      </c>
      <c r="C3168" s="28" t="s">
        <v>77</v>
      </c>
      <c r="D3168" s="28" t="s">
        <v>77</v>
      </c>
      <c r="E3168" s="28" t="s">
        <v>77</v>
      </c>
      <c r="F3168" s="28" t="s">
        <v>77</v>
      </c>
      <c r="G3168" s="28" t="s">
        <v>77</v>
      </c>
      <c r="I3168" s="26" t="s">
        <v>77</v>
      </c>
      <c r="J3168" s="26" t="s">
        <v>77</v>
      </c>
      <c r="K3168" s="18"/>
      <c r="L3168" s="26" t="s">
        <v>77</v>
      </c>
      <c r="M3168" s="6" t="s">
        <v>77</v>
      </c>
      <c r="N3168" s="28" t="s">
        <v>77</v>
      </c>
      <c r="O3168" s="26" t="s">
        <v>77</v>
      </c>
    </row>
    <row r="3169">
      <c r="A3169" s="52" t="s">
        <v>77</v>
      </c>
      <c r="B3169" s="28" t="s">
        <v>77</v>
      </c>
      <c r="C3169" s="28" t="s">
        <v>77</v>
      </c>
      <c r="D3169" s="28" t="s">
        <v>77</v>
      </c>
      <c r="E3169" s="28" t="s">
        <v>77</v>
      </c>
      <c r="F3169" s="28" t="s">
        <v>77</v>
      </c>
      <c r="G3169" s="28" t="s">
        <v>77</v>
      </c>
      <c r="I3169" s="26" t="s">
        <v>77</v>
      </c>
      <c r="J3169" s="26" t="s">
        <v>77</v>
      </c>
      <c r="K3169" s="18"/>
      <c r="L3169" s="26" t="s">
        <v>77</v>
      </c>
      <c r="M3169" s="6" t="s">
        <v>77</v>
      </c>
      <c r="N3169" s="28" t="s">
        <v>77</v>
      </c>
      <c r="O3169" s="26" t="s">
        <v>77</v>
      </c>
    </row>
    <row r="3170">
      <c r="A3170" s="52" t="s">
        <v>77</v>
      </c>
      <c r="B3170" s="28" t="s">
        <v>77</v>
      </c>
      <c r="C3170" s="28" t="s">
        <v>77</v>
      </c>
      <c r="D3170" s="28" t="s">
        <v>77</v>
      </c>
      <c r="E3170" s="28" t="s">
        <v>77</v>
      </c>
      <c r="F3170" s="28" t="s">
        <v>77</v>
      </c>
      <c r="G3170" s="28" t="s">
        <v>77</v>
      </c>
      <c r="I3170" s="26" t="s">
        <v>77</v>
      </c>
      <c r="J3170" s="26" t="s">
        <v>77</v>
      </c>
      <c r="K3170" s="18"/>
      <c r="L3170" s="26" t="s">
        <v>77</v>
      </c>
      <c r="M3170" s="6" t="s">
        <v>77</v>
      </c>
      <c r="N3170" s="28" t="s">
        <v>77</v>
      </c>
      <c r="O3170" s="26" t="s">
        <v>77</v>
      </c>
    </row>
    <row r="3171">
      <c r="A3171" s="52" t="s">
        <v>77</v>
      </c>
      <c r="B3171" s="28" t="s">
        <v>77</v>
      </c>
      <c r="C3171" s="28" t="s">
        <v>77</v>
      </c>
      <c r="D3171" s="28" t="s">
        <v>77</v>
      </c>
      <c r="E3171" s="28" t="s">
        <v>77</v>
      </c>
      <c r="F3171" s="28" t="s">
        <v>77</v>
      </c>
      <c r="G3171" s="28" t="s">
        <v>77</v>
      </c>
      <c r="I3171" s="26" t="s">
        <v>77</v>
      </c>
      <c r="J3171" s="26" t="s">
        <v>77</v>
      </c>
      <c r="K3171" s="18"/>
      <c r="L3171" s="26" t="s">
        <v>77</v>
      </c>
      <c r="M3171" s="6" t="s">
        <v>77</v>
      </c>
      <c r="N3171" s="28" t="s">
        <v>77</v>
      </c>
      <c r="O3171" s="26" t="s">
        <v>77</v>
      </c>
    </row>
    <row r="3172">
      <c r="A3172" s="52" t="s">
        <v>77</v>
      </c>
      <c r="B3172" s="28" t="s">
        <v>77</v>
      </c>
      <c r="C3172" s="28" t="s">
        <v>77</v>
      </c>
      <c r="D3172" s="28" t="s">
        <v>77</v>
      </c>
      <c r="E3172" s="28" t="s">
        <v>77</v>
      </c>
      <c r="F3172" s="28" t="s">
        <v>77</v>
      </c>
      <c r="G3172" s="28" t="s">
        <v>77</v>
      </c>
      <c r="I3172" s="26" t="s">
        <v>77</v>
      </c>
      <c r="J3172" s="26" t="s">
        <v>77</v>
      </c>
      <c r="K3172" s="18"/>
      <c r="L3172" s="26" t="s">
        <v>77</v>
      </c>
      <c r="M3172" s="6" t="s">
        <v>77</v>
      </c>
      <c r="N3172" s="28" t="s">
        <v>77</v>
      </c>
      <c r="O3172" s="26" t="s">
        <v>77</v>
      </c>
    </row>
    <row r="3173">
      <c r="A3173" s="52" t="s">
        <v>77</v>
      </c>
      <c r="B3173" s="28" t="s">
        <v>77</v>
      </c>
      <c r="C3173" s="28" t="s">
        <v>77</v>
      </c>
      <c r="D3173" s="28" t="s">
        <v>77</v>
      </c>
      <c r="E3173" s="28" t="s">
        <v>77</v>
      </c>
      <c r="F3173" s="28" t="s">
        <v>77</v>
      </c>
      <c r="G3173" s="28" t="s">
        <v>77</v>
      </c>
      <c r="I3173" s="26" t="s">
        <v>77</v>
      </c>
      <c r="J3173" s="26" t="s">
        <v>77</v>
      </c>
      <c r="K3173" s="18"/>
      <c r="L3173" s="26" t="s">
        <v>77</v>
      </c>
      <c r="M3173" s="6" t="s">
        <v>77</v>
      </c>
      <c r="N3173" s="28" t="s">
        <v>77</v>
      </c>
      <c r="O3173" s="26" t="s">
        <v>77</v>
      </c>
    </row>
    <row r="3174">
      <c r="A3174" s="52" t="s">
        <v>77</v>
      </c>
      <c r="B3174" s="28" t="s">
        <v>77</v>
      </c>
      <c r="C3174" s="28" t="s">
        <v>77</v>
      </c>
      <c r="D3174" s="28" t="s">
        <v>77</v>
      </c>
      <c r="E3174" s="28" t="s">
        <v>77</v>
      </c>
      <c r="F3174" s="28" t="s">
        <v>77</v>
      </c>
      <c r="G3174" s="28" t="s">
        <v>77</v>
      </c>
      <c r="I3174" s="26" t="s">
        <v>77</v>
      </c>
      <c r="J3174" s="26" t="s">
        <v>77</v>
      </c>
      <c r="K3174" s="18"/>
      <c r="L3174" s="26" t="s">
        <v>77</v>
      </c>
      <c r="M3174" s="6" t="s">
        <v>77</v>
      </c>
      <c r="N3174" s="28" t="s">
        <v>77</v>
      </c>
      <c r="O3174" s="26" t="s">
        <v>77</v>
      </c>
    </row>
    <row r="3175">
      <c r="A3175" s="52" t="s">
        <v>77</v>
      </c>
      <c r="B3175" s="28" t="s">
        <v>77</v>
      </c>
      <c r="C3175" s="28" t="s">
        <v>77</v>
      </c>
      <c r="D3175" s="28" t="s">
        <v>77</v>
      </c>
      <c r="E3175" s="28" t="s">
        <v>77</v>
      </c>
      <c r="F3175" s="28" t="s">
        <v>77</v>
      </c>
      <c r="G3175" s="28" t="s">
        <v>77</v>
      </c>
      <c r="I3175" s="26" t="s">
        <v>77</v>
      </c>
      <c r="J3175" s="26" t="s">
        <v>77</v>
      </c>
      <c r="K3175" s="18"/>
      <c r="L3175" s="26" t="s">
        <v>77</v>
      </c>
      <c r="M3175" s="6" t="s">
        <v>77</v>
      </c>
      <c r="N3175" s="28" t="s">
        <v>77</v>
      </c>
      <c r="O3175" s="26" t="s">
        <v>77</v>
      </c>
    </row>
    <row r="3176">
      <c r="A3176" s="52" t="s">
        <v>77</v>
      </c>
      <c r="B3176" s="28" t="s">
        <v>77</v>
      </c>
      <c r="C3176" s="28" t="s">
        <v>77</v>
      </c>
      <c r="D3176" s="28" t="s">
        <v>77</v>
      </c>
      <c r="E3176" s="28" t="s">
        <v>77</v>
      </c>
      <c r="F3176" s="28" t="s">
        <v>77</v>
      </c>
      <c r="G3176" s="28" t="s">
        <v>77</v>
      </c>
      <c r="I3176" s="26" t="s">
        <v>77</v>
      </c>
      <c r="J3176" s="26" t="s">
        <v>77</v>
      </c>
      <c r="K3176" s="18"/>
      <c r="L3176" s="26" t="s">
        <v>77</v>
      </c>
      <c r="M3176" s="6" t="s">
        <v>77</v>
      </c>
      <c r="N3176" s="28" t="s">
        <v>77</v>
      </c>
      <c r="O3176" s="26" t="s">
        <v>77</v>
      </c>
    </row>
    <row r="3177">
      <c r="A3177" s="52" t="s">
        <v>77</v>
      </c>
      <c r="B3177" s="28" t="s">
        <v>77</v>
      </c>
      <c r="C3177" s="28" t="s">
        <v>77</v>
      </c>
      <c r="D3177" s="28" t="s">
        <v>77</v>
      </c>
      <c r="E3177" s="28" t="s">
        <v>77</v>
      </c>
      <c r="F3177" s="28" t="s">
        <v>77</v>
      </c>
      <c r="G3177" s="28" t="s">
        <v>77</v>
      </c>
      <c r="I3177" s="26" t="s">
        <v>77</v>
      </c>
      <c r="J3177" s="26" t="s">
        <v>77</v>
      </c>
      <c r="K3177" s="18"/>
      <c r="L3177" s="26" t="s">
        <v>77</v>
      </c>
      <c r="M3177" s="6" t="s">
        <v>77</v>
      </c>
      <c r="N3177" s="28" t="s">
        <v>77</v>
      </c>
      <c r="O3177" s="26" t="s">
        <v>77</v>
      </c>
    </row>
    <row r="3178">
      <c r="A3178" s="52" t="s">
        <v>77</v>
      </c>
      <c r="B3178" s="28" t="s">
        <v>77</v>
      </c>
      <c r="C3178" s="28" t="s">
        <v>77</v>
      </c>
      <c r="D3178" s="28" t="s">
        <v>77</v>
      </c>
      <c r="E3178" s="28" t="s">
        <v>77</v>
      </c>
      <c r="F3178" s="28" t="s">
        <v>77</v>
      </c>
      <c r="G3178" s="28" t="s">
        <v>77</v>
      </c>
      <c r="I3178" s="26" t="s">
        <v>77</v>
      </c>
      <c r="J3178" s="26" t="s">
        <v>77</v>
      </c>
      <c r="K3178" s="18"/>
      <c r="L3178" s="26" t="s">
        <v>77</v>
      </c>
      <c r="M3178" s="6" t="s">
        <v>77</v>
      </c>
      <c r="N3178" s="28" t="s">
        <v>77</v>
      </c>
      <c r="O3178" s="26" t="s">
        <v>77</v>
      </c>
    </row>
    <row r="3179">
      <c r="A3179" s="52" t="s">
        <v>77</v>
      </c>
      <c r="B3179" s="28" t="s">
        <v>77</v>
      </c>
      <c r="C3179" s="28" t="s">
        <v>77</v>
      </c>
      <c r="D3179" s="28" t="s">
        <v>77</v>
      </c>
      <c r="E3179" s="28" t="s">
        <v>77</v>
      </c>
      <c r="F3179" s="28" t="s">
        <v>77</v>
      </c>
      <c r="G3179" s="28" t="s">
        <v>77</v>
      </c>
      <c r="I3179" s="26" t="s">
        <v>77</v>
      </c>
      <c r="J3179" s="26" t="s">
        <v>77</v>
      </c>
      <c r="K3179" s="18"/>
      <c r="L3179" s="26" t="s">
        <v>77</v>
      </c>
      <c r="M3179" s="6" t="s">
        <v>77</v>
      </c>
      <c r="N3179" s="28" t="s">
        <v>77</v>
      </c>
      <c r="O3179" s="26" t="s">
        <v>77</v>
      </c>
    </row>
    <row r="3180">
      <c r="A3180" s="52" t="s">
        <v>77</v>
      </c>
      <c r="B3180" s="28" t="s">
        <v>77</v>
      </c>
      <c r="C3180" s="28" t="s">
        <v>77</v>
      </c>
      <c r="D3180" s="28" t="s">
        <v>77</v>
      </c>
      <c r="E3180" s="28" t="s">
        <v>77</v>
      </c>
      <c r="F3180" s="28" t="s">
        <v>77</v>
      </c>
      <c r="G3180" s="28" t="s">
        <v>77</v>
      </c>
      <c r="I3180" s="26" t="s">
        <v>77</v>
      </c>
      <c r="J3180" s="26" t="s">
        <v>77</v>
      </c>
      <c r="K3180" s="18"/>
      <c r="L3180" s="26" t="s">
        <v>77</v>
      </c>
      <c r="M3180" s="6" t="s">
        <v>77</v>
      </c>
      <c r="N3180" s="28" t="s">
        <v>77</v>
      </c>
      <c r="O3180" s="26" t="s">
        <v>77</v>
      </c>
    </row>
    <row r="3181">
      <c r="A3181" s="52" t="s">
        <v>77</v>
      </c>
      <c r="B3181" s="28" t="s">
        <v>77</v>
      </c>
      <c r="C3181" s="28" t="s">
        <v>77</v>
      </c>
      <c r="D3181" s="28" t="s">
        <v>77</v>
      </c>
      <c r="E3181" s="28" t="s">
        <v>77</v>
      </c>
      <c r="F3181" s="28" t="s">
        <v>77</v>
      </c>
      <c r="G3181" s="28" t="s">
        <v>77</v>
      </c>
      <c r="I3181" s="26" t="s">
        <v>77</v>
      </c>
      <c r="J3181" s="26" t="s">
        <v>77</v>
      </c>
      <c r="K3181" s="18"/>
      <c r="L3181" s="26" t="s">
        <v>77</v>
      </c>
      <c r="M3181" s="6" t="s">
        <v>77</v>
      </c>
      <c r="N3181" s="28" t="s">
        <v>77</v>
      </c>
      <c r="O3181" s="26" t="s">
        <v>77</v>
      </c>
    </row>
    <row r="3182">
      <c r="A3182" s="52" t="s">
        <v>77</v>
      </c>
      <c r="B3182" s="28" t="s">
        <v>77</v>
      </c>
      <c r="C3182" s="28" t="s">
        <v>77</v>
      </c>
      <c r="D3182" s="28" t="s">
        <v>77</v>
      </c>
      <c r="E3182" s="28" t="s">
        <v>77</v>
      </c>
      <c r="F3182" s="28" t="s">
        <v>77</v>
      </c>
      <c r="G3182" s="28" t="s">
        <v>77</v>
      </c>
      <c r="I3182" s="26" t="s">
        <v>77</v>
      </c>
      <c r="J3182" s="26" t="s">
        <v>77</v>
      </c>
      <c r="K3182" s="18"/>
      <c r="L3182" s="26" t="s">
        <v>77</v>
      </c>
      <c r="M3182" s="6" t="s">
        <v>77</v>
      </c>
      <c r="N3182" s="28" t="s">
        <v>77</v>
      </c>
      <c r="O3182" s="26" t="s">
        <v>77</v>
      </c>
    </row>
    <row r="3183">
      <c r="A3183" s="52" t="s">
        <v>77</v>
      </c>
      <c r="B3183" s="28" t="s">
        <v>77</v>
      </c>
      <c r="C3183" s="28" t="s">
        <v>77</v>
      </c>
      <c r="D3183" s="28" t="s">
        <v>77</v>
      </c>
      <c r="E3183" s="28" t="s">
        <v>77</v>
      </c>
      <c r="F3183" s="28" t="s">
        <v>77</v>
      </c>
      <c r="G3183" s="28" t="s">
        <v>77</v>
      </c>
      <c r="I3183" s="26" t="s">
        <v>77</v>
      </c>
      <c r="J3183" s="26" t="s">
        <v>77</v>
      </c>
      <c r="K3183" s="18"/>
      <c r="L3183" s="26" t="s">
        <v>77</v>
      </c>
      <c r="M3183" s="6" t="s">
        <v>77</v>
      </c>
      <c r="N3183" s="28" t="s">
        <v>77</v>
      </c>
      <c r="O3183" s="26" t="s">
        <v>77</v>
      </c>
    </row>
    <row r="3184">
      <c r="A3184" s="52" t="s">
        <v>77</v>
      </c>
      <c r="B3184" s="28" t="s">
        <v>77</v>
      </c>
      <c r="C3184" s="28" t="s">
        <v>77</v>
      </c>
      <c r="D3184" s="28" t="s">
        <v>77</v>
      </c>
      <c r="E3184" s="28" t="s">
        <v>77</v>
      </c>
      <c r="F3184" s="28" t="s">
        <v>77</v>
      </c>
      <c r="G3184" s="28" t="s">
        <v>77</v>
      </c>
      <c r="I3184" s="26" t="s">
        <v>77</v>
      </c>
      <c r="J3184" s="26" t="s">
        <v>77</v>
      </c>
      <c r="K3184" s="18"/>
      <c r="L3184" s="26" t="s">
        <v>77</v>
      </c>
      <c r="M3184" s="6" t="s">
        <v>77</v>
      </c>
      <c r="N3184" s="28" t="s">
        <v>77</v>
      </c>
      <c r="O3184" s="26" t="s">
        <v>77</v>
      </c>
    </row>
    <row r="3185">
      <c r="A3185" s="52" t="s">
        <v>77</v>
      </c>
      <c r="B3185" s="28" t="s">
        <v>77</v>
      </c>
      <c r="C3185" s="28" t="s">
        <v>77</v>
      </c>
      <c r="D3185" s="28" t="s">
        <v>77</v>
      </c>
      <c r="E3185" s="28" t="s">
        <v>77</v>
      </c>
      <c r="F3185" s="28" t="s">
        <v>77</v>
      </c>
      <c r="G3185" s="28" t="s">
        <v>77</v>
      </c>
      <c r="I3185" s="26" t="s">
        <v>77</v>
      </c>
      <c r="J3185" s="26" t="s">
        <v>77</v>
      </c>
      <c r="K3185" s="18"/>
      <c r="L3185" s="26" t="s">
        <v>77</v>
      </c>
      <c r="M3185" s="6" t="s">
        <v>77</v>
      </c>
      <c r="N3185" s="28" t="s">
        <v>77</v>
      </c>
      <c r="O3185" s="26" t="s">
        <v>77</v>
      </c>
    </row>
    <row r="3186">
      <c r="A3186" s="52" t="s">
        <v>77</v>
      </c>
      <c r="B3186" s="28" t="s">
        <v>77</v>
      </c>
      <c r="C3186" s="28" t="s">
        <v>77</v>
      </c>
      <c r="D3186" s="28" t="s">
        <v>77</v>
      </c>
      <c r="E3186" s="28" t="s">
        <v>77</v>
      </c>
      <c r="F3186" s="28" t="s">
        <v>77</v>
      </c>
      <c r="G3186" s="28" t="s">
        <v>77</v>
      </c>
      <c r="I3186" s="26" t="s">
        <v>77</v>
      </c>
      <c r="J3186" s="26" t="s">
        <v>77</v>
      </c>
      <c r="K3186" s="18"/>
      <c r="L3186" s="26" t="s">
        <v>77</v>
      </c>
      <c r="M3186" s="6" t="s">
        <v>77</v>
      </c>
      <c r="N3186" s="28" t="s">
        <v>77</v>
      </c>
      <c r="O3186" s="26" t="s">
        <v>77</v>
      </c>
    </row>
    <row r="3187">
      <c r="A3187" s="52" t="s">
        <v>77</v>
      </c>
      <c r="B3187" s="28" t="s">
        <v>77</v>
      </c>
      <c r="C3187" s="28" t="s">
        <v>77</v>
      </c>
      <c r="D3187" s="28" t="s">
        <v>77</v>
      </c>
      <c r="E3187" s="28" t="s">
        <v>77</v>
      </c>
      <c r="F3187" s="28" t="s">
        <v>77</v>
      </c>
      <c r="G3187" s="28" t="s">
        <v>77</v>
      </c>
      <c r="I3187" s="26" t="s">
        <v>77</v>
      </c>
      <c r="J3187" s="26" t="s">
        <v>77</v>
      </c>
      <c r="K3187" s="18"/>
      <c r="L3187" s="26" t="s">
        <v>77</v>
      </c>
      <c r="M3187" s="6" t="s">
        <v>77</v>
      </c>
      <c r="N3187" s="28" t="s">
        <v>77</v>
      </c>
      <c r="O3187" s="26" t="s">
        <v>77</v>
      </c>
    </row>
    <row r="3188">
      <c r="A3188" s="52" t="s">
        <v>77</v>
      </c>
      <c r="B3188" s="28" t="s">
        <v>77</v>
      </c>
      <c r="C3188" s="28" t="s">
        <v>77</v>
      </c>
      <c r="D3188" s="28" t="s">
        <v>77</v>
      </c>
      <c r="E3188" s="28" t="s">
        <v>77</v>
      </c>
      <c r="F3188" s="28" t="s">
        <v>77</v>
      </c>
      <c r="G3188" s="28" t="s">
        <v>77</v>
      </c>
      <c r="I3188" s="26" t="s">
        <v>77</v>
      </c>
      <c r="J3188" s="26" t="s">
        <v>77</v>
      </c>
      <c r="K3188" s="18"/>
      <c r="L3188" s="26" t="s">
        <v>77</v>
      </c>
      <c r="M3188" s="6" t="s">
        <v>77</v>
      </c>
      <c r="N3188" s="28" t="s">
        <v>77</v>
      </c>
      <c r="O3188" s="26" t="s">
        <v>77</v>
      </c>
    </row>
    <row r="3189">
      <c r="A3189" s="52" t="s">
        <v>77</v>
      </c>
      <c r="B3189" s="28" t="s">
        <v>77</v>
      </c>
      <c r="C3189" s="28" t="s">
        <v>77</v>
      </c>
      <c r="D3189" s="28" t="s">
        <v>77</v>
      </c>
      <c r="E3189" s="28" t="s">
        <v>77</v>
      </c>
      <c r="F3189" s="28" t="s">
        <v>77</v>
      </c>
      <c r="G3189" s="28" t="s">
        <v>77</v>
      </c>
      <c r="I3189" s="26" t="s">
        <v>77</v>
      </c>
      <c r="J3189" s="26" t="s">
        <v>77</v>
      </c>
      <c r="K3189" s="18"/>
      <c r="L3189" s="26" t="s">
        <v>77</v>
      </c>
      <c r="M3189" s="6" t="s">
        <v>77</v>
      </c>
      <c r="N3189" s="28" t="s">
        <v>77</v>
      </c>
      <c r="O3189" s="26" t="s">
        <v>77</v>
      </c>
    </row>
    <row r="3190">
      <c r="A3190" s="52" t="s">
        <v>77</v>
      </c>
      <c r="B3190" s="28" t="s">
        <v>77</v>
      </c>
      <c r="C3190" s="28" t="s">
        <v>77</v>
      </c>
      <c r="D3190" s="28" t="s">
        <v>77</v>
      </c>
      <c r="E3190" s="28" t="s">
        <v>77</v>
      </c>
      <c r="F3190" s="28" t="s">
        <v>77</v>
      </c>
      <c r="G3190" s="28" t="s">
        <v>77</v>
      </c>
      <c r="I3190" s="26" t="s">
        <v>77</v>
      </c>
      <c r="J3190" s="26" t="s">
        <v>77</v>
      </c>
      <c r="K3190" s="18"/>
      <c r="L3190" s="26" t="s">
        <v>77</v>
      </c>
      <c r="M3190" s="6" t="s">
        <v>77</v>
      </c>
      <c r="N3190" s="28" t="s">
        <v>77</v>
      </c>
      <c r="O3190" s="26" t="s">
        <v>77</v>
      </c>
    </row>
    <row r="3191">
      <c r="A3191" s="52" t="s">
        <v>77</v>
      </c>
      <c r="B3191" s="28" t="s">
        <v>77</v>
      </c>
      <c r="C3191" s="28" t="s">
        <v>77</v>
      </c>
      <c r="D3191" s="28" t="s">
        <v>77</v>
      </c>
      <c r="E3191" s="28" t="s">
        <v>77</v>
      </c>
      <c r="F3191" s="28" t="s">
        <v>77</v>
      </c>
      <c r="G3191" s="28" t="s">
        <v>77</v>
      </c>
      <c r="I3191" s="26" t="s">
        <v>77</v>
      </c>
      <c r="J3191" s="26" t="s">
        <v>77</v>
      </c>
      <c r="K3191" s="18"/>
      <c r="L3191" s="26" t="s">
        <v>77</v>
      </c>
      <c r="M3191" s="6" t="s">
        <v>77</v>
      </c>
      <c r="N3191" s="28" t="s">
        <v>77</v>
      </c>
      <c r="O3191" s="26" t="s">
        <v>77</v>
      </c>
    </row>
    <row r="3192">
      <c r="A3192" s="52" t="s">
        <v>77</v>
      </c>
      <c r="B3192" s="28" t="s">
        <v>77</v>
      </c>
      <c r="C3192" s="28" t="s">
        <v>77</v>
      </c>
      <c r="D3192" s="28" t="s">
        <v>77</v>
      </c>
      <c r="E3192" s="28" t="s">
        <v>77</v>
      </c>
      <c r="F3192" s="28" t="s">
        <v>77</v>
      </c>
      <c r="G3192" s="28" t="s">
        <v>77</v>
      </c>
      <c r="I3192" s="26" t="s">
        <v>77</v>
      </c>
      <c r="J3192" s="26" t="s">
        <v>77</v>
      </c>
      <c r="K3192" s="18"/>
      <c r="L3192" s="26" t="s">
        <v>77</v>
      </c>
      <c r="M3192" s="6" t="s">
        <v>77</v>
      </c>
      <c r="N3192" s="28" t="s">
        <v>77</v>
      </c>
      <c r="O3192" s="26" t="s">
        <v>77</v>
      </c>
    </row>
    <row r="3193">
      <c r="A3193" s="52" t="s">
        <v>77</v>
      </c>
      <c r="B3193" s="28" t="s">
        <v>77</v>
      </c>
      <c r="C3193" s="28" t="s">
        <v>77</v>
      </c>
      <c r="D3193" s="28" t="s">
        <v>77</v>
      </c>
      <c r="E3193" s="28" t="s">
        <v>77</v>
      </c>
      <c r="F3193" s="28" t="s">
        <v>77</v>
      </c>
      <c r="G3193" s="28" t="s">
        <v>77</v>
      </c>
      <c r="I3193" s="26" t="s">
        <v>77</v>
      </c>
      <c r="J3193" s="26" t="s">
        <v>77</v>
      </c>
      <c r="K3193" s="18"/>
      <c r="L3193" s="26" t="s">
        <v>77</v>
      </c>
      <c r="M3193" s="6" t="s">
        <v>77</v>
      </c>
      <c r="N3193" s="28" t="s">
        <v>77</v>
      </c>
      <c r="O3193" s="26" t="s">
        <v>77</v>
      </c>
    </row>
    <row r="3194">
      <c r="A3194" s="52" t="s">
        <v>77</v>
      </c>
      <c r="B3194" s="28" t="s">
        <v>77</v>
      </c>
      <c r="C3194" s="28" t="s">
        <v>77</v>
      </c>
      <c r="D3194" s="28" t="s">
        <v>77</v>
      </c>
      <c r="E3194" s="28" t="s">
        <v>77</v>
      </c>
      <c r="F3194" s="28" t="s">
        <v>77</v>
      </c>
      <c r="G3194" s="28" t="s">
        <v>77</v>
      </c>
      <c r="I3194" s="26" t="s">
        <v>77</v>
      </c>
      <c r="J3194" s="26" t="s">
        <v>77</v>
      </c>
      <c r="K3194" s="18"/>
      <c r="L3194" s="26" t="s">
        <v>77</v>
      </c>
      <c r="M3194" s="6" t="s">
        <v>77</v>
      </c>
      <c r="N3194" s="28" t="s">
        <v>77</v>
      </c>
      <c r="O3194" s="26" t="s">
        <v>77</v>
      </c>
    </row>
    <row r="3195">
      <c r="A3195" s="52" t="s">
        <v>77</v>
      </c>
      <c r="B3195" s="28" t="s">
        <v>77</v>
      </c>
      <c r="C3195" s="28" t="s">
        <v>77</v>
      </c>
      <c r="D3195" s="28" t="s">
        <v>77</v>
      </c>
      <c r="E3195" s="28" t="s">
        <v>77</v>
      </c>
      <c r="F3195" s="28" t="s">
        <v>77</v>
      </c>
      <c r="G3195" s="28" t="s">
        <v>77</v>
      </c>
      <c r="I3195" s="26" t="s">
        <v>77</v>
      </c>
      <c r="J3195" s="26" t="s">
        <v>77</v>
      </c>
      <c r="K3195" s="18"/>
      <c r="L3195" s="26" t="s">
        <v>77</v>
      </c>
      <c r="M3195" s="6" t="s">
        <v>77</v>
      </c>
      <c r="N3195" s="28" t="s">
        <v>77</v>
      </c>
      <c r="O3195" s="26" t="s">
        <v>77</v>
      </c>
    </row>
    <row r="3196">
      <c r="A3196" s="52" t="s">
        <v>77</v>
      </c>
      <c r="B3196" s="28" t="s">
        <v>77</v>
      </c>
      <c r="C3196" s="28" t="s">
        <v>77</v>
      </c>
      <c r="D3196" s="28" t="s">
        <v>77</v>
      </c>
      <c r="E3196" s="28" t="s">
        <v>77</v>
      </c>
      <c r="F3196" s="28" t="s">
        <v>77</v>
      </c>
      <c r="G3196" s="28" t="s">
        <v>77</v>
      </c>
      <c r="I3196" s="26" t="s">
        <v>77</v>
      </c>
      <c r="J3196" s="26" t="s">
        <v>77</v>
      </c>
      <c r="K3196" s="18"/>
      <c r="L3196" s="26" t="s">
        <v>77</v>
      </c>
      <c r="M3196" s="6" t="s">
        <v>77</v>
      </c>
      <c r="N3196" s="28" t="s">
        <v>77</v>
      </c>
      <c r="O3196" s="26" t="s">
        <v>77</v>
      </c>
    </row>
    <row r="3197">
      <c r="A3197" s="52" t="s">
        <v>77</v>
      </c>
      <c r="B3197" s="28" t="s">
        <v>77</v>
      </c>
      <c r="C3197" s="28" t="s">
        <v>77</v>
      </c>
      <c r="D3197" s="28" t="s">
        <v>77</v>
      </c>
      <c r="E3197" s="28" t="s">
        <v>77</v>
      </c>
      <c r="F3197" s="28" t="s">
        <v>77</v>
      </c>
      <c r="G3197" s="28" t="s">
        <v>77</v>
      </c>
      <c r="I3197" s="26" t="s">
        <v>77</v>
      </c>
      <c r="J3197" s="26" t="s">
        <v>77</v>
      </c>
      <c r="K3197" s="18"/>
      <c r="L3197" s="26" t="s">
        <v>77</v>
      </c>
      <c r="M3197" s="6" t="s">
        <v>77</v>
      </c>
      <c r="N3197" s="28" t="s">
        <v>77</v>
      </c>
      <c r="O3197" s="26" t="s">
        <v>77</v>
      </c>
    </row>
    <row r="3198">
      <c r="A3198" s="52" t="s">
        <v>77</v>
      </c>
      <c r="B3198" s="28" t="s">
        <v>77</v>
      </c>
      <c r="C3198" s="28" t="s">
        <v>77</v>
      </c>
      <c r="D3198" s="28" t="s">
        <v>77</v>
      </c>
      <c r="E3198" s="28" t="s">
        <v>77</v>
      </c>
      <c r="F3198" s="28" t="s">
        <v>77</v>
      </c>
      <c r="G3198" s="28" t="s">
        <v>77</v>
      </c>
      <c r="I3198" s="26" t="s">
        <v>77</v>
      </c>
      <c r="J3198" s="26" t="s">
        <v>77</v>
      </c>
      <c r="K3198" s="18"/>
      <c r="L3198" s="26" t="s">
        <v>77</v>
      </c>
      <c r="M3198" s="6" t="s">
        <v>77</v>
      </c>
      <c r="N3198" s="28" t="s">
        <v>77</v>
      </c>
      <c r="O3198" s="26" t="s">
        <v>77</v>
      </c>
    </row>
    <row r="3199">
      <c r="A3199" s="52" t="s">
        <v>77</v>
      </c>
      <c r="B3199" s="28" t="s">
        <v>77</v>
      </c>
      <c r="C3199" s="28" t="s">
        <v>77</v>
      </c>
      <c r="D3199" s="28" t="s">
        <v>77</v>
      </c>
      <c r="E3199" s="28" t="s">
        <v>77</v>
      </c>
      <c r="F3199" s="28" t="s">
        <v>77</v>
      </c>
      <c r="G3199" s="28" t="s">
        <v>77</v>
      </c>
      <c r="I3199" s="26" t="s">
        <v>77</v>
      </c>
      <c r="J3199" s="26" t="s">
        <v>77</v>
      </c>
      <c r="K3199" s="18"/>
      <c r="L3199" s="26" t="s">
        <v>77</v>
      </c>
      <c r="M3199" s="6" t="s">
        <v>77</v>
      </c>
      <c r="N3199" s="28" t="s">
        <v>77</v>
      </c>
      <c r="O3199" s="26" t="s">
        <v>77</v>
      </c>
    </row>
    <row r="3200">
      <c r="A3200" s="52" t="s">
        <v>77</v>
      </c>
      <c r="B3200" s="28" t="s">
        <v>77</v>
      </c>
      <c r="C3200" s="28" t="s">
        <v>77</v>
      </c>
      <c r="D3200" s="28" t="s">
        <v>77</v>
      </c>
      <c r="E3200" s="28" t="s">
        <v>77</v>
      </c>
      <c r="F3200" s="28" t="s">
        <v>77</v>
      </c>
      <c r="G3200" s="28" t="s">
        <v>77</v>
      </c>
      <c r="I3200" s="26" t="s">
        <v>77</v>
      </c>
      <c r="J3200" s="26" t="s">
        <v>77</v>
      </c>
      <c r="K3200" s="18"/>
      <c r="L3200" s="26" t="s">
        <v>77</v>
      </c>
      <c r="M3200" s="6" t="s">
        <v>77</v>
      </c>
      <c r="N3200" s="28" t="s">
        <v>77</v>
      </c>
      <c r="O3200" s="26" t="s">
        <v>77</v>
      </c>
    </row>
    <row r="3201">
      <c r="A3201" s="52" t="s">
        <v>77</v>
      </c>
      <c r="B3201" s="28" t="s">
        <v>77</v>
      </c>
      <c r="C3201" s="28" t="s">
        <v>77</v>
      </c>
      <c r="D3201" s="28" t="s">
        <v>77</v>
      </c>
      <c r="E3201" s="28" t="s">
        <v>77</v>
      </c>
      <c r="F3201" s="28" t="s">
        <v>77</v>
      </c>
      <c r="G3201" s="28" t="s">
        <v>77</v>
      </c>
      <c r="I3201" s="26" t="s">
        <v>77</v>
      </c>
      <c r="J3201" s="26" t="s">
        <v>77</v>
      </c>
      <c r="K3201" s="18"/>
      <c r="L3201" s="26" t="s">
        <v>77</v>
      </c>
      <c r="M3201" s="6" t="s">
        <v>77</v>
      </c>
      <c r="N3201" s="28" t="s">
        <v>77</v>
      </c>
      <c r="O3201" s="26" t="s">
        <v>77</v>
      </c>
    </row>
    <row r="3202">
      <c r="A3202" s="52" t="s">
        <v>77</v>
      </c>
      <c r="B3202" s="28" t="s">
        <v>77</v>
      </c>
      <c r="C3202" s="28" t="s">
        <v>77</v>
      </c>
      <c r="D3202" s="28" t="s">
        <v>77</v>
      </c>
      <c r="E3202" s="28" t="s">
        <v>77</v>
      </c>
      <c r="F3202" s="28" t="s">
        <v>77</v>
      </c>
      <c r="G3202" s="28" t="s">
        <v>77</v>
      </c>
      <c r="I3202" s="26" t="s">
        <v>77</v>
      </c>
      <c r="J3202" s="26" t="s">
        <v>77</v>
      </c>
      <c r="K3202" s="18"/>
      <c r="L3202" s="26" t="s">
        <v>77</v>
      </c>
      <c r="M3202" s="6" t="s">
        <v>77</v>
      </c>
      <c r="N3202" s="28" t="s">
        <v>77</v>
      </c>
      <c r="O3202" s="26" t="s">
        <v>77</v>
      </c>
    </row>
    <row r="3203">
      <c r="A3203" s="52" t="s">
        <v>77</v>
      </c>
      <c r="B3203" s="28" t="s">
        <v>77</v>
      </c>
      <c r="C3203" s="28" t="s">
        <v>77</v>
      </c>
      <c r="D3203" s="28" t="s">
        <v>77</v>
      </c>
      <c r="E3203" s="28" t="s">
        <v>77</v>
      </c>
      <c r="F3203" s="28" t="s">
        <v>77</v>
      </c>
      <c r="G3203" s="28" t="s">
        <v>77</v>
      </c>
      <c r="I3203" s="26" t="s">
        <v>77</v>
      </c>
      <c r="J3203" s="26" t="s">
        <v>77</v>
      </c>
      <c r="K3203" s="18"/>
      <c r="L3203" s="26" t="s">
        <v>77</v>
      </c>
      <c r="M3203" s="6" t="s">
        <v>77</v>
      </c>
      <c r="N3203" s="28" t="s">
        <v>77</v>
      </c>
      <c r="O3203" s="26" t="s">
        <v>77</v>
      </c>
    </row>
    <row r="3204">
      <c r="A3204" s="52" t="s">
        <v>77</v>
      </c>
      <c r="B3204" s="28" t="s">
        <v>77</v>
      </c>
      <c r="C3204" s="28" t="s">
        <v>77</v>
      </c>
      <c r="D3204" s="28" t="s">
        <v>77</v>
      </c>
      <c r="E3204" s="28" t="s">
        <v>77</v>
      </c>
      <c r="F3204" s="28" t="s">
        <v>77</v>
      </c>
      <c r="G3204" s="28" t="s">
        <v>77</v>
      </c>
      <c r="I3204" s="26" t="s">
        <v>77</v>
      </c>
      <c r="J3204" s="26" t="s">
        <v>77</v>
      </c>
      <c r="K3204" s="18"/>
      <c r="L3204" s="26" t="s">
        <v>77</v>
      </c>
      <c r="M3204" s="6" t="s">
        <v>77</v>
      </c>
      <c r="N3204" s="28" t="s">
        <v>77</v>
      </c>
      <c r="O3204" s="26" t="s">
        <v>77</v>
      </c>
    </row>
    <row r="3205">
      <c r="A3205" s="52" t="s">
        <v>77</v>
      </c>
      <c r="B3205" s="28" t="s">
        <v>77</v>
      </c>
      <c r="C3205" s="28" t="s">
        <v>77</v>
      </c>
      <c r="D3205" s="28" t="s">
        <v>77</v>
      </c>
      <c r="E3205" s="28" t="s">
        <v>77</v>
      </c>
      <c r="F3205" s="28" t="s">
        <v>77</v>
      </c>
      <c r="G3205" s="28" t="s">
        <v>77</v>
      </c>
      <c r="I3205" s="26" t="s">
        <v>77</v>
      </c>
      <c r="J3205" s="26" t="s">
        <v>77</v>
      </c>
      <c r="K3205" s="18"/>
      <c r="L3205" s="26" t="s">
        <v>77</v>
      </c>
      <c r="M3205" s="6" t="s">
        <v>77</v>
      </c>
      <c r="N3205" s="28" t="s">
        <v>77</v>
      </c>
      <c r="O3205" s="26" t="s">
        <v>77</v>
      </c>
    </row>
    <row r="3206">
      <c r="A3206" s="52" t="s">
        <v>77</v>
      </c>
      <c r="B3206" s="28" t="s">
        <v>77</v>
      </c>
      <c r="C3206" s="28" t="s">
        <v>77</v>
      </c>
      <c r="D3206" s="28" t="s">
        <v>77</v>
      </c>
      <c r="E3206" s="28" t="s">
        <v>77</v>
      </c>
      <c r="F3206" s="28" t="s">
        <v>77</v>
      </c>
      <c r="G3206" s="28" t="s">
        <v>77</v>
      </c>
      <c r="I3206" s="26" t="s">
        <v>77</v>
      </c>
      <c r="J3206" s="26" t="s">
        <v>77</v>
      </c>
      <c r="K3206" s="18"/>
      <c r="L3206" s="26" t="s">
        <v>77</v>
      </c>
      <c r="M3206" s="6" t="s">
        <v>77</v>
      </c>
      <c r="N3206" s="28" t="s">
        <v>77</v>
      </c>
      <c r="O3206" s="26" t="s">
        <v>77</v>
      </c>
    </row>
    <row r="3207">
      <c r="A3207" s="52" t="s">
        <v>77</v>
      </c>
      <c r="B3207" s="28" t="s">
        <v>77</v>
      </c>
      <c r="C3207" s="28" t="s">
        <v>77</v>
      </c>
      <c r="D3207" s="28" t="s">
        <v>77</v>
      </c>
      <c r="E3207" s="28" t="s">
        <v>77</v>
      </c>
      <c r="F3207" s="28" t="s">
        <v>77</v>
      </c>
      <c r="G3207" s="28" t="s">
        <v>77</v>
      </c>
      <c r="I3207" s="26" t="s">
        <v>77</v>
      </c>
      <c r="J3207" s="26" t="s">
        <v>77</v>
      </c>
      <c r="K3207" s="18"/>
      <c r="L3207" s="26" t="s">
        <v>77</v>
      </c>
      <c r="M3207" s="6" t="s">
        <v>77</v>
      </c>
      <c r="N3207" s="28" t="s">
        <v>77</v>
      </c>
      <c r="O3207" s="26" t="s">
        <v>77</v>
      </c>
    </row>
    <row r="3208">
      <c r="A3208" s="52" t="s">
        <v>77</v>
      </c>
      <c r="B3208" s="28" t="s">
        <v>77</v>
      </c>
      <c r="C3208" s="28" t="s">
        <v>77</v>
      </c>
      <c r="D3208" s="28" t="s">
        <v>77</v>
      </c>
      <c r="E3208" s="28" t="s">
        <v>77</v>
      </c>
      <c r="F3208" s="28" t="s">
        <v>77</v>
      </c>
      <c r="G3208" s="28" t="s">
        <v>77</v>
      </c>
      <c r="I3208" s="26" t="s">
        <v>77</v>
      </c>
      <c r="J3208" s="26" t="s">
        <v>77</v>
      </c>
      <c r="K3208" s="18"/>
      <c r="L3208" s="26" t="s">
        <v>77</v>
      </c>
      <c r="M3208" s="6" t="s">
        <v>77</v>
      </c>
      <c r="N3208" s="28" t="s">
        <v>77</v>
      </c>
      <c r="O3208" s="26" t="s">
        <v>77</v>
      </c>
    </row>
    <row r="3209">
      <c r="A3209" s="52" t="s">
        <v>77</v>
      </c>
      <c r="B3209" s="28" t="s">
        <v>77</v>
      </c>
      <c r="C3209" s="28" t="s">
        <v>77</v>
      </c>
      <c r="D3209" s="28" t="s">
        <v>77</v>
      </c>
      <c r="E3209" s="28" t="s">
        <v>77</v>
      </c>
      <c r="F3209" s="28" t="s">
        <v>77</v>
      </c>
      <c r="G3209" s="28" t="s">
        <v>77</v>
      </c>
      <c r="I3209" s="26" t="s">
        <v>77</v>
      </c>
      <c r="J3209" s="26" t="s">
        <v>77</v>
      </c>
      <c r="K3209" s="18"/>
      <c r="L3209" s="26" t="s">
        <v>77</v>
      </c>
      <c r="M3209" s="6" t="s">
        <v>77</v>
      </c>
      <c r="N3209" s="28" t="s">
        <v>77</v>
      </c>
      <c r="O3209" s="26" t="s">
        <v>77</v>
      </c>
    </row>
    <row r="3210">
      <c r="A3210" s="52" t="s">
        <v>77</v>
      </c>
      <c r="B3210" s="28" t="s">
        <v>77</v>
      </c>
      <c r="C3210" s="28" t="s">
        <v>77</v>
      </c>
      <c r="D3210" s="28" t="s">
        <v>77</v>
      </c>
      <c r="E3210" s="28" t="s">
        <v>77</v>
      </c>
      <c r="F3210" s="28" t="s">
        <v>77</v>
      </c>
      <c r="G3210" s="28" t="s">
        <v>77</v>
      </c>
      <c r="I3210" s="26" t="s">
        <v>77</v>
      </c>
      <c r="J3210" s="26" t="s">
        <v>77</v>
      </c>
      <c r="K3210" s="18"/>
      <c r="L3210" s="26" t="s">
        <v>77</v>
      </c>
      <c r="M3210" s="6" t="s">
        <v>77</v>
      </c>
      <c r="N3210" s="28" t="s">
        <v>77</v>
      </c>
      <c r="O3210" s="26" t="s">
        <v>77</v>
      </c>
    </row>
    <row r="3211">
      <c r="A3211" s="52" t="s">
        <v>77</v>
      </c>
      <c r="B3211" s="28" t="s">
        <v>77</v>
      </c>
      <c r="C3211" s="28" t="s">
        <v>77</v>
      </c>
      <c r="D3211" s="28" t="s">
        <v>77</v>
      </c>
      <c r="E3211" s="28" t="s">
        <v>77</v>
      </c>
      <c r="F3211" s="28" t="s">
        <v>77</v>
      </c>
      <c r="G3211" s="28" t="s">
        <v>77</v>
      </c>
      <c r="I3211" s="26" t="s">
        <v>77</v>
      </c>
      <c r="J3211" s="26" t="s">
        <v>77</v>
      </c>
      <c r="K3211" s="18"/>
      <c r="L3211" s="26" t="s">
        <v>77</v>
      </c>
      <c r="M3211" s="6" t="s">
        <v>77</v>
      </c>
      <c r="N3211" s="28" t="s">
        <v>77</v>
      </c>
      <c r="O3211" s="26" t="s">
        <v>77</v>
      </c>
    </row>
    <row r="3212">
      <c r="A3212" s="52" t="s">
        <v>77</v>
      </c>
      <c r="B3212" s="28" t="s">
        <v>77</v>
      </c>
      <c r="C3212" s="28" t="s">
        <v>77</v>
      </c>
      <c r="D3212" s="28" t="s">
        <v>77</v>
      </c>
      <c r="E3212" s="28" t="s">
        <v>77</v>
      </c>
      <c r="F3212" s="28" t="s">
        <v>77</v>
      </c>
      <c r="G3212" s="28" t="s">
        <v>77</v>
      </c>
      <c r="I3212" s="26" t="s">
        <v>77</v>
      </c>
      <c r="J3212" s="26" t="s">
        <v>77</v>
      </c>
      <c r="K3212" s="18"/>
      <c r="L3212" s="26" t="s">
        <v>77</v>
      </c>
      <c r="M3212" s="6" t="s">
        <v>77</v>
      </c>
      <c r="N3212" s="28" t="s">
        <v>77</v>
      </c>
      <c r="O3212" s="26" t="s">
        <v>77</v>
      </c>
    </row>
    <row r="3213">
      <c r="A3213" s="52" t="s">
        <v>77</v>
      </c>
      <c r="B3213" s="28" t="s">
        <v>77</v>
      </c>
      <c r="C3213" s="28" t="s">
        <v>77</v>
      </c>
      <c r="D3213" s="28" t="s">
        <v>77</v>
      </c>
      <c r="E3213" s="28" t="s">
        <v>77</v>
      </c>
      <c r="F3213" s="28" t="s">
        <v>77</v>
      </c>
      <c r="G3213" s="28" t="s">
        <v>77</v>
      </c>
      <c r="I3213" s="26" t="s">
        <v>77</v>
      </c>
      <c r="J3213" s="26" t="s">
        <v>77</v>
      </c>
      <c r="K3213" s="18"/>
      <c r="L3213" s="26" t="s">
        <v>77</v>
      </c>
      <c r="M3213" s="6" t="s">
        <v>77</v>
      </c>
      <c r="N3213" s="28" t="s">
        <v>77</v>
      </c>
      <c r="O3213" s="26" t="s">
        <v>77</v>
      </c>
    </row>
    <row r="3214">
      <c r="A3214" s="52" t="s">
        <v>77</v>
      </c>
      <c r="B3214" s="28" t="s">
        <v>77</v>
      </c>
      <c r="C3214" s="28" t="s">
        <v>77</v>
      </c>
      <c r="D3214" s="28" t="s">
        <v>77</v>
      </c>
      <c r="E3214" s="28" t="s">
        <v>77</v>
      </c>
      <c r="F3214" s="28" t="s">
        <v>77</v>
      </c>
      <c r="G3214" s="28" t="s">
        <v>77</v>
      </c>
      <c r="I3214" s="26" t="s">
        <v>77</v>
      </c>
      <c r="J3214" s="26" t="s">
        <v>77</v>
      </c>
      <c r="K3214" s="18"/>
      <c r="L3214" s="26" t="s">
        <v>77</v>
      </c>
      <c r="M3214" s="6" t="s">
        <v>77</v>
      </c>
      <c r="N3214" s="28" t="s">
        <v>77</v>
      </c>
      <c r="O3214" s="26" t="s">
        <v>77</v>
      </c>
    </row>
    <row r="3215">
      <c r="A3215" s="52" t="s">
        <v>77</v>
      </c>
      <c r="B3215" s="28" t="s">
        <v>77</v>
      </c>
      <c r="C3215" s="28" t="s">
        <v>77</v>
      </c>
      <c r="D3215" s="28" t="s">
        <v>77</v>
      </c>
      <c r="E3215" s="28" t="s">
        <v>77</v>
      </c>
      <c r="F3215" s="28" t="s">
        <v>77</v>
      </c>
      <c r="G3215" s="28" t="s">
        <v>77</v>
      </c>
      <c r="I3215" s="26" t="s">
        <v>77</v>
      </c>
      <c r="J3215" s="26" t="s">
        <v>77</v>
      </c>
      <c r="K3215" s="18"/>
      <c r="L3215" s="26" t="s">
        <v>77</v>
      </c>
      <c r="M3215" s="6" t="s">
        <v>77</v>
      </c>
      <c r="N3215" s="28" t="s">
        <v>77</v>
      </c>
      <c r="O3215" s="26" t="s">
        <v>77</v>
      </c>
    </row>
    <row r="3216">
      <c r="A3216" s="52" t="s">
        <v>77</v>
      </c>
      <c r="B3216" s="28" t="s">
        <v>77</v>
      </c>
      <c r="C3216" s="28" t="s">
        <v>77</v>
      </c>
      <c r="D3216" s="28" t="s">
        <v>77</v>
      </c>
      <c r="E3216" s="28" t="s">
        <v>77</v>
      </c>
      <c r="F3216" s="28" t="s">
        <v>77</v>
      </c>
      <c r="G3216" s="28" t="s">
        <v>77</v>
      </c>
      <c r="I3216" s="26" t="s">
        <v>77</v>
      </c>
      <c r="J3216" s="26" t="s">
        <v>77</v>
      </c>
      <c r="K3216" s="18"/>
      <c r="L3216" s="26" t="s">
        <v>77</v>
      </c>
      <c r="M3216" s="6" t="s">
        <v>77</v>
      </c>
      <c r="N3216" s="28" t="s">
        <v>77</v>
      </c>
      <c r="O3216" s="26" t="s">
        <v>77</v>
      </c>
    </row>
    <row r="3217">
      <c r="A3217" s="52" t="s">
        <v>77</v>
      </c>
      <c r="B3217" s="28" t="s">
        <v>77</v>
      </c>
      <c r="C3217" s="28" t="s">
        <v>77</v>
      </c>
      <c r="D3217" s="28" t="s">
        <v>77</v>
      </c>
      <c r="E3217" s="28" t="s">
        <v>77</v>
      </c>
      <c r="F3217" s="28" t="s">
        <v>77</v>
      </c>
      <c r="G3217" s="28" t="s">
        <v>77</v>
      </c>
      <c r="I3217" s="26" t="s">
        <v>77</v>
      </c>
      <c r="J3217" s="26" t="s">
        <v>77</v>
      </c>
      <c r="K3217" s="18"/>
      <c r="L3217" s="26" t="s">
        <v>77</v>
      </c>
      <c r="M3217" s="6" t="s">
        <v>77</v>
      </c>
      <c r="N3217" s="28" t="s">
        <v>77</v>
      </c>
      <c r="O3217" s="26" t="s">
        <v>77</v>
      </c>
    </row>
    <row r="3218">
      <c r="A3218" s="52" t="s">
        <v>77</v>
      </c>
      <c r="B3218" s="28" t="s">
        <v>77</v>
      </c>
      <c r="C3218" s="28" t="s">
        <v>77</v>
      </c>
      <c r="D3218" s="28" t="s">
        <v>77</v>
      </c>
      <c r="E3218" s="28" t="s">
        <v>77</v>
      </c>
      <c r="F3218" s="28" t="s">
        <v>77</v>
      </c>
      <c r="G3218" s="28" t="s">
        <v>77</v>
      </c>
      <c r="I3218" s="26" t="s">
        <v>77</v>
      </c>
      <c r="J3218" s="26" t="s">
        <v>77</v>
      </c>
      <c r="K3218" s="18"/>
      <c r="L3218" s="26" t="s">
        <v>77</v>
      </c>
      <c r="M3218" s="6" t="s">
        <v>77</v>
      </c>
      <c r="N3218" s="28" t="s">
        <v>77</v>
      </c>
      <c r="O3218" s="26" t="s">
        <v>77</v>
      </c>
    </row>
    <row r="3219">
      <c r="A3219" s="52" t="s">
        <v>77</v>
      </c>
      <c r="B3219" s="28" t="s">
        <v>77</v>
      </c>
      <c r="C3219" s="28" t="s">
        <v>77</v>
      </c>
      <c r="D3219" s="28" t="s">
        <v>77</v>
      </c>
      <c r="E3219" s="28" t="s">
        <v>77</v>
      </c>
      <c r="F3219" s="28" t="s">
        <v>77</v>
      </c>
      <c r="G3219" s="28" t="s">
        <v>77</v>
      </c>
      <c r="I3219" s="26" t="s">
        <v>77</v>
      </c>
      <c r="J3219" s="26" t="s">
        <v>77</v>
      </c>
      <c r="K3219" s="18"/>
      <c r="L3219" s="26" t="s">
        <v>77</v>
      </c>
      <c r="M3219" s="6" t="s">
        <v>77</v>
      </c>
      <c r="N3219" s="28" t="s">
        <v>77</v>
      </c>
      <c r="O3219" s="26" t="s">
        <v>77</v>
      </c>
    </row>
    <row r="3220">
      <c r="A3220" s="52" t="s">
        <v>77</v>
      </c>
      <c r="B3220" s="28" t="s">
        <v>77</v>
      </c>
      <c r="C3220" s="28" t="s">
        <v>77</v>
      </c>
      <c r="D3220" s="28" t="s">
        <v>77</v>
      </c>
      <c r="E3220" s="28" t="s">
        <v>77</v>
      </c>
      <c r="F3220" s="28" t="s">
        <v>77</v>
      </c>
      <c r="G3220" s="28" t="s">
        <v>77</v>
      </c>
      <c r="I3220" s="26" t="s">
        <v>77</v>
      </c>
      <c r="J3220" s="26" t="s">
        <v>77</v>
      </c>
      <c r="K3220" s="18"/>
      <c r="L3220" s="26" t="s">
        <v>77</v>
      </c>
      <c r="M3220" s="6" t="s">
        <v>77</v>
      </c>
      <c r="N3220" s="28" t="s">
        <v>77</v>
      </c>
      <c r="O3220" s="26" t="s">
        <v>77</v>
      </c>
    </row>
    <row r="3221">
      <c r="A3221" s="52" t="s">
        <v>77</v>
      </c>
      <c r="B3221" s="28" t="s">
        <v>77</v>
      </c>
      <c r="C3221" s="28" t="s">
        <v>77</v>
      </c>
      <c r="D3221" s="28" t="s">
        <v>77</v>
      </c>
      <c r="E3221" s="28" t="s">
        <v>77</v>
      </c>
      <c r="F3221" s="28" t="s">
        <v>77</v>
      </c>
      <c r="G3221" s="28" t="s">
        <v>77</v>
      </c>
      <c r="I3221" s="26" t="s">
        <v>77</v>
      </c>
      <c r="J3221" s="26" t="s">
        <v>77</v>
      </c>
      <c r="K3221" s="18"/>
      <c r="L3221" s="26" t="s">
        <v>77</v>
      </c>
      <c r="M3221" s="6" t="s">
        <v>77</v>
      </c>
      <c r="N3221" s="28" t="s">
        <v>77</v>
      </c>
      <c r="O3221" s="26" t="s">
        <v>77</v>
      </c>
    </row>
    <row r="3222">
      <c r="A3222" s="52" t="s">
        <v>77</v>
      </c>
      <c r="B3222" s="28" t="s">
        <v>77</v>
      </c>
      <c r="C3222" s="28" t="s">
        <v>77</v>
      </c>
      <c r="D3222" s="28" t="s">
        <v>77</v>
      </c>
      <c r="E3222" s="28" t="s">
        <v>77</v>
      </c>
      <c r="F3222" s="28" t="s">
        <v>77</v>
      </c>
      <c r="G3222" s="28" t="s">
        <v>77</v>
      </c>
      <c r="I3222" s="26" t="s">
        <v>77</v>
      </c>
      <c r="J3222" s="26" t="s">
        <v>77</v>
      </c>
      <c r="K3222" s="18"/>
      <c r="L3222" s="26" t="s">
        <v>77</v>
      </c>
      <c r="M3222" s="6" t="s">
        <v>77</v>
      </c>
      <c r="N3222" s="28" t="s">
        <v>77</v>
      </c>
      <c r="O3222" s="26" t="s">
        <v>77</v>
      </c>
    </row>
    <row r="3223">
      <c r="A3223" s="52" t="s">
        <v>77</v>
      </c>
      <c r="B3223" s="28" t="s">
        <v>77</v>
      </c>
      <c r="C3223" s="28" t="s">
        <v>77</v>
      </c>
      <c r="D3223" s="28" t="s">
        <v>77</v>
      </c>
      <c r="E3223" s="28" t="s">
        <v>77</v>
      </c>
      <c r="F3223" s="28" t="s">
        <v>77</v>
      </c>
      <c r="G3223" s="28" t="s">
        <v>77</v>
      </c>
      <c r="I3223" s="26" t="s">
        <v>77</v>
      </c>
      <c r="J3223" s="26" t="s">
        <v>77</v>
      </c>
      <c r="K3223" s="18"/>
      <c r="L3223" s="26" t="s">
        <v>77</v>
      </c>
      <c r="M3223" s="6" t="s">
        <v>77</v>
      </c>
      <c r="N3223" s="28" t="s">
        <v>77</v>
      </c>
      <c r="O3223" s="26" t="s">
        <v>77</v>
      </c>
    </row>
    <row r="3224">
      <c r="A3224" s="52" t="s">
        <v>77</v>
      </c>
      <c r="B3224" s="28" t="s">
        <v>77</v>
      </c>
      <c r="C3224" s="28" t="s">
        <v>77</v>
      </c>
      <c r="D3224" s="28" t="s">
        <v>77</v>
      </c>
      <c r="E3224" s="28" t="s">
        <v>77</v>
      </c>
      <c r="F3224" s="28" t="s">
        <v>77</v>
      </c>
      <c r="G3224" s="28" t="s">
        <v>77</v>
      </c>
      <c r="I3224" s="26" t="s">
        <v>77</v>
      </c>
      <c r="J3224" s="26" t="s">
        <v>77</v>
      </c>
      <c r="K3224" s="18"/>
      <c r="L3224" s="26" t="s">
        <v>77</v>
      </c>
      <c r="M3224" s="6" t="s">
        <v>77</v>
      </c>
      <c r="N3224" s="28" t="s">
        <v>77</v>
      </c>
      <c r="O3224" s="26" t="s">
        <v>77</v>
      </c>
    </row>
    <row r="3225">
      <c r="A3225" s="52" t="s">
        <v>77</v>
      </c>
      <c r="B3225" s="28" t="s">
        <v>77</v>
      </c>
      <c r="C3225" s="28" t="s">
        <v>77</v>
      </c>
      <c r="D3225" s="28" t="s">
        <v>77</v>
      </c>
      <c r="E3225" s="28" t="s">
        <v>77</v>
      </c>
      <c r="F3225" s="28" t="s">
        <v>77</v>
      </c>
      <c r="G3225" s="28" t="s">
        <v>77</v>
      </c>
      <c r="I3225" s="26" t="s">
        <v>77</v>
      </c>
      <c r="J3225" s="26" t="s">
        <v>77</v>
      </c>
      <c r="K3225" s="18"/>
      <c r="L3225" s="26" t="s">
        <v>77</v>
      </c>
      <c r="M3225" s="6" t="s">
        <v>77</v>
      </c>
      <c r="N3225" s="28" t="s">
        <v>77</v>
      </c>
      <c r="O3225" s="26" t="s">
        <v>77</v>
      </c>
    </row>
    <row r="3226">
      <c r="A3226" s="52" t="s">
        <v>77</v>
      </c>
      <c r="B3226" s="28" t="s">
        <v>77</v>
      </c>
      <c r="C3226" s="28" t="s">
        <v>77</v>
      </c>
      <c r="D3226" s="28" t="s">
        <v>77</v>
      </c>
      <c r="E3226" s="28" t="s">
        <v>77</v>
      </c>
      <c r="F3226" s="28" t="s">
        <v>77</v>
      </c>
      <c r="G3226" s="28" t="s">
        <v>77</v>
      </c>
      <c r="I3226" s="26" t="s">
        <v>77</v>
      </c>
      <c r="J3226" s="26" t="s">
        <v>77</v>
      </c>
      <c r="K3226" s="18"/>
      <c r="L3226" s="26" t="s">
        <v>77</v>
      </c>
      <c r="M3226" s="6" t="s">
        <v>77</v>
      </c>
      <c r="N3226" s="28" t="s">
        <v>77</v>
      </c>
      <c r="O3226" s="26" t="s">
        <v>77</v>
      </c>
    </row>
    <row r="3227">
      <c r="A3227" s="52" t="s">
        <v>77</v>
      </c>
      <c r="B3227" s="28" t="s">
        <v>77</v>
      </c>
      <c r="C3227" s="28" t="s">
        <v>77</v>
      </c>
      <c r="D3227" s="28" t="s">
        <v>77</v>
      </c>
      <c r="E3227" s="28" t="s">
        <v>77</v>
      </c>
      <c r="F3227" s="28" t="s">
        <v>77</v>
      </c>
      <c r="G3227" s="28" t="s">
        <v>77</v>
      </c>
      <c r="I3227" s="26" t="s">
        <v>77</v>
      </c>
      <c r="J3227" s="26" t="s">
        <v>77</v>
      </c>
      <c r="K3227" s="18"/>
      <c r="L3227" s="26" t="s">
        <v>77</v>
      </c>
      <c r="M3227" s="6" t="s">
        <v>77</v>
      </c>
      <c r="N3227" s="28" t="s">
        <v>77</v>
      </c>
      <c r="O3227" s="26" t="s">
        <v>77</v>
      </c>
    </row>
    <row r="3228">
      <c r="A3228" s="52" t="s">
        <v>77</v>
      </c>
      <c r="B3228" s="28" t="s">
        <v>77</v>
      </c>
      <c r="C3228" s="28" t="s">
        <v>77</v>
      </c>
      <c r="D3228" s="28" t="s">
        <v>77</v>
      </c>
      <c r="E3228" s="28" t="s">
        <v>77</v>
      </c>
      <c r="F3228" s="28" t="s">
        <v>77</v>
      </c>
      <c r="G3228" s="28" t="s">
        <v>77</v>
      </c>
      <c r="I3228" s="26" t="s">
        <v>77</v>
      </c>
      <c r="J3228" s="26" t="s">
        <v>77</v>
      </c>
      <c r="K3228" s="18"/>
      <c r="L3228" s="26" t="s">
        <v>77</v>
      </c>
      <c r="M3228" s="6" t="s">
        <v>77</v>
      </c>
      <c r="N3228" s="28" t="s">
        <v>77</v>
      </c>
      <c r="O3228" s="26" t="s">
        <v>77</v>
      </c>
    </row>
    <row r="3229">
      <c r="A3229" s="52" t="s">
        <v>77</v>
      </c>
      <c r="B3229" s="28" t="s">
        <v>77</v>
      </c>
      <c r="C3229" s="28" t="s">
        <v>77</v>
      </c>
      <c r="D3229" s="28" t="s">
        <v>77</v>
      </c>
      <c r="E3229" s="28" t="s">
        <v>77</v>
      </c>
      <c r="F3229" s="28" t="s">
        <v>77</v>
      </c>
      <c r="G3229" s="28" t="s">
        <v>77</v>
      </c>
      <c r="I3229" s="26" t="s">
        <v>77</v>
      </c>
      <c r="J3229" s="26" t="s">
        <v>77</v>
      </c>
      <c r="K3229" s="18"/>
      <c r="L3229" s="26" t="s">
        <v>77</v>
      </c>
      <c r="M3229" s="6" t="s">
        <v>77</v>
      </c>
      <c r="N3229" s="28" t="s">
        <v>77</v>
      </c>
      <c r="O3229" s="26" t="s">
        <v>77</v>
      </c>
    </row>
    <row r="3230">
      <c r="A3230" s="52" t="s">
        <v>77</v>
      </c>
      <c r="B3230" s="28" t="s">
        <v>77</v>
      </c>
      <c r="C3230" s="28" t="s">
        <v>77</v>
      </c>
      <c r="D3230" s="28" t="s">
        <v>77</v>
      </c>
      <c r="E3230" s="28" t="s">
        <v>77</v>
      </c>
      <c r="F3230" s="28" t="s">
        <v>77</v>
      </c>
      <c r="G3230" s="28" t="s">
        <v>77</v>
      </c>
      <c r="I3230" s="26" t="s">
        <v>77</v>
      </c>
      <c r="J3230" s="26" t="s">
        <v>77</v>
      </c>
      <c r="K3230" s="18"/>
      <c r="L3230" s="26" t="s">
        <v>77</v>
      </c>
      <c r="M3230" s="6" t="s">
        <v>77</v>
      </c>
      <c r="N3230" s="28" t="s">
        <v>77</v>
      </c>
      <c r="O3230" s="26" t="s">
        <v>77</v>
      </c>
    </row>
    <row r="3231">
      <c r="A3231" s="52" t="s">
        <v>77</v>
      </c>
      <c r="B3231" s="28" t="s">
        <v>77</v>
      </c>
      <c r="C3231" s="28" t="s">
        <v>77</v>
      </c>
      <c r="D3231" s="28" t="s">
        <v>77</v>
      </c>
      <c r="E3231" s="28" t="s">
        <v>77</v>
      </c>
      <c r="F3231" s="28" t="s">
        <v>77</v>
      </c>
      <c r="G3231" s="28" t="s">
        <v>77</v>
      </c>
      <c r="I3231" s="26" t="s">
        <v>77</v>
      </c>
      <c r="J3231" s="26" t="s">
        <v>77</v>
      </c>
      <c r="K3231" s="18"/>
      <c r="L3231" s="26" t="s">
        <v>77</v>
      </c>
      <c r="M3231" s="6" t="s">
        <v>77</v>
      </c>
      <c r="N3231" s="28" t="s">
        <v>77</v>
      </c>
      <c r="O3231" s="26" t="s">
        <v>77</v>
      </c>
    </row>
    <row r="3232">
      <c r="A3232" s="52" t="s">
        <v>77</v>
      </c>
      <c r="B3232" s="28" t="s">
        <v>77</v>
      </c>
      <c r="C3232" s="28" t="s">
        <v>77</v>
      </c>
      <c r="D3232" s="28" t="s">
        <v>77</v>
      </c>
      <c r="E3232" s="28" t="s">
        <v>77</v>
      </c>
      <c r="F3232" s="28" t="s">
        <v>77</v>
      </c>
      <c r="G3232" s="28" t="s">
        <v>77</v>
      </c>
      <c r="I3232" s="26" t="s">
        <v>77</v>
      </c>
      <c r="J3232" s="26" t="s">
        <v>77</v>
      </c>
      <c r="K3232" s="18"/>
      <c r="L3232" s="26" t="s">
        <v>77</v>
      </c>
      <c r="M3232" s="6" t="s">
        <v>77</v>
      </c>
      <c r="N3232" s="28" t="s">
        <v>77</v>
      </c>
      <c r="O3232" s="26" t="s">
        <v>77</v>
      </c>
    </row>
    <row r="3233">
      <c r="A3233" s="52" t="s">
        <v>77</v>
      </c>
      <c r="B3233" s="28" t="s">
        <v>77</v>
      </c>
      <c r="C3233" s="28" t="s">
        <v>77</v>
      </c>
      <c r="D3233" s="28" t="s">
        <v>77</v>
      </c>
      <c r="E3233" s="28" t="s">
        <v>77</v>
      </c>
      <c r="F3233" s="28" t="s">
        <v>77</v>
      </c>
      <c r="G3233" s="28" t="s">
        <v>77</v>
      </c>
      <c r="I3233" s="26" t="s">
        <v>77</v>
      </c>
      <c r="J3233" s="26" t="s">
        <v>77</v>
      </c>
      <c r="K3233" s="18"/>
      <c r="L3233" s="26" t="s">
        <v>77</v>
      </c>
      <c r="M3233" s="6" t="s">
        <v>77</v>
      </c>
      <c r="N3233" s="28" t="s">
        <v>77</v>
      </c>
      <c r="O3233" s="26" t="s">
        <v>77</v>
      </c>
    </row>
    <row r="3234">
      <c r="A3234" s="52" t="s">
        <v>77</v>
      </c>
      <c r="B3234" s="28" t="s">
        <v>77</v>
      </c>
      <c r="C3234" s="28" t="s">
        <v>77</v>
      </c>
      <c r="D3234" s="28" t="s">
        <v>77</v>
      </c>
      <c r="E3234" s="28" t="s">
        <v>77</v>
      </c>
      <c r="F3234" s="28" t="s">
        <v>77</v>
      </c>
      <c r="G3234" s="28" t="s">
        <v>77</v>
      </c>
      <c r="I3234" s="26" t="s">
        <v>77</v>
      </c>
      <c r="J3234" s="26" t="s">
        <v>77</v>
      </c>
      <c r="K3234" s="18"/>
      <c r="L3234" s="26" t="s">
        <v>77</v>
      </c>
      <c r="M3234" s="6" t="s">
        <v>77</v>
      </c>
      <c r="N3234" s="28" t="s">
        <v>77</v>
      </c>
      <c r="O3234" s="26" t="s">
        <v>77</v>
      </c>
    </row>
    <row r="3235">
      <c r="A3235" s="52" t="s">
        <v>77</v>
      </c>
      <c r="B3235" s="28" t="s">
        <v>77</v>
      </c>
      <c r="C3235" s="28" t="s">
        <v>77</v>
      </c>
      <c r="D3235" s="28" t="s">
        <v>77</v>
      </c>
      <c r="E3235" s="28" t="s">
        <v>77</v>
      </c>
      <c r="F3235" s="28" t="s">
        <v>77</v>
      </c>
      <c r="G3235" s="28" t="s">
        <v>77</v>
      </c>
      <c r="I3235" s="26" t="s">
        <v>77</v>
      </c>
      <c r="J3235" s="26" t="s">
        <v>77</v>
      </c>
      <c r="K3235" s="18"/>
      <c r="L3235" s="26" t="s">
        <v>77</v>
      </c>
      <c r="M3235" s="6" t="s">
        <v>77</v>
      </c>
      <c r="N3235" s="28" t="s">
        <v>77</v>
      </c>
      <c r="O3235" s="26" t="s">
        <v>77</v>
      </c>
    </row>
    <row r="3236">
      <c r="A3236" s="52" t="s">
        <v>77</v>
      </c>
      <c r="B3236" s="28" t="s">
        <v>77</v>
      </c>
      <c r="C3236" s="28" t="s">
        <v>77</v>
      </c>
      <c r="D3236" s="28" t="s">
        <v>77</v>
      </c>
      <c r="E3236" s="28" t="s">
        <v>77</v>
      </c>
      <c r="F3236" s="28" t="s">
        <v>77</v>
      </c>
      <c r="G3236" s="28" t="s">
        <v>77</v>
      </c>
      <c r="I3236" s="26" t="s">
        <v>77</v>
      </c>
      <c r="J3236" s="26" t="s">
        <v>77</v>
      </c>
      <c r="K3236" s="18"/>
      <c r="L3236" s="26" t="s">
        <v>77</v>
      </c>
      <c r="M3236" s="6" t="s">
        <v>77</v>
      </c>
      <c r="N3236" s="28" t="s">
        <v>77</v>
      </c>
      <c r="O3236" s="26" t="s">
        <v>77</v>
      </c>
    </row>
    <row r="3237">
      <c r="A3237" s="52" t="s">
        <v>77</v>
      </c>
      <c r="B3237" s="28" t="s">
        <v>77</v>
      </c>
      <c r="C3237" s="28" t="s">
        <v>77</v>
      </c>
      <c r="D3237" s="28" t="s">
        <v>77</v>
      </c>
      <c r="E3237" s="28" t="s">
        <v>77</v>
      </c>
      <c r="F3237" s="28" t="s">
        <v>77</v>
      </c>
      <c r="G3237" s="28" t="s">
        <v>77</v>
      </c>
      <c r="I3237" s="26" t="s">
        <v>77</v>
      </c>
      <c r="J3237" s="26" t="s">
        <v>77</v>
      </c>
      <c r="K3237" s="18"/>
      <c r="L3237" s="26" t="s">
        <v>77</v>
      </c>
      <c r="M3237" s="6" t="s">
        <v>77</v>
      </c>
      <c r="N3237" s="28" t="s">
        <v>77</v>
      </c>
      <c r="O3237" s="26" t="s">
        <v>77</v>
      </c>
    </row>
    <row r="3238">
      <c r="A3238" s="52" t="s">
        <v>77</v>
      </c>
      <c r="B3238" s="28" t="s">
        <v>77</v>
      </c>
      <c r="C3238" s="28" t="s">
        <v>77</v>
      </c>
      <c r="D3238" s="28" t="s">
        <v>77</v>
      </c>
      <c r="E3238" s="28" t="s">
        <v>77</v>
      </c>
      <c r="F3238" s="28" t="s">
        <v>77</v>
      </c>
      <c r="G3238" s="28" t="s">
        <v>77</v>
      </c>
      <c r="I3238" s="26" t="s">
        <v>77</v>
      </c>
      <c r="J3238" s="26" t="s">
        <v>77</v>
      </c>
      <c r="K3238" s="18"/>
      <c r="L3238" s="26" t="s">
        <v>77</v>
      </c>
      <c r="M3238" s="6" t="s">
        <v>77</v>
      </c>
      <c r="N3238" s="28" t="s">
        <v>77</v>
      </c>
      <c r="O3238" s="26" t="s">
        <v>77</v>
      </c>
    </row>
    <row r="3239">
      <c r="A3239" s="52" t="s">
        <v>77</v>
      </c>
      <c r="B3239" s="28" t="s">
        <v>77</v>
      </c>
      <c r="C3239" s="28" t="s">
        <v>77</v>
      </c>
      <c r="D3239" s="28" t="s">
        <v>77</v>
      </c>
      <c r="E3239" s="28" t="s">
        <v>77</v>
      </c>
      <c r="F3239" s="28" t="s">
        <v>77</v>
      </c>
      <c r="G3239" s="28" t="s">
        <v>77</v>
      </c>
      <c r="I3239" s="26" t="s">
        <v>77</v>
      </c>
      <c r="J3239" s="26" t="s">
        <v>77</v>
      </c>
      <c r="K3239" s="18"/>
      <c r="L3239" s="26" t="s">
        <v>77</v>
      </c>
      <c r="M3239" s="6" t="s">
        <v>77</v>
      </c>
      <c r="N3239" s="28" t="s">
        <v>77</v>
      </c>
      <c r="O3239" s="26" t="s">
        <v>77</v>
      </c>
    </row>
    <row r="3240">
      <c r="A3240" s="52" t="s">
        <v>77</v>
      </c>
      <c r="B3240" s="28" t="s">
        <v>77</v>
      </c>
      <c r="C3240" s="28" t="s">
        <v>77</v>
      </c>
      <c r="D3240" s="28" t="s">
        <v>77</v>
      </c>
      <c r="E3240" s="28" t="s">
        <v>77</v>
      </c>
      <c r="F3240" s="28" t="s">
        <v>77</v>
      </c>
      <c r="G3240" s="28" t="s">
        <v>77</v>
      </c>
      <c r="I3240" s="26" t="s">
        <v>77</v>
      </c>
      <c r="J3240" s="26" t="s">
        <v>77</v>
      </c>
      <c r="K3240" s="18"/>
      <c r="L3240" s="26" t="s">
        <v>77</v>
      </c>
      <c r="M3240" s="6" t="s">
        <v>77</v>
      </c>
      <c r="N3240" s="28" t="s">
        <v>77</v>
      </c>
      <c r="O3240" s="26" t="s">
        <v>77</v>
      </c>
    </row>
    <row r="3241">
      <c r="A3241" s="52" t="s">
        <v>77</v>
      </c>
      <c r="B3241" s="28" t="s">
        <v>77</v>
      </c>
      <c r="C3241" s="28" t="s">
        <v>77</v>
      </c>
      <c r="D3241" s="28" t="s">
        <v>77</v>
      </c>
      <c r="E3241" s="28" t="s">
        <v>77</v>
      </c>
      <c r="F3241" s="28" t="s">
        <v>77</v>
      </c>
      <c r="G3241" s="28" t="s">
        <v>77</v>
      </c>
      <c r="I3241" s="26" t="s">
        <v>77</v>
      </c>
      <c r="J3241" s="26" t="s">
        <v>77</v>
      </c>
      <c r="K3241" s="18"/>
      <c r="L3241" s="26" t="s">
        <v>77</v>
      </c>
      <c r="M3241" s="6" t="s">
        <v>77</v>
      </c>
      <c r="N3241" s="28" t="s">
        <v>77</v>
      </c>
      <c r="O3241" s="26" t="s">
        <v>77</v>
      </c>
    </row>
    <row r="3242">
      <c r="A3242" s="52" t="s">
        <v>77</v>
      </c>
      <c r="B3242" s="28" t="s">
        <v>77</v>
      </c>
      <c r="C3242" s="28" t="s">
        <v>77</v>
      </c>
      <c r="D3242" s="28" t="s">
        <v>77</v>
      </c>
      <c r="E3242" s="28" t="s">
        <v>77</v>
      </c>
      <c r="F3242" s="28" t="s">
        <v>77</v>
      </c>
      <c r="G3242" s="28" t="s">
        <v>77</v>
      </c>
      <c r="I3242" s="26" t="s">
        <v>77</v>
      </c>
      <c r="J3242" s="26" t="s">
        <v>77</v>
      </c>
      <c r="K3242" s="18"/>
      <c r="L3242" s="26" t="s">
        <v>77</v>
      </c>
      <c r="M3242" s="6" t="s">
        <v>77</v>
      </c>
      <c r="N3242" s="28" t="s">
        <v>77</v>
      </c>
      <c r="O3242" s="26" t="s">
        <v>77</v>
      </c>
    </row>
    <row r="3243">
      <c r="A3243" s="52" t="s">
        <v>77</v>
      </c>
      <c r="B3243" s="28" t="s">
        <v>77</v>
      </c>
      <c r="C3243" s="28" t="s">
        <v>77</v>
      </c>
      <c r="D3243" s="28" t="s">
        <v>77</v>
      </c>
      <c r="E3243" s="28" t="s">
        <v>77</v>
      </c>
      <c r="F3243" s="28" t="s">
        <v>77</v>
      </c>
      <c r="G3243" s="28" t="s">
        <v>77</v>
      </c>
      <c r="I3243" s="26" t="s">
        <v>77</v>
      </c>
      <c r="J3243" s="26" t="s">
        <v>77</v>
      </c>
      <c r="K3243" s="18"/>
      <c r="L3243" s="26" t="s">
        <v>77</v>
      </c>
      <c r="M3243" s="6" t="s">
        <v>77</v>
      </c>
      <c r="N3243" s="28" t="s">
        <v>77</v>
      </c>
      <c r="O3243" s="26" t="s">
        <v>77</v>
      </c>
    </row>
    <row r="3244">
      <c r="A3244" s="52" t="s">
        <v>77</v>
      </c>
      <c r="B3244" s="28" t="s">
        <v>77</v>
      </c>
      <c r="C3244" s="28" t="s">
        <v>77</v>
      </c>
      <c r="D3244" s="28" t="s">
        <v>77</v>
      </c>
      <c r="E3244" s="28" t="s">
        <v>77</v>
      </c>
      <c r="F3244" s="28" t="s">
        <v>77</v>
      </c>
      <c r="G3244" s="28" t="s">
        <v>77</v>
      </c>
      <c r="I3244" s="26" t="s">
        <v>77</v>
      </c>
      <c r="J3244" s="26" t="s">
        <v>77</v>
      </c>
      <c r="K3244" s="18"/>
      <c r="L3244" s="26" t="s">
        <v>77</v>
      </c>
      <c r="M3244" s="6" t="s">
        <v>77</v>
      </c>
      <c r="N3244" s="28" t="s">
        <v>77</v>
      </c>
      <c r="O3244" s="26" t="s">
        <v>77</v>
      </c>
    </row>
    <row r="3245">
      <c r="A3245" s="52" t="s">
        <v>77</v>
      </c>
      <c r="B3245" s="28" t="s">
        <v>77</v>
      </c>
      <c r="C3245" s="28" t="s">
        <v>77</v>
      </c>
      <c r="D3245" s="28" t="s">
        <v>77</v>
      </c>
      <c r="E3245" s="28" t="s">
        <v>77</v>
      </c>
      <c r="F3245" s="28" t="s">
        <v>77</v>
      </c>
      <c r="G3245" s="28" t="s">
        <v>77</v>
      </c>
      <c r="I3245" s="26" t="s">
        <v>77</v>
      </c>
      <c r="J3245" s="26" t="s">
        <v>77</v>
      </c>
      <c r="K3245" s="18"/>
      <c r="L3245" s="26" t="s">
        <v>77</v>
      </c>
      <c r="M3245" s="6" t="s">
        <v>77</v>
      </c>
      <c r="N3245" s="28" t="s">
        <v>77</v>
      </c>
      <c r="O3245" s="26" t="s">
        <v>77</v>
      </c>
    </row>
    <row r="3246">
      <c r="A3246" s="52" t="s">
        <v>77</v>
      </c>
      <c r="B3246" s="28" t="s">
        <v>77</v>
      </c>
      <c r="C3246" s="28" t="s">
        <v>77</v>
      </c>
      <c r="D3246" s="28" t="s">
        <v>77</v>
      </c>
      <c r="E3246" s="28" t="s">
        <v>77</v>
      </c>
      <c r="F3246" s="28" t="s">
        <v>77</v>
      </c>
      <c r="G3246" s="28" t="s">
        <v>77</v>
      </c>
      <c r="I3246" s="26" t="s">
        <v>77</v>
      </c>
      <c r="J3246" s="26" t="s">
        <v>77</v>
      </c>
      <c r="K3246" s="18"/>
      <c r="L3246" s="26" t="s">
        <v>77</v>
      </c>
      <c r="M3246" s="6" t="s">
        <v>77</v>
      </c>
      <c r="N3246" s="28" t="s">
        <v>77</v>
      </c>
      <c r="O3246" s="26" t="s">
        <v>77</v>
      </c>
    </row>
    <row r="3247">
      <c r="A3247" s="52" t="s">
        <v>77</v>
      </c>
      <c r="B3247" s="28" t="s">
        <v>77</v>
      </c>
      <c r="C3247" s="28" t="s">
        <v>77</v>
      </c>
      <c r="D3247" s="28" t="s">
        <v>77</v>
      </c>
      <c r="E3247" s="28" t="s">
        <v>77</v>
      </c>
      <c r="F3247" s="28" t="s">
        <v>77</v>
      </c>
      <c r="G3247" s="28" t="s">
        <v>77</v>
      </c>
      <c r="I3247" s="26" t="s">
        <v>77</v>
      </c>
      <c r="J3247" s="26" t="s">
        <v>77</v>
      </c>
      <c r="K3247" s="18"/>
      <c r="L3247" s="26" t="s">
        <v>77</v>
      </c>
      <c r="M3247" s="6" t="s">
        <v>77</v>
      </c>
      <c r="N3247" s="28" t="s">
        <v>77</v>
      </c>
      <c r="O3247" s="26" t="s">
        <v>77</v>
      </c>
    </row>
    <row r="3248">
      <c r="A3248" s="52" t="s">
        <v>77</v>
      </c>
      <c r="B3248" s="28" t="s">
        <v>77</v>
      </c>
      <c r="C3248" s="28" t="s">
        <v>77</v>
      </c>
      <c r="D3248" s="28" t="s">
        <v>77</v>
      </c>
      <c r="E3248" s="28" t="s">
        <v>77</v>
      </c>
      <c r="F3248" s="28" t="s">
        <v>77</v>
      </c>
      <c r="G3248" s="28" t="s">
        <v>77</v>
      </c>
      <c r="I3248" s="26" t="s">
        <v>77</v>
      </c>
      <c r="J3248" s="26" t="s">
        <v>77</v>
      </c>
      <c r="K3248" s="18"/>
      <c r="L3248" s="26" t="s">
        <v>77</v>
      </c>
      <c r="M3248" s="6" t="s">
        <v>77</v>
      </c>
      <c r="N3248" s="28" t="s">
        <v>77</v>
      </c>
      <c r="O3248" s="26" t="s">
        <v>77</v>
      </c>
    </row>
    <row r="3249">
      <c r="A3249" s="52" t="s">
        <v>77</v>
      </c>
      <c r="B3249" s="28" t="s">
        <v>77</v>
      </c>
      <c r="C3249" s="28" t="s">
        <v>77</v>
      </c>
      <c r="D3249" s="28" t="s">
        <v>77</v>
      </c>
      <c r="E3249" s="28" t="s">
        <v>77</v>
      </c>
      <c r="F3249" s="28" t="s">
        <v>77</v>
      </c>
      <c r="G3249" s="28" t="s">
        <v>77</v>
      </c>
      <c r="I3249" s="26" t="s">
        <v>77</v>
      </c>
      <c r="J3249" s="26" t="s">
        <v>77</v>
      </c>
      <c r="K3249" s="18"/>
      <c r="L3249" s="26" t="s">
        <v>77</v>
      </c>
      <c r="M3249" s="6" t="s">
        <v>77</v>
      </c>
      <c r="N3249" s="28" t="s">
        <v>77</v>
      </c>
      <c r="O3249" s="26" t="s">
        <v>77</v>
      </c>
    </row>
    <row r="3250">
      <c r="A3250" s="52" t="s">
        <v>77</v>
      </c>
      <c r="B3250" s="28" t="s">
        <v>77</v>
      </c>
      <c r="C3250" s="28" t="s">
        <v>77</v>
      </c>
      <c r="D3250" s="28" t="s">
        <v>77</v>
      </c>
      <c r="E3250" s="28" t="s">
        <v>77</v>
      </c>
      <c r="F3250" s="28" t="s">
        <v>77</v>
      </c>
      <c r="G3250" s="28" t="s">
        <v>77</v>
      </c>
      <c r="I3250" s="26" t="s">
        <v>77</v>
      </c>
      <c r="J3250" s="26" t="s">
        <v>77</v>
      </c>
      <c r="K3250" s="18"/>
      <c r="L3250" s="26" t="s">
        <v>77</v>
      </c>
      <c r="M3250" s="6" t="s">
        <v>77</v>
      </c>
      <c r="N3250" s="28" t="s">
        <v>77</v>
      </c>
      <c r="O3250" s="26" t="s">
        <v>77</v>
      </c>
    </row>
    <row r="3251">
      <c r="A3251" s="52" t="s">
        <v>77</v>
      </c>
      <c r="B3251" s="28" t="s">
        <v>77</v>
      </c>
      <c r="C3251" s="28" t="s">
        <v>77</v>
      </c>
      <c r="D3251" s="28" t="s">
        <v>77</v>
      </c>
      <c r="E3251" s="28" t="s">
        <v>77</v>
      </c>
      <c r="F3251" s="28" t="s">
        <v>77</v>
      </c>
      <c r="G3251" s="28" t="s">
        <v>77</v>
      </c>
      <c r="I3251" s="26" t="s">
        <v>77</v>
      </c>
      <c r="J3251" s="26" t="s">
        <v>77</v>
      </c>
      <c r="K3251" s="18"/>
      <c r="L3251" s="26" t="s">
        <v>77</v>
      </c>
      <c r="M3251" s="6" t="s">
        <v>77</v>
      </c>
      <c r="N3251" s="28" t="s">
        <v>77</v>
      </c>
      <c r="O3251" s="26" t="s">
        <v>77</v>
      </c>
    </row>
    <row r="3252">
      <c r="A3252" s="52" t="s">
        <v>77</v>
      </c>
      <c r="B3252" s="28" t="s">
        <v>77</v>
      </c>
      <c r="C3252" s="28" t="s">
        <v>77</v>
      </c>
      <c r="D3252" s="28" t="s">
        <v>77</v>
      </c>
      <c r="E3252" s="28" t="s">
        <v>77</v>
      </c>
      <c r="F3252" s="28" t="s">
        <v>77</v>
      </c>
      <c r="G3252" s="28" t="s">
        <v>77</v>
      </c>
      <c r="I3252" s="26" t="s">
        <v>77</v>
      </c>
      <c r="J3252" s="26" t="s">
        <v>77</v>
      </c>
      <c r="K3252" s="18"/>
      <c r="L3252" s="26" t="s">
        <v>77</v>
      </c>
      <c r="M3252" s="6" t="s">
        <v>77</v>
      </c>
      <c r="N3252" s="28" t="s">
        <v>77</v>
      </c>
      <c r="O3252" s="26" t="s">
        <v>77</v>
      </c>
    </row>
    <row r="3253">
      <c r="A3253" s="52" t="s">
        <v>77</v>
      </c>
      <c r="B3253" s="28" t="s">
        <v>77</v>
      </c>
      <c r="C3253" s="28" t="s">
        <v>77</v>
      </c>
      <c r="D3253" s="28" t="s">
        <v>77</v>
      </c>
      <c r="E3253" s="28" t="s">
        <v>77</v>
      </c>
      <c r="F3253" s="28" t="s">
        <v>77</v>
      </c>
      <c r="G3253" s="28" t="s">
        <v>77</v>
      </c>
      <c r="I3253" s="26" t="s">
        <v>77</v>
      </c>
      <c r="J3253" s="26" t="s">
        <v>77</v>
      </c>
      <c r="K3253" s="18"/>
      <c r="L3253" s="26" t="s">
        <v>77</v>
      </c>
      <c r="M3253" s="6" t="s">
        <v>77</v>
      </c>
      <c r="N3253" s="28" t="s">
        <v>77</v>
      </c>
      <c r="O3253" s="26" t="s">
        <v>77</v>
      </c>
    </row>
    <row r="3254">
      <c r="A3254" s="52" t="s">
        <v>77</v>
      </c>
      <c r="B3254" s="28" t="s">
        <v>77</v>
      </c>
      <c r="C3254" s="28" t="s">
        <v>77</v>
      </c>
      <c r="D3254" s="28" t="s">
        <v>77</v>
      </c>
      <c r="E3254" s="28" t="s">
        <v>77</v>
      </c>
      <c r="F3254" s="28" t="s">
        <v>77</v>
      </c>
      <c r="G3254" s="28" t="s">
        <v>77</v>
      </c>
      <c r="I3254" s="26" t="s">
        <v>77</v>
      </c>
      <c r="J3254" s="26" t="s">
        <v>77</v>
      </c>
      <c r="K3254" s="18"/>
      <c r="L3254" s="26" t="s">
        <v>77</v>
      </c>
      <c r="M3254" s="6" t="s">
        <v>77</v>
      </c>
      <c r="N3254" s="28" t="s">
        <v>77</v>
      </c>
      <c r="O3254" s="26" t="s">
        <v>77</v>
      </c>
    </row>
    <row r="3255">
      <c r="A3255" s="52" t="s">
        <v>77</v>
      </c>
      <c r="B3255" s="28" t="s">
        <v>77</v>
      </c>
      <c r="C3255" s="28" t="s">
        <v>77</v>
      </c>
      <c r="D3255" s="28" t="s">
        <v>77</v>
      </c>
      <c r="E3255" s="28" t="s">
        <v>77</v>
      </c>
      <c r="F3255" s="28" t="s">
        <v>77</v>
      </c>
      <c r="G3255" s="28" t="s">
        <v>77</v>
      </c>
      <c r="I3255" s="26" t="s">
        <v>77</v>
      </c>
      <c r="J3255" s="26" t="s">
        <v>77</v>
      </c>
      <c r="K3255" s="18"/>
      <c r="L3255" s="26" t="s">
        <v>77</v>
      </c>
      <c r="M3255" s="6" t="s">
        <v>77</v>
      </c>
      <c r="N3255" s="28" t="s">
        <v>77</v>
      </c>
      <c r="O3255" s="26" t="s">
        <v>77</v>
      </c>
    </row>
    <row r="3256">
      <c r="A3256" s="52" t="s">
        <v>77</v>
      </c>
      <c r="B3256" s="28" t="s">
        <v>77</v>
      </c>
      <c r="C3256" s="28" t="s">
        <v>77</v>
      </c>
      <c r="D3256" s="28" t="s">
        <v>77</v>
      </c>
      <c r="E3256" s="28" t="s">
        <v>77</v>
      </c>
      <c r="F3256" s="28" t="s">
        <v>77</v>
      </c>
      <c r="G3256" s="28" t="s">
        <v>77</v>
      </c>
      <c r="I3256" s="26" t="s">
        <v>77</v>
      </c>
      <c r="J3256" s="26" t="s">
        <v>77</v>
      </c>
      <c r="K3256" s="18"/>
      <c r="L3256" s="26" t="s">
        <v>77</v>
      </c>
      <c r="M3256" s="6" t="s">
        <v>77</v>
      </c>
      <c r="N3256" s="28" t="s">
        <v>77</v>
      </c>
      <c r="O3256" s="26" t="s">
        <v>77</v>
      </c>
    </row>
    <row r="3257">
      <c r="A3257" s="52" t="s">
        <v>77</v>
      </c>
      <c r="B3257" s="28" t="s">
        <v>77</v>
      </c>
      <c r="C3257" s="28" t="s">
        <v>77</v>
      </c>
      <c r="D3257" s="28" t="s">
        <v>77</v>
      </c>
      <c r="E3257" s="28" t="s">
        <v>77</v>
      </c>
      <c r="F3257" s="28" t="s">
        <v>77</v>
      </c>
      <c r="G3257" s="28" t="s">
        <v>77</v>
      </c>
      <c r="I3257" s="26" t="s">
        <v>77</v>
      </c>
      <c r="J3257" s="26" t="s">
        <v>77</v>
      </c>
      <c r="K3257" s="18"/>
      <c r="L3257" s="26" t="s">
        <v>77</v>
      </c>
      <c r="M3257" s="6" t="s">
        <v>77</v>
      </c>
      <c r="N3257" s="28" t="s">
        <v>77</v>
      </c>
      <c r="O3257" s="26" t="s">
        <v>77</v>
      </c>
    </row>
    <row r="3258">
      <c r="A3258" s="52" t="s">
        <v>77</v>
      </c>
      <c r="B3258" s="28" t="s">
        <v>77</v>
      </c>
      <c r="C3258" s="28" t="s">
        <v>77</v>
      </c>
      <c r="D3258" s="28" t="s">
        <v>77</v>
      </c>
      <c r="E3258" s="28" t="s">
        <v>77</v>
      </c>
      <c r="F3258" s="28" t="s">
        <v>77</v>
      </c>
      <c r="G3258" s="28" t="s">
        <v>77</v>
      </c>
      <c r="I3258" s="26" t="s">
        <v>77</v>
      </c>
      <c r="J3258" s="26" t="s">
        <v>77</v>
      </c>
      <c r="K3258" s="18"/>
      <c r="L3258" s="26" t="s">
        <v>77</v>
      </c>
      <c r="M3258" s="6" t="s">
        <v>77</v>
      </c>
      <c r="N3258" s="28" t="s">
        <v>77</v>
      </c>
      <c r="O3258" s="26" t="s">
        <v>77</v>
      </c>
    </row>
    <row r="3259">
      <c r="A3259" s="52" t="s">
        <v>77</v>
      </c>
      <c r="B3259" s="28" t="s">
        <v>77</v>
      </c>
      <c r="C3259" s="28" t="s">
        <v>77</v>
      </c>
      <c r="D3259" s="28" t="s">
        <v>77</v>
      </c>
      <c r="E3259" s="28" t="s">
        <v>77</v>
      </c>
      <c r="F3259" s="28" t="s">
        <v>77</v>
      </c>
      <c r="G3259" s="28" t="s">
        <v>77</v>
      </c>
      <c r="I3259" s="26" t="s">
        <v>77</v>
      </c>
      <c r="J3259" s="26" t="s">
        <v>77</v>
      </c>
      <c r="K3259" s="18"/>
      <c r="L3259" s="26" t="s">
        <v>77</v>
      </c>
      <c r="M3259" s="6" t="s">
        <v>77</v>
      </c>
      <c r="N3259" s="28" t="s">
        <v>77</v>
      </c>
      <c r="O3259" s="26" t="s">
        <v>77</v>
      </c>
    </row>
    <row r="3260">
      <c r="A3260" s="52" t="s">
        <v>77</v>
      </c>
      <c r="B3260" s="28" t="s">
        <v>77</v>
      </c>
      <c r="C3260" s="28" t="s">
        <v>77</v>
      </c>
      <c r="D3260" s="28" t="s">
        <v>77</v>
      </c>
      <c r="E3260" s="28" t="s">
        <v>77</v>
      </c>
      <c r="F3260" s="28" t="s">
        <v>77</v>
      </c>
      <c r="G3260" s="28" t="s">
        <v>77</v>
      </c>
      <c r="I3260" s="26" t="s">
        <v>77</v>
      </c>
      <c r="J3260" s="26" t="s">
        <v>77</v>
      </c>
      <c r="K3260" s="18"/>
      <c r="L3260" s="26" t="s">
        <v>77</v>
      </c>
      <c r="M3260" s="6" t="s">
        <v>77</v>
      </c>
      <c r="N3260" s="28" t="s">
        <v>77</v>
      </c>
      <c r="O3260" s="26" t="s">
        <v>77</v>
      </c>
    </row>
    <row r="3261">
      <c r="A3261" s="52" t="s">
        <v>77</v>
      </c>
      <c r="B3261" s="28" t="s">
        <v>77</v>
      </c>
      <c r="C3261" s="28" t="s">
        <v>77</v>
      </c>
      <c r="D3261" s="28" t="s">
        <v>77</v>
      </c>
      <c r="E3261" s="28" t="s">
        <v>77</v>
      </c>
      <c r="F3261" s="28" t="s">
        <v>77</v>
      </c>
      <c r="G3261" s="28" t="s">
        <v>77</v>
      </c>
      <c r="I3261" s="26" t="s">
        <v>77</v>
      </c>
      <c r="J3261" s="26" t="s">
        <v>77</v>
      </c>
      <c r="K3261" s="18"/>
      <c r="L3261" s="26" t="s">
        <v>77</v>
      </c>
      <c r="M3261" s="6" t="s">
        <v>77</v>
      </c>
      <c r="N3261" s="28" t="s">
        <v>77</v>
      </c>
      <c r="O3261" s="26" t="s">
        <v>77</v>
      </c>
    </row>
    <row r="3262">
      <c r="A3262" s="52" t="s">
        <v>77</v>
      </c>
      <c r="B3262" s="28" t="s">
        <v>77</v>
      </c>
      <c r="C3262" s="28" t="s">
        <v>77</v>
      </c>
      <c r="D3262" s="28" t="s">
        <v>77</v>
      </c>
      <c r="E3262" s="28" t="s">
        <v>77</v>
      </c>
      <c r="F3262" s="28" t="s">
        <v>77</v>
      </c>
      <c r="G3262" s="28" t="s">
        <v>77</v>
      </c>
      <c r="I3262" s="26" t="s">
        <v>77</v>
      </c>
      <c r="J3262" s="26" t="s">
        <v>77</v>
      </c>
      <c r="K3262" s="18"/>
      <c r="L3262" s="26" t="s">
        <v>77</v>
      </c>
      <c r="M3262" s="6" t="s">
        <v>77</v>
      </c>
      <c r="N3262" s="28" t="s">
        <v>77</v>
      </c>
      <c r="O3262" s="26" t="s">
        <v>77</v>
      </c>
    </row>
    <row r="3263">
      <c r="A3263" s="52" t="s">
        <v>77</v>
      </c>
      <c r="B3263" s="28" t="s">
        <v>77</v>
      </c>
      <c r="C3263" s="28" t="s">
        <v>77</v>
      </c>
      <c r="D3263" s="28" t="s">
        <v>77</v>
      </c>
      <c r="E3263" s="28" t="s">
        <v>77</v>
      </c>
      <c r="F3263" s="28" t="s">
        <v>77</v>
      </c>
      <c r="G3263" s="28" t="s">
        <v>77</v>
      </c>
      <c r="I3263" s="26" t="s">
        <v>77</v>
      </c>
      <c r="J3263" s="26" t="s">
        <v>77</v>
      </c>
      <c r="K3263" s="18"/>
      <c r="L3263" s="26" t="s">
        <v>77</v>
      </c>
      <c r="M3263" s="6" t="s">
        <v>77</v>
      </c>
      <c r="N3263" s="28" t="s">
        <v>77</v>
      </c>
      <c r="O3263" s="26" t="s">
        <v>77</v>
      </c>
    </row>
    <row r="3264">
      <c r="A3264" s="52" t="s">
        <v>77</v>
      </c>
      <c r="B3264" s="28" t="s">
        <v>77</v>
      </c>
      <c r="C3264" s="28" t="s">
        <v>77</v>
      </c>
      <c r="D3264" s="28" t="s">
        <v>77</v>
      </c>
      <c r="E3264" s="28" t="s">
        <v>77</v>
      </c>
      <c r="F3264" s="28" t="s">
        <v>77</v>
      </c>
      <c r="G3264" s="28" t="s">
        <v>77</v>
      </c>
      <c r="I3264" s="26" t="s">
        <v>77</v>
      </c>
      <c r="J3264" s="26" t="s">
        <v>77</v>
      </c>
      <c r="K3264" s="18"/>
      <c r="L3264" s="26" t="s">
        <v>77</v>
      </c>
      <c r="M3264" s="6" t="s">
        <v>77</v>
      </c>
      <c r="N3264" s="28" t="s">
        <v>77</v>
      </c>
      <c r="O3264" s="26" t="s">
        <v>77</v>
      </c>
    </row>
    <row r="3265">
      <c r="A3265" s="52" t="s">
        <v>77</v>
      </c>
      <c r="B3265" s="28" t="s">
        <v>77</v>
      </c>
      <c r="C3265" s="28" t="s">
        <v>77</v>
      </c>
      <c r="D3265" s="28" t="s">
        <v>77</v>
      </c>
      <c r="E3265" s="28" t="s">
        <v>77</v>
      </c>
      <c r="F3265" s="28" t="s">
        <v>77</v>
      </c>
      <c r="G3265" s="28" t="s">
        <v>77</v>
      </c>
      <c r="I3265" s="26" t="s">
        <v>77</v>
      </c>
      <c r="J3265" s="26" t="s">
        <v>77</v>
      </c>
      <c r="K3265" s="18"/>
      <c r="L3265" s="26" t="s">
        <v>77</v>
      </c>
      <c r="M3265" s="6" t="s">
        <v>77</v>
      </c>
      <c r="N3265" s="28" t="s">
        <v>77</v>
      </c>
      <c r="O3265" s="26" t="s">
        <v>77</v>
      </c>
    </row>
    <row r="3266">
      <c r="A3266" s="52" t="s">
        <v>77</v>
      </c>
      <c r="B3266" s="28" t="s">
        <v>77</v>
      </c>
      <c r="C3266" s="28" t="s">
        <v>77</v>
      </c>
      <c r="D3266" s="28" t="s">
        <v>77</v>
      </c>
      <c r="E3266" s="28" t="s">
        <v>77</v>
      </c>
      <c r="F3266" s="28" t="s">
        <v>77</v>
      </c>
      <c r="G3266" s="28" t="s">
        <v>77</v>
      </c>
      <c r="I3266" s="26" t="s">
        <v>77</v>
      </c>
      <c r="J3266" s="26" t="s">
        <v>77</v>
      </c>
      <c r="K3266" s="18"/>
      <c r="L3266" s="26" t="s">
        <v>77</v>
      </c>
      <c r="M3266" s="6" t="s">
        <v>77</v>
      </c>
      <c r="N3266" s="28" t="s">
        <v>77</v>
      </c>
      <c r="O3266" s="26" t="s">
        <v>77</v>
      </c>
    </row>
    <row r="3267">
      <c r="A3267" s="52" t="s">
        <v>77</v>
      </c>
      <c r="B3267" s="28" t="s">
        <v>77</v>
      </c>
      <c r="C3267" s="28" t="s">
        <v>77</v>
      </c>
      <c r="D3267" s="28" t="s">
        <v>77</v>
      </c>
      <c r="E3267" s="28" t="s">
        <v>77</v>
      </c>
      <c r="F3267" s="28" t="s">
        <v>77</v>
      </c>
      <c r="G3267" s="28" t="s">
        <v>77</v>
      </c>
      <c r="I3267" s="26" t="s">
        <v>77</v>
      </c>
      <c r="J3267" s="26" t="s">
        <v>77</v>
      </c>
      <c r="K3267" s="18"/>
      <c r="L3267" s="26" t="s">
        <v>77</v>
      </c>
      <c r="M3267" s="6" t="s">
        <v>77</v>
      </c>
      <c r="N3267" s="28" t="s">
        <v>77</v>
      </c>
      <c r="O3267" s="26" t="s">
        <v>77</v>
      </c>
    </row>
    <row r="3268">
      <c r="A3268" s="52" t="s">
        <v>77</v>
      </c>
      <c r="B3268" s="28" t="s">
        <v>77</v>
      </c>
      <c r="C3268" s="28" t="s">
        <v>77</v>
      </c>
      <c r="D3268" s="28" t="s">
        <v>77</v>
      </c>
      <c r="E3268" s="28" t="s">
        <v>77</v>
      </c>
      <c r="F3268" s="28" t="s">
        <v>77</v>
      </c>
      <c r="G3268" s="28" t="s">
        <v>77</v>
      </c>
      <c r="I3268" s="26" t="s">
        <v>77</v>
      </c>
      <c r="J3268" s="26" t="s">
        <v>77</v>
      </c>
      <c r="K3268" s="18"/>
      <c r="L3268" s="26" t="s">
        <v>77</v>
      </c>
      <c r="M3268" s="6" t="s">
        <v>77</v>
      </c>
      <c r="N3268" s="28" t="s">
        <v>77</v>
      </c>
      <c r="O3268" s="26" t="s">
        <v>77</v>
      </c>
    </row>
    <row r="3269">
      <c r="A3269" s="52" t="s">
        <v>77</v>
      </c>
      <c r="B3269" s="28" t="s">
        <v>77</v>
      </c>
      <c r="C3269" s="28" t="s">
        <v>77</v>
      </c>
      <c r="D3269" s="28" t="s">
        <v>77</v>
      </c>
      <c r="E3269" s="28" t="s">
        <v>77</v>
      </c>
      <c r="F3269" s="28" t="s">
        <v>77</v>
      </c>
      <c r="G3269" s="28" t="s">
        <v>77</v>
      </c>
      <c r="I3269" s="26" t="s">
        <v>77</v>
      </c>
      <c r="J3269" s="26" t="s">
        <v>77</v>
      </c>
      <c r="K3269" s="18"/>
      <c r="L3269" s="26" t="s">
        <v>77</v>
      </c>
      <c r="M3269" s="6" t="s">
        <v>77</v>
      </c>
      <c r="N3269" s="28" t="s">
        <v>77</v>
      </c>
      <c r="O3269" s="26" t="s">
        <v>77</v>
      </c>
    </row>
    <row r="3270">
      <c r="A3270" s="52" t="s">
        <v>77</v>
      </c>
      <c r="B3270" s="28" t="s">
        <v>77</v>
      </c>
      <c r="C3270" s="28" t="s">
        <v>77</v>
      </c>
      <c r="D3270" s="28" t="s">
        <v>77</v>
      </c>
      <c r="E3270" s="28" t="s">
        <v>77</v>
      </c>
      <c r="F3270" s="28" t="s">
        <v>77</v>
      </c>
      <c r="G3270" s="28" t="s">
        <v>77</v>
      </c>
      <c r="I3270" s="26" t="s">
        <v>77</v>
      </c>
      <c r="J3270" s="26" t="s">
        <v>77</v>
      </c>
      <c r="K3270" s="18"/>
      <c r="L3270" s="26" t="s">
        <v>77</v>
      </c>
      <c r="M3270" s="6" t="s">
        <v>77</v>
      </c>
      <c r="N3270" s="28" t="s">
        <v>77</v>
      </c>
      <c r="O3270" s="26" t="s">
        <v>77</v>
      </c>
    </row>
    <row r="3271">
      <c r="A3271" s="52" t="s">
        <v>77</v>
      </c>
      <c r="B3271" s="28" t="s">
        <v>77</v>
      </c>
      <c r="C3271" s="28" t="s">
        <v>77</v>
      </c>
      <c r="D3271" s="28" t="s">
        <v>77</v>
      </c>
      <c r="E3271" s="28" t="s">
        <v>77</v>
      </c>
      <c r="F3271" s="28" t="s">
        <v>77</v>
      </c>
      <c r="G3271" s="28" t="s">
        <v>77</v>
      </c>
      <c r="I3271" s="26" t="s">
        <v>77</v>
      </c>
      <c r="J3271" s="26" t="s">
        <v>77</v>
      </c>
      <c r="K3271" s="18"/>
      <c r="L3271" s="26" t="s">
        <v>77</v>
      </c>
      <c r="M3271" s="6" t="s">
        <v>77</v>
      </c>
      <c r="N3271" s="28" t="s">
        <v>77</v>
      </c>
      <c r="O3271" s="26" t="s">
        <v>77</v>
      </c>
    </row>
    <row r="3272">
      <c r="A3272" s="52" t="s">
        <v>77</v>
      </c>
      <c r="B3272" s="28" t="s">
        <v>77</v>
      </c>
      <c r="C3272" s="28" t="s">
        <v>77</v>
      </c>
      <c r="D3272" s="28" t="s">
        <v>77</v>
      </c>
      <c r="E3272" s="28" t="s">
        <v>77</v>
      </c>
      <c r="F3272" s="28" t="s">
        <v>77</v>
      </c>
      <c r="G3272" s="28" t="s">
        <v>77</v>
      </c>
      <c r="I3272" s="26" t="s">
        <v>77</v>
      </c>
      <c r="J3272" s="26" t="s">
        <v>77</v>
      </c>
      <c r="K3272" s="18"/>
      <c r="L3272" s="26" t="s">
        <v>77</v>
      </c>
      <c r="M3272" s="6" t="s">
        <v>77</v>
      </c>
      <c r="N3272" s="28" t="s">
        <v>77</v>
      </c>
      <c r="O3272" s="26" t="s">
        <v>77</v>
      </c>
    </row>
    <row r="3273">
      <c r="A3273" s="52" t="s">
        <v>77</v>
      </c>
      <c r="B3273" s="28" t="s">
        <v>77</v>
      </c>
      <c r="C3273" s="28" t="s">
        <v>77</v>
      </c>
      <c r="D3273" s="28" t="s">
        <v>77</v>
      </c>
      <c r="E3273" s="28" t="s">
        <v>77</v>
      </c>
      <c r="F3273" s="28" t="s">
        <v>77</v>
      </c>
      <c r="G3273" s="28" t="s">
        <v>77</v>
      </c>
      <c r="I3273" s="26" t="s">
        <v>77</v>
      </c>
      <c r="J3273" s="26" t="s">
        <v>77</v>
      </c>
      <c r="K3273" s="18"/>
      <c r="L3273" s="26" t="s">
        <v>77</v>
      </c>
      <c r="M3273" s="6" t="s">
        <v>77</v>
      </c>
      <c r="N3273" s="28" t="s">
        <v>77</v>
      </c>
      <c r="O3273" s="26" t="s">
        <v>77</v>
      </c>
    </row>
    <row r="3274">
      <c r="A3274" s="52" t="s">
        <v>77</v>
      </c>
      <c r="B3274" s="28" t="s">
        <v>77</v>
      </c>
      <c r="C3274" s="28" t="s">
        <v>77</v>
      </c>
      <c r="D3274" s="28" t="s">
        <v>77</v>
      </c>
      <c r="E3274" s="28" t="s">
        <v>77</v>
      </c>
      <c r="F3274" s="28" t="s">
        <v>77</v>
      </c>
      <c r="G3274" s="28" t="s">
        <v>77</v>
      </c>
      <c r="I3274" s="26" t="s">
        <v>77</v>
      </c>
      <c r="J3274" s="26" t="s">
        <v>77</v>
      </c>
      <c r="K3274" s="18"/>
      <c r="L3274" s="26" t="s">
        <v>77</v>
      </c>
      <c r="M3274" s="6" t="s">
        <v>77</v>
      </c>
      <c r="N3274" s="28" t="s">
        <v>77</v>
      </c>
      <c r="O3274" s="26" t="s">
        <v>77</v>
      </c>
    </row>
    <row r="3275">
      <c r="A3275" s="52" t="s">
        <v>77</v>
      </c>
      <c r="B3275" s="28" t="s">
        <v>77</v>
      </c>
      <c r="C3275" s="28" t="s">
        <v>77</v>
      </c>
      <c r="D3275" s="28" t="s">
        <v>77</v>
      </c>
      <c r="E3275" s="28" t="s">
        <v>77</v>
      </c>
      <c r="F3275" s="28" t="s">
        <v>77</v>
      </c>
      <c r="G3275" s="28" t="s">
        <v>77</v>
      </c>
      <c r="I3275" s="26" t="s">
        <v>77</v>
      </c>
      <c r="J3275" s="26" t="s">
        <v>77</v>
      </c>
      <c r="K3275" s="18"/>
      <c r="L3275" s="26" t="s">
        <v>77</v>
      </c>
      <c r="M3275" s="6" t="s">
        <v>77</v>
      </c>
      <c r="N3275" s="28" t="s">
        <v>77</v>
      </c>
      <c r="O3275" s="26" t="s">
        <v>77</v>
      </c>
    </row>
    <row r="3276">
      <c r="A3276" s="52" t="s">
        <v>77</v>
      </c>
      <c r="B3276" s="28" t="s">
        <v>77</v>
      </c>
      <c r="C3276" s="28" t="s">
        <v>77</v>
      </c>
      <c r="D3276" s="28" t="s">
        <v>77</v>
      </c>
      <c r="E3276" s="28" t="s">
        <v>77</v>
      </c>
      <c r="F3276" s="28" t="s">
        <v>77</v>
      </c>
      <c r="G3276" s="28" t="s">
        <v>77</v>
      </c>
      <c r="I3276" s="26" t="s">
        <v>77</v>
      </c>
      <c r="J3276" s="26" t="s">
        <v>77</v>
      </c>
      <c r="K3276" s="18"/>
      <c r="L3276" s="26" t="s">
        <v>77</v>
      </c>
      <c r="M3276" s="6" t="s">
        <v>77</v>
      </c>
      <c r="N3276" s="28" t="s">
        <v>77</v>
      </c>
      <c r="O3276" s="26" t="s">
        <v>77</v>
      </c>
    </row>
    <row r="3277">
      <c r="A3277" s="52" t="s">
        <v>77</v>
      </c>
      <c r="B3277" s="28" t="s">
        <v>77</v>
      </c>
      <c r="C3277" s="28" t="s">
        <v>77</v>
      </c>
      <c r="D3277" s="28" t="s">
        <v>77</v>
      </c>
      <c r="E3277" s="28" t="s">
        <v>77</v>
      </c>
      <c r="F3277" s="28" t="s">
        <v>77</v>
      </c>
      <c r="G3277" s="28" t="s">
        <v>77</v>
      </c>
      <c r="I3277" s="26" t="s">
        <v>77</v>
      </c>
      <c r="J3277" s="26" t="s">
        <v>77</v>
      </c>
      <c r="K3277" s="18"/>
      <c r="L3277" s="26" t="s">
        <v>77</v>
      </c>
      <c r="M3277" s="6" t="s">
        <v>77</v>
      </c>
      <c r="N3277" s="28" t="s">
        <v>77</v>
      </c>
      <c r="O3277" s="26" t="s">
        <v>77</v>
      </c>
    </row>
    <row r="3278">
      <c r="A3278" s="52" t="s">
        <v>77</v>
      </c>
      <c r="B3278" s="28" t="s">
        <v>77</v>
      </c>
      <c r="C3278" s="28" t="s">
        <v>77</v>
      </c>
      <c r="D3278" s="28" t="s">
        <v>77</v>
      </c>
      <c r="E3278" s="28" t="s">
        <v>77</v>
      </c>
      <c r="F3278" s="28" t="s">
        <v>77</v>
      </c>
      <c r="G3278" s="28" t="s">
        <v>77</v>
      </c>
      <c r="I3278" s="26" t="s">
        <v>77</v>
      </c>
      <c r="J3278" s="26" t="s">
        <v>77</v>
      </c>
      <c r="K3278" s="18"/>
      <c r="L3278" s="26" t="s">
        <v>77</v>
      </c>
      <c r="M3278" s="6" t="s">
        <v>77</v>
      </c>
      <c r="N3278" s="28" t="s">
        <v>77</v>
      </c>
      <c r="O3278" s="26" t="s">
        <v>77</v>
      </c>
    </row>
    <row r="3279">
      <c r="A3279" s="52" t="s">
        <v>77</v>
      </c>
      <c r="B3279" s="28" t="s">
        <v>77</v>
      </c>
      <c r="C3279" s="28" t="s">
        <v>77</v>
      </c>
      <c r="D3279" s="28" t="s">
        <v>77</v>
      </c>
      <c r="E3279" s="28" t="s">
        <v>77</v>
      </c>
      <c r="F3279" s="28" t="s">
        <v>77</v>
      </c>
      <c r="G3279" s="28" t="s">
        <v>77</v>
      </c>
      <c r="I3279" s="26" t="s">
        <v>77</v>
      </c>
      <c r="J3279" s="26" t="s">
        <v>77</v>
      </c>
      <c r="K3279" s="18"/>
      <c r="L3279" s="26" t="s">
        <v>77</v>
      </c>
      <c r="M3279" s="6" t="s">
        <v>77</v>
      </c>
      <c r="N3279" s="28" t="s">
        <v>77</v>
      </c>
      <c r="O3279" s="26" t="s">
        <v>77</v>
      </c>
    </row>
    <row r="3280">
      <c r="A3280" s="52" t="s">
        <v>77</v>
      </c>
      <c r="B3280" s="28" t="s">
        <v>77</v>
      </c>
      <c r="C3280" s="28" t="s">
        <v>77</v>
      </c>
      <c r="D3280" s="28" t="s">
        <v>77</v>
      </c>
      <c r="E3280" s="28" t="s">
        <v>77</v>
      </c>
      <c r="F3280" s="28" t="s">
        <v>77</v>
      </c>
      <c r="G3280" s="28" t="s">
        <v>77</v>
      </c>
      <c r="I3280" s="26" t="s">
        <v>77</v>
      </c>
      <c r="J3280" s="26" t="s">
        <v>77</v>
      </c>
      <c r="K3280" s="18"/>
      <c r="L3280" s="26" t="s">
        <v>77</v>
      </c>
      <c r="M3280" s="6" t="s">
        <v>77</v>
      </c>
      <c r="N3280" s="28" t="s">
        <v>77</v>
      </c>
      <c r="O3280" s="26" t="s">
        <v>77</v>
      </c>
    </row>
    <row r="3281">
      <c r="A3281" s="52" t="s">
        <v>77</v>
      </c>
      <c r="B3281" s="28" t="s">
        <v>77</v>
      </c>
      <c r="C3281" s="28" t="s">
        <v>77</v>
      </c>
      <c r="D3281" s="28" t="s">
        <v>77</v>
      </c>
      <c r="E3281" s="28" t="s">
        <v>77</v>
      </c>
      <c r="F3281" s="28" t="s">
        <v>77</v>
      </c>
      <c r="G3281" s="28" t="s">
        <v>77</v>
      </c>
      <c r="I3281" s="26" t="s">
        <v>77</v>
      </c>
      <c r="J3281" s="26" t="s">
        <v>77</v>
      </c>
      <c r="K3281" s="18"/>
      <c r="L3281" s="26" t="s">
        <v>77</v>
      </c>
      <c r="M3281" s="6" t="s">
        <v>77</v>
      </c>
      <c r="N3281" s="28" t="s">
        <v>77</v>
      </c>
      <c r="O3281" s="26" t="s">
        <v>77</v>
      </c>
    </row>
    <row r="3282">
      <c r="A3282" s="52" t="s">
        <v>77</v>
      </c>
      <c r="B3282" s="28" t="s">
        <v>77</v>
      </c>
      <c r="C3282" s="28" t="s">
        <v>77</v>
      </c>
      <c r="D3282" s="28" t="s">
        <v>77</v>
      </c>
      <c r="E3282" s="28" t="s">
        <v>77</v>
      </c>
      <c r="F3282" s="28" t="s">
        <v>77</v>
      </c>
      <c r="G3282" s="28" t="s">
        <v>77</v>
      </c>
      <c r="I3282" s="26" t="s">
        <v>77</v>
      </c>
      <c r="J3282" s="26" t="s">
        <v>77</v>
      </c>
      <c r="K3282" s="18"/>
      <c r="L3282" s="26" t="s">
        <v>77</v>
      </c>
      <c r="M3282" s="6" t="s">
        <v>77</v>
      </c>
      <c r="N3282" s="28" t="s">
        <v>77</v>
      </c>
      <c r="O3282" s="26" t="s">
        <v>77</v>
      </c>
    </row>
    <row r="3283">
      <c r="A3283" s="52" t="s">
        <v>77</v>
      </c>
      <c r="B3283" s="28" t="s">
        <v>77</v>
      </c>
      <c r="C3283" s="28" t="s">
        <v>77</v>
      </c>
      <c r="D3283" s="28" t="s">
        <v>77</v>
      </c>
      <c r="E3283" s="28" t="s">
        <v>77</v>
      </c>
      <c r="F3283" s="28" t="s">
        <v>77</v>
      </c>
      <c r="G3283" s="28" t="s">
        <v>77</v>
      </c>
      <c r="I3283" s="26" t="s">
        <v>77</v>
      </c>
      <c r="J3283" s="26" t="s">
        <v>77</v>
      </c>
      <c r="K3283" s="18"/>
      <c r="L3283" s="26" t="s">
        <v>77</v>
      </c>
      <c r="M3283" s="6" t="s">
        <v>77</v>
      </c>
      <c r="N3283" s="28" t="s">
        <v>77</v>
      </c>
      <c r="O3283" s="26" t="s">
        <v>77</v>
      </c>
    </row>
    <row r="3284">
      <c r="A3284" s="52" t="s">
        <v>77</v>
      </c>
      <c r="B3284" s="28" t="s">
        <v>77</v>
      </c>
      <c r="C3284" s="28" t="s">
        <v>77</v>
      </c>
      <c r="D3284" s="28" t="s">
        <v>77</v>
      </c>
      <c r="E3284" s="28" t="s">
        <v>77</v>
      </c>
      <c r="F3284" s="28" t="s">
        <v>77</v>
      </c>
      <c r="G3284" s="28" t="s">
        <v>77</v>
      </c>
      <c r="I3284" s="26" t="s">
        <v>77</v>
      </c>
      <c r="J3284" s="26" t="s">
        <v>77</v>
      </c>
      <c r="K3284" s="18"/>
      <c r="L3284" s="26" t="s">
        <v>77</v>
      </c>
      <c r="M3284" s="6" t="s">
        <v>77</v>
      </c>
      <c r="N3284" s="28" t="s">
        <v>77</v>
      </c>
      <c r="O3284" s="26" t="s">
        <v>77</v>
      </c>
    </row>
    <row r="3285">
      <c r="A3285" s="52" t="s">
        <v>77</v>
      </c>
      <c r="B3285" s="28" t="s">
        <v>77</v>
      </c>
      <c r="C3285" s="28" t="s">
        <v>77</v>
      </c>
      <c r="D3285" s="28" t="s">
        <v>77</v>
      </c>
      <c r="E3285" s="28" t="s">
        <v>77</v>
      </c>
      <c r="F3285" s="28" t="s">
        <v>77</v>
      </c>
      <c r="G3285" s="28" t="s">
        <v>77</v>
      </c>
      <c r="I3285" s="26" t="s">
        <v>77</v>
      </c>
      <c r="J3285" s="26" t="s">
        <v>77</v>
      </c>
      <c r="K3285" s="18"/>
      <c r="L3285" s="26" t="s">
        <v>77</v>
      </c>
      <c r="M3285" s="6" t="s">
        <v>77</v>
      </c>
      <c r="N3285" s="28" t="s">
        <v>77</v>
      </c>
      <c r="O3285" s="26" t="s">
        <v>77</v>
      </c>
    </row>
    <row r="3286">
      <c r="A3286" s="52" t="s">
        <v>77</v>
      </c>
      <c r="B3286" s="28" t="s">
        <v>77</v>
      </c>
      <c r="C3286" s="28" t="s">
        <v>77</v>
      </c>
      <c r="D3286" s="28" t="s">
        <v>77</v>
      </c>
      <c r="E3286" s="28" t="s">
        <v>77</v>
      </c>
      <c r="F3286" s="28" t="s">
        <v>77</v>
      </c>
      <c r="G3286" s="28" t="s">
        <v>77</v>
      </c>
      <c r="I3286" s="26" t="s">
        <v>77</v>
      </c>
      <c r="J3286" s="26" t="s">
        <v>77</v>
      </c>
      <c r="K3286" s="18"/>
      <c r="L3286" s="26" t="s">
        <v>77</v>
      </c>
      <c r="M3286" s="6" t="s">
        <v>77</v>
      </c>
      <c r="N3286" s="28" t="s">
        <v>77</v>
      </c>
      <c r="O3286" s="26" t="s">
        <v>77</v>
      </c>
    </row>
    <row r="3287">
      <c r="A3287" s="52" t="s">
        <v>77</v>
      </c>
      <c r="B3287" s="28" t="s">
        <v>77</v>
      </c>
      <c r="C3287" s="28" t="s">
        <v>77</v>
      </c>
      <c r="D3287" s="28" t="s">
        <v>77</v>
      </c>
      <c r="E3287" s="28" t="s">
        <v>77</v>
      </c>
      <c r="F3287" s="28" t="s">
        <v>77</v>
      </c>
      <c r="G3287" s="28" t="s">
        <v>77</v>
      </c>
      <c r="I3287" s="26" t="s">
        <v>77</v>
      </c>
      <c r="J3287" s="26" t="s">
        <v>77</v>
      </c>
      <c r="K3287" s="18"/>
      <c r="L3287" s="26" t="s">
        <v>77</v>
      </c>
      <c r="M3287" s="6" t="s">
        <v>77</v>
      </c>
      <c r="N3287" s="28" t="s">
        <v>77</v>
      </c>
      <c r="O3287" s="26" t="s">
        <v>77</v>
      </c>
    </row>
    <row r="3288">
      <c r="A3288" s="52" t="s">
        <v>77</v>
      </c>
      <c r="B3288" s="28" t="s">
        <v>77</v>
      </c>
      <c r="C3288" s="28" t="s">
        <v>77</v>
      </c>
      <c r="D3288" s="28" t="s">
        <v>77</v>
      </c>
      <c r="E3288" s="28" t="s">
        <v>77</v>
      </c>
      <c r="F3288" s="28" t="s">
        <v>77</v>
      </c>
      <c r="G3288" s="28" t="s">
        <v>77</v>
      </c>
      <c r="I3288" s="26" t="s">
        <v>77</v>
      </c>
      <c r="J3288" s="26" t="s">
        <v>77</v>
      </c>
      <c r="K3288" s="18"/>
      <c r="L3288" s="26" t="s">
        <v>77</v>
      </c>
      <c r="M3288" s="6" t="s">
        <v>77</v>
      </c>
      <c r="N3288" s="28" t="s">
        <v>77</v>
      </c>
      <c r="O3288" s="26" t="s">
        <v>77</v>
      </c>
    </row>
    <row r="3289">
      <c r="A3289" s="52" t="s">
        <v>77</v>
      </c>
      <c r="B3289" s="28" t="s">
        <v>77</v>
      </c>
      <c r="C3289" s="28" t="s">
        <v>77</v>
      </c>
      <c r="D3289" s="28" t="s">
        <v>77</v>
      </c>
      <c r="E3289" s="28" t="s">
        <v>77</v>
      </c>
      <c r="F3289" s="28" t="s">
        <v>77</v>
      </c>
      <c r="G3289" s="28" t="s">
        <v>77</v>
      </c>
      <c r="I3289" s="26" t="s">
        <v>77</v>
      </c>
      <c r="J3289" s="26" t="s">
        <v>77</v>
      </c>
      <c r="K3289" s="18"/>
      <c r="L3289" s="26" t="s">
        <v>77</v>
      </c>
      <c r="M3289" s="6" t="s">
        <v>77</v>
      </c>
      <c r="N3289" s="28" t="s">
        <v>77</v>
      </c>
      <c r="O3289" s="26" t="s">
        <v>77</v>
      </c>
    </row>
    <row r="3290">
      <c r="A3290" s="52" t="s">
        <v>77</v>
      </c>
      <c r="B3290" s="28" t="s">
        <v>77</v>
      </c>
      <c r="C3290" s="28" t="s">
        <v>77</v>
      </c>
      <c r="D3290" s="28" t="s">
        <v>77</v>
      </c>
      <c r="E3290" s="28" t="s">
        <v>77</v>
      </c>
      <c r="F3290" s="28" t="s">
        <v>77</v>
      </c>
      <c r="G3290" s="28" t="s">
        <v>77</v>
      </c>
      <c r="I3290" s="26" t="s">
        <v>77</v>
      </c>
      <c r="J3290" s="26" t="s">
        <v>77</v>
      </c>
      <c r="K3290" s="18"/>
      <c r="L3290" s="26" t="s">
        <v>77</v>
      </c>
      <c r="M3290" s="6" t="s">
        <v>77</v>
      </c>
      <c r="N3290" s="28" t="s">
        <v>77</v>
      </c>
      <c r="O3290" s="26" t="s">
        <v>77</v>
      </c>
    </row>
    <row r="3291">
      <c r="A3291" s="52" t="s">
        <v>77</v>
      </c>
      <c r="B3291" s="28" t="s">
        <v>77</v>
      </c>
      <c r="C3291" s="28" t="s">
        <v>77</v>
      </c>
      <c r="D3291" s="28" t="s">
        <v>77</v>
      </c>
      <c r="E3291" s="28" t="s">
        <v>77</v>
      </c>
      <c r="F3291" s="28" t="s">
        <v>77</v>
      </c>
      <c r="G3291" s="28" t="s">
        <v>77</v>
      </c>
      <c r="I3291" s="26" t="s">
        <v>77</v>
      </c>
      <c r="J3291" s="26" t="s">
        <v>77</v>
      </c>
      <c r="K3291" s="18"/>
      <c r="L3291" s="26" t="s">
        <v>77</v>
      </c>
      <c r="M3291" s="6" t="s">
        <v>77</v>
      </c>
      <c r="N3291" s="28" t="s">
        <v>77</v>
      </c>
      <c r="O3291" s="26" t="s">
        <v>77</v>
      </c>
    </row>
    <row r="3292">
      <c r="A3292" s="52" t="s">
        <v>77</v>
      </c>
      <c r="B3292" s="28" t="s">
        <v>77</v>
      </c>
      <c r="C3292" s="28" t="s">
        <v>77</v>
      </c>
      <c r="D3292" s="28" t="s">
        <v>77</v>
      </c>
      <c r="E3292" s="28" t="s">
        <v>77</v>
      </c>
      <c r="F3292" s="28" t="s">
        <v>77</v>
      </c>
      <c r="G3292" s="28" t="s">
        <v>77</v>
      </c>
      <c r="I3292" s="26" t="s">
        <v>77</v>
      </c>
      <c r="J3292" s="26" t="s">
        <v>77</v>
      </c>
      <c r="K3292" s="18"/>
      <c r="L3292" s="26" t="s">
        <v>77</v>
      </c>
      <c r="M3292" s="6" t="s">
        <v>77</v>
      </c>
      <c r="N3292" s="28" t="s">
        <v>77</v>
      </c>
      <c r="O3292" s="26" t="s">
        <v>77</v>
      </c>
    </row>
    <row r="3293">
      <c r="A3293" s="52" t="s">
        <v>77</v>
      </c>
      <c r="B3293" s="28" t="s">
        <v>77</v>
      </c>
      <c r="C3293" s="28" t="s">
        <v>77</v>
      </c>
      <c r="D3293" s="28" t="s">
        <v>77</v>
      </c>
      <c r="E3293" s="28" t="s">
        <v>77</v>
      </c>
      <c r="F3293" s="28" t="s">
        <v>77</v>
      </c>
      <c r="G3293" s="28" t="s">
        <v>77</v>
      </c>
      <c r="I3293" s="26" t="s">
        <v>77</v>
      </c>
      <c r="J3293" s="26" t="s">
        <v>77</v>
      </c>
      <c r="K3293" s="18"/>
      <c r="L3293" s="26" t="s">
        <v>77</v>
      </c>
      <c r="M3293" s="6" t="s">
        <v>77</v>
      </c>
      <c r="N3293" s="28" t="s">
        <v>77</v>
      </c>
      <c r="O3293" s="26" t="s">
        <v>77</v>
      </c>
    </row>
    <row r="3294">
      <c r="A3294" s="52" t="s">
        <v>77</v>
      </c>
      <c r="B3294" s="28" t="s">
        <v>77</v>
      </c>
      <c r="C3294" s="28" t="s">
        <v>77</v>
      </c>
      <c r="D3294" s="28" t="s">
        <v>77</v>
      </c>
      <c r="E3294" s="28" t="s">
        <v>77</v>
      </c>
      <c r="F3294" s="28" t="s">
        <v>77</v>
      </c>
      <c r="G3294" s="28" t="s">
        <v>77</v>
      </c>
      <c r="I3294" s="26" t="s">
        <v>77</v>
      </c>
      <c r="J3294" s="26" t="s">
        <v>77</v>
      </c>
      <c r="K3294" s="18"/>
      <c r="L3294" s="26" t="s">
        <v>77</v>
      </c>
      <c r="M3294" s="6" t="s">
        <v>77</v>
      </c>
      <c r="N3294" s="28" t="s">
        <v>77</v>
      </c>
      <c r="O3294" s="26" t="s">
        <v>77</v>
      </c>
    </row>
    <row r="3295">
      <c r="A3295" s="52" t="s">
        <v>77</v>
      </c>
      <c r="B3295" s="28" t="s">
        <v>77</v>
      </c>
      <c r="C3295" s="28" t="s">
        <v>77</v>
      </c>
      <c r="D3295" s="28" t="s">
        <v>77</v>
      </c>
      <c r="E3295" s="28" t="s">
        <v>77</v>
      </c>
      <c r="F3295" s="28" t="s">
        <v>77</v>
      </c>
      <c r="G3295" s="28" t="s">
        <v>77</v>
      </c>
      <c r="I3295" s="26" t="s">
        <v>77</v>
      </c>
      <c r="J3295" s="26" t="s">
        <v>77</v>
      </c>
      <c r="K3295" s="18"/>
      <c r="L3295" s="26" t="s">
        <v>77</v>
      </c>
      <c r="M3295" s="6" t="s">
        <v>77</v>
      </c>
      <c r="N3295" s="28" t="s">
        <v>77</v>
      </c>
      <c r="O3295" s="26" t="s">
        <v>77</v>
      </c>
    </row>
    <row r="3296">
      <c r="A3296" s="52" t="s">
        <v>77</v>
      </c>
      <c r="B3296" s="28" t="s">
        <v>77</v>
      </c>
      <c r="C3296" s="28" t="s">
        <v>77</v>
      </c>
      <c r="D3296" s="28" t="s">
        <v>77</v>
      </c>
      <c r="E3296" s="28" t="s">
        <v>77</v>
      </c>
      <c r="F3296" s="28" t="s">
        <v>77</v>
      </c>
      <c r="G3296" s="28" t="s">
        <v>77</v>
      </c>
      <c r="I3296" s="26" t="s">
        <v>77</v>
      </c>
      <c r="J3296" s="26" t="s">
        <v>77</v>
      </c>
      <c r="K3296" s="18"/>
      <c r="L3296" s="26" t="s">
        <v>77</v>
      </c>
      <c r="M3296" s="6" t="s">
        <v>77</v>
      </c>
      <c r="N3296" s="28" t="s">
        <v>77</v>
      </c>
      <c r="O3296" s="26" t="s">
        <v>77</v>
      </c>
    </row>
    <row r="3297">
      <c r="A3297" s="52" t="s">
        <v>77</v>
      </c>
      <c r="B3297" s="28" t="s">
        <v>77</v>
      </c>
      <c r="C3297" s="28" t="s">
        <v>77</v>
      </c>
      <c r="D3297" s="28" t="s">
        <v>77</v>
      </c>
      <c r="E3297" s="28" t="s">
        <v>77</v>
      </c>
      <c r="F3297" s="28" t="s">
        <v>77</v>
      </c>
      <c r="G3297" s="28" t="s">
        <v>77</v>
      </c>
      <c r="I3297" s="26" t="s">
        <v>77</v>
      </c>
      <c r="J3297" s="26" t="s">
        <v>77</v>
      </c>
      <c r="K3297" s="18"/>
      <c r="L3297" s="26" t="s">
        <v>77</v>
      </c>
      <c r="M3297" s="6" t="s">
        <v>77</v>
      </c>
      <c r="N3297" s="28" t="s">
        <v>77</v>
      </c>
      <c r="O3297" s="26" t="s">
        <v>77</v>
      </c>
    </row>
    <row r="3298">
      <c r="A3298" s="52" t="s">
        <v>77</v>
      </c>
      <c r="B3298" s="28" t="s">
        <v>77</v>
      </c>
      <c r="C3298" s="28" t="s">
        <v>77</v>
      </c>
      <c r="D3298" s="28" t="s">
        <v>77</v>
      </c>
      <c r="E3298" s="28" t="s">
        <v>77</v>
      </c>
      <c r="F3298" s="28" t="s">
        <v>77</v>
      </c>
      <c r="G3298" s="28" t="s">
        <v>77</v>
      </c>
      <c r="I3298" s="26" t="s">
        <v>77</v>
      </c>
      <c r="J3298" s="26" t="s">
        <v>77</v>
      </c>
      <c r="K3298" s="18"/>
      <c r="L3298" s="26" t="s">
        <v>77</v>
      </c>
      <c r="M3298" s="6" t="s">
        <v>77</v>
      </c>
      <c r="N3298" s="28" t="s">
        <v>77</v>
      </c>
      <c r="O3298" s="26" t="s">
        <v>77</v>
      </c>
    </row>
    <row r="3299">
      <c r="A3299" s="52" t="s">
        <v>77</v>
      </c>
      <c r="B3299" s="28" t="s">
        <v>77</v>
      </c>
      <c r="C3299" s="28" t="s">
        <v>77</v>
      </c>
      <c r="D3299" s="28" t="s">
        <v>77</v>
      </c>
      <c r="E3299" s="28" t="s">
        <v>77</v>
      </c>
      <c r="F3299" s="28" t="s">
        <v>77</v>
      </c>
      <c r="G3299" s="28" t="s">
        <v>77</v>
      </c>
      <c r="I3299" s="26" t="s">
        <v>77</v>
      </c>
      <c r="J3299" s="26" t="s">
        <v>77</v>
      </c>
      <c r="K3299" s="18"/>
      <c r="L3299" s="26" t="s">
        <v>77</v>
      </c>
      <c r="M3299" s="6" t="s">
        <v>77</v>
      </c>
      <c r="N3299" s="28" t="s">
        <v>77</v>
      </c>
      <c r="O3299" s="26" t="s">
        <v>77</v>
      </c>
    </row>
    <row r="3300">
      <c r="A3300" s="52" t="s">
        <v>77</v>
      </c>
      <c r="B3300" s="28" t="s">
        <v>77</v>
      </c>
      <c r="C3300" s="28" t="s">
        <v>77</v>
      </c>
      <c r="D3300" s="28" t="s">
        <v>77</v>
      </c>
      <c r="E3300" s="28" t="s">
        <v>77</v>
      </c>
      <c r="F3300" s="28" t="s">
        <v>77</v>
      </c>
      <c r="G3300" s="28" t="s">
        <v>77</v>
      </c>
      <c r="I3300" s="26" t="s">
        <v>77</v>
      </c>
      <c r="J3300" s="26" t="s">
        <v>77</v>
      </c>
      <c r="K3300" s="18"/>
      <c r="L3300" s="26" t="s">
        <v>77</v>
      </c>
      <c r="M3300" s="6" t="s">
        <v>77</v>
      </c>
      <c r="N3300" s="28" t="s">
        <v>77</v>
      </c>
      <c r="O3300" s="26" t="s">
        <v>77</v>
      </c>
    </row>
    <row r="3301">
      <c r="A3301" s="52" t="s">
        <v>77</v>
      </c>
      <c r="B3301" s="28" t="s">
        <v>77</v>
      </c>
      <c r="C3301" s="28" t="s">
        <v>77</v>
      </c>
      <c r="D3301" s="28" t="s">
        <v>77</v>
      </c>
      <c r="E3301" s="28" t="s">
        <v>77</v>
      </c>
      <c r="F3301" s="28" t="s">
        <v>77</v>
      </c>
      <c r="G3301" s="28" t="s">
        <v>77</v>
      </c>
      <c r="I3301" s="26" t="s">
        <v>77</v>
      </c>
      <c r="J3301" s="26" t="s">
        <v>77</v>
      </c>
      <c r="K3301" s="18"/>
      <c r="L3301" s="26" t="s">
        <v>77</v>
      </c>
      <c r="M3301" s="6" t="s">
        <v>77</v>
      </c>
      <c r="N3301" s="28" t="s">
        <v>77</v>
      </c>
      <c r="O3301" s="26" t="s">
        <v>77</v>
      </c>
    </row>
    <row r="3302">
      <c r="A3302" s="52" t="s">
        <v>77</v>
      </c>
      <c r="B3302" s="28" t="s">
        <v>77</v>
      </c>
      <c r="C3302" s="28" t="s">
        <v>77</v>
      </c>
      <c r="D3302" s="28" t="s">
        <v>77</v>
      </c>
      <c r="E3302" s="28" t="s">
        <v>77</v>
      </c>
      <c r="F3302" s="28" t="s">
        <v>77</v>
      </c>
      <c r="G3302" s="28" t="s">
        <v>77</v>
      </c>
      <c r="I3302" s="26" t="s">
        <v>77</v>
      </c>
      <c r="J3302" s="26" t="s">
        <v>77</v>
      </c>
      <c r="K3302" s="18"/>
      <c r="L3302" s="26" t="s">
        <v>77</v>
      </c>
      <c r="M3302" s="6" t="s">
        <v>77</v>
      </c>
      <c r="N3302" s="28" t="s">
        <v>77</v>
      </c>
      <c r="O3302" s="26" t="s">
        <v>77</v>
      </c>
    </row>
    <row r="3303">
      <c r="A3303" s="52" t="s">
        <v>77</v>
      </c>
      <c r="B3303" s="28" t="s">
        <v>77</v>
      </c>
      <c r="C3303" s="28" t="s">
        <v>77</v>
      </c>
      <c r="D3303" s="28" t="s">
        <v>77</v>
      </c>
      <c r="E3303" s="28" t="s">
        <v>77</v>
      </c>
      <c r="F3303" s="28" t="s">
        <v>77</v>
      </c>
      <c r="G3303" s="28" t="s">
        <v>77</v>
      </c>
      <c r="I3303" s="26" t="s">
        <v>77</v>
      </c>
      <c r="J3303" s="26" t="s">
        <v>77</v>
      </c>
      <c r="K3303" s="18"/>
      <c r="L3303" s="26" t="s">
        <v>77</v>
      </c>
      <c r="M3303" s="6" t="s">
        <v>77</v>
      </c>
      <c r="N3303" s="28" t="s">
        <v>77</v>
      </c>
      <c r="O3303" s="26" t="s">
        <v>77</v>
      </c>
    </row>
    <row r="3304">
      <c r="A3304" s="52" t="s">
        <v>77</v>
      </c>
      <c r="B3304" s="28" t="s">
        <v>77</v>
      </c>
      <c r="C3304" s="28" t="s">
        <v>77</v>
      </c>
      <c r="D3304" s="28" t="s">
        <v>77</v>
      </c>
      <c r="E3304" s="28" t="s">
        <v>77</v>
      </c>
      <c r="F3304" s="28" t="s">
        <v>77</v>
      </c>
      <c r="G3304" s="28" t="s">
        <v>77</v>
      </c>
      <c r="I3304" s="26" t="s">
        <v>77</v>
      </c>
      <c r="J3304" s="26" t="s">
        <v>77</v>
      </c>
      <c r="K3304" s="18"/>
      <c r="L3304" s="26" t="s">
        <v>77</v>
      </c>
      <c r="M3304" s="6" t="s">
        <v>77</v>
      </c>
      <c r="N3304" s="28" t="s">
        <v>77</v>
      </c>
      <c r="O3304" s="26" t="s">
        <v>77</v>
      </c>
    </row>
    <row r="3305">
      <c r="A3305" s="52" t="s">
        <v>77</v>
      </c>
      <c r="B3305" s="28" t="s">
        <v>77</v>
      </c>
      <c r="C3305" s="28" t="s">
        <v>77</v>
      </c>
      <c r="D3305" s="28" t="s">
        <v>77</v>
      </c>
      <c r="E3305" s="28" t="s">
        <v>77</v>
      </c>
      <c r="F3305" s="28" t="s">
        <v>77</v>
      </c>
      <c r="G3305" s="28" t="s">
        <v>77</v>
      </c>
      <c r="I3305" s="26" t="s">
        <v>77</v>
      </c>
      <c r="J3305" s="26" t="s">
        <v>77</v>
      </c>
      <c r="K3305" s="18"/>
      <c r="L3305" s="26" t="s">
        <v>77</v>
      </c>
      <c r="M3305" s="6" t="s">
        <v>77</v>
      </c>
      <c r="N3305" s="28" t="s">
        <v>77</v>
      </c>
      <c r="O3305" s="26" t="s">
        <v>77</v>
      </c>
    </row>
    <row r="3306">
      <c r="A3306" s="52" t="s">
        <v>77</v>
      </c>
      <c r="B3306" s="28" t="s">
        <v>77</v>
      </c>
      <c r="C3306" s="28" t="s">
        <v>77</v>
      </c>
      <c r="D3306" s="28" t="s">
        <v>77</v>
      </c>
      <c r="E3306" s="28" t="s">
        <v>77</v>
      </c>
      <c r="F3306" s="28" t="s">
        <v>77</v>
      </c>
      <c r="G3306" s="28" t="s">
        <v>77</v>
      </c>
      <c r="I3306" s="26" t="s">
        <v>77</v>
      </c>
      <c r="J3306" s="26" t="s">
        <v>77</v>
      </c>
      <c r="K3306" s="18"/>
      <c r="L3306" s="26" t="s">
        <v>77</v>
      </c>
      <c r="M3306" s="6" t="s">
        <v>77</v>
      </c>
      <c r="N3306" s="28" t="s">
        <v>77</v>
      </c>
      <c r="O3306" s="26" t="s">
        <v>77</v>
      </c>
    </row>
    <row r="3307">
      <c r="A3307" s="52" t="s">
        <v>77</v>
      </c>
      <c r="B3307" s="28" t="s">
        <v>77</v>
      </c>
      <c r="C3307" s="28" t="s">
        <v>77</v>
      </c>
      <c r="D3307" s="28" t="s">
        <v>77</v>
      </c>
      <c r="E3307" s="28" t="s">
        <v>77</v>
      </c>
      <c r="F3307" s="28" t="s">
        <v>77</v>
      </c>
      <c r="G3307" s="28" t="s">
        <v>77</v>
      </c>
      <c r="I3307" s="26" t="s">
        <v>77</v>
      </c>
      <c r="J3307" s="26" t="s">
        <v>77</v>
      </c>
      <c r="K3307" s="18"/>
      <c r="L3307" s="26" t="s">
        <v>77</v>
      </c>
      <c r="M3307" s="6" t="s">
        <v>77</v>
      </c>
      <c r="N3307" s="28" t="s">
        <v>77</v>
      </c>
      <c r="O3307" s="26" t="s">
        <v>77</v>
      </c>
    </row>
    <row r="3308">
      <c r="A3308" s="52" t="s">
        <v>77</v>
      </c>
      <c r="B3308" s="28" t="s">
        <v>77</v>
      </c>
      <c r="C3308" s="28" t="s">
        <v>77</v>
      </c>
      <c r="D3308" s="28" t="s">
        <v>77</v>
      </c>
      <c r="E3308" s="28" t="s">
        <v>77</v>
      </c>
      <c r="F3308" s="28" t="s">
        <v>77</v>
      </c>
      <c r="G3308" s="28" t="s">
        <v>77</v>
      </c>
      <c r="I3308" s="26" t="s">
        <v>77</v>
      </c>
      <c r="J3308" s="26" t="s">
        <v>77</v>
      </c>
      <c r="K3308" s="18"/>
      <c r="L3308" s="26" t="s">
        <v>77</v>
      </c>
      <c r="M3308" s="6" t="s">
        <v>77</v>
      </c>
      <c r="N3308" s="28" t="s">
        <v>77</v>
      </c>
      <c r="O3308" s="26" t="s">
        <v>77</v>
      </c>
    </row>
    <row r="3309">
      <c r="A3309" s="52" t="s">
        <v>77</v>
      </c>
      <c r="B3309" s="28" t="s">
        <v>77</v>
      </c>
      <c r="C3309" s="28" t="s">
        <v>77</v>
      </c>
      <c r="D3309" s="28" t="s">
        <v>77</v>
      </c>
      <c r="E3309" s="28" t="s">
        <v>77</v>
      </c>
      <c r="F3309" s="28" t="s">
        <v>77</v>
      </c>
      <c r="G3309" s="28" t="s">
        <v>77</v>
      </c>
      <c r="I3309" s="26" t="s">
        <v>77</v>
      </c>
      <c r="J3309" s="26" t="s">
        <v>77</v>
      </c>
      <c r="K3309" s="18"/>
      <c r="L3309" s="26" t="s">
        <v>77</v>
      </c>
      <c r="M3309" s="6" t="s">
        <v>77</v>
      </c>
      <c r="N3309" s="28" t="s">
        <v>77</v>
      </c>
      <c r="O3309" s="26" t="s">
        <v>77</v>
      </c>
    </row>
    <row r="3310">
      <c r="A3310" s="52" t="s">
        <v>77</v>
      </c>
      <c r="B3310" s="28" t="s">
        <v>77</v>
      </c>
      <c r="C3310" s="28" t="s">
        <v>77</v>
      </c>
      <c r="D3310" s="28" t="s">
        <v>77</v>
      </c>
      <c r="E3310" s="28" t="s">
        <v>77</v>
      </c>
      <c r="F3310" s="28" t="s">
        <v>77</v>
      </c>
      <c r="G3310" s="28" t="s">
        <v>77</v>
      </c>
      <c r="I3310" s="26" t="s">
        <v>77</v>
      </c>
      <c r="J3310" s="26" t="s">
        <v>77</v>
      </c>
      <c r="K3310" s="18"/>
      <c r="L3310" s="26" t="s">
        <v>77</v>
      </c>
      <c r="M3310" s="6" t="s">
        <v>77</v>
      </c>
      <c r="N3310" s="28" t="s">
        <v>77</v>
      </c>
      <c r="O3310" s="26" t="s">
        <v>77</v>
      </c>
    </row>
    <row r="3311">
      <c r="A3311" s="52" t="s">
        <v>77</v>
      </c>
      <c r="B3311" s="28" t="s">
        <v>77</v>
      </c>
      <c r="C3311" s="28" t="s">
        <v>77</v>
      </c>
      <c r="D3311" s="28" t="s">
        <v>77</v>
      </c>
      <c r="E3311" s="28" t="s">
        <v>77</v>
      </c>
      <c r="F3311" s="28" t="s">
        <v>77</v>
      </c>
      <c r="G3311" s="28" t="s">
        <v>77</v>
      </c>
      <c r="I3311" s="26" t="s">
        <v>77</v>
      </c>
      <c r="J3311" s="26" t="s">
        <v>77</v>
      </c>
      <c r="K3311" s="18"/>
      <c r="L3311" s="26" t="s">
        <v>77</v>
      </c>
      <c r="M3311" s="6" t="s">
        <v>77</v>
      </c>
      <c r="N3311" s="28" t="s">
        <v>77</v>
      </c>
      <c r="O3311" s="26" t="s">
        <v>77</v>
      </c>
    </row>
    <row r="3312">
      <c r="A3312" s="52" t="s">
        <v>77</v>
      </c>
      <c r="B3312" s="28" t="s">
        <v>77</v>
      </c>
      <c r="C3312" s="28" t="s">
        <v>77</v>
      </c>
      <c r="D3312" s="28" t="s">
        <v>77</v>
      </c>
      <c r="E3312" s="28" t="s">
        <v>77</v>
      </c>
      <c r="F3312" s="28" t="s">
        <v>77</v>
      </c>
      <c r="G3312" s="28" t="s">
        <v>77</v>
      </c>
      <c r="I3312" s="26" t="s">
        <v>77</v>
      </c>
      <c r="J3312" s="26" t="s">
        <v>77</v>
      </c>
      <c r="K3312" s="18"/>
      <c r="L3312" s="26" t="s">
        <v>77</v>
      </c>
      <c r="M3312" s="6" t="s">
        <v>77</v>
      </c>
      <c r="N3312" s="28" t="s">
        <v>77</v>
      </c>
      <c r="O3312" s="26" t="s">
        <v>77</v>
      </c>
    </row>
    <row r="3313">
      <c r="A3313" s="52" t="s">
        <v>77</v>
      </c>
      <c r="B3313" s="28" t="s">
        <v>77</v>
      </c>
      <c r="C3313" s="28" t="s">
        <v>77</v>
      </c>
      <c r="D3313" s="28" t="s">
        <v>77</v>
      </c>
      <c r="E3313" s="28" t="s">
        <v>77</v>
      </c>
      <c r="F3313" s="28" t="s">
        <v>77</v>
      </c>
      <c r="G3313" s="28" t="s">
        <v>77</v>
      </c>
      <c r="I3313" s="26" t="s">
        <v>77</v>
      </c>
      <c r="J3313" s="26" t="s">
        <v>77</v>
      </c>
      <c r="K3313" s="18"/>
      <c r="L3313" s="26" t="s">
        <v>77</v>
      </c>
      <c r="M3313" s="6" t="s">
        <v>77</v>
      </c>
      <c r="N3313" s="28" t="s">
        <v>77</v>
      </c>
      <c r="O3313" s="26" t="s">
        <v>77</v>
      </c>
    </row>
    <row r="3314">
      <c r="A3314" s="52" t="s">
        <v>77</v>
      </c>
      <c r="B3314" s="28" t="s">
        <v>77</v>
      </c>
      <c r="C3314" s="28" t="s">
        <v>77</v>
      </c>
      <c r="D3314" s="28" t="s">
        <v>77</v>
      </c>
      <c r="E3314" s="28" t="s">
        <v>77</v>
      </c>
      <c r="F3314" s="28" t="s">
        <v>77</v>
      </c>
      <c r="G3314" s="28" t="s">
        <v>77</v>
      </c>
      <c r="I3314" s="26" t="s">
        <v>77</v>
      </c>
      <c r="J3314" s="26" t="s">
        <v>77</v>
      </c>
      <c r="K3314" s="18"/>
      <c r="L3314" s="26" t="s">
        <v>77</v>
      </c>
      <c r="M3314" s="6" t="s">
        <v>77</v>
      </c>
      <c r="N3314" s="28" t="s">
        <v>77</v>
      </c>
      <c r="O3314" s="26" t="s">
        <v>77</v>
      </c>
    </row>
    <row r="3315">
      <c r="A3315" s="52" t="s">
        <v>77</v>
      </c>
      <c r="B3315" s="28" t="s">
        <v>77</v>
      </c>
      <c r="C3315" s="28" t="s">
        <v>77</v>
      </c>
      <c r="D3315" s="28" t="s">
        <v>77</v>
      </c>
      <c r="E3315" s="28" t="s">
        <v>77</v>
      </c>
      <c r="F3315" s="28" t="s">
        <v>77</v>
      </c>
      <c r="G3315" s="28" t="s">
        <v>77</v>
      </c>
      <c r="I3315" s="26" t="s">
        <v>77</v>
      </c>
      <c r="J3315" s="26" t="s">
        <v>77</v>
      </c>
      <c r="K3315" s="18"/>
      <c r="L3315" s="26" t="s">
        <v>77</v>
      </c>
      <c r="M3315" s="6" t="s">
        <v>77</v>
      </c>
      <c r="N3315" s="28" t="s">
        <v>77</v>
      </c>
      <c r="O3315" s="26" t="s">
        <v>77</v>
      </c>
    </row>
    <row r="3316">
      <c r="A3316" s="52" t="s">
        <v>77</v>
      </c>
      <c r="B3316" s="28" t="s">
        <v>77</v>
      </c>
      <c r="C3316" s="28" t="s">
        <v>77</v>
      </c>
      <c r="D3316" s="28" t="s">
        <v>77</v>
      </c>
      <c r="E3316" s="28" t="s">
        <v>77</v>
      </c>
      <c r="F3316" s="28" t="s">
        <v>77</v>
      </c>
      <c r="G3316" s="28" t="s">
        <v>77</v>
      </c>
      <c r="I3316" s="26" t="s">
        <v>77</v>
      </c>
      <c r="J3316" s="26" t="s">
        <v>77</v>
      </c>
      <c r="K3316" s="18"/>
      <c r="L3316" s="26" t="s">
        <v>77</v>
      </c>
      <c r="M3316" s="6" t="s">
        <v>77</v>
      </c>
      <c r="N3316" s="28" t="s">
        <v>77</v>
      </c>
      <c r="O3316" s="26" t="s">
        <v>77</v>
      </c>
    </row>
    <row r="3317">
      <c r="A3317" s="52" t="s">
        <v>77</v>
      </c>
      <c r="B3317" s="28" t="s">
        <v>77</v>
      </c>
      <c r="C3317" s="28" t="s">
        <v>77</v>
      </c>
      <c r="D3317" s="28" t="s">
        <v>77</v>
      </c>
      <c r="E3317" s="28" t="s">
        <v>77</v>
      </c>
      <c r="F3317" s="28" t="s">
        <v>77</v>
      </c>
      <c r="G3317" s="28" t="s">
        <v>77</v>
      </c>
      <c r="I3317" s="26" t="s">
        <v>77</v>
      </c>
      <c r="J3317" s="26" t="s">
        <v>77</v>
      </c>
      <c r="K3317" s="18"/>
      <c r="L3317" s="26" t="s">
        <v>77</v>
      </c>
      <c r="M3317" s="6" t="s">
        <v>77</v>
      </c>
      <c r="N3317" s="28" t="s">
        <v>77</v>
      </c>
      <c r="O3317" s="26" t="s">
        <v>77</v>
      </c>
    </row>
    <row r="3318">
      <c r="A3318" s="52" t="s">
        <v>77</v>
      </c>
      <c r="B3318" s="28" t="s">
        <v>77</v>
      </c>
      <c r="C3318" s="28" t="s">
        <v>77</v>
      </c>
      <c r="D3318" s="28" t="s">
        <v>77</v>
      </c>
      <c r="E3318" s="28" t="s">
        <v>77</v>
      </c>
      <c r="F3318" s="28" t="s">
        <v>77</v>
      </c>
      <c r="G3318" s="28" t="s">
        <v>77</v>
      </c>
      <c r="I3318" s="26" t="s">
        <v>77</v>
      </c>
      <c r="J3318" s="26" t="s">
        <v>77</v>
      </c>
      <c r="K3318" s="18"/>
      <c r="L3318" s="26" t="s">
        <v>77</v>
      </c>
      <c r="M3318" s="6" t="s">
        <v>77</v>
      </c>
      <c r="N3318" s="28" t="s">
        <v>77</v>
      </c>
      <c r="O3318" s="26" t="s">
        <v>77</v>
      </c>
    </row>
    <row r="3319">
      <c r="A3319" s="52" t="s">
        <v>77</v>
      </c>
      <c r="B3319" s="28" t="s">
        <v>77</v>
      </c>
      <c r="C3319" s="28" t="s">
        <v>77</v>
      </c>
      <c r="D3319" s="28" t="s">
        <v>77</v>
      </c>
      <c r="E3319" s="28" t="s">
        <v>77</v>
      </c>
      <c r="F3319" s="28" t="s">
        <v>77</v>
      </c>
      <c r="G3319" s="28" t="s">
        <v>77</v>
      </c>
      <c r="I3319" s="26" t="s">
        <v>77</v>
      </c>
      <c r="J3319" s="26" t="s">
        <v>77</v>
      </c>
      <c r="K3319" s="18"/>
      <c r="L3319" s="26" t="s">
        <v>77</v>
      </c>
      <c r="M3319" s="6" t="s">
        <v>77</v>
      </c>
      <c r="N3319" s="28" t="s">
        <v>77</v>
      </c>
      <c r="O3319" s="26" t="s">
        <v>77</v>
      </c>
    </row>
    <row r="3320">
      <c r="A3320" s="52" t="s">
        <v>77</v>
      </c>
      <c r="B3320" s="28" t="s">
        <v>77</v>
      </c>
      <c r="C3320" s="28" t="s">
        <v>77</v>
      </c>
      <c r="D3320" s="28" t="s">
        <v>77</v>
      </c>
      <c r="E3320" s="28" t="s">
        <v>77</v>
      </c>
      <c r="F3320" s="28" t="s">
        <v>77</v>
      </c>
      <c r="G3320" s="28" t="s">
        <v>77</v>
      </c>
      <c r="I3320" s="26" t="s">
        <v>77</v>
      </c>
      <c r="J3320" s="26" t="s">
        <v>77</v>
      </c>
      <c r="K3320" s="18"/>
      <c r="L3320" s="26" t="s">
        <v>77</v>
      </c>
      <c r="M3320" s="6" t="s">
        <v>77</v>
      </c>
      <c r="N3320" s="28" t="s">
        <v>77</v>
      </c>
      <c r="O3320" s="26" t="s">
        <v>77</v>
      </c>
    </row>
    <row r="3321">
      <c r="A3321" s="52" t="s">
        <v>77</v>
      </c>
      <c r="B3321" s="28" t="s">
        <v>77</v>
      </c>
      <c r="C3321" s="28" t="s">
        <v>77</v>
      </c>
      <c r="D3321" s="28" t="s">
        <v>77</v>
      </c>
      <c r="E3321" s="28" t="s">
        <v>77</v>
      </c>
      <c r="F3321" s="28" t="s">
        <v>77</v>
      </c>
      <c r="G3321" s="28" t="s">
        <v>77</v>
      </c>
      <c r="I3321" s="26" t="s">
        <v>77</v>
      </c>
      <c r="J3321" s="26" t="s">
        <v>77</v>
      </c>
      <c r="K3321" s="18"/>
      <c r="L3321" s="26" t="s">
        <v>77</v>
      </c>
      <c r="M3321" s="6" t="s">
        <v>77</v>
      </c>
      <c r="N3321" s="28" t="s">
        <v>77</v>
      </c>
      <c r="O3321" s="26" t="s">
        <v>77</v>
      </c>
    </row>
    <row r="3322">
      <c r="A3322" s="52" t="s">
        <v>77</v>
      </c>
      <c r="B3322" s="28" t="s">
        <v>77</v>
      </c>
      <c r="C3322" s="28" t="s">
        <v>77</v>
      </c>
      <c r="D3322" s="28" t="s">
        <v>77</v>
      </c>
      <c r="E3322" s="28" t="s">
        <v>77</v>
      </c>
      <c r="F3322" s="28" t="s">
        <v>77</v>
      </c>
      <c r="G3322" s="28" t="s">
        <v>77</v>
      </c>
      <c r="I3322" s="26" t="s">
        <v>77</v>
      </c>
      <c r="J3322" s="26" t="s">
        <v>77</v>
      </c>
      <c r="K3322" s="18"/>
      <c r="L3322" s="26" t="s">
        <v>77</v>
      </c>
      <c r="M3322" s="6" t="s">
        <v>77</v>
      </c>
      <c r="N3322" s="28" t="s">
        <v>77</v>
      </c>
      <c r="O3322" s="26" t="s">
        <v>77</v>
      </c>
    </row>
    <row r="3323">
      <c r="A3323" s="52" t="s">
        <v>77</v>
      </c>
      <c r="B3323" s="28" t="s">
        <v>77</v>
      </c>
      <c r="C3323" s="28" t="s">
        <v>77</v>
      </c>
      <c r="D3323" s="28" t="s">
        <v>77</v>
      </c>
      <c r="E3323" s="28" t="s">
        <v>77</v>
      </c>
      <c r="F3323" s="28" t="s">
        <v>77</v>
      </c>
      <c r="G3323" s="28" t="s">
        <v>77</v>
      </c>
      <c r="I3323" s="26" t="s">
        <v>77</v>
      </c>
      <c r="J3323" s="26" t="s">
        <v>77</v>
      </c>
      <c r="K3323" s="18"/>
      <c r="L3323" s="26" t="s">
        <v>77</v>
      </c>
      <c r="M3323" s="6" t="s">
        <v>77</v>
      </c>
      <c r="N3323" s="28" t="s">
        <v>77</v>
      </c>
      <c r="O3323" s="26" t="s">
        <v>77</v>
      </c>
    </row>
    <row r="3324">
      <c r="A3324" s="52" t="s">
        <v>77</v>
      </c>
      <c r="B3324" s="28" t="s">
        <v>77</v>
      </c>
      <c r="C3324" s="28" t="s">
        <v>77</v>
      </c>
      <c r="D3324" s="28" t="s">
        <v>77</v>
      </c>
      <c r="E3324" s="28" t="s">
        <v>77</v>
      </c>
      <c r="F3324" s="28" t="s">
        <v>77</v>
      </c>
      <c r="G3324" s="28" t="s">
        <v>77</v>
      </c>
      <c r="I3324" s="26" t="s">
        <v>77</v>
      </c>
      <c r="J3324" s="26" t="s">
        <v>77</v>
      </c>
      <c r="K3324" s="18"/>
      <c r="L3324" s="26" t="s">
        <v>77</v>
      </c>
      <c r="M3324" s="6" t="s">
        <v>77</v>
      </c>
      <c r="N3324" s="28" t="s">
        <v>77</v>
      </c>
      <c r="O3324" s="26" t="s">
        <v>77</v>
      </c>
    </row>
    <row r="3325">
      <c r="A3325" s="52" t="s">
        <v>77</v>
      </c>
      <c r="B3325" s="28" t="s">
        <v>77</v>
      </c>
      <c r="C3325" s="28" t="s">
        <v>77</v>
      </c>
      <c r="D3325" s="28" t="s">
        <v>77</v>
      </c>
      <c r="E3325" s="28" t="s">
        <v>77</v>
      </c>
      <c r="F3325" s="28" t="s">
        <v>77</v>
      </c>
      <c r="G3325" s="28" t="s">
        <v>77</v>
      </c>
      <c r="I3325" s="26" t="s">
        <v>77</v>
      </c>
      <c r="J3325" s="26" t="s">
        <v>77</v>
      </c>
      <c r="K3325" s="18"/>
      <c r="L3325" s="26" t="s">
        <v>77</v>
      </c>
      <c r="M3325" s="6" t="s">
        <v>77</v>
      </c>
      <c r="N3325" s="28" t="s">
        <v>77</v>
      </c>
      <c r="O3325" s="26" t="s">
        <v>77</v>
      </c>
    </row>
    <row r="3326">
      <c r="A3326" s="52" t="s">
        <v>77</v>
      </c>
      <c r="B3326" s="28" t="s">
        <v>77</v>
      </c>
      <c r="C3326" s="28" t="s">
        <v>77</v>
      </c>
      <c r="D3326" s="28" t="s">
        <v>77</v>
      </c>
      <c r="E3326" s="28" t="s">
        <v>77</v>
      </c>
      <c r="F3326" s="28" t="s">
        <v>77</v>
      </c>
      <c r="G3326" s="28" t="s">
        <v>77</v>
      </c>
      <c r="I3326" s="26" t="s">
        <v>77</v>
      </c>
      <c r="J3326" s="26" t="s">
        <v>77</v>
      </c>
      <c r="K3326" s="18"/>
      <c r="L3326" s="26" t="s">
        <v>77</v>
      </c>
      <c r="M3326" s="6" t="s">
        <v>77</v>
      </c>
      <c r="N3326" s="28" t="s">
        <v>77</v>
      </c>
      <c r="O3326" s="26" t="s">
        <v>77</v>
      </c>
    </row>
    <row r="3327">
      <c r="A3327" s="52" t="s">
        <v>77</v>
      </c>
      <c r="B3327" s="28" t="s">
        <v>77</v>
      </c>
      <c r="C3327" s="28" t="s">
        <v>77</v>
      </c>
      <c r="D3327" s="28" t="s">
        <v>77</v>
      </c>
      <c r="E3327" s="28" t="s">
        <v>77</v>
      </c>
      <c r="F3327" s="28" t="s">
        <v>77</v>
      </c>
      <c r="G3327" s="28" t="s">
        <v>77</v>
      </c>
      <c r="I3327" s="26" t="s">
        <v>77</v>
      </c>
      <c r="J3327" s="26" t="s">
        <v>77</v>
      </c>
      <c r="K3327" s="18"/>
      <c r="L3327" s="26" t="s">
        <v>77</v>
      </c>
      <c r="M3327" s="6" t="s">
        <v>77</v>
      </c>
      <c r="N3327" s="28" t="s">
        <v>77</v>
      </c>
      <c r="O3327" s="26" t="s">
        <v>77</v>
      </c>
    </row>
    <row r="3328">
      <c r="A3328" s="52" t="s">
        <v>77</v>
      </c>
      <c r="B3328" s="28" t="s">
        <v>77</v>
      </c>
      <c r="C3328" s="28" t="s">
        <v>77</v>
      </c>
      <c r="D3328" s="28" t="s">
        <v>77</v>
      </c>
      <c r="E3328" s="28" t="s">
        <v>77</v>
      </c>
      <c r="F3328" s="28" t="s">
        <v>77</v>
      </c>
      <c r="G3328" s="28" t="s">
        <v>77</v>
      </c>
      <c r="I3328" s="26" t="s">
        <v>77</v>
      </c>
      <c r="J3328" s="26" t="s">
        <v>77</v>
      </c>
      <c r="K3328" s="18"/>
      <c r="L3328" s="26" t="s">
        <v>77</v>
      </c>
      <c r="M3328" s="6" t="s">
        <v>77</v>
      </c>
      <c r="N3328" s="28" t="s">
        <v>77</v>
      </c>
      <c r="O3328" s="26" t="s">
        <v>77</v>
      </c>
    </row>
    <row r="3329">
      <c r="A3329" s="52" t="s">
        <v>77</v>
      </c>
      <c r="B3329" s="28" t="s">
        <v>77</v>
      </c>
      <c r="C3329" s="28" t="s">
        <v>77</v>
      </c>
      <c r="D3329" s="28" t="s">
        <v>77</v>
      </c>
      <c r="E3329" s="28" t="s">
        <v>77</v>
      </c>
      <c r="F3329" s="28" t="s">
        <v>77</v>
      </c>
      <c r="G3329" s="28" t="s">
        <v>77</v>
      </c>
      <c r="I3329" s="26" t="s">
        <v>77</v>
      </c>
      <c r="J3329" s="26" t="s">
        <v>77</v>
      </c>
      <c r="K3329" s="18"/>
      <c r="L3329" s="26" t="s">
        <v>77</v>
      </c>
      <c r="M3329" s="6" t="s">
        <v>77</v>
      </c>
      <c r="N3329" s="28" t="s">
        <v>77</v>
      </c>
      <c r="O3329" s="26" t="s">
        <v>77</v>
      </c>
    </row>
    <row r="3330">
      <c r="A3330" s="52" t="s">
        <v>77</v>
      </c>
      <c r="B3330" s="28" t="s">
        <v>77</v>
      </c>
      <c r="C3330" s="28" t="s">
        <v>77</v>
      </c>
      <c r="D3330" s="28" t="s">
        <v>77</v>
      </c>
      <c r="E3330" s="28" t="s">
        <v>77</v>
      </c>
      <c r="F3330" s="28" t="s">
        <v>77</v>
      </c>
      <c r="G3330" s="28" t="s">
        <v>77</v>
      </c>
      <c r="I3330" s="26" t="s">
        <v>77</v>
      </c>
      <c r="J3330" s="26" t="s">
        <v>77</v>
      </c>
      <c r="K3330" s="18"/>
      <c r="L3330" s="26" t="s">
        <v>77</v>
      </c>
      <c r="M3330" s="6" t="s">
        <v>77</v>
      </c>
      <c r="N3330" s="28" t="s">
        <v>77</v>
      </c>
      <c r="O3330" s="26" t="s">
        <v>77</v>
      </c>
    </row>
    <row r="3331">
      <c r="A3331" s="52" t="s">
        <v>77</v>
      </c>
      <c r="B3331" s="28" t="s">
        <v>77</v>
      </c>
      <c r="C3331" s="28" t="s">
        <v>77</v>
      </c>
      <c r="D3331" s="28" t="s">
        <v>77</v>
      </c>
      <c r="E3331" s="28" t="s">
        <v>77</v>
      </c>
      <c r="F3331" s="28" t="s">
        <v>77</v>
      </c>
      <c r="G3331" s="28" t="s">
        <v>77</v>
      </c>
      <c r="I3331" s="26" t="s">
        <v>77</v>
      </c>
      <c r="J3331" s="26" t="s">
        <v>77</v>
      </c>
      <c r="K3331" s="18"/>
      <c r="L3331" s="26" t="s">
        <v>77</v>
      </c>
      <c r="M3331" s="6" t="s">
        <v>77</v>
      </c>
      <c r="N3331" s="28" t="s">
        <v>77</v>
      </c>
      <c r="O3331" s="26" t="s">
        <v>77</v>
      </c>
    </row>
    <row r="3332">
      <c r="A3332" s="52" t="s">
        <v>77</v>
      </c>
      <c r="B3332" s="28" t="s">
        <v>77</v>
      </c>
      <c r="C3332" s="28" t="s">
        <v>77</v>
      </c>
      <c r="D3332" s="28" t="s">
        <v>77</v>
      </c>
      <c r="E3332" s="28" t="s">
        <v>77</v>
      </c>
      <c r="F3332" s="28" t="s">
        <v>77</v>
      </c>
      <c r="G3332" s="28" t="s">
        <v>77</v>
      </c>
      <c r="I3332" s="26" t="s">
        <v>77</v>
      </c>
      <c r="J3332" s="26" t="s">
        <v>77</v>
      </c>
      <c r="K3332" s="18"/>
      <c r="L3332" s="26" t="s">
        <v>77</v>
      </c>
      <c r="M3332" s="6" t="s">
        <v>77</v>
      </c>
      <c r="N3332" s="28" t="s">
        <v>77</v>
      </c>
      <c r="O3332" s="26" t="s">
        <v>77</v>
      </c>
    </row>
    <row r="3333">
      <c r="A3333" s="52" t="s">
        <v>77</v>
      </c>
      <c r="B3333" s="28" t="s">
        <v>77</v>
      </c>
      <c r="C3333" s="28" t="s">
        <v>77</v>
      </c>
      <c r="D3333" s="28" t="s">
        <v>77</v>
      </c>
      <c r="E3333" s="28" t="s">
        <v>77</v>
      </c>
      <c r="F3333" s="28" t="s">
        <v>77</v>
      </c>
      <c r="G3333" s="28" t="s">
        <v>77</v>
      </c>
      <c r="I3333" s="26" t="s">
        <v>77</v>
      </c>
      <c r="J3333" s="26" t="s">
        <v>77</v>
      </c>
      <c r="K3333" s="18"/>
      <c r="L3333" s="26" t="s">
        <v>77</v>
      </c>
      <c r="M3333" s="6" t="s">
        <v>77</v>
      </c>
      <c r="N3333" s="28" t="s">
        <v>77</v>
      </c>
      <c r="O3333" s="26" t="s">
        <v>77</v>
      </c>
    </row>
    <row r="3334">
      <c r="A3334" s="52" t="s">
        <v>77</v>
      </c>
      <c r="B3334" s="28" t="s">
        <v>77</v>
      </c>
      <c r="C3334" s="28" t="s">
        <v>77</v>
      </c>
      <c r="D3334" s="28" t="s">
        <v>77</v>
      </c>
      <c r="E3334" s="28" t="s">
        <v>77</v>
      </c>
      <c r="F3334" s="28" t="s">
        <v>77</v>
      </c>
      <c r="G3334" s="28" t="s">
        <v>77</v>
      </c>
      <c r="I3334" s="26" t="s">
        <v>77</v>
      </c>
      <c r="J3334" s="26" t="s">
        <v>77</v>
      </c>
      <c r="K3334" s="18"/>
      <c r="L3334" s="26" t="s">
        <v>77</v>
      </c>
      <c r="M3334" s="6" t="s">
        <v>77</v>
      </c>
      <c r="N3334" s="28" t="s">
        <v>77</v>
      </c>
      <c r="O3334" s="26" t="s">
        <v>77</v>
      </c>
    </row>
    <row r="3335">
      <c r="A3335" s="52" t="s">
        <v>77</v>
      </c>
      <c r="B3335" s="28" t="s">
        <v>77</v>
      </c>
      <c r="C3335" s="28" t="s">
        <v>77</v>
      </c>
      <c r="D3335" s="28" t="s">
        <v>77</v>
      </c>
      <c r="E3335" s="28" t="s">
        <v>77</v>
      </c>
      <c r="F3335" s="28" t="s">
        <v>77</v>
      </c>
      <c r="G3335" s="28" t="s">
        <v>77</v>
      </c>
      <c r="I3335" s="26" t="s">
        <v>77</v>
      </c>
      <c r="J3335" s="26" t="s">
        <v>77</v>
      </c>
      <c r="K3335" s="18"/>
      <c r="L3335" s="26" t="s">
        <v>77</v>
      </c>
      <c r="M3335" s="6" t="s">
        <v>77</v>
      </c>
      <c r="N3335" s="28" t="s">
        <v>77</v>
      </c>
      <c r="O3335" s="26" t="s">
        <v>77</v>
      </c>
    </row>
    <row r="3336">
      <c r="A3336" s="52" t="s">
        <v>77</v>
      </c>
      <c r="B3336" s="28" t="s">
        <v>77</v>
      </c>
      <c r="C3336" s="28" t="s">
        <v>77</v>
      </c>
      <c r="D3336" s="28" t="s">
        <v>77</v>
      </c>
      <c r="E3336" s="28" t="s">
        <v>77</v>
      </c>
      <c r="F3336" s="28" t="s">
        <v>77</v>
      </c>
      <c r="G3336" s="28" t="s">
        <v>77</v>
      </c>
      <c r="I3336" s="26" t="s">
        <v>77</v>
      </c>
      <c r="J3336" s="26" t="s">
        <v>77</v>
      </c>
      <c r="K3336" s="18"/>
      <c r="L3336" s="26" t="s">
        <v>77</v>
      </c>
      <c r="M3336" s="6" t="s">
        <v>77</v>
      </c>
      <c r="N3336" s="28" t="s">
        <v>77</v>
      </c>
      <c r="O3336" s="26" t="s">
        <v>77</v>
      </c>
    </row>
    <row r="3337">
      <c r="A3337" s="52" t="s">
        <v>77</v>
      </c>
      <c r="B3337" s="28" t="s">
        <v>77</v>
      </c>
      <c r="C3337" s="28" t="s">
        <v>77</v>
      </c>
      <c r="D3337" s="28" t="s">
        <v>77</v>
      </c>
      <c r="E3337" s="28" t="s">
        <v>77</v>
      </c>
      <c r="F3337" s="28" t="s">
        <v>77</v>
      </c>
      <c r="G3337" s="28" t="s">
        <v>77</v>
      </c>
      <c r="I3337" s="26" t="s">
        <v>77</v>
      </c>
      <c r="J3337" s="26" t="s">
        <v>77</v>
      </c>
      <c r="K3337" s="18"/>
      <c r="L3337" s="26" t="s">
        <v>77</v>
      </c>
      <c r="M3337" s="6" t="s">
        <v>77</v>
      </c>
      <c r="N3337" s="28" t="s">
        <v>77</v>
      </c>
      <c r="O3337" s="26" t="s">
        <v>77</v>
      </c>
    </row>
    <row r="3338">
      <c r="A3338" s="52" t="s">
        <v>77</v>
      </c>
      <c r="B3338" s="28" t="s">
        <v>77</v>
      </c>
      <c r="C3338" s="28" t="s">
        <v>77</v>
      </c>
      <c r="D3338" s="28" t="s">
        <v>77</v>
      </c>
      <c r="E3338" s="28" t="s">
        <v>77</v>
      </c>
      <c r="F3338" s="28" t="s">
        <v>77</v>
      </c>
      <c r="G3338" s="28" t="s">
        <v>77</v>
      </c>
      <c r="I3338" s="26" t="s">
        <v>77</v>
      </c>
      <c r="J3338" s="26" t="s">
        <v>77</v>
      </c>
      <c r="K3338" s="18"/>
      <c r="L3338" s="26" t="s">
        <v>77</v>
      </c>
      <c r="M3338" s="6" t="s">
        <v>77</v>
      </c>
      <c r="N3338" s="28" t="s">
        <v>77</v>
      </c>
      <c r="O3338" s="26" t="s">
        <v>77</v>
      </c>
    </row>
    <row r="3339">
      <c r="A3339" s="52" t="s">
        <v>77</v>
      </c>
      <c r="B3339" s="28" t="s">
        <v>77</v>
      </c>
      <c r="C3339" s="28" t="s">
        <v>77</v>
      </c>
      <c r="D3339" s="28" t="s">
        <v>77</v>
      </c>
      <c r="E3339" s="28" t="s">
        <v>77</v>
      </c>
      <c r="F3339" s="28" t="s">
        <v>77</v>
      </c>
      <c r="G3339" s="28" t="s">
        <v>77</v>
      </c>
      <c r="I3339" s="26" t="s">
        <v>77</v>
      </c>
      <c r="J3339" s="26" t="s">
        <v>77</v>
      </c>
      <c r="K3339" s="18"/>
      <c r="L3339" s="26" t="s">
        <v>77</v>
      </c>
      <c r="M3339" s="6" t="s">
        <v>77</v>
      </c>
      <c r="N3339" s="28" t="s">
        <v>77</v>
      </c>
      <c r="O3339" s="26" t="s">
        <v>77</v>
      </c>
    </row>
    <row r="3340">
      <c r="A3340" s="52" t="s">
        <v>77</v>
      </c>
      <c r="B3340" s="28" t="s">
        <v>77</v>
      </c>
      <c r="C3340" s="28" t="s">
        <v>77</v>
      </c>
      <c r="D3340" s="28" t="s">
        <v>77</v>
      </c>
      <c r="E3340" s="28" t="s">
        <v>77</v>
      </c>
      <c r="F3340" s="28" t="s">
        <v>77</v>
      </c>
      <c r="G3340" s="28" t="s">
        <v>77</v>
      </c>
      <c r="I3340" s="26" t="s">
        <v>77</v>
      </c>
      <c r="J3340" s="26" t="s">
        <v>77</v>
      </c>
      <c r="K3340" s="18"/>
      <c r="L3340" s="26" t="s">
        <v>77</v>
      </c>
      <c r="M3340" s="6" t="s">
        <v>77</v>
      </c>
      <c r="N3340" s="28" t="s">
        <v>77</v>
      </c>
      <c r="O3340" s="26" t="s">
        <v>77</v>
      </c>
    </row>
    <row r="3341">
      <c r="A3341" s="52" t="s">
        <v>77</v>
      </c>
      <c r="B3341" s="28" t="s">
        <v>77</v>
      </c>
      <c r="C3341" s="28" t="s">
        <v>77</v>
      </c>
      <c r="D3341" s="28" t="s">
        <v>77</v>
      </c>
      <c r="E3341" s="28" t="s">
        <v>77</v>
      </c>
      <c r="F3341" s="28" t="s">
        <v>77</v>
      </c>
      <c r="G3341" s="28" t="s">
        <v>77</v>
      </c>
      <c r="I3341" s="26" t="s">
        <v>77</v>
      </c>
      <c r="J3341" s="26" t="s">
        <v>77</v>
      </c>
      <c r="K3341" s="18"/>
      <c r="L3341" s="26" t="s">
        <v>77</v>
      </c>
      <c r="M3341" s="6" t="s">
        <v>77</v>
      </c>
      <c r="N3341" s="28" t="s">
        <v>77</v>
      </c>
      <c r="O3341" s="26" t="s">
        <v>77</v>
      </c>
    </row>
    <row r="3342">
      <c r="A3342" s="52" t="s">
        <v>77</v>
      </c>
      <c r="B3342" s="28" t="s">
        <v>77</v>
      </c>
      <c r="C3342" s="28" t="s">
        <v>77</v>
      </c>
      <c r="D3342" s="28" t="s">
        <v>77</v>
      </c>
      <c r="E3342" s="28" t="s">
        <v>77</v>
      </c>
      <c r="F3342" s="28" t="s">
        <v>77</v>
      </c>
      <c r="G3342" s="28" t="s">
        <v>77</v>
      </c>
      <c r="I3342" s="26" t="s">
        <v>77</v>
      </c>
      <c r="J3342" s="26" t="s">
        <v>77</v>
      </c>
      <c r="K3342" s="18"/>
      <c r="L3342" s="26" t="s">
        <v>77</v>
      </c>
      <c r="M3342" s="6" t="s">
        <v>77</v>
      </c>
      <c r="N3342" s="28" t="s">
        <v>77</v>
      </c>
      <c r="O3342" s="26" t="s">
        <v>77</v>
      </c>
    </row>
    <row r="3343">
      <c r="A3343" s="52" t="s">
        <v>77</v>
      </c>
      <c r="B3343" s="28" t="s">
        <v>77</v>
      </c>
      <c r="C3343" s="28" t="s">
        <v>77</v>
      </c>
      <c r="D3343" s="28" t="s">
        <v>77</v>
      </c>
      <c r="E3343" s="28" t="s">
        <v>77</v>
      </c>
      <c r="F3343" s="28" t="s">
        <v>77</v>
      </c>
      <c r="G3343" s="28" t="s">
        <v>77</v>
      </c>
      <c r="I3343" s="26" t="s">
        <v>77</v>
      </c>
      <c r="J3343" s="26" t="s">
        <v>77</v>
      </c>
      <c r="K3343" s="18"/>
      <c r="L3343" s="26" t="s">
        <v>77</v>
      </c>
      <c r="M3343" s="6" t="s">
        <v>77</v>
      </c>
      <c r="N3343" s="28" t="s">
        <v>77</v>
      </c>
      <c r="O3343" s="26" t="s">
        <v>77</v>
      </c>
    </row>
    <row r="3344">
      <c r="A3344" s="52" t="s">
        <v>77</v>
      </c>
      <c r="B3344" s="28" t="s">
        <v>77</v>
      </c>
      <c r="C3344" s="28" t="s">
        <v>77</v>
      </c>
      <c r="D3344" s="28" t="s">
        <v>77</v>
      </c>
      <c r="E3344" s="28" t="s">
        <v>77</v>
      </c>
      <c r="F3344" s="28" t="s">
        <v>77</v>
      </c>
      <c r="G3344" s="28" t="s">
        <v>77</v>
      </c>
      <c r="I3344" s="26" t="s">
        <v>77</v>
      </c>
      <c r="J3344" s="26" t="s">
        <v>77</v>
      </c>
      <c r="K3344" s="18"/>
      <c r="L3344" s="26" t="s">
        <v>77</v>
      </c>
      <c r="M3344" s="6" t="s">
        <v>77</v>
      </c>
      <c r="N3344" s="28" t="s">
        <v>77</v>
      </c>
      <c r="O3344" s="26" t="s">
        <v>77</v>
      </c>
    </row>
    <row r="3345">
      <c r="A3345" s="52" t="s">
        <v>77</v>
      </c>
      <c r="B3345" s="28" t="s">
        <v>77</v>
      </c>
      <c r="C3345" s="28" t="s">
        <v>77</v>
      </c>
      <c r="D3345" s="28" t="s">
        <v>77</v>
      </c>
      <c r="E3345" s="28" t="s">
        <v>77</v>
      </c>
      <c r="F3345" s="28" t="s">
        <v>77</v>
      </c>
      <c r="G3345" s="28" t="s">
        <v>77</v>
      </c>
      <c r="I3345" s="26" t="s">
        <v>77</v>
      </c>
      <c r="J3345" s="26" t="s">
        <v>77</v>
      </c>
      <c r="K3345" s="18"/>
      <c r="L3345" s="26" t="s">
        <v>77</v>
      </c>
      <c r="M3345" s="6" t="s">
        <v>77</v>
      </c>
      <c r="N3345" s="28" t="s">
        <v>77</v>
      </c>
      <c r="O3345" s="26" t="s">
        <v>77</v>
      </c>
    </row>
    <row r="3346">
      <c r="A3346" s="52" t="s">
        <v>77</v>
      </c>
      <c r="B3346" s="28" t="s">
        <v>77</v>
      </c>
      <c r="C3346" s="28" t="s">
        <v>77</v>
      </c>
      <c r="D3346" s="28" t="s">
        <v>77</v>
      </c>
      <c r="E3346" s="28" t="s">
        <v>77</v>
      </c>
      <c r="F3346" s="28" t="s">
        <v>77</v>
      </c>
      <c r="G3346" s="28" t="s">
        <v>77</v>
      </c>
      <c r="I3346" s="26" t="s">
        <v>77</v>
      </c>
      <c r="J3346" s="26" t="s">
        <v>77</v>
      </c>
      <c r="K3346" s="18"/>
      <c r="L3346" s="26" t="s">
        <v>77</v>
      </c>
      <c r="M3346" s="6" t="s">
        <v>77</v>
      </c>
      <c r="N3346" s="28" t="s">
        <v>77</v>
      </c>
      <c r="O3346" s="26" t="s">
        <v>77</v>
      </c>
    </row>
    <row r="3347">
      <c r="A3347" s="52" t="s">
        <v>77</v>
      </c>
      <c r="B3347" s="28" t="s">
        <v>77</v>
      </c>
      <c r="C3347" s="28" t="s">
        <v>77</v>
      </c>
      <c r="D3347" s="28" t="s">
        <v>77</v>
      </c>
      <c r="E3347" s="28" t="s">
        <v>77</v>
      </c>
      <c r="F3347" s="28" t="s">
        <v>77</v>
      </c>
      <c r="G3347" s="28" t="s">
        <v>77</v>
      </c>
      <c r="I3347" s="26" t="s">
        <v>77</v>
      </c>
      <c r="J3347" s="26" t="s">
        <v>77</v>
      </c>
      <c r="K3347" s="18"/>
      <c r="L3347" s="26" t="s">
        <v>77</v>
      </c>
      <c r="M3347" s="6" t="s">
        <v>77</v>
      </c>
      <c r="N3347" s="28" t="s">
        <v>77</v>
      </c>
      <c r="O3347" s="26" t="s">
        <v>77</v>
      </c>
    </row>
    <row r="3348">
      <c r="A3348" s="52" t="s">
        <v>77</v>
      </c>
      <c r="B3348" s="28" t="s">
        <v>77</v>
      </c>
      <c r="C3348" s="28" t="s">
        <v>77</v>
      </c>
      <c r="D3348" s="28" t="s">
        <v>77</v>
      </c>
      <c r="E3348" s="28" t="s">
        <v>77</v>
      </c>
      <c r="F3348" s="28" t="s">
        <v>77</v>
      </c>
      <c r="G3348" s="28" t="s">
        <v>77</v>
      </c>
      <c r="I3348" s="26" t="s">
        <v>77</v>
      </c>
      <c r="J3348" s="26" t="s">
        <v>77</v>
      </c>
      <c r="K3348" s="18"/>
      <c r="L3348" s="26" t="s">
        <v>77</v>
      </c>
      <c r="M3348" s="6" t="s">
        <v>77</v>
      </c>
      <c r="N3348" s="28" t="s">
        <v>77</v>
      </c>
      <c r="O3348" s="26" t="s">
        <v>77</v>
      </c>
    </row>
    <row r="3349">
      <c r="A3349" s="52" t="s">
        <v>77</v>
      </c>
      <c r="B3349" s="28" t="s">
        <v>77</v>
      </c>
      <c r="C3349" s="28" t="s">
        <v>77</v>
      </c>
      <c r="D3349" s="28" t="s">
        <v>77</v>
      </c>
      <c r="E3349" s="28" t="s">
        <v>77</v>
      </c>
      <c r="F3349" s="28" t="s">
        <v>77</v>
      </c>
      <c r="G3349" s="28" t="s">
        <v>77</v>
      </c>
      <c r="I3349" s="26" t="s">
        <v>77</v>
      </c>
      <c r="J3349" s="26" t="s">
        <v>77</v>
      </c>
      <c r="K3349" s="18"/>
      <c r="L3349" s="26" t="s">
        <v>77</v>
      </c>
      <c r="M3349" s="6" t="s">
        <v>77</v>
      </c>
      <c r="N3349" s="28" t="s">
        <v>77</v>
      </c>
      <c r="O3349" s="26" t="s">
        <v>77</v>
      </c>
    </row>
    <row r="3350">
      <c r="A3350" s="52" t="s">
        <v>77</v>
      </c>
      <c r="B3350" s="28" t="s">
        <v>77</v>
      </c>
      <c r="C3350" s="28" t="s">
        <v>77</v>
      </c>
      <c r="D3350" s="28" t="s">
        <v>77</v>
      </c>
      <c r="E3350" s="28" t="s">
        <v>77</v>
      </c>
      <c r="F3350" s="28" t="s">
        <v>77</v>
      </c>
      <c r="G3350" s="28" t="s">
        <v>77</v>
      </c>
      <c r="I3350" s="26" t="s">
        <v>77</v>
      </c>
      <c r="J3350" s="26" t="s">
        <v>77</v>
      </c>
      <c r="K3350" s="18"/>
      <c r="L3350" s="26" t="s">
        <v>77</v>
      </c>
      <c r="M3350" s="6" t="s">
        <v>77</v>
      </c>
      <c r="N3350" s="28" t="s">
        <v>77</v>
      </c>
      <c r="O3350" s="26" t="s">
        <v>77</v>
      </c>
    </row>
    <row r="3351">
      <c r="A3351" s="52" t="s">
        <v>77</v>
      </c>
      <c r="B3351" s="28" t="s">
        <v>77</v>
      </c>
      <c r="C3351" s="28" t="s">
        <v>77</v>
      </c>
      <c r="D3351" s="28" t="s">
        <v>77</v>
      </c>
      <c r="E3351" s="28" t="s">
        <v>77</v>
      </c>
      <c r="F3351" s="28" t="s">
        <v>77</v>
      </c>
      <c r="G3351" s="28" t="s">
        <v>77</v>
      </c>
      <c r="I3351" s="26" t="s">
        <v>77</v>
      </c>
      <c r="J3351" s="26" t="s">
        <v>77</v>
      </c>
      <c r="K3351" s="18"/>
      <c r="L3351" s="26" t="s">
        <v>77</v>
      </c>
      <c r="M3351" s="6" t="s">
        <v>77</v>
      </c>
      <c r="N3351" s="28" t="s">
        <v>77</v>
      </c>
      <c r="O3351" s="26" t="s">
        <v>77</v>
      </c>
    </row>
    <row r="3352">
      <c r="A3352" s="52" t="s">
        <v>77</v>
      </c>
      <c r="B3352" s="28" t="s">
        <v>77</v>
      </c>
      <c r="C3352" s="28" t="s">
        <v>77</v>
      </c>
      <c r="D3352" s="28" t="s">
        <v>77</v>
      </c>
      <c r="E3352" s="28" t="s">
        <v>77</v>
      </c>
      <c r="F3352" s="28" t="s">
        <v>77</v>
      </c>
      <c r="G3352" s="28" t="s">
        <v>77</v>
      </c>
      <c r="I3352" s="26" t="s">
        <v>77</v>
      </c>
      <c r="J3352" s="26" t="s">
        <v>77</v>
      </c>
      <c r="K3352" s="18"/>
      <c r="L3352" s="26" t="s">
        <v>77</v>
      </c>
      <c r="M3352" s="6" t="s">
        <v>77</v>
      </c>
      <c r="N3352" s="28" t="s">
        <v>77</v>
      </c>
      <c r="O3352" s="26" t="s">
        <v>77</v>
      </c>
    </row>
    <row r="3353">
      <c r="A3353" s="52" t="s">
        <v>77</v>
      </c>
      <c r="B3353" s="28" t="s">
        <v>77</v>
      </c>
      <c r="C3353" s="28" t="s">
        <v>77</v>
      </c>
      <c r="D3353" s="28" t="s">
        <v>77</v>
      </c>
      <c r="E3353" s="28" t="s">
        <v>77</v>
      </c>
      <c r="F3353" s="28" t="s">
        <v>77</v>
      </c>
      <c r="G3353" s="28" t="s">
        <v>77</v>
      </c>
      <c r="I3353" s="26" t="s">
        <v>77</v>
      </c>
      <c r="J3353" s="26" t="s">
        <v>77</v>
      </c>
      <c r="K3353" s="18"/>
      <c r="L3353" s="26" t="s">
        <v>77</v>
      </c>
      <c r="M3353" s="6" t="s">
        <v>77</v>
      </c>
      <c r="N3353" s="28" t="s">
        <v>77</v>
      </c>
      <c r="O3353" s="26" t="s">
        <v>77</v>
      </c>
    </row>
    <row r="3354">
      <c r="A3354" s="52" t="s">
        <v>77</v>
      </c>
      <c r="B3354" s="28" t="s">
        <v>77</v>
      </c>
      <c r="C3354" s="28" t="s">
        <v>77</v>
      </c>
      <c r="D3354" s="28" t="s">
        <v>77</v>
      </c>
      <c r="E3354" s="28" t="s">
        <v>77</v>
      </c>
      <c r="F3354" s="28" t="s">
        <v>77</v>
      </c>
      <c r="G3354" s="28" t="s">
        <v>77</v>
      </c>
      <c r="I3354" s="26" t="s">
        <v>77</v>
      </c>
      <c r="J3354" s="26" t="s">
        <v>77</v>
      </c>
      <c r="K3354" s="18"/>
      <c r="L3354" s="26" t="s">
        <v>77</v>
      </c>
      <c r="M3354" s="6" t="s">
        <v>77</v>
      </c>
      <c r="N3354" s="28" t="s">
        <v>77</v>
      </c>
      <c r="O3354" s="26" t="s">
        <v>77</v>
      </c>
    </row>
    <row r="3355">
      <c r="A3355" s="52" t="s">
        <v>77</v>
      </c>
      <c r="B3355" s="28" t="s">
        <v>77</v>
      </c>
      <c r="C3355" s="28" t="s">
        <v>77</v>
      </c>
      <c r="D3355" s="28" t="s">
        <v>77</v>
      </c>
      <c r="E3355" s="28" t="s">
        <v>77</v>
      </c>
      <c r="F3355" s="28" t="s">
        <v>77</v>
      </c>
      <c r="G3355" s="28" t="s">
        <v>77</v>
      </c>
      <c r="I3355" s="26" t="s">
        <v>77</v>
      </c>
      <c r="J3355" s="26" t="s">
        <v>77</v>
      </c>
      <c r="K3355" s="18"/>
      <c r="L3355" s="26" t="s">
        <v>77</v>
      </c>
      <c r="M3355" s="6" t="s">
        <v>77</v>
      </c>
      <c r="N3355" s="28" t="s">
        <v>77</v>
      </c>
      <c r="O3355" s="26" t="s">
        <v>77</v>
      </c>
    </row>
    <row r="3356">
      <c r="A3356" s="52" t="s">
        <v>77</v>
      </c>
      <c r="B3356" s="28" t="s">
        <v>77</v>
      </c>
      <c r="C3356" s="28" t="s">
        <v>77</v>
      </c>
      <c r="D3356" s="28" t="s">
        <v>77</v>
      </c>
      <c r="E3356" s="28" t="s">
        <v>77</v>
      </c>
      <c r="F3356" s="28" t="s">
        <v>77</v>
      </c>
      <c r="G3356" s="28" t="s">
        <v>77</v>
      </c>
      <c r="I3356" s="26" t="s">
        <v>77</v>
      </c>
      <c r="J3356" s="26" t="s">
        <v>77</v>
      </c>
      <c r="K3356" s="18"/>
      <c r="L3356" s="26" t="s">
        <v>77</v>
      </c>
      <c r="M3356" s="6" t="s">
        <v>77</v>
      </c>
      <c r="N3356" s="28" t="s">
        <v>77</v>
      </c>
      <c r="O3356" s="26" t="s">
        <v>77</v>
      </c>
    </row>
    <row r="3357">
      <c r="A3357" s="52" t="s">
        <v>77</v>
      </c>
      <c r="B3357" s="28" t="s">
        <v>77</v>
      </c>
      <c r="C3357" s="28" t="s">
        <v>77</v>
      </c>
      <c r="D3357" s="28" t="s">
        <v>77</v>
      </c>
      <c r="E3357" s="28" t="s">
        <v>77</v>
      </c>
      <c r="F3357" s="28" t="s">
        <v>77</v>
      </c>
      <c r="G3357" s="28" t="s">
        <v>77</v>
      </c>
      <c r="I3357" s="26" t="s">
        <v>77</v>
      </c>
      <c r="J3357" s="26" t="s">
        <v>77</v>
      </c>
      <c r="K3357" s="18"/>
      <c r="L3357" s="26" t="s">
        <v>77</v>
      </c>
      <c r="M3357" s="6" t="s">
        <v>77</v>
      </c>
      <c r="N3357" s="28" t="s">
        <v>77</v>
      </c>
      <c r="O3357" s="26" t="s">
        <v>77</v>
      </c>
    </row>
    <row r="3358">
      <c r="A3358" s="52" t="s">
        <v>77</v>
      </c>
      <c r="B3358" s="28" t="s">
        <v>77</v>
      </c>
      <c r="C3358" s="28" t="s">
        <v>77</v>
      </c>
      <c r="D3358" s="28" t="s">
        <v>77</v>
      </c>
      <c r="E3358" s="28" t="s">
        <v>77</v>
      </c>
      <c r="F3358" s="28" t="s">
        <v>77</v>
      </c>
      <c r="G3358" s="28" t="s">
        <v>77</v>
      </c>
      <c r="I3358" s="26" t="s">
        <v>77</v>
      </c>
      <c r="J3358" s="26" t="s">
        <v>77</v>
      </c>
      <c r="K3358" s="18"/>
      <c r="L3358" s="26" t="s">
        <v>77</v>
      </c>
      <c r="M3358" s="6" t="s">
        <v>77</v>
      </c>
      <c r="N3358" s="28" t="s">
        <v>77</v>
      </c>
      <c r="O3358" s="26" t="s">
        <v>77</v>
      </c>
    </row>
    <row r="3359">
      <c r="A3359" s="52" t="s">
        <v>77</v>
      </c>
      <c r="B3359" s="28" t="s">
        <v>77</v>
      </c>
      <c r="C3359" s="28" t="s">
        <v>77</v>
      </c>
      <c r="D3359" s="28" t="s">
        <v>77</v>
      </c>
      <c r="E3359" s="28" t="s">
        <v>77</v>
      </c>
      <c r="F3359" s="28" t="s">
        <v>77</v>
      </c>
      <c r="G3359" s="28" t="s">
        <v>77</v>
      </c>
      <c r="I3359" s="26" t="s">
        <v>77</v>
      </c>
      <c r="J3359" s="26" t="s">
        <v>77</v>
      </c>
      <c r="K3359" s="18"/>
      <c r="L3359" s="26" t="s">
        <v>77</v>
      </c>
      <c r="M3359" s="6" t="s">
        <v>77</v>
      </c>
      <c r="N3359" s="28" t="s">
        <v>77</v>
      </c>
      <c r="O3359" s="26" t="s">
        <v>77</v>
      </c>
    </row>
    <row r="3360">
      <c r="A3360" s="52" t="s">
        <v>77</v>
      </c>
      <c r="B3360" s="28" t="s">
        <v>77</v>
      </c>
      <c r="C3360" s="28" t="s">
        <v>77</v>
      </c>
      <c r="D3360" s="28" t="s">
        <v>77</v>
      </c>
      <c r="E3360" s="28" t="s">
        <v>77</v>
      </c>
      <c r="F3360" s="28" t="s">
        <v>77</v>
      </c>
      <c r="G3360" s="28" t="s">
        <v>77</v>
      </c>
      <c r="I3360" s="26" t="s">
        <v>77</v>
      </c>
      <c r="J3360" s="26" t="s">
        <v>77</v>
      </c>
      <c r="K3360" s="18"/>
      <c r="L3360" s="26" t="s">
        <v>77</v>
      </c>
      <c r="M3360" s="6" t="s">
        <v>77</v>
      </c>
      <c r="N3360" s="28" t="s">
        <v>77</v>
      </c>
      <c r="O3360" s="26" t="s">
        <v>77</v>
      </c>
    </row>
    <row r="3361">
      <c r="A3361" s="52" t="s">
        <v>77</v>
      </c>
      <c r="B3361" s="28" t="s">
        <v>77</v>
      </c>
      <c r="C3361" s="28" t="s">
        <v>77</v>
      </c>
      <c r="D3361" s="28" t="s">
        <v>77</v>
      </c>
      <c r="E3361" s="28" t="s">
        <v>77</v>
      </c>
      <c r="F3361" s="28" t="s">
        <v>77</v>
      </c>
      <c r="G3361" s="28" t="s">
        <v>77</v>
      </c>
      <c r="I3361" s="26" t="s">
        <v>77</v>
      </c>
      <c r="J3361" s="26" t="s">
        <v>77</v>
      </c>
      <c r="K3361" s="18"/>
      <c r="L3361" s="26" t="s">
        <v>77</v>
      </c>
      <c r="M3361" s="6" t="s">
        <v>77</v>
      </c>
      <c r="N3361" s="28" t="s">
        <v>77</v>
      </c>
      <c r="O3361" s="26" t="s">
        <v>77</v>
      </c>
    </row>
    <row r="3362">
      <c r="A3362" s="52" t="s">
        <v>77</v>
      </c>
      <c r="B3362" s="28" t="s">
        <v>77</v>
      </c>
      <c r="C3362" s="28" t="s">
        <v>77</v>
      </c>
      <c r="D3362" s="28" t="s">
        <v>77</v>
      </c>
      <c r="E3362" s="28" t="s">
        <v>77</v>
      </c>
      <c r="F3362" s="28" t="s">
        <v>77</v>
      </c>
      <c r="G3362" s="28" t="s">
        <v>77</v>
      </c>
      <c r="I3362" s="26" t="s">
        <v>77</v>
      </c>
      <c r="J3362" s="26" t="s">
        <v>77</v>
      </c>
      <c r="K3362" s="18"/>
      <c r="L3362" s="26" t="s">
        <v>77</v>
      </c>
      <c r="M3362" s="6" t="s">
        <v>77</v>
      </c>
      <c r="N3362" s="28" t="s">
        <v>77</v>
      </c>
      <c r="O3362" s="26" t="s">
        <v>77</v>
      </c>
    </row>
    <row r="3363">
      <c r="A3363" s="52" t="s">
        <v>77</v>
      </c>
      <c r="B3363" s="28" t="s">
        <v>77</v>
      </c>
      <c r="C3363" s="28" t="s">
        <v>77</v>
      </c>
      <c r="D3363" s="28" t="s">
        <v>77</v>
      </c>
      <c r="E3363" s="28" t="s">
        <v>77</v>
      </c>
      <c r="F3363" s="28" t="s">
        <v>77</v>
      </c>
      <c r="G3363" s="28" t="s">
        <v>77</v>
      </c>
      <c r="I3363" s="26" t="s">
        <v>77</v>
      </c>
      <c r="J3363" s="26" t="s">
        <v>77</v>
      </c>
      <c r="K3363" s="18"/>
      <c r="L3363" s="26" t="s">
        <v>77</v>
      </c>
      <c r="M3363" s="6" t="s">
        <v>77</v>
      </c>
      <c r="N3363" s="28" t="s">
        <v>77</v>
      </c>
      <c r="O3363" s="26" t="s">
        <v>77</v>
      </c>
    </row>
    <row r="3364">
      <c r="A3364" s="52" t="s">
        <v>77</v>
      </c>
      <c r="B3364" s="28" t="s">
        <v>77</v>
      </c>
      <c r="C3364" s="28" t="s">
        <v>77</v>
      </c>
      <c r="D3364" s="28" t="s">
        <v>77</v>
      </c>
      <c r="E3364" s="28" t="s">
        <v>77</v>
      </c>
      <c r="F3364" s="28" t="s">
        <v>77</v>
      </c>
      <c r="G3364" s="28" t="s">
        <v>77</v>
      </c>
      <c r="I3364" s="26" t="s">
        <v>77</v>
      </c>
      <c r="J3364" s="26" t="s">
        <v>77</v>
      </c>
      <c r="K3364" s="18"/>
      <c r="L3364" s="26" t="s">
        <v>77</v>
      </c>
      <c r="M3364" s="6" t="s">
        <v>77</v>
      </c>
      <c r="N3364" s="28" t="s">
        <v>77</v>
      </c>
      <c r="O3364" s="26" t="s">
        <v>77</v>
      </c>
    </row>
    <row r="3365">
      <c r="A3365" s="52" t="s">
        <v>77</v>
      </c>
      <c r="B3365" s="28" t="s">
        <v>77</v>
      </c>
      <c r="C3365" s="28" t="s">
        <v>77</v>
      </c>
      <c r="D3365" s="28" t="s">
        <v>77</v>
      </c>
      <c r="E3365" s="28" t="s">
        <v>77</v>
      </c>
      <c r="F3365" s="28" t="s">
        <v>77</v>
      </c>
      <c r="G3365" s="28" t="s">
        <v>77</v>
      </c>
      <c r="I3365" s="26" t="s">
        <v>77</v>
      </c>
      <c r="J3365" s="26" t="s">
        <v>77</v>
      </c>
      <c r="K3365" s="18"/>
      <c r="L3365" s="26" t="s">
        <v>77</v>
      </c>
      <c r="M3365" s="6" t="s">
        <v>77</v>
      </c>
      <c r="N3365" s="28" t="s">
        <v>77</v>
      </c>
      <c r="O3365" s="26" t="s">
        <v>77</v>
      </c>
    </row>
    <row r="3366">
      <c r="A3366" s="52" t="s">
        <v>77</v>
      </c>
      <c r="B3366" s="28" t="s">
        <v>77</v>
      </c>
      <c r="C3366" s="28" t="s">
        <v>77</v>
      </c>
      <c r="D3366" s="28" t="s">
        <v>77</v>
      </c>
      <c r="E3366" s="28" t="s">
        <v>77</v>
      </c>
      <c r="F3366" s="28" t="s">
        <v>77</v>
      </c>
      <c r="G3366" s="28" t="s">
        <v>77</v>
      </c>
      <c r="I3366" s="26" t="s">
        <v>77</v>
      </c>
      <c r="J3366" s="26" t="s">
        <v>77</v>
      </c>
      <c r="K3366" s="18"/>
      <c r="L3366" s="26" t="s">
        <v>77</v>
      </c>
      <c r="M3366" s="6" t="s">
        <v>77</v>
      </c>
      <c r="N3366" s="28" t="s">
        <v>77</v>
      </c>
      <c r="O3366" s="26" t="s">
        <v>77</v>
      </c>
    </row>
    <row r="3367">
      <c r="A3367" s="52" t="s">
        <v>77</v>
      </c>
      <c r="B3367" s="28" t="s">
        <v>77</v>
      </c>
      <c r="C3367" s="28" t="s">
        <v>77</v>
      </c>
      <c r="D3367" s="28" t="s">
        <v>77</v>
      </c>
      <c r="E3367" s="28" t="s">
        <v>77</v>
      </c>
      <c r="F3367" s="28" t="s">
        <v>77</v>
      </c>
      <c r="G3367" s="28" t="s">
        <v>77</v>
      </c>
      <c r="I3367" s="26" t="s">
        <v>77</v>
      </c>
      <c r="J3367" s="26" t="s">
        <v>77</v>
      </c>
      <c r="K3367" s="18"/>
      <c r="L3367" s="26" t="s">
        <v>77</v>
      </c>
      <c r="M3367" s="6" t="s">
        <v>77</v>
      </c>
      <c r="N3367" s="28" t="s">
        <v>77</v>
      </c>
      <c r="O3367" s="26" t="s">
        <v>77</v>
      </c>
    </row>
    <row r="3368">
      <c r="A3368" s="52" t="s">
        <v>77</v>
      </c>
      <c r="B3368" s="28" t="s">
        <v>77</v>
      </c>
      <c r="C3368" s="28" t="s">
        <v>77</v>
      </c>
      <c r="D3368" s="28" t="s">
        <v>77</v>
      </c>
      <c r="E3368" s="28" t="s">
        <v>77</v>
      </c>
      <c r="F3368" s="28" t="s">
        <v>77</v>
      </c>
      <c r="G3368" s="28" t="s">
        <v>77</v>
      </c>
      <c r="I3368" s="26" t="s">
        <v>77</v>
      </c>
      <c r="J3368" s="26" t="s">
        <v>77</v>
      </c>
      <c r="K3368" s="18"/>
      <c r="L3368" s="26" t="s">
        <v>77</v>
      </c>
      <c r="M3368" s="6" t="s">
        <v>77</v>
      </c>
      <c r="N3368" s="28" t="s">
        <v>77</v>
      </c>
      <c r="O3368" s="26" t="s">
        <v>77</v>
      </c>
    </row>
    <row r="3369">
      <c r="A3369" s="52" t="s">
        <v>77</v>
      </c>
      <c r="B3369" s="28" t="s">
        <v>77</v>
      </c>
      <c r="C3369" s="28" t="s">
        <v>77</v>
      </c>
      <c r="D3369" s="28" t="s">
        <v>77</v>
      </c>
      <c r="E3369" s="28" t="s">
        <v>77</v>
      </c>
      <c r="F3369" s="28" t="s">
        <v>77</v>
      </c>
      <c r="G3369" s="28" t="s">
        <v>77</v>
      </c>
      <c r="I3369" s="26" t="s">
        <v>77</v>
      </c>
      <c r="J3369" s="26" t="s">
        <v>77</v>
      </c>
      <c r="K3369" s="18"/>
      <c r="L3369" s="26" t="s">
        <v>77</v>
      </c>
      <c r="M3369" s="6" t="s">
        <v>77</v>
      </c>
      <c r="N3369" s="28" t="s">
        <v>77</v>
      </c>
      <c r="O3369" s="26" t="s">
        <v>77</v>
      </c>
    </row>
    <row r="3370">
      <c r="A3370" s="52" t="s">
        <v>77</v>
      </c>
      <c r="B3370" s="28" t="s">
        <v>77</v>
      </c>
      <c r="C3370" s="28" t="s">
        <v>77</v>
      </c>
      <c r="D3370" s="28" t="s">
        <v>77</v>
      </c>
      <c r="E3370" s="28" t="s">
        <v>77</v>
      </c>
      <c r="F3370" s="28" t="s">
        <v>77</v>
      </c>
      <c r="G3370" s="28" t="s">
        <v>77</v>
      </c>
      <c r="I3370" s="26" t="s">
        <v>77</v>
      </c>
      <c r="J3370" s="26" t="s">
        <v>77</v>
      </c>
      <c r="K3370" s="18"/>
      <c r="L3370" s="26" t="s">
        <v>77</v>
      </c>
      <c r="M3370" s="6" t="s">
        <v>77</v>
      </c>
      <c r="N3370" s="28" t="s">
        <v>77</v>
      </c>
      <c r="O3370" s="26" t="s">
        <v>77</v>
      </c>
    </row>
    <row r="3371">
      <c r="A3371" s="52" t="s">
        <v>77</v>
      </c>
      <c r="B3371" s="28" t="s">
        <v>77</v>
      </c>
      <c r="C3371" s="28" t="s">
        <v>77</v>
      </c>
      <c r="D3371" s="28" t="s">
        <v>77</v>
      </c>
      <c r="E3371" s="28" t="s">
        <v>77</v>
      </c>
      <c r="F3371" s="28" t="s">
        <v>77</v>
      </c>
      <c r="G3371" s="28" t="s">
        <v>77</v>
      </c>
      <c r="I3371" s="26" t="s">
        <v>77</v>
      </c>
      <c r="J3371" s="26" t="s">
        <v>77</v>
      </c>
      <c r="K3371" s="18"/>
      <c r="L3371" s="26" t="s">
        <v>77</v>
      </c>
      <c r="M3371" s="6" t="s">
        <v>77</v>
      </c>
      <c r="N3371" s="28" t="s">
        <v>77</v>
      </c>
      <c r="O3371" s="26" t="s">
        <v>77</v>
      </c>
    </row>
    <row r="3372">
      <c r="A3372" s="52" t="s">
        <v>77</v>
      </c>
      <c r="B3372" s="28" t="s">
        <v>77</v>
      </c>
      <c r="C3372" s="28" t="s">
        <v>77</v>
      </c>
      <c r="D3372" s="28" t="s">
        <v>77</v>
      </c>
      <c r="E3372" s="28" t="s">
        <v>77</v>
      </c>
      <c r="F3372" s="28" t="s">
        <v>77</v>
      </c>
      <c r="G3372" s="28" t="s">
        <v>77</v>
      </c>
      <c r="I3372" s="26" t="s">
        <v>77</v>
      </c>
      <c r="J3372" s="26" t="s">
        <v>77</v>
      </c>
      <c r="K3372" s="18"/>
      <c r="L3372" s="26" t="s">
        <v>77</v>
      </c>
      <c r="M3372" s="6" t="s">
        <v>77</v>
      </c>
      <c r="N3372" s="28" t="s">
        <v>77</v>
      </c>
      <c r="O3372" s="26" t="s">
        <v>77</v>
      </c>
    </row>
    <row r="3373">
      <c r="A3373" s="52" t="s">
        <v>77</v>
      </c>
      <c r="B3373" s="28" t="s">
        <v>77</v>
      </c>
      <c r="C3373" s="28" t="s">
        <v>77</v>
      </c>
      <c r="D3373" s="28" t="s">
        <v>77</v>
      </c>
      <c r="E3373" s="28" t="s">
        <v>77</v>
      </c>
      <c r="F3373" s="28" t="s">
        <v>77</v>
      </c>
      <c r="G3373" s="28" t="s">
        <v>77</v>
      </c>
      <c r="I3373" s="26" t="s">
        <v>77</v>
      </c>
      <c r="J3373" s="26" t="s">
        <v>77</v>
      </c>
      <c r="K3373" s="18"/>
      <c r="L3373" s="26" t="s">
        <v>77</v>
      </c>
      <c r="M3373" s="6" t="s">
        <v>77</v>
      </c>
      <c r="N3373" s="28" t="s">
        <v>77</v>
      </c>
      <c r="O3373" s="26" t="s">
        <v>77</v>
      </c>
    </row>
    <row r="3374">
      <c r="A3374" s="52" t="s">
        <v>77</v>
      </c>
      <c r="B3374" s="28" t="s">
        <v>77</v>
      </c>
      <c r="C3374" s="28" t="s">
        <v>77</v>
      </c>
      <c r="D3374" s="28" t="s">
        <v>77</v>
      </c>
      <c r="E3374" s="28" t="s">
        <v>77</v>
      </c>
      <c r="F3374" s="28" t="s">
        <v>77</v>
      </c>
      <c r="G3374" s="28" t="s">
        <v>77</v>
      </c>
      <c r="I3374" s="26" t="s">
        <v>77</v>
      </c>
      <c r="J3374" s="26" t="s">
        <v>77</v>
      </c>
      <c r="K3374" s="18"/>
      <c r="L3374" s="26" t="s">
        <v>77</v>
      </c>
      <c r="M3374" s="6" t="s">
        <v>77</v>
      </c>
      <c r="N3374" s="28" t="s">
        <v>77</v>
      </c>
      <c r="O3374" s="26" t="s">
        <v>77</v>
      </c>
    </row>
    <row r="3375">
      <c r="A3375" s="52" t="s">
        <v>77</v>
      </c>
      <c r="B3375" s="28" t="s">
        <v>77</v>
      </c>
      <c r="C3375" s="28" t="s">
        <v>77</v>
      </c>
      <c r="D3375" s="28" t="s">
        <v>77</v>
      </c>
      <c r="E3375" s="28" t="s">
        <v>77</v>
      </c>
      <c r="F3375" s="28" t="s">
        <v>77</v>
      </c>
      <c r="G3375" s="28" t="s">
        <v>77</v>
      </c>
      <c r="I3375" s="26" t="s">
        <v>77</v>
      </c>
      <c r="J3375" s="26" t="s">
        <v>77</v>
      </c>
      <c r="K3375" s="18"/>
      <c r="L3375" s="26" t="s">
        <v>77</v>
      </c>
      <c r="M3375" s="6" t="s">
        <v>77</v>
      </c>
      <c r="N3375" s="28" t="s">
        <v>77</v>
      </c>
      <c r="O3375" s="26" t="s">
        <v>77</v>
      </c>
    </row>
    <row r="3376">
      <c r="A3376" s="52" t="s">
        <v>77</v>
      </c>
      <c r="B3376" s="28" t="s">
        <v>77</v>
      </c>
      <c r="C3376" s="28" t="s">
        <v>77</v>
      </c>
      <c r="D3376" s="28" t="s">
        <v>77</v>
      </c>
      <c r="E3376" s="28" t="s">
        <v>77</v>
      </c>
      <c r="F3376" s="28" t="s">
        <v>77</v>
      </c>
      <c r="G3376" s="28" t="s">
        <v>77</v>
      </c>
      <c r="I3376" s="26" t="s">
        <v>77</v>
      </c>
      <c r="J3376" s="26" t="s">
        <v>77</v>
      </c>
      <c r="K3376" s="18"/>
      <c r="L3376" s="26" t="s">
        <v>77</v>
      </c>
      <c r="M3376" s="6" t="s">
        <v>77</v>
      </c>
      <c r="N3376" s="28" t="s">
        <v>77</v>
      </c>
      <c r="O3376" s="26" t="s">
        <v>77</v>
      </c>
    </row>
    <row r="3377">
      <c r="A3377" s="52" t="s">
        <v>77</v>
      </c>
      <c r="B3377" s="28" t="s">
        <v>77</v>
      </c>
      <c r="C3377" s="28" t="s">
        <v>77</v>
      </c>
      <c r="D3377" s="28" t="s">
        <v>77</v>
      </c>
      <c r="E3377" s="28" t="s">
        <v>77</v>
      </c>
      <c r="F3377" s="28" t="s">
        <v>77</v>
      </c>
      <c r="G3377" s="28" t="s">
        <v>77</v>
      </c>
      <c r="I3377" s="26" t="s">
        <v>77</v>
      </c>
      <c r="J3377" s="26" t="s">
        <v>77</v>
      </c>
      <c r="K3377" s="18"/>
      <c r="L3377" s="26" t="s">
        <v>77</v>
      </c>
      <c r="M3377" s="6" t="s">
        <v>77</v>
      </c>
      <c r="N3377" s="28" t="s">
        <v>77</v>
      </c>
      <c r="O3377" s="26" t="s">
        <v>77</v>
      </c>
    </row>
    <row r="3378">
      <c r="A3378" s="52" t="s">
        <v>77</v>
      </c>
      <c r="B3378" s="28" t="s">
        <v>77</v>
      </c>
      <c r="C3378" s="28" t="s">
        <v>77</v>
      </c>
      <c r="D3378" s="28" t="s">
        <v>77</v>
      </c>
      <c r="E3378" s="28" t="s">
        <v>77</v>
      </c>
      <c r="F3378" s="28" t="s">
        <v>77</v>
      </c>
      <c r="G3378" s="28" t="s">
        <v>77</v>
      </c>
      <c r="I3378" s="26" t="s">
        <v>77</v>
      </c>
      <c r="J3378" s="26" t="s">
        <v>77</v>
      </c>
      <c r="K3378" s="18"/>
      <c r="L3378" s="26" t="s">
        <v>77</v>
      </c>
      <c r="M3378" s="6" t="s">
        <v>77</v>
      </c>
      <c r="N3378" s="28" t="s">
        <v>77</v>
      </c>
      <c r="O3378" s="26" t="s">
        <v>77</v>
      </c>
    </row>
    <row r="3379">
      <c r="A3379" s="52" t="s">
        <v>77</v>
      </c>
      <c r="B3379" s="28" t="s">
        <v>77</v>
      </c>
      <c r="C3379" s="28" t="s">
        <v>77</v>
      </c>
      <c r="D3379" s="28" t="s">
        <v>77</v>
      </c>
      <c r="E3379" s="28" t="s">
        <v>77</v>
      </c>
      <c r="F3379" s="28" t="s">
        <v>77</v>
      </c>
      <c r="G3379" s="28" t="s">
        <v>77</v>
      </c>
      <c r="I3379" s="26" t="s">
        <v>77</v>
      </c>
      <c r="J3379" s="26" t="s">
        <v>77</v>
      </c>
      <c r="K3379" s="18"/>
      <c r="L3379" s="26" t="s">
        <v>77</v>
      </c>
      <c r="M3379" s="6" t="s">
        <v>77</v>
      </c>
      <c r="N3379" s="28" t="s">
        <v>77</v>
      </c>
      <c r="O3379" s="26" t="s">
        <v>77</v>
      </c>
    </row>
    <row r="3380">
      <c r="A3380" s="52" t="s">
        <v>77</v>
      </c>
      <c r="B3380" s="28" t="s">
        <v>77</v>
      </c>
      <c r="C3380" s="28" t="s">
        <v>77</v>
      </c>
      <c r="D3380" s="28" t="s">
        <v>77</v>
      </c>
      <c r="E3380" s="28" t="s">
        <v>77</v>
      </c>
      <c r="F3380" s="28" t="s">
        <v>77</v>
      </c>
      <c r="G3380" s="28" t="s">
        <v>77</v>
      </c>
      <c r="I3380" s="26" t="s">
        <v>77</v>
      </c>
      <c r="J3380" s="26" t="s">
        <v>77</v>
      </c>
      <c r="K3380" s="18"/>
      <c r="L3380" s="26" t="s">
        <v>77</v>
      </c>
      <c r="M3380" s="6" t="s">
        <v>77</v>
      </c>
      <c r="N3380" s="28" t="s">
        <v>77</v>
      </c>
      <c r="O3380" s="26" t="s">
        <v>77</v>
      </c>
    </row>
    <row r="3381">
      <c r="A3381" s="52" t="s">
        <v>77</v>
      </c>
      <c r="B3381" s="28" t="s">
        <v>77</v>
      </c>
      <c r="C3381" s="28" t="s">
        <v>77</v>
      </c>
      <c r="D3381" s="28" t="s">
        <v>77</v>
      </c>
      <c r="E3381" s="28" t="s">
        <v>77</v>
      </c>
      <c r="F3381" s="28" t="s">
        <v>77</v>
      </c>
      <c r="G3381" s="28" t="s">
        <v>77</v>
      </c>
      <c r="I3381" s="26" t="s">
        <v>77</v>
      </c>
      <c r="J3381" s="26" t="s">
        <v>77</v>
      </c>
      <c r="K3381" s="18"/>
      <c r="L3381" s="26" t="s">
        <v>77</v>
      </c>
      <c r="M3381" s="6" t="s">
        <v>77</v>
      </c>
      <c r="N3381" s="28" t="s">
        <v>77</v>
      </c>
      <c r="O3381" s="26" t="s">
        <v>77</v>
      </c>
    </row>
    <row r="3382">
      <c r="A3382" s="52" t="s">
        <v>77</v>
      </c>
      <c r="B3382" s="28" t="s">
        <v>77</v>
      </c>
      <c r="C3382" s="28" t="s">
        <v>77</v>
      </c>
      <c r="D3382" s="28" t="s">
        <v>77</v>
      </c>
      <c r="E3382" s="28" t="s">
        <v>77</v>
      </c>
      <c r="F3382" s="28" t="s">
        <v>77</v>
      </c>
      <c r="G3382" s="28" t="s">
        <v>77</v>
      </c>
      <c r="I3382" s="26" t="s">
        <v>77</v>
      </c>
      <c r="J3382" s="26" t="s">
        <v>77</v>
      </c>
      <c r="K3382" s="18"/>
      <c r="L3382" s="26" t="s">
        <v>77</v>
      </c>
      <c r="M3382" s="6" t="s">
        <v>77</v>
      </c>
      <c r="N3382" s="28" t="s">
        <v>77</v>
      </c>
      <c r="O3382" s="26" t="s">
        <v>77</v>
      </c>
    </row>
    <row r="3383">
      <c r="A3383" s="52" t="s">
        <v>77</v>
      </c>
      <c r="B3383" s="28" t="s">
        <v>77</v>
      </c>
      <c r="C3383" s="28" t="s">
        <v>77</v>
      </c>
      <c r="D3383" s="28" t="s">
        <v>77</v>
      </c>
      <c r="E3383" s="28" t="s">
        <v>77</v>
      </c>
      <c r="F3383" s="28" t="s">
        <v>77</v>
      </c>
      <c r="G3383" s="28" t="s">
        <v>77</v>
      </c>
      <c r="I3383" s="26" t="s">
        <v>77</v>
      </c>
      <c r="J3383" s="26" t="s">
        <v>77</v>
      </c>
      <c r="K3383" s="18"/>
      <c r="L3383" s="26" t="s">
        <v>77</v>
      </c>
      <c r="M3383" s="6" t="s">
        <v>77</v>
      </c>
      <c r="N3383" s="28" t="s">
        <v>77</v>
      </c>
      <c r="O3383" s="26" t="s">
        <v>77</v>
      </c>
    </row>
    <row r="3384">
      <c r="A3384" s="52" t="s">
        <v>77</v>
      </c>
      <c r="B3384" s="28" t="s">
        <v>77</v>
      </c>
      <c r="C3384" s="28" t="s">
        <v>77</v>
      </c>
      <c r="D3384" s="28" t="s">
        <v>77</v>
      </c>
      <c r="E3384" s="28" t="s">
        <v>77</v>
      </c>
      <c r="F3384" s="28" t="s">
        <v>77</v>
      </c>
      <c r="G3384" s="28" t="s">
        <v>77</v>
      </c>
      <c r="I3384" s="26" t="s">
        <v>77</v>
      </c>
      <c r="J3384" s="26" t="s">
        <v>77</v>
      </c>
      <c r="K3384" s="18"/>
      <c r="L3384" s="26" t="s">
        <v>77</v>
      </c>
      <c r="M3384" s="6" t="s">
        <v>77</v>
      </c>
      <c r="N3384" s="28" t="s">
        <v>77</v>
      </c>
      <c r="O3384" s="26" t="s">
        <v>77</v>
      </c>
    </row>
    <row r="3385">
      <c r="A3385" s="52" t="s">
        <v>77</v>
      </c>
      <c r="B3385" s="28" t="s">
        <v>77</v>
      </c>
      <c r="C3385" s="28" t="s">
        <v>77</v>
      </c>
      <c r="D3385" s="28" t="s">
        <v>77</v>
      </c>
      <c r="E3385" s="28" t="s">
        <v>77</v>
      </c>
      <c r="F3385" s="28" t="s">
        <v>77</v>
      </c>
      <c r="G3385" s="28" t="s">
        <v>77</v>
      </c>
      <c r="I3385" s="26" t="s">
        <v>77</v>
      </c>
      <c r="J3385" s="26" t="s">
        <v>77</v>
      </c>
      <c r="K3385" s="18"/>
      <c r="L3385" s="26" t="s">
        <v>77</v>
      </c>
      <c r="M3385" s="6" t="s">
        <v>77</v>
      </c>
      <c r="N3385" s="28" t="s">
        <v>77</v>
      </c>
      <c r="O3385" s="26" t="s">
        <v>77</v>
      </c>
    </row>
    <row r="3386">
      <c r="A3386" s="52" t="s">
        <v>77</v>
      </c>
      <c r="B3386" s="28" t="s">
        <v>77</v>
      </c>
      <c r="C3386" s="28" t="s">
        <v>77</v>
      </c>
      <c r="D3386" s="28" t="s">
        <v>77</v>
      </c>
      <c r="E3386" s="28" t="s">
        <v>77</v>
      </c>
      <c r="F3386" s="28" t="s">
        <v>77</v>
      </c>
      <c r="G3386" s="28" t="s">
        <v>77</v>
      </c>
      <c r="I3386" s="26" t="s">
        <v>77</v>
      </c>
      <c r="J3386" s="26" t="s">
        <v>77</v>
      </c>
      <c r="K3386" s="18"/>
      <c r="L3386" s="26" t="s">
        <v>77</v>
      </c>
      <c r="M3386" s="6" t="s">
        <v>77</v>
      </c>
      <c r="N3386" s="28" t="s">
        <v>77</v>
      </c>
      <c r="O3386" s="26" t="s">
        <v>77</v>
      </c>
    </row>
    <row r="3387">
      <c r="A3387" s="52" t="s">
        <v>77</v>
      </c>
      <c r="B3387" s="28" t="s">
        <v>77</v>
      </c>
      <c r="C3387" s="28" t="s">
        <v>77</v>
      </c>
      <c r="D3387" s="28" t="s">
        <v>77</v>
      </c>
      <c r="E3387" s="28" t="s">
        <v>77</v>
      </c>
      <c r="F3387" s="28" t="s">
        <v>77</v>
      </c>
      <c r="G3387" s="28" t="s">
        <v>77</v>
      </c>
      <c r="I3387" s="26" t="s">
        <v>77</v>
      </c>
      <c r="J3387" s="26" t="s">
        <v>77</v>
      </c>
      <c r="K3387" s="18"/>
      <c r="L3387" s="26" t="s">
        <v>77</v>
      </c>
      <c r="M3387" s="6" t="s">
        <v>77</v>
      </c>
      <c r="N3387" s="28" t="s">
        <v>77</v>
      </c>
      <c r="O3387" s="26" t="s">
        <v>77</v>
      </c>
    </row>
    <row r="3388">
      <c r="A3388" s="52" t="s">
        <v>77</v>
      </c>
      <c r="B3388" s="28" t="s">
        <v>77</v>
      </c>
      <c r="C3388" s="28" t="s">
        <v>77</v>
      </c>
      <c r="D3388" s="28" t="s">
        <v>77</v>
      </c>
      <c r="E3388" s="28" t="s">
        <v>77</v>
      </c>
      <c r="F3388" s="28" t="s">
        <v>77</v>
      </c>
      <c r="G3388" s="28" t="s">
        <v>77</v>
      </c>
      <c r="I3388" s="26" t="s">
        <v>77</v>
      </c>
      <c r="J3388" s="26" t="s">
        <v>77</v>
      </c>
      <c r="K3388" s="18"/>
      <c r="L3388" s="26" t="s">
        <v>77</v>
      </c>
      <c r="M3388" s="6" t="s">
        <v>77</v>
      </c>
      <c r="N3388" s="28" t="s">
        <v>77</v>
      </c>
      <c r="O3388" s="26" t="s">
        <v>77</v>
      </c>
    </row>
    <row r="3389">
      <c r="A3389" s="52" t="s">
        <v>77</v>
      </c>
      <c r="B3389" s="28" t="s">
        <v>77</v>
      </c>
      <c r="C3389" s="28" t="s">
        <v>77</v>
      </c>
      <c r="D3389" s="28" t="s">
        <v>77</v>
      </c>
      <c r="E3389" s="28" t="s">
        <v>77</v>
      </c>
      <c r="F3389" s="28" t="s">
        <v>77</v>
      </c>
      <c r="G3389" s="28" t="s">
        <v>77</v>
      </c>
      <c r="I3389" s="26" t="s">
        <v>77</v>
      </c>
      <c r="J3389" s="26" t="s">
        <v>77</v>
      </c>
      <c r="K3389" s="18"/>
      <c r="L3389" s="26" t="s">
        <v>77</v>
      </c>
      <c r="M3389" s="6" t="s">
        <v>77</v>
      </c>
      <c r="N3389" s="28" t="s">
        <v>77</v>
      </c>
      <c r="O3389" s="26" t="s">
        <v>77</v>
      </c>
    </row>
    <row r="3390">
      <c r="A3390" s="52" t="s">
        <v>77</v>
      </c>
      <c r="B3390" s="28" t="s">
        <v>77</v>
      </c>
      <c r="C3390" s="28" t="s">
        <v>77</v>
      </c>
      <c r="D3390" s="28" t="s">
        <v>77</v>
      </c>
      <c r="E3390" s="28" t="s">
        <v>77</v>
      </c>
      <c r="F3390" s="28" t="s">
        <v>77</v>
      </c>
      <c r="G3390" s="28" t="s">
        <v>77</v>
      </c>
      <c r="I3390" s="26" t="s">
        <v>77</v>
      </c>
      <c r="J3390" s="26" t="s">
        <v>77</v>
      </c>
      <c r="K3390" s="18"/>
      <c r="L3390" s="26" t="s">
        <v>77</v>
      </c>
      <c r="M3390" s="6" t="s">
        <v>77</v>
      </c>
      <c r="N3390" s="28" t="s">
        <v>77</v>
      </c>
      <c r="O3390" s="26" t="s">
        <v>77</v>
      </c>
    </row>
    <row r="3391">
      <c r="A3391" s="52" t="s">
        <v>77</v>
      </c>
      <c r="B3391" s="28" t="s">
        <v>77</v>
      </c>
      <c r="C3391" s="28" t="s">
        <v>77</v>
      </c>
      <c r="D3391" s="28" t="s">
        <v>77</v>
      </c>
      <c r="E3391" s="28" t="s">
        <v>77</v>
      </c>
      <c r="F3391" s="28" t="s">
        <v>77</v>
      </c>
      <c r="G3391" s="28" t="s">
        <v>77</v>
      </c>
      <c r="I3391" s="26" t="s">
        <v>77</v>
      </c>
      <c r="J3391" s="26" t="s">
        <v>77</v>
      </c>
      <c r="K3391" s="18"/>
      <c r="L3391" s="26" t="s">
        <v>77</v>
      </c>
      <c r="M3391" s="6" t="s">
        <v>77</v>
      </c>
      <c r="N3391" s="28" t="s">
        <v>77</v>
      </c>
      <c r="O3391" s="26" t="s">
        <v>77</v>
      </c>
    </row>
    <row r="3392">
      <c r="A3392" s="52" t="s">
        <v>77</v>
      </c>
      <c r="B3392" s="28" t="s">
        <v>77</v>
      </c>
      <c r="C3392" s="28" t="s">
        <v>77</v>
      </c>
      <c r="D3392" s="28" t="s">
        <v>77</v>
      </c>
      <c r="E3392" s="28" t="s">
        <v>77</v>
      </c>
      <c r="F3392" s="28" t="s">
        <v>77</v>
      </c>
      <c r="G3392" s="28" t="s">
        <v>77</v>
      </c>
      <c r="I3392" s="26" t="s">
        <v>77</v>
      </c>
      <c r="J3392" s="26" t="s">
        <v>77</v>
      </c>
      <c r="K3392" s="18"/>
      <c r="L3392" s="26" t="s">
        <v>77</v>
      </c>
      <c r="M3392" s="6" t="s">
        <v>77</v>
      </c>
      <c r="N3392" s="28" t="s">
        <v>77</v>
      </c>
      <c r="O3392" s="26" t="s">
        <v>77</v>
      </c>
    </row>
    <row r="3393">
      <c r="A3393" s="52" t="s">
        <v>77</v>
      </c>
      <c r="B3393" s="28" t="s">
        <v>77</v>
      </c>
      <c r="C3393" s="28" t="s">
        <v>77</v>
      </c>
      <c r="D3393" s="28" t="s">
        <v>77</v>
      </c>
      <c r="E3393" s="28" t="s">
        <v>77</v>
      </c>
      <c r="F3393" s="28" t="s">
        <v>77</v>
      </c>
      <c r="G3393" s="28" t="s">
        <v>77</v>
      </c>
      <c r="I3393" s="26" t="s">
        <v>77</v>
      </c>
      <c r="J3393" s="26" t="s">
        <v>77</v>
      </c>
      <c r="K3393" s="18"/>
      <c r="L3393" s="26" t="s">
        <v>77</v>
      </c>
      <c r="M3393" s="6" t="s">
        <v>77</v>
      </c>
      <c r="N3393" s="28" t="s">
        <v>77</v>
      </c>
      <c r="O3393" s="26" t="s">
        <v>77</v>
      </c>
    </row>
    <row r="3394">
      <c r="A3394" s="52" t="s">
        <v>77</v>
      </c>
      <c r="B3394" s="28" t="s">
        <v>77</v>
      </c>
      <c r="C3394" s="28" t="s">
        <v>77</v>
      </c>
      <c r="D3394" s="28" t="s">
        <v>77</v>
      </c>
      <c r="E3394" s="28" t="s">
        <v>77</v>
      </c>
      <c r="F3394" s="28" t="s">
        <v>77</v>
      </c>
      <c r="G3394" s="28" t="s">
        <v>77</v>
      </c>
      <c r="I3394" s="26" t="s">
        <v>77</v>
      </c>
      <c r="J3394" s="26" t="s">
        <v>77</v>
      </c>
      <c r="K3394" s="18"/>
      <c r="L3394" s="26" t="s">
        <v>77</v>
      </c>
      <c r="M3394" s="6" t="s">
        <v>77</v>
      </c>
      <c r="N3394" s="28" t="s">
        <v>77</v>
      </c>
      <c r="O3394" s="26" t="s">
        <v>77</v>
      </c>
    </row>
    <row r="3395">
      <c r="A3395" s="52" t="s">
        <v>77</v>
      </c>
      <c r="B3395" s="28" t="s">
        <v>77</v>
      </c>
      <c r="C3395" s="28" t="s">
        <v>77</v>
      </c>
      <c r="D3395" s="28" t="s">
        <v>77</v>
      </c>
      <c r="E3395" s="28" t="s">
        <v>77</v>
      </c>
      <c r="F3395" s="28" t="s">
        <v>77</v>
      </c>
      <c r="G3395" s="28" t="s">
        <v>77</v>
      </c>
      <c r="I3395" s="26" t="s">
        <v>77</v>
      </c>
      <c r="J3395" s="26" t="s">
        <v>77</v>
      </c>
      <c r="K3395" s="18"/>
      <c r="L3395" s="26" t="s">
        <v>77</v>
      </c>
      <c r="M3395" s="6" t="s">
        <v>77</v>
      </c>
      <c r="N3395" s="28" t="s">
        <v>77</v>
      </c>
      <c r="O3395" s="26" t="s">
        <v>77</v>
      </c>
    </row>
    <row r="3396">
      <c r="A3396" s="52" t="s">
        <v>77</v>
      </c>
      <c r="B3396" s="28" t="s">
        <v>77</v>
      </c>
      <c r="C3396" s="28" t="s">
        <v>77</v>
      </c>
      <c r="D3396" s="28" t="s">
        <v>77</v>
      </c>
      <c r="E3396" s="28" t="s">
        <v>77</v>
      </c>
      <c r="F3396" s="28" t="s">
        <v>77</v>
      </c>
      <c r="G3396" s="28" t="s">
        <v>77</v>
      </c>
      <c r="I3396" s="26" t="s">
        <v>77</v>
      </c>
      <c r="J3396" s="26" t="s">
        <v>77</v>
      </c>
      <c r="K3396" s="18"/>
      <c r="L3396" s="26" t="s">
        <v>77</v>
      </c>
      <c r="M3396" s="6" t="s">
        <v>77</v>
      </c>
      <c r="N3396" s="28" t="s">
        <v>77</v>
      </c>
      <c r="O3396" s="26" t="s">
        <v>77</v>
      </c>
    </row>
    <row r="3397">
      <c r="A3397" s="52" t="s">
        <v>77</v>
      </c>
      <c r="B3397" s="28" t="s">
        <v>77</v>
      </c>
      <c r="C3397" s="28" t="s">
        <v>77</v>
      </c>
      <c r="D3397" s="28" t="s">
        <v>77</v>
      </c>
      <c r="E3397" s="28" t="s">
        <v>77</v>
      </c>
      <c r="F3397" s="28" t="s">
        <v>77</v>
      </c>
      <c r="G3397" s="28" t="s">
        <v>77</v>
      </c>
      <c r="I3397" s="26" t="s">
        <v>77</v>
      </c>
      <c r="J3397" s="26" t="s">
        <v>77</v>
      </c>
      <c r="K3397" s="18"/>
      <c r="L3397" s="26" t="s">
        <v>77</v>
      </c>
      <c r="M3397" s="6" t="s">
        <v>77</v>
      </c>
      <c r="N3397" s="28" t="s">
        <v>77</v>
      </c>
      <c r="O3397" s="26" t="s">
        <v>77</v>
      </c>
    </row>
    <row r="3398">
      <c r="A3398" s="52" t="s">
        <v>77</v>
      </c>
      <c r="B3398" s="28" t="s">
        <v>77</v>
      </c>
      <c r="C3398" s="28" t="s">
        <v>77</v>
      </c>
      <c r="D3398" s="28" t="s">
        <v>77</v>
      </c>
      <c r="E3398" s="28" t="s">
        <v>77</v>
      </c>
      <c r="F3398" s="28" t="s">
        <v>77</v>
      </c>
      <c r="G3398" s="28" t="s">
        <v>77</v>
      </c>
      <c r="I3398" s="26" t="s">
        <v>77</v>
      </c>
      <c r="J3398" s="26" t="s">
        <v>77</v>
      </c>
      <c r="K3398" s="18"/>
      <c r="L3398" s="26" t="s">
        <v>77</v>
      </c>
      <c r="M3398" s="6" t="s">
        <v>77</v>
      </c>
      <c r="N3398" s="28" t="s">
        <v>77</v>
      </c>
      <c r="O3398" s="26" t="s">
        <v>77</v>
      </c>
    </row>
    <row r="3399">
      <c r="A3399" s="52" t="s">
        <v>77</v>
      </c>
      <c r="B3399" s="28" t="s">
        <v>77</v>
      </c>
      <c r="C3399" s="28" t="s">
        <v>77</v>
      </c>
      <c r="D3399" s="28" t="s">
        <v>77</v>
      </c>
      <c r="E3399" s="28" t="s">
        <v>77</v>
      </c>
      <c r="F3399" s="28" t="s">
        <v>77</v>
      </c>
      <c r="G3399" s="28" t="s">
        <v>77</v>
      </c>
      <c r="I3399" s="26" t="s">
        <v>77</v>
      </c>
      <c r="J3399" s="26" t="s">
        <v>77</v>
      </c>
      <c r="K3399" s="18"/>
      <c r="L3399" s="26" t="s">
        <v>77</v>
      </c>
      <c r="M3399" s="6" t="s">
        <v>77</v>
      </c>
      <c r="N3399" s="28" t="s">
        <v>77</v>
      </c>
      <c r="O3399" s="26" t="s">
        <v>77</v>
      </c>
    </row>
    <row r="3400">
      <c r="A3400" s="52" t="s">
        <v>77</v>
      </c>
      <c r="B3400" s="28" t="s">
        <v>77</v>
      </c>
      <c r="C3400" s="28" t="s">
        <v>77</v>
      </c>
      <c r="D3400" s="28" t="s">
        <v>77</v>
      </c>
      <c r="E3400" s="28" t="s">
        <v>77</v>
      </c>
      <c r="F3400" s="28" t="s">
        <v>77</v>
      </c>
      <c r="G3400" s="28" t="s">
        <v>77</v>
      </c>
      <c r="I3400" s="26" t="s">
        <v>77</v>
      </c>
      <c r="J3400" s="26" t="s">
        <v>77</v>
      </c>
      <c r="K3400" s="18"/>
      <c r="L3400" s="26" t="s">
        <v>77</v>
      </c>
      <c r="M3400" s="6" t="s">
        <v>77</v>
      </c>
      <c r="N3400" s="28" t="s">
        <v>77</v>
      </c>
      <c r="O3400" s="26" t="s">
        <v>77</v>
      </c>
    </row>
    <row r="3401">
      <c r="A3401" s="52" t="s">
        <v>77</v>
      </c>
      <c r="B3401" s="28" t="s">
        <v>77</v>
      </c>
      <c r="C3401" s="28" t="s">
        <v>77</v>
      </c>
      <c r="D3401" s="28" t="s">
        <v>77</v>
      </c>
      <c r="E3401" s="28" t="s">
        <v>77</v>
      </c>
      <c r="F3401" s="28" t="s">
        <v>77</v>
      </c>
      <c r="G3401" s="28" t="s">
        <v>77</v>
      </c>
      <c r="I3401" s="26" t="s">
        <v>77</v>
      </c>
      <c r="J3401" s="26" t="s">
        <v>77</v>
      </c>
      <c r="K3401" s="18"/>
      <c r="L3401" s="26" t="s">
        <v>77</v>
      </c>
      <c r="M3401" s="6" t="s">
        <v>77</v>
      </c>
      <c r="N3401" s="28" t="s">
        <v>77</v>
      </c>
      <c r="O3401" s="26" t="s">
        <v>77</v>
      </c>
    </row>
    <row r="3402">
      <c r="A3402" s="52" t="s">
        <v>77</v>
      </c>
      <c r="B3402" s="28" t="s">
        <v>77</v>
      </c>
      <c r="C3402" s="28" t="s">
        <v>77</v>
      </c>
      <c r="D3402" s="28" t="s">
        <v>77</v>
      </c>
      <c r="E3402" s="28" t="s">
        <v>77</v>
      </c>
      <c r="F3402" s="28" t="s">
        <v>77</v>
      </c>
      <c r="G3402" s="28" t="s">
        <v>77</v>
      </c>
      <c r="I3402" s="26" t="s">
        <v>77</v>
      </c>
      <c r="J3402" s="26" t="s">
        <v>77</v>
      </c>
      <c r="K3402" s="18"/>
      <c r="L3402" s="26" t="s">
        <v>77</v>
      </c>
      <c r="M3402" s="6" t="s">
        <v>77</v>
      </c>
      <c r="N3402" s="28" t="s">
        <v>77</v>
      </c>
      <c r="O3402" s="26" t="s">
        <v>77</v>
      </c>
    </row>
    <row r="3403">
      <c r="A3403" s="52" t="s">
        <v>77</v>
      </c>
      <c r="B3403" s="28" t="s">
        <v>77</v>
      </c>
      <c r="C3403" s="28" t="s">
        <v>77</v>
      </c>
      <c r="D3403" s="28" t="s">
        <v>77</v>
      </c>
      <c r="E3403" s="28" t="s">
        <v>77</v>
      </c>
      <c r="F3403" s="28" t="s">
        <v>77</v>
      </c>
      <c r="G3403" s="28" t="s">
        <v>77</v>
      </c>
      <c r="I3403" s="26" t="s">
        <v>77</v>
      </c>
      <c r="J3403" s="26" t="s">
        <v>77</v>
      </c>
      <c r="K3403" s="18"/>
      <c r="L3403" s="26" t="s">
        <v>77</v>
      </c>
      <c r="M3403" s="6" t="s">
        <v>77</v>
      </c>
      <c r="N3403" s="28" t="s">
        <v>77</v>
      </c>
      <c r="O3403" s="26" t="s">
        <v>77</v>
      </c>
    </row>
    <row r="3404">
      <c r="A3404" s="52" t="s">
        <v>77</v>
      </c>
      <c r="B3404" s="28" t="s">
        <v>77</v>
      </c>
      <c r="C3404" s="28" t="s">
        <v>77</v>
      </c>
      <c r="D3404" s="28" t="s">
        <v>77</v>
      </c>
      <c r="E3404" s="28" t="s">
        <v>77</v>
      </c>
      <c r="F3404" s="28" t="s">
        <v>77</v>
      </c>
      <c r="G3404" s="28" t="s">
        <v>77</v>
      </c>
      <c r="I3404" s="26" t="s">
        <v>77</v>
      </c>
      <c r="J3404" s="26" t="s">
        <v>77</v>
      </c>
      <c r="K3404" s="18"/>
      <c r="L3404" s="26" t="s">
        <v>77</v>
      </c>
      <c r="M3404" s="6" t="s">
        <v>77</v>
      </c>
      <c r="N3404" s="28" t="s">
        <v>77</v>
      </c>
      <c r="O3404" s="26" t="s">
        <v>77</v>
      </c>
    </row>
    <row r="3405">
      <c r="A3405" s="52" t="s">
        <v>77</v>
      </c>
      <c r="B3405" s="28" t="s">
        <v>77</v>
      </c>
      <c r="C3405" s="28" t="s">
        <v>77</v>
      </c>
      <c r="D3405" s="28" t="s">
        <v>77</v>
      </c>
      <c r="E3405" s="28" t="s">
        <v>77</v>
      </c>
      <c r="F3405" s="28" t="s">
        <v>77</v>
      </c>
      <c r="G3405" s="28" t="s">
        <v>77</v>
      </c>
      <c r="I3405" s="26" t="s">
        <v>77</v>
      </c>
      <c r="J3405" s="26" t="s">
        <v>77</v>
      </c>
      <c r="K3405" s="18"/>
      <c r="L3405" s="26" t="s">
        <v>77</v>
      </c>
      <c r="M3405" s="6" t="s">
        <v>77</v>
      </c>
      <c r="N3405" s="28" t="s">
        <v>77</v>
      </c>
      <c r="O3405" s="26" t="s">
        <v>77</v>
      </c>
    </row>
    <row r="3406">
      <c r="A3406" s="52" t="s">
        <v>77</v>
      </c>
      <c r="B3406" s="28" t="s">
        <v>77</v>
      </c>
      <c r="C3406" s="28" t="s">
        <v>77</v>
      </c>
      <c r="D3406" s="28" t="s">
        <v>77</v>
      </c>
      <c r="E3406" s="28" t="s">
        <v>77</v>
      </c>
      <c r="F3406" s="28" t="s">
        <v>77</v>
      </c>
      <c r="G3406" s="28" t="s">
        <v>77</v>
      </c>
      <c r="I3406" s="26" t="s">
        <v>77</v>
      </c>
      <c r="J3406" s="26" t="s">
        <v>77</v>
      </c>
      <c r="K3406" s="18"/>
      <c r="L3406" s="26" t="s">
        <v>77</v>
      </c>
      <c r="M3406" s="6" t="s">
        <v>77</v>
      </c>
      <c r="N3406" s="28" t="s">
        <v>77</v>
      </c>
      <c r="O3406" s="26" t="s">
        <v>77</v>
      </c>
    </row>
    <row r="3407">
      <c r="A3407" s="52" t="s">
        <v>77</v>
      </c>
      <c r="B3407" s="28" t="s">
        <v>77</v>
      </c>
      <c r="C3407" s="28" t="s">
        <v>77</v>
      </c>
      <c r="D3407" s="28" t="s">
        <v>77</v>
      </c>
      <c r="E3407" s="28" t="s">
        <v>77</v>
      </c>
      <c r="F3407" s="28" t="s">
        <v>77</v>
      </c>
      <c r="G3407" s="28" t="s">
        <v>77</v>
      </c>
      <c r="I3407" s="26" t="s">
        <v>77</v>
      </c>
      <c r="J3407" s="26" t="s">
        <v>77</v>
      </c>
      <c r="K3407" s="18"/>
      <c r="L3407" s="26" t="s">
        <v>77</v>
      </c>
      <c r="M3407" s="6" t="s">
        <v>77</v>
      </c>
      <c r="N3407" s="28" t="s">
        <v>77</v>
      </c>
      <c r="O3407" s="26" t="s">
        <v>77</v>
      </c>
    </row>
    <row r="3408">
      <c r="A3408" s="52" t="s">
        <v>77</v>
      </c>
      <c r="B3408" s="28" t="s">
        <v>77</v>
      </c>
      <c r="C3408" s="28" t="s">
        <v>77</v>
      </c>
      <c r="D3408" s="28" t="s">
        <v>77</v>
      </c>
      <c r="E3408" s="28" t="s">
        <v>77</v>
      </c>
      <c r="F3408" s="28" t="s">
        <v>77</v>
      </c>
      <c r="G3408" s="28" t="s">
        <v>77</v>
      </c>
      <c r="I3408" s="26" t="s">
        <v>77</v>
      </c>
      <c r="J3408" s="26" t="s">
        <v>77</v>
      </c>
      <c r="K3408" s="18"/>
      <c r="L3408" s="26" t="s">
        <v>77</v>
      </c>
      <c r="M3408" s="6" t="s">
        <v>77</v>
      </c>
      <c r="N3408" s="28" t="s">
        <v>77</v>
      </c>
      <c r="O3408" s="26" t="s">
        <v>77</v>
      </c>
    </row>
    <row r="3409">
      <c r="A3409" s="52" t="s">
        <v>77</v>
      </c>
      <c r="B3409" s="28" t="s">
        <v>77</v>
      </c>
      <c r="C3409" s="28" t="s">
        <v>77</v>
      </c>
      <c r="D3409" s="28" t="s">
        <v>77</v>
      </c>
      <c r="E3409" s="28" t="s">
        <v>77</v>
      </c>
      <c r="F3409" s="28" t="s">
        <v>77</v>
      </c>
      <c r="G3409" s="28" t="s">
        <v>77</v>
      </c>
      <c r="I3409" s="26" t="s">
        <v>77</v>
      </c>
      <c r="J3409" s="26" t="s">
        <v>77</v>
      </c>
      <c r="K3409" s="18"/>
      <c r="L3409" s="26" t="s">
        <v>77</v>
      </c>
      <c r="M3409" s="6" t="s">
        <v>77</v>
      </c>
      <c r="N3409" s="28" t="s">
        <v>77</v>
      </c>
      <c r="O3409" s="26" t="s">
        <v>77</v>
      </c>
    </row>
    <row r="3410">
      <c r="A3410" s="52" t="s">
        <v>77</v>
      </c>
      <c r="B3410" s="28" t="s">
        <v>77</v>
      </c>
      <c r="C3410" s="28" t="s">
        <v>77</v>
      </c>
      <c r="D3410" s="28" t="s">
        <v>77</v>
      </c>
      <c r="E3410" s="28" t="s">
        <v>77</v>
      </c>
      <c r="F3410" s="28" t="s">
        <v>77</v>
      </c>
      <c r="G3410" s="28" t="s">
        <v>77</v>
      </c>
      <c r="I3410" s="26" t="s">
        <v>77</v>
      </c>
      <c r="J3410" s="26" t="s">
        <v>77</v>
      </c>
      <c r="K3410" s="18"/>
      <c r="L3410" s="26" t="s">
        <v>77</v>
      </c>
      <c r="M3410" s="6" t="s">
        <v>77</v>
      </c>
      <c r="N3410" s="28" t="s">
        <v>77</v>
      </c>
      <c r="O3410" s="26" t="s">
        <v>77</v>
      </c>
    </row>
    <row r="3411">
      <c r="A3411" s="52" t="s">
        <v>77</v>
      </c>
      <c r="B3411" s="28" t="s">
        <v>77</v>
      </c>
      <c r="C3411" s="28" t="s">
        <v>77</v>
      </c>
      <c r="D3411" s="28" t="s">
        <v>77</v>
      </c>
      <c r="E3411" s="28" t="s">
        <v>77</v>
      </c>
      <c r="F3411" s="28" t="s">
        <v>77</v>
      </c>
      <c r="G3411" s="28" t="s">
        <v>77</v>
      </c>
      <c r="I3411" s="26" t="s">
        <v>77</v>
      </c>
      <c r="J3411" s="26" t="s">
        <v>77</v>
      </c>
      <c r="K3411" s="18"/>
      <c r="L3411" s="26" t="s">
        <v>77</v>
      </c>
      <c r="M3411" s="6" t="s">
        <v>77</v>
      </c>
      <c r="N3411" s="28" t="s">
        <v>77</v>
      </c>
      <c r="O3411" s="26" t="s">
        <v>77</v>
      </c>
    </row>
    <row r="3412">
      <c r="A3412" s="52" t="s">
        <v>77</v>
      </c>
      <c r="B3412" s="28" t="s">
        <v>77</v>
      </c>
      <c r="C3412" s="28" t="s">
        <v>77</v>
      </c>
      <c r="D3412" s="28" t="s">
        <v>77</v>
      </c>
      <c r="E3412" s="28" t="s">
        <v>77</v>
      </c>
      <c r="F3412" s="28" t="s">
        <v>77</v>
      </c>
      <c r="G3412" s="28" t="s">
        <v>77</v>
      </c>
      <c r="I3412" s="26" t="s">
        <v>77</v>
      </c>
      <c r="J3412" s="26" t="s">
        <v>77</v>
      </c>
      <c r="K3412" s="18"/>
      <c r="L3412" s="26" t="s">
        <v>77</v>
      </c>
      <c r="M3412" s="6" t="s">
        <v>77</v>
      </c>
      <c r="N3412" s="28" t="s">
        <v>77</v>
      </c>
      <c r="O3412" s="26" t="s">
        <v>77</v>
      </c>
    </row>
    <row r="3413">
      <c r="A3413" s="52" t="s">
        <v>77</v>
      </c>
      <c r="B3413" s="28" t="s">
        <v>77</v>
      </c>
      <c r="C3413" s="28" t="s">
        <v>77</v>
      </c>
      <c r="D3413" s="28" t="s">
        <v>77</v>
      </c>
      <c r="E3413" s="28" t="s">
        <v>77</v>
      </c>
      <c r="F3413" s="28" t="s">
        <v>77</v>
      </c>
      <c r="G3413" s="28" t="s">
        <v>77</v>
      </c>
      <c r="I3413" s="26" t="s">
        <v>77</v>
      </c>
      <c r="J3413" s="26" t="s">
        <v>77</v>
      </c>
      <c r="K3413" s="18"/>
      <c r="L3413" s="26" t="s">
        <v>77</v>
      </c>
      <c r="M3413" s="6" t="s">
        <v>77</v>
      </c>
      <c r="N3413" s="28" t="s">
        <v>77</v>
      </c>
      <c r="O3413" s="26" t="s">
        <v>77</v>
      </c>
    </row>
    <row r="3414">
      <c r="A3414" s="52" t="s">
        <v>77</v>
      </c>
      <c r="B3414" s="28" t="s">
        <v>77</v>
      </c>
      <c r="C3414" s="28" t="s">
        <v>77</v>
      </c>
      <c r="D3414" s="28" t="s">
        <v>77</v>
      </c>
      <c r="E3414" s="28" t="s">
        <v>77</v>
      </c>
      <c r="F3414" s="28" t="s">
        <v>77</v>
      </c>
      <c r="G3414" s="28" t="s">
        <v>77</v>
      </c>
      <c r="I3414" s="26" t="s">
        <v>77</v>
      </c>
      <c r="J3414" s="26" t="s">
        <v>77</v>
      </c>
      <c r="K3414" s="18"/>
      <c r="L3414" s="26" t="s">
        <v>77</v>
      </c>
      <c r="M3414" s="6" t="s">
        <v>77</v>
      </c>
      <c r="N3414" s="28" t="s">
        <v>77</v>
      </c>
      <c r="O3414" s="26" t="s">
        <v>77</v>
      </c>
    </row>
    <row r="3415">
      <c r="A3415" s="52" t="s">
        <v>77</v>
      </c>
      <c r="B3415" s="28" t="s">
        <v>77</v>
      </c>
      <c r="C3415" s="28" t="s">
        <v>77</v>
      </c>
      <c r="D3415" s="28" t="s">
        <v>77</v>
      </c>
      <c r="E3415" s="28" t="s">
        <v>77</v>
      </c>
      <c r="F3415" s="28" t="s">
        <v>77</v>
      </c>
      <c r="G3415" s="28" t="s">
        <v>77</v>
      </c>
      <c r="I3415" s="26" t="s">
        <v>77</v>
      </c>
      <c r="J3415" s="26" t="s">
        <v>77</v>
      </c>
      <c r="K3415" s="18"/>
      <c r="L3415" s="26" t="s">
        <v>77</v>
      </c>
      <c r="M3415" s="6" t="s">
        <v>77</v>
      </c>
      <c r="N3415" s="28" t="s">
        <v>77</v>
      </c>
      <c r="O3415" s="26" t="s">
        <v>77</v>
      </c>
    </row>
    <row r="3416">
      <c r="A3416" s="52" t="s">
        <v>77</v>
      </c>
      <c r="B3416" s="28" t="s">
        <v>77</v>
      </c>
      <c r="C3416" s="28" t="s">
        <v>77</v>
      </c>
      <c r="D3416" s="28" t="s">
        <v>77</v>
      </c>
      <c r="E3416" s="28" t="s">
        <v>77</v>
      </c>
      <c r="F3416" s="28" t="s">
        <v>77</v>
      </c>
      <c r="G3416" s="28" t="s">
        <v>77</v>
      </c>
      <c r="I3416" s="26" t="s">
        <v>77</v>
      </c>
      <c r="J3416" s="26" t="s">
        <v>77</v>
      </c>
      <c r="K3416" s="18"/>
      <c r="L3416" s="26" t="s">
        <v>77</v>
      </c>
      <c r="M3416" s="6" t="s">
        <v>77</v>
      </c>
      <c r="N3416" s="28" t="s">
        <v>77</v>
      </c>
      <c r="O3416" s="26" t="s">
        <v>77</v>
      </c>
    </row>
    <row r="3417">
      <c r="A3417" s="52" t="s">
        <v>77</v>
      </c>
      <c r="B3417" s="28" t="s">
        <v>77</v>
      </c>
      <c r="C3417" s="28" t="s">
        <v>77</v>
      </c>
      <c r="D3417" s="28" t="s">
        <v>77</v>
      </c>
      <c r="E3417" s="28" t="s">
        <v>77</v>
      </c>
      <c r="F3417" s="28" t="s">
        <v>77</v>
      </c>
      <c r="G3417" s="28" t="s">
        <v>77</v>
      </c>
      <c r="I3417" s="26" t="s">
        <v>77</v>
      </c>
      <c r="J3417" s="26" t="s">
        <v>77</v>
      </c>
      <c r="K3417" s="18"/>
      <c r="L3417" s="26" t="s">
        <v>77</v>
      </c>
      <c r="M3417" s="6" t="s">
        <v>77</v>
      </c>
      <c r="N3417" s="28" t="s">
        <v>77</v>
      </c>
      <c r="O3417" s="26" t="s">
        <v>77</v>
      </c>
    </row>
    <row r="3418">
      <c r="A3418" s="52" t="s">
        <v>77</v>
      </c>
      <c r="B3418" s="28" t="s">
        <v>77</v>
      </c>
      <c r="C3418" s="28" t="s">
        <v>77</v>
      </c>
      <c r="D3418" s="28" t="s">
        <v>77</v>
      </c>
      <c r="E3418" s="28" t="s">
        <v>77</v>
      </c>
      <c r="F3418" s="28" t="s">
        <v>77</v>
      </c>
      <c r="G3418" s="28" t="s">
        <v>77</v>
      </c>
      <c r="I3418" s="26" t="s">
        <v>77</v>
      </c>
      <c r="J3418" s="26" t="s">
        <v>77</v>
      </c>
      <c r="K3418" s="18"/>
      <c r="L3418" s="26" t="s">
        <v>77</v>
      </c>
      <c r="M3418" s="6" t="s">
        <v>77</v>
      </c>
      <c r="N3418" s="28" t="s">
        <v>77</v>
      </c>
      <c r="O3418" s="26" t="s">
        <v>77</v>
      </c>
    </row>
    <row r="3419">
      <c r="A3419" s="52" t="s">
        <v>77</v>
      </c>
      <c r="B3419" s="28" t="s">
        <v>77</v>
      </c>
      <c r="C3419" s="28" t="s">
        <v>77</v>
      </c>
      <c r="D3419" s="28" t="s">
        <v>77</v>
      </c>
      <c r="E3419" s="28" t="s">
        <v>77</v>
      </c>
      <c r="F3419" s="28" t="s">
        <v>77</v>
      </c>
      <c r="G3419" s="28" t="s">
        <v>77</v>
      </c>
      <c r="I3419" s="26" t="s">
        <v>77</v>
      </c>
      <c r="J3419" s="26" t="s">
        <v>77</v>
      </c>
      <c r="K3419" s="18"/>
      <c r="L3419" s="26" t="s">
        <v>77</v>
      </c>
      <c r="M3419" s="6" t="s">
        <v>77</v>
      </c>
      <c r="N3419" s="28" t="s">
        <v>77</v>
      </c>
      <c r="O3419" s="26" t="s">
        <v>77</v>
      </c>
    </row>
    <row r="3420">
      <c r="A3420" s="52" t="s">
        <v>77</v>
      </c>
      <c r="B3420" s="28" t="s">
        <v>77</v>
      </c>
      <c r="C3420" s="28" t="s">
        <v>77</v>
      </c>
      <c r="D3420" s="28" t="s">
        <v>77</v>
      </c>
      <c r="E3420" s="28" t="s">
        <v>77</v>
      </c>
      <c r="F3420" s="28" t="s">
        <v>77</v>
      </c>
      <c r="G3420" s="28" t="s">
        <v>77</v>
      </c>
      <c r="I3420" s="26" t="s">
        <v>77</v>
      </c>
      <c r="J3420" s="26" t="s">
        <v>77</v>
      </c>
      <c r="K3420" s="18"/>
      <c r="L3420" s="26" t="s">
        <v>77</v>
      </c>
      <c r="M3420" s="6" t="s">
        <v>77</v>
      </c>
      <c r="N3420" s="28" t="s">
        <v>77</v>
      </c>
      <c r="O3420" s="26" t="s">
        <v>77</v>
      </c>
    </row>
    <row r="3421">
      <c r="A3421" s="52" t="s">
        <v>77</v>
      </c>
      <c r="B3421" s="28" t="s">
        <v>77</v>
      </c>
      <c r="C3421" s="28" t="s">
        <v>77</v>
      </c>
      <c r="D3421" s="28" t="s">
        <v>77</v>
      </c>
      <c r="E3421" s="28" t="s">
        <v>77</v>
      </c>
      <c r="F3421" s="28" t="s">
        <v>77</v>
      </c>
      <c r="G3421" s="28" t="s">
        <v>77</v>
      </c>
      <c r="I3421" s="26" t="s">
        <v>77</v>
      </c>
      <c r="J3421" s="26" t="s">
        <v>77</v>
      </c>
      <c r="K3421" s="18"/>
      <c r="L3421" s="26" t="s">
        <v>77</v>
      </c>
      <c r="M3421" s="6" t="s">
        <v>77</v>
      </c>
      <c r="N3421" s="28" t="s">
        <v>77</v>
      </c>
      <c r="O3421" s="26" t="s">
        <v>77</v>
      </c>
    </row>
    <row r="3422">
      <c r="A3422" s="52" t="s">
        <v>77</v>
      </c>
      <c r="B3422" s="28" t="s">
        <v>77</v>
      </c>
      <c r="C3422" s="28" t="s">
        <v>77</v>
      </c>
      <c r="D3422" s="28" t="s">
        <v>77</v>
      </c>
      <c r="E3422" s="28" t="s">
        <v>77</v>
      </c>
      <c r="F3422" s="28" t="s">
        <v>77</v>
      </c>
      <c r="G3422" s="28" t="s">
        <v>77</v>
      </c>
      <c r="I3422" s="26" t="s">
        <v>77</v>
      </c>
      <c r="J3422" s="26" t="s">
        <v>77</v>
      </c>
      <c r="K3422" s="18"/>
      <c r="L3422" s="26" t="s">
        <v>77</v>
      </c>
      <c r="M3422" s="6" t="s">
        <v>77</v>
      </c>
      <c r="N3422" s="28" t="s">
        <v>77</v>
      </c>
      <c r="O3422" s="26" t="s">
        <v>77</v>
      </c>
    </row>
    <row r="3423">
      <c r="A3423" s="52" t="s">
        <v>77</v>
      </c>
      <c r="B3423" s="28" t="s">
        <v>77</v>
      </c>
      <c r="C3423" s="28" t="s">
        <v>77</v>
      </c>
      <c r="D3423" s="28" t="s">
        <v>77</v>
      </c>
      <c r="E3423" s="28" t="s">
        <v>77</v>
      </c>
      <c r="F3423" s="28" t="s">
        <v>77</v>
      </c>
      <c r="G3423" s="28" t="s">
        <v>77</v>
      </c>
      <c r="I3423" s="26" t="s">
        <v>77</v>
      </c>
      <c r="J3423" s="26" t="s">
        <v>77</v>
      </c>
      <c r="K3423" s="18"/>
      <c r="L3423" s="26" t="s">
        <v>77</v>
      </c>
      <c r="M3423" s="6" t="s">
        <v>77</v>
      </c>
      <c r="N3423" s="28" t="s">
        <v>77</v>
      </c>
      <c r="O3423" s="26" t="s">
        <v>77</v>
      </c>
    </row>
    <row r="3424">
      <c r="A3424" s="52" t="s">
        <v>77</v>
      </c>
      <c r="B3424" s="28" t="s">
        <v>77</v>
      </c>
      <c r="C3424" s="28" t="s">
        <v>77</v>
      </c>
      <c r="D3424" s="28" t="s">
        <v>77</v>
      </c>
      <c r="E3424" s="28" t="s">
        <v>77</v>
      </c>
      <c r="F3424" s="28" t="s">
        <v>77</v>
      </c>
      <c r="G3424" s="28" t="s">
        <v>77</v>
      </c>
      <c r="I3424" s="26" t="s">
        <v>77</v>
      </c>
      <c r="J3424" s="26" t="s">
        <v>77</v>
      </c>
      <c r="K3424" s="18"/>
      <c r="L3424" s="26" t="s">
        <v>77</v>
      </c>
      <c r="M3424" s="6" t="s">
        <v>77</v>
      </c>
      <c r="N3424" s="28" t="s">
        <v>77</v>
      </c>
      <c r="O3424" s="26" t="s">
        <v>77</v>
      </c>
    </row>
    <row r="3425">
      <c r="A3425" s="52" t="s">
        <v>77</v>
      </c>
      <c r="B3425" s="28" t="s">
        <v>77</v>
      </c>
      <c r="C3425" s="28" t="s">
        <v>77</v>
      </c>
      <c r="D3425" s="28" t="s">
        <v>77</v>
      </c>
      <c r="E3425" s="28" t="s">
        <v>77</v>
      </c>
      <c r="F3425" s="28" t="s">
        <v>77</v>
      </c>
      <c r="G3425" s="28" t="s">
        <v>77</v>
      </c>
      <c r="I3425" s="26" t="s">
        <v>77</v>
      </c>
      <c r="J3425" s="26" t="s">
        <v>77</v>
      </c>
      <c r="K3425" s="18"/>
      <c r="L3425" s="26" t="s">
        <v>77</v>
      </c>
      <c r="M3425" s="6" t="s">
        <v>77</v>
      </c>
      <c r="N3425" s="28" t="s">
        <v>77</v>
      </c>
      <c r="O3425" s="26" t="s">
        <v>77</v>
      </c>
    </row>
    <row r="3426">
      <c r="A3426" s="52" t="s">
        <v>77</v>
      </c>
      <c r="B3426" s="28" t="s">
        <v>77</v>
      </c>
      <c r="C3426" s="28" t="s">
        <v>77</v>
      </c>
      <c r="D3426" s="28" t="s">
        <v>77</v>
      </c>
      <c r="E3426" s="28" t="s">
        <v>77</v>
      </c>
      <c r="F3426" s="28" t="s">
        <v>77</v>
      </c>
      <c r="G3426" s="28" t="s">
        <v>77</v>
      </c>
      <c r="I3426" s="26" t="s">
        <v>77</v>
      </c>
      <c r="J3426" s="26" t="s">
        <v>77</v>
      </c>
      <c r="K3426" s="18"/>
      <c r="L3426" s="26" t="s">
        <v>77</v>
      </c>
      <c r="M3426" s="6" t="s">
        <v>77</v>
      </c>
      <c r="N3426" s="28" t="s">
        <v>77</v>
      </c>
      <c r="O3426" s="26" t="s">
        <v>77</v>
      </c>
    </row>
    <row r="3427">
      <c r="A3427" s="52" t="s">
        <v>77</v>
      </c>
      <c r="B3427" s="28" t="s">
        <v>77</v>
      </c>
      <c r="C3427" s="28" t="s">
        <v>77</v>
      </c>
      <c r="D3427" s="28" t="s">
        <v>77</v>
      </c>
      <c r="E3427" s="28" t="s">
        <v>77</v>
      </c>
      <c r="F3427" s="28" t="s">
        <v>77</v>
      </c>
      <c r="G3427" s="28" t="s">
        <v>77</v>
      </c>
      <c r="I3427" s="26" t="s">
        <v>77</v>
      </c>
      <c r="J3427" s="26" t="s">
        <v>77</v>
      </c>
      <c r="K3427" s="18"/>
      <c r="L3427" s="26" t="s">
        <v>77</v>
      </c>
      <c r="M3427" s="6" t="s">
        <v>77</v>
      </c>
      <c r="N3427" s="28" t="s">
        <v>77</v>
      </c>
      <c r="O3427" s="26" t="s">
        <v>77</v>
      </c>
    </row>
    <row r="3428">
      <c r="A3428" s="52" t="s">
        <v>77</v>
      </c>
      <c r="B3428" s="28" t="s">
        <v>77</v>
      </c>
      <c r="C3428" s="28" t="s">
        <v>77</v>
      </c>
      <c r="D3428" s="28" t="s">
        <v>77</v>
      </c>
      <c r="E3428" s="28" t="s">
        <v>77</v>
      </c>
      <c r="F3428" s="28" t="s">
        <v>77</v>
      </c>
      <c r="G3428" s="28" t="s">
        <v>77</v>
      </c>
      <c r="I3428" s="26" t="s">
        <v>77</v>
      </c>
      <c r="J3428" s="26" t="s">
        <v>77</v>
      </c>
      <c r="K3428" s="18"/>
      <c r="L3428" s="26" t="s">
        <v>77</v>
      </c>
      <c r="M3428" s="6" t="s">
        <v>77</v>
      </c>
      <c r="N3428" s="28" t="s">
        <v>77</v>
      </c>
      <c r="O3428" s="26" t="s">
        <v>77</v>
      </c>
    </row>
    <row r="3429">
      <c r="A3429" s="52" t="s">
        <v>77</v>
      </c>
      <c r="B3429" s="28" t="s">
        <v>77</v>
      </c>
      <c r="C3429" s="28" t="s">
        <v>77</v>
      </c>
      <c r="D3429" s="28" t="s">
        <v>77</v>
      </c>
      <c r="E3429" s="28" t="s">
        <v>77</v>
      </c>
      <c r="F3429" s="28" t="s">
        <v>77</v>
      </c>
      <c r="G3429" s="28" t="s">
        <v>77</v>
      </c>
      <c r="I3429" s="26" t="s">
        <v>77</v>
      </c>
      <c r="J3429" s="26" t="s">
        <v>77</v>
      </c>
      <c r="K3429" s="18"/>
      <c r="L3429" s="26" t="s">
        <v>77</v>
      </c>
      <c r="M3429" s="6" t="s">
        <v>77</v>
      </c>
      <c r="N3429" s="28" t="s">
        <v>77</v>
      </c>
      <c r="O3429" s="26" t="s">
        <v>77</v>
      </c>
    </row>
    <row r="3430">
      <c r="A3430" s="52" t="s">
        <v>77</v>
      </c>
      <c r="B3430" s="28" t="s">
        <v>77</v>
      </c>
      <c r="C3430" s="28" t="s">
        <v>77</v>
      </c>
      <c r="D3430" s="28" t="s">
        <v>77</v>
      </c>
      <c r="E3430" s="28" t="s">
        <v>77</v>
      </c>
      <c r="F3430" s="28" t="s">
        <v>77</v>
      </c>
      <c r="G3430" s="28" t="s">
        <v>77</v>
      </c>
      <c r="I3430" s="26" t="s">
        <v>77</v>
      </c>
      <c r="J3430" s="26" t="s">
        <v>77</v>
      </c>
      <c r="K3430" s="18"/>
      <c r="L3430" s="26" t="s">
        <v>77</v>
      </c>
      <c r="M3430" s="6" t="s">
        <v>77</v>
      </c>
      <c r="N3430" s="28" t="s">
        <v>77</v>
      </c>
      <c r="O3430" s="26" t="s">
        <v>77</v>
      </c>
    </row>
    <row r="3431">
      <c r="A3431" s="52" t="s">
        <v>77</v>
      </c>
      <c r="B3431" s="28" t="s">
        <v>77</v>
      </c>
      <c r="C3431" s="28" t="s">
        <v>77</v>
      </c>
      <c r="D3431" s="28" t="s">
        <v>77</v>
      </c>
      <c r="E3431" s="28" t="s">
        <v>77</v>
      </c>
      <c r="F3431" s="28" t="s">
        <v>77</v>
      </c>
      <c r="G3431" s="28" t="s">
        <v>77</v>
      </c>
      <c r="I3431" s="26" t="s">
        <v>77</v>
      </c>
      <c r="J3431" s="26" t="s">
        <v>77</v>
      </c>
      <c r="K3431" s="18"/>
      <c r="L3431" s="26" t="s">
        <v>77</v>
      </c>
      <c r="M3431" s="6" t="s">
        <v>77</v>
      </c>
      <c r="N3431" s="28" t="s">
        <v>77</v>
      </c>
      <c r="O3431" s="26" t="s">
        <v>77</v>
      </c>
    </row>
    <row r="3432">
      <c r="A3432" s="52" t="s">
        <v>77</v>
      </c>
      <c r="B3432" s="28" t="s">
        <v>77</v>
      </c>
      <c r="C3432" s="28" t="s">
        <v>77</v>
      </c>
      <c r="D3432" s="28" t="s">
        <v>77</v>
      </c>
      <c r="E3432" s="28" t="s">
        <v>77</v>
      </c>
      <c r="F3432" s="28" t="s">
        <v>77</v>
      </c>
      <c r="G3432" s="28" t="s">
        <v>77</v>
      </c>
      <c r="I3432" s="26" t="s">
        <v>77</v>
      </c>
      <c r="J3432" s="26" t="s">
        <v>77</v>
      </c>
      <c r="K3432" s="18"/>
      <c r="L3432" s="26" t="s">
        <v>77</v>
      </c>
      <c r="M3432" s="6" t="s">
        <v>77</v>
      </c>
      <c r="N3432" s="28" t="s">
        <v>77</v>
      </c>
      <c r="O3432" s="26" t="s">
        <v>77</v>
      </c>
    </row>
    <row r="3433">
      <c r="A3433" s="52" t="s">
        <v>77</v>
      </c>
      <c r="B3433" s="28" t="s">
        <v>77</v>
      </c>
      <c r="C3433" s="28" t="s">
        <v>77</v>
      </c>
      <c r="D3433" s="28" t="s">
        <v>77</v>
      </c>
      <c r="E3433" s="28" t="s">
        <v>77</v>
      </c>
      <c r="F3433" s="28" t="s">
        <v>77</v>
      </c>
      <c r="G3433" s="28" t="s">
        <v>77</v>
      </c>
      <c r="I3433" s="26" t="s">
        <v>77</v>
      </c>
      <c r="J3433" s="26" t="s">
        <v>77</v>
      </c>
      <c r="K3433" s="18"/>
      <c r="L3433" s="26" t="s">
        <v>77</v>
      </c>
      <c r="M3433" s="6" t="s">
        <v>77</v>
      </c>
      <c r="N3433" s="28" t="s">
        <v>77</v>
      </c>
      <c r="O3433" s="26" t="s">
        <v>77</v>
      </c>
    </row>
    <row r="3434">
      <c r="A3434" s="52" t="s">
        <v>77</v>
      </c>
      <c r="B3434" s="28" t="s">
        <v>77</v>
      </c>
      <c r="C3434" s="28" t="s">
        <v>77</v>
      </c>
      <c r="D3434" s="28" t="s">
        <v>77</v>
      </c>
      <c r="E3434" s="28" t="s">
        <v>77</v>
      </c>
      <c r="F3434" s="28" t="s">
        <v>77</v>
      </c>
      <c r="G3434" s="28" t="s">
        <v>77</v>
      </c>
      <c r="I3434" s="26" t="s">
        <v>77</v>
      </c>
      <c r="J3434" s="26" t="s">
        <v>77</v>
      </c>
      <c r="K3434" s="18"/>
      <c r="L3434" s="26" t="s">
        <v>77</v>
      </c>
      <c r="M3434" s="6" t="s">
        <v>77</v>
      </c>
      <c r="N3434" s="28" t="s">
        <v>77</v>
      </c>
      <c r="O3434" s="26" t="s">
        <v>77</v>
      </c>
    </row>
    <row r="3435">
      <c r="A3435" s="52" t="s">
        <v>77</v>
      </c>
      <c r="B3435" s="28" t="s">
        <v>77</v>
      </c>
      <c r="C3435" s="28" t="s">
        <v>77</v>
      </c>
      <c r="D3435" s="28" t="s">
        <v>77</v>
      </c>
      <c r="E3435" s="28" t="s">
        <v>77</v>
      </c>
      <c r="F3435" s="28" t="s">
        <v>77</v>
      </c>
      <c r="G3435" s="28" t="s">
        <v>77</v>
      </c>
      <c r="I3435" s="26" t="s">
        <v>77</v>
      </c>
      <c r="J3435" s="26" t="s">
        <v>77</v>
      </c>
      <c r="K3435" s="18"/>
      <c r="L3435" s="26" t="s">
        <v>77</v>
      </c>
      <c r="M3435" s="6" t="s">
        <v>77</v>
      </c>
      <c r="N3435" s="28" t="s">
        <v>77</v>
      </c>
      <c r="O3435" s="26" t="s">
        <v>77</v>
      </c>
    </row>
    <row r="3436">
      <c r="A3436" s="52" t="s">
        <v>77</v>
      </c>
      <c r="B3436" s="28" t="s">
        <v>77</v>
      </c>
      <c r="C3436" s="28" t="s">
        <v>77</v>
      </c>
      <c r="D3436" s="28" t="s">
        <v>77</v>
      </c>
      <c r="E3436" s="28" t="s">
        <v>77</v>
      </c>
      <c r="F3436" s="28" t="s">
        <v>77</v>
      </c>
      <c r="G3436" s="28" t="s">
        <v>77</v>
      </c>
      <c r="I3436" s="26" t="s">
        <v>77</v>
      </c>
      <c r="J3436" s="26" t="s">
        <v>77</v>
      </c>
      <c r="K3436" s="18"/>
      <c r="L3436" s="26" t="s">
        <v>77</v>
      </c>
      <c r="M3436" s="6" t="s">
        <v>77</v>
      </c>
      <c r="N3436" s="28" t="s">
        <v>77</v>
      </c>
      <c r="O3436" s="26" t="s">
        <v>77</v>
      </c>
    </row>
    <row r="3437">
      <c r="A3437" s="52" t="s">
        <v>77</v>
      </c>
      <c r="B3437" s="28" t="s">
        <v>77</v>
      </c>
      <c r="C3437" s="28" t="s">
        <v>77</v>
      </c>
      <c r="D3437" s="28" t="s">
        <v>77</v>
      </c>
      <c r="E3437" s="28" t="s">
        <v>77</v>
      </c>
      <c r="F3437" s="28" t="s">
        <v>77</v>
      </c>
      <c r="G3437" s="28" t="s">
        <v>77</v>
      </c>
      <c r="I3437" s="26" t="s">
        <v>77</v>
      </c>
      <c r="J3437" s="26" t="s">
        <v>77</v>
      </c>
      <c r="K3437" s="18"/>
      <c r="L3437" s="26" t="s">
        <v>77</v>
      </c>
      <c r="M3437" s="6" t="s">
        <v>77</v>
      </c>
      <c r="N3437" s="28" t="s">
        <v>77</v>
      </c>
      <c r="O3437" s="26" t="s">
        <v>77</v>
      </c>
    </row>
    <row r="3438">
      <c r="A3438" s="52" t="s">
        <v>77</v>
      </c>
      <c r="B3438" s="28" t="s">
        <v>77</v>
      </c>
      <c r="C3438" s="28" t="s">
        <v>77</v>
      </c>
      <c r="D3438" s="28" t="s">
        <v>77</v>
      </c>
      <c r="E3438" s="28" t="s">
        <v>77</v>
      </c>
      <c r="F3438" s="28" t="s">
        <v>77</v>
      </c>
      <c r="G3438" s="28" t="s">
        <v>77</v>
      </c>
      <c r="I3438" s="26" t="s">
        <v>77</v>
      </c>
      <c r="J3438" s="26" t="s">
        <v>77</v>
      </c>
      <c r="K3438" s="18"/>
      <c r="L3438" s="26" t="s">
        <v>77</v>
      </c>
      <c r="M3438" s="6" t="s">
        <v>77</v>
      </c>
      <c r="N3438" s="28" t="s">
        <v>77</v>
      </c>
      <c r="O3438" s="26" t="s">
        <v>77</v>
      </c>
    </row>
    <row r="3439">
      <c r="A3439" s="52" t="s">
        <v>77</v>
      </c>
      <c r="B3439" s="28" t="s">
        <v>77</v>
      </c>
      <c r="C3439" s="28" t="s">
        <v>77</v>
      </c>
      <c r="D3439" s="28" t="s">
        <v>77</v>
      </c>
      <c r="E3439" s="28" t="s">
        <v>77</v>
      </c>
      <c r="F3439" s="28" t="s">
        <v>77</v>
      </c>
      <c r="G3439" s="28" t="s">
        <v>77</v>
      </c>
      <c r="I3439" s="26" t="s">
        <v>77</v>
      </c>
      <c r="J3439" s="26" t="s">
        <v>77</v>
      </c>
      <c r="K3439" s="18"/>
      <c r="L3439" s="26" t="s">
        <v>77</v>
      </c>
      <c r="M3439" s="6" t="s">
        <v>77</v>
      </c>
      <c r="N3439" s="28" t="s">
        <v>77</v>
      </c>
      <c r="O3439" s="26" t="s">
        <v>77</v>
      </c>
    </row>
    <row r="3440">
      <c r="A3440" s="52" t="s">
        <v>77</v>
      </c>
      <c r="B3440" s="28" t="s">
        <v>77</v>
      </c>
      <c r="C3440" s="28" t="s">
        <v>77</v>
      </c>
      <c r="D3440" s="28" t="s">
        <v>77</v>
      </c>
      <c r="E3440" s="28" t="s">
        <v>77</v>
      </c>
      <c r="F3440" s="28" t="s">
        <v>77</v>
      </c>
      <c r="G3440" s="28" t="s">
        <v>77</v>
      </c>
      <c r="I3440" s="26" t="s">
        <v>77</v>
      </c>
      <c r="J3440" s="26" t="s">
        <v>77</v>
      </c>
      <c r="K3440" s="18"/>
      <c r="L3440" s="26" t="s">
        <v>77</v>
      </c>
      <c r="M3440" s="6" t="s">
        <v>77</v>
      </c>
      <c r="N3440" s="28" t="s">
        <v>77</v>
      </c>
      <c r="O3440" s="26" t="s">
        <v>77</v>
      </c>
    </row>
    <row r="3441">
      <c r="A3441" s="52" t="s">
        <v>77</v>
      </c>
      <c r="B3441" s="28" t="s">
        <v>77</v>
      </c>
      <c r="C3441" s="28" t="s">
        <v>77</v>
      </c>
      <c r="D3441" s="28" t="s">
        <v>77</v>
      </c>
      <c r="E3441" s="28" t="s">
        <v>77</v>
      </c>
      <c r="F3441" s="28" t="s">
        <v>77</v>
      </c>
      <c r="G3441" s="28" t="s">
        <v>77</v>
      </c>
      <c r="I3441" s="26" t="s">
        <v>77</v>
      </c>
      <c r="J3441" s="26" t="s">
        <v>77</v>
      </c>
      <c r="K3441" s="18"/>
      <c r="L3441" s="26" t="s">
        <v>77</v>
      </c>
      <c r="M3441" s="6" t="s">
        <v>77</v>
      </c>
      <c r="N3441" s="28" t="s">
        <v>77</v>
      </c>
      <c r="O3441" s="26" t="s">
        <v>77</v>
      </c>
    </row>
    <row r="3442">
      <c r="A3442" s="52" t="s">
        <v>77</v>
      </c>
      <c r="B3442" s="28" t="s">
        <v>77</v>
      </c>
      <c r="C3442" s="28" t="s">
        <v>77</v>
      </c>
      <c r="D3442" s="28" t="s">
        <v>77</v>
      </c>
      <c r="E3442" s="28" t="s">
        <v>77</v>
      </c>
      <c r="F3442" s="28" t="s">
        <v>77</v>
      </c>
      <c r="G3442" s="28" t="s">
        <v>77</v>
      </c>
      <c r="I3442" s="26" t="s">
        <v>77</v>
      </c>
      <c r="J3442" s="26" t="s">
        <v>77</v>
      </c>
      <c r="K3442" s="18"/>
      <c r="L3442" s="26" t="s">
        <v>77</v>
      </c>
      <c r="M3442" s="6" t="s">
        <v>77</v>
      </c>
      <c r="N3442" s="28" t="s">
        <v>77</v>
      </c>
      <c r="O3442" s="26" t="s">
        <v>77</v>
      </c>
    </row>
    <row r="3443">
      <c r="A3443" s="52" t="s">
        <v>77</v>
      </c>
      <c r="B3443" s="28" t="s">
        <v>77</v>
      </c>
      <c r="C3443" s="28" t="s">
        <v>77</v>
      </c>
      <c r="D3443" s="28" t="s">
        <v>77</v>
      </c>
      <c r="E3443" s="28" t="s">
        <v>77</v>
      </c>
      <c r="F3443" s="28" t="s">
        <v>77</v>
      </c>
      <c r="G3443" s="28" t="s">
        <v>77</v>
      </c>
      <c r="I3443" s="26" t="s">
        <v>77</v>
      </c>
      <c r="J3443" s="26" t="s">
        <v>77</v>
      </c>
      <c r="K3443" s="18"/>
      <c r="L3443" s="26" t="s">
        <v>77</v>
      </c>
      <c r="M3443" s="6" t="s">
        <v>77</v>
      </c>
      <c r="N3443" s="28" t="s">
        <v>77</v>
      </c>
      <c r="O3443" s="26" t="s">
        <v>77</v>
      </c>
    </row>
    <row r="3444">
      <c r="A3444" s="52" t="s">
        <v>77</v>
      </c>
      <c r="B3444" s="28" t="s">
        <v>77</v>
      </c>
      <c r="C3444" s="28" t="s">
        <v>77</v>
      </c>
      <c r="D3444" s="28" t="s">
        <v>77</v>
      </c>
      <c r="E3444" s="28" t="s">
        <v>77</v>
      </c>
      <c r="F3444" s="28" t="s">
        <v>77</v>
      </c>
      <c r="G3444" s="28" t="s">
        <v>77</v>
      </c>
      <c r="I3444" s="26" t="s">
        <v>77</v>
      </c>
      <c r="J3444" s="26" t="s">
        <v>77</v>
      </c>
      <c r="K3444" s="18"/>
      <c r="L3444" s="26" t="s">
        <v>77</v>
      </c>
      <c r="M3444" s="6" t="s">
        <v>77</v>
      </c>
      <c r="N3444" s="28" t="s">
        <v>77</v>
      </c>
      <c r="O3444" s="26" t="s">
        <v>77</v>
      </c>
    </row>
    <row r="3445">
      <c r="A3445" s="52" t="s">
        <v>77</v>
      </c>
      <c r="B3445" s="28" t="s">
        <v>77</v>
      </c>
      <c r="C3445" s="28" t="s">
        <v>77</v>
      </c>
      <c r="D3445" s="28" t="s">
        <v>77</v>
      </c>
      <c r="E3445" s="28" t="s">
        <v>77</v>
      </c>
      <c r="F3445" s="28" t="s">
        <v>77</v>
      </c>
      <c r="G3445" s="28" t="s">
        <v>77</v>
      </c>
      <c r="I3445" s="26" t="s">
        <v>77</v>
      </c>
      <c r="J3445" s="26" t="s">
        <v>77</v>
      </c>
      <c r="K3445" s="18"/>
      <c r="L3445" s="26" t="s">
        <v>77</v>
      </c>
      <c r="M3445" s="6" t="s">
        <v>77</v>
      </c>
      <c r="N3445" s="28" t="s">
        <v>77</v>
      </c>
      <c r="O3445" s="26" t="s">
        <v>77</v>
      </c>
    </row>
    <row r="3446">
      <c r="A3446" s="52" t="s">
        <v>77</v>
      </c>
      <c r="B3446" s="28" t="s">
        <v>77</v>
      </c>
      <c r="C3446" s="28" t="s">
        <v>77</v>
      </c>
      <c r="D3446" s="28" t="s">
        <v>77</v>
      </c>
      <c r="E3446" s="28" t="s">
        <v>77</v>
      </c>
      <c r="F3446" s="28" t="s">
        <v>77</v>
      </c>
      <c r="G3446" s="28" t="s">
        <v>77</v>
      </c>
      <c r="I3446" s="26" t="s">
        <v>77</v>
      </c>
      <c r="J3446" s="26" t="s">
        <v>77</v>
      </c>
      <c r="K3446" s="18"/>
      <c r="L3446" s="26" t="s">
        <v>77</v>
      </c>
      <c r="M3446" s="6" t="s">
        <v>77</v>
      </c>
      <c r="N3446" s="28" t="s">
        <v>77</v>
      </c>
      <c r="O3446" s="26" t="s">
        <v>77</v>
      </c>
    </row>
    <row r="3447">
      <c r="A3447" s="52" t="s">
        <v>77</v>
      </c>
      <c r="B3447" s="28" t="s">
        <v>77</v>
      </c>
      <c r="C3447" s="28" t="s">
        <v>77</v>
      </c>
      <c r="D3447" s="28" t="s">
        <v>77</v>
      </c>
      <c r="E3447" s="28" t="s">
        <v>77</v>
      </c>
      <c r="F3447" s="28" t="s">
        <v>77</v>
      </c>
      <c r="G3447" s="28" t="s">
        <v>77</v>
      </c>
      <c r="I3447" s="26" t="s">
        <v>77</v>
      </c>
      <c r="J3447" s="26" t="s">
        <v>77</v>
      </c>
      <c r="K3447" s="18"/>
      <c r="L3447" s="26" t="s">
        <v>77</v>
      </c>
      <c r="M3447" s="6" t="s">
        <v>77</v>
      </c>
      <c r="N3447" s="28" t="s">
        <v>77</v>
      </c>
      <c r="O3447" s="26" t="s">
        <v>77</v>
      </c>
    </row>
    <row r="3448">
      <c r="A3448" s="52" t="s">
        <v>77</v>
      </c>
      <c r="B3448" s="28" t="s">
        <v>77</v>
      </c>
      <c r="C3448" s="28" t="s">
        <v>77</v>
      </c>
      <c r="D3448" s="28" t="s">
        <v>77</v>
      </c>
      <c r="E3448" s="28" t="s">
        <v>77</v>
      </c>
      <c r="F3448" s="28" t="s">
        <v>77</v>
      </c>
      <c r="G3448" s="28" t="s">
        <v>77</v>
      </c>
      <c r="I3448" s="26" t="s">
        <v>77</v>
      </c>
      <c r="J3448" s="26" t="s">
        <v>77</v>
      </c>
      <c r="K3448" s="18"/>
      <c r="L3448" s="26" t="s">
        <v>77</v>
      </c>
      <c r="M3448" s="6" t="s">
        <v>77</v>
      </c>
      <c r="N3448" s="28" t="s">
        <v>77</v>
      </c>
      <c r="O3448" s="26" t="s">
        <v>77</v>
      </c>
    </row>
    <row r="3449">
      <c r="A3449" s="52" t="s">
        <v>77</v>
      </c>
      <c r="B3449" s="28" t="s">
        <v>77</v>
      </c>
      <c r="C3449" s="28" t="s">
        <v>77</v>
      </c>
      <c r="D3449" s="28" t="s">
        <v>77</v>
      </c>
      <c r="E3449" s="28" t="s">
        <v>77</v>
      </c>
      <c r="F3449" s="28" t="s">
        <v>77</v>
      </c>
      <c r="G3449" s="28" t="s">
        <v>77</v>
      </c>
      <c r="I3449" s="26" t="s">
        <v>77</v>
      </c>
      <c r="J3449" s="26" t="s">
        <v>77</v>
      </c>
      <c r="K3449" s="18"/>
      <c r="L3449" s="26" t="s">
        <v>77</v>
      </c>
      <c r="M3449" s="6" t="s">
        <v>77</v>
      </c>
      <c r="N3449" s="28" t="s">
        <v>77</v>
      </c>
      <c r="O3449" s="26" t="s">
        <v>77</v>
      </c>
    </row>
    <row r="3450">
      <c r="A3450" s="52" t="s">
        <v>77</v>
      </c>
      <c r="B3450" s="28" t="s">
        <v>77</v>
      </c>
      <c r="C3450" s="28" t="s">
        <v>77</v>
      </c>
      <c r="D3450" s="28" t="s">
        <v>77</v>
      </c>
      <c r="E3450" s="28" t="s">
        <v>77</v>
      </c>
      <c r="F3450" s="28" t="s">
        <v>77</v>
      </c>
      <c r="G3450" s="28" t="s">
        <v>77</v>
      </c>
      <c r="I3450" s="26" t="s">
        <v>77</v>
      </c>
      <c r="J3450" s="26" t="s">
        <v>77</v>
      </c>
      <c r="K3450" s="18"/>
      <c r="L3450" s="26" t="s">
        <v>77</v>
      </c>
      <c r="M3450" s="6" t="s">
        <v>77</v>
      </c>
      <c r="N3450" s="28" t="s">
        <v>77</v>
      </c>
      <c r="O3450" s="26" t="s">
        <v>77</v>
      </c>
    </row>
    <row r="3451">
      <c r="A3451" s="52" t="s">
        <v>77</v>
      </c>
      <c r="B3451" s="28" t="s">
        <v>77</v>
      </c>
      <c r="C3451" s="28" t="s">
        <v>77</v>
      </c>
      <c r="D3451" s="28" t="s">
        <v>77</v>
      </c>
      <c r="E3451" s="28" t="s">
        <v>77</v>
      </c>
      <c r="F3451" s="28" t="s">
        <v>77</v>
      </c>
      <c r="G3451" s="28" t="s">
        <v>77</v>
      </c>
      <c r="I3451" s="26" t="s">
        <v>77</v>
      </c>
      <c r="J3451" s="26" t="s">
        <v>77</v>
      </c>
      <c r="K3451" s="18"/>
      <c r="L3451" s="26" t="s">
        <v>77</v>
      </c>
      <c r="M3451" s="6" t="s">
        <v>77</v>
      </c>
      <c r="N3451" s="28" t="s">
        <v>77</v>
      </c>
      <c r="O3451" s="26" t="s">
        <v>77</v>
      </c>
    </row>
    <row r="3452">
      <c r="A3452" s="52" t="s">
        <v>77</v>
      </c>
      <c r="B3452" s="28" t="s">
        <v>77</v>
      </c>
      <c r="C3452" s="28" t="s">
        <v>77</v>
      </c>
      <c r="D3452" s="28" t="s">
        <v>77</v>
      </c>
      <c r="E3452" s="28" t="s">
        <v>77</v>
      </c>
      <c r="F3452" s="28" t="s">
        <v>77</v>
      </c>
      <c r="G3452" s="28" t="s">
        <v>77</v>
      </c>
      <c r="I3452" s="26" t="s">
        <v>77</v>
      </c>
      <c r="J3452" s="26" t="s">
        <v>77</v>
      </c>
      <c r="K3452" s="18"/>
      <c r="L3452" s="26" t="s">
        <v>77</v>
      </c>
      <c r="M3452" s="6" t="s">
        <v>77</v>
      </c>
      <c r="N3452" s="28" t="s">
        <v>77</v>
      </c>
      <c r="O3452" s="26" t="s">
        <v>77</v>
      </c>
    </row>
    <row r="3453">
      <c r="A3453" s="52" t="s">
        <v>77</v>
      </c>
      <c r="B3453" s="28" t="s">
        <v>77</v>
      </c>
      <c r="C3453" s="28" t="s">
        <v>77</v>
      </c>
      <c r="D3453" s="28" t="s">
        <v>77</v>
      </c>
      <c r="E3453" s="28" t="s">
        <v>77</v>
      </c>
      <c r="F3453" s="28" t="s">
        <v>77</v>
      </c>
      <c r="G3453" s="28" t="s">
        <v>77</v>
      </c>
      <c r="I3453" s="26" t="s">
        <v>77</v>
      </c>
      <c r="J3453" s="26" t="s">
        <v>77</v>
      </c>
      <c r="K3453" s="18"/>
      <c r="L3453" s="26" t="s">
        <v>77</v>
      </c>
      <c r="M3453" s="6" t="s">
        <v>77</v>
      </c>
      <c r="N3453" s="28" t="s">
        <v>77</v>
      </c>
      <c r="O3453" s="26" t="s">
        <v>77</v>
      </c>
    </row>
    <row r="3454">
      <c r="A3454" s="52" t="s">
        <v>77</v>
      </c>
      <c r="B3454" s="28" t="s">
        <v>77</v>
      </c>
      <c r="C3454" s="28" t="s">
        <v>77</v>
      </c>
      <c r="D3454" s="28" t="s">
        <v>77</v>
      </c>
      <c r="E3454" s="28" t="s">
        <v>77</v>
      </c>
      <c r="F3454" s="28" t="s">
        <v>77</v>
      </c>
      <c r="G3454" s="28" t="s">
        <v>77</v>
      </c>
      <c r="I3454" s="26" t="s">
        <v>77</v>
      </c>
      <c r="J3454" s="26" t="s">
        <v>77</v>
      </c>
      <c r="K3454" s="18"/>
      <c r="L3454" s="26" t="s">
        <v>77</v>
      </c>
      <c r="M3454" s="6" t="s">
        <v>77</v>
      </c>
      <c r="N3454" s="28" t="s">
        <v>77</v>
      </c>
      <c r="O3454" s="26" t="s">
        <v>77</v>
      </c>
    </row>
    <row r="3455">
      <c r="A3455" s="52" t="s">
        <v>77</v>
      </c>
      <c r="B3455" s="28" t="s">
        <v>77</v>
      </c>
      <c r="C3455" s="28" t="s">
        <v>77</v>
      </c>
      <c r="D3455" s="28" t="s">
        <v>77</v>
      </c>
      <c r="E3455" s="28" t="s">
        <v>77</v>
      </c>
      <c r="F3455" s="28" t="s">
        <v>77</v>
      </c>
      <c r="G3455" s="28" t="s">
        <v>77</v>
      </c>
      <c r="I3455" s="26" t="s">
        <v>77</v>
      </c>
      <c r="J3455" s="26" t="s">
        <v>77</v>
      </c>
      <c r="K3455" s="18"/>
      <c r="L3455" s="26" t="s">
        <v>77</v>
      </c>
      <c r="M3455" s="6" t="s">
        <v>77</v>
      </c>
      <c r="N3455" s="28" t="s">
        <v>77</v>
      </c>
      <c r="O3455" s="26" t="s">
        <v>77</v>
      </c>
    </row>
    <row r="3456">
      <c r="A3456" s="52" t="s">
        <v>77</v>
      </c>
      <c r="B3456" s="28" t="s">
        <v>77</v>
      </c>
      <c r="C3456" s="28" t="s">
        <v>77</v>
      </c>
      <c r="D3456" s="28" t="s">
        <v>77</v>
      </c>
      <c r="E3456" s="28" t="s">
        <v>77</v>
      </c>
      <c r="F3456" s="28" t="s">
        <v>77</v>
      </c>
      <c r="G3456" s="28" t="s">
        <v>77</v>
      </c>
      <c r="I3456" s="26" t="s">
        <v>77</v>
      </c>
      <c r="J3456" s="26" t="s">
        <v>77</v>
      </c>
      <c r="K3456" s="18"/>
      <c r="L3456" s="26" t="s">
        <v>77</v>
      </c>
      <c r="M3456" s="6" t="s">
        <v>77</v>
      </c>
      <c r="N3456" s="28" t="s">
        <v>77</v>
      </c>
      <c r="O3456" s="26" t="s">
        <v>77</v>
      </c>
    </row>
    <row r="3457">
      <c r="A3457" s="52" t="s">
        <v>77</v>
      </c>
      <c r="B3457" s="28" t="s">
        <v>77</v>
      </c>
      <c r="C3457" s="28" t="s">
        <v>77</v>
      </c>
      <c r="D3457" s="28" t="s">
        <v>77</v>
      </c>
      <c r="E3457" s="28" t="s">
        <v>77</v>
      </c>
      <c r="F3457" s="28" t="s">
        <v>77</v>
      </c>
      <c r="G3457" s="28" t="s">
        <v>77</v>
      </c>
      <c r="I3457" s="26" t="s">
        <v>77</v>
      </c>
      <c r="J3457" s="26" t="s">
        <v>77</v>
      </c>
      <c r="K3457" s="18"/>
      <c r="L3457" s="26" t="s">
        <v>77</v>
      </c>
      <c r="M3457" s="6" t="s">
        <v>77</v>
      </c>
      <c r="N3457" s="28" t="s">
        <v>77</v>
      </c>
      <c r="O3457" s="26" t="s">
        <v>77</v>
      </c>
    </row>
    <row r="3458">
      <c r="A3458" s="52" t="s">
        <v>77</v>
      </c>
      <c r="B3458" s="28" t="s">
        <v>77</v>
      </c>
      <c r="C3458" s="28" t="s">
        <v>77</v>
      </c>
      <c r="D3458" s="28" t="s">
        <v>77</v>
      </c>
      <c r="E3458" s="28" t="s">
        <v>77</v>
      </c>
      <c r="F3458" s="28" t="s">
        <v>77</v>
      </c>
      <c r="G3458" s="28" t="s">
        <v>77</v>
      </c>
      <c r="I3458" s="26" t="s">
        <v>77</v>
      </c>
      <c r="J3458" s="26" t="s">
        <v>77</v>
      </c>
      <c r="K3458" s="18"/>
      <c r="L3458" s="26" t="s">
        <v>77</v>
      </c>
      <c r="M3458" s="6" t="s">
        <v>77</v>
      </c>
      <c r="N3458" s="28" t="s">
        <v>77</v>
      </c>
      <c r="O3458" s="26" t="s">
        <v>77</v>
      </c>
    </row>
    <row r="3459">
      <c r="A3459" s="52" t="s">
        <v>77</v>
      </c>
      <c r="B3459" s="28" t="s">
        <v>77</v>
      </c>
      <c r="C3459" s="28" t="s">
        <v>77</v>
      </c>
      <c r="D3459" s="28" t="s">
        <v>77</v>
      </c>
      <c r="E3459" s="28" t="s">
        <v>77</v>
      </c>
      <c r="F3459" s="28" t="s">
        <v>77</v>
      </c>
      <c r="G3459" s="28" t="s">
        <v>77</v>
      </c>
      <c r="I3459" s="26" t="s">
        <v>77</v>
      </c>
      <c r="J3459" s="26" t="s">
        <v>77</v>
      </c>
      <c r="K3459" s="18"/>
      <c r="L3459" s="26" t="s">
        <v>77</v>
      </c>
      <c r="M3459" s="6" t="s">
        <v>77</v>
      </c>
      <c r="N3459" s="28" t="s">
        <v>77</v>
      </c>
      <c r="O3459" s="26" t="s">
        <v>77</v>
      </c>
    </row>
    <row r="3460">
      <c r="A3460" s="52" t="s">
        <v>77</v>
      </c>
      <c r="B3460" s="28" t="s">
        <v>77</v>
      </c>
      <c r="C3460" s="28" t="s">
        <v>77</v>
      </c>
      <c r="D3460" s="28" t="s">
        <v>77</v>
      </c>
      <c r="E3460" s="28" t="s">
        <v>77</v>
      </c>
      <c r="F3460" s="28" t="s">
        <v>77</v>
      </c>
      <c r="G3460" s="28" t="s">
        <v>77</v>
      </c>
      <c r="I3460" s="26" t="s">
        <v>77</v>
      </c>
      <c r="J3460" s="26" t="s">
        <v>77</v>
      </c>
      <c r="K3460" s="18"/>
      <c r="L3460" s="26" t="s">
        <v>77</v>
      </c>
      <c r="M3460" s="6" t="s">
        <v>77</v>
      </c>
      <c r="N3460" s="28" t="s">
        <v>77</v>
      </c>
      <c r="O3460" s="26" t="s">
        <v>77</v>
      </c>
    </row>
    <row r="3461">
      <c r="A3461" s="52" t="s">
        <v>77</v>
      </c>
      <c r="B3461" s="28" t="s">
        <v>77</v>
      </c>
      <c r="C3461" s="28" t="s">
        <v>77</v>
      </c>
      <c r="D3461" s="28" t="s">
        <v>77</v>
      </c>
      <c r="E3461" s="28" t="s">
        <v>77</v>
      </c>
      <c r="F3461" s="28" t="s">
        <v>77</v>
      </c>
      <c r="G3461" s="28" t="s">
        <v>77</v>
      </c>
      <c r="I3461" s="26" t="s">
        <v>77</v>
      </c>
      <c r="J3461" s="26" t="s">
        <v>77</v>
      </c>
      <c r="K3461" s="18"/>
      <c r="L3461" s="26" t="s">
        <v>77</v>
      </c>
      <c r="M3461" s="6" t="s">
        <v>77</v>
      </c>
      <c r="N3461" s="28" t="s">
        <v>77</v>
      </c>
      <c r="O3461" s="26" t="s">
        <v>77</v>
      </c>
    </row>
    <row r="3462">
      <c r="A3462" s="52" t="s">
        <v>77</v>
      </c>
      <c r="B3462" s="28" t="s">
        <v>77</v>
      </c>
      <c r="C3462" s="28" t="s">
        <v>77</v>
      </c>
      <c r="D3462" s="28" t="s">
        <v>77</v>
      </c>
      <c r="E3462" s="28" t="s">
        <v>77</v>
      </c>
      <c r="F3462" s="28" t="s">
        <v>77</v>
      </c>
      <c r="G3462" s="28" t="s">
        <v>77</v>
      </c>
      <c r="I3462" s="26" t="s">
        <v>77</v>
      </c>
      <c r="J3462" s="26" t="s">
        <v>77</v>
      </c>
      <c r="K3462" s="18"/>
      <c r="L3462" s="26" t="s">
        <v>77</v>
      </c>
      <c r="M3462" s="6" t="s">
        <v>77</v>
      </c>
      <c r="N3462" s="28" t="s">
        <v>77</v>
      </c>
      <c r="O3462" s="26" t="s">
        <v>77</v>
      </c>
    </row>
    <row r="3463">
      <c r="A3463" s="52" t="s">
        <v>77</v>
      </c>
      <c r="B3463" s="28" t="s">
        <v>77</v>
      </c>
      <c r="C3463" s="28" t="s">
        <v>77</v>
      </c>
      <c r="D3463" s="28" t="s">
        <v>77</v>
      </c>
      <c r="E3463" s="28" t="s">
        <v>77</v>
      </c>
      <c r="F3463" s="28" t="s">
        <v>77</v>
      </c>
      <c r="G3463" s="28" t="s">
        <v>77</v>
      </c>
      <c r="I3463" s="26" t="s">
        <v>77</v>
      </c>
      <c r="J3463" s="26" t="s">
        <v>77</v>
      </c>
      <c r="K3463" s="18"/>
      <c r="L3463" s="26" t="s">
        <v>77</v>
      </c>
      <c r="M3463" s="6" t="s">
        <v>77</v>
      </c>
      <c r="N3463" s="28" t="s">
        <v>77</v>
      </c>
      <c r="O3463" s="26" t="s">
        <v>77</v>
      </c>
    </row>
    <row r="3464">
      <c r="A3464" s="52" t="s">
        <v>77</v>
      </c>
      <c r="B3464" s="28" t="s">
        <v>77</v>
      </c>
      <c r="C3464" s="28" t="s">
        <v>77</v>
      </c>
      <c r="D3464" s="28" t="s">
        <v>77</v>
      </c>
      <c r="E3464" s="28" t="s">
        <v>77</v>
      </c>
      <c r="F3464" s="28" t="s">
        <v>77</v>
      </c>
      <c r="G3464" s="28" t="s">
        <v>77</v>
      </c>
      <c r="I3464" s="26" t="s">
        <v>77</v>
      </c>
      <c r="J3464" s="26" t="s">
        <v>77</v>
      </c>
      <c r="K3464" s="18"/>
      <c r="L3464" s="26" t="s">
        <v>77</v>
      </c>
      <c r="M3464" s="6" t="s">
        <v>77</v>
      </c>
      <c r="N3464" s="28" t="s">
        <v>77</v>
      </c>
      <c r="O3464" s="26" t="s">
        <v>77</v>
      </c>
    </row>
    <row r="3465">
      <c r="A3465" s="52" t="s">
        <v>77</v>
      </c>
      <c r="B3465" s="28" t="s">
        <v>77</v>
      </c>
      <c r="C3465" s="28" t="s">
        <v>77</v>
      </c>
      <c r="D3465" s="28" t="s">
        <v>77</v>
      </c>
      <c r="E3465" s="28" t="s">
        <v>77</v>
      </c>
      <c r="F3465" s="28" t="s">
        <v>77</v>
      </c>
      <c r="G3465" s="28" t="s">
        <v>77</v>
      </c>
      <c r="I3465" s="26" t="s">
        <v>77</v>
      </c>
      <c r="J3465" s="26" t="s">
        <v>77</v>
      </c>
      <c r="K3465" s="18"/>
      <c r="L3465" s="26" t="s">
        <v>77</v>
      </c>
      <c r="M3465" s="6" t="s">
        <v>77</v>
      </c>
      <c r="N3465" s="28" t="s">
        <v>77</v>
      </c>
      <c r="O3465" s="26" t="s">
        <v>77</v>
      </c>
    </row>
    <row r="3466">
      <c r="A3466" s="52" t="s">
        <v>77</v>
      </c>
      <c r="B3466" s="28" t="s">
        <v>77</v>
      </c>
      <c r="C3466" s="28" t="s">
        <v>77</v>
      </c>
      <c r="D3466" s="28" t="s">
        <v>77</v>
      </c>
      <c r="E3466" s="28" t="s">
        <v>77</v>
      </c>
      <c r="F3466" s="28" t="s">
        <v>77</v>
      </c>
      <c r="G3466" s="28" t="s">
        <v>77</v>
      </c>
      <c r="I3466" s="26" t="s">
        <v>77</v>
      </c>
      <c r="J3466" s="26" t="s">
        <v>77</v>
      </c>
      <c r="K3466" s="18"/>
      <c r="L3466" s="26" t="s">
        <v>77</v>
      </c>
      <c r="M3466" s="6" t="s">
        <v>77</v>
      </c>
      <c r="N3466" s="28" t="s">
        <v>77</v>
      </c>
      <c r="O3466" s="26" t="s">
        <v>77</v>
      </c>
    </row>
    <row r="3467">
      <c r="A3467" s="52" t="s">
        <v>77</v>
      </c>
      <c r="B3467" s="28" t="s">
        <v>77</v>
      </c>
      <c r="C3467" s="28" t="s">
        <v>77</v>
      </c>
      <c r="D3467" s="28" t="s">
        <v>77</v>
      </c>
      <c r="E3467" s="28" t="s">
        <v>77</v>
      </c>
      <c r="F3467" s="28" t="s">
        <v>77</v>
      </c>
      <c r="G3467" s="28" t="s">
        <v>77</v>
      </c>
      <c r="I3467" s="26" t="s">
        <v>77</v>
      </c>
      <c r="J3467" s="26" t="s">
        <v>77</v>
      </c>
      <c r="K3467" s="18"/>
      <c r="L3467" s="26" t="s">
        <v>77</v>
      </c>
      <c r="M3467" s="6" t="s">
        <v>77</v>
      </c>
      <c r="N3467" s="28" t="s">
        <v>77</v>
      </c>
      <c r="O3467" s="26" t="s">
        <v>77</v>
      </c>
    </row>
    <row r="3468">
      <c r="A3468" s="52" t="s">
        <v>77</v>
      </c>
      <c r="B3468" s="28" t="s">
        <v>77</v>
      </c>
      <c r="C3468" s="28" t="s">
        <v>77</v>
      </c>
      <c r="D3468" s="28" t="s">
        <v>77</v>
      </c>
      <c r="E3468" s="28" t="s">
        <v>77</v>
      </c>
      <c r="F3468" s="28" t="s">
        <v>77</v>
      </c>
      <c r="G3468" s="28" t="s">
        <v>77</v>
      </c>
      <c r="I3468" s="26" t="s">
        <v>77</v>
      </c>
      <c r="J3468" s="26" t="s">
        <v>77</v>
      </c>
      <c r="K3468" s="18"/>
      <c r="L3468" s="26" t="s">
        <v>77</v>
      </c>
      <c r="M3468" s="6" t="s">
        <v>77</v>
      </c>
      <c r="N3468" s="28" t="s">
        <v>77</v>
      </c>
      <c r="O3468" s="26" t="s">
        <v>77</v>
      </c>
    </row>
    <row r="3469">
      <c r="A3469" s="52" t="s">
        <v>77</v>
      </c>
      <c r="B3469" s="28" t="s">
        <v>77</v>
      </c>
      <c r="C3469" s="28" t="s">
        <v>77</v>
      </c>
      <c r="D3469" s="28" t="s">
        <v>77</v>
      </c>
      <c r="E3469" s="28" t="s">
        <v>77</v>
      </c>
      <c r="F3469" s="28" t="s">
        <v>77</v>
      </c>
      <c r="G3469" s="28" t="s">
        <v>77</v>
      </c>
      <c r="I3469" s="26" t="s">
        <v>77</v>
      </c>
      <c r="J3469" s="26" t="s">
        <v>77</v>
      </c>
      <c r="K3469" s="18"/>
      <c r="L3469" s="26" t="s">
        <v>77</v>
      </c>
      <c r="M3469" s="6" t="s">
        <v>77</v>
      </c>
      <c r="N3469" s="28" t="s">
        <v>77</v>
      </c>
      <c r="O3469" s="26" t="s">
        <v>77</v>
      </c>
    </row>
    <row r="3470">
      <c r="A3470" s="52" t="s">
        <v>77</v>
      </c>
      <c r="B3470" s="28" t="s">
        <v>77</v>
      </c>
      <c r="C3470" s="28" t="s">
        <v>77</v>
      </c>
      <c r="D3470" s="28" t="s">
        <v>77</v>
      </c>
      <c r="E3470" s="28" t="s">
        <v>77</v>
      </c>
      <c r="F3470" s="28" t="s">
        <v>77</v>
      </c>
      <c r="G3470" s="28" t="s">
        <v>77</v>
      </c>
      <c r="I3470" s="26" t="s">
        <v>77</v>
      </c>
      <c r="J3470" s="26" t="s">
        <v>77</v>
      </c>
      <c r="K3470" s="18"/>
      <c r="L3470" s="26" t="s">
        <v>77</v>
      </c>
      <c r="M3470" s="6" t="s">
        <v>77</v>
      </c>
      <c r="N3470" s="28" t="s">
        <v>77</v>
      </c>
      <c r="O3470" s="26" t="s">
        <v>77</v>
      </c>
    </row>
    <row r="3471">
      <c r="A3471" s="52" t="s">
        <v>77</v>
      </c>
      <c r="B3471" s="28" t="s">
        <v>77</v>
      </c>
      <c r="C3471" s="28" t="s">
        <v>77</v>
      </c>
      <c r="D3471" s="28" t="s">
        <v>77</v>
      </c>
      <c r="E3471" s="28" t="s">
        <v>77</v>
      </c>
      <c r="F3471" s="28" t="s">
        <v>77</v>
      </c>
      <c r="G3471" s="28" t="s">
        <v>77</v>
      </c>
      <c r="I3471" s="26" t="s">
        <v>77</v>
      </c>
      <c r="J3471" s="26" t="s">
        <v>77</v>
      </c>
      <c r="K3471" s="18"/>
      <c r="L3471" s="26" t="s">
        <v>77</v>
      </c>
      <c r="M3471" s="6" t="s">
        <v>77</v>
      </c>
      <c r="N3471" s="28" t="s">
        <v>77</v>
      </c>
      <c r="O3471" s="26" t="s">
        <v>77</v>
      </c>
    </row>
    <row r="3472">
      <c r="A3472" s="52" t="s">
        <v>77</v>
      </c>
      <c r="B3472" s="28" t="s">
        <v>77</v>
      </c>
      <c r="C3472" s="28" t="s">
        <v>77</v>
      </c>
      <c r="D3472" s="28" t="s">
        <v>77</v>
      </c>
      <c r="E3472" s="28" t="s">
        <v>77</v>
      </c>
      <c r="F3472" s="28" t="s">
        <v>77</v>
      </c>
      <c r="G3472" s="28" t="s">
        <v>77</v>
      </c>
      <c r="I3472" s="26" t="s">
        <v>77</v>
      </c>
      <c r="J3472" s="26" t="s">
        <v>77</v>
      </c>
      <c r="K3472" s="18"/>
      <c r="L3472" s="26" t="s">
        <v>77</v>
      </c>
      <c r="M3472" s="6" t="s">
        <v>77</v>
      </c>
      <c r="N3472" s="28" t="s">
        <v>77</v>
      </c>
      <c r="O3472" s="26" t="s">
        <v>77</v>
      </c>
    </row>
    <row r="3473">
      <c r="A3473" s="52" t="s">
        <v>77</v>
      </c>
      <c r="B3473" s="28" t="s">
        <v>77</v>
      </c>
      <c r="C3473" s="28" t="s">
        <v>77</v>
      </c>
      <c r="D3473" s="28" t="s">
        <v>77</v>
      </c>
      <c r="E3473" s="28" t="s">
        <v>77</v>
      </c>
      <c r="F3473" s="28" t="s">
        <v>77</v>
      </c>
      <c r="G3473" s="28" t="s">
        <v>77</v>
      </c>
      <c r="I3473" s="26" t="s">
        <v>77</v>
      </c>
      <c r="J3473" s="26" t="s">
        <v>77</v>
      </c>
      <c r="K3473" s="18"/>
      <c r="L3473" s="26" t="s">
        <v>77</v>
      </c>
      <c r="M3473" s="6" t="s">
        <v>77</v>
      </c>
      <c r="N3473" s="28" t="s">
        <v>77</v>
      </c>
      <c r="O3473" s="26" t="s">
        <v>77</v>
      </c>
    </row>
    <row r="3474">
      <c r="A3474" s="52" t="s">
        <v>77</v>
      </c>
      <c r="B3474" s="28" t="s">
        <v>77</v>
      </c>
      <c r="C3474" s="28" t="s">
        <v>77</v>
      </c>
      <c r="D3474" s="28" t="s">
        <v>77</v>
      </c>
      <c r="E3474" s="28" t="s">
        <v>77</v>
      </c>
      <c r="F3474" s="28" t="s">
        <v>77</v>
      </c>
      <c r="G3474" s="28" t="s">
        <v>77</v>
      </c>
      <c r="I3474" s="26" t="s">
        <v>77</v>
      </c>
      <c r="J3474" s="26" t="s">
        <v>77</v>
      </c>
      <c r="K3474" s="18"/>
      <c r="L3474" s="26" t="s">
        <v>77</v>
      </c>
      <c r="M3474" s="6" t="s">
        <v>77</v>
      </c>
      <c r="N3474" s="28" t="s">
        <v>77</v>
      </c>
      <c r="O3474" s="26" t="s">
        <v>77</v>
      </c>
    </row>
    <row r="3475">
      <c r="A3475" s="52" t="s">
        <v>77</v>
      </c>
      <c r="B3475" s="28" t="s">
        <v>77</v>
      </c>
      <c r="C3475" s="28" t="s">
        <v>77</v>
      </c>
      <c r="D3475" s="28" t="s">
        <v>77</v>
      </c>
      <c r="E3475" s="28" t="s">
        <v>77</v>
      </c>
      <c r="F3475" s="28" t="s">
        <v>77</v>
      </c>
      <c r="G3475" s="28" t="s">
        <v>77</v>
      </c>
      <c r="I3475" s="26" t="s">
        <v>77</v>
      </c>
      <c r="J3475" s="26" t="s">
        <v>77</v>
      </c>
      <c r="K3475" s="18"/>
      <c r="L3475" s="26" t="s">
        <v>77</v>
      </c>
      <c r="M3475" s="6" t="s">
        <v>77</v>
      </c>
      <c r="N3475" s="28" t="s">
        <v>77</v>
      </c>
      <c r="O3475" s="26" t="s">
        <v>77</v>
      </c>
    </row>
    <row r="3476">
      <c r="A3476" s="52" t="s">
        <v>77</v>
      </c>
      <c r="B3476" s="28" t="s">
        <v>77</v>
      </c>
      <c r="C3476" s="28" t="s">
        <v>77</v>
      </c>
      <c r="D3476" s="28" t="s">
        <v>77</v>
      </c>
      <c r="E3476" s="28" t="s">
        <v>77</v>
      </c>
      <c r="F3476" s="28" t="s">
        <v>77</v>
      </c>
      <c r="G3476" s="28" t="s">
        <v>77</v>
      </c>
      <c r="I3476" s="26" t="s">
        <v>77</v>
      </c>
      <c r="J3476" s="26" t="s">
        <v>77</v>
      </c>
      <c r="K3476" s="18"/>
      <c r="L3476" s="26" t="s">
        <v>77</v>
      </c>
      <c r="M3476" s="6" t="s">
        <v>77</v>
      </c>
      <c r="N3476" s="28" t="s">
        <v>77</v>
      </c>
      <c r="O3476" s="26" t="s">
        <v>77</v>
      </c>
    </row>
    <row r="3477">
      <c r="A3477" s="52" t="s">
        <v>77</v>
      </c>
      <c r="B3477" s="28" t="s">
        <v>77</v>
      </c>
      <c r="C3477" s="28" t="s">
        <v>77</v>
      </c>
      <c r="D3477" s="28" t="s">
        <v>77</v>
      </c>
      <c r="E3477" s="28" t="s">
        <v>77</v>
      </c>
      <c r="F3477" s="28" t="s">
        <v>77</v>
      </c>
      <c r="G3477" s="28" t="s">
        <v>77</v>
      </c>
      <c r="I3477" s="26" t="s">
        <v>77</v>
      </c>
      <c r="J3477" s="26" t="s">
        <v>77</v>
      </c>
      <c r="K3477" s="18"/>
      <c r="L3477" s="26" t="s">
        <v>77</v>
      </c>
      <c r="M3477" s="6" t="s">
        <v>77</v>
      </c>
      <c r="N3477" s="28" t="s">
        <v>77</v>
      </c>
      <c r="O3477" s="26" t="s">
        <v>77</v>
      </c>
    </row>
    <row r="3478">
      <c r="A3478" s="52" t="s">
        <v>77</v>
      </c>
      <c r="B3478" s="28" t="s">
        <v>77</v>
      </c>
      <c r="C3478" s="28" t="s">
        <v>77</v>
      </c>
      <c r="D3478" s="28" t="s">
        <v>77</v>
      </c>
      <c r="E3478" s="28" t="s">
        <v>77</v>
      </c>
      <c r="F3478" s="28" t="s">
        <v>77</v>
      </c>
      <c r="G3478" s="28" t="s">
        <v>77</v>
      </c>
      <c r="I3478" s="26" t="s">
        <v>77</v>
      </c>
      <c r="J3478" s="26" t="s">
        <v>77</v>
      </c>
      <c r="K3478" s="18"/>
      <c r="L3478" s="26" t="s">
        <v>77</v>
      </c>
      <c r="M3478" s="6" t="s">
        <v>77</v>
      </c>
      <c r="N3478" s="28" t="s">
        <v>77</v>
      </c>
      <c r="O3478" s="26" t="s">
        <v>77</v>
      </c>
    </row>
    <row r="3479">
      <c r="A3479" s="52" t="s">
        <v>77</v>
      </c>
      <c r="B3479" s="28" t="s">
        <v>77</v>
      </c>
      <c r="C3479" s="28" t="s">
        <v>77</v>
      </c>
      <c r="D3479" s="28" t="s">
        <v>77</v>
      </c>
      <c r="E3479" s="28" t="s">
        <v>77</v>
      </c>
      <c r="F3479" s="28" t="s">
        <v>77</v>
      </c>
      <c r="G3479" s="28" t="s">
        <v>77</v>
      </c>
      <c r="I3479" s="26" t="s">
        <v>77</v>
      </c>
      <c r="J3479" s="26" t="s">
        <v>77</v>
      </c>
      <c r="K3479" s="18"/>
      <c r="L3479" s="26" t="s">
        <v>77</v>
      </c>
      <c r="M3479" s="6" t="s">
        <v>77</v>
      </c>
      <c r="N3479" s="28" t="s">
        <v>77</v>
      </c>
      <c r="O3479" s="26" t="s">
        <v>77</v>
      </c>
    </row>
    <row r="3480">
      <c r="A3480" s="52" t="s">
        <v>77</v>
      </c>
      <c r="B3480" s="28" t="s">
        <v>77</v>
      </c>
      <c r="C3480" s="28" t="s">
        <v>77</v>
      </c>
      <c r="D3480" s="28" t="s">
        <v>77</v>
      </c>
      <c r="E3480" s="28" t="s">
        <v>77</v>
      </c>
      <c r="F3480" s="28" t="s">
        <v>77</v>
      </c>
      <c r="G3480" s="28" t="s">
        <v>77</v>
      </c>
      <c r="I3480" s="26" t="s">
        <v>77</v>
      </c>
      <c r="J3480" s="26" t="s">
        <v>77</v>
      </c>
      <c r="K3480" s="18"/>
      <c r="L3480" s="26" t="s">
        <v>77</v>
      </c>
      <c r="M3480" s="6" t="s">
        <v>77</v>
      </c>
      <c r="N3480" s="28" t="s">
        <v>77</v>
      </c>
      <c r="O3480" s="26" t="s">
        <v>77</v>
      </c>
    </row>
    <row r="3481">
      <c r="A3481" s="52" t="s">
        <v>77</v>
      </c>
      <c r="B3481" s="28" t="s">
        <v>77</v>
      </c>
      <c r="C3481" s="28" t="s">
        <v>77</v>
      </c>
      <c r="D3481" s="28" t="s">
        <v>77</v>
      </c>
      <c r="E3481" s="28" t="s">
        <v>77</v>
      </c>
      <c r="F3481" s="28" t="s">
        <v>77</v>
      </c>
      <c r="G3481" s="28" t="s">
        <v>77</v>
      </c>
      <c r="I3481" s="26" t="s">
        <v>77</v>
      </c>
      <c r="J3481" s="26" t="s">
        <v>77</v>
      </c>
      <c r="K3481" s="18"/>
      <c r="L3481" s="26" t="s">
        <v>77</v>
      </c>
      <c r="M3481" s="6" t="s">
        <v>77</v>
      </c>
      <c r="N3481" s="28" t="s">
        <v>77</v>
      </c>
      <c r="O3481" s="26" t="s">
        <v>77</v>
      </c>
    </row>
    <row r="3482">
      <c r="A3482" s="52" t="s">
        <v>77</v>
      </c>
      <c r="B3482" s="28" t="s">
        <v>77</v>
      </c>
      <c r="C3482" s="28" t="s">
        <v>77</v>
      </c>
      <c r="D3482" s="28" t="s">
        <v>77</v>
      </c>
      <c r="E3482" s="28" t="s">
        <v>77</v>
      </c>
      <c r="F3482" s="28" t="s">
        <v>77</v>
      </c>
      <c r="G3482" s="28" t="s">
        <v>77</v>
      </c>
      <c r="I3482" s="26" t="s">
        <v>77</v>
      </c>
      <c r="J3482" s="26" t="s">
        <v>77</v>
      </c>
      <c r="K3482" s="18"/>
      <c r="L3482" s="26" t="s">
        <v>77</v>
      </c>
      <c r="M3482" s="6" t="s">
        <v>77</v>
      </c>
      <c r="N3482" s="28" t="s">
        <v>77</v>
      </c>
      <c r="O3482" s="26" t="s">
        <v>77</v>
      </c>
    </row>
    <row r="3483">
      <c r="A3483" s="52" t="s">
        <v>77</v>
      </c>
      <c r="B3483" s="28" t="s">
        <v>77</v>
      </c>
      <c r="C3483" s="28" t="s">
        <v>77</v>
      </c>
      <c r="D3483" s="28" t="s">
        <v>77</v>
      </c>
      <c r="E3483" s="28" t="s">
        <v>77</v>
      </c>
      <c r="F3483" s="28" t="s">
        <v>77</v>
      </c>
      <c r="G3483" s="28" t="s">
        <v>77</v>
      </c>
      <c r="I3483" s="26" t="s">
        <v>77</v>
      </c>
      <c r="J3483" s="26" t="s">
        <v>77</v>
      </c>
      <c r="K3483" s="18"/>
      <c r="L3483" s="26" t="s">
        <v>77</v>
      </c>
      <c r="M3483" s="6" t="s">
        <v>77</v>
      </c>
      <c r="N3483" s="28" t="s">
        <v>77</v>
      </c>
      <c r="O3483" s="26" t="s">
        <v>77</v>
      </c>
    </row>
    <row r="3484">
      <c r="A3484" s="52" t="s">
        <v>77</v>
      </c>
      <c r="B3484" s="28" t="s">
        <v>77</v>
      </c>
      <c r="C3484" s="28" t="s">
        <v>77</v>
      </c>
      <c r="D3484" s="28" t="s">
        <v>77</v>
      </c>
      <c r="E3484" s="28" t="s">
        <v>77</v>
      </c>
      <c r="F3484" s="28" t="s">
        <v>77</v>
      </c>
      <c r="G3484" s="28" t="s">
        <v>77</v>
      </c>
      <c r="I3484" s="26" t="s">
        <v>77</v>
      </c>
      <c r="J3484" s="26" t="s">
        <v>77</v>
      </c>
      <c r="K3484" s="18"/>
      <c r="L3484" s="26" t="s">
        <v>77</v>
      </c>
      <c r="M3484" s="6" t="s">
        <v>77</v>
      </c>
      <c r="N3484" s="28" t="s">
        <v>77</v>
      </c>
      <c r="O3484" s="26" t="s">
        <v>77</v>
      </c>
    </row>
    <row r="3485">
      <c r="A3485" s="52" t="s">
        <v>77</v>
      </c>
      <c r="B3485" s="28" t="s">
        <v>77</v>
      </c>
      <c r="C3485" s="28" t="s">
        <v>77</v>
      </c>
      <c r="D3485" s="28" t="s">
        <v>77</v>
      </c>
      <c r="E3485" s="28" t="s">
        <v>77</v>
      </c>
      <c r="F3485" s="28" t="s">
        <v>77</v>
      </c>
      <c r="G3485" s="28" t="s">
        <v>77</v>
      </c>
      <c r="I3485" s="26" t="s">
        <v>77</v>
      </c>
      <c r="J3485" s="26" t="s">
        <v>77</v>
      </c>
      <c r="K3485" s="18"/>
      <c r="L3485" s="26" t="s">
        <v>77</v>
      </c>
      <c r="M3485" s="6" t="s">
        <v>77</v>
      </c>
      <c r="N3485" s="28" t="s">
        <v>77</v>
      </c>
      <c r="O3485" s="26" t="s">
        <v>77</v>
      </c>
    </row>
    <row r="3486">
      <c r="A3486" s="52" t="s">
        <v>77</v>
      </c>
      <c r="B3486" s="28" t="s">
        <v>77</v>
      </c>
      <c r="C3486" s="28" t="s">
        <v>77</v>
      </c>
      <c r="D3486" s="28" t="s">
        <v>77</v>
      </c>
      <c r="E3486" s="28" t="s">
        <v>77</v>
      </c>
      <c r="F3486" s="28" t="s">
        <v>77</v>
      </c>
      <c r="G3486" s="28" t="s">
        <v>77</v>
      </c>
      <c r="I3486" s="26" t="s">
        <v>77</v>
      </c>
      <c r="J3486" s="26" t="s">
        <v>77</v>
      </c>
      <c r="K3486" s="18"/>
      <c r="L3486" s="26" t="s">
        <v>77</v>
      </c>
      <c r="M3486" s="6" t="s">
        <v>77</v>
      </c>
      <c r="N3486" s="28" t="s">
        <v>77</v>
      </c>
      <c r="O3486" s="26" t="s">
        <v>77</v>
      </c>
    </row>
    <row r="3487">
      <c r="A3487" s="52" t="s">
        <v>77</v>
      </c>
      <c r="B3487" s="28" t="s">
        <v>77</v>
      </c>
      <c r="C3487" s="28" t="s">
        <v>77</v>
      </c>
      <c r="D3487" s="28" t="s">
        <v>77</v>
      </c>
      <c r="E3487" s="28" t="s">
        <v>77</v>
      </c>
      <c r="F3487" s="28" t="s">
        <v>77</v>
      </c>
      <c r="G3487" s="28" t="s">
        <v>77</v>
      </c>
      <c r="I3487" s="26" t="s">
        <v>77</v>
      </c>
      <c r="J3487" s="26" t="s">
        <v>77</v>
      </c>
      <c r="K3487" s="18"/>
      <c r="L3487" s="26" t="s">
        <v>77</v>
      </c>
      <c r="M3487" s="6" t="s">
        <v>77</v>
      </c>
      <c r="N3487" s="28" t="s">
        <v>77</v>
      </c>
      <c r="O3487" s="26" t="s">
        <v>77</v>
      </c>
    </row>
    <row r="3488">
      <c r="A3488" s="52" t="s">
        <v>77</v>
      </c>
      <c r="B3488" s="28" t="s">
        <v>77</v>
      </c>
      <c r="C3488" s="28" t="s">
        <v>77</v>
      </c>
      <c r="D3488" s="28" t="s">
        <v>77</v>
      </c>
      <c r="E3488" s="28" t="s">
        <v>77</v>
      </c>
      <c r="F3488" s="28" t="s">
        <v>77</v>
      </c>
      <c r="G3488" s="28" t="s">
        <v>77</v>
      </c>
      <c r="I3488" s="26" t="s">
        <v>77</v>
      </c>
      <c r="J3488" s="26" t="s">
        <v>77</v>
      </c>
      <c r="K3488" s="18"/>
      <c r="L3488" s="26" t="s">
        <v>77</v>
      </c>
      <c r="M3488" s="6" t="s">
        <v>77</v>
      </c>
      <c r="N3488" s="28" t="s">
        <v>77</v>
      </c>
      <c r="O3488" s="26" t="s">
        <v>77</v>
      </c>
    </row>
    <row r="3489">
      <c r="A3489" s="52" t="s">
        <v>77</v>
      </c>
      <c r="B3489" s="28" t="s">
        <v>77</v>
      </c>
      <c r="C3489" s="28" t="s">
        <v>77</v>
      </c>
      <c r="D3489" s="28" t="s">
        <v>77</v>
      </c>
      <c r="E3489" s="28" t="s">
        <v>77</v>
      </c>
      <c r="F3489" s="28" t="s">
        <v>77</v>
      </c>
      <c r="G3489" s="28" t="s">
        <v>77</v>
      </c>
      <c r="I3489" s="26" t="s">
        <v>77</v>
      </c>
      <c r="J3489" s="26" t="s">
        <v>77</v>
      </c>
      <c r="K3489" s="18"/>
      <c r="L3489" s="26" t="s">
        <v>77</v>
      </c>
      <c r="M3489" s="6" t="s">
        <v>77</v>
      </c>
      <c r="N3489" s="28" t="s">
        <v>77</v>
      </c>
      <c r="O3489" s="26" t="s">
        <v>77</v>
      </c>
    </row>
    <row r="3490">
      <c r="A3490" s="52" t="s">
        <v>77</v>
      </c>
      <c r="B3490" s="28" t="s">
        <v>77</v>
      </c>
      <c r="C3490" s="28" t="s">
        <v>77</v>
      </c>
      <c r="D3490" s="28" t="s">
        <v>77</v>
      </c>
      <c r="E3490" s="28" t="s">
        <v>77</v>
      </c>
      <c r="F3490" s="28" t="s">
        <v>77</v>
      </c>
      <c r="G3490" s="28" t="s">
        <v>77</v>
      </c>
      <c r="I3490" s="26" t="s">
        <v>77</v>
      </c>
      <c r="J3490" s="26" t="s">
        <v>77</v>
      </c>
      <c r="K3490" s="18"/>
      <c r="L3490" s="26" t="s">
        <v>77</v>
      </c>
      <c r="M3490" s="6" t="s">
        <v>77</v>
      </c>
      <c r="N3490" s="28" t="s">
        <v>77</v>
      </c>
      <c r="O3490" s="26" t="s">
        <v>77</v>
      </c>
    </row>
    <row r="3491">
      <c r="A3491" s="52" t="s">
        <v>77</v>
      </c>
      <c r="B3491" s="28" t="s">
        <v>77</v>
      </c>
      <c r="C3491" s="28" t="s">
        <v>77</v>
      </c>
      <c r="D3491" s="28" t="s">
        <v>77</v>
      </c>
      <c r="E3491" s="28" t="s">
        <v>77</v>
      </c>
      <c r="F3491" s="28" t="s">
        <v>77</v>
      </c>
      <c r="G3491" s="28" t="s">
        <v>77</v>
      </c>
      <c r="I3491" s="26" t="s">
        <v>77</v>
      </c>
      <c r="J3491" s="26" t="s">
        <v>77</v>
      </c>
      <c r="K3491" s="18"/>
      <c r="L3491" s="26" t="s">
        <v>77</v>
      </c>
      <c r="M3491" s="6" t="s">
        <v>77</v>
      </c>
      <c r="N3491" s="28" t="s">
        <v>77</v>
      </c>
      <c r="O3491" s="26" t="s">
        <v>77</v>
      </c>
    </row>
    <row r="3492">
      <c r="A3492" s="52" t="s">
        <v>77</v>
      </c>
      <c r="B3492" s="28" t="s">
        <v>77</v>
      </c>
      <c r="C3492" s="28" t="s">
        <v>77</v>
      </c>
      <c r="D3492" s="28" t="s">
        <v>77</v>
      </c>
      <c r="E3492" s="28" t="s">
        <v>77</v>
      </c>
      <c r="F3492" s="28" t="s">
        <v>77</v>
      </c>
      <c r="G3492" s="28" t="s">
        <v>77</v>
      </c>
      <c r="I3492" s="26" t="s">
        <v>77</v>
      </c>
      <c r="J3492" s="26" t="s">
        <v>77</v>
      </c>
      <c r="K3492" s="18"/>
      <c r="L3492" s="26" t="s">
        <v>77</v>
      </c>
      <c r="M3492" s="6" t="s">
        <v>77</v>
      </c>
      <c r="N3492" s="28" t="s">
        <v>77</v>
      </c>
      <c r="O3492" s="26" t="s">
        <v>77</v>
      </c>
    </row>
    <row r="3493">
      <c r="A3493" s="52" t="s">
        <v>77</v>
      </c>
      <c r="B3493" s="28" t="s">
        <v>77</v>
      </c>
      <c r="C3493" s="28" t="s">
        <v>77</v>
      </c>
      <c r="D3493" s="28" t="s">
        <v>77</v>
      </c>
      <c r="E3493" s="28" t="s">
        <v>77</v>
      </c>
      <c r="F3493" s="28" t="s">
        <v>77</v>
      </c>
      <c r="G3493" s="28" t="s">
        <v>77</v>
      </c>
      <c r="I3493" s="26" t="s">
        <v>77</v>
      </c>
      <c r="J3493" s="26" t="s">
        <v>77</v>
      </c>
      <c r="K3493" s="18"/>
      <c r="L3493" s="26" t="s">
        <v>77</v>
      </c>
      <c r="M3493" s="6" t="s">
        <v>77</v>
      </c>
      <c r="N3493" s="28" t="s">
        <v>77</v>
      </c>
      <c r="O3493" s="26" t="s">
        <v>77</v>
      </c>
    </row>
    <row r="3494">
      <c r="A3494" s="52" t="s">
        <v>77</v>
      </c>
      <c r="B3494" s="28" t="s">
        <v>77</v>
      </c>
      <c r="C3494" s="28" t="s">
        <v>77</v>
      </c>
      <c r="D3494" s="28" t="s">
        <v>77</v>
      </c>
      <c r="E3494" s="28" t="s">
        <v>77</v>
      </c>
      <c r="F3494" s="28" t="s">
        <v>77</v>
      </c>
      <c r="G3494" s="28" t="s">
        <v>77</v>
      </c>
      <c r="I3494" s="26" t="s">
        <v>77</v>
      </c>
      <c r="J3494" s="26" t="s">
        <v>77</v>
      </c>
      <c r="K3494" s="18"/>
      <c r="L3494" s="26" t="s">
        <v>77</v>
      </c>
      <c r="M3494" s="6" t="s">
        <v>77</v>
      </c>
      <c r="N3494" s="28" t="s">
        <v>77</v>
      </c>
      <c r="O3494" s="26" t="s">
        <v>77</v>
      </c>
    </row>
    <row r="3495">
      <c r="A3495" s="52" t="s">
        <v>77</v>
      </c>
      <c r="B3495" s="28" t="s">
        <v>77</v>
      </c>
      <c r="C3495" s="28" t="s">
        <v>77</v>
      </c>
      <c r="D3495" s="28" t="s">
        <v>77</v>
      </c>
      <c r="E3495" s="28" t="s">
        <v>77</v>
      </c>
      <c r="F3495" s="28" t="s">
        <v>77</v>
      </c>
      <c r="G3495" s="28" t="s">
        <v>77</v>
      </c>
      <c r="I3495" s="26" t="s">
        <v>77</v>
      </c>
      <c r="J3495" s="26" t="s">
        <v>77</v>
      </c>
      <c r="K3495" s="18"/>
      <c r="L3495" s="26" t="s">
        <v>77</v>
      </c>
      <c r="M3495" s="6" t="s">
        <v>77</v>
      </c>
      <c r="N3495" s="28" t="s">
        <v>77</v>
      </c>
      <c r="O3495" s="26" t="s">
        <v>77</v>
      </c>
    </row>
    <row r="3496">
      <c r="A3496" s="52" t="s">
        <v>77</v>
      </c>
      <c r="B3496" s="28" t="s">
        <v>77</v>
      </c>
      <c r="C3496" s="28" t="s">
        <v>77</v>
      </c>
      <c r="D3496" s="28" t="s">
        <v>77</v>
      </c>
      <c r="E3496" s="28" t="s">
        <v>77</v>
      </c>
      <c r="F3496" s="28" t="s">
        <v>77</v>
      </c>
      <c r="G3496" s="28" t="s">
        <v>77</v>
      </c>
      <c r="I3496" s="26" t="s">
        <v>77</v>
      </c>
      <c r="J3496" s="26" t="s">
        <v>77</v>
      </c>
      <c r="K3496" s="18"/>
      <c r="L3496" s="26" t="s">
        <v>77</v>
      </c>
      <c r="M3496" s="6" t="s">
        <v>77</v>
      </c>
      <c r="N3496" s="28" t="s">
        <v>77</v>
      </c>
      <c r="O3496" s="26" t="s">
        <v>77</v>
      </c>
    </row>
    <row r="3497">
      <c r="A3497" s="52" t="s">
        <v>77</v>
      </c>
      <c r="B3497" s="28" t="s">
        <v>77</v>
      </c>
      <c r="C3497" s="28" t="s">
        <v>77</v>
      </c>
      <c r="D3497" s="28" t="s">
        <v>77</v>
      </c>
      <c r="E3497" s="28" t="s">
        <v>77</v>
      </c>
      <c r="F3497" s="28" t="s">
        <v>77</v>
      </c>
      <c r="G3497" s="28" t="s">
        <v>77</v>
      </c>
      <c r="I3497" s="26" t="s">
        <v>77</v>
      </c>
      <c r="J3497" s="26" t="s">
        <v>77</v>
      </c>
      <c r="K3497" s="18"/>
      <c r="L3497" s="26" t="s">
        <v>77</v>
      </c>
      <c r="M3497" s="6" t="s">
        <v>77</v>
      </c>
      <c r="N3497" s="28" t="s">
        <v>77</v>
      </c>
      <c r="O3497" s="26" t="s">
        <v>77</v>
      </c>
    </row>
    <row r="3498">
      <c r="A3498" s="52" t="s">
        <v>77</v>
      </c>
      <c r="B3498" s="28" t="s">
        <v>77</v>
      </c>
      <c r="C3498" s="28" t="s">
        <v>77</v>
      </c>
      <c r="D3498" s="28" t="s">
        <v>77</v>
      </c>
      <c r="E3498" s="28" t="s">
        <v>77</v>
      </c>
      <c r="F3498" s="28" t="s">
        <v>77</v>
      </c>
      <c r="G3498" s="28" t="s">
        <v>77</v>
      </c>
      <c r="I3498" s="26" t="s">
        <v>77</v>
      </c>
      <c r="J3498" s="26" t="s">
        <v>77</v>
      </c>
      <c r="K3498" s="18"/>
      <c r="L3498" s="26" t="s">
        <v>77</v>
      </c>
      <c r="M3498" s="6" t="s">
        <v>77</v>
      </c>
      <c r="N3498" s="28" t="s">
        <v>77</v>
      </c>
      <c r="O3498" s="26" t="s">
        <v>77</v>
      </c>
    </row>
    <row r="3499">
      <c r="A3499" s="52" t="s">
        <v>77</v>
      </c>
      <c r="B3499" s="28" t="s">
        <v>77</v>
      </c>
      <c r="C3499" s="28" t="s">
        <v>77</v>
      </c>
      <c r="D3499" s="28" t="s">
        <v>77</v>
      </c>
      <c r="E3499" s="28" t="s">
        <v>77</v>
      </c>
      <c r="F3499" s="28" t="s">
        <v>77</v>
      </c>
      <c r="G3499" s="28" t="s">
        <v>77</v>
      </c>
      <c r="I3499" s="26" t="s">
        <v>77</v>
      </c>
      <c r="J3499" s="26" t="s">
        <v>77</v>
      </c>
      <c r="K3499" s="18"/>
      <c r="L3499" s="26" t="s">
        <v>77</v>
      </c>
      <c r="M3499" s="6" t="s">
        <v>77</v>
      </c>
      <c r="N3499" s="28" t="s">
        <v>77</v>
      </c>
      <c r="O3499" s="26" t="s">
        <v>77</v>
      </c>
    </row>
    <row r="3500">
      <c r="A3500" s="52" t="s">
        <v>77</v>
      </c>
      <c r="B3500" s="28" t="s">
        <v>77</v>
      </c>
      <c r="C3500" s="28" t="s">
        <v>77</v>
      </c>
      <c r="D3500" s="28" t="s">
        <v>77</v>
      </c>
      <c r="E3500" s="28" t="s">
        <v>77</v>
      </c>
      <c r="F3500" s="28" t="s">
        <v>77</v>
      </c>
      <c r="G3500" s="28" t="s">
        <v>77</v>
      </c>
      <c r="I3500" s="26" t="s">
        <v>77</v>
      </c>
      <c r="J3500" s="26" t="s">
        <v>77</v>
      </c>
      <c r="K3500" s="18"/>
      <c r="L3500" s="26" t="s">
        <v>77</v>
      </c>
      <c r="M3500" s="6" t="s">
        <v>77</v>
      </c>
      <c r="N3500" s="28" t="s">
        <v>77</v>
      </c>
      <c r="O3500" s="26" t="s">
        <v>77</v>
      </c>
    </row>
    <row r="3501">
      <c r="A3501" s="52" t="s">
        <v>77</v>
      </c>
      <c r="B3501" s="28" t="s">
        <v>77</v>
      </c>
      <c r="C3501" s="28" t="s">
        <v>77</v>
      </c>
      <c r="D3501" s="28" t="s">
        <v>77</v>
      </c>
      <c r="E3501" s="28" t="s">
        <v>77</v>
      </c>
      <c r="F3501" s="28" t="s">
        <v>77</v>
      </c>
      <c r="G3501" s="28" t="s">
        <v>77</v>
      </c>
      <c r="I3501" s="26" t="s">
        <v>77</v>
      </c>
      <c r="J3501" s="26" t="s">
        <v>77</v>
      </c>
      <c r="K3501" s="18"/>
      <c r="L3501" s="26" t="s">
        <v>77</v>
      </c>
      <c r="M3501" s="6" t="s">
        <v>77</v>
      </c>
      <c r="N3501" s="28" t="s">
        <v>77</v>
      </c>
      <c r="O3501" s="26" t="s">
        <v>77</v>
      </c>
    </row>
    <row r="3502">
      <c r="A3502" s="52" t="s">
        <v>77</v>
      </c>
      <c r="B3502" s="28" t="s">
        <v>77</v>
      </c>
      <c r="C3502" s="28" t="s">
        <v>77</v>
      </c>
      <c r="D3502" s="28" t="s">
        <v>77</v>
      </c>
      <c r="E3502" s="28" t="s">
        <v>77</v>
      </c>
      <c r="F3502" s="28" t="s">
        <v>77</v>
      </c>
      <c r="G3502" s="28" t="s">
        <v>77</v>
      </c>
      <c r="I3502" s="26" t="s">
        <v>77</v>
      </c>
      <c r="J3502" s="26" t="s">
        <v>77</v>
      </c>
      <c r="K3502" s="18"/>
      <c r="L3502" s="26" t="s">
        <v>77</v>
      </c>
      <c r="M3502" s="6" t="s">
        <v>77</v>
      </c>
      <c r="N3502" s="28" t="s">
        <v>77</v>
      </c>
      <c r="O3502" s="26" t="s">
        <v>77</v>
      </c>
    </row>
    <row r="3503">
      <c r="A3503" s="52" t="s">
        <v>77</v>
      </c>
      <c r="B3503" s="28" t="s">
        <v>77</v>
      </c>
      <c r="C3503" s="28" t="s">
        <v>77</v>
      </c>
      <c r="D3503" s="28" t="s">
        <v>77</v>
      </c>
      <c r="E3503" s="28" t="s">
        <v>77</v>
      </c>
      <c r="F3503" s="28" t="s">
        <v>77</v>
      </c>
      <c r="G3503" s="28" t="s">
        <v>77</v>
      </c>
      <c r="I3503" s="26" t="s">
        <v>77</v>
      </c>
      <c r="J3503" s="26" t="s">
        <v>77</v>
      </c>
      <c r="K3503" s="18"/>
      <c r="L3503" s="26" t="s">
        <v>77</v>
      </c>
      <c r="M3503" s="6" t="s">
        <v>77</v>
      </c>
      <c r="N3503" s="28" t="s">
        <v>77</v>
      </c>
      <c r="O3503" s="26" t="s">
        <v>77</v>
      </c>
    </row>
    <row r="3504">
      <c r="A3504" s="52" t="s">
        <v>77</v>
      </c>
      <c r="B3504" s="28" t="s">
        <v>77</v>
      </c>
      <c r="C3504" s="28" t="s">
        <v>77</v>
      </c>
      <c r="D3504" s="28" t="s">
        <v>77</v>
      </c>
      <c r="E3504" s="28" t="s">
        <v>77</v>
      </c>
      <c r="F3504" s="28" t="s">
        <v>77</v>
      </c>
      <c r="G3504" s="28" t="s">
        <v>77</v>
      </c>
      <c r="I3504" s="26" t="s">
        <v>77</v>
      </c>
      <c r="J3504" s="26" t="s">
        <v>77</v>
      </c>
      <c r="K3504" s="18"/>
      <c r="L3504" s="26" t="s">
        <v>77</v>
      </c>
      <c r="M3504" s="6" t="s">
        <v>77</v>
      </c>
      <c r="N3504" s="28" t="s">
        <v>77</v>
      </c>
      <c r="O3504" s="26" t="s">
        <v>77</v>
      </c>
    </row>
    <row r="3505">
      <c r="A3505" s="52" t="s">
        <v>77</v>
      </c>
      <c r="B3505" s="28" t="s">
        <v>77</v>
      </c>
      <c r="C3505" s="28" t="s">
        <v>77</v>
      </c>
      <c r="D3505" s="28" t="s">
        <v>77</v>
      </c>
      <c r="E3505" s="28" t="s">
        <v>77</v>
      </c>
      <c r="F3505" s="28" t="s">
        <v>77</v>
      </c>
      <c r="G3505" s="28" t="s">
        <v>77</v>
      </c>
      <c r="I3505" s="26" t="s">
        <v>77</v>
      </c>
      <c r="J3505" s="26" t="s">
        <v>77</v>
      </c>
      <c r="K3505" s="18"/>
      <c r="L3505" s="26" t="s">
        <v>77</v>
      </c>
      <c r="M3505" s="6" t="s">
        <v>77</v>
      </c>
      <c r="N3505" s="28" t="s">
        <v>77</v>
      </c>
      <c r="O3505" s="26" t="s">
        <v>77</v>
      </c>
    </row>
    <row r="3506">
      <c r="A3506" s="52" t="s">
        <v>77</v>
      </c>
      <c r="B3506" s="28" t="s">
        <v>77</v>
      </c>
      <c r="C3506" s="28" t="s">
        <v>77</v>
      </c>
      <c r="D3506" s="28" t="s">
        <v>77</v>
      </c>
      <c r="E3506" s="28" t="s">
        <v>77</v>
      </c>
      <c r="F3506" s="28" t="s">
        <v>77</v>
      </c>
      <c r="G3506" s="28" t="s">
        <v>77</v>
      </c>
      <c r="I3506" s="26" t="s">
        <v>77</v>
      </c>
      <c r="J3506" s="26" t="s">
        <v>77</v>
      </c>
      <c r="K3506" s="18"/>
      <c r="L3506" s="26" t="s">
        <v>77</v>
      </c>
      <c r="M3506" s="6" t="s">
        <v>77</v>
      </c>
      <c r="N3506" s="28" t="s">
        <v>77</v>
      </c>
      <c r="O3506" s="26" t="s">
        <v>77</v>
      </c>
    </row>
    <row r="3507">
      <c r="A3507" s="52" t="s">
        <v>77</v>
      </c>
      <c r="B3507" s="28" t="s">
        <v>77</v>
      </c>
      <c r="C3507" s="28" t="s">
        <v>77</v>
      </c>
      <c r="D3507" s="28" t="s">
        <v>77</v>
      </c>
      <c r="E3507" s="28" t="s">
        <v>77</v>
      </c>
      <c r="F3507" s="28" t="s">
        <v>77</v>
      </c>
      <c r="G3507" s="28" t="s">
        <v>77</v>
      </c>
      <c r="I3507" s="26" t="s">
        <v>77</v>
      </c>
      <c r="J3507" s="26" t="s">
        <v>77</v>
      </c>
      <c r="K3507" s="18"/>
      <c r="L3507" s="26" t="s">
        <v>77</v>
      </c>
      <c r="M3507" s="6" t="s">
        <v>77</v>
      </c>
      <c r="N3507" s="28" t="s">
        <v>77</v>
      </c>
      <c r="O3507" s="26" t="s">
        <v>77</v>
      </c>
    </row>
    <row r="3508">
      <c r="A3508" s="52" t="s">
        <v>77</v>
      </c>
      <c r="B3508" s="28" t="s">
        <v>77</v>
      </c>
      <c r="C3508" s="28" t="s">
        <v>77</v>
      </c>
      <c r="D3508" s="28" t="s">
        <v>77</v>
      </c>
      <c r="E3508" s="28" t="s">
        <v>77</v>
      </c>
      <c r="F3508" s="28" t="s">
        <v>77</v>
      </c>
      <c r="G3508" s="28" t="s">
        <v>77</v>
      </c>
      <c r="I3508" s="26" t="s">
        <v>77</v>
      </c>
      <c r="J3508" s="26" t="s">
        <v>77</v>
      </c>
      <c r="K3508" s="18"/>
      <c r="L3508" s="26" t="s">
        <v>77</v>
      </c>
      <c r="M3508" s="6" t="s">
        <v>77</v>
      </c>
      <c r="N3508" s="28" t="s">
        <v>77</v>
      </c>
      <c r="O3508" s="26" t="s">
        <v>77</v>
      </c>
    </row>
    <row r="3509">
      <c r="A3509" s="52" t="s">
        <v>77</v>
      </c>
      <c r="B3509" s="28" t="s">
        <v>77</v>
      </c>
      <c r="C3509" s="28" t="s">
        <v>77</v>
      </c>
      <c r="D3509" s="28" t="s">
        <v>77</v>
      </c>
      <c r="E3509" s="28" t="s">
        <v>77</v>
      </c>
      <c r="F3509" s="28" t="s">
        <v>77</v>
      </c>
      <c r="G3509" s="28" t="s">
        <v>77</v>
      </c>
      <c r="I3509" s="26" t="s">
        <v>77</v>
      </c>
      <c r="J3509" s="26" t="s">
        <v>77</v>
      </c>
      <c r="K3509" s="18"/>
      <c r="L3509" s="26" t="s">
        <v>77</v>
      </c>
      <c r="M3509" s="6" t="s">
        <v>77</v>
      </c>
      <c r="N3509" s="28" t="s">
        <v>77</v>
      </c>
      <c r="O3509" s="26" t="s">
        <v>77</v>
      </c>
    </row>
    <row r="3510">
      <c r="A3510" s="52" t="s">
        <v>77</v>
      </c>
      <c r="B3510" s="28" t="s">
        <v>77</v>
      </c>
      <c r="C3510" s="28" t="s">
        <v>77</v>
      </c>
      <c r="D3510" s="28" t="s">
        <v>77</v>
      </c>
      <c r="E3510" s="28" t="s">
        <v>77</v>
      </c>
      <c r="F3510" s="28" t="s">
        <v>77</v>
      </c>
      <c r="G3510" s="28" t="s">
        <v>77</v>
      </c>
      <c r="I3510" s="26" t="s">
        <v>77</v>
      </c>
      <c r="J3510" s="26" t="s">
        <v>77</v>
      </c>
      <c r="K3510" s="18"/>
      <c r="L3510" s="26" t="s">
        <v>77</v>
      </c>
      <c r="M3510" s="6" t="s">
        <v>77</v>
      </c>
      <c r="N3510" s="28" t="s">
        <v>77</v>
      </c>
      <c r="O3510" s="26" t="s">
        <v>77</v>
      </c>
    </row>
    <row r="3511">
      <c r="A3511" s="52" t="s">
        <v>77</v>
      </c>
      <c r="B3511" s="28" t="s">
        <v>77</v>
      </c>
      <c r="C3511" s="28" t="s">
        <v>77</v>
      </c>
      <c r="D3511" s="28" t="s">
        <v>77</v>
      </c>
      <c r="E3511" s="28" t="s">
        <v>77</v>
      </c>
      <c r="F3511" s="28" t="s">
        <v>77</v>
      </c>
      <c r="G3511" s="28" t="s">
        <v>77</v>
      </c>
      <c r="I3511" s="26" t="s">
        <v>77</v>
      </c>
      <c r="J3511" s="26" t="s">
        <v>77</v>
      </c>
      <c r="K3511" s="18"/>
      <c r="L3511" s="26" t="s">
        <v>77</v>
      </c>
      <c r="M3511" s="6" t="s">
        <v>77</v>
      </c>
      <c r="N3511" s="28" t="s">
        <v>77</v>
      </c>
      <c r="O3511" s="26" t="s">
        <v>77</v>
      </c>
    </row>
    <row r="3512">
      <c r="A3512" s="52" t="s">
        <v>77</v>
      </c>
      <c r="B3512" s="28" t="s">
        <v>77</v>
      </c>
      <c r="C3512" s="28" t="s">
        <v>77</v>
      </c>
      <c r="D3512" s="28" t="s">
        <v>77</v>
      </c>
      <c r="E3512" s="28" t="s">
        <v>77</v>
      </c>
      <c r="F3512" s="28" t="s">
        <v>77</v>
      </c>
      <c r="G3512" s="28" t="s">
        <v>77</v>
      </c>
      <c r="I3512" s="26" t="s">
        <v>77</v>
      </c>
      <c r="J3512" s="26" t="s">
        <v>77</v>
      </c>
      <c r="K3512" s="18"/>
      <c r="L3512" s="26" t="s">
        <v>77</v>
      </c>
      <c r="M3512" s="6" t="s">
        <v>77</v>
      </c>
      <c r="N3512" s="28" t="s">
        <v>77</v>
      </c>
      <c r="O3512" s="26" t="s">
        <v>77</v>
      </c>
    </row>
    <row r="3513">
      <c r="A3513" s="52" t="s">
        <v>77</v>
      </c>
      <c r="B3513" s="28" t="s">
        <v>77</v>
      </c>
      <c r="C3513" s="28" t="s">
        <v>77</v>
      </c>
      <c r="D3513" s="28" t="s">
        <v>77</v>
      </c>
      <c r="E3513" s="28" t="s">
        <v>77</v>
      </c>
      <c r="F3513" s="28" t="s">
        <v>77</v>
      </c>
      <c r="G3513" s="28" t="s">
        <v>77</v>
      </c>
      <c r="I3513" s="26" t="s">
        <v>77</v>
      </c>
      <c r="J3513" s="26" t="s">
        <v>77</v>
      </c>
      <c r="K3513" s="18"/>
      <c r="L3513" s="26" t="s">
        <v>77</v>
      </c>
      <c r="M3513" s="6" t="s">
        <v>77</v>
      </c>
      <c r="N3513" s="28" t="s">
        <v>77</v>
      </c>
      <c r="O3513" s="26" t="s">
        <v>77</v>
      </c>
    </row>
    <row r="3514">
      <c r="A3514" s="52" t="s">
        <v>77</v>
      </c>
      <c r="B3514" s="28" t="s">
        <v>77</v>
      </c>
      <c r="C3514" s="28" t="s">
        <v>77</v>
      </c>
      <c r="D3514" s="28" t="s">
        <v>77</v>
      </c>
      <c r="E3514" s="28" t="s">
        <v>77</v>
      </c>
      <c r="F3514" s="28" t="s">
        <v>77</v>
      </c>
      <c r="G3514" s="28" t="s">
        <v>77</v>
      </c>
      <c r="I3514" s="26" t="s">
        <v>77</v>
      </c>
      <c r="J3514" s="26" t="s">
        <v>77</v>
      </c>
      <c r="K3514" s="18"/>
      <c r="L3514" s="26" t="s">
        <v>77</v>
      </c>
      <c r="M3514" s="6" t="s">
        <v>77</v>
      </c>
      <c r="N3514" s="28" t="s">
        <v>77</v>
      </c>
      <c r="O3514" s="26" t="s">
        <v>77</v>
      </c>
    </row>
    <row r="3515">
      <c r="A3515" s="52" t="s">
        <v>77</v>
      </c>
      <c r="B3515" s="28" t="s">
        <v>77</v>
      </c>
      <c r="C3515" s="28" t="s">
        <v>77</v>
      </c>
      <c r="D3515" s="28" t="s">
        <v>77</v>
      </c>
      <c r="E3515" s="28" t="s">
        <v>77</v>
      </c>
      <c r="F3515" s="28" t="s">
        <v>77</v>
      </c>
      <c r="G3515" s="28" t="s">
        <v>77</v>
      </c>
      <c r="I3515" s="26" t="s">
        <v>77</v>
      </c>
      <c r="J3515" s="26" t="s">
        <v>77</v>
      </c>
      <c r="K3515" s="18"/>
      <c r="L3515" s="26" t="s">
        <v>77</v>
      </c>
      <c r="M3515" s="6" t="s">
        <v>77</v>
      </c>
      <c r="N3515" s="28" t="s">
        <v>77</v>
      </c>
      <c r="O3515" s="26" t="s">
        <v>77</v>
      </c>
    </row>
    <row r="3516">
      <c r="A3516" s="52" t="s">
        <v>77</v>
      </c>
      <c r="B3516" s="28" t="s">
        <v>77</v>
      </c>
      <c r="C3516" s="28" t="s">
        <v>77</v>
      </c>
      <c r="D3516" s="28" t="s">
        <v>77</v>
      </c>
      <c r="E3516" s="28" t="s">
        <v>77</v>
      </c>
      <c r="F3516" s="28" t="s">
        <v>77</v>
      </c>
      <c r="G3516" s="28" t="s">
        <v>77</v>
      </c>
      <c r="I3516" s="26" t="s">
        <v>77</v>
      </c>
      <c r="J3516" s="26" t="s">
        <v>77</v>
      </c>
      <c r="K3516" s="18"/>
      <c r="L3516" s="26" t="s">
        <v>77</v>
      </c>
      <c r="M3516" s="6" t="s">
        <v>77</v>
      </c>
      <c r="N3516" s="28" t="s">
        <v>77</v>
      </c>
      <c r="O3516" s="26" t="s">
        <v>77</v>
      </c>
    </row>
    <row r="3517">
      <c r="A3517" s="52" t="s">
        <v>77</v>
      </c>
      <c r="B3517" s="28" t="s">
        <v>77</v>
      </c>
      <c r="C3517" s="28" t="s">
        <v>77</v>
      </c>
      <c r="D3517" s="28" t="s">
        <v>77</v>
      </c>
      <c r="E3517" s="28" t="s">
        <v>77</v>
      </c>
      <c r="F3517" s="28" t="s">
        <v>77</v>
      </c>
      <c r="G3517" s="28" t="s">
        <v>77</v>
      </c>
      <c r="I3517" s="26" t="s">
        <v>77</v>
      </c>
      <c r="J3517" s="26" t="s">
        <v>77</v>
      </c>
      <c r="K3517" s="18"/>
      <c r="L3517" s="26" t="s">
        <v>77</v>
      </c>
      <c r="M3517" s="6" t="s">
        <v>77</v>
      </c>
      <c r="N3517" s="28" t="s">
        <v>77</v>
      </c>
      <c r="O3517" s="26" t="s">
        <v>77</v>
      </c>
    </row>
    <row r="3518">
      <c r="A3518" s="52" t="s">
        <v>77</v>
      </c>
      <c r="B3518" s="28" t="s">
        <v>77</v>
      </c>
      <c r="C3518" s="28" t="s">
        <v>77</v>
      </c>
      <c r="D3518" s="28" t="s">
        <v>77</v>
      </c>
      <c r="E3518" s="28" t="s">
        <v>77</v>
      </c>
      <c r="F3518" s="28" t="s">
        <v>77</v>
      </c>
      <c r="G3518" s="28" t="s">
        <v>77</v>
      </c>
      <c r="I3518" s="26" t="s">
        <v>77</v>
      </c>
      <c r="J3518" s="26" t="s">
        <v>77</v>
      </c>
      <c r="K3518" s="18"/>
      <c r="L3518" s="26" t="s">
        <v>77</v>
      </c>
      <c r="M3518" s="6" t="s">
        <v>77</v>
      </c>
      <c r="N3518" s="28" t="s">
        <v>77</v>
      </c>
      <c r="O3518" s="26" t="s">
        <v>77</v>
      </c>
    </row>
    <row r="3519">
      <c r="A3519" s="52" t="s">
        <v>77</v>
      </c>
      <c r="B3519" s="28" t="s">
        <v>77</v>
      </c>
      <c r="C3519" s="28" t="s">
        <v>77</v>
      </c>
      <c r="D3519" s="28" t="s">
        <v>77</v>
      </c>
      <c r="E3519" s="28" t="s">
        <v>77</v>
      </c>
      <c r="F3519" s="28" t="s">
        <v>77</v>
      </c>
      <c r="G3519" s="28" t="s">
        <v>77</v>
      </c>
      <c r="I3519" s="26" t="s">
        <v>77</v>
      </c>
      <c r="J3519" s="26" t="s">
        <v>77</v>
      </c>
      <c r="K3519" s="18"/>
      <c r="L3519" s="26" t="s">
        <v>77</v>
      </c>
      <c r="M3519" s="6" t="s">
        <v>77</v>
      </c>
      <c r="N3519" s="28" t="s">
        <v>77</v>
      </c>
      <c r="O3519" s="26" t="s">
        <v>77</v>
      </c>
    </row>
    <row r="3520">
      <c r="A3520" s="52" t="s">
        <v>77</v>
      </c>
      <c r="B3520" s="28" t="s">
        <v>77</v>
      </c>
      <c r="C3520" s="28" t="s">
        <v>77</v>
      </c>
      <c r="D3520" s="28" t="s">
        <v>77</v>
      </c>
      <c r="E3520" s="28" t="s">
        <v>77</v>
      </c>
      <c r="F3520" s="28" t="s">
        <v>77</v>
      </c>
      <c r="G3520" s="28" t="s">
        <v>77</v>
      </c>
      <c r="I3520" s="26" t="s">
        <v>77</v>
      </c>
      <c r="J3520" s="26" t="s">
        <v>77</v>
      </c>
      <c r="K3520" s="18"/>
      <c r="L3520" s="26" t="s">
        <v>77</v>
      </c>
      <c r="M3520" s="6" t="s">
        <v>77</v>
      </c>
      <c r="N3520" s="28" t="s">
        <v>77</v>
      </c>
      <c r="O3520" s="26" t="s">
        <v>77</v>
      </c>
    </row>
    <row r="3521">
      <c r="A3521" s="52" t="s">
        <v>77</v>
      </c>
      <c r="B3521" s="28" t="s">
        <v>77</v>
      </c>
      <c r="C3521" s="28" t="s">
        <v>77</v>
      </c>
      <c r="D3521" s="28" t="s">
        <v>77</v>
      </c>
      <c r="E3521" s="28" t="s">
        <v>77</v>
      </c>
      <c r="F3521" s="28" t="s">
        <v>77</v>
      </c>
      <c r="G3521" s="28" t="s">
        <v>77</v>
      </c>
      <c r="I3521" s="26" t="s">
        <v>77</v>
      </c>
      <c r="J3521" s="26" t="s">
        <v>77</v>
      </c>
      <c r="K3521" s="18"/>
      <c r="L3521" s="26" t="s">
        <v>77</v>
      </c>
      <c r="M3521" s="6" t="s">
        <v>77</v>
      </c>
      <c r="N3521" s="28" t="s">
        <v>77</v>
      </c>
      <c r="O3521" s="26" t="s">
        <v>77</v>
      </c>
    </row>
    <row r="3522">
      <c r="A3522" s="52" t="s">
        <v>77</v>
      </c>
      <c r="B3522" s="28" t="s">
        <v>77</v>
      </c>
      <c r="C3522" s="28" t="s">
        <v>77</v>
      </c>
      <c r="D3522" s="28" t="s">
        <v>77</v>
      </c>
      <c r="E3522" s="28" t="s">
        <v>77</v>
      </c>
      <c r="F3522" s="28" t="s">
        <v>77</v>
      </c>
      <c r="G3522" s="28" t="s">
        <v>77</v>
      </c>
      <c r="I3522" s="26" t="s">
        <v>77</v>
      </c>
      <c r="J3522" s="26" t="s">
        <v>77</v>
      </c>
      <c r="K3522" s="18"/>
      <c r="L3522" s="26" t="s">
        <v>77</v>
      </c>
      <c r="M3522" s="6" t="s">
        <v>77</v>
      </c>
      <c r="N3522" s="28" t="s">
        <v>77</v>
      </c>
      <c r="O3522" s="26" t="s">
        <v>77</v>
      </c>
    </row>
    <row r="3523">
      <c r="A3523" s="52" t="s">
        <v>77</v>
      </c>
      <c r="B3523" s="28" t="s">
        <v>77</v>
      </c>
      <c r="C3523" s="28" t="s">
        <v>77</v>
      </c>
      <c r="D3523" s="28" t="s">
        <v>77</v>
      </c>
      <c r="E3523" s="28" t="s">
        <v>77</v>
      </c>
      <c r="F3523" s="28" t="s">
        <v>77</v>
      </c>
      <c r="G3523" s="28" t="s">
        <v>77</v>
      </c>
      <c r="I3523" s="26" t="s">
        <v>77</v>
      </c>
      <c r="J3523" s="26" t="s">
        <v>77</v>
      </c>
      <c r="K3523" s="18"/>
      <c r="L3523" s="26" t="s">
        <v>77</v>
      </c>
      <c r="M3523" s="6" t="s">
        <v>77</v>
      </c>
      <c r="N3523" s="28" t="s">
        <v>77</v>
      </c>
      <c r="O3523" s="26" t="s">
        <v>77</v>
      </c>
    </row>
    <row r="3524">
      <c r="A3524" s="52" t="s">
        <v>77</v>
      </c>
      <c r="B3524" s="28" t="s">
        <v>77</v>
      </c>
      <c r="C3524" s="28" t="s">
        <v>77</v>
      </c>
      <c r="D3524" s="28" t="s">
        <v>77</v>
      </c>
      <c r="E3524" s="28" t="s">
        <v>77</v>
      </c>
      <c r="F3524" s="28" t="s">
        <v>77</v>
      </c>
      <c r="G3524" s="28" t="s">
        <v>77</v>
      </c>
      <c r="I3524" s="26" t="s">
        <v>77</v>
      </c>
      <c r="J3524" s="26" t="s">
        <v>77</v>
      </c>
      <c r="K3524" s="18"/>
      <c r="L3524" s="26" t="s">
        <v>77</v>
      </c>
      <c r="M3524" s="6" t="s">
        <v>77</v>
      </c>
      <c r="N3524" s="28" t="s">
        <v>77</v>
      </c>
      <c r="O3524" s="26" t="s">
        <v>77</v>
      </c>
    </row>
    <row r="3525">
      <c r="A3525" s="52" t="s">
        <v>77</v>
      </c>
      <c r="B3525" s="28" t="s">
        <v>77</v>
      </c>
      <c r="C3525" s="28" t="s">
        <v>77</v>
      </c>
      <c r="D3525" s="28" t="s">
        <v>77</v>
      </c>
      <c r="E3525" s="28" t="s">
        <v>77</v>
      </c>
      <c r="F3525" s="28" t="s">
        <v>77</v>
      </c>
      <c r="G3525" s="28" t="s">
        <v>77</v>
      </c>
      <c r="I3525" s="26" t="s">
        <v>77</v>
      </c>
      <c r="J3525" s="26" t="s">
        <v>77</v>
      </c>
      <c r="K3525" s="18"/>
      <c r="L3525" s="26" t="s">
        <v>77</v>
      </c>
      <c r="M3525" s="6" t="s">
        <v>77</v>
      </c>
      <c r="N3525" s="28" t="s">
        <v>77</v>
      </c>
      <c r="O3525" s="26" t="s">
        <v>77</v>
      </c>
    </row>
    <row r="3526">
      <c r="A3526" s="52" t="s">
        <v>77</v>
      </c>
      <c r="B3526" s="28" t="s">
        <v>77</v>
      </c>
      <c r="C3526" s="28" t="s">
        <v>77</v>
      </c>
      <c r="D3526" s="28" t="s">
        <v>77</v>
      </c>
      <c r="E3526" s="28" t="s">
        <v>77</v>
      </c>
      <c r="F3526" s="28" t="s">
        <v>77</v>
      </c>
      <c r="G3526" s="28" t="s">
        <v>77</v>
      </c>
      <c r="I3526" s="26" t="s">
        <v>77</v>
      </c>
      <c r="J3526" s="26" t="s">
        <v>77</v>
      </c>
      <c r="K3526" s="18"/>
      <c r="L3526" s="26" t="s">
        <v>77</v>
      </c>
      <c r="M3526" s="6" t="s">
        <v>77</v>
      </c>
      <c r="N3526" s="28" t="s">
        <v>77</v>
      </c>
      <c r="O3526" s="26" t="s">
        <v>77</v>
      </c>
    </row>
    <row r="3527">
      <c r="A3527" s="52" t="s">
        <v>77</v>
      </c>
      <c r="B3527" s="28" t="s">
        <v>77</v>
      </c>
      <c r="C3527" s="28" t="s">
        <v>77</v>
      </c>
      <c r="D3527" s="28" t="s">
        <v>77</v>
      </c>
      <c r="E3527" s="28" t="s">
        <v>77</v>
      </c>
      <c r="F3527" s="28" t="s">
        <v>77</v>
      </c>
      <c r="G3527" s="28" t="s">
        <v>77</v>
      </c>
      <c r="I3527" s="26" t="s">
        <v>77</v>
      </c>
      <c r="J3527" s="26" t="s">
        <v>77</v>
      </c>
      <c r="K3527" s="18"/>
      <c r="L3527" s="26" t="s">
        <v>77</v>
      </c>
      <c r="M3527" s="6" t="s">
        <v>77</v>
      </c>
      <c r="N3527" s="28" t="s">
        <v>77</v>
      </c>
      <c r="O3527" s="26" t="s">
        <v>77</v>
      </c>
    </row>
    <row r="3528">
      <c r="A3528" s="52" t="s">
        <v>77</v>
      </c>
      <c r="B3528" s="28" t="s">
        <v>77</v>
      </c>
      <c r="C3528" s="28" t="s">
        <v>77</v>
      </c>
      <c r="D3528" s="28" t="s">
        <v>77</v>
      </c>
      <c r="E3528" s="28" t="s">
        <v>77</v>
      </c>
      <c r="F3528" s="28" t="s">
        <v>77</v>
      </c>
      <c r="G3528" s="28" t="s">
        <v>77</v>
      </c>
      <c r="I3528" s="26" t="s">
        <v>77</v>
      </c>
      <c r="J3528" s="26" t="s">
        <v>77</v>
      </c>
      <c r="K3528" s="18"/>
      <c r="L3528" s="26" t="s">
        <v>77</v>
      </c>
      <c r="M3528" s="6" t="s">
        <v>77</v>
      </c>
      <c r="N3528" s="28" t="s">
        <v>77</v>
      </c>
      <c r="O3528" s="26" t="s">
        <v>77</v>
      </c>
    </row>
    <row r="3529">
      <c r="A3529" s="52" t="s">
        <v>77</v>
      </c>
      <c r="B3529" s="28" t="s">
        <v>77</v>
      </c>
      <c r="C3529" s="28" t="s">
        <v>77</v>
      </c>
      <c r="D3529" s="28" t="s">
        <v>77</v>
      </c>
      <c r="E3529" s="28" t="s">
        <v>77</v>
      </c>
      <c r="F3529" s="28" t="s">
        <v>77</v>
      </c>
      <c r="G3529" s="28" t="s">
        <v>77</v>
      </c>
      <c r="I3529" s="26" t="s">
        <v>77</v>
      </c>
      <c r="J3529" s="26" t="s">
        <v>77</v>
      </c>
      <c r="K3529" s="18"/>
      <c r="L3529" s="26" t="s">
        <v>77</v>
      </c>
      <c r="M3529" s="6" t="s">
        <v>77</v>
      </c>
      <c r="N3529" s="28" t="s">
        <v>77</v>
      </c>
      <c r="O3529" s="26" t="s">
        <v>77</v>
      </c>
    </row>
    <row r="3530">
      <c r="A3530" s="52" t="s">
        <v>77</v>
      </c>
      <c r="B3530" s="28" t="s">
        <v>77</v>
      </c>
      <c r="C3530" s="28" t="s">
        <v>77</v>
      </c>
      <c r="D3530" s="28" t="s">
        <v>77</v>
      </c>
      <c r="E3530" s="28" t="s">
        <v>77</v>
      </c>
      <c r="F3530" s="28" t="s">
        <v>77</v>
      </c>
      <c r="G3530" s="28" t="s">
        <v>77</v>
      </c>
      <c r="I3530" s="26" t="s">
        <v>77</v>
      </c>
      <c r="J3530" s="26" t="s">
        <v>77</v>
      </c>
      <c r="K3530" s="18"/>
      <c r="L3530" s="26" t="s">
        <v>77</v>
      </c>
      <c r="M3530" s="6" t="s">
        <v>77</v>
      </c>
      <c r="N3530" s="28" t="s">
        <v>77</v>
      </c>
      <c r="O3530" s="26" t="s">
        <v>77</v>
      </c>
    </row>
    <row r="3531">
      <c r="A3531" s="52" t="s">
        <v>77</v>
      </c>
      <c r="B3531" s="28" t="s">
        <v>77</v>
      </c>
      <c r="C3531" s="28" t="s">
        <v>77</v>
      </c>
      <c r="D3531" s="28" t="s">
        <v>77</v>
      </c>
      <c r="E3531" s="28" t="s">
        <v>77</v>
      </c>
      <c r="F3531" s="28" t="s">
        <v>77</v>
      </c>
      <c r="G3531" s="28" t="s">
        <v>77</v>
      </c>
      <c r="I3531" s="26" t="s">
        <v>77</v>
      </c>
      <c r="J3531" s="26" t="s">
        <v>77</v>
      </c>
      <c r="K3531" s="18"/>
      <c r="L3531" s="26" t="s">
        <v>77</v>
      </c>
      <c r="M3531" s="6" t="s">
        <v>77</v>
      </c>
      <c r="N3531" s="28" t="s">
        <v>77</v>
      </c>
      <c r="O3531" s="26" t="s">
        <v>77</v>
      </c>
    </row>
    <row r="3532">
      <c r="A3532" s="52" t="s">
        <v>77</v>
      </c>
      <c r="B3532" s="28" t="s">
        <v>77</v>
      </c>
      <c r="C3532" s="28" t="s">
        <v>77</v>
      </c>
      <c r="D3532" s="28" t="s">
        <v>77</v>
      </c>
      <c r="E3532" s="28" t="s">
        <v>77</v>
      </c>
      <c r="F3532" s="28" t="s">
        <v>77</v>
      </c>
      <c r="G3532" s="28" t="s">
        <v>77</v>
      </c>
      <c r="I3532" s="26" t="s">
        <v>77</v>
      </c>
      <c r="J3532" s="26" t="s">
        <v>77</v>
      </c>
      <c r="K3532" s="18"/>
      <c r="L3532" s="26" t="s">
        <v>77</v>
      </c>
      <c r="M3532" s="6" t="s">
        <v>77</v>
      </c>
      <c r="N3532" s="28" t="s">
        <v>77</v>
      </c>
      <c r="O3532" s="26" t="s">
        <v>77</v>
      </c>
    </row>
    <row r="3533">
      <c r="A3533" s="52" t="s">
        <v>77</v>
      </c>
      <c r="B3533" s="28" t="s">
        <v>77</v>
      </c>
      <c r="C3533" s="28" t="s">
        <v>77</v>
      </c>
      <c r="D3533" s="28" t="s">
        <v>77</v>
      </c>
      <c r="E3533" s="28" t="s">
        <v>77</v>
      </c>
      <c r="F3533" s="28" t="s">
        <v>77</v>
      </c>
      <c r="G3533" s="28" t="s">
        <v>77</v>
      </c>
      <c r="I3533" s="26" t="s">
        <v>77</v>
      </c>
      <c r="J3533" s="26" t="s">
        <v>77</v>
      </c>
      <c r="K3533" s="18"/>
      <c r="L3533" s="26" t="s">
        <v>77</v>
      </c>
      <c r="M3533" s="6" t="s">
        <v>77</v>
      </c>
      <c r="N3533" s="28" t="s">
        <v>77</v>
      </c>
      <c r="O3533" s="26" t="s">
        <v>77</v>
      </c>
    </row>
    <row r="3534">
      <c r="A3534" s="52" t="s">
        <v>77</v>
      </c>
      <c r="B3534" s="28" t="s">
        <v>77</v>
      </c>
      <c r="C3534" s="28" t="s">
        <v>77</v>
      </c>
      <c r="D3534" s="28" t="s">
        <v>77</v>
      </c>
      <c r="E3534" s="28" t="s">
        <v>77</v>
      </c>
      <c r="F3534" s="28" t="s">
        <v>77</v>
      </c>
      <c r="G3534" s="28" t="s">
        <v>77</v>
      </c>
      <c r="I3534" s="26" t="s">
        <v>77</v>
      </c>
      <c r="J3534" s="26" t="s">
        <v>77</v>
      </c>
      <c r="K3534" s="18"/>
      <c r="L3534" s="26" t="s">
        <v>77</v>
      </c>
      <c r="M3534" s="6" t="s">
        <v>77</v>
      </c>
      <c r="N3534" s="28" t="s">
        <v>77</v>
      </c>
      <c r="O3534" s="26" t="s">
        <v>77</v>
      </c>
    </row>
    <row r="3535">
      <c r="A3535" s="52" t="s">
        <v>77</v>
      </c>
      <c r="B3535" s="28" t="s">
        <v>77</v>
      </c>
      <c r="C3535" s="28" t="s">
        <v>77</v>
      </c>
      <c r="D3535" s="28" t="s">
        <v>77</v>
      </c>
      <c r="E3535" s="28" t="s">
        <v>77</v>
      </c>
      <c r="F3535" s="28" t="s">
        <v>77</v>
      </c>
      <c r="G3535" s="28" t="s">
        <v>77</v>
      </c>
      <c r="I3535" s="26" t="s">
        <v>77</v>
      </c>
      <c r="J3535" s="26" t="s">
        <v>77</v>
      </c>
      <c r="K3535" s="18"/>
      <c r="L3535" s="26" t="s">
        <v>77</v>
      </c>
      <c r="M3535" s="6" t="s">
        <v>77</v>
      </c>
      <c r="N3535" s="28" t="s">
        <v>77</v>
      </c>
      <c r="O3535" s="26" t="s">
        <v>77</v>
      </c>
    </row>
    <row r="3536">
      <c r="A3536" s="52" t="s">
        <v>77</v>
      </c>
      <c r="B3536" s="28" t="s">
        <v>77</v>
      </c>
      <c r="C3536" s="28" t="s">
        <v>77</v>
      </c>
      <c r="D3536" s="28" t="s">
        <v>77</v>
      </c>
      <c r="E3536" s="28" t="s">
        <v>77</v>
      </c>
      <c r="F3536" s="28" t="s">
        <v>77</v>
      </c>
      <c r="G3536" s="28" t="s">
        <v>77</v>
      </c>
      <c r="I3536" s="26" t="s">
        <v>77</v>
      </c>
      <c r="J3536" s="26" t="s">
        <v>77</v>
      </c>
      <c r="K3536" s="18"/>
      <c r="L3536" s="26" t="s">
        <v>77</v>
      </c>
      <c r="M3536" s="6" t="s">
        <v>77</v>
      </c>
      <c r="N3536" s="28" t="s">
        <v>77</v>
      </c>
      <c r="O3536" s="26" t="s">
        <v>77</v>
      </c>
    </row>
    <row r="3537">
      <c r="A3537" s="52" t="s">
        <v>77</v>
      </c>
      <c r="B3537" s="28" t="s">
        <v>77</v>
      </c>
      <c r="C3537" s="28" t="s">
        <v>77</v>
      </c>
      <c r="D3537" s="28" t="s">
        <v>77</v>
      </c>
      <c r="E3537" s="28" t="s">
        <v>77</v>
      </c>
      <c r="F3537" s="28" t="s">
        <v>77</v>
      </c>
      <c r="G3537" s="28" t="s">
        <v>77</v>
      </c>
      <c r="I3537" s="26" t="s">
        <v>77</v>
      </c>
      <c r="J3537" s="26" t="s">
        <v>77</v>
      </c>
      <c r="K3537" s="18"/>
      <c r="L3537" s="26" t="s">
        <v>77</v>
      </c>
      <c r="M3537" s="6" t="s">
        <v>77</v>
      </c>
      <c r="N3537" s="28" t="s">
        <v>77</v>
      </c>
      <c r="O3537" s="26" t="s">
        <v>77</v>
      </c>
    </row>
    <row r="3538">
      <c r="A3538" s="52" t="s">
        <v>77</v>
      </c>
      <c r="B3538" s="28" t="s">
        <v>77</v>
      </c>
      <c r="C3538" s="28" t="s">
        <v>77</v>
      </c>
      <c r="D3538" s="28" t="s">
        <v>77</v>
      </c>
      <c r="E3538" s="28" t="s">
        <v>77</v>
      </c>
      <c r="F3538" s="28" t="s">
        <v>77</v>
      </c>
      <c r="G3538" s="28" t="s">
        <v>77</v>
      </c>
      <c r="I3538" s="26" t="s">
        <v>77</v>
      </c>
      <c r="J3538" s="26" t="s">
        <v>77</v>
      </c>
      <c r="K3538" s="18"/>
      <c r="L3538" s="26" t="s">
        <v>77</v>
      </c>
      <c r="M3538" s="6" t="s">
        <v>77</v>
      </c>
      <c r="N3538" s="28" t="s">
        <v>77</v>
      </c>
      <c r="O3538" s="26" t="s">
        <v>77</v>
      </c>
    </row>
    <row r="3539">
      <c r="A3539" s="52" t="s">
        <v>77</v>
      </c>
      <c r="B3539" s="28" t="s">
        <v>77</v>
      </c>
      <c r="C3539" s="28" t="s">
        <v>77</v>
      </c>
      <c r="D3539" s="28" t="s">
        <v>77</v>
      </c>
      <c r="E3539" s="28" t="s">
        <v>77</v>
      </c>
      <c r="F3539" s="28" t="s">
        <v>77</v>
      </c>
      <c r="G3539" s="28" t="s">
        <v>77</v>
      </c>
      <c r="I3539" s="26" t="s">
        <v>77</v>
      </c>
      <c r="J3539" s="26" t="s">
        <v>77</v>
      </c>
      <c r="K3539" s="18"/>
      <c r="L3539" s="26" t="s">
        <v>77</v>
      </c>
      <c r="M3539" s="6" t="s">
        <v>77</v>
      </c>
      <c r="N3539" s="28" t="s">
        <v>77</v>
      </c>
      <c r="O3539" s="26" t="s">
        <v>77</v>
      </c>
    </row>
    <row r="3540">
      <c r="A3540" s="52" t="s">
        <v>77</v>
      </c>
      <c r="B3540" s="28" t="s">
        <v>77</v>
      </c>
      <c r="C3540" s="28" t="s">
        <v>77</v>
      </c>
      <c r="D3540" s="28" t="s">
        <v>77</v>
      </c>
      <c r="E3540" s="28" t="s">
        <v>77</v>
      </c>
      <c r="F3540" s="28" t="s">
        <v>77</v>
      </c>
      <c r="G3540" s="28" t="s">
        <v>77</v>
      </c>
      <c r="I3540" s="26" t="s">
        <v>77</v>
      </c>
      <c r="J3540" s="26" t="s">
        <v>77</v>
      </c>
      <c r="K3540" s="18"/>
      <c r="L3540" s="26" t="s">
        <v>77</v>
      </c>
      <c r="M3540" s="6" t="s">
        <v>77</v>
      </c>
      <c r="N3540" s="28" t="s">
        <v>77</v>
      </c>
      <c r="O3540" s="26" t="s">
        <v>77</v>
      </c>
    </row>
    <row r="3541">
      <c r="A3541" s="52" t="s">
        <v>77</v>
      </c>
      <c r="B3541" s="28" t="s">
        <v>77</v>
      </c>
      <c r="C3541" s="28" t="s">
        <v>77</v>
      </c>
      <c r="D3541" s="28" t="s">
        <v>77</v>
      </c>
      <c r="E3541" s="28" t="s">
        <v>77</v>
      </c>
      <c r="F3541" s="28" t="s">
        <v>77</v>
      </c>
      <c r="G3541" s="28" t="s">
        <v>77</v>
      </c>
      <c r="I3541" s="26" t="s">
        <v>77</v>
      </c>
      <c r="J3541" s="26" t="s">
        <v>77</v>
      </c>
      <c r="K3541" s="18"/>
      <c r="L3541" s="26" t="s">
        <v>77</v>
      </c>
      <c r="M3541" s="6" t="s">
        <v>77</v>
      </c>
      <c r="N3541" s="28" t="s">
        <v>77</v>
      </c>
      <c r="O3541" s="26" t="s">
        <v>77</v>
      </c>
    </row>
    <row r="3542">
      <c r="A3542" s="52" t="s">
        <v>77</v>
      </c>
      <c r="B3542" s="28" t="s">
        <v>77</v>
      </c>
      <c r="C3542" s="28" t="s">
        <v>77</v>
      </c>
      <c r="D3542" s="28" t="s">
        <v>77</v>
      </c>
      <c r="E3542" s="28" t="s">
        <v>77</v>
      </c>
      <c r="F3542" s="28" t="s">
        <v>77</v>
      </c>
      <c r="G3542" s="28" t="s">
        <v>77</v>
      </c>
      <c r="I3542" s="26" t="s">
        <v>77</v>
      </c>
      <c r="J3542" s="26" t="s">
        <v>77</v>
      </c>
      <c r="K3542" s="18"/>
      <c r="L3542" s="26" t="s">
        <v>77</v>
      </c>
      <c r="M3542" s="6" t="s">
        <v>77</v>
      </c>
      <c r="N3542" s="28" t="s">
        <v>77</v>
      </c>
      <c r="O3542" s="26" t="s">
        <v>77</v>
      </c>
    </row>
    <row r="3543">
      <c r="A3543" s="52" t="s">
        <v>77</v>
      </c>
      <c r="B3543" s="28" t="s">
        <v>77</v>
      </c>
      <c r="C3543" s="28" t="s">
        <v>77</v>
      </c>
      <c r="D3543" s="28" t="s">
        <v>77</v>
      </c>
      <c r="E3543" s="28" t="s">
        <v>77</v>
      </c>
      <c r="F3543" s="28" t="s">
        <v>77</v>
      </c>
      <c r="G3543" s="28" t="s">
        <v>77</v>
      </c>
      <c r="I3543" s="26" t="s">
        <v>77</v>
      </c>
      <c r="J3543" s="26" t="s">
        <v>77</v>
      </c>
      <c r="K3543" s="18"/>
      <c r="L3543" s="26" t="s">
        <v>77</v>
      </c>
      <c r="M3543" s="6" t="s">
        <v>77</v>
      </c>
      <c r="N3543" s="28" t="s">
        <v>77</v>
      </c>
      <c r="O3543" s="26" t="s">
        <v>77</v>
      </c>
    </row>
    <row r="3544">
      <c r="A3544" s="52" t="s">
        <v>77</v>
      </c>
      <c r="B3544" s="28" t="s">
        <v>77</v>
      </c>
      <c r="C3544" s="28" t="s">
        <v>77</v>
      </c>
      <c r="D3544" s="28" t="s">
        <v>77</v>
      </c>
      <c r="E3544" s="28" t="s">
        <v>77</v>
      </c>
      <c r="F3544" s="28" t="s">
        <v>77</v>
      </c>
      <c r="G3544" s="28" t="s">
        <v>77</v>
      </c>
      <c r="I3544" s="26" t="s">
        <v>77</v>
      </c>
      <c r="J3544" s="26" t="s">
        <v>77</v>
      </c>
      <c r="K3544" s="18"/>
      <c r="L3544" s="26" t="s">
        <v>77</v>
      </c>
      <c r="M3544" s="6" t="s">
        <v>77</v>
      </c>
      <c r="N3544" s="28" t="s">
        <v>77</v>
      </c>
      <c r="O3544" s="26" t="s">
        <v>77</v>
      </c>
    </row>
    <row r="3545">
      <c r="A3545" s="52" t="s">
        <v>77</v>
      </c>
      <c r="B3545" s="28" t="s">
        <v>77</v>
      </c>
      <c r="C3545" s="28" t="s">
        <v>77</v>
      </c>
      <c r="D3545" s="28" t="s">
        <v>77</v>
      </c>
      <c r="E3545" s="28" t="s">
        <v>77</v>
      </c>
      <c r="F3545" s="28" t="s">
        <v>77</v>
      </c>
      <c r="G3545" s="28" t="s">
        <v>77</v>
      </c>
      <c r="I3545" s="26" t="s">
        <v>77</v>
      </c>
      <c r="J3545" s="26" t="s">
        <v>77</v>
      </c>
      <c r="K3545" s="18"/>
      <c r="L3545" s="26" t="s">
        <v>77</v>
      </c>
      <c r="M3545" s="6" t="s">
        <v>77</v>
      </c>
      <c r="N3545" s="28" t="s">
        <v>77</v>
      </c>
      <c r="O3545" s="26" t="s">
        <v>77</v>
      </c>
    </row>
    <row r="3546">
      <c r="A3546" s="52" t="s">
        <v>77</v>
      </c>
      <c r="B3546" s="28" t="s">
        <v>77</v>
      </c>
      <c r="C3546" s="28" t="s">
        <v>77</v>
      </c>
      <c r="D3546" s="28" t="s">
        <v>77</v>
      </c>
      <c r="E3546" s="28" t="s">
        <v>77</v>
      </c>
      <c r="F3546" s="28" t="s">
        <v>77</v>
      </c>
      <c r="G3546" s="28" t="s">
        <v>77</v>
      </c>
      <c r="I3546" s="26" t="s">
        <v>77</v>
      </c>
      <c r="J3546" s="26" t="s">
        <v>77</v>
      </c>
      <c r="K3546" s="18"/>
      <c r="L3546" s="26" t="s">
        <v>77</v>
      </c>
      <c r="M3546" s="6" t="s">
        <v>77</v>
      </c>
      <c r="N3546" s="28" t="s">
        <v>77</v>
      </c>
      <c r="O3546" s="26" t="s">
        <v>77</v>
      </c>
    </row>
    <row r="3547">
      <c r="A3547" s="52" t="s">
        <v>77</v>
      </c>
      <c r="B3547" s="28" t="s">
        <v>77</v>
      </c>
      <c r="C3547" s="28" t="s">
        <v>77</v>
      </c>
      <c r="D3547" s="28" t="s">
        <v>77</v>
      </c>
      <c r="E3547" s="28" t="s">
        <v>77</v>
      </c>
      <c r="F3547" s="28" t="s">
        <v>77</v>
      </c>
      <c r="G3547" s="28" t="s">
        <v>77</v>
      </c>
      <c r="I3547" s="26" t="s">
        <v>77</v>
      </c>
      <c r="J3547" s="26" t="s">
        <v>77</v>
      </c>
      <c r="K3547" s="18"/>
      <c r="L3547" s="26" t="s">
        <v>77</v>
      </c>
      <c r="M3547" s="6" t="s">
        <v>77</v>
      </c>
      <c r="N3547" s="28" t="s">
        <v>77</v>
      </c>
      <c r="O3547" s="26" t="s">
        <v>77</v>
      </c>
    </row>
    <row r="3548">
      <c r="A3548" s="52" t="s">
        <v>77</v>
      </c>
      <c r="B3548" s="28" t="s">
        <v>77</v>
      </c>
      <c r="C3548" s="28" t="s">
        <v>77</v>
      </c>
      <c r="D3548" s="28" t="s">
        <v>77</v>
      </c>
      <c r="E3548" s="28" t="s">
        <v>77</v>
      </c>
      <c r="F3548" s="28" t="s">
        <v>77</v>
      </c>
      <c r="G3548" s="28" t="s">
        <v>77</v>
      </c>
      <c r="I3548" s="26" t="s">
        <v>77</v>
      </c>
      <c r="J3548" s="26" t="s">
        <v>77</v>
      </c>
      <c r="K3548" s="18"/>
      <c r="L3548" s="26" t="s">
        <v>77</v>
      </c>
      <c r="M3548" s="6" t="s">
        <v>77</v>
      </c>
      <c r="N3548" s="28" t="s">
        <v>77</v>
      </c>
      <c r="O3548" s="26" t="s">
        <v>77</v>
      </c>
    </row>
    <row r="3549">
      <c r="A3549" s="52" t="s">
        <v>77</v>
      </c>
      <c r="B3549" s="28" t="s">
        <v>77</v>
      </c>
      <c r="C3549" s="28" t="s">
        <v>77</v>
      </c>
      <c r="D3549" s="28" t="s">
        <v>77</v>
      </c>
      <c r="E3549" s="28" t="s">
        <v>77</v>
      </c>
      <c r="F3549" s="28" t="s">
        <v>77</v>
      </c>
      <c r="G3549" s="28" t="s">
        <v>77</v>
      </c>
      <c r="I3549" s="26" t="s">
        <v>77</v>
      </c>
      <c r="J3549" s="26" t="s">
        <v>77</v>
      </c>
      <c r="K3549" s="18"/>
      <c r="L3549" s="26" t="s">
        <v>77</v>
      </c>
      <c r="M3549" s="6" t="s">
        <v>77</v>
      </c>
      <c r="N3549" s="28" t="s">
        <v>77</v>
      </c>
      <c r="O3549" s="26" t="s">
        <v>77</v>
      </c>
    </row>
    <row r="3550">
      <c r="A3550" s="52" t="s">
        <v>77</v>
      </c>
      <c r="B3550" s="28" t="s">
        <v>77</v>
      </c>
      <c r="C3550" s="28" t="s">
        <v>77</v>
      </c>
      <c r="D3550" s="28" t="s">
        <v>77</v>
      </c>
      <c r="E3550" s="28" t="s">
        <v>77</v>
      </c>
      <c r="F3550" s="28" t="s">
        <v>77</v>
      </c>
      <c r="G3550" s="28" t="s">
        <v>77</v>
      </c>
      <c r="I3550" s="26" t="s">
        <v>77</v>
      </c>
      <c r="J3550" s="26" t="s">
        <v>77</v>
      </c>
      <c r="K3550" s="18"/>
      <c r="L3550" s="26" t="s">
        <v>77</v>
      </c>
      <c r="M3550" s="6" t="s">
        <v>77</v>
      </c>
      <c r="N3550" s="28" t="s">
        <v>77</v>
      </c>
      <c r="O3550" s="26" t="s">
        <v>77</v>
      </c>
    </row>
    <row r="3551">
      <c r="A3551" s="52" t="s">
        <v>77</v>
      </c>
      <c r="B3551" s="28" t="s">
        <v>77</v>
      </c>
      <c r="C3551" s="28" t="s">
        <v>77</v>
      </c>
      <c r="D3551" s="28" t="s">
        <v>77</v>
      </c>
      <c r="E3551" s="28" t="s">
        <v>77</v>
      </c>
      <c r="F3551" s="28" t="s">
        <v>77</v>
      </c>
      <c r="G3551" s="28" t="s">
        <v>77</v>
      </c>
      <c r="I3551" s="26" t="s">
        <v>77</v>
      </c>
      <c r="J3551" s="26" t="s">
        <v>77</v>
      </c>
      <c r="K3551" s="18"/>
      <c r="L3551" s="26" t="s">
        <v>77</v>
      </c>
      <c r="M3551" s="6" t="s">
        <v>77</v>
      </c>
      <c r="N3551" s="28" t="s">
        <v>77</v>
      </c>
      <c r="O3551" s="26" t="s">
        <v>77</v>
      </c>
    </row>
    <row r="3552">
      <c r="A3552" s="52" t="s">
        <v>77</v>
      </c>
      <c r="B3552" s="28" t="s">
        <v>77</v>
      </c>
      <c r="C3552" s="28" t="s">
        <v>77</v>
      </c>
      <c r="D3552" s="28" t="s">
        <v>77</v>
      </c>
      <c r="E3552" s="28" t="s">
        <v>77</v>
      </c>
      <c r="F3552" s="28" t="s">
        <v>77</v>
      </c>
      <c r="G3552" s="28" t="s">
        <v>77</v>
      </c>
      <c r="I3552" s="26" t="s">
        <v>77</v>
      </c>
      <c r="J3552" s="26" t="s">
        <v>77</v>
      </c>
      <c r="K3552" s="18"/>
      <c r="L3552" s="26" t="s">
        <v>77</v>
      </c>
      <c r="M3552" s="6" t="s">
        <v>77</v>
      </c>
      <c r="N3552" s="28" t="s">
        <v>77</v>
      </c>
      <c r="O3552" s="26" t="s">
        <v>77</v>
      </c>
    </row>
    <row r="3553">
      <c r="A3553" s="52" t="s">
        <v>77</v>
      </c>
      <c r="B3553" s="28" t="s">
        <v>77</v>
      </c>
      <c r="C3553" s="28" t="s">
        <v>77</v>
      </c>
      <c r="D3553" s="28" t="s">
        <v>77</v>
      </c>
      <c r="E3553" s="28" t="s">
        <v>77</v>
      </c>
      <c r="F3553" s="28" t="s">
        <v>77</v>
      </c>
      <c r="G3553" s="28" t="s">
        <v>77</v>
      </c>
      <c r="I3553" s="26" t="s">
        <v>77</v>
      </c>
      <c r="J3553" s="26" t="s">
        <v>77</v>
      </c>
      <c r="K3553" s="18"/>
      <c r="L3553" s="26" t="s">
        <v>77</v>
      </c>
      <c r="M3553" s="6" t="s">
        <v>77</v>
      </c>
      <c r="N3553" s="28" t="s">
        <v>77</v>
      </c>
      <c r="O3553" s="26" t="s">
        <v>77</v>
      </c>
    </row>
    <row r="3554">
      <c r="A3554" s="52" t="s">
        <v>77</v>
      </c>
      <c r="B3554" s="28" t="s">
        <v>77</v>
      </c>
      <c r="C3554" s="28" t="s">
        <v>77</v>
      </c>
      <c r="D3554" s="28" t="s">
        <v>77</v>
      </c>
      <c r="E3554" s="28" t="s">
        <v>77</v>
      </c>
      <c r="F3554" s="28" t="s">
        <v>77</v>
      </c>
      <c r="G3554" s="28" t="s">
        <v>77</v>
      </c>
      <c r="I3554" s="26" t="s">
        <v>77</v>
      </c>
      <c r="J3554" s="26" t="s">
        <v>77</v>
      </c>
      <c r="K3554" s="18"/>
      <c r="L3554" s="26" t="s">
        <v>77</v>
      </c>
      <c r="M3554" s="6" t="s">
        <v>77</v>
      </c>
      <c r="N3554" s="28" t="s">
        <v>77</v>
      </c>
      <c r="O3554" s="26" t="s">
        <v>77</v>
      </c>
    </row>
    <row r="3555">
      <c r="A3555" s="52" t="s">
        <v>77</v>
      </c>
      <c r="B3555" s="28" t="s">
        <v>77</v>
      </c>
      <c r="C3555" s="28" t="s">
        <v>77</v>
      </c>
      <c r="D3555" s="28" t="s">
        <v>77</v>
      </c>
      <c r="E3555" s="28" t="s">
        <v>77</v>
      </c>
      <c r="F3555" s="28" t="s">
        <v>77</v>
      </c>
      <c r="G3555" s="28" t="s">
        <v>77</v>
      </c>
      <c r="I3555" s="26" t="s">
        <v>77</v>
      </c>
      <c r="J3555" s="26" t="s">
        <v>77</v>
      </c>
      <c r="K3555" s="18"/>
      <c r="L3555" s="26" t="s">
        <v>77</v>
      </c>
      <c r="M3555" s="6" t="s">
        <v>77</v>
      </c>
      <c r="N3555" s="28" t="s">
        <v>77</v>
      </c>
      <c r="O3555" s="26" t="s">
        <v>77</v>
      </c>
    </row>
    <row r="3556">
      <c r="A3556" s="52" t="s">
        <v>77</v>
      </c>
      <c r="B3556" s="28" t="s">
        <v>77</v>
      </c>
      <c r="C3556" s="28" t="s">
        <v>77</v>
      </c>
      <c r="D3556" s="28" t="s">
        <v>77</v>
      </c>
      <c r="E3556" s="28" t="s">
        <v>77</v>
      </c>
      <c r="F3556" s="28" t="s">
        <v>77</v>
      </c>
      <c r="G3556" s="28" t="s">
        <v>77</v>
      </c>
      <c r="I3556" s="26" t="s">
        <v>77</v>
      </c>
      <c r="J3556" s="26" t="s">
        <v>77</v>
      </c>
      <c r="K3556" s="18"/>
      <c r="L3556" s="26" t="s">
        <v>77</v>
      </c>
      <c r="M3556" s="6" t="s">
        <v>77</v>
      </c>
      <c r="N3556" s="28" t="s">
        <v>77</v>
      </c>
      <c r="O3556" s="26" t="s">
        <v>77</v>
      </c>
    </row>
    <row r="3557">
      <c r="A3557" s="52" t="s">
        <v>77</v>
      </c>
      <c r="B3557" s="28" t="s">
        <v>77</v>
      </c>
      <c r="C3557" s="28" t="s">
        <v>77</v>
      </c>
      <c r="D3557" s="28" t="s">
        <v>77</v>
      </c>
      <c r="E3557" s="28" t="s">
        <v>77</v>
      </c>
      <c r="F3557" s="28" t="s">
        <v>77</v>
      </c>
      <c r="G3557" s="28" t="s">
        <v>77</v>
      </c>
      <c r="I3557" s="26" t="s">
        <v>77</v>
      </c>
      <c r="J3557" s="26" t="s">
        <v>77</v>
      </c>
      <c r="K3557" s="18"/>
      <c r="L3557" s="26" t="s">
        <v>77</v>
      </c>
      <c r="M3557" s="6" t="s">
        <v>77</v>
      </c>
      <c r="N3557" s="28" t="s">
        <v>77</v>
      </c>
      <c r="O3557" s="26" t="s">
        <v>77</v>
      </c>
    </row>
    <row r="3558">
      <c r="A3558" s="52" t="s">
        <v>77</v>
      </c>
      <c r="B3558" s="28" t="s">
        <v>77</v>
      </c>
      <c r="C3558" s="28" t="s">
        <v>77</v>
      </c>
      <c r="D3558" s="28" t="s">
        <v>77</v>
      </c>
      <c r="E3558" s="28" t="s">
        <v>77</v>
      </c>
      <c r="F3558" s="28" t="s">
        <v>77</v>
      </c>
      <c r="G3558" s="28" t="s">
        <v>77</v>
      </c>
      <c r="I3558" s="26" t="s">
        <v>77</v>
      </c>
      <c r="J3558" s="26" t="s">
        <v>77</v>
      </c>
      <c r="K3558" s="18"/>
      <c r="L3558" s="26" t="s">
        <v>77</v>
      </c>
      <c r="M3558" s="6" t="s">
        <v>77</v>
      </c>
      <c r="N3558" s="28" t="s">
        <v>77</v>
      </c>
      <c r="O3558" s="26" t="s">
        <v>77</v>
      </c>
    </row>
    <row r="3559">
      <c r="A3559" s="52" t="s">
        <v>77</v>
      </c>
      <c r="B3559" s="28" t="s">
        <v>77</v>
      </c>
      <c r="C3559" s="28" t="s">
        <v>77</v>
      </c>
      <c r="D3559" s="28" t="s">
        <v>77</v>
      </c>
      <c r="E3559" s="28" t="s">
        <v>77</v>
      </c>
      <c r="F3559" s="28" t="s">
        <v>77</v>
      </c>
      <c r="G3559" s="28" t="s">
        <v>77</v>
      </c>
      <c r="I3559" s="26" t="s">
        <v>77</v>
      </c>
      <c r="J3559" s="26" t="s">
        <v>77</v>
      </c>
      <c r="K3559" s="18"/>
      <c r="L3559" s="26" t="s">
        <v>77</v>
      </c>
      <c r="M3559" s="6" t="s">
        <v>77</v>
      </c>
      <c r="N3559" s="28" t="s">
        <v>77</v>
      </c>
      <c r="O3559" s="26" t="s">
        <v>77</v>
      </c>
    </row>
    <row r="3560">
      <c r="A3560" s="52" t="s">
        <v>77</v>
      </c>
      <c r="B3560" s="28" t="s">
        <v>77</v>
      </c>
      <c r="C3560" s="28" t="s">
        <v>77</v>
      </c>
      <c r="D3560" s="28" t="s">
        <v>77</v>
      </c>
      <c r="E3560" s="28" t="s">
        <v>77</v>
      </c>
      <c r="F3560" s="28" t="s">
        <v>77</v>
      </c>
      <c r="G3560" s="28" t="s">
        <v>77</v>
      </c>
      <c r="I3560" s="26" t="s">
        <v>77</v>
      </c>
      <c r="J3560" s="26" t="s">
        <v>77</v>
      </c>
      <c r="K3560" s="18"/>
      <c r="L3560" s="26" t="s">
        <v>77</v>
      </c>
      <c r="M3560" s="6" t="s">
        <v>77</v>
      </c>
      <c r="N3560" s="28" t="s">
        <v>77</v>
      </c>
      <c r="O3560" s="26" t="s">
        <v>77</v>
      </c>
    </row>
    <row r="3561">
      <c r="A3561" s="52" t="s">
        <v>77</v>
      </c>
      <c r="B3561" s="28" t="s">
        <v>77</v>
      </c>
      <c r="C3561" s="28" t="s">
        <v>77</v>
      </c>
      <c r="D3561" s="28" t="s">
        <v>77</v>
      </c>
      <c r="E3561" s="28" t="s">
        <v>77</v>
      </c>
      <c r="F3561" s="28" t="s">
        <v>77</v>
      </c>
      <c r="G3561" s="28" t="s">
        <v>77</v>
      </c>
      <c r="I3561" s="26" t="s">
        <v>77</v>
      </c>
      <c r="J3561" s="26" t="s">
        <v>77</v>
      </c>
      <c r="K3561" s="18"/>
      <c r="L3561" s="26" t="s">
        <v>77</v>
      </c>
      <c r="M3561" s="6" t="s">
        <v>77</v>
      </c>
      <c r="N3561" s="28" t="s">
        <v>77</v>
      </c>
      <c r="O3561" s="26" t="s">
        <v>77</v>
      </c>
    </row>
    <row r="3562">
      <c r="A3562" s="52" t="s">
        <v>77</v>
      </c>
      <c r="B3562" s="28" t="s">
        <v>77</v>
      </c>
      <c r="C3562" s="28" t="s">
        <v>77</v>
      </c>
      <c r="D3562" s="28" t="s">
        <v>77</v>
      </c>
      <c r="E3562" s="28" t="s">
        <v>77</v>
      </c>
      <c r="F3562" s="28" t="s">
        <v>77</v>
      </c>
      <c r="G3562" s="28" t="s">
        <v>77</v>
      </c>
      <c r="I3562" s="26" t="s">
        <v>77</v>
      </c>
      <c r="J3562" s="26" t="s">
        <v>77</v>
      </c>
      <c r="K3562" s="18"/>
      <c r="L3562" s="26" t="s">
        <v>77</v>
      </c>
      <c r="M3562" s="6" t="s">
        <v>77</v>
      </c>
      <c r="N3562" s="28" t="s">
        <v>77</v>
      </c>
      <c r="O3562" s="26" t="s">
        <v>77</v>
      </c>
    </row>
    <row r="3563">
      <c r="A3563" s="52" t="s">
        <v>77</v>
      </c>
      <c r="B3563" s="28" t="s">
        <v>77</v>
      </c>
      <c r="C3563" s="28" t="s">
        <v>77</v>
      </c>
      <c r="D3563" s="28" t="s">
        <v>77</v>
      </c>
      <c r="E3563" s="28" t="s">
        <v>77</v>
      </c>
      <c r="F3563" s="28" t="s">
        <v>77</v>
      </c>
      <c r="G3563" s="28" t="s">
        <v>77</v>
      </c>
      <c r="I3563" s="26" t="s">
        <v>77</v>
      </c>
      <c r="J3563" s="26" t="s">
        <v>77</v>
      </c>
      <c r="K3563" s="18"/>
      <c r="L3563" s="26" t="s">
        <v>77</v>
      </c>
      <c r="M3563" s="6" t="s">
        <v>77</v>
      </c>
      <c r="N3563" s="28" t="s">
        <v>77</v>
      </c>
      <c r="O3563" s="26" t="s">
        <v>77</v>
      </c>
    </row>
    <row r="3564">
      <c r="A3564" s="52" t="s">
        <v>77</v>
      </c>
      <c r="B3564" s="28" t="s">
        <v>77</v>
      </c>
      <c r="C3564" s="28" t="s">
        <v>77</v>
      </c>
      <c r="D3564" s="28" t="s">
        <v>77</v>
      </c>
      <c r="E3564" s="28" t="s">
        <v>77</v>
      </c>
      <c r="F3564" s="28" t="s">
        <v>77</v>
      </c>
      <c r="G3564" s="28" t="s">
        <v>77</v>
      </c>
      <c r="I3564" s="26" t="s">
        <v>77</v>
      </c>
      <c r="J3564" s="26" t="s">
        <v>77</v>
      </c>
      <c r="K3564" s="18"/>
      <c r="L3564" s="26" t="s">
        <v>77</v>
      </c>
      <c r="M3564" s="6" t="s">
        <v>77</v>
      </c>
      <c r="N3564" s="28" t="s">
        <v>77</v>
      </c>
      <c r="O3564" s="26" t="s">
        <v>77</v>
      </c>
    </row>
    <row r="3565">
      <c r="A3565" s="52" t="s">
        <v>77</v>
      </c>
      <c r="B3565" s="28" t="s">
        <v>77</v>
      </c>
      <c r="C3565" s="28" t="s">
        <v>77</v>
      </c>
      <c r="D3565" s="28" t="s">
        <v>77</v>
      </c>
      <c r="E3565" s="28" t="s">
        <v>77</v>
      </c>
      <c r="F3565" s="28" t="s">
        <v>77</v>
      </c>
      <c r="G3565" s="28" t="s">
        <v>77</v>
      </c>
      <c r="I3565" s="26" t="s">
        <v>77</v>
      </c>
      <c r="J3565" s="26" t="s">
        <v>77</v>
      </c>
      <c r="K3565" s="18"/>
      <c r="L3565" s="26" t="s">
        <v>77</v>
      </c>
      <c r="M3565" s="6" t="s">
        <v>77</v>
      </c>
      <c r="N3565" s="28" t="s">
        <v>77</v>
      </c>
      <c r="O3565" s="26" t="s">
        <v>77</v>
      </c>
    </row>
    <row r="3566">
      <c r="A3566" s="52" t="s">
        <v>77</v>
      </c>
      <c r="B3566" s="28" t="s">
        <v>77</v>
      </c>
      <c r="C3566" s="28" t="s">
        <v>77</v>
      </c>
      <c r="D3566" s="28" t="s">
        <v>77</v>
      </c>
      <c r="E3566" s="28" t="s">
        <v>77</v>
      </c>
      <c r="F3566" s="28" t="s">
        <v>77</v>
      </c>
      <c r="G3566" s="28" t="s">
        <v>77</v>
      </c>
      <c r="I3566" s="26" t="s">
        <v>77</v>
      </c>
      <c r="J3566" s="26" t="s">
        <v>77</v>
      </c>
      <c r="K3566" s="18"/>
      <c r="L3566" s="26" t="s">
        <v>77</v>
      </c>
      <c r="M3566" s="6" t="s">
        <v>77</v>
      </c>
      <c r="N3566" s="28" t="s">
        <v>77</v>
      </c>
      <c r="O3566" s="26" t="s">
        <v>77</v>
      </c>
    </row>
    <row r="3567">
      <c r="A3567" s="52" t="s">
        <v>77</v>
      </c>
      <c r="B3567" s="28" t="s">
        <v>77</v>
      </c>
      <c r="C3567" s="28" t="s">
        <v>77</v>
      </c>
      <c r="D3567" s="28" t="s">
        <v>77</v>
      </c>
      <c r="E3567" s="28" t="s">
        <v>77</v>
      </c>
      <c r="F3567" s="28" t="s">
        <v>77</v>
      </c>
      <c r="G3567" s="28" t="s">
        <v>77</v>
      </c>
      <c r="I3567" s="26" t="s">
        <v>77</v>
      </c>
      <c r="J3567" s="26" t="s">
        <v>77</v>
      </c>
      <c r="K3567" s="18"/>
      <c r="L3567" s="26" t="s">
        <v>77</v>
      </c>
      <c r="M3567" s="6" t="s">
        <v>77</v>
      </c>
      <c r="N3567" s="28" t="s">
        <v>77</v>
      </c>
      <c r="O3567" s="26" t="s">
        <v>77</v>
      </c>
    </row>
    <row r="3568">
      <c r="A3568" s="52" t="s">
        <v>77</v>
      </c>
      <c r="B3568" s="28" t="s">
        <v>77</v>
      </c>
      <c r="C3568" s="28" t="s">
        <v>77</v>
      </c>
      <c r="D3568" s="28" t="s">
        <v>77</v>
      </c>
      <c r="E3568" s="28" t="s">
        <v>77</v>
      </c>
      <c r="F3568" s="28" t="s">
        <v>77</v>
      </c>
      <c r="G3568" s="28" t="s">
        <v>77</v>
      </c>
      <c r="I3568" s="26" t="s">
        <v>77</v>
      </c>
      <c r="J3568" s="26" t="s">
        <v>77</v>
      </c>
      <c r="K3568" s="18"/>
      <c r="L3568" s="26" t="s">
        <v>77</v>
      </c>
      <c r="M3568" s="6" t="s">
        <v>77</v>
      </c>
      <c r="N3568" s="28" t="s">
        <v>77</v>
      </c>
      <c r="O3568" s="26" t="s">
        <v>77</v>
      </c>
    </row>
    <row r="3569">
      <c r="A3569" s="52" t="s">
        <v>77</v>
      </c>
      <c r="B3569" s="28" t="s">
        <v>77</v>
      </c>
      <c r="C3569" s="28" t="s">
        <v>77</v>
      </c>
      <c r="D3569" s="28" t="s">
        <v>77</v>
      </c>
      <c r="E3569" s="28" t="s">
        <v>77</v>
      </c>
      <c r="F3569" s="28" t="s">
        <v>77</v>
      </c>
      <c r="G3569" s="28" t="s">
        <v>77</v>
      </c>
      <c r="I3569" s="26" t="s">
        <v>77</v>
      </c>
      <c r="J3569" s="26" t="s">
        <v>77</v>
      </c>
      <c r="K3569" s="18"/>
      <c r="L3569" s="26" t="s">
        <v>77</v>
      </c>
      <c r="M3569" s="6" t="s">
        <v>77</v>
      </c>
      <c r="N3569" s="28" t="s">
        <v>77</v>
      </c>
      <c r="O3569" s="26" t="s">
        <v>77</v>
      </c>
    </row>
    <row r="3570">
      <c r="A3570" s="52" t="s">
        <v>77</v>
      </c>
      <c r="B3570" s="28" t="s">
        <v>77</v>
      </c>
      <c r="C3570" s="28" t="s">
        <v>77</v>
      </c>
      <c r="D3570" s="28" t="s">
        <v>77</v>
      </c>
      <c r="E3570" s="28" t="s">
        <v>77</v>
      </c>
      <c r="F3570" s="28" t="s">
        <v>77</v>
      </c>
      <c r="G3570" s="28" t="s">
        <v>77</v>
      </c>
      <c r="I3570" s="26" t="s">
        <v>77</v>
      </c>
      <c r="J3570" s="26" t="s">
        <v>77</v>
      </c>
      <c r="K3570" s="18"/>
      <c r="L3570" s="26" t="s">
        <v>77</v>
      </c>
      <c r="M3570" s="6" t="s">
        <v>77</v>
      </c>
      <c r="N3570" s="28" t="s">
        <v>77</v>
      </c>
      <c r="O3570" s="26" t="s">
        <v>77</v>
      </c>
    </row>
    <row r="3571">
      <c r="A3571" s="52" t="s">
        <v>77</v>
      </c>
      <c r="B3571" s="28" t="s">
        <v>77</v>
      </c>
      <c r="C3571" s="28" t="s">
        <v>77</v>
      </c>
      <c r="D3571" s="28" t="s">
        <v>77</v>
      </c>
      <c r="E3571" s="28" t="s">
        <v>77</v>
      </c>
      <c r="F3571" s="28" t="s">
        <v>77</v>
      </c>
      <c r="G3571" s="28" t="s">
        <v>77</v>
      </c>
      <c r="I3571" s="26" t="s">
        <v>77</v>
      </c>
      <c r="J3571" s="26" t="s">
        <v>77</v>
      </c>
      <c r="K3571" s="18"/>
      <c r="L3571" s="26" t="s">
        <v>77</v>
      </c>
      <c r="M3571" s="6" t="s">
        <v>77</v>
      </c>
      <c r="N3571" s="28" t="s">
        <v>77</v>
      </c>
      <c r="O3571" s="26" t="s">
        <v>77</v>
      </c>
    </row>
    <row r="3572">
      <c r="A3572" s="52" t="s">
        <v>77</v>
      </c>
      <c r="B3572" s="28" t="s">
        <v>77</v>
      </c>
      <c r="C3572" s="28" t="s">
        <v>77</v>
      </c>
      <c r="D3572" s="28" t="s">
        <v>77</v>
      </c>
      <c r="E3572" s="28" t="s">
        <v>77</v>
      </c>
      <c r="F3572" s="28" t="s">
        <v>77</v>
      </c>
      <c r="G3572" s="28" t="s">
        <v>77</v>
      </c>
      <c r="I3572" s="26" t="s">
        <v>77</v>
      </c>
      <c r="J3572" s="26" t="s">
        <v>77</v>
      </c>
      <c r="K3572" s="18"/>
      <c r="L3572" s="26" t="s">
        <v>77</v>
      </c>
      <c r="M3572" s="6" t="s">
        <v>77</v>
      </c>
      <c r="N3572" s="28" t="s">
        <v>77</v>
      </c>
      <c r="O3572" s="26" t="s">
        <v>77</v>
      </c>
    </row>
    <row r="3573">
      <c r="A3573" s="52" t="s">
        <v>77</v>
      </c>
      <c r="B3573" s="28" t="s">
        <v>77</v>
      </c>
      <c r="C3573" s="28" t="s">
        <v>77</v>
      </c>
      <c r="D3573" s="28" t="s">
        <v>77</v>
      </c>
      <c r="E3573" s="28" t="s">
        <v>77</v>
      </c>
      <c r="F3573" s="28" t="s">
        <v>77</v>
      </c>
      <c r="G3573" s="28" t="s">
        <v>77</v>
      </c>
      <c r="I3573" s="26" t="s">
        <v>77</v>
      </c>
      <c r="J3573" s="26" t="s">
        <v>77</v>
      </c>
      <c r="K3573" s="18"/>
      <c r="L3573" s="26" t="s">
        <v>77</v>
      </c>
      <c r="M3573" s="6" t="s">
        <v>77</v>
      </c>
      <c r="N3573" s="28" t="s">
        <v>77</v>
      </c>
      <c r="O3573" s="26" t="s">
        <v>77</v>
      </c>
    </row>
    <row r="3574">
      <c r="A3574" s="52" t="s">
        <v>77</v>
      </c>
      <c r="B3574" s="28" t="s">
        <v>77</v>
      </c>
      <c r="C3574" s="28" t="s">
        <v>77</v>
      </c>
      <c r="D3574" s="28" t="s">
        <v>77</v>
      </c>
      <c r="E3574" s="28" t="s">
        <v>77</v>
      </c>
      <c r="F3574" s="28" t="s">
        <v>77</v>
      </c>
      <c r="G3574" s="28" t="s">
        <v>77</v>
      </c>
      <c r="I3574" s="26" t="s">
        <v>77</v>
      </c>
      <c r="J3574" s="26" t="s">
        <v>77</v>
      </c>
      <c r="K3574" s="18"/>
      <c r="L3574" s="26" t="s">
        <v>77</v>
      </c>
      <c r="M3574" s="6" t="s">
        <v>77</v>
      </c>
      <c r="N3574" s="28" t="s">
        <v>77</v>
      </c>
      <c r="O3574" s="26" t="s">
        <v>77</v>
      </c>
    </row>
    <row r="3575">
      <c r="A3575" s="52" t="s">
        <v>77</v>
      </c>
      <c r="B3575" s="28" t="s">
        <v>77</v>
      </c>
      <c r="C3575" s="28" t="s">
        <v>77</v>
      </c>
      <c r="D3575" s="28" t="s">
        <v>77</v>
      </c>
      <c r="E3575" s="28" t="s">
        <v>77</v>
      </c>
      <c r="F3575" s="28" t="s">
        <v>77</v>
      </c>
      <c r="G3575" s="28" t="s">
        <v>77</v>
      </c>
      <c r="I3575" s="26" t="s">
        <v>77</v>
      </c>
      <c r="J3575" s="26" t="s">
        <v>77</v>
      </c>
      <c r="K3575" s="18"/>
      <c r="L3575" s="26" t="s">
        <v>77</v>
      </c>
      <c r="M3575" s="6" t="s">
        <v>77</v>
      </c>
      <c r="N3575" s="28" t="s">
        <v>77</v>
      </c>
      <c r="O3575" s="26" t="s">
        <v>77</v>
      </c>
    </row>
    <row r="3576">
      <c r="A3576" s="52" t="s">
        <v>77</v>
      </c>
      <c r="B3576" s="28" t="s">
        <v>77</v>
      </c>
      <c r="C3576" s="28" t="s">
        <v>77</v>
      </c>
      <c r="D3576" s="28" t="s">
        <v>77</v>
      </c>
      <c r="E3576" s="28" t="s">
        <v>77</v>
      </c>
      <c r="F3576" s="28" t="s">
        <v>77</v>
      </c>
      <c r="G3576" s="28" t="s">
        <v>77</v>
      </c>
      <c r="I3576" s="26" t="s">
        <v>77</v>
      </c>
      <c r="J3576" s="26" t="s">
        <v>77</v>
      </c>
      <c r="K3576" s="18"/>
      <c r="L3576" s="26" t="s">
        <v>77</v>
      </c>
      <c r="M3576" s="6" t="s">
        <v>77</v>
      </c>
      <c r="N3576" s="28" t="s">
        <v>77</v>
      </c>
      <c r="O3576" s="26" t="s">
        <v>77</v>
      </c>
    </row>
    <row r="3577">
      <c r="A3577" s="52" t="s">
        <v>77</v>
      </c>
      <c r="B3577" s="28" t="s">
        <v>77</v>
      </c>
      <c r="C3577" s="28" t="s">
        <v>77</v>
      </c>
      <c r="D3577" s="28" t="s">
        <v>77</v>
      </c>
      <c r="E3577" s="28" t="s">
        <v>77</v>
      </c>
      <c r="F3577" s="28" t="s">
        <v>77</v>
      </c>
      <c r="G3577" s="28" t="s">
        <v>77</v>
      </c>
      <c r="I3577" s="26" t="s">
        <v>77</v>
      </c>
      <c r="J3577" s="26" t="s">
        <v>77</v>
      </c>
      <c r="K3577" s="18"/>
      <c r="L3577" s="26" t="s">
        <v>77</v>
      </c>
      <c r="M3577" s="6" t="s">
        <v>77</v>
      </c>
      <c r="N3577" s="28" t="s">
        <v>77</v>
      </c>
      <c r="O3577" s="26" t="s">
        <v>77</v>
      </c>
    </row>
    <row r="3578">
      <c r="A3578" s="52" t="s">
        <v>77</v>
      </c>
      <c r="B3578" s="28" t="s">
        <v>77</v>
      </c>
      <c r="C3578" s="28" t="s">
        <v>77</v>
      </c>
      <c r="D3578" s="28" t="s">
        <v>77</v>
      </c>
      <c r="E3578" s="28" t="s">
        <v>77</v>
      </c>
      <c r="F3578" s="28" t="s">
        <v>77</v>
      </c>
      <c r="G3578" s="28" t="s">
        <v>77</v>
      </c>
      <c r="I3578" s="26" t="s">
        <v>77</v>
      </c>
      <c r="J3578" s="26" t="s">
        <v>77</v>
      </c>
      <c r="K3578" s="18"/>
      <c r="L3578" s="26" t="s">
        <v>77</v>
      </c>
      <c r="M3578" s="6" t="s">
        <v>77</v>
      </c>
      <c r="N3578" s="28" t="s">
        <v>77</v>
      </c>
      <c r="O3578" s="26" t="s">
        <v>77</v>
      </c>
    </row>
    <row r="3579">
      <c r="A3579" s="52" t="s">
        <v>77</v>
      </c>
      <c r="B3579" s="28" t="s">
        <v>77</v>
      </c>
      <c r="C3579" s="28" t="s">
        <v>77</v>
      </c>
      <c r="D3579" s="28" t="s">
        <v>77</v>
      </c>
      <c r="E3579" s="28" t="s">
        <v>77</v>
      </c>
      <c r="F3579" s="28" t="s">
        <v>77</v>
      </c>
      <c r="G3579" s="28" t="s">
        <v>77</v>
      </c>
      <c r="I3579" s="26" t="s">
        <v>77</v>
      </c>
      <c r="J3579" s="26" t="s">
        <v>77</v>
      </c>
      <c r="K3579" s="18"/>
      <c r="L3579" s="26" t="s">
        <v>77</v>
      </c>
      <c r="M3579" s="6" t="s">
        <v>77</v>
      </c>
      <c r="N3579" s="28" t="s">
        <v>77</v>
      </c>
      <c r="O3579" s="26" t="s">
        <v>77</v>
      </c>
    </row>
    <row r="3580">
      <c r="A3580" s="52" t="s">
        <v>77</v>
      </c>
      <c r="B3580" s="28" t="s">
        <v>77</v>
      </c>
      <c r="C3580" s="28" t="s">
        <v>77</v>
      </c>
      <c r="D3580" s="28" t="s">
        <v>77</v>
      </c>
      <c r="E3580" s="28" t="s">
        <v>77</v>
      </c>
      <c r="F3580" s="28" t="s">
        <v>77</v>
      </c>
      <c r="G3580" s="28" t="s">
        <v>77</v>
      </c>
      <c r="I3580" s="26" t="s">
        <v>77</v>
      </c>
      <c r="J3580" s="26" t="s">
        <v>77</v>
      </c>
      <c r="K3580" s="18"/>
      <c r="L3580" s="26" t="s">
        <v>77</v>
      </c>
      <c r="M3580" s="6" t="s">
        <v>77</v>
      </c>
      <c r="N3580" s="28" t="s">
        <v>77</v>
      </c>
      <c r="O3580" s="26" t="s">
        <v>77</v>
      </c>
    </row>
    <row r="3581">
      <c r="A3581" s="52" t="s">
        <v>77</v>
      </c>
      <c r="B3581" s="28" t="s">
        <v>77</v>
      </c>
      <c r="C3581" s="28" t="s">
        <v>77</v>
      </c>
      <c r="D3581" s="28" t="s">
        <v>77</v>
      </c>
      <c r="E3581" s="28" t="s">
        <v>77</v>
      </c>
      <c r="F3581" s="28" t="s">
        <v>77</v>
      </c>
      <c r="G3581" s="28" t="s">
        <v>77</v>
      </c>
      <c r="I3581" s="26" t="s">
        <v>77</v>
      </c>
      <c r="J3581" s="26" t="s">
        <v>77</v>
      </c>
      <c r="K3581" s="18"/>
      <c r="L3581" s="26" t="s">
        <v>77</v>
      </c>
      <c r="M3581" s="6" t="s">
        <v>77</v>
      </c>
      <c r="N3581" s="28" t="s">
        <v>77</v>
      </c>
      <c r="O3581" s="26" t="s">
        <v>77</v>
      </c>
    </row>
    <row r="3582">
      <c r="A3582" s="52" t="s">
        <v>77</v>
      </c>
      <c r="B3582" s="28" t="s">
        <v>77</v>
      </c>
      <c r="C3582" s="28" t="s">
        <v>77</v>
      </c>
      <c r="D3582" s="28" t="s">
        <v>77</v>
      </c>
      <c r="E3582" s="28" t="s">
        <v>77</v>
      </c>
      <c r="F3582" s="28" t="s">
        <v>77</v>
      </c>
      <c r="G3582" s="28" t="s">
        <v>77</v>
      </c>
      <c r="I3582" s="26" t="s">
        <v>77</v>
      </c>
      <c r="J3582" s="26" t="s">
        <v>77</v>
      </c>
      <c r="K3582" s="18"/>
      <c r="L3582" s="26" t="s">
        <v>77</v>
      </c>
      <c r="M3582" s="6" t="s">
        <v>77</v>
      </c>
      <c r="N3582" s="28" t="s">
        <v>77</v>
      </c>
      <c r="O3582" s="26" t="s">
        <v>77</v>
      </c>
    </row>
    <row r="3583">
      <c r="A3583" s="52" t="s">
        <v>77</v>
      </c>
      <c r="B3583" s="28" t="s">
        <v>77</v>
      </c>
      <c r="C3583" s="28" t="s">
        <v>77</v>
      </c>
      <c r="D3583" s="28" t="s">
        <v>77</v>
      </c>
      <c r="E3583" s="28" t="s">
        <v>77</v>
      </c>
      <c r="F3583" s="28" t="s">
        <v>77</v>
      </c>
      <c r="G3583" s="28" t="s">
        <v>77</v>
      </c>
      <c r="I3583" s="26" t="s">
        <v>77</v>
      </c>
      <c r="J3583" s="26" t="s">
        <v>77</v>
      </c>
      <c r="K3583" s="18"/>
      <c r="L3583" s="26" t="s">
        <v>77</v>
      </c>
      <c r="M3583" s="6" t="s">
        <v>77</v>
      </c>
      <c r="N3583" s="28" t="s">
        <v>77</v>
      </c>
      <c r="O3583" s="26" t="s">
        <v>77</v>
      </c>
    </row>
    <row r="3584">
      <c r="A3584" s="52" t="s">
        <v>77</v>
      </c>
      <c r="B3584" s="28" t="s">
        <v>77</v>
      </c>
      <c r="C3584" s="28" t="s">
        <v>77</v>
      </c>
      <c r="D3584" s="28" t="s">
        <v>77</v>
      </c>
      <c r="E3584" s="28" t="s">
        <v>77</v>
      </c>
      <c r="F3584" s="28" t="s">
        <v>77</v>
      </c>
      <c r="G3584" s="28" t="s">
        <v>77</v>
      </c>
      <c r="I3584" s="26" t="s">
        <v>77</v>
      </c>
      <c r="J3584" s="26" t="s">
        <v>77</v>
      </c>
      <c r="K3584" s="18"/>
      <c r="L3584" s="26" t="s">
        <v>77</v>
      </c>
      <c r="M3584" s="6" t="s">
        <v>77</v>
      </c>
      <c r="N3584" s="28" t="s">
        <v>77</v>
      </c>
      <c r="O3584" s="26" t="s">
        <v>77</v>
      </c>
    </row>
    <row r="3585">
      <c r="A3585" s="52" t="s">
        <v>77</v>
      </c>
      <c r="B3585" s="28" t="s">
        <v>77</v>
      </c>
      <c r="C3585" s="28" t="s">
        <v>77</v>
      </c>
      <c r="D3585" s="28" t="s">
        <v>77</v>
      </c>
      <c r="E3585" s="28" t="s">
        <v>77</v>
      </c>
      <c r="F3585" s="28" t="s">
        <v>77</v>
      </c>
      <c r="G3585" s="28" t="s">
        <v>77</v>
      </c>
      <c r="I3585" s="26" t="s">
        <v>77</v>
      </c>
      <c r="J3585" s="26" t="s">
        <v>77</v>
      </c>
      <c r="K3585" s="18"/>
      <c r="L3585" s="26" t="s">
        <v>77</v>
      </c>
      <c r="M3585" s="6" t="s">
        <v>77</v>
      </c>
      <c r="N3585" s="28" t="s">
        <v>77</v>
      </c>
      <c r="O3585" s="26" t="s">
        <v>77</v>
      </c>
    </row>
    <row r="3586">
      <c r="A3586" s="52" t="s">
        <v>77</v>
      </c>
      <c r="B3586" s="28" t="s">
        <v>77</v>
      </c>
      <c r="C3586" s="28" t="s">
        <v>77</v>
      </c>
      <c r="D3586" s="28" t="s">
        <v>77</v>
      </c>
      <c r="E3586" s="28" t="s">
        <v>77</v>
      </c>
      <c r="F3586" s="28" t="s">
        <v>77</v>
      </c>
      <c r="G3586" s="28" t="s">
        <v>77</v>
      </c>
      <c r="I3586" s="26" t="s">
        <v>77</v>
      </c>
      <c r="J3586" s="26" t="s">
        <v>77</v>
      </c>
      <c r="K3586" s="18"/>
      <c r="L3586" s="26" t="s">
        <v>77</v>
      </c>
      <c r="M3586" s="6" t="s">
        <v>77</v>
      </c>
      <c r="N3586" s="28" t="s">
        <v>77</v>
      </c>
      <c r="O3586" s="26" t="s">
        <v>77</v>
      </c>
    </row>
    <row r="3587">
      <c r="A3587" s="52" t="s">
        <v>77</v>
      </c>
      <c r="B3587" s="28" t="s">
        <v>77</v>
      </c>
      <c r="C3587" s="28" t="s">
        <v>77</v>
      </c>
      <c r="D3587" s="28" t="s">
        <v>77</v>
      </c>
      <c r="E3587" s="28" t="s">
        <v>77</v>
      </c>
      <c r="F3587" s="28" t="s">
        <v>77</v>
      </c>
      <c r="G3587" s="28" t="s">
        <v>77</v>
      </c>
      <c r="I3587" s="26" t="s">
        <v>77</v>
      </c>
      <c r="J3587" s="26" t="s">
        <v>77</v>
      </c>
      <c r="K3587" s="18"/>
      <c r="L3587" s="26" t="s">
        <v>77</v>
      </c>
      <c r="M3587" s="6" t="s">
        <v>77</v>
      </c>
      <c r="N3587" s="28" t="s">
        <v>77</v>
      </c>
      <c r="O3587" s="26" t="s">
        <v>77</v>
      </c>
    </row>
    <row r="3588">
      <c r="A3588" s="52" t="s">
        <v>77</v>
      </c>
      <c r="B3588" s="28" t="s">
        <v>77</v>
      </c>
      <c r="C3588" s="28" t="s">
        <v>77</v>
      </c>
      <c r="D3588" s="28" t="s">
        <v>77</v>
      </c>
      <c r="E3588" s="28" t="s">
        <v>77</v>
      </c>
      <c r="F3588" s="28" t="s">
        <v>77</v>
      </c>
      <c r="G3588" s="28" t="s">
        <v>77</v>
      </c>
      <c r="I3588" s="26" t="s">
        <v>77</v>
      </c>
      <c r="J3588" s="26" t="s">
        <v>77</v>
      </c>
      <c r="K3588" s="18"/>
      <c r="L3588" s="26" t="s">
        <v>77</v>
      </c>
      <c r="M3588" s="6" t="s">
        <v>77</v>
      </c>
      <c r="N3588" s="28" t="s">
        <v>77</v>
      </c>
      <c r="O3588" s="26" t="s">
        <v>77</v>
      </c>
    </row>
    <row r="3589">
      <c r="A3589" s="52" t="s">
        <v>77</v>
      </c>
      <c r="B3589" s="28" t="s">
        <v>77</v>
      </c>
      <c r="C3589" s="28" t="s">
        <v>77</v>
      </c>
      <c r="D3589" s="28" t="s">
        <v>77</v>
      </c>
      <c r="E3589" s="28" t="s">
        <v>77</v>
      </c>
      <c r="F3589" s="28" t="s">
        <v>77</v>
      </c>
      <c r="G3589" s="28" t="s">
        <v>77</v>
      </c>
      <c r="I3589" s="26" t="s">
        <v>77</v>
      </c>
      <c r="J3589" s="26" t="s">
        <v>77</v>
      </c>
      <c r="K3589" s="18"/>
      <c r="L3589" s="26" t="s">
        <v>77</v>
      </c>
      <c r="M3589" s="6" t="s">
        <v>77</v>
      </c>
      <c r="N3589" s="28" t="s">
        <v>77</v>
      </c>
      <c r="O3589" s="26" t="s">
        <v>77</v>
      </c>
    </row>
    <row r="3590">
      <c r="A3590" s="52" t="s">
        <v>77</v>
      </c>
      <c r="B3590" s="28" t="s">
        <v>77</v>
      </c>
      <c r="C3590" s="28" t="s">
        <v>77</v>
      </c>
      <c r="D3590" s="28" t="s">
        <v>77</v>
      </c>
      <c r="E3590" s="28" t="s">
        <v>77</v>
      </c>
      <c r="F3590" s="28" t="s">
        <v>77</v>
      </c>
      <c r="G3590" s="28" t="s">
        <v>77</v>
      </c>
      <c r="I3590" s="26" t="s">
        <v>77</v>
      </c>
      <c r="J3590" s="26" t="s">
        <v>77</v>
      </c>
      <c r="K3590" s="18"/>
      <c r="L3590" s="26" t="s">
        <v>77</v>
      </c>
      <c r="M3590" s="6" t="s">
        <v>77</v>
      </c>
      <c r="N3590" s="28" t="s">
        <v>77</v>
      </c>
      <c r="O3590" s="26" t="s">
        <v>77</v>
      </c>
    </row>
    <row r="3591">
      <c r="A3591" s="52" t="s">
        <v>77</v>
      </c>
      <c r="B3591" s="28" t="s">
        <v>77</v>
      </c>
      <c r="C3591" s="28" t="s">
        <v>77</v>
      </c>
      <c r="D3591" s="28" t="s">
        <v>77</v>
      </c>
      <c r="E3591" s="28" t="s">
        <v>77</v>
      </c>
      <c r="F3591" s="28" t="s">
        <v>77</v>
      </c>
      <c r="G3591" s="28" t="s">
        <v>77</v>
      </c>
      <c r="I3591" s="26" t="s">
        <v>77</v>
      </c>
      <c r="J3591" s="26" t="s">
        <v>77</v>
      </c>
      <c r="K3591" s="18"/>
      <c r="L3591" s="26" t="s">
        <v>77</v>
      </c>
      <c r="M3591" s="6" t="s">
        <v>77</v>
      </c>
      <c r="N3591" s="28" t="s">
        <v>77</v>
      </c>
      <c r="O3591" s="26" t="s">
        <v>77</v>
      </c>
    </row>
    <row r="3592">
      <c r="A3592" s="52" t="s">
        <v>77</v>
      </c>
      <c r="B3592" s="28" t="s">
        <v>77</v>
      </c>
      <c r="C3592" s="28" t="s">
        <v>77</v>
      </c>
      <c r="D3592" s="28" t="s">
        <v>77</v>
      </c>
      <c r="E3592" s="28" t="s">
        <v>77</v>
      </c>
      <c r="F3592" s="28" t="s">
        <v>77</v>
      </c>
      <c r="G3592" s="28" t="s">
        <v>77</v>
      </c>
      <c r="I3592" s="26" t="s">
        <v>77</v>
      </c>
      <c r="J3592" s="26" t="s">
        <v>77</v>
      </c>
      <c r="K3592" s="18"/>
      <c r="L3592" s="26" t="s">
        <v>77</v>
      </c>
      <c r="M3592" s="6" t="s">
        <v>77</v>
      </c>
      <c r="N3592" s="28" t="s">
        <v>77</v>
      </c>
      <c r="O3592" s="26" t="s">
        <v>77</v>
      </c>
    </row>
    <row r="3593">
      <c r="A3593" s="52" t="s">
        <v>77</v>
      </c>
      <c r="B3593" s="28" t="s">
        <v>77</v>
      </c>
      <c r="C3593" s="28" t="s">
        <v>77</v>
      </c>
      <c r="D3593" s="28" t="s">
        <v>77</v>
      </c>
      <c r="E3593" s="28" t="s">
        <v>77</v>
      </c>
      <c r="F3593" s="28" t="s">
        <v>77</v>
      </c>
      <c r="G3593" s="28" t="s">
        <v>77</v>
      </c>
      <c r="I3593" s="26" t="s">
        <v>77</v>
      </c>
      <c r="J3593" s="26" t="s">
        <v>77</v>
      </c>
      <c r="K3593" s="18"/>
      <c r="L3593" s="26" t="s">
        <v>77</v>
      </c>
      <c r="M3593" s="6" t="s">
        <v>77</v>
      </c>
      <c r="N3593" s="28" t="s">
        <v>77</v>
      </c>
      <c r="O3593" s="26" t="s">
        <v>77</v>
      </c>
    </row>
    <row r="3594">
      <c r="A3594" s="52" t="s">
        <v>77</v>
      </c>
      <c r="B3594" s="28" t="s">
        <v>77</v>
      </c>
      <c r="C3594" s="28" t="s">
        <v>77</v>
      </c>
      <c r="D3594" s="28" t="s">
        <v>77</v>
      </c>
      <c r="E3594" s="28" t="s">
        <v>77</v>
      </c>
      <c r="F3594" s="28" t="s">
        <v>77</v>
      </c>
      <c r="G3594" s="28" t="s">
        <v>77</v>
      </c>
      <c r="I3594" s="26" t="s">
        <v>77</v>
      </c>
      <c r="J3594" s="26" t="s">
        <v>77</v>
      </c>
      <c r="K3594" s="18"/>
      <c r="L3594" s="26" t="s">
        <v>77</v>
      </c>
      <c r="M3594" s="6" t="s">
        <v>77</v>
      </c>
      <c r="N3594" s="28" t="s">
        <v>77</v>
      </c>
      <c r="O3594" s="26" t="s">
        <v>77</v>
      </c>
    </row>
    <row r="3595">
      <c r="A3595" s="52" t="s">
        <v>77</v>
      </c>
      <c r="B3595" s="28" t="s">
        <v>77</v>
      </c>
      <c r="C3595" s="28" t="s">
        <v>77</v>
      </c>
      <c r="D3595" s="28" t="s">
        <v>77</v>
      </c>
      <c r="E3595" s="28" t="s">
        <v>77</v>
      </c>
      <c r="F3595" s="28" t="s">
        <v>77</v>
      </c>
      <c r="G3595" s="28" t="s">
        <v>77</v>
      </c>
      <c r="I3595" s="26" t="s">
        <v>77</v>
      </c>
      <c r="J3595" s="26" t="s">
        <v>77</v>
      </c>
      <c r="K3595" s="18"/>
      <c r="L3595" s="26" t="s">
        <v>77</v>
      </c>
      <c r="M3595" s="6" t="s">
        <v>77</v>
      </c>
      <c r="N3595" s="28" t="s">
        <v>77</v>
      </c>
      <c r="O3595" s="26" t="s">
        <v>77</v>
      </c>
    </row>
    <row r="3596">
      <c r="A3596" s="52" t="s">
        <v>77</v>
      </c>
      <c r="B3596" s="28" t="s">
        <v>77</v>
      </c>
      <c r="C3596" s="28" t="s">
        <v>77</v>
      </c>
      <c r="D3596" s="28" t="s">
        <v>77</v>
      </c>
      <c r="E3596" s="28" t="s">
        <v>77</v>
      </c>
      <c r="F3596" s="28" t="s">
        <v>77</v>
      </c>
      <c r="G3596" s="28" t="s">
        <v>77</v>
      </c>
      <c r="I3596" s="26" t="s">
        <v>77</v>
      </c>
      <c r="J3596" s="26" t="s">
        <v>77</v>
      </c>
      <c r="K3596" s="18"/>
      <c r="L3596" s="26" t="s">
        <v>77</v>
      </c>
      <c r="M3596" s="6" t="s">
        <v>77</v>
      </c>
      <c r="N3596" s="28" t="s">
        <v>77</v>
      </c>
      <c r="O3596" s="26" t="s">
        <v>77</v>
      </c>
    </row>
    <row r="3597">
      <c r="A3597" s="52" t="s">
        <v>77</v>
      </c>
      <c r="B3597" s="28" t="s">
        <v>77</v>
      </c>
      <c r="C3597" s="28" t="s">
        <v>77</v>
      </c>
      <c r="D3597" s="28" t="s">
        <v>77</v>
      </c>
      <c r="E3597" s="28" t="s">
        <v>77</v>
      </c>
      <c r="F3597" s="28" t="s">
        <v>77</v>
      </c>
      <c r="G3597" s="28" t="s">
        <v>77</v>
      </c>
      <c r="I3597" s="26" t="s">
        <v>77</v>
      </c>
      <c r="J3597" s="26" t="s">
        <v>77</v>
      </c>
      <c r="K3597" s="18"/>
      <c r="L3597" s="26" t="s">
        <v>77</v>
      </c>
      <c r="M3597" s="6" t="s">
        <v>77</v>
      </c>
      <c r="N3597" s="28" t="s">
        <v>77</v>
      </c>
      <c r="O3597" s="26" t="s">
        <v>77</v>
      </c>
    </row>
    <row r="3598">
      <c r="A3598" s="52" t="s">
        <v>77</v>
      </c>
      <c r="B3598" s="28" t="s">
        <v>77</v>
      </c>
      <c r="C3598" s="28" t="s">
        <v>77</v>
      </c>
      <c r="D3598" s="28" t="s">
        <v>77</v>
      </c>
      <c r="E3598" s="28" t="s">
        <v>77</v>
      </c>
      <c r="F3598" s="28" t="s">
        <v>77</v>
      </c>
      <c r="G3598" s="28" t="s">
        <v>77</v>
      </c>
      <c r="I3598" s="26" t="s">
        <v>77</v>
      </c>
      <c r="J3598" s="26" t="s">
        <v>77</v>
      </c>
      <c r="K3598" s="18"/>
      <c r="L3598" s="26" t="s">
        <v>77</v>
      </c>
      <c r="M3598" s="6" t="s">
        <v>77</v>
      </c>
      <c r="N3598" s="28" t="s">
        <v>77</v>
      </c>
      <c r="O3598" s="26" t="s">
        <v>77</v>
      </c>
    </row>
    <row r="3599">
      <c r="A3599" s="52" t="s">
        <v>77</v>
      </c>
      <c r="B3599" s="28" t="s">
        <v>77</v>
      </c>
      <c r="C3599" s="28" t="s">
        <v>77</v>
      </c>
      <c r="D3599" s="28" t="s">
        <v>77</v>
      </c>
      <c r="E3599" s="28" t="s">
        <v>77</v>
      </c>
      <c r="F3599" s="28" t="s">
        <v>77</v>
      </c>
      <c r="G3599" s="28" t="s">
        <v>77</v>
      </c>
      <c r="I3599" s="26" t="s">
        <v>77</v>
      </c>
      <c r="J3599" s="26" t="s">
        <v>77</v>
      </c>
      <c r="K3599" s="18"/>
      <c r="L3599" s="26" t="s">
        <v>77</v>
      </c>
      <c r="M3599" s="6" t="s">
        <v>77</v>
      </c>
      <c r="N3599" s="28" t="s">
        <v>77</v>
      </c>
      <c r="O3599" s="26" t="s">
        <v>77</v>
      </c>
    </row>
    <row r="3600">
      <c r="A3600" s="52" t="s">
        <v>77</v>
      </c>
      <c r="B3600" s="28" t="s">
        <v>77</v>
      </c>
      <c r="C3600" s="28" t="s">
        <v>77</v>
      </c>
      <c r="D3600" s="28" t="s">
        <v>77</v>
      </c>
      <c r="E3600" s="28" t="s">
        <v>77</v>
      </c>
      <c r="F3600" s="28" t="s">
        <v>77</v>
      </c>
      <c r="G3600" s="28" t="s">
        <v>77</v>
      </c>
      <c r="I3600" s="26" t="s">
        <v>77</v>
      </c>
      <c r="J3600" s="26" t="s">
        <v>77</v>
      </c>
      <c r="K3600" s="18"/>
      <c r="L3600" s="26" t="s">
        <v>77</v>
      </c>
      <c r="M3600" s="6" t="s">
        <v>77</v>
      </c>
      <c r="N3600" s="28" t="s">
        <v>77</v>
      </c>
      <c r="O3600" s="26" t="s">
        <v>77</v>
      </c>
    </row>
    <row r="3601">
      <c r="A3601" s="52" t="s">
        <v>77</v>
      </c>
      <c r="B3601" s="28" t="s">
        <v>77</v>
      </c>
      <c r="C3601" s="28" t="s">
        <v>77</v>
      </c>
      <c r="D3601" s="28" t="s">
        <v>77</v>
      </c>
      <c r="E3601" s="28" t="s">
        <v>77</v>
      </c>
      <c r="F3601" s="28" t="s">
        <v>77</v>
      </c>
      <c r="G3601" s="28" t="s">
        <v>77</v>
      </c>
      <c r="I3601" s="26" t="s">
        <v>77</v>
      </c>
      <c r="J3601" s="26" t="s">
        <v>77</v>
      </c>
      <c r="K3601" s="18"/>
      <c r="L3601" s="26" t="s">
        <v>77</v>
      </c>
      <c r="M3601" s="6" t="s">
        <v>77</v>
      </c>
      <c r="N3601" s="28" t="s">
        <v>77</v>
      </c>
      <c r="O3601" s="26" t="s">
        <v>77</v>
      </c>
    </row>
    <row r="3602">
      <c r="A3602" s="52" t="s">
        <v>77</v>
      </c>
      <c r="B3602" s="28" t="s">
        <v>77</v>
      </c>
      <c r="C3602" s="28" t="s">
        <v>77</v>
      </c>
      <c r="D3602" s="28" t="s">
        <v>77</v>
      </c>
      <c r="E3602" s="28" t="s">
        <v>77</v>
      </c>
      <c r="F3602" s="28" t="s">
        <v>77</v>
      </c>
      <c r="G3602" s="28" t="s">
        <v>77</v>
      </c>
      <c r="I3602" s="26" t="s">
        <v>77</v>
      </c>
      <c r="J3602" s="26" t="s">
        <v>77</v>
      </c>
      <c r="K3602" s="18"/>
      <c r="L3602" s="26" t="s">
        <v>77</v>
      </c>
      <c r="M3602" s="6" t="s">
        <v>77</v>
      </c>
      <c r="N3602" s="28" t="s">
        <v>77</v>
      </c>
      <c r="O3602" s="26" t="s">
        <v>77</v>
      </c>
    </row>
    <row r="3603">
      <c r="A3603" s="52" t="s">
        <v>77</v>
      </c>
      <c r="B3603" s="28" t="s">
        <v>77</v>
      </c>
      <c r="C3603" s="28" t="s">
        <v>77</v>
      </c>
      <c r="D3603" s="28" t="s">
        <v>77</v>
      </c>
      <c r="E3603" s="28" t="s">
        <v>77</v>
      </c>
      <c r="F3603" s="28" t="s">
        <v>77</v>
      </c>
      <c r="G3603" s="28" t="s">
        <v>77</v>
      </c>
      <c r="I3603" s="26" t="s">
        <v>77</v>
      </c>
      <c r="J3603" s="26" t="s">
        <v>77</v>
      </c>
      <c r="K3603" s="18"/>
      <c r="L3603" s="26" t="s">
        <v>77</v>
      </c>
      <c r="M3603" s="6" t="s">
        <v>77</v>
      </c>
      <c r="N3603" s="28" t="s">
        <v>77</v>
      </c>
      <c r="O3603" s="26" t="s">
        <v>77</v>
      </c>
    </row>
    <row r="3604">
      <c r="A3604" s="52" t="s">
        <v>77</v>
      </c>
      <c r="B3604" s="28" t="s">
        <v>77</v>
      </c>
      <c r="C3604" s="28" t="s">
        <v>77</v>
      </c>
      <c r="D3604" s="28" t="s">
        <v>77</v>
      </c>
      <c r="E3604" s="28" t="s">
        <v>77</v>
      </c>
      <c r="F3604" s="28" t="s">
        <v>77</v>
      </c>
      <c r="G3604" s="28" t="s">
        <v>77</v>
      </c>
      <c r="I3604" s="26" t="s">
        <v>77</v>
      </c>
      <c r="J3604" s="26" t="s">
        <v>77</v>
      </c>
      <c r="K3604" s="18"/>
      <c r="L3604" s="26" t="s">
        <v>77</v>
      </c>
      <c r="M3604" s="6" t="s">
        <v>77</v>
      </c>
      <c r="N3604" s="28" t="s">
        <v>77</v>
      </c>
      <c r="O3604" s="26" t="s">
        <v>77</v>
      </c>
    </row>
    <row r="3605">
      <c r="A3605" s="52" t="s">
        <v>77</v>
      </c>
      <c r="B3605" s="28" t="s">
        <v>77</v>
      </c>
      <c r="C3605" s="28" t="s">
        <v>77</v>
      </c>
      <c r="D3605" s="28" t="s">
        <v>77</v>
      </c>
      <c r="E3605" s="28" t="s">
        <v>77</v>
      </c>
      <c r="F3605" s="28" t="s">
        <v>77</v>
      </c>
      <c r="G3605" s="28" t="s">
        <v>77</v>
      </c>
      <c r="I3605" s="26" t="s">
        <v>77</v>
      </c>
      <c r="J3605" s="26" t="s">
        <v>77</v>
      </c>
      <c r="K3605" s="18"/>
      <c r="L3605" s="26" t="s">
        <v>77</v>
      </c>
      <c r="M3605" s="6" t="s">
        <v>77</v>
      </c>
      <c r="N3605" s="28" t="s">
        <v>77</v>
      </c>
      <c r="O3605" s="26" t="s">
        <v>77</v>
      </c>
    </row>
    <row r="3606">
      <c r="A3606" s="52" t="s">
        <v>77</v>
      </c>
      <c r="B3606" s="28" t="s">
        <v>77</v>
      </c>
      <c r="C3606" s="28" t="s">
        <v>77</v>
      </c>
      <c r="D3606" s="28" t="s">
        <v>77</v>
      </c>
      <c r="E3606" s="28" t="s">
        <v>77</v>
      </c>
      <c r="F3606" s="28" t="s">
        <v>77</v>
      </c>
      <c r="G3606" s="28" t="s">
        <v>77</v>
      </c>
      <c r="I3606" s="26" t="s">
        <v>77</v>
      </c>
      <c r="J3606" s="26" t="s">
        <v>77</v>
      </c>
      <c r="K3606" s="18"/>
      <c r="L3606" s="26" t="s">
        <v>77</v>
      </c>
      <c r="M3606" s="6" t="s">
        <v>77</v>
      </c>
      <c r="N3606" s="28" t="s">
        <v>77</v>
      </c>
      <c r="O3606" s="26" t="s">
        <v>77</v>
      </c>
    </row>
    <row r="3607">
      <c r="A3607" s="52" t="s">
        <v>77</v>
      </c>
      <c r="B3607" s="28" t="s">
        <v>77</v>
      </c>
      <c r="C3607" s="28" t="s">
        <v>77</v>
      </c>
      <c r="D3607" s="28" t="s">
        <v>77</v>
      </c>
      <c r="E3607" s="28" t="s">
        <v>77</v>
      </c>
      <c r="F3607" s="28" t="s">
        <v>77</v>
      </c>
      <c r="G3607" s="28" t="s">
        <v>77</v>
      </c>
      <c r="I3607" s="26" t="s">
        <v>77</v>
      </c>
      <c r="J3607" s="26" t="s">
        <v>77</v>
      </c>
      <c r="K3607" s="18"/>
      <c r="L3607" s="26" t="s">
        <v>77</v>
      </c>
      <c r="M3607" s="6" t="s">
        <v>77</v>
      </c>
      <c r="N3607" s="28" t="s">
        <v>77</v>
      </c>
      <c r="O3607" s="26" t="s">
        <v>77</v>
      </c>
    </row>
    <row r="3608">
      <c r="A3608" s="52" t="s">
        <v>77</v>
      </c>
      <c r="B3608" s="28" t="s">
        <v>77</v>
      </c>
      <c r="C3608" s="28" t="s">
        <v>77</v>
      </c>
      <c r="D3608" s="28" t="s">
        <v>77</v>
      </c>
      <c r="E3608" s="28" t="s">
        <v>77</v>
      </c>
      <c r="F3608" s="28" t="s">
        <v>77</v>
      </c>
      <c r="G3608" s="28" t="s">
        <v>77</v>
      </c>
      <c r="I3608" s="26" t="s">
        <v>77</v>
      </c>
      <c r="J3608" s="26" t="s">
        <v>77</v>
      </c>
      <c r="K3608" s="18"/>
      <c r="L3608" s="26" t="s">
        <v>77</v>
      </c>
      <c r="M3608" s="6" t="s">
        <v>77</v>
      </c>
      <c r="N3608" s="28" t="s">
        <v>77</v>
      </c>
      <c r="O3608" s="26" t="s">
        <v>77</v>
      </c>
    </row>
    <row r="3609">
      <c r="A3609" s="52" t="s">
        <v>77</v>
      </c>
      <c r="B3609" s="28" t="s">
        <v>77</v>
      </c>
      <c r="C3609" s="28" t="s">
        <v>77</v>
      </c>
      <c r="D3609" s="28" t="s">
        <v>77</v>
      </c>
      <c r="E3609" s="28" t="s">
        <v>77</v>
      </c>
      <c r="F3609" s="28" t="s">
        <v>77</v>
      </c>
      <c r="G3609" s="28" t="s">
        <v>77</v>
      </c>
      <c r="I3609" s="26" t="s">
        <v>77</v>
      </c>
      <c r="J3609" s="26" t="s">
        <v>77</v>
      </c>
      <c r="K3609" s="18"/>
      <c r="L3609" s="26" t="s">
        <v>77</v>
      </c>
      <c r="M3609" s="6" t="s">
        <v>77</v>
      </c>
      <c r="N3609" s="28" t="s">
        <v>77</v>
      </c>
      <c r="O3609" s="26" t="s">
        <v>77</v>
      </c>
    </row>
    <row r="3610">
      <c r="A3610" s="52" t="s">
        <v>77</v>
      </c>
      <c r="B3610" s="28" t="s">
        <v>77</v>
      </c>
      <c r="C3610" s="28" t="s">
        <v>77</v>
      </c>
      <c r="D3610" s="28" t="s">
        <v>77</v>
      </c>
      <c r="E3610" s="28" t="s">
        <v>77</v>
      </c>
      <c r="F3610" s="28" t="s">
        <v>77</v>
      </c>
      <c r="G3610" s="28" t="s">
        <v>77</v>
      </c>
      <c r="I3610" s="26" t="s">
        <v>77</v>
      </c>
      <c r="J3610" s="26" t="s">
        <v>77</v>
      </c>
      <c r="K3610" s="18"/>
      <c r="L3610" s="26" t="s">
        <v>77</v>
      </c>
      <c r="M3610" s="6" t="s">
        <v>77</v>
      </c>
      <c r="N3610" s="28" t="s">
        <v>77</v>
      </c>
      <c r="O3610" s="26" t="s">
        <v>77</v>
      </c>
    </row>
    <row r="3611">
      <c r="A3611" s="52" t="s">
        <v>77</v>
      </c>
      <c r="B3611" s="28" t="s">
        <v>77</v>
      </c>
      <c r="C3611" s="28" t="s">
        <v>77</v>
      </c>
      <c r="D3611" s="28" t="s">
        <v>77</v>
      </c>
      <c r="E3611" s="28" t="s">
        <v>77</v>
      </c>
      <c r="F3611" s="28" t="s">
        <v>77</v>
      </c>
      <c r="G3611" s="28" t="s">
        <v>77</v>
      </c>
      <c r="I3611" s="26" t="s">
        <v>77</v>
      </c>
      <c r="J3611" s="26" t="s">
        <v>77</v>
      </c>
      <c r="K3611" s="18"/>
      <c r="L3611" s="26" t="s">
        <v>77</v>
      </c>
      <c r="M3611" s="6" t="s">
        <v>77</v>
      </c>
      <c r="N3611" s="28" t="s">
        <v>77</v>
      </c>
      <c r="O3611" s="26" t="s">
        <v>77</v>
      </c>
    </row>
    <row r="3612">
      <c r="A3612" s="52" t="s">
        <v>77</v>
      </c>
      <c r="B3612" s="28" t="s">
        <v>77</v>
      </c>
      <c r="C3612" s="28" t="s">
        <v>77</v>
      </c>
      <c r="D3612" s="28" t="s">
        <v>77</v>
      </c>
      <c r="E3612" s="28" t="s">
        <v>77</v>
      </c>
      <c r="F3612" s="28" t="s">
        <v>77</v>
      </c>
      <c r="G3612" s="28" t="s">
        <v>77</v>
      </c>
      <c r="I3612" s="26" t="s">
        <v>77</v>
      </c>
      <c r="J3612" s="26" t="s">
        <v>77</v>
      </c>
      <c r="K3612" s="18"/>
      <c r="L3612" s="26" t="s">
        <v>77</v>
      </c>
      <c r="M3612" s="6" t="s">
        <v>77</v>
      </c>
      <c r="N3612" s="28" t="s">
        <v>77</v>
      </c>
      <c r="O3612" s="26" t="s">
        <v>77</v>
      </c>
    </row>
    <row r="3613">
      <c r="A3613" s="52" t="s">
        <v>77</v>
      </c>
      <c r="B3613" s="28" t="s">
        <v>77</v>
      </c>
      <c r="C3613" s="28" t="s">
        <v>77</v>
      </c>
      <c r="D3613" s="28" t="s">
        <v>77</v>
      </c>
      <c r="E3613" s="28" t="s">
        <v>77</v>
      </c>
      <c r="F3613" s="28" t="s">
        <v>77</v>
      </c>
      <c r="G3613" s="28" t="s">
        <v>77</v>
      </c>
      <c r="I3613" s="26" t="s">
        <v>77</v>
      </c>
      <c r="J3613" s="26" t="s">
        <v>77</v>
      </c>
      <c r="K3613" s="18"/>
      <c r="L3613" s="26" t="s">
        <v>77</v>
      </c>
      <c r="M3613" s="6" t="s">
        <v>77</v>
      </c>
      <c r="N3613" s="28" t="s">
        <v>77</v>
      </c>
      <c r="O3613" s="26" t="s">
        <v>77</v>
      </c>
    </row>
    <row r="3614">
      <c r="A3614" s="52" t="s">
        <v>77</v>
      </c>
      <c r="B3614" s="28" t="s">
        <v>77</v>
      </c>
      <c r="C3614" s="28" t="s">
        <v>77</v>
      </c>
      <c r="D3614" s="28" t="s">
        <v>77</v>
      </c>
      <c r="E3614" s="28" t="s">
        <v>77</v>
      </c>
      <c r="F3614" s="28" t="s">
        <v>77</v>
      </c>
      <c r="G3614" s="28" t="s">
        <v>77</v>
      </c>
      <c r="I3614" s="26" t="s">
        <v>77</v>
      </c>
      <c r="J3614" s="26" t="s">
        <v>77</v>
      </c>
      <c r="K3614" s="18"/>
      <c r="L3614" s="26" t="s">
        <v>77</v>
      </c>
      <c r="M3614" s="6" t="s">
        <v>77</v>
      </c>
      <c r="N3614" s="28" t="s">
        <v>77</v>
      </c>
      <c r="O3614" s="26" t="s">
        <v>77</v>
      </c>
    </row>
    <row r="3615">
      <c r="A3615" s="52" t="s">
        <v>77</v>
      </c>
      <c r="B3615" s="28" t="s">
        <v>77</v>
      </c>
      <c r="C3615" s="28" t="s">
        <v>77</v>
      </c>
      <c r="D3615" s="28" t="s">
        <v>77</v>
      </c>
      <c r="E3615" s="28" t="s">
        <v>77</v>
      </c>
      <c r="F3615" s="28" t="s">
        <v>77</v>
      </c>
      <c r="G3615" s="28" t="s">
        <v>77</v>
      </c>
      <c r="I3615" s="26" t="s">
        <v>77</v>
      </c>
      <c r="J3615" s="26" t="s">
        <v>77</v>
      </c>
      <c r="K3615" s="18"/>
      <c r="L3615" s="26" t="s">
        <v>77</v>
      </c>
      <c r="M3615" s="6" t="s">
        <v>77</v>
      </c>
      <c r="N3615" s="28" t="s">
        <v>77</v>
      </c>
      <c r="O3615" s="26" t="s">
        <v>77</v>
      </c>
    </row>
    <row r="3616">
      <c r="A3616" s="52" t="s">
        <v>77</v>
      </c>
      <c r="B3616" s="28" t="s">
        <v>77</v>
      </c>
      <c r="C3616" s="28" t="s">
        <v>77</v>
      </c>
      <c r="D3616" s="28" t="s">
        <v>77</v>
      </c>
      <c r="E3616" s="28" t="s">
        <v>77</v>
      </c>
      <c r="F3616" s="28" t="s">
        <v>77</v>
      </c>
      <c r="G3616" s="28" t="s">
        <v>77</v>
      </c>
      <c r="I3616" s="26" t="s">
        <v>77</v>
      </c>
      <c r="J3616" s="26" t="s">
        <v>77</v>
      </c>
      <c r="K3616" s="18"/>
      <c r="L3616" s="26" t="s">
        <v>77</v>
      </c>
      <c r="M3616" s="6" t="s">
        <v>77</v>
      </c>
      <c r="N3616" s="28" t="s">
        <v>77</v>
      </c>
      <c r="O3616" s="26" t="s">
        <v>77</v>
      </c>
    </row>
    <row r="3617">
      <c r="A3617" s="52" t="s">
        <v>77</v>
      </c>
      <c r="B3617" s="28" t="s">
        <v>77</v>
      </c>
      <c r="C3617" s="28" t="s">
        <v>77</v>
      </c>
      <c r="D3617" s="28" t="s">
        <v>77</v>
      </c>
      <c r="E3617" s="28" t="s">
        <v>77</v>
      </c>
      <c r="F3617" s="28" t="s">
        <v>77</v>
      </c>
      <c r="G3617" s="28" t="s">
        <v>77</v>
      </c>
      <c r="I3617" s="26" t="s">
        <v>77</v>
      </c>
      <c r="J3617" s="26" t="s">
        <v>77</v>
      </c>
      <c r="K3617" s="18"/>
      <c r="L3617" s="26" t="s">
        <v>77</v>
      </c>
      <c r="M3617" s="6" t="s">
        <v>77</v>
      </c>
      <c r="N3617" s="28" t="s">
        <v>77</v>
      </c>
      <c r="O3617" s="26" t="s">
        <v>77</v>
      </c>
    </row>
    <row r="3618">
      <c r="A3618" s="52" t="s">
        <v>77</v>
      </c>
      <c r="B3618" s="28" t="s">
        <v>77</v>
      </c>
      <c r="C3618" s="28" t="s">
        <v>77</v>
      </c>
      <c r="D3618" s="28" t="s">
        <v>77</v>
      </c>
      <c r="E3618" s="28" t="s">
        <v>77</v>
      </c>
      <c r="F3618" s="28" t="s">
        <v>77</v>
      </c>
      <c r="G3618" s="28" t="s">
        <v>77</v>
      </c>
      <c r="I3618" s="26" t="s">
        <v>77</v>
      </c>
      <c r="J3618" s="26" t="s">
        <v>77</v>
      </c>
      <c r="K3618" s="18"/>
      <c r="L3618" s="26" t="s">
        <v>77</v>
      </c>
      <c r="M3618" s="6" t="s">
        <v>77</v>
      </c>
      <c r="N3618" s="28" t="s">
        <v>77</v>
      </c>
      <c r="O3618" s="26" t="s">
        <v>77</v>
      </c>
    </row>
    <row r="3619">
      <c r="A3619" s="52" t="s">
        <v>77</v>
      </c>
      <c r="B3619" s="28" t="s">
        <v>77</v>
      </c>
      <c r="C3619" s="28" t="s">
        <v>77</v>
      </c>
      <c r="D3619" s="28" t="s">
        <v>77</v>
      </c>
      <c r="E3619" s="28" t="s">
        <v>77</v>
      </c>
      <c r="F3619" s="28" t="s">
        <v>77</v>
      </c>
      <c r="G3619" s="28" t="s">
        <v>77</v>
      </c>
      <c r="I3619" s="26" t="s">
        <v>77</v>
      </c>
      <c r="J3619" s="26" t="s">
        <v>77</v>
      </c>
      <c r="K3619" s="18"/>
      <c r="L3619" s="26" t="s">
        <v>77</v>
      </c>
      <c r="M3619" s="6" t="s">
        <v>77</v>
      </c>
      <c r="N3619" s="28" t="s">
        <v>77</v>
      </c>
      <c r="O3619" s="26" t="s">
        <v>77</v>
      </c>
    </row>
    <row r="3620">
      <c r="A3620" s="52" t="s">
        <v>77</v>
      </c>
      <c r="B3620" s="28" t="s">
        <v>77</v>
      </c>
      <c r="C3620" s="28" t="s">
        <v>77</v>
      </c>
      <c r="D3620" s="28" t="s">
        <v>77</v>
      </c>
      <c r="E3620" s="28" t="s">
        <v>77</v>
      </c>
      <c r="F3620" s="28" t="s">
        <v>77</v>
      </c>
      <c r="G3620" s="28" t="s">
        <v>77</v>
      </c>
      <c r="I3620" s="26" t="s">
        <v>77</v>
      </c>
      <c r="J3620" s="26" t="s">
        <v>77</v>
      </c>
      <c r="K3620" s="18"/>
      <c r="L3620" s="26" t="s">
        <v>77</v>
      </c>
      <c r="M3620" s="6" t="s">
        <v>77</v>
      </c>
      <c r="N3620" s="28" t="s">
        <v>77</v>
      </c>
      <c r="O3620" s="26" t="s">
        <v>77</v>
      </c>
    </row>
    <row r="3621">
      <c r="A3621" s="52" t="s">
        <v>77</v>
      </c>
      <c r="B3621" s="28" t="s">
        <v>77</v>
      </c>
      <c r="C3621" s="28" t="s">
        <v>77</v>
      </c>
      <c r="D3621" s="28" t="s">
        <v>77</v>
      </c>
      <c r="E3621" s="28" t="s">
        <v>77</v>
      </c>
      <c r="F3621" s="28" t="s">
        <v>77</v>
      </c>
      <c r="G3621" s="28" t="s">
        <v>77</v>
      </c>
      <c r="I3621" s="26" t="s">
        <v>77</v>
      </c>
      <c r="J3621" s="26" t="s">
        <v>77</v>
      </c>
      <c r="K3621" s="18"/>
      <c r="L3621" s="26" t="s">
        <v>77</v>
      </c>
      <c r="M3621" s="6" t="s">
        <v>77</v>
      </c>
      <c r="N3621" s="28" t="s">
        <v>77</v>
      </c>
      <c r="O3621" s="26" t="s">
        <v>77</v>
      </c>
    </row>
    <row r="3622">
      <c r="A3622" s="52" t="s">
        <v>77</v>
      </c>
      <c r="B3622" s="28" t="s">
        <v>77</v>
      </c>
      <c r="C3622" s="28" t="s">
        <v>77</v>
      </c>
      <c r="D3622" s="28" t="s">
        <v>77</v>
      </c>
      <c r="E3622" s="28" t="s">
        <v>77</v>
      </c>
      <c r="F3622" s="28" t="s">
        <v>77</v>
      </c>
      <c r="G3622" s="28" t="s">
        <v>77</v>
      </c>
      <c r="I3622" s="26" t="s">
        <v>77</v>
      </c>
      <c r="J3622" s="26" t="s">
        <v>77</v>
      </c>
      <c r="K3622" s="18"/>
      <c r="L3622" s="26" t="s">
        <v>77</v>
      </c>
      <c r="M3622" s="6" t="s">
        <v>77</v>
      </c>
      <c r="N3622" s="28" t="s">
        <v>77</v>
      </c>
      <c r="O3622" s="26" t="s">
        <v>77</v>
      </c>
    </row>
    <row r="3623">
      <c r="A3623" s="52" t="s">
        <v>77</v>
      </c>
      <c r="B3623" s="28" t="s">
        <v>77</v>
      </c>
      <c r="C3623" s="28" t="s">
        <v>77</v>
      </c>
      <c r="D3623" s="28" t="s">
        <v>77</v>
      </c>
      <c r="E3623" s="28" t="s">
        <v>77</v>
      </c>
      <c r="F3623" s="28" t="s">
        <v>77</v>
      </c>
      <c r="G3623" s="28" t="s">
        <v>77</v>
      </c>
      <c r="I3623" s="26" t="s">
        <v>77</v>
      </c>
      <c r="J3623" s="26" t="s">
        <v>77</v>
      </c>
      <c r="K3623" s="18"/>
      <c r="L3623" s="26" t="s">
        <v>77</v>
      </c>
      <c r="M3623" s="6" t="s">
        <v>77</v>
      </c>
      <c r="N3623" s="28" t="s">
        <v>77</v>
      </c>
      <c r="O3623" s="26" t="s">
        <v>77</v>
      </c>
    </row>
    <row r="3624">
      <c r="A3624" s="52" t="s">
        <v>77</v>
      </c>
      <c r="B3624" s="28" t="s">
        <v>77</v>
      </c>
      <c r="C3624" s="28" t="s">
        <v>77</v>
      </c>
      <c r="D3624" s="28" t="s">
        <v>77</v>
      </c>
      <c r="E3624" s="28" t="s">
        <v>77</v>
      </c>
      <c r="F3624" s="28" t="s">
        <v>77</v>
      </c>
      <c r="G3624" s="28" t="s">
        <v>77</v>
      </c>
      <c r="I3624" s="26" t="s">
        <v>77</v>
      </c>
      <c r="J3624" s="26" t="s">
        <v>77</v>
      </c>
      <c r="K3624" s="18"/>
      <c r="L3624" s="26" t="s">
        <v>77</v>
      </c>
      <c r="M3624" s="6" t="s">
        <v>77</v>
      </c>
      <c r="N3624" s="28" t="s">
        <v>77</v>
      </c>
      <c r="O3624" s="26" t="s">
        <v>77</v>
      </c>
    </row>
    <row r="3625">
      <c r="A3625" s="52" t="s">
        <v>77</v>
      </c>
      <c r="B3625" s="28" t="s">
        <v>77</v>
      </c>
      <c r="C3625" s="28" t="s">
        <v>77</v>
      </c>
      <c r="D3625" s="28" t="s">
        <v>77</v>
      </c>
      <c r="E3625" s="28" t="s">
        <v>77</v>
      </c>
      <c r="F3625" s="28" t="s">
        <v>77</v>
      </c>
      <c r="G3625" s="28" t="s">
        <v>77</v>
      </c>
      <c r="I3625" s="26" t="s">
        <v>77</v>
      </c>
      <c r="J3625" s="26" t="s">
        <v>77</v>
      </c>
      <c r="K3625" s="18"/>
      <c r="L3625" s="26" t="s">
        <v>77</v>
      </c>
      <c r="M3625" s="6" t="s">
        <v>77</v>
      </c>
      <c r="N3625" s="28" t="s">
        <v>77</v>
      </c>
      <c r="O3625" s="26" t="s">
        <v>77</v>
      </c>
    </row>
    <row r="3626">
      <c r="A3626" s="52" t="s">
        <v>77</v>
      </c>
      <c r="B3626" s="28" t="s">
        <v>77</v>
      </c>
      <c r="C3626" s="28" t="s">
        <v>77</v>
      </c>
      <c r="D3626" s="28" t="s">
        <v>77</v>
      </c>
      <c r="E3626" s="28" t="s">
        <v>77</v>
      </c>
      <c r="F3626" s="28" t="s">
        <v>77</v>
      </c>
      <c r="G3626" s="28" t="s">
        <v>77</v>
      </c>
      <c r="I3626" s="26" t="s">
        <v>77</v>
      </c>
      <c r="J3626" s="26" t="s">
        <v>77</v>
      </c>
      <c r="K3626" s="18"/>
      <c r="L3626" s="26" t="s">
        <v>77</v>
      </c>
      <c r="M3626" s="6" t="s">
        <v>77</v>
      </c>
      <c r="N3626" s="28" t="s">
        <v>77</v>
      </c>
      <c r="O3626" s="26" t="s">
        <v>77</v>
      </c>
    </row>
    <row r="3627">
      <c r="A3627" s="52" t="s">
        <v>77</v>
      </c>
      <c r="B3627" s="28" t="s">
        <v>77</v>
      </c>
      <c r="C3627" s="28" t="s">
        <v>77</v>
      </c>
      <c r="D3627" s="28" t="s">
        <v>77</v>
      </c>
      <c r="E3627" s="28" t="s">
        <v>77</v>
      </c>
      <c r="F3627" s="28" t="s">
        <v>77</v>
      </c>
      <c r="G3627" s="28" t="s">
        <v>77</v>
      </c>
      <c r="I3627" s="26" t="s">
        <v>77</v>
      </c>
      <c r="J3627" s="26" t="s">
        <v>77</v>
      </c>
      <c r="K3627" s="18"/>
      <c r="L3627" s="26" t="s">
        <v>77</v>
      </c>
      <c r="M3627" s="6" t="s">
        <v>77</v>
      </c>
      <c r="N3627" s="28" t="s">
        <v>77</v>
      </c>
      <c r="O3627" s="26" t="s">
        <v>77</v>
      </c>
    </row>
    <row r="3628">
      <c r="A3628" s="52" t="s">
        <v>77</v>
      </c>
      <c r="B3628" s="28" t="s">
        <v>77</v>
      </c>
      <c r="C3628" s="28" t="s">
        <v>77</v>
      </c>
      <c r="D3628" s="28" t="s">
        <v>77</v>
      </c>
      <c r="E3628" s="28" t="s">
        <v>77</v>
      </c>
      <c r="F3628" s="28" t="s">
        <v>77</v>
      </c>
      <c r="G3628" s="28" t="s">
        <v>77</v>
      </c>
      <c r="I3628" s="26" t="s">
        <v>77</v>
      </c>
      <c r="J3628" s="26" t="s">
        <v>77</v>
      </c>
      <c r="K3628" s="18"/>
      <c r="L3628" s="26" t="s">
        <v>77</v>
      </c>
      <c r="M3628" s="6" t="s">
        <v>77</v>
      </c>
      <c r="N3628" s="28" t="s">
        <v>77</v>
      </c>
      <c r="O3628" s="26" t="s">
        <v>77</v>
      </c>
    </row>
    <row r="3629">
      <c r="A3629" s="52" t="s">
        <v>77</v>
      </c>
      <c r="B3629" s="28" t="s">
        <v>77</v>
      </c>
      <c r="C3629" s="28" t="s">
        <v>77</v>
      </c>
      <c r="D3629" s="28" t="s">
        <v>77</v>
      </c>
      <c r="E3629" s="28" t="s">
        <v>77</v>
      </c>
      <c r="F3629" s="28" t="s">
        <v>77</v>
      </c>
      <c r="G3629" s="28" t="s">
        <v>77</v>
      </c>
      <c r="I3629" s="26" t="s">
        <v>77</v>
      </c>
      <c r="J3629" s="26" t="s">
        <v>77</v>
      </c>
      <c r="K3629" s="18"/>
      <c r="L3629" s="26" t="s">
        <v>77</v>
      </c>
      <c r="M3629" s="6" t="s">
        <v>77</v>
      </c>
      <c r="N3629" s="28" t="s">
        <v>77</v>
      </c>
      <c r="O3629" s="26" t="s">
        <v>77</v>
      </c>
    </row>
    <row r="3630">
      <c r="A3630" s="52" t="s">
        <v>77</v>
      </c>
      <c r="B3630" s="28" t="s">
        <v>77</v>
      </c>
      <c r="C3630" s="28" t="s">
        <v>77</v>
      </c>
      <c r="D3630" s="28" t="s">
        <v>77</v>
      </c>
      <c r="E3630" s="28" t="s">
        <v>77</v>
      </c>
      <c r="F3630" s="28" t="s">
        <v>77</v>
      </c>
      <c r="G3630" s="28" t="s">
        <v>77</v>
      </c>
      <c r="I3630" s="26" t="s">
        <v>77</v>
      </c>
      <c r="J3630" s="26" t="s">
        <v>77</v>
      </c>
      <c r="K3630" s="18"/>
      <c r="L3630" s="26" t="s">
        <v>77</v>
      </c>
      <c r="M3630" s="6" t="s">
        <v>77</v>
      </c>
      <c r="N3630" s="28" t="s">
        <v>77</v>
      </c>
      <c r="O3630" s="26" t="s">
        <v>77</v>
      </c>
    </row>
    <row r="3631">
      <c r="A3631" s="52" t="s">
        <v>77</v>
      </c>
      <c r="B3631" s="28" t="s">
        <v>77</v>
      </c>
      <c r="C3631" s="28" t="s">
        <v>77</v>
      </c>
      <c r="D3631" s="28" t="s">
        <v>77</v>
      </c>
      <c r="E3631" s="28" t="s">
        <v>77</v>
      </c>
      <c r="F3631" s="28" t="s">
        <v>77</v>
      </c>
      <c r="G3631" s="28" t="s">
        <v>77</v>
      </c>
      <c r="I3631" s="26" t="s">
        <v>77</v>
      </c>
      <c r="J3631" s="26" t="s">
        <v>77</v>
      </c>
      <c r="K3631" s="18"/>
      <c r="L3631" s="26" t="s">
        <v>77</v>
      </c>
      <c r="M3631" s="6" t="s">
        <v>77</v>
      </c>
      <c r="N3631" s="28" t="s">
        <v>77</v>
      </c>
      <c r="O3631" s="26" t="s">
        <v>77</v>
      </c>
    </row>
    <row r="3632">
      <c r="A3632" s="52" t="s">
        <v>77</v>
      </c>
      <c r="B3632" s="28" t="s">
        <v>77</v>
      </c>
      <c r="C3632" s="28" t="s">
        <v>77</v>
      </c>
      <c r="D3632" s="28" t="s">
        <v>77</v>
      </c>
      <c r="E3632" s="28" t="s">
        <v>77</v>
      </c>
      <c r="F3632" s="28" t="s">
        <v>77</v>
      </c>
      <c r="G3632" s="28" t="s">
        <v>77</v>
      </c>
      <c r="I3632" s="26" t="s">
        <v>77</v>
      </c>
      <c r="J3632" s="26" t="s">
        <v>77</v>
      </c>
      <c r="K3632" s="18"/>
      <c r="L3632" s="26" t="s">
        <v>77</v>
      </c>
      <c r="M3632" s="6" t="s">
        <v>77</v>
      </c>
      <c r="N3632" s="28" t="s">
        <v>77</v>
      </c>
      <c r="O3632" s="26" t="s">
        <v>77</v>
      </c>
    </row>
    <row r="3633">
      <c r="A3633" s="52" t="s">
        <v>77</v>
      </c>
      <c r="B3633" s="28" t="s">
        <v>77</v>
      </c>
      <c r="C3633" s="28" t="s">
        <v>77</v>
      </c>
      <c r="D3633" s="28" t="s">
        <v>77</v>
      </c>
      <c r="E3633" s="28" t="s">
        <v>77</v>
      </c>
      <c r="F3633" s="28" t="s">
        <v>77</v>
      </c>
      <c r="G3633" s="28" t="s">
        <v>77</v>
      </c>
      <c r="I3633" s="26" t="s">
        <v>77</v>
      </c>
      <c r="J3633" s="26" t="s">
        <v>77</v>
      </c>
      <c r="K3633" s="18"/>
      <c r="L3633" s="26" t="s">
        <v>77</v>
      </c>
      <c r="M3633" s="6" t="s">
        <v>77</v>
      </c>
      <c r="N3633" s="28" t="s">
        <v>77</v>
      </c>
      <c r="O3633" s="26" t="s">
        <v>77</v>
      </c>
    </row>
    <row r="3634">
      <c r="A3634" s="52" t="s">
        <v>77</v>
      </c>
      <c r="B3634" s="28" t="s">
        <v>77</v>
      </c>
      <c r="C3634" s="28" t="s">
        <v>77</v>
      </c>
      <c r="D3634" s="28" t="s">
        <v>77</v>
      </c>
      <c r="E3634" s="28" t="s">
        <v>77</v>
      </c>
      <c r="F3634" s="28" t="s">
        <v>77</v>
      </c>
      <c r="G3634" s="28" t="s">
        <v>77</v>
      </c>
      <c r="I3634" s="26" t="s">
        <v>77</v>
      </c>
      <c r="J3634" s="26" t="s">
        <v>77</v>
      </c>
      <c r="K3634" s="18"/>
      <c r="L3634" s="26" t="s">
        <v>77</v>
      </c>
      <c r="M3634" s="6" t="s">
        <v>77</v>
      </c>
      <c r="N3634" s="28" t="s">
        <v>77</v>
      </c>
      <c r="O3634" s="26" t="s">
        <v>77</v>
      </c>
    </row>
    <row r="3635">
      <c r="A3635" s="52" t="s">
        <v>77</v>
      </c>
      <c r="B3635" s="28" t="s">
        <v>77</v>
      </c>
      <c r="C3635" s="28" t="s">
        <v>77</v>
      </c>
      <c r="D3635" s="28" t="s">
        <v>77</v>
      </c>
      <c r="E3635" s="28" t="s">
        <v>77</v>
      </c>
      <c r="F3635" s="28" t="s">
        <v>77</v>
      </c>
      <c r="G3635" s="28" t="s">
        <v>77</v>
      </c>
      <c r="I3635" s="26" t="s">
        <v>77</v>
      </c>
      <c r="J3635" s="26" t="s">
        <v>77</v>
      </c>
      <c r="K3635" s="18"/>
      <c r="L3635" s="26" t="s">
        <v>77</v>
      </c>
      <c r="M3635" s="6" t="s">
        <v>77</v>
      </c>
      <c r="N3635" s="28" t="s">
        <v>77</v>
      </c>
      <c r="O3635" s="26" t="s">
        <v>77</v>
      </c>
    </row>
    <row r="3636">
      <c r="A3636" s="52" t="s">
        <v>77</v>
      </c>
      <c r="B3636" s="28" t="s">
        <v>77</v>
      </c>
      <c r="C3636" s="28" t="s">
        <v>77</v>
      </c>
      <c r="D3636" s="28" t="s">
        <v>77</v>
      </c>
      <c r="E3636" s="28" t="s">
        <v>77</v>
      </c>
      <c r="F3636" s="28" t="s">
        <v>77</v>
      </c>
      <c r="G3636" s="28" t="s">
        <v>77</v>
      </c>
      <c r="I3636" s="26" t="s">
        <v>77</v>
      </c>
      <c r="J3636" s="26" t="s">
        <v>77</v>
      </c>
      <c r="K3636" s="18"/>
      <c r="L3636" s="26" t="s">
        <v>77</v>
      </c>
      <c r="M3636" s="6" t="s">
        <v>77</v>
      </c>
      <c r="N3636" s="28" t="s">
        <v>77</v>
      </c>
      <c r="O3636" s="26" t="s">
        <v>77</v>
      </c>
    </row>
    <row r="3637">
      <c r="A3637" s="52" t="s">
        <v>77</v>
      </c>
      <c r="B3637" s="28" t="s">
        <v>77</v>
      </c>
      <c r="C3637" s="28" t="s">
        <v>77</v>
      </c>
      <c r="D3637" s="28" t="s">
        <v>77</v>
      </c>
      <c r="E3637" s="28" t="s">
        <v>77</v>
      </c>
      <c r="F3637" s="28" t="s">
        <v>77</v>
      </c>
      <c r="G3637" s="28" t="s">
        <v>77</v>
      </c>
      <c r="I3637" s="26" t="s">
        <v>77</v>
      </c>
      <c r="J3637" s="26" t="s">
        <v>77</v>
      </c>
      <c r="K3637" s="18"/>
      <c r="L3637" s="26" t="s">
        <v>77</v>
      </c>
      <c r="M3637" s="6" t="s">
        <v>77</v>
      </c>
      <c r="N3637" s="28" t="s">
        <v>77</v>
      </c>
      <c r="O3637" s="26" t="s">
        <v>77</v>
      </c>
    </row>
    <row r="3638">
      <c r="A3638" s="52" t="s">
        <v>77</v>
      </c>
      <c r="B3638" s="28" t="s">
        <v>77</v>
      </c>
      <c r="C3638" s="28" t="s">
        <v>77</v>
      </c>
      <c r="D3638" s="28" t="s">
        <v>77</v>
      </c>
      <c r="E3638" s="28" t="s">
        <v>77</v>
      </c>
      <c r="F3638" s="28" t="s">
        <v>77</v>
      </c>
      <c r="G3638" s="28" t="s">
        <v>77</v>
      </c>
      <c r="I3638" s="26" t="s">
        <v>77</v>
      </c>
      <c r="J3638" s="26" t="s">
        <v>77</v>
      </c>
      <c r="K3638" s="18"/>
      <c r="L3638" s="26" t="s">
        <v>77</v>
      </c>
      <c r="M3638" s="6" t="s">
        <v>77</v>
      </c>
      <c r="N3638" s="28" t="s">
        <v>77</v>
      </c>
      <c r="O3638" s="26" t="s">
        <v>77</v>
      </c>
    </row>
    <row r="3639">
      <c r="A3639" s="52" t="s">
        <v>77</v>
      </c>
      <c r="B3639" s="28" t="s">
        <v>77</v>
      </c>
      <c r="C3639" s="28" t="s">
        <v>77</v>
      </c>
      <c r="D3639" s="28" t="s">
        <v>77</v>
      </c>
      <c r="E3639" s="28" t="s">
        <v>77</v>
      </c>
      <c r="F3639" s="28" t="s">
        <v>77</v>
      </c>
      <c r="G3639" s="28" t="s">
        <v>77</v>
      </c>
      <c r="I3639" s="26" t="s">
        <v>77</v>
      </c>
      <c r="J3639" s="26" t="s">
        <v>77</v>
      </c>
      <c r="K3639" s="18"/>
      <c r="L3639" s="26" t="s">
        <v>77</v>
      </c>
      <c r="M3639" s="6" t="s">
        <v>77</v>
      </c>
      <c r="N3639" s="28" t="s">
        <v>77</v>
      </c>
      <c r="O3639" s="26" t="s">
        <v>77</v>
      </c>
    </row>
    <row r="3640">
      <c r="A3640" s="52" t="s">
        <v>77</v>
      </c>
      <c r="B3640" s="28" t="s">
        <v>77</v>
      </c>
      <c r="C3640" s="28" t="s">
        <v>77</v>
      </c>
      <c r="D3640" s="28" t="s">
        <v>77</v>
      </c>
      <c r="E3640" s="28" t="s">
        <v>77</v>
      </c>
      <c r="F3640" s="28" t="s">
        <v>77</v>
      </c>
      <c r="G3640" s="28" t="s">
        <v>77</v>
      </c>
      <c r="I3640" s="26" t="s">
        <v>77</v>
      </c>
      <c r="J3640" s="26" t="s">
        <v>77</v>
      </c>
      <c r="K3640" s="18"/>
      <c r="L3640" s="26" t="s">
        <v>77</v>
      </c>
      <c r="M3640" s="6" t="s">
        <v>77</v>
      </c>
      <c r="N3640" s="28" t="s">
        <v>77</v>
      </c>
      <c r="O3640" s="26" t="s">
        <v>77</v>
      </c>
    </row>
    <row r="3641">
      <c r="A3641" s="52" t="s">
        <v>77</v>
      </c>
      <c r="B3641" s="28" t="s">
        <v>77</v>
      </c>
      <c r="C3641" s="28" t="s">
        <v>77</v>
      </c>
      <c r="D3641" s="28" t="s">
        <v>77</v>
      </c>
      <c r="E3641" s="28" t="s">
        <v>77</v>
      </c>
      <c r="F3641" s="28" t="s">
        <v>77</v>
      </c>
      <c r="G3641" s="28" t="s">
        <v>77</v>
      </c>
      <c r="I3641" s="26" t="s">
        <v>77</v>
      </c>
      <c r="J3641" s="26" t="s">
        <v>77</v>
      </c>
      <c r="K3641" s="18"/>
      <c r="L3641" s="26" t="s">
        <v>77</v>
      </c>
      <c r="M3641" s="6" t="s">
        <v>77</v>
      </c>
      <c r="N3641" s="28" t="s">
        <v>77</v>
      </c>
      <c r="O3641" s="26" t="s">
        <v>77</v>
      </c>
    </row>
    <row r="3642">
      <c r="A3642" s="52" t="s">
        <v>77</v>
      </c>
      <c r="B3642" s="28" t="s">
        <v>77</v>
      </c>
      <c r="C3642" s="28" t="s">
        <v>77</v>
      </c>
      <c r="D3642" s="28" t="s">
        <v>77</v>
      </c>
      <c r="E3642" s="28" t="s">
        <v>77</v>
      </c>
      <c r="F3642" s="28" t="s">
        <v>77</v>
      </c>
      <c r="G3642" s="28" t="s">
        <v>77</v>
      </c>
      <c r="I3642" s="26" t="s">
        <v>77</v>
      </c>
      <c r="J3642" s="26" t="s">
        <v>77</v>
      </c>
      <c r="K3642" s="18"/>
      <c r="L3642" s="26" t="s">
        <v>77</v>
      </c>
      <c r="M3642" s="6" t="s">
        <v>77</v>
      </c>
      <c r="N3642" s="28" t="s">
        <v>77</v>
      </c>
      <c r="O3642" s="26" t="s">
        <v>77</v>
      </c>
    </row>
    <row r="3643">
      <c r="A3643" s="52" t="s">
        <v>77</v>
      </c>
      <c r="B3643" s="28" t="s">
        <v>77</v>
      </c>
      <c r="C3643" s="28" t="s">
        <v>77</v>
      </c>
      <c r="D3643" s="28" t="s">
        <v>77</v>
      </c>
      <c r="E3643" s="28" t="s">
        <v>77</v>
      </c>
      <c r="F3643" s="28" t="s">
        <v>77</v>
      </c>
      <c r="G3643" s="28" t="s">
        <v>77</v>
      </c>
      <c r="I3643" s="26" t="s">
        <v>77</v>
      </c>
      <c r="J3643" s="26" t="s">
        <v>77</v>
      </c>
      <c r="K3643" s="18"/>
      <c r="L3643" s="26" t="s">
        <v>77</v>
      </c>
      <c r="M3643" s="6" t="s">
        <v>77</v>
      </c>
      <c r="N3643" s="28" t="s">
        <v>77</v>
      </c>
      <c r="O3643" s="26" t="s">
        <v>77</v>
      </c>
    </row>
    <row r="3644">
      <c r="A3644" s="52" t="s">
        <v>77</v>
      </c>
      <c r="B3644" s="28" t="s">
        <v>77</v>
      </c>
      <c r="C3644" s="28" t="s">
        <v>77</v>
      </c>
      <c r="D3644" s="28" t="s">
        <v>77</v>
      </c>
      <c r="E3644" s="28" t="s">
        <v>77</v>
      </c>
      <c r="F3644" s="28" t="s">
        <v>77</v>
      </c>
      <c r="G3644" s="28" t="s">
        <v>77</v>
      </c>
      <c r="I3644" s="26" t="s">
        <v>77</v>
      </c>
      <c r="J3644" s="26" t="s">
        <v>77</v>
      </c>
      <c r="K3644" s="18"/>
      <c r="L3644" s="26" t="s">
        <v>77</v>
      </c>
      <c r="M3644" s="6" t="s">
        <v>77</v>
      </c>
      <c r="N3644" s="28" t="s">
        <v>77</v>
      </c>
      <c r="O3644" s="26" t="s">
        <v>77</v>
      </c>
    </row>
    <row r="3645">
      <c r="A3645" s="52" t="s">
        <v>77</v>
      </c>
      <c r="B3645" s="28" t="s">
        <v>77</v>
      </c>
      <c r="C3645" s="28" t="s">
        <v>77</v>
      </c>
      <c r="D3645" s="28" t="s">
        <v>77</v>
      </c>
      <c r="E3645" s="28" t="s">
        <v>77</v>
      </c>
      <c r="F3645" s="28" t="s">
        <v>77</v>
      </c>
      <c r="G3645" s="28" t="s">
        <v>77</v>
      </c>
      <c r="I3645" s="26" t="s">
        <v>77</v>
      </c>
      <c r="J3645" s="26" t="s">
        <v>77</v>
      </c>
      <c r="K3645" s="18"/>
      <c r="L3645" s="26" t="s">
        <v>77</v>
      </c>
      <c r="M3645" s="6" t="s">
        <v>77</v>
      </c>
      <c r="N3645" s="28" t="s">
        <v>77</v>
      </c>
      <c r="O3645" s="26" t="s">
        <v>77</v>
      </c>
    </row>
    <row r="3646">
      <c r="A3646" s="52" t="s">
        <v>77</v>
      </c>
      <c r="B3646" s="28" t="s">
        <v>77</v>
      </c>
      <c r="C3646" s="28" t="s">
        <v>77</v>
      </c>
      <c r="D3646" s="28" t="s">
        <v>77</v>
      </c>
      <c r="E3646" s="28" t="s">
        <v>77</v>
      </c>
      <c r="F3646" s="28" t="s">
        <v>77</v>
      </c>
      <c r="G3646" s="28" t="s">
        <v>77</v>
      </c>
      <c r="I3646" s="26" t="s">
        <v>77</v>
      </c>
      <c r="J3646" s="26" t="s">
        <v>77</v>
      </c>
      <c r="K3646" s="18"/>
      <c r="L3646" s="26" t="s">
        <v>77</v>
      </c>
      <c r="M3646" s="6" t="s">
        <v>77</v>
      </c>
      <c r="N3646" s="28" t="s">
        <v>77</v>
      </c>
      <c r="O3646" s="26" t="s">
        <v>77</v>
      </c>
    </row>
    <row r="3647">
      <c r="A3647" s="52" t="s">
        <v>77</v>
      </c>
      <c r="B3647" s="28" t="s">
        <v>77</v>
      </c>
      <c r="C3647" s="28" t="s">
        <v>77</v>
      </c>
      <c r="D3647" s="28" t="s">
        <v>77</v>
      </c>
      <c r="E3647" s="28" t="s">
        <v>77</v>
      </c>
      <c r="F3647" s="28" t="s">
        <v>77</v>
      </c>
      <c r="G3647" s="28" t="s">
        <v>77</v>
      </c>
      <c r="I3647" s="26" t="s">
        <v>77</v>
      </c>
      <c r="J3647" s="26" t="s">
        <v>77</v>
      </c>
      <c r="K3647" s="18"/>
      <c r="L3647" s="26" t="s">
        <v>77</v>
      </c>
      <c r="M3647" s="6" t="s">
        <v>77</v>
      </c>
      <c r="N3647" s="28" t="s">
        <v>77</v>
      </c>
      <c r="O3647" s="26" t="s">
        <v>77</v>
      </c>
    </row>
    <row r="3648">
      <c r="A3648" s="52" t="s">
        <v>77</v>
      </c>
      <c r="B3648" s="28" t="s">
        <v>77</v>
      </c>
      <c r="C3648" s="28" t="s">
        <v>77</v>
      </c>
      <c r="D3648" s="28" t="s">
        <v>77</v>
      </c>
      <c r="E3648" s="28" t="s">
        <v>77</v>
      </c>
      <c r="F3648" s="28" t="s">
        <v>77</v>
      </c>
      <c r="G3648" s="28" t="s">
        <v>77</v>
      </c>
      <c r="I3648" s="26" t="s">
        <v>77</v>
      </c>
      <c r="J3648" s="26" t="s">
        <v>77</v>
      </c>
      <c r="K3648" s="18"/>
      <c r="L3648" s="26" t="s">
        <v>77</v>
      </c>
      <c r="M3648" s="6" t="s">
        <v>77</v>
      </c>
      <c r="N3648" s="28" t="s">
        <v>77</v>
      </c>
      <c r="O3648" s="26" t="s">
        <v>77</v>
      </c>
    </row>
    <row r="3649">
      <c r="A3649" s="52" t="s">
        <v>77</v>
      </c>
      <c r="B3649" s="28" t="s">
        <v>77</v>
      </c>
      <c r="C3649" s="28" t="s">
        <v>77</v>
      </c>
      <c r="D3649" s="28" t="s">
        <v>77</v>
      </c>
      <c r="E3649" s="28" t="s">
        <v>77</v>
      </c>
      <c r="F3649" s="28" t="s">
        <v>77</v>
      </c>
      <c r="G3649" s="28" t="s">
        <v>77</v>
      </c>
      <c r="I3649" s="26" t="s">
        <v>77</v>
      </c>
      <c r="J3649" s="26" t="s">
        <v>77</v>
      </c>
      <c r="K3649" s="18"/>
      <c r="L3649" s="26" t="s">
        <v>77</v>
      </c>
      <c r="M3649" s="6" t="s">
        <v>77</v>
      </c>
      <c r="N3649" s="28" t="s">
        <v>77</v>
      </c>
      <c r="O3649" s="26" t="s">
        <v>77</v>
      </c>
    </row>
    <row r="3650">
      <c r="A3650" s="52" t="s">
        <v>77</v>
      </c>
      <c r="B3650" s="28" t="s">
        <v>77</v>
      </c>
      <c r="C3650" s="28" t="s">
        <v>77</v>
      </c>
      <c r="D3650" s="28" t="s">
        <v>77</v>
      </c>
      <c r="E3650" s="28" t="s">
        <v>77</v>
      </c>
      <c r="F3650" s="28" t="s">
        <v>77</v>
      </c>
      <c r="G3650" s="28" t="s">
        <v>77</v>
      </c>
      <c r="I3650" s="26" t="s">
        <v>77</v>
      </c>
      <c r="J3650" s="26" t="s">
        <v>77</v>
      </c>
      <c r="K3650" s="18"/>
      <c r="L3650" s="26" t="s">
        <v>77</v>
      </c>
      <c r="M3650" s="6" t="s">
        <v>77</v>
      </c>
      <c r="N3650" s="28" t="s">
        <v>77</v>
      </c>
      <c r="O3650" s="26" t="s">
        <v>77</v>
      </c>
    </row>
    <row r="3651">
      <c r="A3651" s="52" t="s">
        <v>77</v>
      </c>
      <c r="B3651" s="28" t="s">
        <v>77</v>
      </c>
      <c r="C3651" s="28" t="s">
        <v>77</v>
      </c>
      <c r="D3651" s="28" t="s">
        <v>77</v>
      </c>
      <c r="E3651" s="28" t="s">
        <v>77</v>
      </c>
      <c r="F3651" s="28" t="s">
        <v>77</v>
      </c>
      <c r="G3651" s="28" t="s">
        <v>77</v>
      </c>
      <c r="I3651" s="26" t="s">
        <v>77</v>
      </c>
      <c r="J3651" s="26" t="s">
        <v>77</v>
      </c>
      <c r="K3651" s="18"/>
      <c r="L3651" s="26" t="s">
        <v>77</v>
      </c>
      <c r="M3651" s="6" t="s">
        <v>77</v>
      </c>
      <c r="N3651" s="28" t="s">
        <v>77</v>
      </c>
      <c r="O3651" s="26" t="s">
        <v>77</v>
      </c>
    </row>
    <row r="3652">
      <c r="A3652" s="52" t="s">
        <v>77</v>
      </c>
      <c r="B3652" s="28" t="s">
        <v>77</v>
      </c>
      <c r="C3652" s="28" t="s">
        <v>77</v>
      </c>
      <c r="D3652" s="28" t="s">
        <v>77</v>
      </c>
      <c r="E3652" s="28" t="s">
        <v>77</v>
      </c>
      <c r="F3652" s="28" t="s">
        <v>77</v>
      </c>
      <c r="G3652" s="28" t="s">
        <v>77</v>
      </c>
      <c r="I3652" s="26" t="s">
        <v>77</v>
      </c>
      <c r="J3652" s="26" t="s">
        <v>77</v>
      </c>
      <c r="K3652" s="18"/>
      <c r="L3652" s="26" t="s">
        <v>77</v>
      </c>
      <c r="M3652" s="6" t="s">
        <v>77</v>
      </c>
      <c r="N3652" s="28" t="s">
        <v>77</v>
      </c>
      <c r="O3652" s="26" t="s">
        <v>77</v>
      </c>
    </row>
    <row r="3653">
      <c r="A3653" s="52" t="s">
        <v>77</v>
      </c>
      <c r="B3653" s="28" t="s">
        <v>77</v>
      </c>
      <c r="C3653" s="28" t="s">
        <v>77</v>
      </c>
      <c r="D3653" s="28" t="s">
        <v>77</v>
      </c>
      <c r="E3653" s="28" t="s">
        <v>77</v>
      </c>
      <c r="F3653" s="28" t="s">
        <v>77</v>
      </c>
      <c r="G3653" s="28" t="s">
        <v>77</v>
      </c>
      <c r="I3653" s="26" t="s">
        <v>77</v>
      </c>
      <c r="J3653" s="26" t="s">
        <v>77</v>
      </c>
      <c r="K3653" s="18"/>
      <c r="L3653" s="26" t="s">
        <v>77</v>
      </c>
      <c r="M3653" s="6" t="s">
        <v>77</v>
      </c>
      <c r="N3653" s="28" t="s">
        <v>77</v>
      </c>
      <c r="O3653" s="26" t="s">
        <v>77</v>
      </c>
    </row>
    <row r="3654">
      <c r="A3654" s="52" t="s">
        <v>77</v>
      </c>
      <c r="B3654" s="28" t="s">
        <v>77</v>
      </c>
      <c r="C3654" s="28" t="s">
        <v>77</v>
      </c>
      <c r="D3654" s="28" t="s">
        <v>77</v>
      </c>
      <c r="E3654" s="28" t="s">
        <v>77</v>
      </c>
      <c r="F3654" s="28" t="s">
        <v>77</v>
      </c>
      <c r="G3654" s="28" t="s">
        <v>77</v>
      </c>
      <c r="I3654" s="26" t="s">
        <v>77</v>
      </c>
      <c r="J3654" s="26" t="s">
        <v>77</v>
      </c>
      <c r="K3654" s="18"/>
      <c r="L3654" s="26" t="s">
        <v>77</v>
      </c>
      <c r="M3654" s="6" t="s">
        <v>77</v>
      </c>
      <c r="N3654" s="28" t="s">
        <v>77</v>
      </c>
      <c r="O3654" s="26" t="s">
        <v>77</v>
      </c>
    </row>
    <row r="3655">
      <c r="A3655" s="52" t="s">
        <v>77</v>
      </c>
      <c r="B3655" s="28" t="s">
        <v>77</v>
      </c>
      <c r="C3655" s="28" t="s">
        <v>77</v>
      </c>
      <c r="D3655" s="28" t="s">
        <v>77</v>
      </c>
      <c r="E3655" s="28" t="s">
        <v>77</v>
      </c>
      <c r="F3655" s="28" t="s">
        <v>77</v>
      </c>
      <c r="G3655" s="28" t="s">
        <v>77</v>
      </c>
      <c r="I3655" s="26" t="s">
        <v>77</v>
      </c>
      <c r="J3655" s="26" t="s">
        <v>77</v>
      </c>
      <c r="K3655" s="18"/>
      <c r="L3655" s="26" t="s">
        <v>77</v>
      </c>
      <c r="M3655" s="6" t="s">
        <v>77</v>
      </c>
      <c r="N3655" s="28" t="s">
        <v>77</v>
      </c>
      <c r="O3655" s="26" t="s">
        <v>77</v>
      </c>
    </row>
    <row r="3656">
      <c r="A3656" s="52" t="s">
        <v>77</v>
      </c>
      <c r="B3656" s="28" t="s">
        <v>77</v>
      </c>
      <c r="C3656" s="28" t="s">
        <v>77</v>
      </c>
      <c r="D3656" s="28" t="s">
        <v>77</v>
      </c>
      <c r="E3656" s="28" t="s">
        <v>77</v>
      </c>
      <c r="F3656" s="28" t="s">
        <v>77</v>
      </c>
      <c r="G3656" s="28" t="s">
        <v>77</v>
      </c>
      <c r="I3656" s="26" t="s">
        <v>77</v>
      </c>
      <c r="J3656" s="26" t="s">
        <v>77</v>
      </c>
      <c r="K3656" s="18"/>
      <c r="L3656" s="26" t="s">
        <v>77</v>
      </c>
      <c r="M3656" s="6" t="s">
        <v>77</v>
      </c>
      <c r="N3656" s="28" t="s">
        <v>77</v>
      </c>
      <c r="O3656" s="26" t="s">
        <v>77</v>
      </c>
    </row>
    <row r="3657">
      <c r="A3657" s="52" t="s">
        <v>77</v>
      </c>
      <c r="B3657" s="28" t="s">
        <v>77</v>
      </c>
      <c r="C3657" s="28" t="s">
        <v>77</v>
      </c>
      <c r="D3657" s="28" t="s">
        <v>77</v>
      </c>
      <c r="E3657" s="28" t="s">
        <v>77</v>
      </c>
      <c r="F3657" s="28" t="s">
        <v>77</v>
      </c>
      <c r="G3657" s="28" t="s">
        <v>77</v>
      </c>
      <c r="I3657" s="26" t="s">
        <v>77</v>
      </c>
      <c r="J3657" s="26" t="s">
        <v>77</v>
      </c>
      <c r="K3657" s="18"/>
      <c r="L3657" s="26" t="s">
        <v>77</v>
      </c>
      <c r="M3657" s="6" t="s">
        <v>77</v>
      </c>
      <c r="N3657" s="28" t="s">
        <v>77</v>
      </c>
      <c r="O3657" s="26" t="s">
        <v>77</v>
      </c>
    </row>
    <row r="3658">
      <c r="A3658" s="52" t="s">
        <v>77</v>
      </c>
      <c r="B3658" s="28" t="s">
        <v>77</v>
      </c>
      <c r="C3658" s="28" t="s">
        <v>77</v>
      </c>
      <c r="D3658" s="28" t="s">
        <v>77</v>
      </c>
      <c r="E3658" s="28" t="s">
        <v>77</v>
      </c>
      <c r="F3658" s="28" t="s">
        <v>77</v>
      </c>
      <c r="G3658" s="28" t="s">
        <v>77</v>
      </c>
      <c r="I3658" s="26" t="s">
        <v>77</v>
      </c>
      <c r="J3658" s="26" t="s">
        <v>77</v>
      </c>
      <c r="K3658" s="18"/>
      <c r="L3658" s="26" t="s">
        <v>77</v>
      </c>
      <c r="M3658" s="6" t="s">
        <v>77</v>
      </c>
      <c r="N3658" s="28" t="s">
        <v>77</v>
      </c>
      <c r="O3658" s="26" t="s">
        <v>77</v>
      </c>
    </row>
    <row r="3659">
      <c r="A3659" s="52" t="s">
        <v>77</v>
      </c>
      <c r="B3659" s="28" t="s">
        <v>77</v>
      </c>
      <c r="C3659" s="28" t="s">
        <v>77</v>
      </c>
      <c r="D3659" s="28" t="s">
        <v>77</v>
      </c>
      <c r="E3659" s="28" t="s">
        <v>77</v>
      </c>
      <c r="F3659" s="28" t="s">
        <v>77</v>
      </c>
      <c r="G3659" s="28" t="s">
        <v>77</v>
      </c>
      <c r="I3659" s="26" t="s">
        <v>77</v>
      </c>
      <c r="J3659" s="26" t="s">
        <v>77</v>
      </c>
      <c r="K3659" s="18"/>
      <c r="L3659" s="26" t="s">
        <v>77</v>
      </c>
      <c r="M3659" s="6" t="s">
        <v>77</v>
      </c>
      <c r="N3659" s="28" t="s">
        <v>77</v>
      </c>
      <c r="O3659" s="26" t="s">
        <v>77</v>
      </c>
    </row>
    <row r="3660">
      <c r="A3660" s="52" t="s">
        <v>77</v>
      </c>
      <c r="B3660" s="28" t="s">
        <v>77</v>
      </c>
      <c r="C3660" s="28" t="s">
        <v>77</v>
      </c>
      <c r="D3660" s="28" t="s">
        <v>77</v>
      </c>
      <c r="E3660" s="28" t="s">
        <v>77</v>
      </c>
      <c r="F3660" s="28" t="s">
        <v>77</v>
      </c>
      <c r="G3660" s="28" t="s">
        <v>77</v>
      </c>
      <c r="I3660" s="26" t="s">
        <v>77</v>
      </c>
      <c r="J3660" s="26" t="s">
        <v>77</v>
      </c>
      <c r="K3660" s="18"/>
      <c r="L3660" s="26" t="s">
        <v>77</v>
      </c>
      <c r="M3660" s="6" t="s">
        <v>77</v>
      </c>
      <c r="N3660" s="28" t="s">
        <v>77</v>
      </c>
      <c r="O3660" s="26" t="s">
        <v>77</v>
      </c>
    </row>
    <row r="3661">
      <c r="A3661" s="52" t="s">
        <v>77</v>
      </c>
      <c r="B3661" s="28" t="s">
        <v>77</v>
      </c>
      <c r="C3661" s="28" t="s">
        <v>77</v>
      </c>
      <c r="D3661" s="28" t="s">
        <v>77</v>
      </c>
      <c r="E3661" s="28" t="s">
        <v>77</v>
      </c>
      <c r="F3661" s="28" t="s">
        <v>77</v>
      </c>
      <c r="G3661" s="28" t="s">
        <v>77</v>
      </c>
      <c r="I3661" s="26" t="s">
        <v>77</v>
      </c>
      <c r="J3661" s="26" t="s">
        <v>77</v>
      </c>
      <c r="K3661" s="18"/>
      <c r="L3661" s="26" t="s">
        <v>77</v>
      </c>
      <c r="M3661" s="6" t="s">
        <v>77</v>
      </c>
      <c r="N3661" s="28" t="s">
        <v>77</v>
      </c>
      <c r="O3661" s="26" t="s">
        <v>77</v>
      </c>
    </row>
    <row r="3662">
      <c r="A3662" s="52" t="s">
        <v>77</v>
      </c>
      <c r="B3662" s="28" t="s">
        <v>77</v>
      </c>
      <c r="C3662" s="28" t="s">
        <v>77</v>
      </c>
      <c r="D3662" s="28" t="s">
        <v>77</v>
      </c>
      <c r="E3662" s="28" t="s">
        <v>77</v>
      </c>
      <c r="F3662" s="28" t="s">
        <v>77</v>
      </c>
      <c r="G3662" s="28" t="s">
        <v>77</v>
      </c>
      <c r="I3662" s="26" t="s">
        <v>77</v>
      </c>
      <c r="J3662" s="26" t="s">
        <v>77</v>
      </c>
      <c r="K3662" s="18"/>
      <c r="L3662" s="26" t="s">
        <v>77</v>
      </c>
      <c r="M3662" s="6" t="s">
        <v>77</v>
      </c>
      <c r="N3662" s="28" t="s">
        <v>77</v>
      </c>
      <c r="O3662" s="26" t="s">
        <v>77</v>
      </c>
    </row>
    <row r="3663">
      <c r="A3663" s="52" t="s">
        <v>77</v>
      </c>
      <c r="B3663" s="28" t="s">
        <v>77</v>
      </c>
      <c r="C3663" s="28" t="s">
        <v>77</v>
      </c>
      <c r="D3663" s="28" t="s">
        <v>77</v>
      </c>
      <c r="E3663" s="28" t="s">
        <v>77</v>
      </c>
      <c r="F3663" s="28" t="s">
        <v>77</v>
      </c>
      <c r="G3663" s="28" t="s">
        <v>77</v>
      </c>
      <c r="I3663" s="26" t="s">
        <v>77</v>
      </c>
      <c r="J3663" s="26" t="s">
        <v>77</v>
      </c>
      <c r="K3663" s="18"/>
      <c r="L3663" s="26" t="s">
        <v>77</v>
      </c>
      <c r="M3663" s="6" t="s">
        <v>77</v>
      </c>
      <c r="N3663" s="28" t="s">
        <v>77</v>
      </c>
      <c r="O3663" s="26" t="s">
        <v>77</v>
      </c>
    </row>
    <row r="3664">
      <c r="A3664" s="52" t="s">
        <v>77</v>
      </c>
      <c r="B3664" s="28" t="s">
        <v>77</v>
      </c>
      <c r="C3664" s="28" t="s">
        <v>77</v>
      </c>
      <c r="D3664" s="28" t="s">
        <v>77</v>
      </c>
      <c r="E3664" s="28" t="s">
        <v>77</v>
      </c>
      <c r="F3664" s="28" t="s">
        <v>77</v>
      </c>
      <c r="G3664" s="28" t="s">
        <v>77</v>
      </c>
      <c r="I3664" s="26" t="s">
        <v>77</v>
      </c>
      <c r="J3664" s="26" t="s">
        <v>77</v>
      </c>
      <c r="K3664" s="18"/>
      <c r="L3664" s="26" t="s">
        <v>77</v>
      </c>
      <c r="M3664" s="6" t="s">
        <v>77</v>
      </c>
      <c r="N3664" s="28" t="s">
        <v>77</v>
      </c>
      <c r="O3664" s="26" t="s">
        <v>77</v>
      </c>
    </row>
    <row r="3665">
      <c r="A3665" s="52" t="s">
        <v>77</v>
      </c>
      <c r="B3665" s="28" t="s">
        <v>77</v>
      </c>
      <c r="C3665" s="28" t="s">
        <v>77</v>
      </c>
      <c r="D3665" s="28" t="s">
        <v>77</v>
      </c>
      <c r="E3665" s="28" t="s">
        <v>77</v>
      </c>
      <c r="F3665" s="28" t="s">
        <v>77</v>
      </c>
      <c r="G3665" s="28" t="s">
        <v>77</v>
      </c>
      <c r="I3665" s="26" t="s">
        <v>77</v>
      </c>
      <c r="J3665" s="26" t="s">
        <v>77</v>
      </c>
      <c r="K3665" s="18"/>
      <c r="L3665" s="26" t="s">
        <v>77</v>
      </c>
      <c r="M3665" s="6" t="s">
        <v>77</v>
      </c>
      <c r="N3665" s="28" t="s">
        <v>77</v>
      </c>
      <c r="O3665" s="26" t="s">
        <v>77</v>
      </c>
    </row>
    <row r="3666">
      <c r="A3666" s="52" t="s">
        <v>77</v>
      </c>
      <c r="B3666" s="28" t="s">
        <v>77</v>
      </c>
      <c r="C3666" s="28" t="s">
        <v>77</v>
      </c>
      <c r="D3666" s="28" t="s">
        <v>77</v>
      </c>
      <c r="E3666" s="28" t="s">
        <v>77</v>
      </c>
      <c r="F3666" s="28" t="s">
        <v>77</v>
      </c>
      <c r="G3666" s="28" t="s">
        <v>77</v>
      </c>
      <c r="I3666" s="26" t="s">
        <v>77</v>
      </c>
      <c r="J3666" s="26" t="s">
        <v>77</v>
      </c>
      <c r="K3666" s="18"/>
      <c r="L3666" s="26" t="s">
        <v>77</v>
      </c>
      <c r="M3666" s="6" t="s">
        <v>77</v>
      </c>
      <c r="N3666" s="28" t="s">
        <v>77</v>
      </c>
      <c r="O3666" s="26" t="s">
        <v>77</v>
      </c>
    </row>
    <row r="3667">
      <c r="A3667" s="52" t="s">
        <v>77</v>
      </c>
      <c r="B3667" s="28" t="s">
        <v>77</v>
      </c>
      <c r="C3667" s="28" t="s">
        <v>77</v>
      </c>
      <c r="D3667" s="28" t="s">
        <v>77</v>
      </c>
      <c r="E3667" s="28" t="s">
        <v>77</v>
      </c>
      <c r="F3667" s="28" t="s">
        <v>77</v>
      </c>
      <c r="G3667" s="28" t="s">
        <v>77</v>
      </c>
      <c r="I3667" s="26" t="s">
        <v>77</v>
      </c>
      <c r="J3667" s="26" t="s">
        <v>77</v>
      </c>
      <c r="K3667" s="18"/>
      <c r="L3667" s="26" t="s">
        <v>77</v>
      </c>
      <c r="M3667" s="6" t="s">
        <v>77</v>
      </c>
      <c r="N3667" s="28" t="s">
        <v>77</v>
      </c>
      <c r="O3667" s="26" t="s">
        <v>77</v>
      </c>
    </row>
    <row r="3668">
      <c r="A3668" s="52" t="s">
        <v>77</v>
      </c>
      <c r="B3668" s="28" t="s">
        <v>77</v>
      </c>
      <c r="C3668" s="28" t="s">
        <v>77</v>
      </c>
      <c r="D3668" s="28" t="s">
        <v>77</v>
      </c>
      <c r="E3668" s="28" t="s">
        <v>77</v>
      </c>
      <c r="F3668" s="28" t="s">
        <v>77</v>
      </c>
      <c r="G3668" s="28" t="s">
        <v>77</v>
      </c>
      <c r="I3668" s="26" t="s">
        <v>77</v>
      </c>
      <c r="J3668" s="26" t="s">
        <v>77</v>
      </c>
      <c r="K3668" s="18"/>
      <c r="L3668" s="26" t="s">
        <v>77</v>
      </c>
      <c r="M3668" s="6" t="s">
        <v>77</v>
      </c>
      <c r="N3668" s="28" t="s">
        <v>77</v>
      </c>
      <c r="O3668" s="26" t="s">
        <v>77</v>
      </c>
    </row>
    <row r="3669">
      <c r="A3669" s="52" t="s">
        <v>77</v>
      </c>
      <c r="B3669" s="28" t="s">
        <v>77</v>
      </c>
      <c r="C3669" s="28" t="s">
        <v>77</v>
      </c>
      <c r="D3669" s="28" t="s">
        <v>77</v>
      </c>
      <c r="E3669" s="28" t="s">
        <v>77</v>
      </c>
      <c r="F3669" s="28" t="s">
        <v>77</v>
      </c>
      <c r="G3669" s="28" t="s">
        <v>77</v>
      </c>
      <c r="I3669" s="26" t="s">
        <v>77</v>
      </c>
      <c r="J3669" s="26" t="s">
        <v>77</v>
      </c>
      <c r="K3669" s="18"/>
      <c r="L3669" s="26" t="s">
        <v>77</v>
      </c>
      <c r="M3669" s="6" t="s">
        <v>77</v>
      </c>
      <c r="N3669" s="28" t="s">
        <v>77</v>
      </c>
      <c r="O3669" s="26" t="s">
        <v>77</v>
      </c>
    </row>
    <row r="3670">
      <c r="A3670" s="52" t="s">
        <v>77</v>
      </c>
      <c r="B3670" s="28" t="s">
        <v>77</v>
      </c>
      <c r="C3670" s="28" t="s">
        <v>77</v>
      </c>
      <c r="D3670" s="28" t="s">
        <v>77</v>
      </c>
      <c r="E3670" s="28" t="s">
        <v>77</v>
      </c>
      <c r="F3670" s="28" t="s">
        <v>77</v>
      </c>
      <c r="G3670" s="28" t="s">
        <v>77</v>
      </c>
      <c r="I3670" s="26" t="s">
        <v>77</v>
      </c>
      <c r="J3670" s="26" t="s">
        <v>77</v>
      </c>
      <c r="K3670" s="18"/>
      <c r="L3670" s="26" t="s">
        <v>77</v>
      </c>
      <c r="M3670" s="6" t="s">
        <v>77</v>
      </c>
      <c r="N3670" s="28" t="s">
        <v>77</v>
      </c>
      <c r="O3670" s="26" t="s">
        <v>77</v>
      </c>
    </row>
    <row r="3671">
      <c r="A3671" s="52" t="s">
        <v>77</v>
      </c>
      <c r="B3671" s="28" t="s">
        <v>77</v>
      </c>
      <c r="C3671" s="28" t="s">
        <v>77</v>
      </c>
      <c r="D3671" s="28" t="s">
        <v>77</v>
      </c>
      <c r="E3671" s="28" t="s">
        <v>77</v>
      </c>
      <c r="F3671" s="28" t="s">
        <v>77</v>
      </c>
      <c r="G3671" s="28" t="s">
        <v>77</v>
      </c>
      <c r="I3671" s="26" t="s">
        <v>77</v>
      </c>
      <c r="J3671" s="26" t="s">
        <v>77</v>
      </c>
      <c r="K3671" s="18"/>
      <c r="L3671" s="26" t="s">
        <v>77</v>
      </c>
      <c r="M3671" s="6" t="s">
        <v>77</v>
      </c>
      <c r="N3671" s="28" t="s">
        <v>77</v>
      </c>
      <c r="O3671" s="26" t="s">
        <v>77</v>
      </c>
    </row>
    <row r="3672">
      <c r="A3672" s="52" t="s">
        <v>77</v>
      </c>
      <c r="B3672" s="28" t="s">
        <v>77</v>
      </c>
      <c r="C3672" s="28" t="s">
        <v>77</v>
      </c>
      <c r="D3672" s="28" t="s">
        <v>77</v>
      </c>
      <c r="E3672" s="28" t="s">
        <v>77</v>
      </c>
      <c r="F3672" s="28" t="s">
        <v>77</v>
      </c>
      <c r="G3672" s="28" t="s">
        <v>77</v>
      </c>
      <c r="I3672" s="26" t="s">
        <v>77</v>
      </c>
      <c r="J3672" s="26" t="s">
        <v>77</v>
      </c>
      <c r="K3672" s="18"/>
      <c r="L3672" s="26" t="s">
        <v>77</v>
      </c>
      <c r="M3672" s="6" t="s">
        <v>77</v>
      </c>
      <c r="N3672" s="28" t="s">
        <v>77</v>
      </c>
      <c r="O3672" s="26" t="s">
        <v>77</v>
      </c>
    </row>
    <row r="3673">
      <c r="A3673" s="52" t="s">
        <v>77</v>
      </c>
      <c r="B3673" s="28" t="s">
        <v>77</v>
      </c>
      <c r="C3673" s="28" t="s">
        <v>77</v>
      </c>
      <c r="D3673" s="28" t="s">
        <v>77</v>
      </c>
      <c r="E3673" s="28" t="s">
        <v>77</v>
      </c>
      <c r="F3673" s="28" t="s">
        <v>77</v>
      </c>
      <c r="G3673" s="28" t="s">
        <v>77</v>
      </c>
      <c r="I3673" s="26" t="s">
        <v>77</v>
      </c>
      <c r="J3673" s="26" t="s">
        <v>77</v>
      </c>
      <c r="K3673" s="18"/>
      <c r="L3673" s="26" t="s">
        <v>77</v>
      </c>
      <c r="M3673" s="6" t="s">
        <v>77</v>
      </c>
      <c r="N3673" s="28" t="s">
        <v>77</v>
      </c>
      <c r="O3673" s="26" t="s">
        <v>77</v>
      </c>
    </row>
    <row r="3674">
      <c r="A3674" s="52" t="s">
        <v>77</v>
      </c>
      <c r="B3674" s="28" t="s">
        <v>77</v>
      </c>
      <c r="C3674" s="28" t="s">
        <v>77</v>
      </c>
      <c r="D3674" s="28" t="s">
        <v>77</v>
      </c>
      <c r="E3674" s="28" t="s">
        <v>77</v>
      </c>
      <c r="F3674" s="28" t="s">
        <v>77</v>
      </c>
      <c r="G3674" s="28" t="s">
        <v>77</v>
      </c>
      <c r="I3674" s="26" t="s">
        <v>77</v>
      </c>
      <c r="J3674" s="26" t="s">
        <v>77</v>
      </c>
      <c r="K3674" s="18"/>
      <c r="L3674" s="26" t="s">
        <v>77</v>
      </c>
      <c r="M3674" s="6" t="s">
        <v>77</v>
      </c>
      <c r="N3674" s="28" t="s">
        <v>77</v>
      </c>
      <c r="O3674" s="26" t="s">
        <v>77</v>
      </c>
    </row>
    <row r="3675">
      <c r="A3675" s="52" t="s">
        <v>77</v>
      </c>
      <c r="B3675" s="28" t="s">
        <v>77</v>
      </c>
      <c r="C3675" s="28" t="s">
        <v>77</v>
      </c>
      <c r="D3675" s="28" t="s">
        <v>77</v>
      </c>
      <c r="E3675" s="28" t="s">
        <v>77</v>
      </c>
      <c r="F3675" s="28" t="s">
        <v>77</v>
      </c>
      <c r="G3675" s="28" t="s">
        <v>77</v>
      </c>
      <c r="I3675" s="26" t="s">
        <v>77</v>
      </c>
      <c r="J3675" s="26" t="s">
        <v>77</v>
      </c>
      <c r="K3675" s="18"/>
      <c r="L3675" s="26" t="s">
        <v>77</v>
      </c>
      <c r="M3675" s="6" t="s">
        <v>77</v>
      </c>
      <c r="N3675" s="28" t="s">
        <v>77</v>
      </c>
      <c r="O3675" s="26" t="s">
        <v>77</v>
      </c>
    </row>
    <row r="3676">
      <c r="A3676" s="52" t="s">
        <v>77</v>
      </c>
      <c r="B3676" s="28" t="s">
        <v>77</v>
      </c>
      <c r="C3676" s="28" t="s">
        <v>77</v>
      </c>
      <c r="D3676" s="28" t="s">
        <v>77</v>
      </c>
      <c r="E3676" s="28" t="s">
        <v>77</v>
      </c>
      <c r="F3676" s="28" t="s">
        <v>77</v>
      </c>
      <c r="G3676" s="28" t="s">
        <v>77</v>
      </c>
      <c r="I3676" s="26" t="s">
        <v>77</v>
      </c>
      <c r="J3676" s="26" t="s">
        <v>77</v>
      </c>
      <c r="K3676" s="18"/>
      <c r="L3676" s="26" t="s">
        <v>77</v>
      </c>
      <c r="M3676" s="6" t="s">
        <v>77</v>
      </c>
      <c r="N3676" s="28" t="s">
        <v>77</v>
      </c>
      <c r="O3676" s="26" t="s">
        <v>77</v>
      </c>
    </row>
    <row r="3677">
      <c r="A3677" s="52" t="s">
        <v>77</v>
      </c>
      <c r="B3677" s="28" t="s">
        <v>77</v>
      </c>
      <c r="C3677" s="28" t="s">
        <v>77</v>
      </c>
      <c r="D3677" s="28" t="s">
        <v>77</v>
      </c>
      <c r="E3677" s="28" t="s">
        <v>77</v>
      </c>
      <c r="F3677" s="28" t="s">
        <v>77</v>
      </c>
      <c r="G3677" s="28" t="s">
        <v>77</v>
      </c>
      <c r="I3677" s="26" t="s">
        <v>77</v>
      </c>
      <c r="J3677" s="26" t="s">
        <v>77</v>
      </c>
      <c r="K3677" s="18"/>
      <c r="L3677" s="26" t="s">
        <v>77</v>
      </c>
      <c r="M3677" s="6" t="s">
        <v>77</v>
      </c>
      <c r="N3677" s="28" t="s">
        <v>77</v>
      </c>
      <c r="O3677" s="26" t="s">
        <v>77</v>
      </c>
    </row>
    <row r="3678">
      <c r="A3678" s="52" t="s">
        <v>77</v>
      </c>
      <c r="B3678" s="28" t="s">
        <v>77</v>
      </c>
      <c r="C3678" s="28" t="s">
        <v>77</v>
      </c>
      <c r="D3678" s="28" t="s">
        <v>77</v>
      </c>
      <c r="E3678" s="28" t="s">
        <v>77</v>
      </c>
      <c r="F3678" s="28" t="s">
        <v>77</v>
      </c>
      <c r="G3678" s="28" t="s">
        <v>77</v>
      </c>
      <c r="I3678" s="26" t="s">
        <v>77</v>
      </c>
      <c r="J3678" s="26" t="s">
        <v>77</v>
      </c>
      <c r="K3678" s="18"/>
      <c r="L3678" s="26" t="s">
        <v>77</v>
      </c>
      <c r="M3678" s="6" t="s">
        <v>77</v>
      </c>
      <c r="N3678" s="28" t="s">
        <v>77</v>
      </c>
      <c r="O3678" s="26" t="s">
        <v>77</v>
      </c>
    </row>
    <row r="3679">
      <c r="A3679" s="52" t="s">
        <v>77</v>
      </c>
      <c r="B3679" s="28" t="s">
        <v>77</v>
      </c>
      <c r="C3679" s="28" t="s">
        <v>77</v>
      </c>
      <c r="D3679" s="28" t="s">
        <v>77</v>
      </c>
      <c r="E3679" s="28" t="s">
        <v>77</v>
      </c>
      <c r="F3679" s="28" t="s">
        <v>77</v>
      </c>
      <c r="G3679" s="28" t="s">
        <v>77</v>
      </c>
      <c r="I3679" s="26" t="s">
        <v>77</v>
      </c>
      <c r="J3679" s="26" t="s">
        <v>77</v>
      </c>
      <c r="K3679" s="18"/>
      <c r="L3679" s="26" t="s">
        <v>77</v>
      </c>
      <c r="M3679" s="6" t="s">
        <v>77</v>
      </c>
      <c r="N3679" s="28" t="s">
        <v>77</v>
      </c>
      <c r="O3679" s="26" t="s">
        <v>77</v>
      </c>
    </row>
    <row r="3680">
      <c r="A3680" s="52" t="s">
        <v>77</v>
      </c>
      <c r="B3680" s="28" t="s">
        <v>77</v>
      </c>
      <c r="C3680" s="28" t="s">
        <v>77</v>
      </c>
      <c r="D3680" s="28" t="s">
        <v>77</v>
      </c>
      <c r="E3680" s="28" t="s">
        <v>77</v>
      </c>
      <c r="F3680" s="28" t="s">
        <v>77</v>
      </c>
      <c r="G3680" s="28" t="s">
        <v>77</v>
      </c>
      <c r="I3680" s="26" t="s">
        <v>77</v>
      </c>
      <c r="J3680" s="26" t="s">
        <v>77</v>
      </c>
      <c r="K3680" s="18"/>
      <c r="L3680" s="26" t="s">
        <v>77</v>
      </c>
      <c r="M3680" s="6" t="s">
        <v>77</v>
      </c>
      <c r="N3680" s="28" t="s">
        <v>77</v>
      </c>
      <c r="O3680" s="26" t="s">
        <v>77</v>
      </c>
    </row>
    <row r="3681">
      <c r="A3681" s="52" t="s">
        <v>77</v>
      </c>
      <c r="B3681" s="28" t="s">
        <v>77</v>
      </c>
      <c r="C3681" s="28" t="s">
        <v>77</v>
      </c>
      <c r="D3681" s="28" t="s">
        <v>77</v>
      </c>
      <c r="E3681" s="28" t="s">
        <v>77</v>
      </c>
      <c r="F3681" s="28" t="s">
        <v>77</v>
      </c>
      <c r="G3681" s="28" t="s">
        <v>77</v>
      </c>
      <c r="I3681" s="26" t="s">
        <v>77</v>
      </c>
      <c r="J3681" s="26" t="s">
        <v>77</v>
      </c>
      <c r="K3681" s="18"/>
      <c r="L3681" s="26" t="s">
        <v>77</v>
      </c>
      <c r="M3681" s="6" t="s">
        <v>77</v>
      </c>
      <c r="N3681" s="28" t="s">
        <v>77</v>
      </c>
      <c r="O3681" s="26" t="s">
        <v>77</v>
      </c>
    </row>
    <row r="3682">
      <c r="A3682" s="52" t="s">
        <v>77</v>
      </c>
      <c r="B3682" s="28" t="s">
        <v>77</v>
      </c>
      <c r="C3682" s="28" t="s">
        <v>77</v>
      </c>
      <c r="D3682" s="28" t="s">
        <v>77</v>
      </c>
      <c r="E3682" s="28" t="s">
        <v>77</v>
      </c>
      <c r="F3682" s="28" t="s">
        <v>77</v>
      </c>
      <c r="G3682" s="28" t="s">
        <v>77</v>
      </c>
      <c r="I3682" s="26" t="s">
        <v>77</v>
      </c>
      <c r="J3682" s="26" t="s">
        <v>77</v>
      </c>
      <c r="K3682" s="18"/>
      <c r="L3682" s="26" t="s">
        <v>77</v>
      </c>
      <c r="M3682" s="6" t="s">
        <v>77</v>
      </c>
      <c r="N3682" s="28" t="s">
        <v>77</v>
      </c>
      <c r="O3682" s="26" t="s">
        <v>77</v>
      </c>
    </row>
    <row r="3683">
      <c r="A3683" s="52" t="s">
        <v>77</v>
      </c>
      <c r="B3683" s="28" t="s">
        <v>77</v>
      </c>
      <c r="C3683" s="28" t="s">
        <v>77</v>
      </c>
      <c r="D3683" s="28" t="s">
        <v>77</v>
      </c>
      <c r="E3683" s="28" t="s">
        <v>77</v>
      </c>
      <c r="F3683" s="28" t="s">
        <v>77</v>
      </c>
      <c r="G3683" s="28" t="s">
        <v>77</v>
      </c>
      <c r="I3683" s="26" t="s">
        <v>77</v>
      </c>
      <c r="J3683" s="26" t="s">
        <v>77</v>
      </c>
      <c r="K3683" s="18"/>
      <c r="L3683" s="26" t="s">
        <v>77</v>
      </c>
      <c r="M3683" s="6" t="s">
        <v>77</v>
      </c>
      <c r="N3683" s="28" t="s">
        <v>77</v>
      </c>
      <c r="O3683" s="26" t="s">
        <v>77</v>
      </c>
    </row>
    <row r="3684">
      <c r="A3684" s="52" t="s">
        <v>77</v>
      </c>
      <c r="B3684" s="28" t="s">
        <v>77</v>
      </c>
      <c r="C3684" s="28" t="s">
        <v>77</v>
      </c>
      <c r="D3684" s="28" t="s">
        <v>77</v>
      </c>
      <c r="E3684" s="28" t="s">
        <v>77</v>
      </c>
      <c r="F3684" s="28" t="s">
        <v>77</v>
      </c>
      <c r="G3684" s="28" t="s">
        <v>77</v>
      </c>
      <c r="I3684" s="26" t="s">
        <v>77</v>
      </c>
      <c r="J3684" s="26" t="s">
        <v>77</v>
      </c>
      <c r="K3684" s="18"/>
      <c r="L3684" s="26" t="s">
        <v>77</v>
      </c>
      <c r="M3684" s="6" t="s">
        <v>77</v>
      </c>
      <c r="N3684" s="28" t="s">
        <v>77</v>
      </c>
      <c r="O3684" s="26" t="s">
        <v>77</v>
      </c>
    </row>
    <row r="3685">
      <c r="A3685" s="52" t="s">
        <v>77</v>
      </c>
      <c r="B3685" s="28" t="s">
        <v>77</v>
      </c>
      <c r="C3685" s="28" t="s">
        <v>77</v>
      </c>
      <c r="D3685" s="28" t="s">
        <v>77</v>
      </c>
      <c r="E3685" s="28" t="s">
        <v>77</v>
      </c>
      <c r="F3685" s="28" t="s">
        <v>77</v>
      </c>
      <c r="G3685" s="28" t="s">
        <v>77</v>
      </c>
      <c r="I3685" s="26" t="s">
        <v>77</v>
      </c>
      <c r="J3685" s="26" t="s">
        <v>77</v>
      </c>
      <c r="K3685" s="18"/>
      <c r="L3685" s="26" t="s">
        <v>77</v>
      </c>
      <c r="M3685" s="6" t="s">
        <v>77</v>
      </c>
      <c r="N3685" s="28" t="s">
        <v>77</v>
      </c>
      <c r="O3685" s="26" t="s">
        <v>77</v>
      </c>
    </row>
    <row r="3686">
      <c r="A3686" s="52" t="s">
        <v>77</v>
      </c>
      <c r="B3686" s="28" t="s">
        <v>77</v>
      </c>
      <c r="C3686" s="28" t="s">
        <v>77</v>
      </c>
      <c r="D3686" s="28" t="s">
        <v>77</v>
      </c>
      <c r="E3686" s="28" t="s">
        <v>77</v>
      </c>
      <c r="F3686" s="28" t="s">
        <v>77</v>
      </c>
      <c r="G3686" s="28" t="s">
        <v>77</v>
      </c>
      <c r="I3686" s="26" t="s">
        <v>77</v>
      </c>
      <c r="J3686" s="26" t="s">
        <v>77</v>
      </c>
      <c r="K3686" s="18"/>
      <c r="L3686" s="26" t="s">
        <v>77</v>
      </c>
      <c r="M3686" s="6" t="s">
        <v>77</v>
      </c>
      <c r="N3686" s="28" t="s">
        <v>77</v>
      </c>
      <c r="O3686" s="26" t="s">
        <v>77</v>
      </c>
    </row>
    <row r="3687">
      <c r="A3687" s="52" t="s">
        <v>77</v>
      </c>
      <c r="B3687" s="28" t="s">
        <v>77</v>
      </c>
      <c r="C3687" s="28" t="s">
        <v>77</v>
      </c>
      <c r="D3687" s="28" t="s">
        <v>77</v>
      </c>
      <c r="E3687" s="28" t="s">
        <v>77</v>
      </c>
      <c r="F3687" s="28" t="s">
        <v>77</v>
      </c>
      <c r="G3687" s="28" t="s">
        <v>77</v>
      </c>
      <c r="I3687" s="26" t="s">
        <v>77</v>
      </c>
      <c r="J3687" s="26" t="s">
        <v>77</v>
      </c>
      <c r="K3687" s="18"/>
      <c r="L3687" s="26" t="s">
        <v>77</v>
      </c>
      <c r="M3687" s="6" t="s">
        <v>77</v>
      </c>
      <c r="N3687" s="28" t="s">
        <v>77</v>
      </c>
      <c r="O3687" s="26" t="s">
        <v>77</v>
      </c>
    </row>
    <row r="3688">
      <c r="A3688" s="52" t="s">
        <v>77</v>
      </c>
      <c r="B3688" s="28" t="s">
        <v>77</v>
      </c>
      <c r="C3688" s="28" t="s">
        <v>77</v>
      </c>
      <c r="D3688" s="28" t="s">
        <v>77</v>
      </c>
      <c r="E3688" s="28" t="s">
        <v>77</v>
      </c>
      <c r="F3688" s="28" t="s">
        <v>77</v>
      </c>
      <c r="G3688" s="28" t="s">
        <v>77</v>
      </c>
      <c r="I3688" s="26" t="s">
        <v>77</v>
      </c>
      <c r="J3688" s="26" t="s">
        <v>77</v>
      </c>
      <c r="K3688" s="18"/>
      <c r="L3688" s="26" t="s">
        <v>77</v>
      </c>
      <c r="M3688" s="6" t="s">
        <v>77</v>
      </c>
      <c r="N3688" s="28" t="s">
        <v>77</v>
      </c>
      <c r="O3688" s="26" t="s">
        <v>77</v>
      </c>
    </row>
    <row r="3689">
      <c r="A3689" s="52" t="s">
        <v>77</v>
      </c>
      <c r="B3689" s="28" t="s">
        <v>77</v>
      </c>
      <c r="C3689" s="28" t="s">
        <v>77</v>
      </c>
      <c r="D3689" s="28" t="s">
        <v>77</v>
      </c>
      <c r="E3689" s="28" t="s">
        <v>77</v>
      </c>
      <c r="F3689" s="28" t="s">
        <v>77</v>
      </c>
      <c r="G3689" s="28" t="s">
        <v>77</v>
      </c>
      <c r="I3689" s="26" t="s">
        <v>77</v>
      </c>
      <c r="J3689" s="26" t="s">
        <v>77</v>
      </c>
      <c r="K3689" s="18"/>
      <c r="L3689" s="26" t="s">
        <v>77</v>
      </c>
      <c r="M3689" s="6" t="s">
        <v>77</v>
      </c>
      <c r="N3689" s="28" t="s">
        <v>77</v>
      </c>
      <c r="O3689" s="26" t="s">
        <v>77</v>
      </c>
    </row>
    <row r="3690">
      <c r="A3690" s="52" t="s">
        <v>77</v>
      </c>
      <c r="B3690" s="28" t="s">
        <v>77</v>
      </c>
      <c r="C3690" s="28" t="s">
        <v>77</v>
      </c>
      <c r="D3690" s="28" t="s">
        <v>77</v>
      </c>
      <c r="E3690" s="28" t="s">
        <v>77</v>
      </c>
      <c r="F3690" s="28" t="s">
        <v>77</v>
      </c>
      <c r="G3690" s="28" t="s">
        <v>77</v>
      </c>
      <c r="I3690" s="26" t="s">
        <v>77</v>
      </c>
      <c r="J3690" s="26" t="s">
        <v>77</v>
      </c>
      <c r="K3690" s="18"/>
      <c r="L3690" s="26" t="s">
        <v>77</v>
      </c>
      <c r="M3690" s="6" t="s">
        <v>77</v>
      </c>
      <c r="N3690" s="28" t="s">
        <v>77</v>
      </c>
      <c r="O3690" s="26" t="s">
        <v>77</v>
      </c>
    </row>
    <row r="3691">
      <c r="A3691" s="52" t="s">
        <v>77</v>
      </c>
      <c r="B3691" s="28" t="s">
        <v>77</v>
      </c>
      <c r="C3691" s="28" t="s">
        <v>77</v>
      </c>
      <c r="D3691" s="28" t="s">
        <v>77</v>
      </c>
      <c r="E3691" s="28" t="s">
        <v>77</v>
      </c>
      <c r="F3691" s="28" t="s">
        <v>77</v>
      </c>
      <c r="G3691" s="28" t="s">
        <v>77</v>
      </c>
      <c r="I3691" s="26" t="s">
        <v>77</v>
      </c>
      <c r="J3691" s="26" t="s">
        <v>77</v>
      </c>
      <c r="K3691" s="18"/>
      <c r="L3691" s="26" t="s">
        <v>77</v>
      </c>
      <c r="M3691" s="6" t="s">
        <v>77</v>
      </c>
      <c r="N3691" s="28" t="s">
        <v>77</v>
      </c>
      <c r="O3691" s="26" t="s">
        <v>77</v>
      </c>
    </row>
    <row r="3692">
      <c r="A3692" s="52" t="s">
        <v>77</v>
      </c>
      <c r="B3692" s="28" t="s">
        <v>77</v>
      </c>
      <c r="C3692" s="28" t="s">
        <v>77</v>
      </c>
      <c r="D3692" s="28" t="s">
        <v>77</v>
      </c>
      <c r="E3692" s="28" t="s">
        <v>77</v>
      </c>
      <c r="F3692" s="28" t="s">
        <v>77</v>
      </c>
      <c r="G3692" s="28" t="s">
        <v>77</v>
      </c>
      <c r="I3692" s="26" t="s">
        <v>77</v>
      </c>
      <c r="J3692" s="26" t="s">
        <v>77</v>
      </c>
      <c r="K3692" s="18"/>
      <c r="L3692" s="26" t="s">
        <v>77</v>
      </c>
      <c r="M3692" s="6" t="s">
        <v>77</v>
      </c>
      <c r="N3692" s="28" t="s">
        <v>77</v>
      </c>
      <c r="O3692" s="26" t="s">
        <v>77</v>
      </c>
    </row>
    <row r="3693">
      <c r="A3693" s="52" t="s">
        <v>77</v>
      </c>
      <c r="B3693" s="28" t="s">
        <v>77</v>
      </c>
      <c r="C3693" s="28" t="s">
        <v>77</v>
      </c>
      <c r="D3693" s="28" t="s">
        <v>77</v>
      </c>
      <c r="E3693" s="28" t="s">
        <v>77</v>
      </c>
      <c r="F3693" s="28" t="s">
        <v>77</v>
      </c>
      <c r="G3693" s="28" t="s">
        <v>77</v>
      </c>
      <c r="I3693" s="26" t="s">
        <v>77</v>
      </c>
      <c r="J3693" s="26" t="s">
        <v>77</v>
      </c>
      <c r="K3693" s="18"/>
      <c r="L3693" s="26" t="s">
        <v>77</v>
      </c>
      <c r="M3693" s="6" t="s">
        <v>77</v>
      </c>
      <c r="N3693" s="28" t="s">
        <v>77</v>
      </c>
      <c r="O3693" s="26" t="s">
        <v>77</v>
      </c>
    </row>
    <row r="3694">
      <c r="A3694" s="52" t="s">
        <v>77</v>
      </c>
      <c r="B3694" s="28" t="s">
        <v>77</v>
      </c>
      <c r="C3694" s="28" t="s">
        <v>77</v>
      </c>
      <c r="D3694" s="28" t="s">
        <v>77</v>
      </c>
      <c r="E3694" s="28" t="s">
        <v>77</v>
      </c>
      <c r="F3694" s="28" t="s">
        <v>77</v>
      </c>
      <c r="G3694" s="28" t="s">
        <v>77</v>
      </c>
      <c r="I3694" s="26" t="s">
        <v>77</v>
      </c>
      <c r="J3694" s="26" t="s">
        <v>77</v>
      </c>
      <c r="K3694" s="18"/>
      <c r="L3694" s="26" t="s">
        <v>77</v>
      </c>
      <c r="M3694" s="6" t="s">
        <v>77</v>
      </c>
      <c r="N3694" s="28" t="s">
        <v>77</v>
      </c>
      <c r="O3694" s="26" t="s">
        <v>77</v>
      </c>
    </row>
    <row r="3695">
      <c r="A3695" s="52" t="s">
        <v>77</v>
      </c>
      <c r="B3695" s="28" t="s">
        <v>77</v>
      </c>
      <c r="C3695" s="28" t="s">
        <v>77</v>
      </c>
      <c r="D3695" s="28" t="s">
        <v>77</v>
      </c>
      <c r="E3695" s="28" t="s">
        <v>77</v>
      </c>
      <c r="F3695" s="28" t="s">
        <v>77</v>
      </c>
      <c r="G3695" s="28" t="s">
        <v>77</v>
      </c>
      <c r="I3695" s="26" t="s">
        <v>77</v>
      </c>
      <c r="J3695" s="26" t="s">
        <v>77</v>
      </c>
      <c r="K3695" s="18"/>
      <c r="L3695" s="26" t="s">
        <v>77</v>
      </c>
      <c r="M3695" s="6" t="s">
        <v>77</v>
      </c>
      <c r="N3695" s="28" t="s">
        <v>77</v>
      </c>
      <c r="O3695" s="26" t="s">
        <v>77</v>
      </c>
    </row>
    <row r="3696">
      <c r="A3696" s="52" t="s">
        <v>77</v>
      </c>
      <c r="B3696" s="28" t="s">
        <v>77</v>
      </c>
      <c r="C3696" s="28" t="s">
        <v>77</v>
      </c>
      <c r="D3696" s="28" t="s">
        <v>77</v>
      </c>
      <c r="E3696" s="28" t="s">
        <v>77</v>
      </c>
      <c r="F3696" s="28" t="s">
        <v>77</v>
      </c>
      <c r="G3696" s="28" t="s">
        <v>77</v>
      </c>
      <c r="I3696" s="26" t="s">
        <v>77</v>
      </c>
      <c r="J3696" s="26" t="s">
        <v>77</v>
      </c>
      <c r="K3696" s="18"/>
      <c r="L3696" s="26" t="s">
        <v>77</v>
      </c>
      <c r="M3696" s="6" t="s">
        <v>77</v>
      </c>
      <c r="N3696" s="28" t="s">
        <v>77</v>
      </c>
      <c r="O3696" s="26" t="s">
        <v>77</v>
      </c>
    </row>
    <row r="3697">
      <c r="A3697" s="52" t="s">
        <v>77</v>
      </c>
      <c r="B3697" s="28" t="s">
        <v>77</v>
      </c>
      <c r="C3697" s="28" t="s">
        <v>77</v>
      </c>
      <c r="D3697" s="28" t="s">
        <v>77</v>
      </c>
      <c r="E3697" s="28" t="s">
        <v>77</v>
      </c>
      <c r="F3697" s="28" t="s">
        <v>77</v>
      </c>
      <c r="G3697" s="28" t="s">
        <v>77</v>
      </c>
      <c r="I3697" s="26" t="s">
        <v>77</v>
      </c>
      <c r="J3697" s="26" t="s">
        <v>77</v>
      </c>
      <c r="K3697" s="18"/>
      <c r="L3697" s="26" t="s">
        <v>77</v>
      </c>
      <c r="M3697" s="6" t="s">
        <v>77</v>
      </c>
      <c r="N3697" s="28" t="s">
        <v>77</v>
      </c>
      <c r="O3697" s="26" t="s">
        <v>77</v>
      </c>
    </row>
    <row r="3698">
      <c r="A3698" s="52" t="s">
        <v>77</v>
      </c>
      <c r="B3698" s="28" t="s">
        <v>77</v>
      </c>
      <c r="C3698" s="28" t="s">
        <v>77</v>
      </c>
      <c r="D3698" s="28" t="s">
        <v>77</v>
      </c>
      <c r="E3698" s="28" t="s">
        <v>77</v>
      </c>
      <c r="F3698" s="28" t="s">
        <v>77</v>
      </c>
      <c r="G3698" s="28" t="s">
        <v>77</v>
      </c>
      <c r="I3698" s="26" t="s">
        <v>77</v>
      </c>
      <c r="J3698" s="26" t="s">
        <v>77</v>
      </c>
      <c r="K3698" s="18"/>
      <c r="L3698" s="26" t="s">
        <v>77</v>
      </c>
      <c r="M3698" s="6" t="s">
        <v>77</v>
      </c>
      <c r="N3698" s="28" t="s">
        <v>77</v>
      </c>
      <c r="O3698" s="26" t="s">
        <v>77</v>
      </c>
    </row>
    <row r="3699">
      <c r="A3699" s="52" t="s">
        <v>77</v>
      </c>
      <c r="B3699" s="28" t="s">
        <v>77</v>
      </c>
      <c r="C3699" s="28" t="s">
        <v>77</v>
      </c>
      <c r="D3699" s="28" t="s">
        <v>77</v>
      </c>
      <c r="E3699" s="28" t="s">
        <v>77</v>
      </c>
      <c r="F3699" s="28" t="s">
        <v>77</v>
      </c>
      <c r="G3699" s="28" t="s">
        <v>77</v>
      </c>
      <c r="I3699" s="26" t="s">
        <v>77</v>
      </c>
      <c r="J3699" s="26" t="s">
        <v>77</v>
      </c>
      <c r="K3699" s="18"/>
      <c r="L3699" s="26" t="s">
        <v>77</v>
      </c>
      <c r="M3699" s="6" t="s">
        <v>77</v>
      </c>
      <c r="N3699" s="28" t="s">
        <v>77</v>
      </c>
      <c r="O3699" s="26" t="s">
        <v>77</v>
      </c>
    </row>
    <row r="3700">
      <c r="A3700" s="52" t="s">
        <v>77</v>
      </c>
      <c r="B3700" s="28" t="s">
        <v>77</v>
      </c>
      <c r="C3700" s="28" t="s">
        <v>77</v>
      </c>
      <c r="D3700" s="28" t="s">
        <v>77</v>
      </c>
      <c r="E3700" s="28" t="s">
        <v>77</v>
      </c>
      <c r="F3700" s="28" t="s">
        <v>77</v>
      </c>
      <c r="G3700" s="28" t="s">
        <v>77</v>
      </c>
      <c r="I3700" s="26" t="s">
        <v>77</v>
      </c>
      <c r="J3700" s="26" t="s">
        <v>77</v>
      </c>
      <c r="K3700" s="18"/>
      <c r="L3700" s="26" t="s">
        <v>77</v>
      </c>
      <c r="M3700" s="6" t="s">
        <v>77</v>
      </c>
      <c r="N3700" s="28" t="s">
        <v>77</v>
      </c>
      <c r="O3700" s="26" t="s">
        <v>77</v>
      </c>
    </row>
    <row r="3701">
      <c r="A3701" s="52" t="s">
        <v>77</v>
      </c>
      <c r="B3701" s="28" t="s">
        <v>77</v>
      </c>
      <c r="C3701" s="28" t="s">
        <v>77</v>
      </c>
      <c r="D3701" s="28" t="s">
        <v>77</v>
      </c>
      <c r="E3701" s="28" t="s">
        <v>77</v>
      </c>
      <c r="F3701" s="28" t="s">
        <v>77</v>
      </c>
      <c r="G3701" s="28" t="s">
        <v>77</v>
      </c>
      <c r="I3701" s="26" t="s">
        <v>77</v>
      </c>
      <c r="J3701" s="26" t="s">
        <v>77</v>
      </c>
      <c r="K3701" s="18"/>
      <c r="L3701" s="26" t="s">
        <v>77</v>
      </c>
      <c r="M3701" s="6" t="s">
        <v>77</v>
      </c>
      <c r="N3701" s="28" t="s">
        <v>77</v>
      </c>
      <c r="O3701" s="26" t="s">
        <v>77</v>
      </c>
    </row>
    <row r="3702">
      <c r="A3702" s="52" t="s">
        <v>77</v>
      </c>
      <c r="B3702" s="28" t="s">
        <v>77</v>
      </c>
      <c r="C3702" s="28" t="s">
        <v>77</v>
      </c>
      <c r="D3702" s="28" t="s">
        <v>77</v>
      </c>
      <c r="E3702" s="28" t="s">
        <v>77</v>
      </c>
      <c r="F3702" s="28" t="s">
        <v>77</v>
      </c>
      <c r="G3702" s="28" t="s">
        <v>77</v>
      </c>
      <c r="I3702" s="26" t="s">
        <v>77</v>
      </c>
      <c r="J3702" s="26" t="s">
        <v>77</v>
      </c>
      <c r="K3702" s="18"/>
      <c r="L3702" s="26" t="s">
        <v>77</v>
      </c>
      <c r="M3702" s="6" t="s">
        <v>77</v>
      </c>
      <c r="N3702" s="28" t="s">
        <v>77</v>
      </c>
      <c r="O3702" s="26" t="s">
        <v>77</v>
      </c>
    </row>
    <row r="3703">
      <c r="A3703" s="52" t="s">
        <v>77</v>
      </c>
      <c r="B3703" s="28" t="s">
        <v>77</v>
      </c>
      <c r="C3703" s="28" t="s">
        <v>77</v>
      </c>
      <c r="D3703" s="28" t="s">
        <v>77</v>
      </c>
      <c r="E3703" s="28" t="s">
        <v>77</v>
      </c>
      <c r="F3703" s="28" t="s">
        <v>77</v>
      </c>
      <c r="G3703" s="28" t="s">
        <v>77</v>
      </c>
      <c r="I3703" s="26" t="s">
        <v>77</v>
      </c>
      <c r="J3703" s="26" t="s">
        <v>77</v>
      </c>
      <c r="K3703" s="18"/>
      <c r="L3703" s="26" t="s">
        <v>77</v>
      </c>
      <c r="M3703" s="6" t="s">
        <v>77</v>
      </c>
      <c r="N3703" s="28" t="s">
        <v>77</v>
      </c>
      <c r="O3703" s="26" t="s">
        <v>77</v>
      </c>
    </row>
    <row r="3704">
      <c r="A3704" s="52" t="s">
        <v>77</v>
      </c>
      <c r="B3704" s="28" t="s">
        <v>77</v>
      </c>
      <c r="C3704" s="28" t="s">
        <v>77</v>
      </c>
      <c r="D3704" s="28" t="s">
        <v>77</v>
      </c>
      <c r="E3704" s="28" t="s">
        <v>77</v>
      </c>
      <c r="F3704" s="28" t="s">
        <v>77</v>
      </c>
      <c r="G3704" s="28" t="s">
        <v>77</v>
      </c>
      <c r="I3704" s="26" t="s">
        <v>77</v>
      </c>
      <c r="J3704" s="26" t="s">
        <v>77</v>
      </c>
      <c r="K3704" s="18"/>
      <c r="L3704" s="26" t="s">
        <v>77</v>
      </c>
      <c r="M3704" s="6" t="s">
        <v>77</v>
      </c>
      <c r="N3704" s="28" t="s">
        <v>77</v>
      </c>
      <c r="O3704" s="26" t="s">
        <v>77</v>
      </c>
    </row>
    <row r="3705">
      <c r="A3705" s="52" t="s">
        <v>77</v>
      </c>
      <c r="B3705" s="28" t="s">
        <v>77</v>
      </c>
      <c r="C3705" s="28" t="s">
        <v>77</v>
      </c>
      <c r="D3705" s="28" t="s">
        <v>77</v>
      </c>
      <c r="E3705" s="28" t="s">
        <v>77</v>
      </c>
      <c r="F3705" s="28" t="s">
        <v>77</v>
      </c>
      <c r="G3705" s="28" t="s">
        <v>77</v>
      </c>
      <c r="I3705" s="26" t="s">
        <v>77</v>
      </c>
      <c r="J3705" s="26" t="s">
        <v>77</v>
      </c>
      <c r="K3705" s="18"/>
      <c r="L3705" s="26" t="s">
        <v>77</v>
      </c>
      <c r="M3705" s="6" t="s">
        <v>77</v>
      </c>
      <c r="N3705" s="28" t="s">
        <v>77</v>
      </c>
      <c r="O3705" s="26" t="s">
        <v>77</v>
      </c>
    </row>
    <row r="3706">
      <c r="A3706" s="52" t="s">
        <v>77</v>
      </c>
      <c r="B3706" s="28" t="s">
        <v>77</v>
      </c>
      <c r="C3706" s="28" t="s">
        <v>77</v>
      </c>
      <c r="D3706" s="28" t="s">
        <v>77</v>
      </c>
      <c r="E3706" s="28" t="s">
        <v>77</v>
      </c>
      <c r="F3706" s="28" t="s">
        <v>77</v>
      </c>
      <c r="G3706" s="28" t="s">
        <v>77</v>
      </c>
      <c r="I3706" s="26" t="s">
        <v>77</v>
      </c>
      <c r="J3706" s="26" t="s">
        <v>77</v>
      </c>
      <c r="K3706" s="18"/>
      <c r="L3706" s="26" t="s">
        <v>77</v>
      </c>
      <c r="M3706" s="6" t="s">
        <v>77</v>
      </c>
      <c r="N3706" s="28" t="s">
        <v>77</v>
      </c>
      <c r="O3706" s="26" t="s">
        <v>77</v>
      </c>
    </row>
    <row r="3707">
      <c r="A3707" s="52" t="s">
        <v>77</v>
      </c>
      <c r="B3707" s="28" t="s">
        <v>77</v>
      </c>
      <c r="C3707" s="28" t="s">
        <v>77</v>
      </c>
      <c r="D3707" s="28" t="s">
        <v>77</v>
      </c>
      <c r="E3707" s="28" t="s">
        <v>77</v>
      </c>
      <c r="F3707" s="28" t="s">
        <v>77</v>
      </c>
      <c r="G3707" s="28" t="s">
        <v>77</v>
      </c>
      <c r="I3707" s="26" t="s">
        <v>77</v>
      </c>
      <c r="J3707" s="26" t="s">
        <v>77</v>
      </c>
      <c r="K3707" s="18"/>
      <c r="L3707" s="26" t="s">
        <v>77</v>
      </c>
      <c r="M3707" s="6" t="s">
        <v>77</v>
      </c>
      <c r="N3707" s="28" t="s">
        <v>77</v>
      </c>
      <c r="O3707" s="26" t="s">
        <v>77</v>
      </c>
    </row>
    <row r="3708">
      <c r="A3708" s="52" t="s">
        <v>77</v>
      </c>
      <c r="B3708" s="28" t="s">
        <v>77</v>
      </c>
      <c r="C3708" s="28" t="s">
        <v>77</v>
      </c>
      <c r="D3708" s="28" t="s">
        <v>77</v>
      </c>
      <c r="E3708" s="28" t="s">
        <v>77</v>
      </c>
      <c r="F3708" s="28" t="s">
        <v>77</v>
      </c>
      <c r="G3708" s="28" t="s">
        <v>77</v>
      </c>
      <c r="I3708" s="26" t="s">
        <v>77</v>
      </c>
      <c r="J3708" s="26" t="s">
        <v>77</v>
      </c>
      <c r="K3708" s="18"/>
      <c r="L3708" s="26" t="s">
        <v>77</v>
      </c>
      <c r="M3708" s="6" t="s">
        <v>77</v>
      </c>
      <c r="N3708" s="28" t="s">
        <v>77</v>
      </c>
      <c r="O3708" s="26" t="s">
        <v>77</v>
      </c>
    </row>
    <row r="3709">
      <c r="A3709" s="52" t="s">
        <v>77</v>
      </c>
      <c r="B3709" s="28" t="s">
        <v>77</v>
      </c>
      <c r="C3709" s="28" t="s">
        <v>77</v>
      </c>
      <c r="D3709" s="28" t="s">
        <v>77</v>
      </c>
      <c r="E3709" s="28" t="s">
        <v>77</v>
      </c>
      <c r="F3709" s="28" t="s">
        <v>77</v>
      </c>
      <c r="G3709" s="28" t="s">
        <v>77</v>
      </c>
      <c r="I3709" s="26" t="s">
        <v>77</v>
      </c>
      <c r="J3709" s="26" t="s">
        <v>77</v>
      </c>
      <c r="K3709" s="18"/>
      <c r="L3709" s="26" t="s">
        <v>77</v>
      </c>
      <c r="M3709" s="6" t="s">
        <v>77</v>
      </c>
      <c r="N3709" s="28" t="s">
        <v>77</v>
      </c>
      <c r="O3709" s="26" t="s">
        <v>77</v>
      </c>
    </row>
    <row r="3710">
      <c r="A3710" s="52" t="s">
        <v>77</v>
      </c>
      <c r="B3710" s="28" t="s">
        <v>77</v>
      </c>
      <c r="C3710" s="28" t="s">
        <v>77</v>
      </c>
      <c r="D3710" s="28" t="s">
        <v>77</v>
      </c>
      <c r="E3710" s="28" t="s">
        <v>77</v>
      </c>
      <c r="F3710" s="28" t="s">
        <v>77</v>
      </c>
      <c r="G3710" s="28" t="s">
        <v>77</v>
      </c>
      <c r="I3710" s="26" t="s">
        <v>77</v>
      </c>
      <c r="J3710" s="26" t="s">
        <v>77</v>
      </c>
      <c r="K3710" s="18"/>
      <c r="L3710" s="26" t="s">
        <v>77</v>
      </c>
      <c r="M3710" s="6" t="s">
        <v>77</v>
      </c>
      <c r="N3710" s="28" t="s">
        <v>77</v>
      </c>
      <c r="O3710" s="26" t="s">
        <v>77</v>
      </c>
    </row>
    <row r="3711">
      <c r="A3711" s="52" t="s">
        <v>77</v>
      </c>
      <c r="B3711" s="28" t="s">
        <v>77</v>
      </c>
      <c r="C3711" s="28" t="s">
        <v>77</v>
      </c>
      <c r="D3711" s="28" t="s">
        <v>77</v>
      </c>
      <c r="E3711" s="28" t="s">
        <v>77</v>
      </c>
      <c r="F3711" s="28" t="s">
        <v>77</v>
      </c>
      <c r="G3711" s="28" t="s">
        <v>77</v>
      </c>
      <c r="I3711" s="26" t="s">
        <v>77</v>
      </c>
      <c r="J3711" s="26" t="s">
        <v>77</v>
      </c>
      <c r="K3711" s="18"/>
      <c r="L3711" s="26" t="s">
        <v>77</v>
      </c>
      <c r="M3711" s="6" t="s">
        <v>77</v>
      </c>
      <c r="N3711" s="28" t="s">
        <v>77</v>
      </c>
      <c r="O3711" s="26" t="s">
        <v>77</v>
      </c>
    </row>
    <row r="3712">
      <c r="A3712" s="52" t="s">
        <v>77</v>
      </c>
      <c r="B3712" s="28" t="s">
        <v>77</v>
      </c>
      <c r="C3712" s="28" t="s">
        <v>77</v>
      </c>
      <c r="D3712" s="28" t="s">
        <v>77</v>
      </c>
      <c r="E3712" s="28" t="s">
        <v>77</v>
      </c>
      <c r="F3712" s="28" t="s">
        <v>77</v>
      </c>
      <c r="G3712" s="28" t="s">
        <v>77</v>
      </c>
      <c r="I3712" s="26" t="s">
        <v>77</v>
      </c>
      <c r="J3712" s="26" t="s">
        <v>77</v>
      </c>
      <c r="K3712" s="18"/>
      <c r="L3712" s="26" t="s">
        <v>77</v>
      </c>
      <c r="M3712" s="6" t="s">
        <v>77</v>
      </c>
      <c r="N3712" s="28" t="s">
        <v>77</v>
      </c>
      <c r="O3712" s="26" t="s">
        <v>77</v>
      </c>
    </row>
    <row r="3713">
      <c r="A3713" s="52" t="s">
        <v>77</v>
      </c>
      <c r="B3713" s="28" t="s">
        <v>77</v>
      </c>
      <c r="C3713" s="28" t="s">
        <v>77</v>
      </c>
      <c r="D3713" s="28" t="s">
        <v>77</v>
      </c>
      <c r="E3713" s="28" t="s">
        <v>77</v>
      </c>
      <c r="F3713" s="28" t="s">
        <v>77</v>
      </c>
      <c r="G3713" s="28" t="s">
        <v>77</v>
      </c>
      <c r="I3713" s="26" t="s">
        <v>77</v>
      </c>
      <c r="J3713" s="26" t="s">
        <v>77</v>
      </c>
      <c r="K3713" s="18"/>
      <c r="L3713" s="26" t="s">
        <v>77</v>
      </c>
      <c r="M3713" s="6" t="s">
        <v>77</v>
      </c>
      <c r="N3713" s="28" t="s">
        <v>77</v>
      </c>
      <c r="O3713" s="26" t="s">
        <v>77</v>
      </c>
    </row>
    <row r="3714">
      <c r="A3714" s="52" t="s">
        <v>77</v>
      </c>
      <c r="B3714" s="28" t="s">
        <v>77</v>
      </c>
      <c r="C3714" s="28" t="s">
        <v>77</v>
      </c>
      <c r="D3714" s="28" t="s">
        <v>77</v>
      </c>
      <c r="E3714" s="28" t="s">
        <v>77</v>
      </c>
      <c r="F3714" s="28" t="s">
        <v>77</v>
      </c>
      <c r="G3714" s="28" t="s">
        <v>77</v>
      </c>
      <c r="I3714" s="26" t="s">
        <v>77</v>
      </c>
      <c r="J3714" s="26" t="s">
        <v>77</v>
      </c>
      <c r="K3714" s="18"/>
      <c r="L3714" s="26" t="s">
        <v>77</v>
      </c>
      <c r="M3714" s="6" t="s">
        <v>77</v>
      </c>
      <c r="N3714" s="28" t="s">
        <v>77</v>
      </c>
      <c r="O3714" s="26" t="s">
        <v>77</v>
      </c>
    </row>
    <row r="3715">
      <c r="A3715" s="52" t="s">
        <v>77</v>
      </c>
      <c r="B3715" s="28" t="s">
        <v>77</v>
      </c>
      <c r="C3715" s="28" t="s">
        <v>77</v>
      </c>
      <c r="D3715" s="28" t="s">
        <v>77</v>
      </c>
      <c r="E3715" s="28" t="s">
        <v>77</v>
      </c>
      <c r="F3715" s="28" t="s">
        <v>77</v>
      </c>
      <c r="G3715" s="28" t="s">
        <v>77</v>
      </c>
      <c r="I3715" s="26" t="s">
        <v>77</v>
      </c>
      <c r="J3715" s="26" t="s">
        <v>77</v>
      </c>
      <c r="K3715" s="18"/>
      <c r="L3715" s="26" t="s">
        <v>77</v>
      </c>
      <c r="M3715" s="6" t="s">
        <v>77</v>
      </c>
      <c r="N3715" s="28" t="s">
        <v>77</v>
      </c>
      <c r="O3715" s="26" t="s">
        <v>77</v>
      </c>
    </row>
    <row r="3716">
      <c r="A3716" s="52" t="s">
        <v>77</v>
      </c>
      <c r="B3716" s="28" t="s">
        <v>77</v>
      </c>
      <c r="C3716" s="28" t="s">
        <v>77</v>
      </c>
      <c r="D3716" s="28" t="s">
        <v>77</v>
      </c>
      <c r="E3716" s="28" t="s">
        <v>77</v>
      </c>
      <c r="F3716" s="28" t="s">
        <v>77</v>
      </c>
      <c r="G3716" s="28" t="s">
        <v>77</v>
      </c>
      <c r="I3716" s="26" t="s">
        <v>77</v>
      </c>
      <c r="J3716" s="26" t="s">
        <v>77</v>
      </c>
      <c r="K3716" s="18"/>
      <c r="L3716" s="26" t="s">
        <v>77</v>
      </c>
      <c r="M3716" s="6" t="s">
        <v>77</v>
      </c>
      <c r="N3716" s="28" t="s">
        <v>77</v>
      </c>
      <c r="O3716" s="26" t="s">
        <v>77</v>
      </c>
    </row>
    <row r="3717">
      <c r="A3717" s="52" t="s">
        <v>77</v>
      </c>
      <c r="B3717" s="28" t="s">
        <v>77</v>
      </c>
      <c r="C3717" s="28" t="s">
        <v>77</v>
      </c>
      <c r="D3717" s="28" t="s">
        <v>77</v>
      </c>
      <c r="E3717" s="28" t="s">
        <v>77</v>
      </c>
      <c r="F3717" s="28" t="s">
        <v>77</v>
      </c>
      <c r="G3717" s="28" t="s">
        <v>77</v>
      </c>
      <c r="I3717" s="26" t="s">
        <v>77</v>
      </c>
      <c r="J3717" s="26" t="s">
        <v>77</v>
      </c>
      <c r="K3717" s="18"/>
      <c r="L3717" s="26" t="s">
        <v>77</v>
      </c>
      <c r="M3717" s="6" t="s">
        <v>77</v>
      </c>
      <c r="N3717" s="28" t="s">
        <v>77</v>
      </c>
      <c r="O3717" s="26" t="s">
        <v>77</v>
      </c>
    </row>
    <row r="3718">
      <c r="A3718" s="52" t="s">
        <v>77</v>
      </c>
      <c r="B3718" s="28" t="s">
        <v>77</v>
      </c>
      <c r="C3718" s="28" t="s">
        <v>77</v>
      </c>
      <c r="D3718" s="28" t="s">
        <v>77</v>
      </c>
      <c r="E3718" s="28" t="s">
        <v>77</v>
      </c>
      <c r="F3718" s="28" t="s">
        <v>77</v>
      </c>
      <c r="G3718" s="28" t="s">
        <v>77</v>
      </c>
      <c r="I3718" s="26" t="s">
        <v>77</v>
      </c>
      <c r="J3718" s="26" t="s">
        <v>77</v>
      </c>
      <c r="K3718" s="18"/>
      <c r="L3718" s="26" t="s">
        <v>77</v>
      </c>
      <c r="M3718" s="6" t="s">
        <v>77</v>
      </c>
      <c r="N3718" s="28" t="s">
        <v>77</v>
      </c>
      <c r="O3718" s="26" t="s">
        <v>77</v>
      </c>
    </row>
    <row r="3719">
      <c r="A3719" s="52" t="s">
        <v>77</v>
      </c>
      <c r="B3719" s="28" t="s">
        <v>77</v>
      </c>
      <c r="C3719" s="28" t="s">
        <v>77</v>
      </c>
      <c r="D3719" s="28" t="s">
        <v>77</v>
      </c>
      <c r="E3719" s="28" t="s">
        <v>77</v>
      </c>
      <c r="F3719" s="28" t="s">
        <v>77</v>
      </c>
      <c r="G3719" s="28" t="s">
        <v>77</v>
      </c>
      <c r="I3719" s="26" t="s">
        <v>77</v>
      </c>
      <c r="J3719" s="26" t="s">
        <v>77</v>
      </c>
      <c r="K3719" s="18"/>
      <c r="L3719" s="26" t="s">
        <v>77</v>
      </c>
      <c r="M3719" s="6" t="s">
        <v>77</v>
      </c>
      <c r="N3719" s="28" t="s">
        <v>77</v>
      </c>
      <c r="O3719" s="26" t="s">
        <v>77</v>
      </c>
    </row>
    <row r="3720">
      <c r="A3720" s="52" t="s">
        <v>77</v>
      </c>
      <c r="B3720" s="28" t="s">
        <v>77</v>
      </c>
      <c r="C3720" s="28" t="s">
        <v>77</v>
      </c>
      <c r="D3720" s="28" t="s">
        <v>77</v>
      </c>
      <c r="E3720" s="28" t="s">
        <v>77</v>
      </c>
      <c r="F3720" s="28" t="s">
        <v>77</v>
      </c>
      <c r="G3720" s="28" t="s">
        <v>77</v>
      </c>
      <c r="I3720" s="26" t="s">
        <v>77</v>
      </c>
      <c r="J3720" s="26" t="s">
        <v>77</v>
      </c>
      <c r="K3720" s="18"/>
      <c r="L3720" s="26" t="s">
        <v>77</v>
      </c>
      <c r="M3720" s="6" t="s">
        <v>77</v>
      </c>
      <c r="N3720" s="28" t="s">
        <v>77</v>
      </c>
      <c r="O3720" s="26" t="s">
        <v>77</v>
      </c>
    </row>
    <row r="3721">
      <c r="A3721" s="52" t="s">
        <v>77</v>
      </c>
      <c r="B3721" s="28" t="s">
        <v>77</v>
      </c>
      <c r="C3721" s="28" t="s">
        <v>77</v>
      </c>
      <c r="D3721" s="28" t="s">
        <v>77</v>
      </c>
      <c r="E3721" s="28" t="s">
        <v>77</v>
      </c>
      <c r="F3721" s="28" t="s">
        <v>77</v>
      </c>
      <c r="G3721" s="28" t="s">
        <v>77</v>
      </c>
      <c r="I3721" s="26" t="s">
        <v>77</v>
      </c>
      <c r="J3721" s="26" t="s">
        <v>77</v>
      </c>
      <c r="K3721" s="18"/>
      <c r="L3721" s="26" t="s">
        <v>77</v>
      </c>
      <c r="M3721" s="6" t="s">
        <v>77</v>
      </c>
      <c r="N3721" s="28" t="s">
        <v>77</v>
      </c>
      <c r="O3721" s="26" t="s">
        <v>77</v>
      </c>
    </row>
    <row r="3722">
      <c r="A3722" s="52" t="s">
        <v>77</v>
      </c>
      <c r="B3722" s="28" t="s">
        <v>77</v>
      </c>
      <c r="C3722" s="28" t="s">
        <v>77</v>
      </c>
      <c r="D3722" s="28" t="s">
        <v>77</v>
      </c>
      <c r="E3722" s="28" t="s">
        <v>77</v>
      </c>
      <c r="F3722" s="28" t="s">
        <v>77</v>
      </c>
      <c r="G3722" s="28" t="s">
        <v>77</v>
      </c>
      <c r="I3722" s="26" t="s">
        <v>77</v>
      </c>
      <c r="J3722" s="26" t="s">
        <v>77</v>
      </c>
      <c r="K3722" s="18"/>
      <c r="L3722" s="26" t="s">
        <v>77</v>
      </c>
      <c r="M3722" s="6" t="s">
        <v>77</v>
      </c>
      <c r="N3722" s="28" t="s">
        <v>77</v>
      </c>
      <c r="O3722" s="26" t="s">
        <v>77</v>
      </c>
    </row>
    <row r="3723">
      <c r="A3723" s="52" t="s">
        <v>77</v>
      </c>
      <c r="B3723" s="28" t="s">
        <v>77</v>
      </c>
      <c r="C3723" s="28" t="s">
        <v>77</v>
      </c>
      <c r="D3723" s="28" t="s">
        <v>77</v>
      </c>
      <c r="E3723" s="28" t="s">
        <v>77</v>
      </c>
      <c r="F3723" s="28" t="s">
        <v>77</v>
      </c>
      <c r="G3723" s="28" t="s">
        <v>77</v>
      </c>
      <c r="I3723" s="26" t="s">
        <v>77</v>
      </c>
      <c r="J3723" s="26" t="s">
        <v>77</v>
      </c>
      <c r="K3723" s="18"/>
      <c r="L3723" s="26" t="s">
        <v>77</v>
      </c>
      <c r="M3723" s="6" t="s">
        <v>77</v>
      </c>
      <c r="N3723" s="28" t="s">
        <v>77</v>
      </c>
      <c r="O3723" s="26" t="s">
        <v>77</v>
      </c>
    </row>
    <row r="3724">
      <c r="A3724" s="52" t="s">
        <v>77</v>
      </c>
      <c r="B3724" s="28" t="s">
        <v>77</v>
      </c>
      <c r="C3724" s="28" t="s">
        <v>77</v>
      </c>
      <c r="D3724" s="28" t="s">
        <v>77</v>
      </c>
      <c r="E3724" s="28" t="s">
        <v>77</v>
      </c>
      <c r="F3724" s="28" t="s">
        <v>77</v>
      </c>
      <c r="G3724" s="28" t="s">
        <v>77</v>
      </c>
      <c r="I3724" s="26" t="s">
        <v>77</v>
      </c>
      <c r="J3724" s="26" t="s">
        <v>77</v>
      </c>
      <c r="K3724" s="18"/>
      <c r="L3724" s="26" t="s">
        <v>77</v>
      </c>
      <c r="M3724" s="6" t="s">
        <v>77</v>
      </c>
      <c r="N3724" s="28" t="s">
        <v>77</v>
      </c>
      <c r="O3724" s="26" t="s">
        <v>77</v>
      </c>
    </row>
    <row r="3725">
      <c r="A3725" s="52" t="s">
        <v>77</v>
      </c>
      <c r="B3725" s="28" t="s">
        <v>77</v>
      </c>
      <c r="C3725" s="28" t="s">
        <v>77</v>
      </c>
      <c r="D3725" s="28" t="s">
        <v>77</v>
      </c>
      <c r="E3725" s="28" t="s">
        <v>77</v>
      </c>
      <c r="F3725" s="28" t="s">
        <v>77</v>
      </c>
      <c r="G3725" s="28" t="s">
        <v>77</v>
      </c>
      <c r="I3725" s="26" t="s">
        <v>77</v>
      </c>
      <c r="J3725" s="26" t="s">
        <v>77</v>
      </c>
      <c r="K3725" s="18"/>
      <c r="L3725" s="26" t="s">
        <v>77</v>
      </c>
      <c r="M3725" s="6" t="s">
        <v>77</v>
      </c>
      <c r="N3725" s="28" t="s">
        <v>77</v>
      </c>
      <c r="O3725" s="26" t="s">
        <v>77</v>
      </c>
    </row>
    <row r="3726">
      <c r="A3726" s="52" t="s">
        <v>77</v>
      </c>
      <c r="B3726" s="28" t="s">
        <v>77</v>
      </c>
      <c r="C3726" s="28" t="s">
        <v>77</v>
      </c>
      <c r="D3726" s="28" t="s">
        <v>77</v>
      </c>
      <c r="E3726" s="28" t="s">
        <v>77</v>
      </c>
      <c r="F3726" s="28" t="s">
        <v>77</v>
      </c>
      <c r="G3726" s="28" t="s">
        <v>77</v>
      </c>
      <c r="I3726" s="26" t="s">
        <v>77</v>
      </c>
      <c r="J3726" s="26" t="s">
        <v>77</v>
      </c>
      <c r="K3726" s="18"/>
      <c r="L3726" s="26" t="s">
        <v>77</v>
      </c>
      <c r="M3726" s="6" t="s">
        <v>77</v>
      </c>
      <c r="N3726" s="28" t="s">
        <v>77</v>
      </c>
      <c r="O3726" s="26" t="s">
        <v>77</v>
      </c>
    </row>
    <row r="3727">
      <c r="A3727" s="52" t="s">
        <v>77</v>
      </c>
      <c r="B3727" s="28" t="s">
        <v>77</v>
      </c>
      <c r="C3727" s="28" t="s">
        <v>77</v>
      </c>
      <c r="D3727" s="28" t="s">
        <v>77</v>
      </c>
      <c r="E3727" s="28" t="s">
        <v>77</v>
      </c>
      <c r="F3727" s="28" t="s">
        <v>77</v>
      </c>
      <c r="G3727" s="28" t="s">
        <v>77</v>
      </c>
      <c r="I3727" s="26" t="s">
        <v>77</v>
      </c>
      <c r="J3727" s="26" t="s">
        <v>77</v>
      </c>
      <c r="K3727" s="18"/>
      <c r="L3727" s="26" t="s">
        <v>77</v>
      </c>
      <c r="M3727" s="6" t="s">
        <v>77</v>
      </c>
      <c r="N3727" s="28" t="s">
        <v>77</v>
      </c>
      <c r="O3727" s="26" t="s">
        <v>77</v>
      </c>
    </row>
    <row r="3728">
      <c r="A3728" s="52" t="s">
        <v>77</v>
      </c>
      <c r="B3728" s="28" t="s">
        <v>77</v>
      </c>
      <c r="C3728" s="28" t="s">
        <v>77</v>
      </c>
      <c r="D3728" s="28" t="s">
        <v>77</v>
      </c>
      <c r="E3728" s="28" t="s">
        <v>77</v>
      </c>
      <c r="F3728" s="28" t="s">
        <v>77</v>
      </c>
      <c r="G3728" s="28" t="s">
        <v>77</v>
      </c>
      <c r="I3728" s="26" t="s">
        <v>77</v>
      </c>
      <c r="J3728" s="26" t="s">
        <v>77</v>
      </c>
      <c r="K3728" s="18"/>
      <c r="L3728" s="26" t="s">
        <v>77</v>
      </c>
      <c r="M3728" s="6" t="s">
        <v>77</v>
      </c>
      <c r="N3728" s="28" t="s">
        <v>77</v>
      </c>
      <c r="O3728" s="26" t="s">
        <v>77</v>
      </c>
    </row>
    <row r="3729">
      <c r="A3729" s="52" t="s">
        <v>77</v>
      </c>
      <c r="B3729" s="28" t="s">
        <v>77</v>
      </c>
      <c r="C3729" s="28" t="s">
        <v>77</v>
      </c>
      <c r="D3729" s="28" t="s">
        <v>77</v>
      </c>
      <c r="E3729" s="28" t="s">
        <v>77</v>
      </c>
      <c r="F3729" s="28" t="s">
        <v>77</v>
      </c>
      <c r="G3729" s="28" t="s">
        <v>77</v>
      </c>
      <c r="I3729" s="26" t="s">
        <v>77</v>
      </c>
      <c r="J3729" s="26" t="s">
        <v>77</v>
      </c>
      <c r="K3729" s="18"/>
      <c r="L3729" s="26" t="s">
        <v>77</v>
      </c>
      <c r="M3729" s="6" t="s">
        <v>77</v>
      </c>
      <c r="N3729" s="28" t="s">
        <v>77</v>
      </c>
      <c r="O3729" s="26" t="s">
        <v>77</v>
      </c>
    </row>
    <row r="3730">
      <c r="A3730" s="52" t="s">
        <v>77</v>
      </c>
      <c r="B3730" s="28" t="s">
        <v>77</v>
      </c>
      <c r="C3730" s="28" t="s">
        <v>77</v>
      </c>
      <c r="D3730" s="28" t="s">
        <v>77</v>
      </c>
      <c r="E3730" s="28" t="s">
        <v>77</v>
      </c>
      <c r="F3730" s="28" t="s">
        <v>77</v>
      </c>
      <c r="G3730" s="28" t="s">
        <v>77</v>
      </c>
      <c r="I3730" s="26" t="s">
        <v>77</v>
      </c>
      <c r="J3730" s="26" t="s">
        <v>77</v>
      </c>
      <c r="K3730" s="18"/>
      <c r="L3730" s="26" t="s">
        <v>77</v>
      </c>
      <c r="M3730" s="6" t="s">
        <v>77</v>
      </c>
      <c r="N3730" s="28" t="s">
        <v>77</v>
      </c>
      <c r="O3730" s="26" t="s">
        <v>77</v>
      </c>
    </row>
    <row r="3731">
      <c r="A3731" s="52" t="s">
        <v>77</v>
      </c>
      <c r="B3731" s="28" t="s">
        <v>77</v>
      </c>
      <c r="C3731" s="28" t="s">
        <v>77</v>
      </c>
      <c r="D3731" s="28" t="s">
        <v>77</v>
      </c>
      <c r="E3731" s="28" t="s">
        <v>77</v>
      </c>
      <c r="F3731" s="28" t="s">
        <v>77</v>
      </c>
      <c r="G3731" s="28" t="s">
        <v>77</v>
      </c>
      <c r="I3731" s="26" t="s">
        <v>77</v>
      </c>
      <c r="J3731" s="26" t="s">
        <v>77</v>
      </c>
      <c r="K3731" s="18"/>
      <c r="L3731" s="26" t="s">
        <v>77</v>
      </c>
      <c r="M3731" s="6" t="s">
        <v>77</v>
      </c>
      <c r="N3731" s="28" t="s">
        <v>77</v>
      </c>
      <c r="O3731" s="26" t="s">
        <v>77</v>
      </c>
    </row>
    <row r="3732">
      <c r="A3732" s="52" t="s">
        <v>77</v>
      </c>
      <c r="B3732" s="28" t="s">
        <v>77</v>
      </c>
      <c r="C3732" s="28" t="s">
        <v>77</v>
      </c>
      <c r="D3732" s="28" t="s">
        <v>77</v>
      </c>
      <c r="E3732" s="28" t="s">
        <v>77</v>
      </c>
      <c r="F3732" s="28" t="s">
        <v>77</v>
      </c>
      <c r="G3732" s="28" t="s">
        <v>77</v>
      </c>
      <c r="I3732" s="26" t="s">
        <v>77</v>
      </c>
      <c r="J3732" s="26" t="s">
        <v>77</v>
      </c>
      <c r="K3732" s="18"/>
      <c r="L3732" s="26" t="s">
        <v>77</v>
      </c>
      <c r="M3732" s="6" t="s">
        <v>77</v>
      </c>
      <c r="N3732" s="28" t="s">
        <v>77</v>
      </c>
      <c r="O3732" s="26" t="s">
        <v>77</v>
      </c>
    </row>
    <row r="3733">
      <c r="A3733" s="52" t="s">
        <v>77</v>
      </c>
      <c r="B3733" s="28" t="s">
        <v>77</v>
      </c>
      <c r="C3733" s="28" t="s">
        <v>77</v>
      </c>
      <c r="D3733" s="28" t="s">
        <v>77</v>
      </c>
      <c r="E3733" s="28" t="s">
        <v>77</v>
      </c>
      <c r="F3733" s="28" t="s">
        <v>77</v>
      </c>
      <c r="G3733" s="28" t="s">
        <v>77</v>
      </c>
      <c r="I3733" s="26" t="s">
        <v>77</v>
      </c>
      <c r="J3733" s="26" t="s">
        <v>77</v>
      </c>
      <c r="K3733" s="18"/>
      <c r="L3733" s="26" t="s">
        <v>77</v>
      </c>
      <c r="M3733" s="6" t="s">
        <v>77</v>
      </c>
      <c r="N3733" s="28" t="s">
        <v>77</v>
      </c>
      <c r="O3733" s="26" t="s">
        <v>77</v>
      </c>
    </row>
    <row r="3734">
      <c r="A3734" s="52" t="s">
        <v>77</v>
      </c>
      <c r="B3734" s="28" t="s">
        <v>77</v>
      </c>
      <c r="C3734" s="28" t="s">
        <v>77</v>
      </c>
      <c r="D3734" s="28" t="s">
        <v>77</v>
      </c>
      <c r="E3734" s="28" t="s">
        <v>77</v>
      </c>
      <c r="F3734" s="28" t="s">
        <v>77</v>
      </c>
      <c r="G3734" s="28" t="s">
        <v>77</v>
      </c>
      <c r="I3734" s="26" t="s">
        <v>77</v>
      </c>
      <c r="J3734" s="26" t="s">
        <v>77</v>
      </c>
      <c r="K3734" s="18"/>
      <c r="L3734" s="26" t="s">
        <v>77</v>
      </c>
      <c r="M3734" s="6" t="s">
        <v>77</v>
      </c>
      <c r="N3734" s="28" t="s">
        <v>77</v>
      </c>
      <c r="O3734" s="26" t="s">
        <v>77</v>
      </c>
    </row>
    <row r="3735">
      <c r="A3735" s="52" t="s">
        <v>77</v>
      </c>
      <c r="B3735" s="28" t="s">
        <v>77</v>
      </c>
      <c r="C3735" s="28" t="s">
        <v>77</v>
      </c>
      <c r="D3735" s="28" t="s">
        <v>77</v>
      </c>
      <c r="E3735" s="28" t="s">
        <v>77</v>
      </c>
      <c r="F3735" s="28" t="s">
        <v>77</v>
      </c>
      <c r="G3735" s="28" t="s">
        <v>77</v>
      </c>
      <c r="I3735" s="26" t="s">
        <v>77</v>
      </c>
      <c r="J3735" s="26" t="s">
        <v>77</v>
      </c>
      <c r="K3735" s="18"/>
      <c r="L3735" s="26" t="s">
        <v>77</v>
      </c>
      <c r="M3735" s="6" t="s">
        <v>77</v>
      </c>
      <c r="N3735" s="28" t="s">
        <v>77</v>
      </c>
      <c r="O3735" s="26" t="s">
        <v>77</v>
      </c>
    </row>
    <row r="3736">
      <c r="A3736" s="52" t="s">
        <v>77</v>
      </c>
      <c r="B3736" s="28" t="s">
        <v>77</v>
      </c>
      <c r="C3736" s="28" t="s">
        <v>77</v>
      </c>
      <c r="D3736" s="28" t="s">
        <v>77</v>
      </c>
      <c r="E3736" s="28" t="s">
        <v>77</v>
      </c>
      <c r="F3736" s="28" t="s">
        <v>77</v>
      </c>
      <c r="G3736" s="28" t="s">
        <v>77</v>
      </c>
      <c r="I3736" s="26" t="s">
        <v>77</v>
      </c>
      <c r="J3736" s="26" t="s">
        <v>77</v>
      </c>
      <c r="K3736" s="18"/>
      <c r="L3736" s="26" t="s">
        <v>77</v>
      </c>
      <c r="M3736" s="6" t="s">
        <v>77</v>
      </c>
      <c r="N3736" s="28" t="s">
        <v>77</v>
      </c>
      <c r="O3736" s="26" t="s">
        <v>77</v>
      </c>
    </row>
    <row r="3737">
      <c r="A3737" s="52" t="s">
        <v>77</v>
      </c>
      <c r="B3737" s="28" t="s">
        <v>77</v>
      </c>
      <c r="C3737" s="28" t="s">
        <v>77</v>
      </c>
      <c r="D3737" s="28" t="s">
        <v>77</v>
      </c>
      <c r="E3737" s="28" t="s">
        <v>77</v>
      </c>
      <c r="F3737" s="28" t="s">
        <v>77</v>
      </c>
      <c r="G3737" s="28" t="s">
        <v>77</v>
      </c>
      <c r="I3737" s="26" t="s">
        <v>77</v>
      </c>
      <c r="J3737" s="26" t="s">
        <v>77</v>
      </c>
      <c r="K3737" s="18"/>
      <c r="L3737" s="26" t="s">
        <v>77</v>
      </c>
      <c r="M3737" s="6" t="s">
        <v>77</v>
      </c>
      <c r="N3737" s="28" t="s">
        <v>77</v>
      </c>
      <c r="O3737" s="26" t="s">
        <v>77</v>
      </c>
    </row>
    <row r="3738">
      <c r="A3738" s="52" t="s">
        <v>77</v>
      </c>
      <c r="B3738" s="28" t="s">
        <v>77</v>
      </c>
      <c r="C3738" s="28" t="s">
        <v>77</v>
      </c>
      <c r="D3738" s="28" t="s">
        <v>77</v>
      </c>
      <c r="E3738" s="28" t="s">
        <v>77</v>
      </c>
      <c r="F3738" s="28" t="s">
        <v>77</v>
      </c>
      <c r="G3738" s="28" t="s">
        <v>77</v>
      </c>
      <c r="I3738" s="26" t="s">
        <v>77</v>
      </c>
      <c r="J3738" s="26" t="s">
        <v>77</v>
      </c>
      <c r="K3738" s="18"/>
      <c r="L3738" s="26" t="s">
        <v>77</v>
      </c>
      <c r="M3738" s="6" t="s">
        <v>77</v>
      </c>
      <c r="N3738" s="28" t="s">
        <v>77</v>
      </c>
      <c r="O3738" s="26" t="s">
        <v>77</v>
      </c>
    </row>
    <row r="3739">
      <c r="A3739" s="52" t="s">
        <v>77</v>
      </c>
      <c r="B3739" s="28" t="s">
        <v>77</v>
      </c>
      <c r="C3739" s="28" t="s">
        <v>77</v>
      </c>
      <c r="D3739" s="28" t="s">
        <v>77</v>
      </c>
      <c r="E3739" s="28" t="s">
        <v>77</v>
      </c>
      <c r="F3739" s="28" t="s">
        <v>77</v>
      </c>
      <c r="G3739" s="28" t="s">
        <v>77</v>
      </c>
      <c r="I3739" s="26" t="s">
        <v>77</v>
      </c>
      <c r="J3739" s="26" t="s">
        <v>77</v>
      </c>
      <c r="K3739" s="18"/>
      <c r="L3739" s="26" t="s">
        <v>77</v>
      </c>
      <c r="M3739" s="6" t="s">
        <v>77</v>
      </c>
      <c r="N3739" s="28" t="s">
        <v>77</v>
      </c>
      <c r="O3739" s="26" t="s">
        <v>77</v>
      </c>
    </row>
    <row r="3740">
      <c r="A3740" s="52" t="s">
        <v>77</v>
      </c>
      <c r="B3740" s="28" t="s">
        <v>77</v>
      </c>
      <c r="C3740" s="28" t="s">
        <v>77</v>
      </c>
      <c r="D3740" s="28" t="s">
        <v>77</v>
      </c>
      <c r="E3740" s="28" t="s">
        <v>77</v>
      </c>
      <c r="F3740" s="28" t="s">
        <v>77</v>
      </c>
      <c r="G3740" s="28" t="s">
        <v>77</v>
      </c>
      <c r="I3740" s="26" t="s">
        <v>77</v>
      </c>
      <c r="J3740" s="26" t="s">
        <v>77</v>
      </c>
      <c r="K3740" s="18"/>
      <c r="L3740" s="26" t="s">
        <v>77</v>
      </c>
      <c r="M3740" s="6" t="s">
        <v>77</v>
      </c>
      <c r="N3740" s="28" t="s">
        <v>77</v>
      </c>
      <c r="O3740" s="26" t="s">
        <v>77</v>
      </c>
    </row>
    <row r="3741">
      <c r="A3741" s="52" t="s">
        <v>77</v>
      </c>
      <c r="B3741" s="28" t="s">
        <v>77</v>
      </c>
      <c r="C3741" s="28" t="s">
        <v>77</v>
      </c>
      <c r="D3741" s="28" t="s">
        <v>77</v>
      </c>
      <c r="E3741" s="28" t="s">
        <v>77</v>
      </c>
      <c r="F3741" s="28" t="s">
        <v>77</v>
      </c>
      <c r="G3741" s="28" t="s">
        <v>77</v>
      </c>
      <c r="I3741" s="26" t="s">
        <v>77</v>
      </c>
      <c r="J3741" s="26" t="s">
        <v>77</v>
      </c>
      <c r="K3741" s="18"/>
      <c r="L3741" s="26" t="s">
        <v>77</v>
      </c>
      <c r="M3741" s="6" t="s">
        <v>77</v>
      </c>
      <c r="N3741" s="28" t="s">
        <v>77</v>
      </c>
      <c r="O3741" s="26" t="s">
        <v>77</v>
      </c>
    </row>
    <row r="3742">
      <c r="A3742" s="52" t="s">
        <v>77</v>
      </c>
      <c r="B3742" s="28" t="s">
        <v>77</v>
      </c>
      <c r="C3742" s="28" t="s">
        <v>77</v>
      </c>
      <c r="D3742" s="28" t="s">
        <v>77</v>
      </c>
      <c r="E3742" s="28" t="s">
        <v>77</v>
      </c>
      <c r="F3742" s="28" t="s">
        <v>77</v>
      </c>
      <c r="G3742" s="28" t="s">
        <v>77</v>
      </c>
      <c r="I3742" s="26" t="s">
        <v>77</v>
      </c>
      <c r="J3742" s="26" t="s">
        <v>77</v>
      </c>
      <c r="K3742" s="18"/>
      <c r="L3742" s="26" t="s">
        <v>77</v>
      </c>
      <c r="M3742" s="6" t="s">
        <v>77</v>
      </c>
      <c r="N3742" s="28" t="s">
        <v>77</v>
      </c>
      <c r="O3742" s="26" t="s">
        <v>77</v>
      </c>
    </row>
    <row r="3743">
      <c r="A3743" s="52" t="s">
        <v>77</v>
      </c>
      <c r="B3743" s="28" t="s">
        <v>77</v>
      </c>
      <c r="C3743" s="28" t="s">
        <v>77</v>
      </c>
      <c r="D3743" s="28" t="s">
        <v>77</v>
      </c>
      <c r="E3743" s="28" t="s">
        <v>77</v>
      </c>
      <c r="F3743" s="28" t="s">
        <v>77</v>
      </c>
      <c r="G3743" s="28" t="s">
        <v>77</v>
      </c>
      <c r="I3743" s="26" t="s">
        <v>77</v>
      </c>
      <c r="J3743" s="26" t="s">
        <v>77</v>
      </c>
      <c r="K3743" s="18"/>
      <c r="L3743" s="26" t="s">
        <v>77</v>
      </c>
      <c r="M3743" s="6" t="s">
        <v>77</v>
      </c>
      <c r="N3743" s="28" t="s">
        <v>77</v>
      </c>
      <c r="O3743" s="26" t="s">
        <v>77</v>
      </c>
    </row>
    <row r="3744">
      <c r="A3744" s="52" t="s">
        <v>77</v>
      </c>
      <c r="B3744" s="28" t="s">
        <v>77</v>
      </c>
      <c r="C3744" s="28" t="s">
        <v>77</v>
      </c>
      <c r="D3744" s="28" t="s">
        <v>77</v>
      </c>
      <c r="E3744" s="28" t="s">
        <v>77</v>
      </c>
      <c r="F3744" s="28" t="s">
        <v>77</v>
      </c>
      <c r="G3744" s="28" t="s">
        <v>77</v>
      </c>
      <c r="I3744" s="26" t="s">
        <v>77</v>
      </c>
      <c r="J3744" s="26" t="s">
        <v>77</v>
      </c>
      <c r="K3744" s="18"/>
      <c r="L3744" s="26" t="s">
        <v>77</v>
      </c>
      <c r="M3744" s="6" t="s">
        <v>77</v>
      </c>
      <c r="N3744" s="28" t="s">
        <v>77</v>
      </c>
      <c r="O3744" s="26" t="s">
        <v>77</v>
      </c>
    </row>
    <row r="3745">
      <c r="A3745" s="52" t="s">
        <v>77</v>
      </c>
      <c r="B3745" s="28" t="s">
        <v>77</v>
      </c>
      <c r="C3745" s="28" t="s">
        <v>77</v>
      </c>
      <c r="D3745" s="28" t="s">
        <v>77</v>
      </c>
      <c r="E3745" s="28" t="s">
        <v>77</v>
      </c>
      <c r="F3745" s="28" t="s">
        <v>77</v>
      </c>
      <c r="G3745" s="28" t="s">
        <v>77</v>
      </c>
      <c r="I3745" s="26" t="s">
        <v>77</v>
      </c>
      <c r="J3745" s="26" t="s">
        <v>77</v>
      </c>
      <c r="K3745" s="18"/>
      <c r="L3745" s="26" t="s">
        <v>77</v>
      </c>
      <c r="M3745" s="6" t="s">
        <v>77</v>
      </c>
      <c r="N3745" s="28" t="s">
        <v>77</v>
      </c>
      <c r="O3745" s="26" t="s">
        <v>77</v>
      </c>
    </row>
    <row r="3746">
      <c r="A3746" s="52" t="s">
        <v>77</v>
      </c>
      <c r="B3746" s="28" t="s">
        <v>77</v>
      </c>
      <c r="C3746" s="28" t="s">
        <v>77</v>
      </c>
      <c r="D3746" s="28" t="s">
        <v>77</v>
      </c>
      <c r="E3746" s="28" t="s">
        <v>77</v>
      </c>
      <c r="F3746" s="28" t="s">
        <v>77</v>
      </c>
      <c r="G3746" s="28" t="s">
        <v>77</v>
      </c>
      <c r="I3746" s="26" t="s">
        <v>77</v>
      </c>
      <c r="J3746" s="26" t="s">
        <v>77</v>
      </c>
      <c r="K3746" s="18"/>
      <c r="L3746" s="26" t="s">
        <v>77</v>
      </c>
      <c r="M3746" s="6" t="s">
        <v>77</v>
      </c>
      <c r="N3746" s="28" t="s">
        <v>77</v>
      </c>
      <c r="O3746" s="26" t="s">
        <v>77</v>
      </c>
    </row>
    <row r="3747">
      <c r="A3747" s="52" t="s">
        <v>77</v>
      </c>
      <c r="B3747" s="28" t="s">
        <v>77</v>
      </c>
      <c r="C3747" s="28" t="s">
        <v>77</v>
      </c>
      <c r="D3747" s="28" t="s">
        <v>77</v>
      </c>
      <c r="E3747" s="28" t="s">
        <v>77</v>
      </c>
      <c r="F3747" s="28" t="s">
        <v>77</v>
      </c>
      <c r="G3747" s="28" t="s">
        <v>77</v>
      </c>
      <c r="I3747" s="26" t="s">
        <v>77</v>
      </c>
      <c r="J3747" s="26" t="s">
        <v>77</v>
      </c>
      <c r="K3747" s="18"/>
      <c r="L3747" s="26" t="s">
        <v>77</v>
      </c>
      <c r="M3747" s="6" t="s">
        <v>77</v>
      </c>
      <c r="N3747" s="28" t="s">
        <v>77</v>
      </c>
      <c r="O3747" s="26" t="s">
        <v>77</v>
      </c>
    </row>
    <row r="3748">
      <c r="A3748" s="52" t="s">
        <v>77</v>
      </c>
      <c r="B3748" s="28" t="s">
        <v>77</v>
      </c>
      <c r="C3748" s="28" t="s">
        <v>77</v>
      </c>
      <c r="D3748" s="28" t="s">
        <v>77</v>
      </c>
      <c r="E3748" s="28" t="s">
        <v>77</v>
      </c>
      <c r="F3748" s="28" t="s">
        <v>77</v>
      </c>
      <c r="G3748" s="28" t="s">
        <v>77</v>
      </c>
      <c r="I3748" s="26" t="s">
        <v>77</v>
      </c>
      <c r="J3748" s="26" t="s">
        <v>77</v>
      </c>
      <c r="K3748" s="18"/>
      <c r="L3748" s="26" t="s">
        <v>77</v>
      </c>
      <c r="M3748" s="6" t="s">
        <v>77</v>
      </c>
      <c r="N3748" s="28" t="s">
        <v>77</v>
      </c>
      <c r="O3748" s="26" t="s">
        <v>77</v>
      </c>
    </row>
    <row r="3749">
      <c r="A3749" s="52" t="s">
        <v>77</v>
      </c>
      <c r="B3749" s="28" t="s">
        <v>77</v>
      </c>
      <c r="C3749" s="28" t="s">
        <v>77</v>
      </c>
      <c r="D3749" s="28" t="s">
        <v>77</v>
      </c>
      <c r="E3749" s="28" t="s">
        <v>77</v>
      </c>
      <c r="F3749" s="28" t="s">
        <v>77</v>
      </c>
      <c r="G3749" s="28" t="s">
        <v>77</v>
      </c>
      <c r="I3749" s="26" t="s">
        <v>77</v>
      </c>
      <c r="J3749" s="26" t="s">
        <v>77</v>
      </c>
      <c r="K3749" s="18"/>
      <c r="L3749" s="26" t="s">
        <v>77</v>
      </c>
      <c r="M3749" s="6" t="s">
        <v>77</v>
      </c>
      <c r="N3749" s="28" t="s">
        <v>77</v>
      </c>
      <c r="O3749" s="26" t="s">
        <v>77</v>
      </c>
    </row>
    <row r="3750">
      <c r="A3750" s="52" t="s">
        <v>77</v>
      </c>
      <c r="B3750" s="28" t="s">
        <v>77</v>
      </c>
      <c r="C3750" s="28" t="s">
        <v>77</v>
      </c>
      <c r="D3750" s="28" t="s">
        <v>77</v>
      </c>
      <c r="E3750" s="28" t="s">
        <v>77</v>
      </c>
      <c r="F3750" s="28" t="s">
        <v>77</v>
      </c>
      <c r="G3750" s="28" t="s">
        <v>77</v>
      </c>
      <c r="I3750" s="26" t="s">
        <v>77</v>
      </c>
      <c r="J3750" s="26" t="s">
        <v>77</v>
      </c>
      <c r="K3750" s="18"/>
      <c r="L3750" s="26" t="s">
        <v>77</v>
      </c>
      <c r="M3750" s="6" t="s">
        <v>77</v>
      </c>
      <c r="N3750" s="28" t="s">
        <v>77</v>
      </c>
      <c r="O3750" s="26" t="s">
        <v>77</v>
      </c>
    </row>
    <row r="3751">
      <c r="A3751" s="52" t="s">
        <v>77</v>
      </c>
      <c r="B3751" s="28" t="s">
        <v>77</v>
      </c>
      <c r="C3751" s="28" t="s">
        <v>77</v>
      </c>
      <c r="D3751" s="28" t="s">
        <v>77</v>
      </c>
      <c r="E3751" s="28" t="s">
        <v>77</v>
      </c>
      <c r="F3751" s="28" t="s">
        <v>77</v>
      </c>
      <c r="G3751" s="28" t="s">
        <v>77</v>
      </c>
      <c r="I3751" s="26" t="s">
        <v>77</v>
      </c>
      <c r="J3751" s="26" t="s">
        <v>77</v>
      </c>
      <c r="K3751" s="18"/>
      <c r="L3751" s="26" t="s">
        <v>77</v>
      </c>
      <c r="M3751" s="6" t="s">
        <v>77</v>
      </c>
      <c r="N3751" s="28" t="s">
        <v>77</v>
      </c>
      <c r="O3751" s="26" t="s">
        <v>77</v>
      </c>
    </row>
    <row r="3752">
      <c r="A3752" s="52" t="s">
        <v>77</v>
      </c>
      <c r="B3752" s="28" t="s">
        <v>77</v>
      </c>
      <c r="C3752" s="28" t="s">
        <v>77</v>
      </c>
      <c r="D3752" s="28" t="s">
        <v>77</v>
      </c>
      <c r="E3752" s="28" t="s">
        <v>77</v>
      </c>
      <c r="F3752" s="28" t="s">
        <v>77</v>
      </c>
      <c r="G3752" s="28" t="s">
        <v>77</v>
      </c>
      <c r="I3752" s="26" t="s">
        <v>77</v>
      </c>
      <c r="J3752" s="26" t="s">
        <v>77</v>
      </c>
      <c r="K3752" s="18"/>
      <c r="L3752" s="26" t="s">
        <v>77</v>
      </c>
      <c r="M3752" s="6" t="s">
        <v>77</v>
      </c>
      <c r="N3752" s="28" t="s">
        <v>77</v>
      </c>
      <c r="O3752" s="26" t="s">
        <v>77</v>
      </c>
    </row>
    <row r="3753">
      <c r="A3753" s="52" t="s">
        <v>77</v>
      </c>
      <c r="B3753" s="28" t="s">
        <v>77</v>
      </c>
      <c r="C3753" s="28" t="s">
        <v>77</v>
      </c>
      <c r="D3753" s="28" t="s">
        <v>77</v>
      </c>
      <c r="E3753" s="28" t="s">
        <v>77</v>
      </c>
      <c r="F3753" s="28" t="s">
        <v>77</v>
      </c>
      <c r="G3753" s="28" t="s">
        <v>77</v>
      </c>
      <c r="I3753" s="26" t="s">
        <v>77</v>
      </c>
      <c r="J3753" s="26" t="s">
        <v>77</v>
      </c>
      <c r="K3753" s="18"/>
      <c r="L3753" s="26" t="s">
        <v>77</v>
      </c>
      <c r="M3753" s="6" t="s">
        <v>77</v>
      </c>
      <c r="N3753" s="28" t="s">
        <v>77</v>
      </c>
      <c r="O3753" s="26" t="s">
        <v>77</v>
      </c>
    </row>
    <row r="3754">
      <c r="A3754" s="52" t="s">
        <v>77</v>
      </c>
      <c r="B3754" s="28" t="s">
        <v>77</v>
      </c>
      <c r="C3754" s="28" t="s">
        <v>77</v>
      </c>
      <c r="D3754" s="28" t="s">
        <v>77</v>
      </c>
      <c r="E3754" s="28" t="s">
        <v>77</v>
      </c>
      <c r="F3754" s="28" t="s">
        <v>77</v>
      </c>
      <c r="G3754" s="28" t="s">
        <v>77</v>
      </c>
      <c r="I3754" s="26" t="s">
        <v>77</v>
      </c>
      <c r="J3754" s="26" t="s">
        <v>77</v>
      </c>
      <c r="K3754" s="18"/>
      <c r="L3754" s="26" t="s">
        <v>77</v>
      </c>
      <c r="M3754" s="6" t="s">
        <v>77</v>
      </c>
      <c r="N3754" s="28" t="s">
        <v>77</v>
      </c>
      <c r="O3754" s="26" t="s">
        <v>77</v>
      </c>
    </row>
    <row r="3755">
      <c r="A3755" s="52" t="s">
        <v>77</v>
      </c>
      <c r="B3755" s="28" t="s">
        <v>77</v>
      </c>
      <c r="C3755" s="28" t="s">
        <v>77</v>
      </c>
      <c r="D3755" s="28" t="s">
        <v>77</v>
      </c>
      <c r="E3755" s="28" t="s">
        <v>77</v>
      </c>
      <c r="F3755" s="28" t="s">
        <v>77</v>
      </c>
      <c r="G3755" s="28" t="s">
        <v>77</v>
      </c>
      <c r="I3755" s="26" t="s">
        <v>77</v>
      </c>
      <c r="J3755" s="26" t="s">
        <v>77</v>
      </c>
      <c r="K3755" s="18"/>
      <c r="L3755" s="26" t="s">
        <v>77</v>
      </c>
      <c r="M3755" s="6" t="s">
        <v>77</v>
      </c>
      <c r="N3755" s="28" t="s">
        <v>77</v>
      </c>
      <c r="O3755" s="26" t="s">
        <v>77</v>
      </c>
    </row>
    <row r="3756">
      <c r="A3756" s="52" t="s">
        <v>77</v>
      </c>
      <c r="B3756" s="28" t="s">
        <v>77</v>
      </c>
      <c r="C3756" s="28" t="s">
        <v>77</v>
      </c>
      <c r="D3756" s="28" t="s">
        <v>77</v>
      </c>
      <c r="E3756" s="28" t="s">
        <v>77</v>
      </c>
      <c r="F3756" s="28" t="s">
        <v>77</v>
      </c>
      <c r="G3756" s="28" t="s">
        <v>77</v>
      </c>
      <c r="I3756" s="26" t="s">
        <v>77</v>
      </c>
      <c r="J3756" s="26" t="s">
        <v>77</v>
      </c>
      <c r="K3756" s="18"/>
      <c r="L3756" s="26" t="s">
        <v>77</v>
      </c>
      <c r="M3756" s="6" t="s">
        <v>77</v>
      </c>
      <c r="N3756" s="28" t="s">
        <v>77</v>
      </c>
      <c r="O3756" s="26" t="s">
        <v>77</v>
      </c>
    </row>
    <row r="3757">
      <c r="A3757" s="52" t="s">
        <v>77</v>
      </c>
      <c r="B3757" s="28" t="s">
        <v>77</v>
      </c>
      <c r="C3757" s="28" t="s">
        <v>77</v>
      </c>
      <c r="D3757" s="28" t="s">
        <v>77</v>
      </c>
      <c r="E3757" s="28" t="s">
        <v>77</v>
      </c>
      <c r="F3757" s="28" t="s">
        <v>77</v>
      </c>
      <c r="G3757" s="28" t="s">
        <v>77</v>
      </c>
      <c r="I3757" s="26" t="s">
        <v>77</v>
      </c>
      <c r="J3757" s="26" t="s">
        <v>77</v>
      </c>
      <c r="K3757" s="18"/>
      <c r="L3757" s="26" t="s">
        <v>77</v>
      </c>
      <c r="M3757" s="6" t="s">
        <v>77</v>
      </c>
      <c r="N3757" s="28" t="s">
        <v>77</v>
      </c>
      <c r="O3757" s="26" t="s">
        <v>77</v>
      </c>
    </row>
    <row r="3758">
      <c r="A3758" s="52" t="s">
        <v>77</v>
      </c>
      <c r="B3758" s="28" t="s">
        <v>77</v>
      </c>
      <c r="C3758" s="28" t="s">
        <v>77</v>
      </c>
      <c r="D3758" s="28" t="s">
        <v>77</v>
      </c>
      <c r="E3758" s="28" t="s">
        <v>77</v>
      </c>
      <c r="F3758" s="28" t="s">
        <v>77</v>
      </c>
      <c r="G3758" s="28" t="s">
        <v>77</v>
      </c>
      <c r="I3758" s="26" t="s">
        <v>77</v>
      </c>
      <c r="J3758" s="26" t="s">
        <v>77</v>
      </c>
      <c r="K3758" s="18"/>
      <c r="L3758" s="26" t="s">
        <v>77</v>
      </c>
      <c r="M3758" s="6" t="s">
        <v>77</v>
      </c>
      <c r="N3758" s="28" t="s">
        <v>77</v>
      </c>
      <c r="O3758" s="26" t="s">
        <v>77</v>
      </c>
    </row>
    <row r="3759">
      <c r="A3759" s="52" t="s">
        <v>77</v>
      </c>
      <c r="B3759" s="28" t="s">
        <v>77</v>
      </c>
      <c r="C3759" s="28" t="s">
        <v>77</v>
      </c>
      <c r="D3759" s="28" t="s">
        <v>77</v>
      </c>
      <c r="E3759" s="28" t="s">
        <v>77</v>
      </c>
      <c r="F3759" s="28" t="s">
        <v>77</v>
      </c>
      <c r="G3759" s="28" t="s">
        <v>77</v>
      </c>
      <c r="I3759" s="26" t="s">
        <v>77</v>
      </c>
      <c r="J3759" s="26" t="s">
        <v>77</v>
      </c>
      <c r="K3759" s="18"/>
      <c r="L3759" s="26" t="s">
        <v>77</v>
      </c>
      <c r="M3759" s="6" t="s">
        <v>77</v>
      </c>
      <c r="N3759" s="28" t="s">
        <v>77</v>
      </c>
      <c r="O3759" s="26" t="s">
        <v>77</v>
      </c>
    </row>
    <row r="3760">
      <c r="A3760" s="52" t="s">
        <v>77</v>
      </c>
      <c r="B3760" s="28" t="s">
        <v>77</v>
      </c>
      <c r="C3760" s="28" t="s">
        <v>77</v>
      </c>
      <c r="D3760" s="28" t="s">
        <v>77</v>
      </c>
      <c r="E3760" s="28" t="s">
        <v>77</v>
      </c>
      <c r="F3760" s="28" t="s">
        <v>77</v>
      </c>
      <c r="G3760" s="28" t="s">
        <v>77</v>
      </c>
      <c r="I3760" s="26" t="s">
        <v>77</v>
      </c>
      <c r="J3760" s="26" t="s">
        <v>77</v>
      </c>
      <c r="K3760" s="18"/>
      <c r="L3760" s="26" t="s">
        <v>77</v>
      </c>
      <c r="M3760" s="6" t="s">
        <v>77</v>
      </c>
      <c r="N3760" s="28" t="s">
        <v>77</v>
      </c>
      <c r="O3760" s="26" t="s">
        <v>77</v>
      </c>
    </row>
    <row r="3761">
      <c r="A3761" s="52" t="s">
        <v>77</v>
      </c>
      <c r="B3761" s="28" t="s">
        <v>77</v>
      </c>
      <c r="C3761" s="28" t="s">
        <v>77</v>
      </c>
      <c r="D3761" s="28" t="s">
        <v>77</v>
      </c>
      <c r="E3761" s="28" t="s">
        <v>77</v>
      </c>
      <c r="F3761" s="28" t="s">
        <v>77</v>
      </c>
      <c r="G3761" s="28" t="s">
        <v>77</v>
      </c>
      <c r="I3761" s="26" t="s">
        <v>77</v>
      </c>
      <c r="J3761" s="26" t="s">
        <v>77</v>
      </c>
      <c r="K3761" s="18"/>
      <c r="L3761" s="26" t="s">
        <v>77</v>
      </c>
      <c r="M3761" s="6" t="s">
        <v>77</v>
      </c>
      <c r="N3761" s="28" t="s">
        <v>77</v>
      </c>
      <c r="O3761" s="26" t="s">
        <v>77</v>
      </c>
    </row>
    <row r="3762">
      <c r="A3762" s="52" t="s">
        <v>77</v>
      </c>
      <c r="B3762" s="28" t="s">
        <v>77</v>
      </c>
      <c r="C3762" s="28" t="s">
        <v>77</v>
      </c>
      <c r="D3762" s="28" t="s">
        <v>77</v>
      </c>
      <c r="E3762" s="28" t="s">
        <v>77</v>
      </c>
      <c r="F3762" s="28" t="s">
        <v>77</v>
      </c>
      <c r="G3762" s="28" t="s">
        <v>77</v>
      </c>
      <c r="I3762" s="26" t="s">
        <v>77</v>
      </c>
      <c r="J3762" s="26" t="s">
        <v>77</v>
      </c>
      <c r="K3762" s="18"/>
      <c r="L3762" s="26" t="s">
        <v>77</v>
      </c>
      <c r="M3762" s="6" t="s">
        <v>77</v>
      </c>
      <c r="N3762" s="28" t="s">
        <v>77</v>
      </c>
      <c r="O3762" s="26" t="s">
        <v>77</v>
      </c>
    </row>
    <row r="3763">
      <c r="A3763" s="52" t="s">
        <v>77</v>
      </c>
      <c r="B3763" s="28" t="s">
        <v>77</v>
      </c>
      <c r="C3763" s="28" t="s">
        <v>77</v>
      </c>
      <c r="D3763" s="28" t="s">
        <v>77</v>
      </c>
      <c r="E3763" s="28" t="s">
        <v>77</v>
      </c>
      <c r="F3763" s="28" t="s">
        <v>77</v>
      </c>
      <c r="G3763" s="28" t="s">
        <v>77</v>
      </c>
      <c r="I3763" s="26" t="s">
        <v>77</v>
      </c>
      <c r="J3763" s="26" t="s">
        <v>77</v>
      </c>
      <c r="K3763" s="18"/>
      <c r="L3763" s="26" t="s">
        <v>77</v>
      </c>
      <c r="M3763" s="6" t="s">
        <v>77</v>
      </c>
      <c r="N3763" s="28" t="s">
        <v>77</v>
      </c>
      <c r="O3763" s="26" t="s">
        <v>77</v>
      </c>
    </row>
    <row r="3764">
      <c r="A3764" s="52" t="s">
        <v>77</v>
      </c>
      <c r="B3764" s="28" t="s">
        <v>77</v>
      </c>
      <c r="C3764" s="28" t="s">
        <v>77</v>
      </c>
      <c r="D3764" s="28" t="s">
        <v>77</v>
      </c>
      <c r="E3764" s="28" t="s">
        <v>77</v>
      </c>
      <c r="F3764" s="28" t="s">
        <v>77</v>
      </c>
      <c r="G3764" s="28" t="s">
        <v>77</v>
      </c>
      <c r="I3764" s="26" t="s">
        <v>77</v>
      </c>
      <c r="J3764" s="26" t="s">
        <v>77</v>
      </c>
      <c r="K3764" s="18"/>
      <c r="L3764" s="26" t="s">
        <v>77</v>
      </c>
      <c r="M3764" s="6" t="s">
        <v>77</v>
      </c>
      <c r="N3764" s="28" t="s">
        <v>77</v>
      </c>
      <c r="O3764" s="26" t="s">
        <v>77</v>
      </c>
    </row>
    <row r="3765">
      <c r="A3765" s="52" t="s">
        <v>77</v>
      </c>
      <c r="B3765" s="28" t="s">
        <v>77</v>
      </c>
      <c r="C3765" s="28" t="s">
        <v>77</v>
      </c>
      <c r="D3765" s="28" t="s">
        <v>77</v>
      </c>
      <c r="E3765" s="28" t="s">
        <v>77</v>
      </c>
      <c r="F3765" s="28" t="s">
        <v>77</v>
      </c>
      <c r="G3765" s="28" t="s">
        <v>77</v>
      </c>
      <c r="I3765" s="26" t="s">
        <v>77</v>
      </c>
      <c r="J3765" s="26" t="s">
        <v>77</v>
      </c>
      <c r="K3765" s="18"/>
      <c r="L3765" s="26" t="s">
        <v>77</v>
      </c>
      <c r="M3765" s="6" t="s">
        <v>77</v>
      </c>
      <c r="N3765" s="28" t="s">
        <v>77</v>
      </c>
      <c r="O3765" s="26" t="s">
        <v>77</v>
      </c>
    </row>
    <row r="3766">
      <c r="A3766" s="52" t="s">
        <v>77</v>
      </c>
      <c r="B3766" s="28" t="s">
        <v>77</v>
      </c>
      <c r="C3766" s="28" t="s">
        <v>77</v>
      </c>
      <c r="D3766" s="28" t="s">
        <v>77</v>
      </c>
      <c r="E3766" s="28" t="s">
        <v>77</v>
      </c>
      <c r="F3766" s="28" t="s">
        <v>77</v>
      </c>
      <c r="G3766" s="28" t="s">
        <v>77</v>
      </c>
      <c r="I3766" s="26" t="s">
        <v>77</v>
      </c>
      <c r="J3766" s="26" t="s">
        <v>77</v>
      </c>
      <c r="K3766" s="18"/>
      <c r="L3766" s="26" t="s">
        <v>77</v>
      </c>
      <c r="M3766" s="6" t="s">
        <v>77</v>
      </c>
      <c r="N3766" s="28" t="s">
        <v>77</v>
      </c>
      <c r="O3766" s="26" t="s">
        <v>77</v>
      </c>
    </row>
    <row r="3767">
      <c r="A3767" s="52" t="s">
        <v>77</v>
      </c>
      <c r="B3767" s="28" t="s">
        <v>77</v>
      </c>
      <c r="C3767" s="28" t="s">
        <v>77</v>
      </c>
      <c r="D3767" s="28" t="s">
        <v>77</v>
      </c>
      <c r="E3767" s="28" t="s">
        <v>77</v>
      </c>
      <c r="F3767" s="28" t="s">
        <v>77</v>
      </c>
      <c r="G3767" s="28" t="s">
        <v>77</v>
      </c>
      <c r="I3767" s="26" t="s">
        <v>77</v>
      </c>
      <c r="J3767" s="26" t="s">
        <v>77</v>
      </c>
      <c r="K3767" s="18"/>
      <c r="L3767" s="26" t="s">
        <v>77</v>
      </c>
      <c r="M3767" s="6" t="s">
        <v>77</v>
      </c>
      <c r="N3767" s="28" t="s">
        <v>77</v>
      </c>
      <c r="O3767" s="26" t="s">
        <v>77</v>
      </c>
    </row>
    <row r="3768">
      <c r="A3768" s="52" t="s">
        <v>77</v>
      </c>
      <c r="B3768" s="28" t="s">
        <v>77</v>
      </c>
      <c r="C3768" s="28" t="s">
        <v>77</v>
      </c>
      <c r="D3768" s="28" t="s">
        <v>77</v>
      </c>
      <c r="E3768" s="28" t="s">
        <v>77</v>
      </c>
      <c r="F3768" s="28" t="s">
        <v>77</v>
      </c>
      <c r="G3768" s="28" t="s">
        <v>77</v>
      </c>
      <c r="I3768" s="26" t="s">
        <v>77</v>
      </c>
      <c r="J3768" s="26" t="s">
        <v>77</v>
      </c>
      <c r="K3768" s="18"/>
      <c r="L3768" s="26" t="s">
        <v>77</v>
      </c>
      <c r="M3768" s="6" t="s">
        <v>77</v>
      </c>
      <c r="N3768" s="28" t="s">
        <v>77</v>
      </c>
      <c r="O3768" s="26" t="s">
        <v>77</v>
      </c>
    </row>
    <row r="3769">
      <c r="A3769" s="52" t="s">
        <v>77</v>
      </c>
      <c r="B3769" s="28" t="s">
        <v>77</v>
      </c>
      <c r="C3769" s="28" t="s">
        <v>77</v>
      </c>
      <c r="D3769" s="28" t="s">
        <v>77</v>
      </c>
      <c r="E3769" s="28" t="s">
        <v>77</v>
      </c>
      <c r="F3769" s="28" t="s">
        <v>77</v>
      </c>
      <c r="G3769" s="28" t="s">
        <v>77</v>
      </c>
      <c r="I3769" s="26" t="s">
        <v>77</v>
      </c>
      <c r="J3769" s="26" t="s">
        <v>77</v>
      </c>
      <c r="K3769" s="18"/>
      <c r="L3769" s="26" t="s">
        <v>77</v>
      </c>
      <c r="M3769" s="6" t="s">
        <v>77</v>
      </c>
      <c r="N3769" s="28" t="s">
        <v>77</v>
      </c>
      <c r="O3769" s="26" t="s">
        <v>77</v>
      </c>
    </row>
    <row r="3770">
      <c r="A3770" s="52" t="s">
        <v>77</v>
      </c>
      <c r="B3770" s="28" t="s">
        <v>77</v>
      </c>
      <c r="C3770" s="28" t="s">
        <v>77</v>
      </c>
      <c r="D3770" s="28" t="s">
        <v>77</v>
      </c>
      <c r="E3770" s="28" t="s">
        <v>77</v>
      </c>
      <c r="F3770" s="28" t="s">
        <v>77</v>
      </c>
      <c r="G3770" s="28" t="s">
        <v>77</v>
      </c>
      <c r="I3770" s="26" t="s">
        <v>77</v>
      </c>
      <c r="J3770" s="26" t="s">
        <v>77</v>
      </c>
      <c r="K3770" s="18"/>
      <c r="L3770" s="26" t="s">
        <v>77</v>
      </c>
      <c r="M3770" s="6" t="s">
        <v>77</v>
      </c>
      <c r="N3770" s="28" t="s">
        <v>77</v>
      </c>
      <c r="O3770" s="26" t="s">
        <v>77</v>
      </c>
    </row>
    <row r="3771">
      <c r="A3771" s="52" t="s">
        <v>77</v>
      </c>
      <c r="B3771" s="28" t="s">
        <v>77</v>
      </c>
      <c r="C3771" s="28" t="s">
        <v>77</v>
      </c>
      <c r="D3771" s="28" t="s">
        <v>77</v>
      </c>
      <c r="E3771" s="28" t="s">
        <v>77</v>
      </c>
      <c r="F3771" s="28" t="s">
        <v>77</v>
      </c>
      <c r="G3771" s="28" t="s">
        <v>77</v>
      </c>
      <c r="I3771" s="26" t="s">
        <v>77</v>
      </c>
      <c r="J3771" s="26" t="s">
        <v>77</v>
      </c>
      <c r="K3771" s="18"/>
      <c r="L3771" s="26" t="s">
        <v>77</v>
      </c>
      <c r="M3771" s="6" t="s">
        <v>77</v>
      </c>
      <c r="N3771" s="28" t="s">
        <v>77</v>
      </c>
      <c r="O3771" s="26" t="s">
        <v>77</v>
      </c>
    </row>
    <row r="3772">
      <c r="A3772" s="52" t="s">
        <v>77</v>
      </c>
      <c r="B3772" s="28" t="s">
        <v>77</v>
      </c>
      <c r="C3772" s="28" t="s">
        <v>77</v>
      </c>
      <c r="D3772" s="28" t="s">
        <v>77</v>
      </c>
      <c r="E3772" s="28" t="s">
        <v>77</v>
      </c>
      <c r="F3772" s="28" t="s">
        <v>77</v>
      </c>
      <c r="G3772" s="28" t="s">
        <v>77</v>
      </c>
      <c r="I3772" s="26" t="s">
        <v>77</v>
      </c>
      <c r="J3772" s="26" t="s">
        <v>77</v>
      </c>
      <c r="K3772" s="18"/>
      <c r="L3772" s="26" t="s">
        <v>77</v>
      </c>
      <c r="M3772" s="6" t="s">
        <v>77</v>
      </c>
      <c r="N3772" s="28" t="s">
        <v>77</v>
      </c>
      <c r="O3772" s="26" t="s">
        <v>77</v>
      </c>
    </row>
    <row r="3773">
      <c r="A3773" s="52" t="s">
        <v>77</v>
      </c>
      <c r="B3773" s="28" t="s">
        <v>77</v>
      </c>
      <c r="C3773" s="28" t="s">
        <v>77</v>
      </c>
      <c r="D3773" s="28" t="s">
        <v>77</v>
      </c>
      <c r="E3773" s="28" t="s">
        <v>77</v>
      </c>
      <c r="F3773" s="28" t="s">
        <v>77</v>
      </c>
      <c r="G3773" s="28" t="s">
        <v>77</v>
      </c>
      <c r="I3773" s="26" t="s">
        <v>77</v>
      </c>
      <c r="J3773" s="26" t="s">
        <v>77</v>
      </c>
      <c r="K3773" s="18"/>
      <c r="L3773" s="26" t="s">
        <v>77</v>
      </c>
      <c r="M3773" s="6" t="s">
        <v>77</v>
      </c>
      <c r="N3773" s="28" t="s">
        <v>77</v>
      </c>
      <c r="O3773" s="26" t="s">
        <v>77</v>
      </c>
    </row>
    <row r="3774">
      <c r="A3774" s="52" t="s">
        <v>77</v>
      </c>
      <c r="B3774" s="28" t="s">
        <v>77</v>
      </c>
      <c r="C3774" s="28" t="s">
        <v>77</v>
      </c>
      <c r="D3774" s="28" t="s">
        <v>77</v>
      </c>
      <c r="E3774" s="28" t="s">
        <v>77</v>
      </c>
      <c r="F3774" s="28" t="s">
        <v>77</v>
      </c>
      <c r="G3774" s="28" t="s">
        <v>77</v>
      </c>
      <c r="I3774" s="26" t="s">
        <v>77</v>
      </c>
      <c r="J3774" s="26" t="s">
        <v>77</v>
      </c>
      <c r="K3774" s="18"/>
      <c r="L3774" s="26" t="s">
        <v>77</v>
      </c>
      <c r="M3774" s="6" t="s">
        <v>77</v>
      </c>
      <c r="N3774" s="28" t="s">
        <v>77</v>
      </c>
      <c r="O3774" s="26" t="s">
        <v>77</v>
      </c>
    </row>
    <row r="3775">
      <c r="A3775" s="52" t="s">
        <v>77</v>
      </c>
      <c r="B3775" s="28" t="s">
        <v>77</v>
      </c>
      <c r="C3775" s="28" t="s">
        <v>77</v>
      </c>
      <c r="D3775" s="28" t="s">
        <v>77</v>
      </c>
      <c r="E3775" s="28" t="s">
        <v>77</v>
      </c>
      <c r="F3775" s="28" t="s">
        <v>77</v>
      </c>
      <c r="G3775" s="28" t="s">
        <v>77</v>
      </c>
      <c r="I3775" s="26" t="s">
        <v>77</v>
      </c>
      <c r="J3775" s="26" t="s">
        <v>77</v>
      </c>
      <c r="K3775" s="18"/>
      <c r="L3775" s="26" t="s">
        <v>77</v>
      </c>
      <c r="M3775" s="6" t="s">
        <v>77</v>
      </c>
      <c r="N3775" s="28" t="s">
        <v>77</v>
      </c>
      <c r="O3775" s="26" t="s">
        <v>77</v>
      </c>
    </row>
    <row r="3776">
      <c r="A3776" s="52" t="s">
        <v>77</v>
      </c>
      <c r="B3776" s="28" t="s">
        <v>77</v>
      </c>
      <c r="C3776" s="28" t="s">
        <v>77</v>
      </c>
      <c r="D3776" s="28" t="s">
        <v>77</v>
      </c>
      <c r="E3776" s="28" t="s">
        <v>77</v>
      </c>
      <c r="F3776" s="28" t="s">
        <v>77</v>
      </c>
      <c r="G3776" s="28" t="s">
        <v>77</v>
      </c>
      <c r="I3776" s="26" t="s">
        <v>77</v>
      </c>
      <c r="J3776" s="26" t="s">
        <v>77</v>
      </c>
      <c r="K3776" s="18"/>
      <c r="L3776" s="26" t="s">
        <v>77</v>
      </c>
      <c r="M3776" s="6" t="s">
        <v>77</v>
      </c>
      <c r="N3776" s="28" t="s">
        <v>77</v>
      </c>
      <c r="O3776" s="26" t="s">
        <v>77</v>
      </c>
    </row>
    <row r="3777">
      <c r="A3777" s="52" t="s">
        <v>77</v>
      </c>
      <c r="B3777" s="28" t="s">
        <v>77</v>
      </c>
      <c r="C3777" s="28" t="s">
        <v>77</v>
      </c>
      <c r="D3777" s="28" t="s">
        <v>77</v>
      </c>
      <c r="E3777" s="28" t="s">
        <v>77</v>
      </c>
      <c r="F3777" s="28" t="s">
        <v>77</v>
      </c>
      <c r="G3777" s="28" t="s">
        <v>77</v>
      </c>
      <c r="I3777" s="26" t="s">
        <v>77</v>
      </c>
      <c r="J3777" s="26" t="s">
        <v>77</v>
      </c>
      <c r="K3777" s="18"/>
      <c r="L3777" s="26" t="s">
        <v>77</v>
      </c>
      <c r="M3777" s="6" t="s">
        <v>77</v>
      </c>
      <c r="N3777" s="28" t="s">
        <v>77</v>
      </c>
      <c r="O3777" s="26" t="s">
        <v>77</v>
      </c>
    </row>
    <row r="3778">
      <c r="A3778" s="52" t="s">
        <v>77</v>
      </c>
      <c r="B3778" s="28" t="s">
        <v>77</v>
      </c>
      <c r="C3778" s="28" t="s">
        <v>77</v>
      </c>
      <c r="D3778" s="28" t="s">
        <v>77</v>
      </c>
      <c r="E3778" s="28" t="s">
        <v>77</v>
      </c>
      <c r="F3778" s="28" t="s">
        <v>77</v>
      </c>
      <c r="G3778" s="28" t="s">
        <v>77</v>
      </c>
      <c r="I3778" s="26" t="s">
        <v>77</v>
      </c>
      <c r="J3778" s="26" t="s">
        <v>77</v>
      </c>
      <c r="K3778" s="18"/>
      <c r="L3778" s="26" t="s">
        <v>77</v>
      </c>
      <c r="M3778" s="6" t="s">
        <v>77</v>
      </c>
      <c r="N3778" s="28" t="s">
        <v>77</v>
      </c>
      <c r="O3778" s="26" t="s">
        <v>77</v>
      </c>
    </row>
    <row r="3779">
      <c r="A3779" s="52" t="s">
        <v>77</v>
      </c>
      <c r="B3779" s="28" t="s">
        <v>77</v>
      </c>
      <c r="C3779" s="28" t="s">
        <v>77</v>
      </c>
      <c r="D3779" s="28" t="s">
        <v>77</v>
      </c>
      <c r="E3779" s="28" t="s">
        <v>77</v>
      </c>
      <c r="F3779" s="28" t="s">
        <v>77</v>
      </c>
      <c r="G3779" s="28" t="s">
        <v>77</v>
      </c>
      <c r="I3779" s="26" t="s">
        <v>77</v>
      </c>
      <c r="J3779" s="26" t="s">
        <v>77</v>
      </c>
      <c r="K3779" s="18"/>
      <c r="L3779" s="26" t="s">
        <v>77</v>
      </c>
      <c r="M3779" s="6" t="s">
        <v>77</v>
      </c>
      <c r="N3779" s="28" t="s">
        <v>77</v>
      </c>
      <c r="O3779" s="26" t="s">
        <v>77</v>
      </c>
    </row>
    <row r="3780">
      <c r="A3780" s="52" t="s">
        <v>77</v>
      </c>
      <c r="B3780" s="28" t="s">
        <v>77</v>
      </c>
      <c r="C3780" s="28" t="s">
        <v>77</v>
      </c>
      <c r="D3780" s="28" t="s">
        <v>77</v>
      </c>
      <c r="E3780" s="28" t="s">
        <v>77</v>
      </c>
      <c r="F3780" s="28" t="s">
        <v>77</v>
      </c>
      <c r="G3780" s="28" t="s">
        <v>77</v>
      </c>
      <c r="I3780" s="26" t="s">
        <v>77</v>
      </c>
      <c r="J3780" s="26" t="s">
        <v>77</v>
      </c>
      <c r="K3780" s="18"/>
      <c r="L3780" s="26" t="s">
        <v>77</v>
      </c>
      <c r="M3780" s="6" t="s">
        <v>77</v>
      </c>
      <c r="N3780" s="28" t="s">
        <v>77</v>
      </c>
      <c r="O3780" s="26" t="s">
        <v>77</v>
      </c>
    </row>
    <row r="3781">
      <c r="A3781" s="52" t="s">
        <v>77</v>
      </c>
      <c r="B3781" s="28" t="s">
        <v>77</v>
      </c>
      <c r="C3781" s="28" t="s">
        <v>77</v>
      </c>
      <c r="D3781" s="28" t="s">
        <v>77</v>
      </c>
      <c r="E3781" s="28" t="s">
        <v>77</v>
      </c>
      <c r="F3781" s="28" t="s">
        <v>77</v>
      </c>
      <c r="G3781" s="28" t="s">
        <v>77</v>
      </c>
      <c r="I3781" s="26" t="s">
        <v>77</v>
      </c>
      <c r="J3781" s="26" t="s">
        <v>77</v>
      </c>
      <c r="K3781" s="18"/>
      <c r="L3781" s="26" t="s">
        <v>77</v>
      </c>
      <c r="M3781" s="6" t="s">
        <v>77</v>
      </c>
      <c r="N3781" s="28" t="s">
        <v>77</v>
      </c>
      <c r="O3781" s="26" t="s">
        <v>77</v>
      </c>
    </row>
    <row r="3782">
      <c r="A3782" s="52" t="s">
        <v>77</v>
      </c>
      <c r="B3782" s="28" t="s">
        <v>77</v>
      </c>
      <c r="C3782" s="28" t="s">
        <v>77</v>
      </c>
      <c r="D3782" s="28" t="s">
        <v>77</v>
      </c>
      <c r="E3782" s="28" t="s">
        <v>77</v>
      </c>
      <c r="F3782" s="28" t="s">
        <v>77</v>
      </c>
      <c r="G3782" s="28" t="s">
        <v>77</v>
      </c>
      <c r="I3782" s="26" t="s">
        <v>77</v>
      </c>
      <c r="J3782" s="26" t="s">
        <v>77</v>
      </c>
      <c r="K3782" s="18"/>
      <c r="L3782" s="26" t="s">
        <v>77</v>
      </c>
      <c r="M3782" s="6" t="s">
        <v>77</v>
      </c>
      <c r="N3782" s="28" t="s">
        <v>77</v>
      </c>
      <c r="O3782" s="26" t="s">
        <v>77</v>
      </c>
    </row>
    <row r="3783">
      <c r="A3783" s="52" t="s">
        <v>77</v>
      </c>
      <c r="B3783" s="28" t="s">
        <v>77</v>
      </c>
      <c r="C3783" s="28" t="s">
        <v>77</v>
      </c>
      <c r="D3783" s="28" t="s">
        <v>77</v>
      </c>
      <c r="E3783" s="28" t="s">
        <v>77</v>
      </c>
      <c r="F3783" s="28" t="s">
        <v>77</v>
      </c>
      <c r="G3783" s="28" t="s">
        <v>77</v>
      </c>
      <c r="I3783" s="26" t="s">
        <v>77</v>
      </c>
      <c r="J3783" s="26" t="s">
        <v>77</v>
      </c>
      <c r="K3783" s="18"/>
      <c r="L3783" s="26" t="s">
        <v>77</v>
      </c>
      <c r="M3783" s="6" t="s">
        <v>77</v>
      </c>
      <c r="N3783" s="28" t="s">
        <v>77</v>
      </c>
      <c r="O3783" s="26" t="s">
        <v>77</v>
      </c>
    </row>
    <row r="3784">
      <c r="A3784" s="52" t="s">
        <v>77</v>
      </c>
      <c r="B3784" s="28" t="s">
        <v>77</v>
      </c>
      <c r="C3784" s="28" t="s">
        <v>77</v>
      </c>
      <c r="D3784" s="28" t="s">
        <v>77</v>
      </c>
      <c r="E3784" s="28" t="s">
        <v>77</v>
      </c>
      <c r="F3784" s="28" t="s">
        <v>77</v>
      </c>
      <c r="G3784" s="28" t="s">
        <v>77</v>
      </c>
      <c r="I3784" s="26" t="s">
        <v>77</v>
      </c>
      <c r="J3784" s="26" t="s">
        <v>77</v>
      </c>
      <c r="K3784" s="18"/>
      <c r="L3784" s="26" t="s">
        <v>77</v>
      </c>
      <c r="M3784" s="6" t="s">
        <v>77</v>
      </c>
      <c r="N3784" s="28" t="s">
        <v>77</v>
      </c>
      <c r="O3784" s="26" t="s">
        <v>77</v>
      </c>
    </row>
    <row r="3785">
      <c r="A3785" s="52" t="s">
        <v>77</v>
      </c>
      <c r="B3785" s="28" t="s">
        <v>77</v>
      </c>
      <c r="C3785" s="28" t="s">
        <v>77</v>
      </c>
      <c r="D3785" s="28" t="s">
        <v>77</v>
      </c>
      <c r="E3785" s="28" t="s">
        <v>77</v>
      </c>
      <c r="F3785" s="28" t="s">
        <v>77</v>
      </c>
      <c r="G3785" s="28" t="s">
        <v>77</v>
      </c>
      <c r="I3785" s="26" t="s">
        <v>77</v>
      </c>
      <c r="J3785" s="26" t="s">
        <v>77</v>
      </c>
      <c r="K3785" s="18"/>
      <c r="L3785" s="26" t="s">
        <v>77</v>
      </c>
      <c r="M3785" s="6" t="s">
        <v>77</v>
      </c>
      <c r="N3785" s="28" t="s">
        <v>77</v>
      </c>
      <c r="O3785" s="26" t="s">
        <v>77</v>
      </c>
    </row>
    <row r="3786">
      <c r="A3786" s="52" t="s">
        <v>77</v>
      </c>
      <c r="B3786" s="28" t="s">
        <v>77</v>
      </c>
      <c r="C3786" s="28" t="s">
        <v>77</v>
      </c>
      <c r="D3786" s="28" t="s">
        <v>77</v>
      </c>
      <c r="E3786" s="28" t="s">
        <v>77</v>
      </c>
      <c r="F3786" s="28" t="s">
        <v>77</v>
      </c>
      <c r="G3786" s="28" t="s">
        <v>77</v>
      </c>
      <c r="I3786" s="26" t="s">
        <v>77</v>
      </c>
      <c r="J3786" s="26" t="s">
        <v>77</v>
      </c>
      <c r="K3786" s="18"/>
      <c r="L3786" s="26" t="s">
        <v>77</v>
      </c>
      <c r="M3786" s="6" t="s">
        <v>77</v>
      </c>
      <c r="N3786" s="28" t="s">
        <v>77</v>
      </c>
      <c r="O3786" s="26" t="s">
        <v>77</v>
      </c>
    </row>
    <row r="3787">
      <c r="A3787" s="52" t="s">
        <v>77</v>
      </c>
      <c r="B3787" s="28" t="s">
        <v>77</v>
      </c>
      <c r="C3787" s="28" t="s">
        <v>77</v>
      </c>
      <c r="D3787" s="28" t="s">
        <v>77</v>
      </c>
      <c r="E3787" s="28" t="s">
        <v>77</v>
      </c>
      <c r="F3787" s="28" t="s">
        <v>77</v>
      </c>
      <c r="G3787" s="28" t="s">
        <v>77</v>
      </c>
      <c r="I3787" s="26" t="s">
        <v>77</v>
      </c>
      <c r="J3787" s="26" t="s">
        <v>77</v>
      </c>
      <c r="K3787" s="18"/>
      <c r="L3787" s="26" t="s">
        <v>77</v>
      </c>
      <c r="M3787" s="6" t="s">
        <v>77</v>
      </c>
      <c r="N3787" s="28" t="s">
        <v>77</v>
      </c>
      <c r="O3787" s="26" t="s">
        <v>77</v>
      </c>
    </row>
    <row r="3788">
      <c r="A3788" s="52" t="s">
        <v>77</v>
      </c>
      <c r="B3788" s="28" t="s">
        <v>77</v>
      </c>
      <c r="C3788" s="28" t="s">
        <v>77</v>
      </c>
      <c r="D3788" s="28" t="s">
        <v>77</v>
      </c>
      <c r="E3788" s="28" t="s">
        <v>77</v>
      </c>
      <c r="F3788" s="28" t="s">
        <v>77</v>
      </c>
      <c r="G3788" s="28" t="s">
        <v>77</v>
      </c>
      <c r="I3788" s="26" t="s">
        <v>77</v>
      </c>
      <c r="J3788" s="26" t="s">
        <v>77</v>
      </c>
      <c r="K3788" s="18"/>
      <c r="L3788" s="26" t="s">
        <v>77</v>
      </c>
      <c r="M3788" s="6" t="s">
        <v>77</v>
      </c>
      <c r="N3788" s="28" t="s">
        <v>77</v>
      </c>
      <c r="O3788" s="26" t="s">
        <v>77</v>
      </c>
    </row>
    <row r="3789">
      <c r="A3789" s="52" t="s">
        <v>77</v>
      </c>
      <c r="B3789" s="28" t="s">
        <v>77</v>
      </c>
      <c r="C3789" s="28" t="s">
        <v>77</v>
      </c>
      <c r="D3789" s="28" t="s">
        <v>77</v>
      </c>
      <c r="E3789" s="28" t="s">
        <v>77</v>
      </c>
      <c r="F3789" s="28" t="s">
        <v>77</v>
      </c>
      <c r="G3789" s="28" t="s">
        <v>77</v>
      </c>
      <c r="I3789" s="26" t="s">
        <v>77</v>
      </c>
      <c r="J3789" s="26" t="s">
        <v>77</v>
      </c>
      <c r="K3789" s="18"/>
      <c r="L3789" s="26" t="s">
        <v>77</v>
      </c>
      <c r="M3789" s="6" t="s">
        <v>77</v>
      </c>
      <c r="N3789" s="28" t="s">
        <v>77</v>
      </c>
      <c r="O3789" s="26" t="s">
        <v>77</v>
      </c>
    </row>
    <row r="3790">
      <c r="A3790" s="52" t="s">
        <v>77</v>
      </c>
      <c r="B3790" s="28" t="s">
        <v>77</v>
      </c>
      <c r="C3790" s="28" t="s">
        <v>77</v>
      </c>
      <c r="D3790" s="28" t="s">
        <v>77</v>
      </c>
      <c r="E3790" s="28" t="s">
        <v>77</v>
      </c>
      <c r="F3790" s="28" t="s">
        <v>77</v>
      </c>
      <c r="G3790" s="28" t="s">
        <v>77</v>
      </c>
      <c r="I3790" s="26" t="s">
        <v>77</v>
      </c>
      <c r="J3790" s="26" t="s">
        <v>77</v>
      </c>
      <c r="K3790" s="18"/>
      <c r="L3790" s="26" t="s">
        <v>77</v>
      </c>
      <c r="M3790" s="6" t="s">
        <v>77</v>
      </c>
      <c r="N3790" s="28" t="s">
        <v>77</v>
      </c>
      <c r="O3790" s="26" t="s">
        <v>77</v>
      </c>
    </row>
    <row r="3791">
      <c r="A3791" s="52" t="s">
        <v>77</v>
      </c>
      <c r="B3791" s="28" t="s">
        <v>77</v>
      </c>
      <c r="C3791" s="28" t="s">
        <v>77</v>
      </c>
      <c r="D3791" s="28" t="s">
        <v>77</v>
      </c>
      <c r="E3791" s="28" t="s">
        <v>77</v>
      </c>
      <c r="F3791" s="28" t="s">
        <v>77</v>
      </c>
      <c r="G3791" s="28" t="s">
        <v>77</v>
      </c>
      <c r="I3791" s="26" t="s">
        <v>77</v>
      </c>
      <c r="J3791" s="26" t="s">
        <v>77</v>
      </c>
      <c r="K3791" s="18"/>
      <c r="L3791" s="26" t="s">
        <v>77</v>
      </c>
      <c r="M3791" s="6" t="s">
        <v>77</v>
      </c>
      <c r="N3791" s="28" t="s">
        <v>77</v>
      </c>
      <c r="O3791" s="26" t="s">
        <v>77</v>
      </c>
    </row>
    <row r="3792">
      <c r="A3792" s="52" t="s">
        <v>77</v>
      </c>
      <c r="B3792" s="28" t="s">
        <v>77</v>
      </c>
      <c r="C3792" s="28" t="s">
        <v>77</v>
      </c>
      <c r="D3792" s="28" t="s">
        <v>77</v>
      </c>
      <c r="E3792" s="28" t="s">
        <v>77</v>
      </c>
      <c r="F3792" s="28" t="s">
        <v>77</v>
      </c>
      <c r="G3792" s="28" t="s">
        <v>77</v>
      </c>
      <c r="I3792" s="26" t="s">
        <v>77</v>
      </c>
      <c r="J3792" s="26" t="s">
        <v>77</v>
      </c>
      <c r="K3792" s="18"/>
      <c r="L3792" s="26" t="s">
        <v>77</v>
      </c>
      <c r="M3792" s="6" t="s">
        <v>77</v>
      </c>
      <c r="N3792" s="28" t="s">
        <v>77</v>
      </c>
      <c r="O3792" s="26" t="s">
        <v>77</v>
      </c>
    </row>
    <row r="3793">
      <c r="A3793" s="52" t="s">
        <v>77</v>
      </c>
      <c r="B3793" s="28" t="s">
        <v>77</v>
      </c>
      <c r="C3793" s="28" t="s">
        <v>77</v>
      </c>
      <c r="D3793" s="28" t="s">
        <v>77</v>
      </c>
      <c r="E3793" s="28" t="s">
        <v>77</v>
      </c>
      <c r="F3793" s="28" t="s">
        <v>77</v>
      </c>
      <c r="G3793" s="28" t="s">
        <v>77</v>
      </c>
      <c r="I3793" s="26" t="s">
        <v>77</v>
      </c>
      <c r="J3793" s="26" t="s">
        <v>77</v>
      </c>
      <c r="K3793" s="18"/>
      <c r="L3793" s="26" t="s">
        <v>77</v>
      </c>
      <c r="M3793" s="6" t="s">
        <v>77</v>
      </c>
      <c r="N3793" s="28" t="s">
        <v>77</v>
      </c>
      <c r="O3793" s="26" t="s">
        <v>77</v>
      </c>
    </row>
    <row r="3794">
      <c r="A3794" s="52" t="s">
        <v>77</v>
      </c>
      <c r="B3794" s="28" t="s">
        <v>77</v>
      </c>
      <c r="C3794" s="28" t="s">
        <v>77</v>
      </c>
      <c r="D3794" s="28" t="s">
        <v>77</v>
      </c>
      <c r="E3794" s="28" t="s">
        <v>77</v>
      </c>
      <c r="F3794" s="28" t="s">
        <v>77</v>
      </c>
      <c r="G3794" s="28" t="s">
        <v>77</v>
      </c>
      <c r="I3794" s="26" t="s">
        <v>77</v>
      </c>
      <c r="J3794" s="26" t="s">
        <v>77</v>
      </c>
      <c r="K3794" s="18"/>
      <c r="L3794" s="26" t="s">
        <v>77</v>
      </c>
      <c r="M3794" s="6" t="s">
        <v>77</v>
      </c>
      <c r="N3794" s="28" t="s">
        <v>77</v>
      </c>
      <c r="O3794" s="26" t="s">
        <v>77</v>
      </c>
    </row>
    <row r="3795">
      <c r="A3795" s="52" t="s">
        <v>77</v>
      </c>
      <c r="B3795" s="28" t="s">
        <v>77</v>
      </c>
      <c r="C3795" s="28" t="s">
        <v>77</v>
      </c>
      <c r="D3795" s="28" t="s">
        <v>77</v>
      </c>
      <c r="E3795" s="28" t="s">
        <v>77</v>
      </c>
      <c r="F3795" s="28" t="s">
        <v>77</v>
      </c>
      <c r="G3795" s="28" t="s">
        <v>77</v>
      </c>
      <c r="I3795" s="26" t="s">
        <v>77</v>
      </c>
      <c r="J3795" s="26" t="s">
        <v>77</v>
      </c>
      <c r="K3795" s="18"/>
      <c r="L3795" s="26" t="s">
        <v>77</v>
      </c>
      <c r="M3795" s="6" t="s">
        <v>77</v>
      </c>
      <c r="N3795" s="28" t="s">
        <v>77</v>
      </c>
      <c r="O3795" s="26" t="s">
        <v>77</v>
      </c>
    </row>
    <row r="3796">
      <c r="A3796" s="52" t="s">
        <v>77</v>
      </c>
      <c r="B3796" s="28" t="s">
        <v>77</v>
      </c>
      <c r="C3796" s="28" t="s">
        <v>77</v>
      </c>
      <c r="D3796" s="28" t="s">
        <v>77</v>
      </c>
      <c r="E3796" s="28" t="s">
        <v>77</v>
      </c>
      <c r="F3796" s="28" t="s">
        <v>77</v>
      </c>
      <c r="G3796" s="28" t="s">
        <v>77</v>
      </c>
      <c r="I3796" s="26" t="s">
        <v>77</v>
      </c>
      <c r="J3796" s="26" t="s">
        <v>77</v>
      </c>
      <c r="K3796" s="18"/>
      <c r="L3796" s="26" t="s">
        <v>77</v>
      </c>
      <c r="M3796" s="6" t="s">
        <v>77</v>
      </c>
      <c r="N3796" s="28" t="s">
        <v>77</v>
      </c>
      <c r="O3796" s="26" t="s">
        <v>77</v>
      </c>
    </row>
    <row r="3797">
      <c r="A3797" s="52" t="s">
        <v>77</v>
      </c>
      <c r="B3797" s="28" t="s">
        <v>77</v>
      </c>
      <c r="C3797" s="28" t="s">
        <v>77</v>
      </c>
      <c r="D3797" s="28" t="s">
        <v>77</v>
      </c>
      <c r="E3797" s="28" t="s">
        <v>77</v>
      </c>
      <c r="F3797" s="28" t="s">
        <v>77</v>
      </c>
      <c r="G3797" s="28" t="s">
        <v>77</v>
      </c>
      <c r="I3797" s="26" t="s">
        <v>77</v>
      </c>
      <c r="J3797" s="26" t="s">
        <v>77</v>
      </c>
      <c r="K3797" s="18"/>
      <c r="L3797" s="26" t="s">
        <v>77</v>
      </c>
      <c r="M3797" s="6" t="s">
        <v>77</v>
      </c>
      <c r="N3797" s="28" t="s">
        <v>77</v>
      </c>
      <c r="O3797" s="26" t="s">
        <v>77</v>
      </c>
    </row>
    <row r="3798">
      <c r="A3798" s="52" t="s">
        <v>77</v>
      </c>
      <c r="B3798" s="28" t="s">
        <v>77</v>
      </c>
      <c r="C3798" s="28" t="s">
        <v>77</v>
      </c>
      <c r="D3798" s="28" t="s">
        <v>77</v>
      </c>
      <c r="E3798" s="28" t="s">
        <v>77</v>
      </c>
      <c r="F3798" s="28" t="s">
        <v>77</v>
      </c>
      <c r="G3798" s="28" t="s">
        <v>77</v>
      </c>
      <c r="I3798" s="26" t="s">
        <v>77</v>
      </c>
      <c r="J3798" s="26" t="s">
        <v>77</v>
      </c>
      <c r="K3798" s="18"/>
      <c r="L3798" s="26" t="s">
        <v>77</v>
      </c>
      <c r="M3798" s="6" t="s">
        <v>77</v>
      </c>
      <c r="N3798" s="28" t="s">
        <v>77</v>
      </c>
      <c r="O3798" s="26" t="s">
        <v>77</v>
      </c>
    </row>
    <row r="3799">
      <c r="A3799" s="52" t="s">
        <v>77</v>
      </c>
      <c r="B3799" s="28" t="s">
        <v>77</v>
      </c>
      <c r="C3799" s="28" t="s">
        <v>77</v>
      </c>
      <c r="D3799" s="28" t="s">
        <v>77</v>
      </c>
      <c r="E3799" s="28" t="s">
        <v>77</v>
      </c>
      <c r="F3799" s="28" t="s">
        <v>77</v>
      </c>
      <c r="G3799" s="28" t="s">
        <v>77</v>
      </c>
      <c r="I3799" s="26" t="s">
        <v>77</v>
      </c>
      <c r="J3799" s="26" t="s">
        <v>77</v>
      </c>
      <c r="K3799" s="18"/>
      <c r="L3799" s="26" t="s">
        <v>77</v>
      </c>
      <c r="M3799" s="6" t="s">
        <v>77</v>
      </c>
      <c r="N3799" s="28" t="s">
        <v>77</v>
      </c>
      <c r="O3799" s="26" t="s">
        <v>77</v>
      </c>
    </row>
    <row r="3800">
      <c r="A3800" s="52" t="s">
        <v>77</v>
      </c>
      <c r="B3800" s="28" t="s">
        <v>77</v>
      </c>
      <c r="C3800" s="28" t="s">
        <v>77</v>
      </c>
      <c r="D3800" s="28" t="s">
        <v>77</v>
      </c>
      <c r="E3800" s="28" t="s">
        <v>77</v>
      </c>
      <c r="F3800" s="28" t="s">
        <v>77</v>
      </c>
      <c r="G3800" s="28" t="s">
        <v>77</v>
      </c>
      <c r="I3800" s="26" t="s">
        <v>77</v>
      </c>
      <c r="J3800" s="26" t="s">
        <v>77</v>
      </c>
      <c r="K3800" s="18"/>
      <c r="L3800" s="26" t="s">
        <v>77</v>
      </c>
      <c r="M3800" s="6" t="s">
        <v>77</v>
      </c>
      <c r="N3800" s="28" t="s">
        <v>77</v>
      </c>
      <c r="O3800" s="26" t="s">
        <v>77</v>
      </c>
    </row>
    <row r="3801">
      <c r="A3801" s="52" t="s">
        <v>77</v>
      </c>
      <c r="B3801" s="28" t="s">
        <v>77</v>
      </c>
      <c r="C3801" s="28" t="s">
        <v>77</v>
      </c>
      <c r="D3801" s="28" t="s">
        <v>77</v>
      </c>
      <c r="E3801" s="28" t="s">
        <v>77</v>
      </c>
      <c r="F3801" s="28" t="s">
        <v>77</v>
      </c>
      <c r="G3801" s="28" t="s">
        <v>77</v>
      </c>
      <c r="I3801" s="26" t="s">
        <v>77</v>
      </c>
      <c r="J3801" s="26" t="s">
        <v>77</v>
      </c>
      <c r="K3801" s="18"/>
      <c r="L3801" s="26" t="s">
        <v>77</v>
      </c>
      <c r="M3801" s="6" t="s">
        <v>77</v>
      </c>
      <c r="N3801" s="28" t="s">
        <v>77</v>
      </c>
      <c r="O3801" s="26" t="s">
        <v>77</v>
      </c>
    </row>
    <row r="3802">
      <c r="A3802" s="52" t="s">
        <v>77</v>
      </c>
      <c r="B3802" s="28" t="s">
        <v>77</v>
      </c>
      <c r="C3802" s="28" t="s">
        <v>77</v>
      </c>
      <c r="D3802" s="28" t="s">
        <v>77</v>
      </c>
      <c r="E3802" s="28" t="s">
        <v>77</v>
      </c>
      <c r="F3802" s="28" t="s">
        <v>77</v>
      </c>
      <c r="G3802" s="28" t="s">
        <v>77</v>
      </c>
      <c r="I3802" s="26" t="s">
        <v>77</v>
      </c>
      <c r="J3802" s="26" t="s">
        <v>77</v>
      </c>
      <c r="K3802" s="18"/>
      <c r="L3802" s="26" t="s">
        <v>77</v>
      </c>
      <c r="M3802" s="6" t="s">
        <v>77</v>
      </c>
      <c r="N3802" s="28" t="s">
        <v>77</v>
      </c>
      <c r="O3802" s="26" t="s">
        <v>77</v>
      </c>
    </row>
    <row r="3803">
      <c r="A3803" s="52" t="s">
        <v>77</v>
      </c>
      <c r="B3803" s="28" t="s">
        <v>77</v>
      </c>
      <c r="C3803" s="28" t="s">
        <v>77</v>
      </c>
      <c r="D3803" s="28" t="s">
        <v>77</v>
      </c>
      <c r="E3803" s="28" t="s">
        <v>77</v>
      </c>
      <c r="F3803" s="28" t="s">
        <v>77</v>
      </c>
      <c r="G3803" s="28" t="s">
        <v>77</v>
      </c>
      <c r="I3803" s="26" t="s">
        <v>77</v>
      </c>
      <c r="J3803" s="26" t="s">
        <v>77</v>
      </c>
      <c r="K3803" s="18"/>
      <c r="L3803" s="26" t="s">
        <v>77</v>
      </c>
      <c r="M3803" s="6" t="s">
        <v>77</v>
      </c>
      <c r="N3803" s="28" t="s">
        <v>77</v>
      </c>
      <c r="O3803" s="26" t="s">
        <v>77</v>
      </c>
    </row>
    <row r="3804">
      <c r="A3804" s="52" t="s">
        <v>77</v>
      </c>
      <c r="B3804" s="28" t="s">
        <v>77</v>
      </c>
      <c r="C3804" s="28" t="s">
        <v>77</v>
      </c>
      <c r="D3804" s="28" t="s">
        <v>77</v>
      </c>
      <c r="E3804" s="28" t="s">
        <v>77</v>
      </c>
      <c r="F3804" s="28" t="s">
        <v>77</v>
      </c>
      <c r="G3804" s="28" t="s">
        <v>77</v>
      </c>
      <c r="I3804" s="26" t="s">
        <v>77</v>
      </c>
      <c r="J3804" s="26" t="s">
        <v>77</v>
      </c>
      <c r="K3804" s="18"/>
      <c r="L3804" s="26" t="s">
        <v>77</v>
      </c>
      <c r="M3804" s="6" t="s">
        <v>77</v>
      </c>
      <c r="N3804" s="28" t="s">
        <v>77</v>
      </c>
      <c r="O3804" s="26" t="s">
        <v>77</v>
      </c>
    </row>
    <row r="3805">
      <c r="A3805" s="52" t="s">
        <v>77</v>
      </c>
      <c r="B3805" s="28" t="s">
        <v>77</v>
      </c>
      <c r="C3805" s="28" t="s">
        <v>77</v>
      </c>
      <c r="D3805" s="28" t="s">
        <v>77</v>
      </c>
      <c r="E3805" s="28" t="s">
        <v>77</v>
      </c>
      <c r="F3805" s="28" t="s">
        <v>77</v>
      </c>
      <c r="G3805" s="28" t="s">
        <v>77</v>
      </c>
      <c r="I3805" s="26" t="s">
        <v>77</v>
      </c>
      <c r="J3805" s="26" t="s">
        <v>77</v>
      </c>
      <c r="K3805" s="18"/>
      <c r="L3805" s="26" t="s">
        <v>77</v>
      </c>
      <c r="M3805" s="6" t="s">
        <v>77</v>
      </c>
      <c r="N3805" s="28" t="s">
        <v>77</v>
      </c>
      <c r="O3805" s="26" t="s">
        <v>77</v>
      </c>
    </row>
    <row r="3806">
      <c r="A3806" s="52" t="s">
        <v>77</v>
      </c>
      <c r="B3806" s="28" t="s">
        <v>77</v>
      </c>
      <c r="C3806" s="28" t="s">
        <v>77</v>
      </c>
      <c r="D3806" s="28" t="s">
        <v>77</v>
      </c>
      <c r="E3806" s="28" t="s">
        <v>77</v>
      </c>
      <c r="F3806" s="28" t="s">
        <v>77</v>
      </c>
      <c r="G3806" s="28" t="s">
        <v>77</v>
      </c>
      <c r="I3806" s="26" t="s">
        <v>77</v>
      </c>
      <c r="J3806" s="26" t="s">
        <v>77</v>
      </c>
      <c r="K3806" s="18"/>
      <c r="L3806" s="26" t="s">
        <v>77</v>
      </c>
      <c r="M3806" s="6" t="s">
        <v>77</v>
      </c>
      <c r="N3806" s="28" t="s">
        <v>77</v>
      </c>
      <c r="O3806" s="26" t="s">
        <v>77</v>
      </c>
    </row>
    <row r="3807">
      <c r="A3807" s="52" t="s">
        <v>77</v>
      </c>
      <c r="B3807" s="28" t="s">
        <v>77</v>
      </c>
      <c r="C3807" s="28" t="s">
        <v>77</v>
      </c>
      <c r="D3807" s="28" t="s">
        <v>77</v>
      </c>
      <c r="E3807" s="28" t="s">
        <v>77</v>
      </c>
      <c r="F3807" s="28" t="s">
        <v>77</v>
      </c>
      <c r="G3807" s="28" t="s">
        <v>77</v>
      </c>
      <c r="I3807" s="26" t="s">
        <v>77</v>
      </c>
      <c r="J3807" s="26" t="s">
        <v>77</v>
      </c>
      <c r="K3807" s="18"/>
      <c r="L3807" s="26" t="s">
        <v>77</v>
      </c>
      <c r="M3807" s="6" t="s">
        <v>77</v>
      </c>
      <c r="N3807" s="28" t="s">
        <v>77</v>
      </c>
      <c r="O3807" s="26" t="s">
        <v>77</v>
      </c>
    </row>
    <row r="3808">
      <c r="A3808" s="52" t="s">
        <v>77</v>
      </c>
      <c r="B3808" s="28" t="s">
        <v>77</v>
      </c>
      <c r="C3808" s="28" t="s">
        <v>77</v>
      </c>
      <c r="D3808" s="28" t="s">
        <v>77</v>
      </c>
      <c r="E3808" s="28" t="s">
        <v>77</v>
      </c>
      <c r="F3808" s="28" t="s">
        <v>77</v>
      </c>
      <c r="G3808" s="28" t="s">
        <v>77</v>
      </c>
      <c r="I3808" s="26" t="s">
        <v>77</v>
      </c>
      <c r="J3808" s="26" t="s">
        <v>77</v>
      </c>
      <c r="K3808" s="18"/>
      <c r="L3808" s="26" t="s">
        <v>77</v>
      </c>
      <c r="M3808" s="6" t="s">
        <v>77</v>
      </c>
      <c r="N3808" s="28" t="s">
        <v>77</v>
      </c>
      <c r="O3808" s="26" t="s">
        <v>77</v>
      </c>
    </row>
    <row r="3809">
      <c r="A3809" s="52" t="s">
        <v>77</v>
      </c>
      <c r="B3809" s="28" t="s">
        <v>77</v>
      </c>
      <c r="C3809" s="28" t="s">
        <v>77</v>
      </c>
      <c r="D3809" s="28" t="s">
        <v>77</v>
      </c>
      <c r="E3809" s="28" t="s">
        <v>77</v>
      </c>
      <c r="F3809" s="28" t="s">
        <v>77</v>
      </c>
      <c r="G3809" s="28" t="s">
        <v>77</v>
      </c>
      <c r="I3809" s="26" t="s">
        <v>77</v>
      </c>
      <c r="J3809" s="26" t="s">
        <v>77</v>
      </c>
      <c r="K3809" s="18"/>
      <c r="L3809" s="26" t="s">
        <v>77</v>
      </c>
      <c r="M3809" s="6" t="s">
        <v>77</v>
      </c>
      <c r="N3809" s="28" t="s">
        <v>77</v>
      </c>
      <c r="O3809" s="26" t="s">
        <v>77</v>
      </c>
    </row>
    <row r="3810">
      <c r="A3810" s="52" t="s">
        <v>77</v>
      </c>
      <c r="B3810" s="28" t="s">
        <v>77</v>
      </c>
      <c r="C3810" s="28" t="s">
        <v>77</v>
      </c>
      <c r="D3810" s="28" t="s">
        <v>77</v>
      </c>
      <c r="E3810" s="28" t="s">
        <v>77</v>
      </c>
      <c r="F3810" s="28" t="s">
        <v>77</v>
      </c>
      <c r="G3810" s="28" t="s">
        <v>77</v>
      </c>
      <c r="I3810" s="26" t="s">
        <v>77</v>
      </c>
      <c r="J3810" s="26" t="s">
        <v>77</v>
      </c>
      <c r="K3810" s="18"/>
      <c r="L3810" s="26" t="s">
        <v>77</v>
      </c>
      <c r="M3810" s="6" t="s">
        <v>77</v>
      </c>
      <c r="N3810" s="28" t="s">
        <v>77</v>
      </c>
      <c r="O3810" s="26" t="s">
        <v>77</v>
      </c>
    </row>
    <row r="3811">
      <c r="A3811" s="52" t="s">
        <v>77</v>
      </c>
      <c r="B3811" s="28" t="s">
        <v>77</v>
      </c>
      <c r="C3811" s="28" t="s">
        <v>77</v>
      </c>
      <c r="D3811" s="28" t="s">
        <v>77</v>
      </c>
      <c r="E3811" s="28" t="s">
        <v>77</v>
      </c>
      <c r="F3811" s="28" t="s">
        <v>77</v>
      </c>
      <c r="G3811" s="28" t="s">
        <v>77</v>
      </c>
      <c r="I3811" s="26" t="s">
        <v>77</v>
      </c>
      <c r="J3811" s="26" t="s">
        <v>77</v>
      </c>
      <c r="K3811" s="18"/>
      <c r="L3811" s="26" t="s">
        <v>77</v>
      </c>
      <c r="M3811" s="6" t="s">
        <v>77</v>
      </c>
      <c r="N3811" s="28" t="s">
        <v>77</v>
      </c>
      <c r="O3811" s="26" t="s">
        <v>77</v>
      </c>
    </row>
    <row r="3812">
      <c r="A3812" s="52" t="s">
        <v>77</v>
      </c>
      <c r="B3812" s="28" t="s">
        <v>77</v>
      </c>
      <c r="C3812" s="28" t="s">
        <v>77</v>
      </c>
      <c r="D3812" s="28" t="s">
        <v>77</v>
      </c>
      <c r="E3812" s="28" t="s">
        <v>77</v>
      </c>
      <c r="F3812" s="28" t="s">
        <v>77</v>
      </c>
      <c r="G3812" s="28" t="s">
        <v>77</v>
      </c>
      <c r="I3812" s="26" t="s">
        <v>77</v>
      </c>
      <c r="J3812" s="26" t="s">
        <v>77</v>
      </c>
      <c r="K3812" s="18"/>
      <c r="L3812" s="26" t="s">
        <v>77</v>
      </c>
      <c r="M3812" s="6" t="s">
        <v>77</v>
      </c>
      <c r="N3812" s="28" t="s">
        <v>77</v>
      </c>
      <c r="O3812" s="26" t="s">
        <v>77</v>
      </c>
    </row>
    <row r="3813">
      <c r="A3813" s="52" t="s">
        <v>77</v>
      </c>
      <c r="B3813" s="28" t="s">
        <v>77</v>
      </c>
      <c r="C3813" s="28" t="s">
        <v>77</v>
      </c>
      <c r="D3813" s="28" t="s">
        <v>77</v>
      </c>
      <c r="E3813" s="28" t="s">
        <v>77</v>
      </c>
      <c r="F3813" s="28" t="s">
        <v>77</v>
      </c>
      <c r="G3813" s="28" t="s">
        <v>77</v>
      </c>
      <c r="I3813" s="26" t="s">
        <v>77</v>
      </c>
      <c r="J3813" s="26" t="s">
        <v>77</v>
      </c>
      <c r="K3813" s="18"/>
      <c r="L3813" s="26" t="s">
        <v>77</v>
      </c>
      <c r="M3813" s="6" t="s">
        <v>77</v>
      </c>
      <c r="N3813" s="28" t="s">
        <v>77</v>
      </c>
      <c r="O3813" s="26" t="s">
        <v>77</v>
      </c>
    </row>
    <row r="3814">
      <c r="A3814" s="52" t="s">
        <v>77</v>
      </c>
      <c r="B3814" s="28" t="s">
        <v>77</v>
      </c>
      <c r="C3814" s="28" t="s">
        <v>77</v>
      </c>
      <c r="D3814" s="28" t="s">
        <v>77</v>
      </c>
      <c r="E3814" s="28" t="s">
        <v>77</v>
      </c>
      <c r="F3814" s="28" t="s">
        <v>77</v>
      </c>
      <c r="G3814" s="28" t="s">
        <v>77</v>
      </c>
      <c r="I3814" s="26" t="s">
        <v>77</v>
      </c>
      <c r="J3814" s="26" t="s">
        <v>77</v>
      </c>
      <c r="K3814" s="18"/>
      <c r="L3814" s="26" t="s">
        <v>77</v>
      </c>
      <c r="M3814" s="6" t="s">
        <v>77</v>
      </c>
      <c r="N3814" s="28" t="s">
        <v>77</v>
      </c>
      <c r="O3814" s="26" t="s">
        <v>77</v>
      </c>
    </row>
    <row r="3815">
      <c r="A3815" s="52" t="s">
        <v>77</v>
      </c>
      <c r="B3815" s="28" t="s">
        <v>77</v>
      </c>
      <c r="C3815" s="28" t="s">
        <v>77</v>
      </c>
      <c r="D3815" s="28" t="s">
        <v>77</v>
      </c>
      <c r="E3815" s="28" t="s">
        <v>77</v>
      </c>
      <c r="F3815" s="28" t="s">
        <v>77</v>
      </c>
      <c r="G3815" s="28" t="s">
        <v>77</v>
      </c>
      <c r="I3815" s="26" t="s">
        <v>77</v>
      </c>
      <c r="J3815" s="26" t="s">
        <v>77</v>
      </c>
      <c r="K3815" s="18"/>
      <c r="L3815" s="26" t="s">
        <v>77</v>
      </c>
      <c r="M3815" s="6" t="s">
        <v>77</v>
      </c>
      <c r="N3815" s="28" t="s">
        <v>77</v>
      </c>
      <c r="O3815" s="26" t="s">
        <v>77</v>
      </c>
    </row>
    <row r="3816">
      <c r="A3816" s="52" t="s">
        <v>77</v>
      </c>
      <c r="B3816" s="28" t="s">
        <v>77</v>
      </c>
      <c r="C3816" s="28" t="s">
        <v>77</v>
      </c>
      <c r="D3816" s="28" t="s">
        <v>77</v>
      </c>
      <c r="E3816" s="28" t="s">
        <v>77</v>
      </c>
      <c r="F3816" s="28" t="s">
        <v>77</v>
      </c>
      <c r="G3816" s="28" t="s">
        <v>77</v>
      </c>
      <c r="I3816" s="26" t="s">
        <v>77</v>
      </c>
      <c r="J3816" s="26" t="s">
        <v>77</v>
      </c>
      <c r="K3816" s="18"/>
      <c r="L3816" s="26" t="s">
        <v>77</v>
      </c>
      <c r="M3816" s="6" t="s">
        <v>77</v>
      </c>
      <c r="N3816" s="28" t="s">
        <v>77</v>
      </c>
      <c r="O3816" s="26" t="s">
        <v>77</v>
      </c>
    </row>
    <row r="3817">
      <c r="A3817" s="52" t="s">
        <v>77</v>
      </c>
      <c r="B3817" s="28" t="s">
        <v>77</v>
      </c>
      <c r="C3817" s="28" t="s">
        <v>77</v>
      </c>
      <c r="D3817" s="28" t="s">
        <v>77</v>
      </c>
      <c r="E3817" s="28" t="s">
        <v>77</v>
      </c>
      <c r="F3817" s="28" t="s">
        <v>77</v>
      </c>
      <c r="G3817" s="28" t="s">
        <v>77</v>
      </c>
      <c r="I3817" s="26" t="s">
        <v>77</v>
      </c>
      <c r="J3817" s="26" t="s">
        <v>77</v>
      </c>
      <c r="K3817" s="18"/>
      <c r="L3817" s="26" t="s">
        <v>77</v>
      </c>
      <c r="M3817" s="6" t="s">
        <v>77</v>
      </c>
      <c r="N3817" s="28" t="s">
        <v>77</v>
      </c>
      <c r="O3817" s="26" t="s">
        <v>77</v>
      </c>
    </row>
    <row r="3818">
      <c r="A3818" s="52" t="s">
        <v>77</v>
      </c>
      <c r="B3818" s="28" t="s">
        <v>77</v>
      </c>
      <c r="C3818" s="28" t="s">
        <v>77</v>
      </c>
      <c r="D3818" s="28" t="s">
        <v>77</v>
      </c>
      <c r="E3818" s="28" t="s">
        <v>77</v>
      </c>
      <c r="F3818" s="28" t="s">
        <v>77</v>
      </c>
      <c r="G3818" s="28" t="s">
        <v>77</v>
      </c>
      <c r="I3818" s="26" t="s">
        <v>77</v>
      </c>
      <c r="J3818" s="26" t="s">
        <v>77</v>
      </c>
      <c r="K3818" s="18"/>
      <c r="L3818" s="26" t="s">
        <v>77</v>
      </c>
      <c r="M3818" s="6" t="s">
        <v>77</v>
      </c>
      <c r="N3818" s="28" t="s">
        <v>77</v>
      </c>
      <c r="O3818" s="26" t="s">
        <v>77</v>
      </c>
    </row>
    <row r="3819">
      <c r="A3819" s="52" t="s">
        <v>77</v>
      </c>
      <c r="B3819" s="28" t="s">
        <v>77</v>
      </c>
      <c r="C3819" s="28" t="s">
        <v>77</v>
      </c>
      <c r="D3819" s="28" t="s">
        <v>77</v>
      </c>
      <c r="E3819" s="28" t="s">
        <v>77</v>
      </c>
      <c r="F3819" s="28" t="s">
        <v>77</v>
      </c>
      <c r="G3819" s="28" t="s">
        <v>77</v>
      </c>
      <c r="I3819" s="26" t="s">
        <v>77</v>
      </c>
      <c r="J3819" s="26" t="s">
        <v>77</v>
      </c>
      <c r="K3819" s="18"/>
      <c r="L3819" s="26" t="s">
        <v>77</v>
      </c>
      <c r="M3819" s="6" t="s">
        <v>77</v>
      </c>
      <c r="N3819" s="28" t="s">
        <v>77</v>
      </c>
      <c r="O3819" s="26" t="s">
        <v>77</v>
      </c>
    </row>
    <row r="3820">
      <c r="A3820" s="52" t="s">
        <v>77</v>
      </c>
      <c r="B3820" s="28" t="s">
        <v>77</v>
      </c>
      <c r="C3820" s="28" t="s">
        <v>77</v>
      </c>
      <c r="D3820" s="28" t="s">
        <v>77</v>
      </c>
      <c r="E3820" s="28" t="s">
        <v>77</v>
      </c>
      <c r="F3820" s="28" t="s">
        <v>77</v>
      </c>
      <c r="G3820" s="28" t="s">
        <v>77</v>
      </c>
      <c r="I3820" s="26" t="s">
        <v>77</v>
      </c>
      <c r="J3820" s="26" t="s">
        <v>77</v>
      </c>
      <c r="K3820" s="18"/>
      <c r="L3820" s="26" t="s">
        <v>77</v>
      </c>
      <c r="M3820" s="6" t="s">
        <v>77</v>
      </c>
      <c r="N3820" s="28" t="s">
        <v>77</v>
      </c>
      <c r="O3820" s="26" t="s">
        <v>77</v>
      </c>
    </row>
    <row r="3821">
      <c r="A3821" s="52" t="s">
        <v>77</v>
      </c>
      <c r="B3821" s="28" t="s">
        <v>77</v>
      </c>
      <c r="C3821" s="28" t="s">
        <v>77</v>
      </c>
      <c r="D3821" s="28" t="s">
        <v>77</v>
      </c>
      <c r="E3821" s="28" t="s">
        <v>77</v>
      </c>
      <c r="F3821" s="28" t="s">
        <v>77</v>
      </c>
      <c r="G3821" s="28" t="s">
        <v>77</v>
      </c>
      <c r="I3821" s="26" t="s">
        <v>77</v>
      </c>
      <c r="J3821" s="26" t="s">
        <v>77</v>
      </c>
      <c r="K3821" s="18"/>
      <c r="L3821" s="26" t="s">
        <v>77</v>
      </c>
      <c r="M3821" s="6" t="s">
        <v>77</v>
      </c>
      <c r="N3821" s="28" t="s">
        <v>77</v>
      </c>
      <c r="O3821" s="26" t="s">
        <v>77</v>
      </c>
    </row>
    <row r="3822">
      <c r="A3822" s="52" t="s">
        <v>77</v>
      </c>
      <c r="B3822" s="28" t="s">
        <v>77</v>
      </c>
      <c r="C3822" s="28" t="s">
        <v>77</v>
      </c>
      <c r="D3822" s="28" t="s">
        <v>77</v>
      </c>
      <c r="E3822" s="28" t="s">
        <v>77</v>
      </c>
      <c r="F3822" s="28" t="s">
        <v>77</v>
      </c>
      <c r="G3822" s="28" t="s">
        <v>77</v>
      </c>
      <c r="I3822" s="26" t="s">
        <v>77</v>
      </c>
      <c r="J3822" s="26" t="s">
        <v>77</v>
      </c>
      <c r="K3822" s="18"/>
      <c r="L3822" s="26" t="s">
        <v>77</v>
      </c>
      <c r="M3822" s="6" t="s">
        <v>77</v>
      </c>
      <c r="N3822" s="28" t="s">
        <v>77</v>
      </c>
      <c r="O3822" s="26" t="s">
        <v>77</v>
      </c>
    </row>
    <row r="3823">
      <c r="A3823" s="52" t="s">
        <v>77</v>
      </c>
      <c r="B3823" s="28" t="s">
        <v>77</v>
      </c>
      <c r="C3823" s="28" t="s">
        <v>77</v>
      </c>
      <c r="D3823" s="28" t="s">
        <v>77</v>
      </c>
      <c r="E3823" s="28" t="s">
        <v>77</v>
      </c>
      <c r="F3823" s="28" t="s">
        <v>77</v>
      </c>
      <c r="G3823" s="28" t="s">
        <v>77</v>
      </c>
      <c r="I3823" s="26" t="s">
        <v>77</v>
      </c>
      <c r="J3823" s="26" t="s">
        <v>77</v>
      </c>
      <c r="K3823" s="18"/>
      <c r="L3823" s="26" t="s">
        <v>77</v>
      </c>
      <c r="M3823" s="6" t="s">
        <v>77</v>
      </c>
      <c r="N3823" s="28" t="s">
        <v>77</v>
      </c>
      <c r="O3823" s="26" t="s">
        <v>77</v>
      </c>
    </row>
    <row r="3824">
      <c r="A3824" s="52" t="s">
        <v>77</v>
      </c>
      <c r="B3824" s="28" t="s">
        <v>77</v>
      </c>
      <c r="C3824" s="28" t="s">
        <v>77</v>
      </c>
      <c r="D3824" s="28" t="s">
        <v>77</v>
      </c>
      <c r="E3824" s="28" t="s">
        <v>77</v>
      </c>
      <c r="F3824" s="28" t="s">
        <v>77</v>
      </c>
      <c r="G3824" s="28" t="s">
        <v>77</v>
      </c>
      <c r="I3824" s="26" t="s">
        <v>77</v>
      </c>
      <c r="J3824" s="26" t="s">
        <v>77</v>
      </c>
      <c r="K3824" s="18"/>
      <c r="L3824" s="26" t="s">
        <v>77</v>
      </c>
      <c r="M3824" s="6" t="s">
        <v>77</v>
      </c>
      <c r="N3824" s="28" t="s">
        <v>77</v>
      </c>
      <c r="O3824" s="26" t="s">
        <v>77</v>
      </c>
    </row>
    <row r="3825">
      <c r="A3825" s="52" t="s">
        <v>77</v>
      </c>
      <c r="B3825" s="28" t="s">
        <v>77</v>
      </c>
      <c r="C3825" s="28" t="s">
        <v>77</v>
      </c>
      <c r="D3825" s="28" t="s">
        <v>77</v>
      </c>
      <c r="E3825" s="28" t="s">
        <v>77</v>
      </c>
      <c r="F3825" s="28" t="s">
        <v>77</v>
      </c>
      <c r="G3825" s="28" t="s">
        <v>77</v>
      </c>
      <c r="I3825" s="26" t="s">
        <v>77</v>
      </c>
      <c r="J3825" s="26" t="s">
        <v>77</v>
      </c>
      <c r="K3825" s="18"/>
      <c r="L3825" s="26" t="s">
        <v>77</v>
      </c>
      <c r="M3825" s="6" t="s">
        <v>77</v>
      </c>
      <c r="N3825" s="28" t="s">
        <v>77</v>
      </c>
      <c r="O3825" s="26" t="s">
        <v>77</v>
      </c>
    </row>
    <row r="3826">
      <c r="A3826" s="52" t="s">
        <v>77</v>
      </c>
      <c r="B3826" s="28" t="s">
        <v>77</v>
      </c>
      <c r="C3826" s="28" t="s">
        <v>77</v>
      </c>
      <c r="D3826" s="28" t="s">
        <v>77</v>
      </c>
      <c r="E3826" s="28" t="s">
        <v>77</v>
      </c>
      <c r="F3826" s="28" t="s">
        <v>77</v>
      </c>
      <c r="G3826" s="28" t="s">
        <v>77</v>
      </c>
      <c r="I3826" s="26" t="s">
        <v>77</v>
      </c>
      <c r="J3826" s="26" t="s">
        <v>77</v>
      </c>
      <c r="K3826" s="18"/>
      <c r="L3826" s="26" t="s">
        <v>77</v>
      </c>
      <c r="M3826" s="6" t="s">
        <v>77</v>
      </c>
      <c r="N3826" s="28" t="s">
        <v>77</v>
      </c>
      <c r="O3826" s="26" t="s">
        <v>77</v>
      </c>
    </row>
    <row r="3827">
      <c r="A3827" s="52" t="s">
        <v>77</v>
      </c>
      <c r="B3827" s="28" t="s">
        <v>77</v>
      </c>
      <c r="C3827" s="28" t="s">
        <v>77</v>
      </c>
      <c r="D3827" s="28" t="s">
        <v>77</v>
      </c>
      <c r="E3827" s="28" t="s">
        <v>77</v>
      </c>
      <c r="F3827" s="28" t="s">
        <v>77</v>
      </c>
      <c r="G3827" s="28" t="s">
        <v>77</v>
      </c>
      <c r="I3827" s="26" t="s">
        <v>77</v>
      </c>
      <c r="J3827" s="26" t="s">
        <v>77</v>
      </c>
      <c r="K3827" s="18"/>
      <c r="L3827" s="26" t="s">
        <v>77</v>
      </c>
      <c r="M3827" s="6" t="s">
        <v>77</v>
      </c>
      <c r="N3827" s="28" t="s">
        <v>77</v>
      </c>
      <c r="O3827" s="26" t="s">
        <v>77</v>
      </c>
    </row>
    <row r="3828">
      <c r="A3828" s="52" t="s">
        <v>77</v>
      </c>
      <c r="B3828" s="28" t="s">
        <v>77</v>
      </c>
      <c r="C3828" s="28" t="s">
        <v>77</v>
      </c>
      <c r="D3828" s="28" t="s">
        <v>77</v>
      </c>
      <c r="E3828" s="28" t="s">
        <v>77</v>
      </c>
      <c r="F3828" s="28" t="s">
        <v>77</v>
      </c>
      <c r="G3828" s="28" t="s">
        <v>77</v>
      </c>
      <c r="I3828" s="26" t="s">
        <v>77</v>
      </c>
      <c r="J3828" s="26" t="s">
        <v>77</v>
      </c>
      <c r="K3828" s="18"/>
      <c r="L3828" s="26" t="s">
        <v>77</v>
      </c>
      <c r="M3828" s="6" t="s">
        <v>77</v>
      </c>
      <c r="N3828" s="28" t="s">
        <v>77</v>
      </c>
      <c r="O3828" s="26" t="s">
        <v>77</v>
      </c>
    </row>
    <row r="3829">
      <c r="A3829" s="52" t="s">
        <v>77</v>
      </c>
      <c r="B3829" s="28" t="s">
        <v>77</v>
      </c>
      <c r="C3829" s="28" t="s">
        <v>77</v>
      </c>
      <c r="D3829" s="28" t="s">
        <v>77</v>
      </c>
      <c r="E3829" s="28" t="s">
        <v>77</v>
      </c>
      <c r="F3829" s="28" t="s">
        <v>77</v>
      </c>
      <c r="G3829" s="28" t="s">
        <v>77</v>
      </c>
      <c r="I3829" s="26" t="s">
        <v>77</v>
      </c>
      <c r="J3829" s="26" t="s">
        <v>77</v>
      </c>
      <c r="K3829" s="18"/>
      <c r="L3829" s="26" t="s">
        <v>77</v>
      </c>
      <c r="M3829" s="6" t="s">
        <v>77</v>
      </c>
      <c r="N3829" s="28" t="s">
        <v>77</v>
      </c>
      <c r="O3829" s="26" t="s">
        <v>77</v>
      </c>
    </row>
    <row r="3830">
      <c r="A3830" s="52" t="s">
        <v>77</v>
      </c>
      <c r="B3830" s="28" t="s">
        <v>77</v>
      </c>
      <c r="C3830" s="28" t="s">
        <v>77</v>
      </c>
      <c r="D3830" s="28" t="s">
        <v>77</v>
      </c>
      <c r="E3830" s="28" t="s">
        <v>77</v>
      </c>
      <c r="F3830" s="28" t="s">
        <v>77</v>
      </c>
      <c r="G3830" s="28" t="s">
        <v>77</v>
      </c>
      <c r="I3830" s="26" t="s">
        <v>77</v>
      </c>
      <c r="J3830" s="26" t="s">
        <v>77</v>
      </c>
      <c r="K3830" s="18"/>
      <c r="L3830" s="26" t="s">
        <v>77</v>
      </c>
      <c r="M3830" s="6" t="s">
        <v>77</v>
      </c>
      <c r="N3830" s="28" t="s">
        <v>77</v>
      </c>
      <c r="O3830" s="26" t="s">
        <v>77</v>
      </c>
    </row>
    <row r="3831">
      <c r="A3831" s="52" t="s">
        <v>77</v>
      </c>
      <c r="B3831" s="28" t="s">
        <v>77</v>
      </c>
      <c r="C3831" s="28" t="s">
        <v>77</v>
      </c>
      <c r="D3831" s="28" t="s">
        <v>77</v>
      </c>
      <c r="E3831" s="28" t="s">
        <v>77</v>
      </c>
      <c r="F3831" s="28" t="s">
        <v>77</v>
      </c>
      <c r="G3831" s="28" t="s">
        <v>77</v>
      </c>
      <c r="I3831" s="26" t="s">
        <v>77</v>
      </c>
      <c r="J3831" s="26" t="s">
        <v>77</v>
      </c>
      <c r="K3831" s="18"/>
      <c r="L3831" s="26" t="s">
        <v>77</v>
      </c>
      <c r="M3831" s="6" t="s">
        <v>77</v>
      </c>
      <c r="N3831" s="28" t="s">
        <v>77</v>
      </c>
      <c r="O3831" s="26" t="s">
        <v>77</v>
      </c>
    </row>
    <row r="3832">
      <c r="A3832" s="52" t="s">
        <v>77</v>
      </c>
      <c r="B3832" s="28" t="s">
        <v>77</v>
      </c>
      <c r="C3832" s="28" t="s">
        <v>77</v>
      </c>
      <c r="D3832" s="28" t="s">
        <v>77</v>
      </c>
      <c r="E3832" s="28" t="s">
        <v>77</v>
      </c>
      <c r="F3832" s="28" t="s">
        <v>77</v>
      </c>
      <c r="G3832" s="28" t="s">
        <v>77</v>
      </c>
      <c r="I3832" s="26" t="s">
        <v>77</v>
      </c>
      <c r="J3832" s="26" t="s">
        <v>77</v>
      </c>
      <c r="K3832" s="18"/>
      <c r="L3832" s="26" t="s">
        <v>77</v>
      </c>
      <c r="M3832" s="6" t="s">
        <v>77</v>
      </c>
      <c r="N3832" s="28" t="s">
        <v>77</v>
      </c>
      <c r="O3832" s="26" t="s">
        <v>77</v>
      </c>
    </row>
    <row r="3833">
      <c r="A3833" s="52" t="s">
        <v>77</v>
      </c>
      <c r="B3833" s="28" t="s">
        <v>77</v>
      </c>
      <c r="C3833" s="28" t="s">
        <v>77</v>
      </c>
      <c r="D3833" s="28" t="s">
        <v>77</v>
      </c>
      <c r="E3833" s="28" t="s">
        <v>77</v>
      </c>
      <c r="F3833" s="28" t="s">
        <v>77</v>
      </c>
      <c r="G3833" s="28" t="s">
        <v>77</v>
      </c>
      <c r="I3833" s="26" t="s">
        <v>77</v>
      </c>
      <c r="J3833" s="26" t="s">
        <v>77</v>
      </c>
      <c r="K3833" s="18"/>
      <c r="L3833" s="26" t="s">
        <v>77</v>
      </c>
      <c r="M3833" s="6" t="s">
        <v>77</v>
      </c>
      <c r="N3833" s="28" t="s">
        <v>77</v>
      </c>
      <c r="O3833" s="26" t="s">
        <v>77</v>
      </c>
    </row>
    <row r="3834">
      <c r="A3834" s="52" t="s">
        <v>77</v>
      </c>
      <c r="B3834" s="28" t="s">
        <v>77</v>
      </c>
      <c r="C3834" s="28" t="s">
        <v>77</v>
      </c>
      <c r="D3834" s="28" t="s">
        <v>77</v>
      </c>
      <c r="E3834" s="28" t="s">
        <v>77</v>
      </c>
      <c r="F3834" s="28" t="s">
        <v>77</v>
      </c>
      <c r="G3834" s="28" t="s">
        <v>77</v>
      </c>
      <c r="I3834" s="26" t="s">
        <v>77</v>
      </c>
      <c r="J3834" s="26" t="s">
        <v>77</v>
      </c>
      <c r="K3834" s="18"/>
      <c r="L3834" s="26" t="s">
        <v>77</v>
      </c>
      <c r="M3834" s="6" t="s">
        <v>77</v>
      </c>
      <c r="N3834" s="28" t="s">
        <v>77</v>
      </c>
      <c r="O3834" s="26" t="s">
        <v>77</v>
      </c>
    </row>
    <row r="3835">
      <c r="A3835" s="52" t="s">
        <v>77</v>
      </c>
      <c r="B3835" s="28" t="s">
        <v>77</v>
      </c>
      <c r="C3835" s="28" t="s">
        <v>77</v>
      </c>
      <c r="D3835" s="28" t="s">
        <v>77</v>
      </c>
      <c r="E3835" s="28" t="s">
        <v>77</v>
      </c>
      <c r="F3835" s="28" t="s">
        <v>77</v>
      </c>
      <c r="G3835" s="28" t="s">
        <v>77</v>
      </c>
      <c r="I3835" s="26" t="s">
        <v>77</v>
      </c>
      <c r="J3835" s="26" t="s">
        <v>77</v>
      </c>
      <c r="K3835" s="18"/>
      <c r="L3835" s="26" t="s">
        <v>77</v>
      </c>
      <c r="M3835" s="6" t="s">
        <v>77</v>
      </c>
      <c r="N3835" s="28" t="s">
        <v>77</v>
      </c>
      <c r="O3835" s="26" t="s">
        <v>77</v>
      </c>
    </row>
    <row r="3836">
      <c r="A3836" s="52" t="s">
        <v>77</v>
      </c>
      <c r="B3836" s="28" t="s">
        <v>77</v>
      </c>
      <c r="C3836" s="28" t="s">
        <v>77</v>
      </c>
      <c r="D3836" s="28" t="s">
        <v>77</v>
      </c>
      <c r="E3836" s="28" t="s">
        <v>77</v>
      </c>
      <c r="F3836" s="28" t="s">
        <v>77</v>
      </c>
      <c r="G3836" s="28" t="s">
        <v>77</v>
      </c>
      <c r="I3836" s="26" t="s">
        <v>77</v>
      </c>
      <c r="J3836" s="26" t="s">
        <v>77</v>
      </c>
      <c r="K3836" s="18"/>
      <c r="L3836" s="26" t="s">
        <v>77</v>
      </c>
      <c r="M3836" s="6" t="s">
        <v>77</v>
      </c>
      <c r="N3836" s="28" t="s">
        <v>77</v>
      </c>
      <c r="O3836" s="26" t="s">
        <v>77</v>
      </c>
    </row>
    <row r="3837">
      <c r="A3837" s="52" t="s">
        <v>77</v>
      </c>
      <c r="B3837" s="28" t="s">
        <v>77</v>
      </c>
      <c r="C3837" s="28" t="s">
        <v>77</v>
      </c>
      <c r="D3837" s="28" t="s">
        <v>77</v>
      </c>
      <c r="E3837" s="28" t="s">
        <v>77</v>
      </c>
      <c r="F3837" s="28" t="s">
        <v>77</v>
      </c>
      <c r="G3837" s="28" t="s">
        <v>77</v>
      </c>
      <c r="I3837" s="26" t="s">
        <v>77</v>
      </c>
      <c r="J3837" s="26" t="s">
        <v>77</v>
      </c>
      <c r="K3837" s="18"/>
      <c r="L3837" s="26" t="s">
        <v>77</v>
      </c>
      <c r="M3837" s="6" t="s">
        <v>77</v>
      </c>
      <c r="N3837" s="28" t="s">
        <v>77</v>
      </c>
      <c r="O3837" s="26" t="s">
        <v>77</v>
      </c>
    </row>
    <row r="3838">
      <c r="A3838" s="52" t="s">
        <v>77</v>
      </c>
      <c r="B3838" s="28" t="s">
        <v>77</v>
      </c>
      <c r="C3838" s="28" t="s">
        <v>77</v>
      </c>
      <c r="D3838" s="28" t="s">
        <v>77</v>
      </c>
      <c r="E3838" s="28" t="s">
        <v>77</v>
      </c>
      <c r="F3838" s="28" t="s">
        <v>77</v>
      </c>
      <c r="G3838" s="28" t="s">
        <v>77</v>
      </c>
      <c r="I3838" s="26" t="s">
        <v>77</v>
      </c>
      <c r="J3838" s="26" t="s">
        <v>77</v>
      </c>
      <c r="K3838" s="18"/>
      <c r="L3838" s="26" t="s">
        <v>77</v>
      </c>
      <c r="M3838" s="6" t="s">
        <v>77</v>
      </c>
      <c r="N3838" s="28" t="s">
        <v>77</v>
      </c>
      <c r="O3838" s="26" t="s">
        <v>77</v>
      </c>
    </row>
    <row r="3839">
      <c r="A3839" s="52" t="s">
        <v>77</v>
      </c>
      <c r="B3839" s="28" t="s">
        <v>77</v>
      </c>
      <c r="C3839" s="28" t="s">
        <v>77</v>
      </c>
      <c r="D3839" s="28" t="s">
        <v>77</v>
      </c>
      <c r="E3839" s="28" t="s">
        <v>77</v>
      </c>
      <c r="F3839" s="28" t="s">
        <v>77</v>
      </c>
      <c r="G3839" s="28" t="s">
        <v>77</v>
      </c>
      <c r="I3839" s="26" t="s">
        <v>77</v>
      </c>
      <c r="J3839" s="26" t="s">
        <v>77</v>
      </c>
      <c r="K3839" s="18"/>
      <c r="L3839" s="26" t="s">
        <v>77</v>
      </c>
      <c r="M3839" s="6" t="s">
        <v>77</v>
      </c>
      <c r="N3839" s="28" t="s">
        <v>77</v>
      </c>
      <c r="O3839" s="26" t="s">
        <v>77</v>
      </c>
    </row>
    <row r="3840">
      <c r="A3840" s="52" t="s">
        <v>77</v>
      </c>
      <c r="B3840" s="28" t="s">
        <v>77</v>
      </c>
      <c r="C3840" s="28" t="s">
        <v>77</v>
      </c>
      <c r="D3840" s="28" t="s">
        <v>77</v>
      </c>
      <c r="E3840" s="28" t="s">
        <v>77</v>
      </c>
      <c r="F3840" s="28" t="s">
        <v>77</v>
      </c>
      <c r="G3840" s="28" t="s">
        <v>77</v>
      </c>
      <c r="I3840" s="26" t="s">
        <v>77</v>
      </c>
      <c r="J3840" s="26" t="s">
        <v>77</v>
      </c>
      <c r="K3840" s="18"/>
      <c r="L3840" s="26" t="s">
        <v>77</v>
      </c>
      <c r="M3840" s="6" t="s">
        <v>77</v>
      </c>
      <c r="N3840" s="28" t="s">
        <v>77</v>
      </c>
      <c r="O3840" s="26" t="s">
        <v>77</v>
      </c>
    </row>
    <row r="3841">
      <c r="A3841" s="52" t="s">
        <v>77</v>
      </c>
      <c r="B3841" s="28" t="s">
        <v>77</v>
      </c>
      <c r="C3841" s="28" t="s">
        <v>77</v>
      </c>
      <c r="D3841" s="28" t="s">
        <v>77</v>
      </c>
      <c r="E3841" s="28" t="s">
        <v>77</v>
      </c>
      <c r="F3841" s="28" t="s">
        <v>77</v>
      </c>
      <c r="G3841" s="28" t="s">
        <v>77</v>
      </c>
      <c r="I3841" s="26" t="s">
        <v>77</v>
      </c>
      <c r="J3841" s="26" t="s">
        <v>77</v>
      </c>
      <c r="K3841" s="18"/>
      <c r="L3841" s="26" t="s">
        <v>77</v>
      </c>
      <c r="M3841" s="6" t="s">
        <v>77</v>
      </c>
      <c r="N3841" s="28" t="s">
        <v>77</v>
      </c>
      <c r="O3841" s="26" t="s">
        <v>77</v>
      </c>
    </row>
    <row r="3842">
      <c r="A3842" s="52" t="s">
        <v>77</v>
      </c>
      <c r="B3842" s="28" t="s">
        <v>77</v>
      </c>
      <c r="C3842" s="28" t="s">
        <v>77</v>
      </c>
      <c r="D3842" s="28" t="s">
        <v>77</v>
      </c>
      <c r="E3842" s="28" t="s">
        <v>77</v>
      </c>
      <c r="F3842" s="28" t="s">
        <v>77</v>
      </c>
      <c r="G3842" s="28" t="s">
        <v>77</v>
      </c>
      <c r="I3842" s="26" t="s">
        <v>77</v>
      </c>
      <c r="J3842" s="26" t="s">
        <v>77</v>
      </c>
      <c r="K3842" s="18"/>
      <c r="L3842" s="26" t="s">
        <v>77</v>
      </c>
      <c r="M3842" s="6" t="s">
        <v>77</v>
      </c>
      <c r="N3842" s="28" t="s">
        <v>77</v>
      </c>
      <c r="O3842" s="26" t="s">
        <v>77</v>
      </c>
    </row>
    <row r="3843">
      <c r="A3843" s="52" t="s">
        <v>77</v>
      </c>
      <c r="B3843" s="28" t="s">
        <v>77</v>
      </c>
      <c r="C3843" s="28" t="s">
        <v>77</v>
      </c>
      <c r="D3843" s="28" t="s">
        <v>77</v>
      </c>
      <c r="E3843" s="28" t="s">
        <v>77</v>
      </c>
      <c r="F3843" s="28" t="s">
        <v>77</v>
      </c>
      <c r="G3843" s="28" t="s">
        <v>77</v>
      </c>
      <c r="I3843" s="26" t="s">
        <v>77</v>
      </c>
      <c r="J3843" s="26" t="s">
        <v>77</v>
      </c>
      <c r="K3843" s="18"/>
      <c r="L3843" s="26" t="s">
        <v>77</v>
      </c>
      <c r="M3843" s="6" t="s">
        <v>77</v>
      </c>
      <c r="N3843" s="28" t="s">
        <v>77</v>
      </c>
      <c r="O3843" s="26" t="s">
        <v>77</v>
      </c>
    </row>
    <row r="3844">
      <c r="A3844" s="52" t="s">
        <v>77</v>
      </c>
      <c r="B3844" s="28" t="s">
        <v>77</v>
      </c>
      <c r="C3844" s="28" t="s">
        <v>77</v>
      </c>
      <c r="D3844" s="28" t="s">
        <v>77</v>
      </c>
      <c r="E3844" s="28" t="s">
        <v>77</v>
      </c>
      <c r="F3844" s="28" t="s">
        <v>77</v>
      </c>
      <c r="G3844" s="28" t="s">
        <v>77</v>
      </c>
      <c r="I3844" s="26" t="s">
        <v>77</v>
      </c>
      <c r="J3844" s="26" t="s">
        <v>77</v>
      </c>
      <c r="K3844" s="18"/>
      <c r="L3844" s="26" t="s">
        <v>77</v>
      </c>
      <c r="M3844" s="6" t="s">
        <v>77</v>
      </c>
      <c r="N3844" s="28" t="s">
        <v>77</v>
      </c>
      <c r="O3844" s="26" t="s">
        <v>77</v>
      </c>
    </row>
    <row r="3845">
      <c r="A3845" s="52" t="s">
        <v>77</v>
      </c>
      <c r="B3845" s="28" t="s">
        <v>77</v>
      </c>
      <c r="C3845" s="28" t="s">
        <v>77</v>
      </c>
      <c r="D3845" s="28" t="s">
        <v>77</v>
      </c>
      <c r="E3845" s="28" t="s">
        <v>77</v>
      </c>
      <c r="F3845" s="28" t="s">
        <v>77</v>
      </c>
      <c r="G3845" s="28" t="s">
        <v>77</v>
      </c>
      <c r="I3845" s="26" t="s">
        <v>77</v>
      </c>
      <c r="J3845" s="26" t="s">
        <v>77</v>
      </c>
      <c r="K3845" s="18"/>
      <c r="L3845" s="26" t="s">
        <v>77</v>
      </c>
      <c r="M3845" s="6" t="s">
        <v>77</v>
      </c>
      <c r="N3845" s="28" t="s">
        <v>77</v>
      </c>
      <c r="O3845" s="26" t="s">
        <v>77</v>
      </c>
    </row>
    <row r="3846">
      <c r="A3846" s="52" t="s">
        <v>77</v>
      </c>
      <c r="B3846" s="28" t="s">
        <v>77</v>
      </c>
      <c r="C3846" s="28" t="s">
        <v>77</v>
      </c>
      <c r="D3846" s="28" t="s">
        <v>77</v>
      </c>
      <c r="E3846" s="28" t="s">
        <v>77</v>
      </c>
      <c r="F3846" s="28" t="s">
        <v>77</v>
      </c>
      <c r="G3846" s="28" t="s">
        <v>77</v>
      </c>
      <c r="I3846" s="26" t="s">
        <v>77</v>
      </c>
      <c r="J3846" s="26" t="s">
        <v>77</v>
      </c>
      <c r="K3846" s="18"/>
      <c r="L3846" s="26" t="s">
        <v>77</v>
      </c>
      <c r="M3846" s="6" t="s">
        <v>77</v>
      </c>
      <c r="N3846" s="28" t="s">
        <v>77</v>
      </c>
      <c r="O3846" s="26" t="s">
        <v>77</v>
      </c>
    </row>
    <row r="3847">
      <c r="A3847" s="52" t="s">
        <v>77</v>
      </c>
      <c r="B3847" s="28" t="s">
        <v>77</v>
      </c>
      <c r="C3847" s="28" t="s">
        <v>77</v>
      </c>
      <c r="D3847" s="28" t="s">
        <v>77</v>
      </c>
      <c r="E3847" s="28" t="s">
        <v>77</v>
      </c>
      <c r="F3847" s="28" t="s">
        <v>77</v>
      </c>
      <c r="G3847" s="28" t="s">
        <v>77</v>
      </c>
      <c r="I3847" s="26" t="s">
        <v>77</v>
      </c>
      <c r="J3847" s="26" t="s">
        <v>77</v>
      </c>
      <c r="K3847" s="18"/>
      <c r="L3847" s="26" t="s">
        <v>77</v>
      </c>
      <c r="M3847" s="6" t="s">
        <v>77</v>
      </c>
      <c r="N3847" s="28" t="s">
        <v>77</v>
      </c>
      <c r="O3847" s="26" t="s">
        <v>77</v>
      </c>
    </row>
    <row r="3848">
      <c r="A3848" s="52" t="s">
        <v>77</v>
      </c>
      <c r="B3848" s="28" t="s">
        <v>77</v>
      </c>
      <c r="C3848" s="28" t="s">
        <v>77</v>
      </c>
      <c r="D3848" s="28" t="s">
        <v>77</v>
      </c>
      <c r="E3848" s="28" t="s">
        <v>77</v>
      </c>
      <c r="F3848" s="28" t="s">
        <v>77</v>
      </c>
      <c r="G3848" s="28" t="s">
        <v>77</v>
      </c>
      <c r="I3848" s="26" t="s">
        <v>77</v>
      </c>
      <c r="J3848" s="26" t="s">
        <v>77</v>
      </c>
      <c r="K3848" s="18"/>
      <c r="L3848" s="26" t="s">
        <v>77</v>
      </c>
      <c r="M3848" s="6" t="s">
        <v>77</v>
      </c>
      <c r="N3848" s="28" t="s">
        <v>77</v>
      </c>
      <c r="O3848" s="26" t="s">
        <v>77</v>
      </c>
    </row>
    <row r="3849">
      <c r="A3849" s="52" t="s">
        <v>77</v>
      </c>
      <c r="B3849" s="28" t="s">
        <v>77</v>
      </c>
      <c r="C3849" s="28" t="s">
        <v>77</v>
      </c>
      <c r="D3849" s="28" t="s">
        <v>77</v>
      </c>
      <c r="E3849" s="28" t="s">
        <v>77</v>
      </c>
      <c r="F3849" s="28" t="s">
        <v>77</v>
      </c>
      <c r="G3849" s="28" t="s">
        <v>77</v>
      </c>
      <c r="I3849" s="26" t="s">
        <v>77</v>
      </c>
      <c r="J3849" s="26" t="s">
        <v>77</v>
      </c>
      <c r="K3849" s="18"/>
      <c r="L3849" s="26" t="s">
        <v>77</v>
      </c>
      <c r="M3849" s="6" t="s">
        <v>77</v>
      </c>
      <c r="N3849" s="28" t="s">
        <v>77</v>
      </c>
      <c r="O3849" s="26" t="s">
        <v>77</v>
      </c>
    </row>
    <row r="3850">
      <c r="A3850" s="52" t="s">
        <v>77</v>
      </c>
      <c r="B3850" s="28" t="s">
        <v>77</v>
      </c>
      <c r="C3850" s="28" t="s">
        <v>77</v>
      </c>
      <c r="D3850" s="28" t="s">
        <v>77</v>
      </c>
      <c r="E3850" s="28" t="s">
        <v>77</v>
      </c>
      <c r="F3850" s="28" t="s">
        <v>77</v>
      </c>
      <c r="G3850" s="28" t="s">
        <v>77</v>
      </c>
      <c r="I3850" s="26" t="s">
        <v>77</v>
      </c>
      <c r="J3850" s="26" t="s">
        <v>77</v>
      </c>
      <c r="K3850" s="18"/>
      <c r="L3850" s="26" t="s">
        <v>77</v>
      </c>
      <c r="M3850" s="6" t="s">
        <v>77</v>
      </c>
      <c r="N3850" s="28" t="s">
        <v>77</v>
      </c>
      <c r="O3850" s="26" t="s">
        <v>77</v>
      </c>
    </row>
    <row r="3851">
      <c r="A3851" s="52" t="s">
        <v>77</v>
      </c>
      <c r="B3851" s="28" t="s">
        <v>77</v>
      </c>
      <c r="C3851" s="28" t="s">
        <v>77</v>
      </c>
      <c r="D3851" s="28" t="s">
        <v>77</v>
      </c>
      <c r="E3851" s="28" t="s">
        <v>77</v>
      </c>
      <c r="F3851" s="28" t="s">
        <v>77</v>
      </c>
      <c r="G3851" s="28" t="s">
        <v>77</v>
      </c>
      <c r="I3851" s="26" t="s">
        <v>77</v>
      </c>
      <c r="J3851" s="26" t="s">
        <v>77</v>
      </c>
      <c r="K3851" s="18"/>
      <c r="L3851" s="26" t="s">
        <v>77</v>
      </c>
      <c r="M3851" s="6" t="s">
        <v>77</v>
      </c>
      <c r="N3851" s="28" t="s">
        <v>77</v>
      </c>
      <c r="O3851" s="26" t="s">
        <v>77</v>
      </c>
    </row>
    <row r="3852">
      <c r="A3852" s="52" t="s">
        <v>77</v>
      </c>
      <c r="B3852" s="28" t="s">
        <v>77</v>
      </c>
      <c r="C3852" s="28" t="s">
        <v>77</v>
      </c>
      <c r="D3852" s="28" t="s">
        <v>77</v>
      </c>
      <c r="E3852" s="28" t="s">
        <v>77</v>
      </c>
      <c r="F3852" s="28" t="s">
        <v>77</v>
      </c>
      <c r="G3852" s="28" t="s">
        <v>77</v>
      </c>
      <c r="I3852" s="26" t="s">
        <v>77</v>
      </c>
      <c r="J3852" s="26" t="s">
        <v>77</v>
      </c>
      <c r="K3852" s="18"/>
      <c r="L3852" s="26" t="s">
        <v>77</v>
      </c>
      <c r="M3852" s="6" t="s">
        <v>77</v>
      </c>
      <c r="N3852" s="28" t="s">
        <v>77</v>
      </c>
      <c r="O3852" s="26" t="s">
        <v>77</v>
      </c>
    </row>
    <row r="3853">
      <c r="A3853" s="52" t="s">
        <v>77</v>
      </c>
      <c r="B3853" s="28" t="s">
        <v>77</v>
      </c>
      <c r="C3853" s="28" t="s">
        <v>77</v>
      </c>
      <c r="D3853" s="28" t="s">
        <v>77</v>
      </c>
      <c r="E3853" s="28" t="s">
        <v>77</v>
      </c>
      <c r="F3853" s="28" t="s">
        <v>77</v>
      </c>
      <c r="G3853" s="28" t="s">
        <v>77</v>
      </c>
      <c r="I3853" s="26" t="s">
        <v>77</v>
      </c>
      <c r="J3853" s="26" t="s">
        <v>77</v>
      </c>
      <c r="K3853" s="18"/>
      <c r="L3853" s="26" t="s">
        <v>77</v>
      </c>
      <c r="M3853" s="6" t="s">
        <v>77</v>
      </c>
      <c r="N3853" s="28" t="s">
        <v>77</v>
      </c>
      <c r="O3853" s="26" t="s">
        <v>77</v>
      </c>
    </row>
    <row r="3854">
      <c r="A3854" s="52" t="s">
        <v>77</v>
      </c>
      <c r="B3854" s="28" t="s">
        <v>77</v>
      </c>
      <c r="C3854" s="28" t="s">
        <v>77</v>
      </c>
      <c r="D3854" s="28" t="s">
        <v>77</v>
      </c>
      <c r="E3854" s="28" t="s">
        <v>77</v>
      </c>
      <c r="F3854" s="28" t="s">
        <v>77</v>
      </c>
      <c r="G3854" s="28" t="s">
        <v>77</v>
      </c>
      <c r="I3854" s="26" t="s">
        <v>77</v>
      </c>
      <c r="J3854" s="26" t="s">
        <v>77</v>
      </c>
      <c r="K3854" s="18"/>
      <c r="L3854" s="26" t="s">
        <v>77</v>
      </c>
      <c r="M3854" s="6" t="s">
        <v>77</v>
      </c>
      <c r="N3854" s="28" t="s">
        <v>77</v>
      </c>
      <c r="O3854" s="26" t="s">
        <v>77</v>
      </c>
    </row>
    <row r="3855">
      <c r="A3855" s="52" t="s">
        <v>77</v>
      </c>
      <c r="B3855" s="28" t="s">
        <v>77</v>
      </c>
      <c r="C3855" s="28" t="s">
        <v>77</v>
      </c>
      <c r="D3855" s="28" t="s">
        <v>77</v>
      </c>
      <c r="E3855" s="28" t="s">
        <v>77</v>
      </c>
      <c r="F3855" s="28" t="s">
        <v>77</v>
      </c>
      <c r="G3855" s="28" t="s">
        <v>77</v>
      </c>
      <c r="I3855" s="26" t="s">
        <v>77</v>
      </c>
      <c r="J3855" s="26" t="s">
        <v>77</v>
      </c>
      <c r="K3855" s="18"/>
      <c r="L3855" s="26" t="s">
        <v>77</v>
      </c>
      <c r="M3855" s="6" t="s">
        <v>77</v>
      </c>
      <c r="N3855" s="28" t="s">
        <v>77</v>
      </c>
      <c r="O3855" s="26" t="s">
        <v>77</v>
      </c>
    </row>
    <row r="3856">
      <c r="A3856" s="52" t="s">
        <v>77</v>
      </c>
      <c r="B3856" s="28" t="s">
        <v>77</v>
      </c>
      <c r="C3856" s="28" t="s">
        <v>77</v>
      </c>
      <c r="D3856" s="28" t="s">
        <v>77</v>
      </c>
      <c r="E3856" s="28" t="s">
        <v>77</v>
      </c>
      <c r="F3856" s="28" t="s">
        <v>77</v>
      </c>
      <c r="G3856" s="28" t="s">
        <v>77</v>
      </c>
      <c r="I3856" s="26" t="s">
        <v>77</v>
      </c>
      <c r="J3856" s="26" t="s">
        <v>77</v>
      </c>
      <c r="K3856" s="18"/>
      <c r="L3856" s="26" t="s">
        <v>77</v>
      </c>
      <c r="M3856" s="6" t="s">
        <v>77</v>
      </c>
      <c r="N3856" s="28" t="s">
        <v>77</v>
      </c>
      <c r="O3856" s="26" t="s">
        <v>77</v>
      </c>
    </row>
    <row r="3857">
      <c r="A3857" s="52" t="s">
        <v>77</v>
      </c>
      <c r="B3857" s="28" t="s">
        <v>77</v>
      </c>
      <c r="C3857" s="28" t="s">
        <v>77</v>
      </c>
      <c r="D3857" s="28" t="s">
        <v>77</v>
      </c>
      <c r="E3857" s="28" t="s">
        <v>77</v>
      </c>
      <c r="F3857" s="28" t="s">
        <v>77</v>
      </c>
      <c r="G3857" s="28" t="s">
        <v>77</v>
      </c>
      <c r="I3857" s="26" t="s">
        <v>77</v>
      </c>
      <c r="J3857" s="26" t="s">
        <v>77</v>
      </c>
      <c r="K3857" s="18"/>
      <c r="L3857" s="26" t="s">
        <v>77</v>
      </c>
      <c r="M3857" s="6" t="s">
        <v>77</v>
      </c>
      <c r="N3857" s="28" t="s">
        <v>77</v>
      </c>
      <c r="O3857" s="26" t="s">
        <v>77</v>
      </c>
    </row>
    <row r="3858">
      <c r="A3858" s="52" t="s">
        <v>77</v>
      </c>
      <c r="B3858" s="28" t="s">
        <v>77</v>
      </c>
      <c r="C3858" s="28" t="s">
        <v>77</v>
      </c>
      <c r="D3858" s="28" t="s">
        <v>77</v>
      </c>
      <c r="E3858" s="28" t="s">
        <v>77</v>
      </c>
      <c r="F3858" s="28" t="s">
        <v>77</v>
      </c>
      <c r="G3858" s="28" t="s">
        <v>77</v>
      </c>
      <c r="I3858" s="26" t="s">
        <v>77</v>
      </c>
      <c r="J3858" s="26" t="s">
        <v>77</v>
      </c>
      <c r="K3858" s="18"/>
      <c r="L3858" s="26" t="s">
        <v>77</v>
      </c>
      <c r="M3858" s="6" t="s">
        <v>77</v>
      </c>
      <c r="N3858" s="28" t="s">
        <v>77</v>
      </c>
      <c r="O3858" s="26" t="s">
        <v>77</v>
      </c>
    </row>
    <row r="3859">
      <c r="A3859" s="52" t="s">
        <v>77</v>
      </c>
      <c r="B3859" s="28" t="s">
        <v>77</v>
      </c>
      <c r="C3859" s="28" t="s">
        <v>77</v>
      </c>
      <c r="D3859" s="28" t="s">
        <v>77</v>
      </c>
      <c r="E3859" s="28" t="s">
        <v>77</v>
      </c>
      <c r="F3859" s="28" t="s">
        <v>77</v>
      </c>
      <c r="G3859" s="28" t="s">
        <v>77</v>
      </c>
      <c r="I3859" s="26" t="s">
        <v>77</v>
      </c>
      <c r="J3859" s="26" t="s">
        <v>77</v>
      </c>
      <c r="K3859" s="18"/>
      <c r="L3859" s="26" t="s">
        <v>77</v>
      </c>
      <c r="M3859" s="6" t="s">
        <v>77</v>
      </c>
      <c r="N3859" s="28" t="s">
        <v>77</v>
      </c>
      <c r="O3859" s="26" t="s">
        <v>77</v>
      </c>
    </row>
    <row r="3860">
      <c r="A3860" s="52" t="s">
        <v>77</v>
      </c>
      <c r="B3860" s="28" t="s">
        <v>77</v>
      </c>
      <c r="C3860" s="28" t="s">
        <v>77</v>
      </c>
      <c r="D3860" s="28" t="s">
        <v>77</v>
      </c>
      <c r="E3860" s="28" t="s">
        <v>77</v>
      </c>
      <c r="F3860" s="28" t="s">
        <v>77</v>
      </c>
      <c r="G3860" s="28" t="s">
        <v>77</v>
      </c>
      <c r="I3860" s="26" t="s">
        <v>77</v>
      </c>
      <c r="J3860" s="26" t="s">
        <v>77</v>
      </c>
      <c r="K3860" s="18"/>
      <c r="L3860" s="26" t="s">
        <v>77</v>
      </c>
      <c r="M3860" s="6" t="s">
        <v>77</v>
      </c>
      <c r="N3860" s="28" t="s">
        <v>77</v>
      </c>
      <c r="O3860" s="26" t="s">
        <v>77</v>
      </c>
    </row>
    <row r="3861">
      <c r="A3861" s="52" t="s">
        <v>77</v>
      </c>
      <c r="B3861" s="28" t="s">
        <v>77</v>
      </c>
      <c r="C3861" s="28" t="s">
        <v>77</v>
      </c>
      <c r="D3861" s="28" t="s">
        <v>77</v>
      </c>
      <c r="E3861" s="28" t="s">
        <v>77</v>
      </c>
      <c r="F3861" s="28" t="s">
        <v>77</v>
      </c>
      <c r="G3861" s="28" t="s">
        <v>77</v>
      </c>
      <c r="I3861" s="26" t="s">
        <v>77</v>
      </c>
      <c r="J3861" s="26" t="s">
        <v>77</v>
      </c>
      <c r="K3861" s="18"/>
      <c r="L3861" s="26" t="s">
        <v>77</v>
      </c>
      <c r="M3861" s="6" t="s">
        <v>77</v>
      </c>
      <c r="N3861" s="28" t="s">
        <v>77</v>
      </c>
      <c r="O3861" s="26" t="s">
        <v>77</v>
      </c>
    </row>
    <row r="3862">
      <c r="A3862" s="52" t="s">
        <v>77</v>
      </c>
      <c r="B3862" s="28" t="s">
        <v>77</v>
      </c>
      <c r="C3862" s="28" t="s">
        <v>77</v>
      </c>
      <c r="D3862" s="28" t="s">
        <v>77</v>
      </c>
      <c r="E3862" s="28" t="s">
        <v>77</v>
      </c>
      <c r="F3862" s="28" t="s">
        <v>77</v>
      </c>
      <c r="G3862" s="28" t="s">
        <v>77</v>
      </c>
      <c r="I3862" s="26" t="s">
        <v>77</v>
      </c>
      <c r="J3862" s="26" t="s">
        <v>77</v>
      </c>
      <c r="K3862" s="18"/>
      <c r="L3862" s="26" t="s">
        <v>77</v>
      </c>
      <c r="M3862" s="6" t="s">
        <v>77</v>
      </c>
      <c r="N3862" s="28" t="s">
        <v>77</v>
      </c>
      <c r="O3862" s="26" t="s">
        <v>77</v>
      </c>
    </row>
    <row r="3863">
      <c r="A3863" s="52" t="s">
        <v>77</v>
      </c>
      <c r="B3863" s="28" t="s">
        <v>77</v>
      </c>
      <c r="C3863" s="28" t="s">
        <v>77</v>
      </c>
      <c r="D3863" s="28" t="s">
        <v>77</v>
      </c>
      <c r="E3863" s="28" t="s">
        <v>77</v>
      </c>
      <c r="F3863" s="28" t="s">
        <v>77</v>
      </c>
      <c r="G3863" s="28" t="s">
        <v>77</v>
      </c>
      <c r="I3863" s="26" t="s">
        <v>77</v>
      </c>
      <c r="J3863" s="26" t="s">
        <v>77</v>
      </c>
      <c r="K3863" s="18"/>
      <c r="L3863" s="26" t="s">
        <v>77</v>
      </c>
      <c r="M3863" s="6" t="s">
        <v>77</v>
      </c>
      <c r="N3863" s="28" t="s">
        <v>77</v>
      </c>
      <c r="O3863" s="26" t="s">
        <v>77</v>
      </c>
    </row>
    <row r="3864">
      <c r="A3864" s="52" t="s">
        <v>77</v>
      </c>
      <c r="B3864" s="28" t="s">
        <v>77</v>
      </c>
      <c r="C3864" s="28" t="s">
        <v>77</v>
      </c>
      <c r="D3864" s="28" t="s">
        <v>77</v>
      </c>
      <c r="E3864" s="28" t="s">
        <v>77</v>
      </c>
      <c r="F3864" s="28" t="s">
        <v>77</v>
      </c>
      <c r="G3864" s="28" t="s">
        <v>77</v>
      </c>
      <c r="I3864" s="26" t="s">
        <v>77</v>
      </c>
      <c r="J3864" s="26" t="s">
        <v>77</v>
      </c>
      <c r="K3864" s="18"/>
      <c r="L3864" s="26" t="s">
        <v>77</v>
      </c>
      <c r="M3864" s="6" t="s">
        <v>77</v>
      </c>
      <c r="N3864" s="28" t="s">
        <v>77</v>
      </c>
      <c r="O3864" s="26" t="s">
        <v>77</v>
      </c>
    </row>
    <row r="3865">
      <c r="A3865" s="52" t="s">
        <v>77</v>
      </c>
      <c r="B3865" s="28" t="s">
        <v>77</v>
      </c>
      <c r="C3865" s="28" t="s">
        <v>77</v>
      </c>
      <c r="D3865" s="28" t="s">
        <v>77</v>
      </c>
      <c r="E3865" s="28" t="s">
        <v>77</v>
      </c>
      <c r="F3865" s="28" t="s">
        <v>77</v>
      </c>
      <c r="G3865" s="28" t="s">
        <v>77</v>
      </c>
      <c r="I3865" s="26" t="s">
        <v>77</v>
      </c>
      <c r="J3865" s="26" t="s">
        <v>77</v>
      </c>
      <c r="K3865" s="18"/>
      <c r="L3865" s="26" t="s">
        <v>77</v>
      </c>
      <c r="M3865" s="6" t="s">
        <v>77</v>
      </c>
      <c r="N3865" s="28" t="s">
        <v>77</v>
      </c>
      <c r="O3865" s="26" t="s">
        <v>77</v>
      </c>
    </row>
    <row r="3866">
      <c r="A3866" s="52" t="s">
        <v>77</v>
      </c>
      <c r="B3866" s="28" t="s">
        <v>77</v>
      </c>
      <c r="C3866" s="28" t="s">
        <v>77</v>
      </c>
      <c r="D3866" s="28" t="s">
        <v>77</v>
      </c>
      <c r="E3866" s="28" t="s">
        <v>77</v>
      </c>
      <c r="F3866" s="28" t="s">
        <v>77</v>
      </c>
      <c r="G3866" s="28" t="s">
        <v>77</v>
      </c>
      <c r="I3866" s="26" t="s">
        <v>77</v>
      </c>
      <c r="J3866" s="26" t="s">
        <v>77</v>
      </c>
      <c r="K3866" s="18"/>
      <c r="L3866" s="26" t="s">
        <v>77</v>
      </c>
      <c r="M3866" s="6" t="s">
        <v>77</v>
      </c>
      <c r="N3866" s="28" t="s">
        <v>77</v>
      </c>
      <c r="O3866" s="26" t="s">
        <v>77</v>
      </c>
    </row>
    <row r="3867">
      <c r="A3867" s="52" t="s">
        <v>77</v>
      </c>
      <c r="B3867" s="28" t="s">
        <v>77</v>
      </c>
      <c r="C3867" s="28" t="s">
        <v>77</v>
      </c>
      <c r="D3867" s="28" t="s">
        <v>77</v>
      </c>
      <c r="E3867" s="28" t="s">
        <v>77</v>
      </c>
      <c r="F3867" s="28" t="s">
        <v>77</v>
      </c>
      <c r="G3867" s="28" t="s">
        <v>77</v>
      </c>
      <c r="I3867" s="26" t="s">
        <v>77</v>
      </c>
      <c r="J3867" s="26" t="s">
        <v>77</v>
      </c>
      <c r="K3867" s="18"/>
      <c r="L3867" s="26" t="s">
        <v>77</v>
      </c>
      <c r="M3867" s="6" t="s">
        <v>77</v>
      </c>
      <c r="N3867" s="28" t="s">
        <v>77</v>
      </c>
      <c r="O3867" s="26" t="s">
        <v>77</v>
      </c>
    </row>
    <row r="3868">
      <c r="A3868" s="52" t="s">
        <v>77</v>
      </c>
      <c r="B3868" s="28" t="s">
        <v>77</v>
      </c>
      <c r="C3868" s="28" t="s">
        <v>77</v>
      </c>
      <c r="D3868" s="28" t="s">
        <v>77</v>
      </c>
      <c r="E3868" s="28" t="s">
        <v>77</v>
      </c>
      <c r="F3868" s="28" t="s">
        <v>77</v>
      </c>
      <c r="G3868" s="28" t="s">
        <v>77</v>
      </c>
      <c r="I3868" s="26" t="s">
        <v>77</v>
      </c>
      <c r="J3868" s="26" t="s">
        <v>77</v>
      </c>
      <c r="K3868" s="18"/>
      <c r="L3868" s="26" t="s">
        <v>77</v>
      </c>
      <c r="M3868" s="6" t="s">
        <v>77</v>
      </c>
      <c r="N3868" s="28" t="s">
        <v>77</v>
      </c>
      <c r="O3868" s="26" t="s">
        <v>77</v>
      </c>
    </row>
    <row r="3869">
      <c r="A3869" s="52" t="s">
        <v>77</v>
      </c>
      <c r="B3869" s="28" t="s">
        <v>77</v>
      </c>
      <c r="C3869" s="28" t="s">
        <v>77</v>
      </c>
      <c r="D3869" s="28" t="s">
        <v>77</v>
      </c>
      <c r="E3869" s="28" t="s">
        <v>77</v>
      </c>
      <c r="F3869" s="28" t="s">
        <v>77</v>
      </c>
      <c r="G3869" s="28" t="s">
        <v>77</v>
      </c>
      <c r="I3869" s="26" t="s">
        <v>77</v>
      </c>
      <c r="J3869" s="26" t="s">
        <v>77</v>
      </c>
      <c r="K3869" s="18"/>
      <c r="L3869" s="26" t="s">
        <v>77</v>
      </c>
      <c r="M3869" s="6" t="s">
        <v>77</v>
      </c>
      <c r="N3869" s="28" t="s">
        <v>77</v>
      </c>
      <c r="O3869" s="26" t="s">
        <v>77</v>
      </c>
    </row>
    <row r="3870">
      <c r="A3870" s="52" t="s">
        <v>77</v>
      </c>
      <c r="B3870" s="28" t="s">
        <v>77</v>
      </c>
      <c r="C3870" s="28" t="s">
        <v>77</v>
      </c>
      <c r="D3870" s="28" t="s">
        <v>77</v>
      </c>
      <c r="E3870" s="28" t="s">
        <v>77</v>
      </c>
      <c r="F3870" s="28" t="s">
        <v>77</v>
      </c>
      <c r="G3870" s="28" t="s">
        <v>77</v>
      </c>
      <c r="I3870" s="26" t="s">
        <v>77</v>
      </c>
      <c r="J3870" s="26" t="s">
        <v>77</v>
      </c>
      <c r="K3870" s="18"/>
      <c r="L3870" s="26" t="s">
        <v>77</v>
      </c>
      <c r="M3870" s="6" t="s">
        <v>77</v>
      </c>
      <c r="N3870" s="28" t="s">
        <v>77</v>
      </c>
      <c r="O3870" s="26" t="s">
        <v>77</v>
      </c>
    </row>
    <row r="3871">
      <c r="A3871" s="52" t="s">
        <v>77</v>
      </c>
      <c r="B3871" s="28" t="s">
        <v>77</v>
      </c>
      <c r="C3871" s="28" t="s">
        <v>77</v>
      </c>
      <c r="D3871" s="28" t="s">
        <v>77</v>
      </c>
      <c r="E3871" s="28" t="s">
        <v>77</v>
      </c>
      <c r="F3871" s="28" t="s">
        <v>77</v>
      </c>
      <c r="G3871" s="28" t="s">
        <v>77</v>
      </c>
      <c r="I3871" s="26" t="s">
        <v>77</v>
      </c>
      <c r="J3871" s="26" t="s">
        <v>77</v>
      </c>
      <c r="K3871" s="18"/>
      <c r="L3871" s="26" t="s">
        <v>77</v>
      </c>
      <c r="M3871" s="6" t="s">
        <v>77</v>
      </c>
      <c r="N3871" s="28" t="s">
        <v>77</v>
      </c>
      <c r="O3871" s="26" t="s">
        <v>77</v>
      </c>
    </row>
    <row r="3872">
      <c r="A3872" s="52" t="s">
        <v>77</v>
      </c>
      <c r="B3872" s="28" t="s">
        <v>77</v>
      </c>
      <c r="C3872" s="28" t="s">
        <v>77</v>
      </c>
      <c r="D3872" s="28" t="s">
        <v>77</v>
      </c>
      <c r="E3872" s="28" t="s">
        <v>77</v>
      </c>
      <c r="F3872" s="28" t="s">
        <v>77</v>
      </c>
      <c r="G3872" s="28" t="s">
        <v>77</v>
      </c>
      <c r="I3872" s="26" t="s">
        <v>77</v>
      </c>
      <c r="J3872" s="26" t="s">
        <v>77</v>
      </c>
      <c r="K3872" s="18"/>
      <c r="L3872" s="26" t="s">
        <v>77</v>
      </c>
      <c r="M3872" s="6" t="s">
        <v>77</v>
      </c>
      <c r="N3872" s="28" t="s">
        <v>77</v>
      </c>
      <c r="O3872" s="26" t="s">
        <v>77</v>
      </c>
    </row>
    <row r="3873">
      <c r="A3873" s="52" t="s">
        <v>77</v>
      </c>
      <c r="B3873" s="28" t="s">
        <v>77</v>
      </c>
      <c r="C3873" s="28" t="s">
        <v>77</v>
      </c>
      <c r="D3873" s="28" t="s">
        <v>77</v>
      </c>
      <c r="E3873" s="28" t="s">
        <v>77</v>
      </c>
      <c r="F3873" s="28" t="s">
        <v>77</v>
      </c>
      <c r="G3873" s="28" t="s">
        <v>77</v>
      </c>
      <c r="I3873" s="26" t="s">
        <v>77</v>
      </c>
      <c r="J3873" s="26" t="s">
        <v>77</v>
      </c>
      <c r="K3873" s="18"/>
      <c r="L3873" s="26" t="s">
        <v>77</v>
      </c>
      <c r="M3873" s="6" t="s">
        <v>77</v>
      </c>
      <c r="N3873" s="28" t="s">
        <v>77</v>
      </c>
      <c r="O3873" s="26" t="s">
        <v>77</v>
      </c>
    </row>
    <row r="3874">
      <c r="A3874" s="52" t="s">
        <v>77</v>
      </c>
      <c r="B3874" s="28" t="s">
        <v>77</v>
      </c>
      <c r="C3874" s="28" t="s">
        <v>77</v>
      </c>
      <c r="D3874" s="28" t="s">
        <v>77</v>
      </c>
      <c r="E3874" s="28" t="s">
        <v>77</v>
      </c>
      <c r="F3874" s="28" t="s">
        <v>77</v>
      </c>
      <c r="G3874" s="28" t="s">
        <v>77</v>
      </c>
      <c r="I3874" s="26" t="s">
        <v>77</v>
      </c>
      <c r="J3874" s="26" t="s">
        <v>77</v>
      </c>
      <c r="K3874" s="18"/>
      <c r="L3874" s="26" t="s">
        <v>77</v>
      </c>
      <c r="M3874" s="6" t="s">
        <v>77</v>
      </c>
      <c r="N3874" s="28" t="s">
        <v>77</v>
      </c>
      <c r="O3874" s="26" t="s">
        <v>77</v>
      </c>
    </row>
    <row r="3875">
      <c r="A3875" s="52" t="s">
        <v>77</v>
      </c>
      <c r="B3875" s="28" t="s">
        <v>77</v>
      </c>
      <c r="C3875" s="28" t="s">
        <v>77</v>
      </c>
      <c r="D3875" s="28" t="s">
        <v>77</v>
      </c>
      <c r="E3875" s="28" t="s">
        <v>77</v>
      </c>
      <c r="F3875" s="28" t="s">
        <v>77</v>
      </c>
      <c r="G3875" s="28" t="s">
        <v>77</v>
      </c>
      <c r="I3875" s="26" t="s">
        <v>77</v>
      </c>
      <c r="J3875" s="26" t="s">
        <v>77</v>
      </c>
      <c r="K3875" s="18"/>
      <c r="L3875" s="26" t="s">
        <v>77</v>
      </c>
      <c r="M3875" s="6" t="s">
        <v>77</v>
      </c>
      <c r="N3875" s="28" t="s">
        <v>77</v>
      </c>
      <c r="O3875" s="26" t="s">
        <v>77</v>
      </c>
    </row>
    <row r="3876">
      <c r="A3876" s="52" t="s">
        <v>77</v>
      </c>
      <c r="B3876" s="28" t="s">
        <v>77</v>
      </c>
      <c r="C3876" s="28" t="s">
        <v>77</v>
      </c>
      <c r="D3876" s="28" t="s">
        <v>77</v>
      </c>
      <c r="E3876" s="28" t="s">
        <v>77</v>
      </c>
      <c r="F3876" s="28" t="s">
        <v>77</v>
      </c>
      <c r="G3876" s="28" t="s">
        <v>77</v>
      </c>
      <c r="I3876" s="26" t="s">
        <v>77</v>
      </c>
      <c r="J3876" s="26" t="s">
        <v>77</v>
      </c>
      <c r="K3876" s="18"/>
      <c r="L3876" s="26" t="s">
        <v>77</v>
      </c>
      <c r="M3876" s="6" t="s">
        <v>77</v>
      </c>
      <c r="N3876" s="28" t="s">
        <v>77</v>
      </c>
      <c r="O3876" s="26" t="s">
        <v>77</v>
      </c>
    </row>
    <row r="3877">
      <c r="A3877" s="52" t="s">
        <v>77</v>
      </c>
      <c r="B3877" s="28" t="s">
        <v>77</v>
      </c>
      <c r="C3877" s="28" t="s">
        <v>77</v>
      </c>
      <c r="D3877" s="28" t="s">
        <v>77</v>
      </c>
      <c r="E3877" s="28" t="s">
        <v>77</v>
      </c>
      <c r="F3877" s="28" t="s">
        <v>77</v>
      </c>
      <c r="G3877" s="28" t="s">
        <v>77</v>
      </c>
      <c r="I3877" s="26" t="s">
        <v>77</v>
      </c>
      <c r="J3877" s="26" t="s">
        <v>77</v>
      </c>
      <c r="K3877" s="18"/>
      <c r="L3877" s="26" t="s">
        <v>77</v>
      </c>
      <c r="M3877" s="6" t="s">
        <v>77</v>
      </c>
      <c r="N3877" s="28" t="s">
        <v>77</v>
      </c>
      <c r="O3877" s="26" t="s">
        <v>77</v>
      </c>
    </row>
    <row r="3878">
      <c r="A3878" s="52" t="s">
        <v>77</v>
      </c>
      <c r="B3878" s="28" t="s">
        <v>77</v>
      </c>
      <c r="C3878" s="28" t="s">
        <v>77</v>
      </c>
      <c r="D3878" s="28" t="s">
        <v>77</v>
      </c>
      <c r="E3878" s="28" t="s">
        <v>77</v>
      </c>
      <c r="F3878" s="28" t="s">
        <v>77</v>
      </c>
      <c r="G3878" s="28" t="s">
        <v>77</v>
      </c>
      <c r="I3878" s="26" t="s">
        <v>77</v>
      </c>
      <c r="J3878" s="26" t="s">
        <v>77</v>
      </c>
      <c r="K3878" s="18"/>
      <c r="L3878" s="26" t="s">
        <v>77</v>
      </c>
      <c r="M3878" s="6" t="s">
        <v>77</v>
      </c>
      <c r="N3878" s="28" t="s">
        <v>77</v>
      </c>
      <c r="O3878" s="26" t="s">
        <v>77</v>
      </c>
    </row>
    <row r="3879">
      <c r="A3879" s="52" t="s">
        <v>77</v>
      </c>
      <c r="B3879" s="28" t="s">
        <v>77</v>
      </c>
      <c r="C3879" s="28" t="s">
        <v>77</v>
      </c>
      <c r="D3879" s="28" t="s">
        <v>77</v>
      </c>
      <c r="E3879" s="28" t="s">
        <v>77</v>
      </c>
      <c r="F3879" s="28" t="s">
        <v>77</v>
      </c>
      <c r="G3879" s="28" t="s">
        <v>77</v>
      </c>
      <c r="I3879" s="26" t="s">
        <v>77</v>
      </c>
      <c r="J3879" s="26" t="s">
        <v>77</v>
      </c>
      <c r="K3879" s="18"/>
      <c r="L3879" s="26" t="s">
        <v>77</v>
      </c>
      <c r="M3879" s="6" t="s">
        <v>77</v>
      </c>
      <c r="N3879" s="28" t="s">
        <v>77</v>
      </c>
      <c r="O3879" s="26" t="s">
        <v>77</v>
      </c>
    </row>
    <row r="3880">
      <c r="A3880" s="52" t="s">
        <v>77</v>
      </c>
      <c r="B3880" s="28" t="s">
        <v>77</v>
      </c>
      <c r="C3880" s="28" t="s">
        <v>77</v>
      </c>
      <c r="D3880" s="28" t="s">
        <v>77</v>
      </c>
      <c r="E3880" s="28" t="s">
        <v>77</v>
      </c>
      <c r="F3880" s="28" t="s">
        <v>77</v>
      </c>
      <c r="G3880" s="28" t="s">
        <v>77</v>
      </c>
      <c r="I3880" s="26" t="s">
        <v>77</v>
      </c>
      <c r="J3880" s="26" t="s">
        <v>77</v>
      </c>
      <c r="K3880" s="18"/>
      <c r="L3880" s="26" t="s">
        <v>77</v>
      </c>
      <c r="M3880" s="6" t="s">
        <v>77</v>
      </c>
      <c r="N3880" s="28" t="s">
        <v>77</v>
      </c>
      <c r="O3880" s="26" t="s">
        <v>77</v>
      </c>
    </row>
    <row r="3881">
      <c r="A3881" s="52" t="s">
        <v>77</v>
      </c>
      <c r="B3881" s="28" t="s">
        <v>77</v>
      </c>
      <c r="C3881" s="28" t="s">
        <v>77</v>
      </c>
      <c r="D3881" s="28" t="s">
        <v>77</v>
      </c>
      <c r="E3881" s="28" t="s">
        <v>77</v>
      </c>
      <c r="F3881" s="28" t="s">
        <v>77</v>
      </c>
      <c r="G3881" s="28" t="s">
        <v>77</v>
      </c>
      <c r="I3881" s="26" t="s">
        <v>77</v>
      </c>
      <c r="J3881" s="26" t="s">
        <v>77</v>
      </c>
      <c r="K3881" s="18"/>
      <c r="L3881" s="26" t="s">
        <v>77</v>
      </c>
      <c r="M3881" s="6" t="s">
        <v>77</v>
      </c>
      <c r="N3881" s="28" t="s">
        <v>77</v>
      </c>
      <c r="O3881" s="26" t="s">
        <v>77</v>
      </c>
    </row>
    <row r="3882">
      <c r="A3882" s="52" t="s">
        <v>77</v>
      </c>
      <c r="B3882" s="28" t="s">
        <v>77</v>
      </c>
      <c r="C3882" s="28" t="s">
        <v>77</v>
      </c>
      <c r="D3882" s="28" t="s">
        <v>77</v>
      </c>
      <c r="E3882" s="28" t="s">
        <v>77</v>
      </c>
      <c r="F3882" s="28" t="s">
        <v>77</v>
      </c>
      <c r="G3882" s="28" t="s">
        <v>77</v>
      </c>
      <c r="I3882" s="26" t="s">
        <v>77</v>
      </c>
      <c r="J3882" s="26" t="s">
        <v>77</v>
      </c>
      <c r="K3882" s="18"/>
      <c r="L3882" s="26" t="s">
        <v>77</v>
      </c>
      <c r="M3882" s="6" t="s">
        <v>77</v>
      </c>
      <c r="N3882" s="28" t="s">
        <v>77</v>
      </c>
      <c r="O3882" s="26" t="s">
        <v>77</v>
      </c>
    </row>
    <row r="3883">
      <c r="A3883" s="52" t="s">
        <v>77</v>
      </c>
      <c r="B3883" s="28" t="s">
        <v>77</v>
      </c>
      <c r="C3883" s="28" t="s">
        <v>77</v>
      </c>
      <c r="D3883" s="28" t="s">
        <v>77</v>
      </c>
      <c r="E3883" s="28" t="s">
        <v>77</v>
      </c>
      <c r="F3883" s="28" t="s">
        <v>77</v>
      </c>
      <c r="G3883" s="28" t="s">
        <v>77</v>
      </c>
      <c r="I3883" s="26" t="s">
        <v>77</v>
      </c>
      <c r="J3883" s="26" t="s">
        <v>77</v>
      </c>
      <c r="K3883" s="18"/>
      <c r="L3883" s="26" t="s">
        <v>77</v>
      </c>
      <c r="M3883" s="6" t="s">
        <v>77</v>
      </c>
      <c r="N3883" s="28" t="s">
        <v>77</v>
      </c>
      <c r="O3883" s="26" t="s">
        <v>77</v>
      </c>
    </row>
    <row r="3884">
      <c r="A3884" s="52" t="s">
        <v>77</v>
      </c>
      <c r="B3884" s="28" t="s">
        <v>77</v>
      </c>
      <c r="C3884" s="28" t="s">
        <v>77</v>
      </c>
      <c r="D3884" s="28" t="s">
        <v>77</v>
      </c>
      <c r="E3884" s="28" t="s">
        <v>77</v>
      </c>
      <c r="F3884" s="28" t="s">
        <v>77</v>
      </c>
      <c r="G3884" s="28" t="s">
        <v>77</v>
      </c>
      <c r="I3884" s="26" t="s">
        <v>77</v>
      </c>
      <c r="J3884" s="26" t="s">
        <v>77</v>
      </c>
      <c r="K3884" s="18"/>
      <c r="L3884" s="26" t="s">
        <v>77</v>
      </c>
      <c r="M3884" s="6" t="s">
        <v>77</v>
      </c>
      <c r="N3884" s="28" t="s">
        <v>77</v>
      </c>
      <c r="O3884" s="26" t="s">
        <v>77</v>
      </c>
    </row>
    <row r="3885">
      <c r="A3885" s="52" t="s">
        <v>77</v>
      </c>
      <c r="B3885" s="28" t="s">
        <v>77</v>
      </c>
      <c r="C3885" s="28" t="s">
        <v>77</v>
      </c>
      <c r="D3885" s="28" t="s">
        <v>77</v>
      </c>
      <c r="E3885" s="28" t="s">
        <v>77</v>
      </c>
      <c r="F3885" s="28" t="s">
        <v>77</v>
      </c>
      <c r="G3885" s="28" t="s">
        <v>77</v>
      </c>
      <c r="I3885" s="26" t="s">
        <v>77</v>
      </c>
      <c r="J3885" s="26" t="s">
        <v>77</v>
      </c>
      <c r="K3885" s="18"/>
      <c r="L3885" s="26" t="s">
        <v>77</v>
      </c>
      <c r="M3885" s="6" t="s">
        <v>77</v>
      </c>
      <c r="N3885" s="28" t="s">
        <v>77</v>
      </c>
      <c r="O3885" s="26" t="s">
        <v>77</v>
      </c>
    </row>
    <row r="3886">
      <c r="A3886" s="52" t="s">
        <v>77</v>
      </c>
      <c r="B3886" s="28" t="s">
        <v>77</v>
      </c>
      <c r="C3886" s="28" t="s">
        <v>77</v>
      </c>
      <c r="D3886" s="28" t="s">
        <v>77</v>
      </c>
      <c r="E3886" s="28" t="s">
        <v>77</v>
      </c>
      <c r="F3886" s="28" t="s">
        <v>77</v>
      </c>
      <c r="G3886" s="28" t="s">
        <v>77</v>
      </c>
      <c r="I3886" s="26" t="s">
        <v>77</v>
      </c>
      <c r="J3886" s="26" t="s">
        <v>77</v>
      </c>
      <c r="K3886" s="18"/>
      <c r="L3886" s="26" t="s">
        <v>77</v>
      </c>
      <c r="M3886" s="6" t="s">
        <v>77</v>
      </c>
      <c r="N3886" s="28" t="s">
        <v>77</v>
      </c>
      <c r="O3886" s="26" t="s">
        <v>77</v>
      </c>
    </row>
    <row r="3887">
      <c r="A3887" s="52" t="s">
        <v>77</v>
      </c>
      <c r="B3887" s="28" t="s">
        <v>77</v>
      </c>
      <c r="C3887" s="28" t="s">
        <v>77</v>
      </c>
      <c r="D3887" s="28" t="s">
        <v>77</v>
      </c>
      <c r="E3887" s="28" t="s">
        <v>77</v>
      </c>
      <c r="F3887" s="28" t="s">
        <v>77</v>
      </c>
      <c r="G3887" s="28" t="s">
        <v>77</v>
      </c>
      <c r="I3887" s="26" t="s">
        <v>77</v>
      </c>
      <c r="J3887" s="26" t="s">
        <v>77</v>
      </c>
      <c r="K3887" s="18"/>
      <c r="L3887" s="26" t="s">
        <v>77</v>
      </c>
      <c r="M3887" s="6" t="s">
        <v>77</v>
      </c>
      <c r="N3887" s="28" t="s">
        <v>77</v>
      </c>
      <c r="O3887" s="26" t="s">
        <v>77</v>
      </c>
    </row>
    <row r="3888">
      <c r="A3888" s="52" t="s">
        <v>77</v>
      </c>
      <c r="B3888" s="28" t="s">
        <v>77</v>
      </c>
      <c r="C3888" s="28" t="s">
        <v>77</v>
      </c>
      <c r="D3888" s="28" t="s">
        <v>77</v>
      </c>
      <c r="E3888" s="28" t="s">
        <v>77</v>
      </c>
      <c r="F3888" s="28" t="s">
        <v>77</v>
      </c>
      <c r="G3888" s="28" t="s">
        <v>77</v>
      </c>
      <c r="I3888" s="26" t="s">
        <v>77</v>
      </c>
      <c r="J3888" s="26" t="s">
        <v>77</v>
      </c>
      <c r="K3888" s="18"/>
      <c r="L3888" s="26" t="s">
        <v>77</v>
      </c>
      <c r="M3888" s="6" t="s">
        <v>77</v>
      </c>
      <c r="N3888" s="28" t="s">
        <v>77</v>
      </c>
      <c r="O3888" s="26" t="s">
        <v>77</v>
      </c>
    </row>
    <row r="3889">
      <c r="A3889" s="52" t="s">
        <v>77</v>
      </c>
      <c r="B3889" s="28" t="s">
        <v>77</v>
      </c>
      <c r="C3889" s="28" t="s">
        <v>77</v>
      </c>
      <c r="D3889" s="28" t="s">
        <v>77</v>
      </c>
      <c r="E3889" s="28" t="s">
        <v>77</v>
      </c>
      <c r="F3889" s="28" t="s">
        <v>77</v>
      </c>
      <c r="G3889" s="28" t="s">
        <v>77</v>
      </c>
      <c r="I3889" s="26" t="s">
        <v>77</v>
      </c>
      <c r="J3889" s="26" t="s">
        <v>77</v>
      </c>
      <c r="K3889" s="18"/>
      <c r="L3889" s="26" t="s">
        <v>77</v>
      </c>
      <c r="M3889" s="6" t="s">
        <v>77</v>
      </c>
      <c r="N3889" s="28" t="s">
        <v>77</v>
      </c>
      <c r="O3889" s="26" t="s">
        <v>77</v>
      </c>
    </row>
    <row r="3890">
      <c r="A3890" s="52" t="s">
        <v>77</v>
      </c>
      <c r="B3890" s="28" t="s">
        <v>77</v>
      </c>
      <c r="C3890" s="28" t="s">
        <v>77</v>
      </c>
      <c r="D3890" s="28" t="s">
        <v>77</v>
      </c>
      <c r="E3890" s="28" t="s">
        <v>77</v>
      </c>
      <c r="F3890" s="28" t="s">
        <v>77</v>
      </c>
      <c r="G3890" s="28" t="s">
        <v>77</v>
      </c>
      <c r="I3890" s="26" t="s">
        <v>77</v>
      </c>
      <c r="J3890" s="26" t="s">
        <v>77</v>
      </c>
      <c r="K3890" s="18"/>
      <c r="L3890" s="26" t="s">
        <v>77</v>
      </c>
      <c r="M3890" s="6" t="s">
        <v>77</v>
      </c>
      <c r="N3890" s="28" t="s">
        <v>77</v>
      </c>
      <c r="O3890" s="26" t="s">
        <v>77</v>
      </c>
    </row>
    <row r="3891">
      <c r="A3891" s="52" t="s">
        <v>77</v>
      </c>
      <c r="B3891" s="28" t="s">
        <v>77</v>
      </c>
      <c r="C3891" s="28" t="s">
        <v>77</v>
      </c>
      <c r="D3891" s="28" t="s">
        <v>77</v>
      </c>
      <c r="E3891" s="28" t="s">
        <v>77</v>
      </c>
      <c r="F3891" s="28" t="s">
        <v>77</v>
      </c>
      <c r="G3891" s="28" t="s">
        <v>77</v>
      </c>
      <c r="I3891" s="26" t="s">
        <v>77</v>
      </c>
      <c r="J3891" s="26" t="s">
        <v>77</v>
      </c>
      <c r="K3891" s="18"/>
      <c r="L3891" s="26" t="s">
        <v>77</v>
      </c>
      <c r="M3891" s="6" t="s">
        <v>77</v>
      </c>
      <c r="N3891" s="28" t="s">
        <v>77</v>
      </c>
      <c r="O3891" s="26" t="s">
        <v>77</v>
      </c>
    </row>
    <row r="3892">
      <c r="A3892" s="52" t="s">
        <v>77</v>
      </c>
      <c r="B3892" s="28" t="s">
        <v>77</v>
      </c>
      <c r="C3892" s="28" t="s">
        <v>77</v>
      </c>
      <c r="D3892" s="28" t="s">
        <v>77</v>
      </c>
      <c r="E3892" s="28" t="s">
        <v>77</v>
      </c>
      <c r="F3892" s="28" t="s">
        <v>77</v>
      </c>
      <c r="G3892" s="28" t="s">
        <v>77</v>
      </c>
      <c r="I3892" s="26" t="s">
        <v>77</v>
      </c>
      <c r="J3892" s="26" t="s">
        <v>77</v>
      </c>
      <c r="K3892" s="18"/>
      <c r="L3892" s="26" t="s">
        <v>77</v>
      </c>
      <c r="M3892" s="6" t="s">
        <v>77</v>
      </c>
      <c r="N3892" s="28" t="s">
        <v>77</v>
      </c>
      <c r="O3892" s="26" t="s">
        <v>77</v>
      </c>
    </row>
    <row r="3893">
      <c r="A3893" s="52" t="s">
        <v>77</v>
      </c>
      <c r="B3893" s="28" t="s">
        <v>77</v>
      </c>
      <c r="C3893" s="28" t="s">
        <v>77</v>
      </c>
      <c r="D3893" s="28" t="s">
        <v>77</v>
      </c>
      <c r="E3893" s="28" t="s">
        <v>77</v>
      </c>
      <c r="F3893" s="28" t="s">
        <v>77</v>
      </c>
      <c r="G3893" s="28" t="s">
        <v>77</v>
      </c>
      <c r="I3893" s="26" t="s">
        <v>77</v>
      </c>
      <c r="J3893" s="26" t="s">
        <v>77</v>
      </c>
      <c r="K3893" s="18"/>
      <c r="L3893" s="26" t="s">
        <v>77</v>
      </c>
      <c r="M3893" s="6" t="s">
        <v>77</v>
      </c>
      <c r="N3893" s="28" t="s">
        <v>77</v>
      </c>
      <c r="O3893" s="26" t="s">
        <v>77</v>
      </c>
    </row>
    <row r="3894">
      <c r="A3894" s="52" t="s">
        <v>77</v>
      </c>
      <c r="B3894" s="28" t="s">
        <v>77</v>
      </c>
      <c r="C3894" s="28" t="s">
        <v>77</v>
      </c>
      <c r="D3894" s="28" t="s">
        <v>77</v>
      </c>
      <c r="E3894" s="28" t="s">
        <v>77</v>
      </c>
      <c r="F3894" s="28" t="s">
        <v>77</v>
      </c>
      <c r="G3894" s="28" t="s">
        <v>77</v>
      </c>
      <c r="I3894" s="26" t="s">
        <v>77</v>
      </c>
      <c r="J3894" s="26" t="s">
        <v>77</v>
      </c>
      <c r="K3894" s="18"/>
      <c r="L3894" s="26" t="s">
        <v>77</v>
      </c>
      <c r="M3894" s="6" t="s">
        <v>77</v>
      </c>
      <c r="N3894" s="28" t="s">
        <v>77</v>
      </c>
      <c r="O3894" s="26" t="s">
        <v>77</v>
      </c>
    </row>
    <row r="3895">
      <c r="A3895" s="52" t="s">
        <v>77</v>
      </c>
      <c r="B3895" s="28" t="s">
        <v>77</v>
      </c>
      <c r="C3895" s="28" t="s">
        <v>77</v>
      </c>
      <c r="D3895" s="28" t="s">
        <v>77</v>
      </c>
      <c r="E3895" s="28" t="s">
        <v>77</v>
      </c>
      <c r="F3895" s="28" t="s">
        <v>77</v>
      </c>
      <c r="G3895" s="28" t="s">
        <v>77</v>
      </c>
      <c r="I3895" s="26" t="s">
        <v>77</v>
      </c>
      <c r="J3895" s="26" t="s">
        <v>77</v>
      </c>
      <c r="K3895" s="18"/>
      <c r="L3895" s="26" t="s">
        <v>77</v>
      </c>
      <c r="M3895" s="6" t="s">
        <v>77</v>
      </c>
      <c r="N3895" s="28" t="s">
        <v>77</v>
      </c>
      <c r="O3895" s="26" t="s">
        <v>77</v>
      </c>
    </row>
    <row r="3896">
      <c r="A3896" s="52" t="s">
        <v>77</v>
      </c>
      <c r="B3896" s="28" t="s">
        <v>77</v>
      </c>
      <c r="C3896" s="28" t="s">
        <v>77</v>
      </c>
      <c r="D3896" s="28" t="s">
        <v>77</v>
      </c>
      <c r="E3896" s="28" t="s">
        <v>77</v>
      </c>
      <c r="F3896" s="28" t="s">
        <v>77</v>
      </c>
      <c r="G3896" s="28" t="s">
        <v>77</v>
      </c>
      <c r="I3896" s="26" t="s">
        <v>77</v>
      </c>
      <c r="J3896" s="26" t="s">
        <v>77</v>
      </c>
      <c r="K3896" s="18"/>
      <c r="L3896" s="26" t="s">
        <v>77</v>
      </c>
      <c r="M3896" s="6" t="s">
        <v>77</v>
      </c>
      <c r="N3896" s="28" t="s">
        <v>77</v>
      </c>
      <c r="O3896" s="26" t="s">
        <v>77</v>
      </c>
    </row>
    <row r="3897">
      <c r="A3897" s="52" t="s">
        <v>77</v>
      </c>
      <c r="B3897" s="28" t="s">
        <v>77</v>
      </c>
      <c r="C3897" s="28" t="s">
        <v>77</v>
      </c>
      <c r="D3897" s="28" t="s">
        <v>77</v>
      </c>
      <c r="E3897" s="28" t="s">
        <v>77</v>
      </c>
      <c r="F3897" s="28" t="s">
        <v>77</v>
      </c>
      <c r="G3897" s="28" t="s">
        <v>77</v>
      </c>
      <c r="I3897" s="26" t="s">
        <v>77</v>
      </c>
      <c r="J3897" s="26" t="s">
        <v>77</v>
      </c>
      <c r="K3897" s="18"/>
      <c r="L3897" s="26" t="s">
        <v>77</v>
      </c>
      <c r="M3897" s="6" t="s">
        <v>77</v>
      </c>
      <c r="N3897" s="28" t="s">
        <v>77</v>
      </c>
      <c r="O3897" s="26" t="s">
        <v>77</v>
      </c>
    </row>
    <row r="3898">
      <c r="A3898" s="52" t="s">
        <v>77</v>
      </c>
      <c r="B3898" s="28" t="s">
        <v>77</v>
      </c>
      <c r="C3898" s="28" t="s">
        <v>77</v>
      </c>
      <c r="D3898" s="28" t="s">
        <v>77</v>
      </c>
      <c r="E3898" s="28" t="s">
        <v>77</v>
      </c>
      <c r="F3898" s="28" t="s">
        <v>77</v>
      </c>
      <c r="G3898" s="28" t="s">
        <v>77</v>
      </c>
      <c r="I3898" s="26" t="s">
        <v>77</v>
      </c>
      <c r="J3898" s="26" t="s">
        <v>77</v>
      </c>
      <c r="K3898" s="18"/>
      <c r="L3898" s="26" t="s">
        <v>77</v>
      </c>
      <c r="M3898" s="6" t="s">
        <v>77</v>
      </c>
      <c r="N3898" s="28" t="s">
        <v>77</v>
      </c>
      <c r="O3898" s="26" t="s">
        <v>77</v>
      </c>
    </row>
    <row r="3899">
      <c r="A3899" s="52" t="s">
        <v>77</v>
      </c>
      <c r="B3899" s="28" t="s">
        <v>77</v>
      </c>
      <c r="C3899" s="28" t="s">
        <v>77</v>
      </c>
      <c r="D3899" s="28" t="s">
        <v>77</v>
      </c>
      <c r="E3899" s="28" t="s">
        <v>77</v>
      </c>
      <c r="F3899" s="28" t="s">
        <v>77</v>
      </c>
      <c r="G3899" s="28" t="s">
        <v>77</v>
      </c>
      <c r="I3899" s="26" t="s">
        <v>77</v>
      </c>
      <c r="J3899" s="26" t="s">
        <v>77</v>
      </c>
      <c r="K3899" s="18"/>
      <c r="L3899" s="26" t="s">
        <v>77</v>
      </c>
      <c r="M3899" s="6" t="s">
        <v>77</v>
      </c>
      <c r="N3899" s="28" t="s">
        <v>77</v>
      </c>
      <c r="O3899" s="26" t="s">
        <v>77</v>
      </c>
    </row>
    <row r="3900">
      <c r="A3900" s="52" t="s">
        <v>77</v>
      </c>
      <c r="B3900" s="28" t="s">
        <v>77</v>
      </c>
      <c r="C3900" s="28" t="s">
        <v>77</v>
      </c>
      <c r="D3900" s="28" t="s">
        <v>77</v>
      </c>
      <c r="E3900" s="28" t="s">
        <v>77</v>
      </c>
      <c r="F3900" s="28" t="s">
        <v>77</v>
      </c>
      <c r="G3900" s="28" t="s">
        <v>77</v>
      </c>
      <c r="I3900" s="26" t="s">
        <v>77</v>
      </c>
      <c r="J3900" s="26" t="s">
        <v>77</v>
      </c>
      <c r="K3900" s="18"/>
      <c r="L3900" s="26" t="s">
        <v>77</v>
      </c>
      <c r="M3900" s="6" t="s">
        <v>77</v>
      </c>
      <c r="N3900" s="28" t="s">
        <v>77</v>
      </c>
      <c r="O3900" s="26" t="s">
        <v>77</v>
      </c>
    </row>
    <row r="3901">
      <c r="A3901" s="52" t="s">
        <v>77</v>
      </c>
      <c r="B3901" s="28" t="s">
        <v>77</v>
      </c>
      <c r="C3901" s="28" t="s">
        <v>77</v>
      </c>
      <c r="D3901" s="28" t="s">
        <v>77</v>
      </c>
      <c r="E3901" s="28" t="s">
        <v>77</v>
      </c>
      <c r="F3901" s="28" t="s">
        <v>77</v>
      </c>
      <c r="G3901" s="28" t="s">
        <v>77</v>
      </c>
      <c r="I3901" s="26" t="s">
        <v>77</v>
      </c>
      <c r="J3901" s="26" t="s">
        <v>77</v>
      </c>
      <c r="K3901" s="18"/>
      <c r="L3901" s="26" t="s">
        <v>77</v>
      </c>
      <c r="M3901" s="6" t="s">
        <v>77</v>
      </c>
      <c r="N3901" s="28" t="s">
        <v>77</v>
      </c>
      <c r="O3901" s="26" t="s">
        <v>77</v>
      </c>
    </row>
    <row r="3902">
      <c r="A3902" s="52" t="s">
        <v>77</v>
      </c>
      <c r="B3902" s="28" t="s">
        <v>77</v>
      </c>
      <c r="C3902" s="28" t="s">
        <v>77</v>
      </c>
      <c r="D3902" s="28" t="s">
        <v>77</v>
      </c>
      <c r="E3902" s="28" t="s">
        <v>77</v>
      </c>
      <c r="F3902" s="28" t="s">
        <v>77</v>
      </c>
      <c r="G3902" s="28" t="s">
        <v>77</v>
      </c>
      <c r="I3902" s="26" t="s">
        <v>77</v>
      </c>
      <c r="J3902" s="26" t="s">
        <v>77</v>
      </c>
      <c r="K3902" s="18"/>
      <c r="L3902" s="26" t="s">
        <v>77</v>
      </c>
      <c r="M3902" s="6" t="s">
        <v>77</v>
      </c>
      <c r="N3902" s="28" t="s">
        <v>77</v>
      </c>
      <c r="O3902" s="26" t="s">
        <v>77</v>
      </c>
    </row>
    <row r="3903">
      <c r="A3903" s="52" t="s">
        <v>77</v>
      </c>
      <c r="B3903" s="28" t="s">
        <v>77</v>
      </c>
      <c r="C3903" s="28" t="s">
        <v>77</v>
      </c>
      <c r="D3903" s="28" t="s">
        <v>77</v>
      </c>
      <c r="E3903" s="28" t="s">
        <v>77</v>
      </c>
      <c r="F3903" s="28" t="s">
        <v>77</v>
      </c>
      <c r="G3903" s="28" t="s">
        <v>77</v>
      </c>
      <c r="I3903" s="26" t="s">
        <v>77</v>
      </c>
      <c r="J3903" s="26" t="s">
        <v>77</v>
      </c>
      <c r="K3903" s="18"/>
      <c r="L3903" s="26" t="s">
        <v>77</v>
      </c>
      <c r="M3903" s="6" t="s">
        <v>77</v>
      </c>
      <c r="N3903" s="28" t="s">
        <v>77</v>
      </c>
      <c r="O3903" s="26" t="s">
        <v>77</v>
      </c>
    </row>
    <row r="3904">
      <c r="A3904" s="52" t="s">
        <v>77</v>
      </c>
      <c r="B3904" s="28" t="s">
        <v>77</v>
      </c>
      <c r="C3904" s="28" t="s">
        <v>77</v>
      </c>
      <c r="D3904" s="28" t="s">
        <v>77</v>
      </c>
      <c r="E3904" s="28" t="s">
        <v>77</v>
      </c>
      <c r="F3904" s="28" t="s">
        <v>77</v>
      </c>
      <c r="G3904" s="28" t="s">
        <v>77</v>
      </c>
      <c r="I3904" s="26" t="s">
        <v>77</v>
      </c>
      <c r="J3904" s="26" t="s">
        <v>77</v>
      </c>
      <c r="K3904" s="18"/>
      <c r="L3904" s="26" t="s">
        <v>77</v>
      </c>
      <c r="M3904" s="6" t="s">
        <v>77</v>
      </c>
      <c r="N3904" s="28" t="s">
        <v>77</v>
      </c>
      <c r="O3904" s="26" t="s">
        <v>77</v>
      </c>
    </row>
    <row r="3905">
      <c r="A3905" s="52" t="s">
        <v>77</v>
      </c>
      <c r="B3905" s="28" t="s">
        <v>77</v>
      </c>
      <c r="C3905" s="28" t="s">
        <v>77</v>
      </c>
      <c r="D3905" s="28" t="s">
        <v>77</v>
      </c>
      <c r="E3905" s="28" t="s">
        <v>77</v>
      </c>
      <c r="F3905" s="28" t="s">
        <v>77</v>
      </c>
      <c r="G3905" s="28" t="s">
        <v>77</v>
      </c>
      <c r="I3905" s="26" t="s">
        <v>77</v>
      </c>
      <c r="J3905" s="26" t="s">
        <v>77</v>
      </c>
      <c r="K3905" s="18"/>
      <c r="L3905" s="26" t="s">
        <v>77</v>
      </c>
      <c r="M3905" s="6" t="s">
        <v>77</v>
      </c>
      <c r="N3905" s="28" t="s">
        <v>77</v>
      </c>
      <c r="O3905" s="26" t="s">
        <v>77</v>
      </c>
    </row>
    <row r="3906">
      <c r="A3906" s="52" t="s">
        <v>77</v>
      </c>
      <c r="B3906" s="28" t="s">
        <v>77</v>
      </c>
      <c r="C3906" s="28" t="s">
        <v>77</v>
      </c>
      <c r="D3906" s="28" t="s">
        <v>77</v>
      </c>
      <c r="E3906" s="28" t="s">
        <v>77</v>
      </c>
      <c r="F3906" s="28" t="s">
        <v>77</v>
      </c>
      <c r="G3906" s="28" t="s">
        <v>77</v>
      </c>
      <c r="I3906" s="26" t="s">
        <v>77</v>
      </c>
      <c r="J3906" s="26" t="s">
        <v>77</v>
      </c>
      <c r="K3906" s="18"/>
      <c r="L3906" s="26" t="s">
        <v>77</v>
      </c>
      <c r="M3906" s="6" t="s">
        <v>77</v>
      </c>
      <c r="N3906" s="28" t="s">
        <v>77</v>
      </c>
      <c r="O3906" s="26" t="s">
        <v>77</v>
      </c>
    </row>
    <row r="3907">
      <c r="A3907" s="52" t="s">
        <v>77</v>
      </c>
      <c r="B3907" s="28" t="s">
        <v>77</v>
      </c>
      <c r="C3907" s="28" t="s">
        <v>77</v>
      </c>
      <c r="D3907" s="28" t="s">
        <v>77</v>
      </c>
      <c r="E3907" s="28" t="s">
        <v>77</v>
      </c>
      <c r="F3907" s="28" t="s">
        <v>77</v>
      </c>
      <c r="G3907" s="28" t="s">
        <v>77</v>
      </c>
      <c r="I3907" s="26" t="s">
        <v>77</v>
      </c>
      <c r="J3907" s="26" t="s">
        <v>77</v>
      </c>
      <c r="K3907" s="18"/>
      <c r="L3907" s="26" t="s">
        <v>77</v>
      </c>
      <c r="M3907" s="6" t="s">
        <v>77</v>
      </c>
      <c r="N3907" s="28" t="s">
        <v>77</v>
      </c>
      <c r="O3907" s="26" t="s">
        <v>77</v>
      </c>
    </row>
    <row r="3908">
      <c r="A3908" s="52" t="s">
        <v>77</v>
      </c>
      <c r="B3908" s="28" t="s">
        <v>77</v>
      </c>
      <c r="C3908" s="28" t="s">
        <v>77</v>
      </c>
      <c r="D3908" s="28" t="s">
        <v>77</v>
      </c>
      <c r="E3908" s="28" t="s">
        <v>77</v>
      </c>
      <c r="F3908" s="28" t="s">
        <v>77</v>
      </c>
      <c r="G3908" s="28" t="s">
        <v>77</v>
      </c>
      <c r="I3908" s="26" t="s">
        <v>77</v>
      </c>
      <c r="J3908" s="26" t="s">
        <v>77</v>
      </c>
      <c r="K3908" s="18"/>
      <c r="L3908" s="26" t="s">
        <v>77</v>
      </c>
      <c r="M3908" s="6" t="s">
        <v>77</v>
      </c>
      <c r="N3908" s="28" t="s">
        <v>77</v>
      </c>
      <c r="O3908" s="26" t="s">
        <v>77</v>
      </c>
    </row>
    <row r="3909">
      <c r="A3909" s="52" t="s">
        <v>77</v>
      </c>
      <c r="B3909" s="28" t="s">
        <v>77</v>
      </c>
      <c r="C3909" s="28" t="s">
        <v>77</v>
      </c>
      <c r="D3909" s="28" t="s">
        <v>77</v>
      </c>
      <c r="E3909" s="28" t="s">
        <v>77</v>
      </c>
      <c r="F3909" s="28" t="s">
        <v>77</v>
      </c>
      <c r="G3909" s="28" t="s">
        <v>77</v>
      </c>
      <c r="I3909" s="26" t="s">
        <v>77</v>
      </c>
      <c r="J3909" s="26" t="s">
        <v>77</v>
      </c>
      <c r="K3909" s="18"/>
      <c r="L3909" s="26" t="s">
        <v>77</v>
      </c>
      <c r="M3909" s="6" t="s">
        <v>77</v>
      </c>
      <c r="N3909" s="28" t="s">
        <v>77</v>
      </c>
      <c r="O3909" s="26" t="s">
        <v>77</v>
      </c>
    </row>
    <row r="3910">
      <c r="A3910" s="52" t="s">
        <v>77</v>
      </c>
      <c r="B3910" s="28" t="s">
        <v>77</v>
      </c>
      <c r="C3910" s="28" t="s">
        <v>77</v>
      </c>
      <c r="D3910" s="28" t="s">
        <v>77</v>
      </c>
      <c r="E3910" s="28" t="s">
        <v>77</v>
      </c>
      <c r="F3910" s="28" t="s">
        <v>77</v>
      </c>
      <c r="G3910" s="28" t="s">
        <v>77</v>
      </c>
      <c r="I3910" s="26" t="s">
        <v>77</v>
      </c>
      <c r="J3910" s="26" t="s">
        <v>77</v>
      </c>
      <c r="K3910" s="18"/>
      <c r="L3910" s="26" t="s">
        <v>77</v>
      </c>
      <c r="M3910" s="6" t="s">
        <v>77</v>
      </c>
      <c r="N3910" s="28" t="s">
        <v>77</v>
      </c>
      <c r="O3910" s="26" t="s">
        <v>77</v>
      </c>
    </row>
    <row r="3911">
      <c r="A3911" s="52" t="s">
        <v>77</v>
      </c>
      <c r="B3911" s="28" t="s">
        <v>77</v>
      </c>
      <c r="C3911" s="28" t="s">
        <v>77</v>
      </c>
      <c r="D3911" s="28" t="s">
        <v>77</v>
      </c>
      <c r="E3911" s="28" t="s">
        <v>77</v>
      </c>
      <c r="F3911" s="28" t="s">
        <v>77</v>
      </c>
      <c r="G3911" s="28" t="s">
        <v>77</v>
      </c>
      <c r="I3911" s="26" t="s">
        <v>77</v>
      </c>
      <c r="J3911" s="26" t="s">
        <v>77</v>
      </c>
      <c r="K3911" s="18"/>
      <c r="L3911" s="26" t="s">
        <v>77</v>
      </c>
      <c r="M3911" s="6" t="s">
        <v>77</v>
      </c>
      <c r="N3911" s="28" t="s">
        <v>77</v>
      </c>
      <c r="O3911" s="26" t="s">
        <v>77</v>
      </c>
    </row>
    <row r="3912">
      <c r="A3912" s="52" t="s">
        <v>77</v>
      </c>
      <c r="B3912" s="28" t="s">
        <v>77</v>
      </c>
      <c r="C3912" s="28" t="s">
        <v>77</v>
      </c>
      <c r="D3912" s="28" t="s">
        <v>77</v>
      </c>
      <c r="E3912" s="28" t="s">
        <v>77</v>
      </c>
      <c r="F3912" s="28" t="s">
        <v>77</v>
      </c>
      <c r="G3912" s="28" t="s">
        <v>77</v>
      </c>
      <c r="I3912" s="26" t="s">
        <v>77</v>
      </c>
      <c r="J3912" s="26" t="s">
        <v>77</v>
      </c>
      <c r="K3912" s="18"/>
      <c r="L3912" s="26" t="s">
        <v>77</v>
      </c>
      <c r="M3912" s="6" t="s">
        <v>77</v>
      </c>
      <c r="N3912" s="28" t="s">
        <v>77</v>
      </c>
      <c r="O3912" s="26" t="s">
        <v>77</v>
      </c>
    </row>
    <row r="3913">
      <c r="A3913" s="52" t="s">
        <v>77</v>
      </c>
      <c r="B3913" s="28" t="s">
        <v>77</v>
      </c>
      <c r="C3913" s="28" t="s">
        <v>77</v>
      </c>
      <c r="D3913" s="28" t="s">
        <v>77</v>
      </c>
      <c r="E3913" s="28" t="s">
        <v>77</v>
      </c>
      <c r="F3913" s="28" t="s">
        <v>77</v>
      </c>
      <c r="G3913" s="28" t="s">
        <v>77</v>
      </c>
      <c r="I3913" s="26" t="s">
        <v>77</v>
      </c>
      <c r="J3913" s="26" t="s">
        <v>77</v>
      </c>
      <c r="K3913" s="18"/>
      <c r="L3913" s="26" t="s">
        <v>77</v>
      </c>
      <c r="M3913" s="6" t="s">
        <v>77</v>
      </c>
      <c r="N3913" s="28" t="s">
        <v>77</v>
      </c>
      <c r="O3913" s="26" t="s">
        <v>77</v>
      </c>
    </row>
    <row r="3914">
      <c r="A3914" s="52" t="s">
        <v>77</v>
      </c>
      <c r="B3914" s="28" t="s">
        <v>77</v>
      </c>
      <c r="C3914" s="28" t="s">
        <v>77</v>
      </c>
      <c r="D3914" s="28" t="s">
        <v>77</v>
      </c>
      <c r="E3914" s="28" t="s">
        <v>77</v>
      </c>
      <c r="F3914" s="28" t="s">
        <v>77</v>
      </c>
      <c r="G3914" s="28" t="s">
        <v>77</v>
      </c>
      <c r="I3914" s="26" t="s">
        <v>77</v>
      </c>
      <c r="J3914" s="26" t="s">
        <v>77</v>
      </c>
      <c r="K3914" s="18"/>
      <c r="L3914" s="26" t="s">
        <v>77</v>
      </c>
      <c r="M3914" s="6" t="s">
        <v>77</v>
      </c>
      <c r="N3914" s="28" t="s">
        <v>77</v>
      </c>
      <c r="O3914" s="26" t="s">
        <v>77</v>
      </c>
    </row>
    <row r="3915">
      <c r="A3915" s="52" t="s">
        <v>77</v>
      </c>
      <c r="B3915" s="28" t="s">
        <v>77</v>
      </c>
      <c r="C3915" s="28" t="s">
        <v>77</v>
      </c>
      <c r="D3915" s="28" t="s">
        <v>77</v>
      </c>
      <c r="E3915" s="28" t="s">
        <v>77</v>
      </c>
      <c r="F3915" s="28" t="s">
        <v>77</v>
      </c>
      <c r="G3915" s="28" t="s">
        <v>77</v>
      </c>
      <c r="I3915" s="26" t="s">
        <v>77</v>
      </c>
      <c r="J3915" s="26" t="s">
        <v>77</v>
      </c>
      <c r="K3915" s="18"/>
      <c r="L3915" s="26" t="s">
        <v>77</v>
      </c>
      <c r="M3915" s="6" t="s">
        <v>77</v>
      </c>
      <c r="N3915" s="28" t="s">
        <v>77</v>
      </c>
      <c r="O3915" s="26" t="s">
        <v>77</v>
      </c>
    </row>
    <row r="3916">
      <c r="A3916" s="52" t="s">
        <v>77</v>
      </c>
      <c r="B3916" s="28" t="s">
        <v>77</v>
      </c>
      <c r="C3916" s="28" t="s">
        <v>77</v>
      </c>
      <c r="D3916" s="28" t="s">
        <v>77</v>
      </c>
      <c r="E3916" s="28" t="s">
        <v>77</v>
      </c>
      <c r="F3916" s="28" t="s">
        <v>77</v>
      </c>
      <c r="G3916" s="28" t="s">
        <v>77</v>
      </c>
      <c r="I3916" s="26" t="s">
        <v>77</v>
      </c>
      <c r="J3916" s="26" t="s">
        <v>77</v>
      </c>
      <c r="K3916" s="18"/>
      <c r="L3916" s="26" t="s">
        <v>77</v>
      </c>
      <c r="M3916" s="6" t="s">
        <v>77</v>
      </c>
      <c r="N3916" s="28" t="s">
        <v>77</v>
      </c>
      <c r="O3916" s="26" t="s">
        <v>77</v>
      </c>
    </row>
    <row r="3917">
      <c r="A3917" s="52" t="s">
        <v>77</v>
      </c>
      <c r="B3917" s="28" t="s">
        <v>77</v>
      </c>
      <c r="C3917" s="28" t="s">
        <v>77</v>
      </c>
      <c r="D3917" s="28" t="s">
        <v>77</v>
      </c>
      <c r="E3917" s="28" t="s">
        <v>77</v>
      </c>
      <c r="F3917" s="28" t="s">
        <v>77</v>
      </c>
      <c r="G3917" s="28" t="s">
        <v>77</v>
      </c>
      <c r="I3917" s="26" t="s">
        <v>77</v>
      </c>
      <c r="J3917" s="26" t="s">
        <v>77</v>
      </c>
      <c r="K3917" s="18"/>
      <c r="L3917" s="26" t="s">
        <v>77</v>
      </c>
      <c r="M3917" s="6" t="s">
        <v>77</v>
      </c>
      <c r="N3917" s="28" t="s">
        <v>77</v>
      </c>
      <c r="O3917" s="26" t="s">
        <v>77</v>
      </c>
    </row>
    <row r="3918">
      <c r="A3918" s="52" t="s">
        <v>77</v>
      </c>
      <c r="B3918" s="28" t="s">
        <v>77</v>
      </c>
      <c r="C3918" s="28" t="s">
        <v>77</v>
      </c>
      <c r="D3918" s="28" t="s">
        <v>77</v>
      </c>
      <c r="E3918" s="28" t="s">
        <v>77</v>
      </c>
      <c r="F3918" s="28" t="s">
        <v>77</v>
      </c>
      <c r="G3918" s="28" t="s">
        <v>77</v>
      </c>
      <c r="I3918" s="26" t="s">
        <v>77</v>
      </c>
      <c r="J3918" s="26" t="s">
        <v>77</v>
      </c>
      <c r="K3918" s="18"/>
      <c r="L3918" s="26" t="s">
        <v>77</v>
      </c>
      <c r="M3918" s="6" t="s">
        <v>77</v>
      </c>
      <c r="N3918" s="28" t="s">
        <v>77</v>
      </c>
      <c r="O3918" s="26" t="s">
        <v>77</v>
      </c>
    </row>
    <row r="3919">
      <c r="A3919" s="52" t="s">
        <v>77</v>
      </c>
      <c r="B3919" s="28" t="s">
        <v>77</v>
      </c>
      <c r="C3919" s="28" t="s">
        <v>77</v>
      </c>
      <c r="D3919" s="28" t="s">
        <v>77</v>
      </c>
      <c r="E3919" s="28" t="s">
        <v>77</v>
      </c>
      <c r="F3919" s="28" t="s">
        <v>77</v>
      </c>
      <c r="G3919" s="28" t="s">
        <v>77</v>
      </c>
      <c r="I3919" s="26" t="s">
        <v>77</v>
      </c>
      <c r="J3919" s="26" t="s">
        <v>77</v>
      </c>
      <c r="K3919" s="18"/>
      <c r="L3919" s="26" t="s">
        <v>77</v>
      </c>
      <c r="M3919" s="6" t="s">
        <v>77</v>
      </c>
      <c r="N3919" s="28" t="s">
        <v>77</v>
      </c>
      <c r="O3919" s="26" t="s">
        <v>77</v>
      </c>
    </row>
    <row r="3920">
      <c r="A3920" s="52" t="s">
        <v>77</v>
      </c>
      <c r="B3920" s="28" t="s">
        <v>77</v>
      </c>
      <c r="C3920" s="28" t="s">
        <v>77</v>
      </c>
      <c r="D3920" s="28" t="s">
        <v>77</v>
      </c>
      <c r="E3920" s="28" t="s">
        <v>77</v>
      </c>
      <c r="F3920" s="28" t="s">
        <v>77</v>
      </c>
      <c r="G3920" s="28" t="s">
        <v>77</v>
      </c>
      <c r="I3920" s="26" t="s">
        <v>77</v>
      </c>
      <c r="J3920" s="26" t="s">
        <v>77</v>
      </c>
      <c r="K3920" s="18"/>
      <c r="L3920" s="26" t="s">
        <v>77</v>
      </c>
      <c r="M3920" s="6" t="s">
        <v>77</v>
      </c>
      <c r="N3920" s="28" t="s">
        <v>77</v>
      </c>
      <c r="O3920" s="26" t="s">
        <v>77</v>
      </c>
    </row>
    <row r="3921">
      <c r="A3921" s="52" t="s">
        <v>77</v>
      </c>
      <c r="B3921" s="28" t="s">
        <v>77</v>
      </c>
      <c r="C3921" s="28" t="s">
        <v>77</v>
      </c>
      <c r="D3921" s="28" t="s">
        <v>77</v>
      </c>
      <c r="E3921" s="28" t="s">
        <v>77</v>
      </c>
      <c r="F3921" s="28" t="s">
        <v>77</v>
      </c>
      <c r="G3921" s="28" t="s">
        <v>77</v>
      </c>
      <c r="I3921" s="26" t="s">
        <v>77</v>
      </c>
      <c r="J3921" s="26" t="s">
        <v>77</v>
      </c>
      <c r="K3921" s="18"/>
      <c r="L3921" s="26" t="s">
        <v>77</v>
      </c>
      <c r="M3921" s="6" t="s">
        <v>77</v>
      </c>
      <c r="N3921" s="28" t="s">
        <v>77</v>
      </c>
      <c r="O3921" s="26" t="s">
        <v>77</v>
      </c>
    </row>
    <row r="3922">
      <c r="A3922" s="52" t="s">
        <v>77</v>
      </c>
      <c r="B3922" s="28" t="s">
        <v>77</v>
      </c>
      <c r="C3922" s="28" t="s">
        <v>77</v>
      </c>
      <c r="D3922" s="28" t="s">
        <v>77</v>
      </c>
      <c r="E3922" s="28" t="s">
        <v>77</v>
      </c>
      <c r="F3922" s="28" t="s">
        <v>77</v>
      </c>
      <c r="G3922" s="28" t="s">
        <v>77</v>
      </c>
      <c r="I3922" s="26" t="s">
        <v>77</v>
      </c>
      <c r="J3922" s="26" t="s">
        <v>77</v>
      </c>
      <c r="K3922" s="18"/>
      <c r="L3922" s="26" t="s">
        <v>77</v>
      </c>
      <c r="M3922" s="6" t="s">
        <v>77</v>
      </c>
      <c r="N3922" s="28" t="s">
        <v>77</v>
      </c>
      <c r="O3922" s="26" t="s">
        <v>77</v>
      </c>
    </row>
    <row r="3923">
      <c r="A3923" s="52" t="s">
        <v>77</v>
      </c>
      <c r="B3923" s="28" t="s">
        <v>77</v>
      </c>
      <c r="C3923" s="28" t="s">
        <v>77</v>
      </c>
      <c r="D3923" s="28" t="s">
        <v>77</v>
      </c>
      <c r="E3923" s="28" t="s">
        <v>77</v>
      </c>
      <c r="F3923" s="28" t="s">
        <v>77</v>
      </c>
      <c r="G3923" s="28" t="s">
        <v>77</v>
      </c>
      <c r="I3923" s="26" t="s">
        <v>77</v>
      </c>
      <c r="J3923" s="26" t="s">
        <v>77</v>
      </c>
      <c r="K3923" s="18"/>
      <c r="L3923" s="26" t="s">
        <v>77</v>
      </c>
      <c r="M3923" s="6" t="s">
        <v>77</v>
      </c>
      <c r="N3923" s="28" t="s">
        <v>77</v>
      </c>
      <c r="O3923" s="26" t="s">
        <v>77</v>
      </c>
    </row>
    <row r="3924">
      <c r="A3924" s="52" t="s">
        <v>77</v>
      </c>
      <c r="B3924" s="28" t="s">
        <v>77</v>
      </c>
      <c r="C3924" s="28" t="s">
        <v>77</v>
      </c>
      <c r="D3924" s="28" t="s">
        <v>77</v>
      </c>
      <c r="E3924" s="28" t="s">
        <v>77</v>
      </c>
      <c r="F3924" s="28" t="s">
        <v>77</v>
      </c>
      <c r="G3924" s="28" t="s">
        <v>77</v>
      </c>
      <c r="I3924" s="26" t="s">
        <v>77</v>
      </c>
      <c r="J3924" s="26" t="s">
        <v>77</v>
      </c>
      <c r="K3924" s="18"/>
      <c r="L3924" s="26" t="s">
        <v>77</v>
      </c>
      <c r="M3924" s="6" t="s">
        <v>77</v>
      </c>
      <c r="N3924" s="28" t="s">
        <v>77</v>
      </c>
      <c r="O3924" s="26" t="s">
        <v>77</v>
      </c>
    </row>
    <row r="3925">
      <c r="A3925" s="52" t="s">
        <v>77</v>
      </c>
      <c r="B3925" s="28" t="s">
        <v>77</v>
      </c>
      <c r="C3925" s="28" t="s">
        <v>77</v>
      </c>
      <c r="D3925" s="28" t="s">
        <v>77</v>
      </c>
      <c r="E3925" s="28" t="s">
        <v>77</v>
      </c>
      <c r="F3925" s="28" t="s">
        <v>77</v>
      </c>
      <c r="G3925" s="28" t="s">
        <v>77</v>
      </c>
      <c r="I3925" s="26" t="s">
        <v>77</v>
      </c>
      <c r="J3925" s="26" t="s">
        <v>77</v>
      </c>
      <c r="K3925" s="18"/>
      <c r="L3925" s="26" t="s">
        <v>77</v>
      </c>
      <c r="M3925" s="6" t="s">
        <v>77</v>
      </c>
      <c r="N3925" s="28" t="s">
        <v>77</v>
      </c>
      <c r="O3925" s="26" t="s">
        <v>77</v>
      </c>
    </row>
    <row r="3926">
      <c r="A3926" s="52" t="s">
        <v>77</v>
      </c>
      <c r="B3926" s="28" t="s">
        <v>77</v>
      </c>
      <c r="C3926" s="28" t="s">
        <v>77</v>
      </c>
      <c r="D3926" s="28" t="s">
        <v>77</v>
      </c>
      <c r="E3926" s="28" t="s">
        <v>77</v>
      </c>
      <c r="F3926" s="28" t="s">
        <v>77</v>
      </c>
      <c r="G3926" s="28" t="s">
        <v>77</v>
      </c>
      <c r="I3926" s="26" t="s">
        <v>77</v>
      </c>
      <c r="J3926" s="26" t="s">
        <v>77</v>
      </c>
      <c r="K3926" s="18"/>
      <c r="L3926" s="26" t="s">
        <v>77</v>
      </c>
      <c r="M3926" s="6" t="s">
        <v>77</v>
      </c>
      <c r="N3926" s="28" t="s">
        <v>77</v>
      </c>
      <c r="O3926" s="26" t="s">
        <v>77</v>
      </c>
    </row>
    <row r="3927">
      <c r="A3927" s="52" t="s">
        <v>77</v>
      </c>
      <c r="B3927" s="28" t="s">
        <v>77</v>
      </c>
      <c r="C3927" s="28" t="s">
        <v>77</v>
      </c>
      <c r="D3927" s="28" t="s">
        <v>77</v>
      </c>
      <c r="E3927" s="28" t="s">
        <v>77</v>
      </c>
      <c r="F3927" s="28" t="s">
        <v>77</v>
      </c>
      <c r="G3927" s="28" t="s">
        <v>77</v>
      </c>
      <c r="I3927" s="26" t="s">
        <v>77</v>
      </c>
      <c r="J3927" s="26" t="s">
        <v>77</v>
      </c>
      <c r="K3927" s="18"/>
      <c r="L3927" s="26" t="s">
        <v>77</v>
      </c>
      <c r="M3927" s="6" t="s">
        <v>77</v>
      </c>
      <c r="N3927" s="28" t="s">
        <v>77</v>
      </c>
      <c r="O3927" s="26" t="s">
        <v>77</v>
      </c>
    </row>
    <row r="3928">
      <c r="A3928" s="52" t="s">
        <v>77</v>
      </c>
      <c r="B3928" s="28" t="s">
        <v>77</v>
      </c>
      <c r="C3928" s="28" t="s">
        <v>77</v>
      </c>
      <c r="D3928" s="28" t="s">
        <v>77</v>
      </c>
      <c r="E3928" s="28" t="s">
        <v>77</v>
      </c>
      <c r="F3928" s="28" t="s">
        <v>77</v>
      </c>
      <c r="G3928" s="28" t="s">
        <v>77</v>
      </c>
      <c r="I3928" s="26" t="s">
        <v>77</v>
      </c>
      <c r="J3928" s="26" t="s">
        <v>77</v>
      </c>
      <c r="K3928" s="18"/>
      <c r="L3928" s="26" t="s">
        <v>77</v>
      </c>
      <c r="M3928" s="6" t="s">
        <v>77</v>
      </c>
      <c r="N3928" s="28" t="s">
        <v>77</v>
      </c>
      <c r="O3928" s="26" t="s">
        <v>77</v>
      </c>
    </row>
    <row r="3929">
      <c r="A3929" s="52" t="s">
        <v>77</v>
      </c>
      <c r="B3929" s="28" t="s">
        <v>77</v>
      </c>
      <c r="C3929" s="28" t="s">
        <v>77</v>
      </c>
      <c r="D3929" s="28" t="s">
        <v>77</v>
      </c>
      <c r="E3929" s="28" t="s">
        <v>77</v>
      </c>
      <c r="F3929" s="28" t="s">
        <v>77</v>
      </c>
      <c r="G3929" s="28" t="s">
        <v>77</v>
      </c>
      <c r="I3929" s="26" t="s">
        <v>77</v>
      </c>
      <c r="J3929" s="26" t="s">
        <v>77</v>
      </c>
      <c r="K3929" s="18"/>
      <c r="L3929" s="26" t="s">
        <v>77</v>
      </c>
      <c r="M3929" s="6" t="s">
        <v>77</v>
      </c>
      <c r="N3929" s="28" t="s">
        <v>77</v>
      </c>
      <c r="O3929" s="26" t="s">
        <v>77</v>
      </c>
    </row>
    <row r="3930">
      <c r="A3930" s="52" t="s">
        <v>77</v>
      </c>
      <c r="B3930" s="28" t="s">
        <v>77</v>
      </c>
      <c r="C3930" s="28" t="s">
        <v>77</v>
      </c>
      <c r="D3930" s="28" t="s">
        <v>77</v>
      </c>
      <c r="E3930" s="28" t="s">
        <v>77</v>
      </c>
      <c r="F3930" s="28" t="s">
        <v>77</v>
      </c>
      <c r="G3930" s="28" t="s">
        <v>77</v>
      </c>
      <c r="I3930" s="26" t="s">
        <v>77</v>
      </c>
      <c r="J3930" s="26" t="s">
        <v>77</v>
      </c>
      <c r="K3930" s="18"/>
      <c r="L3930" s="26" t="s">
        <v>77</v>
      </c>
      <c r="M3930" s="6" t="s">
        <v>77</v>
      </c>
      <c r="N3930" s="28" t="s">
        <v>77</v>
      </c>
      <c r="O3930" s="26" t="s">
        <v>77</v>
      </c>
    </row>
    <row r="3931">
      <c r="A3931" s="52" t="s">
        <v>77</v>
      </c>
      <c r="B3931" s="28" t="s">
        <v>77</v>
      </c>
      <c r="C3931" s="28" t="s">
        <v>77</v>
      </c>
      <c r="D3931" s="28" t="s">
        <v>77</v>
      </c>
      <c r="E3931" s="28" t="s">
        <v>77</v>
      </c>
      <c r="F3931" s="28" t="s">
        <v>77</v>
      </c>
      <c r="G3931" s="28" t="s">
        <v>77</v>
      </c>
      <c r="I3931" s="26" t="s">
        <v>77</v>
      </c>
      <c r="J3931" s="26" t="s">
        <v>77</v>
      </c>
      <c r="K3931" s="18"/>
      <c r="L3931" s="26" t="s">
        <v>77</v>
      </c>
      <c r="M3931" s="6" t="s">
        <v>77</v>
      </c>
      <c r="N3931" s="28" t="s">
        <v>77</v>
      </c>
      <c r="O3931" s="26" t="s">
        <v>77</v>
      </c>
    </row>
    <row r="3932">
      <c r="A3932" s="52" t="s">
        <v>77</v>
      </c>
      <c r="B3932" s="28" t="s">
        <v>77</v>
      </c>
      <c r="C3932" s="28" t="s">
        <v>77</v>
      </c>
      <c r="D3932" s="28" t="s">
        <v>77</v>
      </c>
      <c r="E3932" s="28" t="s">
        <v>77</v>
      </c>
      <c r="F3932" s="28" t="s">
        <v>77</v>
      </c>
      <c r="G3932" s="28" t="s">
        <v>77</v>
      </c>
      <c r="I3932" s="26" t="s">
        <v>77</v>
      </c>
      <c r="J3932" s="26" t="s">
        <v>77</v>
      </c>
      <c r="K3932" s="18"/>
      <c r="L3932" s="26" t="s">
        <v>77</v>
      </c>
      <c r="M3932" s="6" t="s">
        <v>77</v>
      </c>
      <c r="N3932" s="28" t="s">
        <v>77</v>
      </c>
      <c r="O3932" s="26" t="s">
        <v>77</v>
      </c>
    </row>
    <row r="3933">
      <c r="A3933" s="52" t="s">
        <v>77</v>
      </c>
      <c r="B3933" s="28" t="s">
        <v>77</v>
      </c>
      <c r="C3933" s="28" t="s">
        <v>77</v>
      </c>
      <c r="D3933" s="28" t="s">
        <v>77</v>
      </c>
      <c r="E3933" s="28" t="s">
        <v>77</v>
      </c>
      <c r="F3933" s="28" t="s">
        <v>77</v>
      </c>
      <c r="G3933" s="28" t="s">
        <v>77</v>
      </c>
      <c r="I3933" s="26" t="s">
        <v>77</v>
      </c>
      <c r="J3933" s="26" t="s">
        <v>77</v>
      </c>
      <c r="K3933" s="18"/>
      <c r="L3933" s="26" t="s">
        <v>77</v>
      </c>
      <c r="M3933" s="6" t="s">
        <v>77</v>
      </c>
      <c r="N3933" s="28" t="s">
        <v>77</v>
      </c>
      <c r="O3933" s="26" t="s">
        <v>77</v>
      </c>
    </row>
    <row r="3934">
      <c r="A3934" s="52" t="s">
        <v>77</v>
      </c>
      <c r="B3934" s="28" t="s">
        <v>77</v>
      </c>
      <c r="C3934" s="28" t="s">
        <v>77</v>
      </c>
      <c r="D3934" s="28" t="s">
        <v>77</v>
      </c>
      <c r="E3934" s="28" t="s">
        <v>77</v>
      </c>
      <c r="F3934" s="28" t="s">
        <v>77</v>
      </c>
      <c r="G3934" s="28" t="s">
        <v>77</v>
      </c>
      <c r="I3934" s="26" t="s">
        <v>77</v>
      </c>
      <c r="J3934" s="26" t="s">
        <v>77</v>
      </c>
      <c r="K3934" s="18"/>
      <c r="L3934" s="26" t="s">
        <v>77</v>
      </c>
      <c r="M3934" s="6" t="s">
        <v>77</v>
      </c>
      <c r="N3934" s="28" t="s">
        <v>77</v>
      </c>
      <c r="O3934" s="26" t="s">
        <v>77</v>
      </c>
    </row>
    <row r="3935">
      <c r="A3935" s="52" t="s">
        <v>77</v>
      </c>
      <c r="B3935" s="28" t="s">
        <v>77</v>
      </c>
      <c r="C3935" s="28" t="s">
        <v>77</v>
      </c>
      <c r="D3935" s="28" t="s">
        <v>77</v>
      </c>
      <c r="E3935" s="28" t="s">
        <v>77</v>
      </c>
      <c r="F3935" s="28" t="s">
        <v>77</v>
      </c>
      <c r="G3935" s="28" t="s">
        <v>77</v>
      </c>
      <c r="I3935" s="26" t="s">
        <v>77</v>
      </c>
      <c r="J3935" s="26" t="s">
        <v>77</v>
      </c>
      <c r="K3935" s="18"/>
      <c r="L3935" s="26" t="s">
        <v>77</v>
      </c>
      <c r="M3935" s="6" t="s">
        <v>77</v>
      </c>
      <c r="N3935" s="28" t="s">
        <v>77</v>
      </c>
      <c r="O3935" s="26" t="s">
        <v>77</v>
      </c>
    </row>
    <row r="3936">
      <c r="A3936" s="52" t="s">
        <v>77</v>
      </c>
      <c r="B3936" s="28" t="s">
        <v>77</v>
      </c>
      <c r="C3936" s="28" t="s">
        <v>77</v>
      </c>
      <c r="D3936" s="28" t="s">
        <v>77</v>
      </c>
      <c r="E3936" s="28" t="s">
        <v>77</v>
      </c>
      <c r="F3936" s="28" t="s">
        <v>77</v>
      </c>
      <c r="G3936" s="28" t="s">
        <v>77</v>
      </c>
      <c r="I3936" s="26" t="s">
        <v>77</v>
      </c>
      <c r="J3936" s="26" t="s">
        <v>77</v>
      </c>
      <c r="K3936" s="18"/>
      <c r="L3936" s="26" t="s">
        <v>77</v>
      </c>
      <c r="M3936" s="6" t="s">
        <v>77</v>
      </c>
      <c r="N3936" s="28" t="s">
        <v>77</v>
      </c>
      <c r="O3936" s="26" t="s">
        <v>77</v>
      </c>
    </row>
    <row r="3937">
      <c r="A3937" s="52" t="s">
        <v>77</v>
      </c>
      <c r="B3937" s="28" t="s">
        <v>77</v>
      </c>
      <c r="C3937" s="28" t="s">
        <v>77</v>
      </c>
      <c r="D3937" s="28" t="s">
        <v>77</v>
      </c>
      <c r="E3937" s="28" t="s">
        <v>77</v>
      </c>
      <c r="F3937" s="28" t="s">
        <v>77</v>
      </c>
      <c r="G3937" s="28" t="s">
        <v>77</v>
      </c>
      <c r="I3937" s="26" t="s">
        <v>77</v>
      </c>
      <c r="J3937" s="26" t="s">
        <v>77</v>
      </c>
      <c r="K3937" s="18"/>
      <c r="L3937" s="26" t="s">
        <v>77</v>
      </c>
      <c r="M3937" s="6" t="s">
        <v>77</v>
      </c>
      <c r="N3937" s="28" t="s">
        <v>77</v>
      </c>
      <c r="O3937" s="26" t="s">
        <v>77</v>
      </c>
    </row>
    <row r="3938">
      <c r="A3938" s="52" t="s">
        <v>77</v>
      </c>
      <c r="B3938" s="28" t="s">
        <v>77</v>
      </c>
      <c r="C3938" s="28" t="s">
        <v>77</v>
      </c>
      <c r="D3938" s="28" t="s">
        <v>77</v>
      </c>
      <c r="E3938" s="28" t="s">
        <v>77</v>
      </c>
      <c r="F3938" s="28" t="s">
        <v>77</v>
      </c>
      <c r="G3938" s="28" t="s">
        <v>77</v>
      </c>
      <c r="I3938" s="26" t="s">
        <v>77</v>
      </c>
      <c r="J3938" s="26" t="s">
        <v>77</v>
      </c>
      <c r="K3938" s="18"/>
      <c r="L3938" s="26" t="s">
        <v>77</v>
      </c>
      <c r="M3938" s="6" t="s">
        <v>77</v>
      </c>
      <c r="N3938" s="28" t="s">
        <v>77</v>
      </c>
      <c r="O3938" s="26" t="s">
        <v>77</v>
      </c>
    </row>
    <row r="3939">
      <c r="A3939" s="52" t="s">
        <v>77</v>
      </c>
      <c r="B3939" s="28" t="s">
        <v>77</v>
      </c>
      <c r="C3939" s="28" t="s">
        <v>77</v>
      </c>
      <c r="D3939" s="28" t="s">
        <v>77</v>
      </c>
      <c r="E3939" s="28" t="s">
        <v>77</v>
      </c>
      <c r="F3939" s="28" t="s">
        <v>77</v>
      </c>
      <c r="G3939" s="28" t="s">
        <v>77</v>
      </c>
      <c r="I3939" s="26" t="s">
        <v>77</v>
      </c>
      <c r="J3939" s="26" t="s">
        <v>77</v>
      </c>
      <c r="K3939" s="18"/>
      <c r="L3939" s="26" t="s">
        <v>77</v>
      </c>
      <c r="M3939" s="6" t="s">
        <v>77</v>
      </c>
      <c r="N3939" s="28" t="s">
        <v>77</v>
      </c>
      <c r="O3939" s="26" t="s">
        <v>77</v>
      </c>
    </row>
    <row r="3940">
      <c r="A3940" s="52" t="s">
        <v>77</v>
      </c>
      <c r="B3940" s="28" t="s">
        <v>77</v>
      </c>
      <c r="C3940" s="28" t="s">
        <v>77</v>
      </c>
      <c r="D3940" s="28" t="s">
        <v>77</v>
      </c>
      <c r="E3940" s="28" t="s">
        <v>77</v>
      </c>
      <c r="F3940" s="28" t="s">
        <v>77</v>
      </c>
      <c r="G3940" s="28" t="s">
        <v>77</v>
      </c>
      <c r="I3940" s="26" t="s">
        <v>77</v>
      </c>
      <c r="J3940" s="26" t="s">
        <v>77</v>
      </c>
      <c r="K3940" s="18"/>
      <c r="L3940" s="26" t="s">
        <v>77</v>
      </c>
      <c r="M3940" s="6" t="s">
        <v>77</v>
      </c>
      <c r="N3940" s="28" t="s">
        <v>77</v>
      </c>
      <c r="O3940" s="26" t="s">
        <v>77</v>
      </c>
    </row>
    <row r="3941">
      <c r="A3941" s="52" t="s">
        <v>77</v>
      </c>
      <c r="B3941" s="28" t="s">
        <v>77</v>
      </c>
      <c r="C3941" s="28" t="s">
        <v>77</v>
      </c>
      <c r="D3941" s="28" t="s">
        <v>77</v>
      </c>
      <c r="E3941" s="28" t="s">
        <v>77</v>
      </c>
      <c r="F3941" s="28" t="s">
        <v>77</v>
      </c>
      <c r="G3941" s="28" t="s">
        <v>77</v>
      </c>
      <c r="I3941" s="26" t="s">
        <v>77</v>
      </c>
      <c r="J3941" s="26" t="s">
        <v>77</v>
      </c>
      <c r="K3941" s="18"/>
      <c r="L3941" s="26" t="s">
        <v>77</v>
      </c>
      <c r="M3941" s="6" t="s">
        <v>77</v>
      </c>
      <c r="N3941" s="28" t="s">
        <v>77</v>
      </c>
      <c r="O3941" s="26" t="s">
        <v>77</v>
      </c>
    </row>
    <row r="3942">
      <c r="A3942" s="52" t="s">
        <v>77</v>
      </c>
      <c r="B3942" s="28" t="s">
        <v>77</v>
      </c>
      <c r="C3942" s="28" t="s">
        <v>77</v>
      </c>
      <c r="D3942" s="28" t="s">
        <v>77</v>
      </c>
      <c r="E3942" s="28" t="s">
        <v>77</v>
      </c>
      <c r="F3942" s="28" t="s">
        <v>77</v>
      </c>
      <c r="G3942" s="28" t="s">
        <v>77</v>
      </c>
      <c r="I3942" s="26" t="s">
        <v>77</v>
      </c>
      <c r="J3942" s="26" t="s">
        <v>77</v>
      </c>
      <c r="K3942" s="18"/>
      <c r="L3942" s="26" t="s">
        <v>77</v>
      </c>
      <c r="M3942" s="6" t="s">
        <v>77</v>
      </c>
      <c r="N3942" s="28" t="s">
        <v>77</v>
      </c>
      <c r="O3942" s="26" t="s">
        <v>77</v>
      </c>
    </row>
    <row r="3943">
      <c r="A3943" s="52" t="s">
        <v>77</v>
      </c>
      <c r="B3943" s="28" t="s">
        <v>77</v>
      </c>
      <c r="C3943" s="28" t="s">
        <v>77</v>
      </c>
      <c r="D3943" s="28" t="s">
        <v>77</v>
      </c>
      <c r="E3943" s="28" t="s">
        <v>77</v>
      </c>
      <c r="F3943" s="28" t="s">
        <v>77</v>
      </c>
      <c r="G3943" s="28" t="s">
        <v>77</v>
      </c>
      <c r="I3943" s="26" t="s">
        <v>77</v>
      </c>
      <c r="J3943" s="26" t="s">
        <v>77</v>
      </c>
      <c r="K3943" s="18"/>
      <c r="L3943" s="26" t="s">
        <v>77</v>
      </c>
      <c r="M3943" s="6" t="s">
        <v>77</v>
      </c>
      <c r="N3943" s="28" t="s">
        <v>77</v>
      </c>
      <c r="O3943" s="26" t="s">
        <v>77</v>
      </c>
    </row>
    <row r="3944">
      <c r="A3944" s="52" t="s">
        <v>77</v>
      </c>
      <c r="B3944" s="28" t="s">
        <v>77</v>
      </c>
      <c r="C3944" s="28" t="s">
        <v>77</v>
      </c>
      <c r="D3944" s="28" t="s">
        <v>77</v>
      </c>
      <c r="E3944" s="28" t="s">
        <v>77</v>
      </c>
      <c r="F3944" s="28" t="s">
        <v>77</v>
      </c>
      <c r="G3944" s="28" t="s">
        <v>77</v>
      </c>
      <c r="I3944" s="26" t="s">
        <v>77</v>
      </c>
      <c r="J3944" s="26" t="s">
        <v>77</v>
      </c>
      <c r="K3944" s="18"/>
      <c r="L3944" s="26" t="s">
        <v>77</v>
      </c>
      <c r="M3944" s="6" t="s">
        <v>77</v>
      </c>
      <c r="N3944" s="28" t="s">
        <v>77</v>
      </c>
      <c r="O3944" s="26" t="s">
        <v>77</v>
      </c>
    </row>
    <row r="3945">
      <c r="A3945" s="52" t="s">
        <v>77</v>
      </c>
      <c r="B3945" s="28" t="s">
        <v>77</v>
      </c>
      <c r="C3945" s="28" t="s">
        <v>77</v>
      </c>
      <c r="D3945" s="28" t="s">
        <v>77</v>
      </c>
      <c r="E3945" s="28" t="s">
        <v>77</v>
      </c>
      <c r="F3945" s="28" t="s">
        <v>77</v>
      </c>
      <c r="G3945" s="28" t="s">
        <v>77</v>
      </c>
      <c r="I3945" s="26" t="s">
        <v>77</v>
      </c>
      <c r="J3945" s="26" t="s">
        <v>77</v>
      </c>
      <c r="K3945" s="18"/>
      <c r="L3945" s="26" t="s">
        <v>77</v>
      </c>
      <c r="M3945" s="6" t="s">
        <v>77</v>
      </c>
      <c r="N3945" s="28" t="s">
        <v>77</v>
      </c>
      <c r="O3945" s="26" t="s">
        <v>77</v>
      </c>
    </row>
    <row r="3946">
      <c r="A3946" s="52" t="s">
        <v>77</v>
      </c>
      <c r="B3946" s="28" t="s">
        <v>77</v>
      </c>
      <c r="C3946" s="28" t="s">
        <v>77</v>
      </c>
      <c r="D3946" s="28" t="s">
        <v>77</v>
      </c>
      <c r="E3946" s="28" t="s">
        <v>77</v>
      </c>
      <c r="F3946" s="28" t="s">
        <v>77</v>
      </c>
      <c r="G3946" s="28" t="s">
        <v>77</v>
      </c>
      <c r="I3946" s="26" t="s">
        <v>77</v>
      </c>
      <c r="J3946" s="26" t="s">
        <v>77</v>
      </c>
      <c r="K3946" s="18"/>
      <c r="L3946" s="26" t="s">
        <v>77</v>
      </c>
      <c r="M3946" s="6" t="s">
        <v>77</v>
      </c>
      <c r="N3946" s="28" t="s">
        <v>77</v>
      </c>
      <c r="O3946" s="26" t="s">
        <v>77</v>
      </c>
    </row>
    <row r="3947">
      <c r="A3947" s="52" t="s">
        <v>77</v>
      </c>
      <c r="B3947" s="28" t="s">
        <v>77</v>
      </c>
      <c r="C3947" s="28" t="s">
        <v>77</v>
      </c>
      <c r="D3947" s="28" t="s">
        <v>77</v>
      </c>
      <c r="E3947" s="28" t="s">
        <v>77</v>
      </c>
      <c r="F3947" s="28" t="s">
        <v>77</v>
      </c>
      <c r="G3947" s="28" t="s">
        <v>77</v>
      </c>
      <c r="I3947" s="26" t="s">
        <v>77</v>
      </c>
      <c r="J3947" s="26" t="s">
        <v>77</v>
      </c>
      <c r="K3947" s="18"/>
      <c r="L3947" s="26" t="s">
        <v>77</v>
      </c>
      <c r="M3947" s="6" t="s">
        <v>77</v>
      </c>
      <c r="N3947" s="28" t="s">
        <v>77</v>
      </c>
      <c r="O3947" s="26" t="s">
        <v>77</v>
      </c>
    </row>
    <row r="3948">
      <c r="A3948" s="52" t="s">
        <v>77</v>
      </c>
      <c r="B3948" s="28" t="s">
        <v>77</v>
      </c>
      <c r="C3948" s="28" t="s">
        <v>77</v>
      </c>
      <c r="D3948" s="28" t="s">
        <v>77</v>
      </c>
      <c r="E3948" s="28" t="s">
        <v>77</v>
      </c>
      <c r="F3948" s="28" t="s">
        <v>77</v>
      </c>
      <c r="G3948" s="28" t="s">
        <v>77</v>
      </c>
      <c r="I3948" s="26" t="s">
        <v>77</v>
      </c>
      <c r="J3948" s="26" t="s">
        <v>77</v>
      </c>
      <c r="K3948" s="18"/>
      <c r="L3948" s="26" t="s">
        <v>77</v>
      </c>
      <c r="M3948" s="6" t="s">
        <v>77</v>
      </c>
      <c r="N3948" s="28" t="s">
        <v>77</v>
      </c>
      <c r="O3948" s="26" t="s">
        <v>77</v>
      </c>
    </row>
    <row r="3949">
      <c r="A3949" s="52" t="s">
        <v>77</v>
      </c>
      <c r="B3949" s="28" t="s">
        <v>77</v>
      </c>
      <c r="C3949" s="28" t="s">
        <v>77</v>
      </c>
      <c r="D3949" s="28" t="s">
        <v>77</v>
      </c>
      <c r="E3949" s="28" t="s">
        <v>77</v>
      </c>
      <c r="F3949" s="28" t="s">
        <v>77</v>
      </c>
      <c r="G3949" s="28" t="s">
        <v>77</v>
      </c>
      <c r="I3949" s="26" t="s">
        <v>77</v>
      </c>
      <c r="J3949" s="26" t="s">
        <v>77</v>
      </c>
      <c r="K3949" s="18"/>
      <c r="L3949" s="26" t="s">
        <v>77</v>
      </c>
      <c r="M3949" s="6" t="s">
        <v>77</v>
      </c>
      <c r="N3949" s="28" t="s">
        <v>77</v>
      </c>
      <c r="O3949" s="26" t="s">
        <v>77</v>
      </c>
    </row>
    <row r="3950">
      <c r="A3950" s="52" t="s">
        <v>77</v>
      </c>
      <c r="B3950" s="28" t="s">
        <v>77</v>
      </c>
      <c r="C3950" s="28" t="s">
        <v>77</v>
      </c>
      <c r="D3950" s="28" t="s">
        <v>77</v>
      </c>
      <c r="E3950" s="28" t="s">
        <v>77</v>
      </c>
      <c r="F3950" s="28" t="s">
        <v>77</v>
      </c>
      <c r="G3950" s="28" t="s">
        <v>77</v>
      </c>
      <c r="I3950" s="26" t="s">
        <v>77</v>
      </c>
      <c r="J3950" s="26" t="s">
        <v>77</v>
      </c>
      <c r="K3950" s="18"/>
      <c r="L3950" s="26" t="s">
        <v>77</v>
      </c>
      <c r="M3950" s="6" t="s">
        <v>77</v>
      </c>
      <c r="N3950" s="28" t="s">
        <v>77</v>
      </c>
      <c r="O3950" s="26" t="s">
        <v>77</v>
      </c>
    </row>
    <row r="3951">
      <c r="A3951" s="52" t="s">
        <v>77</v>
      </c>
      <c r="B3951" s="28" t="s">
        <v>77</v>
      </c>
      <c r="C3951" s="28" t="s">
        <v>77</v>
      </c>
      <c r="D3951" s="28" t="s">
        <v>77</v>
      </c>
      <c r="E3951" s="28" t="s">
        <v>77</v>
      </c>
      <c r="F3951" s="28" t="s">
        <v>77</v>
      </c>
      <c r="G3951" s="28" t="s">
        <v>77</v>
      </c>
      <c r="I3951" s="26" t="s">
        <v>77</v>
      </c>
      <c r="J3951" s="26" t="s">
        <v>77</v>
      </c>
      <c r="K3951" s="18"/>
      <c r="L3951" s="26" t="s">
        <v>77</v>
      </c>
      <c r="M3951" s="6" t="s">
        <v>77</v>
      </c>
      <c r="N3951" s="28" t="s">
        <v>77</v>
      </c>
      <c r="O3951" s="26" t="s">
        <v>77</v>
      </c>
    </row>
    <row r="3952">
      <c r="A3952" s="52" t="s">
        <v>77</v>
      </c>
      <c r="B3952" s="28" t="s">
        <v>77</v>
      </c>
      <c r="C3952" s="28" t="s">
        <v>77</v>
      </c>
      <c r="D3952" s="28" t="s">
        <v>77</v>
      </c>
      <c r="E3952" s="28" t="s">
        <v>77</v>
      </c>
      <c r="F3952" s="28" t="s">
        <v>77</v>
      </c>
      <c r="G3952" s="28" t="s">
        <v>77</v>
      </c>
      <c r="I3952" s="26" t="s">
        <v>77</v>
      </c>
      <c r="J3952" s="26" t="s">
        <v>77</v>
      </c>
      <c r="K3952" s="18"/>
      <c r="L3952" s="26" t="s">
        <v>77</v>
      </c>
      <c r="M3952" s="6" t="s">
        <v>77</v>
      </c>
      <c r="N3952" s="28" t="s">
        <v>77</v>
      </c>
      <c r="O3952" s="26" t="s">
        <v>77</v>
      </c>
    </row>
    <row r="3953">
      <c r="A3953" s="52" t="s">
        <v>77</v>
      </c>
      <c r="B3953" s="28" t="s">
        <v>77</v>
      </c>
      <c r="C3953" s="28" t="s">
        <v>77</v>
      </c>
      <c r="D3953" s="28" t="s">
        <v>77</v>
      </c>
      <c r="E3953" s="28" t="s">
        <v>77</v>
      </c>
      <c r="F3953" s="28" t="s">
        <v>77</v>
      </c>
      <c r="G3953" s="28" t="s">
        <v>77</v>
      </c>
      <c r="I3953" s="26" t="s">
        <v>77</v>
      </c>
      <c r="J3953" s="26" t="s">
        <v>77</v>
      </c>
      <c r="K3953" s="18"/>
      <c r="L3953" s="26" t="s">
        <v>77</v>
      </c>
      <c r="M3953" s="6" t="s">
        <v>77</v>
      </c>
      <c r="N3953" s="28" t="s">
        <v>77</v>
      </c>
      <c r="O3953" s="26" t="s">
        <v>77</v>
      </c>
    </row>
    <row r="3954">
      <c r="A3954" s="52" t="s">
        <v>77</v>
      </c>
      <c r="B3954" s="28" t="s">
        <v>77</v>
      </c>
      <c r="C3954" s="28" t="s">
        <v>77</v>
      </c>
      <c r="D3954" s="28" t="s">
        <v>77</v>
      </c>
      <c r="E3954" s="28" t="s">
        <v>77</v>
      </c>
      <c r="F3954" s="28" t="s">
        <v>77</v>
      </c>
      <c r="G3954" s="28" t="s">
        <v>77</v>
      </c>
      <c r="I3954" s="26" t="s">
        <v>77</v>
      </c>
      <c r="J3954" s="26" t="s">
        <v>77</v>
      </c>
      <c r="K3954" s="18"/>
      <c r="L3954" s="26" t="s">
        <v>77</v>
      </c>
      <c r="M3954" s="6" t="s">
        <v>77</v>
      </c>
      <c r="N3954" s="28" t="s">
        <v>77</v>
      </c>
      <c r="O3954" s="26" t="s">
        <v>77</v>
      </c>
    </row>
    <row r="3955">
      <c r="A3955" s="52" t="s">
        <v>77</v>
      </c>
      <c r="B3955" s="28" t="s">
        <v>77</v>
      </c>
      <c r="C3955" s="28" t="s">
        <v>77</v>
      </c>
      <c r="D3955" s="28" t="s">
        <v>77</v>
      </c>
      <c r="E3955" s="28" t="s">
        <v>77</v>
      </c>
      <c r="F3955" s="28" t="s">
        <v>77</v>
      </c>
      <c r="G3955" s="28" t="s">
        <v>77</v>
      </c>
      <c r="I3955" s="26" t="s">
        <v>77</v>
      </c>
      <c r="J3955" s="26" t="s">
        <v>77</v>
      </c>
      <c r="K3955" s="18"/>
      <c r="L3955" s="26" t="s">
        <v>77</v>
      </c>
      <c r="M3955" s="6" t="s">
        <v>77</v>
      </c>
      <c r="N3955" s="28" t="s">
        <v>77</v>
      </c>
      <c r="O3955" s="26" t="s">
        <v>77</v>
      </c>
    </row>
    <row r="3956">
      <c r="A3956" s="52" t="s">
        <v>77</v>
      </c>
      <c r="B3956" s="28" t="s">
        <v>77</v>
      </c>
      <c r="C3956" s="28" t="s">
        <v>77</v>
      </c>
      <c r="D3956" s="28" t="s">
        <v>77</v>
      </c>
      <c r="E3956" s="28" t="s">
        <v>77</v>
      </c>
      <c r="F3956" s="28" t="s">
        <v>77</v>
      </c>
      <c r="G3956" s="28" t="s">
        <v>77</v>
      </c>
      <c r="I3956" s="26" t="s">
        <v>77</v>
      </c>
      <c r="J3956" s="26" t="s">
        <v>77</v>
      </c>
      <c r="K3956" s="18"/>
      <c r="L3956" s="26" t="s">
        <v>77</v>
      </c>
      <c r="M3956" s="6" t="s">
        <v>77</v>
      </c>
      <c r="N3956" s="28" t="s">
        <v>77</v>
      </c>
      <c r="O3956" s="26" t="s">
        <v>77</v>
      </c>
    </row>
    <row r="3957">
      <c r="A3957" s="52" t="s">
        <v>77</v>
      </c>
      <c r="B3957" s="28" t="s">
        <v>77</v>
      </c>
      <c r="C3957" s="28" t="s">
        <v>77</v>
      </c>
      <c r="D3957" s="28" t="s">
        <v>77</v>
      </c>
      <c r="E3957" s="28" t="s">
        <v>77</v>
      </c>
      <c r="F3957" s="28" t="s">
        <v>77</v>
      </c>
      <c r="G3957" s="28" t="s">
        <v>77</v>
      </c>
      <c r="I3957" s="26" t="s">
        <v>77</v>
      </c>
      <c r="J3957" s="26" t="s">
        <v>77</v>
      </c>
      <c r="K3957" s="18"/>
      <c r="L3957" s="26" t="s">
        <v>77</v>
      </c>
      <c r="M3957" s="6" t="s">
        <v>77</v>
      </c>
      <c r="N3957" s="28" t="s">
        <v>77</v>
      </c>
      <c r="O3957" s="26" t="s">
        <v>77</v>
      </c>
    </row>
    <row r="3958">
      <c r="A3958" s="52" t="s">
        <v>77</v>
      </c>
      <c r="B3958" s="28" t="s">
        <v>77</v>
      </c>
      <c r="C3958" s="28" t="s">
        <v>77</v>
      </c>
      <c r="D3958" s="28" t="s">
        <v>77</v>
      </c>
      <c r="E3958" s="28" t="s">
        <v>77</v>
      </c>
      <c r="F3958" s="28" t="s">
        <v>77</v>
      </c>
      <c r="G3958" s="28" t="s">
        <v>77</v>
      </c>
      <c r="I3958" s="26" t="s">
        <v>77</v>
      </c>
      <c r="J3958" s="26" t="s">
        <v>77</v>
      </c>
      <c r="K3958" s="18"/>
      <c r="L3958" s="26" t="s">
        <v>77</v>
      </c>
      <c r="M3958" s="6" t="s">
        <v>77</v>
      </c>
      <c r="N3958" s="28" t="s">
        <v>77</v>
      </c>
      <c r="O3958" s="26" t="s">
        <v>77</v>
      </c>
    </row>
    <row r="3959">
      <c r="A3959" s="52" t="s">
        <v>77</v>
      </c>
      <c r="B3959" s="28" t="s">
        <v>77</v>
      </c>
      <c r="C3959" s="28" t="s">
        <v>77</v>
      </c>
      <c r="D3959" s="28" t="s">
        <v>77</v>
      </c>
      <c r="E3959" s="28" t="s">
        <v>77</v>
      </c>
      <c r="F3959" s="28" t="s">
        <v>77</v>
      </c>
      <c r="G3959" s="28" t="s">
        <v>77</v>
      </c>
      <c r="I3959" s="26" t="s">
        <v>77</v>
      </c>
      <c r="J3959" s="26" t="s">
        <v>77</v>
      </c>
      <c r="K3959" s="18"/>
      <c r="L3959" s="26" t="s">
        <v>77</v>
      </c>
      <c r="M3959" s="6" t="s">
        <v>77</v>
      </c>
      <c r="N3959" s="28" t="s">
        <v>77</v>
      </c>
      <c r="O3959" s="26" t="s">
        <v>77</v>
      </c>
    </row>
    <row r="3960">
      <c r="A3960" s="52" t="s">
        <v>77</v>
      </c>
      <c r="B3960" s="28" t="s">
        <v>77</v>
      </c>
      <c r="C3960" s="28" t="s">
        <v>77</v>
      </c>
      <c r="D3960" s="28" t="s">
        <v>77</v>
      </c>
      <c r="E3960" s="28" t="s">
        <v>77</v>
      </c>
      <c r="F3960" s="28" t="s">
        <v>77</v>
      </c>
      <c r="G3960" s="28" t="s">
        <v>77</v>
      </c>
      <c r="I3960" s="26" t="s">
        <v>77</v>
      </c>
      <c r="J3960" s="26" t="s">
        <v>77</v>
      </c>
      <c r="K3960" s="18"/>
      <c r="L3960" s="26" t="s">
        <v>77</v>
      </c>
      <c r="M3960" s="6" t="s">
        <v>77</v>
      </c>
      <c r="N3960" s="28" t="s">
        <v>77</v>
      </c>
      <c r="O3960" s="26" t="s">
        <v>77</v>
      </c>
    </row>
    <row r="3961">
      <c r="A3961" s="52" t="s">
        <v>77</v>
      </c>
      <c r="B3961" s="28" t="s">
        <v>77</v>
      </c>
      <c r="C3961" s="28" t="s">
        <v>77</v>
      </c>
      <c r="D3961" s="28" t="s">
        <v>77</v>
      </c>
      <c r="E3961" s="28" t="s">
        <v>77</v>
      </c>
      <c r="F3961" s="28" t="s">
        <v>77</v>
      </c>
      <c r="G3961" s="28" t="s">
        <v>77</v>
      </c>
      <c r="I3961" s="26" t="s">
        <v>77</v>
      </c>
      <c r="J3961" s="26" t="s">
        <v>77</v>
      </c>
      <c r="K3961" s="18"/>
      <c r="L3961" s="26" t="s">
        <v>77</v>
      </c>
      <c r="M3961" s="6" t="s">
        <v>77</v>
      </c>
      <c r="N3961" s="28" t="s">
        <v>77</v>
      </c>
      <c r="O3961" s="26" t="s">
        <v>77</v>
      </c>
    </row>
    <row r="3962">
      <c r="A3962" s="52" t="s">
        <v>77</v>
      </c>
      <c r="B3962" s="28" t="s">
        <v>77</v>
      </c>
      <c r="C3962" s="28" t="s">
        <v>77</v>
      </c>
      <c r="D3962" s="28" t="s">
        <v>77</v>
      </c>
      <c r="E3962" s="28" t="s">
        <v>77</v>
      </c>
      <c r="F3962" s="28" t="s">
        <v>77</v>
      </c>
      <c r="G3962" s="28" t="s">
        <v>77</v>
      </c>
      <c r="I3962" s="26" t="s">
        <v>77</v>
      </c>
      <c r="J3962" s="26" t="s">
        <v>77</v>
      </c>
      <c r="K3962" s="18"/>
      <c r="L3962" s="26" t="s">
        <v>77</v>
      </c>
      <c r="M3962" s="6" t="s">
        <v>77</v>
      </c>
      <c r="N3962" s="28" t="s">
        <v>77</v>
      </c>
      <c r="O3962" s="26" t="s">
        <v>77</v>
      </c>
    </row>
    <row r="3963">
      <c r="A3963" s="52" t="s">
        <v>77</v>
      </c>
      <c r="B3963" s="28" t="s">
        <v>77</v>
      </c>
      <c r="C3963" s="28" t="s">
        <v>77</v>
      </c>
      <c r="D3963" s="28" t="s">
        <v>77</v>
      </c>
      <c r="E3963" s="28" t="s">
        <v>77</v>
      </c>
      <c r="F3963" s="28" t="s">
        <v>77</v>
      </c>
      <c r="G3963" s="28" t="s">
        <v>77</v>
      </c>
      <c r="I3963" s="26" t="s">
        <v>77</v>
      </c>
      <c r="J3963" s="26" t="s">
        <v>77</v>
      </c>
      <c r="K3963" s="18"/>
      <c r="L3963" s="26" t="s">
        <v>77</v>
      </c>
      <c r="M3963" s="6" t="s">
        <v>77</v>
      </c>
      <c r="N3963" s="28" t="s">
        <v>77</v>
      </c>
      <c r="O3963" s="26" t="s">
        <v>77</v>
      </c>
    </row>
    <row r="3964">
      <c r="A3964" s="52" t="s">
        <v>77</v>
      </c>
      <c r="B3964" s="28" t="s">
        <v>77</v>
      </c>
      <c r="C3964" s="28" t="s">
        <v>77</v>
      </c>
      <c r="D3964" s="28" t="s">
        <v>77</v>
      </c>
      <c r="E3964" s="28" t="s">
        <v>77</v>
      </c>
      <c r="F3964" s="28" t="s">
        <v>77</v>
      </c>
      <c r="G3964" s="28" t="s">
        <v>77</v>
      </c>
      <c r="I3964" s="26" t="s">
        <v>77</v>
      </c>
      <c r="J3964" s="26" t="s">
        <v>77</v>
      </c>
      <c r="K3964" s="18"/>
      <c r="L3964" s="26" t="s">
        <v>77</v>
      </c>
      <c r="M3964" s="6" t="s">
        <v>77</v>
      </c>
      <c r="N3964" s="28" t="s">
        <v>77</v>
      </c>
      <c r="O3964" s="26" t="s">
        <v>77</v>
      </c>
    </row>
    <row r="3965">
      <c r="A3965" s="52" t="s">
        <v>77</v>
      </c>
      <c r="B3965" s="28" t="s">
        <v>77</v>
      </c>
      <c r="C3965" s="28" t="s">
        <v>77</v>
      </c>
      <c r="D3965" s="28" t="s">
        <v>77</v>
      </c>
      <c r="E3965" s="28" t="s">
        <v>77</v>
      </c>
      <c r="F3965" s="28" t="s">
        <v>77</v>
      </c>
      <c r="G3965" s="28" t="s">
        <v>77</v>
      </c>
      <c r="I3965" s="26" t="s">
        <v>77</v>
      </c>
      <c r="J3965" s="26" t="s">
        <v>77</v>
      </c>
      <c r="K3965" s="18"/>
      <c r="L3965" s="26" t="s">
        <v>77</v>
      </c>
      <c r="M3965" s="6" t="s">
        <v>77</v>
      </c>
      <c r="N3965" s="28" t="s">
        <v>77</v>
      </c>
      <c r="O3965" s="26" t="s">
        <v>77</v>
      </c>
    </row>
    <row r="3966">
      <c r="A3966" s="52" t="s">
        <v>77</v>
      </c>
      <c r="B3966" s="28" t="s">
        <v>77</v>
      </c>
      <c r="C3966" s="28" t="s">
        <v>77</v>
      </c>
      <c r="D3966" s="28" t="s">
        <v>77</v>
      </c>
      <c r="E3966" s="28" t="s">
        <v>77</v>
      </c>
      <c r="F3966" s="28" t="s">
        <v>77</v>
      </c>
      <c r="G3966" s="28" t="s">
        <v>77</v>
      </c>
      <c r="I3966" s="26" t="s">
        <v>77</v>
      </c>
      <c r="J3966" s="26" t="s">
        <v>77</v>
      </c>
      <c r="K3966" s="18"/>
      <c r="L3966" s="26" t="s">
        <v>77</v>
      </c>
      <c r="M3966" s="6" t="s">
        <v>77</v>
      </c>
      <c r="N3966" s="28" t="s">
        <v>77</v>
      </c>
      <c r="O3966" s="26" t="s">
        <v>77</v>
      </c>
    </row>
    <row r="3967">
      <c r="A3967" s="52" t="s">
        <v>77</v>
      </c>
      <c r="B3967" s="28" t="s">
        <v>77</v>
      </c>
      <c r="C3967" s="28" t="s">
        <v>77</v>
      </c>
      <c r="D3967" s="28" t="s">
        <v>77</v>
      </c>
      <c r="E3967" s="28" t="s">
        <v>77</v>
      </c>
      <c r="F3967" s="28" t="s">
        <v>77</v>
      </c>
      <c r="G3967" s="28" t="s">
        <v>77</v>
      </c>
      <c r="I3967" s="26" t="s">
        <v>77</v>
      </c>
      <c r="J3967" s="26" t="s">
        <v>77</v>
      </c>
      <c r="K3967" s="18"/>
      <c r="L3967" s="26" t="s">
        <v>77</v>
      </c>
      <c r="M3967" s="6" t="s">
        <v>77</v>
      </c>
      <c r="N3967" s="28" t="s">
        <v>77</v>
      </c>
      <c r="O3967" s="26" t="s">
        <v>77</v>
      </c>
    </row>
    <row r="3968">
      <c r="A3968" s="52" t="s">
        <v>77</v>
      </c>
      <c r="B3968" s="28" t="s">
        <v>77</v>
      </c>
      <c r="C3968" s="28" t="s">
        <v>77</v>
      </c>
      <c r="D3968" s="28" t="s">
        <v>77</v>
      </c>
      <c r="E3968" s="28" t="s">
        <v>77</v>
      </c>
      <c r="F3968" s="28" t="s">
        <v>77</v>
      </c>
      <c r="G3968" s="28" t="s">
        <v>77</v>
      </c>
      <c r="I3968" s="26" t="s">
        <v>77</v>
      </c>
      <c r="J3968" s="26" t="s">
        <v>77</v>
      </c>
      <c r="K3968" s="18"/>
      <c r="L3968" s="26" t="s">
        <v>77</v>
      </c>
      <c r="M3968" s="6" t="s">
        <v>77</v>
      </c>
      <c r="N3968" s="28" t="s">
        <v>77</v>
      </c>
      <c r="O3968" s="26" t="s">
        <v>77</v>
      </c>
    </row>
    <row r="3969">
      <c r="A3969" s="52" t="s">
        <v>77</v>
      </c>
      <c r="B3969" s="28" t="s">
        <v>77</v>
      </c>
      <c r="C3969" s="28" t="s">
        <v>77</v>
      </c>
      <c r="D3969" s="28" t="s">
        <v>77</v>
      </c>
      <c r="E3969" s="28" t="s">
        <v>77</v>
      </c>
      <c r="F3969" s="28" t="s">
        <v>77</v>
      </c>
      <c r="G3969" s="28" t="s">
        <v>77</v>
      </c>
      <c r="I3969" s="26" t="s">
        <v>77</v>
      </c>
      <c r="J3969" s="26" t="s">
        <v>77</v>
      </c>
      <c r="K3969" s="18"/>
      <c r="L3969" s="26" t="s">
        <v>77</v>
      </c>
      <c r="M3969" s="6" t="s">
        <v>77</v>
      </c>
      <c r="N3969" s="28" t="s">
        <v>77</v>
      </c>
      <c r="O3969" s="26" t="s">
        <v>77</v>
      </c>
    </row>
    <row r="3970">
      <c r="A3970" s="52" t="s">
        <v>77</v>
      </c>
      <c r="B3970" s="28" t="s">
        <v>77</v>
      </c>
      <c r="C3970" s="28" t="s">
        <v>77</v>
      </c>
      <c r="D3970" s="28" t="s">
        <v>77</v>
      </c>
      <c r="E3970" s="28" t="s">
        <v>77</v>
      </c>
      <c r="F3970" s="28" t="s">
        <v>77</v>
      </c>
      <c r="G3970" s="28" t="s">
        <v>77</v>
      </c>
      <c r="I3970" s="26" t="s">
        <v>77</v>
      </c>
      <c r="J3970" s="26" t="s">
        <v>77</v>
      </c>
      <c r="K3970" s="18"/>
      <c r="L3970" s="26" t="s">
        <v>77</v>
      </c>
      <c r="M3970" s="6" t="s">
        <v>77</v>
      </c>
      <c r="N3970" s="28" t="s">
        <v>77</v>
      </c>
      <c r="O3970" s="26" t="s">
        <v>77</v>
      </c>
    </row>
    <row r="3971">
      <c r="A3971" s="52" t="s">
        <v>77</v>
      </c>
      <c r="B3971" s="28" t="s">
        <v>77</v>
      </c>
      <c r="C3971" s="28" t="s">
        <v>77</v>
      </c>
      <c r="D3971" s="28" t="s">
        <v>77</v>
      </c>
      <c r="E3971" s="28" t="s">
        <v>77</v>
      </c>
      <c r="F3971" s="28" t="s">
        <v>77</v>
      </c>
      <c r="G3971" s="28" t="s">
        <v>77</v>
      </c>
      <c r="I3971" s="26" t="s">
        <v>77</v>
      </c>
      <c r="J3971" s="26" t="s">
        <v>77</v>
      </c>
      <c r="K3971" s="18"/>
      <c r="L3971" s="26" t="s">
        <v>77</v>
      </c>
      <c r="M3971" s="6" t="s">
        <v>77</v>
      </c>
      <c r="N3971" s="28" t="s">
        <v>77</v>
      </c>
      <c r="O3971" s="26" t="s">
        <v>77</v>
      </c>
    </row>
    <row r="3972">
      <c r="A3972" s="52" t="s">
        <v>77</v>
      </c>
      <c r="B3972" s="28" t="s">
        <v>77</v>
      </c>
      <c r="C3972" s="28" t="s">
        <v>77</v>
      </c>
      <c r="D3972" s="28" t="s">
        <v>77</v>
      </c>
      <c r="E3972" s="28" t="s">
        <v>77</v>
      </c>
      <c r="F3972" s="28" t="s">
        <v>77</v>
      </c>
      <c r="G3972" s="28" t="s">
        <v>77</v>
      </c>
      <c r="I3972" s="26" t="s">
        <v>77</v>
      </c>
      <c r="J3972" s="26" t="s">
        <v>77</v>
      </c>
      <c r="K3972" s="18"/>
      <c r="L3972" s="26" t="s">
        <v>77</v>
      </c>
      <c r="M3972" s="6" t="s">
        <v>77</v>
      </c>
      <c r="N3972" s="28" t="s">
        <v>77</v>
      </c>
      <c r="O3972" s="26" t="s">
        <v>77</v>
      </c>
    </row>
    <row r="3973">
      <c r="A3973" s="52" t="s">
        <v>77</v>
      </c>
      <c r="B3973" s="28" t="s">
        <v>77</v>
      </c>
      <c r="C3973" s="28" t="s">
        <v>77</v>
      </c>
      <c r="D3973" s="28" t="s">
        <v>77</v>
      </c>
      <c r="E3973" s="28" t="s">
        <v>77</v>
      </c>
      <c r="F3973" s="28" t="s">
        <v>77</v>
      </c>
      <c r="G3973" s="28" t="s">
        <v>77</v>
      </c>
      <c r="I3973" s="26" t="s">
        <v>77</v>
      </c>
      <c r="J3973" s="26" t="s">
        <v>77</v>
      </c>
      <c r="K3973" s="18"/>
      <c r="L3973" s="26" t="s">
        <v>77</v>
      </c>
      <c r="M3973" s="6" t="s">
        <v>77</v>
      </c>
      <c r="N3973" s="28" t="s">
        <v>77</v>
      </c>
      <c r="O3973" s="26" t="s">
        <v>77</v>
      </c>
    </row>
    <row r="3974">
      <c r="A3974" s="52" t="s">
        <v>77</v>
      </c>
      <c r="B3974" s="28" t="s">
        <v>77</v>
      </c>
      <c r="C3974" s="28" t="s">
        <v>77</v>
      </c>
      <c r="D3974" s="28" t="s">
        <v>77</v>
      </c>
      <c r="E3974" s="28" t="s">
        <v>77</v>
      </c>
      <c r="F3974" s="28" t="s">
        <v>77</v>
      </c>
      <c r="G3974" s="28" t="s">
        <v>77</v>
      </c>
      <c r="I3974" s="26" t="s">
        <v>77</v>
      </c>
      <c r="J3974" s="26" t="s">
        <v>77</v>
      </c>
      <c r="K3974" s="18"/>
      <c r="L3974" s="26" t="s">
        <v>77</v>
      </c>
      <c r="M3974" s="6" t="s">
        <v>77</v>
      </c>
      <c r="N3974" s="28" t="s">
        <v>77</v>
      </c>
      <c r="O3974" s="26" t="s">
        <v>77</v>
      </c>
    </row>
    <row r="3975">
      <c r="A3975" s="52" t="s">
        <v>77</v>
      </c>
      <c r="B3975" s="28" t="s">
        <v>77</v>
      </c>
      <c r="C3975" s="28" t="s">
        <v>77</v>
      </c>
      <c r="D3975" s="28" t="s">
        <v>77</v>
      </c>
      <c r="E3975" s="28" t="s">
        <v>77</v>
      </c>
      <c r="F3975" s="28" t="s">
        <v>77</v>
      </c>
      <c r="G3975" s="28" t="s">
        <v>77</v>
      </c>
      <c r="I3975" s="26" t="s">
        <v>77</v>
      </c>
      <c r="J3975" s="26" t="s">
        <v>77</v>
      </c>
      <c r="K3975" s="18"/>
      <c r="L3975" s="26" t="s">
        <v>77</v>
      </c>
      <c r="M3975" s="6" t="s">
        <v>77</v>
      </c>
      <c r="N3975" s="28" t="s">
        <v>77</v>
      </c>
      <c r="O3975" s="26" t="s">
        <v>77</v>
      </c>
    </row>
    <row r="3976">
      <c r="A3976" s="52" t="s">
        <v>77</v>
      </c>
      <c r="B3976" s="28" t="s">
        <v>77</v>
      </c>
      <c r="C3976" s="28" t="s">
        <v>77</v>
      </c>
      <c r="D3976" s="28" t="s">
        <v>77</v>
      </c>
      <c r="E3976" s="28" t="s">
        <v>77</v>
      </c>
      <c r="F3976" s="28" t="s">
        <v>77</v>
      </c>
      <c r="G3976" s="28" t="s">
        <v>77</v>
      </c>
      <c r="I3976" s="26" t="s">
        <v>77</v>
      </c>
      <c r="J3976" s="26" t="s">
        <v>77</v>
      </c>
      <c r="K3976" s="18"/>
      <c r="L3976" s="26" t="s">
        <v>77</v>
      </c>
      <c r="M3976" s="6" t="s">
        <v>77</v>
      </c>
      <c r="N3976" s="28" t="s">
        <v>77</v>
      </c>
      <c r="O3976" s="26" t="s">
        <v>77</v>
      </c>
    </row>
    <row r="3977">
      <c r="A3977" s="52" t="s">
        <v>77</v>
      </c>
      <c r="B3977" s="28" t="s">
        <v>77</v>
      </c>
      <c r="C3977" s="28" t="s">
        <v>77</v>
      </c>
      <c r="D3977" s="28" t="s">
        <v>77</v>
      </c>
      <c r="E3977" s="28" t="s">
        <v>77</v>
      </c>
      <c r="F3977" s="28" t="s">
        <v>77</v>
      </c>
      <c r="G3977" s="28" t="s">
        <v>77</v>
      </c>
      <c r="I3977" s="26" t="s">
        <v>77</v>
      </c>
      <c r="J3977" s="26" t="s">
        <v>77</v>
      </c>
      <c r="K3977" s="18"/>
      <c r="L3977" s="26" t="s">
        <v>77</v>
      </c>
      <c r="M3977" s="6" t="s">
        <v>77</v>
      </c>
      <c r="N3977" s="28" t="s">
        <v>77</v>
      </c>
      <c r="O3977" s="26" t="s">
        <v>77</v>
      </c>
    </row>
    <row r="3978">
      <c r="A3978" s="52" t="s">
        <v>77</v>
      </c>
      <c r="B3978" s="28" t="s">
        <v>77</v>
      </c>
      <c r="C3978" s="28" t="s">
        <v>77</v>
      </c>
      <c r="D3978" s="28" t="s">
        <v>77</v>
      </c>
      <c r="E3978" s="28" t="s">
        <v>77</v>
      </c>
      <c r="F3978" s="28" t="s">
        <v>77</v>
      </c>
      <c r="G3978" s="28" t="s">
        <v>77</v>
      </c>
      <c r="I3978" s="26" t="s">
        <v>77</v>
      </c>
      <c r="J3978" s="26" t="s">
        <v>77</v>
      </c>
      <c r="K3978" s="18"/>
      <c r="L3978" s="26" t="s">
        <v>77</v>
      </c>
      <c r="M3978" s="6" t="s">
        <v>77</v>
      </c>
      <c r="N3978" s="28" t="s">
        <v>77</v>
      </c>
      <c r="O3978" s="26" t="s">
        <v>77</v>
      </c>
    </row>
    <row r="3979">
      <c r="A3979" s="52" t="s">
        <v>77</v>
      </c>
      <c r="B3979" s="28" t="s">
        <v>77</v>
      </c>
      <c r="C3979" s="28" t="s">
        <v>77</v>
      </c>
      <c r="D3979" s="28" t="s">
        <v>77</v>
      </c>
      <c r="E3979" s="28" t="s">
        <v>77</v>
      </c>
      <c r="F3979" s="28" t="s">
        <v>77</v>
      </c>
      <c r="G3979" s="28" t="s">
        <v>77</v>
      </c>
      <c r="I3979" s="26" t="s">
        <v>77</v>
      </c>
      <c r="J3979" s="26" t="s">
        <v>77</v>
      </c>
      <c r="K3979" s="18"/>
      <c r="L3979" s="26" t="s">
        <v>77</v>
      </c>
      <c r="M3979" s="6" t="s">
        <v>77</v>
      </c>
      <c r="N3979" s="28" t="s">
        <v>77</v>
      </c>
      <c r="O3979" s="26" t="s">
        <v>77</v>
      </c>
    </row>
    <row r="3980">
      <c r="A3980" s="52" t="s">
        <v>77</v>
      </c>
      <c r="B3980" s="28" t="s">
        <v>77</v>
      </c>
      <c r="C3980" s="28" t="s">
        <v>77</v>
      </c>
      <c r="D3980" s="28" t="s">
        <v>77</v>
      </c>
      <c r="E3980" s="28" t="s">
        <v>77</v>
      </c>
      <c r="F3980" s="28" t="s">
        <v>77</v>
      </c>
      <c r="G3980" s="28" t="s">
        <v>77</v>
      </c>
      <c r="I3980" s="26" t="s">
        <v>77</v>
      </c>
      <c r="J3980" s="26" t="s">
        <v>77</v>
      </c>
      <c r="K3980" s="18"/>
      <c r="L3980" s="26" t="s">
        <v>77</v>
      </c>
      <c r="M3980" s="6" t="s">
        <v>77</v>
      </c>
      <c r="N3980" s="28" t="s">
        <v>77</v>
      </c>
      <c r="O3980" s="26" t="s">
        <v>77</v>
      </c>
    </row>
    <row r="3981">
      <c r="A3981" s="52" t="s">
        <v>77</v>
      </c>
      <c r="B3981" s="28" t="s">
        <v>77</v>
      </c>
      <c r="C3981" s="28" t="s">
        <v>77</v>
      </c>
      <c r="D3981" s="28" t="s">
        <v>77</v>
      </c>
      <c r="E3981" s="28" t="s">
        <v>77</v>
      </c>
      <c r="F3981" s="28" t="s">
        <v>77</v>
      </c>
      <c r="G3981" s="28" t="s">
        <v>77</v>
      </c>
      <c r="I3981" s="26" t="s">
        <v>77</v>
      </c>
      <c r="J3981" s="26" t="s">
        <v>77</v>
      </c>
      <c r="K3981" s="18"/>
      <c r="L3981" s="26" t="s">
        <v>77</v>
      </c>
      <c r="M3981" s="6" t="s">
        <v>77</v>
      </c>
      <c r="N3981" s="28" t="s">
        <v>77</v>
      </c>
      <c r="O3981" s="26" t="s">
        <v>77</v>
      </c>
    </row>
    <row r="3982">
      <c r="A3982" s="52" t="s">
        <v>77</v>
      </c>
      <c r="B3982" s="28" t="s">
        <v>77</v>
      </c>
      <c r="C3982" s="28" t="s">
        <v>77</v>
      </c>
      <c r="D3982" s="28" t="s">
        <v>77</v>
      </c>
      <c r="E3982" s="28" t="s">
        <v>77</v>
      </c>
      <c r="F3982" s="28" t="s">
        <v>77</v>
      </c>
      <c r="G3982" s="28" t="s">
        <v>77</v>
      </c>
      <c r="I3982" s="26" t="s">
        <v>77</v>
      </c>
      <c r="J3982" s="26" t="s">
        <v>77</v>
      </c>
      <c r="K3982" s="18"/>
      <c r="L3982" s="26" t="s">
        <v>77</v>
      </c>
      <c r="M3982" s="6" t="s">
        <v>77</v>
      </c>
      <c r="N3982" s="28" t="s">
        <v>77</v>
      </c>
      <c r="O3982" s="26" t="s">
        <v>77</v>
      </c>
    </row>
    <row r="3983">
      <c r="A3983" s="52" t="s">
        <v>77</v>
      </c>
      <c r="B3983" s="28" t="s">
        <v>77</v>
      </c>
      <c r="C3983" s="28" t="s">
        <v>77</v>
      </c>
      <c r="D3983" s="28" t="s">
        <v>77</v>
      </c>
      <c r="E3983" s="28" t="s">
        <v>77</v>
      </c>
      <c r="F3983" s="28" t="s">
        <v>77</v>
      </c>
      <c r="G3983" s="28" t="s">
        <v>77</v>
      </c>
      <c r="I3983" s="26" t="s">
        <v>77</v>
      </c>
      <c r="J3983" s="26" t="s">
        <v>77</v>
      </c>
      <c r="K3983" s="18"/>
      <c r="L3983" s="26" t="s">
        <v>77</v>
      </c>
      <c r="M3983" s="6" t="s">
        <v>77</v>
      </c>
      <c r="N3983" s="28" t="s">
        <v>77</v>
      </c>
      <c r="O3983" s="26" t="s">
        <v>77</v>
      </c>
    </row>
    <row r="3984">
      <c r="A3984" s="52" t="s">
        <v>77</v>
      </c>
      <c r="B3984" s="28" t="s">
        <v>77</v>
      </c>
      <c r="C3984" s="28" t="s">
        <v>77</v>
      </c>
      <c r="D3984" s="28" t="s">
        <v>77</v>
      </c>
      <c r="E3984" s="28" t="s">
        <v>77</v>
      </c>
      <c r="F3984" s="28" t="s">
        <v>77</v>
      </c>
      <c r="G3984" s="28" t="s">
        <v>77</v>
      </c>
      <c r="I3984" s="26" t="s">
        <v>77</v>
      </c>
      <c r="J3984" s="26" t="s">
        <v>77</v>
      </c>
      <c r="K3984" s="18"/>
      <c r="L3984" s="26" t="s">
        <v>77</v>
      </c>
      <c r="M3984" s="6" t="s">
        <v>77</v>
      </c>
      <c r="N3984" s="28" t="s">
        <v>77</v>
      </c>
      <c r="O3984" s="26" t="s">
        <v>77</v>
      </c>
    </row>
    <row r="3985">
      <c r="A3985" s="52" t="s">
        <v>77</v>
      </c>
      <c r="B3985" s="28" t="s">
        <v>77</v>
      </c>
      <c r="C3985" s="28" t="s">
        <v>77</v>
      </c>
      <c r="D3985" s="28" t="s">
        <v>77</v>
      </c>
      <c r="E3985" s="28" t="s">
        <v>77</v>
      </c>
      <c r="F3985" s="28" t="s">
        <v>77</v>
      </c>
      <c r="G3985" s="28" t="s">
        <v>77</v>
      </c>
      <c r="I3985" s="26" t="s">
        <v>77</v>
      </c>
      <c r="J3985" s="26" t="s">
        <v>77</v>
      </c>
      <c r="K3985" s="18"/>
      <c r="L3985" s="26" t="s">
        <v>77</v>
      </c>
      <c r="M3985" s="6" t="s">
        <v>77</v>
      </c>
      <c r="N3985" s="28" t="s">
        <v>77</v>
      </c>
      <c r="O3985" s="26" t="s">
        <v>77</v>
      </c>
    </row>
    <row r="3986">
      <c r="A3986" s="52" t="s">
        <v>77</v>
      </c>
      <c r="B3986" s="28" t="s">
        <v>77</v>
      </c>
      <c r="C3986" s="28" t="s">
        <v>77</v>
      </c>
      <c r="D3986" s="28" t="s">
        <v>77</v>
      </c>
      <c r="E3986" s="28" t="s">
        <v>77</v>
      </c>
      <c r="F3986" s="28" t="s">
        <v>77</v>
      </c>
      <c r="G3986" s="28" t="s">
        <v>77</v>
      </c>
      <c r="I3986" s="26" t="s">
        <v>77</v>
      </c>
      <c r="J3986" s="26" t="s">
        <v>77</v>
      </c>
      <c r="K3986" s="18"/>
      <c r="L3986" s="26" t="s">
        <v>77</v>
      </c>
      <c r="M3986" s="6" t="s">
        <v>77</v>
      </c>
      <c r="N3986" s="28" t="s">
        <v>77</v>
      </c>
      <c r="O3986" s="26" t="s">
        <v>77</v>
      </c>
    </row>
    <row r="3987">
      <c r="A3987" s="52" t="s">
        <v>77</v>
      </c>
      <c r="B3987" s="28" t="s">
        <v>77</v>
      </c>
      <c r="C3987" s="28" t="s">
        <v>77</v>
      </c>
      <c r="D3987" s="28" t="s">
        <v>77</v>
      </c>
      <c r="E3987" s="28" t="s">
        <v>77</v>
      </c>
      <c r="F3987" s="28" t="s">
        <v>77</v>
      </c>
      <c r="G3987" s="28" t="s">
        <v>77</v>
      </c>
      <c r="I3987" s="26" t="s">
        <v>77</v>
      </c>
      <c r="J3987" s="26" t="s">
        <v>77</v>
      </c>
      <c r="K3987" s="18"/>
      <c r="L3987" s="26" t="s">
        <v>77</v>
      </c>
      <c r="M3987" s="6" t="s">
        <v>77</v>
      </c>
      <c r="N3987" s="28" t="s">
        <v>77</v>
      </c>
      <c r="O3987" s="26" t="s">
        <v>77</v>
      </c>
    </row>
    <row r="3988">
      <c r="A3988" s="52" t="s">
        <v>77</v>
      </c>
      <c r="B3988" s="28" t="s">
        <v>77</v>
      </c>
      <c r="C3988" s="28" t="s">
        <v>77</v>
      </c>
      <c r="D3988" s="28" t="s">
        <v>77</v>
      </c>
      <c r="E3988" s="28" t="s">
        <v>77</v>
      </c>
      <c r="F3988" s="28" t="s">
        <v>77</v>
      </c>
      <c r="G3988" s="28" t="s">
        <v>77</v>
      </c>
      <c r="I3988" s="26" t="s">
        <v>77</v>
      </c>
      <c r="J3988" s="26" t="s">
        <v>77</v>
      </c>
      <c r="K3988" s="18"/>
      <c r="L3988" s="26" t="s">
        <v>77</v>
      </c>
      <c r="M3988" s="6" t="s">
        <v>77</v>
      </c>
      <c r="N3988" s="28" t="s">
        <v>77</v>
      </c>
      <c r="O3988" s="26" t="s">
        <v>77</v>
      </c>
    </row>
    <row r="3989">
      <c r="A3989" s="52" t="s">
        <v>77</v>
      </c>
      <c r="B3989" s="28" t="s">
        <v>77</v>
      </c>
      <c r="C3989" s="28" t="s">
        <v>77</v>
      </c>
      <c r="D3989" s="28" t="s">
        <v>77</v>
      </c>
      <c r="E3989" s="28" t="s">
        <v>77</v>
      </c>
      <c r="F3989" s="28" t="s">
        <v>77</v>
      </c>
      <c r="G3989" s="28" t="s">
        <v>77</v>
      </c>
      <c r="I3989" s="26" t="s">
        <v>77</v>
      </c>
      <c r="J3989" s="26" t="s">
        <v>77</v>
      </c>
      <c r="K3989" s="18"/>
      <c r="L3989" s="26" t="s">
        <v>77</v>
      </c>
      <c r="M3989" s="6" t="s">
        <v>77</v>
      </c>
      <c r="N3989" s="28" t="s">
        <v>77</v>
      </c>
      <c r="O3989" s="26" t="s">
        <v>77</v>
      </c>
    </row>
    <row r="3990">
      <c r="A3990" s="52" t="s">
        <v>77</v>
      </c>
      <c r="B3990" s="28" t="s">
        <v>77</v>
      </c>
      <c r="C3990" s="28" t="s">
        <v>77</v>
      </c>
      <c r="D3990" s="28" t="s">
        <v>77</v>
      </c>
      <c r="E3990" s="28" t="s">
        <v>77</v>
      </c>
      <c r="F3990" s="28" t="s">
        <v>77</v>
      </c>
      <c r="G3990" s="28" t="s">
        <v>77</v>
      </c>
      <c r="I3990" s="26" t="s">
        <v>77</v>
      </c>
      <c r="J3990" s="26" t="s">
        <v>77</v>
      </c>
      <c r="K3990" s="18"/>
      <c r="L3990" s="26" t="s">
        <v>77</v>
      </c>
      <c r="M3990" s="6" t="s">
        <v>77</v>
      </c>
      <c r="N3990" s="28" t="s">
        <v>77</v>
      </c>
      <c r="O3990" s="26" t="s">
        <v>77</v>
      </c>
    </row>
    <row r="3991">
      <c r="A3991" s="52" t="s">
        <v>77</v>
      </c>
      <c r="B3991" s="28" t="s">
        <v>77</v>
      </c>
      <c r="C3991" s="28" t="s">
        <v>77</v>
      </c>
      <c r="D3991" s="28" t="s">
        <v>77</v>
      </c>
      <c r="E3991" s="28" t="s">
        <v>77</v>
      </c>
      <c r="F3991" s="28" t="s">
        <v>77</v>
      </c>
      <c r="G3991" s="28" t="s">
        <v>77</v>
      </c>
      <c r="I3991" s="26" t="s">
        <v>77</v>
      </c>
      <c r="J3991" s="26" t="s">
        <v>77</v>
      </c>
      <c r="K3991" s="18"/>
      <c r="L3991" s="26" t="s">
        <v>77</v>
      </c>
      <c r="M3991" s="6" t="s">
        <v>77</v>
      </c>
      <c r="N3991" s="28" t="s">
        <v>77</v>
      </c>
      <c r="O3991" s="26" t="s">
        <v>77</v>
      </c>
    </row>
    <row r="3992">
      <c r="A3992" s="52" t="s">
        <v>77</v>
      </c>
      <c r="B3992" s="28" t="s">
        <v>77</v>
      </c>
      <c r="C3992" s="28" t="s">
        <v>77</v>
      </c>
      <c r="D3992" s="28" t="s">
        <v>77</v>
      </c>
      <c r="E3992" s="28" t="s">
        <v>77</v>
      </c>
      <c r="F3992" s="28" t="s">
        <v>77</v>
      </c>
      <c r="G3992" s="28" t="s">
        <v>77</v>
      </c>
      <c r="I3992" s="26" t="s">
        <v>77</v>
      </c>
      <c r="J3992" s="26" t="s">
        <v>77</v>
      </c>
      <c r="K3992" s="18"/>
      <c r="L3992" s="26" t="s">
        <v>77</v>
      </c>
      <c r="M3992" s="6" t="s">
        <v>77</v>
      </c>
      <c r="N3992" s="28" t="s">
        <v>77</v>
      </c>
      <c r="O3992" s="26" t="s">
        <v>77</v>
      </c>
    </row>
    <row r="3993">
      <c r="A3993" s="52" t="s">
        <v>77</v>
      </c>
      <c r="B3993" s="28" t="s">
        <v>77</v>
      </c>
      <c r="C3993" s="28" t="s">
        <v>77</v>
      </c>
      <c r="D3993" s="28" t="s">
        <v>77</v>
      </c>
      <c r="E3993" s="28" t="s">
        <v>77</v>
      </c>
      <c r="F3993" s="28" t="s">
        <v>77</v>
      </c>
      <c r="G3993" s="28" t="s">
        <v>77</v>
      </c>
      <c r="I3993" s="26" t="s">
        <v>77</v>
      </c>
      <c r="J3993" s="26" t="s">
        <v>77</v>
      </c>
      <c r="K3993" s="18"/>
      <c r="L3993" s="26" t="s">
        <v>77</v>
      </c>
      <c r="M3993" s="6" t="s">
        <v>77</v>
      </c>
      <c r="N3993" s="28" t="s">
        <v>77</v>
      </c>
      <c r="O3993" s="26" t="s">
        <v>77</v>
      </c>
    </row>
    <row r="3994">
      <c r="A3994" s="52" t="s">
        <v>77</v>
      </c>
      <c r="B3994" s="28" t="s">
        <v>77</v>
      </c>
      <c r="C3994" s="28" t="s">
        <v>77</v>
      </c>
      <c r="D3994" s="28" t="s">
        <v>77</v>
      </c>
      <c r="E3994" s="28" t="s">
        <v>77</v>
      </c>
      <c r="F3994" s="28" t="s">
        <v>77</v>
      </c>
      <c r="G3994" s="28" t="s">
        <v>77</v>
      </c>
      <c r="I3994" s="26" t="s">
        <v>77</v>
      </c>
      <c r="J3994" s="26" t="s">
        <v>77</v>
      </c>
      <c r="K3994" s="18"/>
      <c r="L3994" s="26" t="s">
        <v>77</v>
      </c>
      <c r="M3994" s="6" t="s">
        <v>77</v>
      </c>
      <c r="N3994" s="28" t="s">
        <v>77</v>
      </c>
      <c r="O3994" s="26" t="s">
        <v>77</v>
      </c>
    </row>
    <row r="3995">
      <c r="A3995" s="52" t="s">
        <v>77</v>
      </c>
      <c r="B3995" s="28" t="s">
        <v>77</v>
      </c>
      <c r="C3995" s="28" t="s">
        <v>77</v>
      </c>
      <c r="D3995" s="28" t="s">
        <v>77</v>
      </c>
      <c r="E3995" s="28" t="s">
        <v>77</v>
      </c>
      <c r="F3995" s="28" t="s">
        <v>77</v>
      </c>
      <c r="G3995" s="28" t="s">
        <v>77</v>
      </c>
      <c r="I3995" s="26" t="s">
        <v>77</v>
      </c>
      <c r="J3995" s="26" t="s">
        <v>77</v>
      </c>
      <c r="K3995" s="18"/>
      <c r="L3995" s="26" t="s">
        <v>77</v>
      </c>
      <c r="M3995" s="6" t="s">
        <v>77</v>
      </c>
      <c r="N3995" s="28" t="s">
        <v>77</v>
      </c>
      <c r="O3995" s="26" t="s">
        <v>77</v>
      </c>
    </row>
    <row r="3996">
      <c r="A3996" s="52" t="s">
        <v>77</v>
      </c>
      <c r="B3996" s="28" t="s">
        <v>77</v>
      </c>
      <c r="C3996" s="28" t="s">
        <v>77</v>
      </c>
      <c r="D3996" s="28" t="s">
        <v>77</v>
      </c>
      <c r="E3996" s="28" t="s">
        <v>77</v>
      </c>
      <c r="F3996" s="28" t="s">
        <v>77</v>
      </c>
      <c r="G3996" s="28" t="s">
        <v>77</v>
      </c>
      <c r="I3996" s="26" t="s">
        <v>77</v>
      </c>
      <c r="J3996" s="26" t="s">
        <v>77</v>
      </c>
      <c r="K3996" s="18"/>
      <c r="L3996" s="26" t="s">
        <v>77</v>
      </c>
      <c r="M3996" s="6" t="s">
        <v>77</v>
      </c>
      <c r="N3996" s="28" t="s">
        <v>77</v>
      </c>
      <c r="O3996" s="26" t="s">
        <v>77</v>
      </c>
    </row>
    <row r="3997">
      <c r="A3997" s="52" t="s">
        <v>77</v>
      </c>
      <c r="B3997" s="28" t="s">
        <v>77</v>
      </c>
      <c r="C3997" s="28" t="s">
        <v>77</v>
      </c>
      <c r="D3997" s="28" t="s">
        <v>77</v>
      </c>
      <c r="E3997" s="28" t="s">
        <v>77</v>
      </c>
      <c r="F3997" s="28" t="s">
        <v>77</v>
      </c>
      <c r="G3997" s="28" t="s">
        <v>77</v>
      </c>
      <c r="I3997" s="26" t="s">
        <v>77</v>
      </c>
      <c r="J3997" s="26" t="s">
        <v>77</v>
      </c>
      <c r="K3997" s="18"/>
      <c r="L3997" s="26" t="s">
        <v>77</v>
      </c>
      <c r="M3997" s="6" t="s">
        <v>77</v>
      </c>
      <c r="N3997" s="28" t="s">
        <v>77</v>
      </c>
      <c r="O3997" s="26" t="s">
        <v>77</v>
      </c>
    </row>
    <row r="3998">
      <c r="A3998" s="52" t="s">
        <v>77</v>
      </c>
      <c r="B3998" s="28" t="s">
        <v>77</v>
      </c>
      <c r="C3998" s="28" t="s">
        <v>77</v>
      </c>
      <c r="D3998" s="28" t="s">
        <v>77</v>
      </c>
      <c r="E3998" s="28" t="s">
        <v>77</v>
      </c>
      <c r="F3998" s="28" t="s">
        <v>77</v>
      </c>
      <c r="G3998" s="28" t="s">
        <v>77</v>
      </c>
      <c r="I3998" s="26" t="s">
        <v>77</v>
      </c>
      <c r="J3998" s="26" t="s">
        <v>77</v>
      </c>
      <c r="K3998" s="18"/>
      <c r="L3998" s="26" t="s">
        <v>77</v>
      </c>
      <c r="M3998" s="6" t="s">
        <v>77</v>
      </c>
      <c r="N3998" s="28" t="s">
        <v>77</v>
      </c>
      <c r="O3998" s="26" t="s">
        <v>77</v>
      </c>
    </row>
    <row r="3999">
      <c r="A3999" s="52" t="s">
        <v>77</v>
      </c>
      <c r="B3999" s="28" t="s">
        <v>77</v>
      </c>
      <c r="C3999" s="28" t="s">
        <v>77</v>
      </c>
      <c r="D3999" s="28" t="s">
        <v>77</v>
      </c>
      <c r="E3999" s="28" t="s">
        <v>77</v>
      </c>
      <c r="F3999" s="28" t="s">
        <v>77</v>
      </c>
      <c r="G3999" s="28" t="s">
        <v>77</v>
      </c>
      <c r="I3999" s="26" t="s">
        <v>77</v>
      </c>
      <c r="J3999" s="26" t="s">
        <v>77</v>
      </c>
      <c r="K3999" s="18"/>
      <c r="L3999" s="26" t="s">
        <v>77</v>
      </c>
      <c r="M3999" s="6" t="s">
        <v>77</v>
      </c>
      <c r="N3999" s="28" t="s">
        <v>77</v>
      </c>
      <c r="O3999" s="26" t="s">
        <v>77</v>
      </c>
    </row>
    <row r="4000">
      <c r="A4000" s="52" t="s">
        <v>77</v>
      </c>
      <c r="B4000" s="28" t="s">
        <v>77</v>
      </c>
      <c r="C4000" s="28" t="s">
        <v>77</v>
      </c>
      <c r="D4000" s="28" t="s">
        <v>77</v>
      </c>
      <c r="E4000" s="28" t="s">
        <v>77</v>
      </c>
      <c r="F4000" s="28" t="s">
        <v>77</v>
      </c>
      <c r="G4000" s="28" t="s">
        <v>77</v>
      </c>
      <c r="I4000" s="26" t="s">
        <v>77</v>
      </c>
      <c r="J4000" s="26" t="s">
        <v>77</v>
      </c>
      <c r="K4000" s="18"/>
      <c r="L4000" s="26" t="s">
        <v>77</v>
      </c>
      <c r="M4000" s="6" t="s">
        <v>77</v>
      </c>
      <c r="N4000" s="28" t="s">
        <v>77</v>
      </c>
      <c r="O4000" s="26" t="s">
        <v>77</v>
      </c>
    </row>
    <row r="4001">
      <c r="A4001" s="52" t="s">
        <v>77</v>
      </c>
      <c r="B4001" s="28" t="s">
        <v>77</v>
      </c>
      <c r="C4001" s="28" t="s">
        <v>77</v>
      </c>
      <c r="D4001" s="28" t="s">
        <v>77</v>
      </c>
      <c r="E4001" s="28" t="s">
        <v>77</v>
      </c>
      <c r="F4001" s="28" t="s">
        <v>77</v>
      </c>
      <c r="G4001" s="28" t="s">
        <v>77</v>
      </c>
      <c r="I4001" s="26" t="s">
        <v>77</v>
      </c>
      <c r="J4001" s="26" t="s">
        <v>77</v>
      </c>
      <c r="K4001" s="18"/>
      <c r="L4001" s="26" t="s">
        <v>77</v>
      </c>
      <c r="M4001" s="6" t="s">
        <v>77</v>
      </c>
      <c r="N4001" s="28" t="s">
        <v>77</v>
      </c>
      <c r="O4001" s="26" t="s">
        <v>77</v>
      </c>
    </row>
    <row r="4002">
      <c r="A4002" s="52" t="s">
        <v>77</v>
      </c>
      <c r="B4002" s="28" t="s">
        <v>77</v>
      </c>
      <c r="C4002" s="28" t="s">
        <v>77</v>
      </c>
      <c r="D4002" s="28" t="s">
        <v>77</v>
      </c>
      <c r="E4002" s="28" t="s">
        <v>77</v>
      </c>
      <c r="F4002" s="28" t="s">
        <v>77</v>
      </c>
      <c r="G4002" s="28" t="s">
        <v>77</v>
      </c>
      <c r="I4002" s="26" t="s">
        <v>77</v>
      </c>
      <c r="J4002" s="26" t="s">
        <v>77</v>
      </c>
      <c r="K4002" s="18"/>
      <c r="L4002" s="26" t="s">
        <v>77</v>
      </c>
      <c r="M4002" s="6" t="s">
        <v>77</v>
      </c>
      <c r="N4002" s="28" t="s">
        <v>77</v>
      </c>
      <c r="O4002" s="26" t="s">
        <v>77</v>
      </c>
    </row>
    <row r="4003">
      <c r="A4003" s="52" t="s">
        <v>77</v>
      </c>
      <c r="B4003" s="28" t="s">
        <v>77</v>
      </c>
      <c r="C4003" s="28" t="s">
        <v>77</v>
      </c>
      <c r="D4003" s="28" t="s">
        <v>77</v>
      </c>
      <c r="E4003" s="28" t="s">
        <v>77</v>
      </c>
      <c r="F4003" s="28" t="s">
        <v>77</v>
      </c>
      <c r="G4003" s="28" t="s">
        <v>77</v>
      </c>
      <c r="I4003" s="26" t="s">
        <v>77</v>
      </c>
      <c r="J4003" s="26" t="s">
        <v>77</v>
      </c>
      <c r="K4003" s="18"/>
      <c r="L4003" s="26" t="s">
        <v>77</v>
      </c>
      <c r="M4003" s="6" t="s">
        <v>77</v>
      </c>
      <c r="N4003" s="28" t="s">
        <v>77</v>
      </c>
      <c r="O4003" s="26" t="s">
        <v>77</v>
      </c>
    </row>
    <row r="4004">
      <c r="A4004" s="52" t="s">
        <v>77</v>
      </c>
      <c r="B4004" s="28" t="s">
        <v>77</v>
      </c>
      <c r="C4004" s="28" t="s">
        <v>77</v>
      </c>
      <c r="D4004" s="28" t="s">
        <v>77</v>
      </c>
      <c r="E4004" s="28" t="s">
        <v>77</v>
      </c>
      <c r="F4004" s="28" t="s">
        <v>77</v>
      </c>
      <c r="G4004" s="28" t="s">
        <v>77</v>
      </c>
      <c r="I4004" s="26" t="s">
        <v>77</v>
      </c>
      <c r="J4004" s="26" t="s">
        <v>77</v>
      </c>
      <c r="K4004" s="18"/>
      <c r="L4004" s="26" t="s">
        <v>77</v>
      </c>
      <c r="M4004" s="6" t="s">
        <v>77</v>
      </c>
      <c r="N4004" s="28" t="s">
        <v>77</v>
      </c>
      <c r="O4004" s="26" t="s">
        <v>77</v>
      </c>
    </row>
    <row r="4005">
      <c r="A4005" s="52" t="s">
        <v>77</v>
      </c>
      <c r="B4005" s="28" t="s">
        <v>77</v>
      </c>
      <c r="C4005" s="28" t="s">
        <v>77</v>
      </c>
      <c r="D4005" s="28" t="s">
        <v>77</v>
      </c>
      <c r="E4005" s="28" t="s">
        <v>77</v>
      </c>
      <c r="F4005" s="28" t="s">
        <v>77</v>
      </c>
      <c r="G4005" s="28" t="s">
        <v>77</v>
      </c>
      <c r="I4005" s="26" t="s">
        <v>77</v>
      </c>
      <c r="J4005" s="26" t="s">
        <v>77</v>
      </c>
      <c r="K4005" s="18"/>
      <c r="L4005" s="26" t="s">
        <v>77</v>
      </c>
      <c r="M4005" s="6" t="s">
        <v>77</v>
      </c>
      <c r="N4005" s="28" t="s">
        <v>77</v>
      </c>
      <c r="O4005" s="26" t="s">
        <v>77</v>
      </c>
    </row>
    <row r="4006">
      <c r="A4006" s="52" t="s">
        <v>77</v>
      </c>
      <c r="B4006" s="28" t="s">
        <v>77</v>
      </c>
      <c r="C4006" s="28" t="s">
        <v>77</v>
      </c>
      <c r="D4006" s="28" t="s">
        <v>77</v>
      </c>
      <c r="E4006" s="28" t="s">
        <v>77</v>
      </c>
      <c r="F4006" s="28" t="s">
        <v>77</v>
      </c>
      <c r="G4006" s="28" t="s">
        <v>77</v>
      </c>
      <c r="I4006" s="26" t="s">
        <v>77</v>
      </c>
      <c r="J4006" s="26" t="s">
        <v>77</v>
      </c>
      <c r="K4006" s="18"/>
      <c r="L4006" s="26" t="s">
        <v>77</v>
      </c>
      <c r="M4006" s="6" t="s">
        <v>77</v>
      </c>
      <c r="N4006" s="28" t="s">
        <v>77</v>
      </c>
      <c r="O4006" s="26" t="s">
        <v>77</v>
      </c>
    </row>
    <row r="4007">
      <c r="A4007" s="52" t="s">
        <v>77</v>
      </c>
      <c r="B4007" s="28" t="s">
        <v>77</v>
      </c>
      <c r="C4007" s="28" t="s">
        <v>77</v>
      </c>
      <c r="D4007" s="28" t="s">
        <v>77</v>
      </c>
      <c r="E4007" s="28" t="s">
        <v>77</v>
      </c>
      <c r="F4007" s="28" t="s">
        <v>77</v>
      </c>
      <c r="G4007" s="28" t="s">
        <v>77</v>
      </c>
      <c r="I4007" s="26" t="s">
        <v>77</v>
      </c>
      <c r="J4007" s="26" t="s">
        <v>77</v>
      </c>
      <c r="K4007" s="18"/>
      <c r="L4007" s="26" t="s">
        <v>77</v>
      </c>
      <c r="M4007" s="6" t="s">
        <v>77</v>
      </c>
      <c r="N4007" s="28" t="s">
        <v>77</v>
      </c>
      <c r="O4007" s="26" t="s">
        <v>77</v>
      </c>
    </row>
    <row r="4008">
      <c r="A4008" s="52" t="s">
        <v>77</v>
      </c>
      <c r="B4008" s="28" t="s">
        <v>77</v>
      </c>
      <c r="C4008" s="28" t="s">
        <v>77</v>
      </c>
      <c r="D4008" s="28" t="s">
        <v>77</v>
      </c>
      <c r="E4008" s="28" t="s">
        <v>77</v>
      </c>
      <c r="F4008" s="28" t="s">
        <v>77</v>
      </c>
      <c r="G4008" s="28" t="s">
        <v>77</v>
      </c>
      <c r="I4008" s="26" t="s">
        <v>77</v>
      </c>
      <c r="J4008" s="26" t="s">
        <v>77</v>
      </c>
      <c r="K4008" s="18"/>
      <c r="L4008" s="26" t="s">
        <v>77</v>
      </c>
      <c r="M4008" s="6" t="s">
        <v>77</v>
      </c>
      <c r="N4008" s="28" t="s">
        <v>77</v>
      </c>
      <c r="O4008" s="26" t="s">
        <v>77</v>
      </c>
    </row>
    <row r="4009">
      <c r="A4009" s="52" t="s">
        <v>77</v>
      </c>
      <c r="B4009" s="28" t="s">
        <v>77</v>
      </c>
      <c r="C4009" s="28" t="s">
        <v>77</v>
      </c>
      <c r="D4009" s="28" t="s">
        <v>77</v>
      </c>
      <c r="E4009" s="28" t="s">
        <v>77</v>
      </c>
      <c r="F4009" s="28" t="s">
        <v>77</v>
      </c>
      <c r="G4009" s="28" t="s">
        <v>77</v>
      </c>
      <c r="I4009" s="26" t="s">
        <v>77</v>
      </c>
      <c r="J4009" s="26" t="s">
        <v>77</v>
      </c>
      <c r="K4009" s="18"/>
      <c r="L4009" s="26" t="s">
        <v>77</v>
      </c>
      <c r="M4009" s="6" t="s">
        <v>77</v>
      </c>
      <c r="N4009" s="28" t="s">
        <v>77</v>
      </c>
      <c r="O4009" s="26" t="s">
        <v>77</v>
      </c>
    </row>
    <row r="4010">
      <c r="A4010" s="52" t="s">
        <v>77</v>
      </c>
      <c r="B4010" s="28" t="s">
        <v>77</v>
      </c>
      <c r="C4010" s="28" t="s">
        <v>77</v>
      </c>
      <c r="D4010" s="28" t="s">
        <v>77</v>
      </c>
      <c r="E4010" s="28" t="s">
        <v>77</v>
      </c>
      <c r="F4010" s="28" t="s">
        <v>77</v>
      </c>
      <c r="G4010" s="28" t="s">
        <v>77</v>
      </c>
      <c r="I4010" s="26" t="s">
        <v>77</v>
      </c>
      <c r="J4010" s="26" t="s">
        <v>77</v>
      </c>
      <c r="K4010" s="18"/>
      <c r="L4010" s="26" t="s">
        <v>77</v>
      </c>
      <c r="M4010" s="6" t="s">
        <v>77</v>
      </c>
      <c r="N4010" s="28" t="s">
        <v>77</v>
      </c>
      <c r="O4010" s="26" t="s">
        <v>77</v>
      </c>
    </row>
    <row r="4011">
      <c r="A4011" s="52" t="s">
        <v>77</v>
      </c>
      <c r="B4011" s="28" t="s">
        <v>77</v>
      </c>
      <c r="C4011" s="28" t="s">
        <v>77</v>
      </c>
      <c r="D4011" s="28" t="s">
        <v>77</v>
      </c>
      <c r="E4011" s="28" t="s">
        <v>77</v>
      </c>
      <c r="F4011" s="28" t="s">
        <v>77</v>
      </c>
      <c r="G4011" s="28" t="s">
        <v>77</v>
      </c>
      <c r="I4011" s="26" t="s">
        <v>77</v>
      </c>
      <c r="J4011" s="26" t="s">
        <v>77</v>
      </c>
      <c r="K4011" s="18"/>
      <c r="L4011" s="26" t="s">
        <v>77</v>
      </c>
      <c r="M4011" s="6" t="s">
        <v>77</v>
      </c>
      <c r="N4011" s="28" t="s">
        <v>77</v>
      </c>
      <c r="O4011" s="26" t="s">
        <v>77</v>
      </c>
    </row>
    <row r="4012">
      <c r="A4012" s="52" t="s">
        <v>77</v>
      </c>
      <c r="B4012" s="28" t="s">
        <v>77</v>
      </c>
      <c r="C4012" s="28" t="s">
        <v>77</v>
      </c>
      <c r="D4012" s="28" t="s">
        <v>77</v>
      </c>
      <c r="E4012" s="28" t="s">
        <v>77</v>
      </c>
      <c r="F4012" s="28" t="s">
        <v>77</v>
      </c>
      <c r="G4012" s="28" t="s">
        <v>77</v>
      </c>
      <c r="I4012" s="26" t="s">
        <v>77</v>
      </c>
      <c r="J4012" s="26" t="s">
        <v>77</v>
      </c>
      <c r="K4012" s="18"/>
      <c r="L4012" s="26" t="s">
        <v>77</v>
      </c>
      <c r="M4012" s="6" t="s">
        <v>77</v>
      </c>
      <c r="N4012" s="28" t="s">
        <v>77</v>
      </c>
      <c r="O4012" s="26" t="s">
        <v>77</v>
      </c>
    </row>
    <row r="4013">
      <c r="A4013" s="52" t="s">
        <v>77</v>
      </c>
      <c r="B4013" s="28" t="s">
        <v>77</v>
      </c>
      <c r="C4013" s="28" t="s">
        <v>77</v>
      </c>
      <c r="D4013" s="28" t="s">
        <v>77</v>
      </c>
      <c r="E4013" s="28" t="s">
        <v>77</v>
      </c>
      <c r="F4013" s="28" t="s">
        <v>77</v>
      </c>
      <c r="G4013" s="28" t="s">
        <v>77</v>
      </c>
      <c r="I4013" s="26" t="s">
        <v>77</v>
      </c>
      <c r="J4013" s="26" t="s">
        <v>77</v>
      </c>
      <c r="K4013" s="18"/>
      <c r="L4013" s="26" t="s">
        <v>77</v>
      </c>
      <c r="M4013" s="6" t="s">
        <v>77</v>
      </c>
      <c r="N4013" s="28" t="s">
        <v>77</v>
      </c>
      <c r="O4013" s="26" t="s">
        <v>77</v>
      </c>
    </row>
    <row r="4014">
      <c r="A4014" s="52" t="s">
        <v>77</v>
      </c>
      <c r="B4014" s="28" t="s">
        <v>77</v>
      </c>
      <c r="C4014" s="28" t="s">
        <v>77</v>
      </c>
      <c r="D4014" s="28" t="s">
        <v>77</v>
      </c>
      <c r="E4014" s="28" t="s">
        <v>77</v>
      </c>
      <c r="F4014" s="28" t="s">
        <v>77</v>
      </c>
      <c r="G4014" s="28" t="s">
        <v>77</v>
      </c>
      <c r="I4014" s="26" t="s">
        <v>77</v>
      </c>
      <c r="J4014" s="26" t="s">
        <v>77</v>
      </c>
      <c r="K4014" s="18"/>
      <c r="L4014" s="26" t="s">
        <v>77</v>
      </c>
      <c r="M4014" s="6" t="s">
        <v>77</v>
      </c>
      <c r="N4014" s="28" t="s">
        <v>77</v>
      </c>
      <c r="O4014" s="26" t="s">
        <v>77</v>
      </c>
    </row>
    <row r="4015">
      <c r="A4015" s="52" t="s">
        <v>77</v>
      </c>
      <c r="B4015" s="28" t="s">
        <v>77</v>
      </c>
      <c r="C4015" s="28" t="s">
        <v>77</v>
      </c>
      <c r="D4015" s="28" t="s">
        <v>77</v>
      </c>
      <c r="E4015" s="28" t="s">
        <v>77</v>
      </c>
      <c r="F4015" s="28" t="s">
        <v>77</v>
      </c>
      <c r="G4015" s="28" t="s">
        <v>77</v>
      </c>
      <c r="I4015" s="26" t="s">
        <v>77</v>
      </c>
      <c r="J4015" s="26" t="s">
        <v>77</v>
      </c>
      <c r="K4015" s="18"/>
      <c r="L4015" s="26" t="s">
        <v>77</v>
      </c>
      <c r="M4015" s="6" t="s">
        <v>77</v>
      </c>
      <c r="N4015" s="28" t="s">
        <v>77</v>
      </c>
      <c r="O4015" s="26" t="s">
        <v>77</v>
      </c>
    </row>
    <row r="4016">
      <c r="A4016" s="52" t="s">
        <v>77</v>
      </c>
      <c r="B4016" s="28" t="s">
        <v>77</v>
      </c>
      <c r="C4016" s="28" t="s">
        <v>77</v>
      </c>
      <c r="D4016" s="28" t="s">
        <v>77</v>
      </c>
      <c r="E4016" s="28" t="s">
        <v>77</v>
      </c>
      <c r="F4016" s="28" t="s">
        <v>77</v>
      </c>
      <c r="G4016" s="28" t="s">
        <v>77</v>
      </c>
      <c r="I4016" s="26" t="s">
        <v>77</v>
      </c>
      <c r="J4016" s="26" t="s">
        <v>77</v>
      </c>
      <c r="K4016" s="18"/>
      <c r="L4016" s="26" t="s">
        <v>77</v>
      </c>
      <c r="M4016" s="6" t="s">
        <v>77</v>
      </c>
      <c r="N4016" s="28" t="s">
        <v>77</v>
      </c>
      <c r="O4016" s="26" t="s">
        <v>77</v>
      </c>
    </row>
    <row r="4017">
      <c r="A4017" s="52" t="s">
        <v>77</v>
      </c>
      <c r="B4017" s="28" t="s">
        <v>77</v>
      </c>
      <c r="C4017" s="28" t="s">
        <v>77</v>
      </c>
      <c r="D4017" s="28" t="s">
        <v>77</v>
      </c>
      <c r="E4017" s="28" t="s">
        <v>77</v>
      </c>
      <c r="F4017" s="28" t="s">
        <v>77</v>
      </c>
      <c r="G4017" s="28" t="s">
        <v>77</v>
      </c>
      <c r="I4017" s="26" t="s">
        <v>77</v>
      </c>
      <c r="J4017" s="26" t="s">
        <v>77</v>
      </c>
      <c r="K4017" s="18"/>
      <c r="L4017" s="26" t="s">
        <v>77</v>
      </c>
      <c r="M4017" s="6" t="s">
        <v>77</v>
      </c>
      <c r="N4017" s="28" t="s">
        <v>77</v>
      </c>
      <c r="O4017" s="26" t="s">
        <v>77</v>
      </c>
    </row>
    <row r="4018">
      <c r="A4018" s="52" t="s">
        <v>77</v>
      </c>
      <c r="B4018" s="28" t="s">
        <v>77</v>
      </c>
      <c r="C4018" s="28" t="s">
        <v>77</v>
      </c>
      <c r="D4018" s="28" t="s">
        <v>77</v>
      </c>
      <c r="E4018" s="28" t="s">
        <v>77</v>
      </c>
      <c r="F4018" s="28" t="s">
        <v>77</v>
      </c>
      <c r="G4018" s="28" t="s">
        <v>77</v>
      </c>
      <c r="I4018" s="26" t="s">
        <v>77</v>
      </c>
      <c r="J4018" s="26" t="s">
        <v>77</v>
      </c>
      <c r="K4018" s="18"/>
      <c r="L4018" s="26" t="s">
        <v>77</v>
      </c>
      <c r="M4018" s="6" t="s">
        <v>77</v>
      </c>
      <c r="N4018" s="28" t="s">
        <v>77</v>
      </c>
      <c r="O4018" s="26" t="s">
        <v>77</v>
      </c>
    </row>
    <row r="4019">
      <c r="A4019" s="52" t="s">
        <v>77</v>
      </c>
      <c r="B4019" s="28" t="s">
        <v>77</v>
      </c>
      <c r="C4019" s="28" t="s">
        <v>77</v>
      </c>
      <c r="D4019" s="28" t="s">
        <v>77</v>
      </c>
      <c r="E4019" s="28" t="s">
        <v>77</v>
      </c>
      <c r="F4019" s="28" t="s">
        <v>77</v>
      </c>
      <c r="G4019" s="28" t="s">
        <v>77</v>
      </c>
      <c r="I4019" s="26" t="s">
        <v>77</v>
      </c>
      <c r="J4019" s="26" t="s">
        <v>77</v>
      </c>
      <c r="K4019" s="18"/>
      <c r="L4019" s="26" t="s">
        <v>77</v>
      </c>
      <c r="M4019" s="6" t="s">
        <v>77</v>
      </c>
      <c r="N4019" s="28" t="s">
        <v>77</v>
      </c>
      <c r="O4019" s="26" t="s">
        <v>77</v>
      </c>
    </row>
    <row r="4020">
      <c r="A4020" s="52" t="s">
        <v>77</v>
      </c>
      <c r="B4020" s="28" t="s">
        <v>77</v>
      </c>
      <c r="C4020" s="28" t="s">
        <v>77</v>
      </c>
      <c r="D4020" s="28" t="s">
        <v>77</v>
      </c>
      <c r="E4020" s="28" t="s">
        <v>77</v>
      </c>
      <c r="F4020" s="28" t="s">
        <v>77</v>
      </c>
      <c r="G4020" s="28" t="s">
        <v>77</v>
      </c>
      <c r="I4020" s="26" t="s">
        <v>77</v>
      </c>
      <c r="J4020" s="26" t="s">
        <v>77</v>
      </c>
      <c r="K4020" s="18"/>
      <c r="L4020" s="26" t="s">
        <v>77</v>
      </c>
      <c r="M4020" s="6" t="s">
        <v>77</v>
      </c>
      <c r="N4020" s="28" t="s">
        <v>77</v>
      </c>
      <c r="O4020" s="26" t="s">
        <v>77</v>
      </c>
    </row>
    <row r="4021">
      <c r="A4021" s="52" t="s">
        <v>77</v>
      </c>
      <c r="B4021" s="28" t="s">
        <v>77</v>
      </c>
      <c r="C4021" s="28" t="s">
        <v>77</v>
      </c>
      <c r="D4021" s="28" t="s">
        <v>77</v>
      </c>
      <c r="E4021" s="28" t="s">
        <v>77</v>
      </c>
      <c r="F4021" s="28" t="s">
        <v>77</v>
      </c>
      <c r="G4021" s="28" t="s">
        <v>77</v>
      </c>
      <c r="I4021" s="26" t="s">
        <v>77</v>
      </c>
      <c r="J4021" s="26" t="s">
        <v>77</v>
      </c>
      <c r="K4021" s="18"/>
      <c r="L4021" s="26" t="s">
        <v>77</v>
      </c>
      <c r="M4021" s="6" t="s">
        <v>77</v>
      </c>
      <c r="N4021" s="28" t="s">
        <v>77</v>
      </c>
      <c r="O4021" s="26" t="s">
        <v>77</v>
      </c>
    </row>
    <row r="4022">
      <c r="A4022" s="52" t="s">
        <v>77</v>
      </c>
      <c r="B4022" s="28" t="s">
        <v>77</v>
      </c>
      <c r="C4022" s="28" t="s">
        <v>77</v>
      </c>
      <c r="D4022" s="28" t="s">
        <v>77</v>
      </c>
      <c r="E4022" s="28" t="s">
        <v>77</v>
      </c>
      <c r="F4022" s="28" t="s">
        <v>77</v>
      </c>
      <c r="G4022" s="28" t="s">
        <v>77</v>
      </c>
      <c r="I4022" s="26" t="s">
        <v>77</v>
      </c>
      <c r="J4022" s="26" t="s">
        <v>77</v>
      </c>
      <c r="K4022" s="18"/>
      <c r="L4022" s="26" t="s">
        <v>77</v>
      </c>
      <c r="M4022" s="6" t="s">
        <v>77</v>
      </c>
      <c r="N4022" s="28" t="s">
        <v>77</v>
      </c>
      <c r="O4022" s="26" t="s">
        <v>77</v>
      </c>
    </row>
    <row r="4023">
      <c r="A4023" s="52" t="s">
        <v>77</v>
      </c>
      <c r="B4023" s="28" t="s">
        <v>77</v>
      </c>
      <c r="C4023" s="28" t="s">
        <v>77</v>
      </c>
      <c r="D4023" s="28" t="s">
        <v>77</v>
      </c>
      <c r="E4023" s="28" t="s">
        <v>77</v>
      </c>
      <c r="F4023" s="28" t="s">
        <v>77</v>
      </c>
      <c r="G4023" s="28" t="s">
        <v>77</v>
      </c>
      <c r="I4023" s="26" t="s">
        <v>77</v>
      </c>
      <c r="J4023" s="26" t="s">
        <v>77</v>
      </c>
      <c r="K4023" s="18"/>
      <c r="L4023" s="26" t="s">
        <v>77</v>
      </c>
      <c r="M4023" s="6" t="s">
        <v>77</v>
      </c>
      <c r="N4023" s="28" t="s">
        <v>77</v>
      </c>
      <c r="O4023" s="26" t="s">
        <v>77</v>
      </c>
    </row>
    <row r="4024">
      <c r="A4024" s="52" t="s">
        <v>77</v>
      </c>
      <c r="B4024" s="28" t="s">
        <v>77</v>
      </c>
      <c r="C4024" s="28" t="s">
        <v>77</v>
      </c>
      <c r="D4024" s="28" t="s">
        <v>77</v>
      </c>
      <c r="E4024" s="28" t="s">
        <v>77</v>
      </c>
      <c r="F4024" s="28" t="s">
        <v>77</v>
      </c>
      <c r="G4024" s="28" t="s">
        <v>77</v>
      </c>
      <c r="I4024" s="26" t="s">
        <v>77</v>
      </c>
      <c r="J4024" s="26" t="s">
        <v>77</v>
      </c>
      <c r="K4024" s="18"/>
      <c r="L4024" s="26" t="s">
        <v>77</v>
      </c>
      <c r="M4024" s="6" t="s">
        <v>77</v>
      </c>
      <c r="N4024" s="28" t="s">
        <v>77</v>
      </c>
      <c r="O4024" s="26" t="s">
        <v>77</v>
      </c>
    </row>
    <row r="4025">
      <c r="A4025" s="52" t="s">
        <v>77</v>
      </c>
      <c r="B4025" s="28" t="s">
        <v>77</v>
      </c>
      <c r="C4025" s="28" t="s">
        <v>77</v>
      </c>
      <c r="D4025" s="28" t="s">
        <v>77</v>
      </c>
      <c r="E4025" s="28" t="s">
        <v>77</v>
      </c>
      <c r="F4025" s="28" t="s">
        <v>77</v>
      </c>
      <c r="G4025" s="28" t="s">
        <v>77</v>
      </c>
      <c r="I4025" s="26" t="s">
        <v>77</v>
      </c>
      <c r="J4025" s="26" t="s">
        <v>77</v>
      </c>
      <c r="K4025" s="18"/>
      <c r="L4025" s="26" t="s">
        <v>77</v>
      </c>
      <c r="M4025" s="6" t="s">
        <v>77</v>
      </c>
      <c r="N4025" s="28" t="s">
        <v>77</v>
      </c>
      <c r="O4025" s="26" t="s">
        <v>77</v>
      </c>
    </row>
    <row r="4026">
      <c r="A4026" s="52" t="s">
        <v>77</v>
      </c>
      <c r="B4026" s="28" t="s">
        <v>77</v>
      </c>
      <c r="C4026" s="28" t="s">
        <v>77</v>
      </c>
      <c r="D4026" s="28" t="s">
        <v>77</v>
      </c>
      <c r="E4026" s="28" t="s">
        <v>77</v>
      </c>
      <c r="F4026" s="28" t="s">
        <v>77</v>
      </c>
      <c r="G4026" s="28" t="s">
        <v>77</v>
      </c>
      <c r="I4026" s="26" t="s">
        <v>77</v>
      </c>
      <c r="J4026" s="26" t="s">
        <v>77</v>
      </c>
      <c r="K4026" s="18"/>
      <c r="L4026" s="26" t="s">
        <v>77</v>
      </c>
      <c r="M4026" s="6" t="s">
        <v>77</v>
      </c>
      <c r="N4026" s="28" t="s">
        <v>77</v>
      </c>
      <c r="O4026" s="26" t="s">
        <v>77</v>
      </c>
    </row>
    <row r="4027">
      <c r="A4027" s="52" t="s">
        <v>77</v>
      </c>
      <c r="B4027" s="28" t="s">
        <v>77</v>
      </c>
      <c r="C4027" s="28" t="s">
        <v>77</v>
      </c>
      <c r="D4027" s="28" t="s">
        <v>77</v>
      </c>
      <c r="E4027" s="28" t="s">
        <v>77</v>
      </c>
      <c r="F4027" s="28" t="s">
        <v>77</v>
      </c>
      <c r="G4027" s="28" t="s">
        <v>77</v>
      </c>
      <c r="I4027" s="26" t="s">
        <v>77</v>
      </c>
      <c r="J4027" s="26" t="s">
        <v>77</v>
      </c>
      <c r="K4027" s="18"/>
      <c r="L4027" s="26" t="s">
        <v>77</v>
      </c>
      <c r="M4027" s="6" t="s">
        <v>77</v>
      </c>
      <c r="N4027" s="28" t="s">
        <v>77</v>
      </c>
      <c r="O4027" s="26" t="s">
        <v>77</v>
      </c>
    </row>
    <row r="4028">
      <c r="A4028" s="52" t="s">
        <v>77</v>
      </c>
      <c r="B4028" s="28" t="s">
        <v>77</v>
      </c>
      <c r="C4028" s="28" t="s">
        <v>77</v>
      </c>
      <c r="D4028" s="28" t="s">
        <v>77</v>
      </c>
      <c r="E4028" s="28" t="s">
        <v>77</v>
      </c>
      <c r="F4028" s="28" t="s">
        <v>77</v>
      </c>
      <c r="G4028" s="28" t="s">
        <v>77</v>
      </c>
      <c r="I4028" s="26" t="s">
        <v>77</v>
      </c>
      <c r="J4028" s="26" t="s">
        <v>77</v>
      </c>
      <c r="K4028" s="18"/>
      <c r="L4028" s="26" t="s">
        <v>77</v>
      </c>
      <c r="M4028" s="6" t="s">
        <v>77</v>
      </c>
      <c r="N4028" s="28" t="s">
        <v>77</v>
      </c>
      <c r="O4028" s="26" t="s">
        <v>77</v>
      </c>
    </row>
    <row r="4029">
      <c r="A4029" s="52" t="s">
        <v>77</v>
      </c>
      <c r="B4029" s="28" t="s">
        <v>77</v>
      </c>
      <c r="C4029" s="28" t="s">
        <v>77</v>
      </c>
      <c r="D4029" s="28" t="s">
        <v>77</v>
      </c>
      <c r="E4029" s="28" t="s">
        <v>77</v>
      </c>
      <c r="F4029" s="28" t="s">
        <v>77</v>
      </c>
      <c r="G4029" s="28" t="s">
        <v>77</v>
      </c>
      <c r="I4029" s="26" t="s">
        <v>77</v>
      </c>
      <c r="J4029" s="26" t="s">
        <v>77</v>
      </c>
      <c r="K4029" s="18"/>
      <c r="L4029" s="26" t="s">
        <v>77</v>
      </c>
      <c r="M4029" s="6" t="s">
        <v>77</v>
      </c>
      <c r="N4029" s="28" t="s">
        <v>77</v>
      </c>
      <c r="O4029" s="26" t="s">
        <v>77</v>
      </c>
    </row>
    <row r="4030">
      <c r="A4030" s="52" t="s">
        <v>77</v>
      </c>
      <c r="B4030" s="28" t="s">
        <v>77</v>
      </c>
      <c r="C4030" s="28" t="s">
        <v>77</v>
      </c>
      <c r="D4030" s="28" t="s">
        <v>77</v>
      </c>
      <c r="E4030" s="28" t="s">
        <v>77</v>
      </c>
      <c r="F4030" s="28" t="s">
        <v>77</v>
      </c>
      <c r="G4030" s="28" t="s">
        <v>77</v>
      </c>
      <c r="I4030" s="26" t="s">
        <v>77</v>
      </c>
      <c r="J4030" s="26" t="s">
        <v>77</v>
      </c>
      <c r="K4030" s="18"/>
      <c r="L4030" s="26" t="s">
        <v>77</v>
      </c>
      <c r="M4030" s="6" t="s">
        <v>77</v>
      </c>
      <c r="N4030" s="28" t="s">
        <v>77</v>
      </c>
      <c r="O4030" s="26" t="s">
        <v>77</v>
      </c>
    </row>
    <row r="4031">
      <c r="A4031" s="52" t="s">
        <v>77</v>
      </c>
      <c r="B4031" s="28" t="s">
        <v>77</v>
      </c>
      <c r="C4031" s="28" t="s">
        <v>77</v>
      </c>
      <c r="D4031" s="28" t="s">
        <v>77</v>
      </c>
      <c r="E4031" s="28" t="s">
        <v>77</v>
      </c>
      <c r="F4031" s="28" t="s">
        <v>77</v>
      </c>
      <c r="G4031" s="28" t="s">
        <v>77</v>
      </c>
      <c r="I4031" s="26" t="s">
        <v>77</v>
      </c>
      <c r="J4031" s="26" t="s">
        <v>77</v>
      </c>
      <c r="K4031" s="18"/>
      <c r="L4031" s="26" t="s">
        <v>77</v>
      </c>
      <c r="M4031" s="6" t="s">
        <v>77</v>
      </c>
      <c r="N4031" s="28" t="s">
        <v>77</v>
      </c>
      <c r="O4031" s="26" t="s">
        <v>77</v>
      </c>
    </row>
    <row r="4032">
      <c r="A4032" s="52" t="s">
        <v>77</v>
      </c>
      <c r="B4032" s="28" t="s">
        <v>77</v>
      </c>
      <c r="C4032" s="28" t="s">
        <v>77</v>
      </c>
      <c r="D4032" s="28" t="s">
        <v>77</v>
      </c>
      <c r="E4032" s="28" t="s">
        <v>77</v>
      </c>
      <c r="F4032" s="28" t="s">
        <v>77</v>
      </c>
      <c r="G4032" s="28" t="s">
        <v>77</v>
      </c>
      <c r="I4032" s="26" t="s">
        <v>77</v>
      </c>
      <c r="J4032" s="26" t="s">
        <v>77</v>
      </c>
      <c r="K4032" s="18"/>
      <c r="L4032" s="26" t="s">
        <v>77</v>
      </c>
      <c r="M4032" s="6" t="s">
        <v>77</v>
      </c>
      <c r="N4032" s="28" t="s">
        <v>77</v>
      </c>
      <c r="O4032" s="26" t="s">
        <v>77</v>
      </c>
    </row>
    <row r="4033">
      <c r="A4033" s="52" t="s">
        <v>77</v>
      </c>
      <c r="B4033" s="28" t="s">
        <v>77</v>
      </c>
      <c r="C4033" s="28" t="s">
        <v>77</v>
      </c>
      <c r="D4033" s="28" t="s">
        <v>77</v>
      </c>
      <c r="E4033" s="28" t="s">
        <v>77</v>
      </c>
      <c r="F4033" s="28" t="s">
        <v>77</v>
      </c>
      <c r="G4033" s="28" t="s">
        <v>77</v>
      </c>
      <c r="I4033" s="26" t="s">
        <v>77</v>
      </c>
      <c r="J4033" s="26" t="s">
        <v>77</v>
      </c>
      <c r="K4033" s="18"/>
      <c r="L4033" s="26" t="s">
        <v>77</v>
      </c>
      <c r="M4033" s="6" t="s">
        <v>77</v>
      </c>
      <c r="N4033" s="28" t="s">
        <v>77</v>
      </c>
      <c r="O4033" s="26" t="s">
        <v>77</v>
      </c>
    </row>
    <row r="4034">
      <c r="A4034" s="52" t="s">
        <v>77</v>
      </c>
      <c r="B4034" s="28" t="s">
        <v>77</v>
      </c>
      <c r="C4034" s="28" t="s">
        <v>77</v>
      </c>
      <c r="D4034" s="28" t="s">
        <v>77</v>
      </c>
      <c r="E4034" s="28" t="s">
        <v>77</v>
      </c>
      <c r="F4034" s="28" t="s">
        <v>77</v>
      </c>
      <c r="G4034" s="28" t="s">
        <v>77</v>
      </c>
      <c r="I4034" s="26" t="s">
        <v>77</v>
      </c>
      <c r="J4034" s="26" t="s">
        <v>77</v>
      </c>
      <c r="K4034" s="18"/>
      <c r="L4034" s="26" t="s">
        <v>77</v>
      </c>
      <c r="M4034" s="6" t="s">
        <v>77</v>
      </c>
      <c r="N4034" s="28" t="s">
        <v>77</v>
      </c>
      <c r="O4034" s="26" t="s">
        <v>77</v>
      </c>
    </row>
    <row r="4035">
      <c r="A4035" s="52" t="s">
        <v>77</v>
      </c>
      <c r="B4035" s="28" t="s">
        <v>77</v>
      </c>
      <c r="C4035" s="28" t="s">
        <v>77</v>
      </c>
      <c r="D4035" s="28" t="s">
        <v>77</v>
      </c>
      <c r="E4035" s="28" t="s">
        <v>77</v>
      </c>
      <c r="F4035" s="28" t="s">
        <v>77</v>
      </c>
      <c r="G4035" s="28" t="s">
        <v>77</v>
      </c>
      <c r="I4035" s="26" t="s">
        <v>77</v>
      </c>
      <c r="J4035" s="26" t="s">
        <v>77</v>
      </c>
      <c r="K4035" s="18"/>
      <c r="L4035" s="26" t="s">
        <v>77</v>
      </c>
      <c r="M4035" s="6" t="s">
        <v>77</v>
      </c>
      <c r="N4035" s="28" t="s">
        <v>77</v>
      </c>
      <c r="O4035" s="26" t="s">
        <v>77</v>
      </c>
    </row>
    <row r="4036">
      <c r="A4036" s="52" t="s">
        <v>77</v>
      </c>
      <c r="B4036" s="28" t="s">
        <v>77</v>
      </c>
      <c r="C4036" s="28" t="s">
        <v>77</v>
      </c>
      <c r="D4036" s="28" t="s">
        <v>77</v>
      </c>
      <c r="E4036" s="28" t="s">
        <v>77</v>
      </c>
      <c r="F4036" s="28" t="s">
        <v>77</v>
      </c>
      <c r="G4036" s="28" t="s">
        <v>77</v>
      </c>
      <c r="I4036" s="26" t="s">
        <v>77</v>
      </c>
      <c r="J4036" s="26" t="s">
        <v>77</v>
      </c>
      <c r="K4036" s="18"/>
      <c r="L4036" s="26" t="s">
        <v>77</v>
      </c>
      <c r="M4036" s="6" t="s">
        <v>77</v>
      </c>
      <c r="N4036" s="28" t="s">
        <v>77</v>
      </c>
      <c r="O4036" s="26" t="s">
        <v>77</v>
      </c>
    </row>
    <row r="4037">
      <c r="A4037" s="52" t="s">
        <v>77</v>
      </c>
      <c r="B4037" s="28" t="s">
        <v>77</v>
      </c>
      <c r="C4037" s="28" t="s">
        <v>77</v>
      </c>
      <c r="D4037" s="28" t="s">
        <v>77</v>
      </c>
      <c r="E4037" s="28" t="s">
        <v>77</v>
      </c>
      <c r="F4037" s="28" t="s">
        <v>77</v>
      </c>
      <c r="G4037" s="28" t="s">
        <v>77</v>
      </c>
      <c r="I4037" s="26" t="s">
        <v>77</v>
      </c>
      <c r="J4037" s="26" t="s">
        <v>77</v>
      </c>
      <c r="K4037" s="18"/>
      <c r="L4037" s="26" t="s">
        <v>77</v>
      </c>
      <c r="M4037" s="6" t="s">
        <v>77</v>
      </c>
      <c r="N4037" s="28" t="s">
        <v>77</v>
      </c>
      <c r="O4037" s="26" t="s">
        <v>77</v>
      </c>
    </row>
    <row r="4038">
      <c r="A4038" s="52" t="s">
        <v>77</v>
      </c>
      <c r="B4038" s="28" t="s">
        <v>77</v>
      </c>
      <c r="C4038" s="28" t="s">
        <v>77</v>
      </c>
      <c r="D4038" s="28" t="s">
        <v>77</v>
      </c>
      <c r="E4038" s="28" t="s">
        <v>77</v>
      </c>
      <c r="F4038" s="28" t="s">
        <v>77</v>
      </c>
      <c r="G4038" s="28" t="s">
        <v>77</v>
      </c>
      <c r="I4038" s="26" t="s">
        <v>77</v>
      </c>
      <c r="J4038" s="26" t="s">
        <v>77</v>
      </c>
      <c r="K4038" s="18"/>
      <c r="L4038" s="26" t="s">
        <v>77</v>
      </c>
      <c r="M4038" s="6" t="s">
        <v>77</v>
      </c>
      <c r="N4038" s="28" t="s">
        <v>77</v>
      </c>
      <c r="O4038" s="26" t="s">
        <v>77</v>
      </c>
    </row>
    <row r="4039">
      <c r="A4039" s="52" t="s">
        <v>77</v>
      </c>
      <c r="B4039" s="28" t="s">
        <v>77</v>
      </c>
      <c r="C4039" s="28" t="s">
        <v>77</v>
      </c>
      <c r="D4039" s="28" t="s">
        <v>77</v>
      </c>
      <c r="E4039" s="28" t="s">
        <v>77</v>
      </c>
      <c r="F4039" s="28" t="s">
        <v>77</v>
      </c>
      <c r="G4039" s="28" t="s">
        <v>77</v>
      </c>
      <c r="I4039" s="26" t="s">
        <v>77</v>
      </c>
      <c r="J4039" s="26" t="s">
        <v>77</v>
      </c>
      <c r="K4039" s="18"/>
      <c r="L4039" s="26" t="s">
        <v>77</v>
      </c>
      <c r="M4039" s="6" t="s">
        <v>77</v>
      </c>
      <c r="N4039" s="28" t="s">
        <v>77</v>
      </c>
      <c r="O4039" s="26" t="s">
        <v>77</v>
      </c>
    </row>
    <row r="4040">
      <c r="A4040" s="52" t="s">
        <v>77</v>
      </c>
      <c r="B4040" s="28" t="s">
        <v>77</v>
      </c>
      <c r="C4040" s="28" t="s">
        <v>77</v>
      </c>
      <c r="D4040" s="28" t="s">
        <v>77</v>
      </c>
      <c r="E4040" s="28" t="s">
        <v>77</v>
      </c>
      <c r="F4040" s="28" t="s">
        <v>77</v>
      </c>
      <c r="G4040" s="28" t="s">
        <v>77</v>
      </c>
      <c r="I4040" s="26" t="s">
        <v>77</v>
      </c>
      <c r="J4040" s="26" t="s">
        <v>77</v>
      </c>
      <c r="K4040" s="18"/>
      <c r="L4040" s="26" t="s">
        <v>77</v>
      </c>
      <c r="M4040" s="6" t="s">
        <v>77</v>
      </c>
      <c r="N4040" s="28" t="s">
        <v>77</v>
      </c>
      <c r="O4040" s="26" t="s">
        <v>77</v>
      </c>
    </row>
    <row r="4041">
      <c r="A4041" s="52" t="s">
        <v>77</v>
      </c>
      <c r="B4041" s="28" t="s">
        <v>77</v>
      </c>
      <c r="C4041" s="28" t="s">
        <v>77</v>
      </c>
      <c r="D4041" s="28" t="s">
        <v>77</v>
      </c>
      <c r="E4041" s="28" t="s">
        <v>77</v>
      </c>
      <c r="F4041" s="28" t="s">
        <v>77</v>
      </c>
      <c r="G4041" s="28" t="s">
        <v>77</v>
      </c>
      <c r="I4041" s="26" t="s">
        <v>77</v>
      </c>
      <c r="J4041" s="26" t="s">
        <v>77</v>
      </c>
      <c r="K4041" s="18"/>
      <c r="L4041" s="26" t="s">
        <v>77</v>
      </c>
      <c r="M4041" s="6" t="s">
        <v>77</v>
      </c>
      <c r="N4041" s="28" t="s">
        <v>77</v>
      </c>
      <c r="O4041" s="26" t="s">
        <v>77</v>
      </c>
    </row>
    <row r="4042">
      <c r="A4042" s="52" t="s">
        <v>77</v>
      </c>
      <c r="B4042" s="28" t="s">
        <v>77</v>
      </c>
      <c r="C4042" s="28" t="s">
        <v>77</v>
      </c>
      <c r="D4042" s="28" t="s">
        <v>77</v>
      </c>
      <c r="E4042" s="28" t="s">
        <v>77</v>
      </c>
      <c r="F4042" s="28" t="s">
        <v>77</v>
      </c>
      <c r="G4042" s="28" t="s">
        <v>77</v>
      </c>
      <c r="I4042" s="26" t="s">
        <v>77</v>
      </c>
      <c r="J4042" s="26" t="s">
        <v>77</v>
      </c>
      <c r="K4042" s="18"/>
      <c r="L4042" s="26" t="s">
        <v>77</v>
      </c>
      <c r="M4042" s="6" t="s">
        <v>77</v>
      </c>
      <c r="N4042" s="28" t="s">
        <v>77</v>
      </c>
      <c r="O4042" s="26" t="s">
        <v>77</v>
      </c>
    </row>
    <row r="4043">
      <c r="A4043" s="52" t="s">
        <v>77</v>
      </c>
      <c r="B4043" s="28" t="s">
        <v>77</v>
      </c>
      <c r="C4043" s="28" t="s">
        <v>77</v>
      </c>
      <c r="D4043" s="28" t="s">
        <v>77</v>
      </c>
      <c r="E4043" s="28" t="s">
        <v>77</v>
      </c>
      <c r="F4043" s="28" t="s">
        <v>77</v>
      </c>
      <c r="G4043" s="28" t="s">
        <v>77</v>
      </c>
      <c r="I4043" s="26" t="s">
        <v>77</v>
      </c>
      <c r="J4043" s="26" t="s">
        <v>77</v>
      </c>
      <c r="K4043" s="18"/>
      <c r="L4043" s="26" t="s">
        <v>77</v>
      </c>
      <c r="M4043" s="6" t="s">
        <v>77</v>
      </c>
      <c r="N4043" s="28" t="s">
        <v>77</v>
      </c>
      <c r="O4043" s="26" t="s">
        <v>77</v>
      </c>
    </row>
    <row r="4044">
      <c r="A4044" s="52" t="s">
        <v>77</v>
      </c>
      <c r="B4044" s="28" t="s">
        <v>77</v>
      </c>
      <c r="C4044" s="28" t="s">
        <v>77</v>
      </c>
      <c r="D4044" s="28" t="s">
        <v>77</v>
      </c>
      <c r="E4044" s="28" t="s">
        <v>77</v>
      </c>
      <c r="F4044" s="28" t="s">
        <v>77</v>
      </c>
      <c r="G4044" s="28" t="s">
        <v>77</v>
      </c>
      <c r="I4044" s="26" t="s">
        <v>77</v>
      </c>
      <c r="J4044" s="26" t="s">
        <v>77</v>
      </c>
      <c r="K4044" s="18"/>
      <c r="L4044" s="26" t="s">
        <v>77</v>
      </c>
      <c r="M4044" s="6" t="s">
        <v>77</v>
      </c>
      <c r="N4044" s="28" t="s">
        <v>77</v>
      </c>
      <c r="O4044" s="26" t="s">
        <v>77</v>
      </c>
    </row>
    <row r="4045">
      <c r="A4045" s="52" t="s">
        <v>77</v>
      </c>
      <c r="B4045" s="28" t="s">
        <v>77</v>
      </c>
      <c r="C4045" s="28" t="s">
        <v>77</v>
      </c>
      <c r="D4045" s="28" t="s">
        <v>77</v>
      </c>
      <c r="E4045" s="28" t="s">
        <v>77</v>
      </c>
      <c r="F4045" s="28" t="s">
        <v>77</v>
      </c>
      <c r="G4045" s="28" t="s">
        <v>77</v>
      </c>
      <c r="I4045" s="26" t="s">
        <v>77</v>
      </c>
      <c r="J4045" s="26" t="s">
        <v>77</v>
      </c>
      <c r="K4045" s="18"/>
      <c r="L4045" s="26" t="s">
        <v>77</v>
      </c>
      <c r="M4045" s="6" t="s">
        <v>77</v>
      </c>
      <c r="N4045" s="28" t="s">
        <v>77</v>
      </c>
      <c r="O4045" s="26" t="s">
        <v>77</v>
      </c>
    </row>
    <row r="4046">
      <c r="A4046" s="52" t="s">
        <v>77</v>
      </c>
      <c r="B4046" s="28" t="s">
        <v>77</v>
      </c>
      <c r="C4046" s="28" t="s">
        <v>77</v>
      </c>
      <c r="D4046" s="28" t="s">
        <v>77</v>
      </c>
      <c r="E4046" s="28" t="s">
        <v>77</v>
      </c>
      <c r="F4046" s="28" t="s">
        <v>77</v>
      </c>
      <c r="G4046" s="28" t="s">
        <v>77</v>
      </c>
      <c r="I4046" s="26" t="s">
        <v>77</v>
      </c>
      <c r="J4046" s="26" t="s">
        <v>77</v>
      </c>
      <c r="K4046" s="18"/>
      <c r="L4046" s="26" t="s">
        <v>77</v>
      </c>
      <c r="M4046" s="6" t="s">
        <v>77</v>
      </c>
      <c r="N4046" s="28" t="s">
        <v>77</v>
      </c>
      <c r="O4046" s="26" t="s">
        <v>77</v>
      </c>
    </row>
    <row r="4047">
      <c r="A4047" s="52" t="s">
        <v>77</v>
      </c>
      <c r="B4047" s="28" t="s">
        <v>77</v>
      </c>
      <c r="C4047" s="28" t="s">
        <v>77</v>
      </c>
      <c r="D4047" s="28" t="s">
        <v>77</v>
      </c>
      <c r="E4047" s="28" t="s">
        <v>77</v>
      </c>
      <c r="F4047" s="28" t="s">
        <v>77</v>
      </c>
      <c r="G4047" s="28" t="s">
        <v>77</v>
      </c>
      <c r="I4047" s="26" t="s">
        <v>77</v>
      </c>
      <c r="J4047" s="26" t="s">
        <v>77</v>
      </c>
      <c r="K4047" s="18"/>
      <c r="L4047" s="26" t="s">
        <v>77</v>
      </c>
      <c r="M4047" s="6" t="s">
        <v>77</v>
      </c>
      <c r="N4047" s="28" t="s">
        <v>77</v>
      </c>
      <c r="O4047" s="26" t="s">
        <v>77</v>
      </c>
    </row>
    <row r="4048">
      <c r="A4048" s="52" t="s">
        <v>77</v>
      </c>
      <c r="B4048" s="28" t="s">
        <v>77</v>
      </c>
      <c r="C4048" s="28" t="s">
        <v>77</v>
      </c>
      <c r="D4048" s="28" t="s">
        <v>77</v>
      </c>
      <c r="E4048" s="28" t="s">
        <v>77</v>
      </c>
      <c r="F4048" s="28" t="s">
        <v>77</v>
      </c>
      <c r="G4048" s="28" t="s">
        <v>77</v>
      </c>
      <c r="I4048" s="26" t="s">
        <v>77</v>
      </c>
      <c r="J4048" s="26" t="s">
        <v>77</v>
      </c>
      <c r="K4048" s="18"/>
      <c r="L4048" s="26" t="s">
        <v>77</v>
      </c>
      <c r="M4048" s="6" t="s">
        <v>77</v>
      </c>
      <c r="N4048" s="28" t="s">
        <v>77</v>
      </c>
      <c r="O4048" s="26" t="s">
        <v>77</v>
      </c>
    </row>
    <row r="4049">
      <c r="A4049" s="52" t="s">
        <v>77</v>
      </c>
      <c r="B4049" s="28" t="s">
        <v>77</v>
      </c>
      <c r="C4049" s="28" t="s">
        <v>77</v>
      </c>
      <c r="D4049" s="28" t="s">
        <v>77</v>
      </c>
      <c r="E4049" s="28" t="s">
        <v>77</v>
      </c>
      <c r="F4049" s="28" t="s">
        <v>77</v>
      </c>
      <c r="G4049" s="28" t="s">
        <v>77</v>
      </c>
      <c r="I4049" s="26" t="s">
        <v>77</v>
      </c>
      <c r="J4049" s="26" t="s">
        <v>77</v>
      </c>
      <c r="K4049" s="18"/>
      <c r="L4049" s="26" t="s">
        <v>77</v>
      </c>
      <c r="M4049" s="6" t="s">
        <v>77</v>
      </c>
      <c r="N4049" s="28" t="s">
        <v>77</v>
      </c>
      <c r="O4049" s="26" t="s">
        <v>77</v>
      </c>
    </row>
    <row r="4050">
      <c r="A4050" s="52" t="s">
        <v>77</v>
      </c>
      <c r="B4050" s="28" t="s">
        <v>77</v>
      </c>
      <c r="C4050" s="28" t="s">
        <v>77</v>
      </c>
      <c r="D4050" s="28" t="s">
        <v>77</v>
      </c>
      <c r="E4050" s="28" t="s">
        <v>77</v>
      </c>
      <c r="F4050" s="28" t="s">
        <v>77</v>
      </c>
      <c r="G4050" s="28" t="s">
        <v>77</v>
      </c>
      <c r="I4050" s="26" t="s">
        <v>77</v>
      </c>
      <c r="J4050" s="26" t="s">
        <v>77</v>
      </c>
      <c r="K4050" s="18"/>
      <c r="L4050" s="26" t="s">
        <v>77</v>
      </c>
      <c r="M4050" s="6" t="s">
        <v>77</v>
      </c>
      <c r="N4050" s="28" t="s">
        <v>77</v>
      </c>
      <c r="O4050" s="26" t="s">
        <v>77</v>
      </c>
    </row>
    <row r="4051">
      <c r="A4051" s="52" t="s">
        <v>77</v>
      </c>
      <c r="B4051" s="28" t="s">
        <v>77</v>
      </c>
      <c r="C4051" s="28" t="s">
        <v>77</v>
      </c>
      <c r="D4051" s="28" t="s">
        <v>77</v>
      </c>
      <c r="E4051" s="28" t="s">
        <v>77</v>
      </c>
      <c r="F4051" s="28" t="s">
        <v>77</v>
      </c>
      <c r="G4051" s="28" t="s">
        <v>77</v>
      </c>
      <c r="I4051" s="26" t="s">
        <v>77</v>
      </c>
      <c r="J4051" s="26" t="s">
        <v>77</v>
      </c>
      <c r="K4051" s="18"/>
      <c r="L4051" s="26" t="s">
        <v>77</v>
      </c>
      <c r="M4051" s="6" t="s">
        <v>77</v>
      </c>
      <c r="N4051" s="28" t="s">
        <v>77</v>
      </c>
      <c r="O4051" s="26" t="s">
        <v>77</v>
      </c>
    </row>
    <row r="4052">
      <c r="A4052" s="52" t="s">
        <v>77</v>
      </c>
      <c r="B4052" s="28" t="s">
        <v>77</v>
      </c>
      <c r="C4052" s="28" t="s">
        <v>77</v>
      </c>
      <c r="D4052" s="28" t="s">
        <v>77</v>
      </c>
      <c r="E4052" s="28" t="s">
        <v>77</v>
      </c>
      <c r="F4052" s="28" t="s">
        <v>77</v>
      </c>
      <c r="G4052" s="28" t="s">
        <v>77</v>
      </c>
      <c r="I4052" s="26" t="s">
        <v>77</v>
      </c>
      <c r="J4052" s="26" t="s">
        <v>77</v>
      </c>
      <c r="K4052" s="18"/>
      <c r="L4052" s="26" t="s">
        <v>77</v>
      </c>
      <c r="M4052" s="6" t="s">
        <v>77</v>
      </c>
      <c r="N4052" s="28" t="s">
        <v>77</v>
      </c>
      <c r="O4052" s="26" t="s">
        <v>77</v>
      </c>
    </row>
    <row r="4053">
      <c r="A4053" s="52" t="s">
        <v>77</v>
      </c>
      <c r="B4053" s="28" t="s">
        <v>77</v>
      </c>
      <c r="C4053" s="28" t="s">
        <v>77</v>
      </c>
      <c r="D4053" s="28" t="s">
        <v>77</v>
      </c>
      <c r="E4053" s="28" t="s">
        <v>77</v>
      </c>
      <c r="F4053" s="28" t="s">
        <v>77</v>
      </c>
      <c r="G4053" s="28" t="s">
        <v>77</v>
      </c>
      <c r="I4053" s="26" t="s">
        <v>77</v>
      </c>
      <c r="J4053" s="26" t="s">
        <v>77</v>
      </c>
      <c r="K4053" s="18"/>
      <c r="L4053" s="26" t="s">
        <v>77</v>
      </c>
      <c r="M4053" s="6" t="s">
        <v>77</v>
      </c>
      <c r="N4053" s="28" t="s">
        <v>77</v>
      </c>
      <c r="O4053" s="26" t="s">
        <v>77</v>
      </c>
    </row>
    <row r="4054">
      <c r="A4054" s="52" t="s">
        <v>77</v>
      </c>
      <c r="B4054" s="28" t="s">
        <v>77</v>
      </c>
      <c r="C4054" s="28" t="s">
        <v>77</v>
      </c>
      <c r="D4054" s="28" t="s">
        <v>77</v>
      </c>
      <c r="E4054" s="28" t="s">
        <v>77</v>
      </c>
      <c r="F4054" s="28" t="s">
        <v>77</v>
      </c>
      <c r="G4054" s="28" t="s">
        <v>77</v>
      </c>
      <c r="I4054" s="26" t="s">
        <v>77</v>
      </c>
      <c r="J4054" s="26" t="s">
        <v>77</v>
      </c>
      <c r="K4054" s="18"/>
      <c r="L4054" s="26" t="s">
        <v>77</v>
      </c>
      <c r="M4054" s="6" t="s">
        <v>77</v>
      </c>
      <c r="N4054" s="28" t="s">
        <v>77</v>
      </c>
      <c r="O4054" s="26" t="s">
        <v>77</v>
      </c>
    </row>
    <row r="4055">
      <c r="A4055" s="52" t="s">
        <v>77</v>
      </c>
      <c r="B4055" s="28" t="s">
        <v>77</v>
      </c>
      <c r="C4055" s="28" t="s">
        <v>77</v>
      </c>
      <c r="D4055" s="28" t="s">
        <v>77</v>
      </c>
      <c r="E4055" s="28" t="s">
        <v>77</v>
      </c>
      <c r="F4055" s="28" t="s">
        <v>77</v>
      </c>
      <c r="G4055" s="28" t="s">
        <v>77</v>
      </c>
      <c r="I4055" s="26" t="s">
        <v>77</v>
      </c>
      <c r="J4055" s="26" t="s">
        <v>77</v>
      </c>
      <c r="K4055" s="18"/>
      <c r="L4055" s="26" t="s">
        <v>77</v>
      </c>
      <c r="M4055" s="6" t="s">
        <v>77</v>
      </c>
      <c r="N4055" s="28" t="s">
        <v>77</v>
      </c>
      <c r="O4055" s="26" t="s">
        <v>77</v>
      </c>
    </row>
    <row r="4056">
      <c r="A4056" s="52" t="s">
        <v>77</v>
      </c>
      <c r="B4056" s="28" t="s">
        <v>77</v>
      </c>
      <c r="C4056" s="28" t="s">
        <v>77</v>
      </c>
      <c r="D4056" s="28" t="s">
        <v>77</v>
      </c>
      <c r="E4056" s="28" t="s">
        <v>77</v>
      </c>
      <c r="F4056" s="28" t="s">
        <v>77</v>
      </c>
      <c r="G4056" s="28" t="s">
        <v>77</v>
      </c>
      <c r="I4056" s="26" t="s">
        <v>77</v>
      </c>
      <c r="J4056" s="26" t="s">
        <v>77</v>
      </c>
      <c r="K4056" s="18"/>
      <c r="L4056" s="26" t="s">
        <v>77</v>
      </c>
      <c r="M4056" s="6" t="s">
        <v>77</v>
      </c>
      <c r="N4056" s="28" t="s">
        <v>77</v>
      </c>
      <c r="O4056" s="26" t="s">
        <v>77</v>
      </c>
    </row>
    <row r="4057">
      <c r="A4057" s="52" t="s">
        <v>77</v>
      </c>
      <c r="B4057" s="28" t="s">
        <v>77</v>
      </c>
      <c r="C4057" s="28" t="s">
        <v>77</v>
      </c>
      <c r="D4057" s="28" t="s">
        <v>77</v>
      </c>
      <c r="E4057" s="28" t="s">
        <v>77</v>
      </c>
      <c r="F4057" s="28" t="s">
        <v>77</v>
      </c>
      <c r="G4057" s="28" t="s">
        <v>77</v>
      </c>
      <c r="I4057" s="26" t="s">
        <v>77</v>
      </c>
      <c r="J4057" s="26" t="s">
        <v>77</v>
      </c>
      <c r="K4057" s="18"/>
      <c r="L4057" s="26" t="s">
        <v>77</v>
      </c>
      <c r="M4057" s="6" t="s">
        <v>77</v>
      </c>
      <c r="N4057" s="28" t="s">
        <v>77</v>
      </c>
      <c r="O4057" s="26" t="s">
        <v>77</v>
      </c>
    </row>
    <row r="4058">
      <c r="A4058" s="52" t="s">
        <v>77</v>
      </c>
      <c r="B4058" s="28" t="s">
        <v>77</v>
      </c>
      <c r="C4058" s="28" t="s">
        <v>77</v>
      </c>
      <c r="D4058" s="28" t="s">
        <v>77</v>
      </c>
      <c r="E4058" s="28" t="s">
        <v>77</v>
      </c>
      <c r="F4058" s="28" t="s">
        <v>77</v>
      </c>
      <c r="G4058" s="28" t="s">
        <v>77</v>
      </c>
      <c r="I4058" s="26" t="s">
        <v>77</v>
      </c>
      <c r="J4058" s="26" t="s">
        <v>77</v>
      </c>
      <c r="K4058" s="18"/>
      <c r="L4058" s="26" t="s">
        <v>77</v>
      </c>
      <c r="M4058" s="6" t="s">
        <v>77</v>
      </c>
      <c r="N4058" s="28" t="s">
        <v>77</v>
      </c>
      <c r="O4058" s="26" t="s">
        <v>77</v>
      </c>
    </row>
    <row r="4059">
      <c r="A4059" s="52" t="s">
        <v>77</v>
      </c>
      <c r="B4059" s="28" t="s">
        <v>77</v>
      </c>
      <c r="C4059" s="28" t="s">
        <v>77</v>
      </c>
      <c r="D4059" s="28" t="s">
        <v>77</v>
      </c>
      <c r="E4059" s="28" t="s">
        <v>77</v>
      </c>
      <c r="F4059" s="28" t="s">
        <v>77</v>
      </c>
      <c r="G4059" s="28" t="s">
        <v>77</v>
      </c>
      <c r="I4059" s="26" t="s">
        <v>77</v>
      </c>
      <c r="J4059" s="26" t="s">
        <v>77</v>
      </c>
      <c r="K4059" s="18"/>
      <c r="L4059" s="26" t="s">
        <v>77</v>
      </c>
      <c r="M4059" s="6" t="s">
        <v>77</v>
      </c>
      <c r="N4059" s="28" t="s">
        <v>77</v>
      </c>
      <c r="O4059" s="26" t="s">
        <v>77</v>
      </c>
    </row>
    <row r="4060">
      <c r="A4060" s="52" t="s">
        <v>77</v>
      </c>
      <c r="B4060" s="28" t="s">
        <v>77</v>
      </c>
      <c r="C4060" s="28" t="s">
        <v>77</v>
      </c>
      <c r="D4060" s="28" t="s">
        <v>77</v>
      </c>
      <c r="E4060" s="28" t="s">
        <v>77</v>
      </c>
      <c r="F4060" s="28" t="s">
        <v>77</v>
      </c>
      <c r="G4060" s="28" t="s">
        <v>77</v>
      </c>
      <c r="I4060" s="26" t="s">
        <v>77</v>
      </c>
      <c r="J4060" s="26" t="s">
        <v>77</v>
      </c>
      <c r="K4060" s="18"/>
      <c r="L4060" s="26" t="s">
        <v>77</v>
      </c>
      <c r="M4060" s="6" t="s">
        <v>77</v>
      </c>
      <c r="N4060" s="28" t="s">
        <v>77</v>
      </c>
      <c r="O4060" s="26" t="s">
        <v>77</v>
      </c>
    </row>
    <row r="4061">
      <c r="A4061" s="52" t="s">
        <v>77</v>
      </c>
      <c r="B4061" s="28" t="s">
        <v>77</v>
      </c>
      <c r="C4061" s="28" t="s">
        <v>77</v>
      </c>
      <c r="D4061" s="28" t="s">
        <v>77</v>
      </c>
      <c r="E4061" s="28" t="s">
        <v>77</v>
      </c>
      <c r="F4061" s="28" t="s">
        <v>77</v>
      </c>
      <c r="G4061" s="28" t="s">
        <v>77</v>
      </c>
      <c r="I4061" s="26" t="s">
        <v>77</v>
      </c>
      <c r="J4061" s="26" t="s">
        <v>77</v>
      </c>
      <c r="K4061" s="18"/>
      <c r="L4061" s="26" t="s">
        <v>77</v>
      </c>
      <c r="M4061" s="6" t="s">
        <v>77</v>
      </c>
      <c r="N4061" s="28" t="s">
        <v>77</v>
      </c>
      <c r="O4061" s="26" t="s">
        <v>77</v>
      </c>
    </row>
    <row r="4062">
      <c r="A4062" s="52" t="s">
        <v>77</v>
      </c>
      <c r="B4062" s="28" t="s">
        <v>77</v>
      </c>
      <c r="C4062" s="28" t="s">
        <v>77</v>
      </c>
      <c r="D4062" s="28" t="s">
        <v>77</v>
      </c>
      <c r="E4062" s="28" t="s">
        <v>77</v>
      </c>
      <c r="F4062" s="28" t="s">
        <v>77</v>
      </c>
      <c r="G4062" s="28" t="s">
        <v>77</v>
      </c>
      <c r="I4062" s="26" t="s">
        <v>77</v>
      </c>
      <c r="J4062" s="26" t="s">
        <v>77</v>
      </c>
      <c r="K4062" s="18"/>
      <c r="L4062" s="26" t="s">
        <v>77</v>
      </c>
      <c r="M4062" s="6" t="s">
        <v>77</v>
      </c>
      <c r="N4062" s="28" t="s">
        <v>77</v>
      </c>
      <c r="O4062" s="26" t="s">
        <v>77</v>
      </c>
    </row>
    <row r="4063">
      <c r="A4063" s="52" t="s">
        <v>77</v>
      </c>
      <c r="B4063" s="28" t="s">
        <v>77</v>
      </c>
      <c r="C4063" s="28" t="s">
        <v>77</v>
      </c>
      <c r="D4063" s="28" t="s">
        <v>77</v>
      </c>
      <c r="E4063" s="28" t="s">
        <v>77</v>
      </c>
      <c r="F4063" s="28" t="s">
        <v>77</v>
      </c>
      <c r="G4063" s="28" t="s">
        <v>77</v>
      </c>
      <c r="I4063" s="26" t="s">
        <v>77</v>
      </c>
      <c r="J4063" s="26" t="s">
        <v>77</v>
      </c>
      <c r="K4063" s="18"/>
      <c r="L4063" s="26" t="s">
        <v>77</v>
      </c>
      <c r="M4063" s="6" t="s">
        <v>77</v>
      </c>
      <c r="N4063" s="28" t="s">
        <v>77</v>
      </c>
      <c r="O4063" s="26" t="s">
        <v>77</v>
      </c>
    </row>
    <row r="4064">
      <c r="A4064" s="52" t="s">
        <v>77</v>
      </c>
      <c r="B4064" s="28" t="s">
        <v>77</v>
      </c>
      <c r="C4064" s="28" t="s">
        <v>77</v>
      </c>
      <c r="D4064" s="28" t="s">
        <v>77</v>
      </c>
      <c r="E4064" s="28" t="s">
        <v>77</v>
      </c>
      <c r="F4064" s="28" t="s">
        <v>77</v>
      </c>
      <c r="G4064" s="28" t="s">
        <v>77</v>
      </c>
      <c r="I4064" s="26" t="s">
        <v>77</v>
      </c>
      <c r="J4064" s="26" t="s">
        <v>77</v>
      </c>
      <c r="K4064" s="18"/>
      <c r="L4064" s="26" t="s">
        <v>77</v>
      </c>
      <c r="M4064" s="6" t="s">
        <v>77</v>
      </c>
      <c r="N4064" s="28" t="s">
        <v>77</v>
      </c>
      <c r="O4064" s="26" t="s">
        <v>77</v>
      </c>
    </row>
    <row r="4065">
      <c r="A4065" s="52" t="s">
        <v>77</v>
      </c>
      <c r="B4065" s="28" t="s">
        <v>77</v>
      </c>
      <c r="C4065" s="28" t="s">
        <v>77</v>
      </c>
      <c r="D4065" s="28" t="s">
        <v>77</v>
      </c>
      <c r="E4065" s="28" t="s">
        <v>77</v>
      </c>
      <c r="F4065" s="28" t="s">
        <v>77</v>
      </c>
      <c r="G4065" s="28" t="s">
        <v>77</v>
      </c>
      <c r="I4065" s="26" t="s">
        <v>77</v>
      </c>
      <c r="J4065" s="26" t="s">
        <v>77</v>
      </c>
      <c r="K4065" s="18"/>
      <c r="L4065" s="26" t="s">
        <v>77</v>
      </c>
      <c r="M4065" s="6" t="s">
        <v>77</v>
      </c>
      <c r="N4065" s="28" t="s">
        <v>77</v>
      </c>
      <c r="O4065" s="26" t="s">
        <v>77</v>
      </c>
    </row>
    <row r="4066">
      <c r="A4066" s="52" t="s">
        <v>77</v>
      </c>
      <c r="B4066" s="28" t="s">
        <v>77</v>
      </c>
      <c r="C4066" s="28" t="s">
        <v>77</v>
      </c>
      <c r="D4066" s="28" t="s">
        <v>77</v>
      </c>
      <c r="E4066" s="28" t="s">
        <v>77</v>
      </c>
      <c r="F4066" s="28" t="s">
        <v>77</v>
      </c>
      <c r="G4066" s="28" t="s">
        <v>77</v>
      </c>
      <c r="I4066" s="26" t="s">
        <v>77</v>
      </c>
      <c r="J4066" s="26" t="s">
        <v>77</v>
      </c>
      <c r="K4066" s="18"/>
      <c r="L4066" s="26" t="s">
        <v>77</v>
      </c>
      <c r="M4066" s="6" t="s">
        <v>77</v>
      </c>
      <c r="N4066" s="28" t="s">
        <v>77</v>
      </c>
      <c r="O4066" s="26" t="s">
        <v>77</v>
      </c>
    </row>
    <row r="4067">
      <c r="A4067" s="52" t="s">
        <v>77</v>
      </c>
      <c r="B4067" s="28" t="s">
        <v>77</v>
      </c>
      <c r="C4067" s="28" t="s">
        <v>77</v>
      </c>
      <c r="D4067" s="28" t="s">
        <v>77</v>
      </c>
      <c r="E4067" s="28" t="s">
        <v>77</v>
      </c>
      <c r="F4067" s="28" t="s">
        <v>77</v>
      </c>
      <c r="G4067" s="28" t="s">
        <v>77</v>
      </c>
      <c r="I4067" s="26" t="s">
        <v>77</v>
      </c>
      <c r="J4067" s="26" t="s">
        <v>77</v>
      </c>
      <c r="K4067" s="18"/>
      <c r="L4067" s="26" t="s">
        <v>77</v>
      </c>
      <c r="M4067" s="6" t="s">
        <v>77</v>
      </c>
      <c r="N4067" s="28" t="s">
        <v>77</v>
      </c>
      <c r="O4067" s="26" t="s">
        <v>77</v>
      </c>
    </row>
    <row r="4068">
      <c r="A4068" s="52" t="s">
        <v>77</v>
      </c>
      <c r="B4068" s="28" t="s">
        <v>77</v>
      </c>
      <c r="C4068" s="28" t="s">
        <v>77</v>
      </c>
      <c r="D4068" s="28" t="s">
        <v>77</v>
      </c>
      <c r="E4068" s="28" t="s">
        <v>77</v>
      </c>
      <c r="F4068" s="28" t="s">
        <v>77</v>
      </c>
      <c r="G4068" s="28" t="s">
        <v>77</v>
      </c>
      <c r="I4068" s="26" t="s">
        <v>77</v>
      </c>
      <c r="J4068" s="26" t="s">
        <v>77</v>
      </c>
      <c r="K4068" s="18"/>
      <c r="L4068" s="26" t="s">
        <v>77</v>
      </c>
      <c r="M4068" s="6" t="s">
        <v>77</v>
      </c>
      <c r="N4068" s="28" t="s">
        <v>77</v>
      </c>
      <c r="O4068" s="26" t="s">
        <v>77</v>
      </c>
    </row>
    <row r="4069">
      <c r="A4069" s="52" t="s">
        <v>77</v>
      </c>
      <c r="B4069" s="28" t="s">
        <v>77</v>
      </c>
      <c r="C4069" s="28" t="s">
        <v>77</v>
      </c>
      <c r="D4069" s="28" t="s">
        <v>77</v>
      </c>
      <c r="E4069" s="28" t="s">
        <v>77</v>
      </c>
      <c r="F4069" s="28" t="s">
        <v>77</v>
      </c>
      <c r="G4069" s="28" t="s">
        <v>77</v>
      </c>
      <c r="I4069" s="26" t="s">
        <v>77</v>
      </c>
      <c r="J4069" s="26" t="s">
        <v>77</v>
      </c>
      <c r="K4069" s="18"/>
      <c r="L4069" s="26" t="s">
        <v>77</v>
      </c>
      <c r="M4069" s="6" t="s">
        <v>77</v>
      </c>
      <c r="N4069" s="28" t="s">
        <v>77</v>
      </c>
      <c r="O4069" s="26" t="s">
        <v>77</v>
      </c>
    </row>
    <row r="4070">
      <c r="A4070" s="52" t="s">
        <v>77</v>
      </c>
      <c r="B4070" s="28" t="s">
        <v>77</v>
      </c>
      <c r="C4070" s="28" t="s">
        <v>77</v>
      </c>
      <c r="D4070" s="28" t="s">
        <v>77</v>
      </c>
      <c r="E4070" s="28" t="s">
        <v>77</v>
      </c>
      <c r="F4070" s="28" t="s">
        <v>77</v>
      </c>
      <c r="G4070" s="28" t="s">
        <v>77</v>
      </c>
      <c r="I4070" s="26" t="s">
        <v>77</v>
      </c>
      <c r="J4070" s="26" t="s">
        <v>77</v>
      </c>
      <c r="K4070" s="18"/>
      <c r="L4070" s="26" t="s">
        <v>77</v>
      </c>
      <c r="M4070" s="6" t="s">
        <v>77</v>
      </c>
      <c r="N4070" s="28" t="s">
        <v>77</v>
      </c>
      <c r="O4070" s="26" t="s">
        <v>77</v>
      </c>
    </row>
    <row r="4071">
      <c r="A4071" s="52" t="s">
        <v>77</v>
      </c>
      <c r="B4071" s="28" t="s">
        <v>77</v>
      </c>
      <c r="C4071" s="28" t="s">
        <v>77</v>
      </c>
      <c r="D4071" s="28" t="s">
        <v>77</v>
      </c>
      <c r="E4071" s="28" t="s">
        <v>77</v>
      </c>
      <c r="F4071" s="28" t="s">
        <v>77</v>
      </c>
      <c r="G4071" s="28" t="s">
        <v>77</v>
      </c>
      <c r="I4071" s="26" t="s">
        <v>77</v>
      </c>
      <c r="J4071" s="26" t="s">
        <v>77</v>
      </c>
      <c r="K4071" s="18"/>
      <c r="L4071" s="26" t="s">
        <v>77</v>
      </c>
      <c r="M4071" s="6" t="s">
        <v>77</v>
      </c>
      <c r="N4071" s="28" t="s">
        <v>77</v>
      </c>
      <c r="O4071" s="26" t="s">
        <v>77</v>
      </c>
    </row>
    <row r="4072">
      <c r="A4072" s="52" t="s">
        <v>77</v>
      </c>
      <c r="B4072" s="28" t="s">
        <v>77</v>
      </c>
      <c r="C4072" s="28" t="s">
        <v>77</v>
      </c>
      <c r="D4072" s="28" t="s">
        <v>77</v>
      </c>
      <c r="E4072" s="28" t="s">
        <v>77</v>
      </c>
      <c r="F4072" s="28" t="s">
        <v>77</v>
      </c>
      <c r="G4072" s="28" t="s">
        <v>77</v>
      </c>
      <c r="I4072" s="26" t="s">
        <v>77</v>
      </c>
      <c r="J4072" s="26" t="s">
        <v>77</v>
      </c>
      <c r="K4072" s="18"/>
      <c r="L4072" s="26" t="s">
        <v>77</v>
      </c>
      <c r="M4072" s="6" t="s">
        <v>77</v>
      </c>
      <c r="N4072" s="28" t="s">
        <v>77</v>
      </c>
      <c r="O4072" s="26" t="s">
        <v>77</v>
      </c>
    </row>
    <row r="4073">
      <c r="A4073" s="52" t="s">
        <v>77</v>
      </c>
      <c r="B4073" s="28" t="s">
        <v>77</v>
      </c>
      <c r="C4073" s="28" t="s">
        <v>77</v>
      </c>
      <c r="D4073" s="28" t="s">
        <v>77</v>
      </c>
      <c r="E4073" s="28" t="s">
        <v>77</v>
      </c>
      <c r="F4073" s="28" t="s">
        <v>77</v>
      </c>
      <c r="G4073" s="28" t="s">
        <v>77</v>
      </c>
      <c r="I4073" s="26" t="s">
        <v>77</v>
      </c>
      <c r="J4073" s="26" t="s">
        <v>77</v>
      </c>
      <c r="K4073" s="18"/>
      <c r="L4073" s="26" t="s">
        <v>77</v>
      </c>
      <c r="M4073" s="6" t="s">
        <v>77</v>
      </c>
      <c r="N4073" s="28" t="s">
        <v>77</v>
      </c>
      <c r="O4073" s="26" t="s">
        <v>77</v>
      </c>
    </row>
    <row r="4074">
      <c r="A4074" s="52" t="s">
        <v>77</v>
      </c>
      <c r="B4074" s="28" t="s">
        <v>77</v>
      </c>
      <c r="C4074" s="28" t="s">
        <v>77</v>
      </c>
      <c r="D4074" s="28" t="s">
        <v>77</v>
      </c>
      <c r="E4074" s="28" t="s">
        <v>77</v>
      </c>
      <c r="F4074" s="28" t="s">
        <v>77</v>
      </c>
      <c r="G4074" s="28" t="s">
        <v>77</v>
      </c>
      <c r="I4074" s="26" t="s">
        <v>77</v>
      </c>
      <c r="J4074" s="26" t="s">
        <v>77</v>
      </c>
      <c r="K4074" s="18"/>
      <c r="L4074" s="26" t="s">
        <v>77</v>
      </c>
      <c r="M4074" s="6" t="s">
        <v>77</v>
      </c>
      <c r="N4074" s="28" t="s">
        <v>77</v>
      </c>
      <c r="O4074" s="26" t="s">
        <v>77</v>
      </c>
    </row>
    <row r="4075">
      <c r="A4075" s="52" t="s">
        <v>77</v>
      </c>
      <c r="B4075" s="28" t="s">
        <v>77</v>
      </c>
      <c r="C4075" s="28" t="s">
        <v>77</v>
      </c>
      <c r="D4075" s="28" t="s">
        <v>77</v>
      </c>
      <c r="E4075" s="28" t="s">
        <v>77</v>
      </c>
      <c r="F4075" s="28" t="s">
        <v>77</v>
      </c>
      <c r="G4075" s="28" t="s">
        <v>77</v>
      </c>
      <c r="I4075" s="26" t="s">
        <v>77</v>
      </c>
      <c r="J4075" s="26" t="s">
        <v>77</v>
      </c>
      <c r="K4075" s="18"/>
      <c r="L4075" s="26" t="s">
        <v>77</v>
      </c>
      <c r="M4075" s="6" t="s">
        <v>77</v>
      </c>
      <c r="N4075" s="28" t="s">
        <v>77</v>
      </c>
      <c r="O4075" s="26" t="s">
        <v>77</v>
      </c>
    </row>
    <row r="4076">
      <c r="A4076" s="52" t="s">
        <v>77</v>
      </c>
      <c r="B4076" s="28" t="s">
        <v>77</v>
      </c>
      <c r="C4076" s="28" t="s">
        <v>77</v>
      </c>
      <c r="D4076" s="28" t="s">
        <v>77</v>
      </c>
      <c r="E4076" s="28" t="s">
        <v>77</v>
      </c>
      <c r="F4076" s="28" t="s">
        <v>77</v>
      </c>
      <c r="G4076" s="28" t="s">
        <v>77</v>
      </c>
      <c r="I4076" s="26" t="s">
        <v>77</v>
      </c>
      <c r="J4076" s="26" t="s">
        <v>77</v>
      </c>
      <c r="K4076" s="18"/>
      <c r="L4076" s="26" t="s">
        <v>77</v>
      </c>
      <c r="M4076" s="6" t="s">
        <v>77</v>
      </c>
      <c r="N4076" s="28" t="s">
        <v>77</v>
      </c>
      <c r="O4076" s="26" t="s">
        <v>77</v>
      </c>
    </row>
    <row r="4077">
      <c r="A4077" s="52" t="s">
        <v>77</v>
      </c>
      <c r="B4077" s="28" t="s">
        <v>77</v>
      </c>
      <c r="C4077" s="28" t="s">
        <v>77</v>
      </c>
      <c r="D4077" s="28" t="s">
        <v>77</v>
      </c>
      <c r="E4077" s="28" t="s">
        <v>77</v>
      </c>
      <c r="F4077" s="28" t="s">
        <v>77</v>
      </c>
      <c r="G4077" s="28" t="s">
        <v>77</v>
      </c>
      <c r="I4077" s="26" t="s">
        <v>77</v>
      </c>
      <c r="J4077" s="26" t="s">
        <v>77</v>
      </c>
      <c r="K4077" s="18"/>
      <c r="L4077" s="26" t="s">
        <v>77</v>
      </c>
      <c r="M4077" s="6" t="s">
        <v>77</v>
      </c>
      <c r="N4077" s="28" t="s">
        <v>77</v>
      </c>
      <c r="O4077" s="26" t="s">
        <v>77</v>
      </c>
    </row>
    <row r="4078">
      <c r="A4078" s="52" t="s">
        <v>77</v>
      </c>
      <c r="B4078" s="28" t="s">
        <v>77</v>
      </c>
      <c r="C4078" s="28" t="s">
        <v>77</v>
      </c>
      <c r="D4078" s="28" t="s">
        <v>77</v>
      </c>
      <c r="E4078" s="28" t="s">
        <v>77</v>
      </c>
      <c r="F4078" s="28" t="s">
        <v>77</v>
      </c>
      <c r="G4078" s="28" t="s">
        <v>77</v>
      </c>
      <c r="I4078" s="26" t="s">
        <v>77</v>
      </c>
      <c r="J4078" s="26" t="s">
        <v>77</v>
      </c>
      <c r="K4078" s="18"/>
      <c r="L4078" s="26" t="s">
        <v>77</v>
      </c>
      <c r="M4078" s="6" t="s">
        <v>77</v>
      </c>
      <c r="N4078" s="28" t="s">
        <v>77</v>
      </c>
      <c r="O4078" s="26" t="s">
        <v>77</v>
      </c>
    </row>
    <row r="4079">
      <c r="A4079" s="52" t="s">
        <v>77</v>
      </c>
      <c r="B4079" s="28" t="s">
        <v>77</v>
      </c>
      <c r="C4079" s="28" t="s">
        <v>77</v>
      </c>
      <c r="D4079" s="28" t="s">
        <v>77</v>
      </c>
      <c r="E4079" s="28" t="s">
        <v>77</v>
      </c>
      <c r="F4079" s="28" t="s">
        <v>77</v>
      </c>
      <c r="G4079" s="28" t="s">
        <v>77</v>
      </c>
      <c r="I4079" s="26" t="s">
        <v>77</v>
      </c>
      <c r="J4079" s="26" t="s">
        <v>77</v>
      </c>
      <c r="K4079" s="18"/>
      <c r="L4079" s="26" t="s">
        <v>77</v>
      </c>
      <c r="M4079" s="6" t="s">
        <v>77</v>
      </c>
      <c r="N4079" s="28" t="s">
        <v>77</v>
      </c>
      <c r="O4079" s="26" t="s">
        <v>77</v>
      </c>
    </row>
    <row r="4080">
      <c r="A4080" s="52" t="s">
        <v>77</v>
      </c>
      <c r="B4080" s="28" t="s">
        <v>77</v>
      </c>
      <c r="C4080" s="28" t="s">
        <v>77</v>
      </c>
      <c r="D4080" s="28" t="s">
        <v>77</v>
      </c>
      <c r="E4080" s="28" t="s">
        <v>77</v>
      </c>
      <c r="F4080" s="28" t="s">
        <v>77</v>
      </c>
      <c r="G4080" s="28" t="s">
        <v>77</v>
      </c>
      <c r="I4080" s="26" t="s">
        <v>77</v>
      </c>
      <c r="J4080" s="26" t="s">
        <v>77</v>
      </c>
      <c r="K4080" s="18"/>
      <c r="L4080" s="26" t="s">
        <v>77</v>
      </c>
      <c r="M4080" s="6" t="s">
        <v>77</v>
      </c>
      <c r="N4080" s="28" t="s">
        <v>77</v>
      </c>
      <c r="O4080" s="26" t="s">
        <v>77</v>
      </c>
    </row>
    <row r="4081">
      <c r="A4081" s="52" t="s">
        <v>77</v>
      </c>
      <c r="B4081" s="28" t="s">
        <v>77</v>
      </c>
      <c r="C4081" s="28" t="s">
        <v>77</v>
      </c>
      <c r="D4081" s="28" t="s">
        <v>77</v>
      </c>
      <c r="E4081" s="28" t="s">
        <v>77</v>
      </c>
      <c r="F4081" s="28" t="s">
        <v>77</v>
      </c>
      <c r="G4081" s="28" t="s">
        <v>77</v>
      </c>
      <c r="I4081" s="26" t="s">
        <v>77</v>
      </c>
      <c r="J4081" s="26" t="s">
        <v>77</v>
      </c>
      <c r="K4081" s="18"/>
      <c r="L4081" s="26" t="s">
        <v>77</v>
      </c>
      <c r="M4081" s="6" t="s">
        <v>77</v>
      </c>
      <c r="N4081" s="28" t="s">
        <v>77</v>
      </c>
      <c r="O4081" s="26" t="s">
        <v>77</v>
      </c>
    </row>
    <row r="4082">
      <c r="A4082" s="52" t="s">
        <v>77</v>
      </c>
      <c r="B4082" s="28" t="s">
        <v>77</v>
      </c>
      <c r="C4082" s="28" t="s">
        <v>77</v>
      </c>
      <c r="D4082" s="28" t="s">
        <v>77</v>
      </c>
      <c r="E4082" s="28" t="s">
        <v>77</v>
      </c>
      <c r="F4082" s="28" t="s">
        <v>77</v>
      </c>
      <c r="G4082" s="28" t="s">
        <v>77</v>
      </c>
      <c r="I4082" s="26" t="s">
        <v>77</v>
      </c>
      <c r="J4082" s="26" t="s">
        <v>77</v>
      </c>
      <c r="K4082" s="18"/>
      <c r="L4082" s="26" t="s">
        <v>77</v>
      </c>
      <c r="M4082" s="6" t="s">
        <v>77</v>
      </c>
      <c r="N4082" s="28" t="s">
        <v>77</v>
      </c>
      <c r="O4082" s="26" t="s">
        <v>77</v>
      </c>
    </row>
    <row r="4083">
      <c r="A4083" s="52" t="s">
        <v>77</v>
      </c>
      <c r="B4083" s="28" t="s">
        <v>77</v>
      </c>
      <c r="C4083" s="28" t="s">
        <v>77</v>
      </c>
      <c r="D4083" s="28" t="s">
        <v>77</v>
      </c>
      <c r="E4083" s="28" t="s">
        <v>77</v>
      </c>
      <c r="F4083" s="28" t="s">
        <v>77</v>
      </c>
      <c r="G4083" s="28" t="s">
        <v>77</v>
      </c>
      <c r="I4083" s="26" t="s">
        <v>77</v>
      </c>
      <c r="J4083" s="26" t="s">
        <v>77</v>
      </c>
      <c r="K4083" s="18"/>
      <c r="L4083" s="26" t="s">
        <v>77</v>
      </c>
      <c r="M4083" s="6" t="s">
        <v>77</v>
      </c>
      <c r="N4083" s="28" t="s">
        <v>77</v>
      </c>
      <c r="O4083" s="26" t="s">
        <v>77</v>
      </c>
    </row>
    <row r="4084">
      <c r="A4084" s="52" t="s">
        <v>77</v>
      </c>
      <c r="B4084" s="28" t="s">
        <v>77</v>
      </c>
      <c r="C4084" s="28" t="s">
        <v>77</v>
      </c>
      <c r="D4084" s="28" t="s">
        <v>77</v>
      </c>
      <c r="E4084" s="28" t="s">
        <v>77</v>
      </c>
      <c r="F4084" s="28" t="s">
        <v>77</v>
      </c>
      <c r="G4084" s="28" t="s">
        <v>77</v>
      </c>
      <c r="I4084" s="26" t="s">
        <v>77</v>
      </c>
      <c r="J4084" s="26" t="s">
        <v>77</v>
      </c>
      <c r="K4084" s="18"/>
      <c r="L4084" s="26" t="s">
        <v>77</v>
      </c>
      <c r="M4084" s="6" t="s">
        <v>77</v>
      </c>
      <c r="N4084" s="28" t="s">
        <v>77</v>
      </c>
      <c r="O4084" s="26" t="s">
        <v>77</v>
      </c>
    </row>
    <row r="4085">
      <c r="A4085" s="52" t="s">
        <v>77</v>
      </c>
      <c r="B4085" s="28" t="s">
        <v>77</v>
      </c>
      <c r="C4085" s="28" t="s">
        <v>77</v>
      </c>
      <c r="D4085" s="28" t="s">
        <v>77</v>
      </c>
      <c r="E4085" s="28" t="s">
        <v>77</v>
      </c>
      <c r="F4085" s="28" t="s">
        <v>77</v>
      </c>
      <c r="G4085" s="28" t="s">
        <v>77</v>
      </c>
      <c r="I4085" s="26" t="s">
        <v>77</v>
      </c>
      <c r="J4085" s="26" t="s">
        <v>77</v>
      </c>
      <c r="K4085" s="18"/>
      <c r="L4085" s="26" t="s">
        <v>77</v>
      </c>
      <c r="M4085" s="6" t="s">
        <v>77</v>
      </c>
      <c r="N4085" s="28" t="s">
        <v>77</v>
      </c>
      <c r="O4085" s="26" t="s">
        <v>77</v>
      </c>
    </row>
    <row r="4086">
      <c r="A4086" s="52" t="s">
        <v>77</v>
      </c>
      <c r="B4086" s="28" t="s">
        <v>77</v>
      </c>
      <c r="C4086" s="28" t="s">
        <v>77</v>
      </c>
      <c r="D4086" s="28" t="s">
        <v>77</v>
      </c>
      <c r="E4086" s="28" t="s">
        <v>77</v>
      </c>
      <c r="F4086" s="28" t="s">
        <v>77</v>
      </c>
      <c r="G4086" s="28" t="s">
        <v>77</v>
      </c>
      <c r="I4086" s="26" t="s">
        <v>77</v>
      </c>
      <c r="J4086" s="26" t="s">
        <v>77</v>
      </c>
      <c r="K4086" s="18"/>
      <c r="L4086" s="26" t="s">
        <v>77</v>
      </c>
      <c r="M4086" s="6" t="s">
        <v>77</v>
      </c>
      <c r="N4086" s="28" t="s">
        <v>77</v>
      </c>
      <c r="O4086" s="26" t="s">
        <v>77</v>
      </c>
    </row>
    <row r="4087">
      <c r="A4087" s="52" t="s">
        <v>77</v>
      </c>
      <c r="B4087" s="28" t="s">
        <v>77</v>
      </c>
      <c r="C4087" s="28" t="s">
        <v>77</v>
      </c>
      <c r="D4087" s="28" t="s">
        <v>77</v>
      </c>
      <c r="E4087" s="28" t="s">
        <v>77</v>
      </c>
      <c r="F4087" s="28" t="s">
        <v>77</v>
      </c>
      <c r="G4087" s="28" t="s">
        <v>77</v>
      </c>
      <c r="I4087" s="26" t="s">
        <v>77</v>
      </c>
      <c r="J4087" s="26" t="s">
        <v>77</v>
      </c>
      <c r="K4087" s="18"/>
      <c r="L4087" s="26" t="s">
        <v>77</v>
      </c>
      <c r="M4087" s="6" t="s">
        <v>77</v>
      </c>
      <c r="N4087" s="28" t="s">
        <v>77</v>
      </c>
      <c r="O4087" s="26" t="s">
        <v>77</v>
      </c>
    </row>
    <row r="4088">
      <c r="A4088" s="52" t="s">
        <v>77</v>
      </c>
      <c r="B4088" s="28" t="s">
        <v>77</v>
      </c>
      <c r="C4088" s="28" t="s">
        <v>77</v>
      </c>
      <c r="D4088" s="28" t="s">
        <v>77</v>
      </c>
      <c r="E4088" s="28" t="s">
        <v>77</v>
      </c>
      <c r="F4088" s="28" t="s">
        <v>77</v>
      </c>
      <c r="G4088" s="28" t="s">
        <v>77</v>
      </c>
      <c r="I4088" s="26" t="s">
        <v>77</v>
      </c>
      <c r="J4088" s="26" t="s">
        <v>77</v>
      </c>
      <c r="K4088" s="18"/>
      <c r="L4088" s="26" t="s">
        <v>77</v>
      </c>
      <c r="M4088" s="6" t="s">
        <v>77</v>
      </c>
      <c r="N4088" s="28" t="s">
        <v>77</v>
      </c>
      <c r="O4088" s="26" t="s">
        <v>77</v>
      </c>
    </row>
    <row r="4089">
      <c r="A4089" s="52" t="s">
        <v>77</v>
      </c>
      <c r="B4089" s="28" t="s">
        <v>77</v>
      </c>
      <c r="C4089" s="28" t="s">
        <v>77</v>
      </c>
      <c r="D4089" s="28" t="s">
        <v>77</v>
      </c>
      <c r="E4089" s="28" t="s">
        <v>77</v>
      </c>
      <c r="F4089" s="28" t="s">
        <v>77</v>
      </c>
      <c r="G4089" s="28" t="s">
        <v>77</v>
      </c>
      <c r="I4089" s="26" t="s">
        <v>77</v>
      </c>
      <c r="J4089" s="26" t="s">
        <v>77</v>
      </c>
      <c r="K4089" s="18"/>
      <c r="L4089" s="26" t="s">
        <v>77</v>
      </c>
      <c r="M4089" s="6" t="s">
        <v>77</v>
      </c>
      <c r="N4089" s="28" t="s">
        <v>77</v>
      </c>
      <c r="O4089" s="26" t="s">
        <v>77</v>
      </c>
    </row>
    <row r="4090">
      <c r="A4090" s="52" t="s">
        <v>77</v>
      </c>
      <c r="B4090" s="28" t="s">
        <v>77</v>
      </c>
      <c r="C4090" s="28" t="s">
        <v>77</v>
      </c>
      <c r="D4090" s="28" t="s">
        <v>77</v>
      </c>
      <c r="E4090" s="28" t="s">
        <v>77</v>
      </c>
      <c r="F4090" s="28" t="s">
        <v>77</v>
      </c>
      <c r="G4090" s="28" t="s">
        <v>77</v>
      </c>
      <c r="I4090" s="26" t="s">
        <v>77</v>
      </c>
      <c r="J4090" s="26" t="s">
        <v>77</v>
      </c>
      <c r="K4090" s="18"/>
      <c r="L4090" s="26" t="s">
        <v>77</v>
      </c>
      <c r="M4090" s="6" t="s">
        <v>77</v>
      </c>
      <c r="N4090" s="28" t="s">
        <v>77</v>
      </c>
      <c r="O4090" s="26" t="s">
        <v>77</v>
      </c>
    </row>
    <row r="4091">
      <c r="A4091" s="52" t="s">
        <v>77</v>
      </c>
      <c r="B4091" s="28" t="s">
        <v>77</v>
      </c>
      <c r="C4091" s="28" t="s">
        <v>77</v>
      </c>
      <c r="D4091" s="28" t="s">
        <v>77</v>
      </c>
      <c r="E4091" s="28" t="s">
        <v>77</v>
      </c>
      <c r="F4091" s="28" t="s">
        <v>77</v>
      </c>
      <c r="G4091" s="28" t="s">
        <v>77</v>
      </c>
      <c r="I4091" s="26" t="s">
        <v>77</v>
      </c>
      <c r="J4091" s="26" t="s">
        <v>77</v>
      </c>
      <c r="K4091" s="18"/>
      <c r="L4091" s="26" t="s">
        <v>77</v>
      </c>
      <c r="M4091" s="6" t="s">
        <v>77</v>
      </c>
      <c r="N4091" s="28" t="s">
        <v>77</v>
      </c>
      <c r="O4091" s="26" t="s">
        <v>77</v>
      </c>
    </row>
    <row r="4092">
      <c r="A4092" s="52" t="s">
        <v>77</v>
      </c>
      <c r="B4092" s="28" t="s">
        <v>77</v>
      </c>
      <c r="C4092" s="28" t="s">
        <v>77</v>
      </c>
      <c r="D4092" s="28" t="s">
        <v>77</v>
      </c>
      <c r="E4092" s="28" t="s">
        <v>77</v>
      </c>
      <c r="F4092" s="28" t="s">
        <v>77</v>
      </c>
      <c r="G4092" s="28" t="s">
        <v>77</v>
      </c>
      <c r="I4092" s="26" t="s">
        <v>77</v>
      </c>
      <c r="J4092" s="26" t="s">
        <v>77</v>
      </c>
      <c r="K4092" s="18"/>
      <c r="L4092" s="26" t="s">
        <v>77</v>
      </c>
      <c r="M4092" s="6" t="s">
        <v>77</v>
      </c>
      <c r="N4092" s="28" t="s">
        <v>77</v>
      </c>
      <c r="O4092" s="26" t="s">
        <v>77</v>
      </c>
    </row>
    <row r="4093">
      <c r="A4093" s="52" t="s">
        <v>77</v>
      </c>
      <c r="B4093" s="28" t="s">
        <v>77</v>
      </c>
      <c r="C4093" s="28" t="s">
        <v>77</v>
      </c>
      <c r="D4093" s="28" t="s">
        <v>77</v>
      </c>
      <c r="E4093" s="28" t="s">
        <v>77</v>
      </c>
      <c r="F4093" s="28" t="s">
        <v>77</v>
      </c>
      <c r="G4093" s="28" t="s">
        <v>77</v>
      </c>
      <c r="I4093" s="26" t="s">
        <v>77</v>
      </c>
      <c r="J4093" s="26" t="s">
        <v>77</v>
      </c>
      <c r="K4093" s="18"/>
      <c r="L4093" s="26" t="s">
        <v>77</v>
      </c>
      <c r="M4093" s="6" t="s">
        <v>77</v>
      </c>
      <c r="N4093" s="28" t="s">
        <v>77</v>
      </c>
      <c r="O4093" s="26" t="s">
        <v>77</v>
      </c>
    </row>
    <row r="4094">
      <c r="A4094" s="52" t="s">
        <v>77</v>
      </c>
      <c r="B4094" s="28" t="s">
        <v>77</v>
      </c>
      <c r="C4094" s="28" t="s">
        <v>77</v>
      </c>
      <c r="D4094" s="28" t="s">
        <v>77</v>
      </c>
      <c r="E4094" s="28" t="s">
        <v>77</v>
      </c>
      <c r="F4094" s="28" t="s">
        <v>77</v>
      </c>
      <c r="G4094" s="28" t="s">
        <v>77</v>
      </c>
      <c r="I4094" s="26" t="s">
        <v>77</v>
      </c>
      <c r="J4094" s="26" t="s">
        <v>77</v>
      </c>
      <c r="K4094" s="18"/>
      <c r="L4094" s="26" t="s">
        <v>77</v>
      </c>
      <c r="M4094" s="6" t="s">
        <v>77</v>
      </c>
      <c r="N4094" s="28" t="s">
        <v>77</v>
      </c>
      <c r="O4094" s="26" t="s">
        <v>77</v>
      </c>
    </row>
    <row r="4095">
      <c r="A4095" s="52" t="s">
        <v>77</v>
      </c>
      <c r="B4095" s="28" t="s">
        <v>77</v>
      </c>
      <c r="C4095" s="28" t="s">
        <v>77</v>
      </c>
      <c r="D4095" s="28" t="s">
        <v>77</v>
      </c>
      <c r="E4095" s="28" t="s">
        <v>77</v>
      </c>
      <c r="F4095" s="28" t="s">
        <v>77</v>
      </c>
      <c r="G4095" s="28" t="s">
        <v>77</v>
      </c>
      <c r="I4095" s="26" t="s">
        <v>77</v>
      </c>
      <c r="J4095" s="26" t="s">
        <v>77</v>
      </c>
      <c r="K4095" s="18"/>
      <c r="L4095" s="26" t="s">
        <v>77</v>
      </c>
      <c r="M4095" s="6" t="s">
        <v>77</v>
      </c>
      <c r="N4095" s="28" t="s">
        <v>77</v>
      </c>
      <c r="O4095" s="26" t="s">
        <v>77</v>
      </c>
    </row>
    <row r="4096">
      <c r="A4096" s="52" t="s">
        <v>77</v>
      </c>
      <c r="B4096" s="28" t="s">
        <v>77</v>
      </c>
      <c r="C4096" s="28" t="s">
        <v>77</v>
      </c>
      <c r="D4096" s="28" t="s">
        <v>77</v>
      </c>
      <c r="E4096" s="28" t="s">
        <v>77</v>
      </c>
      <c r="F4096" s="28" t="s">
        <v>77</v>
      </c>
      <c r="G4096" s="28" t="s">
        <v>77</v>
      </c>
      <c r="I4096" s="26" t="s">
        <v>77</v>
      </c>
      <c r="J4096" s="26" t="s">
        <v>77</v>
      </c>
      <c r="K4096" s="18"/>
      <c r="L4096" s="26" t="s">
        <v>77</v>
      </c>
      <c r="M4096" s="6" t="s">
        <v>77</v>
      </c>
      <c r="N4096" s="28" t="s">
        <v>77</v>
      </c>
      <c r="O4096" s="26" t="s">
        <v>77</v>
      </c>
    </row>
    <row r="4097">
      <c r="A4097" s="52" t="s">
        <v>77</v>
      </c>
      <c r="B4097" s="28" t="s">
        <v>77</v>
      </c>
      <c r="C4097" s="28" t="s">
        <v>77</v>
      </c>
      <c r="D4097" s="28" t="s">
        <v>77</v>
      </c>
      <c r="E4097" s="28" t="s">
        <v>77</v>
      </c>
      <c r="F4097" s="28" t="s">
        <v>77</v>
      </c>
      <c r="G4097" s="28" t="s">
        <v>77</v>
      </c>
      <c r="I4097" s="26" t="s">
        <v>77</v>
      </c>
      <c r="J4097" s="26" t="s">
        <v>77</v>
      </c>
      <c r="K4097" s="18"/>
      <c r="L4097" s="26" t="s">
        <v>77</v>
      </c>
      <c r="M4097" s="6" t="s">
        <v>77</v>
      </c>
      <c r="N4097" s="28" t="s">
        <v>77</v>
      </c>
      <c r="O4097" s="26" t="s">
        <v>77</v>
      </c>
    </row>
    <row r="4098">
      <c r="A4098" s="52" t="s">
        <v>77</v>
      </c>
      <c r="B4098" s="28" t="s">
        <v>77</v>
      </c>
      <c r="C4098" s="28" t="s">
        <v>77</v>
      </c>
      <c r="D4098" s="28" t="s">
        <v>77</v>
      </c>
      <c r="E4098" s="28" t="s">
        <v>77</v>
      </c>
      <c r="F4098" s="28" t="s">
        <v>77</v>
      </c>
      <c r="G4098" s="28" t="s">
        <v>77</v>
      </c>
      <c r="I4098" s="26" t="s">
        <v>77</v>
      </c>
      <c r="J4098" s="26" t="s">
        <v>77</v>
      </c>
      <c r="K4098" s="18"/>
      <c r="L4098" s="26" t="s">
        <v>77</v>
      </c>
      <c r="M4098" s="6" t="s">
        <v>77</v>
      </c>
      <c r="N4098" s="28" t="s">
        <v>77</v>
      </c>
      <c r="O4098" s="26" t="s">
        <v>77</v>
      </c>
    </row>
    <row r="4099">
      <c r="A4099" s="52" t="s">
        <v>77</v>
      </c>
      <c r="B4099" s="28" t="s">
        <v>77</v>
      </c>
      <c r="C4099" s="28" t="s">
        <v>77</v>
      </c>
      <c r="D4099" s="28" t="s">
        <v>77</v>
      </c>
      <c r="E4099" s="28" t="s">
        <v>77</v>
      </c>
      <c r="F4099" s="28" t="s">
        <v>77</v>
      </c>
      <c r="G4099" s="28" t="s">
        <v>77</v>
      </c>
      <c r="I4099" s="26" t="s">
        <v>77</v>
      </c>
      <c r="J4099" s="26" t="s">
        <v>77</v>
      </c>
      <c r="K4099" s="18"/>
      <c r="L4099" s="26" t="s">
        <v>77</v>
      </c>
      <c r="M4099" s="6" t="s">
        <v>77</v>
      </c>
      <c r="N4099" s="28" t="s">
        <v>77</v>
      </c>
      <c r="O4099" s="26" t="s">
        <v>77</v>
      </c>
    </row>
    <row r="4100">
      <c r="A4100" s="52" t="s">
        <v>77</v>
      </c>
      <c r="B4100" s="28" t="s">
        <v>77</v>
      </c>
      <c r="C4100" s="28" t="s">
        <v>77</v>
      </c>
      <c r="D4100" s="28" t="s">
        <v>77</v>
      </c>
      <c r="E4100" s="28" t="s">
        <v>77</v>
      </c>
      <c r="F4100" s="28" t="s">
        <v>77</v>
      </c>
      <c r="G4100" s="28" t="s">
        <v>77</v>
      </c>
      <c r="I4100" s="26" t="s">
        <v>77</v>
      </c>
      <c r="J4100" s="26" t="s">
        <v>77</v>
      </c>
      <c r="K4100" s="18"/>
      <c r="L4100" s="26" t="s">
        <v>77</v>
      </c>
      <c r="M4100" s="6" t="s">
        <v>77</v>
      </c>
      <c r="N4100" s="28" t="s">
        <v>77</v>
      </c>
      <c r="O4100" s="26" t="s">
        <v>77</v>
      </c>
    </row>
    <row r="4101">
      <c r="A4101" s="52" t="s">
        <v>77</v>
      </c>
      <c r="B4101" s="28" t="s">
        <v>77</v>
      </c>
      <c r="C4101" s="28" t="s">
        <v>77</v>
      </c>
      <c r="D4101" s="28" t="s">
        <v>77</v>
      </c>
      <c r="E4101" s="28" t="s">
        <v>77</v>
      </c>
      <c r="F4101" s="28" t="s">
        <v>77</v>
      </c>
      <c r="G4101" s="28" t="s">
        <v>77</v>
      </c>
      <c r="I4101" s="26" t="s">
        <v>77</v>
      </c>
      <c r="J4101" s="26" t="s">
        <v>77</v>
      </c>
      <c r="K4101" s="18"/>
      <c r="L4101" s="26" t="s">
        <v>77</v>
      </c>
      <c r="M4101" s="6" t="s">
        <v>77</v>
      </c>
      <c r="N4101" s="28" t="s">
        <v>77</v>
      </c>
      <c r="O4101" s="26" t="s">
        <v>77</v>
      </c>
    </row>
    <row r="4102">
      <c r="A4102" s="52" t="s">
        <v>77</v>
      </c>
      <c r="B4102" s="28" t="s">
        <v>77</v>
      </c>
      <c r="C4102" s="28" t="s">
        <v>77</v>
      </c>
      <c r="D4102" s="28" t="s">
        <v>77</v>
      </c>
      <c r="E4102" s="28" t="s">
        <v>77</v>
      </c>
      <c r="F4102" s="28" t="s">
        <v>77</v>
      </c>
      <c r="G4102" s="28" t="s">
        <v>77</v>
      </c>
      <c r="I4102" s="26" t="s">
        <v>77</v>
      </c>
      <c r="J4102" s="26" t="s">
        <v>77</v>
      </c>
      <c r="K4102" s="18"/>
      <c r="L4102" s="26" t="s">
        <v>77</v>
      </c>
      <c r="M4102" s="6" t="s">
        <v>77</v>
      </c>
      <c r="N4102" s="28" t="s">
        <v>77</v>
      </c>
      <c r="O4102" s="26" t="s">
        <v>77</v>
      </c>
    </row>
    <row r="4103">
      <c r="A4103" s="52" t="s">
        <v>77</v>
      </c>
      <c r="B4103" s="28" t="s">
        <v>77</v>
      </c>
      <c r="C4103" s="28" t="s">
        <v>77</v>
      </c>
      <c r="D4103" s="28" t="s">
        <v>77</v>
      </c>
      <c r="E4103" s="28" t="s">
        <v>77</v>
      </c>
      <c r="F4103" s="28" t="s">
        <v>77</v>
      </c>
      <c r="G4103" s="28" t="s">
        <v>77</v>
      </c>
      <c r="I4103" s="26" t="s">
        <v>77</v>
      </c>
      <c r="J4103" s="26" t="s">
        <v>77</v>
      </c>
      <c r="K4103" s="18"/>
      <c r="L4103" s="26" t="s">
        <v>77</v>
      </c>
      <c r="M4103" s="6" t="s">
        <v>77</v>
      </c>
      <c r="N4103" s="28" t="s">
        <v>77</v>
      </c>
      <c r="O4103" s="26" t="s">
        <v>77</v>
      </c>
    </row>
    <row r="4104">
      <c r="A4104" s="52" t="s">
        <v>77</v>
      </c>
      <c r="B4104" s="28" t="s">
        <v>77</v>
      </c>
      <c r="C4104" s="28" t="s">
        <v>77</v>
      </c>
      <c r="D4104" s="28" t="s">
        <v>77</v>
      </c>
      <c r="E4104" s="28" t="s">
        <v>77</v>
      </c>
      <c r="F4104" s="28" t="s">
        <v>77</v>
      </c>
      <c r="G4104" s="28" t="s">
        <v>77</v>
      </c>
      <c r="I4104" s="26" t="s">
        <v>77</v>
      </c>
      <c r="J4104" s="26" t="s">
        <v>77</v>
      </c>
      <c r="K4104" s="18"/>
      <c r="L4104" s="26" t="s">
        <v>77</v>
      </c>
      <c r="M4104" s="6" t="s">
        <v>77</v>
      </c>
      <c r="N4104" s="28" t="s">
        <v>77</v>
      </c>
      <c r="O4104" s="26" t="s">
        <v>77</v>
      </c>
    </row>
    <row r="4105">
      <c r="A4105" s="52" t="s">
        <v>77</v>
      </c>
      <c r="B4105" s="28" t="s">
        <v>77</v>
      </c>
      <c r="C4105" s="28" t="s">
        <v>77</v>
      </c>
      <c r="D4105" s="28" t="s">
        <v>77</v>
      </c>
      <c r="E4105" s="28" t="s">
        <v>77</v>
      </c>
      <c r="F4105" s="28" t="s">
        <v>77</v>
      </c>
      <c r="G4105" s="28" t="s">
        <v>77</v>
      </c>
      <c r="I4105" s="26" t="s">
        <v>77</v>
      </c>
      <c r="J4105" s="26" t="s">
        <v>77</v>
      </c>
      <c r="K4105" s="18"/>
      <c r="L4105" s="26" t="s">
        <v>77</v>
      </c>
      <c r="M4105" s="6" t="s">
        <v>77</v>
      </c>
      <c r="N4105" s="28" t="s">
        <v>77</v>
      </c>
      <c r="O4105" s="26" t="s">
        <v>77</v>
      </c>
    </row>
    <row r="4106">
      <c r="A4106" s="52" t="s">
        <v>77</v>
      </c>
      <c r="B4106" s="28" t="s">
        <v>77</v>
      </c>
      <c r="C4106" s="28" t="s">
        <v>77</v>
      </c>
      <c r="D4106" s="28" t="s">
        <v>77</v>
      </c>
      <c r="E4106" s="28" t="s">
        <v>77</v>
      </c>
      <c r="F4106" s="28" t="s">
        <v>77</v>
      </c>
      <c r="G4106" s="28" t="s">
        <v>77</v>
      </c>
      <c r="I4106" s="26" t="s">
        <v>77</v>
      </c>
      <c r="J4106" s="26" t="s">
        <v>77</v>
      </c>
      <c r="K4106" s="18"/>
      <c r="L4106" s="26" t="s">
        <v>77</v>
      </c>
      <c r="M4106" s="6" t="s">
        <v>77</v>
      </c>
      <c r="N4106" s="28" t="s">
        <v>77</v>
      </c>
      <c r="O4106" s="26" t="s">
        <v>77</v>
      </c>
    </row>
    <row r="4107">
      <c r="A4107" s="52" t="s">
        <v>77</v>
      </c>
      <c r="B4107" s="28" t="s">
        <v>77</v>
      </c>
      <c r="C4107" s="28" t="s">
        <v>77</v>
      </c>
      <c r="D4107" s="28" t="s">
        <v>77</v>
      </c>
      <c r="E4107" s="28" t="s">
        <v>77</v>
      </c>
      <c r="F4107" s="28" t="s">
        <v>77</v>
      </c>
      <c r="G4107" s="28" t="s">
        <v>77</v>
      </c>
      <c r="I4107" s="26" t="s">
        <v>77</v>
      </c>
      <c r="J4107" s="26" t="s">
        <v>77</v>
      </c>
      <c r="K4107" s="18"/>
      <c r="L4107" s="26" t="s">
        <v>77</v>
      </c>
      <c r="M4107" s="6" t="s">
        <v>77</v>
      </c>
      <c r="N4107" s="28" t="s">
        <v>77</v>
      </c>
      <c r="O4107" s="26" t="s">
        <v>77</v>
      </c>
    </row>
    <row r="4108">
      <c r="A4108" s="52" t="s">
        <v>77</v>
      </c>
      <c r="B4108" s="28" t="s">
        <v>77</v>
      </c>
      <c r="C4108" s="28" t="s">
        <v>77</v>
      </c>
      <c r="D4108" s="28" t="s">
        <v>77</v>
      </c>
      <c r="E4108" s="28" t="s">
        <v>77</v>
      </c>
      <c r="F4108" s="28" t="s">
        <v>77</v>
      </c>
      <c r="G4108" s="28" t="s">
        <v>77</v>
      </c>
      <c r="I4108" s="26" t="s">
        <v>77</v>
      </c>
      <c r="J4108" s="26" t="s">
        <v>77</v>
      </c>
      <c r="K4108" s="18"/>
      <c r="L4108" s="26" t="s">
        <v>77</v>
      </c>
      <c r="M4108" s="6" t="s">
        <v>77</v>
      </c>
      <c r="N4108" s="28" t="s">
        <v>77</v>
      </c>
      <c r="O4108" s="26" t="s">
        <v>77</v>
      </c>
    </row>
    <row r="4109">
      <c r="A4109" s="52" t="s">
        <v>77</v>
      </c>
      <c r="B4109" s="28" t="s">
        <v>77</v>
      </c>
      <c r="C4109" s="28" t="s">
        <v>77</v>
      </c>
      <c r="D4109" s="28" t="s">
        <v>77</v>
      </c>
      <c r="E4109" s="28" t="s">
        <v>77</v>
      </c>
      <c r="F4109" s="28" t="s">
        <v>77</v>
      </c>
      <c r="G4109" s="28" t="s">
        <v>77</v>
      </c>
      <c r="I4109" s="26" t="s">
        <v>77</v>
      </c>
      <c r="J4109" s="26" t="s">
        <v>77</v>
      </c>
      <c r="K4109" s="18"/>
      <c r="L4109" s="26" t="s">
        <v>77</v>
      </c>
      <c r="M4109" s="6" t="s">
        <v>77</v>
      </c>
      <c r="N4109" s="28" t="s">
        <v>77</v>
      </c>
      <c r="O4109" s="26" t="s">
        <v>77</v>
      </c>
    </row>
    <row r="4110">
      <c r="A4110" s="52" t="s">
        <v>77</v>
      </c>
      <c r="B4110" s="28" t="s">
        <v>77</v>
      </c>
      <c r="C4110" s="28" t="s">
        <v>77</v>
      </c>
      <c r="D4110" s="28" t="s">
        <v>77</v>
      </c>
      <c r="E4110" s="28" t="s">
        <v>77</v>
      </c>
      <c r="F4110" s="28" t="s">
        <v>77</v>
      </c>
      <c r="G4110" s="28" t="s">
        <v>77</v>
      </c>
      <c r="I4110" s="26" t="s">
        <v>77</v>
      </c>
      <c r="J4110" s="26" t="s">
        <v>77</v>
      </c>
      <c r="K4110" s="18"/>
      <c r="L4110" s="26" t="s">
        <v>77</v>
      </c>
      <c r="M4110" s="6" t="s">
        <v>77</v>
      </c>
      <c r="N4110" s="28" t="s">
        <v>77</v>
      </c>
      <c r="O4110" s="26" t="s">
        <v>77</v>
      </c>
    </row>
    <row r="4111">
      <c r="A4111" s="52" t="s">
        <v>77</v>
      </c>
      <c r="B4111" s="28" t="s">
        <v>77</v>
      </c>
      <c r="C4111" s="28" t="s">
        <v>77</v>
      </c>
      <c r="D4111" s="28" t="s">
        <v>77</v>
      </c>
      <c r="E4111" s="28" t="s">
        <v>77</v>
      </c>
      <c r="F4111" s="28" t="s">
        <v>77</v>
      </c>
      <c r="G4111" s="28" t="s">
        <v>77</v>
      </c>
      <c r="I4111" s="26" t="s">
        <v>77</v>
      </c>
      <c r="J4111" s="26" t="s">
        <v>77</v>
      </c>
      <c r="K4111" s="18"/>
      <c r="L4111" s="26" t="s">
        <v>77</v>
      </c>
      <c r="M4111" s="6" t="s">
        <v>77</v>
      </c>
      <c r="N4111" s="28" t="s">
        <v>77</v>
      </c>
      <c r="O4111" s="26" t="s">
        <v>77</v>
      </c>
    </row>
    <row r="4112">
      <c r="A4112" s="52" t="s">
        <v>77</v>
      </c>
      <c r="B4112" s="28" t="s">
        <v>77</v>
      </c>
      <c r="C4112" s="28" t="s">
        <v>77</v>
      </c>
      <c r="D4112" s="28" t="s">
        <v>77</v>
      </c>
      <c r="E4112" s="28" t="s">
        <v>77</v>
      </c>
      <c r="F4112" s="28" t="s">
        <v>77</v>
      </c>
      <c r="G4112" s="28" t="s">
        <v>77</v>
      </c>
      <c r="I4112" s="26" t="s">
        <v>77</v>
      </c>
      <c r="J4112" s="26" t="s">
        <v>77</v>
      </c>
      <c r="K4112" s="18"/>
      <c r="L4112" s="26" t="s">
        <v>77</v>
      </c>
      <c r="M4112" s="6" t="s">
        <v>77</v>
      </c>
      <c r="N4112" s="28" t="s">
        <v>77</v>
      </c>
      <c r="O4112" s="26" t="s">
        <v>77</v>
      </c>
    </row>
    <row r="4113">
      <c r="A4113" s="52" t="s">
        <v>77</v>
      </c>
      <c r="B4113" s="28" t="s">
        <v>77</v>
      </c>
      <c r="C4113" s="28" t="s">
        <v>77</v>
      </c>
      <c r="D4113" s="28" t="s">
        <v>77</v>
      </c>
      <c r="E4113" s="28" t="s">
        <v>77</v>
      </c>
      <c r="F4113" s="28" t="s">
        <v>77</v>
      </c>
      <c r="G4113" s="28" t="s">
        <v>77</v>
      </c>
      <c r="I4113" s="26" t="s">
        <v>77</v>
      </c>
      <c r="J4113" s="26" t="s">
        <v>77</v>
      </c>
      <c r="K4113" s="18"/>
      <c r="L4113" s="26" t="s">
        <v>77</v>
      </c>
      <c r="M4113" s="6" t="s">
        <v>77</v>
      </c>
      <c r="N4113" s="28" t="s">
        <v>77</v>
      </c>
      <c r="O4113" s="26" t="s">
        <v>77</v>
      </c>
    </row>
    <row r="4114">
      <c r="A4114" s="52" t="s">
        <v>77</v>
      </c>
      <c r="B4114" s="28" t="s">
        <v>77</v>
      </c>
      <c r="C4114" s="28" t="s">
        <v>77</v>
      </c>
      <c r="D4114" s="28" t="s">
        <v>77</v>
      </c>
      <c r="E4114" s="28" t="s">
        <v>77</v>
      </c>
      <c r="F4114" s="28" t="s">
        <v>77</v>
      </c>
      <c r="G4114" s="28" t="s">
        <v>77</v>
      </c>
      <c r="I4114" s="26" t="s">
        <v>77</v>
      </c>
      <c r="J4114" s="26" t="s">
        <v>77</v>
      </c>
      <c r="K4114" s="18"/>
      <c r="L4114" s="26" t="s">
        <v>77</v>
      </c>
      <c r="M4114" s="6" t="s">
        <v>77</v>
      </c>
      <c r="N4114" s="28" t="s">
        <v>77</v>
      </c>
      <c r="O4114" s="26" t="s">
        <v>77</v>
      </c>
    </row>
    <row r="4115">
      <c r="A4115" s="52" t="s">
        <v>77</v>
      </c>
      <c r="B4115" s="28" t="s">
        <v>77</v>
      </c>
      <c r="C4115" s="28" t="s">
        <v>77</v>
      </c>
      <c r="D4115" s="28" t="s">
        <v>77</v>
      </c>
      <c r="E4115" s="28" t="s">
        <v>77</v>
      </c>
      <c r="F4115" s="28" t="s">
        <v>77</v>
      </c>
      <c r="G4115" s="28" t="s">
        <v>77</v>
      </c>
      <c r="I4115" s="26" t="s">
        <v>77</v>
      </c>
      <c r="J4115" s="26" t="s">
        <v>77</v>
      </c>
      <c r="K4115" s="18"/>
      <c r="L4115" s="26" t="s">
        <v>77</v>
      </c>
      <c r="M4115" s="6" t="s">
        <v>77</v>
      </c>
      <c r="N4115" s="28" t="s">
        <v>77</v>
      </c>
      <c r="O4115" s="26" t="s">
        <v>77</v>
      </c>
    </row>
    <row r="4116">
      <c r="A4116" s="52" t="s">
        <v>77</v>
      </c>
      <c r="B4116" s="28" t="s">
        <v>77</v>
      </c>
      <c r="C4116" s="28" t="s">
        <v>77</v>
      </c>
      <c r="D4116" s="28" t="s">
        <v>77</v>
      </c>
      <c r="E4116" s="28" t="s">
        <v>77</v>
      </c>
      <c r="F4116" s="28" t="s">
        <v>77</v>
      </c>
      <c r="G4116" s="28" t="s">
        <v>77</v>
      </c>
      <c r="I4116" s="26" t="s">
        <v>77</v>
      </c>
      <c r="J4116" s="26" t="s">
        <v>77</v>
      </c>
      <c r="K4116" s="18"/>
      <c r="L4116" s="26" t="s">
        <v>77</v>
      </c>
      <c r="M4116" s="6" t="s">
        <v>77</v>
      </c>
      <c r="N4116" s="28" t="s">
        <v>77</v>
      </c>
      <c r="O4116" s="26" t="s">
        <v>77</v>
      </c>
    </row>
    <row r="4117">
      <c r="A4117" s="52" t="s">
        <v>77</v>
      </c>
      <c r="B4117" s="28" t="s">
        <v>77</v>
      </c>
      <c r="C4117" s="28" t="s">
        <v>77</v>
      </c>
      <c r="D4117" s="28" t="s">
        <v>77</v>
      </c>
      <c r="E4117" s="28" t="s">
        <v>77</v>
      </c>
      <c r="F4117" s="28" t="s">
        <v>77</v>
      </c>
      <c r="G4117" s="28" t="s">
        <v>77</v>
      </c>
      <c r="I4117" s="26" t="s">
        <v>77</v>
      </c>
      <c r="J4117" s="26" t="s">
        <v>77</v>
      </c>
      <c r="K4117" s="18"/>
      <c r="L4117" s="26" t="s">
        <v>77</v>
      </c>
      <c r="M4117" s="6" t="s">
        <v>77</v>
      </c>
      <c r="N4117" s="28" t="s">
        <v>77</v>
      </c>
      <c r="O4117" s="26" t="s">
        <v>77</v>
      </c>
    </row>
    <row r="4118">
      <c r="A4118" s="52" t="s">
        <v>77</v>
      </c>
      <c r="B4118" s="28" t="s">
        <v>77</v>
      </c>
      <c r="C4118" s="28" t="s">
        <v>77</v>
      </c>
      <c r="D4118" s="28" t="s">
        <v>77</v>
      </c>
      <c r="E4118" s="28" t="s">
        <v>77</v>
      </c>
      <c r="F4118" s="28" t="s">
        <v>77</v>
      </c>
      <c r="G4118" s="28" t="s">
        <v>77</v>
      </c>
      <c r="I4118" s="26" t="s">
        <v>77</v>
      </c>
      <c r="J4118" s="26" t="s">
        <v>77</v>
      </c>
      <c r="K4118" s="18"/>
      <c r="L4118" s="26" t="s">
        <v>77</v>
      </c>
      <c r="M4118" s="6" t="s">
        <v>77</v>
      </c>
      <c r="N4118" s="28" t="s">
        <v>77</v>
      </c>
      <c r="O4118" s="26" t="s">
        <v>77</v>
      </c>
    </row>
    <row r="4119">
      <c r="A4119" s="52" t="s">
        <v>77</v>
      </c>
      <c r="B4119" s="28" t="s">
        <v>77</v>
      </c>
      <c r="C4119" s="28" t="s">
        <v>77</v>
      </c>
      <c r="D4119" s="28" t="s">
        <v>77</v>
      </c>
      <c r="E4119" s="28" t="s">
        <v>77</v>
      </c>
      <c r="F4119" s="28" t="s">
        <v>77</v>
      </c>
      <c r="G4119" s="28" t="s">
        <v>77</v>
      </c>
      <c r="I4119" s="26" t="s">
        <v>77</v>
      </c>
      <c r="J4119" s="26" t="s">
        <v>77</v>
      </c>
      <c r="K4119" s="18"/>
      <c r="L4119" s="26" t="s">
        <v>77</v>
      </c>
      <c r="M4119" s="6" t="s">
        <v>77</v>
      </c>
      <c r="N4119" s="28" t="s">
        <v>77</v>
      </c>
      <c r="O4119" s="26" t="s">
        <v>77</v>
      </c>
    </row>
    <row r="4120">
      <c r="A4120" s="52" t="s">
        <v>77</v>
      </c>
      <c r="B4120" s="28" t="s">
        <v>77</v>
      </c>
      <c r="C4120" s="28" t="s">
        <v>77</v>
      </c>
      <c r="D4120" s="28" t="s">
        <v>77</v>
      </c>
      <c r="E4120" s="28" t="s">
        <v>77</v>
      </c>
      <c r="F4120" s="28" t="s">
        <v>77</v>
      </c>
      <c r="G4120" s="28" t="s">
        <v>77</v>
      </c>
      <c r="I4120" s="26" t="s">
        <v>77</v>
      </c>
      <c r="J4120" s="26" t="s">
        <v>77</v>
      </c>
      <c r="K4120" s="18"/>
      <c r="L4120" s="26" t="s">
        <v>77</v>
      </c>
      <c r="M4120" s="6" t="s">
        <v>77</v>
      </c>
      <c r="N4120" s="28" t="s">
        <v>77</v>
      </c>
      <c r="O4120" s="26" t="s">
        <v>77</v>
      </c>
    </row>
    <row r="4121">
      <c r="A4121" s="52" t="s">
        <v>77</v>
      </c>
      <c r="B4121" s="28" t="s">
        <v>77</v>
      </c>
      <c r="C4121" s="28" t="s">
        <v>77</v>
      </c>
      <c r="D4121" s="28" t="s">
        <v>77</v>
      </c>
      <c r="E4121" s="28" t="s">
        <v>77</v>
      </c>
      <c r="F4121" s="28" t="s">
        <v>77</v>
      </c>
      <c r="G4121" s="28" t="s">
        <v>77</v>
      </c>
      <c r="I4121" s="26" t="s">
        <v>77</v>
      </c>
      <c r="J4121" s="26" t="s">
        <v>77</v>
      </c>
      <c r="K4121" s="18"/>
      <c r="L4121" s="26" t="s">
        <v>77</v>
      </c>
      <c r="M4121" s="6" t="s">
        <v>77</v>
      </c>
      <c r="N4121" s="28" t="s">
        <v>77</v>
      </c>
      <c r="O4121" s="26" t="s">
        <v>77</v>
      </c>
    </row>
    <row r="4122">
      <c r="A4122" s="52" t="s">
        <v>77</v>
      </c>
      <c r="B4122" s="28" t="s">
        <v>77</v>
      </c>
      <c r="C4122" s="28" t="s">
        <v>77</v>
      </c>
      <c r="D4122" s="28" t="s">
        <v>77</v>
      </c>
      <c r="E4122" s="28" t="s">
        <v>77</v>
      </c>
      <c r="F4122" s="28" t="s">
        <v>77</v>
      </c>
      <c r="G4122" s="28" t="s">
        <v>77</v>
      </c>
      <c r="I4122" s="26" t="s">
        <v>77</v>
      </c>
      <c r="J4122" s="26" t="s">
        <v>77</v>
      </c>
      <c r="K4122" s="18"/>
      <c r="L4122" s="26" t="s">
        <v>77</v>
      </c>
      <c r="M4122" s="6" t="s">
        <v>77</v>
      </c>
      <c r="N4122" s="28" t="s">
        <v>77</v>
      </c>
      <c r="O4122" s="26" t="s">
        <v>77</v>
      </c>
    </row>
    <row r="4123">
      <c r="A4123" s="52" t="s">
        <v>77</v>
      </c>
      <c r="B4123" s="28" t="s">
        <v>77</v>
      </c>
      <c r="C4123" s="28" t="s">
        <v>77</v>
      </c>
      <c r="D4123" s="28" t="s">
        <v>77</v>
      </c>
      <c r="E4123" s="28" t="s">
        <v>77</v>
      </c>
      <c r="F4123" s="28" t="s">
        <v>77</v>
      </c>
      <c r="G4123" s="28" t="s">
        <v>77</v>
      </c>
      <c r="I4123" s="26" t="s">
        <v>77</v>
      </c>
      <c r="J4123" s="26" t="s">
        <v>77</v>
      </c>
      <c r="K4123" s="18"/>
      <c r="L4123" s="26" t="s">
        <v>77</v>
      </c>
      <c r="M4123" s="6" t="s">
        <v>77</v>
      </c>
      <c r="N4123" s="28" t="s">
        <v>77</v>
      </c>
      <c r="O4123" s="26" t="s">
        <v>77</v>
      </c>
    </row>
    <row r="4124">
      <c r="A4124" s="52" t="s">
        <v>77</v>
      </c>
      <c r="B4124" s="28" t="s">
        <v>77</v>
      </c>
      <c r="C4124" s="28" t="s">
        <v>77</v>
      </c>
      <c r="D4124" s="28" t="s">
        <v>77</v>
      </c>
      <c r="E4124" s="28" t="s">
        <v>77</v>
      </c>
      <c r="F4124" s="28" t="s">
        <v>77</v>
      </c>
      <c r="G4124" s="28" t="s">
        <v>77</v>
      </c>
      <c r="I4124" s="26" t="s">
        <v>77</v>
      </c>
      <c r="J4124" s="26" t="s">
        <v>77</v>
      </c>
      <c r="K4124" s="18"/>
      <c r="L4124" s="26" t="s">
        <v>77</v>
      </c>
      <c r="M4124" s="6" t="s">
        <v>77</v>
      </c>
      <c r="N4124" s="28" t="s">
        <v>77</v>
      </c>
      <c r="O4124" s="26" t="s">
        <v>77</v>
      </c>
    </row>
    <row r="4125">
      <c r="A4125" s="52" t="s">
        <v>77</v>
      </c>
      <c r="B4125" s="28" t="s">
        <v>77</v>
      </c>
      <c r="C4125" s="28" t="s">
        <v>77</v>
      </c>
      <c r="D4125" s="28" t="s">
        <v>77</v>
      </c>
      <c r="E4125" s="28" t="s">
        <v>77</v>
      </c>
      <c r="F4125" s="28" t="s">
        <v>77</v>
      </c>
      <c r="G4125" s="28" t="s">
        <v>77</v>
      </c>
      <c r="I4125" s="26" t="s">
        <v>77</v>
      </c>
      <c r="J4125" s="26" t="s">
        <v>77</v>
      </c>
      <c r="K4125" s="18"/>
      <c r="L4125" s="26" t="s">
        <v>77</v>
      </c>
      <c r="M4125" s="6" t="s">
        <v>77</v>
      </c>
      <c r="N4125" s="28" t="s">
        <v>77</v>
      </c>
      <c r="O4125" s="26" t="s">
        <v>77</v>
      </c>
    </row>
    <row r="4126">
      <c r="A4126" s="52" t="s">
        <v>77</v>
      </c>
      <c r="B4126" s="28" t="s">
        <v>77</v>
      </c>
      <c r="C4126" s="28" t="s">
        <v>77</v>
      </c>
      <c r="D4126" s="28" t="s">
        <v>77</v>
      </c>
      <c r="E4126" s="28" t="s">
        <v>77</v>
      </c>
      <c r="F4126" s="28" t="s">
        <v>77</v>
      </c>
      <c r="G4126" s="28" t="s">
        <v>77</v>
      </c>
      <c r="I4126" s="26" t="s">
        <v>77</v>
      </c>
      <c r="J4126" s="26" t="s">
        <v>77</v>
      </c>
      <c r="K4126" s="18"/>
      <c r="L4126" s="26" t="s">
        <v>77</v>
      </c>
      <c r="M4126" s="6" t="s">
        <v>77</v>
      </c>
      <c r="N4126" s="28" t="s">
        <v>77</v>
      </c>
      <c r="O4126" s="26" t="s">
        <v>77</v>
      </c>
    </row>
    <row r="4127">
      <c r="A4127" s="52" t="s">
        <v>77</v>
      </c>
      <c r="B4127" s="28" t="s">
        <v>77</v>
      </c>
      <c r="C4127" s="28" t="s">
        <v>77</v>
      </c>
      <c r="D4127" s="28" t="s">
        <v>77</v>
      </c>
      <c r="E4127" s="28" t="s">
        <v>77</v>
      </c>
      <c r="F4127" s="28" t="s">
        <v>77</v>
      </c>
      <c r="G4127" s="28" t="s">
        <v>77</v>
      </c>
      <c r="I4127" s="26" t="s">
        <v>77</v>
      </c>
      <c r="J4127" s="26" t="s">
        <v>77</v>
      </c>
      <c r="K4127" s="18"/>
      <c r="L4127" s="26" t="s">
        <v>77</v>
      </c>
      <c r="M4127" s="6" t="s">
        <v>77</v>
      </c>
      <c r="N4127" s="28" t="s">
        <v>77</v>
      </c>
      <c r="O4127" s="26" t="s">
        <v>77</v>
      </c>
    </row>
    <row r="4128">
      <c r="A4128" s="52" t="s">
        <v>77</v>
      </c>
      <c r="B4128" s="28" t="s">
        <v>77</v>
      </c>
      <c r="C4128" s="28" t="s">
        <v>77</v>
      </c>
      <c r="D4128" s="28" t="s">
        <v>77</v>
      </c>
      <c r="E4128" s="28" t="s">
        <v>77</v>
      </c>
      <c r="F4128" s="28" t="s">
        <v>77</v>
      </c>
      <c r="G4128" s="28" t="s">
        <v>77</v>
      </c>
      <c r="I4128" s="26" t="s">
        <v>77</v>
      </c>
      <c r="J4128" s="26" t="s">
        <v>77</v>
      </c>
      <c r="K4128" s="18"/>
      <c r="L4128" s="26" t="s">
        <v>77</v>
      </c>
      <c r="M4128" s="6" t="s">
        <v>77</v>
      </c>
      <c r="N4128" s="28" t="s">
        <v>77</v>
      </c>
      <c r="O4128" s="26" t="s">
        <v>77</v>
      </c>
    </row>
    <row r="4129">
      <c r="A4129" s="52" t="s">
        <v>77</v>
      </c>
      <c r="B4129" s="28" t="s">
        <v>77</v>
      </c>
      <c r="C4129" s="28" t="s">
        <v>77</v>
      </c>
      <c r="D4129" s="28" t="s">
        <v>77</v>
      </c>
      <c r="E4129" s="28" t="s">
        <v>77</v>
      </c>
      <c r="F4129" s="28" t="s">
        <v>77</v>
      </c>
      <c r="G4129" s="28" t="s">
        <v>77</v>
      </c>
      <c r="I4129" s="26" t="s">
        <v>77</v>
      </c>
      <c r="J4129" s="26" t="s">
        <v>77</v>
      </c>
      <c r="K4129" s="18"/>
      <c r="L4129" s="26" t="s">
        <v>77</v>
      </c>
      <c r="M4129" s="6" t="s">
        <v>77</v>
      </c>
      <c r="N4129" s="28" t="s">
        <v>77</v>
      </c>
      <c r="O4129" s="26" t="s">
        <v>77</v>
      </c>
    </row>
    <row r="4130">
      <c r="A4130" s="52" t="s">
        <v>77</v>
      </c>
      <c r="B4130" s="28" t="s">
        <v>77</v>
      </c>
      <c r="C4130" s="28" t="s">
        <v>77</v>
      </c>
      <c r="D4130" s="28" t="s">
        <v>77</v>
      </c>
      <c r="E4130" s="28" t="s">
        <v>77</v>
      </c>
      <c r="F4130" s="28" t="s">
        <v>77</v>
      </c>
      <c r="G4130" s="28" t="s">
        <v>77</v>
      </c>
      <c r="I4130" s="26" t="s">
        <v>77</v>
      </c>
      <c r="J4130" s="26" t="s">
        <v>77</v>
      </c>
      <c r="K4130" s="18"/>
      <c r="L4130" s="26" t="s">
        <v>77</v>
      </c>
      <c r="M4130" s="6" t="s">
        <v>77</v>
      </c>
      <c r="N4130" s="28" t="s">
        <v>77</v>
      </c>
      <c r="O4130" s="26" t="s">
        <v>77</v>
      </c>
    </row>
    <row r="4131">
      <c r="A4131" s="52" t="s">
        <v>77</v>
      </c>
      <c r="B4131" s="28" t="s">
        <v>77</v>
      </c>
      <c r="C4131" s="28" t="s">
        <v>77</v>
      </c>
      <c r="D4131" s="28" t="s">
        <v>77</v>
      </c>
      <c r="E4131" s="28" t="s">
        <v>77</v>
      </c>
      <c r="F4131" s="28" t="s">
        <v>77</v>
      </c>
      <c r="G4131" s="28" t="s">
        <v>77</v>
      </c>
      <c r="I4131" s="26" t="s">
        <v>77</v>
      </c>
      <c r="J4131" s="26" t="s">
        <v>77</v>
      </c>
      <c r="K4131" s="18"/>
      <c r="L4131" s="26" t="s">
        <v>77</v>
      </c>
      <c r="M4131" s="6" t="s">
        <v>77</v>
      </c>
      <c r="N4131" s="28" t="s">
        <v>77</v>
      </c>
      <c r="O4131" s="26" t="s">
        <v>77</v>
      </c>
    </row>
    <row r="4132">
      <c r="A4132" s="52" t="s">
        <v>77</v>
      </c>
      <c r="B4132" s="28" t="s">
        <v>77</v>
      </c>
      <c r="C4132" s="28" t="s">
        <v>77</v>
      </c>
      <c r="D4132" s="28" t="s">
        <v>77</v>
      </c>
      <c r="E4132" s="28" t="s">
        <v>77</v>
      </c>
      <c r="F4132" s="28" t="s">
        <v>77</v>
      </c>
      <c r="G4132" s="28" t="s">
        <v>77</v>
      </c>
      <c r="I4132" s="26" t="s">
        <v>77</v>
      </c>
      <c r="J4132" s="26" t="s">
        <v>77</v>
      </c>
      <c r="K4132" s="18"/>
      <c r="L4132" s="26" t="s">
        <v>77</v>
      </c>
      <c r="M4132" s="6" t="s">
        <v>77</v>
      </c>
      <c r="N4132" s="28" t="s">
        <v>77</v>
      </c>
      <c r="O4132" s="26" t="s">
        <v>77</v>
      </c>
    </row>
    <row r="4133">
      <c r="A4133" s="52" t="s">
        <v>77</v>
      </c>
      <c r="B4133" s="28" t="s">
        <v>77</v>
      </c>
      <c r="C4133" s="28" t="s">
        <v>77</v>
      </c>
      <c r="D4133" s="28" t="s">
        <v>77</v>
      </c>
      <c r="E4133" s="28" t="s">
        <v>77</v>
      </c>
      <c r="F4133" s="28" t="s">
        <v>77</v>
      </c>
      <c r="G4133" s="28" t="s">
        <v>77</v>
      </c>
      <c r="I4133" s="26" t="s">
        <v>77</v>
      </c>
      <c r="J4133" s="26" t="s">
        <v>77</v>
      </c>
      <c r="K4133" s="18"/>
      <c r="L4133" s="26" t="s">
        <v>77</v>
      </c>
      <c r="M4133" s="6" t="s">
        <v>77</v>
      </c>
      <c r="N4133" s="28" t="s">
        <v>77</v>
      </c>
      <c r="O4133" s="26" t="s">
        <v>77</v>
      </c>
    </row>
    <row r="4134">
      <c r="A4134" s="52" t="s">
        <v>77</v>
      </c>
      <c r="B4134" s="28" t="s">
        <v>77</v>
      </c>
      <c r="C4134" s="28" t="s">
        <v>77</v>
      </c>
      <c r="D4134" s="28" t="s">
        <v>77</v>
      </c>
      <c r="E4134" s="28" t="s">
        <v>77</v>
      </c>
      <c r="F4134" s="28" t="s">
        <v>77</v>
      </c>
      <c r="G4134" s="28" t="s">
        <v>77</v>
      </c>
      <c r="I4134" s="26" t="s">
        <v>77</v>
      </c>
      <c r="J4134" s="26" t="s">
        <v>77</v>
      </c>
      <c r="K4134" s="18"/>
      <c r="L4134" s="26" t="s">
        <v>77</v>
      </c>
      <c r="M4134" s="6" t="s">
        <v>77</v>
      </c>
      <c r="N4134" s="28" t="s">
        <v>77</v>
      </c>
      <c r="O4134" s="26" t="s">
        <v>77</v>
      </c>
    </row>
    <row r="4135">
      <c r="A4135" s="52" t="s">
        <v>77</v>
      </c>
      <c r="B4135" s="28" t="s">
        <v>77</v>
      </c>
      <c r="C4135" s="28" t="s">
        <v>77</v>
      </c>
      <c r="D4135" s="28" t="s">
        <v>77</v>
      </c>
      <c r="E4135" s="28" t="s">
        <v>77</v>
      </c>
      <c r="F4135" s="28" t="s">
        <v>77</v>
      </c>
      <c r="G4135" s="28" t="s">
        <v>77</v>
      </c>
      <c r="I4135" s="26" t="s">
        <v>77</v>
      </c>
      <c r="J4135" s="26" t="s">
        <v>77</v>
      </c>
      <c r="K4135" s="18"/>
      <c r="L4135" s="26" t="s">
        <v>77</v>
      </c>
      <c r="M4135" s="6" t="s">
        <v>77</v>
      </c>
      <c r="N4135" s="28" t="s">
        <v>77</v>
      </c>
      <c r="O4135" s="26" t="s">
        <v>77</v>
      </c>
    </row>
    <row r="4136">
      <c r="A4136" s="52" t="s">
        <v>77</v>
      </c>
      <c r="B4136" s="28" t="s">
        <v>77</v>
      </c>
      <c r="C4136" s="28" t="s">
        <v>77</v>
      </c>
      <c r="D4136" s="28" t="s">
        <v>77</v>
      </c>
      <c r="E4136" s="28" t="s">
        <v>77</v>
      </c>
      <c r="F4136" s="28" t="s">
        <v>77</v>
      </c>
      <c r="G4136" s="28" t="s">
        <v>77</v>
      </c>
      <c r="I4136" s="26" t="s">
        <v>77</v>
      </c>
      <c r="J4136" s="26" t="s">
        <v>77</v>
      </c>
      <c r="K4136" s="18"/>
      <c r="L4136" s="26" t="s">
        <v>77</v>
      </c>
      <c r="M4136" s="6" t="s">
        <v>77</v>
      </c>
      <c r="N4136" s="28" t="s">
        <v>77</v>
      </c>
      <c r="O4136" s="26" t="s">
        <v>77</v>
      </c>
    </row>
    <row r="4137">
      <c r="A4137" s="52" t="s">
        <v>77</v>
      </c>
      <c r="B4137" s="28" t="s">
        <v>77</v>
      </c>
      <c r="C4137" s="28" t="s">
        <v>77</v>
      </c>
      <c r="D4137" s="28" t="s">
        <v>77</v>
      </c>
      <c r="E4137" s="28" t="s">
        <v>77</v>
      </c>
      <c r="F4137" s="28" t="s">
        <v>77</v>
      </c>
      <c r="G4137" s="28" t="s">
        <v>77</v>
      </c>
      <c r="I4137" s="26" t="s">
        <v>77</v>
      </c>
      <c r="J4137" s="26" t="s">
        <v>77</v>
      </c>
      <c r="K4137" s="18"/>
      <c r="L4137" s="26" t="s">
        <v>77</v>
      </c>
      <c r="M4137" s="6" t="s">
        <v>77</v>
      </c>
      <c r="N4137" s="28" t="s">
        <v>77</v>
      </c>
      <c r="O4137" s="26" t="s">
        <v>77</v>
      </c>
    </row>
    <row r="4138">
      <c r="A4138" s="52" t="s">
        <v>77</v>
      </c>
      <c r="B4138" s="28" t="s">
        <v>77</v>
      </c>
      <c r="C4138" s="28" t="s">
        <v>77</v>
      </c>
      <c r="D4138" s="28" t="s">
        <v>77</v>
      </c>
      <c r="E4138" s="28" t="s">
        <v>77</v>
      </c>
      <c r="F4138" s="28" t="s">
        <v>77</v>
      </c>
      <c r="G4138" s="28" t="s">
        <v>77</v>
      </c>
      <c r="I4138" s="26" t="s">
        <v>77</v>
      </c>
      <c r="J4138" s="26" t="s">
        <v>77</v>
      </c>
      <c r="K4138" s="18"/>
      <c r="L4138" s="26" t="s">
        <v>77</v>
      </c>
      <c r="M4138" s="6" t="s">
        <v>77</v>
      </c>
      <c r="N4138" s="28" t="s">
        <v>77</v>
      </c>
      <c r="O4138" s="26" t="s">
        <v>77</v>
      </c>
    </row>
    <row r="4139">
      <c r="A4139" s="52" t="s">
        <v>77</v>
      </c>
      <c r="B4139" s="28" t="s">
        <v>77</v>
      </c>
      <c r="C4139" s="28" t="s">
        <v>77</v>
      </c>
      <c r="D4139" s="28" t="s">
        <v>77</v>
      </c>
      <c r="E4139" s="28" t="s">
        <v>77</v>
      </c>
      <c r="F4139" s="28" t="s">
        <v>77</v>
      </c>
      <c r="G4139" s="28" t="s">
        <v>77</v>
      </c>
      <c r="I4139" s="26" t="s">
        <v>77</v>
      </c>
      <c r="J4139" s="26" t="s">
        <v>77</v>
      </c>
      <c r="K4139" s="18"/>
      <c r="L4139" s="26" t="s">
        <v>77</v>
      </c>
      <c r="M4139" s="6" t="s">
        <v>77</v>
      </c>
      <c r="N4139" s="28" t="s">
        <v>77</v>
      </c>
      <c r="O4139" s="26" t="s">
        <v>77</v>
      </c>
    </row>
    <row r="4140">
      <c r="A4140" s="52" t="s">
        <v>77</v>
      </c>
      <c r="B4140" s="28" t="s">
        <v>77</v>
      </c>
      <c r="C4140" s="28" t="s">
        <v>77</v>
      </c>
      <c r="D4140" s="28" t="s">
        <v>77</v>
      </c>
      <c r="E4140" s="28" t="s">
        <v>77</v>
      </c>
      <c r="F4140" s="28" t="s">
        <v>77</v>
      </c>
      <c r="G4140" s="28" t="s">
        <v>77</v>
      </c>
      <c r="I4140" s="26" t="s">
        <v>77</v>
      </c>
      <c r="J4140" s="26" t="s">
        <v>77</v>
      </c>
      <c r="K4140" s="18"/>
      <c r="L4140" s="26" t="s">
        <v>77</v>
      </c>
      <c r="M4140" s="6" t="s">
        <v>77</v>
      </c>
      <c r="N4140" s="28" t="s">
        <v>77</v>
      </c>
      <c r="O4140" s="26" t="s">
        <v>77</v>
      </c>
    </row>
    <row r="4141">
      <c r="A4141" s="52" t="s">
        <v>77</v>
      </c>
      <c r="B4141" s="28" t="s">
        <v>77</v>
      </c>
      <c r="C4141" s="28" t="s">
        <v>77</v>
      </c>
      <c r="D4141" s="28" t="s">
        <v>77</v>
      </c>
      <c r="E4141" s="28" t="s">
        <v>77</v>
      </c>
      <c r="F4141" s="28" t="s">
        <v>77</v>
      </c>
      <c r="G4141" s="28" t="s">
        <v>77</v>
      </c>
      <c r="I4141" s="26" t="s">
        <v>77</v>
      </c>
      <c r="J4141" s="26" t="s">
        <v>77</v>
      </c>
      <c r="K4141" s="18"/>
      <c r="L4141" s="26" t="s">
        <v>77</v>
      </c>
      <c r="M4141" s="6" t="s">
        <v>77</v>
      </c>
      <c r="N4141" s="28" t="s">
        <v>77</v>
      </c>
      <c r="O4141" s="26" t="s">
        <v>77</v>
      </c>
    </row>
    <row r="4142">
      <c r="A4142" s="52" t="s">
        <v>77</v>
      </c>
      <c r="B4142" s="28" t="s">
        <v>77</v>
      </c>
      <c r="C4142" s="28" t="s">
        <v>77</v>
      </c>
      <c r="D4142" s="28" t="s">
        <v>77</v>
      </c>
      <c r="E4142" s="28" t="s">
        <v>77</v>
      </c>
      <c r="F4142" s="28" t="s">
        <v>77</v>
      </c>
      <c r="G4142" s="28" t="s">
        <v>77</v>
      </c>
      <c r="I4142" s="26" t="s">
        <v>77</v>
      </c>
      <c r="J4142" s="26" t="s">
        <v>77</v>
      </c>
      <c r="K4142" s="18"/>
      <c r="L4142" s="26" t="s">
        <v>77</v>
      </c>
      <c r="M4142" s="6" t="s">
        <v>77</v>
      </c>
      <c r="N4142" s="28" t="s">
        <v>77</v>
      </c>
      <c r="O4142" s="26" t="s">
        <v>77</v>
      </c>
    </row>
    <row r="4143">
      <c r="A4143" s="52" t="s">
        <v>77</v>
      </c>
      <c r="B4143" s="28" t="s">
        <v>77</v>
      </c>
      <c r="C4143" s="28" t="s">
        <v>77</v>
      </c>
      <c r="D4143" s="28" t="s">
        <v>77</v>
      </c>
      <c r="E4143" s="28" t="s">
        <v>77</v>
      </c>
      <c r="F4143" s="28" t="s">
        <v>77</v>
      </c>
      <c r="G4143" s="28" t="s">
        <v>77</v>
      </c>
      <c r="I4143" s="26" t="s">
        <v>77</v>
      </c>
      <c r="J4143" s="26" t="s">
        <v>77</v>
      </c>
      <c r="K4143" s="18"/>
      <c r="L4143" s="26" t="s">
        <v>77</v>
      </c>
      <c r="M4143" s="6" t="s">
        <v>77</v>
      </c>
      <c r="N4143" s="28" t="s">
        <v>77</v>
      </c>
      <c r="O4143" s="26" t="s">
        <v>77</v>
      </c>
    </row>
    <row r="4144">
      <c r="A4144" s="52" t="s">
        <v>77</v>
      </c>
      <c r="B4144" s="28" t="s">
        <v>77</v>
      </c>
      <c r="C4144" s="28" t="s">
        <v>77</v>
      </c>
      <c r="D4144" s="28" t="s">
        <v>77</v>
      </c>
      <c r="E4144" s="28" t="s">
        <v>77</v>
      </c>
      <c r="F4144" s="28" t="s">
        <v>77</v>
      </c>
      <c r="G4144" s="28" t="s">
        <v>77</v>
      </c>
      <c r="I4144" s="26" t="s">
        <v>77</v>
      </c>
      <c r="J4144" s="26" t="s">
        <v>77</v>
      </c>
      <c r="K4144" s="18"/>
      <c r="L4144" s="26" t="s">
        <v>77</v>
      </c>
      <c r="M4144" s="6" t="s">
        <v>77</v>
      </c>
      <c r="N4144" s="28" t="s">
        <v>77</v>
      </c>
      <c r="O4144" s="26" t="s">
        <v>77</v>
      </c>
    </row>
    <row r="4145">
      <c r="A4145" s="52" t="s">
        <v>77</v>
      </c>
      <c r="B4145" s="28" t="s">
        <v>77</v>
      </c>
      <c r="C4145" s="28" t="s">
        <v>77</v>
      </c>
      <c r="D4145" s="28" t="s">
        <v>77</v>
      </c>
      <c r="E4145" s="28" t="s">
        <v>77</v>
      </c>
      <c r="F4145" s="28" t="s">
        <v>77</v>
      </c>
      <c r="G4145" s="28" t="s">
        <v>77</v>
      </c>
      <c r="I4145" s="26" t="s">
        <v>77</v>
      </c>
      <c r="J4145" s="26" t="s">
        <v>77</v>
      </c>
      <c r="K4145" s="18"/>
      <c r="L4145" s="26" t="s">
        <v>77</v>
      </c>
      <c r="M4145" s="6" t="s">
        <v>77</v>
      </c>
      <c r="N4145" s="28" t="s">
        <v>77</v>
      </c>
      <c r="O4145" s="26" t="s">
        <v>77</v>
      </c>
    </row>
    <row r="4146">
      <c r="A4146" s="52" t="s">
        <v>77</v>
      </c>
      <c r="B4146" s="28" t="s">
        <v>77</v>
      </c>
      <c r="C4146" s="28" t="s">
        <v>77</v>
      </c>
      <c r="D4146" s="28" t="s">
        <v>77</v>
      </c>
      <c r="E4146" s="28" t="s">
        <v>77</v>
      </c>
      <c r="F4146" s="28" t="s">
        <v>77</v>
      </c>
      <c r="G4146" s="28" t="s">
        <v>77</v>
      </c>
      <c r="I4146" s="26" t="s">
        <v>77</v>
      </c>
      <c r="J4146" s="26" t="s">
        <v>77</v>
      </c>
      <c r="K4146" s="18"/>
      <c r="L4146" s="26" t="s">
        <v>77</v>
      </c>
      <c r="M4146" s="6" t="s">
        <v>77</v>
      </c>
      <c r="N4146" s="28" t="s">
        <v>77</v>
      </c>
      <c r="O4146" s="26" t="s">
        <v>77</v>
      </c>
    </row>
    <row r="4147">
      <c r="A4147" s="52" t="s">
        <v>77</v>
      </c>
      <c r="B4147" s="28" t="s">
        <v>77</v>
      </c>
      <c r="C4147" s="28" t="s">
        <v>77</v>
      </c>
      <c r="D4147" s="28" t="s">
        <v>77</v>
      </c>
      <c r="E4147" s="28" t="s">
        <v>77</v>
      </c>
      <c r="F4147" s="28" t="s">
        <v>77</v>
      </c>
      <c r="G4147" s="28" t="s">
        <v>77</v>
      </c>
      <c r="I4147" s="26" t="s">
        <v>77</v>
      </c>
      <c r="J4147" s="26" t="s">
        <v>77</v>
      </c>
      <c r="K4147" s="18"/>
      <c r="L4147" s="26" t="s">
        <v>77</v>
      </c>
      <c r="M4147" s="6" t="s">
        <v>77</v>
      </c>
      <c r="N4147" s="28" t="s">
        <v>77</v>
      </c>
      <c r="O4147" s="26" t="s">
        <v>77</v>
      </c>
    </row>
    <row r="4148">
      <c r="A4148" s="52" t="s">
        <v>77</v>
      </c>
      <c r="B4148" s="28" t="s">
        <v>77</v>
      </c>
      <c r="C4148" s="28" t="s">
        <v>77</v>
      </c>
      <c r="D4148" s="28" t="s">
        <v>77</v>
      </c>
      <c r="E4148" s="28" t="s">
        <v>77</v>
      </c>
      <c r="F4148" s="28" t="s">
        <v>77</v>
      </c>
      <c r="G4148" s="28" t="s">
        <v>77</v>
      </c>
      <c r="I4148" s="26" t="s">
        <v>77</v>
      </c>
      <c r="J4148" s="26" t="s">
        <v>77</v>
      </c>
      <c r="K4148" s="18"/>
      <c r="L4148" s="26" t="s">
        <v>77</v>
      </c>
      <c r="M4148" s="6" t="s">
        <v>77</v>
      </c>
      <c r="N4148" s="28" t="s">
        <v>77</v>
      </c>
      <c r="O4148" s="26" t="s">
        <v>77</v>
      </c>
    </row>
    <row r="4149">
      <c r="A4149" s="52" t="s">
        <v>77</v>
      </c>
      <c r="B4149" s="28" t="s">
        <v>77</v>
      </c>
      <c r="C4149" s="28" t="s">
        <v>77</v>
      </c>
      <c r="D4149" s="28" t="s">
        <v>77</v>
      </c>
      <c r="E4149" s="28" t="s">
        <v>77</v>
      </c>
      <c r="F4149" s="28" t="s">
        <v>77</v>
      </c>
      <c r="G4149" s="28" t="s">
        <v>77</v>
      </c>
      <c r="I4149" s="26" t="s">
        <v>77</v>
      </c>
      <c r="J4149" s="26" t="s">
        <v>77</v>
      </c>
      <c r="K4149" s="18"/>
      <c r="L4149" s="26" t="s">
        <v>77</v>
      </c>
      <c r="M4149" s="6" t="s">
        <v>77</v>
      </c>
      <c r="N4149" s="28" t="s">
        <v>77</v>
      </c>
      <c r="O4149" s="26" t="s">
        <v>77</v>
      </c>
    </row>
    <row r="4150">
      <c r="A4150" s="52" t="s">
        <v>77</v>
      </c>
      <c r="B4150" s="28" t="s">
        <v>77</v>
      </c>
      <c r="C4150" s="28" t="s">
        <v>77</v>
      </c>
      <c r="D4150" s="28" t="s">
        <v>77</v>
      </c>
      <c r="E4150" s="28" t="s">
        <v>77</v>
      </c>
      <c r="F4150" s="28" t="s">
        <v>77</v>
      </c>
      <c r="G4150" s="28" t="s">
        <v>77</v>
      </c>
      <c r="I4150" s="26" t="s">
        <v>77</v>
      </c>
      <c r="J4150" s="26" t="s">
        <v>77</v>
      </c>
      <c r="K4150" s="18"/>
      <c r="L4150" s="26" t="s">
        <v>77</v>
      </c>
      <c r="M4150" s="6" t="s">
        <v>77</v>
      </c>
      <c r="N4150" s="28" t="s">
        <v>77</v>
      </c>
      <c r="O4150" s="26" t="s">
        <v>77</v>
      </c>
    </row>
    <row r="4151">
      <c r="A4151" s="52" t="s">
        <v>77</v>
      </c>
      <c r="B4151" s="28" t="s">
        <v>77</v>
      </c>
      <c r="C4151" s="28" t="s">
        <v>77</v>
      </c>
      <c r="D4151" s="28" t="s">
        <v>77</v>
      </c>
      <c r="E4151" s="28" t="s">
        <v>77</v>
      </c>
      <c r="F4151" s="28" t="s">
        <v>77</v>
      </c>
      <c r="G4151" s="28" t="s">
        <v>77</v>
      </c>
      <c r="I4151" s="26" t="s">
        <v>77</v>
      </c>
      <c r="J4151" s="26" t="s">
        <v>77</v>
      </c>
      <c r="K4151" s="18"/>
      <c r="L4151" s="26" t="s">
        <v>77</v>
      </c>
      <c r="M4151" s="6" t="s">
        <v>77</v>
      </c>
      <c r="N4151" s="28" t="s">
        <v>77</v>
      </c>
      <c r="O4151" s="26" t="s">
        <v>77</v>
      </c>
    </row>
    <row r="4152">
      <c r="A4152" s="52" t="s">
        <v>77</v>
      </c>
      <c r="B4152" s="28" t="s">
        <v>77</v>
      </c>
      <c r="C4152" s="28" t="s">
        <v>77</v>
      </c>
      <c r="D4152" s="28" t="s">
        <v>77</v>
      </c>
      <c r="E4152" s="28" t="s">
        <v>77</v>
      </c>
      <c r="F4152" s="28" t="s">
        <v>77</v>
      </c>
      <c r="G4152" s="28" t="s">
        <v>77</v>
      </c>
      <c r="I4152" s="26" t="s">
        <v>77</v>
      </c>
      <c r="J4152" s="26" t="s">
        <v>77</v>
      </c>
      <c r="K4152" s="18"/>
      <c r="L4152" s="26" t="s">
        <v>77</v>
      </c>
      <c r="M4152" s="6" t="s">
        <v>77</v>
      </c>
      <c r="N4152" s="28" t="s">
        <v>77</v>
      </c>
      <c r="O4152" s="26" t="s">
        <v>77</v>
      </c>
    </row>
    <row r="4153">
      <c r="A4153" s="52" t="s">
        <v>77</v>
      </c>
      <c r="B4153" s="28" t="s">
        <v>77</v>
      </c>
      <c r="C4153" s="28" t="s">
        <v>77</v>
      </c>
      <c r="D4153" s="28" t="s">
        <v>77</v>
      </c>
      <c r="E4153" s="28" t="s">
        <v>77</v>
      </c>
      <c r="F4153" s="28" t="s">
        <v>77</v>
      </c>
      <c r="G4153" s="28" t="s">
        <v>77</v>
      </c>
      <c r="I4153" s="26" t="s">
        <v>77</v>
      </c>
      <c r="J4153" s="26" t="s">
        <v>77</v>
      </c>
      <c r="K4153" s="18"/>
      <c r="L4153" s="26" t="s">
        <v>77</v>
      </c>
      <c r="M4153" s="6" t="s">
        <v>77</v>
      </c>
      <c r="N4153" s="28" t="s">
        <v>77</v>
      </c>
      <c r="O4153" s="26" t="s">
        <v>77</v>
      </c>
    </row>
    <row r="4154">
      <c r="A4154" s="52" t="s">
        <v>77</v>
      </c>
      <c r="B4154" s="28" t="s">
        <v>77</v>
      </c>
      <c r="C4154" s="28" t="s">
        <v>77</v>
      </c>
      <c r="D4154" s="28" t="s">
        <v>77</v>
      </c>
      <c r="E4154" s="28" t="s">
        <v>77</v>
      </c>
      <c r="F4154" s="28" t="s">
        <v>77</v>
      </c>
      <c r="G4154" s="28" t="s">
        <v>77</v>
      </c>
      <c r="I4154" s="26" t="s">
        <v>77</v>
      </c>
      <c r="J4154" s="26" t="s">
        <v>77</v>
      </c>
      <c r="K4154" s="18"/>
      <c r="L4154" s="26" t="s">
        <v>77</v>
      </c>
      <c r="M4154" s="6" t="s">
        <v>77</v>
      </c>
      <c r="N4154" s="28" t="s">
        <v>77</v>
      </c>
      <c r="O4154" s="26" t="s">
        <v>77</v>
      </c>
    </row>
    <row r="4155">
      <c r="A4155" s="52" t="s">
        <v>77</v>
      </c>
      <c r="B4155" s="28" t="s">
        <v>77</v>
      </c>
      <c r="C4155" s="28" t="s">
        <v>77</v>
      </c>
      <c r="D4155" s="28" t="s">
        <v>77</v>
      </c>
      <c r="E4155" s="28" t="s">
        <v>77</v>
      </c>
      <c r="F4155" s="28" t="s">
        <v>77</v>
      </c>
      <c r="G4155" s="28" t="s">
        <v>77</v>
      </c>
      <c r="I4155" s="26" t="s">
        <v>77</v>
      </c>
      <c r="J4155" s="26" t="s">
        <v>77</v>
      </c>
      <c r="K4155" s="18"/>
      <c r="L4155" s="26" t="s">
        <v>77</v>
      </c>
      <c r="M4155" s="6" t="s">
        <v>77</v>
      </c>
      <c r="N4155" s="28" t="s">
        <v>77</v>
      </c>
      <c r="O4155" s="26" t="s">
        <v>77</v>
      </c>
    </row>
    <row r="4156">
      <c r="A4156" s="52" t="s">
        <v>77</v>
      </c>
      <c r="B4156" s="28" t="s">
        <v>77</v>
      </c>
      <c r="C4156" s="28" t="s">
        <v>77</v>
      </c>
      <c r="D4156" s="28" t="s">
        <v>77</v>
      </c>
      <c r="E4156" s="28" t="s">
        <v>77</v>
      </c>
      <c r="F4156" s="28" t="s">
        <v>77</v>
      </c>
      <c r="G4156" s="28" t="s">
        <v>77</v>
      </c>
      <c r="I4156" s="26" t="s">
        <v>77</v>
      </c>
      <c r="J4156" s="26" t="s">
        <v>77</v>
      </c>
      <c r="K4156" s="18"/>
      <c r="L4156" s="26" t="s">
        <v>77</v>
      </c>
      <c r="M4156" s="6" t="s">
        <v>77</v>
      </c>
      <c r="N4156" s="28" t="s">
        <v>77</v>
      </c>
      <c r="O4156" s="26" t="s">
        <v>77</v>
      </c>
    </row>
    <row r="4157">
      <c r="A4157" s="52" t="s">
        <v>77</v>
      </c>
      <c r="B4157" s="28" t="s">
        <v>77</v>
      </c>
      <c r="C4157" s="28" t="s">
        <v>77</v>
      </c>
      <c r="D4157" s="28" t="s">
        <v>77</v>
      </c>
      <c r="E4157" s="28" t="s">
        <v>77</v>
      </c>
      <c r="F4157" s="28" t="s">
        <v>77</v>
      </c>
      <c r="G4157" s="28" t="s">
        <v>77</v>
      </c>
      <c r="I4157" s="26" t="s">
        <v>77</v>
      </c>
      <c r="J4157" s="26" t="s">
        <v>77</v>
      </c>
      <c r="K4157" s="18"/>
      <c r="L4157" s="26" t="s">
        <v>77</v>
      </c>
      <c r="M4157" s="6" t="s">
        <v>77</v>
      </c>
      <c r="N4157" s="28" t="s">
        <v>77</v>
      </c>
      <c r="O4157" s="26" t="s">
        <v>77</v>
      </c>
    </row>
    <row r="4158">
      <c r="A4158" s="52" t="s">
        <v>77</v>
      </c>
      <c r="B4158" s="28" t="s">
        <v>77</v>
      </c>
      <c r="C4158" s="28" t="s">
        <v>77</v>
      </c>
      <c r="D4158" s="28" t="s">
        <v>77</v>
      </c>
      <c r="E4158" s="28" t="s">
        <v>77</v>
      </c>
      <c r="F4158" s="28" t="s">
        <v>77</v>
      </c>
      <c r="G4158" s="28" t="s">
        <v>77</v>
      </c>
      <c r="I4158" s="26" t="s">
        <v>77</v>
      </c>
      <c r="J4158" s="26" t="s">
        <v>77</v>
      </c>
      <c r="K4158" s="18"/>
      <c r="L4158" s="26" t="s">
        <v>77</v>
      </c>
      <c r="M4158" s="6" t="s">
        <v>77</v>
      </c>
      <c r="N4158" s="28" t="s">
        <v>77</v>
      </c>
      <c r="O4158" s="26" t="s">
        <v>77</v>
      </c>
    </row>
    <row r="4159">
      <c r="A4159" s="52" t="s">
        <v>77</v>
      </c>
      <c r="B4159" s="28" t="s">
        <v>77</v>
      </c>
      <c r="C4159" s="28" t="s">
        <v>77</v>
      </c>
      <c r="D4159" s="28" t="s">
        <v>77</v>
      </c>
      <c r="E4159" s="28" t="s">
        <v>77</v>
      </c>
      <c r="F4159" s="28" t="s">
        <v>77</v>
      </c>
      <c r="G4159" s="28" t="s">
        <v>77</v>
      </c>
      <c r="I4159" s="26" t="s">
        <v>77</v>
      </c>
      <c r="J4159" s="26" t="s">
        <v>77</v>
      </c>
      <c r="K4159" s="18"/>
      <c r="L4159" s="26" t="s">
        <v>77</v>
      </c>
      <c r="M4159" s="6" t="s">
        <v>77</v>
      </c>
      <c r="N4159" s="28" t="s">
        <v>77</v>
      </c>
      <c r="O4159" s="26" t="s">
        <v>77</v>
      </c>
    </row>
    <row r="4160">
      <c r="A4160" s="52" t="s">
        <v>77</v>
      </c>
      <c r="B4160" s="28" t="s">
        <v>77</v>
      </c>
      <c r="C4160" s="28" t="s">
        <v>77</v>
      </c>
      <c r="D4160" s="28" t="s">
        <v>77</v>
      </c>
      <c r="E4160" s="28" t="s">
        <v>77</v>
      </c>
      <c r="F4160" s="28" t="s">
        <v>77</v>
      </c>
      <c r="G4160" s="28" t="s">
        <v>77</v>
      </c>
      <c r="I4160" s="26" t="s">
        <v>77</v>
      </c>
      <c r="J4160" s="26" t="s">
        <v>77</v>
      </c>
      <c r="K4160" s="18"/>
      <c r="L4160" s="26" t="s">
        <v>77</v>
      </c>
      <c r="M4160" s="6" t="s">
        <v>77</v>
      </c>
      <c r="N4160" s="28" t="s">
        <v>77</v>
      </c>
      <c r="O4160" s="26" t="s">
        <v>77</v>
      </c>
    </row>
    <row r="4161">
      <c r="A4161" s="52" t="s">
        <v>77</v>
      </c>
      <c r="B4161" s="28" t="s">
        <v>77</v>
      </c>
      <c r="C4161" s="28" t="s">
        <v>77</v>
      </c>
      <c r="D4161" s="28" t="s">
        <v>77</v>
      </c>
      <c r="E4161" s="28" t="s">
        <v>77</v>
      </c>
      <c r="F4161" s="28" t="s">
        <v>77</v>
      </c>
      <c r="G4161" s="28" t="s">
        <v>77</v>
      </c>
      <c r="I4161" s="26" t="s">
        <v>77</v>
      </c>
      <c r="J4161" s="26" t="s">
        <v>77</v>
      </c>
      <c r="K4161" s="18"/>
      <c r="L4161" s="26" t="s">
        <v>77</v>
      </c>
      <c r="M4161" s="6" t="s">
        <v>77</v>
      </c>
      <c r="N4161" s="28" t="s">
        <v>77</v>
      </c>
      <c r="O4161" s="26" t="s">
        <v>77</v>
      </c>
    </row>
    <row r="4162">
      <c r="A4162" s="52" t="s">
        <v>77</v>
      </c>
      <c r="B4162" s="28" t="s">
        <v>77</v>
      </c>
      <c r="C4162" s="28" t="s">
        <v>77</v>
      </c>
      <c r="D4162" s="28" t="s">
        <v>77</v>
      </c>
      <c r="E4162" s="28" t="s">
        <v>77</v>
      </c>
      <c r="F4162" s="28" t="s">
        <v>77</v>
      </c>
      <c r="G4162" s="28" t="s">
        <v>77</v>
      </c>
      <c r="I4162" s="26" t="s">
        <v>77</v>
      </c>
      <c r="J4162" s="26" t="s">
        <v>77</v>
      </c>
      <c r="K4162" s="18"/>
      <c r="L4162" s="26" t="s">
        <v>77</v>
      </c>
      <c r="M4162" s="6" t="s">
        <v>77</v>
      </c>
      <c r="N4162" s="28" t="s">
        <v>77</v>
      </c>
      <c r="O4162" s="26" t="s">
        <v>77</v>
      </c>
    </row>
    <row r="4163">
      <c r="A4163" s="52" t="s">
        <v>77</v>
      </c>
      <c r="B4163" s="28" t="s">
        <v>77</v>
      </c>
      <c r="C4163" s="28" t="s">
        <v>77</v>
      </c>
      <c r="D4163" s="28" t="s">
        <v>77</v>
      </c>
      <c r="E4163" s="28" t="s">
        <v>77</v>
      </c>
      <c r="F4163" s="28" t="s">
        <v>77</v>
      </c>
      <c r="G4163" s="28" t="s">
        <v>77</v>
      </c>
      <c r="I4163" s="26" t="s">
        <v>77</v>
      </c>
      <c r="J4163" s="26" t="s">
        <v>77</v>
      </c>
      <c r="K4163" s="18"/>
      <c r="L4163" s="26" t="s">
        <v>77</v>
      </c>
      <c r="M4163" s="6" t="s">
        <v>77</v>
      </c>
      <c r="N4163" s="28" t="s">
        <v>77</v>
      </c>
      <c r="O4163" s="26" t="s">
        <v>77</v>
      </c>
    </row>
    <row r="4164">
      <c r="A4164" s="52" t="s">
        <v>77</v>
      </c>
      <c r="B4164" s="28" t="s">
        <v>77</v>
      </c>
      <c r="C4164" s="28" t="s">
        <v>77</v>
      </c>
      <c r="D4164" s="28" t="s">
        <v>77</v>
      </c>
      <c r="E4164" s="28" t="s">
        <v>77</v>
      </c>
      <c r="F4164" s="28" t="s">
        <v>77</v>
      </c>
      <c r="G4164" s="28" t="s">
        <v>77</v>
      </c>
      <c r="I4164" s="26" t="s">
        <v>77</v>
      </c>
      <c r="J4164" s="26" t="s">
        <v>77</v>
      </c>
      <c r="K4164" s="18"/>
      <c r="L4164" s="26" t="s">
        <v>77</v>
      </c>
      <c r="M4164" s="6" t="s">
        <v>77</v>
      </c>
      <c r="N4164" s="28" t="s">
        <v>77</v>
      </c>
      <c r="O4164" s="26" t="s">
        <v>77</v>
      </c>
    </row>
    <row r="4165">
      <c r="A4165" s="52" t="s">
        <v>77</v>
      </c>
      <c r="B4165" s="28" t="s">
        <v>77</v>
      </c>
      <c r="C4165" s="28" t="s">
        <v>77</v>
      </c>
      <c r="D4165" s="28" t="s">
        <v>77</v>
      </c>
      <c r="E4165" s="28" t="s">
        <v>77</v>
      </c>
      <c r="F4165" s="28" t="s">
        <v>77</v>
      </c>
      <c r="G4165" s="28" t="s">
        <v>77</v>
      </c>
      <c r="I4165" s="26" t="s">
        <v>77</v>
      </c>
      <c r="J4165" s="26" t="s">
        <v>77</v>
      </c>
      <c r="K4165" s="18"/>
      <c r="L4165" s="26" t="s">
        <v>77</v>
      </c>
      <c r="M4165" s="6" t="s">
        <v>77</v>
      </c>
      <c r="N4165" s="28" t="s">
        <v>77</v>
      </c>
      <c r="O4165" s="26" t="s">
        <v>77</v>
      </c>
    </row>
    <row r="4166">
      <c r="A4166" s="52" t="s">
        <v>77</v>
      </c>
      <c r="B4166" s="28" t="s">
        <v>77</v>
      </c>
      <c r="C4166" s="28" t="s">
        <v>77</v>
      </c>
      <c r="D4166" s="28" t="s">
        <v>77</v>
      </c>
      <c r="E4166" s="28" t="s">
        <v>77</v>
      </c>
      <c r="F4166" s="28" t="s">
        <v>77</v>
      </c>
      <c r="G4166" s="28" t="s">
        <v>77</v>
      </c>
      <c r="I4166" s="26" t="s">
        <v>77</v>
      </c>
      <c r="J4166" s="26" t="s">
        <v>77</v>
      </c>
      <c r="K4166" s="18"/>
      <c r="L4166" s="26" t="s">
        <v>77</v>
      </c>
      <c r="M4166" s="6" t="s">
        <v>77</v>
      </c>
      <c r="N4166" s="28" t="s">
        <v>77</v>
      </c>
      <c r="O4166" s="26" t="s">
        <v>77</v>
      </c>
    </row>
    <row r="4167">
      <c r="A4167" s="52" t="s">
        <v>77</v>
      </c>
      <c r="B4167" s="28" t="s">
        <v>77</v>
      </c>
      <c r="C4167" s="28" t="s">
        <v>77</v>
      </c>
      <c r="D4167" s="28" t="s">
        <v>77</v>
      </c>
      <c r="E4167" s="28" t="s">
        <v>77</v>
      </c>
      <c r="F4167" s="28" t="s">
        <v>77</v>
      </c>
      <c r="G4167" s="28" t="s">
        <v>77</v>
      </c>
      <c r="I4167" s="26" t="s">
        <v>77</v>
      </c>
      <c r="J4167" s="26" t="s">
        <v>77</v>
      </c>
      <c r="K4167" s="18"/>
      <c r="L4167" s="26" t="s">
        <v>77</v>
      </c>
      <c r="M4167" s="6" t="s">
        <v>77</v>
      </c>
      <c r="N4167" s="28" t="s">
        <v>77</v>
      </c>
      <c r="O4167" s="26" t="s">
        <v>77</v>
      </c>
    </row>
    <row r="4168">
      <c r="A4168" s="52" t="s">
        <v>77</v>
      </c>
      <c r="B4168" s="28" t="s">
        <v>77</v>
      </c>
      <c r="C4168" s="28" t="s">
        <v>77</v>
      </c>
      <c r="D4168" s="28" t="s">
        <v>77</v>
      </c>
      <c r="E4168" s="28" t="s">
        <v>77</v>
      </c>
      <c r="F4168" s="28" t="s">
        <v>77</v>
      </c>
      <c r="G4168" s="28" t="s">
        <v>77</v>
      </c>
      <c r="I4168" s="26" t="s">
        <v>77</v>
      </c>
      <c r="J4168" s="26" t="s">
        <v>77</v>
      </c>
      <c r="K4168" s="18"/>
      <c r="L4168" s="26" t="s">
        <v>77</v>
      </c>
      <c r="M4168" s="6" t="s">
        <v>77</v>
      </c>
      <c r="N4168" s="28" t="s">
        <v>77</v>
      </c>
      <c r="O4168" s="26" t="s">
        <v>77</v>
      </c>
    </row>
    <row r="4169">
      <c r="A4169" s="52" t="s">
        <v>77</v>
      </c>
      <c r="B4169" s="28" t="s">
        <v>77</v>
      </c>
      <c r="C4169" s="28" t="s">
        <v>77</v>
      </c>
      <c r="D4169" s="28" t="s">
        <v>77</v>
      </c>
      <c r="E4169" s="28" t="s">
        <v>77</v>
      </c>
      <c r="F4169" s="28" t="s">
        <v>77</v>
      </c>
      <c r="G4169" s="28" t="s">
        <v>77</v>
      </c>
      <c r="I4169" s="26" t="s">
        <v>77</v>
      </c>
      <c r="J4169" s="26" t="s">
        <v>77</v>
      </c>
      <c r="K4169" s="18"/>
      <c r="L4169" s="26" t="s">
        <v>77</v>
      </c>
      <c r="M4169" s="6" t="s">
        <v>77</v>
      </c>
      <c r="N4169" s="28" t="s">
        <v>77</v>
      </c>
      <c r="O4169" s="26" t="s">
        <v>77</v>
      </c>
    </row>
    <row r="4170">
      <c r="A4170" s="52" t="s">
        <v>77</v>
      </c>
      <c r="B4170" s="28" t="s">
        <v>77</v>
      </c>
      <c r="C4170" s="28" t="s">
        <v>77</v>
      </c>
      <c r="D4170" s="28" t="s">
        <v>77</v>
      </c>
      <c r="E4170" s="28" t="s">
        <v>77</v>
      </c>
      <c r="F4170" s="28" t="s">
        <v>77</v>
      </c>
      <c r="G4170" s="28" t="s">
        <v>77</v>
      </c>
      <c r="I4170" s="26" t="s">
        <v>77</v>
      </c>
      <c r="J4170" s="26" t="s">
        <v>77</v>
      </c>
      <c r="K4170" s="18"/>
      <c r="L4170" s="26" t="s">
        <v>77</v>
      </c>
      <c r="M4170" s="6" t="s">
        <v>77</v>
      </c>
      <c r="N4170" s="28" t="s">
        <v>77</v>
      </c>
      <c r="O4170" s="26" t="s">
        <v>77</v>
      </c>
    </row>
    <row r="4171">
      <c r="A4171" s="52" t="s">
        <v>77</v>
      </c>
      <c r="B4171" s="28" t="s">
        <v>77</v>
      </c>
      <c r="C4171" s="28" t="s">
        <v>77</v>
      </c>
      <c r="D4171" s="28" t="s">
        <v>77</v>
      </c>
      <c r="E4171" s="28" t="s">
        <v>77</v>
      </c>
      <c r="F4171" s="28" t="s">
        <v>77</v>
      </c>
      <c r="G4171" s="28" t="s">
        <v>77</v>
      </c>
      <c r="I4171" s="26" t="s">
        <v>77</v>
      </c>
      <c r="J4171" s="26" t="s">
        <v>77</v>
      </c>
      <c r="K4171" s="18"/>
      <c r="L4171" s="26" t="s">
        <v>77</v>
      </c>
      <c r="M4171" s="6" t="s">
        <v>77</v>
      </c>
      <c r="N4171" s="28" t="s">
        <v>77</v>
      </c>
      <c r="O4171" s="26" t="s">
        <v>77</v>
      </c>
    </row>
    <row r="4172">
      <c r="A4172" s="52" t="s">
        <v>77</v>
      </c>
      <c r="B4172" s="28" t="s">
        <v>77</v>
      </c>
      <c r="C4172" s="28" t="s">
        <v>77</v>
      </c>
      <c r="D4172" s="28" t="s">
        <v>77</v>
      </c>
      <c r="E4172" s="28" t="s">
        <v>77</v>
      </c>
      <c r="F4172" s="28" t="s">
        <v>77</v>
      </c>
      <c r="G4172" s="28" t="s">
        <v>77</v>
      </c>
      <c r="I4172" s="26" t="s">
        <v>77</v>
      </c>
      <c r="J4172" s="26" t="s">
        <v>77</v>
      </c>
      <c r="K4172" s="18"/>
      <c r="L4172" s="26" t="s">
        <v>77</v>
      </c>
      <c r="M4172" s="6" t="s">
        <v>77</v>
      </c>
      <c r="N4172" s="28" t="s">
        <v>77</v>
      </c>
      <c r="O4172" s="26" t="s">
        <v>77</v>
      </c>
    </row>
    <row r="4173">
      <c r="A4173" s="52" t="s">
        <v>77</v>
      </c>
      <c r="B4173" s="28" t="s">
        <v>77</v>
      </c>
      <c r="C4173" s="28" t="s">
        <v>77</v>
      </c>
      <c r="D4173" s="28" t="s">
        <v>77</v>
      </c>
      <c r="E4173" s="28" t="s">
        <v>77</v>
      </c>
      <c r="F4173" s="28" t="s">
        <v>77</v>
      </c>
      <c r="G4173" s="28" t="s">
        <v>77</v>
      </c>
      <c r="I4173" s="26" t="s">
        <v>77</v>
      </c>
      <c r="J4173" s="26" t="s">
        <v>77</v>
      </c>
      <c r="K4173" s="18"/>
      <c r="L4173" s="26" t="s">
        <v>77</v>
      </c>
      <c r="M4173" s="6" t="s">
        <v>77</v>
      </c>
      <c r="N4173" s="28" t="s">
        <v>77</v>
      </c>
      <c r="O4173" s="26" t="s">
        <v>77</v>
      </c>
    </row>
    <row r="4174">
      <c r="A4174" s="52" t="s">
        <v>77</v>
      </c>
      <c r="B4174" s="28" t="s">
        <v>77</v>
      </c>
      <c r="C4174" s="28" t="s">
        <v>77</v>
      </c>
      <c r="D4174" s="28" t="s">
        <v>77</v>
      </c>
      <c r="E4174" s="28" t="s">
        <v>77</v>
      </c>
      <c r="F4174" s="28" t="s">
        <v>77</v>
      </c>
      <c r="G4174" s="28" t="s">
        <v>77</v>
      </c>
      <c r="I4174" s="26" t="s">
        <v>77</v>
      </c>
      <c r="J4174" s="26" t="s">
        <v>77</v>
      </c>
      <c r="K4174" s="18"/>
      <c r="L4174" s="26" t="s">
        <v>77</v>
      </c>
      <c r="M4174" s="6" t="s">
        <v>77</v>
      </c>
      <c r="N4174" s="28" t="s">
        <v>77</v>
      </c>
      <c r="O4174" s="26" t="s">
        <v>77</v>
      </c>
    </row>
    <row r="4175">
      <c r="A4175" s="52" t="s">
        <v>77</v>
      </c>
      <c r="B4175" s="28" t="s">
        <v>77</v>
      </c>
      <c r="C4175" s="28" t="s">
        <v>77</v>
      </c>
      <c r="D4175" s="28" t="s">
        <v>77</v>
      </c>
      <c r="E4175" s="28" t="s">
        <v>77</v>
      </c>
      <c r="F4175" s="28" t="s">
        <v>77</v>
      </c>
      <c r="G4175" s="28" t="s">
        <v>77</v>
      </c>
      <c r="I4175" s="26" t="s">
        <v>77</v>
      </c>
      <c r="J4175" s="26" t="s">
        <v>77</v>
      </c>
      <c r="K4175" s="18"/>
      <c r="L4175" s="26" t="s">
        <v>77</v>
      </c>
      <c r="M4175" s="6" t="s">
        <v>77</v>
      </c>
      <c r="N4175" s="28" t="s">
        <v>77</v>
      </c>
      <c r="O4175" s="26" t="s">
        <v>77</v>
      </c>
    </row>
    <row r="4176">
      <c r="A4176" s="52" t="s">
        <v>77</v>
      </c>
      <c r="B4176" s="28" t="s">
        <v>77</v>
      </c>
      <c r="C4176" s="28" t="s">
        <v>77</v>
      </c>
      <c r="D4176" s="28" t="s">
        <v>77</v>
      </c>
      <c r="E4176" s="28" t="s">
        <v>77</v>
      </c>
      <c r="F4176" s="28" t="s">
        <v>77</v>
      </c>
      <c r="G4176" s="28" t="s">
        <v>77</v>
      </c>
      <c r="I4176" s="26" t="s">
        <v>77</v>
      </c>
      <c r="J4176" s="26" t="s">
        <v>77</v>
      </c>
      <c r="K4176" s="18"/>
      <c r="L4176" s="26" t="s">
        <v>77</v>
      </c>
      <c r="M4176" s="6" t="s">
        <v>77</v>
      </c>
      <c r="N4176" s="28" t="s">
        <v>77</v>
      </c>
      <c r="O4176" s="26" t="s">
        <v>77</v>
      </c>
    </row>
    <row r="4177">
      <c r="A4177" s="52" t="s">
        <v>77</v>
      </c>
      <c r="B4177" s="28" t="s">
        <v>77</v>
      </c>
      <c r="C4177" s="28" t="s">
        <v>77</v>
      </c>
      <c r="D4177" s="28" t="s">
        <v>77</v>
      </c>
      <c r="E4177" s="28" t="s">
        <v>77</v>
      </c>
      <c r="F4177" s="28" t="s">
        <v>77</v>
      </c>
      <c r="G4177" s="28" t="s">
        <v>77</v>
      </c>
      <c r="I4177" s="26" t="s">
        <v>77</v>
      </c>
      <c r="J4177" s="26" t="s">
        <v>77</v>
      </c>
      <c r="K4177" s="18"/>
      <c r="L4177" s="26" t="s">
        <v>77</v>
      </c>
      <c r="M4177" s="6" t="s">
        <v>77</v>
      </c>
      <c r="N4177" s="28" t="s">
        <v>77</v>
      </c>
      <c r="O4177" s="26" t="s">
        <v>77</v>
      </c>
    </row>
    <row r="4178">
      <c r="A4178" s="52" t="s">
        <v>77</v>
      </c>
      <c r="B4178" s="28" t="s">
        <v>77</v>
      </c>
      <c r="C4178" s="28" t="s">
        <v>77</v>
      </c>
      <c r="D4178" s="28" t="s">
        <v>77</v>
      </c>
      <c r="E4178" s="28" t="s">
        <v>77</v>
      </c>
      <c r="F4178" s="28" t="s">
        <v>77</v>
      </c>
      <c r="G4178" s="28" t="s">
        <v>77</v>
      </c>
      <c r="I4178" s="26" t="s">
        <v>77</v>
      </c>
      <c r="J4178" s="26" t="s">
        <v>77</v>
      </c>
      <c r="K4178" s="18"/>
      <c r="L4178" s="26" t="s">
        <v>77</v>
      </c>
      <c r="M4178" s="6" t="s">
        <v>77</v>
      </c>
      <c r="N4178" s="28" t="s">
        <v>77</v>
      </c>
      <c r="O4178" s="26" t="s">
        <v>77</v>
      </c>
    </row>
    <row r="4179">
      <c r="A4179" s="52" t="s">
        <v>77</v>
      </c>
      <c r="B4179" s="28" t="s">
        <v>77</v>
      </c>
      <c r="C4179" s="28" t="s">
        <v>77</v>
      </c>
      <c r="D4179" s="28" t="s">
        <v>77</v>
      </c>
      <c r="E4179" s="28" t="s">
        <v>77</v>
      </c>
      <c r="F4179" s="28" t="s">
        <v>77</v>
      </c>
      <c r="G4179" s="28" t="s">
        <v>77</v>
      </c>
      <c r="I4179" s="26" t="s">
        <v>77</v>
      </c>
      <c r="J4179" s="26" t="s">
        <v>77</v>
      </c>
      <c r="K4179" s="18"/>
      <c r="L4179" s="26" t="s">
        <v>77</v>
      </c>
      <c r="M4179" s="6" t="s">
        <v>77</v>
      </c>
      <c r="N4179" s="28" t="s">
        <v>77</v>
      </c>
      <c r="O4179" s="26" t="s">
        <v>77</v>
      </c>
    </row>
    <row r="4180">
      <c r="A4180" s="52" t="s">
        <v>77</v>
      </c>
      <c r="B4180" s="28" t="s">
        <v>77</v>
      </c>
      <c r="C4180" s="28" t="s">
        <v>77</v>
      </c>
      <c r="D4180" s="28" t="s">
        <v>77</v>
      </c>
      <c r="E4180" s="28" t="s">
        <v>77</v>
      </c>
      <c r="F4180" s="28" t="s">
        <v>77</v>
      </c>
      <c r="G4180" s="28" t="s">
        <v>77</v>
      </c>
      <c r="I4180" s="26" t="s">
        <v>77</v>
      </c>
      <c r="J4180" s="26" t="s">
        <v>77</v>
      </c>
      <c r="K4180" s="18"/>
      <c r="L4180" s="26" t="s">
        <v>77</v>
      </c>
      <c r="M4180" s="6" t="s">
        <v>77</v>
      </c>
      <c r="N4180" s="28" t="s">
        <v>77</v>
      </c>
      <c r="O4180" s="26" t="s">
        <v>77</v>
      </c>
    </row>
    <row r="4181">
      <c r="A4181" s="52" t="s">
        <v>77</v>
      </c>
      <c r="B4181" s="28" t="s">
        <v>77</v>
      </c>
      <c r="C4181" s="28" t="s">
        <v>77</v>
      </c>
      <c r="D4181" s="28" t="s">
        <v>77</v>
      </c>
      <c r="E4181" s="28" t="s">
        <v>77</v>
      </c>
      <c r="F4181" s="28" t="s">
        <v>77</v>
      </c>
      <c r="G4181" s="28" t="s">
        <v>77</v>
      </c>
      <c r="I4181" s="26" t="s">
        <v>77</v>
      </c>
      <c r="J4181" s="26" t="s">
        <v>77</v>
      </c>
      <c r="K4181" s="18"/>
      <c r="L4181" s="26" t="s">
        <v>77</v>
      </c>
      <c r="M4181" s="6" t="s">
        <v>77</v>
      </c>
      <c r="N4181" s="28" t="s">
        <v>77</v>
      </c>
      <c r="O4181" s="26" t="s">
        <v>77</v>
      </c>
    </row>
    <row r="4182">
      <c r="A4182" s="52" t="s">
        <v>77</v>
      </c>
      <c r="B4182" s="28" t="s">
        <v>77</v>
      </c>
      <c r="C4182" s="28" t="s">
        <v>77</v>
      </c>
      <c r="D4182" s="28" t="s">
        <v>77</v>
      </c>
      <c r="E4182" s="28" t="s">
        <v>77</v>
      </c>
      <c r="F4182" s="28" t="s">
        <v>77</v>
      </c>
      <c r="G4182" s="28" t="s">
        <v>77</v>
      </c>
      <c r="I4182" s="26" t="s">
        <v>77</v>
      </c>
      <c r="J4182" s="26" t="s">
        <v>77</v>
      </c>
      <c r="K4182" s="18"/>
      <c r="L4182" s="26" t="s">
        <v>77</v>
      </c>
      <c r="M4182" s="6" t="s">
        <v>77</v>
      </c>
      <c r="N4182" s="28" t="s">
        <v>77</v>
      </c>
      <c r="O4182" s="26" t="s">
        <v>77</v>
      </c>
    </row>
    <row r="4183">
      <c r="A4183" s="52" t="s">
        <v>77</v>
      </c>
      <c r="B4183" s="28" t="s">
        <v>77</v>
      </c>
      <c r="C4183" s="28" t="s">
        <v>77</v>
      </c>
      <c r="D4183" s="28" t="s">
        <v>77</v>
      </c>
      <c r="E4183" s="28" t="s">
        <v>77</v>
      </c>
      <c r="F4183" s="28" t="s">
        <v>77</v>
      </c>
      <c r="G4183" s="28" t="s">
        <v>77</v>
      </c>
      <c r="I4183" s="26" t="s">
        <v>77</v>
      </c>
      <c r="J4183" s="26" t="s">
        <v>77</v>
      </c>
      <c r="K4183" s="18"/>
      <c r="L4183" s="26" t="s">
        <v>77</v>
      </c>
      <c r="M4183" s="6" t="s">
        <v>77</v>
      </c>
      <c r="N4183" s="28" t="s">
        <v>77</v>
      </c>
      <c r="O4183" s="26" t="s">
        <v>77</v>
      </c>
    </row>
    <row r="4184">
      <c r="A4184" s="52" t="s">
        <v>77</v>
      </c>
      <c r="B4184" s="28" t="s">
        <v>77</v>
      </c>
      <c r="C4184" s="28" t="s">
        <v>77</v>
      </c>
      <c r="D4184" s="28" t="s">
        <v>77</v>
      </c>
      <c r="E4184" s="28" t="s">
        <v>77</v>
      </c>
      <c r="F4184" s="28" t="s">
        <v>77</v>
      </c>
      <c r="G4184" s="28" t="s">
        <v>77</v>
      </c>
      <c r="I4184" s="26" t="s">
        <v>77</v>
      </c>
      <c r="J4184" s="26" t="s">
        <v>77</v>
      </c>
      <c r="K4184" s="18"/>
      <c r="L4184" s="26" t="s">
        <v>77</v>
      </c>
      <c r="M4184" s="6" t="s">
        <v>77</v>
      </c>
      <c r="N4184" s="28" t="s">
        <v>77</v>
      </c>
      <c r="O4184" s="26" t="s">
        <v>77</v>
      </c>
    </row>
    <row r="4185">
      <c r="A4185" s="52" t="s">
        <v>77</v>
      </c>
      <c r="B4185" s="28" t="s">
        <v>77</v>
      </c>
      <c r="C4185" s="28" t="s">
        <v>77</v>
      </c>
      <c r="D4185" s="28" t="s">
        <v>77</v>
      </c>
      <c r="E4185" s="28" t="s">
        <v>77</v>
      </c>
      <c r="F4185" s="28" t="s">
        <v>77</v>
      </c>
      <c r="G4185" s="28" t="s">
        <v>77</v>
      </c>
      <c r="I4185" s="26" t="s">
        <v>77</v>
      </c>
      <c r="J4185" s="26" t="s">
        <v>77</v>
      </c>
      <c r="K4185" s="18"/>
      <c r="L4185" s="26" t="s">
        <v>77</v>
      </c>
      <c r="M4185" s="6" t="s">
        <v>77</v>
      </c>
      <c r="N4185" s="28" t="s">
        <v>77</v>
      </c>
      <c r="O4185" s="26" t="s">
        <v>77</v>
      </c>
    </row>
    <row r="4186">
      <c r="A4186" s="52" t="s">
        <v>77</v>
      </c>
      <c r="B4186" s="28" t="s">
        <v>77</v>
      </c>
      <c r="C4186" s="28" t="s">
        <v>77</v>
      </c>
      <c r="D4186" s="28" t="s">
        <v>77</v>
      </c>
      <c r="E4186" s="28" t="s">
        <v>77</v>
      </c>
      <c r="F4186" s="28" t="s">
        <v>77</v>
      </c>
      <c r="G4186" s="28" t="s">
        <v>77</v>
      </c>
      <c r="I4186" s="26" t="s">
        <v>77</v>
      </c>
      <c r="J4186" s="26" t="s">
        <v>77</v>
      </c>
      <c r="K4186" s="18"/>
      <c r="L4186" s="26" t="s">
        <v>77</v>
      </c>
      <c r="M4186" s="6" t="s">
        <v>77</v>
      </c>
      <c r="N4186" s="28" t="s">
        <v>77</v>
      </c>
      <c r="O4186" s="26" t="s">
        <v>77</v>
      </c>
    </row>
    <row r="4187">
      <c r="A4187" s="52" t="s">
        <v>77</v>
      </c>
      <c r="B4187" s="28" t="s">
        <v>77</v>
      </c>
      <c r="C4187" s="28" t="s">
        <v>77</v>
      </c>
      <c r="D4187" s="28" t="s">
        <v>77</v>
      </c>
      <c r="E4187" s="28" t="s">
        <v>77</v>
      </c>
      <c r="F4187" s="28" t="s">
        <v>77</v>
      </c>
      <c r="G4187" s="28" t="s">
        <v>77</v>
      </c>
      <c r="I4187" s="26" t="s">
        <v>77</v>
      </c>
      <c r="J4187" s="26" t="s">
        <v>77</v>
      </c>
      <c r="K4187" s="18"/>
      <c r="L4187" s="26" t="s">
        <v>77</v>
      </c>
      <c r="M4187" s="6" t="s">
        <v>77</v>
      </c>
      <c r="N4187" s="28" t="s">
        <v>77</v>
      </c>
      <c r="O4187" s="26" t="s">
        <v>77</v>
      </c>
    </row>
    <row r="4188">
      <c r="A4188" s="52" t="s">
        <v>77</v>
      </c>
      <c r="B4188" s="28" t="s">
        <v>77</v>
      </c>
      <c r="C4188" s="28" t="s">
        <v>77</v>
      </c>
      <c r="D4188" s="28" t="s">
        <v>77</v>
      </c>
      <c r="E4188" s="28" t="s">
        <v>77</v>
      </c>
      <c r="F4188" s="28" t="s">
        <v>77</v>
      </c>
      <c r="G4188" s="28" t="s">
        <v>77</v>
      </c>
      <c r="I4188" s="26" t="s">
        <v>77</v>
      </c>
      <c r="J4188" s="26" t="s">
        <v>77</v>
      </c>
      <c r="K4188" s="18"/>
      <c r="L4188" s="26" t="s">
        <v>77</v>
      </c>
      <c r="M4188" s="6" t="s">
        <v>77</v>
      </c>
      <c r="N4188" s="28" t="s">
        <v>77</v>
      </c>
      <c r="O4188" s="26" t="s">
        <v>77</v>
      </c>
    </row>
    <row r="4189">
      <c r="A4189" s="52" t="s">
        <v>77</v>
      </c>
      <c r="B4189" s="28" t="s">
        <v>77</v>
      </c>
      <c r="C4189" s="28" t="s">
        <v>77</v>
      </c>
      <c r="D4189" s="28" t="s">
        <v>77</v>
      </c>
      <c r="E4189" s="28" t="s">
        <v>77</v>
      </c>
      <c r="F4189" s="28" t="s">
        <v>77</v>
      </c>
      <c r="G4189" s="28" t="s">
        <v>77</v>
      </c>
      <c r="I4189" s="26" t="s">
        <v>77</v>
      </c>
      <c r="J4189" s="26" t="s">
        <v>77</v>
      </c>
      <c r="K4189" s="18"/>
      <c r="L4189" s="26" t="s">
        <v>77</v>
      </c>
      <c r="M4189" s="6" t="s">
        <v>77</v>
      </c>
      <c r="N4189" s="28" t="s">
        <v>77</v>
      </c>
      <c r="O4189" s="26" t="s">
        <v>77</v>
      </c>
    </row>
    <row r="4190">
      <c r="A4190" s="52" t="s">
        <v>77</v>
      </c>
      <c r="B4190" s="28" t="s">
        <v>77</v>
      </c>
      <c r="C4190" s="28" t="s">
        <v>77</v>
      </c>
      <c r="D4190" s="28" t="s">
        <v>77</v>
      </c>
      <c r="E4190" s="28" t="s">
        <v>77</v>
      </c>
      <c r="F4190" s="28" t="s">
        <v>77</v>
      </c>
      <c r="G4190" s="28" t="s">
        <v>77</v>
      </c>
      <c r="I4190" s="26" t="s">
        <v>77</v>
      </c>
      <c r="J4190" s="26" t="s">
        <v>77</v>
      </c>
      <c r="K4190" s="18"/>
      <c r="L4190" s="26" t="s">
        <v>77</v>
      </c>
      <c r="M4190" s="6" t="s">
        <v>77</v>
      </c>
      <c r="N4190" s="28" t="s">
        <v>77</v>
      </c>
      <c r="O4190" s="26" t="s">
        <v>77</v>
      </c>
    </row>
    <row r="4191">
      <c r="A4191" s="52" t="s">
        <v>77</v>
      </c>
      <c r="B4191" s="28" t="s">
        <v>77</v>
      </c>
      <c r="C4191" s="28" t="s">
        <v>77</v>
      </c>
      <c r="D4191" s="28" t="s">
        <v>77</v>
      </c>
      <c r="E4191" s="28" t="s">
        <v>77</v>
      </c>
      <c r="F4191" s="28" t="s">
        <v>77</v>
      </c>
      <c r="G4191" s="28" t="s">
        <v>77</v>
      </c>
      <c r="I4191" s="26" t="s">
        <v>77</v>
      </c>
      <c r="J4191" s="26" t="s">
        <v>77</v>
      </c>
      <c r="K4191" s="18"/>
      <c r="L4191" s="26" t="s">
        <v>77</v>
      </c>
      <c r="M4191" s="6" t="s">
        <v>77</v>
      </c>
      <c r="N4191" s="28" t="s">
        <v>77</v>
      </c>
      <c r="O4191" s="26" t="s">
        <v>77</v>
      </c>
    </row>
    <row r="4192">
      <c r="A4192" s="52" t="s">
        <v>77</v>
      </c>
      <c r="B4192" s="28" t="s">
        <v>77</v>
      </c>
      <c r="C4192" s="28" t="s">
        <v>77</v>
      </c>
      <c r="D4192" s="28" t="s">
        <v>77</v>
      </c>
      <c r="E4192" s="28" t="s">
        <v>77</v>
      </c>
      <c r="F4192" s="28" t="s">
        <v>77</v>
      </c>
      <c r="G4192" s="28" t="s">
        <v>77</v>
      </c>
      <c r="I4192" s="26" t="s">
        <v>77</v>
      </c>
      <c r="J4192" s="26" t="s">
        <v>77</v>
      </c>
      <c r="K4192" s="18"/>
      <c r="L4192" s="26" t="s">
        <v>77</v>
      </c>
      <c r="M4192" s="6" t="s">
        <v>77</v>
      </c>
      <c r="N4192" s="28" t="s">
        <v>77</v>
      </c>
      <c r="O4192" s="26" t="s">
        <v>77</v>
      </c>
    </row>
    <row r="4193">
      <c r="A4193" s="52" t="s">
        <v>77</v>
      </c>
      <c r="B4193" s="28" t="s">
        <v>77</v>
      </c>
      <c r="C4193" s="28" t="s">
        <v>77</v>
      </c>
      <c r="D4193" s="28" t="s">
        <v>77</v>
      </c>
      <c r="E4193" s="28" t="s">
        <v>77</v>
      </c>
      <c r="F4193" s="28" t="s">
        <v>77</v>
      </c>
      <c r="G4193" s="28" t="s">
        <v>77</v>
      </c>
      <c r="I4193" s="26" t="s">
        <v>77</v>
      </c>
      <c r="J4193" s="26" t="s">
        <v>77</v>
      </c>
      <c r="K4193" s="18"/>
      <c r="L4193" s="26" t="s">
        <v>77</v>
      </c>
      <c r="M4193" s="6" t="s">
        <v>77</v>
      </c>
      <c r="N4193" s="28" t="s">
        <v>77</v>
      </c>
      <c r="O4193" s="26" t="s">
        <v>77</v>
      </c>
    </row>
    <row r="4194">
      <c r="A4194" s="52" t="s">
        <v>77</v>
      </c>
      <c r="B4194" s="28" t="s">
        <v>77</v>
      </c>
      <c r="C4194" s="28" t="s">
        <v>77</v>
      </c>
      <c r="D4194" s="28" t="s">
        <v>77</v>
      </c>
      <c r="E4194" s="28" t="s">
        <v>77</v>
      </c>
      <c r="F4194" s="28" t="s">
        <v>77</v>
      </c>
      <c r="G4194" s="28" t="s">
        <v>77</v>
      </c>
      <c r="I4194" s="26" t="s">
        <v>77</v>
      </c>
      <c r="J4194" s="26" t="s">
        <v>77</v>
      </c>
      <c r="K4194" s="18"/>
      <c r="L4194" s="26" t="s">
        <v>77</v>
      </c>
      <c r="M4194" s="6" t="s">
        <v>77</v>
      </c>
      <c r="N4194" s="28" t="s">
        <v>77</v>
      </c>
      <c r="O4194" s="26" t="s">
        <v>77</v>
      </c>
    </row>
    <row r="4195">
      <c r="A4195" s="52" t="s">
        <v>77</v>
      </c>
      <c r="B4195" s="28" t="s">
        <v>77</v>
      </c>
      <c r="C4195" s="28" t="s">
        <v>77</v>
      </c>
      <c r="D4195" s="28" t="s">
        <v>77</v>
      </c>
      <c r="E4195" s="28" t="s">
        <v>77</v>
      </c>
      <c r="F4195" s="28" t="s">
        <v>77</v>
      </c>
      <c r="G4195" s="28" t="s">
        <v>77</v>
      </c>
      <c r="I4195" s="26" t="s">
        <v>77</v>
      </c>
      <c r="J4195" s="26" t="s">
        <v>77</v>
      </c>
      <c r="K4195" s="18"/>
      <c r="L4195" s="26" t="s">
        <v>77</v>
      </c>
      <c r="M4195" s="6" t="s">
        <v>77</v>
      </c>
      <c r="N4195" s="28" t="s">
        <v>77</v>
      </c>
      <c r="O4195" s="26" t="s">
        <v>77</v>
      </c>
    </row>
    <row r="4196">
      <c r="A4196" s="52" t="s">
        <v>77</v>
      </c>
      <c r="B4196" s="28" t="s">
        <v>77</v>
      </c>
      <c r="C4196" s="28" t="s">
        <v>77</v>
      </c>
      <c r="D4196" s="28" t="s">
        <v>77</v>
      </c>
      <c r="E4196" s="28" t="s">
        <v>77</v>
      </c>
      <c r="F4196" s="28" t="s">
        <v>77</v>
      </c>
      <c r="G4196" s="28" t="s">
        <v>77</v>
      </c>
      <c r="I4196" s="26" t="s">
        <v>77</v>
      </c>
      <c r="J4196" s="26" t="s">
        <v>77</v>
      </c>
      <c r="K4196" s="18"/>
      <c r="L4196" s="26" t="s">
        <v>77</v>
      </c>
      <c r="M4196" s="6" t="s">
        <v>77</v>
      </c>
      <c r="N4196" s="28" t="s">
        <v>77</v>
      </c>
      <c r="O4196" s="26" t="s">
        <v>77</v>
      </c>
    </row>
    <row r="4197">
      <c r="A4197" s="52" t="s">
        <v>77</v>
      </c>
      <c r="B4197" s="28" t="s">
        <v>77</v>
      </c>
      <c r="C4197" s="28" t="s">
        <v>77</v>
      </c>
      <c r="D4197" s="28" t="s">
        <v>77</v>
      </c>
      <c r="E4197" s="28" t="s">
        <v>77</v>
      </c>
      <c r="F4197" s="28" t="s">
        <v>77</v>
      </c>
      <c r="G4197" s="28" t="s">
        <v>77</v>
      </c>
      <c r="I4197" s="26" t="s">
        <v>77</v>
      </c>
      <c r="J4197" s="26" t="s">
        <v>77</v>
      </c>
      <c r="K4197" s="18"/>
      <c r="L4197" s="26" t="s">
        <v>77</v>
      </c>
      <c r="M4197" s="6" t="s">
        <v>77</v>
      </c>
      <c r="N4197" s="28" t="s">
        <v>77</v>
      </c>
      <c r="O4197" s="26" t="s">
        <v>77</v>
      </c>
    </row>
    <row r="4198">
      <c r="A4198" s="52" t="s">
        <v>77</v>
      </c>
      <c r="B4198" s="28" t="s">
        <v>77</v>
      </c>
      <c r="C4198" s="28" t="s">
        <v>77</v>
      </c>
      <c r="D4198" s="28" t="s">
        <v>77</v>
      </c>
      <c r="E4198" s="28" t="s">
        <v>77</v>
      </c>
      <c r="F4198" s="28" t="s">
        <v>77</v>
      </c>
      <c r="G4198" s="28" t="s">
        <v>77</v>
      </c>
      <c r="I4198" s="26" t="s">
        <v>77</v>
      </c>
      <c r="J4198" s="26" t="s">
        <v>77</v>
      </c>
      <c r="K4198" s="18"/>
      <c r="L4198" s="26" t="s">
        <v>77</v>
      </c>
      <c r="M4198" s="6" t="s">
        <v>77</v>
      </c>
      <c r="N4198" s="28" t="s">
        <v>77</v>
      </c>
      <c r="O4198" s="26" t="s">
        <v>77</v>
      </c>
    </row>
    <row r="4199">
      <c r="A4199" s="52" t="s">
        <v>77</v>
      </c>
      <c r="B4199" s="28" t="s">
        <v>77</v>
      </c>
      <c r="C4199" s="28" t="s">
        <v>77</v>
      </c>
      <c r="D4199" s="28" t="s">
        <v>77</v>
      </c>
      <c r="E4199" s="28" t="s">
        <v>77</v>
      </c>
      <c r="F4199" s="28" t="s">
        <v>77</v>
      </c>
      <c r="G4199" s="28" t="s">
        <v>77</v>
      </c>
      <c r="I4199" s="26" t="s">
        <v>77</v>
      </c>
      <c r="J4199" s="26" t="s">
        <v>77</v>
      </c>
      <c r="K4199" s="18"/>
      <c r="L4199" s="26" t="s">
        <v>77</v>
      </c>
      <c r="M4199" s="6" t="s">
        <v>77</v>
      </c>
      <c r="N4199" s="28" t="s">
        <v>77</v>
      </c>
      <c r="O4199" s="26" t="s">
        <v>77</v>
      </c>
    </row>
    <row r="4200">
      <c r="A4200" s="52" t="s">
        <v>77</v>
      </c>
      <c r="B4200" s="28" t="s">
        <v>77</v>
      </c>
      <c r="C4200" s="28" t="s">
        <v>77</v>
      </c>
      <c r="D4200" s="28" t="s">
        <v>77</v>
      </c>
      <c r="E4200" s="28" t="s">
        <v>77</v>
      </c>
      <c r="F4200" s="28" t="s">
        <v>77</v>
      </c>
      <c r="G4200" s="28" t="s">
        <v>77</v>
      </c>
      <c r="I4200" s="26" t="s">
        <v>77</v>
      </c>
      <c r="J4200" s="26" t="s">
        <v>77</v>
      </c>
      <c r="K4200" s="18"/>
      <c r="L4200" s="26" t="s">
        <v>77</v>
      </c>
      <c r="M4200" s="6" t="s">
        <v>77</v>
      </c>
      <c r="N4200" s="28" t="s">
        <v>77</v>
      </c>
      <c r="O4200" s="26" t="s">
        <v>77</v>
      </c>
    </row>
    <row r="4201">
      <c r="A4201" s="52" t="s">
        <v>77</v>
      </c>
      <c r="B4201" s="28" t="s">
        <v>77</v>
      </c>
      <c r="C4201" s="28" t="s">
        <v>77</v>
      </c>
      <c r="D4201" s="28" t="s">
        <v>77</v>
      </c>
      <c r="E4201" s="28" t="s">
        <v>77</v>
      </c>
      <c r="F4201" s="28" t="s">
        <v>77</v>
      </c>
      <c r="G4201" s="28" t="s">
        <v>77</v>
      </c>
      <c r="I4201" s="26" t="s">
        <v>77</v>
      </c>
      <c r="J4201" s="26" t="s">
        <v>77</v>
      </c>
      <c r="K4201" s="18"/>
      <c r="L4201" s="26" t="s">
        <v>77</v>
      </c>
      <c r="M4201" s="6" t="s">
        <v>77</v>
      </c>
      <c r="N4201" s="28" t="s">
        <v>77</v>
      </c>
      <c r="O4201" s="26" t="s">
        <v>77</v>
      </c>
    </row>
    <row r="4202">
      <c r="A4202" s="52" t="s">
        <v>77</v>
      </c>
      <c r="B4202" s="28" t="s">
        <v>77</v>
      </c>
      <c r="C4202" s="28" t="s">
        <v>77</v>
      </c>
      <c r="D4202" s="28" t="s">
        <v>77</v>
      </c>
      <c r="E4202" s="28" t="s">
        <v>77</v>
      </c>
      <c r="F4202" s="28" t="s">
        <v>77</v>
      </c>
      <c r="G4202" s="28" t="s">
        <v>77</v>
      </c>
      <c r="I4202" s="26" t="s">
        <v>77</v>
      </c>
      <c r="J4202" s="26" t="s">
        <v>77</v>
      </c>
      <c r="K4202" s="18"/>
      <c r="L4202" s="26" t="s">
        <v>77</v>
      </c>
      <c r="M4202" s="6" t="s">
        <v>77</v>
      </c>
      <c r="N4202" s="28" t="s">
        <v>77</v>
      </c>
      <c r="O4202" s="26" t="s">
        <v>77</v>
      </c>
    </row>
    <row r="4203">
      <c r="A4203" s="52" t="s">
        <v>77</v>
      </c>
      <c r="B4203" s="28" t="s">
        <v>77</v>
      </c>
      <c r="C4203" s="28" t="s">
        <v>77</v>
      </c>
      <c r="D4203" s="28" t="s">
        <v>77</v>
      </c>
      <c r="E4203" s="28" t="s">
        <v>77</v>
      </c>
      <c r="F4203" s="28" t="s">
        <v>77</v>
      </c>
      <c r="G4203" s="28" t="s">
        <v>77</v>
      </c>
      <c r="I4203" s="26" t="s">
        <v>77</v>
      </c>
      <c r="J4203" s="26" t="s">
        <v>77</v>
      </c>
      <c r="K4203" s="18"/>
      <c r="L4203" s="26" t="s">
        <v>77</v>
      </c>
      <c r="M4203" s="6" t="s">
        <v>77</v>
      </c>
      <c r="N4203" s="28" t="s">
        <v>77</v>
      </c>
      <c r="O4203" s="26" t="s">
        <v>77</v>
      </c>
    </row>
    <row r="4204">
      <c r="A4204" s="52" t="s">
        <v>77</v>
      </c>
      <c r="B4204" s="28" t="s">
        <v>77</v>
      </c>
      <c r="C4204" s="28" t="s">
        <v>77</v>
      </c>
      <c r="D4204" s="28" t="s">
        <v>77</v>
      </c>
      <c r="E4204" s="28" t="s">
        <v>77</v>
      </c>
      <c r="F4204" s="28" t="s">
        <v>77</v>
      </c>
      <c r="G4204" s="28" t="s">
        <v>77</v>
      </c>
      <c r="I4204" s="26" t="s">
        <v>77</v>
      </c>
      <c r="J4204" s="26" t="s">
        <v>77</v>
      </c>
      <c r="K4204" s="18"/>
      <c r="L4204" s="26" t="s">
        <v>77</v>
      </c>
      <c r="M4204" s="6" t="s">
        <v>77</v>
      </c>
      <c r="N4204" s="28" t="s">
        <v>77</v>
      </c>
      <c r="O4204" s="26" t="s">
        <v>77</v>
      </c>
    </row>
    <row r="4205">
      <c r="A4205" s="52" t="s">
        <v>77</v>
      </c>
      <c r="B4205" s="28" t="s">
        <v>77</v>
      </c>
      <c r="C4205" s="28" t="s">
        <v>77</v>
      </c>
      <c r="D4205" s="28" t="s">
        <v>77</v>
      </c>
      <c r="E4205" s="28" t="s">
        <v>77</v>
      </c>
      <c r="F4205" s="28" t="s">
        <v>77</v>
      </c>
      <c r="G4205" s="28" t="s">
        <v>77</v>
      </c>
      <c r="I4205" s="26" t="s">
        <v>77</v>
      </c>
      <c r="J4205" s="26" t="s">
        <v>77</v>
      </c>
      <c r="K4205" s="18"/>
      <c r="L4205" s="26" t="s">
        <v>77</v>
      </c>
      <c r="M4205" s="6" t="s">
        <v>77</v>
      </c>
      <c r="N4205" s="28" t="s">
        <v>77</v>
      </c>
      <c r="O4205" s="26" t="s">
        <v>77</v>
      </c>
    </row>
    <row r="4206">
      <c r="A4206" s="52" t="s">
        <v>77</v>
      </c>
      <c r="B4206" s="28" t="s">
        <v>77</v>
      </c>
      <c r="C4206" s="28" t="s">
        <v>77</v>
      </c>
      <c r="D4206" s="28" t="s">
        <v>77</v>
      </c>
      <c r="E4206" s="28" t="s">
        <v>77</v>
      </c>
      <c r="F4206" s="28" t="s">
        <v>77</v>
      </c>
      <c r="G4206" s="28" t="s">
        <v>77</v>
      </c>
      <c r="I4206" s="26" t="s">
        <v>77</v>
      </c>
      <c r="J4206" s="26" t="s">
        <v>77</v>
      </c>
      <c r="K4206" s="18"/>
      <c r="L4206" s="26" t="s">
        <v>77</v>
      </c>
      <c r="M4206" s="6" t="s">
        <v>77</v>
      </c>
      <c r="N4206" s="28" t="s">
        <v>77</v>
      </c>
      <c r="O4206" s="26" t="s">
        <v>77</v>
      </c>
    </row>
    <row r="4207">
      <c r="A4207" s="52" t="s">
        <v>77</v>
      </c>
      <c r="B4207" s="28" t="s">
        <v>77</v>
      </c>
      <c r="C4207" s="28" t="s">
        <v>77</v>
      </c>
      <c r="D4207" s="28" t="s">
        <v>77</v>
      </c>
      <c r="E4207" s="28" t="s">
        <v>77</v>
      </c>
      <c r="F4207" s="28" t="s">
        <v>77</v>
      </c>
      <c r="G4207" s="28" t="s">
        <v>77</v>
      </c>
      <c r="I4207" s="26" t="s">
        <v>77</v>
      </c>
      <c r="J4207" s="26" t="s">
        <v>77</v>
      </c>
      <c r="K4207" s="18"/>
      <c r="L4207" s="26" t="s">
        <v>77</v>
      </c>
      <c r="M4207" s="6" t="s">
        <v>77</v>
      </c>
      <c r="N4207" s="28" t="s">
        <v>77</v>
      </c>
      <c r="O4207" s="26" t="s">
        <v>77</v>
      </c>
    </row>
    <row r="4208">
      <c r="A4208" s="52" t="s">
        <v>77</v>
      </c>
      <c r="B4208" s="28" t="s">
        <v>77</v>
      </c>
      <c r="C4208" s="28" t="s">
        <v>77</v>
      </c>
      <c r="D4208" s="28" t="s">
        <v>77</v>
      </c>
      <c r="E4208" s="28" t="s">
        <v>77</v>
      </c>
      <c r="F4208" s="28" t="s">
        <v>77</v>
      </c>
      <c r="G4208" s="28" t="s">
        <v>77</v>
      </c>
      <c r="I4208" s="26" t="s">
        <v>77</v>
      </c>
      <c r="J4208" s="26" t="s">
        <v>77</v>
      </c>
      <c r="K4208" s="18"/>
      <c r="L4208" s="26" t="s">
        <v>77</v>
      </c>
      <c r="M4208" s="6" t="s">
        <v>77</v>
      </c>
      <c r="N4208" s="28" t="s">
        <v>77</v>
      </c>
      <c r="O4208" s="26" t="s">
        <v>77</v>
      </c>
    </row>
    <row r="4209">
      <c r="A4209" s="52" t="s">
        <v>77</v>
      </c>
      <c r="B4209" s="28" t="s">
        <v>77</v>
      </c>
      <c r="C4209" s="28" t="s">
        <v>77</v>
      </c>
      <c r="D4209" s="28" t="s">
        <v>77</v>
      </c>
      <c r="E4209" s="28" t="s">
        <v>77</v>
      </c>
      <c r="F4209" s="28" t="s">
        <v>77</v>
      </c>
      <c r="G4209" s="28" t="s">
        <v>77</v>
      </c>
      <c r="I4209" s="26" t="s">
        <v>77</v>
      </c>
      <c r="J4209" s="26" t="s">
        <v>77</v>
      </c>
      <c r="K4209" s="18"/>
      <c r="L4209" s="26" t="s">
        <v>77</v>
      </c>
      <c r="M4209" s="6" t="s">
        <v>77</v>
      </c>
      <c r="N4209" s="28" t="s">
        <v>77</v>
      </c>
      <c r="O4209" s="26" t="s">
        <v>77</v>
      </c>
    </row>
    <row r="4210">
      <c r="A4210" s="52" t="s">
        <v>77</v>
      </c>
      <c r="B4210" s="28" t="s">
        <v>77</v>
      </c>
      <c r="C4210" s="28" t="s">
        <v>77</v>
      </c>
      <c r="D4210" s="28" t="s">
        <v>77</v>
      </c>
      <c r="E4210" s="28" t="s">
        <v>77</v>
      </c>
      <c r="F4210" s="28" t="s">
        <v>77</v>
      </c>
      <c r="G4210" s="28" t="s">
        <v>77</v>
      </c>
      <c r="I4210" s="26" t="s">
        <v>77</v>
      </c>
      <c r="J4210" s="26" t="s">
        <v>77</v>
      </c>
      <c r="K4210" s="18"/>
      <c r="L4210" s="26" t="s">
        <v>77</v>
      </c>
      <c r="M4210" s="6" t="s">
        <v>77</v>
      </c>
      <c r="N4210" s="28" t="s">
        <v>77</v>
      </c>
      <c r="O4210" s="26" t="s">
        <v>77</v>
      </c>
    </row>
    <row r="4211">
      <c r="A4211" s="52" t="s">
        <v>77</v>
      </c>
      <c r="B4211" s="28" t="s">
        <v>77</v>
      </c>
      <c r="C4211" s="28" t="s">
        <v>77</v>
      </c>
      <c r="D4211" s="28" t="s">
        <v>77</v>
      </c>
      <c r="E4211" s="28" t="s">
        <v>77</v>
      </c>
      <c r="F4211" s="28" t="s">
        <v>77</v>
      </c>
      <c r="G4211" s="28" t="s">
        <v>77</v>
      </c>
      <c r="I4211" s="26" t="s">
        <v>77</v>
      </c>
      <c r="J4211" s="26" t="s">
        <v>77</v>
      </c>
      <c r="K4211" s="18"/>
      <c r="L4211" s="26" t="s">
        <v>77</v>
      </c>
      <c r="M4211" s="6" t="s">
        <v>77</v>
      </c>
      <c r="N4211" s="28" t="s">
        <v>77</v>
      </c>
      <c r="O4211" s="26" t="s">
        <v>77</v>
      </c>
    </row>
    <row r="4212">
      <c r="A4212" s="52" t="s">
        <v>77</v>
      </c>
      <c r="B4212" s="28" t="s">
        <v>77</v>
      </c>
      <c r="C4212" s="28" t="s">
        <v>77</v>
      </c>
      <c r="D4212" s="28" t="s">
        <v>77</v>
      </c>
      <c r="E4212" s="28" t="s">
        <v>77</v>
      </c>
      <c r="F4212" s="28" t="s">
        <v>77</v>
      </c>
      <c r="G4212" s="28" t="s">
        <v>77</v>
      </c>
      <c r="I4212" s="26" t="s">
        <v>77</v>
      </c>
      <c r="J4212" s="26" t="s">
        <v>77</v>
      </c>
      <c r="K4212" s="18"/>
      <c r="L4212" s="26" t="s">
        <v>77</v>
      </c>
      <c r="M4212" s="6" t="s">
        <v>77</v>
      </c>
      <c r="N4212" s="28" t="s">
        <v>77</v>
      </c>
      <c r="O4212" s="26" t="s">
        <v>77</v>
      </c>
    </row>
    <row r="4213">
      <c r="A4213" s="52" t="s">
        <v>77</v>
      </c>
      <c r="B4213" s="28" t="s">
        <v>77</v>
      </c>
      <c r="C4213" s="28" t="s">
        <v>77</v>
      </c>
      <c r="D4213" s="28" t="s">
        <v>77</v>
      </c>
      <c r="E4213" s="28" t="s">
        <v>77</v>
      </c>
      <c r="F4213" s="28" t="s">
        <v>77</v>
      </c>
      <c r="G4213" s="28" t="s">
        <v>77</v>
      </c>
      <c r="I4213" s="26" t="s">
        <v>77</v>
      </c>
      <c r="J4213" s="26" t="s">
        <v>77</v>
      </c>
      <c r="K4213" s="18"/>
      <c r="L4213" s="26" t="s">
        <v>77</v>
      </c>
      <c r="M4213" s="6" t="s">
        <v>77</v>
      </c>
      <c r="N4213" s="28" t="s">
        <v>77</v>
      </c>
      <c r="O4213" s="26" t="s">
        <v>77</v>
      </c>
    </row>
    <row r="4214">
      <c r="A4214" s="52" t="s">
        <v>77</v>
      </c>
      <c r="B4214" s="28" t="s">
        <v>77</v>
      </c>
      <c r="C4214" s="28" t="s">
        <v>77</v>
      </c>
      <c r="D4214" s="28" t="s">
        <v>77</v>
      </c>
      <c r="E4214" s="28" t="s">
        <v>77</v>
      </c>
      <c r="F4214" s="28" t="s">
        <v>77</v>
      </c>
      <c r="G4214" s="28" t="s">
        <v>77</v>
      </c>
      <c r="I4214" s="26" t="s">
        <v>77</v>
      </c>
      <c r="J4214" s="26" t="s">
        <v>77</v>
      </c>
      <c r="K4214" s="18"/>
      <c r="L4214" s="26" t="s">
        <v>77</v>
      </c>
      <c r="M4214" s="6" t="s">
        <v>77</v>
      </c>
      <c r="N4214" s="28" t="s">
        <v>77</v>
      </c>
      <c r="O4214" s="26" t="s">
        <v>77</v>
      </c>
    </row>
    <row r="4215">
      <c r="A4215" s="52" t="s">
        <v>77</v>
      </c>
      <c r="B4215" s="28" t="s">
        <v>77</v>
      </c>
      <c r="C4215" s="28" t="s">
        <v>77</v>
      </c>
      <c r="D4215" s="28" t="s">
        <v>77</v>
      </c>
      <c r="E4215" s="28" t="s">
        <v>77</v>
      </c>
      <c r="F4215" s="28" t="s">
        <v>77</v>
      </c>
      <c r="G4215" s="28" t="s">
        <v>77</v>
      </c>
      <c r="I4215" s="26" t="s">
        <v>77</v>
      </c>
      <c r="J4215" s="26" t="s">
        <v>77</v>
      </c>
      <c r="K4215" s="18"/>
      <c r="L4215" s="26" t="s">
        <v>77</v>
      </c>
      <c r="M4215" s="6" t="s">
        <v>77</v>
      </c>
      <c r="N4215" s="28" t="s">
        <v>77</v>
      </c>
      <c r="O4215" s="26" t="s">
        <v>77</v>
      </c>
    </row>
    <row r="4216">
      <c r="A4216" s="52" t="s">
        <v>77</v>
      </c>
      <c r="B4216" s="28" t="s">
        <v>77</v>
      </c>
      <c r="C4216" s="28" t="s">
        <v>77</v>
      </c>
      <c r="D4216" s="28" t="s">
        <v>77</v>
      </c>
      <c r="E4216" s="28" t="s">
        <v>77</v>
      </c>
      <c r="F4216" s="28" t="s">
        <v>77</v>
      </c>
      <c r="G4216" s="28" t="s">
        <v>77</v>
      </c>
      <c r="I4216" s="26" t="s">
        <v>77</v>
      </c>
      <c r="J4216" s="26" t="s">
        <v>77</v>
      </c>
      <c r="K4216" s="18"/>
      <c r="L4216" s="26" t="s">
        <v>77</v>
      </c>
      <c r="M4216" s="6" t="s">
        <v>77</v>
      </c>
      <c r="N4216" s="28" t="s">
        <v>77</v>
      </c>
      <c r="O4216" s="26" t="s">
        <v>77</v>
      </c>
    </row>
    <row r="4217">
      <c r="A4217" s="52" t="s">
        <v>77</v>
      </c>
      <c r="B4217" s="28" t="s">
        <v>77</v>
      </c>
      <c r="C4217" s="28" t="s">
        <v>77</v>
      </c>
      <c r="D4217" s="28" t="s">
        <v>77</v>
      </c>
      <c r="E4217" s="28" t="s">
        <v>77</v>
      </c>
      <c r="F4217" s="28" t="s">
        <v>77</v>
      </c>
      <c r="G4217" s="28" t="s">
        <v>77</v>
      </c>
      <c r="I4217" s="26" t="s">
        <v>77</v>
      </c>
      <c r="J4217" s="26" t="s">
        <v>77</v>
      </c>
      <c r="K4217" s="18"/>
      <c r="L4217" s="26" t="s">
        <v>77</v>
      </c>
      <c r="M4217" s="6" t="s">
        <v>77</v>
      </c>
      <c r="N4217" s="28" t="s">
        <v>77</v>
      </c>
      <c r="O4217" s="26" t="s">
        <v>77</v>
      </c>
    </row>
    <row r="4218">
      <c r="A4218" s="52" t="s">
        <v>77</v>
      </c>
      <c r="B4218" s="28" t="s">
        <v>77</v>
      </c>
      <c r="C4218" s="28" t="s">
        <v>77</v>
      </c>
      <c r="D4218" s="28" t="s">
        <v>77</v>
      </c>
      <c r="E4218" s="28" t="s">
        <v>77</v>
      </c>
      <c r="F4218" s="28" t="s">
        <v>77</v>
      </c>
      <c r="G4218" s="28" t="s">
        <v>77</v>
      </c>
      <c r="I4218" s="26" t="s">
        <v>77</v>
      </c>
      <c r="J4218" s="26" t="s">
        <v>77</v>
      </c>
      <c r="K4218" s="18"/>
      <c r="L4218" s="26" t="s">
        <v>77</v>
      </c>
      <c r="M4218" s="6" t="s">
        <v>77</v>
      </c>
      <c r="N4218" s="28" t="s">
        <v>77</v>
      </c>
      <c r="O4218" s="26" t="s">
        <v>77</v>
      </c>
    </row>
    <row r="4219">
      <c r="A4219" s="52" t="s">
        <v>77</v>
      </c>
      <c r="B4219" s="28" t="s">
        <v>77</v>
      </c>
      <c r="C4219" s="28" t="s">
        <v>77</v>
      </c>
      <c r="D4219" s="28" t="s">
        <v>77</v>
      </c>
      <c r="E4219" s="28" t="s">
        <v>77</v>
      </c>
      <c r="F4219" s="28" t="s">
        <v>77</v>
      </c>
      <c r="G4219" s="28" t="s">
        <v>77</v>
      </c>
      <c r="I4219" s="26" t="s">
        <v>77</v>
      </c>
      <c r="J4219" s="26" t="s">
        <v>77</v>
      </c>
      <c r="K4219" s="18"/>
      <c r="L4219" s="26" t="s">
        <v>77</v>
      </c>
      <c r="M4219" s="6" t="s">
        <v>77</v>
      </c>
      <c r="N4219" s="28" t="s">
        <v>77</v>
      </c>
      <c r="O4219" s="26" t="s">
        <v>77</v>
      </c>
    </row>
    <row r="4220">
      <c r="A4220" s="52" t="s">
        <v>77</v>
      </c>
      <c r="B4220" s="28" t="s">
        <v>77</v>
      </c>
      <c r="C4220" s="28" t="s">
        <v>77</v>
      </c>
      <c r="D4220" s="28" t="s">
        <v>77</v>
      </c>
      <c r="E4220" s="28" t="s">
        <v>77</v>
      </c>
      <c r="F4220" s="28" t="s">
        <v>77</v>
      </c>
      <c r="G4220" s="28" t="s">
        <v>77</v>
      </c>
      <c r="I4220" s="26" t="s">
        <v>77</v>
      </c>
      <c r="J4220" s="26" t="s">
        <v>77</v>
      </c>
      <c r="K4220" s="18"/>
      <c r="L4220" s="26" t="s">
        <v>77</v>
      </c>
      <c r="M4220" s="6" t="s">
        <v>77</v>
      </c>
      <c r="N4220" s="28" t="s">
        <v>77</v>
      </c>
      <c r="O4220" s="26" t="s">
        <v>77</v>
      </c>
    </row>
    <row r="4221">
      <c r="A4221" s="52" t="s">
        <v>77</v>
      </c>
      <c r="B4221" s="28" t="s">
        <v>77</v>
      </c>
      <c r="C4221" s="28" t="s">
        <v>77</v>
      </c>
      <c r="D4221" s="28" t="s">
        <v>77</v>
      </c>
      <c r="E4221" s="28" t="s">
        <v>77</v>
      </c>
      <c r="F4221" s="28" t="s">
        <v>77</v>
      </c>
      <c r="G4221" s="28" t="s">
        <v>77</v>
      </c>
      <c r="I4221" s="26" t="s">
        <v>77</v>
      </c>
      <c r="J4221" s="26" t="s">
        <v>77</v>
      </c>
      <c r="K4221" s="18"/>
      <c r="L4221" s="26" t="s">
        <v>77</v>
      </c>
      <c r="M4221" s="6" t="s">
        <v>77</v>
      </c>
      <c r="N4221" s="28" t="s">
        <v>77</v>
      </c>
      <c r="O4221" s="26" t="s">
        <v>77</v>
      </c>
    </row>
    <row r="4222">
      <c r="A4222" s="52" t="s">
        <v>77</v>
      </c>
      <c r="B4222" s="28" t="s">
        <v>77</v>
      </c>
      <c r="C4222" s="28" t="s">
        <v>77</v>
      </c>
      <c r="D4222" s="28" t="s">
        <v>77</v>
      </c>
      <c r="E4222" s="28" t="s">
        <v>77</v>
      </c>
      <c r="F4222" s="28" t="s">
        <v>77</v>
      </c>
      <c r="G4222" s="28" t="s">
        <v>77</v>
      </c>
      <c r="I4222" s="26" t="s">
        <v>77</v>
      </c>
      <c r="J4222" s="26" t="s">
        <v>77</v>
      </c>
      <c r="K4222" s="18"/>
      <c r="L4222" s="26" t="s">
        <v>77</v>
      </c>
      <c r="M4222" s="6" t="s">
        <v>77</v>
      </c>
      <c r="N4222" s="28" t="s">
        <v>77</v>
      </c>
      <c r="O4222" s="26" t="s">
        <v>77</v>
      </c>
    </row>
    <row r="4223">
      <c r="A4223" s="52" t="s">
        <v>77</v>
      </c>
      <c r="B4223" s="28" t="s">
        <v>77</v>
      </c>
      <c r="C4223" s="28" t="s">
        <v>77</v>
      </c>
      <c r="D4223" s="28" t="s">
        <v>77</v>
      </c>
      <c r="E4223" s="28" t="s">
        <v>77</v>
      </c>
      <c r="F4223" s="28" t="s">
        <v>77</v>
      </c>
      <c r="G4223" s="28" t="s">
        <v>77</v>
      </c>
      <c r="I4223" s="26" t="s">
        <v>77</v>
      </c>
      <c r="J4223" s="26" t="s">
        <v>77</v>
      </c>
      <c r="K4223" s="18"/>
      <c r="L4223" s="26" t="s">
        <v>77</v>
      </c>
      <c r="M4223" s="6" t="s">
        <v>77</v>
      </c>
      <c r="N4223" s="28" t="s">
        <v>77</v>
      </c>
      <c r="O4223" s="26" t="s">
        <v>77</v>
      </c>
    </row>
    <row r="4224">
      <c r="A4224" s="52" t="s">
        <v>77</v>
      </c>
      <c r="B4224" s="28" t="s">
        <v>77</v>
      </c>
      <c r="C4224" s="28" t="s">
        <v>77</v>
      </c>
      <c r="D4224" s="28" t="s">
        <v>77</v>
      </c>
      <c r="E4224" s="28" t="s">
        <v>77</v>
      </c>
      <c r="F4224" s="28" t="s">
        <v>77</v>
      </c>
      <c r="G4224" s="28" t="s">
        <v>77</v>
      </c>
      <c r="I4224" s="26" t="s">
        <v>77</v>
      </c>
      <c r="J4224" s="26" t="s">
        <v>77</v>
      </c>
      <c r="K4224" s="18"/>
      <c r="L4224" s="26" t="s">
        <v>77</v>
      </c>
      <c r="M4224" s="6" t="s">
        <v>77</v>
      </c>
      <c r="N4224" s="28" t="s">
        <v>77</v>
      </c>
      <c r="O4224" s="26" t="s">
        <v>77</v>
      </c>
    </row>
    <row r="4225">
      <c r="A4225" s="52" t="s">
        <v>77</v>
      </c>
      <c r="B4225" s="28" t="s">
        <v>77</v>
      </c>
      <c r="C4225" s="28" t="s">
        <v>77</v>
      </c>
      <c r="D4225" s="28" t="s">
        <v>77</v>
      </c>
      <c r="E4225" s="28" t="s">
        <v>77</v>
      </c>
      <c r="F4225" s="28" t="s">
        <v>77</v>
      </c>
      <c r="G4225" s="28" t="s">
        <v>77</v>
      </c>
      <c r="I4225" s="26" t="s">
        <v>77</v>
      </c>
      <c r="J4225" s="26" t="s">
        <v>77</v>
      </c>
      <c r="K4225" s="18"/>
      <c r="L4225" s="26" t="s">
        <v>77</v>
      </c>
      <c r="M4225" s="6" t="s">
        <v>77</v>
      </c>
      <c r="N4225" s="28" t="s">
        <v>77</v>
      </c>
      <c r="O4225" s="26" t="s">
        <v>77</v>
      </c>
    </row>
    <row r="4226">
      <c r="A4226" s="52" t="s">
        <v>77</v>
      </c>
      <c r="B4226" s="28" t="s">
        <v>77</v>
      </c>
      <c r="C4226" s="28" t="s">
        <v>77</v>
      </c>
      <c r="D4226" s="28" t="s">
        <v>77</v>
      </c>
      <c r="E4226" s="28" t="s">
        <v>77</v>
      </c>
      <c r="F4226" s="28" t="s">
        <v>77</v>
      </c>
      <c r="G4226" s="28" t="s">
        <v>77</v>
      </c>
      <c r="I4226" s="26" t="s">
        <v>77</v>
      </c>
      <c r="J4226" s="26" t="s">
        <v>77</v>
      </c>
      <c r="K4226" s="18"/>
      <c r="L4226" s="26" t="s">
        <v>77</v>
      </c>
      <c r="M4226" s="6" t="s">
        <v>77</v>
      </c>
      <c r="N4226" s="28" t="s">
        <v>77</v>
      </c>
      <c r="O4226" s="26" t="s">
        <v>77</v>
      </c>
    </row>
    <row r="4227">
      <c r="A4227" s="52" t="s">
        <v>77</v>
      </c>
      <c r="B4227" s="28" t="s">
        <v>77</v>
      </c>
      <c r="C4227" s="28" t="s">
        <v>77</v>
      </c>
      <c r="D4227" s="28" t="s">
        <v>77</v>
      </c>
      <c r="E4227" s="28" t="s">
        <v>77</v>
      </c>
      <c r="F4227" s="28" t="s">
        <v>77</v>
      </c>
      <c r="G4227" s="28" t="s">
        <v>77</v>
      </c>
      <c r="I4227" s="26" t="s">
        <v>77</v>
      </c>
      <c r="J4227" s="26" t="s">
        <v>77</v>
      </c>
      <c r="K4227" s="18"/>
      <c r="L4227" s="26" t="s">
        <v>77</v>
      </c>
      <c r="M4227" s="6" t="s">
        <v>77</v>
      </c>
      <c r="N4227" s="28" t="s">
        <v>77</v>
      </c>
      <c r="O4227" s="26" t="s">
        <v>77</v>
      </c>
    </row>
    <row r="4228">
      <c r="A4228" s="52" t="s">
        <v>77</v>
      </c>
      <c r="B4228" s="28" t="s">
        <v>77</v>
      </c>
      <c r="C4228" s="28" t="s">
        <v>77</v>
      </c>
      <c r="D4228" s="28" t="s">
        <v>77</v>
      </c>
      <c r="E4228" s="28" t="s">
        <v>77</v>
      </c>
      <c r="F4228" s="28" t="s">
        <v>77</v>
      </c>
      <c r="G4228" s="28" t="s">
        <v>77</v>
      </c>
      <c r="I4228" s="26" t="s">
        <v>77</v>
      </c>
      <c r="J4228" s="26" t="s">
        <v>77</v>
      </c>
      <c r="K4228" s="18"/>
      <c r="L4228" s="26" t="s">
        <v>77</v>
      </c>
      <c r="M4228" s="6" t="s">
        <v>77</v>
      </c>
      <c r="N4228" s="28" t="s">
        <v>77</v>
      </c>
      <c r="O4228" s="26" t="s">
        <v>77</v>
      </c>
    </row>
    <row r="4229">
      <c r="A4229" s="52" t="s">
        <v>77</v>
      </c>
      <c r="B4229" s="28" t="s">
        <v>77</v>
      </c>
      <c r="C4229" s="28" t="s">
        <v>77</v>
      </c>
      <c r="D4229" s="28" t="s">
        <v>77</v>
      </c>
      <c r="E4229" s="28" t="s">
        <v>77</v>
      </c>
      <c r="F4229" s="28" t="s">
        <v>77</v>
      </c>
      <c r="G4229" s="28" t="s">
        <v>77</v>
      </c>
      <c r="I4229" s="26" t="s">
        <v>77</v>
      </c>
      <c r="J4229" s="26" t="s">
        <v>77</v>
      </c>
      <c r="K4229" s="18"/>
      <c r="L4229" s="26" t="s">
        <v>77</v>
      </c>
      <c r="M4229" s="6" t="s">
        <v>77</v>
      </c>
      <c r="N4229" s="28" t="s">
        <v>77</v>
      </c>
      <c r="O4229" s="26" t="s">
        <v>77</v>
      </c>
    </row>
    <row r="4230">
      <c r="A4230" s="52" t="s">
        <v>77</v>
      </c>
      <c r="B4230" s="28" t="s">
        <v>77</v>
      </c>
      <c r="C4230" s="28" t="s">
        <v>77</v>
      </c>
      <c r="D4230" s="28" t="s">
        <v>77</v>
      </c>
      <c r="E4230" s="28" t="s">
        <v>77</v>
      </c>
      <c r="F4230" s="28" t="s">
        <v>77</v>
      </c>
      <c r="G4230" s="28" t="s">
        <v>77</v>
      </c>
      <c r="I4230" s="26" t="s">
        <v>77</v>
      </c>
      <c r="J4230" s="26" t="s">
        <v>77</v>
      </c>
      <c r="K4230" s="18"/>
      <c r="L4230" s="26" t="s">
        <v>77</v>
      </c>
      <c r="M4230" s="6" t="s">
        <v>77</v>
      </c>
      <c r="N4230" s="28" t="s">
        <v>77</v>
      </c>
      <c r="O4230" s="26" t="s">
        <v>77</v>
      </c>
    </row>
    <row r="4231">
      <c r="A4231" s="52" t="s">
        <v>77</v>
      </c>
      <c r="B4231" s="28" t="s">
        <v>77</v>
      </c>
      <c r="C4231" s="28" t="s">
        <v>77</v>
      </c>
      <c r="D4231" s="28" t="s">
        <v>77</v>
      </c>
      <c r="E4231" s="28" t="s">
        <v>77</v>
      </c>
      <c r="F4231" s="28" t="s">
        <v>77</v>
      </c>
      <c r="G4231" s="28" t="s">
        <v>77</v>
      </c>
      <c r="I4231" s="26" t="s">
        <v>77</v>
      </c>
      <c r="J4231" s="26" t="s">
        <v>77</v>
      </c>
      <c r="K4231" s="18"/>
      <c r="L4231" s="26" t="s">
        <v>77</v>
      </c>
      <c r="M4231" s="6" t="s">
        <v>77</v>
      </c>
      <c r="N4231" s="28" t="s">
        <v>77</v>
      </c>
      <c r="O4231" s="26" t="s">
        <v>77</v>
      </c>
    </row>
    <row r="4232">
      <c r="A4232" s="52" t="s">
        <v>77</v>
      </c>
      <c r="B4232" s="28" t="s">
        <v>77</v>
      </c>
      <c r="C4232" s="28" t="s">
        <v>77</v>
      </c>
      <c r="D4232" s="28" t="s">
        <v>77</v>
      </c>
      <c r="E4232" s="28" t="s">
        <v>77</v>
      </c>
      <c r="F4232" s="28" t="s">
        <v>77</v>
      </c>
      <c r="G4232" s="28" t="s">
        <v>77</v>
      </c>
      <c r="I4232" s="26" t="s">
        <v>77</v>
      </c>
      <c r="J4232" s="26" t="s">
        <v>77</v>
      </c>
      <c r="K4232" s="18"/>
      <c r="L4232" s="26" t="s">
        <v>77</v>
      </c>
      <c r="M4232" s="6" t="s">
        <v>77</v>
      </c>
      <c r="N4232" s="28" t="s">
        <v>77</v>
      </c>
      <c r="O4232" s="26" t="s">
        <v>77</v>
      </c>
    </row>
    <row r="4233">
      <c r="A4233" s="52" t="s">
        <v>77</v>
      </c>
      <c r="B4233" s="28" t="s">
        <v>77</v>
      </c>
      <c r="C4233" s="28" t="s">
        <v>77</v>
      </c>
      <c r="D4233" s="28" t="s">
        <v>77</v>
      </c>
      <c r="E4233" s="28" t="s">
        <v>77</v>
      </c>
      <c r="F4233" s="28" t="s">
        <v>77</v>
      </c>
      <c r="G4233" s="28" t="s">
        <v>77</v>
      </c>
      <c r="I4233" s="26" t="s">
        <v>77</v>
      </c>
      <c r="J4233" s="26" t="s">
        <v>77</v>
      </c>
      <c r="K4233" s="18"/>
      <c r="L4233" s="26" t="s">
        <v>77</v>
      </c>
      <c r="M4233" s="6" t="s">
        <v>77</v>
      </c>
      <c r="N4233" s="28" t="s">
        <v>77</v>
      </c>
      <c r="O4233" s="26" t="s">
        <v>77</v>
      </c>
    </row>
    <row r="4234">
      <c r="A4234" s="52" t="s">
        <v>77</v>
      </c>
      <c r="B4234" s="28" t="s">
        <v>77</v>
      </c>
      <c r="C4234" s="28" t="s">
        <v>77</v>
      </c>
      <c r="D4234" s="28" t="s">
        <v>77</v>
      </c>
      <c r="E4234" s="28" t="s">
        <v>77</v>
      </c>
      <c r="F4234" s="28" t="s">
        <v>77</v>
      </c>
      <c r="G4234" s="28" t="s">
        <v>77</v>
      </c>
      <c r="I4234" s="26" t="s">
        <v>77</v>
      </c>
      <c r="J4234" s="26" t="s">
        <v>77</v>
      </c>
      <c r="K4234" s="18"/>
      <c r="L4234" s="26" t="s">
        <v>77</v>
      </c>
      <c r="M4234" s="6" t="s">
        <v>77</v>
      </c>
      <c r="N4234" s="28" t="s">
        <v>77</v>
      </c>
      <c r="O4234" s="26" t="s">
        <v>77</v>
      </c>
    </row>
    <row r="4235">
      <c r="A4235" s="52" t="s">
        <v>77</v>
      </c>
      <c r="B4235" s="28" t="s">
        <v>77</v>
      </c>
      <c r="C4235" s="28" t="s">
        <v>77</v>
      </c>
      <c r="D4235" s="28" t="s">
        <v>77</v>
      </c>
      <c r="E4235" s="28" t="s">
        <v>77</v>
      </c>
      <c r="F4235" s="28" t="s">
        <v>77</v>
      </c>
      <c r="G4235" s="28" t="s">
        <v>77</v>
      </c>
      <c r="I4235" s="26" t="s">
        <v>77</v>
      </c>
      <c r="J4235" s="26" t="s">
        <v>77</v>
      </c>
      <c r="K4235" s="18"/>
      <c r="L4235" s="26" t="s">
        <v>77</v>
      </c>
      <c r="M4235" s="6" t="s">
        <v>77</v>
      </c>
      <c r="N4235" s="28" t="s">
        <v>77</v>
      </c>
      <c r="O4235" s="26" t="s">
        <v>77</v>
      </c>
    </row>
    <row r="4236">
      <c r="A4236" s="52" t="s">
        <v>77</v>
      </c>
      <c r="B4236" s="28" t="s">
        <v>77</v>
      </c>
      <c r="C4236" s="28" t="s">
        <v>77</v>
      </c>
      <c r="D4236" s="28" t="s">
        <v>77</v>
      </c>
      <c r="E4236" s="28" t="s">
        <v>77</v>
      </c>
      <c r="F4236" s="28" t="s">
        <v>77</v>
      </c>
      <c r="G4236" s="28" t="s">
        <v>77</v>
      </c>
      <c r="I4236" s="26" t="s">
        <v>77</v>
      </c>
      <c r="J4236" s="26" t="s">
        <v>77</v>
      </c>
      <c r="K4236" s="18"/>
      <c r="L4236" s="26" t="s">
        <v>77</v>
      </c>
      <c r="M4236" s="6" t="s">
        <v>77</v>
      </c>
      <c r="N4236" s="28" t="s">
        <v>77</v>
      </c>
      <c r="O4236" s="26" t="s">
        <v>77</v>
      </c>
    </row>
    <row r="4237">
      <c r="A4237" s="52" t="s">
        <v>77</v>
      </c>
      <c r="B4237" s="28" t="s">
        <v>77</v>
      </c>
      <c r="C4237" s="28" t="s">
        <v>77</v>
      </c>
      <c r="D4237" s="28" t="s">
        <v>77</v>
      </c>
      <c r="E4237" s="28" t="s">
        <v>77</v>
      </c>
      <c r="F4237" s="28" t="s">
        <v>77</v>
      </c>
      <c r="G4237" s="28" t="s">
        <v>77</v>
      </c>
      <c r="I4237" s="26" t="s">
        <v>77</v>
      </c>
      <c r="J4237" s="26" t="s">
        <v>77</v>
      </c>
      <c r="K4237" s="18"/>
      <c r="L4237" s="26" t="s">
        <v>77</v>
      </c>
      <c r="M4237" s="6" t="s">
        <v>77</v>
      </c>
      <c r="N4237" s="28" t="s">
        <v>77</v>
      </c>
      <c r="O4237" s="26" t="s">
        <v>77</v>
      </c>
    </row>
    <row r="4238">
      <c r="A4238" s="52" t="s">
        <v>77</v>
      </c>
      <c r="B4238" s="28" t="s">
        <v>77</v>
      </c>
      <c r="C4238" s="28" t="s">
        <v>77</v>
      </c>
      <c r="D4238" s="28" t="s">
        <v>77</v>
      </c>
      <c r="E4238" s="28" t="s">
        <v>77</v>
      </c>
      <c r="F4238" s="28" t="s">
        <v>77</v>
      </c>
      <c r="G4238" s="28" t="s">
        <v>77</v>
      </c>
      <c r="I4238" s="26" t="s">
        <v>77</v>
      </c>
      <c r="J4238" s="26" t="s">
        <v>77</v>
      </c>
      <c r="K4238" s="18"/>
      <c r="L4238" s="26" t="s">
        <v>77</v>
      </c>
      <c r="M4238" s="6" t="s">
        <v>77</v>
      </c>
      <c r="N4238" s="28" t="s">
        <v>77</v>
      </c>
      <c r="O4238" s="26" t="s">
        <v>77</v>
      </c>
    </row>
    <row r="4239">
      <c r="A4239" s="52" t="s">
        <v>77</v>
      </c>
      <c r="B4239" s="28" t="s">
        <v>77</v>
      </c>
      <c r="C4239" s="28" t="s">
        <v>77</v>
      </c>
      <c r="D4239" s="28" t="s">
        <v>77</v>
      </c>
      <c r="E4239" s="28" t="s">
        <v>77</v>
      </c>
      <c r="F4239" s="28" t="s">
        <v>77</v>
      </c>
      <c r="G4239" s="28" t="s">
        <v>77</v>
      </c>
      <c r="I4239" s="26" t="s">
        <v>77</v>
      </c>
      <c r="J4239" s="26" t="s">
        <v>77</v>
      </c>
      <c r="K4239" s="18"/>
      <c r="L4239" s="26" t="s">
        <v>77</v>
      </c>
      <c r="M4239" s="6" t="s">
        <v>77</v>
      </c>
      <c r="N4239" s="28" t="s">
        <v>77</v>
      </c>
      <c r="O4239" s="26" t="s">
        <v>77</v>
      </c>
    </row>
    <row r="4240">
      <c r="A4240" s="52" t="s">
        <v>77</v>
      </c>
      <c r="B4240" s="28" t="s">
        <v>77</v>
      </c>
      <c r="C4240" s="28" t="s">
        <v>77</v>
      </c>
      <c r="D4240" s="28" t="s">
        <v>77</v>
      </c>
      <c r="E4240" s="28" t="s">
        <v>77</v>
      </c>
      <c r="F4240" s="28" t="s">
        <v>77</v>
      </c>
      <c r="G4240" s="28" t="s">
        <v>77</v>
      </c>
      <c r="I4240" s="26" t="s">
        <v>77</v>
      </c>
      <c r="J4240" s="26" t="s">
        <v>77</v>
      </c>
      <c r="K4240" s="18"/>
      <c r="L4240" s="26" t="s">
        <v>77</v>
      </c>
      <c r="M4240" s="6" t="s">
        <v>77</v>
      </c>
      <c r="N4240" s="28" t="s">
        <v>77</v>
      </c>
      <c r="O4240" s="26" t="s">
        <v>77</v>
      </c>
    </row>
    <row r="4241">
      <c r="A4241" s="52" t="s">
        <v>77</v>
      </c>
      <c r="B4241" s="28" t="s">
        <v>77</v>
      </c>
      <c r="C4241" s="28" t="s">
        <v>77</v>
      </c>
      <c r="D4241" s="28" t="s">
        <v>77</v>
      </c>
      <c r="E4241" s="28" t="s">
        <v>77</v>
      </c>
      <c r="F4241" s="28" t="s">
        <v>77</v>
      </c>
      <c r="G4241" s="28" t="s">
        <v>77</v>
      </c>
      <c r="I4241" s="26" t="s">
        <v>77</v>
      </c>
      <c r="J4241" s="26" t="s">
        <v>77</v>
      </c>
      <c r="K4241" s="18"/>
      <c r="L4241" s="26" t="s">
        <v>77</v>
      </c>
      <c r="M4241" s="6" t="s">
        <v>77</v>
      </c>
      <c r="N4241" s="28" t="s">
        <v>77</v>
      </c>
      <c r="O4241" s="26" t="s">
        <v>77</v>
      </c>
    </row>
    <row r="4242">
      <c r="A4242" s="52" t="s">
        <v>77</v>
      </c>
      <c r="B4242" s="28" t="s">
        <v>77</v>
      </c>
      <c r="C4242" s="28" t="s">
        <v>77</v>
      </c>
      <c r="D4242" s="28" t="s">
        <v>77</v>
      </c>
      <c r="E4242" s="28" t="s">
        <v>77</v>
      </c>
      <c r="F4242" s="28" t="s">
        <v>77</v>
      </c>
      <c r="G4242" s="28" t="s">
        <v>77</v>
      </c>
      <c r="I4242" s="26" t="s">
        <v>77</v>
      </c>
      <c r="J4242" s="26" t="s">
        <v>77</v>
      </c>
      <c r="K4242" s="18"/>
      <c r="L4242" s="26" t="s">
        <v>77</v>
      </c>
      <c r="M4242" s="6" t="s">
        <v>77</v>
      </c>
      <c r="N4242" s="28" t="s">
        <v>77</v>
      </c>
      <c r="O4242" s="26" t="s">
        <v>77</v>
      </c>
    </row>
    <row r="4243">
      <c r="A4243" s="52" t="s">
        <v>77</v>
      </c>
      <c r="B4243" s="28" t="s">
        <v>77</v>
      </c>
      <c r="C4243" s="28" t="s">
        <v>77</v>
      </c>
      <c r="D4243" s="28" t="s">
        <v>77</v>
      </c>
      <c r="E4243" s="28" t="s">
        <v>77</v>
      </c>
      <c r="F4243" s="28" t="s">
        <v>77</v>
      </c>
      <c r="G4243" s="28" t="s">
        <v>77</v>
      </c>
      <c r="I4243" s="26" t="s">
        <v>77</v>
      </c>
      <c r="J4243" s="26" t="s">
        <v>77</v>
      </c>
      <c r="K4243" s="18"/>
      <c r="L4243" s="26" t="s">
        <v>77</v>
      </c>
      <c r="M4243" s="6" t="s">
        <v>77</v>
      </c>
      <c r="N4243" s="28" t="s">
        <v>77</v>
      </c>
      <c r="O4243" s="26" t="s">
        <v>77</v>
      </c>
    </row>
    <row r="4244">
      <c r="A4244" s="52" t="s">
        <v>77</v>
      </c>
      <c r="B4244" s="28" t="s">
        <v>77</v>
      </c>
      <c r="C4244" s="28" t="s">
        <v>77</v>
      </c>
      <c r="D4244" s="28" t="s">
        <v>77</v>
      </c>
      <c r="E4244" s="28" t="s">
        <v>77</v>
      </c>
      <c r="F4244" s="28" t="s">
        <v>77</v>
      </c>
      <c r="G4244" s="28" t="s">
        <v>77</v>
      </c>
      <c r="I4244" s="26" t="s">
        <v>77</v>
      </c>
      <c r="J4244" s="26" t="s">
        <v>77</v>
      </c>
      <c r="K4244" s="18"/>
      <c r="L4244" s="26" t="s">
        <v>77</v>
      </c>
      <c r="M4244" s="6" t="s">
        <v>77</v>
      </c>
      <c r="N4244" s="28" t="s">
        <v>77</v>
      </c>
      <c r="O4244" s="26" t="s">
        <v>77</v>
      </c>
    </row>
    <row r="4245">
      <c r="A4245" s="52" t="s">
        <v>77</v>
      </c>
      <c r="B4245" s="28" t="s">
        <v>77</v>
      </c>
      <c r="C4245" s="28" t="s">
        <v>77</v>
      </c>
      <c r="D4245" s="28" t="s">
        <v>77</v>
      </c>
      <c r="E4245" s="28" t="s">
        <v>77</v>
      </c>
      <c r="F4245" s="28" t="s">
        <v>77</v>
      </c>
      <c r="G4245" s="28" t="s">
        <v>77</v>
      </c>
      <c r="I4245" s="26" t="s">
        <v>77</v>
      </c>
      <c r="J4245" s="26" t="s">
        <v>77</v>
      </c>
      <c r="K4245" s="18"/>
      <c r="L4245" s="26" t="s">
        <v>77</v>
      </c>
      <c r="M4245" s="6" t="s">
        <v>77</v>
      </c>
      <c r="N4245" s="28" t="s">
        <v>77</v>
      </c>
      <c r="O4245" s="26" t="s">
        <v>77</v>
      </c>
    </row>
    <row r="4246">
      <c r="A4246" s="52" t="s">
        <v>77</v>
      </c>
      <c r="B4246" s="28" t="s">
        <v>77</v>
      </c>
      <c r="C4246" s="28" t="s">
        <v>77</v>
      </c>
      <c r="D4246" s="28" t="s">
        <v>77</v>
      </c>
      <c r="E4246" s="28" t="s">
        <v>77</v>
      </c>
      <c r="F4246" s="28" t="s">
        <v>77</v>
      </c>
      <c r="G4246" s="28" t="s">
        <v>77</v>
      </c>
      <c r="I4246" s="26" t="s">
        <v>77</v>
      </c>
      <c r="J4246" s="26" t="s">
        <v>77</v>
      </c>
      <c r="K4246" s="18"/>
      <c r="L4246" s="26" t="s">
        <v>77</v>
      </c>
      <c r="M4246" s="6" t="s">
        <v>77</v>
      </c>
      <c r="N4246" s="28" t="s">
        <v>77</v>
      </c>
      <c r="O4246" s="26" t="s">
        <v>77</v>
      </c>
    </row>
    <row r="4247">
      <c r="A4247" s="52" t="s">
        <v>77</v>
      </c>
      <c r="B4247" s="28" t="s">
        <v>77</v>
      </c>
      <c r="C4247" s="28" t="s">
        <v>77</v>
      </c>
      <c r="D4247" s="28" t="s">
        <v>77</v>
      </c>
      <c r="E4247" s="28" t="s">
        <v>77</v>
      </c>
      <c r="F4247" s="28" t="s">
        <v>77</v>
      </c>
      <c r="G4247" s="28" t="s">
        <v>77</v>
      </c>
      <c r="I4247" s="26" t="s">
        <v>77</v>
      </c>
      <c r="J4247" s="26" t="s">
        <v>77</v>
      </c>
      <c r="K4247" s="18"/>
      <c r="L4247" s="26" t="s">
        <v>77</v>
      </c>
      <c r="M4247" s="6" t="s">
        <v>77</v>
      </c>
      <c r="N4247" s="28" t="s">
        <v>77</v>
      </c>
      <c r="O4247" s="26" t="s">
        <v>77</v>
      </c>
    </row>
    <row r="4248">
      <c r="A4248" s="52" t="s">
        <v>77</v>
      </c>
      <c r="B4248" s="28" t="s">
        <v>77</v>
      </c>
      <c r="C4248" s="28" t="s">
        <v>77</v>
      </c>
      <c r="D4248" s="28" t="s">
        <v>77</v>
      </c>
      <c r="E4248" s="28" t="s">
        <v>77</v>
      </c>
      <c r="F4248" s="28" t="s">
        <v>77</v>
      </c>
      <c r="G4248" s="28" t="s">
        <v>77</v>
      </c>
      <c r="I4248" s="26" t="s">
        <v>77</v>
      </c>
      <c r="J4248" s="26" t="s">
        <v>77</v>
      </c>
      <c r="K4248" s="18"/>
      <c r="L4248" s="26" t="s">
        <v>77</v>
      </c>
      <c r="M4248" s="6" t="s">
        <v>77</v>
      </c>
      <c r="N4248" s="28" t="s">
        <v>77</v>
      </c>
      <c r="O4248" s="26" t="s">
        <v>77</v>
      </c>
    </row>
    <row r="4249">
      <c r="A4249" s="52" t="s">
        <v>77</v>
      </c>
      <c r="B4249" s="28" t="s">
        <v>77</v>
      </c>
      <c r="C4249" s="28" t="s">
        <v>77</v>
      </c>
      <c r="D4249" s="28" t="s">
        <v>77</v>
      </c>
      <c r="E4249" s="28" t="s">
        <v>77</v>
      </c>
      <c r="F4249" s="28" t="s">
        <v>77</v>
      </c>
      <c r="G4249" s="28" t="s">
        <v>77</v>
      </c>
      <c r="I4249" s="26" t="s">
        <v>77</v>
      </c>
      <c r="J4249" s="26" t="s">
        <v>77</v>
      </c>
      <c r="K4249" s="18"/>
      <c r="L4249" s="26" t="s">
        <v>77</v>
      </c>
      <c r="M4249" s="6" t="s">
        <v>77</v>
      </c>
      <c r="N4249" s="28" t="s">
        <v>77</v>
      </c>
      <c r="O4249" s="26" t="s">
        <v>77</v>
      </c>
    </row>
    <row r="4250">
      <c r="A4250" s="52" t="s">
        <v>77</v>
      </c>
      <c r="B4250" s="28" t="s">
        <v>77</v>
      </c>
      <c r="C4250" s="28" t="s">
        <v>77</v>
      </c>
      <c r="D4250" s="28" t="s">
        <v>77</v>
      </c>
      <c r="E4250" s="28" t="s">
        <v>77</v>
      </c>
      <c r="F4250" s="28" t="s">
        <v>77</v>
      </c>
      <c r="G4250" s="28" t="s">
        <v>77</v>
      </c>
      <c r="I4250" s="26" t="s">
        <v>77</v>
      </c>
      <c r="J4250" s="26" t="s">
        <v>77</v>
      </c>
      <c r="K4250" s="18"/>
      <c r="L4250" s="26" t="s">
        <v>77</v>
      </c>
      <c r="M4250" s="6" t="s">
        <v>77</v>
      </c>
      <c r="N4250" s="28" t="s">
        <v>77</v>
      </c>
      <c r="O4250" s="26" t="s">
        <v>77</v>
      </c>
    </row>
    <row r="4251">
      <c r="A4251" s="52" t="s">
        <v>77</v>
      </c>
      <c r="B4251" s="28" t="s">
        <v>77</v>
      </c>
      <c r="C4251" s="28" t="s">
        <v>77</v>
      </c>
      <c r="D4251" s="28" t="s">
        <v>77</v>
      </c>
      <c r="E4251" s="28" t="s">
        <v>77</v>
      </c>
      <c r="F4251" s="28" t="s">
        <v>77</v>
      </c>
      <c r="G4251" s="28" t="s">
        <v>77</v>
      </c>
      <c r="I4251" s="26" t="s">
        <v>77</v>
      </c>
      <c r="J4251" s="26" t="s">
        <v>77</v>
      </c>
      <c r="K4251" s="18"/>
      <c r="L4251" s="26" t="s">
        <v>77</v>
      </c>
      <c r="M4251" s="6" t="s">
        <v>77</v>
      </c>
      <c r="N4251" s="28" t="s">
        <v>77</v>
      </c>
      <c r="O4251" s="26" t="s">
        <v>77</v>
      </c>
    </row>
    <row r="4252">
      <c r="A4252" s="52" t="s">
        <v>77</v>
      </c>
      <c r="B4252" s="28" t="s">
        <v>77</v>
      </c>
      <c r="C4252" s="28" t="s">
        <v>77</v>
      </c>
      <c r="D4252" s="28" t="s">
        <v>77</v>
      </c>
      <c r="E4252" s="28" t="s">
        <v>77</v>
      </c>
      <c r="F4252" s="28" t="s">
        <v>77</v>
      </c>
      <c r="G4252" s="28" t="s">
        <v>77</v>
      </c>
      <c r="I4252" s="26" t="s">
        <v>77</v>
      </c>
      <c r="J4252" s="26" t="s">
        <v>77</v>
      </c>
      <c r="K4252" s="18"/>
      <c r="L4252" s="26" t="s">
        <v>77</v>
      </c>
      <c r="M4252" s="6" t="s">
        <v>77</v>
      </c>
      <c r="N4252" s="28" t="s">
        <v>77</v>
      </c>
      <c r="O4252" s="26" t="s">
        <v>77</v>
      </c>
    </row>
    <row r="4253">
      <c r="A4253" s="52" t="s">
        <v>77</v>
      </c>
      <c r="B4253" s="28" t="s">
        <v>77</v>
      </c>
      <c r="C4253" s="28" t="s">
        <v>77</v>
      </c>
      <c r="D4253" s="28" t="s">
        <v>77</v>
      </c>
      <c r="E4253" s="28" t="s">
        <v>77</v>
      </c>
      <c r="F4253" s="28" t="s">
        <v>77</v>
      </c>
      <c r="G4253" s="28" t="s">
        <v>77</v>
      </c>
      <c r="I4253" s="26" t="s">
        <v>77</v>
      </c>
      <c r="J4253" s="26" t="s">
        <v>77</v>
      </c>
      <c r="K4253" s="18"/>
      <c r="L4253" s="26" t="s">
        <v>77</v>
      </c>
      <c r="M4253" s="6" t="s">
        <v>77</v>
      </c>
      <c r="N4253" s="28" t="s">
        <v>77</v>
      </c>
      <c r="O4253" s="26" t="s">
        <v>77</v>
      </c>
    </row>
    <row r="4254">
      <c r="A4254" s="52" t="s">
        <v>77</v>
      </c>
      <c r="B4254" s="28" t="s">
        <v>77</v>
      </c>
      <c r="C4254" s="28" t="s">
        <v>77</v>
      </c>
      <c r="D4254" s="28" t="s">
        <v>77</v>
      </c>
      <c r="E4254" s="28" t="s">
        <v>77</v>
      </c>
      <c r="F4254" s="28" t="s">
        <v>77</v>
      </c>
      <c r="G4254" s="28" t="s">
        <v>77</v>
      </c>
      <c r="I4254" s="26" t="s">
        <v>77</v>
      </c>
      <c r="J4254" s="26" t="s">
        <v>77</v>
      </c>
      <c r="K4254" s="18"/>
      <c r="L4254" s="26" t="s">
        <v>77</v>
      </c>
      <c r="M4254" s="6" t="s">
        <v>77</v>
      </c>
      <c r="N4254" s="28" t="s">
        <v>77</v>
      </c>
      <c r="O4254" s="26" t="s">
        <v>77</v>
      </c>
    </row>
    <row r="4255">
      <c r="A4255" s="52" t="s">
        <v>77</v>
      </c>
      <c r="B4255" s="28" t="s">
        <v>77</v>
      </c>
      <c r="C4255" s="28" t="s">
        <v>77</v>
      </c>
      <c r="D4255" s="28" t="s">
        <v>77</v>
      </c>
      <c r="E4255" s="28" t="s">
        <v>77</v>
      </c>
      <c r="F4255" s="28" t="s">
        <v>77</v>
      </c>
      <c r="G4255" s="28" t="s">
        <v>77</v>
      </c>
      <c r="I4255" s="26" t="s">
        <v>77</v>
      </c>
      <c r="J4255" s="26" t="s">
        <v>77</v>
      </c>
      <c r="K4255" s="18"/>
      <c r="L4255" s="26" t="s">
        <v>77</v>
      </c>
      <c r="M4255" s="6" t="s">
        <v>77</v>
      </c>
      <c r="N4255" s="28" t="s">
        <v>77</v>
      </c>
      <c r="O4255" s="26" t="s">
        <v>77</v>
      </c>
    </row>
    <row r="4256">
      <c r="A4256" s="52" t="s">
        <v>77</v>
      </c>
      <c r="B4256" s="28" t="s">
        <v>77</v>
      </c>
      <c r="C4256" s="28" t="s">
        <v>77</v>
      </c>
      <c r="D4256" s="28" t="s">
        <v>77</v>
      </c>
      <c r="E4256" s="28" t="s">
        <v>77</v>
      </c>
      <c r="F4256" s="28" t="s">
        <v>77</v>
      </c>
      <c r="G4256" s="28" t="s">
        <v>77</v>
      </c>
      <c r="I4256" s="26" t="s">
        <v>77</v>
      </c>
      <c r="J4256" s="26" t="s">
        <v>77</v>
      </c>
      <c r="K4256" s="18"/>
      <c r="L4256" s="26" t="s">
        <v>77</v>
      </c>
      <c r="M4256" s="6" t="s">
        <v>77</v>
      </c>
      <c r="N4256" s="28" t="s">
        <v>77</v>
      </c>
      <c r="O4256" s="26" t="s">
        <v>77</v>
      </c>
    </row>
    <row r="4257">
      <c r="A4257" s="52" t="s">
        <v>77</v>
      </c>
      <c r="B4257" s="28" t="s">
        <v>77</v>
      </c>
      <c r="C4257" s="28" t="s">
        <v>77</v>
      </c>
      <c r="D4257" s="28" t="s">
        <v>77</v>
      </c>
      <c r="E4257" s="28" t="s">
        <v>77</v>
      </c>
      <c r="F4257" s="28" t="s">
        <v>77</v>
      </c>
      <c r="G4257" s="28" t="s">
        <v>77</v>
      </c>
      <c r="I4257" s="26" t="s">
        <v>77</v>
      </c>
      <c r="J4257" s="26" t="s">
        <v>77</v>
      </c>
      <c r="K4257" s="18"/>
      <c r="L4257" s="26" t="s">
        <v>77</v>
      </c>
      <c r="M4257" s="6" t="s">
        <v>77</v>
      </c>
      <c r="N4257" s="28" t="s">
        <v>77</v>
      </c>
      <c r="O4257" s="26" t="s">
        <v>77</v>
      </c>
    </row>
    <row r="4258">
      <c r="A4258" s="52" t="s">
        <v>77</v>
      </c>
      <c r="B4258" s="28" t="s">
        <v>77</v>
      </c>
      <c r="C4258" s="28" t="s">
        <v>77</v>
      </c>
      <c r="D4258" s="28" t="s">
        <v>77</v>
      </c>
      <c r="E4258" s="28" t="s">
        <v>77</v>
      </c>
      <c r="F4258" s="28" t="s">
        <v>77</v>
      </c>
      <c r="G4258" s="28" t="s">
        <v>77</v>
      </c>
      <c r="I4258" s="26" t="s">
        <v>77</v>
      </c>
      <c r="J4258" s="26" t="s">
        <v>77</v>
      </c>
      <c r="K4258" s="18"/>
      <c r="L4258" s="26" t="s">
        <v>77</v>
      </c>
      <c r="M4258" s="6" t="s">
        <v>77</v>
      </c>
      <c r="N4258" s="28" t="s">
        <v>77</v>
      </c>
      <c r="O4258" s="26" t="s">
        <v>77</v>
      </c>
    </row>
    <row r="4259">
      <c r="A4259" s="52" t="s">
        <v>77</v>
      </c>
      <c r="B4259" s="28" t="s">
        <v>77</v>
      </c>
      <c r="C4259" s="28" t="s">
        <v>77</v>
      </c>
      <c r="D4259" s="28" t="s">
        <v>77</v>
      </c>
      <c r="E4259" s="28" t="s">
        <v>77</v>
      </c>
      <c r="F4259" s="28" t="s">
        <v>77</v>
      </c>
      <c r="G4259" s="28" t="s">
        <v>77</v>
      </c>
      <c r="I4259" s="26" t="s">
        <v>77</v>
      </c>
      <c r="J4259" s="26" t="s">
        <v>77</v>
      </c>
      <c r="K4259" s="18"/>
      <c r="L4259" s="26" t="s">
        <v>77</v>
      </c>
      <c r="M4259" s="6" t="s">
        <v>77</v>
      </c>
      <c r="N4259" s="28" t="s">
        <v>77</v>
      </c>
      <c r="O4259" s="26" t="s">
        <v>77</v>
      </c>
    </row>
    <row r="4260">
      <c r="A4260" s="52" t="s">
        <v>77</v>
      </c>
      <c r="B4260" s="28" t="s">
        <v>77</v>
      </c>
      <c r="C4260" s="28" t="s">
        <v>77</v>
      </c>
      <c r="D4260" s="28" t="s">
        <v>77</v>
      </c>
      <c r="E4260" s="28" t="s">
        <v>77</v>
      </c>
      <c r="F4260" s="28" t="s">
        <v>77</v>
      </c>
      <c r="G4260" s="28" t="s">
        <v>77</v>
      </c>
      <c r="I4260" s="26" t="s">
        <v>77</v>
      </c>
      <c r="J4260" s="26" t="s">
        <v>77</v>
      </c>
      <c r="K4260" s="18"/>
      <c r="L4260" s="26" t="s">
        <v>77</v>
      </c>
      <c r="M4260" s="6" t="s">
        <v>77</v>
      </c>
      <c r="N4260" s="28" t="s">
        <v>77</v>
      </c>
      <c r="O4260" s="26" t="s">
        <v>77</v>
      </c>
    </row>
    <row r="4261">
      <c r="A4261" s="52" t="s">
        <v>77</v>
      </c>
      <c r="B4261" s="28" t="s">
        <v>77</v>
      </c>
      <c r="C4261" s="28" t="s">
        <v>77</v>
      </c>
      <c r="D4261" s="28" t="s">
        <v>77</v>
      </c>
      <c r="E4261" s="28" t="s">
        <v>77</v>
      </c>
      <c r="F4261" s="28" t="s">
        <v>77</v>
      </c>
      <c r="G4261" s="28" t="s">
        <v>77</v>
      </c>
      <c r="I4261" s="26" t="s">
        <v>77</v>
      </c>
      <c r="J4261" s="26" t="s">
        <v>77</v>
      </c>
      <c r="K4261" s="18"/>
      <c r="L4261" s="26" t="s">
        <v>77</v>
      </c>
      <c r="M4261" s="6" t="s">
        <v>77</v>
      </c>
      <c r="N4261" s="28" t="s">
        <v>77</v>
      </c>
      <c r="O4261" s="26" t="s">
        <v>77</v>
      </c>
    </row>
    <row r="4262">
      <c r="A4262" s="52" t="s">
        <v>77</v>
      </c>
      <c r="B4262" s="28" t="s">
        <v>77</v>
      </c>
      <c r="C4262" s="28" t="s">
        <v>77</v>
      </c>
      <c r="D4262" s="28" t="s">
        <v>77</v>
      </c>
      <c r="E4262" s="28" t="s">
        <v>77</v>
      </c>
      <c r="F4262" s="28" t="s">
        <v>77</v>
      </c>
      <c r="G4262" s="28" t="s">
        <v>77</v>
      </c>
      <c r="I4262" s="26" t="s">
        <v>77</v>
      </c>
      <c r="J4262" s="26" t="s">
        <v>77</v>
      </c>
      <c r="K4262" s="18"/>
      <c r="L4262" s="26" t="s">
        <v>77</v>
      </c>
      <c r="M4262" s="6" t="s">
        <v>77</v>
      </c>
      <c r="N4262" s="28" t="s">
        <v>77</v>
      </c>
      <c r="O4262" s="26" t="s">
        <v>77</v>
      </c>
    </row>
    <row r="4263">
      <c r="A4263" s="52" t="s">
        <v>77</v>
      </c>
      <c r="B4263" s="28" t="s">
        <v>77</v>
      </c>
      <c r="C4263" s="28" t="s">
        <v>77</v>
      </c>
      <c r="D4263" s="28" t="s">
        <v>77</v>
      </c>
      <c r="E4263" s="28" t="s">
        <v>77</v>
      </c>
      <c r="F4263" s="28" t="s">
        <v>77</v>
      </c>
      <c r="G4263" s="28" t="s">
        <v>77</v>
      </c>
      <c r="I4263" s="26" t="s">
        <v>77</v>
      </c>
      <c r="J4263" s="26" t="s">
        <v>77</v>
      </c>
      <c r="K4263" s="18"/>
      <c r="L4263" s="26" t="s">
        <v>77</v>
      </c>
      <c r="M4263" s="6" t="s">
        <v>77</v>
      </c>
      <c r="N4263" s="28" t="s">
        <v>77</v>
      </c>
      <c r="O4263" s="26" t="s">
        <v>77</v>
      </c>
    </row>
    <row r="4264">
      <c r="A4264" s="52" t="s">
        <v>77</v>
      </c>
      <c r="B4264" s="28" t="s">
        <v>77</v>
      </c>
      <c r="C4264" s="28" t="s">
        <v>77</v>
      </c>
      <c r="D4264" s="28" t="s">
        <v>77</v>
      </c>
      <c r="E4264" s="28" t="s">
        <v>77</v>
      </c>
      <c r="F4264" s="28" t="s">
        <v>77</v>
      </c>
      <c r="G4264" s="28" t="s">
        <v>77</v>
      </c>
      <c r="I4264" s="26" t="s">
        <v>77</v>
      </c>
      <c r="J4264" s="26" t="s">
        <v>77</v>
      </c>
      <c r="K4264" s="18"/>
      <c r="L4264" s="26" t="s">
        <v>77</v>
      </c>
      <c r="M4264" s="6" t="s">
        <v>77</v>
      </c>
      <c r="N4264" s="28" t="s">
        <v>77</v>
      </c>
      <c r="O4264" s="26" t="s">
        <v>77</v>
      </c>
    </row>
    <row r="4265">
      <c r="A4265" s="52" t="s">
        <v>77</v>
      </c>
      <c r="B4265" s="28" t="s">
        <v>77</v>
      </c>
      <c r="C4265" s="28" t="s">
        <v>77</v>
      </c>
      <c r="D4265" s="28" t="s">
        <v>77</v>
      </c>
      <c r="E4265" s="28" t="s">
        <v>77</v>
      </c>
      <c r="F4265" s="28" t="s">
        <v>77</v>
      </c>
      <c r="G4265" s="28" t="s">
        <v>77</v>
      </c>
      <c r="I4265" s="26" t="s">
        <v>77</v>
      </c>
      <c r="J4265" s="26" t="s">
        <v>77</v>
      </c>
      <c r="K4265" s="18"/>
      <c r="L4265" s="26" t="s">
        <v>77</v>
      </c>
      <c r="M4265" s="6" t="s">
        <v>77</v>
      </c>
      <c r="N4265" s="28" t="s">
        <v>77</v>
      </c>
      <c r="O4265" s="26" t="s">
        <v>77</v>
      </c>
    </row>
    <row r="4266">
      <c r="A4266" s="52" t="s">
        <v>77</v>
      </c>
      <c r="B4266" s="28" t="s">
        <v>77</v>
      </c>
      <c r="C4266" s="28" t="s">
        <v>77</v>
      </c>
      <c r="D4266" s="28" t="s">
        <v>77</v>
      </c>
      <c r="E4266" s="28" t="s">
        <v>77</v>
      </c>
      <c r="F4266" s="28" t="s">
        <v>77</v>
      </c>
      <c r="G4266" s="28" t="s">
        <v>77</v>
      </c>
      <c r="I4266" s="26" t="s">
        <v>77</v>
      </c>
      <c r="J4266" s="26" t="s">
        <v>77</v>
      </c>
      <c r="K4266" s="18"/>
      <c r="L4266" s="26" t="s">
        <v>77</v>
      </c>
      <c r="M4266" s="6" t="s">
        <v>77</v>
      </c>
      <c r="N4266" s="28" t="s">
        <v>77</v>
      </c>
      <c r="O4266" s="26" t="s">
        <v>77</v>
      </c>
    </row>
    <row r="4267">
      <c r="A4267" s="52" t="s">
        <v>77</v>
      </c>
      <c r="B4267" s="28" t="s">
        <v>77</v>
      </c>
      <c r="C4267" s="28" t="s">
        <v>77</v>
      </c>
      <c r="D4267" s="28" t="s">
        <v>77</v>
      </c>
      <c r="E4267" s="28" t="s">
        <v>77</v>
      </c>
      <c r="F4267" s="28" t="s">
        <v>77</v>
      </c>
      <c r="G4267" s="28" t="s">
        <v>77</v>
      </c>
      <c r="I4267" s="26" t="s">
        <v>77</v>
      </c>
      <c r="J4267" s="26" t="s">
        <v>77</v>
      </c>
      <c r="K4267" s="18"/>
      <c r="L4267" s="26" t="s">
        <v>77</v>
      </c>
      <c r="M4267" s="6" t="s">
        <v>77</v>
      </c>
      <c r="N4267" s="28" t="s">
        <v>77</v>
      </c>
      <c r="O4267" s="26" t="s">
        <v>77</v>
      </c>
    </row>
    <row r="4268">
      <c r="A4268" s="52" t="s">
        <v>77</v>
      </c>
      <c r="B4268" s="28" t="s">
        <v>77</v>
      </c>
      <c r="C4268" s="28" t="s">
        <v>77</v>
      </c>
      <c r="D4268" s="28" t="s">
        <v>77</v>
      </c>
      <c r="E4268" s="28" t="s">
        <v>77</v>
      </c>
      <c r="F4268" s="28" t="s">
        <v>77</v>
      </c>
      <c r="G4268" s="28" t="s">
        <v>77</v>
      </c>
      <c r="I4268" s="26" t="s">
        <v>77</v>
      </c>
      <c r="J4268" s="26" t="s">
        <v>77</v>
      </c>
      <c r="K4268" s="18"/>
      <c r="L4268" s="26" t="s">
        <v>77</v>
      </c>
      <c r="M4268" s="6" t="s">
        <v>77</v>
      </c>
      <c r="N4268" s="28" t="s">
        <v>77</v>
      </c>
      <c r="O4268" s="26" t="s">
        <v>77</v>
      </c>
    </row>
    <row r="4269">
      <c r="A4269" s="52" t="s">
        <v>77</v>
      </c>
      <c r="B4269" s="28" t="s">
        <v>77</v>
      </c>
      <c r="C4269" s="28" t="s">
        <v>77</v>
      </c>
      <c r="D4269" s="28" t="s">
        <v>77</v>
      </c>
      <c r="E4269" s="28" t="s">
        <v>77</v>
      </c>
      <c r="F4269" s="28" t="s">
        <v>77</v>
      </c>
      <c r="G4269" s="28" t="s">
        <v>77</v>
      </c>
      <c r="I4269" s="26" t="s">
        <v>77</v>
      </c>
      <c r="J4269" s="26" t="s">
        <v>77</v>
      </c>
      <c r="K4269" s="18"/>
      <c r="L4269" s="26" t="s">
        <v>77</v>
      </c>
      <c r="M4269" s="6" t="s">
        <v>77</v>
      </c>
      <c r="N4269" s="28" t="s">
        <v>77</v>
      </c>
      <c r="O4269" s="26" t="s">
        <v>77</v>
      </c>
    </row>
    <row r="4270">
      <c r="A4270" s="52" t="s">
        <v>77</v>
      </c>
      <c r="B4270" s="28" t="s">
        <v>77</v>
      </c>
      <c r="C4270" s="28" t="s">
        <v>77</v>
      </c>
      <c r="D4270" s="28" t="s">
        <v>77</v>
      </c>
      <c r="E4270" s="28" t="s">
        <v>77</v>
      </c>
      <c r="F4270" s="28" t="s">
        <v>77</v>
      </c>
      <c r="G4270" s="28" t="s">
        <v>77</v>
      </c>
      <c r="I4270" s="26" t="s">
        <v>77</v>
      </c>
      <c r="J4270" s="26" t="s">
        <v>77</v>
      </c>
      <c r="K4270" s="18"/>
      <c r="L4270" s="26" t="s">
        <v>77</v>
      </c>
      <c r="M4270" s="6" t="s">
        <v>77</v>
      </c>
      <c r="N4270" s="28" t="s">
        <v>77</v>
      </c>
      <c r="O4270" s="26" t="s">
        <v>77</v>
      </c>
    </row>
    <row r="4271">
      <c r="A4271" s="52" t="s">
        <v>77</v>
      </c>
      <c r="B4271" s="28" t="s">
        <v>77</v>
      </c>
      <c r="C4271" s="28" t="s">
        <v>77</v>
      </c>
      <c r="D4271" s="28" t="s">
        <v>77</v>
      </c>
      <c r="E4271" s="28" t="s">
        <v>77</v>
      </c>
      <c r="F4271" s="28" t="s">
        <v>77</v>
      </c>
      <c r="G4271" s="28" t="s">
        <v>77</v>
      </c>
      <c r="I4271" s="26" t="s">
        <v>77</v>
      </c>
      <c r="J4271" s="26" t="s">
        <v>77</v>
      </c>
      <c r="K4271" s="18"/>
      <c r="L4271" s="26" t="s">
        <v>77</v>
      </c>
      <c r="M4271" s="6" t="s">
        <v>77</v>
      </c>
      <c r="N4271" s="28" t="s">
        <v>77</v>
      </c>
      <c r="O4271" s="26" t="s">
        <v>77</v>
      </c>
    </row>
    <row r="4272">
      <c r="A4272" s="52" t="s">
        <v>77</v>
      </c>
      <c r="B4272" s="28" t="s">
        <v>77</v>
      </c>
      <c r="C4272" s="28" t="s">
        <v>77</v>
      </c>
      <c r="D4272" s="28" t="s">
        <v>77</v>
      </c>
      <c r="E4272" s="28" t="s">
        <v>77</v>
      </c>
      <c r="F4272" s="28" t="s">
        <v>77</v>
      </c>
      <c r="G4272" s="28" t="s">
        <v>77</v>
      </c>
      <c r="I4272" s="26" t="s">
        <v>77</v>
      </c>
      <c r="J4272" s="26" t="s">
        <v>77</v>
      </c>
      <c r="K4272" s="18"/>
      <c r="L4272" s="26" t="s">
        <v>77</v>
      </c>
      <c r="M4272" s="6" t="s">
        <v>77</v>
      </c>
      <c r="N4272" s="28" t="s">
        <v>77</v>
      </c>
      <c r="O4272" s="26" t="s">
        <v>77</v>
      </c>
    </row>
    <row r="4273">
      <c r="A4273" s="52" t="s">
        <v>77</v>
      </c>
      <c r="B4273" s="28" t="s">
        <v>77</v>
      </c>
      <c r="C4273" s="28" t="s">
        <v>77</v>
      </c>
      <c r="D4273" s="28" t="s">
        <v>77</v>
      </c>
      <c r="E4273" s="28" t="s">
        <v>77</v>
      </c>
      <c r="F4273" s="28" t="s">
        <v>77</v>
      </c>
      <c r="G4273" s="28" t="s">
        <v>77</v>
      </c>
      <c r="I4273" s="26" t="s">
        <v>77</v>
      </c>
      <c r="J4273" s="26" t="s">
        <v>77</v>
      </c>
      <c r="K4273" s="18"/>
      <c r="L4273" s="26" t="s">
        <v>77</v>
      </c>
      <c r="M4273" s="6" t="s">
        <v>77</v>
      </c>
      <c r="N4273" s="28" t="s">
        <v>77</v>
      </c>
      <c r="O4273" s="26" t="s">
        <v>77</v>
      </c>
    </row>
    <row r="4274">
      <c r="A4274" s="52" t="s">
        <v>77</v>
      </c>
      <c r="B4274" s="28" t="s">
        <v>77</v>
      </c>
      <c r="C4274" s="28" t="s">
        <v>77</v>
      </c>
      <c r="D4274" s="28" t="s">
        <v>77</v>
      </c>
      <c r="E4274" s="28" t="s">
        <v>77</v>
      </c>
      <c r="F4274" s="28" t="s">
        <v>77</v>
      </c>
      <c r="G4274" s="28" t="s">
        <v>77</v>
      </c>
      <c r="I4274" s="26" t="s">
        <v>77</v>
      </c>
      <c r="J4274" s="26" t="s">
        <v>77</v>
      </c>
      <c r="K4274" s="18"/>
      <c r="L4274" s="26" t="s">
        <v>77</v>
      </c>
      <c r="M4274" s="6" t="s">
        <v>77</v>
      </c>
      <c r="N4274" s="28" t="s">
        <v>77</v>
      </c>
      <c r="O4274" s="26" t="s">
        <v>77</v>
      </c>
    </row>
    <row r="4275">
      <c r="A4275" s="52" t="s">
        <v>77</v>
      </c>
      <c r="B4275" s="28" t="s">
        <v>77</v>
      </c>
      <c r="C4275" s="28" t="s">
        <v>77</v>
      </c>
      <c r="D4275" s="28" t="s">
        <v>77</v>
      </c>
      <c r="E4275" s="28" t="s">
        <v>77</v>
      </c>
      <c r="F4275" s="28" t="s">
        <v>77</v>
      </c>
      <c r="G4275" s="28" t="s">
        <v>77</v>
      </c>
      <c r="I4275" s="26" t="s">
        <v>77</v>
      </c>
      <c r="J4275" s="26" t="s">
        <v>77</v>
      </c>
      <c r="K4275" s="18"/>
      <c r="L4275" s="26" t="s">
        <v>77</v>
      </c>
      <c r="M4275" s="6" t="s">
        <v>77</v>
      </c>
      <c r="N4275" s="28" t="s">
        <v>77</v>
      </c>
      <c r="O4275" s="26" t="s">
        <v>77</v>
      </c>
    </row>
    <row r="4276">
      <c r="A4276" s="52" t="s">
        <v>77</v>
      </c>
      <c r="B4276" s="28" t="s">
        <v>77</v>
      </c>
      <c r="C4276" s="28" t="s">
        <v>77</v>
      </c>
      <c r="D4276" s="28" t="s">
        <v>77</v>
      </c>
      <c r="E4276" s="28" t="s">
        <v>77</v>
      </c>
      <c r="F4276" s="28" t="s">
        <v>77</v>
      </c>
      <c r="G4276" s="28" t="s">
        <v>77</v>
      </c>
      <c r="I4276" s="26" t="s">
        <v>77</v>
      </c>
      <c r="J4276" s="26" t="s">
        <v>77</v>
      </c>
      <c r="K4276" s="18"/>
      <c r="L4276" s="26" t="s">
        <v>77</v>
      </c>
      <c r="M4276" s="6" t="s">
        <v>77</v>
      </c>
      <c r="N4276" s="28" t="s">
        <v>77</v>
      </c>
      <c r="O4276" s="26" t="s">
        <v>77</v>
      </c>
    </row>
    <row r="4277">
      <c r="A4277" s="52" t="s">
        <v>77</v>
      </c>
      <c r="B4277" s="28" t="s">
        <v>77</v>
      </c>
      <c r="C4277" s="28" t="s">
        <v>77</v>
      </c>
      <c r="D4277" s="28" t="s">
        <v>77</v>
      </c>
      <c r="E4277" s="28" t="s">
        <v>77</v>
      </c>
      <c r="F4277" s="28" t="s">
        <v>77</v>
      </c>
      <c r="G4277" s="28" t="s">
        <v>77</v>
      </c>
      <c r="I4277" s="26" t="s">
        <v>77</v>
      </c>
      <c r="J4277" s="26" t="s">
        <v>77</v>
      </c>
      <c r="K4277" s="18"/>
      <c r="L4277" s="26" t="s">
        <v>77</v>
      </c>
      <c r="M4277" s="6" t="s">
        <v>77</v>
      </c>
      <c r="N4277" s="28" t="s">
        <v>77</v>
      </c>
      <c r="O4277" s="26" t="s">
        <v>77</v>
      </c>
    </row>
    <row r="4278">
      <c r="A4278" s="52" t="s">
        <v>77</v>
      </c>
      <c r="B4278" s="28" t="s">
        <v>77</v>
      </c>
      <c r="C4278" s="28" t="s">
        <v>77</v>
      </c>
      <c r="D4278" s="28" t="s">
        <v>77</v>
      </c>
      <c r="E4278" s="28" t="s">
        <v>77</v>
      </c>
      <c r="F4278" s="28" t="s">
        <v>77</v>
      </c>
      <c r="G4278" s="28" t="s">
        <v>77</v>
      </c>
      <c r="I4278" s="26" t="s">
        <v>77</v>
      </c>
      <c r="J4278" s="26" t="s">
        <v>77</v>
      </c>
      <c r="K4278" s="18"/>
      <c r="L4278" s="26" t="s">
        <v>77</v>
      </c>
      <c r="M4278" s="6" t="s">
        <v>77</v>
      </c>
      <c r="N4278" s="28" t="s">
        <v>77</v>
      </c>
      <c r="O4278" s="26" t="s">
        <v>77</v>
      </c>
    </row>
    <row r="4279">
      <c r="A4279" s="52" t="s">
        <v>77</v>
      </c>
      <c r="B4279" s="28" t="s">
        <v>77</v>
      </c>
      <c r="C4279" s="28" t="s">
        <v>77</v>
      </c>
      <c r="D4279" s="28" t="s">
        <v>77</v>
      </c>
      <c r="E4279" s="28" t="s">
        <v>77</v>
      </c>
      <c r="F4279" s="28" t="s">
        <v>77</v>
      </c>
      <c r="G4279" s="28" t="s">
        <v>77</v>
      </c>
      <c r="I4279" s="26" t="s">
        <v>77</v>
      </c>
      <c r="J4279" s="26" t="s">
        <v>77</v>
      </c>
      <c r="K4279" s="18"/>
      <c r="L4279" s="26" t="s">
        <v>77</v>
      </c>
      <c r="M4279" s="6" t="s">
        <v>77</v>
      </c>
      <c r="N4279" s="28" t="s">
        <v>77</v>
      </c>
      <c r="O4279" s="26" t="s">
        <v>77</v>
      </c>
    </row>
    <row r="4280">
      <c r="A4280" s="52" t="s">
        <v>77</v>
      </c>
      <c r="B4280" s="28" t="s">
        <v>77</v>
      </c>
      <c r="C4280" s="28" t="s">
        <v>77</v>
      </c>
      <c r="D4280" s="28" t="s">
        <v>77</v>
      </c>
      <c r="E4280" s="28" t="s">
        <v>77</v>
      </c>
      <c r="F4280" s="28" t="s">
        <v>77</v>
      </c>
      <c r="G4280" s="28" t="s">
        <v>77</v>
      </c>
      <c r="I4280" s="26" t="s">
        <v>77</v>
      </c>
      <c r="J4280" s="26" t="s">
        <v>77</v>
      </c>
      <c r="K4280" s="18"/>
      <c r="L4280" s="26" t="s">
        <v>77</v>
      </c>
      <c r="M4280" s="6" t="s">
        <v>77</v>
      </c>
      <c r="N4280" s="28" t="s">
        <v>77</v>
      </c>
      <c r="O4280" s="26" t="s">
        <v>77</v>
      </c>
    </row>
    <row r="4281">
      <c r="A4281" s="52" t="s">
        <v>77</v>
      </c>
      <c r="B4281" s="28" t="s">
        <v>77</v>
      </c>
      <c r="C4281" s="28" t="s">
        <v>77</v>
      </c>
      <c r="D4281" s="28" t="s">
        <v>77</v>
      </c>
      <c r="E4281" s="28" t="s">
        <v>77</v>
      </c>
      <c r="F4281" s="28" t="s">
        <v>77</v>
      </c>
      <c r="G4281" s="28" t="s">
        <v>77</v>
      </c>
      <c r="I4281" s="26" t="s">
        <v>77</v>
      </c>
      <c r="J4281" s="26" t="s">
        <v>77</v>
      </c>
      <c r="K4281" s="18"/>
      <c r="L4281" s="26" t="s">
        <v>77</v>
      </c>
      <c r="M4281" s="6" t="s">
        <v>77</v>
      </c>
      <c r="N4281" s="28" t="s">
        <v>77</v>
      </c>
      <c r="O4281" s="26" t="s">
        <v>77</v>
      </c>
    </row>
    <row r="4282">
      <c r="A4282" s="52" t="s">
        <v>77</v>
      </c>
      <c r="B4282" s="28" t="s">
        <v>77</v>
      </c>
      <c r="C4282" s="28" t="s">
        <v>77</v>
      </c>
      <c r="D4282" s="28" t="s">
        <v>77</v>
      </c>
      <c r="E4282" s="28" t="s">
        <v>77</v>
      </c>
      <c r="F4282" s="28" t="s">
        <v>77</v>
      </c>
      <c r="G4282" s="28" t="s">
        <v>77</v>
      </c>
      <c r="I4282" s="26" t="s">
        <v>77</v>
      </c>
      <c r="J4282" s="26" t="s">
        <v>77</v>
      </c>
      <c r="K4282" s="18"/>
      <c r="L4282" s="26" t="s">
        <v>77</v>
      </c>
      <c r="M4282" s="6" t="s">
        <v>77</v>
      </c>
      <c r="N4282" s="28" t="s">
        <v>77</v>
      </c>
      <c r="O4282" s="26" t="s">
        <v>77</v>
      </c>
    </row>
    <row r="4283">
      <c r="A4283" s="52" t="s">
        <v>77</v>
      </c>
      <c r="B4283" s="28" t="s">
        <v>77</v>
      </c>
      <c r="C4283" s="28" t="s">
        <v>77</v>
      </c>
      <c r="D4283" s="28" t="s">
        <v>77</v>
      </c>
      <c r="E4283" s="28" t="s">
        <v>77</v>
      </c>
      <c r="F4283" s="28" t="s">
        <v>77</v>
      </c>
      <c r="G4283" s="28" t="s">
        <v>77</v>
      </c>
      <c r="I4283" s="26" t="s">
        <v>77</v>
      </c>
      <c r="J4283" s="26" t="s">
        <v>77</v>
      </c>
      <c r="K4283" s="18"/>
      <c r="L4283" s="26" t="s">
        <v>77</v>
      </c>
      <c r="M4283" s="6" t="s">
        <v>77</v>
      </c>
      <c r="N4283" s="28" t="s">
        <v>77</v>
      </c>
      <c r="O4283" s="26" t="s">
        <v>77</v>
      </c>
    </row>
    <row r="4284">
      <c r="A4284" s="52" t="s">
        <v>77</v>
      </c>
      <c r="B4284" s="28" t="s">
        <v>77</v>
      </c>
      <c r="C4284" s="28" t="s">
        <v>77</v>
      </c>
      <c r="D4284" s="28" t="s">
        <v>77</v>
      </c>
      <c r="E4284" s="28" t="s">
        <v>77</v>
      </c>
      <c r="F4284" s="28" t="s">
        <v>77</v>
      </c>
      <c r="G4284" s="28" t="s">
        <v>77</v>
      </c>
      <c r="I4284" s="26" t="s">
        <v>77</v>
      </c>
      <c r="J4284" s="26" t="s">
        <v>77</v>
      </c>
      <c r="K4284" s="18"/>
      <c r="L4284" s="26" t="s">
        <v>77</v>
      </c>
      <c r="M4284" s="6" t="s">
        <v>77</v>
      </c>
      <c r="N4284" s="28" t="s">
        <v>77</v>
      </c>
      <c r="O4284" s="26" t="s">
        <v>77</v>
      </c>
    </row>
    <row r="4285">
      <c r="A4285" s="52" t="s">
        <v>77</v>
      </c>
      <c r="B4285" s="28" t="s">
        <v>77</v>
      </c>
      <c r="C4285" s="28" t="s">
        <v>77</v>
      </c>
      <c r="D4285" s="28" t="s">
        <v>77</v>
      </c>
      <c r="E4285" s="28" t="s">
        <v>77</v>
      </c>
      <c r="F4285" s="28" t="s">
        <v>77</v>
      </c>
      <c r="G4285" s="28" t="s">
        <v>77</v>
      </c>
      <c r="I4285" s="26" t="s">
        <v>77</v>
      </c>
      <c r="J4285" s="26" t="s">
        <v>77</v>
      </c>
      <c r="K4285" s="18"/>
      <c r="L4285" s="26" t="s">
        <v>77</v>
      </c>
      <c r="M4285" s="6" t="s">
        <v>77</v>
      </c>
      <c r="N4285" s="28" t="s">
        <v>77</v>
      </c>
      <c r="O4285" s="26" t="s">
        <v>77</v>
      </c>
    </row>
    <row r="4286">
      <c r="A4286" s="52" t="s">
        <v>77</v>
      </c>
      <c r="B4286" s="28" t="s">
        <v>77</v>
      </c>
      <c r="C4286" s="28" t="s">
        <v>77</v>
      </c>
      <c r="D4286" s="28" t="s">
        <v>77</v>
      </c>
      <c r="E4286" s="28" t="s">
        <v>77</v>
      </c>
      <c r="F4286" s="28" t="s">
        <v>77</v>
      </c>
      <c r="G4286" s="28" t="s">
        <v>77</v>
      </c>
      <c r="I4286" s="26" t="s">
        <v>77</v>
      </c>
      <c r="J4286" s="26" t="s">
        <v>77</v>
      </c>
      <c r="K4286" s="18"/>
      <c r="L4286" s="26" t="s">
        <v>77</v>
      </c>
      <c r="M4286" s="6" t="s">
        <v>77</v>
      </c>
      <c r="N4286" s="28" t="s">
        <v>77</v>
      </c>
      <c r="O4286" s="26" t="s">
        <v>77</v>
      </c>
    </row>
    <row r="4287">
      <c r="A4287" s="52" t="s">
        <v>77</v>
      </c>
      <c r="B4287" s="28" t="s">
        <v>77</v>
      </c>
      <c r="C4287" s="28" t="s">
        <v>77</v>
      </c>
      <c r="D4287" s="28" t="s">
        <v>77</v>
      </c>
      <c r="E4287" s="28" t="s">
        <v>77</v>
      </c>
      <c r="F4287" s="28" t="s">
        <v>77</v>
      </c>
      <c r="G4287" s="28" t="s">
        <v>77</v>
      </c>
      <c r="I4287" s="26" t="s">
        <v>77</v>
      </c>
      <c r="J4287" s="26" t="s">
        <v>77</v>
      </c>
      <c r="K4287" s="18"/>
      <c r="L4287" s="26" t="s">
        <v>77</v>
      </c>
      <c r="M4287" s="6" t="s">
        <v>77</v>
      </c>
      <c r="N4287" s="28" t="s">
        <v>77</v>
      </c>
      <c r="O4287" s="26" t="s">
        <v>77</v>
      </c>
    </row>
    <row r="4288">
      <c r="A4288" s="52" t="s">
        <v>77</v>
      </c>
      <c r="B4288" s="28" t="s">
        <v>77</v>
      </c>
      <c r="C4288" s="28" t="s">
        <v>77</v>
      </c>
      <c r="D4288" s="28" t="s">
        <v>77</v>
      </c>
      <c r="E4288" s="28" t="s">
        <v>77</v>
      </c>
      <c r="F4288" s="28" t="s">
        <v>77</v>
      </c>
      <c r="G4288" s="28" t="s">
        <v>77</v>
      </c>
      <c r="I4288" s="26" t="s">
        <v>77</v>
      </c>
      <c r="J4288" s="26" t="s">
        <v>77</v>
      </c>
      <c r="K4288" s="18"/>
      <c r="L4288" s="26" t="s">
        <v>77</v>
      </c>
      <c r="M4288" s="6" t="s">
        <v>77</v>
      </c>
      <c r="N4288" s="28" t="s">
        <v>77</v>
      </c>
      <c r="O4288" s="26" t="s">
        <v>77</v>
      </c>
    </row>
    <row r="4289">
      <c r="A4289" s="52" t="s">
        <v>77</v>
      </c>
      <c r="B4289" s="28" t="s">
        <v>77</v>
      </c>
      <c r="C4289" s="28" t="s">
        <v>77</v>
      </c>
      <c r="D4289" s="28" t="s">
        <v>77</v>
      </c>
      <c r="E4289" s="28" t="s">
        <v>77</v>
      </c>
      <c r="F4289" s="28" t="s">
        <v>77</v>
      </c>
      <c r="G4289" s="28" t="s">
        <v>77</v>
      </c>
      <c r="I4289" s="26" t="s">
        <v>77</v>
      </c>
      <c r="J4289" s="26" t="s">
        <v>77</v>
      </c>
      <c r="K4289" s="18"/>
      <c r="L4289" s="26" t="s">
        <v>77</v>
      </c>
      <c r="M4289" s="6" t="s">
        <v>77</v>
      </c>
      <c r="N4289" s="28" t="s">
        <v>77</v>
      </c>
      <c r="O4289" s="26" t="s">
        <v>77</v>
      </c>
    </row>
    <row r="4290">
      <c r="A4290" s="52" t="s">
        <v>77</v>
      </c>
      <c r="B4290" s="28" t="s">
        <v>77</v>
      </c>
      <c r="C4290" s="28" t="s">
        <v>77</v>
      </c>
      <c r="D4290" s="28" t="s">
        <v>77</v>
      </c>
      <c r="E4290" s="28" t="s">
        <v>77</v>
      </c>
      <c r="F4290" s="28" t="s">
        <v>77</v>
      </c>
      <c r="G4290" s="28" t="s">
        <v>77</v>
      </c>
      <c r="I4290" s="26" t="s">
        <v>77</v>
      </c>
      <c r="J4290" s="26" t="s">
        <v>77</v>
      </c>
      <c r="K4290" s="18"/>
      <c r="L4290" s="26" t="s">
        <v>77</v>
      </c>
      <c r="M4290" s="6" t="s">
        <v>77</v>
      </c>
      <c r="N4290" s="28" t="s">
        <v>77</v>
      </c>
      <c r="O4290" s="26" t="s">
        <v>77</v>
      </c>
    </row>
    <row r="4291">
      <c r="A4291" s="52" t="s">
        <v>77</v>
      </c>
      <c r="B4291" s="28" t="s">
        <v>77</v>
      </c>
      <c r="C4291" s="28" t="s">
        <v>77</v>
      </c>
      <c r="D4291" s="28" t="s">
        <v>77</v>
      </c>
      <c r="E4291" s="28" t="s">
        <v>77</v>
      </c>
      <c r="F4291" s="28" t="s">
        <v>77</v>
      </c>
      <c r="G4291" s="28" t="s">
        <v>77</v>
      </c>
      <c r="I4291" s="26" t="s">
        <v>77</v>
      </c>
      <c r="J4291" s="26" t="s">
        <v>77</v>
      </c>
      <c r="K4291" s="18"/>
      <c r="L4291" s="26" t="s">
        <v>77</v>
      </c>
      <c r="M4291" s="6" t="s">
        <v>77</v>
      </c>
      <c r="N4291" s="28" t="s">
        <v>77</v>
      </c>
      <c r="O4291" s="26" t="s">
        <v>77</v>
      </c>
    </row>
    <row r="4292">
      <c r="A4292" s="52" t="s">
        <v>77</v>
      </c>
      <c r="B4292" s="28" t="s">
        <v>77</v>
      </c>
      <c r="C4292" s="28" t="s">
        <v>77</v>
      </c>
      <c r="D4292" s="28" t="s">
        <v>77</v>
      </c>
      <c r="E4292" s="28" t="s">
        <v>77</v>
      </c>
      <c r="F4292" s="28" t="s">
        <v>77</v>
      </c>
      <c r="G4292" s="28" t="s">
        <v>77</v>
      </c>
      <c r="I4292" s="26" t="s">
        <v>77</v>
      </c>
      <c r="J4292" s="26" t="s">
        <v>77</v>
      </c>
      <c r="K4292" s="18"/>
      <c r="L4292" s="26" t="s">
        <v>77</v>
      </c>
      <c r="M4292" s="6" t="s">
        <v>77</v>
      </c>
      <c r="N4292" s="28" t="s">
        <v>77</v>
      </c>
      <c r="O4292" s="26" t="s">
        <v>77</v>
      </c>
    </row>
    <row r="4293">
      <c r="A4293" s="52" t="s">
        <v>77</v>
      </c>
      <c r="B4293" s="28" t="s">
        <v>77</v>
      </c>
      <c r="C4293" s="28" t="s">
        <v>77</v>
      </c>
      <c r="D4293" s="28" t="s">
        <v>77</v>
      </c>
      <c r="E4293" s="28" t="s">
        <v>77</v>
      </c>
      <c r="F4293" s="28" t="s">
        <v>77</v>
      </c>
      <c r="G4293" s="28" t="s">
        <v>77</v>
      </c>
      <c r="I4293" s="26" t="s">
        <v>77</v>
      </c>
      <c r="J4293" s="26" t="s">
        <v>77</v>
      </c>
      <c r="K4293" s="18"/>
      <c r="L4293" s="26" t="s">
        <v>77</v>
      </c>
      <c r="M4293" s="6" t="s">
        <v>77</v>
      </c>
      <c r="N4293" s="28" t="s">
        <v>77</v>
      </c>
      <c r="O4293" s="26" t="s">
        <v>77</v>
      </c>
    </row>
    <row r="4294">
      <c r="A4294" s="52" t="s">
        <v>77</v>
      </c>
      <c r="B4294" s="28" t="s">
        <v>77</v>
      </c>
      <c r="C4294" s="28" t="s">
        <v>77</v>
      </c>
      <c r="D4294" s="28" t="s">
        <v>77</v>
      </c>
      <c r="E4294" s="28" t="s">
        <v>77</v>
      </c>
      <c r="F4294" s="28" t="s">
        <v>77</v>
      </c>
      <c r="G4294" s="28" t="s">
        <v>77</v>
      </c>
      <c r="I4294" s="26" t="s">
        <v>77</v>
      </c>
      <c r="J4294" s="26" t="s">
        <v>77</v>
      </c>
      <c r="K4294" s="18"/>
      <c r="L4294" s="26" t="s">
        <v>77</v>
      </c>
      <c r="M4294" s="6" t="s">
        <v>77</v>
      </c>
      <c r="N4294" s="28" t="s">
        <v>77</v>
      </c>
      <c r="O4294" s="26" t="s">
        <v>77</v>
      </c>
    </row>
    <row r="4295">
      <c r="A4295" s="52" t="s">
        <v>77</v>
      </c>
      <c r="B4295" s="28" t="s">
        <v>77</v>
      </c>
      <c r="C4295" s="28" t="s">
        <v>77</v>
      </c>
      <c r="D4295" s="28" t="s">
        <v>77</v>
      </c>
      <c r="E4295" s="28" t="s">
        <v>77</v>
      </c>
      <c r="F4295" s="28" t="s">
        <v>77</v>
      </c>
      <c r="G4295" s="28" t="s">
        <v>77</v>
      </c>
      <c r="I4295" s="26" t="s">
        <v>77</v>
      </c>
      <c r="J4295" s="26" t="s">
        <v>77</v>
      </c>
      <c r="K4295" s="18"/>
      <c r="L4295" s="26" t="s">
        <v>77</v>
      </c>
      <c r="M4295" s="6" t="s">
        <v>77</v>
      </c>
      <c r="N4295" s="28" t="s">
        <v>77</v>
      </c>
      <c r="O4295" s="26" t="s">
        <v>77</v>
      </c>
    </row>
    <row r="4296">
      <c r="A4296" s="52" t="s">
        <v>77</v>
      </c>
      <c r="B4296" s="28" t="s">
        <v>77</v>
      </c>
      <c r="C4296" s="28" t="s">
        <v>77</v>
      </c>
      <c r="D4296" s="28" t="s">
        <v>77</v>
      </c>
      <c r="E4296" s="28" t="s">
        <v>77</v>
      </c>
      <c r="F4296" s="28" t="s">
        <v>77</v>
      </c>
      <c r="G4296" s="28" t="s">
        <v>77</v>
      </c>
      <c r="I4296" s="26" t="s">
        <v>77</v>
      </c>
      <c r="J4296" s="26" t="s">
        <v>77</v>
      </c>
      <c r="K4296" s="18"/>
      <c r="L4296" s="26" t="s">
        <v>77</v>
      </c>
      <c r="M4296" s="6" t="s">
        <v>77</v>
      </c>
      <c r="N4296" s="28" t="s">
        <v>77</v>
      </c>
      <c r="O4296" s="26" t="s">
        <v>77</v>
      </c>
    </row>
    <row r="4297">
      <c r="A4297" s="52" t="s">
        <v>77</v>
      </c>
      <c r="B4297" s="28" t="s">
        <v>77</v>
      </c>
      <c r="C4297" s="28" t="s">
        <v>77</v>
      </c>
      <c r="D4297" s="28" t="s">
        <v>77</v>
      </c>
      <c r="E4297" s="28" t="s">
        <v>77</v>
      </c>
      <c r="F4297" s="28" t="s">
        <v>77</v>
      </c>
      <c r="G4297" s="28" t="s">
        <v>77</v>
      </c>
      <c r="I4297" s="26" t="s">
        <v>77</v>
      </c>
      <c r="J4297" s="26" t="s">
        <v>77</v>
      </c>
      <c r="K4297" s="18"/>
      <c r="L4297" s="26" t="s">
        <v>77</v>
      </c>
      <c r="M4297" s="6" t="s">
        <v>77</v>
      </c>
      <c r="N4297" s="28" t="s">
        <v>77</v>
      </c>
      <c r="O4297" s="26" t="s">
        <v>77</v>
      </c>
    </row>
    <row r="4298">
      <c r="A4298" s="52" t="s">
        <v>77</v>
      </c>
      <c r="B4298" s="28" t="s">
        <v>77</v>
      </c>
      <c r="C4298" s="28" t="s">
        <v>77</v>
      </c>
      <c r="D4298" s="28" t="s">
        <v>77</v>
      </c>
      <c r="E4298" s="28" t="s">
        <v>77</v>
      </c>
      <c r="F4298" s="28" t="s">
        <v>77</v>
      </c>
      <c r="G4298" s="28" t="s">
        <v>77</v>
      </c>
      <c r="I4298" s="26" t="s">
        <v>77</v>
      </c>
      <c r="J4298" s="26" t="s">
        <v>77</v>
      </c>
      <c r="K4298" s="18"/>
      <c r="L4298" s="26" t="s">
        <v>77</v>
      </c>
      <c r="M4298" s="6" t="s">
        <v>77</v>
      </c>
      <c r="N4298" s="28" t="s">
        <v>77</v>
      </c>
      <c r="O4298" s="26" t="s">
        <v>77</v>
      </c>
    </row>
    <row r="4299">
      <c r="A4299" s="52" t="s">
        <v>77</v>
      </c>
      <c r="B4299" s="28" t="s">
        <v>77</v>
      </c>
      <c r="C4299" s="28" t="s">
        <v>77</v>
      </c>
      <c r="D4299" s="28" t="s">
        <v>77</v>
      </c>
      <c r="E4299" s="28" t="s">
        <v>77</v>
      </c>
      <c r="F4299" s="28" t="s">
        <v>77</v>
      </c>
      <c r="G4299" s="28" t="s">
        <v>77</v>
      </c>
      <c r="I4299" s="26" t="s">
        <v>77</v>
      </c>
      <c r="J4299" s="26" t="s">
        <v>77</v>
      </c>
      <c r="K4299" s="18"/>
      <c r="L4299" s="26" t="s">
        <v>77</v>
      </c>
      <c r="M4299" s="6" t="s">
        <v>77</v>
      </c>
      <c r="N4299" s="28" t="s">
        <v>77</v>
      </c>
      <c r="O4299" s="26" t="s">
        <v>77</v>
      </c>
    </row>
    <row r="4300">
      <c r="A4300" s="52" t="s">
        <v>77</v>
      </c>
      <c r="B4300" s="28" t="s">
        <v>77</v>
      </c>
      <c r="C4300" s="28" t="s">
        <v>77</v>
      </c>
      <c r="D4300" s="28" t="s">
        <v>77</v>
      </c>
      <c r="E4300" s="28" t="s">
        <v>77</v>
      </c>
      <c r="F4300" s="28" t="s">
        <v>77</v>
      </c>
      <c r="G4300" s="28" t="s">
        <v>77</v>
      </c>
      <c r="I4300" s="26" t="s">
        <v>77</v>
      </c>
      <c r="J4300" s="26" t="s">
        <v>77</v>
      </c>
      <c r="K4300" s="18"/>
      <c r="L4300" s="26" t="s">
        <v>77</v>
      </c>
      <c r="M4300" s="6" t="s">
        <v>77</v>
      </c>
      <c r="N4300" s="28" t="s">
        <v>77</v>
      </c>
      <c r="O4300" s="26" t="s">
        <v>77</v>
      </c>
    </row>
    <row r="4301">
      <c r="A4301" s="52" t="s">
        <v>77</v>
      </c>
      <c r="B4301" s="28" t="s">
        <v>77</v>
      </c>
      <c r="C4301" s="28" t="s">
        <v>77</v>
      </c>
      <c r="D4301" s="28" t="s">
        <v>77</v>
      </c>
      <c r="E4301" s="28" t="s">
        <v>77</v>
      </c>
      <c r="F4301" s="28" t="s">
        <v>77</v>
      </c>
      <c r="G4301" s="28" t="s">
        <v>77</v>
      </c>
      <c r="I4301" s="26" t="s">
        <v>77</v>
      </c>
      <c r="J4301" s="26" t="s">
        <v>77</v>
      </c>
      <c r="K4301" s="18"/>
      <c r="L4301" s="26" t="s">
        <v>77</v>
      </c>
      <c r="M4301" s="6" t="s">
        <v>77</v>
      </c>
      <c r="N4301" s="28" t="s">
        <v>77</v>
      </c>
      <c r="O4301" s="26" t="s">
        <v>77</v>
      </c>
    </row>
    <row r="4302">
      <c r="A4302" s="52" t="s">
        <v>77</v>
      </c>
      <c r="B4302" s="28" t="s">
        <v>77</v>
      </c>
      <c r="C4302" s="28" t="s">
        <v>77</v>
      </c>
      <c r="D4302" s="28" t="s">
        <v>77</v>
      </c>
      <c r="E4302" s="28" t="s">
        <v>77</v>
      </c>
      <c r="F4302" s="28" t="s">
        <v>77</v>
      </c>
      <c r="G4302" s="28" t="s">
        <v>77</v>
      </c>
      <c r="I4302" s="26" t="s">
        <v>77</v>
      </c>
      <c r="J4302" s="26" t="s">
        <v>77</v>
      </c>
      <c r="K4302" s="18"/>
      <c r="L4302" s="26" t="s">
        <v>77</v>
      </c>
      <c r="M4302" s="6" t="s">
        <v>77</v>
      </c>
      <c r="N4302" s="28" t="s">
        <v>77</v>
      </c>
      <c r="O4302" s="26" t="s">
        <v>77</v>
      </c>
    </row>
    <row r="4303">
      <c r="A4303" s="52" t="s">
        <v>77</v>
      </c>
      <c r="B4303" s="28" t="s">
        <v>77</v>
      </c>
      <c r="C4303" s="28" t="s">
        <v>77</v>
      </c>
      <c r="D4303" s="28" t="s">
        <v>77</v>
      </c>
      <c r="E4303" s="28" t="s">
        <v>77</v>
      </c>
      <c r="F4303" s="28" t="s">
        <v>77</v>
      </c>
      <c r="G4303" s="28" t="s">
        <v>77</v>
      </c>
      <c r="I4303" s="26" t="s">
        <v>77</v>
      </c>
      <c r="J4303" s="26" t="s">
        <v>77</v>
      </c>
      <c r="K4303" s="18"/>
      <c r="L4303" s="26" t="s">
        <v>77</v>
      </c>
      <c r="M4303" s="6" t="s">
        <v>77</v>
      </c>
      <c r="N4303" s="28" t="s">
        <v>77</v>
      </c>
      <c r="O4303" s="26" t="s">
        <v>77</v>
      </c>
    </row>
    <row r="4304">
      <c r="A4304" s="52" t="s">
        <v>77</v>
      </c>
      <c r="B4304" s="28" t="s">
        <v>77</v>
      </c>
      <c r="C4304" s="28" t="s">
        <v>77</v>
      </c>
      <c r="D4304" s="28" t="s">
        <v>77</v>
      </c>
      <c r="E4304" s="28" t="s">
        <v>77</v>
      </c>
      <c r="F4304" s="28" t="s">
        <v>77</v>
      </c>
      <c r="G4304" s="28" t="s">
        <v>77</v>
      </c>
      <c r="I4304" s="26" t="s">
        <v>77</v>
      </c>
      <c r="J4304" s="26" t="s">
        <v>77</v>
      </c>
      <c r="K4304" s="18"/>
      <c r="L4304" s="26" t="s">
        <v>77</v>
      </c>
      <c r="M4304" s="6" t="s">
        <v>77</v>
      </c>
      <c r="N4304" s="28" t="s">
        <v>77</v>
      </c>
      <c r="O4304" s="26" t="s">
        <v>77</v>
      </c>
    </row>
    <row r="4305">
      <c r="A4305" s="52" t="s">
        <v>77</v>
      </c>
      <c r="B4305" s="28" t="s">
        <v>77</v>
      </c>
      <c r="C4305" s="28" t="s">
        <v>77</v>
      </c>
      <c r="D4305" s="28" t="s">
        <v>77</v>
      </c>
      <c r="E4305" s="28" t="s">
        <v>77</v>
      </c>
      <c r="F4305" s="28" t="s">
        <v>77</v>
      </c>
      <c r="G4305" s="28" t="s">
        <v>77</v>
      </c>
      <c r="I4305" s="26" t="s">
        <v>77</v>
      </c>
      <c r="J4305" s="26" t="s">
        <v>77</v>
      </c>
      <c r="K4305" s="18"/>
      <c r="L4305" s="26" t="s">
        <v>77</v>
      </c>
      <c r="M4305" s="6" t="s">
        <v>77</v>
      </c>
      <c r="N4305" s="28" t="s">
        <v>77</v>
      </c>
      <c r="O4305" s="26" t="s">
        <v>77</v>
      </c>
    </row>
    <row r="4306">
      <c r="A4306" s="52" t="s">
        <v>77</v>
      </c>
      <c r="B4306" s="28" t="s">
        <v>77</v>
      </c>
      <c r="C4306" s="28" t="s">
        <v>77</v>
      </c>
      <c r="D4306" s="28" t="s">
        <v>77</v>
      </c>
      <c r="E4306" s="28" t="s">
        <v>77</v>
      </c>
      <c r="F4306" s="28" t="s">
        <v>77</v>
      </c>
      <c r="G4306" s="28" t="s">
        <v>77</v>
      </c>
      <c r="I4306" s="26" t="s">
        <v>77</v>
      </c>
      <c r="J4306" s="26" t="s">
        <v>77</v>
      </c>
      <c r="K4306" s="18"/>
      <c r="L4306" s="26" t="s">
        <v>77</v>
      </c>
      <c r="M4306" s="6" t="s">
        <v>77</v>
      </c>
      <c r="N4306" s="28" t="s">
        <v>77</v>
      </c>
      <c r="O4306" s="26" t="s">
        <v>77</v>
      </c>
    </row>
    <row r="4307">
      <c r="A4307" s="52" t="s">
        <v>77</v>
      </c>
      <c r="B4307" s="28" t="s">
        <v>77</v>
      </c>
      <c r="C4307" s="28" t="s">
        <v>77</v>
      </c>
      <c r="D4307" s="28" t="s">
        <v>77</v>
      </c>
      <c r="E4307" s="28" t="s">
        <v>77</v>
      </c>
      <c r="F4307" s="28" t="s">
        <v>77</v>
      </c>
      <c r="G4307" s="28" t="s">
        <v>77</v>
      </c>
      <c r="I4307" s="26" t="s">
        <v>77</v>
      </c>
      <c r="J4307" s="26" t="s">
        <v>77</v>
      </c>
      <c r="K4307" s="18"/>
      <c r="L4307" s="26" t="s">
        <v>77</v>
      </c>
      <c r="M4307" s="6" t="s">
        <v>77</v>
      </c>
      <c r="N4307" s="28" t="s">
        <v>77</v>
      </c>
      <c r="O4307" s="26" t="s">
        <v>77</v>
      </c>
    </row>
    <row r="4308">
      <c r="A4308" s="52" t="s">
        <v>77</v>
      </c>
      <c r="B4308" s="28" t="s">
        <v>77</v>
      </c>
      <c r="C4308" s="28" t="s">
        <v>77</v>
      </c>
      <c r="D4308" s="28" t="s">
        <v>77</v>
      </c>
      <c r="E4308" s="28" t="s">
        <v>77</v>
      </c>
      <c r="F4308" s="28" t="s">
        <v>77</v>
      </c>
      <c r="G4308" s="28" t="s">
        <v>77</v>
      </c>
      <c r="I4308" s="26" t="s">
        <v>77</v>
      </c>
      <c r="J4308" s="26" t="s">
        <v>77</v>
      </c>
      <c r="K4308" s="18"/>
      <c r="L4308" s="26" t="s">
        <v>77</v>
      </c>
      <c r="M4308" s="6" t="s">
        <v>77</v>
      </c>
      <c r="N4308" s="28" t="s">
        <v>77</v>
      </c>
      <c r="O4308" s="26" t="s">
        <v>77</v>
      </c>
    </row>
    <row r="4309">
      <c r="A4309" s="52" t="s">
        <v>77</v>
      </c>
      <c r="B4309" s="28" t="s">
        <v>77</v>
      </c>
      <c r="C4309" s="28" t="s">
        <v>77</v>
      </c>
      <c r="D4309" s="28" t="s">
        <v>77</v>
      </c>
      <c r="E4309" s="28" t="s">
        <v>77</v>
      </c>
      <c r="F4309" s="28" t="s">
        <v>77</v>
      </c>
      <c r="G4309" s="28" t="s">
        <v>77</v>
      </c>
      <c r="I4309" s="26" t="s">
        <v>77</v>
      </c>
      <c r="J4309" s="26" t="s">
        <v>77</v>
      </c>
      <c r="K4309" s="18"/>
      <c r="L4309" s="26" t="s">
        <v>77</v>
      </c>
      <c r="M4309" s="6" t="s">
        <v>77</v>
      </c>
      <c r="N4309" s="28" t="s">
        <v>77</v>
      </c>
      <c r="O4309" s="26" t="s">
        <v>77</v>
      </c>
    </row>
    <row r="4310">
      <c r="A4310" s="52" t="s">
        <v>77</v>
      </c>
      <c r="B4310" s="28" t="s">
        <v>77</v>
      </c>
      <c r="C4310" s="28" t="s">
        <v>77</v>
      </c>
      <c r="D4310" s="28" t="s">
        <v>77</v>
      </c>
      <c r="E4310" s="28" t="s">
        <v>77</v>
      </c>
      <c r="F4310" s="28" t="s">
        <v>77</v>
      </c>
      <c r="G4310" s="28" t="s">
        <v>77</v>
      </c>
      <c r="I4310" s="26" t="s">
        <v>77</v>
      </c>
      <c r="J4310" s="26" t="s">
        <v>77</v>
      </c>
      <c r="K4310" s="18"/>
      <c r="L4310" s="26" t="s">
        <v>77</v>
      </c>
      <c r="M4310" s="6" t="s">
        <v>77</v>
      </c>
      <c r="N4310" s="28" t="s">
        <v>77</v>
      </c>
      <c r="O4310" s="26" t="s">
        <v>77</v>
      </c>
    </row>
    <row r="4311">
      <c r="A4311" s="52" t="s">
        <v>77</v>
      </c>
      <c r="B4311" s="28" t="s">
        <v>77</v>
      </c>
      <c r="C4311" s="28" t="s">
        <v>77</v>
      </c>
      <c r="D4311" s="28" t="s">
        <v>77</v>
      </c>
      <c r="E4311" s="28" t="s">
        <v>77</v>
      </c>
      <c r="F4311" s="28" t="s">
        <v>77</v>
      </c>
      <c r="G4311" s="28" t="s">
        <v>77</v>
      </c>
      <c r="I4311" s="26" t="s">
        <v>77</v>
      </c>
      <c r="J4311" s="26" t="s">
        <v>77</v>
      </c>
      <c r="K4311" s="18"/>
      <c r="L4311" s="26" t="s">
        <v>77</v>
      </c>
      <c r="M4311" s="6" t="s">
        <v>77</v>
      </c>
      <c r="N4311" s="28" t="s">
        <v>77</v>
      </c>
      <c r="O4311" s="26" t="s">
        <v>77</v>
      </c>
    </row>
    <row r="4312">
      <c r="A4312" s="52" t="s">
        <v>77</v>
      </c>
      <c r="B4312" s="28" t="s">
        <v>77</v>
      </c>
      <c r="C4312" s="28" t="s">
        <v>77</v>
      </c>
      <c r="D4312" s="28" t="s">
        <v>77</v>
      </c>
      <c r="E4312" s="28" t="s">
        <v>77</v>
      </c>
      <c r="F4312" s="28" t="s">
        <v>77</v>
      </c>
      <c r="G4312" s="28" t="s">
        <v>77</v>
      </c>
      <c r="I4312" s="26" t="s">
        <v>77</v>
      </c>
      <c r="J4312" s="26" t="s">
        <v>77</v>
      </c>
      <c r="K4312" s="18"/>
      <c r="L4312" s="26" t="s">
        <v>77</v>
      </c>
      <c r="M4312" s="6" t="s">
        <v>77</v>
      </c>
      <c r="N4312" s="28" t="s">
        <v>77</v>
      </c>
      <c r="O4312" s="26" t="s">
        <v>77</v>
      </c>
    </row>
    <row r="4313">
      <c r="A4313" s="52" t="s">
        <v>77</v>
      </c>
      <c r="B4313" s="28" t="s">
        <v>77</v>
      </c>
      <c r="C4313" s="28" t="s">
        <v>77</v>
      </c>
      <c r="D4313" s="28" t="s">
        <v>77</v>
      </c>
      <c r="E4313" s="28" t="s">
        <v>77</v>
      </c>
      <c r="F4313" s="28" t="s">
        <v>77</v>
      </c>
      <c r="G4313" s="28" t="s">
        <v>77</v>
      </c>
      <c r="I4313" s="26" t="s">
        <v>77</v>
      </c>
      <c r="J4313" s="26" t="s">
        <v>77</v>
      </c>
      <c r="K4313" s="18"/>
      <c r="L4313" s="26" t="s">
        <v>77</v>
      </c>
      <c r="M4313" s="6" t="s">
        <v>77</v>
      </c>
      <c r="N4313" s="28" t="s">
        <v>77</v>
      </c>
      <c r="O4313" s="26" t="s">
        <v>77</v>
      </c>
    </row>
    <row r="4314">
      <c r="A4314" s="52" t="s">
        <v>77</v>
      </c>
      <c r="B4314" s="28" t="s">
        <v>77</v>
      </c>
      <c r="C4314" s="28" t="s">
        <v>77</v>
      </c>
      <c r="D4314" s="28" t="s">
        <v>77</v>
      </c>
      <c r="E4314" s="28" t="s">
        <v>77</v>
      </c>
      <c r="F4314" s="28" t="s">
        <v>77</v>
      </c>
      <c r="G4314" s="28" t="s">
        <v>77</v>
      </c>
      <c r="I4314" s="26" t="s">
        <v>77</v>
      </c>
      <c r="J4314" s="26" t="s">
        <v>77</v>
      </c>
      <c r="K4314" s="18"/>
      <c r="L4314" s="26" t="s">
        <v>77</v>
      </c>
      <c r="M4314" s="6" t="s">
        <v>77</v>
      </c>
      <c r="N4314" s="28" t="s">
        <v>77</v>
      </c>
      <c r="O4314" s="26" t="s">
        <v>77</v>
      </c>
    </row>
    <row r="4315">
      <c r="A4315" s="52" t="s">
        <v>77</v>
      </c>
      <c r="B4315" s="28" t="s">
        <v>77</v>
      </c>
      <c r="C4315" s="28" t="s">
        <v>77</v>
      </c>
      <c r="D4315" s="28" t="s">
        <v>77</v>
      </c>
      <c r="E4315" s="28" t="s">
        <v>77</v>
      </c>
      <c r="F4315" s="28" t="s">
        <v>77</v>
      </c>
      <c r="G4315" s="28" t="s">
        <v>77</v>
      </c>
      <c r="I4315" s="26" t="s">
        <v>77</v>
      </c>
      <c r="J4315" s="26" t="s">
        <v>77</v>
      </c>
      <c r="K4315" s="18"/>
      <c r="L4315" s="26" t="s">
        <v>77</v>
      </c>
      <c r="M4315" s="6" t="s">
        <v>77</v>
      </c>
      <c r="N4315" s="28" t="s">
        <v>77</v>
      </c>
      <c r="O4315" s="26" t="s">
        <v>77</v>
      </c>
    </row>
    <row r="4316">
      <c r="A4316" s="52" t="s">
        <v>77</v>
      </c>
      <c r="B4316" s="28" t="s">
        <v>77</v>
      </c>
      <c r="C4316" s="28" t="s">
        <v>77</v>
      </c>
      <c r="D4316" s="28" t="s">
        <v>77</v>
      </c>
      <c r="E4316" s="28" t="s">
        <v>77</v>
      </c>
      <c r="F4316" s="28" t="s">
        <v>77</v>
      </c>
      <c r="G4316" s="28" t="s">
        <v>77</v>
      </c>
      <c r="I4316" s="26" t="s">
        <v>77</v>
      </c>
      <c r="J4316" s="26" t="s">
        <v>77</v>
      </c>
      <c r="K4316" s="18"/>
      <c r="L4316" s="26" t="s">
        <v>77</v>
      </c>
      <c r="M4316" s="6" t="s">
        <v>77</v>
      </c>
      <c r="N4316" s="28" t="s">
        <v>77</v>
      </c>
      <c r="O4316" s="26" t="s">
        <v>77</v>
      </c>
    </row>
    <row r="4317">
      <c r="A4317" s="52" t="s">
        <v>77</v>
      </c>
      <c r="B4317" s="28" t="s">
        <v>77</v>
      </c>
      <c r="C4317" s="28" t="s">
        <v>77</v>
      </c>
      <c r="D4317" s="28" t="s">
        <v>77</v>
      </c>
      <c r="E4317" s="28" t="s">
        <v>77</v>
      </c>
      <c r="F4317" s="28" t="s">
        <v>77</v>
      </c>
      <c r="G4317" s="28" t="s">
        <v>77</v>
      </c>
      <c r="I4317" s="26" t="s">
        <v>77</v>
      </c>
      <c r="J4317" s="26" t="s">
        <v>77</v>
      </c>
      <c r="K4317" s="18"/>
      <c r="L4317" s="26" t="s">
        <v>77</v>
      </c>
      <c r="M4317" s="6" t="s">
        <v>77</v>
      </c>
      <c r="N4317" s="28" t="s">
        <v>77</v>
      </c>
      <c r="O4317" s="26" t="s">
        <v>77</v>
      </c>
    </row>
    <row r="4318">
      <c r="A4318" s="52" t="s">
        <v>77</v>
      </c>
      <c r="B4318" s="28" t="s">
        <v>77</v>
      </c>
      <c r="C4318" s="28" t="s">
        <v>77</v>
      </c>
      <c r="D4318" s="28" t="s">
        <v>77</v>
      </c>
      <c r="E4318" s="28" t="s">
        <v>77</v>
      </c>
      <c r="F4318" s="28" t="s">
        <v>77</v>
      </c>
      <c r="G4318" s="28" t="s">
        <v>77</v>
      </c>
      <c r="I4318" s="26" t="s">
        <v>77</v>
      </c>
      <c r="J4318" s="26" t="s">
        <v>77</v>
      </c>
      <c r="K4318" s="18"/>
      <c r="L4318" s="26" t="s">
        <v>77</v>
      </c>
      <c r="M4318" s="6" t="s">
        <v>77</v>
      </c>
      <c r="N4318" s="28" t="s">
        <v>77</v>
      </c>
      <c r="O4318" s="26" t="s">
        <v>77</v>
      </c>
    </row>
    <row r="4319">
      <c r="A4319" s="52" t="s">
        <v>77</v>
      </c>
      <c r="B4319" s="28" t="s">
        <v>77</v>
      </c>
      <c r="C4319" s="28" t="s">
        <v>77</v>
      </c>
      <c r="D4319" s="28" t="s">
        <v>77</v>
      </c>
      <c r="E4319" s="28" t="s">
        <v>77</v>
      </c>
      <c r="F4319" s="28" t="s">
        <v>77</v>
      </c>
      <c r="G4319" s="28" t="s">
        <v>77</v>
      </c>
      <c r="I4319" s="26" t="s">
        <v>77</v>
      </c>
      <c r="J4319" s="26" t="s">
        <v>77</v>
      </c>
      <c r="K4319" s="18"/>
      <c r="L4319" s="26" t="s">
        <v>77</v>
      </c>
      <c r="M4319" s="6" t="s">
        <v>77</v>
      </c>
      <c r="N4319" s="28" t="s">
        <v>77</v>
      </c>
      <c r="O4319" s="26" t="s">
        <v>77</v>
      </c>
    </row>
    <row r="4320">
      <c r="A4320" s="52" t="s">
        <v>77</v>
      </c>
      <c r="B4320" s="28" t="s">
        <v>77</v>
      </c>
      <c r="C4320" s="28" t="s">
        <v>77</v>
      </c>
      <c r="D4320" s="28" t="s">
        <v>77</v>
      </c>
      <c r="E4320" s="28" t="s">
        <v>77</v>
      </c>
      <c r="F4320" s="28" t="s">
        <v>77</v>
      </c>
      <c r="G4320" s="28" t="s">
        <v>77</v>
      </c>
      <c r="I4320" s="26" t="s">
        <v>77</v>
      </c>
      <c r="J4320" s="26" t="s">
        <v>77</v>
      </c>
      <c r="K4320" s="18"/>
      <c r="L4320" s="26" t="s">
        <v>77</v>
      </c>
      <c r="M4320" s="6" t="s">
        <v>77</v>
      </c>
      <c r="N4320" s="28" t="s">
        <v>77</v>
      </c>
      <c r="O4320" s="26" t="s">
        <v>77</v>
      </c>
    </row>
    <row r="4321">
      <c r="A4321" s="52" t="s">
        <v>77</v>
      </c>
      <c r="B4321" s="28" t="s">
        <v>77</v>
      </c>
      <c r="C4321" s="28" t="s">
        <v>77</v>
      </c>
      <c r="D4321" s="28" t="s">
        <v>77</v>
      </c>
      <c r="E4321" s="28" t="s">
        <v>77</v>
      </c>
      <c r="F4321" s="28" t="s">
        <v>77</v>
      </c>
      <c r="G4321" s="28" t="s">
        <v>77</v>
      </c>
      <c r="I4321" s="26" t="s">
        <v>77</v>
      </c>
      <c r="J4321" s="26" t="s">
        <v>77</v>
      </c>
      <c r="K4321" s="18"/>
      <c r="L4321" s="26" t="s">
        <v>77</v>
      </c>
      <c r="M4321" s="6" t="s">
        <v>77</v>
      </c>
      <c r="N4321" s="28" t="s">
        <v>77</v>
      </c>
      <c r="O4321" s="26" t="s">
        <v>77</v>
      </c>
    </row>
    <row r="4322">
      <c r="A4322" s="52" t="s">
        <v>77</v>
      </c>
      <c r="B4322" s="28" t="s">
        <v>77</v>
      </c>
      <c r="C4322" s="28" t="s">
        <v>77</v>
      </c>
      <c r="D4322" s="28" t="s">
        <v>77</v>
      </c>
      <c r="E4322" s="28" t="s">
        <v>77</v>
      </c>
      <c r="F4322" s="28" t="s">
        <v>77</v>
      </c>
      <c r="G4322" s="28" t="s">
        <v>77</v>
      </c>
      <c r="I4322" s="26" t="s">
        <v>77</v>
      </c>
      <c r="J4322" s="26" t="s">
        <v>77</v>
      </c>
      <c r="K4322" s="18"/>
      <c r="L4322" s="26" t="s">
        <v>77</v>
      </c>
      <c r="M4322" s="6" t="s">
        <v>77</v>
      </c>
      <c r="N4322" s="28" t="s">
        <v>77</v>
      </c>
      <c r="O4322" s="26" t="s">
        <v>77</v>
      </c>
    </row>
    <row r="4323">
      <c r="A4323" s="52" t="s">
        <v>77</v>
      </c>
      <c r="B4323" s="28" t="s">
        <v>77</v>
      </c>
      <c r="C4323" s="28" t="s">
        <v>77</v>
      </c>
      <c r="D4323" s="28" t="s">
        <v>77</v>
      </c>
      <c r="E4323" s="28" t="s">
        <v>77</v>
      </c>
      <c r="F4323" s="28" t="s">
        <v>77</v>
      </c>
      <c r="G4323" s="28" t="s">
        <v>77</v>
      </c>
      <c r="I4323" s="26" t="s">
        <v>77</v>
      </c>
      <c r="J4323" s="26" t="s">
        <v>77</v>
      </c>
      <c r="K4323" s="18"/>
      <c r="L4323" s="26" t="s">
        <v>77</v>
      </c>
      <c r="M4323" s="6" t="s">
        <v>77</v>
      </c>
      <c r="N4323" s="28" t="s">
        <v>77</v>
      </c>
      <c r="O4323" s="26" t="s">
        <v>77</v>
      </c>
    </row>
    <row r="4324">
      <c r="A4324" s="52" t="s">
        <v>77</v>
      </c>
      <c r="B4324" s="28" t="s">
        <v>77</v>
      </c>
      <c r="C4324" s="28" t="s">
        <v>77</v>
      </c>
      <c r="D4324" s="28" t="s">
        <v>77</v>
      </c>
      <c r="E4324" s="28" t="s">
        <v>77</v>
      </c>
      <c r="F4324" s="28" t="s">
        <v>77</v>
      </c>
      <c r="G4324" s="28" t="s">
        <v>77</v>
      </c>
      <c r="I4324" s="26" t="s">
        <v>77</v>
      </c>
      <c r="J4324" s="26" t="s">
        <v>77</v>
      </c>
      <c r="K4324" s="18"/>
      <c r="L4324" s="26" t="s">
        <v>77</v>
      </c>
      <c r="M4324" s="6" t="s">
        <v>77</v>
      </c>
      <c r="N4324" s="28" t="s">
        <v>77</v>
      </c>
      <c r="O4324" s="26" t="s">
        <v>77</v>
      </c>
    </row>
    <row r="4325">
      <c r="A4325" s="52" t="s">
        <v>77</v>
      </c>
      <c r="B4325" s="28" t="s">
        <v>77</v>
      </c>
      <c r="C4325" s="28" t="s">
        <v>77</v>
      </c>
      <c r="D4325" s="28" t="s">
        <v>77</v>
      </c>
      <c r="E4325" s="28" t="s">
        <v>77</v>
      </c>
      <c r="F4325" s="28" t="s">
        <v>77</v>
      </c>
      <c r="G4325" s="28" t="s">
        <v>77</v>
      </c>
      <c r="I4325" s="26" t="s">
        <v>77</v>
      </c>
      <c r="J4325" s="26" t="s">
        <v>77</v>
      </c>
      <c r="K4325" s="18"/>
      <c r="L4325" s="26" t="s">
        <v>77</v>
      </c>
      <c r="M4325" s="6" t="s">
        <v>77</v>
      </c>
      <c r="N4325" s="28" t="s">
        <v>77</v>
      </c>
      <c r="O4325" s="26" t="s">
        <v>77</v>
      </c>
    </row>
    <row r="4326">
      <c r="A4326" s="52" t="s">
        <v>77</v>
      </c>
      <c r="B4326" s="28" t="s">
        <v>77</v>
      </c>
      <c r="C4326" s="28" t="s">
        <v>77</v>
      </c>
      <c r="D4326" s="28" t="s">
        <v>77</v>
      </c>
      <c r="E4326" s="28" t="s">
        <v>77</v>
      </c>
      <c r="F4326" s="28" t="s">
        <v>77</v>
      </c>
      <c r="G4326" s="28" t="s">
        <v>77</v>
      </c>
      <c r="I4326" s="26" t="s">
        <v>77</v>
      </c>
      <c r="J4326" s="26" t="s">
        <v>77</v>
      </c>
      <c r="K4326" s="18"/>
      <c r="L4326" s="26" t="s">
        <v>77</v>
      </c>
      <c r="M4326" s="6" t="s">
        <v>77</v>
      </c>
      <c r="N4326" s="28" t="s">
        <v>77</v>
      </c>
      <c r="O4326" s="26" t="s">
        <v>77</v>
      </c>
    </row>
    <row r="4327">
      <c r="A4327" s="52" t="s">
        <v>77</v>
      </c>
      <c r="B4327" s="28" t="s">
        <v>77</v>
      </c>
      <c r="C4327" s="28" t="s">
        <v>77</v>
      </c>
      <c r="D4327" s="28" t="s">
        <v>77</v>
      </c>
      <c r="E4327" s="28" t="s">
        <v>77</v>
      </c>
      <c r="F4327" s="28" t="s">
        <v>77</v>
      </c>
      <c r="G4327" s="28" t="s">
        <v>77</v>
      </c>
      <c r="I4327" s="26" t="s">
        <v>77</v>
      </c>
      <c r="J4327" s="26" t="s">
        <v>77</v>
      </c>
      <c r="K4327" s="18"/>
      <c r="L4327" s="26" t="s">
        <v>77</v>
      </c>
      <c r="M4327" s="6" t="s">
        <v>77</v>
      </c>
      <c r="N4327" s="28" t="s">
        <v>77</v>
      </c>
      <c r="O4327" s="26" t="s">
        <v>77</v>
      </c>
    </row>
    <row r="4328">
      <c r="A4328" s="52" t="s">
        <v>77</v>
      </c>
      <c r="B4328" s="28" t="s">
        <v>77</v>
      </c>
      <c r="C4328" s="28" t="s">
        <v>77</v>
      </c>
      <c r="D4328" s="28" t="s">
        <v>77</v>
      </c>
      <c r="E4328" s="28" t="s">
        <v>77</v>
      </c>
      <c r="F4328" s="28" t="s">
        <v>77</v>
      </c>
      <c r="G4328" s="28" t="s">
        <v>77</v>
      </c>
      <c r="I4328" s="26" t="s">
        <v>77</v>
      </c>
      <c r="J4328" s="26" t="s">
        <v>77</v>
      </c>
      <c r="K4328" s="18"/>
      <c r="L4328" s="26" t="s">
        <v>77</v>
      </c>
      <c r="M4328" s="6" t="s">
        <v>77</v>
      </c>
      <c r="N4328" s="28" t="s">
        <v>77</v>
      </c>
      <c r="O4328" s="26" t="s">
        <v>77</v>
      </c>
    </row>
    <row r="4329">
      <c r="A4329" s="52" t="s">
        <v>77</v>
      </c>
      <c r="B4329" s="28" t="s">
        <v>77</v>
      </c>
      <c r="C4329" s="28" t="s">
        <v>77</v>
      </c>
      <c r="D4329" s="28" t="s">
        <v>77</v>
      </c>
      <c r="E4329" s="28" t="s">
        <v>77</v>
      </c>
      <c r="F4329" s="28" t="s">
        <v>77</v>
      </c>
      <c r="G4329" s="28" t="s">
        <v>77</v>
      </c>
      <c r="I4329" s="26" t="s">
        <v>77</v>
      </c>
      <c r="J4329" s="26" t="s">
        <v>77</v>
      </c>
      <c r="K4329" s="18"/>
      <c r="L4329" s="26" t="s">
        <v>77</v>
      </c>
      <c r="M4329" s="6" t="s">
        <v>77</v>
      </c>
      <c r="N4329" s="28" t="s">
        <v>77</v>
      </c>
      <c r="O4329" s="26" t="s">
        <v>77</v>
      </c>
    </row>
    <row r="4330">
      <c r="A4330" s="52" t="s">
        <v>77</v>
      </c>
      <c r="B4330" s="28" t="s">
        <v>77</v>
      </c>
      <c r="C4330" s="28" t="s">
        <v>77</v>
      </c>
      <c r="D4330" s="28" t="s">
        <v>77</v>
      </c>
      <c r="E4330" s="28" t="s">
        <v>77</v>
      </c>
      <c r="F4330" s="28" t="s">
        <v>77</v>
      </c>
      <c r="G4330" s="28" t="s">
        <v>77</v>
      </c>
      <c r="I4330" s="26" t="s">
        <v>77</v>
      </c>
      <c r="J4330" s="26" t="s">
        <v>77</v>
      </c>
      <c r="K4330" s="18"/>
      <c r="L4330" s="26" t="s">
        <v>77</v>
      </c>
      <c r="M4330" s="6" t="s">
        <v>77</v>
      </c>
      <c r="N4330" s="28" t="s">
        <v>77</v>
      </c>
      <c r="O4330" s="26" t="s">
        <v>77</v>
      </c>
    </row>
    <row r="4331">
      <c r="A4331" s="52" t="s">
        <v>77</v>
      </c>
      <c r="B4331" s="28" t="s">
        <v>77</v>
      </c>
      <c r="C4331" s="28" t="s">
        <v>77</v>
      </c>
      <c r="D4331" s="28" t="s">
        <v>77</v>
      </c>
      <c r="E4331" s="28" t="s">
        <v>77</v>
      </c>
      <c r="F4331" s="28" t="s">
        <v>77</v>
      </c>
      <c r="G4331" s="28" t="s">
        <v>77</v>
      </c>
      <c r="I4331" s="26" t="s">
        <v>77</v>
      </c>
      <c r="J4331" s="26" t="s">
        <v>77</v>
      </c>
      <c r="K4331" s="18"/>
      <c r="L4331" s="26" t="s">
        <v>77</v>
      </c>
      <c r="M4331" s="6" t="s">
        <v>77</v>
      </c>
      <c r="N4331" s="28" t="s">
        <v>77</v>
      </c>
      <c r="O4331" s="26" t="s">
        <v>77</v>
      </c>
    </row>
    <row r="4332">
      <c r="A4332" s="52" t="s">
        <v>77</v>
      </c>
      <c r="B4332" s="28" t="s">
        <v>77</v>
      </c>
      <c r="C4332" s="28" t="s">
        <v>77</v>
      </c>
      <c r="D4332" s="28" t="s">
        <v>77</v>
      </c>
      <c r="E4332" s="28" t="s">
        <v>77</v>
      </c>
      <c r="F4332" s="28" t="s">
        <v>77</v>
      </c>
      <c r="G4332" s="28" t="s">
        <v>77</v>
      </c>
      <c r="I4332" s="26" t="s">
        <v>77</v>
      </c>
      <c r="J4332" s="26" t="s">
        <v>77</v>
      </c>
      <c r="K4332" s="18"/>
      <c r="L4332" s="26" t="s">
        <v>77</v>
      </c>
      <c r="M4332" s="6" t="s">
        <v>77</v>
      </c>
      <c r="N4332" s="28" t="s">
        <v>77</v>
      </c>
      <c r="O4332" s="26" t="s">
        <v>77</v>
      </c>
    </row>
    <row r="4333">
      <c r="A4333" s="52" t="s">
        <v>77</v>
      </c>
      <c r="B4333" s="28" t="s">
        <v>77</v>
      </c>
      <c r="C4333" s="28" t="s">
        <v>77</v>
      </c>
      <c r="D4333" s="28" t="s">
        <v>77</v>
      </c>
      <c r="E4333" s="28" t="s">
        <v>77</v>
      </c>
      <c r="F4333" s="28" t="s">
        <v>77</v>
      </c>
      <c r="G4333" s="28" t="s">
        <v>77</v>
      </c>
      <c r="I4333" s="26" t="s">
        <v>77</v>
      </c>
      <c r="J4333" s="26" t="s">
        <v>77</v>
      </c>
      <c r="K4333" s="18"/>
      <c r="L4333" s="26" t="s">
        <v>77</v>
      </c>
      <c r="M4333" s="6" t="s">
        <v>77</v>
      </c>
      <c r="N4333" s="28" t="s">
        <v>77</v>
      </c>
      <c r="O4333" s="26" t="s">
        <v>77</v>
      </c>
    </row>
    <row r="4334">
      <c r="A4334" s="52" t="s">
        <v>77</v>
      </c>
      <c r="B4334" s="28" t="s">
        <v>77</v>
      </c>
      <c r="C4334" s="28" t="s">
        <v>77</v>
      </c>
      <c r="D4334" s="28" t="s">
        <v>77</v>
      </c>
      <c r="E4334" s="28" t="s">
        <v>77</v>
      </c>
      <c r="F4334" s="28" t="s">
        <v>77</v>
      </c>
      <c r="G4334" s="28" t="s">
        <v>77</v>
      </c>
      <c r="I4334" s="26" t="s">
        <v>77</v>
      </c>
      <c r="J4334" s="26" t="s">
        <v>77</v>
      </c>
      <c r="K4334" s="18"/>
      <c r="L4334" s="26" t="s">
        <v>77</v>
      </c>
      <c r="M4334" s="6" t="s">
        <v>77</v>
      </c>
      <c r="N4334" s="28" t="s">
        <v>77</v>
      </c>
      <c r="O4334" s="26" t="s">
        <v>77</v>
      </c>
    </row>
    <row r="4335">
      <c r="A4335" s="52" t="s">
        <v>77</v>
      </c>
      <c r="B4335" s="28" t="s">
        <v>77</v>
      </c>
      <c r="C4335" s="28" t="s">
        <v>77</v>
      </c>
      <c r="D4335" s="28" t="s">
        <v>77</v>
      </c>
      <c r="E4335" s="28" t="s">
        <v>77</v>
      </c>
      <c r="F4335" s="28" t="s">
        <v>77</v>
      </c>
      <c r="G4335" s="28" t="s">
        <v>77</v>
      </c>
      <c r="I4335" s="26" t="s">
        <v>77</v>
      </c>
      <c r="J4335" s="26" t="s">
        <v>77</v>
      </c>
      <c r="K4335" s="18"/>
      <c r="L4335" s="26" t="s">
        <v>77</v>
      </c>
      <c r="M4335" s="6" t="s">
        <v>77</v>
      </c>
      <c r="N4335" s="28" t="s">
        <v>77</v>
      </c>
      <c r="O4335" s="26" t="s">
        <v>77</v>
      </c>
    </row>
    <row r="4336">
      <c r="A4336" s="52" t="s">
        <v>77</v>
      </c>
      <c r="B4336" s="28" t="s">
        <v>77</v>
      </c>
      <c r="C4336" s="28" t="s">
        <v>77</v>
      </c>
      <c r="D4336" s="28" t="s">
        <v>77</v>
      </c>
      <c r="E4336" s="28" t="s">
        <v>77</v>
      </c>
      <c r="F4336" s="28" t="s">
        <v>77</v>
      </c>
      <c r="G4336" s="28" t="s">
        <v>77</v>
      </c>
      <c r="I4336" s="26" t="s">
        <v>77</v>
      </c>
      <c r="J4336" s="26" t="s">
        <v>77</v>
      </c>
      <c r="K4336" s="18"/>
      <c r="L4336" s="26" t="s">
        <v>77</v>
      </c>
      <c r="M4336" s="6" t="s">
        <v>77</v>
      </c>
      <c r="N4336" s="28" t="s">
        <v>77</v>
      </c>
      <c r="O4336" s="26" t="s">
        <v>77</v>
      </c>
    </row>
    <row r="4337">
      <c r="A4337" s="52" t="s">
        <v>77</v>
      </c>
      <c r="B4337" s="28" t="s">
        <v>77</v>
      </c>
      <c r="C4337" s="28" t="s">
        <v>77</v>
      </c>
      <c r="D4337" s="28" t="s">
        <v>77</v>
      </c>
      <c r="E4337" s="28" t="s">
        <v>77</v>
      </c>
      <c r="F4337" s="28" t="s">
        <v>77</v>
      </c>
      <c r="G4337" s="28" t="s">
        <v>77</v>
      </c>
      <c r="I4337" s="26" t="s">
        <v>77</v>
      </c>
      <c r="J4337" s="26" t="s">
        <v>77</v>
      </c>
      <c r="K4337" s="18"/>
      <c r="L4337" s="26" t="s">
        <v>77</v>
      </c>
      <c r="M4337" s="6" t="s">
        <v>77</v>
      </c>
      <c r="N4337" s="28" t="s">
        <v>77</v>
      </c>
      <c r="O4337" s="26" t="s">
        <v>77</v>
      </c>
    </row>
    <row r="4338">
      <c r="A4338" s="52" t="s">
        <v>77</v>
      </c>
      <c r="B4338" s="28" t="s">
        <v>77</v>
      </c>
      <c r="C4338" s="28" t="s">
        <v>77</v>
      </c>
      <c r="D4338" s="28" t="s">
        <v>77</v>
      </c>
      <c r="E4338" s="28" t="s">
        <v>77</v>
      </c>
      <c r="F4338" s="28" t="s">
        <v>77</v>
      </c>
      <c r="G4338" s="28" t="s">
        <v>77</v>
      </c>
      <c r="I4338" s="26" t="s">
        <v>77</v>
      </c>
      <c r="J4338" s="26" t="s">
        <v>77</v>
      </c>
      <c r="K4338" s="18"/>
      <c r="L4338" s="26" t="s">
        <v>77</v>
      </c>
      <c r="M4338" s="6" t="s">
        <v>77</v>
      </c>
      <c r="N4338" s="28" t="s">
        <v>77</v>
      </c>
      <c r="O4338" s="26" t="s">
        <v>77</v>
      </c>
    </row>
    <row r="4339">
      <c r="A4339" s="52" t="s">
        <v>77</v>
      </c>
      <c r="B4339" s="28" t="s">
        <v>77</v>
      </c>
      <c r="C4339" s="28" t="s">
        <v>77</v>
      </c>
      <c r="D4339" s="28" t="s">
        <v>77</v>
      </c>
      <c r="E4339" s="28" t="s">
        <v>77</v>
      </c>
      <c r="F4339" s="28" t="s">
        <v>77</v>
      </c>
      <c r="G4339" s="28" t="s">
        <v>77</v>
      </c>
      <c r="I4339" s="26" t="s">
        <v>77</v>
      </c>
      <c r="J4339" s="26" t="s">
        <v>77</v>
      </c>
      <c r="K4339" s="18"/>
      <c r="L4339" s="26" t="s">
        <v>77</v>
      </c>
      <c r="M4339" s="6" t="s">
        <v>77</v>
      </c>
      <c r="N4339" s="28" t="s">
        <v>77</v>
      </c>
      <c r="O4339" s="26" t="s">
        <v>77</v>
      </c>
    </row>
    <row r="4340">
      <c r="A4340" s="52" t="s">
        <v>77</v>
      </c>
      <c r="B4340" s="28" t="s">
        <v>77</v>
      </c>
      <c r="C4340" s="28" t="s">
        <v>77</v>
      </c>
      <c r="D4340" s="28" t="s">
        <v>77</v>
      </c>
      <c r="E4340" s="28" t="s">
        <v>77</v>
      </c>
      <c r="F4340" s="28" t="s">
        <v>77</v>
      </c>
      <c r="G4340" s="28" t="s">
        <v>77</v>
      </c>
      <c r="I4340" s="26" t="s">
        <v>77</v>
      </c>
      <c r="J4340" s="26" t="s">
        <v>77</v>
      </c>
      <c r="K4340" s="18"/>
      <c r="L4340" s="26" t="s">
        <v>77</v>
      </c>
      <c r="M4340" s="6" t="s">
        <v>77</v>
      </c>
      <c r="N4340" s="28" t="s">
        <v>77</v>
      </c>
      <c r="O4340" s="26" t="s">
        <v>77</v>
      </c>
    </row>
    <row r="4341">
      <c r="A4341" s="52" t="s">
        <v>77</v>
      </c>
      <c r="B4341" s="28" t="s">
        <v>77</v>
      </c>
      <c r="C4341" s="28" t="s">
        <v>77</v>
      </c>
      <c r="D4341" s="28" t="s">
        <v>77</v>
      </c>
      <c r="E4341" s="28" t="s">
        <v>77</v>
      </c>
      <c r="F4341" s="28" t="s">
        <v>77</v>
      </c>
      <c r="G4341" s="28" t="s">
        <v>77</v>
      </c>
      <c r="I4341" s="26" t="s">
        <v>77</v>
      </c>
      <c r="J4341" s="26" t="s">
        <v>77</v>
      </c>
      <c r="K4341" s="18"/>
      <c r="L4341" s="26" t="s">
        <v>77</v>
      </c>
      <c r="M4341" s="6" t="s">
        <v>77</v>
      </c>
      <c r="N4341" s="28" t="s">
        <v>77</v>
      </c>
      <c r="O4341" s="26" t="s">
        <v>77</v>
      </c>
    </row>
    <row r="4342">
      <c r="A4342" s="52" t="s">
        <v>77</v>
      </c>
      <c r="B4342" s="28" t="s">
        <v>77</v>
      </c>
      <c r="C4342" s="28" t="s">
        <v>77</v>
      </c>
      <c r="D4342" s="28" t="s">
        <v>77</v>
      </c>
      <c r="E4342" s="28" t="s">
        <v>77</v>
      </c>
      <c r="F4342" s="28" t="s">
        <v>77</v>
      </c>
      <c r="G4342" s="28" t="s">
        <v>77</v>
      </c>
      <c r="I4342" s="26" t="s">
        <v>77</v>
      </c>
      <c r="J4342" s="26" t="s">
        <v>77</v>
      </c>
      <c r="K4342" s="18"/>
      <c r="L4342" s="26" t="s">
        <v>77</v>
      </c>
      <c r="M4342" s="6" t="s">
        <v>77</v>
      </c>
      <c r="N4342" s="28" t="s">
        <v>77</v>
      </c>
      <c r="O4342" s="26" t="s">
        <v>77</v>
      </c>
    </row>
    <row r="4343">
      <c r="A4343" s="52" t="s">
        <v>77</v>
      </c>
      <c r="B4343" s="28" t="s">
        <v>77</v>
      </c>
      <c r="C4343" s="28" t="s">
        <v>77</v>
      </c>
      <c r="D4343" s="28" t="s">
        <v>77</v>
      </c>
      <c r="E4343" s="28" t="s">
        <v>77</v>
      </c>
      <c r="F4343" s="28" t="s">
        <v>77</v>
      </c>
      <c r="G4343" s="28" t="s">
        <v>77</v>
      </c>
      <c r="I4343" s="26" t="s">
        <v>77</v>
      </c>
      <c r="J4343" s="26" t="s">
        <v>77</v>
      </c>
      <c r="K4343" s="18"/>
      <c r="L4343" s="26" t="s">
        <v>77</v>
      </c>
      <c r="M4343" s="6" t="s">
        <v>77</v>
      </c>
      <c r="N4343" s="28" t="s">
        <v>77</v>
      </c>
      <c r="O4343" s="26" t="s">
        <v>77</v>
      </c>
    </row>
    <row r="4344">
      <c r="A4344" s="52" t="s">
        <v>77</v>
      </c>
      <c r="B4344" s="28" t="s">
        <v>77</v>
      </c>
      <c r="C4344" s="28" t="s">
        <v>77</v>
      </c>
      <c r="D4344" s="28" t="s">
        <v>77</v>
      </c>
      <c r="E4344" s="28" t="s">
        <v>77</v>
      </c>
      <c r="F4344" s="28" t="s">
        <v>77</v>
      </c>
      <c r="G4344" s="28" t="s">
        <v>77</v>
      </c>
      <c r="I4344" s="26" t="s">
        <v>77</v>
      </c>
      <c r="J4344" s="26" t="s">
        <v>77</v>
      </c>
      <c r="K4344" s="18"/>
      <c r="L4344" s="26" t="s">
        <v>77</v>
      </c>
      <c r="M4344" s="6" t="s">
        <v>77</v>
      </c>
      <c r="N4344" s="28" t="s">
        <v>77</v>
      </c>
      <c r="O4344" s="26" t="s">
        <v>77</v>
      </c>
    </row>
    <row r="4345">
      <c r="A4345" s="52" t="s">
        <v>77</v>
      </c>
      <c r="B4345" s="28" t="s">
        <v>77</v>
      </c>
      <c r="C4345" s="28" t="s">
        <v>77</v>
      </c>
      <c r="D4345" s="28" t="s">
        <v>77</v>
      </c>
      <c r="E4345" s="28" t="s">
        <v>77</v>
      </c>
      <c r="F4345" s="28" t="s">
        <v>77</v>
      </c>
      <c r="G4345" s="28" t="s">
        <v>77</v>
      </c>
      <c r="I4345" s="26" t="s">
        <v>77</v>
      </c>
      <c r="J4345" s="26" t="s">
        <v>77</v>
      </c>
      <c r="K4345" s="18"/>
      <c r="L4345" s="26" t="s">
        <v>77</v>
      </c>
      <c r="M4345" s="6" t="s">
        <v>77</v>
      </c>
      <c r="N4345" s="28" t="s">
        <v>77</v>
      </c>
      <c r="O4345" s="26" t="s">
        <v>77</v>
      </c>
    </row>
    <row r="4346">
      <c r="A4346" s="52" t="s">
        <v>77</v>
      </c>
      <c r="B4346" s="28" t="s">
        <v>77</v>
      </c>
      <c r="C4346" s="28" t="s">
        <v>77</v>
      </c>
      <c r="D4346" s="28" t="s">
        <v>77</v>
      </c>
      <c r="E4346" s="28" t="s">
        <v>77</v>
      </c>
      <c r="F4346" s="28" t="s">
        <v>77</v>
      </c>
      <c r="G4346" s="28" t="s">
        <v>77</v>
      </c>
      <c r="I4346" s="26" t="s">
        <v>77</v>
      </c>
      <c r="J4346" s="26" t="s">
        <v>77</v>
      </c>
      <c r="K4346" s="18"/>
      <c r="L4346" s="26" t="s">
        <v>77</v>
      </c>
      <c r="M4346" s="6" t="s">
        <v>77</v>
      </c>
      <c r="N4346" s="28" t="s">
        <v>77</v>
      </c>
      <c r="O4346" s="26" t="s">
        <v>77</v>
      </c>
    </row>
    <row r="4347">
      <c r="A4347" s="52" t="s">
        <v>77</v>
      </c>
      <c r="B4347" s="28" t="s">
        <v>77</v>
      </c>
      <c r="C4347" s="28" t="s">
        <v>77</v>
      </c>
      <c r="D4347" s="28" t="s">
        <v>77</v>
      </c>
      <c r="E4347" s="28" t="s">
        <v>77</v>
      </c>
      <c r="F4347" s="28" t="s">
        <v>77</v>
      </c>
      <c r="G4347" s="28" t="s">
        <v>77</v>
      </c>
      <c r="I4347" s="26" t="s">
        <v>77</v>
      </c>
      <c r="J4347" s="26" t="s">
        <v>77</v>
      </c>
      <c r="K4347" s="18"/>
      <c r="L4347" s="26" t="s">
        <v>77</v>
      </c>
      <c r="M4347" s="6" t="s">
        <v>77</v>
      </c>
      <c r="N4347" s="28" t="s">
        <v>77</v>
      </c>
      <c r="O4347" s="26" t="s">
        <v>77</v>
      </c>
    </row>
    <row r="4348">
      <c r="A4348" s="52" t="s">
        <v>77</v>
      </c>
      <c r="B4348" s="28" t="s">
        <v>77</v>
      </c>
      <c r="C4348" s="28" t="s">
        <v>77</v>
      </c>
      <c r="D4348" s="28" t="s">
        <v>77</v>
      </c>
      <c r="E4348" s="28" t="s">
        <v>77</v>
      </c>
      <c r="F4348" s="28" t="s">
        <v>77</v>
      </c>
      <c r="G4348" s="28" t="s">
        <v>77</v>
      </c>
      <c r="I4348" s="26" t="s">
        <v>77</v>
      </c>
      <c r="J4348" s="26" t="s">
        <v>77</v>
      </c>
      <c r="K4348" s="18"/>
      <c r="L4348" s="26" t="s">
        <v>77</v>
      </c>
      <c r="M4348" s="6" t="s">
        <v>77</v>
      </c>
      <c r="N4348" s="28" t="s">
        <v>77</v>
      </c>
      <c r="O4348" s="26" t="s">
        <v>77</v>
      </c>
    </row>
    <row r="4349">
      <c r="A4349" s="52" t="s">
        <v>77</v>
      </c>
      <c r="B4349" s="28" t="s">
        <v>77</v>
      </c>
      <c r="C4349" s="28" t="s">
        <v>77</v>
      </c>
      <c r="D4349" s="28" t="s">
        <v>77</v>
      </c>
      <c r="E4349" s="28" t="s">
        <v>77</v>
      </c>
      <c r="F4349" s="28" t="s">
        <v>77</v>
      </c>
      <c r="G4349" s="28" t="s">
        <v>77</v>
      </c>
      <c r="I4349" s="26" t="s">
        <v>77</v>
      </c>
      <c r="J4349" s="26" t="s">
        <v>77</v>
      </c>
      <c r="K4349" s="18"/>
      <c r="L4349" s="26" t="s">
        <v>77</v>
      </c>
      <c r="M4349" s="6" t="s">
        <v>77</v>
      </c>
      <c r="N4349" s="28" t="s">
        <v>77</v>
      </c>
      <c r="O4349" s="26" t="s">
        <v>77</v>
      </c>
    </row>
    <row r="4350">
      <c r="A4350" s="52" t="s">
        <v>77</v>
      </c>
      <c r="B4350" s="28" t="s">
        <v>77</v>
      </c>
      <c r="C4350" s="28" t="s">
        <v>77</v>
      </c>
      <c r="D4350" s="28" t="s">
        <v>77</v>
      </c>
      <c r="E4350" s="28" t="s">
        <v>77</v>
      </c>
      <c r="F4350" s="28" t="s">
        <v>77</v>
      </c>
      <c r="G4350" s="28" t="s">
        <v>77</v>
      </c>
      <c r="I4350" s="26" t="s">
        <v>77</v>
      </c>
      <c r="J4350" s="26" t="s">
        <v>77</v>
      </c>
      <c r="K4350" s="18"/>
      <c r="L4350" s="26" t="s">
        <v>77</v>
      </c>
      <c r="M4350" s="6" t="s">
        <v>77</v>
      </c>
      <c r="N4350" s="28" t="s">
        <v>77</v>
      </c>
      <c r="O4350" s="26" t="s">
        <v>77</v>
      </c>
    </row>
    <row r="4351">
      <c r="A4351" s="52" t="s">
        <v>77</v>
      </c>
      <c r="B4351" s="28" t="s">
        <v>77</v>
      </c>
      <c r="C4351" s="28" t="s">
        <v>77</v>
      </c>
      <c r="D4351" s="28" t="s">
        <v>77</v>
      </c>
      <c r="E4351" s="28" t="s">
        <v>77</v>
      </c>
      <c r="F4351" s="28" t="s">
        <v>77</v>
      </c>
      <c r="G4351" s="28" t="s">
        <v>77</v>
      </c>
      <c r="I4351" s="26" t="s">
        <v>77</v>
      </c>
      <c r="J4351" s="26" t="s">
        <v>77</v>
      </c>
      <c r="K4351" s="18"/>
      <c r="L4351" s="26" t="s">
        <v>77</v>
      </c>
      <c r="M4351" s="6" t="s">
        <v>77</v>
      </c>
      <c r="N4351" s="28" t="s">
        <v>77</v>
      </c>
      <c r="O4351" s="26" t="s">
        <v>77</v>
      </c>
    </row>
    <row r="4352">
      <c r="A4352" s="52" t="s">
        <v>77</v>
      </c>
      <c r="B4352" s="28" t="s">
        <v>77</v>
      </c>
      <c r="C4352" s="28" t="s">
        <v>77</v>
      </c>
      <c r="D4352" s="28" t="s">
        <v>77</v>
      </c>
      <c r="E4352" s="28" t="s">
        <v>77</v>
      </c>
      <c r="F4352" s="28" t="s">
        <v>77</v>
      </c>
      <c r="G4352" s="28" t="s">
        <v>77</v>
      </c>
      <c r="I4352" s="26" t="s">
        <v>77</v>
      </c>
      <c r="J4352" s="26" t="s">
        <v>77</v>
      </c>
      <c r="K4352" s="18"/>
      <c r="L4352" s="26" t="s">
        <v>77</v>
      </c>
      <c r="M4352" s="6" t="s">
        <v>77</v>
      </c>
      <c r="N4352" s="28" t="s">
        <v>77</v>
      </c>
      <c r="O4352" s="26" t="s">
        <v>77</v>
      </c>
    </row>
    <row r="4353">
      <c r="A4353" s="52" t="s">
        <v>77</v>
      </c>
      <c r="B4353" s="28" t="s">
        <v>77</v>
      </c>
      <c r="C4353" s="28" t="s">
        <v>77</v>
      </c>
      <c r="D4353" s="28" t="s">
        <v>77</v>
      </c>
      <c r="E4353" s="28" t="s">
        <v>77</v>
      </c>
      <c r="F4353" s="28" t="s">
        <v>77</v>
      </c>
      <c r="G4353" s="28" t="s">
        <v>77</v>
      </c>
      <c r="I4353" s="26" t="s">
        <v>77</v>
      </c>
      <c r="J4353" s="26" t="s">
        <v>77</v>
      </c>
      <c r="K4353" s="18"/>
      <c r="L4353" s="26" t="s">
        <v>77</v>
      </c>
      <c r="M4353" s="6" t="s">
        <v>77</v>
      </c>
      <c r="N4353" s="28" t="s">
        <v>77</v>
      </c>
      <c r="O4353" s="26" t="s">
        <v>77</v>
      </c>
    </row>
    <row r="4354">
      <c r="A4354" s="52" t="s">
        <v>77</v>
      </c>
      <c r="B4354" s="28" t="s">
        <v>77</v>
      </c>
      <c r="C4354" s="28" t="s">
        <v>77</v>
      </c>
      <c r="D4354" s="28" t="s">
        <v>77</v>
      </c>
      <c r="E4354" s="28" t="s">
        <v>77</v>
      </c>
      <c r="F4354" s="28" t="s">
        <v>77</v>
      </c>
      <c r="G4354" s="28" t="s">
        <v>77</v>
      </c>
      <c r="I4354" s="26" t="s">
        <v>77</v>
      </c>
      <c r="J4354" s="26" t="s">
        <v>77</v>
      </c>
      <c r="K4354" s="18"/>
      <c r="L4354" s="26" t="s">
        <v>77</v>
      </c>
      <c r="M4354" s="6" t="s">
        <v>77</v>
      </c>
      <c r="N4354" s="28" t="s">
        <v>77</v>
      </c>
      <c r="O4354" s="26" t="s">
        <v>77</v>
      </c>
    </row>
    <row r="4355">
      <c r="A4355" s="52" t="s">
        <v>77</v>
      </c>
      <c r="B4355" s="28" t="s">
        <v>77</v>
      </c>
      <c r="C4355" s="28" t="s">
        <v>77</v>
      </c>
      <c r="D4355" s="28" t="s">
        <v>77</v>
      </c>
      <c r="E4355" s="28" t="s">
        <v>77</v>
      </c>
      <c r="F4355" s="28" t="s">
        <v>77</v>
      </c>
      <c r="G4355" s="28" t="s">
        <v>77</v>
      </c>
      <c r="I4355" s="26" t="s">
        <v>77</v>
      </c>
      <c r="J4355" s="26" t="s">
        <v>77</v>
      </c>
      <c r="K4355" s="18"/>
      <c r="L4355" s="26" t="s">
        <v>77</v>
      </c>
      <c r="M4355" s="6" t="s">
        <v>77</v>
      </c>
      <c r="N4355" s="28" t="s">
        <v>77</v>
      </c>
      <c r="O4355" s="26" t="s">
        <v>77</v>
      </c>
    </row>
    <row r="4356">
      <c r="A4356" s="52" t="s">
        <v>77</v>
      </c>
      <c r="B4356" s="28" t="s">
        <v>77</v>
      </c>
      <c r="C4356" s="28" t="s">
        <v>77</v>
      </c>
      <c r="D4356" s="28" t="s">
        <v>77</v>
      </c>
      <c r="E4356" s="28" t="s">
        <v>77</v>
      </c>
      <c r="F4356" s="28" t="s">
        <v>77</v>
      </c>
      <c r="G4356" s="28" t="s">
        <v>77</v>
      </c>
      <c r="I4356" s="26" t="s">
        <v>77</v>
      </c>
      <c r="J4356" s="26" t="s">
        <v>77</v>
      </c>
      <c r="K4356" s="18"/>
      <c r="L4356" s="26" t="s">
        <v>77</v>
      </c>
      <c r="M4356" s="6" t="s">
        <v>77</v>
      </c>
      <c r="N4356" s="28" t="s">
        <v>77</v>
      </c>
      <c r="O4356" s="26" t="s">
        <v>77</v>
      </c>
    </row>
    <row r="4357">
      <c r="A4357" s="52" t="s">
        <v>77</v>
      </c>
      <c r="B4357" s="28" t="s">
        <v>77</v>
      </c>
      <c r="C4357" s="28" t="s">
        <v>77</v>
      </c>
      <c r="D4357" s="28" t="s">
        <v>77</v>
      </c>
      <c r="E4357" s="28" t="s">
        <v>77</v>
      </c>
      <c r="F4357" s="28" t="s">
        <v>77</v>
      </c>
      <c r="G4357" s="28" t="s">
        <v>77</v>
      </c>
      <c r="I4357" s="26" t="s">
        <v>77</v>
      </c>
      <c r="J4357" s="26" t="s">
        <v>77</v>
      </c>
      <c r="K4357" s="18"/>
      <c r="L4357" s="26" t="s">
        <v>77</v>
      </c>
      <c r="M4357" s="6" t="s">
        <v>77</v>
      </c>
      <c r="N4357" s="28" t="s">
        <v>77</v>
      </c>
      <c r="O4357" s="26" t="s">
        <v>77</v>
      </c>
    </row>
    <row r="4358">
      <c r="A4358" s="52" t="s">
        <v>77</v>
      </c>
      <c r="B4358" s="28" t="s">
        <v>77</v>
      </c>
      <c r="C4358" s="28" t="s">
        <v>77</v>
      </c>
      <c r="D4358" s="28" t="s">
        <v>77</v>
      </c>
      <c r="E4358" s="28" t="s">
        <v>77</v>
      </c>
      <c r="F4358" s="28" t="s">
        <v>77</v>
      </c>
      <c r="G4358" s="28" t="s">
        <v>77</v>
      </c>
      <c r="I4358" s="26" t="s">
        <v>77</v>
      </c>
      <c r="J4358" s="26" t="s">
        <v>77</v>
      </c>
      <c r="K4358" s="18"/>
      <c r="L4358" s="26" t="s">
        <v>77</v>
      </c>
      <c r="M4358" s="6" t="s">
        <v>77</v>
      </c>
      <c r="N4358" s="28" t="s">
        <v>77</v>
      </c>
      <c r="O4358" s="26" t="s">
        <v>77</v>
      </c>
    </row>
    <row r="4359">
      <c r="A4359" s="52" t="s">
        <v>77</v>
      </c>
      <c r="B4359" s="28" t="s">
        <v>77</v>
      </c>
      <c r="C4359" s="28" t="s">
        <v>77</v>
      </c>
      <c r="D4359" s="28" t="s">
        <v>77</v>
      </c>
      <c r="E4359" s="28" t="s">
        <v>77</v>
      </c>
      <c r="F4359" s="28" t="s">
        <v>77</v>
      </c>
      <c r="G4359" s="28" t="s">
        <v>77</v>
      </c>
      <c r="I4359" s="26" t="s">
        <v>77</v>
      </c>
      <c r="J4359" s="26" t="s">
        <v>77</v>
      </c>
      <c r="K4359" s="18"/>
      <c r="L4359" s="26" t="s">
        <v>77</v>
      </c>
      <c r="M4359" s="6" t="s">
        <v>77</v>
      </c>
      <c r="N4359" s="28" t="s">
        <v>77</v>
      </c>
      <c r="O4359" s="26" t="s">
        <v>77</v>
      </c>
    </row>
    <row r="4360">
      <c r="A4360" s="52" t="s">
        <v>77</v>
      </c>
      <c r="B4360" s="28" t="s">
        <v>77</v>
      </c>
      <c r="C4360" s="28" t="s">
        <v>77</v>
      </c>
      <c r="D4360" s="28" t="s">
        <v>77</v>
      </c>
      <c r="E4360" s="28" t="s">
        <v>77</v>
      </c>
      <c r="F4360" s="28" t="s">
        <v>77</v>
      </c>
      <c r="G4360" s="28" t="s">
        <v>77</v>
      </c>
      <c r="I4360" s="26" t="s">
        <v>77</v>
      </c>
      <c r="J4360" s="26" t="s">
        <v>77</v>
      </c>
      <c r="K4360" s="18"/>
      <c r="L4360" s="26" t="s">
        <v>77</v>
      </c>
      <c r="M4360" s="6" t="s">
        <v>77</v>
      </c>
      <c r="N4360" s="28" t="s">
        <v>77</v>
      </c>
      <c r="O4360" s="26" t="s">
        <v>77</v>
      </c>
    </row>
    <row r="4361">
      <c r="A4361" s="52" t="s">
        <v>77</v>
      </c>
      <c r="B4361" s="28" t="s">
        <v>77</v>
      </c>
      <c r="C4361" s="28" t="s">
        <v>77</v>
      </c>
      <c r="D4361" s="28" t="s">
        <v>77</v>
      </c>
      <c r="E4361" s="28" t="s">
        <v>77</v>
      </c>
      <c r="F4361" s="28" t="s">
        <v>77</v>
      </c>
      <c r="G4361" s="28" t="s">
        <v>77</v>
      </c>
      <c r="I4361" s="26" t="s">
        <v>77</v>
      </c>
      <c r="J4361" s="26" t="s">
        <v>77</v>
      </c>
      <c r="K4361" s="18"/>
      <c r="L4361" s="26" t="s">
        <v>77</v>
      </c>
      <c r="M4361" s="6" t="s">
        <v>77</v>
      </c>
      <c r="N4361" s="28" t="s">
        <v>77</v>
      </c>
      <c r="O4361" s="26" t="s">
        <v>77</v>
      </c>
    </row>
    <row r="4362">
      <c r="A4362" s="52" t="s">
        <v>77</v>
      </c>
      <c r="B4362" s="28" t="s">
        <v>77</v>
      </c>
      <c r="C4362" s="28" t="s">
        <v>77</v>
      </c>
      <c r="D4362" s="28" t="s">
        <v>77</v>
      </c>
      <c r="E4362" s="28" t="s">
        <v>77</v>
      </c>
      <c r="F4362" s="28" t="s">
        <v>77</v>
      </c>
      <c r="G4362" s="28" t="s">
        <v>77</v>
      </c>
      <c r="I4362" s="26" t="s">
        <v>77</v>
      </c>
      <c r="J4362" s="26" t="s">
        <v>77</v>
      </c>
      <c r="K4362" s="18"/>
      <c r="L4362" s="26" t="s">
        <v>77</v>
      </c>
      <c r="M4362" s="6" t="s">
        <v>77</v>
      </c>
      <c r="N4362" s="28" t="s">
        <v>77</v>
      </c>
      <c r="O4362" s="26" t="s">
        <v>77</v>
      </c>
    </row>
    <row r="4363">
      <c r="A4363" s="52" t="s">
        <v>77</v>
      </c>
      <c r="B4363" s="28" t="s">
        <v>77</v>
      </c>
      <c r="C4363" s="28" t="s">
        <v>77</v>
      </c>
      <c r="D4363" s="28" t="s">
        <v>77</v>
      </c>
      <c r="E4363" s="28" t="s">
        <v>77</v>
      </c>
      <c r="F4363" s="28" t="s">
        <v>77</v>
      </c>
      <c r="G4363" s="28" t="s">
        <v>77</v>
      </c>
      <c r="I4363" s="26" t="s">
        <v>77</v>
      </c>
      <c r="J4363" s="26" t="s">
        <v>77</v>
      </c>
      <c r="K4363" s="18"/>
      <c r="L4363" s="26" t="s">
        <v>77</v>
      </c>
      <c r="M4363" s="6" t="s">
        <v>77</v>
      </c>
      <c r="N4363" s="28" t="s">
        <v>77</v>
      </c>
      <c r="O4363" s="26" t="s">
        <v>77</v>
      </c>
    </row>
    <row r="4364">
      <c r="A4364" s="52" t="s">
        <v>77</v>
      </c>
      <c r="B4364" s="28" t="s">
        <v>77</v>
      </c>
      <c r="C4364" s="28" t="s">
        <v>77</v>
      </c>
      <c r="D4364" s="28" t="s">
        <v>77</v>
      </c>
      <c r="E4364" s="28" t="s">
        <v>77</v>
      </c>
      <c r="F4364" s="28" t="s">
        <v>77</v>
      </c>
      <c r="G4364" s="28" t="s">
        <v>77</v>
      </c>
      <c r="I4364" s="26" t="s">
        <v>77</v>
      </c>
      <c r="J4364" s="26" t="s">
        <v>77</v>
      </c>
      <c r="K4364" s="18"/>
      <c r="L4364" s="26" t="s">
        <v>77</v>
      </c>
      <c r="M4364" s="6" t="s">
        <v>77</v>
      </c>
      <c r="N4364" s="28" t="s">
        <v>77</v>
      </c>
      <c r="O4364" s="26" t="s">
        <v>77</v>
      </c>
    </row>
    <row r="4365">
      <c r="A4365" s="52" t="s">
        <v>77</v>
      </c>
      <c r="B4365" s="28" t="s">
        <v>77</v>
      </c>
      <c r="C4365" s="28" t="s">
        <v>77</v>
      </c>
      <c r="D4365" s="28" t="s">
        <v>77</v>
      </c>
      <c r="E4365" s="28" t="s">
        <v>77</v>
      </c>
      <c r="F4365" s="28" t="s">
        <v>77</v>
      </c>
      <c r="G4365" s="28" t="s">
        <v>77</v>
      </c>
      <c r="I4365" s="26" t="s">
        <v>77</v>
      </c>
      <c r="J4365" s="26" t="s">
        <v>77</v>
      </c>
      <c r="K4365" s="18"/>
      <c r="L4365" s="26" t="s">
        <v>77</v>
      </c>
      <c r="M4365" s="6" t="s">
        <v>77</v>
      </c>
      <c r="N4365" s="28" t="s">
        <v>77</v>
      </c>
      <c r="O4365" s="26" t="s">
        <v>77</v>
      </c>
    </row>
    <row r="4366">
      <c r="A4366" s="52" t="s">
        <v>77</v>
      </c>
      <c r="B4366" s="28" t="s">
        <v>77</v>
      </c>
      <c r="C4366" s="28" t="s">
        <v>77</v>
      </c>
      <c r="D4366" s="28" t="s">
        <v>77</v>
      </c>
      <c r="E4366" s="28" t="s">
        <v>77</v>
      </c>
      <c r="F4366" s="28" t="s">
        <v>77</v>
      </c>
      <c r="G4366" s="28" t="s">
        <v>77</v>
      </c>
      <c r="I4366" s="26" t="s">
        <v>77</v>
      </c>
      <c r="J4366" s="26" t="s">
        <v>77</v>
      </c>
      <c r="K4366" s="18"/>
      <c r="L4366" s="26" t="s">
        <v>77</v>
      </c>
      <c r="M4366" s="6" t="s">
        <v>77</v>
      </c>
      <c r="N4366" s="28" t="s">
        <v>77</v>
      </c>
      <c r="O4366" s="26" t="s">
        <v>77</v>
      </c>
    </row>
    <row r="4367">
      <c r="A4367" s="52" t="s">
        <v>77</v>
      </c>
      <c r="B4367" s="28" t="s">
        <v>77</v>
      </c>
      <c r="C4367" s="28" t="s">
        <v>77</v>
      </c>
      <c r="D4367" s="28" t="s">
        <v>77</v>
      </c>
      <c r="E4367" s="28" t="s">
        <v>77</v>
      </c>
      <c r="F4367" s="28" t="s">
        <v>77</v>
      </c>
      <c r="G4367" s="28" t="s">
        <v>77</v>
      </c>
      <c r="I4367" s="26" t="s">
        <v>77</v>
      </c>
      <c r="J4367" s="26" t="s">
        <v>77</v>
      </c>
      <c r="K4367" s="18"/>
      <c r="L4367" s="26" t="s">
        <v>77</v>
      </c>
      <c r="M4367" s="6" t="s">
        <v>77</v>
      </c>
      <c r="N4367" s="28" t="s">
        <v>77</v>
      </c>
      <c r="O4367" s="26" t="s">
        <v>77</v>
      </c>
    </row>
    <row r="4368">
      <c r="A4368" s="52" t="s">
        <v>77</v>
      </c>
      <c r="B4368" s="28" t="s">
        <v>77</v>
      </c>
      <c r="C4368" s="28" t="s">
        <v>77</v>
      </c>
      <c r="D4368" s="28" t="s">
        <v>77</v>
      </c>
      <c r="E4368" s="28" t="s">
        <v>77</v>
      </c>
      <c r="F4368" s="28" t="s">
        <v>77</v>
      </c>
      <c r="G4368" s="28" t="s">
        <v>77</v>
      </c>
      <c r="I4368" s="26" t="s">
        <v>77</v>
      </c>
      <c r="J4368" s="26" t="s">
        <v>77</v>
      </c>
      <c r="K4368" s="18"/>
      <c r="L4368" s="26" t="s">
        <v>77</v>
      </c>
      <c r="M4368" s="6" t="s">
        <v>77</v>
      </c>
      <c r="N4368" s="28" t="s">
        <v>77</v>
      </c>
      <c r="O4368" s="26" t="s">
        <v>77</v>
      </c>
    </row>
    <row r="4369">
      <c r="A4369" s="52" t="s">
        <v>77</v>
      </c>
      <c r="B4369" s="28" t="s">
        <v>77</v>
      </c>
      <c r="C4369" s="28" t="s">
        <v>77</v>
      </c>
      <c r="D4369" s="28" t="s">
        <v>77</v>
      </c>
      <c r="E4369" s="28" t="s">
        <v>77</v>
      </c>
      <c r="F4369" s="28" t="s">
        <v>77</v>
      </c>
      <c r="G4369" s="28" t="s">
        <v>77</v>
      </c>
      <c r="I4369" s="26" t="s">
        <v>77</v>
      </c>
      <c r="J4369" s="26" t="s">
        <v>77</v>
      </c>
      <c r="K4369" s="18"/>
      <c r="L4369" s="26" t="s">
        <v>77</v>
      </c>
      <c r="M4369" s="6" t="s">
        <v>77</v>
      </c>
      <c r="N4369" s="28" t="s">
        <v>77</v>
      </c>
      <c r="O4369" s="26" t="s">
        <v>77</v>
      </c>
    </row>
    <row r="4370">
      <c r="A4370" s="52" t="s">
        <v>77</v>
      </c>
      <c r="B4370" s="28" t="s">
        <v>77</v>
      </c>
      <c r="C4370" s="28" t="s">
        <v>77</v>
      </c>
      <c r="D4370" s="28" t="s">
        <v>77</v>
      </c>
      <c r="E4370" s="28" t="s">
        <v>77</v>
      </c>
      <c r="F4370" s="28" t="s">
        <v>77</v>
      </c>
      <c r="G4370" s="28" t="s">
        <v>77</v>
      </c>
      <c r="I4370" s="26" t="s">
        <v>77</v>
      </c>
      <c r="J4370" s="26" t="s">
        <v>77</v>
      </c>
      <c r="K4370" s="18"/>
      <c r="L4370" s="26" t="s">
        <v>77</v>
      </c>
      <c r="M4370" s="6" t="s">
        <v>77</v>
      </c>
      <c r="N4370" s="28" t="s">
        <v>77</v>
      </c>
      <c r="O4370" s="26" t="s">
        <v>77</v>
      </c>
    </row>
    <row r="4371">
      <c r="A4371" s="52" t="s">
        <v>77</v>
      </c>
      <c r="B4371" s="28" t="s">
        <v>77</v>
      </c>
      <c r="C4371" s="28" t="s">
        <v>77</v>
      </c>
      <c r="D4371" s="28" t="s">
        <v>77</v>
      </c>
      <c r="E4371" s="28" t="s">
        <v>77</v>
      </c>
      <c r="F4371" s="28" t="s">
        <v>77</v>
      </c>
      <c r="G4371" s="28" t="s">
        <v>77</v>
      </c>
      <c r="I4371" s="26" t="s">
        <v>77</v>
      </c>
      <c r="J4371" s="26" t="s">
        <v>77</v>
      </c>
      <c r="K4371" s="18"/>
      <c r="L4371" s="26" t="s">
        <v>77</v>
      </c>
      <c r="M4371" s="6" t="s">
        <v>77</v>
      </c>
      <c r="N4371" s="28" t="s">
        <v>77</v>
      </c>
      <c r="O4371" s="26" t="s">
        <v>77</v>
      </c>
    </row>
    <row r="4372">
      <c r="A4372" s="52" t="s">
        <v>77</v>
      </c>
      <c r="B4372" s="28" t="s">
        <v>77</v>
      </c>
      <c r="C4372" s="28" t="s">
        <v>77</v>
      </c>
      <c r="D4372" s="28" t="s">
        <v>77</v>
      </c>
      <c r="E4372" s="28" t="s">
        <v>77</v>
      </c>
      <c r="F4372" s="28" t="s">
        <v>77</v>
      </c>
      <c r="G4372" s="28" t="s">
        <v>77</v>
      </c>
      <c r="I4372" s="26" t="s">
        <v>77</v>
      </c>
      <c r="J4372" s="26" t="s">
        <v>77</v>
      </c>
      <c r="K4372" s="18"/>
      <c r="L4372" s="26" t="s">
        <v>77</v>
      </c>
      <c r="M4372" s="6" t="s">
        <v>77</v>
      </c>
      <c r="N4372" s="28" t="s">
        <v>77</v>
      </c>
      <c r="O4372" s="26" t="s">
        <v>77</v>
      </c>
    </row>
    <row r="4373">
      <c r="A4373" s="52" t="s">
        <v>77</v>
      </c>
      <c r="B4373" s="28" t="s">
        <v>77</v>
      </c>
      <c r="C4373" s="28" t="s">
        <v>77</v>
      </c>
      <c r="D4373" s="28" t="s">
        <v>77</v>
      </c>
      <c r="E4373" s="28" t="s">
        <v>77</v>
      </c>
      <c r="F4373" s="28" t="s">
        <v>77</v>
      </c>
      <c r="G4373" s="28" t="s">
        <v>77</v>
      </c>
      <c r="I4373" s="26" t="s">
        <v>77</v>
      </c>
      <c r="J4373" s="26" t="s">
        <v>77</v>
      </c>
      <c r="K4373" s="18"/>
      <c r="L4373" s="26" t="s">
        <v>77</v>
      </c>
      <c r="M4373" s="6" t="s">
        <v>77</v>
      </c>
      <c r="N4373" s="28" t="s">
        <v>77</v>
      </c>
      <c r="O4373" s="26" t="s">
        <v>77</v>
      </c>
    </row>
    <row r="4374">
      <c r="A4374" s="52" t="s">
        <v>77</v>
      </c>
      <c r="B4374" s="28" t="s">
        <v>77</v>
      </c>
      <c r="C4374" s="28" t="s">
        <v>77</v>
      </c>
      <c r="D4374" s="28" t="s">
        <v>77</v>
      </c>
      <c r="E4374" s="28" t="s">
        <v>77</v>
      </c>
      <c r="F4374" s="28" t="s">
        <v>77</v>
      </c>
      <c r="G4374" s="28" t="s">
        <v>77</v>
      </c>
      <c r="I4374" s="26" t="s">
        <v>77</v>
      </c>
      <c r="J4374" s="26" t="s">
        <v>77</v>
      </c>
      <c r="K4374" s="18"/>
      <c r="L4374" s="26" t="s">
        <v>77</v>
      </c>
      <c r="M4374" s="6" t="s">
        <v>77</v>
      </c>
      <c r="N4374" s="28" t="s">
        <v>77</v>
      </c>
      <c r="O4374" s="26" t="s">
        <v>77</v>
      </c>
    </row>
    <row r="4375">
      <c r="A4375" s="52" t="s">
        <v>77</v>
      </c>
      <c r="B4375" s="28" t="s">
        <v>77</v>
      </c>
      <c r="C4375" s="28" t="s">
        <v>77</v>
      </c>
      <c r="D4375" s="28" t="s">
        <v>77</v>
      </c>
      <c r="E4375" s="28" t="s">
        <v>77</v>
      </c>
      <c r="F4375" s="28" t="s">
        <v>77</v>
      </c>
      <c r="G4375" s="28" t="s">
        <v>77</v>
      </c>
      <c r="I4375" s="26" t="s">
        <v>77</v>
      </c>
      <c r="J4375" s="26" t="s">
        <v>77</v>
      </c>
      <c r="K4375" s="18"/>
      <c r="L4375" s="26" t="s">
        <v>77</v>
      </c>
      <c r="M4375" s="6" t="s">
        <v>77</v>
      </c>
      <c r="N4375" s="28" t="s">
        <v>77</v>
      </c>
      <c r="O4375" s="26" t="s">
        <v>77</v>
      </c>
    </row>
    <row r="4376">
      <c r="A4376" s="52" t="s">
        <v>77</v>
      </c>
      <c r="B4376" s="28" t="s">
        <v>77</v>
      </c>
      <c r="C4376" s="28" t="s">
        <v>77</v>
      </c>
      <c r="D4376" s="28" t="s">
        <v>77</v>
      </c>
      <c r="E4376" s="28" t="s">
        <v>77</v>
      </c>
      <c r="F4376" s="28" t="s">
        <v>77</v>
      </c>
      <c r="G4376" s="28" t="s">
        <v>77</v>
      </c>
      <c r="I4376" s="26" t="s">
        <v>77</v>
      </c>
      <c r="J4376" s="26" t="s">
        <v>77</v>
      </c>
      <c r="K4376" s="18"/>
      <c r="L4376" s="26" t="s">
        <v>77</v>
      </c>
      <c r="M4376" s="6" t="s">
        <v>77</v>
      </c>
      <c r="N4376" s="28" t="s">
        <v>77</v>
      </c>
      <c r="O4376" s="26" t="s">
        <v>77</v>
      </c>
    </row>
    <row r="4377">
      <c r="A4377" s="52" t="s">
        <v>77</v>
      </c>
      <c r="B4377" s="28" t="s">
        <v>77</v>
      </c>
      <c r="C4377" s="28" t="s">
        <v>77</v>
      </c>
      <c r="D4377" s="28" t="s">
        <v>77</v>
      </c>
      <c r="E4377" s="28" t="s">
        <v>77</v>
      </c>
      <c r="F4377" s="28" t="s">
        <v>77</v>
      </c>
      <c r="G4377" s="28" t="s">
        <v>77</v>
      </c>
      <c r="I4377" s="26" t="s">
        <v>77</v>
      </c>
      <c r="J4377" s="26" t="s">
        <v>77</v>
      </c>
      <c r="K4377" s="18"/>
      <c r="L4377" s="26" t="s">
        <v>77</v>
      </c>
      <c r="M4377" s="6" t="s">
        <v>77</v>
      </c>
      <c r="N4377" s="28" t="s">
        <v>77</v>
      </c>
      <c r="O4377" s="26" t="s">
        <v>77</v>
      </c>
    </row>
    <row r="4378">
      <c r="A4378" s="52" t="s">
        <v>77</v>
      </c>
      <c r="B4378" s="28" t="s">
        <v>77</v>
      </c>
      <c r="C4378" s="28" t="s">
        <v>77</v>
      </c>
      <c r="D4378" s="28" t="s">
        <v>77</v>
      </c>
      <c r="E4378" s="28" t="s">
        <v>77</v>
      </c>
      <c r="F4378" s="28" t="s">
        <v>77</v>
      </c>
      <c r="G4378" s="28" t="s">
        <v>77</v>
      </c>
      <c r="I4378" s="26" t="s">
        <v>77</v>
      </c>
      <c r="J4378" s="26" t="s">
        <v>77</v>
      </c>
      <c r="K4378" s="18"/>
      <c r="L4378" s="26" t="s">
        <v>77</v>
      </c>
      <c r="M4378" s="6" t="s">
        <v>77</v>
      </c>
      <c r="N4378" s="28" t="s">
        <v>77</v>
      </c>
      <c r="O4378" s="26" t="s">
        <v>77</v>
      </c>
    </row>
    <row r="4379">
      <c r="A4379" s="52" t="s">
        <v>77</v>
      </c>
      <c r="B4379" s="28" t="s">
        <v>77</v>
      </c>
      <c r="C4379" s="28" t="s">
        <v>77</v>
      </c>
      <c r="D4379" s="28" t="s">
        <v>77</v>
      </c>
      <c r="E4379" s="28" t="s">
        <v>77</v>
      </c>
      <c r="F4379" s="28" t="s">
        <v>77</v>
      </c>
      <c r="G4379" s="28" t="s">
        <v>77</v>
      </c>
      <c r="I4379" s="26" t="s">
        <v>77</v>
      </c>
      <c r="J4379" s="26" t="s">
        <v>77</v>
      </c>
      <c r="K4379" s="18"/>
      <c r="L4379" s="26" t="s">
        <v>77</v>
      </c>
      <c r="M4379" s="6" t="s">
        <v>77</v>
      </c>
      <c r="N4379" s="28" t="s">
        <v>77</v>
      </c>
      <c r="O4379" s="26" t="s">
        <v>77</v>
      </c>
    </row>
    <row r="4380">
      <c r="A4380" s="52" t="s">
        <v>77</v>
      </c>
      <c r="B4380" s="28" t="s">
        <v>77</v>
      </c>
      <c r="C4380" s="28" t="s">
        <v>77</v>
      </c>
      <c r="D4380" s="28" t="s">
        <v>77</v>
      </c>
      <c r="E4380" s="28" t="s">
        <v>77</v>
      </c>
      <c r="F4380" s="28" t="s">
        <v>77</v>
      </c>
      <c r="G4380" s="28" t="s">
        <v>77</v>
      </c>
      <c r="I4380" s="26" t="s">
        <v>77</v>
      </c>
      <c r="J4380" s="26" t="s">
        <v>77</v>
      </c>
      <c r="K4380" s="18"/>
      <c r="L4380" s="26" t="s">
        <v>77</v>
      </c>
      <c r="M4380" s="6" t="s">
        <v>77</v>
      </c>
      <c r="N4380" s="28" t="s">
        <v>77</v>
      </c>
      <c r="O4380" s="26" t="s">
        <v>77</v>
      </c>
    </row>
    <row r="4381">
      <c r="A4381" s="52" t="s">
        <v>77</v>
      </c>
      <c r="B4381" s="28" t="s">
        <v>77</v>
      </c>
      <c r="C4381" s="28" t="s">
        <v>77</v>
      </c>
      <c r="D4381" s="28" t="s">
        <v>77</v>
      </c>
      <c r="E4381" s="28" t="s">
        <v>77</v>
      </c>
      <c r="F4381" s="28" t="s">
        <v>77</v>
      </c>
      <c r="G4381" s="28" t="s">
        <v>77</v>
      </c>
      <c r="I4381" s="26" t="s">
        <v>77</v>
      </c>
      <c r="J4381" s="26" t="s">
        <v>77</v>
      </c>
      <c r="K4381" s="18"/>
      <c r="L4381" s="26" t="s">
        <v>77</v>
      </c>
      <c r="M4381" s="6" t="s">
        <v>77</v>
      </c>
      <c r="N4381" s="28" t="s">
        <v>77</v>
      </c>
      <c r="O4381" s="26" t="s">
        <v>77</v>
      </c>
    </row>
    <row r="4382">
      <c r="A4382" s="52" t="s">
        <v>77</v>
      </c>
      <c r="B4382" s="28" t="s">
        <v>77</v>
      </c>
      <c r="C4382" s="28" t="s">
        <v>77</v>
      </c>
      <c r="D4382" s="28" t="s">
        <v>77</v>
      </c>
      <c r="E4382" s="28" t="s">
        <v>77</v>
      </c>
      <c r="F4382" s="28" t="s">
        <v>77</v>
      </c>
      <c r="G4382" s="28" t="s">
        <v>77</v>
      </c>
      <c r="I4382" s="26" t="s">
        <v>77</v>
      </c>
      <c r="J4382" s="26" t="s">
        <v>77</v>
      </c>
      <c r="K4382" s="18"/>
      <c r="L4382" s="26" t="s">
        <v>77</v>
      </c>
      <c r="M4382" s="6" t="s">
        <v>77</v>
      </c>
      <c r="N4382" s="28" t="s">
        <v>77</v>
      </c>
      <c r="O4382" s="26" t="s">
        <v>77</v>
      </c>
    </row>
    <row r="4383">
      <c r="A4383" s="52" t="s">
        <v>77</v>
      </c>
      <c r="B4383" s="28" t="s">
        <v>77</v>
      </c>
      <c r="C4383" s="28" t="s">
        <v>77</v>
      </c>
      <c r="D4383" s="28" t="s">
        <v>77</v>
      </c>
      <c r="E4383" s="28" t="s">
        <v>77</v>
      </c>
      <c r="F4383" s="28" t="s">
        <v>77</v>
      </c>
      <c r="G4383" s="28" t="s">
        <v>77</v>
      </c>
      <c r="I4383" s="26" t="s">
        <v>77</v>
      </c>
      <c r="J4383" s="26" t="s">
        <v>77</v>
      </c>
      <c r="K4383" s="18"/>
      <c r="L4383" s="26" t="s">
        <v>77</v>
      </c>
      <c r="M4383" s="6" t="s">
        <v>77</v>
      </c>
      <c r="N4383" s="28" t="s">
        <v>77</v>
      </c>
      <c r="O4383" s="26" t="s">
        <v>77</v>
      </c>
    </row>
    <row r="4384">
      <c r="A4384" s="52" t="s">
        <v>77</v>
      </c>
      <c r="B4384" s="28" t="s">
        <v>77</v>
      </c>
      <c r="C4384" s="28" t="s">
        <v>77</v>
      </c>
      <c r="D4384" s="28" t="s">
        <v>77</v>
      </c>
      <c r="E4384" s="28" t="s">
        <v>77</v>
      </c>
      <c r="F4384" s="28" t="s">
        <v>77</v>
      </c>
      <c r="G4384" s="28" t="s">
        <v>77</v>
      </c>
      <c r="I4384" s="26" t="s">
        <v>77</v>
      </c>
      <c r="J4384" s="26" t="s">
        <v>77</v>
      </c>
      <c r="K4384" s="18"/>
      <c r="L4384" s="26" t="s">
        <v>77</v>
      </c>
      <c r="M4384" s="6" t="s">
        <v>77</v>
      </c>
      <c r="N4384" s="28" t="s">
        <v>77</v>
      </c>
      <c r="O4384" s="26" t="s">
        <v>77</v>
      </c>
    </row>
    <row r="4385">
      <c r="A4385" s="52" t="s">
        <v>77</v>
      </c>
      <c r="B4385" s="28" t="s">
        <v>77</v>
      </c>
      <c r="C4385" s="28" t="s">
        <v>77</v>
      </c>
      <c r="D4385" s="28" t="s">
        <v>77</v>
      </c>
      <c r="E4385" s="28" t="s">
        <v>77</v>
      </c>
      <c r="F4385" s="28" t="s">
        <v>77</v>
      </c>
      <c r="G4385" s="28" t="s">
        <v>77</v>
      </c>
      <c r="I4385" s="26" t="s">
        <v>77</v>
      </c>
      <c r="J4385" s="26" t="s">
        <v>77</v>
      </c>
      <c r="K4385" s="18"/>
      <c r="L4385" s="26" t="s">
        <v>77</v>
      </c>
      <c r="M4385" s="6" t="s">
        <v>77</v>
      </c>
      <c r="N4385" s="28" t="s">
        <v>77</v>
      </c>
      <c r="O4385" s="26" t="s">
        <v>77</v>
      </c>
    </row>
    <row r="4386">
      <c r="A4386" s="52" t="s">
        <v>77</v>
      </c>
      <c r="B4386" s="28" t="s">
        <v>77</v>
      </c>
      <c r="C4386" s="28" t="s">
        <v>77</v>
      </c>
      <c r="D4386" s="28" t="s">
        <v>77</v>
      </c>
      <c r="E4386" s="28" t="s">
        <v>77</v>
      </c>
      <c r="F4386" s="28" t="s">
        <v>77</v>
      </c>
      <c r="G4386" s="28" t="s">
        <v>77</v>
      </c>
      <c r="I4386" s="26" t="s">
        <v>77</v>
      </c>
      <c r="J4386" s="26" t="s">
        <v>77</v>
      </c>
      <c r="K4386" s="18"/>
      <c r="L4386" s="26" t="s">
        <v>77</v>
      </c>
      <c r="M4386" s="6" t="s">
        <v>77</v>
      </c>
      <c r="N4386" s="28" t="s">
        <v>77</v>
      </c>
      <c r="O4386" s="26" t="s">
        <v>77</v>
      </c>
    </row>
    <row r="4387">
      <c r="A4387" s="52" t="s">
        <v>77</v>
      </c>
      <c r="B4387" s="28" t="s">
        <v>77</v>
      </c>
      <c r="C4387" s="28" t="s">
        <v>77</v>
      </c>
      <c r="D4387" s="28" t="s">
        <v>77</v>
      </c>
      <c r="E4387" s="28" t="s">
        <v>77</v>
      </c>
      <c r="F4387" s="28" t="s">
        <v>77</v>
      </c>
      <c r="G4387" s="28" t="s">
        <v>77</v>
      </c>
      <c r="I4387" s="26" t="s">
        <v>77</v>
      </c>
      <c r="J4387" s="26" t="s">
        <v>77</v>
      </c>
      <c r="K4387" s="18"/>
      <c r="L4387" s="26" t="s">
        <v>77</v>
      </c>
      <c r="M4387" s="6" t="s">
        <v>77</v>
      </c>
      <c r="N4387" s="28" t="s">
        <v>77</v>
      </c>
      <c r="O4387" s="26" t="s">
        <v>77</v>
      </c>
    </row>
    <row r="4388">
      <c r="A4388" s="52" t="s">
        <v>77</v>
      </c>
      <c r="B4388" s="28" t="s">
        <v>77</v>
      </c>
      <c r="C4388" s="28" t="s">
        <v>77</v>
      </c>
      <c r="D4388" s="28" t="s">
        <v>77</v>
      </c>
      <c r="E4388" s="28" t="s">
        <v>77</v>
      </c>
      <c r="F4388" s="28" t="s">
        <v>77</v>
      </c>
      <c r="G4388" s="28" t="s">
        <v>77</v>
      </c>
      <c r="I4388" s="26" t="s">
        <v>77</v>
      </c>
      <c r="J4388" s="26" t="s">
        <v>77</v>
      </c>
      <c r="K4388" s="18"/>
      <c r="L4388" s="26" t="s">
        <v>77</v>
      </c>
      <c r="M4388" s="6" t="s">
        <v>77</v>
      </c>
      <c r="N4388" s="28" t="s">
        <v>77</v>
      </c>
      <c r="O4388" s="26" t="s">
        <v>77</v>
      </c>
    </row>
    <row r="4389">
      <c r="A4389" s="52" t="s">
        <v>77</v>
      </c>
      <c r="B4389" s="28" t="s">
        <v>77</v>
      </c>
      <c r="C4389" s="28" t="s">
        <v>77</v>
      </c>
      <c r="D4389" s="28" t="s">
        <v>77</v>
      </c>
      <c r="E4389" s="28" t="s">
        <v>77</v>
      </c>
      <c r="F4389" s="28" t="s">
        <v>77</v>
      </c>
      <c r="G4389" s="28" t="s">
        <v>77</v>
      </c>
      <c r="I4389" s="26" t="s">
        <v>77</v>
      </c>
      <c r="J4389" s="26" t="s">
        <v>77</v>
      </c>
      <c r="K4389" s="18"/>
      <c r="L4389" s="26" t="s">
        <v>77</v>
      </c>
      <c r="M4389" s="6" t="s">
        <v>77</v>
      </c>
      <c r="N4389" s="28" t="s">
        <v>77</v>
      </c>
      <c r="O4389" s="26" t="s">
        <v>77</v>
      </c>
    </row>
    <row r="4390">
      <c r="A4390" s="52" t="s">
        <v>77</v>
      </c>
      <c r="B4390" s="28" t="s">
        <v>77</v>
      </c>
      <c r="C4390" s="28" t="s">
        <v>77</v>
      </c>
      <c r="D4390" s="28" t="s">
        <v>77</v>
      </c>
      <c r="E4390" s="28" t="s">
        <v>77</v>
      </c>
      <c r="F4390" s="28" t="s">
        <v>77</v>
      </c>
      <c r="G4390" s="28" t="s">
        <v>77</v>
      </c>
      <c r="I4390" s="26" t="s">
        <v>77</v>
      </c>
      <c r="J4390" s="26" t="s">
        <v>77</v>
      </c>
      <c r="K4390" s="18"/>
      <c r="L4390" s="26" t="s">
        <v>77</v>
      </c>
      <c r="M4390" s="6" t="s">
        <v>77</v>
      </c>
      <c r="N4390" s="28" t="s">
        <v>77</v>
      </c>
      <c r="O4390" s="26" t="s">
        <v>77</v>
      </c>
    </row>
    <row r="4391">
      <c r="A4391" s="52" t="s">
        <v>77</v>
      </c>
      <c r="B4391" s="28" t="s">
        <v>77</v>
      </c>
      <c r="C4391" s="28" t="s">
        <v>77</v>
      </c>
      <c r="D4391" s="28" t="s">
        <v>77</v>
      </c>
      <c r="E4391" s="28" t="s">
        <v>77</v>
      </c>
      <c r="F4391" s="28" t="s">
        <v>77</v>
      </c>
      <c r="G4391" s="28" t="s">
        <v>77</v>
      </c>
      <c r="I4391" s="26" t="s">
        <v>77</v>
      </c>
      <c r="J4391" s="26" t="s">
        <v>77</v>
      </c>
      <c r="K4391" s="18"/>
      <c r="L4391" s="26" t="s">
        <v>77</v>
      </c>
      <c r="M4391" s="6" t="s">
        <v>77</v>
      </c>
      <c r="N4391" s="28" t="s">
        <v>77</v>
      </c>
      <c r="O4391" s="26" t="s">
        <v>77</v>
      </c>
    </row>
    <row r="4392">
      <c r="A4392" s="52" t="s">
        <v>77</v>
      </c>
      <c r="B4392" s="28" t="s">
        <v>77</v>
      </c>
      <c r="C4392" s="28" t="s">
        <v>77</v>
      </c>
      <c r="D4392" s="28" t="s">
        <v>77</v>
      </c>
      <c r="E4392" s="28" t="s">
        <v>77</v>
      </c>
      <c r="F4392" s="28" t="s">
        <v>77</v>
      </c>
      <c r="G4392" s="28" t="s">
        <v>77</v>
      </c>
      <c r="I4392" s="26" t="s">
        <v>77</v>
      </c>
      <c r="J4392" s="26" t="s">
        <v>77</v>
      </c>
      <c r="K4392" s="18"/>
      <c r="L4392" s="26" t="s">
        <v>77</v>
      </c>
      <c r="M4392" s="6" t="s">
        <v>77</v>
      </c>
      <c r="N4392" s="28" t="s">
        <v>77</v>
      </c>
      <c r="O4392" s="26" t="s">
        <v>77</v>
      </c>
    </row>
    <row r="4393">
      <c r="A4393" s="52" t="s">
        <v>77</v>
      </c>
      <c r="B4393" s="28" t="s">
        <v>77</v>
      </c>
      <c r="C4393" s="28" t="s">
        <v>77</v>
      </c>
      <c r="D4393" s="28" t="s">
        <v>77</v>
      </c>
      <c r="E4393" s="28" t="s">
        <v>77</v>
      </c>
      <c r="F4393" s="28" t="s">
        <v>77</v>
      </c>
      <c r="G4393" s="28" t="s">
        <v>77</v>
      </c>
      <c r="I4393" s="26" t="s">
        <v>77</v>
      </c>
      <c r="J4393" s="26" t="s">
        <v>77</v>
      </c>
      <c r="K4393" s="18"/>
      <c r="L4393" s="26" t="s">
        <v>77</v>
      </c>
      <c r="M4393" s="6" t="s">
        <v>77</v>
      </c>
      <c r="N4393" s="28" t="s">
        <v>77</v>
      </c>
      <c r="O4393" s="26" t="s">
        <v>77</v>
      </c>
    </row>
    <row r="4394">
      <c r="A4394" s="52" t="s">
        <v>77</v>
      </c>
      <c r="B4394" s="28" t="s">
        <v>77</v>
      </c>
      <c r="C4394" s="28" t="s">
        <v>77</v>
      </c>
      <c r="D4394" s="28" t="s">
        <v>77</v>
      </c>
      <c r="E4394" s="28" t="s">
        <v>77</v>
      </c>
      <c r="F4394" s="28" t="s">
        <v>77</v>
      </c>
      <c r="G4394" s="28" t="s">
        <v>77</v>
      </c>
      <c r="I4394" s="26" t="s">
        <v>77</v>
      </c>
      <c r="J4394" s="26" t="s">
        <v>77</v>
      </c>
      <c r="K4394" s="18"/>
      <c r="L4394" s="26" t="s">
        <v>77</v>
      </c>
      <c r="M4394" s="6" t="s">
        <v>77</v>
      </c>
      <c r="N4394" s="28" t="s">
        <v>77</v>
      </c>
      <c r="O4394" s="26" t="s">
        <v>77</v>
      </c>
    </row>
    <row r="4395">
      <c r="A4395" s="52" t="s">
        <v>77</v>
      </c>
      <c r="B4395" s="28" t="s">
        <v>77</v>
      </c>
      <c r="C4395" s="28" t="s">
        <v>77</v>
      </c>
      <c r="D4395" s="28" t="s">
        <v>77</v>
      </c>
      <c r="E4395" s="28" t="s">
        <v>77</v>
      </c>
      <c r="F4395" s="28" t="s">
        <v>77</v>
      </c>
      <c r="G4395" s="28" t="s">
        <v>77</v>
      </c>
      <c r="I4395" s="26" t="s">
        <v>77</v>
      </c>
      <c r="J4395" s="26" t="s">
        <v>77</v>
      </c>
      <c r="K4395" s="18"/>
      <c r="L4395" s="26" t="s">
        <v>77</v>
      </c>
      <c r="M4395" s="6" t="s">
        <v>77</v>
      </c>
      <c r="N4395" s="28" t="s">
        <v>77</v>
      </c>
      <c r="O4395" s="26" t="s">
        <v>77</v>
      </c>
    </row>
    <row r="4396">
      <c r="A4396" s="52" t="s">
        <v>77</v>
      </c>
      <c r="B4396" s="28" t="s">
        <v>77</v>
      </c>
      <c r="C4396" s="28" t="s">
        <v>77</v>
      </c>
      <c r="D4396" s="28" t="s">
        <v>77</v>
      </c>
      <c r="E4396" s="28" t="s">
        <v>77</v>
      </c>
      <c r="F4396" s="28" t="s">
        <v>77</v>
      </c>
      <c r="G4396" s="28" t="s">
        <v>77</v>
      </c>
      <c r="I4396" s="26" t="s">
        <v>77</v>
      </c>
      <c r="J4396" s="26" t="s">
        <v>77</v>
      </c>
      <c r="K4396" s="18"/>
      <c r="L4396" s="26" t="s">
        <v>77</v>
      </c>
      <c r="M4396" s="6" t="s">
        <v>77</v>
      </c>
      <c r="N4396" s="28" t="s">
        <v>77</v>
      </c>
      <c r="O4396" s="26" t="s">
        <v>77</v>
      </c>
    </row>
    <row r="4397">
      <c r="A4397" s="52" t="s">
        <v>77</v>
      </c>
      <c r="B4397" s="28" t="s">
        <v>77</v>
      </c>
      <c r="C4397" s="28" t="s">
        <v>77</v>
      </c>
      <c r="D4397" s="28" t="s">
        <v>77</v>
      </c>
      <c r="E4397" s="28" t="s">
        <v>77</v>
      </c>
      <c r="F4397" s="28" t="s">
        <v>77</v>
      </c>
      <c r="G4397" s="28" t="s">
        <v>77</v>
      </c>
      <c r="I4397" s="26" t="s">
        <v>77</v>
      </c>
      <c r="J4397" s="26" t="s">
        <v>77</v>
      </c>
      <c r="K4397" s="18"/>
      <c r="L4397" s="26" t="s">
        <v>77</v>
      </c>
      <c r="M4397" s="6" t="s">
        <v>77</v>
      </c>
      <c r="N4397" s="28" t="s">
        <v>77</v>
      </c>
      <c r="O4397" s="26" t="s">
        <v>77</v>
      </c>
    </row>
    <row r="4398">
      <c r="A4398" s="52" t="s">
        <v>77</v>
      </c>
      <c r="B4398" s="28" t="s">
        <v>77</v>
      </c>
      <c r="C4398" s="28" t="s">
        <v>77</v>
      </c>
      <c r="D4398" s="28" t="s">
        <v>77</v>
      </c>
      <c r="E4398" s="28" t="s">
        <v>77</v>
      </c>
      <c r="F4398" s="28" t="s">
        <v>77</v>
      </c>
      <c r="G4398" s="28" t="s">
        <v>77</v>
      </c>
      <c r="I4398" s="26" t="s">
        <v>77</v>
      </c>
      <c r="J4398" s="26" t="s">
        <v>77</v>
      </c>
      <c r="K4398" s="18"/>
      <c r="L4398" s="26" t="s">
        <v>77</v>
      </c>
      <c r="M4398" s="6" t="s">
        <v>77</v>
      </c>
      <c r="N4398" s="28" t="s">
        <v>77</v>
      </c>
      <c r="O4398" s="26" t="s">
        <v>77</v>
      </c>
    </row>
    <row r="4399">
      <c r="A4399" s="52" t="s">
        <v>77</v>
      </c>
      <c r="B4399" s="28" t="s">
        <v>77</v>
      </c>
      <c r="C4399" s="28" t="s">
        <v>77</v>
      </c>
      <c r="D4399" s="28" t="s">
        <v>77</v>
      </c>
      <c r="E4399" s="28" t="s">
        <v>77</v>
      </c>
      <c r="F4399" s="28" t="s">
        <v>77</v>
      </c>
      <c r="G4399" s="28" t="s">
        <v>77</v>
      </c>
      <c r="I4399" s="26" t="s">
        <v>77</v>
      </c>
      <c r="J4399" s="26" t="s">
        <v>77</v>
      </c>
      <c r="K4399" s="18"/>
      <c r="L4399" s="26" t="s">
        <v>77</v>
      </c>
      <c r="M4399" s="6" t="s">
        <v>77</v>
      </c>
      <c r="N4399" s="28" t="s">
        <v>77</v>
      </c>
      <c r="O4399" s="26" t="s">
        <v>77</v>
      </c>
    </row>
    <row r="4400">
      <c r="A4400" s="52" t="s">
        <v>77</v>
      </c>
      <c r="B4400" s="28" t="s">
        <v>77</v>
      </c>
      <c r="C4400" s="28" t="s">
        <v>77</v>
      </c>
      <c r="D4400" s="28" t="s">
        <v>77</v>
      </c>
      <c r="E4400" s="28" t="s">
        <v>77</v>
      </c>
      <c r="F4400" s="28" t="s">
        <v>77</v>
      </c>
      <c r="G4400" s="28" t="s">
        <v>77</v>
      </c>
      <c r="I4400" s="26" t="s">
        <v>77</v>
      </c>
      <c r="J4400" s="26" t="s">
        <v>77</v>
      </c>
      <c r="K4400" s="18"/>
      <c r="L4400" s="26" t="s">
        <v>77</v>
      </c>
      <c r="M4400" s="6" t="s">
        <v>77</v>
      </c>
      <c r="N4400" s="28" t="s">
        <v>77</v>
      </c>
      <c r="O4400" s="26" t="s">
        <v>77</v>
      </c>
    </row>
    <row r="4401">
      <c r="A4401" s="52" t="s">
        <v>77</v>
      </c>
      <c r="B4401" s="28" t="s">
        <v>77</v>
      </c>
      <c r="C4401" s="28" t="s">
        <v>77</v>
      </c>
      <c r="D4401" s="28" t="s">
        <v>77</v>
      </c>
      <c r="E4401" s="28" t="s">
        <v>77</v>
      </c>
      <c r="F4401" s="28" t="s">
        <v>77</v>
      </c>
      <c r="G4401" s="28" t="s">
        <v>77</v>
      </c>
      <c r="I4401" s="26" t="s">
        <v>77</v>
      </c>
      <c r="J4401" s="26" t="s">
        <v>77</v>
      </c>
      <c r="K4401" s="18"/>
      <c r="L4401" s="26" t="s">
        <v>77</v>
      </c>
      <c r="M4401" s="6" t="s">
        <v>77</v>
      </c>
      <c r="N4401" s="28" t="s">
        <v>77</v>
      </c>
      <c r="O4401" s="26" t="s">
        <v>77</v>
      </c>
    </row>
    <row r="4402">
      <c r="A4402" s="52" t="s">
        <v>77</v>
      </c>
      <c r="B4402" s="28" t="s">
        <v>77</v>
      </c>
      <c r="C4402" s="28" t="s">
        <v>77</v>
      </c>
      <c r="D4402" s="28" t="s">
        <v>77</v>
      </c>
      <c r="E4402" s="28" t="s">
        <v>77</v>
      </c>
      <c r="F4402" s="28" t="s">
        <v>77</v>
      </c>
      <c r="G4402" s="28" t="s">
        <v>77</v>
      </c>
      <c r="I4402" s="26" t="s">
        <v>77</v>
      </c>
      <c r="J4402" s="26" t="s">
        <v>77</v>
      </c>
      <c r="K4402" s="18"/>
      <c r="L4402" s="26" t="s">
        <v>77</v>
      </c>
      <c r="M4402" s="6" t="s">
        <v>77</v>
      </c>
      <c r="N4402" s="28" t="s">
        <v>77</v>
      </c>
      <c r="O4402" s="26" t="s">
        <v>77</v>
      </c>
    </row>
    <row r="4403">
      <c r="A4403" s="52" t="s">
        <v>77</v>
      </c>
      <c r="B4403" s="28" t="s">
        <v>77</v>
      </c>
      <c r="C4403" s="28" t="s">
        <v>77</v>
      </c>
      <c r="D4403" s="28" t="s">
        <v>77</v>
      </c>
      <c r="E4403" s="28" t="s">
        <v>77</v>
      </c>
      <c r="F4403" s="28" t="s">
        <v>77</v>
      </c>
      <c r="G4403" s="28" t="s">
        <v>77</v>
      </c>
      <c r="I4403" s="26" t="s">
        <v>77</v>
      </c>
      <c r="J4403" s="26" t="s">
        <v>77</v>
      </c>
      <c r="K4403" s="18"/>
      <c r="L4403" s="26" t="s">
        <v>77</v>
      </c>
      <c r="M4403" s="6" t="s">
        <v>77</v>
      </c>
      <c r="N4403" s="28" t="s">
        <v>77</v>
      </c>
      <c r="O4403" s="26" t="s">
        <v>77</v>
      </c>
    </row>
    <row r="4404">
      <c r="A4404" s="52" t="s">
        <v>77</v>
      </c>
      <c r="B4404" s="28" t="s">
        <v>77</v>
      </c>
      <c r="C4404" s="28" t="s">
        <v>77</v>
      </c>
      <c r="D4404" s="28" t="s">
        <v>77</v>
      </c>
      <c r="E4404" s="28" t="s">
        <v>77</v>
      </c>
      <c r="F4404" s="28" t="s">
        <v>77</v>
      </c>
      <c r="G4404" s="28" t="s">
        <v>77</v>
      </c>
      <c r="I4404" s="26" t="s">
        <v>77</v>
      </c>
      <c r="J4404" s="26" t="s">
        <v>77</v>
      </c>
      <c r="K4404" s="18"/>
      <c r="L4404" s="26" t="s">
        <v>77</v>
      </c>
      <c r="M4404" s="6" t="s">
        <v>77</v>
      </c>
      <c r="N4404" s="28" t="s">
        <v>77</v>
      </c>
      <c r="O4404" s="26" t="s">
        <v>77</v>
      </c>
    </row>
    <row r="4405">
      <c r="A4405" s="52" t="s">
        <v>77</v>
      </c>
      <c r="B4405" s="28" t="s">
        <v>77</v>
      </c>
      <c r="C4405" s="28" t="s">
        <v>77</v>
      </c>
      <c r="D4405" s="28" t="s">
        <v>77</v>
      </c>
      <c r="E4405" s="28" t="s">
        <v>77</v>
      </c>
      <c r="F4405" s="28" t="s">
        <v>77</v>
      </c>
      <c r="G4405" s="28" t="s">
        <v>77</v>
      </c>
      <c r="I4405" s="26" t="s">
        <v>77</v>
      </c>
      <c r="J4405" s="26" t="s">
        <v>77</v>
      </c>
      <c r="K4405" s="18"/>
      <c r="L4405" s="26" t="s">
        <v>77</v>
      </c>
      <c r="M4405" s="6" t="s">
        <v>77</v>
      </c>
      <c r="N4405" s="28" t="s">
        <v>77</v>
      </c>
      <c r="O4405" s="26" t="s">
        <v>77</v>
      </c>
    </row>
    <row r="4406">
      <c r="A4406" s="52" t="s">
        <v>77</v>
      </c>
      <c r="B4406" s="28" t="s">
        <v>77</v>
      </c>
      <c r="C4406" s="28" t="s">
        <v>77</v>
      </c>
      <c r="D4406" s="28" t="s">
        <v>77</v>
      </c>
      <c r="E4406" s="28" t="s">
        <v>77</v>
      </c>
      <c r="F4406" s="28" t="s">
        <v>77</v>
      </c>
      <c r="G4406" s="28" t="s">
        <v>77</v>
      </c>
      <c r="I4406" s="26" t="s">
        <v>77</v>
      </c>
      <c r="J4406" s="26" t="s">
        <v>77</v>
      </c>
      <c r="K4406" s="18"/>
      <c r="L4406" s="26" t="s">
        <v>77</v>
      </c>
      <c r="M4406" s="6" t="s">
        <v>77</v>
      </c>
      <c r="N4406" s="28" t="s">
        <v>77</v>
      </c>
      <c r="O4406" s="26" t="s">
        <v>77</v>
      </c>
    </row>
    <row r="4407">
      <c r="A4407" s="52" t="s">
        <v>77</v>
      </c>
      <c r="B4407" s="28" t="s">
        <v>77</v>
      </c>
      <c r="C4407" s="28" t="s">
        <v>77</v>
      </c>
      <c r="D4407" s="28" t="s">
        <v>77</v>
      </c>
      <c r="E4407" s="28" t="s">
        <v>77</v>
      </c>
      <c r="F4407" s="28" t="s">
        <v>77</v>
      </c>
      <c r="G4407" s="28" t="s">
        <v>77</v>
      </c>
      <c r="I4407" s="26" t="s">
        <v>77</v>
      </c>
      <c r="J4407" s="26" t="s">
        <v>77</v>
      </c>
      <c r="K4407" s="18"/>
      <c r="L4407" s="26" t="s">
        <v>77</v>
      </c>
      <c r="M4407" s="6" t="s">
        <v>77</v>
      </c>
      <c r="N4407" s="28" t="s">
        <v>77</v>
      </c>
      <c r="O4407" s="26" t="s">
        <v>77</v>
      </c>
    </row>
    <row r="4408">
      <c r="A4408" s="52" t="s">
        <v>77</v>
      </c>
      <c r="B4408" s="28" t="s">
        <v>77</v>
      </c>
      <c r="C4408" s="28" t="s">
        <v>77</v>
      </c>
      <c r="D4408" s="28" t="s">
        <v>77</v>
      </c>
      <c r="E4408" s="28" t="s">
        <v>77</v>
      </c>
      <c r="F4408" s="28" t="s">
        <v>77</v>
      </c>
      <c r="G4408" s="28" t="s">
        <v>77</v>
      </c>
      <c r="I4408" s="26" t="s">
        <v>77</v>
      </c>
      <c r="J4408" s="26" t="s">
        <v>77</v>
      </c>
      <c r="K4408" s="18"/>
      <c r="L4408" s="26" t="s">
        <v>77</v>
      </c>
      <c r="M4408" s="6" t="s">
        <v>77</v>
      </c>
      <c r="N4408" s="28" t="s">
        <v>77</v>
      </c>
      <c r="O4408" s="26" t="s">
        <v>77</v>
      </c>
    </row>
    <row r="4409">
      <c r="A4409" s="52" t="s">
        <v>77</v>
      </c>
      <c r="B4409" s="28" t="s">
        <v>77</v>
      </c>
      <c r="C4409" s="28" t="s">
        <v>77</v>
      </c>
      <c r="D4409" s="28" t="s">
        <v>77</v>
      </c>
      <c r="E4409" s="28" t="s">
        <v>77</v>
      </c>
      <c r="F4409" s="28" t="s">
        <v>77</v>
      </c>
      <c r="G4409" s="28" t="s">
        <v>77</v>
      </c>
      <c r="I4409" s="26" t="s">
        <v>77</v>
      </c>
      <c r="J4409" s="26" t="s">
        <v>77</v>
      </c>
      <c r="K4409" s="18"/>
      <c r="L4409" s="26" t="s">
        <v>77</v>
      </c>
      <c r="M4409" s="6" t="s">
        <v>77</v>
      </c>
      <c r="N4409" s="28" t="s">
        <v>77</v>
      </c>
      <c r="O4409" s="26" t="s">
        <v>77</v>
      </c>
    </row>
    <row r="4410">
      <c r="A4410" s="52" t="s">
        <v>77</v>
      </c>
      <c r="B4410" s="28" t="s">
        <v>77</v>
      </c>
      <c r="C4410" s="28" t="s">
        <v>77</v>
      </c>
      <c r="D4410" s="28" t="s">
        <v>77</v>
      </c>
      <c r="E4410" s="28" t="s">
        <v>77</v>
      </c>
      <c r="F4410" s="28" t="s">
        <v>77</v>
      </c>
      <c r="G4410" s="28" t="s">
        <v>77</v>
      </c>
      <c r="I4410" s="26" t="s">
        <v>77</v>
      </c>
      <c r="J4410" s="26" t="s">
        <v>77</v>
      </c>
      <c r="K4410" s="18"/>
      <c r="L4410" s="26" t="s">
        <v>77</v>
      </c>
      <c r="M4410" s="6" t="s">
        <v>77</v>
      </c>
      <c r="N4410" s="28" t="s">
        <v>77</v>
      </c>
      <c r="O4410" s="26" t="s">
        <v>77</v>
      </c>
    </row>
    <row r="4411">
      <c r="A4411" s="52" t="s">
        <v>77</v>
      </c>
      <c r="B4411" s="28" t="s">
        <v>77</v>
      </c>
      <c r="C4411" s="28" t="s">
        <v>77</v>
      </c>
      <c r="D4411" s="28" t="s">
        <v>77</v>
      </c>
      <c r="E4411" s="28" t="s">
        <v>77</v>
      </c>
      <c r="F4411" s="28" t="s">
        <v>77</v>
      </c>
      <c r="G4411" s="28" t="s">
        <v>77</v>
      </c>
      <c r="I4411" s="26" t="s">
        <v>77</v>
      </c>
      <c r="J4411" s="26" t="s">
        <v>77</v>
      </c>
      <c r="K4411" s="18"/>
      <c r="L4411" s="26" t="s">
        <v>77</v>
      </c>
      <c r="M4411" s="6" t="s">
        <v>77</v>
      </c>
      <c r="N4411" s="28" t="s">
        <v>77</v>
      </c>
      <c r="O4411" s="26" t="s">
        <v>77</v>
      </c>
    </row>
    <row r="4412">
      <c r="A4412" s="52" t="s">
        <v>77</v>
      </c>
      <c r="B4412" s="28" t="s">
        <v>77</v>
      </c>
      <c r="C4412" s="28" t="s">
        <v>77</v>
      </c>
      <c r="D4412" s="28" t="s">
        <v>77</v>
      </c>
      <c r="E4412" s="28" t="s">
        <v>77</v>
      </c>
      <c r="F4412" s="28" t="s">
        <v>77</v>
      </c>
      <c r="G4412" s="28" t="s">
        <v>77</v>
      </c>
      <c r="I4412" s="26" t="s">
        <v>77</v>
      </c>
      <c r="J4412" s="26" t="s">
        <v>77</v>
      </c>
      <c r="K4412" s="18"/>
      <c r="L4412" s="26" t="s">
        <v>77</v>
      </c>
      <c r="M4412" s="6" t="s">
        <v>77</v>
      </c>
      <c r="N4412" s="28" t="s">
        <v>77</v>
      </c>
      <c r="O4412" s="26" t="s">
        <v>77</v>
      </c>
    </row>
    <row r="4413">
      <c r="A4413" s="52" t="s">
        <v>77</v>
      </c>
      <c r="B4413" s="28" t="s">
        <v>77</v>
      </c>
      <c r="C4413" s="28" t="s">
        <v>77</v>
      </c>
      <c r="D4413" s="28" t="s">
        <v>77</v>
      </c>
      <c r="E4413" s="28" t="s">
        <v>77</v>
      </c>
      <c r="F4413" s="28" t="s">
        <v>77</v>
      </c>
      <c r="G4413" s="28" t="s">
        <v>77</v>
      </c>
      <c r="I4413" s="26" t="s">
        <v>77</v>
      </c>
      <c r="J4413" s="26" t="s">
        <v>77</v>
      </c>
      <c r="K4413" s="18"/>
      <c r="L4413" s="26" t="s">
        <v>77</v>
      </c>
      <c r="M4413" s="6" t="s">
        <v>77</v>
      </c>
      <c r="N4413" s="28" t="s">
        <v>77</v>
      </c>
      <c r="O4413" s="26" t="s">
        <v>77</v>
      </c>
    </row>
    <row r="4414">
      <c r="A4414" s="52" t="s">
        <v>77</v>
      </c>
      <c r="B4414" s="28" t="s">
        <v>77</v>
      </c>
      <c r="C4414" s="28" t="s">
        <v>77</v>
      </c>
      <c r="D4414" s="28" t="s">
        <v>77</v>
      </c>
      <c r="E4414" s="28" t="s">
        <v>77</v>
      </c>
      <c r="F4414" s="28" t="s">
        <v>77</v>
      </c>
      <c r="G4414" s="28" t="s">
        <v>77</v>
      </c>
      <c r="I4414" s="26" t="s">
        <v>77</v>
      </c>
      <c r="J4414" s="26" t="s">
        <v>77</v>
      </c>
      <c r="K4414" s="18"/>
      <c r="L4414" s="26" t="s">
        <v>77</v>
      </c>
      <c r="M4414" s="6" t="s">
        <v>77</v>
      </c>
      <c r="N4414" s="28" t="s">
        <v>77</v>
      </c>
      <c r="O4414" s="26" t="s">
        <v>77</v>
      </c>
    </row>
    <row r="4415">
      <c r="A4415" s="52" t="s">
        <v>77</v>
      </c>
      <c r="B4415" s="28" t="s">
        <v>77</v>
      </c>
      <c r="C4415" s="28" t="s">
        <v>77</v>
      </c>
      <c r="D4415" s="28" t="s">
        <v>77</v>
      </c>
      <c r="E4415" s="28" t="s">
        <v>77</v>
      </c>
      <c r="F4415" s="28" t="s">
        <v>77</v>
      </c>
      <c r="G4415" s="28" t="s">
        <v>77</v>
      </c>
      <c r="I4415" s="26" t="s">
        <v>77</v>
      </c>
      <c r="J4415" s="26" t="s">
        <v>77</v>
      </c>
      <c r="K4415" s="18"/>
      <c r="L4415" s="26" t="s">
        <v>77</v>
      </c>
      <c r="M4415" s="6" t="s">
        <v>77</v>
      </c>
      <c r="N4415" s="28" t="s">
        <v>77</v>
      </c>
      <c r="O4415" s="26" t="s">
        <v>77</v>
      </c>
    </row>
    <row r="4416">
      <c r="A4416" s="52" t="s">
        <v>77</v>
      </c>
      <c r="B4416" s="28" t="s">
        <v>77</v>
      </c>
      <c r="C4416" s="28" t="s">
        <v>77</v>
      </c>
      <c r="D4416" s="28" t="s">
        <v>77</v>
      </c>
      <c r="E4416" s="28" t="s">
        <v>77</v>
      </c>
      <c r="F4416" s="28" t="s">
        <v>77</v>
      </c>
      <c r="G4416" s="28" t="s">
        <v>77</v>
      </c>
      <c r="I4416" s="26" t="s">
        <v>77</v>
      </c>
      <c r="J4416" s="26" t="s">
        <v>77</v>
      </c>
      <c r="K4416" s="18"/>
      <c r="L4416" s="26" t="s">
        <v>77</v>
      </c>
      <c r="M4416" s="6" t="s">
        <v>77</v>
      </c>
      <c r="N4416" s="28" t="s">
        <v>77</v>
      </c>
      <c r="O4416" s="26" t="s">
        <v>77</v>
      </c>
    </row>
    <row r="4417">
      <c r="A4417" s="52" t="s">
        <v>77</v>
      </c>
      <c r="B4417" s="28" t="s">
        <v>77</v>
      </c>
      <c r="C4417" s="28" t="s">
        <v>77</v>
      </c>
      <c r="D4417" s="28" t="s">
        <v>77</v>
      </c>
      <c r="E4417" s="28" t="s">
        <v>77</v>
      </c>
      <c r="F4417" s="28" t="s">
        <v>77</v>
      </c>
      <c r="G4417" s="28" t="s">
        <v>77</v>
      </c>
      <c r="I4417" s="26" t="s">
        <v>77</v>
      </c>
      <c r="J4417" s="26" t="s">
        <v>77</v>
      </c>
      <c r="K4417" s="18"/>
      <c r="L4417" s="26" t="s">
        <v>77</v>
      </c>
      <c r="M4417" s="6" t="s">
        <v>77</v>
      </c>
      <c r="N4417" s="28" t="s">
        <v>77</v>
      </c>
      <c r="O4417" s="26" t="s">
        <v>77</v>
      </c>
    </row>
    <row r="4418">
      <c r="A4418" s="52" t="s">
        <v>77</v>
      </c>
      <c r="B4418" s="28" t="s">
        <v>77</v>
      </c>
      <c r="C4418" s="28" t="s">
        <v>77</v>
      </c>
      <c r="D4418" s="28" t="s">
        <v>77</v>
      </c>
      <c r="E4418" s="28" t="s">
        <v>77</v>
      </c>
      <c r="F4418" s="28" t="s">
        <v>77</v>
      </c>
      <c r="G4418" s="28" t="s">
        <v>77</v>
      </c>
      <c r="I4418" s="26" t="s">
        <v>77</v>
      </c>
      <c r="J4418" s="26" t="s">
        <v>77</v>
      </c>
      <c r="K4418" s="18"/>
      <c r="L4418" s="26" t="s">
        <v>77</v>
      </c>
      <c r="M4418" s="6" t="s">
        <v>77</v>
      </c>
      <c r="N4418" s="28" t="s">
        <v>77</v>
      </c>
      <c r="O4418" s="26" t="s">
        <v>77</v>
      </c>
    </row>
    <row r="4419">
      <c r="A4419" s="52" t="s">
        <v>77</v>
      </c>
      <c r="B4419" s="28" t="s">
        <v>77</v>
      </c>
      <c r="C4419" s="28" t="s">
        <v>77</v>
      </c>
      <c r="D4419" s="28" t="s">
        <v>77</v>
      </c>
      <c r="E4419" s="28" t="s">
        <v>77</v>
      </c>
      <c r="F4419" s="28" t="s">
        <v>77</v>
      </c>
      <c r="G4419" s="28" t="s">
        <v>77</v>
      </c>
      <c r="I4419" s="26" t="s">
        <v>77</v>
      </c>
      <c r="J4419" s="26" t="s">
        <v>77</v>
      </c>
      <c r="K4419" s="18"/>
      <c r="L4419" s="26" t="s">
        <v>77</v>
      </c>
      <c r="M4419" s="6" t="s">
        <v>77</v>
      </c>
      <c r="N4419" s="28" t="s">
        <v>77</v>
      </c>
      <c r="O4419" s="26" t="s">
        <v>77</v>
      </c>
    </row>
    <row r="4420">
      <c r="A4420" s="52" t="s">
        <v>77</v>
      </c>
      <c r="B4420" s="28" t="s">
        <v>77</v>
      </c>
      <c r="C4420" s="28" t="s">
        <v>77</v>
      </c>
      <c r="D4420" s="28" t="s">
        <v>77</v>
      </c>
      <c r="E4420" s="28" t="s">
        <v>77</v>
      </c>
      <c r="F4420" s="28" t="s">
        <v>77</v>
      </c>
      <c r="G4420" s="28" t="s">
        <v>77</v>
      </c>
      <c r="I4420" s="26" t="s">
        <v>77</v>
      </c>
      <c r="J4420" s="26" t="s">
        <v>77</v>
      </c>
      <c r="K4420" s="18"/>
      <c r="L4420" s="26" t="s">
        <v>77</v>
      </c>
      <c r="M4420" s="6" t="s">
        <v>77</v>
      </c>
      <c r="N4420" s="28" t="s">
        <v>77</v>
      </c>
      <c r="O4420" s="26" t="s">
        <v>77</v>
      </c>
    </row>
    <row r="4421">
      <c r="A4421" s="52" t="s">
        <v>77</v>
      </c>
      <c r="B4421" s="28" t="s">
        <v>77</v>
      </c>
      <c r="C4421" s="28" t="s">
        <v>77</v>
      </c>
      <c r="D4421" s="28" t="s">
        <v>77</v>
      </c>
      <c r="E4421" s="28" t="s">
        <v>77</v>
      </c>
      <c r="F4421" s="28" t="s">
        <v>77</v>
      </c>
      <c r="G4421" s="28" t="s">
        <v>77</v>
      </c>
      <c r="I4421" s="26" t="s">
        <v>77</v>
      </c>
      <c r="J4421" s="26" t="s">
        <v>77</v>
      </c>
      <c r="K4421" s="18"/>
      <c r="L4421" s="26" t="s">
        <v>77</v>
      </c>
      <c r="M4421" s="6" t="s">
        <v>77</v>
      </c>
      <c r="N4421" s="28" t="s">
        <v>77</v>
      </c>
      <c r="O4421" s="26" t="s">
        <v>77</v>
      </c>
    </row>
    <row r="4422">
      <c r="A4422" s="52" t="s">
        <v>77</v>
      </c>
      <c r="B4422" s="28" t="s">
        <v>77</v>
      </c>
      <c r="C4422" s="28" t="s">
        <v>77</v>
      </c>
      <c r="D4422" s="28" t="s">
        <v>77</v>
      </c>
      <c r="E4422" s="28" t="s">
        <v>77</v>
      </c>
      <c r="F4422" s="28" t="s">
        <v>77</v>
      </c>
      <c r="G4422" s="28" t="s">
        <v>77</v>
      </c>
      <c r="I4422" s="26" t="s">
        <v>77</v>
      </c>
      <c r="J4422" s="26" t="s">
        <v>77</v>
      </c>
      <c r="K4422" s="18"/>
      <c r="L4422" s="26" t="s">
        <v>77</v>
      </c>
      <c r="M4422" s="6" t="s">
        <v>77</v>
      </c>
      <c r="N4422" s="28" t="s">
        <v>77</v>
      </c>
      <c r="O4422" s="26" t="s">
        <v>77</v>
      </c>
    </row>
    <row r="4423">
      <c r="A4423" s="52" t="s">
        <v>77</v>
      </c>
      <c r="B4423" s="28" t="s">
        <v>77</v>
      </c>
      <c r="C4423" s="28" t="s">
        <v>77</v>
      </c>
      <c r="D4423" s="28" t="s">
        <v>77</v>
      </c>
      <c r="E4423" s="28" t="s">
        <v>77</v>
      </c>
      <c r="F4423" s="28" t="s">
        <v>77</v>
      </c>
      <c r="G4423" s="28" t="s">
        <v>77</v>
      </c>
      <c r="I4423" s="26" t="s">
        <v>77</v>
      </c>
      <c r="J4423" s="26" t="s">
        <v>77</v>
      </c>
      <c r="K4423" s="18"/>
      <c r="L4423" s="26" t="s">
        <v>77</v>
      </c>
      <c r="M4423" s="6" t="s">
        <v>77</v>
      </c>
      <c r="N4423" s="28" t="s">
        <v>77</v>
      </c>
      <c r="O4423" s="26" t="s">
        <v>77</v>
      </c>
    </row>
    <row r="4424">
      <c r="A4424" s="52" t="s">
        <v>77</v>
      </c>
      <c r="B4424" s="28" t="s">
        <v>77</v>
      </c>
      <c r="C4424" s="28" t="s">
        <v>77</v>
      </c>
      <c r="D4424" s="28" t="s">
        <v>77</v>
      </c>
      <c r="E4424" s="28" t="s">
        <v>77</v>
      </c>
      <c r="F4424" s="28" t="s">
        <v>77</v>
      </c>
      <c r="G4424" s="28" t="s">
        <v>77</v>
      </c>
      <c r="I4424" s="26" t="s">
        <v>77</v>
      </c>
      <c r="J4424" s="26" t="s">
        <v>77</v>
      </c>
      <c r="K4424" s="18"/>
      <c r="L4424" s="26" t="s">
        <v>77</v>
      </c>
      <c r="M4424" s="6" t="s">
        <v>77</v>
      </c>
      <c r="N4424" s="28" t="s">
        <v>77</v>
      </c>
      <c r="O4424" s="26" t="s">
        <v>77</v>
      </c>
    </row>
    <row r="4425">
      <c r="A4425" s="52" t="s">
        <v>77</v>
      </c>
      <c r="B4425" s="28" t="s">
        <v>77</v>
      </c>
      <c r="C4425" s="28" t="s">
        <v>77</v>
      </c>
      <c r="D4425" s="28" t="s">
        <v>77</v>
      </c>
      <c r="E4425" s="28" t="s">
        <v>77</v>
      </c>
      <c r="F4425" s="28" t="s">
        <v>77</v>
      </c>
      <c r="G4425" s="28" t="s">
        <v>77</v>
      </c>
      <c r="I4425" s="26" t="s">
        <v>77</v>
      </c>
      <c r="J4425" s="26" t="s">
        <v>77</v>
      </c>
      <c r="K4425" s="18"/>
      <c r="L4425" s="26" t="s">
        <v>77</v>
      </c>
      <c r="M4425" s="6" t="s">
        <v>77</v>
      </c>
      <c r="N4425" s="28" t="s">
        <v>77</v>
      </c>
      <c r="O4425" s="26" t="s">
        <v>77</v>
      </c>
    </row>
    <row r="4426">
      <c r="A4426" s="52" t="s">
        <v>77</v>
      </c>
      <c r="B4426" s="28" t="s">
        <v>77</v>
      </c>
      <c r="C4426" s="28" t="s">
        <v>77</v>
      </c>
      <c r="D4426" s="28" t="s">
        <v>77</v>
      </c>
      <c r="E4426" s="28" t="s">
        <v>77</v>
      </c>
      <c r="F4426" s="28" t="s">
        <v>77</v>
      </c>
      <c r="G4426" s="28" t="s">
        <v>77</v>
      </c>
      <c r="I4426" s="26" t="s">
        <v>77</v>
      </c>
      <c r="J4426" s="26" t="s">
        <v>77</v>
      </c>
      <c r="K4426" s="18"/>
      <c r="L4426" s="26" t="s">
        <v>77</v>
      </c>
      <c r="M4426" s="6" t="s">
        <v>77</v>
      </c>
      <c r="N4426" s="28" t="s">
        <v>77</v>
      </c>
      <c r="O4426" s="26" t="s">
        <v>77</v>
      </c>
    </row>
    <row r="4427">
      <c r="A4427" s="52" t="s">
        <v>77</v>
      </c>
      <c r="B4427" s="28" t="s">
        <v>77</v>
      </c>
      <c r="C4427" s="28" t="s">
        <v>77</v>
      </c>
      <c r="D4427" s="28" t="s">
        <v>77</v>
      </c>
      <c r="E4427" s="28" t="s">
        <v>77</v>
      </c>
      <c r="F4427" s="28" t="s">
        <v>77</v>
      </c>
      <c r="G4427" s="28" t="s">
        <v>77</v>
      </c>
      <c r="I4427" s="26" t="s">
        <v>77</v>
      </c>
      <c r="J4427" s="26" t="s">
        <v>77</v>
      </c>
      <c r="K4427" s="18"/>
      <c r="L4427" s="26" t="s">
        <v>77</v>
      </c>
      <c r="M4427" s="6" t="s">
        <v>77</v>
      </c>
      <c r="N4427" s="28" t="s">
        <v>77</v>
      </c>
      <c r="O4427" s="26" t="s">
        <v>77</v>
      </c>
    </row>
    <row r="4428">
      <c r="A4428" s="52" t="s">
        <v>77</v>
      </c>
      <c r="B4428" s="28" t="s">
        <v>77</v>
      </c>
      <c r="C4428" s="28" t="s">
        <v>77</v>
      </c>
      <c r="D4428" s="28" t="s">
        <v>77</v>
      </c>
      <c r="E4428" s="28" t="s">
        <v>77</v>
      </c>
      <c r="F4428" s="28" t="s">
        <v>77</v>
      </c>
      <c r="G4428" s="28" t="s">
        <v>77</v>
      </c>
      <c r="I4428" s="26" t="s">
        <v>77</v>
      </c>
      <c r="J4428" s="26" t="s">
        <v>77</v>
      </c>
      <c r="K4428" s="18"/>
      <c r="L4428" s="26" t="s">
        <v>77</v>
      </c>
      <c r="M4428" s="6" t="s">
        <v>77</v>
      </c>
      <c r="N4428" s="28" t="s">
        <v>77</v>
      </c>
      <c r="O4428" s="26" t="s">
        <v>77</v>
      </c>
    </row>
    <row r="4429">
      <c r="A4429" s="52" t="s">
        <v>77</v>
      </c>
      <c r="B4429" s="28" t="s">
        <v>77</v>
      </c>
      <c r="C4429" s="28" t="s">
        <v>77</v>
      </c>
      <c r="D4429" s="28" t="s">
        <v>77</v>
      </c>
      <c r="E4429" s="28" t="s">
        <v>77</v>
      </c>
      <c r="F4429" s="28" t="s">
        <v>77</v>
      </c>
      <c r="G4429" s="28" t="s">
        <v>77</v>
      </c>
      <c r="I4429" s="26" t="s">
        <v>77</v>
      </c>
      <c r="J4429" s="26" t="s">
        <v>77</v>
      </c>
      <c r="K4429" s="18"/>
      <c r="L4429" s="26" t="s">
        <v>77</v>
      </c>
      <c r="M4429" s="6" t="s">
        <v>77</v>
      </c>
      <c r="N4429" s="28" t="s">
        <v>77</v>
      </c>
      <c r="O4429" s="26" t="s">
        <v>77</v>
      </c>
    </row>
    <row r="4430">
      <c r="A4430" s="52" t="s">
        <v>77</v>
      </c>
      <c r="B4430" s="28" t="s">
        <v>77</v>
      </c>
      <c r="C4430" s="28" t="s">
        <v>77</v>
      </c>
      <c r="D4430" s="28" t="s">
        <v>77</v>
      </c>
      <c r="E4430" s="28" t="s">
        <v>77</v>
      </c>
      <c r="F4430" s="28" t="s">
        <v>77</v>
      </c>
      <c r="G4430" s="28" t="s">
        <v>77</v>
      </c>
      <c r="I4430" s="26" t="s">
        <v>77</v>
      </c>
      <c r="J4430" s="26" t="s">
        <v>77</v>
      </c>
      <c r="K4430" s="18"/>
      <c r="L4430" s="26" t="s">
        <v>77</v>
      </c>
      <c r="M4430" s="6" t="s">
        <v>77</v>
      </c>
      <c r="N4430" s="28" t="s">
        <v>77</v>
      </c>
      <c r="O4430" s="26" t="s">
        <v>77</v>
      </c>
    </row>
    <row r="4431">
      <c r="A4431" s="52" t="s">
        <v>77</v>
      </c>
      <c r="B4431" s="28" t="s">
        <v>77</v>
      </c>
      <c r="C4431" s="28" t="s">
        <v>77</v>
      </c>
      <c r="D4431" s="28" t="s">
        <v>77</v>
      </c>
      <c r="E4431" s="28" t="s">
        <v>77</v>
      </c>
      <c r="F4431" s="28" t="s">
        <v>77</v>
      </c>
      <c r="G4431" s="28" t="s">
        <v>77</v>
      </c>
      <c r="I4431" s="26" t="s">
        <v>77</v>
      </c>
      <c r="J4431" s="26" t="s">
        <v>77</v>
      </c>
      <c r="K4431" s="18"/>
      <c r="L4431" s="26" t="s">
        <v>77</v>
      </c>
      <c r="M4431" s="6" t="s">
        <v>77</v>
      </c>
      <c r="N4431" s="28" t="s">
        <v>77</v>
      </c>
      <c r="O4431" s="26" t="s">
        <v>77</v>
      </c>
    </row>
    <row r="4432">
      <c r="A4432" s="52" t="s">
        <v>77</v>
      </c>
      <c r="B4432" s="28" t="s">
        <v>77</v>
      </c>
      <c r="C4432" s="28" t="s">
        <v>77</v>
      </c>
      <c r="D4432" s="28" t="s">
        <v>77</v>
      </c>
      <c r="E4432" s="28" t="s">
        <v>77</v>
      </c>
      <c r="F4432" s="28" t="s">
        <v>77</v>
      </c>
      <c r="G4432" s="28" t="s">
        <v>77</v>
      </c>
      <c r="I4432" s="26" t="s">
        <v>77</v>
      </c>
      <c r="J4432" s="26" t="s">
        <v>77</v>
      </c>
      <c r="K4432" s="18"/>
      <c r="L4432" s="26" t="s">
        <v>77</v>
      </c>
      <c r="M4432" s="6" t="s">
        <v>77</v>
      </c>
      <c r="N4432" s="28" t="s">
        <v>77</v>
      </c>
      <c r="O4432" s="26" t="s">
        <v>77</v>
      </c>
    </row>
    <row r="4433">
      <c r="A4433" s="52" t="s">
        <v>77</v>
      </c>
      <c r="B4433" s="28" t="s">
        <v>77</v>
      </c>
      <c r="C4433" s="28" t="s">
        <v>77</v>
      </c>
      <c r="D4433" s="28" t="s">
        <v>77</v>
      </c>
      <c r="E4433" s="28" t="s">
        <v>77</v>
      </c>
      <c r="F4433" s="28" t="s">
        <v>77</v>
      </c>
      <c r="G4433" s="28" t="s">
        <v>77</v>
      </c>
      <c r="I4433" s="26" t="s">
        <v>77</v>
      </c>
      <c r="J4433" s="26" t="s">
        <v>77</v>
      </c>
      <c r="K4433" s="18"/>
      <c r="L4433" s="26" t="s">
        <v>77</v>
      </c>
      <c r="M4433" s="6" t="s">
        <v>77</v>
      </c>
      <c r="N4433" s="28" t="s">
        <v>77</v>
      </c>
      <c r="O4433" s="26" t="s">
        <v>77</v>
      </c>
    </row>
    <row r="4434">
      <c r="A4434" s="52" t="s">
        <v>77</v>
      </c>
      <c r="B4434" s="28" t="s">
        <v>77</v>
      </c>
      <c r="C4434" s="28" t="s">
        <v>77</v>
      </c>
      <c r="D4434" s="28" t="s">
        <v>77</v>
      </c>
      <c r="E4434" s="28" t="s">
        <v>77</v>
      </c>
      <c r="F4434" s="28" t="s">
        <v>77</v>
      </c>
      <c r="G4434" s="28" t="s">
        <v>77</v>
      </c>
      <c r="I4434" s="26" t="s">
        <v>77</v>
      </c>
      <c r="J4434" s="26" t="s">
        <v>77</v>
      </c>
      <c r="K4434" s="18"/>
      <c r="L4434" s="26" t="s">
        <v>77</v>
      </c>
      <c r="M4434" s="6" t="s">
        <v>77</v>
      </c>
      <c r="N4434" s="28" t="s">
        <v>77</v>
      </c>
      <c r="O4434" s="26" t="s">
        <v>77</v>
      </c>
    </row>
    <row r="4435">
      <c r="A4435" s="52" t="s">
        <v>77</v>
      </c>
      <c r="B4435" s="28" t="s">
        <v>77</v>
      </c>
      <c r="C4435" s="28" t="s">
        <v>77</v>
      </c>
      <c r="D4435" s="28" t="s">
        <v>77</v>
      </c>
      <c r="E4435" s="28" t="s">
        <v>77</v>
      </c>
      <c r="F4435" s="28" t="s">
        <v>77</v>
      </c>
      <c r="G4435" s="28" t="s">
        <v>77</v>
      </c>
      <c r="I4435" s="26" t="s">
        <v>77</v>
      </c>
      <c r="J4435" s="26" t="s">
        <v>77</v>
      </c>
      <c r="K4435" s="18"/>
      <c r="L4435" s="26" t="s">
        <v>77</v>
      </c>
      <c r="M4435" s="6" t="s">
        <v>77</v>
      </c>
      <c r="N4435" s="28" t="s">
        <v>77</v>
      </c>
      <c r="O4435" s="26" t="s">
        <v>77</v>
      </c>
    </row>
    <row r="4436">
      <c r="A4436" s="52" t="s">
        <v>77</v>
      </c>
      <c r="B4436" s="28" t="s">
        <v>77</v>
      </c>
      <c r="C4436" s="28" t="s">
        <v>77</v>
      </c>
      <c r="D4436" s="28" t="s">
        <v>77</v>
      </c>
      <c r="E4436" s="28" t="s">
        <v>77</v>
      </c>
      <c r="F4436" s="28" t="s">
        <v>77</v>
      </c>
      <c r="G4436" s="28" t="s">
        <v>77</v>
      </c>
      <c r="I4436" s="26" t="s">
        <v>77</v>
      </c>
      <c r="J4436" s="26" t="s">
        <v>77</v>
      </c>
      <c r="K4436" s="18"/>
      <c r="L4436" s="26" t="s">
        <v>77</v>
      </c>
      <c r="M4436" s="6" t="s">
        <v>77</v>
      </c>
      <c r="N4436" s="28" t="s">
        <v>77</v>
      </c>
      <c r="O4436" s="26" t="s">
        <v>77</v>
      </c>
    </row>
    <row r="4437">
      <c r="A4437" s="52" t="s">
        <v>77</v>
      </c>
      <c r="B4437" s="28" t="s">
        <v>77</v>
      </c>
      <c r="C4437" s="28" t="s">
        <v>77</v>
      </c>
      <c r="D4437" s="28" t="s">
        <v>77</v>
      </c>
      <c r="E4437" s="28" t="s">
        <v>77</v>
      </c>
      <c r="F4437" s="28" t="s">
        <v>77</v>
      </c>
      <c r="G4437" s="28" t="s">
        <v>77</v>
      </c>
      <c r="I4437" s="26" t="s">
        <v>77</v>
      </c>
      <c r="J4437" s="26" t="s">
        <v>77</v>
      </c>
      <c r="K4437" s="18"/>
      <c r="L4437" s="26" t="s">
        <v>77</v>
      </c>
      <c r="M4437" s="6" t="s">
        <v>77</v>
      </c>
      <c r="N4437" s="28" t="s">
        <v>77</v>
      </c>
      <c r="O4437" s="26" t="s">
        <v>77</v>
      </c>
    </row>
    <row r="4438">
      <c r="A4438" s="52" t="s">
        <v>77</v>
      </c>
      <c r="B4438" s="28" t="s">
        <v>77</v>
      </c>
      <c r="C4438" s="28" t="s">
        <v>77</v>
      </c>
      <c r="D4438" s="28" t="s">
        <v>77</v>
      </c>
      <c r="E4438" s="28" t="s">
        <v>77</v>
      </c>
      <c r="F4438" s="28" t="s">
        <v>77</v>
      </c>
      <c r="G4438" s="28" t="s">
        <v>77</v>
      </c>
      <c r="I4438" s="26" t="s">
        <v>77</v>
      </c>
      <c r="J4438" s="26" t="s">
        <v>77</v>
      </c>
      <c r="K4438" s="18"/>
      <c r="L4438" s="26" t="s">
        <v>77</v>
      </c>
      <c r="M4438" s="6" t="s">
        <v>77</v>
      </c>
      <c r="N4438" s="28" t="s">
        <v>77</v>
      </c>
      <c r="O4438" s="26" t="s">
        <v>77</v>
      </c>
    </row>
    <row r="4439">
      <c r="A4439" s="52" t="s">
        <v>77</v>
      </c>
      <c r="B4439" s="28" t="s">
        <v>77</v>
      </c>
      <c r="C4439" s="28" t="s">
        <v>77</v>
      </c>
      <c r="D4439" s="28" t="s">
        <v>77</v>
      </c>
      <c r="E4439" s="28" t="s">
        <v>77</v>
      </c>
      <c r="F4439" s="28" t="s">
        <v>77</v>
      </c>
      <c r="G4439" s="28" t="s">
        <v>77</v>
      </c>
      <c r="I4439" s="26" t="s">
        <v>77</v>
      </c>
      <c r="J4439" s="26" t="s">
        <v>77</v>
      </c>
      <c r="K4439" s="18"/>
      <c r="L4439" s="26" t="s">
        <v>77</v>
      </c>
      <c r="M4439" s="6" t="s">
        <v>77</v>
      </c>
      <c r="N4439" s="28" t="s">
        <v>77</v>
      </c>
      <c r="O4439" s="26" t="s">
        <v>77</v>
      </c>
    </row>
    <row r="4440">
      <c r="A4440" s="52" t="s">
        <v>77</v>
      </c>
      <c r="B4440" s="28" t="s">
        <v>77</v>
      </c>
      <c r="C4440" s="28" t="s">
        <v>77</v>
      </c>
      <c r="D4440" s="28" t="s">
        <v>77</v>
      </c>
      <c r="E4440" s="28" t="s">
        <v>77</v>
      </c>
      <c r="F4440" s="28" t="s">
        <v>77</v>
      </c>
      <c r="G4440" s="28" t="s">
        <v>77</v>
      </c>
      <c r="I4440" s="26" t="s">
        <v>77</v>
      </c>
      <c r="J4440" s="26" t="s">
        <v>77</v>
      </c>
      <c r="K4440" s="18"/>
      <c r="L4440" s="26" t="s">
        <v>77</v>
      </c>
      <c r="M4440" s="6" t="s">
        <v>77</v>
      </c>
      <c r="N4440" s="28" t="s">
        <v>77</v>
      </c>
      <c r="O4440" s="26" t="s">
        <v>77</v>
      </c>
    </row>
    <row r="4441">
      <c r="A4441" s="52" t="s">
        <v>77</v>
      </c>
      <c r="B4441" s="28" t="s">
        <v>77</v>
      </c>
      <c r="C4441" s="28" t="s">
        <v>77</v>
      </c>
      <c r="D4441" s="28" t="s">
        <v>77</v>
      </c>
      <c r="E4441" s="28" t="s">
        <v>77</v>
      </c>
      <c r="F4441" s="28" t="s">
        <v>77</v>
      </c>
      <c r="G4441" s="28" t="s">
        <v>77</v>
      </c>
      <c r="I4441" s="26" t="s">
        <v>77</v>
      </c>
      <c r="J4441" s="26" t="s">
        <v>77</v>
      </c>
      <c r="K4441" s="18"/>
      <c r="L4441" s="26" t="s">
        <v>77</v>
      </c>
      <c r="M4441" s="6" t="s">
        <v>77</v>
      </c>
      <c r="N4441" s="28" t="s">
        <v>77</v>
      </c>
      <c r="O4441" s="26" t="s">
        <v>77</v>
      </c>
    </row>
    <row r="4442">
      <c r="A4442" s="52" t="s">
        <v>77</v>
      </c>
      <c r="B4442" s="28" t="s">
        <v>77</v>
      </c>
      <c r="C4442" s="28" t="s">
        <v>77</v>
      </c>
      <c r="D4442" s="28" t="s">
        <v>77</v>
      </c>
      <c r="E4442" s="28" t="s">
        <v>77</v>
      </c>
      <c r="F4442" s="28" t="s">
        <v>77</v>
      </c>
      <c r="G4442" s="28" t="s">
        <v>77</v>
      </c>
      <c r="I4442" s="26" t="s">
        <v>77</v>
      </c>
      <c r="J4442" s="26" t="s">
        <v>77</v>
      </c>
      <c r="K4442" s="18"/>
      <c r="L4442" s="26" t="s">
        <v>77</v>
      </c>
      <c r="M4442" s="6" t="s">
        <v>77</v>
      </c>
      <c r="N4442" s="28" t="s">
        <v>77</v>
      </c>
      <c r="O4442" s="26" t="s">
        <v>77</v>
      </c>
    </row>
    <row r="4443">
      <c r="A4443" s="52" t="s">
        <v>77</v>
      </c>
      <c r="B4443" s="28" t="s">
        <v>77</v>
      </c>
      <c r="C4443" s="28" t="s">
        <v>77</v>
      </c>
      <c r="D4443" s="28" t="s">
        <v>77</v>
      </c>
      <c r="E4443" s="28" t="s">
        <v>77</v>
      </c>
      <c r="F4443" s="28" t="s">
        <v>77</v>
      </c>
      <c r="G4443" s="28" t="s">
        <v>77</v>
      </c>
      <c r="I4443" s="26" t="s">
        <v>77</v>
      </c>
      <c r="J4443" s="26" t="s">
        <v>77</v>
      </c>
      <c r="K4443" s="18"/>
      <c r="L4443" s="26" t="s">
        <v>77</v>
      </c>
      <c r="M4443" s="6" t="s">
        <v>77</v>
      </c>
      <c r="N4443" s="28" t="s">
        <v>77</v>
      </c>
      <c r="O4443" s="26" t="s">
        <v>77</v>
      </c>
    </row>
    <row r="4444">
      <c r="A4444" s="52" t="s">
        <v>77</v>
      </c>
      <c r="B4444" s="28" t="s">
        <v>77</v>
      </c>
      <c r="C4444" s="28" t="s">
        <v>77</v>
      </c>
      <c r="D4444" s="28" t="s">
        <v>77</v>
      </c>
      <c r="E4444" s="28" t="s">
        <v>77</v>
      </c>
      <c r="F4444" s="28" t="s">
        <v>77</v>
      </c>
      <c r="G4444" s="28" t="s">
        <v>77</v>
      </c>
      <c r="I4444" s="26" t="s">
        <v>77</v>
      </c>
      <c r="J4444" s="26" t="s">
        <v>77</v>
      </c>
      <c r="K4444" s="18"/>
      <c r="L4444" s="26" t="s">
        <v>77</v>
      </c>
      <c r="M4444" s="6" t="s">
        <v>77</v>
      </c>
      <c r="N4444" s="28" t="s">
        <v>77</v>
      </c>
      <c r="O4444" s="26" t="s">
        <v>77</v>
      </c>
    </row>
    <row r="4445">
      <c r="A4445" s="52" t="s">
        <v>77</v>
      </c>
      <c r="B4445" s="28" t="s">
        <v>77</v>
      </c>
      <c r="C4445" s="28" t="s">
        <v>77</v>
      </c>
      <c r="D4445" s="28" t="s">
        <v>77</v>
      </c>
      <c r="E4445" s="28" t="s">
        <v>77</v>
      </c>
      <c r="F4445" s="28" t="s">
        <v>77</v>
      </c>
      <c r="G4445" s="28" t="s">
        <v>77</v>
      </c>
      <c r="I4445" s="26" t="s">
        <v>77</v>
      </c>
      <c r="J4445" s="26" t="s">
        <v>77</v>
      </c>
      <c r="K4445" s="18"/>
      <c r="L4445" s="26" t="s">
        <v>77</v>
      </c>
      <c r="M4445" s="6" t="s">
        <v>77</v>
      </c>
      <c r="N4445" s="28" t="s">
        <v>77</v>
      </c>
      <c r="O4445" s="26" t="s">
        <v>77</v>
      </c>
    </row>
    <row r="4446">
      <c r="A4446" s="52" t="s">
        <v>77</v>
      </c>
      <c r="B4446" s="28" t="s">
        <v>77</v>
      </c>
      <c r="C4446" s="28" t="s">
        <v>77</v>
      </c>
      <c r="D4446" s="28" t="s">
        <v>77</v>
      </c>
      <c r="E4446" s="28" t="s">
        <v>77</v>
      </c>
      <c r="F4446" s="28" t="s">
        <v>77</v>
      </c>
      <c r="G4446" s="28" t="s">
        <v>77</v>
      </c>
      <c r="I4446" s="26" t="s">
        <v>77</v>
      </c>
      <c r="J4446" s="26" t="s">
        <v>77</v>
      </c>
      <c r="K4446" s="18"/>
      <c r="L4446" s="26" t="s">
        <v>77</v>
      </c>
      <c r="M4446" s="6" t="s">
        <v>77</v>
      </c>
      <c r="N4446" s="28" t="s">
        <v>77</v>
      </c>
      <c r="O4446" s="26" t="s">
        <v>77</v>
      </c>
    </row>
    <row r="4447">
      <c r="A4447" s="52" t="s">
        <v>77</v>
      </c>
      <c r="B4447" s="28" t="s">
        <v>77</v>
      </c>
      <c r="C4447" s="28" t="s">
        <v>77</v>
      </c>
      <c r="D4447" s="28" t="s">
        <v>77</v>
      </c>
      <c r="E4447" s="28" t="s">
        <v>77</v>
      </c>
      <c r="F4447" s="28" t="s">
        <v>77</v>
      </c>
      <c r="G4447" s="28" t="s">
        <v>77</v>
      </c>
      <c r="I4447" s="26" t="s">
        <v>77</v>
      </c>
      <c r="J4447" s="26" t="s">
        <v>77</v>
      </c>
      <c r="K4447" s="18"/>
      <c r="L4447" s="26" t="s">
        <v>77</v>
      </c>
      <c r="M4447" s="6" t="s">
        <v>77</v>
      </c>
      <c r="N4447" s="28" t="s">
        <v>77</v>
      </c>
      <c r="O4447" s="26" t="s">
        <v>77</v>
      </c>
    </row>
    <row r="4448">
      <c r="A4448" s="52" t="s">
        <v>77</v>
      </c>
      <c r="B4448" s="28" t="s">
        <v>77</v>
      </c>
      <c r="C4448" s="28" t="s">
        <v>77</v>
      </c>
      <c r="D4448" s="28" t="s">
        <v>77</v>
      </c>
      <c r="E4448" s="28" t="s">
        <v>77</v>
      </c>
      <c r="F4448" s="28" t="s">
        <v>77</v>
      </c>
      <c r="G4448" s="28" t="s">
        <v>77</v>
      </c>
      <c r="I4448" s="26" t="s">
        <v>77</v>
      </c>
      <c r="J4448" s="26" t="s">
        <v>77</v>
      </c>
      <c r="K4448" s="18"/>
      <c r="L4448" s="26" t="s">
        <v>77</v>
      </c>
      <c r="M4448" s="6" t="s">
        <v>77</v>
      </c>
      <c r="N4448" s="28" t="s">
        <v>77</v>
      </c>
      <c r="O4448" s="26" t="s">
        <v>77</v>
      </c>
    </row>
    <row r="4449">
      <c r="A4449" s="52" t="s">
        <v>77</v>
      </c>
      <c r="B4449" s="28" t="s">
        <v>77</v>
      </c>
      <c r="C4449" s="28" t="s">
        <v>77</v>
      </c>
      <c r="D4449" s="28" t="s">
        <v>77</v>
      </c>
      <c r="E4449" s="28" t="s">
        <v>77</v>
      </c>
      <c r="F4449" s="28" t="s">
        <v>77</v>
      </c>
      <c r="G4449" s="28" t="s">
        <v>77</v>
      </c>
      <c r="I4449" s="26" t="s">
        <v>77</v>
      </c>
      <c r="J4449" s="26" t="s">
        <v>77</v>
      </c>
      <c r="K4449" s="18"/>
      <c r="L4449" s="26" t="s">
        <v>77</v>
      </c>
      <c r="M4449" s="6" t="s">
        <v>77</v>
      </c>
      <c r="N4449" s="28" t="s">
        <v>77</v>
      </c>
      <c r="O4449" s="26" t="s">
        <v>77</v>
      </c>
    </row>
    <row r="4450">
      <c r="A4450" s="52" t="s">
        <v>77</v>
      </c>
      <c r="B4450" s="28" t="s">
        <v>77</v>
      </c>
      <c r="C4450" s="28" t="s">
        <v>77</v>
      </c>
      <c r="D4450" s="28" t="s">
        <v>77</v>
      </c>
      <c r="E4450" s="28" t="s">
        <v>77</v>
      </c>
      <c r="F4450" s="28" t="s">
        <v>77</v>
      </c>
      <c r="G4450" s="28" t="s">
        <v>77</v>
      </c>
      <c r="I4450" s="26" t="s">
        <v>77</v>
      </c>
      <c r="J4450" s="26" t="s">
        <v>77</v>
      </c>
      <c r="K4450" s="18"/>
      <c r="L4450" s="26" t="s">
        <v>77</v>
      </c>
      <c r="M4450" s="6" t="s">
        <v>77</v>
      </c>
      <c r="N4450" s="28" t="s">
        <v>77</v>
      </c>
      <c r="O4450" s="26" t="s">
        <v>77</v>
      </c>
    </row>
    <row r="4451">
      <c r="A4451" s="52" t="s">
        <v>77</v>
      </c>
      <c r="B4451" s="28" t="s">
        <v>77</v>
      </c>
      <c r="C4451" s="28" t="s">
        <v>77</v>
      </c>
      <c r="D4451" s="28" t="s">
        <v>77</v>
      </c>
      <c r="E4451" s="28" t="s">
        <v>77</v>
      </c>
      <c r="F4451" s="28" t="s">
        <v>77</v>
      </c>
      <c r="G4451" s="28" t="s">
        <v>77</v>
      </c>
      <c r="I4451" s="26" t="s">
        <v>77</v>
      </c>
      <c r="J4451" s="26" t="s">
        <v>77</v>
      </c>
      <c r="K4451" s="18"/>
      <c r="L4451" s="26" t="s">
        <v>77</v>
      </c>
      <c r="M4451" s="6" t="s">
        <v>77</v>
      </c>
      <c r="N4451" s="28" t="s">
        <v>77</v>
      </c>
      <c r="O4451" s="26" t="s">
        <v>77</v>
      </c>
    </row>
    <row r="4452">
      <c r="A4452" s="52" t="s">
        <v>77</v>
      </c>
      <c r="B4452" s="28" t="s">
        <v>77</v>
      </c>
      <c r="C4452" s="28" t="s">
        <v>77</v>
      </c>
      <c r="D4452" s="28" t="s">
        <v>77</v>
      </c>
      <c r="E4452" s="28" t="s">
        <v>77</v>
      </c>
      <c r="F4452" s="28" t="s">
        <v>77</v>
      </c>
      <c r="G4452" s="28" t="s">
        <v>77</v>
      </c>
      <c r="I4452" s="26" t="s">
        <v>77</v>
      </c>
      <c r="J4452" s="26" t="s">
        <v>77</v>
      </c>
      <c r="K4452" s="18"/>
      <c r="L4452" s="26" t="s">
        <v>77</v>
      </c>
      <c r="M4452" s="6" t="s">
        <v>77</v>
      </c>
      <c r="N4452" s="28" t="s">
        <v>77</v>
      </c>
      <c r="O4452" s="26" t="s">
        <v>77</v>
      </c>
    </row>
    <row r="4453">
      <c r="A4453" s="52" t="s">
        <v>77</v>
      </c>
      <c r="B4453" s="28" t="s">
        <v>77</v>
      </c>
      <c r="C4453" s="28" t="s">
        <v>77</v>
      </c>
      <c r="D4453" s="28" t="s">
        <v>77</v>
      </c>
      <c r="E4453" s="28" t="s">
        <v>77</v>
      </c>
      <c r="F4453" s="28" t="s">
        <v>77</v>
      </c>
      <c r="G4453" s="28" t="s">
        <v>77</v>
      </c>
      <c r="I4453" s="26" t="s">
        <v>77</v>
      </c>
      <c r="J4453" s="26" t="s">
        <v>77</v>
      </c>
      <c r="K4453" s="18"/>
      <c r="L4453" s="26" t="s">
        <v>77</v>
      </c>
      <c r="M4453" s="6" t="s">
        <v>77</v>
      </c>
      <c r="N4453" s="28" t="s">
        <v>77</v>
      </c>
      <c r="O4453" s="26" t="s">
        <v>77</v>
      </c>
    </row>
    <row r="4454">
      <c r="A4454" s="52" t="s">
        <v>77</v>
      </c>
      <c r="B4454" s="28" t="s">
        <v>77</v>
      </c>
      <c r="C4454" s="28" t="s">
        <v>77</v>
      </c>
      <c r="D4454" s="28" t="s">
        <v>77</v>
      </c>
      <c r="E4454" s="28" t="s">
        <v>77</v>
      </c>
      <c r="F4454" s="28" t="s">
        <v>77</v>
      </c>
      <c r="G4454" s="28" t="s">
        <v>77</v>
      </c>
      <c r="I4454" s="26" t="s">
        <v>77</v>
      </c>
      <c r="J4454" s="26" t="s">
        <v>77</v>
      </c>
      <c r="K4454" s="18"/>
      <c r="L4454" s="26" t="s">
        <v>77</v>
      </c>
      <c r="M4454" s="6" t="s">
        <v>77</v>
      </c>
      <c r="N4454" s="28" t="s">
        <v>77</v>
      </c>
      <c r="O4454" s="26" t="s">
        <v>77</v>
      </c>
    </row>
    <row r="4455">
      <c r="A4455" s="52" t="s">
        <v>77</v>
      </c>
      <c r="B4455" s="28" t="s">
        <v>77</v>
      </c>
      <c r="C4455" s="28" t="s">
        <v>77</v>
      </c>
      <c r="D4455" s="28" t="s">
        <v>77</v>
      </c>
      <c r="E4455" s="28" t="s">
        <v>77</v>
      </c>
      <c r="F4455" s="28" t="s">
        <v>77</v>
      </c>
      <c r="G4455" s="28" t="s">
        <v>77</v>
      </c>
      <c r="I4455" s="26" t="s">
        <v>77</v>
      </c>
      <c r="J4455" s="26" t="s">
        <v>77</v>
      </c>
      <c r="K4455" s="18"/>
      <c r="L4455" s="26" t="s">
        <v>77</v>
      </c>
      <c r="M4455" s="6" t="s">
        <v>77</v>
      </c>
      <c r="N4455" s="28" t="s">
        <v>77</v>
      </c>
      <c r="O4455" s="26" t="s">
        <v>77</v>
      </c>
    </row>
    <row r="4456">
      <c r="A4456" s="52" t="s">
        <v>77</v>
      </c>
      <c r="B4456" s="28" t="s">
        <v>77</v>
      </c>
      <c r="C4456" s="28" t="s">
        <v>77</v>
      </c>
      <c r="D4456" s="28" t="s">
        <v>77</v>
      </c>
      <c r="E4456" s="28" t="s">
        <v>77</v>
      </c>
      <c r="F4456" s="28" t="s">
        <v>77</v>
      </c>
      <c r="G4456" s="28" t="s">
        <v>77</v>
      </c>
      <c r="I4456" s="26" t="s">
        <v>77</v>
      </c>
      <c r="J4456" s="26" t="s">
        <v>77</v>
      </c>
      <c r="K4456" s="18"/>
      <c r="L4456" s="26" t="s">
        <v>77</v>
      </c>
      <c r="M4456" s="6" t="s">
        <v>77</v>
      </c>
      <c r="N4456" s="28" t="s">
        <v>77</v>
      </c>
      <c r="O4456" s="26" t="s">
        <v>77</v>
      </c>
    </row>
    <row r="4457">
      <c r="A4457" s="52" t="s">
        <v>77</v>
      </c>
      <c r="B4457" s="28" t="s">
        <v>77</v>
      </c>
      <c r="C4457" s="28" t="s">
        <v>77</v>
      </c>
      <c r="D4457" s="28" t="s">
        <v>77</v>
      </c>
      <c r="E4457" s="28" t="s">
        <v>77</v>
      </c>
      <c r="F4457" s="28" t="s">
        <v>77</v>
      </c>
      <c r="G4457" s="28" t="s">
        <v>77</v>
      </c>
      <c r="I4457" s="26" t="s">
        <v>77</v>
      </c>
      <c r="J4457" s="26" t="s">
        <v>77</v>
      </c>
      <c r="K4457" s="18"/>
      <c r="L4457" s="26" t="s">
        <v>77</v>
      </c>
      <c r="M4457" s="6" t="s">
        <v>77</v>
      </c>
      <c r="N4457" s="28" t="s">
        <v>77</v>
      </c>
      <c r="O4457" s="26" t="s">
        <v>77</v>
      </c>
    </row>
    <row r="4458">
      <c r="A4458" s="52" t="s">
        <v>77</v>
      </c>
      <c r="B4458" s="28" t="s">
        <v>77</v>
      </c>
      <c r="C4458" s="28" t="s">
        <v>77</v>
      </c>
      <c r="D4458" s="28" t="s">
        <v>77</v>
      </c>
      <c r="E4458" s="28" t="s">
        <v>77</v>
      </c>
      <c r="F4458" s="28" t="s">
        <v>77</v>
      </c>
      <c r="G4458" s="28" t="s">
        <v>77</v>
      </c>
      <c r="I4458" s="26" t="s">
        <v>77</v>
      </c>
      <c r="J4458" s="26" t="s">
        <v>77</v>
      </c>
      <c r="K4458" s="18"/>
      <c r="L4458" s="26" t="s">
        <v>77</v>
      </c>
      <c r="M4458" s="6" t="s">
        <v>77</v>
      </c>
      <c r="N4458" s="28" t="s">
        <v>77</v>
      </c>
      <c r="O4458" s="26" t="s">
        <v>77</v>
      </c>
    </row>
    <row r="4459">
      <c r="A4459" s="52" t="s">
        <v>77</v>
      </c>
      <c r="B4459" s="28" t="s">
        <v>77</v>
      </c>
      <c r="C4459" s="28" t="s">
        <v>77</v>
      </c>
      <c r="D4459" s="28" t="s">
        <v>77</v>
      </c>
      <c r="E4459" s="28" t="s">
        <v>77</v>
      </c>
      <c r="F4459" s="28" t="s">
        <v>77</v>
      </c>
      <c r="G4459" s="28" t="s">
        <v>77</v>
      </c>
      <c r="I4459" s="26" t="s">
        <v>77</v>
      </c>
      <c r="J4459" s="26" t="s">
        <v>77</v>
      </c>
      <c r="K4459" s="18"/>
      <c r="L4459" s="26" t="s">
        <v>77</v>
      </c>
      <c r="M4459" s="6" t="s">
        <v>77</v>
      </c>
      <c r="N4459" s="28" t="s">
        <v>77</v>
      </c>
      <c r="O4459" s="26" t="s">
        <v>77</v>
      </c>
    </row>
    <row r="4460">
      <c r="A4460" s="52" t="s">
        <v>77</v>
      </c>
      <c r="B4460" s="28" t="s">
        <v>77</v>
      </c>
      <c r="C4460" s="28" t="s">
        <v>77</v>
      </c>
      <c r="D4460" s="28" t="s">
        <v>77</v>
      </c>
      <c r="E4460" s="28" t="s">
        <v>77</v>
      </c>
      <c r="F4460" s="28" t="s">
        <v>77</v>
      </c>
      <c r="G4460" s="28" t="s">
        <v>77</v>
      </c>
      <c r="I4460" s="26" t="s">
        <v>77</v>
      </c>
      <c r="J4460" s="26" t="s">
        <v>77</v>
      </c>
      <c r="K4460" s="18"/>
      <c r="L4460" s="26" t="s">
        <v>77</v>
      </c>
      <c r="M4460" s="6" t="s">
        <v>77</v>
      </c>
      <c r="N4460" s="28" t="s">
        <v>77</v>
      </c>
      <c r="O4460" s="26" t="s">
        <v>77</v>
      </c>
    </row>
    <row r="4461">
      <c r="A4461" s="52" t="s">
        <v>77</v>
      </c>
      <c r="B4461" s="28" t="s">
        <v>77</v>
      </c>
      <c r="C4461" s="28" t="s">
        <v>77</v>
      </c>
      <c r="D4461" s="28" t="s">
        <v>77</v>
      </c>
      <c r="E4461" s="28" t="s">
        <v>77</v>
      </c>
      <c r="F4461" s="28" t="s">
        <v>77</v>
      </c>
      <c r="G4461" s="28" t="s">
        <v>77</v>
      </c>
      <c r="I4461" s="26" t="s">
        <v>77</v>
      </c>
      <c r="J4461" s="26" t="s">
        <v>77</v>
      </c>
      <c r="K4461" s="18"/>
      <c r="L4461" s="26" t="s">
        <v>77</v>
      </c>
      <c r="M4461" s="6" t="s">
        <v>77</v>
      </c>
      <c r="N4461" s="28" t="s">
        <v>77</v>
      </c>
      <c r="O4461" s="26" t="s">
        <v>77</v>
      </c>
    </row>
    <row r="4462">
      <c r="A4462" s="52" t="s">
        <v>77</v>
      </c>
      <c r="B4462" s="28" t="s">
        <v>77</v>
      </c>
      <c r="C4462" s="28" t="s">
        <v>77</v>
      </c>
      <c r="D4462" s="28" t="s">
        <v>77</v>
      </c>
      <c r="E4462" s="28" t="s">
        <v>77</v>
      </c>
      <c r="F4462" s="28" t="s">
        <v>77</v>
      </c>
      <c r="G4462" s="28" t="s">
        <v>77</v>
      </c>
      <c r="I4462" s="26" t="s">
        <v>77</v>
      </c>
      <c r="J4462" s="26" t="s">
        <v>77</v>
      </c>
      <c r="K4462" s="18"/>
      <c r="L4462" s="26" t="s">
        <v>77</v>
      </c>
      <c r="M4462" s="6" t="s">
        <v>77</v>
      </c>
      <c r="N4462" s="28" t="s">
        <v>77</v>
      </c>
      <c r="O4462" s="26" t="s">
        <v>77</v>
      </c>
    </row>
    <row r="4463">
      <c r="A4463" s="52" t="s">
        <v>77</v>
      </c>
      <c r="B4463" s="28" t="s">
        <v>77</v>
      </c>
      <c r="C4463" s="28" t="s">
        <v>77</v>
      </c>
      <c r="D4463" s="28" t="s">
        <v>77</v>
      </c>
      <c r="E4463" s="28" t="s">
        <v>77</v>
      </c>
      <c r="F4463" s="28" t="s">
        <v>77</v>
      </c>
      <c r="G4463" s="28" t="s">
        <v>77</v>
      </c>
      <c r="I4463" s="26" t="s">
        <v>77</v>
      </c>
      <c r="J4463" s="26" t="s">
        <v>77</v>
      </c>
      <c r="K4463" s="18"/>
      <c r="L4463" s="26" t="s">
        <v>77</v>
      </c>
      <c r="M4463" s="6" t="s">
        <v>77</v>
      </c>
      <c r="N4463" s="28" t="s">
        <v>77</v>
      </c>
      <c r="O4463" s="26" t="s">
        <v>77</v>
      </c>
    </row>
    <row r="4464">
      <c r="A4464" s="52" t="s">
        <v>77</v>
      </c>
      <c r="B4464" s="28" t="s">
        <v>77</v>
      </c>
      <c r="C4464" s="28" t="s">
        <v>77</v>
      </c>
      <c r="D4464" s="28" t="s">
        <v>77</v>
      </c>
      <c r="E4464" s="28" t="s">
        <v>77</v>
      </c>
      <c r="F4464" s="28" t="s">
        <v>77</v>
      </c>
      <c r="G4464" s="28" t="s">
        <v>77</v>
      </c>
      <c r="I4464" s="26" t="s">
        <v>77</v>
      </c>
      <c r="J4464" s="26" t="s">
        <v>77</v>
      </c>
      <c r="K4464" s="18"/>
      <c r="L4464" s="26" t="s">
        <v>77</v>
      </c>
      <c r="M4464" s="6" t="s">
        <v>77</v>
      </c>
      <c r="N4464" s="28" t="s">
        <v>77</v>
      </c>
      <c r="O4464" s="26" t="s">
        <v>77</v>
      </c>
    </row>
    <row r="4465">
      <c r="A4465" s="52" t="s">
        <v>77</v>
      </c>
      <c r="B4465" s="28" t="s">
        <v>77</v>
      </c>
      <c r="C4465" s="28" t="s">
        <v>77</v>
      </c>
      <c r="D4465" s="28" t="s">
        <v>77</v>
      </c>
      <c r="E4465" s="28" t="s">
        <v>77</v>
      </c>
      <c r="F4465" s="28" t="s">
        <v>77</v>
      </c>
      <c r="G4465" s="28" t="s">
        <v>77</v>
      </c>
      <c r="I4465" s="26" t="s">
        <v>77</v>
      </c>
      <c r="J4465" s="26" t="s">
        <v>77</v>
      </c>
      <c r="K4465" s="18"/>
      <c r="L4465" s="26" t="s">
        <v>77</v>
      </c>
      <c r="M4465" s="6" t="s">
        <v>77</v>
      </c>
      <c r="N4465" s="28" t="s">
        <v>77</v>
      </c>
      <c r="O4465" s="26" t="s">
        <v>77</v>
      </c>
    </row>
    <row r="4466">
      <c r="A4466" s="52" t="s">
        <v>77</v>
      </c>
      <c r="B4466" s="28" t="s">
        <v>77</v>
      </c>
      <c r="C4466" s="28" t="s">
        <v>77</v>
      </c>
      <c r="D4466" s="28" t="s">
        <v>77</v>
      </c>
      <c r="E4466" s="28" t="s">
        <v>77</v>
      </c>
      <c r="F4466" s="28" t="s">
        <v>77</v>
      </c>
      <c r="G4466" s="28" t="s">
        <v>77</v>
      </c>
      <c r="I4466" s="26" t="s">
        <v>77</v>
      </c>
      <c r="J4466" s="26" t="s">
        <v>77</v>
      </c>
      <c r="K4466" s="18"/>
      <c r="L4466" s="26" t="s">
        <v>77</v>
      </c>
      <c r="M4466" s="6" t="s">
        <v>77</v>
      </c>
      <c r="N4466" s="28" t="s">
        <v>77</v>
      </c>
      <c r="O4466" s="26" t="s">
        <v>77</v>
      </c>
    </row>
    <row r="4467">
      <c r="A4467" s="52" t="s">
        <v>77</v>
      </c>
      <c r="B4467" s="28" t="s">
        <v>77</v>
      </c>
      <c r="C4467" s="28" t="s">
        <v>77</v>
      </c>
      <c r="D4467" s="28" t="s">
        <v>77</v>
      </c>
      <c r="E4467" s="28" t="s">
        <v>77</v>
      </c>
      <c r="F4467" s="28" t="s">
        <v>77</v>
      </c>
      <c r="G4467" s="28" t="s">
        <v>77</v>
      </c>
      <c r="I4467" s="26" t="s">
        <v>77</v>
      </c>
      <c r="J4467" s="26" t="s">
        <v>77</v>
      </c>
      <c r="K4467" s="18"/>
      <c r="L4467" s="26" t="s">
        <v>77</v>
      </c>
      <c r="M4467" s="6" t="s">
        <v>77</v>
      </c>
      <c r="N4467" s="28" t="s">
        <v>77</v>
      </c>
      <c r="O4467" s="26" t="s">
        <v>77</v>
      </c>
    </row>
    <row r="4468">
      <c r="A4468" s="52" t="s">
        <v>77</v>
      </c>
      <c r="B4468" s="28" t="s">
        <v>77</v>
      </c>
      <c r="C4468" s="28" t="s">
        <v>77</v>
      </c>
      <c r="D4468" s="28" t="s">
        <v>77</v>
      </c>
      <c r="E4468" s="28" t="s">
        <v>77</v>
      </c>
      <c r="F4468" s="28" t="s">
        <v>77</v>
      </c>
      <c r="G4468" s="28" t="s">
        <v>77</v>
      </c>
      <c r="I4468" s="26" t="s">
        <v>77</v>
      </c>
      <c r="J4468" s="26" t="s">
        <v>77</v>
      </c>
      <c r="K4468" s="18"/>
      <c r="L4468" s="26" t="s">
        <v>77</v>
      </c>
      <c r="M4468" s="6" t="s">
        <v>77</v>
      </c>
      <c r="N4468" s="28" t="s">
        <v>77</v>
      </c>
      <c r="O4468" s="26" t="s">
        <v>77</v>
      </c>
    </row>
    <row r="4469">
      <c r="A4469" s="52" t="s">
        <v>77</v>
      </c>
      <c r="B4469" s="28" t="s">
        <v>77</v>
      </c>
      <c r="C4469" s="28" t="s">
        <v>77</v>
      </c>
      <c r="D4469" s="28" t="s">
        <v>77</v>
      </c>
      <c r="E4469" s="28" t="s">
        <v>77</v>
      </c>
      <c r="F4469" s="28" t="s">
        <v>77</v>
      </c>
      <c r="G4469" s="28" t="s">
        <v>77</v>
      </c>
      <c r="I4469" s="26" t="s">
        <v>77</v>
      </c>
      <c r="J4469" s="26" t="s">
        <v>77</v>
      </c>
      <c r="K4469" s="18"/>
      <c r="L4469" s="26" t="s">
        <v>77</v>
      </c>
      <c r="M4469" s="6" t="s">
        <v>77</v>
      </c>
      <c r="N4469" s="28" t="s">
        <v>77</v>
      </c>
      <c r="O4469" s="26" t="s">
        <v>77</v>
      </c>
    </row>
    <row r="4470">
      <c r="A4470" s="52" t="s">
        <v>77</v>
      </c>
      <c r="B4470" s="28" t="s">
        <v>77</v>
      </c>
      <c r="C4470" s="28" t="s">
        <v>77</v>
      </c>
      <c r="D4470" s="28" t="s">
        <v>77</v>
      </c>
      <c r="E4470" s="28" t="s">
        <v>77</v>
      </c>
      <c r="F4470" s="28" t="s">
        <v>77</v>
      </c>
      <c r="G4470" s="28" t="s">
        <v>77</v>
      </c>
      <c r="I4470" s="26" t="s">
        <v>77</v>
      </c>
      <c r="J4470" s="26" t="s">
        <v>77</v>
      </c>
      <c r="K4470" s="18"/>
      <c r="L4470" s="26" t="s">
        <v>77</v>
      </c>
      <c r="M4470" s="6" t="s">
        <v>77</v>
      </c>
      <c r="N4470" s="28" t="s">
        <v>77</v>
      </c>
      <c r="O4470" s="26" t="s">
        <v>77</v>
      </c>
    </row>
    <row r="4471">
      <c r="A4471" s="52" t="s">
        <v>77</v>
      </c>
      <c r="B4471" s="28" t="s">
        <v>77</v>
      </c>
      <c r="C4471" s="28" t="s">
        <v>77</v>
      </c>
      <c r="D4471" s="28" t="s">
        <v>77</v>
      </c>
      <c r="E4471" s="28" t="s">
        <v>77</v>
      </c>
      <c r="F4471" s="28" t="s">
        <v>77</v>
      </c>
      <c r="G4471" s="28" t="s">
        <v>77</v>
      </c>
      <c r="I4471" s="26" t="s">
        <v>77</v>
      </c>
      <c r="J4471" s="26" t="s">
        <v>77</v>
      </c>
      <c r="K4471" s="18"/>
      <c r="L4471" s="26" t="s">
        <v>77</v>
      </c>
      <c r="M4471" s="6" t="s">
        <v>77</v>
      </c>
      <c r="N4471" s="28" t="s">
        <v>77</v>
      </c>
      <c r="O4471" s="26" t="s">
        <v>77</v>
      </c>
    </row>
    <row r="4472">
      <c r="A4472" s="52" t="s">
        <v>77</v>
      </c>
      <c r="B4472" s="28" t="s">
        <v>77</v>
      </c>
      <c r="C4472" s="28" t="s">
        <v>77</v>
      </c>
      <c r="D4472" s="28" t="s">
        <v>77</v>
      </c>
      <c r="E4472" s="28" t="s">
        <v>77</v>
      </c>
      <c r="F4472" s="28" t="s">
        <v>77</v>
      </c>
      <c r="G4472" s="28" t="s">
        <v>77</v>
      </c>
      <c r="I4472" s="26" t="s">
        <v>77</v>
      </c>
      <c r="J4472" s="26" t="s">
        <v>77</v>
      </c>
      <c r="K4472" s="18"/>
      <c r="L4472" s="26" t="s">
        <v>77</v>
      </c>
      <c r="M4472" s="6" t="s">
        <v>77</v>
      </c>
      <c r="N4472" s="28" t="s">
        <v>77</v>
      </c>
      <c r="O4472" s="26" t="s">
        <v>77</v>
      </c>
    </row>
    <row r="4473">
      <c r="A4473" s="52" t="s">
        <v>77</v>
      </c>
      <c r="B4473" s="28" t="s">
        <v>77</v>
      </c>
      <c r="C4473" s="28" t="s">
        <v>77</v>
      </c>
      <c r="D4473" s="28" t="s">
        <v>77</v>
      </c>
      <c r="E4473" s="28" t="s">
        <v>77</v>
      </c>
      <c r="F4473" s="28" t="s">
        <v>77</v>
      </c>
      <c r="G4473" s="28" t="s">
        <v>77</v>
      </c>
      <c r="I4473" s="26" t="s">
        <v>77</v>
      </c>
      <c r="J4473" s="26" t="s">
        <v>77</v>
      </c>
      <c r="K4473" s="18"/>
      <c r="L4473" s="26" t="s">
        <v>77</v>
      </c>
      <c r="M4473" s="6" t="s">
        <v>77</v>
      </c>
      <c r="N4473" s="28" t="s">
        <v>77</v>
      </c>
      <c r="O4473" s="26" t="s">
        <v>77</v>
      </c>
    </row>
    <row r="4474">
      <c r="A4474" s="52" t="s">
        <v>77</v>
      </c>
      <c r="B4474" s="28" t="s">
        <v>77</v>
      </c>
      <c r="C4474" s="28" t="s">
        <v>77</v>
      </c>
      <c r="D4474" s="28" t="s">
        <v>77</v>
      </c>
      <c r="E4474" s="28" t="s">
        <v>77</v>
      </c>
      <c r="F4474" s="28" t="s">
        <v>77</v>
      </c>
      <c r="G4474" s="28" t="s">
        <v>77</v>
      </c>
      <c r="I4474" s="26" t="s">
        <v>77</v>
      </c>
      <c r="J4474" s="26" t="s">
        <v>77</v>
      </c>
      <c r="K4474" s="18"/>
      <c r="L4474" s="26" t="s">
        <v>77</v>
      </c>
      <c r="M4474" s="6" t="s">
        <v>77</v>
      </c>
      <c r="N4474" s="28" t="s">
        <v>77</v>
      </c>
      <c r="O4474" s="26" t="s">
        <v>77</v>
      </c>
    </row>
    <row r="4475">
      <c r="A4475" s="52" t="s">
        <v>77</v>
      </c>
      <c r="B4475" s="28" t="s">
        <v>77</v>
      </c>
      <c r="C4475" s="28" t="s">
        <v>77</v>
      </c>
      <c r="D4475" s="28" t="s">
        <v>77</v>
      </c>
      <c r="E4475" s="28" t="s">
        <v>77</v>
      </c>
      <c r="F4475" s="28" t="s">
        <v>77</v>
      </c>
      <c r="G4475" s="28" t="s">
        <v>77</v>
      </c>
      <c r="I4475" s="26" t="s">
        <v>77</v>
      </c>
      <c r="J4475" s="26" t="s">
        <v>77</v>
      </c>
      <c r="K4475" s="18"/>
      <c r="L4475" s="26" t="s">
        <v>77</v>
      </c>
      <c r="M4475" s="6" t="s">
        <v>77</v>
      </c>
      <c r="N4475" s="28" t="s">
        <v>77</v>
      </c>
      <c r="O4475" s="26" t="s">
        <v>77</v>
      </c>
    </row>
    <row r="4476">
      <c r="A4476" s="52" t="s">
        <v>77</v>
      </c>
      <c r="B4476" s="28" t="s">
        <v>77</v>
      </c>
      <c r="C4476" s="28" t="s">
        <v>77</v>
      </c>
      <c r="D4476" s="28" t="s">
        <v>77</v>
      </c>
      <c r="E4476" s="28" t="s">
        <v>77</v>
      </c>
      <c r="F4476" s="28" t="s">
        <v>77</v>
      </c>
      <c r="G4476" s="28" t="s">
        <v>77</v>
      </c>
      <c r="I4476" s="26" t="s">
        <v>77</v>
      </c>
      <c r="J4476" s="26" t="s">
        <v>77</v>
      </c>
      <c r="K4476" s="18"/>
      <c r="L4476" s="26" t="s">
        <v>77</v>
      </c>
      <c r="M4476" s="6" t="s">
        <v>77</v>
      </c>
      <c r="N4476" s="28" t="s">
        <v>77</v>
      </c>
      <c r="O4476" s="26" t="s">
        <v>77</v>
      </c>
    </row>
    <row r="4477">
      <c r="A4477" s="52" t="s">
        <v>77</v>
      </c>
      <c r="B4477" s="28" t="s">
        <v>77</v>
      </c>
      <c r="C4477" s="28" t="s">
        <v>77</v>
      </c>
      <c r="D4477" s="28" t="s">
        <v>77</v>
      </c>
      <c r="E4477" s="28" t="s">
        <v>77</v>
      </c>
      <c r="F4477" s="28" t="s">
        <v>77</v>
      </c>
      <c r="G4477" s="28" t="s">
        <v>77</v>
      </c>
      <c r="I4477" s="26" t="s">
        <v>77</v>
      </c>
      <c r="J4477" s="26" t="s">
        <v>77</v>
      </c>
      <c r="K4477" s="18"/>
      <c r="L4477" s="26" t="s">
        <v>77</v>
      </c>
      <c r="M4477" s="6" t="s">
        <v>77</v>
      </c>
      <c r="N4477" s="28" t="s">
        <v>77</v>
      </c>
      <c r="O4477" s="26" t="s">
        <v>77</v>
      </c>
    </row>
    <row r="4478">
      <c r="A4478" s="52" t="s">
        <v>77</v>
      </c>
      <c r="B4478" s="28" t="s">
        <v>77</v>
      </c>
      <c r="C4478" s="28" t="s">
        <v>77</v>
      </c>
      <c r="D4478" s="28" t="s">
        <v>77</v>
      </c>
      <c r="E4478" s="28" t="s">
        <v>77</v>
      </c>
      <c r="F4478" s="28" t="s">
        <v>77</v>
      </c>
      <c r="G4478" s="28" t="s">
        <v>77</v>
      </c>
      <c r="I4478" s="26" t="s">
        <v>77</v>
      </c>
      <c r="J4478" s="26" t="s">
        <v>77</v>
      </c>
      <c r="K4478" s="18"/>
      <c r="L4478" s="26" t="s">
        <v>77</v>
      </c>
      <c r="M4478" s="6" t="s">
        <v>77</v>
      </c>
      <c r="N4478" s="28" t="s">
        <v>77</v>
      </c>
      <c r="O4478" s="26" t="s">
        <v>77</v>
      </c>
    </row>
    <row r="4479">
      <c r="A4479" s="52" t="s">
        <v>77</v>
      </c>
      <c r="B4479" s="28" t="s">
        <v>77</v>
      </c>
      <c r="C4479" s="28" t="s">
        <v>77</v>
      </c>
      <c r="D4479" s="28" t="s">
        <v>77</v>
      </c>
      <c r="E4479" s="28" t="s">
        <v>77</v>
      </c>
      <c r="F4479" s="28" t="s">
        <v>77</v>
      </c>
      <c r="G4479" s="28" t="s">
        <v>77</v>
      </c>
      <c r="I4479" s="26" t="s">
        <v>77</v>
      </c>
      <c r="J4479" s="26" t="s">
        <v>77</v>
      </c>
      <c r="K4479" s="18"/>
      <c r="L4479" s="26" t="s">
        <v>77</v>
      </c>
      <c r="M4479" s="6" t="s">
        <v>77</v>
      </c>
      <c r="N4479" s="28" t="s">
        <v>77</v>
      </c>
      <c r="O4479" s="26" t="s">
        <v>77</v>
      </c>
    </row>
    <row r="4480">
      <c r="A4480" s="52" t="s">
        <v>77</v>
      </c>
      <c r="B4480" s="28" t="s">
        <v>77</v>
      </c>
      <c r="C4480" s="28" t="s">
        <v>77</v>
      </c>
      <c r="D4480" s="28" t="s">
        <v>77</v>
      </c>
      <c r="E4480" s="28" t="s">
        <v>77</v>
      </c>
      <c r="F4480" s="28" t="s">
        <v>77</v>
      </c>
      <c r="G4480" s="28" t="s">
        <v>77</v>
      </c>
      <c r="I4480" s="26" t="s">
        <v>77</v>
      </c>
      <c r="J4480" s="26" t="s">
        <v>77</v>
      </c>
      <c r="K4480" s="18"/>
      <c r="L4480" s="26" t="s">
        <v>77</v>
      </c>
      <c r="M4480" s="6" t="s">
        <v>77</v>
      </c>
      <c r="N4480" s="28" t="s">
        <v>77</v>
      </c>
      <c r="O4480" s="26" t="s">
        <v>77</v>
      </c>
    </row>
    <row r="4481">
      <c r="A4481" s="52" t="s">
        <v>77</v>
      </c>
      <c r="B4481" s="28" t="s">
        <v>77</v>
      </c>
      <c r="C4481" s="28" t="s">
        <v>77</v>
      </c>
      <c r="D4481" s="28" t="s">
        <v>77</v>
      </c>
      <c r="E4481" s="28" t="s">
        <v>77</v>
      </c>
      <c r="F4481" s="28" t="s">
        <v>77</v>
      </c>
      <c r="G4481" s="28" t="s">
        <v>77</v>
      </c>
      <c r="I4481" s="26" t="s">
        <v>77</v>
      </c>
      <c r="J4481" s="26" t="s">
        <v>77</v>
      </c>
      <c r="K4481" s="18"/>
      <c r="L4481" s="26" t="s">
        <v>77</v>
      </c>
      <c r="M4481" s="6" t="s">
        <v>77</v>
      </c>
      <c r="N4481" s="28" t="s">
        <v>77</v>
      </c>
      <c r="O4481" s="26" t="s">
        <v>77</v>
      </c>
    </row>
    <row r="4482">
      <c r="A4482" s="52" t="s">
        <v>77</v>
      </c>
      <c r="B4482" s="28" t="s">
        <v>77</v>
      </c>
      <c r="C4482" s="28" t="s">
        <v>77</v>
      </c>
      <c r="D4482" s="28" t="s">
        <v>77</v>
      </c>
      <c r="E4482" s="28" t="s">
        <v>77</v>
      </c>
      <c r="F4482" s="28" t="s">
        <v>77</v>
      </c>
      <c r="G4482" s="28" t="s">
        <v>77</v>
      </c>
      <c r="I4482" s="26" t="s">
        <v>77</v>
      </c>
      <c r="J4482" s="26" t="s">
        <v>77</v>
      </c>
      <c r="K4482" s="18"/>
      <c r="L4482" s="26" t="s">
        <v>77</v>
      </c>
      <c r="M4482" s="6" t="s">
        <v>77</v>
      </c>
      <c r="N4482" s="28" t="s">
        <v>77</v>
      </c>
      <c r="O4482" s="26" t="s">
        <v>77</v>
      </c>
    </row>
    <row r="4483">
      <c r="A4483" s="52" t="s">
        <v>77</v>
      </c>
      <c r="B4483" s="28" t="s">
        <v>77</v>
      </c>
      <c r="C4483" s="28" t="s">
        <v>77</v>
      </c>
      <c r="D4483" s="28" t="s">
        <v>77</v>
      </c>
      <c r="E4483" s="28" t="s">
        <v>77</v>
      </c>
      <c r="F4483" s="28" t="s">
        <v>77</v>
      </c>
      <c r="G4483" s="28" t="s">
        <v>77</v>
      </c>
      <c r="I4483" s="26" t="s">
        <v>77</v>
      </c>
      <c r="J4483" s="26" t="s">
        <v>77</v>
      </c>
      <c r="K4483" s="18"/>
      <c r="L4483" s="26" t="s">
        <v>77</v>
      </c>
      <c r="M4483" s="6" t="s">
        <v>77</v>
      </c>
      <c r="N4483" s="28" t="s">
        <v>77</v>
      </c>
      <c r="O4483" s="26" t="s">
        <v>77</v>
      </c>
    </row>
    <row r="4484">
      <c r="A4484" s="52" t="s">
        <v>77</v>
      </c>
      <c r="B4484" s="28" t="s">
        <v>77</v>
      </c>
      <c r="C4484" s="28" t="s">
        <v>77</v>
      </c>
      <c r="D4484" s="28" t="s">
        <v>77</v>
      </c>
      <c r="E4484" s="28" t="s">
        <v>77</v>
      </c>
      <c r="F4484" s="28" t="s">
        <v>77</v>
      </c>
      <c r="G4484" s="28" t="s">
        <v>77</v>
      </c>
      <c r="I4484" s="26" t="s">
        <v>77</v>
      </c>
      <c r="J4484" s="26" t="s">
        <v>77</v>
      </c>
      <c r="K4484" s="18"/>
      <c r="L4484" s="26" t="s">
        <v>77</v>
      </c>
      <c r="M4484" s="6" t="s">
        <v>77</v>
      </c>
      <c r="N4484" s="28" t="s">
        <v>77</v>
      </c>
      <c r="O4484" s="26" t="s">
        <v>77</v>
      </c>
    </row>
    <row r="4485">
      <c r="A4485" s="52" t="s">
        <v>77</v>
      </c>
      <c r="B4485" s="28" t="s">
        <v>77</v>
      </c>
      <c r="C4485" s="28" t="s">
        <v>77</v>
      </c>
      <c r="D4485" s="28" t="s">
        <v>77</v>
      </c>
      <c r="E4485" s="28" t="s">
        <v>77</v>
      </c>
      <c r="F4485" s="28" t="s">
        <v>77</v>
      </c>
      <c r="G4485" s="28" t="s">
        <v>77</v>
      </c>
      <c r="I4485" s="26" t="s">
        <v>77</v>
      </c>
      <c r="J4485" s="26" t="s">
        <v>77</v>
      </c>
      <c r="K4485" s="18"/>
      <c r="L4485" s="26" t="s">
        <v>77</v>
      </c>
      <c r="M4485" s="6" t="s">
        <v>77</v>
      </c>
      <c r="N4485" s="28" t="s">
        <v>77</v>
      </c>
      <c r="O4485" s="26" t="s">
        <v>77</v>
      </c>
    </row>
    <row r="4486">
      <c r="A4486" s="52" t="s">
        <v>77</v>
      </c>
      <c r="B4486" s="28" t="s">
        <v>77</v>
      </c>
      <c r="C4486" s="28" t="s">
        <v>77</v>
      </c>
      <c r="D4486" s="28" t="s">
        <v>77</v>
      </c>
      <c r="E4486" s="28" t="s">
        <v>77</v>
      </c>
      <c r="F4486" s="28" t="s">
        <v>77</v>
      </c>
      <c r="G4486" s="28" t="s">
        <v>77</v>
      </c>
      <c r="I4486" s="26" t="s">
        <v>77</v>
      </c>
      <c r="J4486" s="26" t="s">
        <v>77</v>
      </c>
      <c r="K4486" s="18"/>
      <c r="L4486" s="26" t="s">
        <v>77</v>
      </c>
      <c r="M4486" s="6" t="s">
        <v>77</v>
      </c>
      <c r="N4486" s="28" t="s">
        <v>77</v>
      </c>
      <c r="O4486" s="26" t="s">
        <v>77</v>
      </c>
    </row>
    <row r="4487">
      <c r="A4487" s="52" t="s">
        <v>77</v>
      </c>
      <c r="B4487" s="28" t="s">
        <v>77</v>
      </c>
      <c r="C4487" s="28" t="s">
        <v>77</v>
      </c>
      <c r="D4487" s="28" t="s">
        <v>77</v>
      </c>
      <c r="E4487" s="28" t="s">
        <v>77</v>
      </c>
      <c r="F4487" s="28" t="s">
        <v>77</v>
      </c>
      <c r="G4487" s="28" t="s">
        <v>77</v>
      </c>
      <c r="I4487" s="26" t="s">
        <v>77</v>
      </c>
      <c r="J4487" s="26" t="s">
        <v>77</v>
      </c>
      <c r="K4487" s="18"/>
      <c r="L4487" s="26" t="s">
        <v>77</v>
      </c>
      <c r="M4487" s="6" t="s">
        <v>77</v>
      </c>
      <c r="N4487" s="28" t="s">
        <v>77</v>
      </c>
      <c r="O4487" s="26" t="s">
        <v>77</v>
      </c>
    </row>
    <row r="4488">
      <c r="A4488" s="52" t="s">
        <v>77</v>
      </c>
      <c r="B4488" s="28" t="s">
        <v>77</v>
      </c>
      <c r="C4488" s="28" t="s">
        <v>77</v>
      </c>
      <c r="D4488" s="28" t="s">
        <v>77</v>
      </c>
      <c r="E4488" s="28" t="s">
        <v>77</v>
      </c>
      <c r="F4488" s="28" t="s">
        <v>77</v>
      </c>
      <c r="G4488" s="28" t="s">
        <v>77</v>
      </c>
      <c r="I4488" s="26" t="s">
        <v>77</v>
      </c>
      <c r="J4488" s="26" t="s">
        <v>77</v>
      </c>
      <c r="K4488" s="18"/>
      <c r="L4488" s="26" t="s">
        <v>77</v>
      </c>
      <c r="M4488" s="6" t="s">
        <v>77</v>
      </c>
      <c r="N4488" s="28" t="s">
        <v>77</v>
      </c>
      <c r="O4488" s="26" t="s">
        <v>77</v>
      </c>
    </row>
    <row r="4489">
      <c r="A4489" s="52" t="s">
        <v>77</v>
      </c>
      <c r="B4489" s="28" t="s">
        <v>77</v>
      </c>
      <c r="C4489" s="28" t="s">
        <v>77</v>
      </c>
      <c r="D4489" s="28" t="s">
        <v>77</v>
      </c>
      <c r="E4489" s="28" t="s">
        <v>77</v>
      </c>
      <c r="F4489" s="28" t="s">
        <v>77</v>
      </c>
      <c r="G4489" s="28" t="s">
        <v>77</v>
      </c>
      <c r="I4489" s="26" t="s">
        <v>77</v>
      </c>
      <c r="J4489" s="26" t="s">
        <v>77</v>
      </c>
      <c r="K4489" s="18"/>
      <c r="L4489" s="26" t="s">
        <v>77</v>
      </c>
      <c r="M4489" s="6" t="s">
        <v>77</v>
      </c>
      <c r="N4489" s="28" t="s">
        <v>77</v>
      </c>
      <c r="O4489" s="26" t="s">
        <v>77</v>
      </c>
    </row>
    <row r="4490">
      <c r="A4490" s="52" t="s">
        <v>77</v>
      </c>
      <c r="B4490" s="28" t="s">
        <v>77</v>
      </c>
      <c r="C4490" s="28" t="s">
        <v>77</v>
      </c>
      <c r="D4490" s="28" t="s">
        <v>77</v>
      </c>
      <c r="E4490" s="28" t="s">
        <v>77</v>
      </c>
      <c r="F4490" s="28" t="s">
        <v>77</v>
      </c>
      <c r="G4490" s="28" t="s">
        <v>77</v>
      </c>
      <c r="I4490" s="26" t="s">
        <v>77</v>
      </c>
      <c r="J4490" s="26" t="s">
        <v>77</v>
      </c>
      <c r="K4490" s="18"/>
      <c r="L4490" s="26" t="s">
        <v>77</v>
      </c>
      <c r="M4490" s="6" t="s">
        <v>77</v>
      </c>
      <c r="N4490" s="28" t="s">
        <v>77</v>
      </c>
      <c r="O4490" s="26" t="s">
        <v>77</v>
      </c>
    </row>
    <row r="4491">
      <c r="A4491" s="52" t="s">
        <v>77</v>
      </c>
      <c r="B4491" s="28" t="s">
        <v>77</v>
      </c>
      <c r="C4491" s="28" t="s">
        <v>77</v>
      </c>
      <c r="D4491" s="28" t="s">
        <v>77</v>
      </c>
      <c r="E4491" s="28" t="s">
        <v>77</v>
      </c>
      <c r="F4491" s="28" t="s">
        <v>77</v>
      </c>
      <c r="G4491" s="28" t="s">
        <v>77</v>
      </c>
      <c r="I4491" s="26" t="s">
        <v>77</v>
      </c>
      <c r="J4491" s="26" t="s">
        <v>77</v>
      </c>
      <c r="K4491" s="18"/>
      <c r="L4491" s="26" t="s">
        <v>77</v>
      </c>
      <c r="M4491" s="6" t="s">
        <v>77</v>
      </c>
      <c r="N4491" s="28" t="s">
        <v>77</v>
      </c>
      <c r="O4491" s="26" t="s">
        <v>77</v>
      </c>
    </row>
    <row r="4492">
      <c r="A4492" s="52" t="s">
        <v>77</v>
      </c>
      <c r="B4492" s="28" t="s">
        <v>77</v>
      </c>
      <c r="C4492" s="28" t="s">
        <v>77</v>
      </c>
      <c r="D4492" s="28" t="s">
        <v>77</v>
      </c>
      <c r="E4492" s="28" t="s">
        <v>77</v>
      </c>
      <c r="F4492" s="28" t="s">
        <v>77</v>
      </c>
      <c r="G4492" s="28" t="s">
        <v>77</v>
      </c>
      <c r="I4492" s="26" t="s">
        <v>77</v>
      </c>
      <c r="J4492" s="26" t="s">
        <v>77</v>
      </c>
      <c r="K4492" s="18"/>
      <c r="L4492" s="26" t="s">
        <v>77</v>
      </c>
      <c r="M4492" s="6" t="s">
        <v>77</v>
      </c>
      <c r="N4492" s="28" t="s">
        <v>77</v>
      </c>
      <c r="O4492" s="26" t="s">
        <v>77</v>
      </c>
    </row>
    <row r="4493">
      <c r="A4493" s="52" t="s">
        <v>77</v>
      </c>
      <c r="B4493" s="28" t="s">
        <v>77</v>
      </c>
      <c r="C4493" s="28" t="s">
        <v>77</v>
      </c>
      <c r="D4493" s="28" t="s">
        <v>77</v>
      </c>
      <c r="E4493" s="28" t="s">
        <v>77</v>
      </c>
      <c r="F4493" s="28" t="s">
        <v>77</v>
      </c>
      <c r="G4493" s="28" t="s">
        <v>77</v>
      </c>
      <c r="I4493" s="26" t="s">
        <v>77</v>
      </c>
      <c r="J4493" s="26" t="s">
        <v>77</v>
      </c>
      <c r="K4493" s="18"/>
      <c r="L4493" s="26" t="s">
        <v>77</v>
      </c>
      <c r="M4493" s="6" t="s">
        <v>77</v>
      </c>
      <c r="N4493" s="28" t="s">
        <v>77</v>
      </c>
      <c r="O4493" s="26" t="s">
        <v>77</v>
      </c>
    </row>
    <row r="4494">
      <c r="A4494" s="52" t="s">
        <v>77</v>
      </c>
      <c r="B4494" s="28" t="s">
        <v>77</v>
      </c>
      <c r="C4494" s="28" t="s">
        <v>77</v>
      </c>
      <c r="D4494" s="28" t="s">
        <v>77</v>
      </c>
      <c r="E4494" s="28" t="s">
        <v>77</v>
      </c>
      <c r="F4494" s="28" t="s">
        <v>77</v>
      </c>
      <c r="G4494" s="28" t="s">
        <v>77</v>
      </c>
      <c r="I4494" s="26" t="s">
        <v>77</v>
      </c>
      <c r="J4494" s="26" t="s">
        <v>77</v>
      </c>
      <c r="K4494" s="18"/>
      <c r="L4494" s="26" t="s">
        <v>77</v>
      </c>
      <c r="M4494" s="6" t="s">
        <v>77</v>
      </c>
      <c r="N4494" s="28" t="s">
        <v>77</v>
      </c>
      <c r="O4494" s="26" t="s">
        <v>77</v>
      </c>
    </row>
    <row r="4495">
      <c r="A4495" s="52" t="s">
        <v>77</v>
      </c>
      <c r="B4495" s="28" t="s">
        <v>77</v>
      </c>
      <c r="C4495" s="28" t="s">
        <v>77</v>
      </c>
      <c r="D4495" s="28" t="s">
        <v>77</v>
      </c>
      <c r="E4495" s="28" t="s">
        <v>77</v>
      </c>
      <c r="F4495" s="28" t="s">
        <v>77</v>
      </c>
      <c r="G4495" s="28" t="s">
        <v>77</v>
      </c>
      <c r="I4495" s="26" t="s">
        <v>77</v>
      </c>
      <c r="J4495" s="26" t="s">
        <v>77</v>
      </c>
      <c r="K4495" s="18"/>
      <c r="L4495" s="26" t="s">
        <v>77</v>
      </c>
      <c r="M4495" s="6" t="s">
        <v>77</v>
      </c>
      <c r="N4495" s="28" t="s">
        <v>77</v>
      </c>
      <c r="O4495" s="26" t="s">
        <v>77</v>
      </c>
    </row>
    <row r="4496">
      <c r="A4496" s="52" t="s">
        <v>77</v>
      </c>
      <c r="B4496" s="28" t="s">
        <v>77</v>
      </c>
      <c r="C4496" s="28" t="s">
        <v>77</v>
      </c>
      <c r="D4496" s="28" t="s">
        <v>77</v>
      </c>
      <c r="E4496" s="28" t="s">
        <v>77</v>
      </c>
      <c r="F4496" s="28" t="s">
        <v>77</v>
      </c>
      <c r="G4496" s="28" t="s">
        <v>77</v>
      </c>
      <c r="I4496" s="26" t="s">
        <v>77</v>
      </c>
      <c r="J4496" s="26" t="s">
        <v>77</v>
      </c>
      <c r="K4496" s="18"/>
      <c r="L4496" s="26" t="s">
        <v>77</v>
      </c>
      <c r="M4496" s="6" t="s">
        <v>77</v>
      </c>
      <c r="N4496" s="28" t="s">
        <v>77</v>
      </c>
      <c r="O4496" s="26" t="s">
        <v>77</v>
      </c>
    </row>
    <row r="4497">
      <c r="A4497" s="52" t="s">
        <v>77</v>
      </c>
      <c r="B4497" s="28" t="s">
        <v>77</v>
      </c>
      <c r="C4497" s="28" t="s">
        <v>77</v>
      </c>
      <c r="D4497" s="28" t="s">
        <v>77</v>
      </c>
      <c r="E4497" s="28" t="s">
        <v>77</v>
      </c>
      <c r="F4497" s="28" t="s">
        <v>77</v>
      </c>
      <c r="G4497" s="28" t="s">
        <v>77</v>
      </c>
      <c r="I4497" s="26" t="s">
        <v>77</v>
      </c>
      <c r="J4497" s="26" t="s">
        <v>77</v>
      </c>
      <c r="K4497" s="18"/>
      <c r="L4497" s="26" t="s">
        <v>77</v>
      </c>
      <c r="M4497" s="6" t="s">
        <v>77</v>
      </c>
      <c r="N4497" s="28" t="s">
        <v>77</v>
      </c>
      <c r="O4497" s="26" t="s">
        <v>77</v>
      </c>
    </row>
    <row r="4498">
      <c r="A4498" s="52" t="s">
        <v>77</v>
      </c>
      <c r="B4498" s="28" t="s">
        <v>77</v>
      </c>
      <c r="C4498" s="28" t="s">
        <v>77</v>
      </c>
      <c r="D4498" s="28" t="s">
        <v>77</v>
      </c>
      <c r="E4498" s="28" t="s">
        <v>77</v>
      </c>
      <c r="F4498" s="28" t="s">
        <v>77</v>
      </c>
      <c r="G4498" s="28" t="s">
        <v>77</v>
      </c>
      <c r="I4498" s="26" t="s">
        <v>77</v>
      </c>
      <c r="J4498" s="26" t="s">
        <v>77</v>
      </c>
      <c r="K4498" s="18"/>
      <c r="L4498" s="26" t="s">
        <v>77</v>
      </c>
      <c r="M4498" s="6" t="s">
        <v>77</v>
      </c>
      <c r="N4498" s="28" t="s">
        <v>77</v>
      </c>
      <c r="O4498" s="26" t="s">
        <v>77</v>
      </c>
    </row>
    <row r="4499">
      <c r="A4499" s="52" t="s">
        <v>77</v>
      </c>
      <c r="B4499" s="28" t="s">
        <v>77</v>
      </c>
      <c r="C4499" s="28" t="s">
        <v>77</v>
      </c>
      <c r="D4499" s="28" t="s">
        <v>77</v>
      </c>
      <c r="E4499" s="28" t="s">
        <v>77</v>
      </c>
      <c r="F4499" s="28" t="s">
        <v>77</v>
      </c>
      <c r="G4499" s="28" t="s">
        <v>77</v>
      </c>
      <c r="I4499" s="26" t="s">
        <v>77</v>
      </c>
      <c r="J4499" s="26" t="s">
        <v>77</v>
      </c>
      <c r="K4499" s="18"/>
      <c r="L4499" s="26" t="s">
        <v>77</v>
      </c>
      <c r="M4499" s="6" t="s">
        <v>77</v>
      </c>
      <c r="N4499" s="28" t="s">
        <v>77</v>
      </c>
      <c r="O4499" s="26" t="s">
        <v>77</v>
      </c>
    </row>
    <row r="4500">
      <c r="A4500" s="52" t="s">
        <v>77</v>
      </c>
      <c r="B4500" s="28" t="s">
        <v>77</v>
      </c>
      <c r="C4500" s="28" t="s">
        <v>77</v>
      </c>
      <c r="D4500" s="28" t="s">
        <v>77</v>
      </c>
      <c r="E4500" s="28" t="s">
        <v>77</v>
      </c>
      <c r="F4500" s="28" t="s">
        <v>77</v>
      </c>
      <c r="G4500" s="28" t="s">
        <v>77</v>
      </c>
      <c r="I4500" s="26" t="s">
        <v>77</v>
      </c>
      <c r="J4500" s="26" t="s">
        <v>77</v>
      </c>
      <c r="K4500" s="18"/>
      <c r="L4500" s="26" t="s">
        <v>77</v>
      </c>
      <c r="M4500" s="6" t="s">
        <v>77</v>
      </c>
      <c r="N4500" s="28" t="s">
        <v>77</v>
      </c>
      <c r="O4500" s="26" t="s">
        <v>77</v>
      </c>
    </row>
    <row r="4501">
      <c r="A4501" s="52" t="s">
        <v>77</v>
      </c>
      <c r="B4501" s="28" t="s">
        <v>77</v>
      </c>
      <c r="C4501" s="28" t="s">
        <v>77</v>
      </c>
      <c r="D4501" s="28" t="s">
        <v>77</v>
      </c>
      <c r="E4501" s="28" t="s">
        <v>77</v>
      </c>
      <c r="F4501" s="28" t="s">
        <v>77</v>
      </c>
      <c r="G4501" s="28" t="s">
        <v>77</v>
      </c>
      <c r="I4501" s="26" t="s">
        <v>77</v>
      </c>
      <c r="J4501" s="26" t="s">
        <v>77</v>
      </c>
      <c r="K4501" s="18"/>
      <c r="L4501" s="26" t="s">
        <v>77</v>
      </c>
      <c r="M4501" s="6" t="s">
        <v>77</v>
      </c>
      <c r="N4501" s="28" t="s">
        <v>77</v>
      </c>
      <c r="O4501" s="26" t="s">
        <v>77</v>
      </c>
    </row>
    <row r="4502">
      <c r="A4502" s="52" t="s">
        <v>77</v>
      </c>
      <c r="B4502" s="28" t="s">
        <v>77</v>
      </c>
      <c r="C4502" s="28" t="s">
        <v>77</v>
      </c>
      <c r="D4502" s="28" t="s">
        <v>77</v>
      </c>
      <c r="E4502" s="28" t="s">
        <v>77</v>
      </c>
      <c r="F4502" s="28" t="s">
        <v>77</v>
      </c>
      <c r="G4502" s="28" t="s">
        <v>77</v>
      </c>
      <c r="I4502" s="26" t="s">
        <v>77</v>
      </c>
      <c r="J4502" s="26" t="s">
        <v>77</v>
      </c>
      <c r="K4502" s="18"/>
      <c r="L4502" s="26" t="s">
        <v>77</v>
      </c>
      <c r="M4502" s="6" t="s">
        <v>77</v>
      </c>
      <c r="N4502" s="28" t="s">
        <v>77</v>
      </c>
      <c r="O4502" s="26" t="s">
        <v>77</v>
      </c>
    </row>
    <row r="4503">
      <c r="A4503" s="52" t="s">
        <v>77</v>
      </c>
      <c r="B4503" s="28" t="s">
        <v>77</v>
      </c>
      <c r="C4503" s="28" t="s">
        <v>77</v>
      </c>
      <c r="D4503" s="28" t="s">
        <v>77</v>
      </c>
      <c r="E4503" s="28" t="s">
        <v>77</v>
      </c>
      <c r="F4503" s="28" t="s">
        <v>77</v>
      </c>
      <c r="G4503" s="28" t="s">
        <v>77</v>
      </c>
      <c r="I4503" s="26" t="s">
        <v>77</v>
      </c>
      <c r="J4503" s="26" t="s">
        <v>77</v>
      </c>
      <c r="K4503" s="18"/>
      <c r="L4503" s="26" t="s">
        <v>77</v>
      </c>
      <c r="M4503" s="6" t="s">
        <v>77</v>
      </c>
      <c r="N4503" s="28" t="s">
        <v>77</v>
      </c>
      <c r="O4503" s="26" t="s">
        <v>77</v>
      </c>
    </row>
    <row r="4504">
      <c r="A4504" s="52" t="s">
        <v>77</v>
      </c>
      <c r="B4504" s="28" t="s">
        <v>77</v>
      </c>
      <c r="C4504" s="28" t="s">
        <v>77</v>
      </c>
      <c r="D4504" s="28" t="s">
        <v>77</v>
      </c>
      <c r="E4504" s="28" t="s">
        <v>77</v>
      </c>
      <c r="F4504" s="28" t="s">
        <v>77</v>
      </c>
      <c r="G4504" s="28" t="s">
        <v>77</v>
      </c>
      <c r="I4504" s="26" t="s">
        <v>77</v>
      </c>
      <c r="J4504" s="26" t="s">
        <v>77</v>
      </c>
      <c r="K4504" s="18"/>
      <c r="L4504" s="26" t="s">
        <v>77</v>
      </c>
      <c r="M4504" s="6" t="s">
        <v>77</v>
      </c>
      <c r="N4504" s="28" t="s">
        <v>77</v>
      </c>
      <c r="O4504" s="26" t="s">
        <v>77</v>
      </c>
    </row>
    <row r="4505">
      <c r="A4505" s="52" t="s">
        <v>77</v>
      </c>
      <c r="B4505" s="28" t="s">
        <v>77</v>
      </c>
      <c r="C4505" s="28" t="s">
        <v>77</v>
      </c>
      <c r="D4505" s="28" t="s">
        <v>77</v>
      </c>
      <c r="E4505" s="28" t="s">
        <v>77</v>
      </c>
      <c r="F4505" s="28" t="s">
        <v>77</v>
      </c>
      <c r="G4505" s="28" t="s">
        <v>77</v>
      </c>
      <c r="I4505" s="26" t="s">
        <v>77</v>
      </c>
      <c r="J4505" s="26" t="s">
        <v>77</v>
      </c>
      <c r="K4505" s="18"/>
      <c r="L4505" s="26" t="s">
        <v>77</v>
      </c>
      <c r="M4505" s="6" t="s">
        <v>77</v>
      </c>
      <c r="N4505" s="28" t="s">
        <v>77</v>
      </c>
      <c r="O4505" s="26" t="s">
        <v>77</v>
      </c>
    </row>
    <row r="4506">
      <c r="A4506" s="52" t="s">
        <v>77</v>
      </c>
      <c r="B4506" s="28" t="s">
        <v>77</v>
      </c>
      <c r="C4506" s="28" t="s">
        <v>77</v>
      </c>
      <c r="D4506" s="28" t="s">
        <v>77</v>
      </c>
      <c r="E4506" s="28" t="s">
        <v>77</v>
      </c>
      <c r="F4506" s="28" t="s">
        <v>77</v>
      </c>
      <c r="G4506" s="28" t="s">
        <v>77</v>
      </c>
      <c r="I4506" s="26" t="s">
        <v>77</v>
      </c>
      <c r="J4506" s="26" t="s">
        <v>77</v>
      </c>
      <c r="K4506" s="18"/>
      <c r="L4506" s="26" t="s">
        <v>77</v>
      </c>
      <c r="M4506" s="6" t="s">
        <v>77</v>
      </c>
      <c r="N4506" s="28" t="s">
        <v>77</v>
      </c>
      <c r="O4506" s="26" t="s">
        <v>77</v>
      </c>
    </row>
    <row r="4507">
      <c r="A4507" s="52" t="s">
        <v>77</v>
      </c>
      <c r="B4507" s="28" t="s">
        <v>77</v>
      </c>
      <c r="C4507" s="28" t="s">
        <v>77</v>
      </c>
      <c r="D4507" s="28" t="s">
        <v>77</v>
      </c>
      <c r="E4507" s="28" t="s">
        <v>77</v>
      </c>
      <c r="F4507" s="28" t="s">
        <v>77</v>
      </c>
      <c r="G4507" s="28" t="s">
        <v>77</v>
      </c>
      <c r="I4507" s="26" t="s">
        <v>77</v>
      </c>
      <c r="J4507" s="26" t="s">
        <v>77</v>
      </c>
      <c r="K4507" s="18"/>
      <c r="L4507" s="26" t="s">
        <v>77</v>
      </c>
      <c r="M4507" s="6" t="s">
        <v>77</v>
      </c>
      <c r="N4507" s="28" t="s">
        <v>77</v>
      </c>
      <c r="O4507" s="26" t="s">
        <v>77</v>
      </c>
    </row>
    <row r="4508">
      <c r="A4508" s="52" t="s">
        <v>77</v>
      </c>
      <c r="B4508" s="28" t="s">
        <v>77</v>
      </c>
      <c r="C4508" s="28" t="s">
        <v>77</v>
      </c>
      <c r="D4508" s="28" t="s">
        <v>77</v>
      </c>
      <c r="E4508" s="28" t="s">
        <v>77</v>
      </c>
      <c r="F4508" s="28" t="s">
        <v>77</v>
      </c>
      <c r="G4508" s="28" t="s">
        <v>77</v>
      </c>
      <c r="I4508" s="26" t="s">
        <v>77</v>
      </c>
      <c r="J4508" s="26" t="s">
        <v>77</v>
      </c>
      <c r="K4508" s="18"/>
      <c r="L4508" s="26" t="s">
        <v>77</v>
      </c>
      <c r="M4508" s="6" t="s">
        <v>77</v>
      </c>
      <c r="N4508" s="28" t="s">
        <v>77</v>
      </c>
      <c r="O4508" s="26" t="s">
        <v>77</v>
      </c>
    </row>
    <row r="4509">
      <c r="A4509" s="52" t="s">
        <v>77</v>
      </c>
      <c r="B4509" s="28" t="s">
        <v>77</v>
      </c>
      <c r="C4509" s="28" t="s">
        <v>77</v>
      </c>
      <c r="D4509" s="28" t="s">
        <v>77</v>
      </c>
      <c r="E4509" s="28" t="s">
        <v>77</v>
      </c>
      <c r="F4509" s="28" t="s">
        <v>77</v>
      </c>
      <c r="G4509" s="28" t="s">
        <v>77</v>
      </c>
      <c r="I4509" s="26" t="s">
        <v>77</v>
      </c>
      <c r="J4509" s="26" t="s">
        <v>77</v>
      </c>
      <c r="K4509" s="18"/>
      <c r="L4509" s="26" t="s">
        <v>77</v>
      </c>
      <c r="M4509" s="6" t="s">
        <v>77</v>
      </c>
      <c r="N4509" s="28" t="s">
        <v>77</v>
      </c>
      <c r="O4509" s="26" t="s">
        <v>77</v>
      </c>
    </row>
    <row r="4510">
      <c r="A4510" s="52" t="s">
        <v>77</v>
      </c>
      <c r="B4510" s="28" t="s">
        <v>77</v>
      </c>
      <c r="C4510" s="28" t="s">
        <v>77</v>
      </c>
      <c r="D4510" s="28" t="s">
        <v>77</v>
      </c>
      <c r="E4510" s="28" t="s">
        <v>77</v>
      </c>
      <c r="F4510" s="28" t="s">
        <v>77</v>
      </c>
      <c r="G4510" s="28" t="s">
        <v>77</v>
      </c>
      <c r="I4510" s="26" t="s">
        <v>77</v>
      </c>
      <c r="J4510" s="26" t="s">
        <v>77</v>
      </c>
      <c r="K4510" s="18"/>
      <c r="L4510" s="26" t="s">
        <v>77</v>
      </c>
      <c r="M4510" s="6" t="s">
        <v>77</v>
      </c>
      <c r="N4510" s="28" t="s">
        <v>77</v>
      </c>
      <c r="O4510" s="26" t="s">
        <v>77</v>
      </c>
    </row>
    <row r="4511">
      <c r="A4511" s="52" t="s">
        <v>77</v>
      </c>
      <c r="B4511" s="28" t="s">
        <v>77</v>
      </c>
      <c r="C4511" s="28" t="s">
        <v>77</v>
      </c>
      <c r="D4511" s="28" t="s">
        <v>77</v>
      </c>
      <c r="E4511" s="28" t="s">
        <v>77</v>
      </c>
      <c r="F4511" s="28" t="s">
        <v>77</v>
      </c>
      <c r="G4511" s="28" t="s">
        <v>77</v>
      </c>
      <c r="I4511" s="26" t="s">
        <v>77</v>
      </c>
      <c r="J4511" s="26" t="s">
        <v>77</v>
      </c>
      <c r="K4511" s="18"/>
      <c r="L4511" s="26" t="s">
        <v>77</v>
      </c>
      <c r="M4511" s="6" t="s">
        <v>77</v>
      </c>
      <c r="N4511" s="28" t="s">
        <v>77</v>
      </c>
      <c r="O4511" s="26" t="s">
        <v>77</v>
      </c>
    </row>
    <row r="4512">
      <c r="A4512" s="52" t="s">
        <v>77</v>
      </c>
      <c r="B4512" s="28" t="s">
        <v>77</v>
      </c>
      <c r="C4512" s="28" t="s">
        <v>77</v>
      </c>
      <c r="D4512" s="28" t="s">
        <v>77</v>
      </c>
      <c r="E4512" s="28" t="s">
        <v>77</v>
      </c>
      <c r="F4512" s="28" t="s">
        <v>77</v>
      </c>
      <c r="G4512" s="28" t="s">
        <v>77</v>
      </c>
      <c r="I4512" s="26" t="s">
        <v>77</v>
      </c>
      <c r="J4512" s="26" t="s">
        <v>77</v>
      </c>
      <c r="K4512" s="18"/>
      <c r="L4512" s="26" t="s">
        <v>77</v>
      </c>
      <c r="M4512" s="6" t="s">
        <v>77</v>
      </c>
      <c r="N4512" s="28" t="s">
        <v>77</v>
      </c>
      <c r="O4512" s="26" t="s">
        <v>77</v>
      </c>
    </row>
    <row r="4513">
      <c r="A4513" s="52" t="s">
        <v>77</v>
      </c>
      <c r="B4513" s="28" t="s">
        <v>77</v>
      </c>
      <c r="C4513" s="28" t="s">
        <v>77</v>
      </c>
      <c r="D4513" s="28" t="s">
        <v>77</v>
      </c>
      <c r="E4513" s="28" t="s">
        <v>77</v>
      </c>
      <c r="F4513" s="28" t="s">
        <v>77</v>
      </c>
      <c r="G4513" s="28" t="s">
        <v>77</v>
      </c>
      <c r="I4513" s="26" t="s">
        <v>77</v>
      </c>
      <c r="J4513" s="26" t="s">
        <v>77</v>
      </c>
      <c r="K4513" s="18"/>
      <c r="L4513" s="26" t="s">
        <v>77</v>
      </c>
      <c r="M4513" s="6" t="s">
        <v>77</v>
      </c>
      <c r="N4513" s="28" t="s">
        <v>77</v>
      </c>
      <c r="O4513" s="26" t="s">
        <v>77</v>
      </c>
    </row>
    <row r="4514">
      <c r="A4514" s="52" t="s">
        <v>77</v>
      </c>
      <c r="B4514" s="28" t="s">
        <v>77</v>
      </c>
      <c r="C4514" s="28" t="s">
        <v>77</v>
      </c>
      <c r="D4514" s="28" t="s">
        <v>77</v>
      </c>
      <c r="E4514" s="28" t="s">
        <v>77</v>
      </c>
      <c r="F4514" s="28" t="s">
        <v>77</v>
      </c>
      <c r="G4514" s="28" t="s">
        <v>77</v>
      </c>
      <c r="I4514" s="26" t="s">
        <v>77</v>
      </c>
      <c r="J4514" s="26" t="s">
        <v>77</v>
      </c>
      <c r="K4514" s="18"/>
      <c r="L4514" s="26" t="s">
        <v>77</v>
      </c>
      <c r="M4514" s="6" t="s">
        <v>77</v>
      </c>
      <c r="N4514" s="28" t="s">
        <v>77</v>
      </c>
      <c r="O4514" s="26" t="s">
        <v>77</v>
      </c>
    </row>
    <row r="4515">
      <c r="A4515" s="52" t="s">
        <v>77</v>
      </c>
      <c r="B4515" s="28" t="s">
        <v>77</v>
      </c>
      <c r="C4515" s="28" t="s">
        <v>77</v>
      </c>
      <c r="D4515" s="28" t="s">
        <v>77</v>
      </c>
      <c r="E4515" s="28" t="s">
        <v>77</v>
      </c>
      <c r="F4515" s="28" t="s">
        <v>77</v>
      </c>
      <c r="G4515" s="28" t="s">
        <v>77</v>
      </c>
      <c r="I4515" s="26" t="s">
        <v>77</v>
      </c>
      <c r="J4515" s="26" t="s">
        <v>77</v>
      </c>
      <c r="K4515" s="18"/>
      <c r="L4515" s="26" t="s">
        <v>77</v>
      </c>
      <c r="M4515" s="6" t="s">
        <v>77</v>
      </c>
      <c r="N4515" s="28" t="s">
        <v>77</v>
      </c>
      <c r="O4515" s="26" t="s">
        <v>77</v>
      </c>
    </row>
    <row r="4516">
      <c r="A4516" s="52" t="s">
        <v>77</v>
      </c>
      <c r="B4516" s="28" t="s">
        <v>77</v>
      </c>
      <c r="C4516" s="28" t="s">
        <v>77</v>
      </c>
      <c r="D4516" s="28" t="s">
        <v>77</v>
      </c>
      <c r="E4516" s="28" t="s">
        <v>77</v>
      </c>
      <c r="F4516" s="28" t="s">
        <v>77</v>
      </c>
      <c r="G4516" s="28" t="s">
        <v>77</v>
      </c>
      <c r="I4516" s="26" t="s">
        <v>77</v>
      </c>
      <c r="J4516" s="26" t="s">
        <v>77</v>
      </c>
      <c r="K4516" s="18"/>
      <c r="L4516" s="26" t="s">
        <v>77</v>
      </c>
      <c r="M4516" s="6" t="s">
        <v>77</v>
      </c>
      <c r="N4516" s="28" t="s">
        <v>77</v>
      </c>
      <c r="O4516" s="26" t="s">
        <v>77</v>
      </c>
    </row>
    <row r="4517">
      <c r="A4517" s="52" t="s">
        <v>77</v>
      </c>
      <c r="B4517" s="28" t="s">
        <v>77</v>
      </c>
      <c r="C4517" s="28" t="s">
        <v>77</v>
      </c>
      <c r="D4517" s="28" t="s">
        <v>77</v>
      </c>
      <c r="E4517" s="28" t="s">
        <v>77</v>
      </c>
      <c r="F4517" s="28" t="s">
        <v>77</v>
      </c>
      <c r="G4517" s="28" t="s">
        <v>77</v>
      </c>
      <c r="I4517" s="26" t="s">
        <v>77</v>
      </c>
      <c r="J4517" s="26" t="s">
        <v>77</v>
      </c>
      <c r="K4517" s="18"/>
      <c r="L4517" s="26" t="s">
        <v>77</v>
      </c>
      <c r="M4517" s="6" t="s">
        <v>77</v>
      </c>
      <c r="N4517" s="28" t="s">
        <v>77</v>
      </c>
      <c r="O4517" s="26" t="s">
        <v>77</v>
      </c>
    </row>
    <row r="4518">
      <c r="A4518" s="52" t="s">
        <v>77</v>
      </c>
      <c r="B4518" s="28" t="s">
        <v>77</v>
      </c>
      <c r="C4518" s="28" t="s">
        <v>77</v>
      </c>
      <c r="D4518" s="28" t="s">
        <v>77</v>
      </c>
      <c r="E4518" s="28" t="s">
        <v>77</v>
      </c>
      <c r="F4518" s="28" t="s">
        <v>77</v>
      </c>
      <c r="G4518" s="28" t="s">
        <v>77</v>
      </c>
      <c r="I4518" s="26" t="s">
        <v>77</v>
      </c>
      <c r="J4518" s="26" t="s">
        <v>77</v>
      </c>
      <c r="K4518" s="18"/>
      <c r="L4518" s="26" t="s">
        <v>77</v>
      </c>
      <c r="M4518" s="6" t="s">
        <v>77</v>
      </c>
      <c r="N4518" s="28" t="s">
        <v>77</v>
      </c>
      <c r="O4518" s="26" t="s">
        <v>77</v>
      </c>
    </row>
    <row r="4519">
      <c r="A4519" s="52" t="s">
        <v>77</v>
      </c>
      <c r="B4519" s="28" t="s">
        <v>77</v>
      </c>
      <c r="C4519" s="28" t="s">
        <v>77</v>
      </c>
      <c r="D4519" s="28" t="s">
        <v>77</v>
      </c>
      <c r="E4519" s="28" t="s">
        <v>77</v>
      </c>
      <c r="F4519" s="28" t="s">
        <v>77</v>
      </c>
      <c r="G4519" s="28" t="s">
        <v>77</v>
      </c>
      <c r="I4519" s="26" t="s">
        <v>77</v>
      </c>
      <c r="J4519" s="26" t="s">
        <v>77</v>
      </c>
      <c r="K4519" s="18"/>
      <c r="L4519" s="26" t="s">
        <v>77</v>
      </c>
      <c r="M4519" s="6" t="s">
        <v>77</v>
      </c>
      <c r="N4519" s="28" t="s">
        <v>77</v>
      </c>
      <c r="O4519" s="26" t="s">
        <v>77</v>
      </c>
    </row>
    <row r="4520">
      <c r="A4520" s="52" t="s">
        <v>77</v>
      </c>
      <c r="B4520" s="28" t="s">
        <v>77</v>
      </c>
      <c r="C4520" s="28" t="s">
        <v>77</v>
      </c>
      <c r="D4520" s="28" t="s">
        <v>77</v>
      </c>
      <c r="E4520" s="28" t="s">
        <v>77</v>
      </c>
      <c r="F4520" s="28" t="s">
        <v>77</v>
      </c>
      <c r="G4520" s="28" t="s">
        <v>77</v>
      </c>
      <c r="I4520" s="26" t="s">
        <v>77</v>
      </c>
      <c r="J4520" s="26" t="s">
        <v>77</v>
      </c>
      <c r="K4520" s="18"/>
      <c r="L4520" s="26" t="s">
        <v>77</v>
      </c>
      <c r="M4520" s="6" t="s">
        <v>77</v>
      </c>
      <c r="N4520" s="28" t="s">
        <v>77</v>
      </c>
      <c r="O4520" s="26" t="s">
        <v>77</v>
      </c>
    </row>
    <row r="4521">
      <c r="A4521" s="52" t="s">
        <v>77</v>
      </c>
      <c r="B4521" s="28" t="s">
        <v>77</v>
      </c>
      <c r="C4521" s="28" t="s">
        <v>77</v>
      </c>
      <c r="D4521" s="28" t="s">
        <v>77</v>
      </c>
      <c r="E4521" s="28" t="s">
        <v>77</v>
      </c>
      <c r="F4521" s="28" t="s">
        <v>77</v>
      </c>
      <c r="G4521" s="28" t="s">
        <v>77</v>
      </c>
      <c r="I4521" s="26" t="s">
        <v>77</v>
      </c>
      <c r="J4521" s="26" t="s">
        <v>77</v>
      </c>
      <c r="K4521" s="18"/>
      <c r="L4521" s="26" t="s">
        <v>77</v>
      </c>
      <c r="M4521" s="6" t="s">
        <v>77</v>
      </c>
      <c r="N4521" s="28" t="s">
        <v>77</v>
      </c>
      <c r="O4521" s="26" t="s">
        <v>77</v>
      </c>
    </row>
    <row r="4522">
      <c r="A4522" s="52" t="s">
        <v>77</v>
      </c>
      <c r="B4522" s="28" t="s">
        <v>77</v>
      </c>
      <c r="C4522" s="28" t="s">
        <v>77</v>
      </c>
      <c r="D4522" s="28" t="s">
        <v>77</v>
      </c>
      <c r="E4522" s="28" t="s">
        <v>77</v>
      </c>
      <c r="F4522" s="28" t="s">
        <v>77</v>
      </c>
      <c r="G4522" s="28" t="s">
        <v>77</v>
      </c>
      <c r="I4522" s="26" t="s">
        <v>77</v>
      </c>
      <c r="J4522" s="26" t="s">
        <v>77</v>
      </c>
      <c r="K4522" s="18"/>
      <c r="L4522" s="26" t="s">
        <v>77</v>
      </c>
      <c r="M4522" s="6" t="s">
        <v>77</v>
      </c>
      <c r="N4522" s="28" t="s">
        <v>77</v>
      </c>
      <c r="O4522" s="26" t="s">
        <v>77</v>
      </c>
    </row>
    <row r="4523">
      <c r="A4523" s="52" t="s">
        <v>77</v>
      </c>
      <c r="B4523" s="28" t="s">
        <v>77</v>
      </c>
      <c r="C4523" s="28" t="s">
        <v>77</v>
      </c>
      <c r="D4523" s="28" t="s">
        <v>77</v>
      </c>
      <c r="E4523" s="28" t="s">
        <v>77</v>
      </c>
      <c r="F4523" s="28" t="s">
        <v>77</v>
      </c>
      <c r="G4523" s="28" t="s">
        <v>77</v>
      </c>
      <c r="I4523" s="26" t="s">
        <v>77</v>
      </c>
      <c r="J4523" s="26" t="s">
        <v>77</v>
      </c>
      <c r="K4523" s="18"/>
      <c r="L4523" s="26" t="s">
        <v>77</v>
      </c>
      <c r="M4523" s="6" t="s">
        <v>77</v>
      </c>
      <c r="N4523" s="28" t="s">
        <v>77</v>
      </c>
      <c r="O4523" s="26" t="s">
        <v>77</v>
      </c>
    </row>
    <row r="4524">
      <c r="A4524" s="52" t="s">
        <v>77</v>
      </c>
      <c r="B4524" s="28" t="s">
        <v>77</v>
      </c>
      <c r="C4524" s="28" t="s">
        <v>77</v>
      </c>
      <c r="D4524" s="28" t="s">
        <v>77</v>
      </c>
      <c r="E4524" s="28" t="s">
        <v>77</v>
      </c>
      <c r="F4524" s="28" t="s">
        <v>77</v>
      </c>
      <c r="G4524" s="28" t="s">
        <v>77</v>
      </c>
      <c r="I4524" s="26" t="s">
        <v>77</v>
      </c>
      <c r="J4524" s="26" t="s">
        <v>77</v>
      </c>
      <c r="K4524" s="18"/>
      <c r="L4524" s="26" t="s">
        <v>77</v>
      </c>
      <c r="M4524" s="6" t="s">
        <v>77</v>
      </c>
      <c r="N4524" s="28" t="s">
        <v>77</v>
      </c>
      <c r="O4524" s="26" t="s">
        <v>77</v>
      </c>
    </row>
    <row r="4525">
      <c r="A4525" s="52" t="s">
        <v>77</v>
      </c>
      <c r="B4525" s="28" t="s">
        <v>77</v>
      </c>
      <c r="C4525" s="28" t="s">
        <v>77</v>
      </c>
      <c r="D4525" s="28" t="s">
        <v>77</v>
      </c>
      <c r="E4525" s="28" t="s">
        <v>77</v>
      </c>
      <c r="F4525" s="28" t="s">
        <v>77</v>
      </c>
      <c r="G4525" s="28" t="s">
        <v>77</v>
      </c>
      <c r="I4525" s="26" t="s">
        <v>77</v>
      </c>
      <c r="J4525" s="26" t="s">
        <v>77</v>
      </c>
      <c r="K4525" s="18"/>
      <c r="L4525" s="26" t="s">
        <v>77</v>
      </c>
      <c r="M4525" s="6" t="s">
        <v>77</v>
      </c>
      <c r="N4525" s="28" t="s">
        <v>77</v>
      </c>
      <c r="O4525" s="26" t="s">
        <v>77</v>
      </c>
    </row>
    <row r="4526">
      <c r="A4526" s="52" t="s">
        <v>77</v>
      </c>
      <c r="B4526" s="28" t="s">
        <v>77</v>
      </c>
      <c r="C4526" s="28" t="s">
        <v>77</v>
      </c>
      <c r="D4526" s="28" t="s">
        <v>77</v>
      </c>
      <c r="E4526" s="28" t="s">
        <v>77</v>
      </c>
      <c r="F4526" s="28" t="s">
        <v>77</v>
      </c>
      <c r="G4526" s="28" t="s">
        <v>77</v>
      </c>
      <c r="I4526" s="26" t="s">
        <v>77</v>
      </c>
      <c r="J4526" s="26" t="s">
        <v>77</v>
      </c>
      <c r="K4526" s="18"/>
      <c r="L4526" s="26" t="s">
        <v>77</v>
      </c>
      <c r="M4526" s="6" t="s">
        <v>77</v>
      </c>
      <c r="N4526" s="28" t="s">
        <v>77</v>
      </c>
      <c r="O4526" s="26" t="s">
        <v>77</v>
      </c>
    </row>
    <row r="4527">
      <c r="A4527" s="52" t="s">
        <v>77</v>
      </c>
      <c r="B4527" s="28" t="s">
        <v>77</v>
      </c>
      <c r="C4527" s="28" t="s">
        <v>77</v>
      </c>
      <c r="D4527" s="28" t="s">
        <v>77</v>
      </c>
      <c r="E4527" s="28" t="s">
        <v>77</v>
      </c>
      <c r="F4527" s="28" t="s">
        <v>77</v>
      </c>
      <c r="G4527" s="28" t="s">
        <v>77</v>
      </c>
      <c r="I4527" s="26" t="s">
        <v>77</v>
      </c>
      <c r="J4527" s="26" t="s">
        <v>77</v>
      </c>
      <c r="K4527" s="18"/>
      <c r="L4527" s="26" t="s">
        <v>77</v>
      </c>
      <c r="M4527" s="6" t="s">
        <v>77</v>
      </c>
      <c r="N4527" s="28" t="s">
        <v>77</v>
      </c>
      <c r="O4527" s="26" t="s">
        <v>77</v>
      </c>
    </row>
    <row r="4528">
      <c r="A4528" s="52" t="s">
        <v>77</v>
      </c>
      <c r="B4528" s="28" t="s">
        <v>77</v>
      </c>
      <c r="C4528" s="28" t="s">
        <v>77</v>
      </c>
      <c r="D4528" s="28" t="s">
        <v>77</v>
      </c>
      <c r="E4528" s="28" t="s">
        <v>77</v>
      </c>
      <c r="F4528" s="28" t="s">
        <v>77</v>
      </c>
      <c r="G4528" s="28" t="s">
        <v>77</v>
      </c>
      <c r="I4528" s="26" t="s">
        <v>77</v>
      </c>
      <c r="J4528" s="26" t="s">
        <v>77</v>
      </c>
      <c r="K4528" s="18"/>
      <c r="L4528" s="26" t="s">
        <v>77</v>
      </c>
      <c r="M4528" s="6" t="s">
        <v>77</v>
      </c>
      <c r="N4528" s="28" t="s">
        <v>77</v>
      </c>
      <c r="O4528" s="26" t="s">
        <v>77</v>
      </c>
    </row>
    <row r="4529">
      <c r="A4529" s="52" t="s">
        <v>77</v>
      </c>
      <c r="B4529" s="28" t="s">
        <v>77</v>
      </c>
      <c r="C4529" s="28" t="s">
        <v>77</v>
      </c>
      <c r="D4529" s="28" t="s">
        <v>77</v>
      </c>
      <c r="E4529" s="28" t="s">
        <v>77</v>
      </c>
      <c r="F4529" s="28" t="s">
        <v>77</v>
      </c>
      <c r="G4529" s="28" t="s">
        <v>77</v>
      </c>
      <c r="I4529" s="26" t="s">
        <v>77</v>
      </c>
      <c r="J4529" s="26" t="s">
        <v>77</v>
      </c>
      <c r="K4529" s="18"/>
      <c r="L4529" s="26" t="s">
        <v>77</v>
      </c>
      <c r="M4529" s="6" t="s">
        <v>77</v>
      </c>
      <c r="N4529" s="28" t="s">
        <v>77</v>
      </c>
      <c r="O4529" s="26" t="s">
        <v>77</v>
      </c>
    </row>
    <row r="4530">
      <c r="A4530" s="52" t="s">
        <v>77</v>
      </c>
      <c r="B4530" s="28" t="s">
        <v>77</v>
      </c>
      <c r="C4530" s="28" t="s">
        <v>77</v>
      </c>
      <c r="D4530" s="28" t="s">
        <v>77</v>
      </c>
      <c r="E4530" s="28" t="s">
        <v>77</v>
      </c>
      <c r="F4530" s="28" t="s">
        <v>77</v>
      </c>
      <c r="G4530" s="28" t="s">
        <v>77</v>
      </c>
      <c r="I4530" s="26" t="s">
        <v>77</v>
      </c>
      <c r="J4530" s="26" t="s">
        <v>77</v>
      </c>
      <c r="K4530" s="18"/>
      <c r="L4530" s="26" t="s">
        <v>77</v>
      </c>
      <c r="M4530" s="6" t="s">
        <v>77</v>
      </c>
      <c r="N4530" s="28" t="s">
        <v>77</v>
      </c>
      <c r="O4530" s="26" t="s">
        <v>77</v>
      </c>
    </row>
    <row r="4531">
      <c r="A4531" s="52" t="s">
        <v>77</v>
      </c>
      <c r="B4531" s="28" t="s">
        <v>77</v>
      </c>
      <c r="C4531" s="28" t="s">
        <v>77</v>
      </c>
      <c r="D4531" s="28" t="s">
        <v>77</v>
      </c>
      <c r="E4531" s="28" t="s">
        <v>77</v>
      </c>
      <c r="F4531" s="28" t="s">
        <v>77</v>
      </c>
      <c r="G4531" s="28" t="s">
        <v>77</v>
      </c>
      <c r="I4531" s="26" t="s">
        <v>77</v>
      </c>
      <c r="J4531" s="26" t="s">
        <v>77</v>
      </c>
      <c r="K4531" s="18"/>
      <c r="L4531" s="26" t="s">
        <v>77</v>
      </c>
      <c r="M4531" s="6" t="s">
        <v>77</v>
      </c>
      <c r="N4531" s="28" t="s">
        <v>77</v>
      </c>
      <c r="O4531" s="26" t="s">
        <v>77</v>
      </c>
    </row>
    <row r="4532">
      <c r="A4532" s="52" t="s">
        <v>77</v>
      </c>
      <c r="B4532" s="28" t="s">
        <v>77</v>
      </c>
      <c r="C4532" s="28" t="s">
        <v>77</v>
      </c>
      <c r="D4532" s="28" t="s">
        <v>77</v>
      </c>
      <c r="E4532" s="28" t="s">
        <v>77</v>
      </c>
      <c r="F4532" s="28" t="s">
        <v>77</v>
      </c>
      <c r="G4532" s="28" t="s">
        <v>77</v>
      </c>
      <c r="I4532" s="26" t="s">
        <v>77</v>
      </c>
      <c r="J4532" s="26" t="s">
        <v>77</v>
      </c>
      <c r="K4532" s="18"/>
      <c r="L4532" s="26" t="s">
        <v>77</v>
      </c>
      <c r="M4532" s="6" t="s">
        <v>77</v>
      </c>
      <c r="N4532" s="28" t="s">
        <v>77</v>
      </c>
      <c r="O4532" s="26" t="s">
        <v>77</v>
      </c>
    </row>
    <row r="4533">
      <c r="A4533" s="52" t="s">
        <v>77</v>
      </c>
      <c r="B4533" s="28" t="s">
        <v>77</v>
      </c>
      <c r="C4533" s="28" t="s">
        <v>77</v>
      </c>
      <c r="D4533" s="28" t="s">
        <v>77</v>
      </c>
      <c r="E4533" s="28" t="s">
        <v>77</v>
      </c>
      <c r="F4533" s="28" t="s">
        <v>77</v>
      </c>
      <c r="G4533" s="28" t="s">
        <v>77</v>
      </c>
      <c r="I4533" s="26" t="s">
        <v>77</v>
      </c>
      <c r="J4533" s="26" t="s">
        <v>77</v>
      </c>
      <c r="K4533" s="18"/>
      <c r="L4533" s="26" t="s">
        <v>77</v>
      </c>
      <c r="M4533" s="6" t="s">
        <v>77</v>
      </c>
      <c r="N4533" s="28" t="s">
        <v>77</v>
      </c>
      <c r="O4533" s="26" t="s">
        <v>77</v>
      </c>
    </row>
    <row r="4534">
      <c r="A4534" s="52" t="s">
        <v>77</v>
      </c>
      <c r="B4534" s="28" t="s">
        <v>77</v>
      </c>
      <c r="C4534" s="28" t="s">
        <v>77</v>
      </c>
      <c r="D4534" s="28" t="s">
        <v>77</v>
      </c>
      <c r="E4534" s="28" t="s">
        <v>77</v>
      </c>
      <c r="F4534" s="28" t="s">
        <v>77</v>
      </c>
      <c r="G4534" s="28" t="s">
        <v>77</v>
      </c>
      <c r="I4534" s="26" t="s">
        <v>77</v>
      </c>
      <c r="J4534" s="26" t="s">
        <v>77</v>
      </c>
      <c r="K4534" s="18"/>
      <c r="L4534" s="26" t="s">
        <v>77</v>
      </c>
      <c r="M4534" s="6" t="s">
        <v>77</v>
      </c>
      <c r="N4534" s="28" t="s">
        <v>77</v>
      </c>
      <c r="O4534" s="26" t="s">
        <v>77</v>
      </c>
    </row>
    <row r="4535">
      <c r="A4535" s="52" t="s">
        <v>77</v>
      </c>
      <c r="B4535" s="28" t="s">
        <v>77</v>
      </c>
      <c r="C4535" s="28" t="s">
        <v>77</v>
      </c>
      <c r="D4535" s="28" t="s">
        <v>77</v>
      </c>
      <c r="E4535" s="28" t="s">
        <v>77</v>
      </c>
      <c r="F4535" s="28" t="s">
        <v>77</v>
      </c>
      <c r="G4535" s="28" t="s">
        <v>77</v>
      </c>
      <c r="I4535" s="26" t="s">
        <v>77</v>
      </c>
      <c r="J4535" s="26" t="s">
        <v>77</v>
      </c>
      <c r="K4535" s="18"/>
      <c r="L4535" s="26" t="s">
        <v>77</v>
      </c>
      <c r="M4535" s="6" t="s">
        <v>77</v>
      </c>
      <c r="N4535" s="28" t="s">
        <v>77</v>
      </c>
      <c r="O4535" s="26" t="s">
        <v>77</v>
      </c>
    </row>
    <row r="4536">
      <c r="A4536" s="52" t="s">
        <v>77</v>
      </c>
      <c r="B4536" s="28" t="s">
        <v>77</v>
      </c>
      <c r="C4536" s="28" t="s">
        <v>77</v>
      </c>
      <c r="D4536" s="28" t="s">
        <v>77</v>
      </c>
      <c r="E4536" s="28" t="s">
        <v>77</v>
      </c>
      <c r="F4536" s="28" t="s">
        <v>77</v>
      </c>
      <c r="G4536" s="28" t="s">
        <v>77</v>
      </c>
      <c r="I4536" s="26" t="s">
        <v>77</v>
      </c>
      <c r="J4536" s="26" t="s">
        <v>77</v>
      </c>
      <c r="K4536" s="18"/>
      <c r="L4536" s="26" t="s">
        <v>77</v>
      </c>
      <c r="M4536" s="6" t="s">
        <v>77</v>
      </c>
      <c r="N4536" s="28" t="s">
        <v>77</v>
      </c>
      <c r="O4536" s="26" t="s">
        <v>77</v>
      </c>
    </row>
    <row r="4537">
      <c r="A4537" s="52" t="s">
        <v>77</v>
      </c>
      <c r="B4537" s="28" t="s">
        <v>77</v>
      </c>
      <c r="C4537" s="28" t="s">
        <v>77</v>
      </c>
      <c r="D4537" s="28" t="s">
        <v>77</v>
      </c>
      <c r="E4537" s="28" t="s">
        <v>77</v>
      </c>
      <c r="F4537" s="28" t="s">
        <v>77</v>
      </c>
      <c r="G4537" s="28" t="s">
        <v>77</v>
      </c>
      <c r="I4537" s="26" t="s">
        <v>77</v>
      </c>
      <c r="J4537" s="26" t="s">
        <v>77</v>
      </c>
      <c r="K4537" s="18"/>
      <c r="L4537" s="26" t="s">
        <v>77</v>
      </c>
      <c r="M4537" s="6" t="s">
        <v>77</v>
      </c>
      <c r="N4537" s="28" t="s">
        <v>77</v>
      </c>
      <c r="O4537" s="26" t="s">
        <v>77</v>
      </c>
    </row>
    <row r="4538">
      <c r="A4538" s="52" t="s">
        <v>77</v>
      </c>
      <c r="B4538" s="28" t="s">
        <v>77</v>
      </c>
      <c r="C4538" s="28" t="s">
        <v>77</v>
      </c>
      <c r="D4538" s="28" t="s">
        <v>77</v>
      </c>
      <c r="E4538" s="28" t="s">
        <v>77</v>
      </c>
      <c r="F4538" s="28" t="s">
        <v>77</v>
      </c>
      <c r="G4538" s="28" t="s">
        <v>77</v>
      </c>
      <c r="I4538" s="26" t="s">
        <v>77</v>
      </c>
      <c r="J4538" s="26" t="s">
        <v>77</v>
      </c>
      <c r="K4538" s="18"/>
      <c r="L4538" s="26" t="s">
        <v>77</v>
      </c>
      <c r="M4538" s="6" t="s">
        <v>77</v>
      </c>
      <c r="N4538" s="28" t="s">
        <v>77</v>
      </c>
      <c r="O4538" s="26" t="s">
        <v>77</v>
      </c>
    </row>
    <row r="4539">
      <c r="A4539" s="52" t="s">
        <v>77</v>
      </c>
      <c r="B4539" s="28" t="s">
        <v>77</v>
      </c>
      <c r="C4539" s="28" t="s">
        <v>77</v>
      </c>
      <c r="D4539" s="28" t="s">
        <v>77</v>
      </c>
      <c r="E4539" s="28" t="s">
        <v>77</v>
      </c>
      <c r="F4539" s="28" t="s">
        <v>77</v>
      </c>
      <c r="G4539" s="28" t="s">
        <v>77</v>
      </c>
      <c r="I4539" s="26" t="s">
        <v>77</v>
      </c>
      <c r="J4539" s="26" t="s">
        <v>77</v>
      </c>
      <c r="K4539" s="18"/>
      <c r="L4539" s="26" t="s">
        <v>77</v>
      </c>
      <c r="M4539" s="6" t="s">
        <v>77</v>
      </c>
      <c r="N4539" s="28" t="s">
        <v>77</v>
      </c>
      <c r="O4539" s="26" t="s">
        <v>77</v>
      </c>
    </row>
    <row r="4540">
      <c r="A4540" s="52" t="s">
        <v>77</v>
      </c>
      <c r="B4540" s="28" t="s">
        <v>77</v>
      </c>
      <c r="C4540" s="28" t="s">
        <v>77</v>
      </c>
      <c r="D4540" s="28" t="s">
        <v>77</v>
      </c>
      <c r="E4540" s="28" t="s">
        <v>77</v>
      </c>
      <c r="F4540" s="28" t="s">
        <v>77</v>
      </c>
      <c r="G4540" s="28" t="s">
        <v>77</v>
      </c>
      <c r="I4540" s="26" t="s">
        <v>77</v>
      </c>
      <c r="J4540" s="26" t="s">
        <v>77</v>
      </c>
      <c r="K4540" s="18"/>
      <c r="L4540" s="26" t="s">
        <v>77</v>
      </c>
      <c r="M4540" s="6" t="s">
        <v>77</v>
      </c>
      <c r="N4540" s="28" t="s">
        <v>77</v>
      </c>
      <c r="O4540" s="26" t="s">
        <v>77</v>
      </c>
    </row>
    <row r="4541">
      <c r="A4541" s="52" t="s">
        <v>77</v>
      </c>
      <c r="B4541" s="28" t="s">
        <v>77</v>
      </c>
      <c r="C4541" s="28" t="s">
        <v>77</v>
      </c>
      <c r="D4541" s="28" t="s">
        <v>77</v>
      </c>
      <c r="E4541" s="28" t="s">
        <v>77</v>
      </c>
      <c r="F4541" s="28" t="s">
        <v>77</v>
      </c>
      <c r="G4541" s="28" t="s">
        <v>77</v>
      </c>
      <c r="I4541" s="26" t="s">
        <v>77</v>
      </c>
      <c r="J4541" s="26" t="s">
        <v>77</v>
      </c>
      <c r="K4541" s="18"/>
      <c r="L4541" s="26" t="s">
        <v>77</v>
      </c>
      <c r="M4541" s="6" t="s">
        <v>77</v>
      </c>
      <c r="N4541" s="28" t="s">
        <v>77</v>
      </c>
      <c r="O4541" s="26" t="s">
        <v>77</v>
      </c>
    </row>
    <row r="4542">
      <c r="A4542" s="52" t="s">
        <v>77</v>
      </c>
      <c r="B4542" s="28" t="s">
        <v>77</v>
      </c>
      <c r="C4542" s="28" t="s">
        <v>77</v>
      </c>
      <c r="D4542" s="28" t="s">
        <v>77</v>
      </c>
      <c r="E4542" s="28" t="s">
        <v>77</v>
      </c>
      <c r="F4542" s="28" t="s">
        <v>77</v>
      </c>
      <c r="G4542" s="28" t="s">
        <v>77</v>
      </c>
      <c r="I4542" s="26" t="s">
        <v>77</v>
      </c>
      <c r="J4542" s="26" t="s">
        <v>77</v>
      </c>
      <c r="K4542" s="18"/>
      <c r="L4542" s="26" t="s">
        <v>77</v>
      </c>
      <c r="M4542" s="6" t="s">
        <v>77</v>
      </c>
      <c r="N4542" s="28" t="s">
        <v>77</v>
      </c>
      <c r="O4542" s="26" t="s">
        <v>77</v>
      </c>
    </row>
    <row r="4543">
      <c r="A4543" s="52" t="s">
        <v>77</v>
      </c>
      <c r="B4543" s="28" t="s">
        <v>77</v>
      </c>
      <c r="C4543" s="28" t="s">
        <v>77</v>
      </c>
      <c r="D4543" s="28" t="s">
        <v>77</v>
      </c>
      <c r="E4543" s="28" t="s">
        <v>77</v>
      </c>
      <c r="F4543" s="28" t="s">
        <v>77</v>
      </c>
      <c r="G4543" s="28" t="s">
        <v>77</v>
      </c>
      <c r="I4543" s="26" t="s">
        <v>77</v>
      </c>
      <c r="J4543" s="26" t="s">
        <v>77</v>
      </c>
      <c r="K4543" s="18"/>
      <c r="L4543" s="26" t="s">
        <v>77</v>
      </c>
      <c r="M4543" s="6" t="s">
        <v>77</v>
      </c>
      <c r="N4543" s="28" t="s">
        <v>77</v>
      </c>
      <c r="O4543" s="26" t="s">
        <v>77</v>
      </c>
    </row>
    <row r="4544">
      <c r="A4544" s="52" t="s">
        <v>77</v>
      </c>
      <c r="B4544" s="28" t="s">
        <v>77</v>
      </c>
      <c r="C4544" s="28" t="s">
        <v>77</v>
      </c>
      <c r="D4544" s="28" t="s">
        <v>77</v>
      </c>
      <c r="E4544" s="28" t="s">
        <v>77</v>
      </c>
      <c r="F4544" s="28" t="s">
        <v>77</v>
      </c>
      <c r="G4544" s="28" t="s">
        <v>77</v>
      </c>
      <c r="I4544" s="26" t="s">
        <v>77</v>
      </c>
      <c r="J4544" s="26" t="s">
        <v>77</v>
      </c>
      <c r="K4544" s="18"/>
      <c r="L4544" s="26" t="s">
        <v>77</v>
      </c>
      <c r="M4544" s="6" t="s">
        <v>77</v>
      </c>
      <c r="N4544" s="28" t="s">
        <v>77</v>
      </c>
      <c r="O4544" s="26" t="s">
        <v>77</v>
      </c>
    </row>
    <row r="4545">
      <c r="A4545" s="52" t="s">
        <v>77</v>
      </c>
      <c r="B4545" s="28" t="s">
        <v>77</v>
      </c>
      <c r="C4545" s="28" t="s">
        <v>77</v>
      </c>
      <c r="D4545" s="28" t="s">
        <v>77</v>
      </c>
      <c r="E4545" s="28" t="s">
        <v>77</v>
      </c>
      <c r="F4545" s="28" t="s">
        <v>77</v>
      </c>
      <c r="G4545" s="28" t="s">
        <v>77</v>
      </c>
      <c r="I4545" s="26" t="s">
        <v>77</v>
      </c>
      <c r="J4545" s="26" t="s">
        <v>77</v>
      </c>
      <c r="K4545" s="18"/>
      <c r="L4545" s="26" t="s">
        <v>77</v>
      </c>
      <c r="M4545" s="6" t="s">
        <v>77</v>
      </c>
      <c r="N4545" s="28" t="s">
        <v>77</v>
      </c>
      <c r="O4545" s="26" t="s">
        <v>77</v>
      </c>
    </row>
    <row r="4546">
      <c r="A4546" s="52" t="s">
        <v>77</v>
      </c>
      <c r="B4546" s="28" t="s">
        <v>77</v>
      </c>
      <c r="C4546" s="28" t="s">
        <v>77</v>
      </c>
      <c r="D4546" s="28" t="s">
        <v>77</v>
      </c>
      <c r="E4546" s="28" t="s">
        <v>77</v>
      </c>
      <c r="F4546" s="28" t="s">
        <v>77</v>
      </c>
      <c r="G4546" s="28" t="s">
        <v>77</v>
      </c>
      <c r="I4546" s="26" t="s">
        <v>77</v>
      </c>
      <c r="J4546" s="26" t="s">
        <v>77</v>
      </c>
      <c r="K4546" s="18"/>
      <c r="L4546" s="26" t="s">
        <v>77</v>
      </c>
      <c r="M4546" s="6" t="s">
        <v>77</v>
      </c>
      <c r="N4546" s="28" t="s">
        <v>77</v>
      </c>
      <c r="O4546" s="26" t="s">
        <v>77</v>
      </c>
    </row>
    <row r="4547">
      <c r="A4547" s="52" t="s">
        <v>77</v>
      </c>
      <c r="B4547" s="28" t="s">
        <v>77</v>
      </c>
      <c r="C4547" s="28" t="s">
        <v>77</v>
      </c>
      <c r="D4547" s="28" t="s">
        <v>77</v>
      </c>
      <c r="E4547" s="28" t="s">
        <v>77</v>
      </c>
      <c r="F4547" s="28" t="s">
        <v>77</v>
      </c>
      <c r="G4547" s="28" t="s">
        <v>77</v>
      </c>
      <c r="I4547" s="26" t="s">
        <v>77</v>
      </c>
      <c r="J4547" s="26" t="s">
        <v>77</v>
      </c>
      <c r="K4547" s="18"/>
      <c r="L4547" s="26" t="s">
        <v>77</v>
      </c>
      <c r="M4547" s="6" t="s">
        <v>77</v>
      </c>
      <c r="N4547" s="28" t="s">
        <v>77</v>
      </c>
      <c r="O4547" s="26" t="s">
        <v>77</v>
      </c>
    </row>
    <row r="4548">
      <c r="A4548" s="52" t="s">
        <v>77</v>
      </c>
      <c r="B4548" s="28" t="s">
        <v>77</v>
      </c>
      <c r="C4548" s="28" t="s">
        <v>77</v>
      </c>
      <c r="D4548" s="28" t="s">
        <v>77</v>
      </c>
      <c r="E4548" s="28" t="s">
        <v>77</v>
      </c>
      <c r="F4548" s="28" t="s">
        <v>77</v>
      </c>
      <c r="G4548" s="28" t="s">
        <v>77</v>
      </c>
      <c r="I4548" s="26" t="s">
        <v>77</v>
      </c>
      <c r="J4548" s="26" t="s">
        <v>77</v>
      </c>
      <c r="K4548" s="18"/>
      <c r="L4548" s="26" t="s">
        <v>77</v>
      </c>
      <c r="M4548" s="6" t="s">
        <v>77</v>
      </c>
      <c r="N4548" s="28" t="s">
        <v>77</v>
      </c>
      <c r="O4548" s="26" t="s">
        <v>77</v>
      </c>
    </row>
    <row r="4549">
      <c r="A4549" s="52" t="s">
        <v>77</v>
      </c>
      <c r="B4549" s="28" t="s">
        <v>77</v>
      </c>
      <c r="C4549" s="28" t="s">
        <v>77</v>
      </c>
      <c r="D4549" s="28" t="s">
        <v>77</v>
      </c>
      <c r="E4549" s="28" t="s">
        <v>77</v>
      </c>
      <c r="F4549" s="28" t="s">
        <v>77</v>
      </c>
      <c r="G4549" s="28" t="s">
        <v>77</v>
      </c>
      <c r="I4549" s="26" t="s">
        <v>77</v>
      </c>
      <c r="J4549" s="26" t="s">
        <v>77</v>
      </c>
      <c r="K4549" s="18"/>
      <c r="L4549" s="26" t="s">
        <v>77</v>
      </c>
      <c r="M4549" s="6" t="s">
        <v>77</v>
      </c>
      <c r="N4549" s="28" t="s">
        <v>77</v>
      </c>
      <c r="O4549" s="26" t="s">
        <v>77</v>
      </c>
    </row>
    <row r="4550">
      <c r="A4550" s="52" t="s">
        <v>77</v>
      </c>
      <c r="B4550" s="28" t="s">
        <v>77</v>
      </c>
      <c r="C4550" s="28" t="s">
        <v>77</v>
      </c>
      <c r="D4550" s="28" t="s">
        <v>77</v>
      </c>
      <c r="E4550" s="28" t="s">
        <v>77</v>
      </c>
      <c r="F4550" s="28" t="s">
        <v>77</v>
      </c>
      <c r="G4550" s="28" t="s">
        <v>77</v>
      </c>
      <c r="I4550" s="26" t="s">
        <v>77</v>
      </c>
      <c r="J4550" s="26" t="s">
        <v>77</v>
      </c>
      <c r="K4550" s="18"/>
      <c r="L4550" s="26" t="s">
        <v>77</v>
      </c>
      <c r="M4550" s="6" t="s">
        <v>77</v>
      </c>
      <c r="N4550" s="28" t="s">
        <v>77</v>
      </c>
      <c r="O4550" s="26" t="s">
        <v>77</v>
      </c>
    </row>
    <row r="4551">
      <c r="A4551" s="52" t="s">
        <v>77</v>
      </c>
      <c r="B4551" s="28" t="s">
        <v>77</v>
      </c>
      <c r="C4551" s="28" t="s">
        <v>77</v>
      </c>
      <c r="D4551" s="28" t="s">
        <v>77</v>
      </c>
      <c r="E4551" s="28" t="s">
        <v>77</v>
      </c>
      <c r="F4551" s="28" t="s">
        <v>77</v>
      </c>
      <c r="G4551" s="28" t="s">
        <v>77</v>
      </c>
      <c r="I4551" s="26" t="s">
        <v>77</v>
      </c>
      <c r="J4551" s="26" t="s">
        <v>77</v>
      </c>
      <c r="K4551" s="18"/>
      <c r="L4551" s="26" t="s">
        <v>77</v>
      </c>
      <c r="M4551" s="6" t="s">
        <v>77</v>
      </c>
      <c r="N4551" s="28" t="s">
        <v>77</v>
      </c>
      <c r="O4551" s="26" t="s">
        <v>77</v>
      </c>
    </row>
    <row r="4552">
      <c r="A4552" s="52" t="s">
        <v>77</v>
      </c>
      <c r="B4552" s="28" t="s">
        <v>77</v>
      </c>
      <c r="C4552" s="28" t="s">
        <v>77</v>
      </c>
      <c r="D4552" s="28" t="s">
        <v>77</v>
      </c>
      <c r="E4552" s="28" t="s">
        <v>77</v>
      </c>
      <c r="F4552" s="28" t="s">
        <v>77</v>
      </c>
      <c r="G4552" s="28" t="s">
        <v>77</v>
      </c>
      <c r="I4552" s="26" t="s">
        <v>77</v>
      </c>
      <c r="J4552" s="26" t="s">
        <v>77</v>
      </c>
      <c r="K4552" s="18"/>
      <c r="L4552" s="26" t="s">
        <v>77</v>
      </c>
      <c r="M4552" s="6" t="s">
        <v>77</v>
      </c>
      <c r="N4552" s="28" t="s">
        <v>77</v>
      </c>
      <c r="O4552" s="26" t="s">
        <v>77</v>
      </c>
    </row>
    <row r="4553">
      <c r="A4553" s="52" t="s">
        <v>77</v>
      </c>
      <c r="B4553" s="28" t="s">
        <v>77</v>
      </c>
      <c r="C4553" s="28" t="s">
        <v>77</v>
      </c>
      <c r="D4553" s="28" t="s">
        <v>77</v>
      </c>
      <c r="E4553" s="28" t="s">
        <v>77</v>
      </c>
      <c r="F4553" s="28" t="s">
        <v>77</v>
      </c>
      <c r="G4553" s="28" t="s">
        <v>77</v>
      </c>
      <c r="I4553" s="26" t="s">
        <v>77</v>
      </c>
      <c r="J4553" s="26" t="s">
        <v>77</v>
      </c>
      <c r="K4553" s="18"/>
      <c r="L4553" s="26" t="s">
        <v>77</v>
      </c>
      <c r="M4553" s="6" t="s">
        <v>77</v>
      </c>
      <c r="N4553" s="28" t="s">
        <v>77</v>
      </c>
      <c r="O4553" s="26" t="s">
        <v>77</v>
      </c>
    </row>
    <row r="4554">
      <c r="A4554" s="52" t="s">
        <v>77</v>
      </c>
      <c r="B4554" s="28" t="s">
        <v>77</v>
      </c>
      <c r="C4554" s="28" t="s">
        <v>77</v>
      </c>
      <c r="D4554" s="28" t="s">
        <v>77</v>
      </c>
      <c r="E4554" s="28" t="s">
        <v>77</v>
      </c>
      <c r="F4554" s="28" t="s">
        <v>77</v>
      </c>
      <c r="G4554" s="28" t="s">
        <v>77</v>
      </c>
      <c r="I4554" s="26" t="s">
        <v>77</v>
      </c>
      <c r="J4554" s="26" t="s">
        <v>77</v>
      </c>
      <c r="K4554" s="18"/>
      <c r="L4554" s="26" t="s">
        <v>77</v>
      </c>
      <c r="M4554" s="6" t="s">
        <v>77</v>
      </c>
      <c r="N4554" s="28" t="s">
        <v>77</v>
      </c>
      <c r="O4554" s="26" t="s">
        <v>77</v>
      </c>
    </row>
    <row r="4555">
      <c r="A4555" s="52" t="s">
        <v>77</v>
      </c>
      <c r="B4555" s="28" t="s">
        <v>77</v>
      </c>
      <c r="C4555" s="28" t="s">
        <v>77</v>
      </c>
      <c r="D4555" s="28" t="s">
        <v>77</v>
      </c>
      <c r="E4555" s="28" t="s">
        <v>77</v>
      </c>
      <c r="F4555" s="28" t="s">
        <v>77</v>
      </c>
      <c r="G4555" s="28" t="s">
        <v>77</v>
      </c>
      <c r="I4555" s="26" t="s">
        <v>77</v>
      </c>
      <c r="J4555" s="26" t="s">
        <v>77</v>
      </c>
      <c r="K4555" s="18"/>
      <c r="L4555" s="26" t="s">
        <v>77</v>
      </c>
      <c r="M4555" s="6" t="s">
        <v>77</v>
      </c>
      <c r="N4555" s="28" t="s">
        <v>77</v>
      </c>
      <c r="O4555" s="26" t="s">
        <v>77</v>
      </c>
    </row>
    <row r="4556">
      <c r="A4556" s="52" t="s">
        <v>77</v>
      </c>
      <c r="B4556" s="28" t="s">
        <v>77</v>
      </c>
      <c r="C4556" s="28" t="s">
        <v>77</v>
      </c>
      <c r="D4556" s="28" t="s">
        <v>77</v>
      </c>
      <c r="E4556" s="28" t="s">
        <v>77</v>
      </c>
      <c r="F4556" s="28" t="s">
        <v>77</v>
      </c>
      <c r="G4556" s="28" t="s">
        <v>77</v>
      </c>
      <c r="I4556" s="26" t="s">
        <v>77</v>
      </c>
      <c r="J4556" s="26" t="s">
        <v>77</v>
      </c>
      <c r="K4556" s="18"/>
      <c r="L4556" s="26" t="s">
        <v>77</v>
      </c>
      <c r="M4556" s="6" t="s">
        <v>77</v>
      </c>
      <c r="N4556" s="28" t="s">
        <v>77</v>
      </c>
      <c r="O4556" s="26" t="s">
        <v>77</v>
      </c>
    </row>
    <row r="4557">
      <c r="A4557" s="52" t="s">
        <v>77</v>
      </c>
      <c r="B4557" s="28" t="s">
        <v>77</v>
      </c>
      <c r="C4557" s="28" t="s">
        <v>77</v>
      </c>
      <c r="D4557" s="28" t="s">
        <v>77</v>
      </c>
      <c r="E4557" s="28" t="s">
        <v>77</v>
      </c>
      <c r="F4557" s="28" t="s">
        <v>77</v>
      </c>
      <c r="G4557" s="28" t="s">
        <v>77</v>
      </c>
      <c r="I4557" s="26" t="s">
        <v>77</v>
      </c>
      <c r="J4557" s="26" t="s">
        <v>77</v>
      </c>
      <c r="K4557" s="18"/>
      <c r="L4557" s="26" t="s">
        <v>77</v>
      </c>
      <c r="M4557" s="6" t="s">
        <v>77</v>
      </c>
      <c r="N4557" s="28" t="s">
        <v>77</v>
      </c>
      <c r="O4557" s="26" t="s">
        <v>77</v>
      </c>
    </row>
    <row r="4558">
      <c r="A4558" s="52" t="s">
        <v>77</v>
      </c>
      <c r="B4558" s="28" t="s">
        <v>77</v>
      </c>
      <c r="C4558" s="28" t="s">
        <v>77</v>
      </c>
      <c r="D4558" s="28" t="s">
        <v>77</v>
      </c>
      <c r="E4558" s="28" t="s">
        <v>77</v>
      </c>
      <c r="F4558" s="28" t="s">
        <v>77</v>
      </c>
      <c r="G4558" s="28" t="s">
        <v>77</v>
      </c>
      <c r="I4558" s="26" t="s">
        <v>77</v>
      </c>
      <c r="J4558" s="26" t="s">
        <v>77</v>
      </c>
      <c r="K4558" s="18"/>
      <c r="L4558" s="26" t="s">
        <v>77</v>
      </c>
      <c r="M4558" s="6" t="s">
        <v>77</v>
      </c>
      <c r="N4558" s="28" t="s">
        <v>77</v>
      </c>
      <c r="O4558" s="26" t="s">
        <v>77</v>
      </c>
    </row>
    <row r="4559">
      <c r="A4559" s="52" t="s">
        <v>77</v>
      </c>
      <c r="B4559" s="28" t="s">
        <v>77</v>
      </c>
      <c r="C4559" s="28" t="s">
        <v>77</v>
      </c>
      <c r="D4559" s="28" t="s">
        <v>77</v>
      </c>
      <c r="E4559" s="28" t="s">
        <v>77</v>
      </c>
      <c r="F4559" s="28" t="s">
        <v>77</v>
      </c>
      <c r="G4559" s="28" t="s">
        <v>77</v>
      </c>
      <c r="I4559" s="26" t="s">
        <v>77</v>
      </c>
      <c r="J4559" s="26" t="s">
        <v>77</v>
      </c>
      <c r="K4559" s="18"/>
      <c r="L4559" s="26" t="s">
        <v>77</v>
      </c>
      <c r="M4559" s="6" t="s">
        <v>77</v>
      </c>
      <c r="N4559" s="28" t="s">
        <v>77</v>
      </c>
      <c r="O4559" s="26" t="s">
        <v>77</v>
      </c>
    </row>
    <row r="4560">
      <c r="A4560" s="52" t="s">
        <v>77</v>
      </c>
      <c r="B4560" s="28" t="s">
        <v>77</v>
      </c>
      <c r="C4560" s="28" t="s">
        <v>77</v>
      </c>
      <c r="D4560" s="28" t="s">
        <v>77</v>
      </c>
      <c r="E4560" s="28" t="s">
        <v>77</v>
      </c>
      <c r="F4560" s="28" t="s">
        <v>77</v>
      </c>
      <c r="G4560" s="28" t="s">
        <v>77</v>
      </c>
      <c r="I4560" s="26" t="s">
        <v>77</v>
      </c>
      <c r="J4560" s="26" t="s">
        <v>77</v>
      </c>
      <c r="K4560" s="18"/>
      <c r="L4560" s="26" t="s">
        <v>77</v>
      </c>
      <c r="M4560" s="6" t="s">
        <v>77</v>
      </c>
      <c r="N4560" s="28" t="s">
        <v>77</v>
      </c>
      <c r="O4560" s="26" t="s">
        <v>77</v>
      </c>
    </row>
    <row r="4561">
      <c r="A4561" s="52" t="s">
        <v>77</v>
      </c>
      <c r="B4561" s="28" t="s">
        <v>77</v>
      </c>
      <c r="C4561" s="28" t="s">
        <v>77</v>
      </c>
      <c r="D4561" s="28" t="s">
        <v>77</v>
      </c>
      <c r="E4561" s="28" t="s">
        <v>77</v>
      </c>
      <c r="F4561" s="28" t="s">
        <v>77</v>
      </c>
      <c r="G4561" s="28" t="s">
        <v>77</v>
      </c>
      <c r="I4561" s="26" t="s">
        <v>77</v>
      </c>
      <c r="J4561" s="26" t="s">
        <v>77</v>
      </c>
      <c r="K4561" s="18"/>
      <c r="L4561" s="26" t="s">
        <v>77</v>
      </c>
      <c r="M4561" s="6" t="s">
        <v>77</v>
      </c>
      <c r="N4561" s="28" t="s">
        <v>77</v>
      </c>
      <c r="O4561" s="26" t="s">
        <v>77</v>
      </c>
    </row>
    <row r="4562">
      <c r="A4562" s="52" t="s">
        <v>77</v>
      </c>
      <c r="B4562" s="28" t="s">
        <v>77</v>
      </c>
      <c r="C4562" s="28" t="s">
        <v>77</v>
      </c>
      <c r="D4562" s="28" t="s">
        <v>77</v>
      </c>
      <c r="E4562" s="28" t="s">
        <v>77</v>
      </c>
      <c r="F4562" s="28" t="s">
        <v>77</v>
      </c>
      <c r="G4562" s="28" t="s">
        <v>77</v>
      </c>
      <c r="I4562" s="26" t="s">
        <v>77</v>
      </c>
      <c r="J4562" s="26" t="s">
        <v>77</v>
      </c>
      <c r="K4562" s="18"/>
      <c r="L4562" s="26" t="s">
        <v>77</v>
      </c>
      <c r="M4562" s="6" t="s">
        <v>77</v>
      </c>
      <c r="N4562" s="28" t="s">
        <v>77</v>
      </c>
      <c r="O4562" s="26" t="s">
        <v>77</v>
      </c>
    </row>
    <row r="4563">
      <c r="A4563" s="52" t="s">
        <v>77</v>
      </c>
      <c r="B4563" s="28" t="s">
        <v>77</v>
      </c>
      <c r="C4563" s="28" t="s">
        <v>77</v>
      </c>
      <c r="D4563" s="28" t="s">
        <v>77</v>
      </c>
      <c r="E4563" s="28" t="s">
        <v>77</v>
      </c>
      <c r="F4563" s="28" t="s">
        <v>77</v>
      </c>
      <c r="G4563" s="28" t="s">
        <v>77</v>
      </c>
      <c r="I4563" s="26" t="s">
        <v>77</v>
      </c>
      <c r="J4563" s="26" t="s">
        <v>77</v>
      </c>
      <c r="K4563" s="18"/>
      <c r="L4563" s="26" t="s">
        <v>77</v>
      </c>
      <c r="M4563" s="6" t="s">
        <v>77</v>
      </c>
      <c r="N4563" s="28" t="s">
        <v>77</v>
      </c>
      <c r="O4563" s="26" t="s">
        <v>77</v>
      </c>
    </row>
    <row r="4564">
      <c r="A4564" s="52" t="s">
        <v>77</v>
      </c>
      <c r="B4564" s="28" t="s">
        <v>77</v>
      </c>
      <c r="C4564" s="28" t="s">
        <v>77</v>
      </c>
      <c r="D4564" s="28" t="s">
        <v>77</v>
      </c>
      <c r="E4564" s="28" t="s">
        <v>77</v>
      </c>
      <c r="F4564" s="28" t="s">
        <v>77</v>
      </c>
      <c r="G4564" s="28" t="s">
        <v>77</v>
      </c>
      <c r="I4564" s="26" t="s">
        <v>77</v>
      </c>
      <c r="J4564" s="26" t="s">
        <v>77</v>
      </c>
      <c r="K4564" s="18"/>
      <c r="L4564" s="26" t="s">
        <v>77</v>
      </c>
      <c r="M4564" s="6" t="s">
        <v>77</v>
      </c>
      <c r="N4564" s="28" t="s">
        <v>77</v>
      </c>
      <c r="O4564" s="26" t="s">
        <v>77</v>
      </c>
    </row>
    <row r="4565">
      <c r="A4565" s="52" t="s">
        <v>77</v>
      </c>
      <c r="B4565" s="28" t="s">
        <v>77</v>
      </c>
      <c r="C4565" s="28" t="s">
        <v>77</v>
      </c>
      <c r="D4565" s="28" t="s">
        <v>77</v>
      </c>
      <c r="E4565" s="28" t="s">
        <v>77</v>
      </c>
      <c r="F4565" s="28" t="s">
        <v>77</v>
      </c>
      <c r="G4565" s="28" t="s">
        <v>77</v>
      </c>
      <c r="I4565" s="26" t="s">
        <v>77</v>
      </c>
      <c r="J4565" s="26" t="s">
        <v>77</v>
      </c>
      <c r="K4565" s="18"/>
      <c r="L4565" s="26" t="s">
        <v>77</v>
      </c>
      <c r="M4565" s="6" t="s">
        <v>77</v>
      </c>
      <c r="N4565" s="28" t="s">
        <v>77</v>
      </c>
      <c r="O4565" s="26" t="s">
        <v>77</v>
      </c>
    </row>
    <row r="4566">
      <c r="A4566" s="52" t="s">
        <v>77</v>
      </c>
      <c r="B4566" s="28" t="s">
        <v>77</v>
      </c>
      <c r="C4566" s="28" t="s">
        <v>77</v>
      </c>
      <c r="D4566" s="28" t="s">
        <v>77</v>
      </c>
      <c r="E4566" s="28" t="s">
        <v>77</v>
      </c>
      <c r="F4566" s="28" t="s">
        <v>77</v>
      </c>
      <c r="G4566" s="28" t="s">
        <v>77</v>
      </c>
      <c r="I4566" s="26" t="s">
        <v>77</v>
      </c>
      <c r="J4566" s="26" t="s">
        <v>77</v>
      </c>
      <c r="K4566" s="18"/>
      <c r="L4566" s="26" t="s">
        <v>77</v>
      </c>
      <c r="M4566" s="6" t="s">
        <v>77</v>
      </c>
      <c r="N4566" s="28" t="s">
        <v>77</v>
      </c>
      <c r="O4566" s="26" t="s">
        <v>77</v>
      </c>
    </row>
    <row r="4567">
      <c r="A4567" s="52" t="s">
        <v>77</v>
      </c>
      <c r="B4567" s="28" t="s">
        <v>77</v>
      </c>
      <c r="C4567" s="28" t="s">
        <v>77</v>
      </c>
      <c r="D4567" s="28" t="s">
        <v>77</v>
      </c>
      <c r="E4567" s="28" t="s">
        <v>77</v>
      </c>
      <c r="F4567" s="28" t="s">
        <v>77</v>
      </c>
      <c r="G4567" s="28" t="s">
        <v>77</v>
      </c>
      <c r="I4567" s="26" t="s">
        <v>77</v>
      </c>
      <c r="J4567" s="26" t="s">
        <v>77</v>
      </c>
      <c r="K4567" s="18"/>
      <c r="L4567" s="26" t="s">
        <v>77</v>
      </c>
      <c r="M4567" s="6" t="s">
        <v>77</v>
      </c>
      <c r="N4567" s="28" t="s">
        <v>77</v>
      </c>
      <c r="O4567" s="26" t="s">
        <v>77</v>
      </c>
    </row>
    <row r="4568">
      <c r="A4568" s="52" t="s">
        <v>77</v>
      </c>
      <c r="B4568" s="28" t="s">
        <v>77</v>
      </c>
      <c r="C4568" s="28" t="s">
        <v>77</v>
      </c>
      <c r="D4568" s="28" t="s">
        <v>77</v>
      </c>
      <c r="E4568" s="28" t="s">
        <v>77</v>
      </c>
      <c r="F4568" s="28" t="s">
        <v>77</v>
      </c>
      <c r="G4568" s="28" t="s">
        <v>77</v>
      </c>
      <c r="I4568" s="26" t="s">
        <v>77</v>
      </c>
      <c r="J4568" s="26" t="s">
        <v>77</v>
      </c>
      <c r="K4568" s="18"/>
      <c r="L4568" s="26" t="s">
        <v>77</v>
      </c>
      <c r="M4568" s="6" t="s">
        <v>77</v>
      </c>
      <c r="N4568" s="28" t="s">
        <v>77</v>
      </c>
      <c r="O4568" s="26" t="s">
        <v>77</v>
      </c>
    </row>
    <row r="4569">
      <c r="A4569" s="52" t="s">
        <v>77</v>
      </c>
      <c r="B4569" s="28" t="s">
        <v>77</v>
      </c>
      <c r="C4569" s="28" t="s">
        <v>77</v>
      </c>
      <c r="D4569" s="28" t="s">
        <v>77</v>
      </c>
      <c r="E4569" s="28" t="s">
        <v>77</v>
      </c>
      <c r="F4569" s="28" t="s">
        <v>77</v>
      </c>
      <c r="G4569" s="28" t="s">
        <v>77</v>
      </c>
      <c r="I4569" s="26" t="s">
        <v>77</v>
      </c>
      <c r="J4569" s="26" t="s">
        <v>77</v>
      </c>
      <c r="K4569" s="18"/>
      <c r="L4569" s="26" t="s">
        <v>77</v>
      </c>
      <c r="M4569" s="6" t="s">
        <v>77</v>
      </c>
      <c r="N4569" s="28" t="s">
        <v>77</v>
      </c>
      <c r="O4569" s="26" t="s">
        <v>77</v>
      </c>
    </row>
    <row r="4570">
      <c r="A4570" s="52" t="s">
        <v>77</v>
      </c>
      <c r="B4570" s="28" t="s">
        <v>77</v>
      </c>
      <c r="C4570" s="28" t="s">
        <v>77</v>
      </c>
      <c r="D4570" s="28" t="s">
        <v>77</v>
      </c>
      <c r="E4570" s="28" t="s">
        <v>77</v>
      </c>
      <c r="F4570" s="28" t="s">
        <v>77</v>
      </c>
      <c r="G4570" s="28" t="s">
        <v>77</v>
      </c>
      <c r="I4570" s="26" t="s">
        <v>77</v>
      </c>
      <c r="J4570" s="26" t="s">
        <v>77</v>
      </c>
      <c r="K4570" s="18"/>
      <c r="L4570" s="26" t="s">
        <v>77</v>
      </c>
      <c r="M4570" s="6" t="s">
        <v>77</v>
      </c>
      <c r="N4570" s="28" t="s">
        <v>77</v>
      </c>
      <c r="O4570" s="26" t="s">
        <v>77</v>
      </c>
    </row>
    <row r="4571">
      <c r="A4571" s="52" t="s">
        <v>77</v>
      </c>
      <c r="B4571" s="28" t="s">
        <v>77</v>
      </c>
      <c r="C4571" s="28" t="s">
        <v>77</v>
      </c>
      <c r="D4571" s="28" t="s">
        <v>77</v>
      </c>
      <c r="E4571" s="28" t="s">
        <v>77</v>
      </c>
      <c r="F4571" s="28" t="s">
        <v>77</v>
      </c>
      <c r="G4571" s="28" t="s">
        <v>77</v>
      </c>
      <c r="I4571" s="26" t="s">
        <v>77</v>
      </c>
      <c r="J4571" s="26" t="s">
        <v>77</v>
      </c>
      <c r="K4571" s="18"/>
      <c r="L4571" s="26" t="s">
        <v>77</v>
      </c>
      <c r="M4571" s="6" t="s">
        <v>77</v>
      </c>
      <c r="N4571" s="28" t="s">
        <v>77</v>
      </c>
      <c r="O4571" s="26" t="s">
        <v>77</v>
      </c>
    </row>
    <row r="4572">
      <c r="A4572" s="52" t="s">
        <v>77</v>
      </c>
      <c r="B4572" s="28" t="s">
        <v>77</v>
      </c>
      <c r="C4572" s="28" t="s">
        <v>77</v>
      </c>
      <c r="D4572" s="28" t="s">
        <v>77</v>
      </c>
      <c r="E4572" s="28" t="s">
        <v>77</v>
      </c>
      <c r="F4572" s="28" t="s">
        <v>77</v>
      </c>
      <c r="G4572" s="28" t="s">
        <v>77</v>
      </c>
      <c r="I4572" s="26" t="s">
        <v>77</v>
      </c>
      <c r="J4572" s="26" t="s">
        <v>77</v>
      </c>
      <c r="K4572" s="18"/>
      <c r="L4572" s="26" t="s">
        <v>77</v>
      </c>
      <c r="M4572" s="6" t="s">
        <v>77</v>
      </c>
      <c r="N4572" s="28" t="s">
        <v>77</v>
      </c>
      <c r="O4572" s="26" t="s">
        <v>77</v>
      </c>
    </row>
    <row r="4573">
      <c r="A4573" s="52" t="s">
        <v>77</v>
      </c>
      <c r="B4573" s="28" t="s">
        <v>77</v>
      </c>
      <c r="C4573" s="28" t="s">
        <v>77</v>
      </c>
      <c r="D4573" s="28" t="s">
        <v>77</v>
      </c>
      <c r="E4573" s="28" t="s">
        <v>77</v>
      </c>
      <c r="F4573" s="28" t="s">
        <v>77</v>
      </c>
      <c r="G4573" s="28" t="s">
        <v>77</v>
      </c>
      <c r="I4573" s="26" t="s">
        <v>77</v>
      </c>
      <c r="J4573" s="26" t="s">
        <v>77</v>
      </c>
      <c r="K4573" s="18"/>
      <c r="L4573" s="26" t="s">
        <v>77</v>
      </c>
      <c r="M4573" s="6" t="s">
        <v>77</v>
      </c>
      <c r="N4573" s="28" t="s">
        <v>77</v>
      </c>
      <c r="O4573" s="26" t="s">
        <v>77</v>
      </c>
    </row>
    <row r="4574">
      <c r="A4574" s="52" t="s">
        <v>77</v>
      </c>
      <c r="B4574" s="28" t="s">
        <v>77</v>
      </c>
      <c r="C4574" s="28" t="s">
        <v>77</v>
      </c>
      <c r="D4574" s="28" t="s">
        <v>77</v>
      </c>
      <c r="E4574" s="28" t="s">
        <v>77</v>
      </c>
      <c r="F4574" s="28" t="s">
        <v>77</v>
      </c>
      <c r="G4574" s="28" t="s">
        <v>77</v>
      </c>
      <c r="I4574" s="26" t="s">
        <v>77</v>
      </c>
      <c r="J4574" s="26" t="s">
        <v>77</v>
      </c>
      <c r="K4574" s="18"/>
      <c r="L4574" s="26" t="s">
        <v>77</v>
      </c>
      <c r="M4574" s="6" t="s">
        <v>77</v>
      </c>
      <c r="N4574" s="28" t="s">
        <v>77</v>
      </c>
      <c r="O4574" s="26" t="s">
        <v>77</v>
      </c>
    </row>
    <row r="4575">
      <c r="A4575" s="52" t="s">
        <v>77</v>
      </c>
      <c r="B4575" s="28" t="s">
        <v>77</v>
      </c>
      <c r="C4575" s="28" t="s">
        <v>77</v>
      </c>
      <c r="D4575" s="28" t="s">
        <v>77</v>
      </c>
      <c r="E4575" s="28" t="s">
        <v>77</v>
      </c>
      <c r="F4575" s="28" t="s">
        <v>77</v>
      </c>
      <c r="G4575" s="28" t="s">
        <v>77</v>
      </c>
      <c r="I4575" s="26" t="s">
        <v>77</v>
      </c>
      <c r="J4575" s="26" t="s">
        <v>77</v>
      </c>
      <c r="K4575" s="18"/>
      <c r="L4575" s="26" t="s">
        <v>77</v>
      </c>
      <c r="M4575" s="6" t="s">
        <v>77</v>
      </c>
      <c r="N4575" s="28" t="s">
        <v>77</v>
      </c>
      <c r="O4575" s="26" t="s">
        <v>77</v>
      </c>
    </row>
    <row r="4576">
      <c r="A4576" s="52" t="s">
        <v>77</v>
      </c>
      <c r="B4576" s="28" t="s">
        <v>77</v>
      </c>
      <c r="C4576" s="28" t="s">
        <v>77</v>
      </c>
      <c r="D4576" s="28" t="s">
        <v>77</v>
      </c>
      <c r="E4576" s="28" t="s">
        <v>77</v>
      </c>
      <c r="F4576" s="28" t="s">
        <v>77</v>
      </c>
      <c r="G4576" s="28" t="s">
        <v>77</v>
      </c>
      <c r="I4576" s="26" t="s">
        <v>77</v>
      </c>
      <c r="J4576" s="26" t="s">
        <v>77</v>
      </c>
      <c r="K4576" s="18"/>
      <c r="L4576" s="26" t="s">
        <v>77</v>
      </c>
      <c r="M4576" s="6" t="s">
        <v>77</v>
      </c>
      <c r="N4576" s="28" t="s">
        <v>77</v>
      </c>
      <c r="O4576" s="26" t="s">
        <v>77</v>
      </c>
    </row>
    <row r="4577">
      <c r="A4577" s="52" t="s">
        <v>77</v>
      </c>
      <c r="B4577" s="28" t="s">
        <v>77</v>
      </c>
      <c r="C4577" s="28" t="s">
        <v>77</v>
      </c>
      <c r="D4577" s="28" t="s">
        <v>77</v>
      </c>
      <c r="E4577" s="28" t="s">
        <v>77</v>
      </c>
      <c r="F4577" s="28" t="s">
        <v>77</v>
      </c>
      <c r="G4577" s="28" t="s">
        <v>77</v>
      </c>
      <c r="I4577" s="26" t="s">
        <v>77</v>
      </c>
      <c r="J4577" s="26" t="s">
        <v>77</v>
      </c>
      <c r="K4577" s="18"/>
      <c r="L4577" s="26" t="s">
        <v>77</v>
      </c>
      <c r="M4577" s="6" t="s">
        <v>77</v>
      </c>
      <c r="N4577" s="28" t="s">
        <v>77</v>
      </c>
      <c r="O4577" s="26" t="s">
        <v>77</v>
      </c>
    </row>
    <row r="4578">
      <c r="A4578" s="52" t="s">
        <v>77</v>
      </c>
      <c r="B4578" s="28" t="s">
        <v>77</v>
      </c>
      <c r="C4578" s="28" t="s">
        <v>77</v>
      </c>
      <c r="D4578" s="28" t="s">
        <v>77</v>
      </c>
      <c r="E4578" s="28" t="s">
        <v>77</v>
      </c>
      <c r="F4578" s="28" t="s">
        <v>77</v>
      </c>
      <c r="G4578" s="28" t="s">
        <v>77</v>
      </c>
      <c r="I4578" s="26" t="s">
        <v>77</v>
      </c>
      <c r="J4578" s="26" t="s">
        <v>77</v>
      </c>
      <c r="K4578" s="18"/>
      <c r="L4578" s="26" t="s">
        <v>77</v>
      </c>
      <c r="M4578" s="6" t="s">
        <v>77</v>
      </c>
      <c r="N4578" s="28" t="s">
        <v>77</v>
      </c>
      <c r="O4578" s="26" t="s">
        <v>77</v>
      </c>
    </row>
    <row r="4579">
      <c r="A4579" s="52" t="s">
        <v>77</v>
      </c>
      <c r="B4579" s="28" t="s">
        <v>77</v>
      </c>
      <c r="C4579" s="28" t="s">
        <v>77</v>
      </c>
      <c r="D4579" s="28" t="s">
        <v>77</v>
      </c>
      <c r="E4579" s="28" t="s">
        <v>77</v>
      </c>
      <c r="F4579" s="28" t="s">
        <v>77</v>
      </c>
      <c r="G4579" s="28" t="s">
        <v>77</v>
      </c>
      <c r="I4579" s="26" t="s">
        <v>77</v>
      </c>
      <c r="J4579" s="26" t="s">
        <v>77</v>
      </c>
      <c r="K4579" s="18"/>
      <c r="L4579" s="26" t="s">
        <v>77</v>
      </c>
      <c r="M4579" s="6" t="s">
        <v>77</v>
      </c>
      <c r="N4579" s="28" t="s">
        <v>77</v>
      </c>
      <c r="O4579" s="26" t="s">
        <v>77</v>
      </c>
    </row>
    <row r="4580">
      <c r="A4580" s="52" t="s">
        <v>77</v>
      </c>
      <c r="B4580" s="28" t="s">
        <v>77</v>
      </c>
      <c r="C4580" s="28" t="s">
        <v>77</v>
      </c>
      <c r="D4580" s="28" t="s">
        <v>77</v>
      </c>
      <c r="E4580" s="28" t="s">
        <v>77</v>
      </c>
      <c r="F4580" s="28" t="s">
        <v>77</v>
      </c>
      <c r="G4580" s="28" t="s">
        <v>77</v>
      </c>
      <c r="I4580" s="26" t="s">
        <v>77</v>
      </c>
      <c r="J4580" s="26" t="s">
        <v>77</v>
      </c>
      <c r="K4580" s="18"/>
      <c r="L4580" s="26" t="s">
        <v>77</v>
      </c>
      <c r="M4580" s="6" t="s">
        <v>77</v>
      </c>
      <c r="N4580" s="28" t="s">
        <v>77</v>
      </c>
      <c r="O4580" s="26" t="s">
        <v>77</v>
      </c>
    </row>
    <row r="4581">
      <c r="A4581" s="52" t="s">
        <v>77</v>
      </c>
      <c r="B4581" s="28" t="s">
        <v>77</v>
      </c>
      <c r="C4581" s="28" t="s">
        <v>77</v>
      </c>
      <c r="D4581" s="28" t="s">
        <v>77</v>
      </c>
      <c r="E4581" s="28" t="s">
        <v>77</v>
      </c>
      <c r="F4581" s="28" t="s">
        <v>77</v>
      </c>
      <c r="G4581" s="28" t="s">
        <v>77</v>
      </c>
      <c r="I4581" s="26" t="s">
        <v>77</v>
      </c>
      <c r="J4581" s="26" t="s">
        <v>77</v>
      </c>
      <c r="K4581" s="18"/>
      <c r="L4581" s="26" t="s">
        <v>77</v>
      </c>
      <c r="M4581" s="6" t="s">
        <v>77</v>
      </c>
      <c r="N4581" s="28" t="s">
        <v>77</v>
      </c>
      <c r="O4581" s="26" t="s">
        <v>77</v>
      </c>
    </row>
    <row r="4582">
      <c r="A4582" s="52" t="s">
        <v>77</v>
      </c>
      <c r="B4582" s="28" t="s">
        <v>77</v>
      </c>
      <c r="C4582" s="28" t="s">
        <v>77</v>
      </c>
      <c r="D4582" s="28" t="s">
        <v>77</v>
      </c>
      <c r="E4582" s="28" t="s">
        <v>77</v>
      </c>
      <c r="F4582" s="28" t="s">
        <v>77</v>
      </c>
      <c r="G4582" s="28" t="s">
        <v>77</v>
      </c>
      <c r="I4582" s="26" t="s">
        <v>77</v>
      </c>
      <c r="J4582" s="26" t="s">
        <v>77</v>
      </c>
      <c r="K4582" s="18"/>
      <c r="L4582" s="26" t="s">
        <v>77</v>
      </c>
      <c r="M4582" s="6" t="s">
        <v>77</v>
      </c>
      <c r="N4582" s="28" t="s">
        <v>77</v>
      </c>
      <c r="O4582" s="26" t="s">
        <v>77</v>
      </c>
    </row>
    <row r="4583">
      <c r="A4583" s="52" t="s">
        <v>77</v>
      </c>
      <c r="B4583" s="28" t="s">
        <v>77</v>
      </c>
      <c r="C4583" s="28" t="s">
        <v>77</v>
      </c>
      <c r="D4583" s="28" t="s">
        <v>77</v>
      </c>
      <c r="E4583" s="28" t="s">
        <v>77</v>
      </c>
      <c r="F4583" s="28" t="s">
        <v>77</v>
      </c>
      <c r="G4583" s="28" t="s">
        <v>77</v>
      </c>
      <c r="I4583" s="26" t="s">
        <v>77</v>
      </c>
      <c r="J4583" s="26" t="s">
        <v>77</v>
      </c>
      <c r="K4583" s="18"/>
      <c r="L4583" s="26" t="s">
        <v>77</v>
      </c>
      <c r="M4583" s="6" t="s">
        <v>77</v>
      </c>
      <c r="N4583" s="28" t="s">
        <v>77</v>
      </c>
      <c r="O4583" s="26" t="s">
        <v>77</v>
      </c>
    </row>
    <row r="4584">
      <c r="A4584" s="52" t="s">
        <v>77</v>
      </c>
      <c r="B4584" s="28" t="s">
        <v>77</v>
      </c>
      <c r="C4584" s="28" t="s">
        <v>77</v>
      </c>
      <c r="D4584" s="28" t="s">
        <v>77</v>
      </c>
      <c r="E4584" s="28" t="s">
        <v>77</v>
      </c>
      <c r="F4584" s="28" t="s">
        <v>77</v>
      </c>
      <c r="G4584" s="28" t="s">
        <v>77</v>
      </c>
      <c r="I4584" s="26" t="s">
        <v>77</v>
      </c>
      <c r="J4584" s="26" t="s">
        <v>77</v>
      </c>
      <c r="K4584" s="18"/>
      <c r="L4584" s="26" t="s">
        <v>77</v>
      </c>
      <c r="M4584" s="6" t="s">
        <v>77</v>
      </c>
      <c r="N4584" s="28" t="s">
        <v>77</v>
      </c>
      <c r="O4584" s="26" t="s">
        <v>77</v>
      </c>
    </row>
    <row r="4585">
      <c r="A4585" s="52" t="s">
        <v>77</v>
      </c>
      <c r="B4585" s="28" t="s">
        <v>77</v>
      </c>
      <c r="C4585" s="28" t="s">
        <v>77</v>
      </c>
      <c r="D4585" s="28" t="s">
        <v>77</v>
      </c>
      <c r="E4585" s="28" t="s">
        <v>77</v>
      </c>
      <c r="F4585" s="28" t="s">
        <v>77</v>
      </c>
      <c r="G4585" s="28" t="s">
        <v>77</v>
      </c>
      <c r="I4585" s="26" t="s">
        <v>77</v>
      </c>
      <c r="J4585" s="26" t="s">
        <v>77</v>
      </c>
      <c r="K4585" s="18"/>
      <c r="L4585" s="26" t="s">
        <v>77</v>
      </c>
      <c r="M4585" s="6" t="s">
        <v>77</v>
      </c>
      <c r="N4585" s="28" t="s">
        <v>77</v>
      </c>
      <c r="O4585" s="26" t="s">
        <v>77</v>
      </c>
    </row>
    <row r="4586">
      <c r="A4586" s="52" t="s">
        <v>77</v>
      </c>
      <c r="B4586" s="28" t="s">
        <v>77</v>
      </c>
      <c r="C4586" s="28" t="s">
        <v>77</v>
      </c>
      <c r="D4586" s="28" t="s">
        <v>77</v>
      </c>
      <c r="E4586" s="28" t="s">
        <v>77</v>
      </c>
      <c r="F4586" s="28" t="s">
        <v>77</v>
      </c>
      <c r="G4586" s="28" t="s">
        <v>77</v>
      </c>
      <c r="I4586" s="26" t="s">
        <v>77</v>
      </c>
      <c r="J4586" s="26" t="s">
        <v>77</v>
      </c>
      <c r="K4586" s="18"/>
      <c r="L4586" s="26" t="s">
        <v>77</v>
      </c>
      <c r="M4586" s="6" t="s">
        <v>77</v>
      </c>
      <c r="N4586" s="28" t="s">
        <v>77</v>
      </c>
      <c r="O4586" s="26" t="s">
        <v>77</v>
      </c>
    </row>
    <row r="4587">
      <c r="A4587" s="52" t="s">
        <v>77</v>
      </c>
      <c r="B4587" s="28" t="s">
        <v>77</v>
      </c>
      <c r="C4587" s="28" t="s">
        <v>77</v>
      </c>
      <c r="D4587" s="28" t="s">
        <v>77</v>
      </c>
      <c r="E4587" s="28" t="s">
        <v>77</v>
      </c>
      <c r="F4587" s="28" t="s">
        <v>77</v>
      </c>
      <c r="G4587" s="28" t="s">
        <v>77</v>
      </c>
      <c r="I4587" s="26" t="s">
        <v>77</v>
      </c>
      <c r="J4587" s="26" t="s">
        <v>77</v>
      </c>
      <c r="K4587" s="18"/>
      <c r="L4587" s="26" t="s">
        <v>77</v>
      </c>
      <c r="M4587" s="6" t="s">
        <v>77</v>
      </c>
      <c r="N4587" s="28" t="s">
        <v>77</v>
      </c>
      <c r="O4587" s="26" t="s">
        <v>77</v>
      </c>
    </row>
    <row r="4588">
      <c r="A4588" s="52" t="s">
        <v>77</v>
      </c>
      <c r="B4588" s="28" t="s">
        <v>77</v>
      </c>
      <c r="C4588" s="28" t="s">
        <v>77</v>
      </c>
      <c r="D4588" s="28" t="s">
        <v>77</v>
      </c>
      <c r="E4588" s="28" t="s">
        <v>77</v>
      </c>
      <c r="F4588" s="28" t="s">
        <v>77</v>
      </c>
      <c r="G4588" s="28" t="s">
        <v>77</v>
      </c>
      <c r="I4588" s="26" t="s">
        <v>77</v>
      </c>
      <c r="J4588" s="26" t="s">
        <v>77</v>
      </c>
      <c r="K4588" s="18"/>
      <c r="L4588" s="26" t="s">
        <v>77</v>
      </c>
      <c r="M4588" s="6" t="s">
        <v>77</v>
      </c>
      <c r="N4588" s="28" t="s">
        <v>77</v>
      </c>
      <c r="O4588" s="26" t="s">
        <v>77</v>
      </c>
    </row>
    <row r="4589">
      <c r="A4589" s="52" t="s">
        <v>77</v>
      </c>
      <c r="B4589" s="28" t="s">
        <v>77</v>
      </c>
      <c r="C4589" s="28" t="s">
        <v>77</v>
      </c>
      <c r="D4589" s="28" t="s">
        <v>77</v>
      </c>
      <c r="E4589" s="28" t="s">
        <v>77</v>
      </c>
      <c r="F4589" s="28" t="s">
        <v>77</v>
      </c>
      <c r="G4589" s="28" t="s">
        <v>77</v>
      </c>
      <c r="I4589" s="26" t="s">
        <v>77</v>
      </c>
      <c r="J4589" s="26" t="s">
        <v>77</v>
      </c>
      <c r="K4589" s="18"/>
      <c r="L4589" s="26" t="s">
        <v>77</v>
      </c>
      <c r="M4589" s="6" t="s">
        <v>77</v>
      </c>
      <c r="N4589" s="28" t="s">
        <v>77</v>
      </c>
      <c r="O4589" s="26" t="s">
        <v>77</v>
      </c>
    </row>
    <row r="4590">
      <c r="A4590" s="52" t="s">
        <v>77</v>
      </c>
      <c r="B4590" s="28" t="s">
        <v>77</v>
      </c>
      <c r="C4590" s="28" t="s">
        <v>77</v>
      </c>
      <c r="D4590" s="28" t="s">
        <v>77</v>
      </c>
      <c r="E4590" s="28" t="s">
        <v>77</v>
      </c>
      <c r="F4590" s="28" t="s">
        <v>77</v>
      </c>
      <c r="G4590" s="28" t="s">
        <v>77</v>
      </c>
      <c r="I4590" s="26" t="s">
        <v>77</v>
      </c>
      <c r="J4590" s="26" t="s">
        <v>77</v>
      </c>
      <c r="K4590" s="18"/>
      <c r="L4590" s="26" t="s">
        <v>77</v>
      </c>
      <c r="M4590" s="6" t="s">
        <v>77</v>
      </c>
      <c r="N4590" s="28" t="s">
        <v>77</v>
      </c>
      <c r="O4590" s="26" t="s">
        <v>77</v>
      </c>
    </row>
    <row r="4591">
      <c r="A4591" s="52" t="s">
        <v>77</v>
      </c>
      <c r="B4591" s="28" t="s">
        <v>77</v>
      </c>
      <c r="C4591" s="28" t="s">
        <v>77</v>
      </c>
      <c r="D4591" s="28" t="s">
        <v>77</v>
      </c>
      <c r="E4591" s="28" t="s">
        <v>77</v>
      </c>
      <c r="F4591" s="28" t="s">
        <v>77</v>
      </c>
      <c r="G4591" s="28" t="s">
        <v>77</v>
      </c>
      <c r="I4591" s="26" t="s">
        <v>77</v>
      </c>
      <c r="J4591" s="26" t="s">
        <v>77</v>
      </c>
      <c r="K4591" s="18"/>
      <c r="L4591" s="26" t="s">
        <v>77</v>
      </c>
      <c r="M4591" s="6" t="s">
        <v>77</v>
      </c>
      <c r="N4591" s="28" t="s">
        <v>77</v>
      </c>
      <c r="O4591" s="26" t="s">
        <v>77</v>
      </c>
    </row>
    <row r="4592">
      <c r="A4592" s="52" t="s">
        <v>77</v>
      </c>
      <c r="B4592" s="28" t="s">
        <v>77</v>
      </c>
      <c r="C4592" s="28" t="s">
        <v>77</v>
      </c>
      <c r="D4592" s="28" t="s">
        <v>77</v>
      </c>
      <c r="E4592" s="28" t="s">
        <v>77</v>
      </c>
      <c r="F4592" s="28" t="s">
        <v>77</v>
      </c>
      <c r="G4592" s="28" t="s">
        <v>77</v>
      </c>
      <c r="I4592" s="26" t="s">
        <v>77</v>
      </c>
      <c r="J4592" s="26" t="s">
        <v>77</v>
      </c>
      <c r="K4592" s="18"/>
      <c r="L4592" s="26" t="s">
        <v>77</v>
      </c>
      <c r="M4592" s="6" t="s">
        <v>77</v>
      </c>
      <c r="N4592" s="28" t="s">
        <v>77</v>
      </c>
      <c r="O4592" s="26" t="s">
        <v>77</v>
      </c>
    </row>
    <row r="4593">
      <c r="A4593" s="52" t="s">
        <v>77</v>
      </c>
      <c r="B4593" s="28" t="s">
        <v>77</v>
      </c>
      <c r="C4593" s="28" t="s">
        <v>77</v>
      </c>
      <c r="D4593" s="28" t="s">
        <v>77</v>
      </c>
      <c r="E4593" s="28" t="s">
        <v>77</v>
      </c>
      <c r="F4593" s="28" t="s">
        <v>77</v>
      </c>
      <c r="G4593" s="28" t="s">
        <v>77</v>
      </c>
      <c r="I4593" s="26" t="s">
        <v>77</v>
      </c>
      <c r="J4593" s="26" t="s">
        <v>77</v>
      </c>
      <c r="K4593" s="18"/>
      <c r="L4593" s="26" t="s">
        <v>77</v>
      </c>
      <c r="M4593" s="6" t="s">
        <v>77</v>
      </c>
      <c r="N4593" s="28" t="s">
        <v>77</v>
      </c>
      <c r="O4593" s="26" t="s">
        <v>77</v>
      </c>
    </row>
    <row r="4594">
      <c r="A4594" s="52" t="s">
        <v>77</v>
      </c>
      <c r="B4594" s="28" t="s">
        <v>77</v>
      </c>
      <c r="C4594" s="28" t="s">
        <v>77</v>
      </c>
      <c r="D4594" s="28" t="s">
        <v>77</v>
      </c>
      <c r="E4594" s="28" t="s">
        <v>77</v>
      </c>
      <c r="F4594" s="28" t="s">
        <v>77</v>
      </c>
      <c r="G4594" s="28" t="s">
        <v>77</v>
      </c>
      <c r="I4594" s="26" t="s">
        <v>77</v>
      </c>
      <c r="J4594" s="26" t="s">
        <v>77</v>
      </c>
      <c r="K4594" s="18"/>
      <c r="L4594" s="26" t="s">
        <v>77</v>
      </c>
      <c r="M4594" s="6" t="s">
        <v>77</v>
      </c>
      <c r="N4594" s="28" t="s">
        <v>77</v>
      </c>
      <c r="O4594" s="26" t="s">
        <v>77</v>
      </c>
    </row>
    <row r="4595">
      <c r="A4595" s="52" t="s">
        <v>77</v>
      </c>
      <c r="B4595" s="28" t="s">
        <v>77</v>
      </c>
      <c r="C4595" s="28" t="s">
        <v>77</v>
      </c>
      <c r="D4595" s="28" t="s">
        <v>77</v>
      </c>
      <c r="E4595" s="28" t="s">
        <v>77</v>
      </c>
      <c r="F4595" s="28" t="s">
        <v>77</v>
      </c>
      <c r="G4595" s="28" t="s">
        <v>77</v>
      </c>
      <c r="I4595" s="26" t="s">
        <v>77</v>
      </c>
      <c r="J4595" s="26" t="s">
        <v>77</v>
      </c>
      <c r="K4595" s="18"/>
      <c r="L4595" s="26" t="s">
        <v>77</v>
      </c>
      <c r="M4595" s="6" t="s">
        <v>77</v>
      </c>
      <c r="N4595" s="28" t="s">
        <v>77</v>
      </c>
      <c r="O4595" s="26" t="s">
        <v>77</v>
      </c>
    </row>
    <row r="4596">
      <c r="A4596" s="52" t="s">
        <v>77</v>
      </c>
      <c r="B4596" s="28" t="s">
        <v>77</v>
      </c>
      <c r="C4596" s="28" t="s">
        <v>77</v>
      </c>
      <c r="D4596" s="28" t="s">
        <v>77</v>
      </c>
      <c r="E4596" s="28" t="s">
        <v>77</v>
      </c>
      <c r="F4596" s="28" t="s">
        <v>77</v>
      </c>
      <c r="G4596" s="28" t="s">
        <v>77</v>
      </c>
      <c r="I4596" s="26" t="s">
        <v>77</v>
      </c>
      <c r="J4596" s="26" t="s">
        <v>77</v>
      </c>
      <c r="K4596" s="18"/>
      <c r="L4596" s="26" t="s">
        <v>77</v>
      </c>
      <c r="M4596" s="6" t="s">
        <v>77</v>
      </c>
      <c r="N4596" s="28" t="s">
        <v>77</v>
      </c>
      <c r="O4596" s="26" t="s">
        <v>77</v>
      </c>
    </row>
    <row r="4597">
      <c r="A4597" s="52" t="s">
        <v>77</v>
      </c>
      <c r="B4597" s="28" t="s">
        <v>77</v>
      </c>
      <c r="C4597" s="28" t="s">
        <v>77</v>
      </c>
      <c r="D4597" s="28" t="s">
        <v>77</v>
      </c>
      <c r="E4597" s="28" t="s">
        <v>77</v>
      </c>
      <c r="F4597" s="28" t="s">
        <v>77</v>
      </c>
      <c r="G4597" s="28" t="s">
        <v>77</v>
      </c>
      <c r="I4597" s="26" t="s">
        <v>77</v>
      </c>
      <c r="J4597" s="26" t="s">
        <v>77</v>
      </c>
      <c r="K4597" s="18"/>
      <c r="L4597" s="26" t="s">
        <v>77</v>
      </c>
      <c r="M4597" s="6" t="s">
        <v>77</v>
      </c>
      <c r="N4597" s="28" t="s">
        <v>77</v>
      </c>
      <c r="O4597" s="26" t="s">
        <v>77</v>
      </c>
    </row>
    <row r="4598">
      <c r="A4598" s="52" t="s">
        <v>77</v>
      </c>
      <c r="B4598" s="28" t="s">
        <v>77</v>
      </c>
      <c r="C4598" s="28" t="s">
        <v>77</v>
      </c>
      <c r="D4598" s="28" t="s">
        <v>77</v>
      </c>
      <c r="E4598" s="28" t="s">
        <v>77</v>
      </c>
      <c r="F4598" s="28" t="s">
        <v>77</v>
      </c>
      <c r="G4598" s="28" t="s">
        <v>77</v>
      </c>
      <c r="I4598" s="26" t="s">
        <v>77</v>
      </c>
      <c r="J4598" s="26" t="s">
        <v>77</v>
      </c>
      <c r="K4598" s="18"/>
      <c r="L4598" s="26" t="s">
        <v>77</v>
      </c>
      <c r="M4598" s="6" t="s">
        <v>77</v>
      </c>
      <c r="N4598" s="28" t="s">
        <v>77</v>
      </c>
      <c r="O4598" s="26" t="s">
        <v>77</v>
      </c>
    </row>
    <row r="4599">
      <c r="A4599" s="52" t="s">
        <v>77</v>
      </c>
      <c r="B4599" s="28" t="s">
        <v>77</v>
      </c>
      <c r="C4599" s="28" t="s">
        <v>77</v>
      </c>
      <c r="D4599" s="28" t="s">
        <v>77</v>
      </c>
      <c r="E4599" s="28" t="s">
        <v>77</v>
      </c>
      <c r="F4599" s="28" t="s">
        <v>77</v>
      </c>
      <c r="G4599" s="28" t="s">
        <v>77</v>
      </c>
      <c r="I4599" s="26" t="s">
        <v>77</v>
      </c>
      <c r="J4599" s="26" t="s">
        <v>77</v>
      </c>
      <c r="K4599" s="18"/>
      <c r="L4599" s="26" t="s">
        <v>77</v>
      </c>
      <c r="M4599" s="6" t="s">
        <v>77</v>
      </c>
      <c r="N4599" s="28" t="s">
        <v>77</v>
      </c>
      <c r="O4599" s="26" t="s">
        <v>77</v>
      </c>
    </row>
    <row r="4600">
      <c r="A4600" s="52" t="s">
        <v>77</v>
      </c>
      <c r="B4600" s="28" t="s">
        <v>77</v>
      </c>
      <c r="C4600" s="28" t="s">
        <v>77</v>
      </c>
      <c r="D4600" s="28" t="s">
        <v>77</v>
      </c>
      <c r="E4600" s="28" t="s">
        <v>77</v>
      </c>
      <c r="F4600" s="28" t="s">
        <v>77</v>
      </c>
      <c r="G4600" s="28" t="s">
        <v>77</v>
      </c>
      <c r="I4600" s="26" t="s">
        <v>77</v>
      </c>
      <c r="J4600" s="26" t="s">
        <v>77</v>
      </c>
      <c r="K4600" s="18"/>
      <c r="L4600" s="26" t="s">
        <v>77</v>
      </c>
      <c r="M4600" s="6" t="s">
        <v>77</v>
      </c>
      <c r="N4600" s="28" t="s">
        <v>77</v>
      </c>
      <c r="O4600" s="26" t="s">
        <v>77</v>
      </c>
    </row>
    <row r="4601">
      <c r="A4601" s="52" t="s">
        <v>77</v>
      </c>
      <c r="B4601" s="28" t="s">
        <v>77</v>
      </c>
      <c r="C4601" s="28" t="s">
        <v>77</v>
      </c>
      <c r="D4601" s="28" t="s">
        <v>77</v>
      </c>
      <c r="E4601" s="28" t="s">
        <v>77</v>
      </c>
      <c r="F4601" s="28" t="s">
        <v>77</v>
      </c>
      <c r="G4601" s="28" t="s">
        <v>77</v>
      </c>
      <c r="I4601" s="26" t="s">
        <v>77</v>
      </c>
      <c r="J4601" s="26" t="s">
        <v>77</v>
      </c>
      <c r="K4601" s="18"/>
      <c r="L4601" s="26" t="s">
        <v>77</v>
      </c>
      <c r="M4601" s="6" t="s">
        <v>77</v>
      </c>
      <c r="N4601" s="28" t="s">
        <v>77</v>
      </c>
      <c r="O4601" s="26" t="s">
        <v>77</v>
      </c>
    </row>
    <row r="4602">
      <c r="A4602" s="52" t="s">
        <v>77</v>
      </c>
      <c r="B4602" s="28" t="s">
        <v>77</v>
      </c>
      <c r="C4602" s="28" t="s">
        <v>77</v>
      </c>
      <c r="D4602" s="28" t="s">
        <v>77</v>
      </c>
      <c r="E4602" s="28" t="s">
        <v>77</v>
      </c>
      <c r="F4602" s="28" t="s">
        <v>77</v>
      </c>
      <c r="G4602" s="28" t="s">
        <v>77</v>
      </c>
      <c r="I4602" s="26" t="s">
        <v>77</v>
      </c>
      <c r="J4602" s="26" t="s">
        <v>77</v>
      </c>
      <c r="K4602" s="18"/>
      <c r="L4602" s="26" t="s">
        <v>77</v>
      </c>
      <c r="M4602" s="6" t="s">
        <v>77</v>
      </c>
      <c r="N4602" s="28" t="s">
        <v>77</v>
      </c>
      <c r="O4602" s="26" t="s">
        <v>77</v>
      </c>
    </row>
    <row r="4603">
      <c r="A4603" s="52" t="s">
        <v>77</v>
      </c>
      <c r="B4603" s="28" t="s">
        <v>77</v>
      </c>
      <c r="C4603" s="28" t="s">
        <v>77</v>
      </c>
      <c r="D4603" s="28" t="s">
        <v>77</v>
      </c>
      <c r="E4603" s="28" t="s">
        <v>77</v>
      </c>
      <c r="F4603" s="28" t="s">
        <v>77</v>
      </c>
      <c r="G4603" s="28" t="s">
        <v>77</v>
      </c>
      <c r="I4603" s="26" t="s">
        <v>77</v>
      </c>
      <c r="J4603" s="26" t="s">
        <v>77</v>
      </c>
      <c r="K4603" s="18"/>
      <c r="L4603" s="26" t="s">
        <v>77</v>
      </c>
      <c r="M4603" s="6" t="s">
        <v>77</v>
      </c>
      <c r="N4603" s="28" t="s">
        <v>77</v>
      </c>
      <c r="O4603" s="26" t="s">
        <v>77</v>
      </c>
    </row>
    <row r="4604">
      <c r="A4604" s="52" t="s">
        <v>77</v>
      </c>
      <c r="B4604" s="28" t="s">
        <v>77</v>
      </c>
      <c r="C4604" s="28" t="s">
        <v>77</v>
      </c>
      <c r="D4604" s="28" t="s">
        <v>77</v>
      </c>
      <c r="E4604" s="28" t="s">
        <v>77</v>
      </c>
      <c r="F4604" s="28" t="s">
        <v>77</v>
      </c>
      <c r="G4604" s="28" t="s">
        <v>77</v>
      </c>
      <c r="I4604" s="26" t="s">
        <v>77</v>
      </c>
      <c r="J4604" s="26" t="s">
        <v>77</v>
      </c>
      <c r="K4604" s="18"/>
      <c r="L4604" s="26" t="s">
        <v>77</v>
      </c>
      <c r="M4604" s="6" t="s">
        <v>77</v>
      </c>
      <c r="N4604" s="28" t="s">
        <v>77</v>
      </c>
      <c r="O4604" s="26" t="s">
        <v>77</v>
      </c>
    </row>
    <row r="4605">
      <c r="A4605" s="52" t="s">
        <v>77</v>
      </c>
      <c r="B4605" s="28" t="s">
        <v>77</v>
      </c>
      <c r="C4605" s="28" t="s">
        <v>77</v>
      </c>
      <c r="D4605" s="28" t="s">
        <v>77</v>
      </c>
      <c r="E4605" s="28" t="s">
        <v>77</v>
      </c>
      <c r="F4605" s="28" t="s">
        <v>77</v>
      </c>
      <c r="G4605" s="28" t="s">
        <v>77</v>
      </c>
      <c r="I4605" s="26" t="s">
        <v>77</v>
      </c>
      <c r="J4605" s="26" t="s">
        <v>77</v>
      </c>
      <c r="K4605" s="18"/>
      <c r="L4605" s="26" t="s">
        <v>77</v>
      </c>
      <c r="M4605" s="6" t="s">
        <v>77</v>
      </c>
      <c r="N4605" s="28" t="s">
        <v>77</v>
      </c>
      <c r="O4605" s="26" t="s">
        <v>77</v>
      </c>
    </row>
    <row r="4606">
      <c r="A4606" s="52" t="s">
        <v>77</v>
      </c>
      <c r="B4606" s="28" t="s">
        <v>77</v>
      </c>
      <c r="C4606" s="28" t="s">
        <v>77</v>
      </c>
      <c r="D4606" s="28" t="s">
        <v>77</v>
      </c>
      <c r="E4606" s="28" t="s">
        <v>77</v>
      </c>
      <c r="F4606" s="28" t="s">
        <v>77</v>
      </c>
      <c r="G4606" s="28" t="s">
        <v>77</v>
      </c>
      <c r="I4606" s="26" t="s">
        <v>77</v>
      </c>
      <c r="J4606" s="26" t="s">
        <v>77</v>
      </c>
      <c r="K4606" s="18"/>
      <c r="L4606" s="26" t="s">
        <v>77</v>
      </c>
      <c r="M4606" s="6" t="s">
        <v>77</v>
      </c>
      <c r="N4606" s="28" t="s">
        <v>77</v>
      </c>
      <c r="O4606" s="26" t="s">
        <v>77</v>
      </c>
    </row>
    <row r="4607">
      <c r="A4607" s="52" t="s">
        <v>77</v>
      </c>
      <c r="B4607" s="28" t="s">
        <v>77</v>
      </c>
      <c r="C4607" s="28" t="s">
        <v>77</v>
      </c>
      <c r="D4607" s="28" t="s">
        <v>77</v>
      </c>
      <c r="E4607" s="28" t="s">
        <v>77</v>
      </c>
      <c r="F4607" s="28" t="s">
        <v>77</v>
      </c>
      <c r="G4607" s="28" t="s">
        <v>77</v>
      </c>
      <c r="I4607" s="26" t="s">
        <v>77</v>
      </c>
      <c r="J4607" s="26" t="s">
        <v>77</v>
      </c>
      <c r="K4607" s="18"/>
      <c r="L4607" s="26" t="s">
        <v>77</v>
      </c>
      <c r="M4607" s="6" t="s">
        <v>77</v>
      </c>
      <c r="N4607" s="28" t="s">
        <v>77</v>
      </c>
      <c r="O4607" s="26" t="s">
        <v>77</v>
      </c>
    </row>
    <row r="4608">
      <c r="A4608" s="52" t="s">
        <v>77</v>
      </c>
      <c r="B4608" s="28" t="s">
        <v>77</v>
      </c>
      <c r="C4608" s="28" t="s">
        <v>77</v>
      </c>
      <c r="D4608" s="28" t="s">
        <v>77</v>
      </c>
      <c r="E4608" s="28" t="s">
        <v>77</v>
      </c>
      <c r="F4608" s="28" t="s">
        <v>77</v>
      </c>
      <c r="G4608" s="28" t="s">
        <v>77</v>
      </c>
      <c r="I4608" s="26" t="s">
        <v>77</v>
      </c>
      <c r="J4608" s="26" t="s">
        <v>77</v>
      </c>
      <c r="K4608" s="18"/>
      <c r="L4608" s="26" t="s">
        <v>77</v>
      </c>
      <c r="M4608" s="6" t="s">
        <v>77</v>
      </c>
      <c r="N4608" s="28" t="s">
        <v>77</v>
      </c>
      <c r="O4608" s="26" t="s">
        <v>77</v>
      </c>
    </row>
    <row r="4609">
      <c r="A4609" s="52" t="s">
        <v>77</v>
      </c>
      <c r="B4609" s="28" t="s">
        <v>77</v>
      </c>
      <c r="C4609" s="28" t="s">
        <v>77</v>
      </c>
      <c r="D4609" s="28" t="s">
        <v>77</v>
      </c>
      <c r="E4609" s="28" t="s">
        <v>77</v>
      </c>
      <c r="F4609" s="28" t="s">
        <v>77</v>
      </c>
      <c r="G4609" s="28" t="s">
        <v>77</v>
      </c>
      <c r="I4609" s="26" t="s">
        <v>77</v>
      </c>
      <c r="J4609" s="26" t="s">
        <v>77</v>
      </c>
      <c r="K4609" s="18"/>
      <c r="L4609" s="26" t="s">
        <v>77</v>
      </c>
      <c r="M4609" s="6" t="s">
        <v>77</v>
      </c>
      <c r="N4609" s="28" t="s">
        <v>77</v>
      </c>
      <c r="O4609" s="26" t="s">
        <v>77</v>
      </c>
    </row>
    <row r="4610">
      <c r="A4610" s="52" t="s">
        <v>77</v>
      </c>
      <c r="B4610" s="28" t="s">
        <v>77</v>
      </c>
      <c r="C4610" s="28" t="s">
        <v>77</v>
      </c>
      <c r="D4610" s="28" t="s">
        <v>77</v>
      </c>
      <c r="E4610" s="28" t="s">
        <v>77</v>
      </c>
      <c r="F4610" s="28" t="s">
        <v>77</v>
      </c>
      <c r="G4610" s="28" t="s">
        <v>77</v>
      </c>
      <c r="I4610" s="26" t="s">
        <v>77</v>
      </c>
      <c r="J4610" s="26" t="s">
        <v>77</v>
      </c>
      <c r="K4610" s="18"/>
      <c r="L4610" s="26" t="s">
        <v>77</v>
      </c>
      <c r="M4610" s="6" t="s">
        <v>77</v>
      </c>
      <c r="N4610" s="28" t="s">
        <v>77</v>
      </c>
      <c r="O4610" s="26" t="s">
        <v>77</v>
      </c>
    </row>
    <row r="4611">
      <c r="A4611" s="52" t="s">
        <v>77</v>
      </c>
      <c r="B4611" s="28" t="s">
        <v>77</v>
      </c>
      <c r="C4611" s="28" t="s">
        <v>77</v>
      </c>
      <c r="D4611" s="28" t="s">
        <v>77</v>
      </c>
      <c r="E4611" s="28" t="s">
        <v>77</v>
      </c>
      <c r="F4611" s="28" t="s">
        <v>77</v>
      </c>
      <c r="G4611" s="28" t="s">
        <v>77</v>
      </c>
      <c r="I4611" s="26" t="s">
        <v>77</v>
      </c>
      <c r="J4611" s="26" t="s">
        <v>77</v>
      </c>
      <c r="K4611" s="18"/>
      <c r="L4611" s="26" t="s">
        <v>77</v>
      </c>
      <c r="M4611" s="6" t="s">
        <v>77</v>
      </c>
      <c r="N4611" s="28" t="s">
        <v>77</v>
      </c>
      <c r="O4611" s="26" t="s">
        <v>77</v>
      </c>
    </row>
    <row r="4612">
      <c r="A4612" s="52" t="s">
        <v>77</v>
      </c>
      <c r="B4612" s="28" t="s">
        <v>77</v>
      </c>
      <c r="C4612" s="28" t="s">
        <v>77</v>
      </c>
      <c r="D4612" s="28" t="s">
        <v>77</v>
      </c>
      <c r="E4612" s="28" t="s">
        <v>77</v>
      </c>
      <c r="F4612" s="28" t="s">
        <v>77</v>
      </c>
      <c r="G4612" s="28" t="s">
        <v>77</v>
      </c>
      <c r="I4612" s="26" t="s">
        <v>77</v>
      </c>
      <c r="J4612" s="26" t="s">
        <v>77</v>
      </c>
      <c r="K4612" s="18"/>
      <c r="L4612" s="26" t="s">
        <v>77</v>
      </c>
      <c r="M4612" s="6" t="s">
        <v>77</v>
      </c>
      <c r="N4612" s="28" t="s">
        <v>77</v>
      </c>
      <c r="O4612" s="26" t="s">
        <v>77</v>
      </c>
    </row>
    <row r="4613">
      <c r="A4613" s="52" t="s">
        <v>77</v>
      </c>
      <c r="B4613" s="28" t="s">
        <v>77</v>
      </c>
      <c r="C4613" s="28" t="s">
        <v>77</v>
      </c>
      <c r="D4613" s="28" t="s">
        <v>77</v>
      </c>
      <c r="E4613" s="28" t="s">
        <v>77</v>
      </c>
      <c r="F4613" s="28" t="s">
        <v>77</v>
      </c>
      <c r="G4613" s="28" t="s">
        <v>77</v>
      </c>
      <c r="I4613" s="26" t="s">
        <v>77</v>
      </c>
      <c r="J4613" s="26" t="s">
        <v>77</v>
      </c>
      <c r="K4613" s="18"/>
      <c r="L4613" s="26" t="s">
        <v>77</v>
      </c>
      <c r="M4613" s="6" t="s">
        <v>77</v>
      </c>
      <c r="N4613" s="28" t="s">
        <v>77</v>
      </c>
      <c r="O4613" s="26" t="s">
        <v>77</v>
      </c>
    </row>
    <row r="4614">
      <c r="A4614" s="52" t="s">
        <v>77</v>
      </c>
      <c r="B4614" s="28" t="s">
        <v>77</v>
      </c>
      <c r="C4614" s="28" t="s">
        <v>77</v>
      </c>
      <c r="D4614" s="28" t="s">
        <v>77</v>
      </c>
      <c r="E4614" s="28" t="s">
        <v>77</v>
      </c>
      <c r="F4614" s="28" t="s">
        <v>77</v>
      </c>
      <c r="G4614" s="28" t="s">
        <v>77</v>
      </c>
      <c r="I4614" s="26" t="s">
        <v>77</v>
      </c>
      <c r="J4614" s="26" t="s">
        <v>77</v>
      </c>
      <c r="K4614" s="18"/>
      <c r="L4614" s="26" t="s">
        <v>77</v>
      </c>
      <c r="M4614" s="6" t="s">
        <v>77</v>
      </c>
      <c r="N4614" s="28" t="s">
        <v>77</v>
      </c>
      <c r="O4614" s="26" t="s">
        <v>77</v>
      </c>
    </row>
    <row r="4615">
      <c r="A4615" s="52" t="s">
        <v>77</v>
      </c>
      <c r="B4615" s="28" t="s">
        <v>77</v>
      </c>
      <c r="C4615" s="28" t="s">
        <v>77</v>
      </c>
      <c r="D4615" s="28" t="s">
        <v>77</v>
      </c>
      <c r="E4615" s="28" t="s">
        <v>77</v>
      </c>
      <c r="F4615" s="28" t="s">
        <v>77</v>
      </c>
      <c r="G4615" s="28" t="s">
        <v>77</v>
      </c>
      <c r="I4615" s="26" t="s">
        <v>77</v>
      </c>
      <c r="J4615" s="26" t="s">
        <v>77</v>
      </c>
      <c r="K4615" s="18"/>
      <c r="L4615" s="26" t="s">
        <v>77</v>
      </c>
      <c r="M4615" s="6" t="s">
        <v>77</v>
      </c>
      <c r="N4615" s="28" t="s">
        <v>77</v>
      </c>
      <c r="O4615" s="26" t="s">
        <v>77</v>
      </c>
    </row>
    <row r="4616">
      <c r="A4616" s="52" t="s">
        <v>77</v>
      </c>
      <c r="B4616" s="28" t="s">
        <v>77</v>
      </c>
      <c r="C4616" s="28" t="s">
        <v>77</v>
      </c>
      <c r="D4616" s="28" t="s">
        <v>77</v>
      </c>
      <c r="E4616" s="28" t="s">
        <v>77</v>
      </c>
      <c r="F4616" s="28" t="s">
        <v>77</v>
      </c>
      <c r="G4616" s="28" t="s">
        <v>77</v>
      </c>
      <c r="I4616" s="26" t="s">
        <v>77</v>
      </c>
      <c r="J4616" s="26" t="s">
        <v>77</v>
      </c>
      <c r="K4616" s="18"/>
      <c r="L4616" s="26" t="s">
        <v>77</v>
      </c>
      <c r="M4616" s="6" t="s">
        <v>77</v>
      </c>
      <c r="N4616" s="28" t="s">
        <v>77</v>
      </c>
      <c r="O4616" s="26" t="s">
        <v>77</v>
      </c>
    </row>
    <row r="4617">
      <c r="A4617" s="52" t="s">
        <v>77</v>
      </c>
      <c r="B4617" s="28" t="s">
        <v>77</v>
      </c>
      <c r="C4617" s="28" t="s">
        <v>77</v>
      </c>
      <c r="D4617" s="28" t="s">
        <v>77</v>
      </c>
      <c r="E4617" s="28" t="s">
        <v>77</v>
      </c>
      <c r="F4617" s="28" t="s">
        <v>77</v>
      </c>
      <c r="G4617" s="28" t="s">
        <v>77</v>
      </c>
      <c r="I4617" s="26" t="s">
        <v>77</v>
      </c>
      <c r="J4617" s="26" t="s">
        <v>77</v>
      </c>
      <c r="K4617" s="18"/>
      <c r="L4617" s="26" t="s">
        <v>77</v>
      </c>
      <c r="M4617" s="6" t="s">
        <v>77</v>
      </c>
      <c r="N4617" s="28" t="s">
        <v>77</v>
      </c>
      <c r="O4617" s="26" t="s">
        <v>77</v>
      </c>
    </row>
    <row r="4618">
      <c r="A4618" s="52" t="s">
        <v>77</v>
      </c>
      <c r="B4618" s="28" t="s">
        <v>77</v>
      </c>
      <c r="C4618" s="28" t="s">
        <v>77</v>
      </c>
      <c r="D4618" s="28" t="s">
        <v>77</v>
      </c>
      <c r="E4618" s="28" t="s">
        <v>77</v>
      </c>
      <c r="F4618" s="28" t="s">
        <v>77</v>
      </c>
      <c r="G4618" s="28" t="s">
        <v>77</v>
      </c>
      <c r="I4618" s="26" t="s">
        <v>77</v>
      </c>
      <c r="J4618" s="26" t="s">
        <v>77</v>
      </c>
      <c r="K4618" s="18"/>
      <c r="L4618" s="26" t="s">
        <v>77</v>
      </c>
      <c r="M4618" s="6" t="s">
        <v>77</v>
      </c>
      <c r="N4618" s="28" t="s">
        <v>77</v>
      </c>
      <c r="O4618" s="26" t="s">
        <v>77</v>
      </c>
    </row>
    <row r="4619">
      <c r="A4619" s="52" t="s">
        <v>77</v>
      </c>
      <c r="B4619" s="28" t="s">
        <v>77</v>
      </c>
      <c r="C4619" s="28" t="s">
        <v>77</v>
      </c>
      <c r="D4619" s="28" t="s">
        <v>77</v>
      </c>
      <c r="E4619" s="28" t="s">
        <v>77</v>
      </c>
      <c r="F4619" s="28" t="s">
        <v>77</v>
      </c>
      <c r="G4619" s="28" t="s">
        <v>77</v>
      </c>
      <c r="I4619" s="26" t="s">
        <v>77</v>
      </c>
      <c r="J4619" s="26" t="s">
        <v>77</v>
      </c>
      <c r="K4619" s="18"/>
      <c r="L4619" s="26" t="s">
        <v>77</v>
      </c>
      <c r="M4619" s="6" t="s">
        <v>77</v>
      </c>
      <c r="N4619" s="28" t="s">
        <v>77</v>
      </c>
      <c r="O4619" s="26" t="s">
        <v>77</v>
      </c>
    </row>
    <row r="4620">
      <c r="A4620" s="52" t="s">
        <v>77</v>
      </c>
      <c r="B4620" s="28" t="s">
        <v>77</v>
      </c>
      <c r="C4620" s="28" t="s">
        <v>77</v>
      </c>
      <c r="D4620" s="28" t="s">
        <v>77</v>
      </c>
      <c r="E4620" s="28" t="s">
        <v>77</v>
      </c>
      <c r="F4620" s="28" t="s">
        <v>77</v>
      </c>
      <c r="G4620" s="28" t="s">
        <v>77</v>
      </c>
      <c r="I4620" s="26" t="s">
        <v>77</v>
      </c>
      <c r="J4620" s="26" t="s">
        <v>77</v>
      </c>
      <c r="K4620" s="18"/>
      <c r="L4620" s="26" t="s">
        <v>77</v>
      </c>
      <c r="M4620" s="6" t="s">
        <v>77</v>
      </c>
      <c r="N4620" s="28" t="s">
        <v>77</v>
      </c>
      <c r="O4620" s="26" t="s">
        <v>77</v>
      </c>
    </row>
    <row r="4621">
      <c r="A4621" s="52" t="s">
        <v>77</v>
      </c>
      <c r="B4621" s="28" t="s">
        <v>77</v>
      </c>
      <c r="C4621" s="28" t="s">
        <v>77</v>
      </c>
      <c r="D4621" s="28" t="s">
        <v>77</v>
      </c>
      <c r="E4621" s="28" t="s">
        <v>77</v>
      </c>
      <c r="F4621" s="28" t="s">
        <v>77</v>
      </c>
      <c r="G4621" s="28" t="s">
        <v>77</v>
      </c>
      <c r="I4621" s="26" t="s">
        <v>77</v>
      </c>
      <c r="J4621" s="26" t="s">
        <v>77</v>
      </c>
      <c r="K4621" s="18"/>
      <c r="L4621" s="26" t="s">
        <v>77</v>
      </c>
      <c r="M4621" s="6" t="s">
        <v>77</v>
      </c>
      <c r="N4621" s="28" t="s">
        <v>77</v>
      </c>
      <c r="O4621" s="26" t="s">
        <v>77</v>
      </c>
    </row>
    <row r="4622">
      <c r="A4622" s="52" t="s">
        <v>77</v>
      </c>
      <c r="B4622" s="28" t="s">
        <v>77</v>
      </c>
      <c r="C4622" s="28" t="s">
        <v>77</v>
      </c>
      <c r="D4622" s="28" t="s">
        <v>77</v>
      </c>
      <c r="E4622" s="28" t="s">
        <v>77</v>
      </c>
      <c r="F4622" s="28" t="s">
        <v>77</v>
      </c>
      <c r="G4622" s="28" t="s">
        <v>77</v>
      </c>
      <c r="I4622" s="26" t="s">
        <v>77</v>
      </c>
      <c r="J4622" s="26" t="s">
        <v>77</v>
      </c>
      <c r="K4622" s="18"/>
      <c r="L4622" s="26" t="s">
        <v>77</v>
      </c>
      <c r="M4622" s="6" t="s">
        <v>77</v>
      </c>
      <c r="N4622" s="28" t="s">
        <v>77</v>
      </c>
      <c r="O4622" s="26" t="s">
        <v>77</v>
      </c>
    </row>
    <row r="4623">
      <c r="A4623" s="52" t="s">
        <v>77</v>
      </c>
      <c r="B4623" s="28" t="s">
        <v>77</v>
      </c>
      <c r="C4623" s="28" t="s">
        <v>77</v>
      </c>
      <c r="D4623" s="28" t="s">
        <v>77</v>
      </c>
      <c r="E4623" s="28" t="s">
        <v>77</v>
      </c>
      <c r="F4623" s="28" t="s">
        <v>77</v>
      </c>
      <c r="G4623" s="28" t="s">
        <v>77</v>
      </c>
      <c r="I4623" s="26" t="s">
        <v>77</v>
      </c>
      <c r="J4623" s="26" t="s">
        <v>77</v>
      </c>
      <c r="K4623" s="18"/>
      <c r="L4623" s="26" t="s">
        <v>77</v>
      </c>
      <c r="M4623" s="6" t="s">
        <v>77</v>
      </c>
      <c r="N4623" s="28" t="s">
        <v>77</v>
      </c>
      <c r="O4623" s="26" t="s">
        <v>77</v>
      </c>
    </row>
    <row r="4624">
      <c r="A4624" s="52" t="s">
        <v>77</v>
      </c>
      <c r="B4624" s="28" t="s">
        <v>77</v>
      </c>
      <c r="C4624" s="28" t="s">
        <v>77</v>
      </c>
      <c r="D4624" s="28" t="s">
        <v>77</v>
      </c>
      <c r="E4624" s="28" t="s">
        <v>77</v>
      </c>
      <c r="F4624" s="28" t="s">
        <v>77</v>
      </c>
      <c r="G4624" s="28" t="s">
        <v>77</v>
      </c>
      <c r="I4624" s="26" t="s">
        <v>77</v>
      </c>
      <c r="J4624" s="26" t="s">
        <v>77</v>
      </c>
      <c r="K4624" s="18"/>
      <c r="L4624" s="26" t="s">
        <v>77</v>
      </c>
      <c r="M4624" s="6" t="s">
        <v>77</v>
      </c>
      <c r="N4624" s="28" t="s">
        <v>77</v>
      </c>
      <c r="O4624" s="26" t="s">
        <v>77</v>
      </c>
    </row>
    <row r="4625">
      <c r="A4625" s="52" t="s">
        <v>77</v>
      </c>
      <c r="B4625" s="28" t="s">
        <v>77</v>
      </c>
      <c r="C4625" s="28" t="s">
        <v>77</v>
      </c>
      <c r="D4625" s="28" t="s">
        <v>77</v>
      </c>
      <c r="E4625" s="28" t="s">
        <v>77</v>
      </c>
      <c r="F4625" s="28" t="s">
        <v>77</v>
      </c>
      <c r="G4625" s="28" t="s">
        <v>77</v>
      </c>
      <c r="I4625" s="26" t="s">
        <v>77</v>
      </c>
      <c r="J4625" s="26" t="s">
        <v>77</v>
      </c>
      <c r="K4625" s="18"/>
      <c r="L4625" s="26" t="s">
        <v>77</v>
      </c>
      <c r="M4625" s="6" t="s">
        <v>77</v>
      </c>
      <c r="N4625" s="28" t="s">
        <v>77</v>
      </c>
      <c r="O4625" s="26" t="s">
        <v>77</v>
      </c>
    </row>
    <row r="4626">
      <c r="A4626" s="52" t="s">
        <v>77</v>
      </c>
      <c r="B4626" s="28" t="s">
        <v>77</v>
      </c>
      <c r="C4626" s="28" t="s">
        <v>77</v>
      </c>
      <c r="D4626" s="28" t="s">
        <v>77</v>
      </c>
      <c r="E4626" s="28" t="s">
        <v>77</v>
      </c>
      <c r="F4626" s="28" t="s">
        <v>77</v>
      </c>
      <c r="G4626" s="28" t="s">
        <v>77</v>
      </c>
      <c r="I4626" s="26" t="s">
        <v>77</v>
      </c>
      <c r="J4626" s="26" t="s">
        <v>77</v>
      </c>
      <c r="K4626" s="18"/>
      <c r="L4626" s="26" t="s">
        <v>77</v>
      </c>
      <c r="M4626" s="6" t="s">
        <v>77</v>
      </c>
      <c r="N4626" s="28" t="s">
        <v>77</v>
      </c>
      <c r="O4626" s="26" t="s">
        <v>77</v>
      </c>
    </row>
    <row r="4627">
      <c r="A4627" s="52" t="s">
        <v>77</v>
      </c>
      <c r="B4627" s="28" t="s">
        <v>77</v>
      </c>
      <c r="C4627" s="28" t="s">
        <v>77</v>
      </c>
      <c r="D4627" s="28" t="s">
        <v>77</v>
      </c>
      <c r="E4627" s="28" t="s">
        <v>77</v>
      </c>
      <c r="F4627" s="28" t="s">
        <v>77</v>
      </c>
      <c r="G4627" s="28" t="s">
        <v>77</v>
      </c>
      <c r="I4627" s="26" t="s">
        <v>77</v>
      </c>
      <c r="J4627" s="26" t="s">
        <v>77</v>
      </c>
      <c r="K4627" s="18"/>
      <c r="L4627" s="26" t="s">
        <v>77</v>
      </c>
      <c r="M4627" s="6" t="s">
        <v>77</v>
      </c>
      <c r="N4627" s="28" t="s">
        <v>77</v>
      </c>
      <c r="O4627" s="26" t="s">
        <v>77</v>
      </c>
    </row>
    <row r="4628">
      <c r="A4628" s="52" t="s">
        <v>77</v>
      </c>
      <c r="B4628" s="28" t="s">
        <v>77</v>
      </c>
      <c r="C4628" s="28" t="s">
        <v>77</v>
      </c>
      <c r="D4628" s="28" t="s">
        <v>77</v>
      </c>
      <c r="E4628" s="28" t="s">
        <v>77</v>
      </c>
      <c r="F4628" s="28" t="s">
        <v>77</v>
      </c>
      <c r="G4628" s="28" t="s">
        <v>77</v>
      </c>
      <c r="I4628" s="26" t="s">
        <v>77</v>
      </c>
      <c r="J4628" s="26" t="s">
        <v>77</v>
      </c>
      <c r="K4628" s="18"/>
      <c r="L4628" s="26" t="s">
        <v>77</v>
      </c>
      <c r="M4628" s="6" t="s">
        <v>77</v>
      </c>
      <c r="N4628" s="28" t="s">
        <v>77</v>
      </c>
      <c r="O4628" s="26" t="s">
        <v>77</v>
      </c>
    </row>
    <row r="4629">
      <c r="A4629" s="52" t="s">
        <v>77</v>
      </c>
      <c r="B4629" s="28" t="s">
        <v>77</v>
      </c>
      <c r="C4629" s="28" t="s">
        <v>77</v>
      </c>
      <c r="D4629" s="28" t="s">
        <v>77</v>
      </c>
      <c r="E4629" s="28" t="s">
        <v>77</v>
      </c>
      <c r="F4629" s="28" t="s">
        <v>77</v>
      </c>
      <c r="G4629" s="28" t="s">
        <v>77</v>
      </c>
      <c r="I4629" s="26" t="s">
        <v>77</v>
      </c>
      <c r="J4629" s="26" t="s">
        <v>77</v>
      </c>
      <c r="K4629" s="18"/>
      <c r="L4629" s="26" t="s">
        <v>77</v>
      </c>
      <c r="M4629" s="6" t="s">
        <v>77</v>
      </c>
      <c r="N4629" s="28" t="s">
        <v>77</v>
      </c>
      <c r="O4629" s="26" t="s">
        <v>77</v>
      </c>
    </row>
    <row r="4630">
      <c r="A4630" s="52" t="s">
        <v>77</v>
      </c>
      <c r="B4630" s="28" t="s">
        <v>77</v>
      </c>
      <c r="C4630" s="28" t="s">
        <v>77</v>
      </c>
      <c r="D4630" s="28" t="s">
        <v>77</v>
      </c>
      <c r="E4630" s="28" t="s">
        <v>77</v>
      </c>
      <c r="F4630" s="28" t="s">
        <v>77</v>
      </c>
      <c r="G4630" s="28" t="s">
        <v>77</v>
      </c>
      <c r="I4630" s="26" t="s">
        <v>77</v>
      </c>
      <c r="J4630" s="26" t="s">
        <v>77</v>
      </c>
      <c r="K4630" s="18"/>
      <c r="L4630" s="26" t="s">
        <v>77</v>
      </c>
      <c r="M4630" s="6" t="s">
        <v>77</v>
      </c>
      <c r="N4630" s="28" t="s">
        <v>77</v>
      </c>
      <c r="O4630" s="26" t="s">
        <v>77</v>
      </c>
    </row>
    <row r="4631">
      <c r="A4631" s="52" t="s">
        <v>77</v>
      </c>
      <c r="B4631" s="28" t="s">
        <v>77</v>
      </c>
      <c r="C4631" s="28" t="s">
        <v>77</v>
      </c>
      <c r="D4631" s="28" t="s">
        <v>77</v>
      </c>
      <c r="E4631" s="28" t="s">
        <v>77</v>
      </c>
      <c r="F4631" s="28" t="s">
        <v>77</v>
      </c>
      <c r="G4631" s="28" t="s">
        <v>77</v>
      </c>
      <c r="I4631" s="26" t="s">
        <v>77</v>
      </c>
      <c r="J4631" s="26" t="s">
        <v>77</v>
      </c>
      <c r="K4631" s="18"/>
      <c r="L4631" s="26" t="s">
        <v>77</v>
      </c>
      <c r="M4631" s="6" t="s">
        <v>77</v>
      </c>
      <c r="N4631" s="28" t="s">
        <v>77</v>
      </c>
      <c r="O4631" s="26" t="s">
        <v>77</v>
      </c>
    </row>
    <row r="4632">
      <c r="A4632" s="52" t="s">
        <v>77</v>
      </c>
      <c r="B4632" s="28" t="s">
        <v>77</v>
      </c>
      <c r="C4632" s="28" t="s">
        <v>77</v>
      </c>
      <c r="D4632" s="28" t="s">
        <v>77</v>
      </c>
      <c r="E4632" s="28" t="s">
        <v>77</v>
      </c>
      <c r="F4632" s="28" t="s">
        <v>77</v>
      </c>
      <c r="G4632" s="28" t="s">
        <v>77</v>
      </c>
      <c r="I4632" s="26" t="s">
        <v>77</v>
      </c>
      <c r="J4632" s="26" t="s">
        <v>77</v>
      </c>
      <c r="K4632" s="18"/>
      <c r="L4632" s="26" t="s">
        <v>77</v>
      </c>
      <c r="M4632" s="6" t="s">
        <v>77</v>
      </c>
      <c r="N4632" s="28" t="s">
        <v>77</v>
      </c>
      <c r="O4632" s="26" t="s">
        <v>77</v>
      </c>
    </row>
    <row r="4633">
      <c r="A4633" s="52" t="s">
        <v>77</v>
      </c>
      <c r="B4633" s="28" t="s">
        <v>77</v>
      </c>
      <c r="C4633" s="28" t="s">
        <v>77</v>
      </c>
      <c r="D4633" s="28" t="s">
        <v>77</v>
      </c>
      <c r="E4633" s="28" t="s">
        <v>77</v>
      </c>
      <c r="F4633" s="28" t="s">
        <v>77</v>
      </c>
      <c r="G4633" s="28" t="s">
        <v>77</v>
      </c>
      <c r="I4633" s="26" t="s">
        <v>77</v>
      </c>
      <c r="J4633" s="26" t="s">
        <v>77</v>
      </c>
      <c r="K4633" s="18"/>
      <c r="L4633" s="26" t="s">
        <v>77</v>
      </c>
      <c r="M4633" s="6" t="s">
        <v>77</v>
      </c>
      <c r="N4633" s="28" t="s">
        <v>77</v>
      </c>
      <c r="O4633" s="26" t="s">
        <v>77</v>
      </c>
    </row>
    <row r="4634">
      <c r="A4634" s="52" t="s">
        <v>77</v>
      </c>
      <c r="B4634" s="28" t="s">
        <v>77</v>
      </c>
      <c r="C4634" s="28" t="s">
        <v>77</v>
      </c>
      <c r="D4634" s="28" t="s">
        <v>77</v>
      </c>
      <c r="E4634" s="28" t="s">
        <v>77</v>
      </c>
      <c r="F4634" s="28" t="s">
        <v>77</v>
      </c>
      <c r="G4634" s="28" t="s">
        <v>77</v>
      </c>
      <c r="I4634" s="26" t="s">
        <v>77</v>
      </c>
      <c r="J4634" s="26" t="s">
        <v>77</v>
      </c>
      <c r="K4634" s="18"/>
      <c r="L4634" s="26" t="s">
        <v>77</v>
      </c>
      <c r="M4634" s="6" t="s">
        <v>77</v>
      </c>
      <c r="N4634" s="28" t="s">
        <v>77</v>
      </c>
      <c r="O4634" s="26" t="s">
        <v>77</v>
      </c>
    </row>
    <row r="4635">
      <c r="A4635" s="52" t="s">
        <v>77</v>
      </c>
      <c r="B4635" s="28" t="s">
        <v>77</v>
      </c>
      <c r="C4635" s="28" t="s">
        <v>77</v>
      </c>
      <c r="D4635" s="28" t="s">
        <v>77</v>
      </c>
      <c r="E4635" s="28" t="s">
        <v>77</v>
      </c>
      <c r="F4635" s="28" t="s">
        <v>77</v>
      </c>
      <c r="G4635" s="28" t="s">
        <v>77</v>
      </c>
      <c r="I4635" s="26" t="s">
        <v>77</v>
      </c>
      <c r="J4635" s="26" t="s">
        <v>77</v>
      </c>
      <c r="K4635" s="18"/>
      <c r="L4635" s="26" t="s">
        <v>77</v>
      </c>
      <c r="M4635" s="6" t="s">
        <v>77</v>
      </c>
      <c r="N4635" s="28" t="s">
        <v>77</v>
      </c>
      <c r="O4635" s="26" t="s">
        <v>77</v>
      </c>
    </row>
    <row r="4636">
      <c r="A4636" s="52" t="s">
        <v>77</v>
      </c>
      <c r="B4636" s="28" t="s">
        <v>77</v>
      </c>
      <c r="C4636" s="28" t="s">
        <v>77</v>
      </c>
      <c r="D4636" s="28" t="s">
        <v>77</v>
      </c>
      <c r="E4636" s="28" t="s">
        <v>77</v>
      </c>
      <c r="F4636" s="28" t="s">
        <v>77</v>
      </c>
      <c r="G4636" s="28" t="s">
        <v>77</v>
      </c>
      <c r="I4636" s="26" t="s">
        <v>77</v>
      </c>
      <c r="J4636" s="26" t="s">
        <v>77</v>
      </c>
      <c r="K4636" s="18"/>
      <c r="L4636" s="26" t="s">
        <v>77</v>
      </c>
      <c r="M4636" s="6" t="s">
        <v>77</v>
      </c>
      <c r="N4636" s="28" t="s">
        <v>77</v>
      </c>
      <c r="O4636" s="26" t="s">
        <v>77</v>
      </c>
    </row>
    <row r="4637">
      <c r="A4637" s="52" t="s">
        <v>77</v>
      </c>
      <c r="B4637" s="28" t="s">
        <v>77</v>
      </c>
      <c r="C4637" s="28" t="s">
        <v>77</v>
      </c>
      <c r="D4637" s="28" t="s">
        <v>77</v>
      </c>
      <c r="E4637" s="28" t="s">
        <v>77</v>
      </c>
      <c r="F4637" s="28" t="s">
        <v>77</v>
      </c>
      <c r="G4637" s="28" t="s">
        <v>77</v>
      </c>
      <c r="I4637" s="26" t="s">
        <v>77</v>
      </c>
      <c r="J4637" s="26" t="s">
        <v>77</v>
      </c>
      <c r="K4637" s="18"/>
      <c r="L4637" s="26" t="s">
        <v>77</v>
      </c>
      <c r="M4637" s="6" t="s">
        <v>77</v>
      </c>
      <c r="N4637" s="28" t="s">
        <v>77</v>
      </c>
      <c r="O4637" s="26" t="s">
        <v>77</v>
      </c>
    </row>
    <row r="4638">
      <c r="A4638" s="52" t="s">
        <v>77</v>
      </c>
      <c r="B4638" s="28" t="s">
        <v>77</v>
      </c>
      <c r="C4638" s="28" t="s">
        <v>77</v>
      </c>
      <c r="D4638" s="28" t="s">
        <v>77</v>
      </c>
      <c r="E4638" s="28" t="s">
        <v>77</v>
      </c>
      <c r="F4638" s="28" t="s">
        <v>77</v>
      </c>
      <c r="G4638" s="28" t="s">
        <v>77</v>
      </c>
      <c r="I4638" s="26" t="s">
        <v>77</v>
      </c>
      <c r="J4638" s="26" t="s">
        <v>77</v>
      </c>
      <c r="K4638" s="18"/>
      <c r="L4638" s="26" t="s">
        <v>77</v>
      </c>
      <c r="M4638" s="6" t="s">
        <v>77</v>
      </c>
      <c r="N4638" s="28" t="s">
        <v>77</v>
      </c>
      <c r="O4638" s="26" t="s">
        <v>77</v>
      </c>
    </row>
    <row r="4639">
      <c r="A4639" s="52" t="s">
        <v>77</v>
      </c>
      <c r="B4639" s="28" t="s">
        <v>77</v>
      </c>
      <c r="C4639" s="28" t="s">
        <v>77</v>
      </c>
      <c r="D4639" s="28" t="s">
        <v>77</v>
      </c>
      <c r="E4639" s="28" t="s">
        <v>77</v>
      </c>
      <c r="F4639" s="28" t="s">
        <v>77</v>
      </c>
      <c r="G4639" s="28" t="s">
        <v>77</v>
      </c>
      <c r="I4639" s="26" t="s">
        <v>77</v>
      </c>
      <c r="J4639" s="26" t="s">
        <v>77</v>
      </c>
      <c r="K4639" s="18"/>
      <c r="L4639" s="26" t="s">
        <v>77</v>
      </c>
      <c r="M4639" s="6" t="s">
        <v>77</v>
      </c>
      <c r="N4639" s="28" t="s">
        <v>77</v>
      </c>
      <c r="O4639" s="26" t="s">
        <v>77</v>
      </c>
    </row>
    <row r="4640">
      <c r="A4640" s="52" t="s">
        <v>77</v>
      </c>
      <c r="B4640" s="28" t="s">
        <v>77</v>
      </c>
      <c r="C4640" s="28" t="s">
        <v>77</v>
      </c>
      <c r="D4640" s="28" t="s">
        <v>77</v>
      </c>
      <c r="E4640" s="28" t="s">
        <v>77</v>
      </c>
      <c r="F4640" s="28" t="s">
        <v>77</v>
      </c>
      <c r="G4640" s="28" t="s">
        <v>77</v>
      </c>
      <c r="I4640" s="26" t="s">
        <v>77</v>
      </c>
      <c r="J4640" s="26" t="s">
        <v>77</v>
      </c>
      <c r="K4640" s="18"/>
      <c r="L4640" s="26" t="s">
        <v>77</v>
      </c>
      <c r="M4640" s="6" t="s">
        <v>77</v>
      </c>
      <c r="N4640" s="28" t="s">
        <v>77</v>
      </c>
      <c r="O4640" s="26" t="s">
        <v>77</v>
      </c>
    </row>
    <row r="4641">
      <c r="A4641" s="52" t="s">
        <v>77</v>
      </c>
      <c r="B4641" s="28" t="s">
        <v>77</v>
      </c>
      <c r="C4641" s="28" t="s">
        <v>77</v>
      </c>
      <c r="D4641" s="28" t="s">
        <v>77</v>
      </c>
      <c r="E4641" s="28" t="s">
        <v>77</v>
      </c>
      <c r="F4641" s="28" t="s">
        <v>77</v>
      </c>
      <c r="G4641" s="28" t="s">
        <v>77</v>
      </c>
      <c r="I4641" s="26" t="s">
        <v>77</v>
      </c>
      <c r="J4641" s="26" t="s">
        <v>77</v>
      </c>
      <c r="K4641" s="18"/>
      <c r="L4641" s="26" t="s">
        <v>77</v>
      </c>
      <c r="M4641" s="6" t="s">
        <v>77</v>
      </c>
      <c r="N4641" s="28" t="s">
        <v>77</v>
      </c>
      <c r="O4641" s="26" t="s">
        <v>77</v>
      </c>
    </row>
    <row r="4642">
      <c r="A4642" s="52" t="s">
        <v>77</v>
      </c>
      <c r="B4642" s="28" t="s">
        <v>77</v>
      </c>
      <c r="C4642" s="28" t="s">
        <v>77</v>
      </c>
      <c r="D4642" s="28" t="s">
        <v>77</v>
      </c>
      <c r="E4642" s="28" t="s">
        <v>77</v>
      </c>
      <c r="F4642" s="28" t="s">
        <v>77</v>
      </c>
      <c r="G4642" s="28" t="s">
        <v>77</v>
      </c>
      <c r="I4642" s="26" t="s">
        <v>77</v>
      </c>
      <c r="J4642" s="26" t="s">
        <v>77</v>
      </c>
      <c r="K4642" s="18"/>
      <c r="L4642" s="26" t="s">
        <v>77</v>
      </c>
      <c r="M4642" s="6" t="s">
        <v>77</v>
      </c>
      <c r="N4642" s="28" t="s">
        <v>77</v>
      </c>
      <c r="O4642" s="26" t="s">
        <v>77</v>
      </c>
    </row>
    <row r="4643">
      <c r="A4643" s="52" t="s">
        <v>77</v>
      </c>
      <c r="B4643" s="28" t="s">
        <v>77</v>
      </c>
      <c r="C4643" s="28" t="s">
        <v>77</v>
      </c>
      <c r="D4643" s="28" t="s">
        <v>77</v>
      </c>
      <c r="E4643" s="28" t="s">
        <v>77</v>
      </c>
      <c r="F4643" s="28" t="s">
        <v>77</v>
      </c>
      <c r="G4643" s="28" t="s">
        <v>77</v>
      </c>
      <c r="I4643" s="26" t="s">
        <v>77</v>
      </c>
      <c r="J4643" s="26" t="s">
        <v>77</v>
      </c>
      <c r="K4643" s="18"/>
      <c r="L4643" s="26" t="s">
        <v>77</v>
      </c>
      <c r="M4643" s="6" t="s">
        <v>77</v>
      </c>
      <c r="N4643" s="28" t="s">
        <v>77</v>
      </c>
      <c r="O4643" s="26" t="s">
        <v>77</v>
      </c>
    </row>
    <row r="4644">
      <c r="A4644" s="52" t="s">
        <v>77</v>
      </c>
      <c r="B4644" s="28" t="s">
        <v>77</v>
      </c>
      <c r="C4644" s="28" t="s">
        <v>77</v>
      </c>
      <c r="D4644" s="28" t="s">
        <v>77</v>
      </c>
      <c r="E4644" s="28" t="s">
        <v>77</v>
      </c>
      <c r="F4644" s="28" t="s">
        <v>77</v>
      </c>
      <c r="G4644" s="28" t="s">
        <v>77</v>
      </c>
      <c r="I4644" s="26" t="s">
        <v>77</v>
      </c>
      <c r="J4644" s="26" t="s">
        <v>77</v>
      </c>
      <c r="K4644" s="18"/>
      <c r="L4644" s="26" t="s">
        <v>77</v>
      </c>
      <c r="M4644" s="6" t="s">
        <v>77</v>
      </c>
      <c r="N4644" s="28" t="s">
        <v>77</v>
      </c>
      <c r="O4644" s="26" t="s">
        <v>77</v>
      </c>
    </row>
    <row r="4645">
      <c r="A4645" s="52" t="s">
        <v>77</v>
      </c>
      <c r="B4645" s="28" t="s">
        <v>77</v>
      </c>
      <c r="C4645" s="28" t="s">
        <v>77</v>
      </c>
      <c r="D4645" s="28" t="s">
        <v>77</v>
      </c>
      <c r="E4645" s="28" t="s">
        <v>77</v>
      </c>
      <c r="F4645" s="28" t="s">
        <v>77</v>
      </c>
      <c r="G4645" s="28" t="s">
        <v>77</v>
      </c>
      <c r="I4645" s="26" t="s">
        <v>77</v>
      </c>
      <c r="J4645" s="26" t="s">
        <v>77</v>
      </c>
      <c r="K4645" s="18"/>
      <c r="L4645" s="26" t="s">
        <v>77</v>
      </c>
      <c r="M4645" s="6" t="s">
        <v>77</v>
      </c>
      <c r="N4645" s="28" t="s">
        <v>77</v>
      </c>
      <c r="O4645" s="26" t="s">
        <v>77</v>
      </c>
    </row>
    <row r="4646">
      <c r="A4646" s="52" t="s">
        <v>77</v>
      </c>
      <c r="B4646" s="28" t="s">
        <v>77</v>
      </c>
      <c r="C4646" s="28" t="s">
        <v>77</v>
      </c>
      <c r="D4646" s="28" t="s">
        <v>77</v>
      </c>
      <c r="E4646" s="28" t="s">
        <v>77</v>
      </c>
      <c r="F4646" s="28" t="s">
        <v>77</v>
      </c>
      <c r="G4646" s="28" t="s">
        <v>77</v>
      </c>
      <c r="I4646" s="26" t="s">
        <v>77</v>
      </c>
      <c r="J4646" s="26" t="s">
        <v>77</v>
      </c>
      <c r="K4646" s="18"/>
      <c r="L4646" s="26" t="s">
        <v>77</v>
      </c>
      <c r="M4646" s="6" t="s">
        <v>77</v>
      </c>
      <c r="N4646" s="28" t="s">
        <v>77</v>
      </c>
      <c r="O4646" s="26" t="s">
        <v>77</v>
      </c>
    </row>
    <row r="4647">
      <c r="A4647" s="52" t="s">
        <v>77</v>
      </c>
      <c r="B4647" s="28" t="s">
        <v>77</v>
      </c>
      <c r="C4647" s="28" t="s">
        <v>77</v>
      </c>
      <c r="D4647" s="28" t="s">
        <v>77</v>
      </c>
      <c r="E4647" s="28" t="s">
        <v>77</v>
      </c>
      <c r="F4647" s="28" t="s">
        <v>77</v>
      </c>
      <c r="G4647" s="28" t="s">
        <v>77</v>
      </c>
      <c r="I4647" s="26" t="s">
        <v>77</v>
      </c>
      <c r="J4647" s="26" t="s">
        <v>77</v>
      </c>
      <c r="K4647" s="18"/>
      <c r="L4647" s="26" t="s">
        <v>77</v>
      </c>
      <c r="M4647" s="6" t="s">
        <v>77</v>
      </c>
      <c r="N4647" s="28" t="s">
        <v>77</v>
      </c>
      <c r="O4647" s="26" t="s">
        <v>77</v>
      </c>
    </row>
    <row r="4648">
      <c r="A4648" s="52" t="s">
        <v>77</v>
      </c>
      <c r="B4648" s="28" t="s">
        <v>77</v>
      </c>
      <c r="C4648" s="28" t="s">
        <v>77</v>
      </c>
      <c r="D4648" s="28" t="s">
        <v>77</v>
      </c>
      <c r="E4648" s="28" t="s">
        <v>77</v>
      </c>
      <c r="F4648" s="28" t="s">
        <v>77</v>
      </c>
      <c r="G4648" s="28" t="s">
        <v>77</v>
      </c>
      <c r="I4648" s="26" t="s">
        <v>77</v>
      </c>
      <c r="J4648" s="26" t="s">
        <v>77</v>
      </c>
      <c r="K4648" s="18"/>
      <c r="L4648" s="26" t="s">
        <v>77</v>
      </c>
      <c r="M4648" s="6" t="s">
        <v>77</v>
      </c>
      <c r="N4648" s="28" t="s">
        <v>77</v>
      </c>
      <c r="O4648" s="26" t="s">
        <v>77</v>
      </c>
    </row>
    <row r="4649">
      <c r="A4649" s="52" t="s">
        <v>77</v>
      </c>
      <c r="B4649" s="28" t="s">
        <v>77</v>
      </c>
      <c r="C4649" s="28" t="s">
        <v>77</v>
      </c>
      <c r="D4649" s="28" t="s">
        <v>77</v>
      </c>
      <c r="E4649" s="28" t="s">
        <v>77</v>
      </c>
      <c r="F4649" s="28" t="s">
        <v>77</v>
      </c>
      <c r="G4649" s="28" t="s">
        <v>77</v>
      </c>
      <c r="I4649" s="26" t="s">
        <v>77</v>
      </c>
      <c r="J4649" s="26" t="s">
        <v>77</v>
      </c>
      <c r="K4649" s="18"/>
      <c r="L4649" s="26" t="s">
        <v>77</v>
      </c>
      <c r="M4649" s="6" t="s">
        <v>77</v>
      </c>
      <c r="N4649" s="28" t="s">
        <v>77</v>
      </c>
      <c r="O4649" s="26" t="s">
        <v>77</v>
      </c>
    </row>
    <row r="4650">
      <c r="A4650" s="52" t="s">
        <v>77</v>
      </c>
      <c r="B4650" s="28" t="s">
        <v>77</v>
      </c>
      <c r="C4650" s="28" t="s">
        <v>77</v>
      </c>
      <c r="D4650" s="28" t="s">
        <v>77</v>
      </c>
      <c r="E4650" s="28" t="s">
        <v>77</v>
      </c>
      <c r="F4650" s="28" t="s">
        <v>77</v>
      </c>
      <c r="G4650" s="28" t="s">
        <v>77</v>
      </c>
      <c r="I4650" s="26" t="s">
        <v>77</v>
      </c>
      <c r="J4650" s="26" t="s">
        <v>77</v>
      </c>
      <c r="K4650" s="18"/>
      <c r="L4650" s="26" t="s">
        <v>77</v>
      </c>
      <c r="M4650" s="6" t="s">
        <v>77</v>
      </c>
      <c r="N4650" s="28" t="s">
        <v>77</v>
      </c>
      <c r="O4650" s="26" t="s">
        <v>77</v>
      </c>
    </row>
    <row r="4651">
      <c r="A4651" s="52" t="s">
        <v>77</v>
      </c>
      <c r="B4651" s="28" t="s">
        <v>77</v>
      </c>
      <c r="C4651" s="28" t="s">
        <v>77</v>
      </c>
      <c r="D4651" s="28" t="s">
        <v>77</v>
      </c>
      <c r="E4651" s="28" t="s">
        <v>77</v>
      </c>
      <c r="F4651" s="28" t="s">
        <v>77</v>
      </c>
      <c r="G4651" s="28" t="s">
        <v>77</v>
      </c>
      <c r="I4651" s="26" t="s">
        <v>77</v>
      </c>
      <c r="J4651" s="26" t="s">
        <v>77</v>
      </c>
      <c r="K4651" s="18"/>
      <c r="L4651" s="26" t="s">
        <v>77</v>
      </c>
      <c r="M4651" s="6" t="s">
        <v>77</v>
      </c>
      <c r="N4651" s="28" t="s">
        <v>77</v>
      </c>
      <c r="O4651" s="26" t="s">
        <v>77</v>
      </c>
    </row>
    <row r="4652">
      <c r="A4652" s="52" t="s">
        <v>77</v>
      </c>
      <c r="B4652" s="28" t="s">
        <v>77</v>
      </c>
      <c r="C4652" s="28" t="s">
        <v>77</v>
      </c>
      <c r="D4652" s="28" t="s">
        <v>77</v>
      </c>
      <c r="E4652" s="28" t="s">
        <v>77</v>
      </c>
      <c r="F4652" s="28" t="s">
        <v>77</v>
      </c>
      <c r="G4652" s="28" t="s">
        <v>77</v>
      </c>
      <c r="I4652" s="26" t="s">
        <v>77</v>
      </c>
      <c r="J4652" s="26" t="s">
        <v>77</v>
      </c>
      <c r="K4652" s="18"/>
      <c r="L4652" s="26" t="s">
        <v>77</v>
      </c>
      <c r="M4652" s="6" t="s">
        <v>77</v>
      </c>
      <c r="N4652" s="28" t="s">
        <v>77</v>
      </c>
      <c r="O4652" s="26" t="s">
        <v>77</v>
      </c>
    </row>
    <row r="4653">
      <c r="A4653" s="52" t="s">
        <v>77</v>
      </c>
      <c r="B4653" s="28" t="s">
        <v>77</v>
      </c>
      <c r="C4653" s="28" t="s">
        <v>77</v>
      </c>
      <c r="D4653" s="28" t="s">
        <v>77</v>
      </c>
      <c r="E4653" s="28" t="s">
        <v>77</v>
      </c>
      <c r="F4653" s="28" t="s">
        <v>77</v>
      </c>
      <c r="G4653" s="28" t="s">
        <v>77</v>
      </c>
      <c r="I4653" s="26" t="s">
        <v>77</v>
      </c>
      <c r="J4653" s="26" t="s">
        <v>77</v>
      </c>
      <c r="K4653" s="18"/>
      <c r="L4653" s="26" t="s">
        <v>77</v>
      </c>
      <c r="M4653" s="6" t="s">
        <v>77</v>
      </c>
      <c r="N4653" s="28" t="s">
        <v>77</v>
      </c>
      <c r="O4653" s="26" t="s">
        <v>77</v>
      </c>
    </row>
    <row r="4654">
      <c r="A4654" s="52" t="s">
        <v>77</v>
      </c>
      <c r="B4654" s="28" t="s">
        <v>77</v>
      </c>
      <c r="C4654" s="28" t="s">
        <v>77</v>
      </c>
      <c r="D4654" s="28" t="s">
        <v>77</v>
      </c>
      <c r="E4654" s="28" t="s">
        <v>77</v>
      </c>
      <c r="F4654" s="28" t="s">
        <v>77</v>
      </c>
      <c r="G4654" s="28" t="s">
        <v>77</v>
      </c>
      <c r="I4654" s="26" t="s">
        <v>77</v>
      </c>
      <c r="J4654" s="26" t="s">
        <v>77</v>
      </c>
      <c r="K4654" s="18"/>
      <c r="L4654" s="26" t="s">
        <v>77</v>
      </c>
      <c r="M4654" s="6" t="s">
        <v>77</v>
      </c>
      <c r="N4654" s="28" t="s">
        <v>77</v>
      </c>
      <c r="O4654" s="26" t="s">
        <v>77</v>
      </c>
    </row>
    <row r="4655">
      <c r="A4655" s="52" t="s">
        <v>77</v>
      </c>
      <c r="B4655" s="28" t="s">
        <v>77</v>
      </c>
      <c r="C4655" s="28" t="s">
        <v>77</v>
      </c>
      <c r="D4655" s="28" t="s">
        <v>77</v>
      </c>
      <c r="E4655" s="28" t="s">
        <v>77</v>
      </c>
      <c r="F4655" s="28" t="s">
        <v>77</v>
      </c>
      <c r="G4655" s="28" t="s">
        <v>77</v>
      </c>
      <c r="I4655" s="26" t="s">
        <v>77</v>
      </c>
      <c r="J4655" s="26" t="s">
        <v>77</v>
      </c>
      <c r="K4655" s="18"/>
      <c r="L4655" s="26" t="s">
        <v>77</v>
      </c>
      <c r="M4655" s="6" t="s">
        <v>77</v>
      </c>
      <c r="N4655" s="28" t="s">
        <v>77</v>
      </c>
      <c r="O4655" s="26" t="s">
        <v>77</v>
      </c>
    </row>
    <row r="4656">
      <c r="A4656" s="52" t="s">
        <v>77</v>
      </c>
      <c r="B4656" s="28" t="s">
        <v>77</v>
      </c>
      <c r="C4656" s="28" t="s">
        <v>77</v>
      </c>
      <c r="D4656" s="28" t="s">
        <v>77</v>
      </c>
      <c r="E4656" s="28" t="s">
        <v>77</v>
      </c>
      <c r="F4656" s="28" t="s">
        <v>77</v>
      </c>
      <c r="G4656" s="28" t="s">
        <v>77</v>
      </c>
      <c r="I4656" s="26" t="s">
        <v>77</v>
      </c>
      <c r="J4656" s="26" t="s">
        <v>77</v>
      </c>
      <c r="K4656" s="18"/>
      <c r="L4656" s="26" t="s">
        <v>77</v>
      </c>
      <c r="M4656" s="6" t="s">
        <v>77</v>
      </c>
      <c r="N4656" s="28" t="s">
        <v>77</v>
      </c>
      <c r="O4656" s="26" t="s">
        <v>77</v>
      </c>
    </row>
    <row r="4657">
      <c r="A4657" s="52" t="s">
        <v>77</v>
      </c>
      <c r="B4657" s="28" t="s">
        <v>77</v>
      </c>
      <c r="C4657" s="28" t="s">
        <v>77</v>
      </c>
      <c r="D4657" s="28" t="s">
        <v>77</v>
      </c>
      <c r="E4657" s="28" t="s">
        <v>77</v>
      </c>
      <c r="F4657" s="28" t="s">
        <v>77</v>
      </c>
      <c r="G4657" s="28" t="s">
        <v>77</v>
      </c>
      <c r="I4657" s="26" t="s">
        <v>77</v>
      </c>
      <c r="J4657" s="26" t="s">
        <v>77</v>
      </c>
      <c r="K4657" s="18"/>
      <c r="L4657" s="26" t="s">
        <v>77</v>
      </c>
      <c r="M4657" s="6" t="s">
        <v>77</v>
      </c>
      <c r="N4657" s="28" t="s">
        <v>77</v>
      </c>
      <c r="O4657" s="26" t="s">
        <v>77</v>
      </c>
    </row>
    <row r="4658">
      <c r="A4658" s="52" t="s">
        <v>77</v>
      </c>
      <c r="B4658" s="28" t="s">
        <v>77</v>
      </c>
      <c r="C4658" s="28" t="s">
        <v>77</v>
      </c>
      <c r="D4658" s="28" t="s">
        <v>77</v>
      </c>
      <c r="E4658" s="28" t="s">
        <v>77</v>
      </c>
      <c r="F4658" s="28" t="s">
        <v>77</v>
      </c>
      <c r="G4658" s="28" t="s">
        <v>77</v>
      </c>
      <c r="I4658" s="26" t="s">
        <v>77</v>
      </c>
      <c r="J4658" s="26" t="s">
        <v>77</v>
      </c>
      <c r="K4658" s="18"/>
      <c r="L4658" s="26" t="s">
        <v>77</v>
      </c>
      <c r="M4658" s="6" t="s">
        <v>77</v>
      </c>
      <c r="N4658" s="28" t="s">
        <v>77</v>
      </c>
      <c r="O4658" s="26" t="s">
        <v>77</v>
      </c>
    </row>
    <row r="4659">
      <c r="A4659" s="52" t="s">
        <v>77</v>
      </c>
      <c r="B4659" s="28" t="s">
        <v>77</v>
      </c>
      <c r="C4659" s="28" t="s">
        <v>77</v>
      </c>
      <c r="D4659" s="28" t="s">
        <v>77</v>
      </c>
      <c r="E4659" s="28" t="s">
        <v>77</v>
      </c>
      <c r="F4659" s="28" t="s">
        <v>77</v>
      </c>
      <c r="G4659" s="28" t="s">
        <v>77</v>
      </c>
      <c r="I4659" s="26" t="s">
        <v>77</v>
      </c>
      <c r="J4659" s="26" t="s">
        <v>77</v>
      </c>
      <c r="K4659" s="18"/>
      <c r="L4659" s="26" t="s">
        <v>77</v>
      </c>
      <c r="M4659" s="6" t="s">
        <v>77</v>
      </c>
      <c r="N4659" s="28" t="s">
        <v>77</v>
      </c>
      <c r="O4659" s="26" t="s">
        <v>77</v>
      </c>
    </row>
    <row r="4660">
      <c r="A4660" s="52" t="s">
        <v>77</v>
      </c>
      <c r="B4660" s="28" t="s">
        <v>77</v>
      </c>
      <c r="C4660" s="28" t="s">
        <v>77</v>
      </c>
      <c r="D4660" s="28" t="s">
        <v>77</v>
      </c>
      <c r="E4660" s="28" t="s">
        <v>77</v>
      </c>
      <c r="F4660" s="28" t="s">
        <v>77</v>
      </c>
      <c r="G4660" s="28" t="s">
        <v>77</v>
      </c>
      <c r="I4660" s="26" t="s">
        <v>77</v>
      </c>
      <c r="J4660" s="26" t="s">
        <v>77</v>
      </c>
      <c r="K4660" s="18"/>
      <c r="L4660" s="26" t="s">
        <v>77</v>
      </c>
      <c r="M4660" s="6" t="s">
        <v>77</v>
      </c>
      <c r="N4660" s="28" t="s">
        <v>77</v>
      </c>
      <c r="O4660" s="26" t="s">
        <v>77</v>
      </c>
    </row>
    <row r="4661">
      <c r="A4661" s="52" t="s">
        <v>77</v>
      </c>
      <c r="B4661" s="28" t="s">
        <v>77</v>
      </c>
      <c r="C4661" s="28" t="s">
        <v>77</v>
      </c>
      <c r="D4661" s="28" t="s">
        <v>77</v>
      </c>
      <c r="E4661" s="28" t="s">
        <v>77</v>
      </c>
      <c r="F4661" s="28" t="s">
        <v>77</v>
      </c>
      <c r="G4661" s="28" t="s">
        <v>77</v>
      </c>
      <c r="I4661" s="26" t="s">
        <v>77</v>
      </c>
      <c r="J4661" s="26" t="s">
        <v>77</v>
      </c>
      <c r="K4661" s="18"/>
      <c r="L4661" s="26" t="s">
        <v>77</v>
      </c>
      <c r="M4661" s="6" t="s">
        <v>77</v>
      </c>
      <c r="N4661" s="28" t="s">
        <v>77</v>
      </c>
      <c r="O4661" s="26" t="s">
        <v>77</v>
      </c>
    </row>
    <row r="4662">
      <c r="A4662" s="52" t="s">
        <v>77</v>
      </c>
      <c r="B4662" s="28" t="s">
        <v>77</v>
      </c>
      <c r="C4662" s="28" t="s">
        <v>77</v>
      </c>
      <c r="D4662" s="28" t="s">
        <v>77</v>
      </c>
      <c r="E4662" s="28" t="s">
        <v>77</v>
      </c>
      <c r="F4662" s="28" t="s">
        <v>77</v>
      </c>
      <c r="G4662" s="28" t="s">
        <v>77</v>
      </c>
      <c r="I4662" s="26" t="s">
        <v>77</v>
      </c>
      <c r="J4662" s="26" t="s">
        <v>77</v>
      </c>
      <c r="K4662" s="18"/>
      <c r="L4662" s="26" t="s">
        <v>77</v>
      </c>
      <c r="M4662" s="6" t="s">
        <v>77</v>
      </c>
      <c r="N4662" s="28" t="s">
        <v>77</v>
      </c>
      <c r="O4662" s="26" t="s">
        <v>77</v>
      </c>
    </row>
    <row r="4663">
      <c r="A4663" s="52" t="s">
        <v>77</v>
      </c>
      <c r="B4663" s="28" t="s">
        <v>77</v>
      </c>
      <c r="C4663" s="28" t="s">
        <v>77</v>
      </c>
      <c r="D4663" s="28" t="s">
        <v>77</v>
      </c>
      <c r="E4663" s="28" t="s">
        <v>77</v>
      </c>
      <c r="F4663" s="28" t="s">
        <v>77</v>
      </c>
      <c r="G4663" s="28" t="s">
        <v>77</v>
      </c>
      <c r="I4663" s="26" t="s">
        <v>77</v>
      </c>
      <c r="J4663" s="26" t="s">
        <v>77</v>
      </c>
      <c r="K4663" s="18"/>
      <c r="L4663" s="26" t="s">
        <v>77</v>
      </c>
      <c r="M4663" s="6" t="s">
        <v>77</v>
      </c>
      <c r="N4663" s="28" t="s">
        <v>77</v>
      </c>
      <c r="O4663" s="26" t="s">
        <v>77</v>
      </c>
    </row>
    <row r="4664">
      <c r="A4664" s="52" t="s">
        <v>77</v>
      </c>
      <c r="B4664" s="28" t="s">
        <v>77</v>
      </c>
      <c r="C4664" s="28" t="s">
        <v>77</v>
      </c>
      <c r="D4664" s="28" t="s">
        <v>77</v>
      </c>
      <c r="E4664" s="28" t="s">
        <v>77</v>
      </c>
      <c r="F4664" s="28" t="s">
        <v>77</v>
      </c>
      <c r="G4664" s="28" t="s">
        <v>77</v>
      </c>
      <c r="I4664" s="26" t="s">
        <v>77</v>
      </c>
      <c r="J4664" s="26" t="s">
        <v>77</v>
      </c>
      <c r="K4664" s="18"/>
      <c r="L4664" s="26" t="s">
        <v>77</v>
      </c>
      <c r="M4664" s="6" t="s">
        <v>77</v>
      </c>
      <c r="N4664" s="28" t="s">
        <v>77</v>
      </c>
      <c r="O4664" s="26" t="s">
        <v>77</v>
      </c>
    </row>
    <row r="4665">
      <c r="A4665" s="52" t="s">
        <v>77</v>
      </c>
      <c r="B4665" s="28" t="s">
        <v>77</v>
      </c>
      <c r="C4665" s="28" t="s">
        <v>77</v>
      </c>
      <c r="D4665" s="28" t="s">
        <v>77</v>
      </c>
      <c r="E4665" s="28" t="s">
        <v>77</v>
      </c>
      <c r="F4665" s="28" t="s">
        <v>77</v>
      </c>
      <c r="G4665" s="28" t="s">
        <v>77</v>
      </c>
      <c r="I4665" s="26" t="s">
        <v>77</v>
      </c>
      <c r="J4665" s="26" t="s">
        <v>77</v>
      </c>
      <c r="K4665" s="18"/>
      <c r="L4665" s="26" t="s">
        <v>77</v>
      </c>
      <c r="M4665" s="6" t="s">
        <v>77</v>
      </c>
      <c r="N4665" s="28" t="s">
        <v>77</v>
      </c>
      <c r="O4665" s="26" t="s">
        <v>77</v>
      </c>
    </row>
    <row r="4666">
      <c r="A4666" s="52" t="s">
        <v>77</v>
      </c>
      <c r="B4666" s="28" t="s">
        <v>77</v>
      </c>
      <c r="C4666" s="28" t="s">
        <v>77</v>
      </c>
      <c r="D4666" s="28" t="s">
        <v>77</v>
      </c>
      <c r="E4666" s="28" t="s">
        <v>77</v>
      </c>
      <c r="F4666" s="28" t="s">
        <v>77</v>
      </c>
      <c r="G4666" s="28" t="s">
        <v>77</v>
      </c>
      <c r="I4666" s="26" t="s">
        <v>77</v>
      </c>
      <c r="J4666" s="26" t="s">
        <v>77</v>
      </c>
      <c r="K4666" s="18"/>
      <c r="L4666" s="26" t="s">
        <v>77</v>
      </c>
      <c r="M4666" s="6" t="s">
        <v>77</v>
      </c>
      <c r="N4666" s="28" t="s">
        <v>77</v>
      </c>
      <c r="O4666" s="26" t="s">
        <v>77</v>
      </c>
    </row>
    <row r="4667">
      <c r="A4667" s="52" t="s">
        <v>77</v>
      </c>
      <c r="B4667" s="28" t="s">
        <v>77</v>
      </c>
      <c r="C4667" s="28" t="s">
        <v>77</v>
      </c>
      <c r="D4667" s="28" t="s">
        <v>77</v>
      </c>
      <c r="E4667" s="28" t="s">
        <v>77</v>
      </c>
      <c r="F4667" s="28" t="s">
        <v>77</v>
      </c>
      <c r="G4667" s="28" t="s">
        <v>77</v>
      </c>
      <c r="I4667" s="26" t="s">
        <v>77</v>
      </c>
      <c r="J4667" s="26" t="s">
        <v>77</v>
      </c>
      <c r="K4667" s="18"/>
      <c r="L4667" s="26" t="s">
        <v>77</v>
      </c>
      <c r="M4667" s="6" t="s">
        <v>77</v>
      </c>
      <c r="N4667" s="28" t="s">
        <v>77</v>
      </c>
      <c r="O4667" s="26" t="s">
        <v>77</v>
      </c>
    </row>
    <row r="4668">
      <c r="A4668" s="52" t="s">
        <v>77</v>
      </c>
      <c r="B4668" s="28" t="s">
        <v>77</v>
      </c>
      <c r="C4668" s="28" t="s">
        <v>77</v>
      </c>
      <c r="D4668" s="28" t="s">
        <v>77</v>
      </c>
      <c r="E4668" s="28" t="s">
        <v>77</v>
      </c>
      <c r="F4668" s="28" t="s">
        <v>77</v>
      </c>
      <c r="G4668" s="28" t="s">
        <v>77</v>
      </c>
      <c r="I4668" s="26" t="s">
        <v>77</v>
      </c>
      <c r="J4668" s="26" t="s">
        <v>77</v>
      </c>
      <c r="K4668" s="18"/>
      <c r="L4668" s="26" t="s">
        <v>77</v>
      </c>
      <c r="M4668" s="6" t="s">
        <v>77</v>
      </c>
      <c r="N4668" s="28" t="s">
        <v>77</v>
      </c>
      <c r="O4668" s="26" t="s">
        <v>77</v>
      </c>
    </row>
    <row r="4669">
      <c r="A4669" s="52" t="s">
        <v>77</v>
      </c>
      <c r="B4669" s="28" t="s">
        <v>77</v>
      </c>
      <c r="C4669" s="28" t="s">
        <v>77</v>
      </c>
      <c r="D4669" s="28" t="s">
        <v>77</v>
      </c>
      <c r="E4669" s="28" t="s">
        <v>77</v>
      </c>
      <c r="F4669" s="28" t="s">
        <v>77</v>
      </c>
      <c r="G4669" s="28" t="s">
        <v>77</v>
      </c>
      <c r="I4669" s="26" t="s">
        <v>77</v>
      </c>
      <c r="J4669" s="26" t="s">
        <v>77</v>
      </c>
      <c r="K4669" s="18"/>
      <c r="L4669" s="26" t="s">
        <v>77</v>
      </c>
      <c r="M4669" s="6" t="s">
        <v>77</v>
      </c>
      <c r="N4669" s="28" t="s">
        <v>77</v>
      </c>
      <c r="O4669" s="26" t="s">
        <v>77</v>
      </c>
    </row>
    <row r="4670">
      <c r="A4670" s="52" t="s">
        <v>77</v>
      </c>
      <c r="B4670" s="28" t="s">
        <v>77</v>
      </c>
      <c r="C4670" s="28" t="s">
        <v>77</v>
      </c>
      <c r="D4670" s="28" t="s">
        <v>77</v>
      </c>
      <c r="E4670" s="28" t="s">
        <v>77</v>
      </c>
      <c r="F4670" s="28" t="s">
        <v>77</v>
      </c>
      <c r="G4670" s="28" t="s">
        <v>77</v>
      </c>
      <c r="I4670" s="26" t="s">
        <v>77</v>
      </c>
      <c r="J4670" s="26" t="s">
        <v>77</v>
      </c>
      <c r="K4670" s="18"/>
      <c r="L4670" s="26" t="s">
        <v>77</v>
      </c>
      <c r="M4670" s="6" t="s">
        <v>77</v>
      </c>
      <c r="N4670" s="28" t="s">
        <v>77</v>
      </c>
      <c r="O4670" s="26" t="s">
        <v>77</v>
      </c>
    </row>
    <row r="4671">
      <c r="A4671" s="52" t="s">
        <v>77</v>
      </c>
      <c r="B4671" s="28" t="s">
        <v>77</v>
      </c>
      <c r="C4671" s="28" t="s">
        <v>77</v>
      </c>
      <c r="D4671" s="28" t="s">
        <v>77</v>
      </c>
      <c r="E4671" s="28" t="s">
        <v>77</v>
      </c>
      <c r="F4671" s="28" t="s">
        <v>77</v>
      </c>
      <c r="G4671" s="28" t="s">
        <v>77</v>
      </c>
      <c r="I4671" s="26" t="s">
        <v>77</v>
      </c>
      <c r="J4671" s="26" t="s">
        <v>77</v>
      </c>
      <c r="K4671" s="18"/>
      <c r="L4671" s="26" t="s">
        <v>77</v>
      </c>
      <c r="M4671" s="6" t="s">
        <v>77</v>
      </c>
      <c r="N4671" s="28" t="s">
        <v>77</v>
      </c>
      <c r="O4671" s="26" t="s">
        <v>77</v>
      </c>
    </row>
    <row r="4672">
      <c r="A4672" s="52" t="s">
        <v>77</v>
      </c>
      <c r="B4672" s="28" t="s">
        <v>77</v>
      </c>
      <c r="C4672" s="28" t="s">
        <v>77</v>
      </c>
      <c r="D4672" s="28" t="s">
        <v>77</v>
      </c>
      <c r="E4672" s="28" t="s">
        <v>77</v>
      </c>
      <c r="F4672" s="28" t="s">
        <v>77</v>
      </c>
      <c r="G4672" s="28" t="s">
        <v>77</v>
      </c>
      <c r="I4672" s="26" t="s">
        <v>77</v>
      </c>
      <c r="J4672" s="26" t="s">
        <v>77</v>
      </c>
      <c r="K4672" s="18"/>
      <c r="L4672" s="26" t="s">
        <v>77</v>
      </c>
      <c r="M4672" s="6" t="s">
        <v>77</v>
      </c>
      <c r="N4672" s="28" t="s">
        <v>77</v>
      </c>
      <c r="O4672" s="26" t="s">
        <v>77</v>
      </c>
    </row>
    <row r="4673">
      <c r="A4673" s="52" t="s">
        <v>77</v>
      </c>
      <c r="B4673" s="28" t="s">
        <v>77</v>
      </c>
      <c r="C4673" s="28" t="s">
        <v>77</v>
      </c>
      <c r="D4673" s="28" t="s">
        <v>77</v>
      </c>
      <c r="E4673" s="28" t="s">
        <v>77</v>
      </c>
      <c r="F4673" s="28" t="s">
        <v>77</v>
      </c>
      <c r="G4673" s="28" t="s">
        <v>77</v>
      </c>
      <c r="I4673" s="26" t="s">
        <v>77</v>
      </c>
      <c r="J4673" s="26" t="s">
        <v>77</v>
      </c>
      <c r="K4673" s="18"/>
      <c r="L4673" s="26" t="s">
        <v>77</v>
      </c>
      <c r="M4673" s="6" t="s">
        <v>77</v>
      </c>
      <c r="N4673" s="28" t="s">
        <v>77</v>
      </c>
      <c r="O4673" s="26" t="s">
        <v>77</v>
      </c>
    </row>
    <row r="4674">
      <c r="A4674" s="52" t="s">
        <v>77</v>
      </c>
      <c r="B4674" s="28" t="s">
        <v>77</v>
      </c>
      <c r="C4674" s="28" t="s">
        <v>77</v>
      </c>
      <c r="D4674" s="28" t="s">
        <v>77</v>
      </c>
      <c r="E4674" s="28" t="s">
        <v>77</v>
      </c>
      <c r="F4674" s="28" t="s">
        <v>77</v>
      </c>
      <c r="G4674" s="28" t="s">
        <v>77</v>
      </c>
      <c r="I4674" s="26" t="s">
        <v>77</v>
      </c>
      <c r="J4674" s="26" t="s">
        <v>77</v>
      </c>
      <c r="K4674" s="18"/>
      <c r="L4674" s="26" t="s">
        <v>77</v>
      </c>
      <c r="M4674" s="6" t="s">
        <v>77</v>
      </c>
      <c r="N4674" s="28" t="s">
        <v>77</v>
      </c>
      <c r="O4674" s="26" t="s">
        <v>77</v>
      </c>
    </row>
    <row r="4675">
      <c r="A4675" s="52" t="s">
        <v>77</v>
      </c>
      <c r="B4675" s="28" t="s">
        <v>77</v>
      </c>
      <c r="C4675" s="28" t="s">
        <v>77</v>
      </c>
      <c r="D4675" s="28" t="s">
        <v>77</v>
      </c>
      <c r="E4675" s="28" t="s">
        <v>77</v>
      </c>
      <c r="F4675" s="28" t="s">
        <v>77</v>
      </c>
      <c r="G4675" s="28" t="s">
        <v>77</v>
      </c>
      <c r="I4675" s="26" t="s">
        <v>77</v>
      </c>
      <c r="J4675" s="26" t="s">
        <v>77</v>
      </c>
      <c r="K4675" s="18"/>
      <c r="L4675" s="26" t="s">
        <v>77</v>
      </c>
      <c r="M4675" s="6" t="s">
        <v>77</v>
      </c>
      <c r="N4675" s="28" t="s">
        <v>77</v>
      </c>
      <c r="O4675" s="26" t="s">
        <v>77</v>
      </c>
    </row>
    <row r="4676">
      <c r="A4676" s="52" t="s">
        <v>77</v>
      </c>
      <c r="B4676" s="28" t="s">
        <v>77</v>
      </c>
      <c r="C4676" s="28" t="s">
        <v>77</v>
      </c>
      <c r="D4676" s="28" t="s">
        <v>77</v>
      </c>
      <c r="E4676" s="28" t="s">
        <v>77</v>
      </c>
      <c r="F4676" s="28" t="s">
        <v>77</v>
      </c>
      <c r="G4676" s="28" t="s">
        <v>77</v>
      </c>
      <c r="I4676" s="26" t="s">
        <v>77</v>
      </c>
      <c r="J4676" s="26" t="s">
        <v>77</v>
      </c>
      <c r="K4676" s="18"/>
      <c r="L4676" s="26" t="s">
        <v>77</v>
      </c>
      <c r="M4676" s="6" t="s">
        <v>77</v>
      </c>
      <c r="N4676" s="28" t="s">
        <v>77</v>
      </c>
      <c r="O4676" s="26" t="s">
        <v>77</v>
      </c>
    </row>
    <row r="4677">
      <c r="A4677" s="52" t="s">
        <v>77</v>
      </c>
      <c r="B4677" s="28" t="s">
        <v>77</v>
      </c>
      <c r="C4677" s="28" t="s">
        <v>77</v>
      </c>
      <c r="D4677" s="28" t="s">
        <v>77</v>
      </c>
      <c r="E4677" s="28" t="s">
        <v>77</v>
      </c>
      <c r="F4677" s="28" t="s">
        <v>77</v>
      </c>
      <c r="G4677" s="28" t="s">
        <v>77</v>
      </c>
      <c r="I4677" s="26" t="s">
        <v>77</v>
      </c>
      <c r="J4677" s="26" t="s">
        <v>77</v>
      </c>
      <c r="K4677" s="18"/>
      <c r="L4677" s="26" t="s">
        <v>77</v>
      </c>
      <c r="M4677" s="6" t="s">
        <v>77</v>
      </c>
      <c r="N4677" s="28" t="s">
        <v>77</v>
      </c>
      <c r="O4677" s="26" t="s">
        <v>77</v>
      </c>
    </row>
    <row r="4678">
      <c r="A4678" s="52" t="s">
        <v>77</v>
      </c>
      <c r="B4678" s="28" t="s">
        <v>77</v>
      </c>
      <c r="C4678" s="28" t="s">
        <v>77</v>
      </c>
      <c r="D4678" s="28" t="s">
        <v>77</v>
      </c>
      <c r="E4678" s="28" t="s">
        <v>77</v>
      </c>
      <c r="F4678" s="28" t="s">
        <v>77</v>
      </c>
      <c r="G4678" s="28" t="s">
        <v>77</v>
      </c>
      <c r="I4678" s="26" t="s">
        <v>77</v>
      </c>
      <c r="J4678" s="26" t="s">
        <v>77</v>
      </c>
      <c r="K4678" s="18"/>
      <c r="L4678" s="26" t="s">
        <v>77</v>
      </c>
      <c r="M4678" s="6" t="s">
        <v>77</v>
      </c>
      <c r="N4678" s="28" t="s">
        <v>77</v>
      </c>
      <c r="O4678" s="26" t="s">
        <v>77</v>
      </c>
    </row>
    <row r="4679">
      <c r="A4679" s="52" t="s">
        <v>77</v>
      </c>
      <c r="B4679" s="28" t="s">
        <v>77</v>
      </c>
      <c r="C4679" s="28" t="s">
        <v>77</v>
      </c>
      <c r="D4679" s="28" t="s">
        <v>77</v>
      </c>
      <c r="E4679" s="28" t="s">
        <v>77</v>
      </c>
      <c r="F4679" s="28" t="s">
        <v>77</v>
      </c>
      <c r="G4679" s="28" t="s">
        <v>77</v>
      </c>
      <c r="I4679" s="26" t="s">
        <v>77</v>
      </c>
      <c r="J4679" s="26" t="s">
        <v>77</v>
      </c>
      <c r="K4679" s="18"/>
      <c r="L4679" s="26" t="s">
        <v>77</v>
      </c>
      <c r="M4679" s="6" t="s">
        <v>77</v>
      </c>
      <c r="N4679" s="28" t="s">
        <v>77</v>
      </c>
      <c r="O4679" s="26" t="s">
        <v>77</v>
      </c>
    </row>
    <row r="4680">
      <c r="A4680" s="52" t="s">
        <v>77</v>
      </c>
      <c r="B4680" s="28" t="s">
        <v>77</v>
      </c>
      <c r="C4680" s="28" t="s">
        <v>77</v>
      </c>
      <c r="D4680" s="28" t="s">
        <v>77</v>
      </c>
      <c r="E4680" s="28" t="s">
        <v>77</v>
      </c>
      <c r="F4680" s="28" t="s">
        <v>77</v>
      </c>
      <c r="G4680" s="28" t="s">
        <v>77</v>
      </c>
      <c r="I4680" s="26" t="s">
        <v>77</v>
      </c>
      <c r="J4680" s="26" t="s">
        <v>77</v>
      </c>
      <c r="K4680" s="18"/>
      <c r="L4680" s="26" t="s">
        <v>77</v>
      </c>
      <c r="M4680" s="6" t="s">
        <v>77</v>
      </c>
      <c r="N4680" s="28" t="s">
        <v>77</v>
      </c>
      <c r="O4680" s="26" t="s">
        <v>77</v>
      </c>
    </row>
    <row r="4681">
      <c r="A4681" s="52" t="s">
        <v>77</v>
      </c>
      <c r="B4681" s="28" t="s">
        <v>77</v>
      </c>
      <c r="C4681" s="28" t="s">
        <v>77</v>
      </c>
      <c r="D4681" s="28" t="s">
        <v>77</v>
      </c>
      <c r="E4681" s="28" t="s">
        <v>77</v>
      </c>
      <c r="F4681" s="28" t="s">
        <v>77</v>
      </c>
      <c r="G4681" s="28" t="s">
        <v>77</v>
      </c>
      <c r="I4681" s="26" t="s">
        <v>77</v>
      </c>
      <c r="J4681" s="26" t="s">
        <v>77</v>
      </c>
      <c r="K4681" s="18"/>
      <c r="L4681" s="26" t="s">
        <v>77</v>
      </c>
      <c r="M4681" s="6" t="s">
        <v>77</v>
      </c>
      <c r="N4681" s="28" t="s">
        <v>77</v>
      </c>
      <c r="O4681" s="26" t="s">
        <v>77</v>
      </c>
    </row>
    <row r="4682">
      <c r="A4682" s="52" t="s">
        <v>77</v>
      </c>
      <c r="B4682" s="28" t="s">
        <v>77</v>
      </c>
      <c r="C4682" s="28" t="s">
        <v>77</v>
      </c>
      <c r="D4682" s="28" t="s">
        <v>77</v>
      </c>
      <c r="E4682" s="28" t="s">
        <v>77</v>
      </c>
      <c r="F4682" s="28" t="s">
        <v>77</v>
      </c>
      <c r="G4682" s="28" t="s">
        <v>77</v>
      </c>
      <c r="I4682" s="26" t="s">
        <v>77</v>
      </c>
      <c r="J4682" s="26" t="s">
        <v>77</v>
      </c>
      <c r="K4682" s="18"/>
      <c r="L4682" s="26" t="s">
        <v>77</v>
      </c>
      <c r="M4682" s="6" t="s">
        <v>77</v>
      </c>
      <c r="N4682" s="28" t="s">
        <v>77</v>
      </c>
      <c r="O4682" s="26" t="s">
        <v>77</v>
      </c>
    </row>
    <row r="4683">
      <c r="A4683" s="52" t="s">
        <v>77</v>
      </c>
      <c r="B4683" s="28" t="s">
        <v>77</v>
      </c>
      <c r="C4683" s="28" t="s">
        <v>77</v>
      </c>
      <c r="D4683" s="28" t="s">
        <v>77</v>
      </c>
      <c r="E4683" s="28" t="s">
        <v>77</v>
      </c>
      <c r="F4683" s="28" t="s">
        <v>77</v>
      </c>
      <c r="G4683" s="28" t="s">
        <v>77</v>
      </c>
      <c r="I4683" s="26" t="s">
        <v>77</v>
      </c>
      <c r="J4683" s="26" t="s">
        <v>77</v>
      </c>
      <c r="K4683" s="18"/>
      <c r="L4683" s="26" t="s">
        <v>77</v>
      </c>
      <c r="M4683" s="6" t="s">
        <v>77</v>
      </c>
      <c r="N4683" s="28" t="s">
        <v>77</v>
      </c>
      <c r="O4683" s="26" t="s">
        <v>77</v>
      </c>
    </row>
    <row r="4684">
      <c r="A4684" s="52" t="s">
        <v>77</v>
      </c>
      <c r="B4684" s="28" t="s">
        <v>77</v>
      </c>
      <c r="C4684" s="28" t="s">
        <v>77</v>
      </c>
      <c r="D4684" s="28" t="s">
        <v>77</v>
      </c>
      <c r="E4684" s="28" t="s">
        <v>77</v>
      </c>
      <c r="F4684" s="28" t="s">
        <v>77</v>
      </c>
      <c r="G4684" s="28" t="s">
        <v>77</v>
      </c>
      <c r="I4684" s="26" t="s">
        <v>77</v>
      </c>
      <c r="J4684" s="26" t="s">
        <v>77</v>
      </c>
      <c r="K4684" s="18"/>
      <c r="L4684" s="26" t="s">
        <v>77</v>
      </c>
      <c r="M4684" s="6" t="s">
        <v>77</v>
      </c>
      <c r="N4684" s="28" t="s">
        <v>77</v>
      </c>
      <c r="O4684" s="26" t="s">
        <v>77</v>
      </c>
    </row>
    <row r="4685">
      <c r="A4685" s="52" t="s">
        <v>77</v>
      </c>
      <c r="B4685" s="28" t="s">
        <v>77</v>
      </c>
      <c r="C4685" s="28" t="s">
        <v>77</v>
      </c>
      <c r="D4685" s="28" t="s">
        <v>77</v>
      </c>
      <c r="E4685" s="28" t="s">
        <v>77</v>
      </c>
      <c r="F4685" s="28" t="s">
        <v>77</v>
      </c>
      <c r="G4685" s="28" t="s">
        <v>77</v>
      </c>
      <c r="I4685" s="26" t="s">
        <v>77</v>
      </c>
      <c r="J4685" s="26" t="s">
        <v>77</v>
      </c>
      <c r="K4685" s="18"/>
      <c r="L4685" s="26" t="s">
        <v>77</v>
      </c>
      <c r="M4685" s="6" t="s">
        <v>77</v>
      </c>
      <c r="N4685" s="28" t="s">
        <v>77</v>
      </c>
      <c r="O4685" s="26" t="s">
        <v>77</v>
      </c>
    </row>
    <row r="4686">
      <c r="A4686" s="52" t="s">
        <v>77</v>
      </c>
      <c r="B4686" s="28" t="s">
        <v>77</v>
      </c>
      <c r="C4686" s="28" t="s">
        <v>77</v>
      </c>
      <c r="D4686" s="28" t="s">
        <v>77</v>
      </c>
      <c r="E4686" s="28" t="s">
        <v>77</v>
      </c>
      <c r="F4686" s="28" t="s">
        <v>77</v>
      </c>
      <c r="G4686" s="28" t="s">
        <v>77</v>
      </c>
      <c r="I4686" s="26" t="s">
        <v>77</v>
      </c>
      <c r="J4686" s="26" t="s">
        <v>77</v>
      </c>
      <c r="K4686" s="18"/>
      <c r="L4686" s="26" t="s">
        <v>77</v>
      </c>
      <c r="M4686" s="6" t="s">
        <v>77</v>
      </c>
      <c r="N4686" s="28" t="s">
        <v>77</v>
      </c>
      <c r="O4686" s="26" t="s">
        <v>77</v>
      </c>
    </row>
    <row r="4687">
      <c r="A4687" s="52" t="s">
        <v>77</v>
      </c>
      <c r="B4687" s="28" t="s">
        <v>77</v>
      </c>
      <c r="C4687" s="28" t="s">
        <v>77</v>
      </c>
      <c r="D4687" s="28" t="s">
        <v>77</v>
      </c>
      <c r="E4687" s="28" t="s">
        <v>77</v>
      </c>
      <c r="F4687" s="28" t="s">
        <v>77</v>
      </c>
      <c r="G4687" s="28" t="s">
        <v>77</v>
      </c>
      <c r="I4687" s="26" t="s">
        <v>77</v>
      </c>
      <c r="J4687" s="26" t="s">
        <v>77</v>
      </c>
      <c r="K4687" s="18"/>
      <c r="L4687" s="26" t="s">
        <v>77</v>
      </c>
      <c r="M4687" s="6" t="s">
        <v>77</v>
      </c>
      <c r="N4687" s="28" t="s">
        <v>77</v>
      </c>
      <c r="O4687" s="26" t="s">
        <v>77</v>
      </c>
    </row>
    <row r="4688">
      <c r="A4688" s="52" t="s">
        <v>77</v>
      </c>
      <c r="B4688" s="28" t="s">
        <v>77</v>
      </c>
      <c r="C4688" s="28" t="s">
        <v>77</v>
      </c>
      <c r="D4688" s="28" t="s">
        <v>77</v>
      </c>
      <c r="E4688" s="28" t="s">
        <v>77</v>
      </c>
      <c r="F4688" s="28" t="s">
        <v>77</v>
      </c>
      <c r="G4688" s="28" t="s">
        <v>77</v>
      </c>
      <c r="I4688" s="26" t="s">
        <v>77</v>
      </c>
      <c r="J4688" s="26" t="s">
        <v>77</v>
      </c>
      <c r="K4688" s="18"/>
      <c r="L4688" s="26" t="s">
        <v>77</v>
      </c>
      <c r="M4688" s="6" t="s">
        <v>77</v>
      </c>
      <c r="N4688" s="28" t="s">
        <v>77</v>
      </c>
      <c r="O4688" s="26" t="s">
        <v>77</v>
      </c>
    </row>
    <row r="4689">
      <c r="A4689" s="52" t="s">
        <v>77</v>
      </c>
      <c r="B4689" s="28" t="s">
        <v>77</v>
      </c>
      <c r="C4689" s="28" t="s">
        <v>77</v>
      </c>
      <c r="D4689" s="28" t="s">
        <v>77</v>
      </c>
      <c r="E4689" s="28" t="s">
        <v>77</v>
      </c>
      <c r="F4689" s="28" t="s">
        <v>77</v>
      </c>
      <c r="G4689" s="28" t="s">
        <v>77</v>
      </c>
      <c r="I4689" s="26" t="s">
        <v>77</v>
      </c>
      <c r="J4689" s="26" t="s">
        <v>77</v>
      </c>
      <c r="K4689" s="18"/>
      <c r="L4689" s="26" t="s">
        <v>77</v>
      </c>
      <c r="M4689" s="6" t="s">
        <v>77</v>
      </c>
      <c r="N4689" s="28" t="s">
        <v>77</v>
      </c>
      <c r="O4689" s="26" t="s">
        <v>77</v>
      </c>
    </row>
    <row r="4690">
      <c r="A4690" s="52" t="s">
        <v>77</v>
      </c>
      <c r="B4690" s="28" t="s">
        <v>77</v>
      </c>
      <c r="C4690" s="28" t="s">
        <v>77</v>
      </c>
      <c r="D4690" s="28" t="s">
        <v>77</v>
      </c>
      <c r="E4690" s="28" t="s">
        <v>77</v>
      </c>
      <c r="F4690" s="28" t="s">
        <v>77</v>
      </c>
      <c r="G4690" s="28" t="s">
        <v>77</v>
      </c>
      <c r="I4690" s="26" t="s">
        <v>77</v>
      </c>
      <c r="J4690" s="26" t="s">
        <v>77</v>
      </c>
      <c r="K4690" s="18"/>
      <c r="L4690" s="26" t="s">
        <v>77</v>
      </c>
      <c r="M4690" s="6" t="s">
        <v>77</v>
      </c>
      <c r="N4690" s="28" t="s">
        <v>77</v>
      </c>
      <c r="O4690" s="26" t="s">
        <v>77</v>
      </c>
    </row>
    <row r="4691">
      <c r="A4691" s="52" t="s">
        <v>77</v>
      </c>
      <c r="B4691" s="28" t="s">
        <v>77</v>
      </c>
      <c r="C4691" s="28" t="s">
        <v>77</v>
      </c>
      <c r="D4691" s="28" t="s">
        <v>77</v>
      </c>
      <c r="E4691" s="28" t="s">
        <v>77</v>
      </c>
      <c r="F4691" s="28" t="s">
        <v>77</v>
      </c>
      <c r="G4691" s="28" t="s">
        <v>77</v>
      </c>
      <c r="I4691" s="26" t="s">
        <v>77</v>
      </c>
      <c r="J4691" s="26" t="s">
        <v>77</v>
      </c>
      <c r="K4691" s="18"/>
      <c r="L4691" s="26" t="s">
        <v>77</v>
      </c>
      <c r="M4691" s="6" t="s">
        <v>77</v>
      </c>
      <c r="N4691" s="28" t="s">
        <v>77</v>
      </c>
      <c r="O4691" s="26" t="s">
        <v>77</v>
      </c>
    </row>
    <row r="4692">
      <c r="A4692" s="52" t="s">
        <v>77</v>
      </c>
      <c r="B4692" s="28" t="s">
        <v>77</v>
      </c>
      <c r="C4692" s="28" t="s">
        <v>77</v>
      </c>
      <c r="D4692" s="28" t="s">
        <v>77</v>
      </c>
      <c r="E4692" s="28" t="s">
        <v>77</v>
      </c>
      <c r="F4692" s="28" t="s">
        <v>77</v>
      </c>
      <c r="G4692" s="28" t="s">
        <v>77</v>
      </c>
      <c r="I4692" s="26" t="s">
        <v>77</v>
      </c>
      <c r="J4692" s="26" t="s">
        <v>77</v>
      </c>
      <c r="K4692" s="18"/>
      <c r="L4692" s="26" t="s">
        <v>77</v>
      </c>
      <c r="M4692" s="6" t="s">
        <v>77</v>
      </c>
      <c r="N4692" s="28" t="s">
        <v>77</v>
      </c>
      <c r="O4692" s="26" t="s">
        <v>77</v>
      </c>
    </row>
    <row r="4693">
      <c r="A4693" s="52" t="s">
        <v>77</v>
      </c>
      <c r="B4693" s="28" t="s">
        <v>77</v>
      </c>
      <c r="C4693" s="28" t="s">
        <v>77</v>
      </c>
      <c r="D4693" s="28" t="s">
        <v>77</v>
      </c>
      <c r="E4693" s="28" t="s">
        <v>77</v>
      </c>
      <c r="F4693" s="28" t="s">
        <v>77</v>
      </c>
      <c r="G4693" s="28" t="s">
        <v>77</v>
      </c>
      <c r="I4693" s="26" t="s">
        <v>77</v>
      </c>
      <c r="J4693" s="26" t="s">
        <v>77</v>
      </c>
      <c r="K4693" s="18"/>
      <c r="L4693" s="26" t="s">
        <v>77</v>
      </c>
      <c r="M4693" s="6" t="s">
        <v>77</v>
      </c>
      <c r="N4693" s="28" t="s">
        <v>77</v>
      </c>
      <c r="O4693" s="26" t="s">
        <v>77</v>
      </c>
    </row>
    <row r="4694">
      <c r="A4694" s="52" t="s">
        <v>77</v>
      </c>
      <c r="B4694" s="28" t="s">
        <v>77</v>
      </c>
      <c r="C4694" s="28" t="s">
        <v>77</v>
      </c>
      <c r="D4694" s="28" t="s">
        <v>77</v>
      </c>
      <c r="E4694" s="28" t="s">
        <v>77</v>
      </c>
      <c r="F4694" s="28" t="s">
        <v>77</v>
      </c>
      <c r="G4694" s="28" t="s">
        <v>77</v>
      </c>
      <c r="I4694" s="26" t="s">
        <v>77</v>
      </c>
      <c r="J4694" s="26" t="s">
        <v>77</v>
      </c>
      <c r="K4694" s="18"/>
      <c r="L4694" s="26" t="s">
        <v>77</v>
      </c>
      <c r="M4694" s="6" t="s">
        <v>77</v>
      </c>
      <c r="N4694" s="28" t="s">
        <v>77</v>
      </c>
      <c r="O4694" s="26" t="s">
        <v>77</v>
      </c>
    </row>
    <row r="4695">
      <c r="A4695" s="52" t="s">
        <v>77</v>
      </c>
      <c r="B4695" s="28" t="s">
        <v>77</v>
      </c>
      <c r="C4695" s="28" t="s">
        <v>77</v>
      </c>
      <c r="D4695" s="28" t="s">
        <v>77</v>
      </c>
      <c r="E4695" s="28" t="s">
        <v>77</v>
      </c>
      <c r="F4695" s="28" t="s">
        <v>77</v>
      </c>
      <c r="G4695" s="28" t="s">
        <v>77</v>
      </c>
      <c r="I4695" s="26" t="s">
        <v>77</v>
      </c>
      <c r="J4695" s="26" t="s">
        <v>77</v>
      </c>
      <c r="K4695" s="18"/>
      <c r="L4695" s="26" t="s">
        <v>77</v>
      </c>
      <c r="M4695" s="6" t="s">
        <v>77</v>
      </c>
      <c r="N4695" s="28" t="s">
        <v>77</v>
      </c>
      <c r="O4695" s="26" t="s">
        <v>77</v>
      </c>
    </row>
    <row r="4696">
      <c r="A4696" s="52" t="s">
        <v>77</v>
      </c>
      <c r="B4696" s="28" t="s">
        <v>77</v>
      </c>
      <c r="C4696" s="28" t="s">
        <v>77</v>
      </c>
      <c r="D4696" s="28" t="s">
        <v>77</v>
      </c>
      <c r="E4696" s="28" t="s">
        <v>77</v>
      </c>
      <c r="F4696" s="28" t="s">
        <v>77</v>
      </c>
      <c r="G4696" s="28" t="s">
        <v>77</v>
      </c>
      <c r="I4696" s="26" t="s">
        <v>77</v>
      </c>
      <c r="J4696" s="26" t="s">
        <v>77</v>
      </c>
      <c r="K4696" s="18"/>
      <c r="L4696" s="26" t="s">
        <v>77</v>
      </c>
      <c r="M4696" s="6" t="s">
        <v>77</v>
      </c>
      <c r="N4696" s="28" t="s">
        <v>77</v>
      </c>
      <c r="O4696" s="26" t="s">
        <v>77</v>
      </c>
    </row>
    <row r="4697">
      <c r="A4697" s="52" t="s">
        <v>77</v>
      </c>
      <c r="B4697" s="28" t="s">
        <v>77</v>
      </c>
      <c r="C4697" s="28" t="s">
        <v>77</v>
      </c>
      <c r="D4697" s="28" t="s">
        <v>77</v>
      </c>
      <c r="E4697" s="28" t="s">
        <v>77</v>
      </c>
      <c r="F4697" s="28" t="s">
        <v>77</v>
      </c>
      <c r="G4697" s="28" t="s">
        <v>77</v>
      </c>
      <c r="I4697" s="26" t="s">
        <v>77</v>
      </c>
      <c r="J4697" s="26" t="s">
        <v>77</v>
      </c>
      <c r="K4697" s="18"/>
      <c r="L4697" s="26" t="s">
        <v>77</v>
      </c>
      <c r="M4697" s="6" t="s">
        <v>77</v>
      </c>
      <c r="N4697" s="28" t="s">
        <v>77</v>
      </c>
      <c r="O4697" s="26" t="s">
        <v>77</v>
      </c>
    </row>
    <row r="4698">
      <c r="A4698" s="52" t="s">
        <v>77</v>
      </c>
      <c r="B4698" s="28" t="s">
        <v>77</v>
      </c>
      <c r="C4698" s="28" t="s">
        <v>77</v>
      </c>
      <c r="D4698" s="28" t="s">
        <v>77</v>
      </c>
      <c r="E4698" s="28" t="s">
        <v>77</v>
      </c>
      <c r="F4698" s="28" t="s">
        <v>77</v>
      </c>
      <c r="G4698" s="28" t="s">
        <v>77</v>
      </c>
      <c r="I4698" s="26" t="s">
        <v>77</v>
      </c>
      <c r="J4698" s="26" t="s">
        <v>77</v>
      </c>
      <c r="K4698" s="18"/>
      <c r="L4698" s="26" t="s">
        <v>77</v>
      </c>
      <c r="M4698" s="6" t="s">
        <v>77</v>
      </c>
      <c r="N4698" s="28" t="s">
        <v>77</v>
      </c>
      <c r="O4698" s="26" t="s">
        <v>77</v>
      </c>
    </row>
    <row r="4699">
      <c r="A4699" s="52" t="s">
        <v>77</v>
      </c>
      <c r="B4699" s="28" t="s">
        <v>77</v>
      </c>
      <c r="C4699" s="28" t="s">
        <v>77</v>
      </c>
      <c r="D4699" s="28" t="s">
        <v>77</v>
      </c>
      <c r="E4699" s="28" t="s">
        <v>77</v>
      </c>
      <c r="F4699" s="28" t="s">
        <v>77</v>
      </c>
      <c r="G4699" s="28" t="s">
        <v>77</v>
      </c>
      <c r="I4699" s="26" t="s">
        <v>77</v>
      </c>
      <c r="J4699" s="26" t="s">
        <v>77</v>
      </c>
      <c r="K4699" s="18"/>
      <c r="L4699" s="26" t="s">
        <v>77</v>
      </c>
      <c r="M4699" s="6" t="s">
        <v>77</v>
      </c>
      <c r="N4699" s="28" t="s">
        <v>77</v>
      </c>
      <c r="O4699" s="26" t="s">
        <v>77</v>
      </c>
    </row>
    <row r="4700">
      <c r="A4700" s="52" t="s">
        <v>77</v>
      </c>
      <c r="B4700" s="28" t="s">
        <v>77</v>
      </c>
      <c r="C4700" s="28" t="s">
        <v>77</v>
      </c>
      <c r="D4700" s="28" t="s">
        <v>77</v>
      </c>
      <c r="E4700" s="28" t="s">
        <v>77</v>
      </c>
      <c r="F4700" s="28" t="s">
        <v>77</v>
      </c>
      <c r="G4700" s="28" t="s">
        <v>77</v>
      </c>
      <c r="I4700" s="26" t="s">
        <v>77</v>
      </c>
      <c r="J4700" s="26" t="s">
        <v>77</v>
      </c>
      <c r="K4700" s="18"/>
      <c r="L4700" s="26" t="s">
        <v>77</v>
      </c>
      <c r="M4700" s="6" t="s">
        <v>77</v>
      </c>
      <c r="N4700" s="28" t="s">
        <v>77</v>
      </c>
      <c r="O4700" s="26" t="s">
        <v>77</v>
      </c>
    </row>
    <row r="4701">
      <c r="A4701" s="52" t="s">
        <v>77</v>
      </c>
      <c r="B4701" s="28" t="s">
        <v>77</v>
      </c>
      <c r="C4701" s="28" t="s">
        <v>77</v>
      </c>
      <c r="D4701" s="28" t="s">
        <v>77</v>
      </c>
      <c r="E4701" s="28" t="s">
        <v>77</v>
      </c>
      <c r="F4701" s="28" t="s">
        <v>77</v>
      </c>
      <c r="G4701" s="28" t="s">
        <v>77</v>
      </c>
      <c r="I4701" s="26" t="s">
        <v>77</v>
      </c>
      <c r="J4701" s="26" t="s">
        <v>77</v>
      </c>
      <c r="K4701" s="18"/>
      <c r="L4701" s="26" t="s">
        <v>77</v>
      </c>
      <c r="M4701" s="6" t="s">
        <v>77</v>
      </c>
      <c r="N4701" s="28" t="s">
        <v>77</v>
      </c>
      <c r="O4701" s="26" t="s">
        <v>77</v>
      </c>
    </row>
    <row r="4702">
      <c r="A4702" s="52" t="s">
        <v>77</v>
      </c>
      <c r="B4702" s="28" t="s">
        <v>77</v>
      </c>
      <c r="C4702" s="28" t="s">
        <v>77</v>
      </c>
      <c r="D4702" s="28" t="s">
        <v>77</v>
      </c>
      <c r="E4702" s="28" t="s">
        <v>77</v>
      </c>
      <c r="F4702" s="28" t="s">
        <v>77</v>
      </c>
      <c r="G4702" s="28" t="s">
        <v>77</v>
      </c>
      <c r="I4702" s="26" t="s">
        <v>77</v>
      </c>
      <c r="J4702" s="26" t="s">
        <v>77</v>
      </c>
      <c r="K4702" s="18"/>
      <c r="L4702" s="26" t="s">
        <v>77</v>
      </c>
      <c r="M4702" s="6" t="s">
        <v>77</v>
      </c>
      <c r="N4702" s="28" t="s">
        <v>77</v>
      </c>
      <c r="O4702" s="26" t="s">
        <v>77</v>
      </c>
    </row>
    <row r="4703">
      <c r="A4703" s="52" t="s">
        <v>77</v>
      </c>
      <c r="B4703" s="28" t="s">
        <v>77</v>
      </c>
      <c r="C4703" s="28" t="s">
        <v>77</v>
      </c>
      <c r="D4703" s="28" t="s">
        <v>77</v>
      </c>
      <c r="E4703" s="28" t="s">
        <v>77</v>
      </c>
      <c r="F4703" s="28" t="s">
        <v>77</v>
      </c>
      <c r="G4703" s="28" t="s">
        <v>77</v>
      </c>
      <c r="I4703" s="26" t="s">
        <v>77</v>
      </c>
      <c r="J4703" s="26" t="s">
        <v>77</v>
      </c>
      <c r="K4703" s="18"/>
      <c r="L4703" s="26" t="s">
        <v>77</v>
      </c>
      <c r="M4703" s="6" t="s">
        <v>77</v>
      </c>
      <c r="N4703" s="28" t="s">
        <v>77</v>
      </c>
      <c r="O4703" s="26" t="s">
        <v>77</v>
      </c>
    </row>
    <row r="4704">
      <c r="A4704" s="52" t="s">
        <v>77</v>
      </c>
      <c r="B4704" s="28" t="s">
        <v>77</v>
      </c>
      <c r="C4704" s="28" t="s">
        <v>77</v>
      </c>
      <c r="D4704" s="28" t="s">
        <v>77</v>
      </c>
      <c r="E4704" s="28" t="s">
        <v>77</v>
      </c>
      <c r="F4704" s="28" t="s">
        <v>77</v>
      </c>
      <c r="G4704" s="28" t="s">
        <v>77</v>
      </c>
      <c r="I4704" s="26" t="s">
        <v>77</v>
      </c>
      <c r="J4704" s="26" t="s">
        <v>77</v>
      </c>
      <c r="K4704" s="18"/>
      <c r="L4704" s="26" t="s">
        <v>77</v>
      </c>
      <c r="M4704" s="6" t="s">
        <v>77</v>
      </c>
      <c r="N4704" s="28" t="s">
        <v>77</v>
      </c>
      <c r="O4704" s="26" t="s">
        <v>77</v>
      </c>
    </row>
    <row r="4705">
      <c r="A4705" s="52" t="s">
        <v>77</v>
      </c>
      <c r="B4705" s="28" t="s">
        <v>77</v>
      </c>
      <c r="C4705" s="28" t="s">
        <v>77</v>
      </c>
      <c r="D4705" s="28" t="s">
        <v>77</v>
      </c>
      <c r="E4705" s="28" t="s">
        <v>77</v>
      </c>
      <c r="F4705" s="28" t="s">
        <v>77</v>
      </c>
      <c r="G4705" s="28" t="s">
        <v>77</v>
      </c>
      <c r="I4705" s="26" t="s">
        <v>77</v>
      </c>
      <c r="J4705" s="26" t="s">
        <v>77</v>
      </c>
      <c r="K4705" s="18"/>
      <c r="L4705" s="26" t="s">
        <v>77</v>
      </c>
      <c r="M4705" s="6" t="s">
        <v>77</v>
      </c>
      <c r="N4705" s="28" t="s">
        <v>77</v>
      </c>
      <c r="O4705" s="26" t="s">
        <v>77</v>
      </c>
    </row>
    <row r="4706">
      <c r="A4706" s="52" t="s">
        <v>77</v>
      </c>
      <c r="B4706" s="28" t="s">
        <v>77</v>
      </c>
      <c r="C4706" s="28" t="s">
        <v>77</v>
      </c>
      <c r="D4706" s="28" t="s">
        <v>77</v>
      </c>
      <c r="E4706" s="28" t="s">
        <v>77</v>
      </c>
      <c r="F4706" s="28" t="s">
        <v>77</v>
      </c>
      <c r="G4706" s="28" t="s">
        <v>77</v>
      </c>
      <c r="I4706" s="26" t="s">
        <v>77</v>
      </c>
      <c r="J4706" s="26" t="s">
        <v>77</v>
      </c>
      <c r="K4706" s="18"/>
      <c r="L4706" s="26" t="s">
        <v>77</v>
      </c>
      <c r="M4706" s="6" t="s">
        <v>77</v>
      </c>
      <c r="N4706" s="28" t="s">
        <v>77</v>
      </c>
      <c r="O4706" s="26" t="s">
        <v>77</v>
      </c>
    </row>
    <row r="4707">
      <c r="A4707" s="52" t="s">
        <v>77</v>
      </c>
      <c r="B4707" s="28" t="s">
        <v>77</v>
      </c>
      <c r="C4707" s="28" t="s">
        <v>77</v>
      </c>
      <c r="D4707" s="28" t="s">
        <v>77</v>
      </c>
      <c r="E4707" s="28" t="s">
        <v>77</v>
      </c>
      <c r="F4707" s="28" t="s">
        <v>77</v>
      </c>
      <c r="G4707" s="28" t="s">
        <v>77</v>
      </c>
      <c r="I4707" s="26" t="s">
        <v>77</v>
      </c>
      <c r="J4707" s="26" t="s">
        <v>77</v>
      </c>
      <c r="K4707" s="18"/>
      <c r="L4707" s="26" t="s">
        <v>77</v>
      </c>
      <c r="M4707" s="6" t="s">
        <v>77</v>
      </c>
      <c r="N4707" s="28" t="s">
        <v>77</v>
      </c>
      <c r="O4707" s="26" t="s">
        <v>77</v>
      </c>
    </row>
    <row r="4708">
      <c r="A4708" s="52" t="s">
        <v>77</v>
      </c>
      <c r="B4708" s="28" t="s">
        <v>77</v>
      </c>
      <c r="C4708" s="28" t="s">
        <v>77</v>
      </c>
      <c r="D4708" s="28" t="s">
        <v>77</v>
      </c>
      <c r="E4708" s="28" t="s">
        <v>77</v>
      </c>
      <c r="F4708" s="28" t="s">
        <v>77</v>
      </c>
      <c r="G4708" s="28" t="s">
        <v>77</v>
      </c>
      <c r="I4708" s="26" t="s">
        <v>77</v>
      </c>
      <c r="J4708" s="26" t="s">
        <v>77</v>
      </c>
      <c r="K4708" s="18"/>
      <c r="L4708" s="26" t="s">
        <v>77</v>
      </c>
      <c r="M4708" s="6" t="s">
        <v>77</v>
      </c>
      <c r="N4708" s="28" t="s">
        <v>77</v>
      </c>
      <c r="O4708" s="26" t="s">
        <v>77</v>
      </c>
    </row>
    <row r="4709">
      <c r="A4709" s="52" t="s">
        <v>77</v>
      </c>
      <c r="B4709" s="28" t="s">
        <v>77</v>
      </c>
      <c r="C4709" s="28" t="s">
        <v>77</v>
      </c>
      <c r="D4709" s="28" t="s">
        <v>77</v>
      </c>
      <c r="E4709" s="28" t="s">
        <v>77</v>
      </c>
      <c r="F4709" s="28" t="s">
        <v>77</v>
      </c>
      <c r="G4709" s="28" t="s">
        <v>77</v>
      </c>
      <c r="I4709" s="26" t="s">
        <v>77</v>
      </c>
      <c r="J4709" s="26" t="s">
        <v>77</v>
      </c>
      <c r="K4709" s="18"/>
      <c r="L4709" s="26" t="s">
        <v>77</v>
      </c>
      <c r="M4709" s="6" t="s">
        <v>77</v>
      </c>
      <c r="N4709" s="28" t="s">
        <v>77</v>
      </c>
      <c r="O4709" s="26" t="s">
        <v>77</v>
      </c>
    </row>
    <row r="4710">
      <c r="A4710" s="52" t="s">
        <v>77</v>
      </c>
      <c r="B4710" s="28" t="s">
        <v>77</v>
      </c>
      <c r="C4710" s="28" t="s">
        <v>77</v>
      </c>
      <c r="D4710" s="28" t="s">
        <v>77</v>
      </c>
      <c r="E4710" s="28" t="s">
        <v>77</v>
      </c>
      <c r="F4710" s="28" t="s">
        <v>77</v>
      </c>
      <c r="G4710" s="28" t="s">
        <v>77</v>
      </c>
      <c r="I4710" s="26" t="s">
        <v>77</v>
      </c>
      <c r="J4710" s="26" t="s">
        <v>77</v>
      </c>
      <c r="K4710" s="18"/>
      <c r="L4710" s="26" t="s">
        <v>77</v>
      </c>
      <c r="M4710" s="6" t="s">
        <v>77</v>
      </c>
      <c r="N4710" s="28" t="s">
        <v>77</v>
      </c>
      <c r="O4710" s="26" t="s">
        <v>77</v>
      </c>
    </row>
    <row r="4711">
      <c r="A4711" s="52" t="s">
        <v>77</v>
      </c>
      <c r="B4711" s="28" t="s">
        <v>77</v>
      </c>
      <c r="C4711" s="28" t="s">
        <v>77</v>
      </c>
      <c r="D4711" s="28" t="s">
        <v>77</v>
      </c>
      <c r="E4711" s="28" t="s">
        <v>77</v>
      </c>
      <c r="F4711" s="28" t="s">
        <v>77</v>
      </c>
      <c r="G4711" s="28" t="s">
        <v>77</v>
      </c>
      <c r="I4711" s="26" t="s">
        <v>77</v>
      </c>
      <c r="J4711" s="26" t="s">
        <v>77</v>
      </c>
      <c r="K4711" s="18"/>
      <c r="L4711" s="26" t="s">
        <v>77</v>
      </c>
      <c r="M4711" s="6" t="s">
        <v>77</v>
      </c>
      <c r="N4711" s="28" t="s">
        <v>77</v>
      </c>
      <c r="O4711" s="26" t="s">
        <v>77</v>
      </c>
    </row>
    <row r="4712">
      <c r="A4712" s="52" t="s">
        <v>77</v>
      </c>
      <c r="B4712" s="28" t="s">
        <v>77</v>
      </c>
      <c r="C4712" s="28" t="s">
        <v>77</v>
      </c>
      <c r="D4712" s="28" t="s">
        <v>77</v>
      </c>
      <c r="E4712" s="28" t="s">
        <v>77</v>
      </c>
      <c r="F4712" s="28" t="s">
        <v>77</v>
      </c>
      <c r="G4712" s="28" t="s">
        <v>77</v>
      </c>
      <c r="I4712" s="26" t="s">
        <v>77</v>
      </c>
      <c r="J4712" s="26" t="s">
        <v>77</v>
      </c>
      <c r="K4712" s="18"/>
      <c r="L4712" s="26" t="s">
        <v>77</v>
      </c>
      <c r="M4712" s="6" t="s">
        <v>77</v>
      </c>
      <c r="N4712" s="28" t="s">
        <v>77</v>
      </c>
      <c r="O4712" s="26" t="s">
        <v>77</v>
      </c>
    </row>
    <row r="4713">
      <c r="A4713" s="52" t="s">
        <v>77</v>
      </c>
      <c r="B4713" s="28" t="s">
        <v>77</v>
      </c>
      <c r="C4713" s="28" t="s">
        <v>77</v>
      </c>
      <c r="D4713" s="28" t="s">
        <v>77</v>
      </c>
      <c r="E4713" s="28" t="s">
        <v>77</v>
      </c>
      <c r="F4713" s="28" t="s">
        <v>77</v>
      </c>
      <c r="G4713" s="28" t="s">
        <v>77</v>
      </c>
      <c r="I4713" s="26" t="s">
        <v>77</v>
      </c>
      <c r="J4713" s="26" t="s">
        <v>77</v>
      </c>
      <c r="K4713" s="18"/>
      <c r="L4713" s="26" t="s">
        <v>77</v>
      </c>
      <c r="M4713" s="6" t="s">
        <v>77</v>
      </c>
      <c r="N4713" s="28" t="s">
        <v>77</v>
      </c>
      <c r="O4713" s="26" t="s">
        <v>77</v>
      </c>
    </row>
    <row r="4714">
      <c r="A4714" s="52" t="s">
        <v>77</v>
      </c>
      <c r="B4714" s="28" t="s">
        <v>77</v>
      </c>
      <c r="C4714" s="28" t="s">
        <v>77</v>
      </c>
      <c r="D4714" s="28" t="s">
        <v>77</v>
      </c>
      <c r="E4714" s="28" t="s">
        <v>77</v>
      </c>
      <c r="F4714" s="28" t="s">
        <v>77</v>
      </c>
      <c r="G4714" s="28" t="s">
        <v>77</v>
      </c>
      <c r="I4714" s="26" t="s">
        <v>77</v>
      </c>
      <c r="J4714" s="26" t="s">
        <v>77</v>
      </c>
      <c r="K4714" s="18"/>
      <c r="L4714" s="26" t="s">
        <v>77</v>
      </c>
      <c r="M4714" s="6" t="s">
        <v>77</v>
      </c>
      <c r="N4714" s="28" t="s">
        <v>77</v>
      </c>
      <c r="O4714" s="26" t="s">
        <v>77</v>
      </c>
    </row>
    <row r="4715">
      <c r="A4715" s="52" t="s">
        <v>77</v>
      </c>
      <c r="B4715" s="28" t="s">
        <v>77</v>
      </c>
      <c r="C4715" s="28" t="s">
        <v>77</v>
      </c>
      <c r="D4715" s="28" t="s">
        <v>77</v>
      </c>
      <c r="E4715" s="28" t="s">
        <v>77</v>
      </c>
      <c r="F4715" s="28" t="s">
        <v>77</v>
      </c>
      <c r="G4715" s="28" t="s">
        <v>77</v>
      </c>
      <c r="I4715" s="26" t="s">
        <v>77</v>
      </c>
      <c r="J4715" s="26" t="s">
        <v>77</v>
      </c>
      <c r="K4715" s="18"/>
      <c r="L4715" s="26" t="s">
        <v>77</v>
      </c>
      <c r="M4715" s="6" t="s">
        <v>77</v>
      </c>
      <c r="N4715" s="28" t="s">
        <v>77</v>
      </c>
      <c r="O4715" s="26" t="s">
        <v>77</v>
      </c>
    </row>
    <row r="4716">
      <c r="A4716" s="52" t="s">
        <v>77</v>
      </c>
      <c r="B4716" s="28" t="s">
        <v>77</v>
      </c>
      <c r="C4716" s="28" t="s">
        <v>77</v>
      </c>
      <c r="D4716" s="28" t="s">
        <v>77</v>
      </c>
      <c r="E4716" s="28" t="s">
        <v>77</v>
      </c>
      <c r="F4716" s="28" t="s">
        <v>77</v>
      </c>
      <c r="G4716" s="28" t="s">
        <v>77</v>
      </c>
      <c r="I4716" s="26" t="s">
        <v>77</v>
      </c>
      <c r="J4716" s="26" t="s">
        <v>77</v>
      </c>
      <c r="K4716" s="18"/>
      <c r="L4716" s="26" t="s">
        <v>77</v>
      </c>
      <c r="M4716" s="6" t="s">
        <v>77</v>
      </c>
      <c r="N4716" s="28" t="s">
        <v>77</v>
      </c>
      <c r="O4716" s="26" t="s">
        <v>77</v>
      </c>
    </row>
    <row r="4717">
      <c r="A4717" s="52" t="s">
        <v>77</v>
      </c>
      <c r="B4717" s="28" t="s">
        <v>77</v>
      </c>
      <c r="C4717" s="28" t="s">
        <v>77</v>
      </c>
      <c r="D4717" s="28" t="s">
        <v>77</v>
      </c>
      <c r="E4717" s="28" t="s">
        <v>77</v>
      </c>
      <c r="F4717" s="28" t="s">
        <v>77</v>
      </c>
      <c r="G4717" s="28" t="s">
        <v>77</v>
      </c>
      <c r="I4717" s="26" t="s">
        <v>77</v>
      </c>
      <c r="J4717" s="26" t="s">
        <v>77</v>
      </c>
      <c r="K4717" s="18"/>
      <c r="L4717" s="26" t="s">
        <v>77</v>
      </c>
      <c r="M4717" s="6" t="s">
        <v>77</v>
      </c>
      <c r="N4717" s="28" t="s">
        <v>77</v>
      </c>
      <c r="O4717" s="26" t="s">
        <v>77</v>
      </c>
    </row>
    <row r="4718">
      <c r="A4718" s="52" t="s">
        <v>77</v>
      </c>
      <c r="B4718" s="28" t="s">
        <v>77</v>
      </c>
      <c r="C4718" s="28" t="s">
        <v>77</v>
      </c>
      <c r="D4718" s="28" t="s">
        <v>77</v>
      </c>
      <c r="E4718" s="28" t="s">
        <v>77</v>
      </c>
      <c r="F4718" s="28" t="s">
        <v>77</v>
      </c>
      <c r="G4718" s="28" t="s">
        <v>77</v>
      </c>
      <c r="I4718" s="26" t="s">
        <v>77</v>
      </c>
      <c r="J4718" s="26" t="s">
        <v>77</v>
      </c>
      <c r="K4718" s="18"/>
      <c r="L4718" s="26" t="s">
        <v>77</v>
      </c>
      <c r="M4718" s="6" t="s">
        <v>77</v>
      </c>
      <c r="N4718" s="28" t="s">
        <v>77</v>
      </c>
      <c r="O4718" s="26" t="s">
        <v>77</v>
      </c>
    </row>
    <row r="4719">
      <c r="A4719" s="52" t="s">
        <v>77</v>
      </c>
      <c r="B4719" s="28" t="s">
        <v>77</v>
      </c>
      <c r="C4719" s="28" t="s">
        <v>77</v>
      </c>
      <c r="D4719" s="28" t="s">
        <v>77</v>
      </c>
      <c r="E4719" s="28" t="s">
        <v>77</v>
      </c>
      <c r="F4719" s="28" t="s">
        <v>77</v>
      </c>
      <c r="G4719" s="28" t="s">
        <v>77</v>
      </c>
      <c r="I4719" s="26" t="s">
        <v>77</v>
      </c>
      <c r="J4719" s="26" t="s">
        <v>77</v>
      </c>
      <c r="K4719" s="18"/>
      <c r="L4719" s="26" t="s">
        <v>77</v>
      </c>
      <c r="M4719" s="6" t="s">
        <v>77</v>
      </c>
      <c r="N4719" s="28" t="s">
        <v>77</v>
      </c>
      <c r="O4719" s="26" t="s">
        <v>77</v>
      </c>
    </row>
    <row r="4720">
      <c r="A4720" s="52" t="s">
        <v>77</v>
      </c>
      <c r="B4720" s="28" t="s">
        <v>77</v>
      </c>
      <c r="C4720" s="28" t="s">
        <v>77</v>
      </c>
      <c r="D4720" s="28" t="s">
        <v>77</v>
      </c>
      <c r="E4720" s="28" t="s">
        <v>77</v>
      </c>
      <c r="F4720" s="28" t="s">
        <v>77</v>
      </c>
      <c r="G4720" s="28" t="s">
        <v>77</v>
      </c>
      <c r="I4720" s="26" t="s">
        <v>77</v>
      </c>
      <c r="J4720" s="26" t="s">
        <v>77</v>
      </c>
      <c r="K4720" s="18"/>
      <c r="L4720" s="26" t="s">
        <v>77</v>
      </c>
      <c r="M4720" s="6" t="s">
        <v>77</v>
      </c>
      <c r="N4720" s="28" t="s">
        <v>77</v>
      </c>
      <c r="O4720" s="26" t="s">
        <v>77</v>
      </c>
    </row>
    <row r="4721">
      <c r="A4721" s="52" t="s">
        <v>77</v>
      </c>
      <c r="B4721" s="28" t="s">
        <v>77</v>
      </c>
      <c r="C4721" s="28" t="s">
        <v>77</v>
      </c>
      <c r="D4721" s="28" t="s">
        <v>77</v>
      </c>
      <c r="E4721" s="28" t="s">
        <v>77</v>
      </c>
      <c r="F4721" s="28" t="s">
        <v>77</v>
      </c>
      <c r="G4721" s="28" t="s">
        <v>77</v>
      </c>
      <c r="I4721" s="26" t="s">
        <v>77</v>
      </c>
      <c r="J4721" s="26" t="s">
        <v>77</v>
      </c>
      <c r="K4721" s="18"/>
      <c r="L4721" s="26" t="s">
        <v>77</v>
      </c>
      <c r="M4721" s="6" t="s">
        <v>77</v>
      </c>
      <c r="N4721" s="28" t="s">
        <v>77</v>
      </c>
      <c r="O4721" s="26" t="s">
        <v>77</v>
      </c>
    </row>
    <row r="4722">
      <c r="A4722" s="52" t="s">
        <v>77</v>
      </c>
      <c r="B4722" s="28" t="s">
        <v>77</v>
      </c>
      <c r="C4722" s="28" t="s">
        <v>77</v>
      </c>
      <c r="D4722" s="28" t="s">
        <v>77</v>
      </c>
      <c r="E4722" s="28" t="s">
        <v>77</v>
      </c>
      <c r="F4722" s="28" t="s">
        <v>77</v>
      </c>
      <c r="G4722" s="28" t="s">
        <v>77</v>
      </c>
      <c r="I4722" s="26" t="s">
        <v>77</v>
      </c>
      <c r="J4722" s="26" t="s">
        <v>77</v>
      </c>
      <c r="K4722" s="18"/>
      <c r="L4722" s="26" t="s">
        <v>77</v>
      </c>
      <c r="M4722" s="6" t="s">
        <v>77</v>
      </c>
      <c r="N4722" s="28" t="s">
        <v>77</v>
      </c>
      <c r="O4722" s="26" t="s">
        <v>77</v>
      </c>
    </row>
    <row r="4723">
      <c r="A4723" s="52" t="s">
        <v>77</v>
      </c>
      <c r="B4723" s="28" t="s">
        <v>77</v>
      </c>
      <c r="C4723" s="28" t="s">
        <v>77</v>
      </c>
      <c r="D4723" s="28" t="s">
        <v>77</v>
      </c>
      <c r="E4723" s="28" t="s">
        <v>77</v>
      </c>
      <c r="F4723" s="28" t="s">
        <v>77</v>
      </c>
      <c r="G4723" s="28" t="s">
        <v>77</v>
      </c>
      <c r="I4723" s="26" t="s">
        <v>77</v>
      </c>
      <c r="J4723" s="26" t="s">
        <v>77</v>
      </c>
      <c r="K4723" s="18"/>
      <c r="L4723" s="26" t="s">
        <v>77</v>
      </c>
      <c r="M4723" s="6" t="s">
        <v>77</v>
      </c>
      <c r="N4723" s="28" t="s">
        <v>77</v>
      </c>
      <c r="O4723" s="26" t="s">
        <v>77</v>
      </c>
    </row>
    <row r="4724">
      <c r="A4724" s="52" t="s">
        <v>77</v>
      </c>
      <c r="B4724" s="28" t="s">
        <v>77</v>
      </c>
      <c r="C4724" s="28" t="s">
        <v>77</v>
      </c>
      <c r="D4724" s="28" t="s">
        <v>77</v>
      </c>
      <c r="E4724" s="28" t="s">
        <v>77</v>
      </c>
      <c r="F4724" s="28" t="s">
        <v>77</v>
      </c>
      <c r="G4724" s="28" t="s">
        <v>77</v>
      </c>
      <c r="I4724" s="26" t="s">
        <v>77</v>
      </c>
      <c r="J4724" s="26" t="s">
        <v>77</v>
      </c>
      <c r="K4724" s="18"/>
      <c r="L4724" s="26" t="s">
        <v>77</v>
      </c>
      <c r="M4724" s="6" t="s">
        <v>77</v>
      </c>
      <c r="N4724" s="28" t="s">
        <v>77</v>
      </c>
      <c r="O4724" s="26" t="s">
        <v>77</v>
      </c>
    </row>
    <row r="4725">
      <c r="A4725" s="52" t="s">
        <v>77</v>
      </c>
      <c r="B4725" s="28" t="s">
        <v>77</v>
      </c>
      <c r="C4725" s="28" t="s">
        <v>77</v>
      </c>
      <c r="D4725" s="28" t="s">
        <v>77</v>
      </c>
      <c r="E4725" s="28" t="s">
        <v>77</v>
      </c>
      <c r="F4725" s="28" t="s">
        <v>77</v>
      </c>
      <c r="G4725" s="28" t="s">
        <v>77</v>
      </c>
      <c r="I4725" s="26" t="s">
        <v>77</v>
      </c>
      <c r="J4725" s="26" t="s">
        <v>77</v>
      </c>
      <c r="K4725" s="18"/>
      <c r="L4725" s="26" t="s">
        <v>77</v>
      </c>
      <c r="M4725" s="6" t="s">
        <v>77</v>
      </c>
      <c r="N4725" s="28" t="s">
        <v>77</v>
      </c>
      <c r="O4725" s="26" t="s">
        <v>77</v>
      </c>
    </row>
    <row r="4726">
      <c r="A4726" s="52" t="s">
        <v>77</v>
      </c>
      <c r="B4726" s="28" t="s">
        <v>77</v>
      </c>
      <c r="C4726" s="28" t="s">
        <v>77</v>
      </c>
      <c r="D4726" s="28" t="s">
        <v>77</v>
      </c>
      <c r="E4726" s="28" t="s">
        <v>77</v>
      </c>
      <c r="F4726" s="28" t="s">
        <v>77</v>
      </c>
      <c r="G4726" s="28" t="s">
        <v>77</v>
      </c>
      <c r="I4726" s="26" t="s">
        <v>77</v>
      </c>
      <c r="J4726" s="26" t="s">
        <v>77</v>
      </c>
      <c r="K4726" s="18"/>
      <c r="L4726" s="26" t="s">
        <v>77</v>
      </c>
      <c r="M4726" s="6" t="s">
        <v>77</v>
      </c>
      <c r="N4726" s="28" t="s">
        <v>77</v>
      </c>
      <c r="O4726" s="26" t="s">
        <v>77</v>
      </c>
    </row>
    <row r="4727">
      <c r="A4727" s="52" t="s">
        <v>77</v>
      </c>
      <c r="B4727" s="28" t="s">
        <v>77</v>
      </c>
      <c r="C4727" s="28" t="s">
        <v>77</v>
      </c>
      <c r="D4727" s="28" t="s">
        <v>77</v>
      </c>
      <c r="E4727" s="28" t="s">
        <v>77</v>
      </c>
      <c r="F4727" s="28" t="s">
        <v>77</v>
      </c>
      <c r="G4727" s="28" t="s">
        <v>77</v>
      </c>
      <c r="I4727" s="26" t="s">
        <v>77</v>
      </c>
      <c r="J4727" s="26" t="s">
        <v>77</v>
      </c>
      <c r="K4727" s="18"/>
      <c r="L4727" s="26" t="s">
        <v>77</v>
      </c>
      <c r="M4727" s="6" t="s">
        <v>77</v>
      </c>
      <c r="N4727" s="28" t="s">
        <v>77</v>
      </c>
      <c r="O4727" s="26" t="s">
        <v>77</v>
      </c>
    </row>
    <row r="4728">
      <c r="A4728" s="52" t="s">
        <v>77</v>
      </c>
      <c r="B4728" s="28" t="s">
        <v>77</v>
      </c>
      <c r="C4728" s="28" t="s">
        <v>77</v>
      </c>
      <c r="D4728" s="28" t="s">
        <v>77</v>
      </c>
      <c r="E4728" s="28" t="s">
        <v>77</v>
      </c>
      <c r="F4728" s="28" t="s">
        <v>77</v>
      </c>
      <c r="G4728" s="28" t="s">
        <v>77</v>
      </c>
      <c r="I4728" s="26" t="s">
        <v>77</v>
      </c>
      <c r="J4728" s="26" t="s">
        <v>77</v>
      </c>
      <c r="K4728" s="18"/>
      <c r="L4728" s="26" t="s">
        <v>77</v>
      </c>
      <c r="M4728" s="6" t="s">
        <v>77</v>
      </c>
      <c r="N4728" s="28" t="s">
        <v>77</v>
      </c>
      <c r="O4728" s="26" t="s">
        <v>77</v>
      </c>
    </row>
    <row r="4729">
      <c r="A4729" s="52" t="s">
        <v>77</v>
      </c>
      <c r="B4729" s="28" t="s">
        <v>77</v>
      </c>
      <c r="C4729" s="28" t="s">
        <v>77</v>
      </c>
      <c r="D4729" s="28" t="s">
        <v>77</v>
      </c>
      <c r="E4729" s="28" t="s">
        <v>77</v>
      </c>
      <c r="F4729" s="28" t="s">
        <v>77</v>
      </c>
      <c r="G4729" s="28" t="s">
        <v>77</v>
      </c>
      <c r="I4729" s="26" t="s">
        <v>77</v>
      </c>
      <c r="J4729" s="26" t="s">
        <v>77</v>
      </c>
      <c r="K4729" s="18"/>
      <c r="L4729" s="26" t="s">
        <v>77</v>
      </c>
      <c r="M4729" s="6" t="s">
        <v>77</v>
      </c>
      <c r="N4729" s="28" t="s">
        <v>77</v>
      </c>
      <c r="O4729" s="26" t="s">
        <v>77</v>
      </c>
    </row>
    <row r="4730">
      <c r="A4730" s="52" t="s">
        <v>77</v>
      </c>
      <c r="B4730" s="28" t="s">
        <v>77</v>
      </c>
      <c r="C4730" s="28" t="s">
        <v>77</v>
      </c>
      <c r="D4730" s="28" t="s">
        <v>77</v>
      </c>
      <c r="E4730" s="28" t="s">
        <v>77</v>
      </c>
      <c r="F4730" s="28" t="s">
        <v>77</v>
      </c>
      <c r="G4730" s="28" t="s">
        <v>77</v>
      </c>
      <c r="I4730" s="26" t="s">
        <v>77</v>
      </c>
      <c r="J4730" s="26" t="s">
        <v>77</v>
      </c>
      <c r="K4730" s="18"/>
      <c r="L4730" s="26" t="s">
        <v>77</v>
      </c>
      <c r="M4730" s="6" t="s">
        <v>77</v>
      </c>
      <c r="N4730" s="28" t="s">
        <v>77</v>
      </c>
      <c r="O4730" s="26" t="s">
        <v>77</v>
      </c>
    </row>
    <row r="4731">
      <c r="A4731" s="52" t="s">
        <v>77</v>
      </c>
      <c r="B4731" s="28" t="s">
        <v>77</v>
      </c>
      <c r="C4731" s="28" t="s">
        <v>77</v>
      </c>
      <c r="D4731" s="28" t="s">
        <v>77</v>
      </c>
      <c r="E4731" s="28" t="s">
        <v>77</v>
      </c>
      <c r="F4731" s="28" t="s">
        <v>77</v>
      </c>
      <c r="G4731" s="28" t="s">
        <v>77</v>
      </c>
      <c r="I4731" s="26" t="s">
        <v>77</v>
      </c>
      <c r="J4731" s="26" t="s">
        <v>77</v>
      </c>
      <c r="K4731" s="18"/>
      <c r="L4731" s="26" t="s">
        <v>77</v>
      </c>
      <c r="M4731" s="6" t="s">
        <v>77</v>
      </c>
      <c r="N4731" s="28" t="s">
        <v>77</v>
      </c>
      <c r="O4731" s="26" t="s">
        <v>77</v>
      </c>
    </row>
    <row r="4732">
      <c r="A4732" s="52" t="s">
        <v>77</v>
      </c>
      <c r="B4732" s="28" t="s">
        <v>77</v>
      </c>
      <c r="C4732" s="28" t="s">
        <v>77</v>
      </c>
      <c r="D4732" s="28" t="s">
        <v>77</v>
      </c>
      <c r="E4732" s="28" t="s">
        <v>77</v>
      </c>
      <c r="F4732" s="28" t="s">
        <v>77</v>
      </c>
      <c r="G4732" s="28" t="s">
        <v>77</v>
      </c>
      <c r="I4732" s="26" t="s">
        <v>77</v>
      </c>
      <c r="J4732" s="26" t="s">
        <v>77</v>
      </c>
      <c r="K4732" s="18"/>
      <c r="L4732" s="26" t="s">
        <v>77</v>
      </c>
      <c r="M4732" s="6" t="s">
        <v>77</v>
      </c>
      <c r="N4732" s="28" t="s">
        <v>77</v>
      </c>
      <c r="O4732" s="26" t="s">
        <v>77</v>
      </c>
    </row>
    <row r="4733">
      <c r="A4733" s="52" t="s">
        <v>77</v>
      </c>
      <c r="B4733" s="28" t="s">
        <v>77</v>
      </c>
      <c r="C4733" s="28" t="s">
        <v>77</v>
      </c>
      <c r="D4733" s="28" t="s">
        <v>77</v>
      </c>
      <c r="E4733" s="28" t="s">
        <v>77</v>
      </c>
      <c r="F4733" s="28" t="s">
        <v>77</v>
      </c>
      <c r="G4733" s="28" t="s">
        <v>77</v>
      </c>
      <c r="I4733" s="26" t="s">
        <v>77</v>
      </c>
      <c r="J4733" s="26" t="s">
        <v>77</v>
      </c>
      <c r="K4733" s="18"/>
      <c r="L4733" s="26" t="s">
        <v>77</v>
      </c>
      <c r="M4733" s="6" t="s">
        <v>77</v>
      </c>
      <c r="N4733" s="28" t="s">
        <v>77</v>
      </c>
      <c r="O4733" s="26" t="s">
        <v>77</v>
      </c>
    </row>
    <row r="4734">
      <c r="A4734" s="52" t="s">
        <v>77</v>
      </c>
      <c r="B4734" s="28" t="s">
        <v>77</v>
      </c>
      <c r="C4734" s="28" t="s">
        <v>77</v>
      </c>
      <c r="D4734" s="28" t="s">
        <v>77</v>
      </c>
      <c r="E4734" s="28" t="s">
        <v>77</v>
      </c>
      <c r="F4734" s="28" t="s">
        <v>77</v>
      </c>
      <c r="G4734" s="28" t="s">
        <v>77</v>
      </c>
      <c r="I4734" s="26" t="s">
        <v>77</v>
      </c>
      <c r="J4734" s="26" t="s">
        <v>77</v>
      </c>
      <c r="K4734" s="18"/>
      <c r="L4734" s="26" t="s">
        <v>77</v>
      </c>
      <c r="M4734" s="6" t="s">
        <v>77</v>
      </c>
      <c r="N4734" s="28" t="s">
        <v>77</v>
      </c>
      <c r="O4734" s="26" t="s">
        <v>77</v>
      </c>
    </row>
    <row r="4735">
      <c r="A4735" s="52" t="s">
        <v>77</v>
      </c>
      <c r="B4735" s="28" t="s">
        <v>77</v>
      </c>
      <c r="C4735" s="28" t="s">
        <v>77</v>
      </c>
      <c r="D4735" s="28" t="s">
        <v>77</v>
      </c>
      <c r="E4735" s="28" t="s">
        <v>77</v>
      </c>
      <c r="F4735" s="28" t="s">
        <v>77</v>
      </c>
      <c r="G4735" s="28" t="s">
        <v>77</v>
      </c>
      <c r="I4735" s="26" t="s">
        <v>77</v>
      </c>
      <c r="J4735" s="26" t="s">
        <v>77</v>
      </c>
      <c r="K4735" s="18"/>
      <c r="L4735" s="26" t="s">
        <v>77</v>
      </c>
      <c r="M4735" s="6" t="s">
        <v>77</v>
      </c>
      <c r="N4735" s="28" t="s">
        <v>77</v>
      </c>
      <c r="O4735" s="26" t="s">
        <v>77</v>
      </c>
    </row>
    <row r="4736">
      <c r="A4736" s="52" t="s">
        <v>77</v>
      </c>
      <c r="B4736" s="28" t="s">
        <v>77</v>
      </c>
      <c r="C4736" s="28" t="s">
        <v>77</v>
      </c>
      <c r="D4736" s="28" t="s">
        <v>77</v>
      </c>
      <c r="E4736" s="28" t="s">
        <v>77</v>
      </c>
      <c r="F4736" s="28" t="s">
        <v>77</v>
      </c>
      <c r="G4736" s="28" t="s">
        <v>77</v>
      </c>
      <c r="I4736" s="26" t="s">
        <v>77</v>
      </c>
      <c r="J4736" s="26" t="s">
        <v>77</v>
      </c>
      <c r="K4736" s="18"/>
      <c r="L4736" s="26" t="s">
        <v>77</v>
      </c>
      <c r="M4736" s="6" t="s">
        <v>77</v>
      </c>
      <c r="N4736" s="28" t="s">
        <v>77</v>
      </c>
      <c r="O4736" s="26" t="s">
        <v>77</v>
      </c>
    </row>
    <row r="4737">
      <c r="A4737" s="52" t="s">
        <v>77</v>
      </c>
      <c r="B4737" s="28" t="s">
        <v>77</v>
      </c>
      <c r="C4737" s="28" t="s">
        <v>77</v>
      </c>
      <c r="D4737" s="28" t="s">
        <v>77</v>
      </c>
      <c r="E4737" s="28" t="s">
        <v>77</v>
      </c>
      <c r="F4737" s="28" t="s">
        <v>77</v>
      </c>
      <c r="G4737" s="28" t="s">
        <v>77</v>
      </c>
      <c r="I4737" s="26" t="s">
        <v>77</v>
      </c>
      <c r="J4737" s="26" t="s">
        <v>77</v>
      </c>
      <c r="K4737" s="18"/>
      <c r="L4737" s="26" t="s">
        <v>77</v>
      </c>
      <c r="M4737" s="6" t="s">
        <v>77</v>
      </c>
      <c r="N4737" s="28" t="s">
        <v>77</v>
      </c>
      <c r="O4737" s="26" t="s">
        <v>77</v>
      </c>
    </row>
    <row r="4738">
      <c r="A4738" s="52" t="s">
        <v>77</v>
      </c>
      <c r="B4738" s="28" t="s">
        <v>77</v>
      </c>
      <c r="C4738" s="28" t="s">
        <v>77</v>
      </c>
      <c r="D4738" s="28" t="s">
        <v>77</v>
      </c>
      <c r="E4738" s="28" t="s">
        <v>77</v>
      </c>
      <c r="F4738" s="28" t="s">
        <v>77</v>
      </c>
      <c r="G4738" s="28" t="s">
        <v>77</v>
      </c>
      <c r="I4738" s="26" t="s">
        <v>77</v>
      </c>
      <c r="J4738" s="26" t="s">
        <v>77</v>
      </c>
      <c r="K4738" s="18"/>
      <c r="L4738" s="26" t="s">
        <v>77</v>
      </c>
      <c r="M4738" s="6" t="s">
        <v>77</v>
      </c>
      <c r="N4738" s="28" t="s">
        <v>77</v>
      </c>
      <c r="O4738" s="26" t="s">
        <v>77</v>
      </c>
    </row>
    <row r="4739">
      <c r="A4739" s="52" t="s">
        <v>77</v>
      </c>
      <c r="B4739" s="28" t="s">
        <v>77</v>
      </c>
      <c r="C4739" s="28" t="s">
        <v>77</v>
      </c>
      <c r="D4739" s="28" t="s">
        <v>77</v>
      </c>
      <c r="E4739" s="28" t="s">
        <v>77</v>
      </c>
      <c r="F4739" s="28" t="s">
        <v>77</v>
      </c>
      <c r="G4739" s="28" t="s">
        <v>77</v>
      </c>
      <c r="I4739" s="26" t="s">
        <v>77</v>
      </c>
      <c r="J4739" s="26" t="s">
        <v>77</v>
      </c>
      <c r="K4739" s="18"/>
      <c r="L4739" s="26" t="s">
        <v>77</v>
      </c>
      <c r="M4739" s="6" t="s">
        <v>77</v>
      </c>
      <c r="N4739" s="28" t="s">
        <v>77</v>
      </c>
      <c r="O4739" s="26" t="s">
        <v>77</v>
      </c>
    </row>
    <row r="4740">
      <c r="A4740" s="52" t="s">
        <v>77</v>
      </c>
      <c r="B4740" s="28" t="s">
        <v>77</v>
      </c>
      <c r="C4740" s="28" t="s">
        <v>77</v>
      </c>
      <c r="D4740" s="28" t="s">
        <v>77</v>
      </c>
      <c r="E4740" s="28" t="s">
        <v>77</v>
      </c>
      <c r="F4740" s="28" t="s">
        <v>77</v>
      </c>
      <c r="G4740" s="28" t="s">
        <v>77</v>
      </c>
      <c r="I4740" s="26" t="s">
        <v>77</v>
      </c>
      <c r="J4740" s="26" t="s">
        <v>77</v>
      </c>
      <c r="K4740" s="18"/>
      <c r="L4740" s="26" t="s">
        <v>77</v>
      </c>
      <c r="M4740" s="6" t="s">
        <v>77</v>
      </c>
      <c r="N4740" s="28" t="s">
        <v>77</v>
      </c>
      <c r="O4740" s="26" t="s">
        <v>77</v>
      </c>
    </row>
    <row r="4741">
      <c r="A4741" s="52" t="s">
        <v>77</v>
      </c>
      <c r="B4741" s="28" t="s">
        <v>77</v>
      </c>
      <c r="C4741" s="28" t="s">
        <v>77</v>
      </c>
      <c r="D4741" s="28" t="s">
        <v>77</v>
      </c>
      <c r="E4741" s="28" t="s">
        <v>77</v>
      </c>
      <c r="F4741" s="28" t="s">
        <v>77</v>
      </c>
      <c r="G4741" s="28" t="s">
        <v>77</v>
      </c>
      <c r="I4741" s="26" t="s">
        <v>77</v>
      </c>
      <c r="J4741" s="26" t="s">
        <v>77</v>
      </c>
      <c r="K4741" s="18"/>
      <c r="L4741" s="26" t="s">
        <v>77</v>
      </c>
      <c r="M4741" s="6" t="s">
        <v>77</v>
      </c>
      <c r="N4741" s="28" t="s">
        <v>77</v>
      </c>
      <c r="O4741" s="26" t="s">
        <v>77</v>
      </c>
    </row>
    <row r="4742">
      <c r="A4742" s="52" t="s">
        <v>77</v>
      </c>
      <c r="B4742" s="28" t="s">
        <v>77</v>
      </c>
      <c r="C4742" s="28" t="s">
        <v>77</v>
      </c>
      <c r="D4742" s="28" t="s">
        <v>77</v>
      </c>
      <c r="E4742" s="28" t="s">
        <v>77</v>
      </c>
      <c r="F4742" s="28" t="s">
        <v>77</v>
      </c>
      <c r="G4742" s="28" t="s">
        <v>77</v>
      </c>
      <c r="I4742" s="26" t="s">
        <v>77</v>
      </c>
      <c r="J4742" s="26" t="s">
        <v>77</v>
      </c>
      <c r="K4742" s="18"/>
      <c r="L4742" s="26" t="s">
        <v>77</v>
      </c>
      <c r="M4742" s="6" t="s">
        <v>77</v>
      </c>
      <c r="N4742" s="28" t="s">
        <v>77</v>
      </c>
      <c r="O4742" s="26" t="s">
        <v>77</v>
      </c>
    </row>
    <row r="4743">
      <c r="A4743" s="52" t="s">
        <v>77</v>
      </c>
      <c r="B4743" s="28" t="s">
        <v>77</v>
      </c>
      <c r="C4743" s="28" t="s">
        <v>77</v>
      </c>
      <c r="D4743" s="28" t="s">
        <v>77</v>
      </c>
      <c r="E4743" s="28" t="s">
        <v>77</v>
      </c>
      <c r="F4743" s="28" t="s">
        <v>77</v>
      </c>
      <c r="G4743" s="28" t="s">
        <v>77</v>
      </c>
      <c r="I4743" s="26" t="s">
        <v>77</v>
      </c>
      <c r="J4743" s="26" t="s">
        <v>77</v>
      </c>
      <c r="K4743" s="18"/>
      <c r="L4743" s="26" t="s">
        <v>77</v>
      </c>
      <c r="M4743" s="6" t="s">
        <v>77</v>
      </c>
      <c r="N4743" s="28" t="s">
        <v>77</v>
      </c>
      <c r="O4743" s="26" t="s">
        <v>77</v>
      </c>
    </row>
    <row r="4744">
      <c r="A4744" s="52" t="s">
        <v>77</v>
      </c>
      <c r="B4744" s="28" t="s">
        <v>77</v>
      </c>
      <c r="C4744" s="28" t="s">
        <v>77</v>
      </c>
      <c r="D4744" s="28" t="s">
        <v>77</v>
      </c>
      <c r="E4744" s="28" t="s">
        <v>77</v>
      </c>
      <c r="F4744" s="28" t="s">
        <v>77</v>
      </c>
      <c r="G4744" s="28" t="s">
        <v>77</v>
      </c>
      <c r="I4744" s="26" t="s">
        <v>77</v>
      </c>
      <c r="J4744" s="26" t="s">
        <v>77</v>
      </c>
      <c r="K4744" s="18"/>
      <c r="L4744" s="26" t="s">
        <v>77</v>
      </c>
      <c r="M4744" s="6" t="s">
        <v>77</v>
      </c>
      <c r="N4744" s="28" t="s">
        <v>77</v>
      </c>
      <c r="O4744" s="26" t="s">
        <v>77</v>
      </c>
    </row>
    <row r="4745">
      <c r="A4745" s="52" t="s">
        <v>77</v>
      </c>
      <c r="B4745" s="28" t="s">
        <v>77</v>
      </c>
      <c r="C4745" s="28" t="s">
        <v>77</v>
      </c>
      <c r="D4745" s="28" t="s">
        <v>77</v>
      </c>
      <c r="E4745" s="28" t="s">
        <v>77</v>
      </c>
      <c r="F4745" s="28" t="s">
        <v>77</v>
      </c>
      <c r="G4745" s="28" t="s">
        <v>77</v>
      </c>
      <c r="I4745" s="26" t="s">
        <v>77</v>
      </c>
      <c r="J4745" s="26" t="s">
        <v>77</v>
      </c>
      <c r="K4745" s="18"/>
      <c r="L4745" s="26" t="s">
        <v>77</v>
      </c>
      <c r="M4745" s="6" t="s">
        <v>77</v>
      </c>
      <c r="N4745" s="28" t="s">
        <v>77</v>
      </c>
      <c r="O4745" s="26" t="s">
        <v>77</v>
      </c>
    </row>
    <row r="4746">
      <c r="A4746" s="52" t="s">
        <v>77</v>
      </c>
      <c r="B4746" s="28" t="s">
        <v>77</v>
      </c>
      <c r="C4746" s="28" t="s">
        <v>77</v>
      </c>
      <c r="D4746" s="28" t="s">
        <v>77</v>
      </c>
      <c r="E4746" s="28" t="s">
        <v>77</v>
      </c>
      <c r="F4746" s="28" t="s">
        <v>77</v>
      </c>
      <c r="G4746" s="28" t="s">
        <v>77</v>
      </c>
      <c r="I4746" s="26" t="s">
        <v>77</v>
      </c>
      <c r="J4746" s="26" t="s">
        <v>77</v>
      </c>
      <c r="K4746" s="18"/>
      <c r="L4746" s="26" t="s">
        <v>77</v>
      </c>
      <c r="M4746" s="6" t="s">
        <v>77</v>
      </c>
      <c r="N4746" s="28" t="s">
        <v>77</v>
      </c>
      <c r="O4746" s="26" t="s">
        <v>77</v>
      </c>
    </row>
    <row r="4747">
      <c r="A4747" s="52" t="s">
        <v>77</v>
      </c>
      <c r="B4747" s="28" t="s">
        <v>77</v>
      </c>
      <c r="C4747" s="28" t="s">
        <v>77</v>
      </c>
      <c r="D4747" s="28" t="s">
        <v>77</v>
      </c>
      <c r="E4747" s="28" t="s">
        <v>77</v>
      </c>
      <c r="F4747" s="28" t="s">
        <v>77</v>
      </c>
      <c r="G4747" s="28" t="s">
        <v>77</v>
      </c>
      <c r="I4747" s="26" t="s">
        <v>77</v>
      </c>
      <c r="J4747" s="26" t="s">
        <v>77</v>
      </c>
      <c r="K4747" s="18"/>
      <c r="L4747" s="26" t="s">
        <v>77</v>
      </c>
      <c r="M4747" s="6" t="s">
        <v>77</v>
      </c>
      <c r="N4747" s="28" t="s">
        <v>77</v>
      </c>
      <c r="O4747" s="26" t="s">
        <v>77</v>
      </c>
    </row>
    <row r="4748">
      <c r="A4748" s="52" t="s">
        <v>77</v>
      </c>
      <c r="B4748" s="28" t="s">
        <v>77</v>
      </c>
      <c r="C4748" s="28" t="s">
        <v>77</v>
      </c>
      <c r="D4748" s="28" t="s">
        <v>77</v>
      </c>
      <c r="E4748" s="28" t="s">
        <v>77</v>
      </c>
      <c r="F4748" s="28" t="s">
        <v>77</v>
      </c>
      <c r="G4748" s="28" t="s">
        <v>77</v>
      </c>
      <c r="I4748" s="26" t="s">
        <v>77</v>
      </c>
      <c r="J4748" s="26" t="s">
        <v>77</v>
      </c>
      <c r="K4748" s="18"/>
      <c r="L4748" s="26" t="s">
        <v>77</v>
      </c>
      <c r="M4748" s="6" t="s">
        <v>77</v>
      </c>
      <c r="N4748" s="28" t="s">
        <v>77</v>
      </c>
      <c r="O4748" s="26" t="s">
        <v>77</v>
      </c>
    </row>
    <row r="4749">
      <c r="A4749" s="52" t="s">
        <v>77</v>
      </c>
      <c r="B4749" s="28" t="s">
        <v>77</v>
      </c>
      <c r="C4749" s="28" t="s">
        <v>77</v>
      </c>
      <c r="D4749" s="28" t="s">
        <v>77</v>
      </c>
      <c r="E4749" s="28" t="s">
        <v>77</v>
      </c>
      <c r="F4749" s="28" t="s">
        <v>77</v>
      </c>
      <c r="G4749" s="28" t="s">
        <v>77</v>
      </c>
      <c r="I4749" s="26" t="s">
        <v>77</v>
      </c>
      <c r="J4749" s="26" t="s">
        <v>77</v>
      </c>
      <c r="K4749" s="18"/>
      <c r="L4749" s="26" t="s">
        <v>77</v>
      </c>
      <c r="M4749" s="6" t="s">
        <v>77</v>
      </c>
      <c r="N4749" s="28" t="s">
        <v>77</v>
      </c>
      <c r="O4749" s="26" t="s">
        <v>77</v>
      </c>
    </row>
    <row r="4750">
      <c r="A4750" s="52" t="s">
        <v>77</v>
      </c>
      <c r="B4750" s="28" t="s">
        <v>77</v>
      </c>
      <c r="C4750" s="28" t="s">
        <v>77</v>
      </c>
      <c r="D4750" s="28" t="s">
        <v>77</v>
      </c>
      <c r="E4750" s="28" t="s">
        <v>77</v>
      </c>
      <c r="F4750" s="28" t="s">
        <v>77</v>
      </c>
      <c r="G4750" s="28" t="s">
        <v>77</v>
      </c>
      <c r="I4750" s="26" t="s">
        <v>77</v>
      </c>
      <c r="J4750" s="26" t="s">
        <v>77</v>
      </c>
      <c r="K4750" s="18"/>
      <c r="L4750" s="26" t="s">
        <v>77</v>
      </c>
      <c r="M4750" s="6" t="s">
        <v>77</v>
      </c>
      <c r="N4750" s="28" t="s">
        <v>77</v>
      </c>
      <c r="O4750" s="26" t="s">
        <v>77</v>
      </c>
    </row>
    <row r="4751">
      <c r="A4751" s="52" t="s">
        <v>77</v>
      </c>
      <c r="B4751" s="28" t="s">
        <v>77</v>
      </c>
      <c r="C4751" s="28" t="s">
        <v>77</v>
      </c>
      <c r="D4751" s="28" t="s">
        <v>77</v>
      </c>
      <c r="E4751" s="28" t="s">
        <v>77</v>
      </c>
      <c r="F4751" s="28" t="s">
        <v>77</v>
      </c>
      <c r="G4751" s="28" t="s">
        <v>77</v>
      </c>
      <c r="I4751" s="26" t="s">
        <v>77</v>
      </c>
      <c r="J4751" s="26" t="s">
        <v>77</v>
      </c>
      <c r="K4751" s="18"/>
      <c r="L4751" s="26" t="s">
        <v>77</v>
      </c>
      <c r="M4751" s="6" t="s">
        <v>77</v>
      </c>
      <c r="N4751" s="28" t="s">
        <v>77</v>
      </c>
      <c r="O4751" s="26" t="s">
        <v>77</v>
      </c>
    </row>
    <row r="4752">
      <c r="A4752" s="52" t="s">
        <v>77</v>
      </c>
      <c r="B4752" s="28" t="s">
        <v>77</v>
      </c>
      <c r="C4752" s="28" t="s">
        <v>77</v>
      </c>
      <c r="D4752" s="28" t="s">
        <v>77</v>
      </c>
      <c r="E4752" s="28" t="s">
        <v>77</v>
      </c>
      <c r="F4752" s="28" t="s">
        <v>77</v>
      </c>
      <c r="G4752" s="28" t="s">
        <v>77</v>
      </c>
      <c r="I4752" s="26" t="s">
        <v>77</v>
      </c>
      <c r="J4752" s="26" t="s">
        <v>77</v>
      </c>
      <c r="K4752" s="18"/>
      <c r="L4752" s="26" t="s">
        <v>77</v>
      </c>
      <c r="M4752" s="6" t="s">
        <v>77</v>
      </c>
      <c r="N4752" s="28" t="s">
        <v>77</v>
      </c>
      <c r="O4752" s="26" t="s">
        <v>77</v>
      </c>
    </row>
    <row r="4753">
      <c r="A4753" s="52" t="s">
        <v>77</v>
      </c>
      <c r="B4753" s="28" t="s">
        <v>77</v>
      </c>
      <c r="C4753" s="28" t="s">
        <v>77</v>
      </c>
      <c r="D4753" s="28" t="s">
        <v>77</v>
      </c>
      <c r="E4753" s="28" t="s">
        <v>77</v>
      </c>
      <c r="F4753" s="28" t="s">
        <v>77</v>
      </c>
      <c r="G4753" s="28" t="s">
        <v>77</v>
      </c>
      <c r="I4753" s="26" t="s">
        <v>77</v>
      </c>
      <c r="J4753" s="26" t="s">
        <v>77</v>
      </c>
      <c r="K4753" s="18"/>
      <c r="L4753" s="26" t="s">
        <v>77</v>
      </c>
      <c r="M4753" s="6" t="s">
        <v>77</v>
      </c>
      <c r="N4753" s="28" t="s">
        <v>77</v>
      </c>
      <c r="O4753" s="26" t="s">
        <v>77</v>
      </c>
    </row>
    <row r="4754">
      <c r="A4754" s="52" t="s">
        <v>77</v>
      </c>
      <c r="B4754" s="28" t="s">
        <v>77</v>
      </c>
      <c r="C4754" s="28" t="s">
        <v>77</v>
      </c>
      <c r="D4754" s="28" t="s">
        <v>77</v>
      </c>
      <c r="E4754" s="28" t="s">
        <v>77</v>
      </c>
      <c r="F4754" s="28" t="s">
        <v>77</v>
      </c>
      <c r="G4754" s="28" t="s">
        <v>77</v>
      </c>
      <c r="I4754" s="26" t="s">
        <v>77</v>
      </c>
      <c r="J4754" s="26" t="s">
        <v>77</v>
      </c>
      <c r="K4754" s="18"/>
      <c r="L4754" s="26" t="s">
        <v>77</v>
      </c>
      <c r="M4754" s="6" t="s">
        <v>77</v>
      </c>
      <c r="N4754" s="28" t="s">
        <v>77</v>
      </c>
      <c r="O4754" s="26" t="s">
        <v>77</v>
      </c>
    </row>
    <row r="4755">
      <c r="A4755" s="52" t="s">
        <v>77</v>
      </c>
      <c r="B4755" s="28" t="s">
        <v>77</v>
      </c>
      <c r="C4755" s="28" t="s">
        <v>77</v>
      </c>
      <c r="D4755" s="28" t="s">
        <v>77</v>
      </c>
      <c r="E4755" s="28" t="s">
        <v>77</v>
      </c>
      <c r="F4755" s="28" t="s">
        <v>77</v>
      </c>
      <c r="G4755" s="28" t="s">
        <v>77</v>
      </c>
      <c r="I4755" s="26" t="s">
        <v>77</v>
      </c>
      <c r="J4755" s="26" t="s">
        <v>77</v>
      </c>
      <c r="K4755" s="18"/>
      <c r="L4755" s="26" t="s">
        <v>77</v>
      </c>
      <c r="M4755" s="6" t="s">
        <v>77</v>
      </c>
      <c r="N4755" s="28" t="s">
        <v>77</v>
      </c>
      <c r="O4755" s="26" t="s">
        <v>77</v>
      </c>
    </row>
    <row r="4756">
      <c r="A4756" s="52" t="s">
        <v>77</v>
      </c>
      <c r="B4756" s="28" t="s">
        <v>77</v>
      </c>
      <c r="C4756" s="28" t="s">
        <v>77</v>
      </c>
      <c r="D4756" s="28" t="s">
        <v>77</v>
      </c>
      <c r="E4756" s="28" t="s">
        <v>77</v>
      </c>
      <c r="F4756" s="28" t="s">
        <v>77</v>
      </c>
      <c r="G4756" s="28" t="s">
        <v>77</v>
      </c>
      <c r="I4756" s="26" t="s">
        <v>77</v>
      </c>
      <c r="J4756" s="26" t="s">
        <v>77</v>
      </c>
      <c r="K4756" s="18"/>
      <c r="L4756" s="26" t="s">
        <v>77</v>
      </c>
      <c r="M4756" s="6" t="s">
        <v>77</v>
      </c>
      <c r="N4756" s="28" t="s">
        <v>77</v>
      </c>
      <c r="O4756" s="26" t="s">
        <v>77</v>
      </c>
    </row>
    <row r="4757">
      <c r="A4757" s="52" t="s">
        <v>77</v>
      </c>
      <c r="B4757" s="28" t="s">
        <v>77</v>
      </c>
      <c r="C4757" s="28" t="s">
        <v>77</v>
      </c>
      <c r="D4757" s="28" t="s">
        <v>77</v>
      </c>
      <c r="E4757" s="28" t="s">
        <v>77</v>
      </c>
      <c r="F4757" s="28" t="s">
        <v>77</v>
      </c>
      <c r="G4757" s="28" t="s">
        <v>77</v>
      </c>
      <c r="I4757" s="26" t="s">
        <v>77</v>
      </c>
      <c r="J4757" s="26" t="s">
        <v>77</v>
      </c>
      <c r="K4757" s="18"/>
      <c r="L4757" s="26" t="s">
        <v>77</v>
      </c>
      <c r="M4757" s="6" t="s">
        <v>77</v>
      </c>
      <c r="N4757" s="28" t="s">
        <v>77</v>
      </c>
      <c r="O4757" s="26" t="s">
        <v>77</v>
      </c>
    </row>
    <row r="4758">
      <c r="A4758" s="52" t="s">
        <v>77</v>
      </c>
      <c r="B4758" s="28" t="s">
        <v>77</v>
      </c>
      <c r="C4758" s="28" t="s">
        <v>77</v>
      </c>
      <c r="D4758" s="28" t="s">
        <v>77</v>
      </c>
      <c r="E4758" s="28" t="s">
        <v>77</v>
      </c>
      <c r="F4758" s="28" t="s">
        <v>77</v>
      </c>
      <c r="G4758" s="28" t="s">
        <v>77</v>
      </c>
      <c r="I4758" s="26" t="s">
        <v>77</v>
      </c>
      <c r="J4758" s="26" t="s">
        <v>77</v>
      </c>
      <c r="K4758" s="18"/>
      <c r="L4758" s="26" t="s">
        <v>77</v>
      </c>
      <c r="M4758" s="6" t="s">
        <v>77</v>
      </c>
      <c r="N4758" s="28" t="s">
        <v>77</v>
      </c>
      <c r="O4758" s="26" t="s">
        <v>77</v>
      </c>
    </row>
    <row r="4759">
      <c r="A4759" s="52" t="s">
        <v>77</v>
      </c>
      <c r="B4759" s="28" t="s">
        <v>77</v>
      </c>
      <c r="C4759" s="28" t="s">
        <v>77</v>
      </c>
      <c r="D4759" s="28" t="s">
        <v>77</v>
      </c>
      <c r="E4759" s="28" t="s">
        <v>77</v>
      </c>
      <c r="F4759" s="28" t="s">
        <v>77</v>
      </c>
      <c r="G4759" s="28" t="s">
        <v>77</v>
      </c>
      <c r="I4759" s="26" t="s">
        <v>77</v>
      </c>
      <c r="J4759" s="26" t="s">
        <v>77</v>
      </c>
      <c r="K4759" s="18"/>
      <c r="L4759" s="26" t="s">
        <v>77</v>
      </c>
      <c r="M4759" s="6" t="s">
        <v>77</v>
      </c>
      <c r="N4759" s="28" t="s">
        <v>77</v>
      </c>
      <c r="O4759" s="26" t="s">
        <v>77</v>
      </c>
    </row>
    <row r="4760">
      <c r="A4760" s="52" t="s">
        <v>77</v>
      </c>
      <c r="B4760" s="28" t="s">
        <v>77</v>
      </c>
      <c r="C4760" s="28" t="s">
        <v>77</v>
      </c>
      <c r="D4760" s="28" t="s">
        <v>77</v>
      </c>
      <c r="E4760" s="28" t="s">
        <v>77</v>
      </c>
      <c r="F4760" s="28" t="s">
        <v>77</v>
      </c>
      <c r="G4760" s="28" t="s">
        <v>77</v>
      </c>
      <c r="I4760" s="26" t="s">
        <v>77</v>
      </c>
      <c r="J4760" s="26" t="s">
        <v>77</v>
      </c>
      <c r="K4760" s="18"/>
      <c r="L4760" s="26" t="s">
        <v>77</v>
      </c>
      <c r="M4760" s="6" t="s">
        <v>77</v>
      </c>
      <c r="N4760" s="28" t="s">
        <v>77</v>
      </c>
      <c r="O4760" s="26" t="s">
        <v>77</v>
      </c>
    </row>
    <row r="4761">
      <c r="A4761" s="52" t="s">
        <v>77</v>
      </c>
      <c r="B4761" s="28" t="s">
        <v>77</v>
      </c>
      <c r="C4761" s="28" t="s">
        <v>77</v>
      </c>
      <c r="D4761" s="28" t="s">
        <v>77</v>
      </c>
      <c r="E4761" s="28" t="s">
        <v>77</v>
      </c>
      <c r="F4761" s="28" t="s">
        <v>77</v>
      </c>
      <c r="G4761" s="28" t="s">
        <v>77</v>
      </c>
      <c r="I4761" s="26" t="s">
        <v>77</v>
      </c>
      <c r="J4761" s="26" t="s">
        <v>77</v>
      </c>
      <c r="K4761" s="18"/>
      <c r="L4761" s="26" t="s">
        <v>77</v>
      </c>
      <c r="M4761" s="6" t="s">
        <v>77</v>
      </c>
      <c r="N4761" s="28" t="s">
        <v>77</v>
      </c>
      <c r="O4761" s="26" t="s">
        <v>77</v>
      </c>
    </row>
    <row r="4762">
      <c r="A4762" s="52" t="s">
        <v>77</v>
      </c>
      <c r="B4762" s="28" t="s">
        <v>77</v>
      </c>
      <c r="C4762" s="28" t="s">
        <v>77</v>
      </c>
      <c r="D4762" s="28" t="s">
        <v>77</v>
      </c>
      <c r="E4762" s="28" t="s">
        <v>77</v>
      </c>
      <c r="F4762" s="28" t="s">
        <v>77</v>
      </c>
      <c r="G4762" s="28" t="s">
        <v>77</v>
      </c>
      <c r="I4762" s="26" t="s">
        <v>77</v>
      </c>
      <c r="J4762" s="26" t="s">
        <v>77</v>
      </c>
      <c r="K4762" s="18"/>
      <c r="L4762" s="26" t="s">
        <v>77</v>
      </c>
      <c r="M4762" s="6" t="s">
        <v>77</v>
      </c>
      <c r="N4762" s="28" t="s">
        <v>77</v>
      </c>
      <c r="O4762" s="26" t="s">
        <v>77</v>
      </c>
    </row>
    <row r="4763">
      <c r="A4763" s="52" t="s">
        <v>77</v>
      </c>
      <c r="B4763" s="28" t="s">
        <v>77</v>
      </c>
      <c r="C4763" s="28" t="s">
        <v>77</v>
      </c>
      <c r="D4763" s="28" t="s">
        <v>77</v>
      </c>
      <c r="E4763" s="28" t="s">
        <v>77</v>
      </c>
      <c r="F4763" s="28" t="s">
        <v>77</v>
      </c>
      <c r="G4763" s="28" t="s">
        <v>77</v>
      </c>
      <c r="I4763" s="26" t="s">
        <v>77</v>
      </c>
      <c r="J4763" s="26" t="s">
        <v>77</v>
      </c>
      <c r="K4763" s="18"/>
      <c r="L4763" s="26" t="s">
        <v>77</v>
      </c>
      <c r="M4763" s="6" t="s">
        <v>77</v>
      </c>
      <c r="N4763" s="28" t="s">
        <v>77</v>
      </c>
      <c r="O4763" s="26" t="s">
        <v>77</v>
      </c>
    </row>
    <row r="4764">
      <c r="A4764" s="52" t="s">
        <v>77</v>
      </c>
      <c r="B4764" s="28" t="s">
        <v>77</v>
      </c>
      <c r="C4764" s="28" t="s">
        <v>77</v>
      </c>
      <c r="D4764" s="28" t="s">
        <v>77</v>
      </c>
      <c r="E4764" s="28" t="s">
        <v>77</v>
      </c>
      <c r="F4764" s="28" t="s">
        <v>77</v>
      </c>
      <c r="G4764" s="28" t="s">
        <v>77</v>
      </c>
      <c r="I4764" s="26" t="s">
        <v>77</v>
      </c>
      <c r="J4764" s="26" t="s">
        <v>77</v>
      </c>
      <c r="K4764" s="18"/>
      <c r="L4764" s="26" t="s">
        <v>77</v>
      </c>
      <c r="M4764" s="6" t="s">
        <v>77</v>
      </c>
      <c r="N4764" s="28" t="s">
        <v>77</v>
      </c>
      <c r="O4764" s="26" t="s">
        <v>77</v>
      </c>
    </row>
    <row r="4765">
      <c r="A4765" s="52" t="s">
        <v>77</v>
      </c>
      <c r="B4765" s="28" t="s">
        <v>77</v>
      </c>
      <c r="C4765" s="28" t="s">
        <v>77</v>
      </c>
      <c r="D4765" s="28" t="s">
        <v>77</v>
      </c>
      <c r="E4765" s="28" t="s">
        <v>77</v>
      </c>
      <c r="F4765" s="28" t="s">
        <v>77</v>
      </c>
      <c r="G4765" s="28" t="s">
        <v>77</v>
      </c>
      <c r="I4765" s="26" t="s">
        <v>77</v>
      </c>
      <c r="J4765" s="26" t="s">
        <v>77</v>
      </c>
      <c r="K4765" s="18"/>
      <c r="L4765" s="26" t="s">
        <v>77</v>
      </c>
      <c r="M4765" s="6" t="s">
        <v>77</v>
      </c>
      <c r="N4765" s="28" t="s">
        <v>77</v>
      </c>
      <c r="O4765" s="26" t="s">
        <v>77</v>
      </c>
    </row>
    <row r="4766">
      <c r="A4766" s="52" t="s">
        <v>77</v>
      </c>
      <c r="B4766" s="28" t="s">
        <v>77</v>
      </c>
      <c r="C4766" s="28" t="s">
        <v>77</v>
      </c>
      <c r="D4766" s="28" t="s">
        <v>77</v>
      </c>
      <c r="E4766" s="28" t="s">
        <v>77</v>
      </c>
      <c r="F4766" s="28" t="s">
        <v>77</v>
      </c>
      <c r="G4766" s="28" t="s">
        <v>77</v>
      </c>
      <c r="I4766" s="26" t="s">
        <v>77</v>
      </c>
      <c r="J4766" s="26" t="s">
        <v>77</v>
      </c>
      <c r="K4766" s="18"/>
      <c r="L4766" s="26" t="s">
        <v>77</v>
      </c>
      <c r="M4766" s="6" t="s">
        <v>77</v>
      </c>
      <c r="N4766" s="28" t="s">
        <v>77</v>
      </c>
      <c r="O4766" s="26" t="s">
        <v>77</v>
      </c>
    </row>
    <row r="4767">
      <c r="A4767" s="52" t="s">
        <v>77</v>
      </c>
      <c r="B4767" s="28" t="s">
        <v>77</v>
      </c>
      <c r="C4767" s="28" t="s">
        <v>77</v>
      </c>
      <c r="D4767" s="28" t="s">
        <v>77</v>
      </c>
      <c r="E4767" s="28" t="s">
        <v>77</v>
      </c>
      <c r="F4767" s="28" t="s">
        <v>77</v>
      </c>
      <c r="G4767" s="28" t="s">
        <v>77</v>
      </c>
      <c r="I4767" s="26" t="s">
        <v>77</v>
      </c>
      <c r="J4767" s="26" t="s">
        <v>77</v>
      </c>
      <c r="K4767" s="18"/>
      <c r="L4767" s="26" t="s">
        <v>77</v>
      </c>
      <c r="M4767" s="6" t="s">
        <v>77</v>
      </c>
      <c r="N4767" s="28" t="s">
        <v>77</v>
      </c>
      <c r="O4767" s="26" t="s">
        <v>77</v>
      </c>
    </row>
    <row r="4768">
      <c r="A4768" s="52" t="s">
        <v>77</v>
      </c>
      <c r="B4768" s="28" t="s">
        <v>77</v>
      </c>
      <c r="C4768" s="28" t="s">
        <v>77</v>
      </c>
      <c r="D4768" s="28" t="s">
        <v>77</v>
      </c>
      <c r="E4768" s="28" t="s">
        <v>77</v>
      </c>
      <c r="F4768" s="28" t="s">
        <v>77</v>
      </c>
      <c r="G4768" s="28" t="s">
        <v>77</v>
      </c>
      <c r="I4768" s="26" t="s">
        <v>77</v>
      </c>
      <c r="J4768" s="26" t="s">
        <v>77</v>
      </c>
      <c r="K4768" s="18"/>
      <c r="L4768" s="26" t="s">
        <v>77</v>
      </c>
      <c r="M4768" s="6" t="s">
        <v>77</v>
      </c>
      <c r="N4768" s="28" t="s">
        <v>77</v>
      </c>
      <c r="O4768" s="26" t="s">
        <v>77</v>
      </c>
    </row>
    <row r="4769">
      <c r="A4769" s="52" t="s">
        <v>77</v>
      </c>
      <c r="B4769" s="28" t="s">
        <v>77</v>
      </c>
      <c r="C4769" s="28" t="s">
        <v>77</v>
      </c>
      <c r="D4769" s="28" t="s">
        <v>77</v>
      </c>
      <c r="E4769" s="28" t="s">
        <v>77</v>
      </c>
      <c r="F4769" s="28" t="s">
        <v>77</v>
      </c>
      <c r="G4769" s="28" t="s">
        <v>77</v>
      </c>
      <c r="I4769" s="26" t="s">
        <v>77</v>
      </c>
      <c r="J4769" s="26" t="s">
        <v>77</v>
      </c>
      <c r="K4769" s="18"/>
      <c r="L4769" s="26" t="s">
        <v>77</v>
      </c>
      <c r="M4769" s="6" t="s">
        <v>77</v>
      </c>
      <c r="N4769" s="28" t="s">
        <v>77</v>
      </c>
      <c r="O4769" s="26" t="s">
        <v>77</v>
      </c>
    </row>
    <row r="4770">
      <c r="A4770" s="52" t="s">
        <v>77</v>
      </c>
      <c r="B4770" s="28" t="s">
        <v>77</v>
      </c>
      <c r="C4770" s="28" t="s">
        <v>77</v>
      </c>
      <c r="D4770" s="28" t="s">
        <v>77</v>
      </c>
      <c r="E4770" s="28" t="s">
        <v>77</v>
      </c>
      <c r="F4770" s="28" t="s">
        <v>77</v>
      </c>
      <c r="G4770" s="28" t="s">
        <v>77</v>
      </c>
      <c r="I4770" s="26" t="s">
        <v>77</v>
      </c>
      <c r="J4770" s="26" t="s">
        <v>77</v>
      </c>
      <c r="K4770" s="18"/>
      <c r="L4770" s="26" t="s">
        <v>77</v>
      </c>
      <c r="M4770" s="6" t="s">
        <v>77</v>
      </c>
      <c r="N4770" s="28" t="s">
        <v>77</v>
      </c>
      <c r="O4770" s="26" t="s">
        <v>77</v>
      </c>
    </row>
    <row r="4771">
      <c r="A4771" s="52" t="s">
        <v>77</v>
      </c>
      <c r="B4771" s="28" t="s">
        <v>77</v>
      </c>
      <c r="C4771" s="28" t="s">
        <v>77</v>
      </c>
      <c r="D4771" s="28" t="s">
        <v>77</v>
      </c>
      <c r="E4771" s="28" t="s">
        <v>77</v>
      </c>
      <c r="F4771" s="28" t="s">
        <v>77</v>
      </c>
      <c r="G4771" s="28" t="s">
        <v>77</v>
      </c>
      <c r="I4771" s="26" t="s">
        <v>77</v>
      </c>
      <c r="J4771" s="26" t="s">
        <v>77</v>
      </c>
      <c r="K4771" s="18"/>
      <c r="L4771" s="26" t="s">
        <v>77</v>
      </c>
      <c r="M4771" s="6" t="s">
        <v>77</v>
      </c>
      <c r="N4771" s="28" t="s">
        <v>77</v>
      </c>
      <c r="O4771" s="26" t="s">
        <v>77</v>
      </c>
    </row>
    <row r="4772">
      <c r="A4772" s="52" t="s">
        <v>77</v>
      </c>
      <c r="B4772" s="28" t="s">
        <v>77</v>
      </c>
      <c r="C4772" s="28" t="s">
        <v>77</v>
      </c>
      <c r="D4772" s="28" t="s">
        <v>77</v>
      </c>
      <c r="E4772" s="28" t="s">
        <v>77</v>
      </c>
      <c r="F4772" s="28" t="s">
        <v>77</v>
      </c>
      <c r="G4772" s="28" t="s">
        <v>77</v>
      </c>
      <c r="I4772" s="26" t="s">
        <v>77</v>
      </c>
      <c r="J4772" s="26" t="s">
        <v>77</v>
      </c>
      <c r="K4772" s="18"/>
      <c r="L4772" s="26" t="s">
        <v>77</v>
      </c>
      <c r="M4772" s="6" t="s">
        <v>77</v>
      </c>
      <c r="N4772" s="28" t="s">
        <v>77</v>
      </c>
      <c r="O4772" s="26" t="s">
        <v>77</v>
      </c>
    </row>
    <row r="4773">
      <c r="A4773" s="52" t="s">
        <v>77</v>
      </c>
      <c r="B4773" s="28" t="s">
        <v>77</v>
      </c>
      <c r="C4773" s="28" t="s">
        <v>77</v>
      </c>
      <c r="D4773" s="28" t="s">
        <v>77</v>
      </c>
      <c r="E4773" s="28" t="s">
        <v>77</v>
      </c>
      <c r="F4773" s="28" t="s">
        <v>77</v>
      </c>
      <c r="G4773" s="28" t="s">
        <v>77</v>
      </c>
      <c r="I4773" s="26" t="s">
        <v>77</v>
      </c>
      <c r="J4773" s="26" t="s">
        <v>77</v>
      </c>
      <c r="K4773" s="18"/>
      <c r="L4773" s="26" t="s">
        <v>77</v>
      </c>
      <c r="M4773" s="6" t="s">
        <v>77</v>
      </c>
      <c r="N4773" s="28" t="s">
        <v>77</v>
      </c>
      <c r="O4773" s="26" t="s">
        <v>77</v>
      </c>
    </row>
    <row r="4774">
      <c r="A4774" s="52" t="s">
        <v>77</v>
      </c>
      <c r="B4774" s="28" t="s">
        <v>77</v>
      </c>
      <c r="C4774" s="28" t="s">
        <v>77</v>
      </c>
      <c r="D4774" s="28" t="s">
        <v>77</v>
      </c>
      <c r="E4774" s="28" t="s">
        <v>77</v>
      </c>
      <c r="F4774" s="28" t="s">
        <v>77</v>
      </c>
      <c r="G4774" s="28" t="s">
        <v>77</v>
      </c>
      <c r="I4774" s="26" t="s">
        <v>77</v>
      </c>
      <c r="J4774" s="26" t="s">
        <v>77</v>
      </c>
      <c r="K4774" s="18"/>
      <c r="L4774" s="26" t="s">
        <v>77</v>
      </c>
      <c r="M4774" s="6" t="s">
        <v>77</v>
      </c>
      <c r="N4774" s="28" t="s">
        <v>77</v>
      </c>
      <c r="O4774" s="26" t="s">
        <v>77</v>
      </c>
    </row>
    <row r="4775">
      <c r="A4775" s="52" t="s">
        <v>77</v>
      </c>
      <c r="B4775" s="28" t="s">
        <v>77</v>
      </c>
      <c r="C4775" s="28" t="s">
        <v>77</v>
      </c>
      <c r="D4775" s="28" t="s">
        <v>77</v>
      </c>
      <c r="E4775" s="28" t="s">
        <v>77</v>
      </c>
      <c r="F4775" s="28" t="s">
        <v>77</v>
      </c>
      <c r="G4775" s="28" t="s">
        <v>77</v>
      </c>
      <c r="I4775" s="26" t="s">
        <v>77</v>
      </c>
      <c r="J4775" s="26" t="s">
        <v>77</v>
      </c>
      <c r="K4775" s="18"/>
      <c r="L4775" s="26" t="s">
        <v>77</v>
      </c>
      <c r="M4775" s="6" t="s">
        <v>77</v>
      </c>
      <c r="N4775" s="28" t="s">
        <v>77</v>
      </c>
      <c r="O4775" s="26" t="s">
        <v>77</v>
      </c>
    </row>
    <row r="4776">
      <c r="A4776" s="52" t="s">
        <v>77</v>
      </c>
      <c r="B4776" s="28" t="s">
        <v>77</v>
      </c>
      <c r="C4776" s="28" t="s">
        <v>77</v>
      </c>
      <c r="D4776" s="28" t="s">
        <v>77</v>
      </c>
      <c r="E4776" s="28" t="s">
        <v>77</v>
      </c>
      <c r="F4776" s="28" t="s">
        <v>77</v>
      </c>
      <c r="G4776" s="28" t="s">
        <v>77</v>
      </c>
      <c r="I4776" s="26" t="s">
        <v>77</v>
      </c>
      <c r="J4776" s="26" t="s">
        <v>77</v>
      </c>
      <c r="K4776" s="18"/>
      <c r="L4776" s="26" t="s">
        <v>77</v>
      </c>
      <c r="M4776" s="6" t="s">
        <v>77</v>
      </c>
      <c r="N4776" s="28" t="s">
        <v>77</v>
      </c>
      <c r="O4776" s="26" t="s">
        <v>77</v>
      </c>
    </row>
    <row r="4777">
      <c r="A4777" s="52" t="s">
        <v>77</v>
      </c>
      <c r="B4777" s="28" t="s">
        <v>77</v>
      </c>
      <c r="C4777" s="28" t="s">
        <v>77</v>
      </c>
      <c r="D4777" s="28" t="s">
        <v>77</v>
      </c>
      <c r="E4777" s="28" t="s">
        <v>77</v>
      </c>
      <c r="F4777" s="28" t="s">
        <v>77</v>
      </c>
      <c r="G4777" s="28" t="s">
        <v>77</v>
      </c>
      <c r="I4777" s="26" t="s">
        <v>77</v>
      </c>
      <c r="J4777" s="26" t="s">
        <v>77</v>
      </c>
      <c r="K4777" s="18"/>
      <c r="L4777" s="26" t="s">
        <v>77</v>
      </c>
      <c r="M4777" s="6" t="s">
        <v>77</v>
      </c>
      <c r="N4777" s="28" t="s">
        <v>77</v>
      </c>
      <c r="O4777" s="26" t="s">
        <v>77</v>
      </c>
    </row>
    <row r="4778">
      <c r="A4778" s="52" t="s">
        <v>77</v>
      </c>
      <c r="B4778" s="28" t="s">
        <v>77</v>
      </c>
      <c r="C4778" s="28" t="s">
        <v>77</v>
      </c>
      <c r="D4778" s="28" t="s">
        <v>77</v>
      </c>
      <c r="E4778" s="28" t="s">
        <v>77</v>
      </c>
      <c r="F4778" s="28" t="s">
        <v>77</v>
      </c>
      <c r="G4778" s="28" t="s">
        <v>77</v>
      </c>
      <c r="I4778" s="26" t="s">
        <v>77</v>
      </c>
      <c r="J4778" s="26" t="s">
        <v>77</v>
      </c>
      <c r="K4778" s="18"/>
      <c r="L4778" s="26" t="s">
        <v>77</v>
      </c>
      <c r="M4778" s="6" t="s">
        <v>77</v>
      </c>
      <c r="N4778" s="28" t="s">
        <v>77</v>
      </c>
      <c r="O4778" s="26" t="s">
        <v>77</v>
      </c>
    </row>
    <row r="4779">
      <c r="A4779" s="52" t="s">
        <v>77</v>
      </c>
      <c r="B4779" s="28" t="s">
        <v>77</v>
      </c>
      <c r="C4779" s="28" t="s">
        <v>77</v>
      </c>
      <c r="D4779" s="28" t="s">
        <v>77</v>
      </c>
      <c r="E4779" s="28" t="s">
        <v>77</v>
      </c>
      <c r="F4779" s="28" t="s">
        <v>77</v>
      </c>
      <c r="G4779" s="28" t="s">
        <v>77</v>
      </c>
      <c r="I4779" s="26" t="s">
        <v>77</v>
      </c>
      <c r="J4779" s="26" t="s">
        <v>77</v>
      </c>
      <c r="K4779" s="18"/>
      <c r="L4779" s="26" t="s">
        <v>77</v>
      </c>
      <c r="M4779" s="6" t="s">
        <v>77</v>
      </c>
      <c r="N4779" s="28" t="s">
        <v>77</v>
      </c>
      <c r="O4779" s="26" t="s">
        <v>77</v>
      </c>
    </row>
    <row r="4780">
      <c r="A4780" s="52" t="s">
        <v>77</v>
      </c>
      <c r="B4780" s="28" t="s">
        <v>77</v>
      </c>
      <c r="C4780" s="28" t="s">
        <v>77</v>
      </c>
      <c r="D4780" s="28" t="s">
        <v>77</v>
      </c>
      <c r="E4780" s="28" t="s">
        <v>77</v>
      </c>
      <c r="F4780" s="28" t="s">
        <v>77</v>
      </c>
      <c r="G4780" s="28" t="s">
        <v>77</v>
      </c>
      <c r="I4780" s="26" t="s">
        <v>77</v>
      </c>
      <c r="J4780" s="26" t="s">
        <v>77</v>
      </c>
      <c r="K4780" s="18"/>
      <c r="L4780" s="26" t="s">
        <v>77</v>
      </c>
      <c r="M4780" s="6" t="s">
        <v>77</v>
      </c>
      <c r="N4780" s="28" t="s">
        <v>77</v>
      </c>
      <c r="O4780" s="26" t="s">
        <v>77</v>
      </c>
    </row>
    <row r="4781">
      <c r="A4781" s="52" t="s">
        <v>77</v>
      </c>
      <c r="B4781" s="28" t="s">
        <v>77</v>
      </c>
      <c r="C4781" s="28" t="s">
        <v>77</v>
      </c>
      <c r="D4781" s="28" t="s">
        <v>77</v>
      </c>
      <c r="E4781" s="28" t="s">
        <v>77</v>
      </c>
      <c r="F4781" s="28" t="s">
        <v>77</v>
      </c>
      <c r="G4781" s="28" t="s">
        <v>77</v>
      </c>
      <c r="I4781" s="26" t="s">
        <v>77</v>
      </c>
      <c r="J4781" s="26" t="s">
        <v>77</v>
      </c>
      <c r="K4781" s="18"/>
      <c r="L4781" s="26" t="s">
        <v>77</v>
      </c>
      <c r="M4781" s="6" t="s">
        <v>77</v>
      </c>
      <c r="N4781" s="28" t="s">
        <v>77</v>
      </c>
      <c r="O4781" s="26" t="s">
        <v>77</v>
      </c>
    </row>
    <row r="4782">
      <c r="A4782" s="52" t="s">
        <v>77</v>
      </c>
      <c r="B4782" s="28" t="s">
        <v>77</v>
      </c>
      <c r="C4782" s="28" t="s">
        <v>77</v>
      </c>
      <c r="D4782" s="28" t="s">
        <v>77</v>
      </c>
      <c r="E4782" s="28" t="s">
        <v>77</v>
      </c>
      <c r="F4782" s="28" t="s">
        <v>77</v>
      </c>
      <c r="G4782" s="28" t="s">
        <v>77</v>
      </c>
      <c r="I4782" s="26" t="s">
        <v>77</v>
      </c>
      <c r="J4782" s="26" t="s">
        <v>77</v>
      </c>
      <c r="K4782" s="18"/>
      <c r="L4782" s="26" t="s">
        <v>77</v>
      </c>
      <c r="M4782" s="6" t="s">
        <v>77</v>
      </c>
      <c r="N4782" s="28" t="s">
        <v>77</v>
      </c>
      <c r="O4782" s="26" t="s">
        <v>77</v>
      </c>
    </row>
    <row r="4783">
      <c r="A4783" s="52" t="s">
        <v>77</v>
      </c>
      <c r="B4783" s="28" t="s">
        <v>77</v>
      </c>
      <c r="C4783" s="28" t="s">
        <v>77</v>
      </c>
      <c r="D4783" s="28" t="s">
        <v>77</v>
      </c>
      <c r="E4783" s="28" t="s">
        <v>77</v>
      </c>
      <c r="F4783" s="28" t="s">
        <v>77</v>
      </c>
      <c r="G4783" s="28" t="s">
        <v>77</v>
      </c>
      <c r="I4783" s="26" t="s">
        <v>77</v>
      </c>
      <c r="J4783" s="26" t="s">
        <v>77</v>
      </c>
      <c r="K4783" s="18"/>
      <c r="L4783" s="26" t="s">
        <v>77</v>
      </c>
      <c r="M4783" s="6" t="s">
        <v>77</v>
      </c>
      <c r="N4783" s="28" t="s">
        <v>77</v>
      </c>
      <c r="O4783" s="26" t="s">
        <v>77</v>
      </c>
    </row>
    <row r="4784">
      <c r="A4784" s="52" t="s">
        <v>77</v>
      </c>
      <c r="B4784" s="28" t="s">
        <v>77</v>
      </c>
      <c r="C4784" s="28" t="s">
        <v>77</v>
      </c>
      <c r="D4784" s="28" t="s">
        <v>77</v>
      </c>
      <c r="E4784" s="28" t="s">
        <v>77</v>
      </c>
      <c r="F4784" s="28" t="s">
        <v>77</v>
      </c>
      <c r="G4784" s="28" t="s">
        <v>77</v>
      </c>
      <c r="I4784" s="26" t="s">
        <v>77</v>
      </c>
      <c r="J4784" s="26" t="s">
        <v>77</v>
      </c>
      <c r="K4784" s="18"/>
      <c r="L4784" s="26" t="s">
        <v>77</v>
      </c>
      <c r="M4784" s="6" t="s">
        <v>77</v>
      </c>
      <c r="N4784" s="28" t="s">
        <v>77</v>
      </c>
      <c r="O4784" s="26" t="s">
        <v>77</v>
      </c>
    </row>
    <row r="4785">
      <c r="A4785" s="52" t="s">
        <v>77</v>
      </c>
      <c r="B4785" s="28" t="s">
        <v>77</v>
      </c>
      <c r="C4785" s="28" t="s">
        <v>77</v>
      </c>
      <c r="D4785" s="28" t="s">
        <v>77</v>
      </c>
      <c r="E4785" s="28" t="s">
        <v>77</v>
      </c>
      <c r="F4785" s="28" t="s">
        <v>77</v>
      </c>
      <c r="G4785" s="28" t="s">
        <v>77</v>
      </c>
      <c r="I4785" s="26" t="s">
        <v>77</v>
      </c>
      <c r="J4785" s="26" t="s">
        <v>77</v>
      </c>
      <c r="K4785" s="18"/>
      <c r="L4785" s="26" t="s">
        <v>77</v>
      </c>
      <c r="M4785" s="6" t="s">
        <v>77</v>
      </c>
      <c r="N4785" s="28" t="s">
        <v>77</v>
      </c>
      <c r="O4785" s="26" t="s">
        <v>77</v>
      </c>
    </row>
    <row r="4786">
      <c r="A4786" s="52" t="s">
        <v>77</v>
      </c>
      <c r="B4786" s="28" t="s">
        <v>77</v>
      </c>
      <c r="C4786" s="28" t="s">
        <v>77</v>
      </c>
      <c r="D4786" s="28" t="s">
        <v>77</v>
      </c>
      <c r="E4786" s="28" t="s">
        <v>77</v>
      </c>
      <c r="F4786" s="28" t="s">
        <v>77</v>
      </c>
      <c r="G4786" s="28" t="s">
        <v>77</v>
      </c>
      <c r="I4786" s="26" t="s">
        <v>77</v>
      </c>
      <c r="J4786" s="26" t="s">
        <v>77</v>
      </c>
      <c r="K4786" s="18"/>
      <c r="L4786" s="26" t="s">
        <v>77</v>
      </c>
      <c r="M4786" s="6" t="s">
        <v>77</v>
      </c>
      <c r="N4786" s="28" t="s">
        <v>77</v>
      </c>
      <c r="O4786" s="26" t="s">
        <v>77</v>
      </c>
    </row>
    <row r="4787">
      <c r="A4787" s="52" t="s">
        <v>77</v>
      </c>
      <c r="B4787" s="28" t="s">
        <v>77</v>
      </c>
      <c r="C4787" s="28" t="s">
        <v>77</v>
      </c>
      <c r="D4787" s="28" t="s">
        <v>77</v>
      </c>
      <c r="E4787" s="28" t="s">
        <v>77</v>
      </c>
      <c r="F4787" s="28" t="s">
        <v>77</v>
      </c>
      <c r="G4787" s="28" t="s">
        <v>77</v>
      </c>
      <c r="I4787" s="26" t="s">
        <v>77</v>
      </c>
      <c r="J4787" s="26" t="s">
        <v>77</v>
      </c>
      <c r="K4787" s="18"/>
      <c r="L4787" s="26" t="s">
        <v>77</v>
      </c>
      <c r="M4787" s="6" t="s">
        <v>77</v>
      </c>
      <c r="N4787" s="28" t="s">
        <v>77</v>
      </c>
      <c r="O4787" s="26" t="s">
        <v>77</v>
      </c>
    </row>
    <row r="4788">
      <c r="A4788" s="52" t="s">
        <v>77</v>
      </c>
      <c r="B4788" s="28" t="s">
        <v>77</v>
      </c>
      <c r="C4788" s="28" t="s">
        <v>77</v>
      </c>
      <c r="D4788" s="28" t="s">
        <v>77</v>
      </c>
      <c r="E4788" s="28" t="s">
        <v>77</v>
      </c>
      <c r="F4788" s="28" t="s">
        <v>77</v>
      </c>
      <c r="G4788" s="28" t="s">
        <v>77</v>
      </c>
      <c r="I4788" s="26" t="s">
        <v>77</v>
      </c>
      <c r="J4788" s="26" t="s">
        <v>77</v>
      </c>
      <c r="K4788" s="18"/>
      <c r="L4788" s="26" t="s">
        <v>77</v>
      </c>
      <c r="M4788" s="6" t="s">
        <v>77</v>
      </c>
      <c r="N4788" s="28" t="s">
        <v>77</v>
      </c>
      <c r="O4788" s="26" t="s">
        <v>77</v>
      </c>
    </row>
    <row r="4789">
      <c r="A4789" s="52" t="s">
        <v>77</v>
      </c>
      <c r="B4789" s="28" t="s">
        <v>77</v>
      </c>
      <c r="C4789" s="28" t="s">
        <v>77</v>
      </c>
      <c r="D4789" s="28" t="s">
        <v>77</v>
      </c>
      <c r="E4789" s="28" t="s">
        <v>77</v>
      </c>
      <c r="F4789" s="28" t="s">
        <v>77</v>
      </c>
      <c r="G4789" s="28" t="s">
        <v>77</v>
      </c>
      <c r="I4789" s="26" t="s">
        <v>77</v>
      </c>
      <c r="J4789" s="26" t="s">
        <v>77</v>
      </c>
      <c r="K4789" s="18"/>
      <c r="L4789" s="26" t="s">
        <v>77</v>
      </c>
      <c r="M4789" s="6" t="s">
        <v>77</v>
      </c>
      <c r="N4789" s="28" t="s">
        <v>77</v>
      </c>
      <c r="O4789" s="26" t="s">
        <v>77</v>
      </c>
    </row>
    <row r="4790">
      <c r="A4790" s="52" t="s">
        <v>77</v>
      </c>
      <c r="B4790" s="28" t="s">
        <v>77</v>
      </c>
      <c r="C4790" s="28" t="s">
        <v>77</v>
      </c>
      <c r="D4790" s="28" t="s">
        <v>77</v>
      </c>
      <c r="E4790" s="28" t="s">
        <v>77</v>
      </c>
      <c r="F4790" s="28" t="s">
        <v>77</v>
      </c>
      <c r="G4790" s="28" t="s">
        <v>77</v>
      </c>
      <c r="I4790" s="26" t="s">
        <v>77</v>
      </c>
      <c r="J4790" s="26" t="s">
        <v>77</v>
      </c>
      <c r="K4790" s="18"/>
      <c r="L4790" s="26" t="s">
        <v>77</v>
      </c>
      <c r="M4790" s="6" t="s">
        <v>77</v>
      </c>
      <c r="N4790" s="28" t="s">
        <v>77</v>
      </c>
      <c r="O4790" s="26" t="s">
        <v>77</v>
      </c>
    </row>
    <row r="4791">
      <c r="A4791" s="52" t="s">
        <v>77</v>
      </c>
      <c r="B4791" s="28" t="s">
        <v>77</v>
      </c>
      <c r="C4791" s="28" t="s">
        <v>77</v>
      </c>
      <c r="D4791" s="28" t="s">
        <v>77</v>
      </c>
      <c r="E4791" s="28" t="s">
        <v>77</v>
      </c>
      <c r="F4791" s="28" t="s">
        <v>77</v>
      </c>
      <c r="G4791" s="28" t="s">
        <v>77</v>
      </c>
      <c r="I4791" s="26" t="s">
        <v>77</v>
      </c>
      <c r="J4791" s="26" t="s">
        <v>77</v>
      </c>
      <c r="K4791" s="18"/>
      <c r="L4791" s="26" t="s">
        <v>77</v>
      </c>
      <c r="M4791" s="6" t="s">
        <v>77</v>
      </c>
      <c r="N4791" s="28" t="s">
        <v>77</v>
      </c>
      <c r="O4791" s="26" t="s">
        <v>77</v>
      </c>
    </row>
    <row r="4792">
      <c r="A4792" s="52" t="s">
        <v>77</v>
      </c>
      <c r="B4792" s="28" t="s">
        <v>77</v>
      </c>
      <c r="C4792" s="28" t="s">
        <v>77</v>
      </c>
      <c r="D4792" s="28" t="s">
        <v>77</v>
      </c>
      <c r="E4792" s="28" t="s">
        <v>77</v>
      </c>
      <c r="F4792" s="28" t="s">
        <v>77</v>
      </c>
      <c r="G4792" s="28" t="s">
        <v>77</v>
      </c>
      <c r="I4792" s="26" t="s">
        <v>77</v>
      </c>
      <c r="J4792" s="26" t="s">
        <v>77</v>
      </c>
      <c r="K4792" s="18"/>
      <c r="L4792" s="26" t="s">
        <v>77</v>
      </c>
      <c r="M4792" s="6" t="s">
        <v>77</v>
      </c>
      <c r="N4792" s="28" t="s">
        <v>77</v>
      </c>
      <c r="O4792" s="26" t="s">
        <v>77</v>
      </c>
    </row>
    <row r="4793">
      <c r="A4793" s="52" t="s">
        <v>77</v>
      </c>
      <c r="B4793" s="28" t="s">
        <v>77</v>
      </c>
      <c r="C4793" s="28" t="s">
        <v>77</v>
      </c>
      <c r="D4793" s="28" t="s">
        <v>77</v>
      </c>
      <c r="E4793" s="28" t="s">
        <v>77</v>
      </c>
      <c r="F4793" s="28" t="s">
        <v>77</v>
      </c>
      <c r="G4793" s="28" t="s">
        <v>77</v>
      </c>
      <c r="I4793" s="26" t="s">
        <v>77</v>
      </c>
      <c r="J4793" s="26" t="s">
        <v>77</v>
      </c>
      <c r="K4793" s="18"/>
      <c r="L4793" s="26" t="s">
        <v>77</v>
      </c>
      <c r="M4793" s="6" t="s">
        <v>77</v>
      </c>
      <c r="N4793" s="28" t="s">
        <v>77</v>
      </c>
      <c r="O4793" s="26" t="s">
        <v>77</v>
      </c>
    </row>
    <row r="4794">
      <c r="A4794" s="52" t="s">
        <v>77</v>
      </c>
      <c r="B4794" s="28" t="s">
        <v>77</v>
      </c>
      <c r="C4794" s="28" t="s">
        <v>77</v>
      </c>
      <c r="D4794" s="28" t="s">
        <v>77</v>
      </c>
      <c r="E4794" s="28" t="s">
        <v>77</v>
      </c>
      <c r="F4794" s="28" t="s">
        <v>77</v>
      </c>
      <c r="G4794" s="28" t="s">
        <v>77</v>
      </c>
      <c r="I4794" s="26" t="s">
        <v>77</v>
      </c>
      <c r="J4794" s="26" t="s">
        <v>77</v>
      </c>
      <c r="K4794" s="18"/>
      <c r="L4794" s="26" t="s">
        <v>77</v>
      </c>
      <c r="M4794" s="6" t="s">
        <v>77</v>
      </c>
      <c r="N4794" s="28" t="s">
        <v>77</v>
      </c>
      <c r="O4794" s="26" t="s">
        <v>77</v>
      </c>
    </row>
    <row r="4795">
      <c r="A4795" s="52" t="s">
        <v>77</v>
      </c>
      <c r="B4795" s="28" t="s">
        <v>77</v>
      </c>
      <c r="C4795" s="28" t="s">
        <v>77</v>
      </c>
      <c r="D4795" s="28" t="s">
        <v>77</v>
      </c>
      <c r="E4795" s="28" t="s">
        <v>77</v>
      </c>
      <c r="F4795" s="28" t="s">
        <v>77</v>
      </c>
      <c r="G4795" s="28" t="s">
        <v>77</v>
      </c>
      <c r="I4795" s="26" t="s">
        <v>77</v>
      </c>
      <c r="J4795" s="26" t="s">
        <v>77</v>
      </c>
      <c r="K4795" s="18"/>
      <c r="L4795" s="26" t="s">
        <v>77</v>
      </c>
      <c r="M4795" s="6" t="s">
        <v>77</v>
      </c>
      <c r="N4795" s="28" t="s">
        <v>77</v>
      </c>
      <c r="O4795" s="26" t="s">
        <v>77</v>
      </c>
    </row>
    <row r="4796">
      <c r="A4796" s="52" t="s">
        <v>77</v>
      </c>
      <c r="B4796" s="28" t="s">
        <v>77</v>
      </c>
      <c r="C4796" s="28" t="s">
        <v>77</v>
      </c>
      <c r="D4796" s="28" t="s">
        <v>77</v>
      </c>
      <c r="E4796" s="28" t="s">
        <v>77</v>
      </c>
      <c r="F4796" s="28" t="s">
        <v>77</v>
      </c>
      <c r="G4796" s="28" t="s">
        <v>77</v>
      </c>
      <c r="I4796" s="26" t="s">
        <v>77</v>
      </c>
      <c r="J4796" s="26" t="s">
        <v>77</v>
      </c>
      <c r="K4796" s="18"/>
      <c r="L4796" s="26" t="s">
        <v>77</v>
      </c>
      <c r="M4796" s="6" t="s">
        <v>77</v>
      </c>
      <c r="N4796" s="28" t="s">
        <v>77</v>
      </c>
      <c r="O4796" s="26" t="s">
        <v>77</v>
      </c>
    </row>
    <row r="4797">
      <c r="A4797" s="52" t="s">
        <v>77</v>
      </c>
      <c r="B4797" s="28" t="s">
        <v>77</v>
      </c>
      <c r="C4797" s="28" t="s">
        <v>77</v>
      </c>
      <c r="D4797" s="28" t="s">
        <v>77</v>
      </c>
      <c r="E4797" s="28" t="s">
        <v>77</v>
      </c>
      <c r="F4797" s="28" t="s">
        <v>77</v>
      </c>
      <c r="G4797" s="28" t="s">
        <v>77</v>
      </c>
      <c r="I4797" s="26" t="s">
        <v>77</v>
      </c>
      <c r="J4797" s="26" t="s">
        <v>77</v>
      </c>
      <c r="K4797" s="18"/>
      <c r="L4797" s="26" t="s">
        <v>77</v>
      </c>
      <c r="M4797" s="6" t="s">
        <v>77</v>
      </c>
      <c r="N4797" s="28" t="s">
        <v>77</v>
      </c>
      <c r="O4797" s="26" t="s">
        <v>77</v>
      </c>
    </row>
    <row r="4798">
      <c r="A4798" s="52" t="s">
        <v>77</v>
      </c>
      <c r="B4798" s="28" t="s">
        <v>77</v>
      </c>
      <c r="C4798" s="28" t="s">
        <v>77</v>
      </c>
      <c r="D4798" s="28" t="s">
        <v>77</v>
      </c>
      <c r="E4798" s="28" t="s">
        <v>77</v>
      </c>
      <c r="F4798" s="28" t="s">
        <v>77</v>
      </c>
      <c r="G4798" s="28" t="s">
        <v>77</v>
      </c>
      <c r="I4798" s="26" t="s">
        <v>77</v>
      </c>
      <c r="J4798" s="26" t="s">
        <v>77</v>
      </c>
      <c r="K4798" s="18"/>
      <c r="L4798" s="26" t="s">
        <v>77</v>
      </c>
      <c r="M4798" s="6" t="s">
        <v>77</v>
      </c>
      <c r="N4798" s="28" t="s">
        <v>77</v>
      </c>
      <c r="O4798" s="26" t="s">
        <v>77</v>
      </c>
    </row>
    <row r="4799">
      <c r="A4799" s="52" t="s">
        <v>77</v>
      </c>
      <c r="B4799" s="28" t="s">
        <v>77</v>
      </c>
      <c r="C4799" s="28" t="s">
        <v>77</v>
      </c>
      <c r="D4799" s="28" t="s">
        <v>77</v>
      </c>
      <c r="E4799" s="28" t="s">
        <v>77</v>
      </c>
      <c r="F4799" s="28" t="s">
        <v>77</v>
      </c>
      <c r="G4799" s="28" t="s">
        <v>77</v>
      </c>
      <c r="I4799" s="26" t="s">
        <v>77</v>
      </c>
      <c r="J4799" s="26" t="s">
        <v>77</v>
      </c>
      <c r="K4799" s="18"/>
      <c r="L4799" s="26" t="s">
        <v>77</v>
      </c>
      <c r="M4799" s="6" t="s">
        <v>77</v>
      </c>
      <c r="N4799" s="28" t="s">
        <v>77</v>
      </c>
      <c r="O4799" s="26" t="s">
        <v>77</v>
      </c>
    </row>
    <row r="4800">
      <c r="A4800" s="52" t="s">
        <v>77</v>
      </c>
      <c r="B4800" s="28" t="s">
        <v>77</v>
      </c>
      <c r="C4800" s="28" t="s">
        <v>77</v>
      </c>
      <c r="D4800" s="28" t="s">
        <v>77</v>
      </c>
      <c r="E4800" s="28" t="s">
        <v>77</v>
      </c>
      <c r="F4800" s="28" t="s">
        <v>77</v>
      </c>
      <c r="G4800" s="28" t="s">
        <v>77</v>
      </c>
      <c r="I4800" s="26" t="s">
        <v>77</v>
      </c>
      <c r="J4800" s="26" t="s">
        <v>77</v>
      </c>
      <c r="K4800" s="18"/>
      <c r="L4800" s="26" t="s">
        <v>77</v>
      </c>
      <c r="M4800" s="6" t="s">
        <v>77</v>
      </c>
      <c r="N4800" s="28" t="s">
        <v>77</v>
      </c>
      <c r="O4800" s="26" t="s">
        <v>77</v>
      </c>
    </row>
    <row r="4801">
      <c r="A4801" s="52" t="s">
        <v>77</v>
      </c>
      <c r="B4801" s="28" t="s">
        <v>77</v>
      </c>
      <c r="C4801" s="28" t="s">
        <v>77</v>
      </c>
      <c r="D4801" s="28" t="s">
        <v>77</v>
      </c>
      <c r="E4801" s="28" t="s">
        <v>77</v>
      </c>
      <c r="F4801" s="28" t="s">
        <v>77</v>
      </c>
      <c r="G4801" s="28" t="s">
        <v>77</v>
      </c>
      <c r="I4801" s="26" t="s">
        <v>77</v>
      </c>
      <c r="J4801" s="26" t="s">
        <v>77</v>
      </c>
      <c r="K4801" s="18"/>
      <c r="L4801" s="26" t="s">
        <v>77</v>
      </c>
      <c r="M4801" s="6" t="s">
        <v>77</v>
      </c>
      <c r="N4801" s="28" t="s">
        <v>77</v>
      </c>
      <c r="O4801" s="26" t="s">
        <v>77</v>
      </c>
    </row>
    <row r="4802">
      <c r="A4802" s="52" t="s">
        <v>77</v>
      </c>
      <c r="B4802" s="28" t="s">
        <v>77</v>
      </c>
      <c r="C4802" s="28" t="s">
        <v>77</v>
      </c>
      <c r="D4802" s="28" t="s">
        <v>77</v>
      </c>
      <c r="E4802" s="28" t="s">
        <v>77</v>
      </c>
      <c r="F4802" s="28" t="s">
        <v>77</v>
      </c>
      <c r="G4802" s="28" t="s">
        <v>77</v>
      </c>
      <c r="I4802" s="26" t="s">
        <v>77</v>
      </c>
      <c r="J4802" s="26" t="s">
        <v>77</v>
      </c>
      <c r="K4802" s="18"/>
      <c r="L4802" s="26" t="s">
        <v>77</v>
      </c>
      <c r="M4802" s="6" t="s">
        <v>77</v>
      </c>
      <c r="N4802" s="28" t="s">
        <v>77</v>
      </c>
      <c r="O4802" s="26" t="s">
        <v>77</v>
      </c>
    </row>
    <row r="4803">
      <c r="A4803" s="52" t="s">
        <v>77</v>
      </c>
      <c r="B4803" s="28" t="s">
        <v>77</v>
      </c>
      <c r="C4803" s="28" t="s">
        <v>77</v>
      </c>
      <c r="D4803" s="28" t="s">
        <v>77</v>
      </c>
      <c r="E4803" s="28" t="s">
        <v>77</v>
      </c>
      <c r="F4803" s="28" t="s">
        <v>77</v>
      </c>
      <c r="G4803" s="28" t="s">
        <v>77</v>
      </c>
      <c r="I4803" s="26" t="s">
        <v>77</v>
      </c>
      <c r="J4803" s="26" t="s">
        <v>77</v>
      </c>
      <c r="K4803" s="18"/>
      <c r="L4803" s="26" t="s">
        <v>77</v>
      </c>
      <c r="M4803" s="6" t="s">
        <v>77</v>
      </c>
      <c r="N4803" s="28" t="s">
        <v>77</v>
      </c>
      <c r="O4803" s="26" t="s">
        <v>77</v>
      </c>
    </row>
    <row r="4804">
      <c r="A4804" s="52" t="s">
        <v>77</v>
      </c>
      <c r="B4804" s="28" t="s">
        <v>77</v>
      </c>
      <c r="C4804" s="28" t="s">
        <v>77</v>
      </c>
      <c r="D4804" s="28" t="s">
        <v>77</v>
      </c>
      <c r="E4804" s="28" t="s">
        <v>77</v>
      </c>
      <c r="F4804" s="28" t="s">
        <v>77</v>
      </c>
      <c r="G4804" s="28" t="s">
        <v>77</v>
      </c>
      <c r="I4804" s="26" t="s">
        <v>77</v>
      </c>
      <c r="J4804" s="26" t="s">
        <v>77</v>
      </c>
      <c r="K4804" s="18"/>
      <c r="L4804" s="26" t="s">
        <v>77</v>
      </c>
      <c r="M4804" s="6" t="s">
        <v>77</v>
      </c>
      <c r="N4804" s="28" t="s">
        <v>77</v>
      </c>
      <c r="O4804" s="26" t="s">
        <v>77</v>
      </c>
    </row>
    <row r="4805">
      <c r="A4805" s="52" t="s">
        <v>77</v>
      </c>
      <c r="B4805" s="28" t="s">
        <v>77</v>
      </c>
      <c r="C4805" s="28" t="s">
        <v>77</v>
      </c>
      <c r="D4805" s="28" t="s">
        <v>77</v>
      </c>
      <c r="E4805" s="28" t="s">
        <v>77</v>
      </c>
      <c r="F4805" s="28" t="s">
        <v>77</v>
      </c>
      <c r="G4805" s="28" t="s">
        <v>77</v>
      </c>
      <c r="I4805" s="26" t="s">
        <v>77</v>
      </c>
      <c r="J4805" s="26" t="s">
        <v>77</v>
      </c>
      <c r="K4805" s="18"/>
      <c r="L4805" s="26" t="s">
        <v>77</v>
      </c>
      <c r="M4805" s="6" t="s">
        <v>77</v>
      </c>
      <c r="N4805" s="28" t="s">
        <v>77</v>
      </c>
      <c r="O4805" s="26" t="s">
        <v>77</v>
      </c>
    </row>
    <row r="4806">
      <c r="A4806" s="52" t="s">
        <v>77</v>
      </c>
      <c r="B4806" s="28" t="s">
        <v>77</v>
      </c>
      <c r="C4806" s="28" t="s">
        <v>77</v>
      </c>
      <c r="D4806" s="28" t="s">
        <v>77</v>
      </c>
      <c r="E4806" s="28" t="s">
        <v>77</v>
      </c>
      <c r="F4806" s="28" t="s">
        <v>77</v>
      </c>
      <c r="G4806" s="28" t="s">
        <v>77</v>
      </c>
      <c r="I4806" s="26" t="s">
        <v>77</v>
      </c>
      <c r="J4806" s="26" t="s">
        <v>77</v>
      </c>
      <c r="K4806" s="18"/>
      <c r="L4806" s="26" t="s">
        <v>77</v>
      </c>
      <c r="M4806" s="6" t="s">
        <v>77</v>
      </c>
      <c r="N4806" s="28" t="s">
        <v>77</v>
      </c>
      <c r="O4806" s="26" t="s">
        <v>77</v>
      </c>
    </row>
    <row r="4807">
      <c r="A4807" s="52" t="s">
        <v>77</v>
      </c>
      <c r="B4807" s="28" t="s">
        <v>77</v>
      </c>
      <c r="C4807" s="28" t="s">
        <v>77</v>
      </c>
      <c r="D4807" s="28" t="s">
        <v>77</v>
      </c>
      <c r="E4807" s="28" t="s">
        <v>77</v>
      </c>
      <c r="F4807" s="28" t="s">
        <v>77</v>
      </c>
      <c r="G4807" s="28" t="s">
        <v>77</v>
      </c>
      <c r="I4807" s="26" t="s">
        <v>77</v>
      </c>
      <c r="J4807" s="26" t="s">
        <v>77</v>
      </c>
      <c r="K4807" s="18"/>
      <c r="L4807" s="26" t="s">
        <v>77</v>
      </c>
      <c r="M4807" s="6" t="s">
        <v>77</v>
      </c>
      <c r="N4807" s="28" t="s">
        <v>77</v>
      </c>
      <c r="O4807" s="26" t="s">
        <v>77</v>
      </c>
    </row>
    <row r="4808">
      <c r="A4808" s="52" t="s">
        <v>77</v>
      </c>
      <c r="B4808" s="28" t="s">
        <v>77</v>
      </c>
      <c r="C4808" s="28" t="s">
        <v>77</v>
      </c>
      <c r="D4808" s="28" t="s">
        <v>77</v>
      </c>
      <c r="E4808" s="28" t="s">
        <v>77</v>
      </c>
      <c r="F4808" s="28" t="s">
        <v>77</v>
      </c>
      <c r="G4808" s="28" t="s">
        <v>77</v>
      </c>
      <c r="I4808" s="26" t="s">
        <v>77</v>
      </c>
      <c r="J4808" s="26" t="s">
        <v>77</v>
      </c>
      <c r="K4808" s="18"/>
      <c r="L4808" s="26" t="s">
        <v>77</v>
      </c>
      <c r="M4808" s="6" t="s">
        <v>77</v>
      </c>
      <c r="N4808" s="28" t="s">
        <v>77</v>
      </c>
      <c r="O4808" s="26" t="s">
        <v>77</v>
      </c>
    </row>
    <row r="4809">
      <c r="A4809" s="52" t="s">
        <v>77</v>
      </c>
      <c r="B4809" s="28" t="s">
        <v>77</v>
      </c>
      <c r="C4809" s="28" t="s">
        <v>77</v>
      </c>
      <c r="D4809" s="28" t="s">
        <v>77</v>
      </c>
      <c r="E4809" s="28" t="s">
        <v>77</v>
      </c>
      <c r="F4809" s="28" t="s">
        <v>77</v>
      </c>
      <c r="G4809" s="28" t="s">
        <v>77</v>
      </c>
      <c r="I4809" s="26" t="s">
        <v>77</v>
      </c>
      <c r="J4809" s="26" t="s">
        <v>77</v>
      </c>
      <c r="K4809" s="18"/>
      <c r="L4809" s="26" t="s">
        <v>77</v>
      </c>
      <c r="M4809" s="6" t="s">
        <v>77</v>
      </c>
      <c r="N4809" s="28" t="s">
        <v>77</v>
      </c>
      <c r="O4809" s="26" t="s">
        <v>77</v>
      </c>
    </row>
    <row r="4810">
      <c r="A4810" s="52" t="s">
        <v>77</v>
      </c>
      <c r="B4810" s="28" t="s">
        <v>77</v>
      </c>
      <c r="C4810" s="28" t="s">
        <v>77</v>
      </c>
      <c r="D4810" s="28" t="s">
        <v>77</v>
      </c>
      <c r="E4810" s="28" t="s">
        <v>77</v>
      </c>
      <c r="F4810" s="28" t="s">
        <v>77</v>
      </c>
      <c r="G4810" s="28" t="s">
        <v>77</v>
      </c>
      <c r="I4810" s="26" t="s">
        <v>77</v>
      </c>
      <c r="J4810" s="26" t="s">
        <v>77</v>
      </c>
      <c r="K4810" s="18"/>
      <c r="L4810" s="26" t="s">
        <v>77</v>
      </c>
      <c r="M4810" s="6" t="s">
        <v>77</v>
      </c>
      <c r="N4810" s="28" t="s">
        <v>77</v>
      </c>
      <c r="O4810" s="26" t="s">
        <v>77</v>
      </c>
    </row>
    <row r="4811">
      <c r="A4811" s="52" t="s">
        <v>77</v>
      </c>
      <c r="B4811" s="28" t="s">
        <v>77</v>
      </c>
      <c r="C4811" s="28" t="s">
        <v>77</v>
      </c>
      <c r="D4811" s="28" t="s">
        <v>77</v>
      </c>
      <c r="E4811" s="28" t="s">
        <v>77</v>
      </c>
      <c r="F4811" s="28" t="s">
        <v>77</v>
      </c>
      <c r="G4811" s="28" t="s">
        <v>77</v>
      </c>
      <c r="I4811" s="26" t="s">
        <v>77</v>
      </c>
      <c r="J4811" s="26" t="s">
        <v>77</v>
      </c>
      <c r="K4811" s="18"/>
      <c r="L4811" s="26" t="s">
        <v>77</v>
      </c>
      <c r="M4811" s="6" t="s">
        <v>77</v>
      </c>
      <c r="N4811" s="28" t="s">
        <v>77</v>
      </c>
      <c r="O4811" s="26" t="s">
        <v>77</v>
      </c>
    </row>
    <row r="4812">
      <c r="A4812" s="52" t="s">
        <v>77</v>
      </c>
      <c r="B4812" s="28" t="s">
        <v>77</v>
      </c>
      <c r="C4812" s="28" t="s">
        <v>77</v>
      </c>
      <c r="D4812" s="28" t="s">
        <v>77</v>
      </c>
      <c r="E4812" s="28" t="s">
        <v>77</v>
      </c>
      <c r="F4812" s="28" t="s">
        <v>77</v>
      </c>
      <c r="G4812" s="28" t="s">
        <v>77</v>
      </c>
      <c r="I4812" s="26" t="s">
        <v>77</v>
      </c>
      <c r="J4812" s="26" t="s">
        <v>77</v>
      </c>
      <c r="K4812" s="18"/>
      <c r="L4812" s="26" t="s">
        <v>77</v>
      </c>
      <c r="M4812" s="6" t="s">
        <v>77</v>
      </c>
      <c r="N4812" s="28" t="s">
        <v>77</v>
      </c>
      <c r="O4812" s="26" t="s">
        <v>77</v>
      </c>
    </row>
    <row r="4813">
      <c r="A4813" s="52" t="s">
        <v>77</v>
      </c>
      <c r="B4813" s="28" t="s">
        <v>77</v>
      </c>
      <c r="C4813" s="28" t="s">
        <v>77</v>
      </c>
      <c r="D4813" s="28" t="s">
        <v>77</v>
      </c>
      <c r="E4813" s="28" t="s">
        <v>77</v>
      </c>
      <c r="F4813" s="28" t="s">
        <v>77</v>
      </c>
      <c r="G4813" s="28" t="s">
        <v>77</v>
      </c>
      <c r="I4813" s="26" t="s">
        <v>77</v>
      </c>
      <c r="J4813" s="26" t="s">
        <v>77</v>
      </c>
      <c r="K4813" s="18"/>
      <c r="L4813" s="26" t="s">
        <v>77</v>
      </c>
      <c r="M4813" s="6" t="s">
        <v>77</v>
      </c>
      <c r="N4813" s="28" t="s">
        <v>77</v>
      </c>
      <c r="O4813" s="26" t="s">
        <v>77</v>
      </c>
    </row>
    <row r="4814">
      <c r="A4814" s="52" t="s">
        <v>77</v>
      </c>
      <c r="B4814" s="28" t="s">
        <v>77</v>
      </c>
      <c r="C4814" s="28" t="s">
        <v>77</v>
      </c>
      <c r="D4814" s="28" t="s">
        <v>77</v>
      </c>
      <c r="E4814" s="28" t="s">
        <v>77</v>
      </c>
      <c r="F4814" s="28" t="s">
        <v>77</v>
      </c>
      <c r="G4814" s="28" t="s">
        <v>77</v>
      </c>
      <c r="I4814" s="26" t="s">
        <v>77</v>
      </c>
      <c r="J4814" s="26" t="s">
        <v>77</v>
      </c>
      <c r="K4814" s="18"/>
      <c r="L4814" s="26" t="s">
        <v>77</v>
      </c>
      <c r="M4814" s="6" t="s">
        <v>77</v>
      </c>
      <c r="N4814" s="28" t="s">
        <v>77</v>
      </c>
      <c r="O4814" s="26" t="s">
        <v>77</v>
      </c>
    </row>
    <row r="4815">
      <c r="A4815" s="52" t="s">
        <v>77</v>
      </c>
      <c r="B4815" s="28" t="s">
        <v>77</v>
      </c>
      <c r="C4815" s="28" t="s">
        <v>77</v>
      </c>
      <c r="D4815" s="28" t="s">
        <v>77</v>
      </c>
      <c r="E4815" s="28" t="s">
        <v>77</v>
      </c>
      <c r="F4815" s="28" t="s">
        <v>77</v>
      </c>
      <c r="G4815" s="28" t="s">
        <v>77</v>
      </c>
      <c r="I4815" s="26" t="s">
        <v>77</v>
      </c>
      <c r="J4815" s="26" t="s">
        <v>77</v>
      </c>
      <c r="K4815" s="18"/>
      <c r="L4815" s="26" t="s">
        <v>77</v>
      </c>
      <c r="M4815" s="6" t="s">
        <v>77</v>
      </c>
      <c r="N4815" s="28" t="s">
        <v>77</v>
      </c>
      <c r="O4815" s="26" t="s">
        <v>77</v>
      </c>
    </row>
    <row r="4816">
      <c r="A4816" s="52" t="s">
        <v>77</v>
      </c>
      <c r="B4816" s="28" t="s">
        <v>77</v>
      </c>
      <c r="C4816" s="28" t="s">
        <v>77</v>
      </c>
      <c r="D4816" s="28" t="s">
        <v>77</v>
      </c>
      <c r="E4816" s="28" t="s">
        <v>77</v>
      </c>
      <c r="F4816" s="28" t="s">
        <v>77</v>
      </c>
      <c r="G4816" s="28" t="s">
        <v>77</v>
      </c>
      <c r="I4816" s="26" t="s">
        <v>77</v>
      </c>
      <c r="J4816" s="26" t="s">
        <v>77</v>
      </c>
      <c r="K4816" s="18"/>
      <c r="L4816" s="26" t="s">
        <v>77</v>
      </c>
      <c r="M4816" s="6" t="s">
        <v>77</v>
      </c>
      <c r="N4816" s="28" t="s">
        <v>77</v>
      </c>
      <c r="O4816" s="26" t="s">
        <v>77</v>
      </c>
    </row>
    <row r="4817">
      <c r="A4817" s="52" t="s">
        <v>77</v>
      </c>
      <c r="B4817" s="28" t="s">
        <v>77</v>
      </c>
      <c r="C4817" s="28" t="s">
        <v>77</v>
      </c>
      <c r="D4817" s="28" t="s">
        <v>77</v>
      </c>
      <c r="E4817" s="28" t="s">
        <v>77</v>
      </c>
      <c r="F4817" s="28" t="s">
        <v>77</v>
      </c>
      <c r="G4817" s="28" t="s">
        <v>77</v>
      </c>
      <c r="I4817" s="26" t="s">
        <v>77</v>
      </c>
      <c r="J4817" s="26" t="s">
        <v>77</v>
      </c>
      <c r="K4817" s="18"/>
      <c r="L4817" s="26" t="s">
        <v>77</v>
      </c>
      <c r="M4817" s="6" t="s">
        <v>77</v>
      </c>
      <c r="N4817" s="28" t="s">
        <v>77</v>
      </c>
      <c r="O4817" s="26" t="s">
        <v>77</v>
      </c>
    </row>
    <row r="4818">
      <c r="A4818" s="52" t="s">
        <v>77</v>
      </c>
      <c r="B4818" s="28" t="s">
        <v>77</v>
      </c>
      <c r="C4818" s="28" t="s">
        <v>77</v>
      </c>
      <c r="D4818" s="28" t="s">
        <v>77</v>
      </c>
      <c r="E4818" s="28" t="s">
        <v>77</v>
      </c>
      <c r="F4818" s="28" t="s">
        <v>77</v>
      </c>
      <c r="G4818" s="28" t="s">
        <v>77</v>
      </c>
      <c r="I4818" s="26" t="s">
        <v>77</v>
      </c>
      <c r="J4818" s="26" t="s">
        <v>77</v>
      </c>
      <c r="K4818" s="18"/>
      <c r="L4818" s="26" t="s">
        <v>77</v>
      </c>
      <c r="M4818" s="6" t="s">
        <v>77</v>
      </c>
      <c r="N4818" s="28" t="s">
        <v>77</v>
      </c>
      <c r="O4818" s="26" t="s">
        <v>77</v>
      </c>
    </row>
    <row r="4819">
      <c r="A4819" s="52" t="s">
        <v>77</v>
      </c>
      <c r="B4819" s="28" t="s">
        <v>77</v>
      </c>
      <c r="C4819" s="28" t="s">
        <v>77</v>
      </c>
      <c r="D4819" s="28" t="s">
        <v>77</v>
      </c>
      <c r="E4819" s="28" t="s">
        <v>77</v>
      </c>
      <c r="F4819" s="28" t="s">
        <v>77</v>
      </c>
      <c r="G4819" s="28" t="s">
        <v>77</v>
      </c>
      <c r="I4819" s="26" t="s">
        <v>77</v>
      </c>
      <c r="J4819" s="26" t="s">
        <v>77</v>
      </c>
      <c r="K4819" s="18"/>
      <c r="L4819" s="26" t="s">
        <v>77</v>
      </c>
      <c r="M4819" s="6" t="s">
        <v>77</v>
      </c>
      <c r="N4819" s="28" t="s">
        <v>77</v>
      </c>
      <c r="O4819" s="26" t="s">
        <v>77</v>
      </c>
    </row>
    <row r="4820">
      <c r="A4820" s="52" t="s">
        <v>77</v>
      </c>
      <c r="B4820" s="28" t="s">
        <v>77</v>
      </c>
      <c r="C4820" s="28" t="s">
        <v>77</v>
      </c>
      <c r="D4820" s="28" t="s">
        <v>77</v>
      </c>
      <c r="E4820" s="28" t="s">
        <v>77</v>
      </c>
      <c r="F4820" s="28" t="s">
        <v>77</v>
      </c>
      <c r="G4820" s="28" t="s">
        <v>77</v>
      </c>
      <c r="I4820" s="26" t="s">
        <v>77</v>
      </c>
      <c r="J4820" s="26" t="s">
        <v>77</v>
      </c>
      <c r="K4820" s="18"/>
      <c r="L4820" s="26" t="s">
        <v>77</v>
      </c>
      <c r="M4820" s="6" t="s">
        <v>77</v>
      </c>
      <c r="N4820" s="28" t="s">
        <v>77</v>
      </c>
      <c r="O4820" s="26" t="s">
        <v>77</v>
      </c>
    </row>
    <row r="4821">
      <c r="A4821" s="52" t="s">
        <v>77</v>
      </c>
      <c r="B4821" s="28" t="s">
        <v>77</v>
      </c>
      <c r="C4821" s="28" t="s">
        <v>77</v>
      </c>
      <c r="D4821" s="28" t="s">
        <v>77</v>
      </c>
      <c r="E4821" s="28" t="s">
        <v>77</v>
      </c>
      <c r="F4821" s="28" t="s">
        <v>77</v>
      </c>
      <c r="G4821" s="28" t="s">
        <v>77</v>
      </c>
      <c r="I4821" s="26" t="s">
        <v>77</v>
      </c>
      <c r="J4821" s="26" t="s">
        <v>77</v>
      </c>
      <c r="K4821" s="18"/>
      <c r="L4821" s="26" t="s">
        <v>77</v>
      </c>
      <c r="M4821" s="6" t="s">
        <v>77</v>
      </c>
      <c r="N4821" s="28" t="s">
        <v>77</v>
      </c>
      <c r="O4821" s="26" t="s">
        <v>77</v>
      </c>
    </row>
    <row r="4822">
      <c r="A4822" s="52" t="s">
        <v>77</v>
      </c>
      <c r="B4822" s="28" t="s">
        <v>77</v>
      </c>
      <c r="C4822" s="28" t="s">
        <v>77</v>
      </c>
      <c r="D4822" s="28" t="s">
        <v>77</v>
      </c>
      <c r="E4822" s="28" t="s">
        <v>77</v>
      </c>
      <c r="F4822" s="28" t="s">
        <v>77</v>
      </c>
      <c r="G4822" s="28" t="s">
        <v>77</v>
      </c>
      <c r="I4822" s="26" t="s">
        <v>77</v>
      </c>
      <c r="J4822" s="26" t="s">
        <v>77</v>
      </c>
      <c r="K4822" s="18"/>
      <c r="L4822" s="26" t="s">
        <v>77</v>
      </c>
      <c r="M4822" s="6" t="s">
        <v>77</v>
      </c>
      <c r="N4822" s="28" t="s">
        <v>77</v>
      </c>
      <c r="O4822" s="26" t="s">
        <v>77</v>
      </c>
    </row>
    <row r="4823">
      <c r="A4823" s="52" t="s">
        <v>77</v>
      </c>
      <c r="B4823" s="28" t="s">
        <v>77</v>
      </c>
      <c r="C4823" s="28" t="s">
        <v>77</v>
      </c>
      <c r="D4823" s="28" t="s">
        <v>77</v>
      </c>
      <c r="E4823" s="28" t="s">
        <v>77</v>
      </c>
      <c r="F4823" s="28" t="s">
        <v>77</v>
      </c>
      <c r="G4823" s="28" t="s">
        <v>77</v>
      </c>
      <c r="I4823" s="26" t="s">
        <v>77</v>
      </c>
      <c r="J4823" s="26" t="s">
        <v>77</v>
      </c>
      <c r="K4823" s="18"/>
      <c r="L4823" s="26" t="s">
        <v>77</v>
      </c>
      <c r="M4823" s="6" t="s">
        <v>77</v>
      </c>
      <c r="N4823" s="28" t="s">
        <v>77</v>
      </c>
      <c r="O4823" s="26" t="s">
        <v>77</v>
      </c>
    </row>
    <row r="4824">
      <c r="A4824" s="52" t="s">
        <v>77</v>
      </c>
      <c r="B4824" s="28" t="s">
        <v>77</v>
      </c>
      <c r="C4824" s="28" t="s">
        <v>77</v>
      </c>
      <c r="D4824" s="28" t="s">
        <v>77</v>
      </c>
      <c r="E4824" s="28" t="s">
        <v>77</v>
      </c>
      <c r="F4824" s="28" t="s">
        <v>77</v>
      </c>
      <c r="G4824" s="28" t="s">
        <v>77</v>
      </c>
      <c r="I4824" s="26" t="s">
        <v>77</v>
      </c>
      <c r="J4824" s="26" t="s">
        <v>77</v>
      </c>
      <c r="K4824" s="18"/>
      <c r="L4824" s="26" t="s">
        <v>77</v>
      </c>
      <c r="M4824" s="6" t="s">
        <v>77</v>
      </c>
      <c r="N4824" s="28" t="s">
        <v>77</v>
      </c>
      <c r="O4824" s="26" t="s">
        <v>77</v>
      </c>
    </row>
    <row r="4825">
      <c r="A4825" s="52" t="s">
        <v>77</v>
      </c>
      <c r="B4825" s="28" t="s">
        <v>77</v>
      </c>
      <c r="C4825" s="28" t="s">
        <v>77</v>
      </c>
      <c r="D4825" s="28" t="s">
        <v>77</v>
      </c>
      <c r="E4825" s="28" t="s">
        <v>77</v>
      </c>
      <c r="F4825" s="28" t="s">
        <v>77</v>
      </c>
      <c r="G4825" s="28" t="s">
        <v>77</v>
      </c>
      <c r="I4825" s="26" t="s">
        <v>77</v>
      </c>
      <c r="J4825" s="26" t="s">
        <v>77</v>
      </c>
      <c r="K4825" s="18"/>
      <c r="L4825" s="26" t="s">
        <v>77</v>
      </c>
      <c r="M4825" s="6" t="s">
        <v>77</v>
      </c>
      <c r="N4825" s="28" t="s">
        <v>77</v>
      </c>
      <c r="O4825" s="26" t="s">
        <v>77</v>
      </c>
    </row>
    <row r="4826">
      <c r="A4826" s="52" t="s">
        <v>77</v>
      </c>
      <c r="B4826" s="28" t="s">
        <v>77</v>
      </c>
      <c r="C4826" s="28" t="s">
        <v>77</v>
      </c>
      <c r="D4826" s="28" t="s">
        <v>77</v>
      </c>
      <c r="E4826" s="28" t="s">
        <v>77</v>
      </c>
      <c r="F4826" s="28" t="s">
        <v>77</v>
      </c>
      <c r="G4826" s="28" t="s">
        <v>77</v>
      </c>
      <c r="I4826" s="26" t="s">
        <v>77</v>
      </c>
      <c r="J4826" s="26" t="s">
        <v>77</v>
      </c>
      <c r="K4826" s="18"/>
      <c r="L4826" s="26" t="s">
        <v>77</v>
      </c>
      <c r="M4826" s="6" t="s">
        <v>77</v>
      </c>
      <c r="N4826" s="28" t="s">
        <v>77</v>
      </c>
      <c r="O4826" s="26" t="s">
        <v>77</v>
      </c>
    </row>
    <row r="4827">
      <c r="A4827" s="52" t="s">
        <v>77</v>
      </c>
      <c r="B4827" s="28" t="s">
        <v>77</v>
      </c>
      <c r="C4827" s="28" t="s">
        <v>77</v>
      </c>
      <c r="D4827" s="28" t="s">
        <v>77</v>
      </c>
      <c r="E4827" s="28" t="s">
        <v>77</v>
      </c>
      <c r="F4827" s="28" t="s">
        <v>77</v>
      </c>
      <c r="G4827" s="28" t="s">
        <v>77</v>
      </c>
      <c r="I4827" s="26" t="s">
        <v>77</v>
      </c>
      <c r="J4827" s="26" t="s">
        <v>77</v>
      </c>
      <c r="K4827" s="18"/>
      <c r="L4827" s="26" t="s">
        <v>77</v>
      </c>
      <c r="M4827" s="6" t="s">
        <v>77</v>
      </c>
      <c r="N4827" s="28" t="s">
        <v>77</v>
      </c>
      <c r="O4827" s="26" t="s">
        <v>77</v>
      </c>
    </row>
    <row r="4828">
      <c r="A4828" s="52" t="s">
        <v>77</v>
      </c>
      <c r="B4828" s="28" t="s">
        <v>77</v>
      </c>
      <c r="C4828" s="28" t="s">
        <v>77</v>
      </c>
      <c r="D4828" s="28" t="s">
        <v>77</v>
      </c>
      <c r="E4828" s="28" t="s">
        <v>77</v>
      </c>
      <c r="F4828" s="28" t="s">
        <v>77</v>
      </c>
      <c r="G4828" s="28" t="s">
        <v>77</v>
      </c>
      <c r="I4828" s="26" t="s">
        <v>77</v>
      </c>
      <c r="J4828" s="26" t="s">
        <v>77</v>
      </c>
      <c r="K4828" s="18"/>
      <c r="L4828" s="26" t="s">
        <v>77</v>
      </c>
      <c r="M4828" s="6" t="s">
        <v>77</v>
      </c>
      <c r="N4828" s="28" t="s">
        <v>77</v>
      </c>
      <c r="O4828" s="26" t="s">
        <v>77</v>
      </c>
    </row>
    <row r="4829">
      <c r="A4829" s="52" t="s">
        <v>77</v>
      </c>
      <c r="B4829" s="28" t="s">
        <v>77</v>
      </c>
      <c r="C4829" s="28" t="s">
        <v>77</v>
      </c>
      <c r="D4829" s="28" t="s">
        <v>77</v>
      </c>
      <c r="E4829" s="28" t="s">
        <v>77</v>
      </c>
      <c r="F4829" s="28" t="s">
        <v>77</v>
      </c>
      <c r="G4829" s="28" t="s">
        <v>77</v>
      </c>
      <c r="I4829" s="26" t="s">
        <v>77</v>
      </c>
      <c r="J4829" s="26" t="s">
        <v>77</v>
      </c>
      <c r="K4829" s="18"/>
      <c r="L4829" s="26" t="s">
        <v>77</v>
      </c>
      <c r="M4829" s="6" t="s">
        <v>77</v>
      </c>
      <c r="N4829" s="28" t="s">
        <v>77</v>
      </c>
      <c r="O4829" s="26" t="s">
        <v>77</v>
      </c>
    </row>
    <row r="4830">
      <c r="A4830" s="52" t="s">
        <v>77</v>
      </c>
      <c r="B4830" s="28" t="s">
        <v>77</v>
      </c>
      <c r="C4830" s="28" t="s">
        <v>77</v>
      </c>
      <c r="D4830" s="28" t="s">
        <v>77</v>
      </c>
      <c r="E4830" s="28" t="s">
        <v>77</v>
      </c>
      <c r="F4830" s="28" t="s">
        <v>77</v>
      </c>
      <c r="G4830" s="28" t="s">
        <v>77</v>
      </c>
      <c r="I4830" s="26" t="s">
        <v>77</v>
      </c>
      <c r="J4830" s="26" t="s">
        <v>77</v>
      </c>
      <c r="K4830" s="18"/>
      <c r="L4830" s="26" t="s">
        <v>77</v>
      </c>
      <c r="M4830" s="6" t="s">
        <v>77</v>
      </c>
      <c r="N4830" s="28" t="s">
        <v>77</v>
      </c>
      <c r="O4830" s="26" t="s">
        <v>77</v>
      </c>
    </row>
    <row r="4831">
      <c r="A4831" s="52" t="s">
        <v>77</v>
      </c>
      <c r="B4831" s="28" t="s">
        <v>77</v>
      </c>
      <c r="C4831" s="28" t="s">
        <v>77</v>
      </c>
      <c r="D4831" s="28" t="s">
        <v>77</v>
      </c>
      <c r="E4831" s="28" t="s">
        <v>77</v>
      </c>
      <c r="F4831" s="28" t="s">
        <v>77</v>
      </c>
      <c r="G4831" s="28" t="s">
        <v>77</v>
      </c>
      <c r="I4831" s="26" t="s">
        <v>77</v>
      </c>
      <c r="J4831" s="26" t="s">
        <v>77</v>
      </c>
      <c r="K4831" s="18"/>
      <c r="L4831" s="26" t="s">
        <v>77</v>
      </c>
      <c r="M4831" s="6" t="s">
        <v>77</v>
      </c>
      <c r="N4831" s="28" t="s">
        <v>77</v>
      </c>
      <c r="O4831" s="26" t="s">
        <v>77</v>
      </c>
    </row>
    <row r="4832">
      <c r="A4832" s="52" t="s">
        <v>77</v>
      </c>
      <c r="B4832" s="28" t="s">
        <v>77</v>
      </c>
      <c r="C4832" s="28" t="s">
        <v>77</v>
      </c>
      <c r="D4832" s="28" t="s">
        <v>77</v>
      </c>
      <c r="E4832" s="28" t="s">
        <v>77</v>
      </c>
      <c r="F4832" s="28" t="s">
        <v>77</v>
      </c>
      <c r="G4832" s="28" t="s">
        <v>77</v>
      </c>
      <c r="I4832" s="26" t="s">
        <v>77</v>
      </c>
      <c r="J4832" s="26" t="s">
        <v>77</v>
      </c>
      <c r="K4832" s="18"/>
      <c r="L4832" s="26" t="s">
        <v>77</v>
      </c>
      <c r="M4832" s="6" t="s">
        <v>77</v>
      </c>
      <c r="N4832" s="28" t="s">
        <v>77</v>
      </c>
      <c r="O4832" s="26" t="s">
        <v>77</v>
      </c>
    </row>
    <row r="4833">
      <c r="A4833" s="52" t="s">
        <v>77</v>
      </c>
      <c r="B4833" s="28" t="s">
        <v>77</v>
      </c>
      <c r="C4833" s="28" t="s">
        <v>77</v>
      </c>
      <c r="D4833" s="28" t="s">
        <v>77</v>
      </c>
      <c r="E4833" s="28" t="s">
        <v>77</v>
      </c>
      <c r="F4833" s="28" t="s">
        <v>77</v>
      </c>
      <c r="G4833" s="28" t="s">
        <v>77</v>
      </c>
      <c r="I4833" s="26" t="s">
        <v>77</v>
      </c>
      <c r="J4833" s="26" t="s">
        <v>77</v>
      </c>
      <c r="K4833" s="18"/>
      <c r="L4833" s="26" t="s">
        <v>77</v>
      </c>
      <c r="M4833" s="6" t="s">
        <v>77</v>
      </c>
      <c r="N4833" s="28" t="s">
        <v>77</v>
      </c>
      <c r="O4833" s="26" t="s">
        <v>77</v>
      </c>
    </row>
    <row r="4834">
      <c r="A4834" s="52" t="s">
        <v>77</v>
      </c>
      <c r="B4834" s="28" t="s">
        <v>77</v>
      </c>
      <c r="C4834" s="28" t="s">
        <v>77</v>
      </c>
      <c r="D4834" s="28" t="s">
        <v>77</v>
      </c>
      <c r="E4834" s="28" t="s">
        <v>77</v>
      </c>
      <c r="F4834" s="28" t="s">
        <v>77</v>
      </c>
      <c r="G4834" s="28" t="s">
        <v>77</v>
      </c>
      <c r="I4834" s="26" t="s">
        <v>77</v>
      </c>
      <c r="J4834" s="26" t="s">
        <v>77</v>
      </c>
      <c r="K4834" s="18"/>
      <c r="L4834" s="26" t="s">
        <v>77</v>
      </c>
      <c r="M4834" s="6" t="s">
        <v>77</v>
      </c>
      <c r="N4834" s="28" t="s">
        <v>77</v>
      </c>
      <c r="O4834" s="26" t="s">
        <v>77</v>
      </c>
    </row>
    <row r="4835">
      <c r="A4835" s="52" t="s">
        <v>77</v>
      </c>
      <c r="B4835" s="28" t="s">
        <v>77</v>
      </c>
      <c r="C4835" s="28" t="s">
        <v>77</v>
      </c>
      <c r="D4835" s="28" t="s">
        <v>77</v>
      </c>
      <c r="E4835" s="28" t="s">
        <v>77</v>
      </c>
      <c r="F4835" s="28" t="s">
        <v>77</v>
      </c>
      <c r="G4835" s="28" t="s">
        <v>77</v>
      </c>
      <c r="I4835" s="26" t="s">
        <v>77</v>
      </c>
      <c r="J4835" s="26" t="s">
        <v>77</v>
      </c>
      <c r="K4835" s="18"/>
      <c r="L4835" s="26" t="s">
        <v>77</v>
      </c>
      <c r="M4835" s="6" t="s">
        <v>77</v>
      </c>
      <c r="N4835" s="28" t="s">
        <v>77</v>
      </c>
      <c r="O4835" s="26" t="s">
        <v>77</v>
      </c>
    </row>
    <row r="4836">
      <c r="A4836" s="52" t="s">
        <v>77</v>
      </c>
      <c r="B4836" s="28" t="s">
        <v>77</v>
      </c>
      <c r="C4836" s="28" t="s">
        <v>77</v>
      </c>
      <c r="D4836" s="28" t="s">
        <v>77</v>
      </c>
      <c r="E4836" s="28" t="s">
        <v>77</v>
      </c>
      <c r="F4836" s="28" t="s">
        <v>77</v>
      </c>
      <c r="G4836" s="28" t="s">
        <v>77</v>
      </c>
      <c r="I4836" s="26" t="s">
        <v>77</v>
      </c>
      <c r="J4836" s="26" t="s">
        <v>77</v>
      </c>
      <c r="K4836" s="18"/>
      <c r="L4836" s="26" t="s">
        <v>77</v>
      </c>
      <c r="M4836" s="6" t="s">
        <v>77</v>
      </c>
      <c r="N4836" s="28" t="s">
        <v>77</v>
      </c>
      <c r="O4836" s="26" t="s">
        <v>77</v>
      </c>
    </row>
    <row r="4837">
      <c r="A4837" s="52" t="s">
        <v>77</v>
      </c>
      <c r="B4837" s="28" t="s">
        <v>77</v>
      </c>
      <c r="C4837" s="28" t="s">
        <v>77</v>
      </c>
      <c r="D4837" s="28" t="s">
        <v>77</v>
      </c>
      <c r="E4837" s="28" t="s">
        <v>77</v>
      </c>
      <c r="F4837" s="28" t="s">
        <v>77</v>
      </c>
      <c r="G4837" s="28" t="s">
        <v>77</v>
      </c>
      <c r="I4837" s="26" t="s">
        <v>77</v>
      </c>
      <c r="J4837" s="26" t="s">
        <v>77</v>
      </c>
      <c r="K4837" s="18"/>
      <c r="L4837" s="26" t="s">
        <v>77</v>
      </c>
      <c r="M4837" s="6" t="s">
        <v>77</v>
      </c>
      <c r="N4837" s="28" t="s">
        <v>77</v>
      </c>
      <c r="O4837" s="26" t="s">
        <v>77</v>
      </c>
    </row>
    <row r="4838">
      <c r="A4838" s="52" t="s">
        <v>77</v>
      </c>
      <c r="B4838" s="28" t="s">
        <v>77</v>
      </c>
      <c r="C4838" s="28" t="s">
        <v>77</v>
      </c>
      <c r="D4838" s="28" t="s">
        <v>77</v>
      </c>
      <c r="E4838" s="28" t="s">
        <v>77</v>
      </c>
      <c r="F4838" s="28" t="s">
        <v>77</v>
      </c>
      <c r="G4838" s="28" t="s">
        <v>77</v>
      </c>
      <c r="I4838" s="26" t="s">
        <v>77</v>
      </c>
      <c r="J4838" s="26" t="s">
        <v>77</v>
      </c>
      <c r="K4838" s="18"/>
      <c r="L4838" s="26" t="s">
        <v>77</v>
      </c>
      <c r="M4838" s="6" t="s">
        <v>77</v>
      </c>
      <c r="N4838" s="28" t="s">
        <v>77</v>
      </c>
      <c r="O4838" s="26" t="s">
        <v>77</v>
      </c>
    </row>
    <row r="4839">
      <c r="A4839" s="52" t="s">
        <v>77</v>
      </c>
      <c r="B4839" s="28" t="s">
        <v>77</v>
      </c>
      <c r="C4839" s="28" t="s">
        <v>77</v>
      </c>
      <c r="D4839" s="28" t="s">
        <v>77</v>
      </c>
      <c r="E4839" s="28" t="s">
        <v>77</v>
      </c>
      <c r="F4839" s="28" t="s">
        <v>77</v>
      </c>
      <c r="G4839" s="28" t="s">
        <v>77</v>
      </c>
      <c r="I4839" s="26" t="s">
        <v>77</v>
      </c>
      <c r="J4839" s="26" t="s">
        <v>77</v>
      </c>
      <c r="K4839" s="18"/>
      <c r="L4839" s="26" t="s">
        <v>77</v>
      </c>
      <c r="M4839" s="6" t="s">
        <v>77</v>
      </c>
      <c r="N4839" s="28" t="s">
        <v>77</v>
      </c>
      <c r="O4839" s="26" t="s">
        <v>77</v>
      </c>
    </row>
    <row r="4840">
      <c r="A4840" s="52" t="s">
        <v>77</v>
      </c>
      <c r="B4840" s="28" t="s">
        <v>77</v>
      </c>
      <c r="C4840" s="28" t="s">
        <v>77</v>
      </c>
      <c r="D4840" s="28" t="s">
        <v>77</v>
      </c>
      <c r="E4840" s="28" t="s">
        <v>77</v>
      </c>
      <c r="F4840" s="28" t="s">
        <v>77</v>
      </c>
      <c r="G4840" s="28" t="s">
        <v>77</v>
      </c>
      <c r="I4840" s="26" t="s">
        <v>77</v>
      </c>
      <c r="J4840" s="26" t="s">
        <v>77</v>
      </c>
      <c r="K4840" s="18"/>
      <c r="L4840" s="26" t="s">
        <v>77</v>
      </c>
      <c r="M4840" s="6" t="s">
        <v>77</v>
      </c>
      <c r="N4840" s="28" t="s">
        <v>77</v>
      </c>
      <c r="O4840" s="26" t="s">
        <v>77</v>
      </c>
    </row>
    <row r="4841">
      <c r="A4841" s="52" t="s">
        <v>77</v>
      </c>
      <c r="B4841" s="28" t="s">
        <v>77</v>
      </c>
      <c r="C4841" s="28" t="s">
        <v>77</v>
      </c>
      <c r="D4841" s="28" t="s">
        <v>77</v>
      </c>
      <c r="E4841" s="28" t="s">
        <v>77</v>
      </c>
      <c r="F4841" s="28" t="s">
        <v>77</v>
      </c>
      <c r="G4841" s="28" t="s">
        <v>77</v>
      </c>
      <c r="I4841" s="26" t="s">
        <v>77</v>
      </c>
      <c r="J4841" s="26" t="s">
        <v>77</v>
      </c>
      <c r="K4841" s="18"/>
      <c r="L4841" s="26" t="s">
        <v>77</v>
      </c>
      <c r="M4841" s="6" t="s">
        <v>77</v>
      </c>
      <c r="N4841" s="28" t="s">
        <v>77</v>
      </c>
      <c r="O4841" s="26" t="s">
        <v>77</v>
      </c>
    </row>
    <row r="4842">
      <c r="A4842" s="52" t="s">
        <v>77</v>
      </c>
      <c r="B4842" s="28" t="s">
        <v>77</v>
      </c>
      <c r="C4842" s="28" t="s">
        <v>77</v>
      </c>
      <c r="D4842" s="28" t="s">
        <v>77</v>
      </c>
      <c r="E4842" s="28" t="s">
        <v>77</v>
      </c>
      <c r="F4842" s="28" t="s">
        <v>77</v>
      </c>
      <c r="G4842" s="28" t="s">
        <v>77</v>
      </c>
      <c r="I4842" s="26" t="s">
        <v>77</v>
      </c>
      <c r="J4842" s="26" t="s">
        <v>77</v>
      </c>
      <c r="K4842" s="18"/>
      <c r="L4842" s="26" t="s">
        <v>77</v>
      </c>
      <c r="M4842" s="6" t="s">
        <v>77</v>
      </c>
      <c r="N4842" s="28" t="s">
        <v>77</v>
      </c>
      <c r="O4842" s="26" t="s">
        <v>77</v>
      </c>
    </row>
    <row r="4843">
      <c r="A4843" s="52" t="s">
        <v>77</v>
      </c>
      <c r="B4843" s="28" t="s">
        <v>77</v>
      </c>
      <c r="C4843" s="28" t="s">
        <v>77</v>
      </c>
      <c r="D4843" s="28" t="s">
        <v>77</v>
      </c>
      <c r="E4843" s="28" t="s">
        <v>77</v>
      </c>
      <c r="F4843" s="28" t="s">
        <v>77</v>
      </c>
      <c r="G4843" s="28" t="s">
        <v>77</v>
      </c>
      <c r="I4843" s="26" t="s">
        <v>77</v>
      </c>
      <c r="J4843" s="26" t="s">
        <v>77</v>
      </c>
      <c r="K4843" s="18"/>
      <c r="L4843" s="26" t="s">
        <v>77</v>
      </c>
      <c r="M4843" s="6" t="s">
        <v>77</v>
      </c>
      <c r="N4843" s="28" t="s">
        <v>77</v>
      </c>
      <c r="O4843" s="26" t="s">
        <v>77</v>
      </c>
    </row>
    <row r="4844">
      <c r="A4844" s="52" t="s">
        <v>77</v>
      </c>
      <c r="B4844" s="28" t="s">
        <v>77</v>
      </c>
      <c r="C4844" s="28" t="s">
        <v>77</v>
      </c>
      <c r="D4844" s="28" t="s">
        <v>77</v>
      </c>
      <c r="E4844" s="28" t="s">
        <v>77</v>
      </c>
      <c r="F4844" s="28" t="s">
        <v>77</v>
      </c>
      <c r="G4844" s="28" t="s">
        <v>77</v>
      </c>
      <c r="I4844" s="26" t="s">
        <v>77</v>
      </c>
      <c r="J4844" s="26" t="s">
        <v>77</v>
      </c>
      <c r="K4844" s="18"/>
      <c r="L4844" s="26" t="s">
        <v>77</v>
      </c>
      <c r="M4844" s="6" t="s">
        <v>77</v>
      </c>
      <c r="N4844" s="28" t="s">
        <v>77</v>
      </c>
      <c r="O4844" s="26" t="s">
        <v>77</v>
      </c>
    </row>
    <row r="4845">
      <c r="A4845" s="52" t="s">
        <v>77</v>
      </c>
      <c r="B4845" s="28" t="s">
        <v>77</v>
      </c>
      <c r="C4845" s="28" t="s">
        <v>77</v>
      </c>
      <c r="D4845" s="28" t="s">
        <v>77</v>
      </c>
      <c r="E4845" s="28" t="s">
        <v>77</v>
      </c>
      <c r="F4845" s="28" t="s">
        <v>77</v>
      </c>
      <c r="G4845" s="28" t="s">
        <v>77</v>
      </c>
      <c r="I4845" s="26" t="s">
        <v>77</v>
      </c>
      <c r="J4845" s="26" t="s">
        <v>77</v>
      </c>
      <c r="K4845" s="18"/>
      <c r="L4845" s="26" t="s">
        <v>77</v>
      </c>
      <c r="M4845" s="6" t="s">
        <v>77</v>
      </c>
      <c r="N4845" s="28" t="s">
        <v>77</v>
      </c>
      <c r="O4845" s="26" t="s">
        <v>77</v>
      </c>
    </row>
    <row r="4846">
      <c r="A4846" s="52" t="s">
        <v>77</v>
      </c>
      <c r="B4846" s="28" t="s">
        <v>77</v>
      </c>
      <c r="C4846" s="28" t="s">
        <v>77</v>
      </c>
      <c r="D4846" s="28" t="s">
        <v>77</v>
      </c>
      <c r="E4846" s="28" t="s">
        <v>77</v>
      </c>
      <c r="F4846" s="28" t="s">
        <v>77</v>
      </c>
      <c r="G4846" s="28" t="s">
        <v>77</v>
      </c>
      <c r="I4846" s="26" t="s">
        <v>77</v>
      </c>
      <c r="J4846" s="26" t="s">
        <v>77</v>
      </c>
      <c r="K4846" s="18"/>
      <c r="L4846" s="26" t="s">
        <v>77</v>
      </c>
      <c r="M4846" s="6" t="s">
        <v>77</v>
      </c>
      <c r="N4846" s="28" t="s">
        <v>77</v>
      </c>
      <c r="O4846" s="26" t="s">
        <v>77</v>
      </c>
    </row>
    <row r="4847">
      <c r="A4847" s="52" t="s">
        <v>77</v>
      </c>
      <c r="B4847" s="28" t="s">
        <v>77</v>
      </c>
      <c r="C4847" s="28" t="s">
        <v>77</v>
      </c>
      <c r="D4847" s="28" t="s">
        <v>77</v>
      </c>
      <c r="E4847" s="28" t="s">
        <v>77</v>
      </c>
      <c r="F4847" s="28" t="s">
        <v>77</v>
      </c>
      <c r="G4847" s="28" t="s">
        <v>77</v>
      </c>
      <c r="I4847" s="26" t="s">
        <v>77</v>
      </c>
      <c r="J4847" s="26" t="s">
        <v>77</v>
      </c>
      <c r="K4847" s="18"/>
      <c r="L4847" s="26" t="s">
        <v>77</v>
      </c>
      <c r="M4847" s="6" t="s">
        <v>77</v>
      </c>
      <c r="N4847" s="28" t="s">
        <v>77</v>
      </c>
      <c r="O4847" s="26" t="s">
        <v>77</v>
      </c>
    </row>
    <row r="4848">
      <c r="A4848" s="52" t="s">
        <v>77</v>
      </c>
      <c r="B4848" s="28" t="s">
        <v>77</v>
      </c>
      <c r="C4848" s="28" t="s">
        <v>77</v>
      </c>
      <c r="D4848" s="28" t="s">
        <v>77</v>
      </c>
      <c r="E4848" s="28" t="s">
        <v>77</v>
      </c>
      <c r="F4848" s="28" t="s">
        <v>77</v>
      </c>
      <c r="G4848" s="28" t="s">
        <v>77</v>
      </c>
      <c r="I4848" s="26" t="s">
        <v>77</v>
      </c>
      <c r="J4848" s="26" t="s">
        <v>77</v>
      </c>
      <c r="K4848" s="18"/>
      <c r="L4848" s="26" t="s">
        <v>77</v>
      </c>
      <c r="M4848" s="6" t="s">
        <v>77</v>
      </c>
      <c r="N4848" s="28" t="s">
        <v>77</v>
      </c>
      <c r="O4848" s="26" t="s">
        <v>77</v>
      </c>
    </row>
    <row r="4849">
      <c r="A4849" s="52" t="s">
        <v>77</v>
      </c>
      <c r="B4849" s="28" t="s">
        <v>77</v>
      </c>
      <c r="C4849" s="28" t="s">
        <v>77</v>
      </c>
      <c r="D4849" s="28" t="s">
        <v>77</v>
      </c>
      <c r="E4849" s="28" t="s">
        <v>77</v>
      </c>
      <c r="F4849" s="28" t="s">
        <v>77</v>
      </c>
      <c r="G4849" s="28" t="s">
        <v>77</v>
      </c>
      <c r="I4849" s="26" t="s">
        <v>77</v>
      </c>
      <c r="J4849" s="26" t="s">
        <v>77</v>
      </c>
      <c r="K4849" s="18"/>
      <c r="L4849" s="26" t="s">
        <v>77</v>
      </c>
      <c r="M4849" s="6" t="s">
        <v>77</v>
      </c>
      <c r="N4849" s="28" t="s">
        <v>77</v>
      </c>
      <c r="O4849" s="26" t="s">
        <v>77</v>
      </c>
    </row>
    <row r="4850">
      <c r="A4850" s="52" t="s">
        <v>77</v>
      </c>
      <c r="B4850" s="28" t="s">
        <v>77</v>
      </c>
      <c r="C4850" s="28" t="s">
        <v>77</v>
      </c>
      <c r="D4850" s="28" t="s">
        <v>77</v>
      </c>
      <c r="E4850" s="28" t="s">
        <v>77</v>
      </c>
      <c r="F4850" s="28" t="s">
        <v>77</v>
      </c>
      <c r="G4850" s="28" t="s">
        <v>77</v>
      </c>
      <c r="I4850" s="26" t="s">
        <v>77</v>
      </c>
      <c r="J4850" s="26" t="s">
        <v>77</v>
      </c>
      <c r="K4850" s="18"/>
      <c r="L4850" s="26" t="s">
        <v>77</v>
      </c>
      <c r="M4850" s="6" t="s">
        <v>77</v>
      </c>
      <c r="N4850" s="28" t="s">
        <v>77</v>
      </c>
      <c r="O4850" s="26" t="s">
        <v>77</v>
      </c>
    </row>
    <row r="4851">
      <c r="A4851" s="52" t="s">
        <v>77</v>
      </c>
      <c r="B4851" s="28" t="s">
        <v>77</v>
      </c>
      <c r="C4851" s="28" t="s">
        <v>77</v>
      </c>
      <c r="D4851" s="28" t="s">
        <v>77</v>
      </c>
      <c r="E4851" s="28" t="s">
        <v>77</v>
      </c>
      <c r="F4851" s="28" t="s">
        <v>77</v>
      </c>
      <c r="G4851" s="28" t="s">
        <v>77</v>
      </c>
      <c r="I4851" s="26" t="s">
        <v>77</v>
      </c>
      <c r="J4851" s="26" t="s">
        <v>77</v>
      </c>
      <c r="K4851" s="18"/>
      <c r="L4851" s="26" t="s">
        <v>77</v>
      </c>
      <c r="M4851" s="6" t="s">
        <v>77</v>
      </c>
      <c r="N4851" s="28" t="s">
        <v>77</v>
      </c>
      <c r="O4851" s="26" t="s">
        <v>77</v>
      </c>
    </row>
    <row r="4852">
      <c r="A4852" s="52" t="s">
        <v>77</v>
      </c>
      <c r="B4852" s="28" t="s">
        <v>77</v>
      </c>
      <c r="C4852" s="28" t="s">
        <v>77</v>
      </c>
      <c r="D4852" s="28" t="s">
        <v>77</v>
      </c>
      <c r="E4852" s="28" t="s">
        <v>77</v>
      </c>
      <c r="F4852" s="28" t="s">
        <v>77</v>
      </c>
      <c r="G4852" s="28" t="s">
        <v>77</v>
      </c>
      <c r="I4852" s="26" t="s">
        <v>77</v>
      </c>
      <c r="J4852" s="26" t="s">
        <v>77</v>
      </c>
      <c r="K4852" s="18"/>
      <c r="L4852" s="26" t="s">
        <v>77</v>
      </c>
      <c r="M4852" s="6" t="s">
        <v>77</v>
      </c>
      <c r="N4852" s="28" t="s">
        <v>77</v>
      </c>
      <c r="O4852" s="26" t="s">
        <v>77</v>
      </c>
    </row>
    <row r="4853">
      <c r="A4853" s="52" t="s">
        <v>77</v>
      </c>
      <c r="B4853" s="28" t="s">
        <v>77</v>
      </c>
      <c r="C4853" s="28" t="s">
        <v>77</v>
      </c>
      <c r="D4853" s="28" t="s">
        <v>77</v>
      </c>
      <c r="E4853" s="28" t="s">
        <v>77</v>
      </c>
      <c r="F4853" s="28" t="s">
        <v>77</v>
      </c>
      <c r="G4853" s="28" t="s">
        <v>77</v>
      </c>
      <c r="I4853" s="26" t="s">
        <v>77</v>
      </c>
      <c r="J4853" s="26" t="s">
        <v>77</v>
      </c>
      <c r="K4853" s="18"/>
      <c r="L4853" s="26" t="s">
        <v>77</v>
      </c>
      <c r="M4853" s="6" t="s">
        <v>77</v>
      </c>
      <c r="N4853" s="28" t="s">
        <v>77</v>
      </c>
      <c r="O4853" s="26" t="s">
        <v>77</v>
      </c>
    </row>
    <row r="4854">
      <c r="A4854" s="52" t="s">
        <v>77</v>
      </c>
      <c r="B4854" s="28" t="s">
        <v>77</v>
      </c>
      <c r="C4854" s="28" t="s">
        <v>77</v>
      </c>
      <c r="D4854" s="28" t="s">
        <v>77</v>
      </c>
      <c r="E4854" s="28" t="s">
        <v>77</v>
      </c>
      <c r="F4854" s="28" t="s">
        <v>77</v>
      </c>
      <c r="G4854" s="28" t="s">
        <v>77</v>
      </c>
      <c r="I4854" s="26" t="s">
        <v>77</v>
      </c>
      <c r="J4854" s="26" t="s">
        <v>77</v>
      </c>
      <c r="K4854" s="18"/>
      <c r="L4854" s="26" t="s">
        <v>77</v>
      </c>
      <c r="M4854" s="6" t="s">
        <v>77</v>
      </c>
      <c r="N4854" s="28" t="s">
        <v>77</v>
      </c>
      <c r="O4854" s="26" t="s">
        <v>77</v>
      </c>
    </row>
    <row r="4855">
      <c r="A4855" s="52" t="s">
        <v>77</v>
      </c>
      <c r="B4855" s="28" t="s">
        <v>77</v>
      </c>
      <c r="C4855" s="28" t="s">
        <v>77</v>
      </c>
      <c r="D4855" s="28" t="s">
        <v>77</v>
      </c>
      <c r="E4855" s="28" t="s">
        <v>77</v>
      </c>
      <c r="F4855" s="28" t="s">
        <v>77</v>
      </c>
      <c r="G4855" s="28" t="s">
        <v>77</v>
      </c>
      <c r="I4855" s="26" t="s">
        <v>77</v>
      </c>
      <c r="J4855" s="26" t="s">
        <v>77</v>
      </c>
      <c r="K4855" s="18"/>
      <c r="L4855" s="26" t="s">
        <v>77</v>
      </c>
      <c r="M4855" s="6" t="s">
        <v>77</v>
      </c>
      <c r="N4855" s="28" t="s">
        <v>77</v>
      </c>
      <c r="O4855" s="26" t="s">
        <v>77</v>
      </c>
    </row>
    <row r="4856">
      <c r="A4856" s="52" t="s">
        <v>77</v>
      </c>
      <c r="B4856" s="28" t="s">
        <v>77</v>
      </c>
      <c r="C4856" s="28" t="s">
        <v>77</v>
      </c>
      <c r="D4856" s="28" t="s">
        <v>77</v>
      </c>
      <c r="E4856" s="28" t="s">
        <v>77</v>
      </c>
      <c r="F4856" s="28" t="s">
        <v>77</v>
      </c>
      <c r="G4856" s="28" t="s">
        <v>77</v>
      </c>
      <c r="I4856" s="26" t="s">
        <v>77</v>
      </c>
      <c r="J4856" s="26" t="s">
        <v>77</v>
      </c>
      <c r="K4856" s="18"/>
      <c r="L4856" s="26" t="s">
        <v>77</v>
      </c>
      <c r="M4856" s="6" t="s">
        <v>77</v>
      </c>
      <c r="N4856" s="28" t="s">
        <v>77</v>
      </c>
      <c r="O4856" s="26" t="s">
        <v>77</v>
      </c>
    </row>
    <row r="4857">
      <c r="A4857" s="52" t="s">
        <v>77</v>
      </c>
      <c r="B4857" s="28" t="s">
        <v>77</v>
      </c>
      <c r="C4857" s="28" t="s">
        <v>77</v>
      </c>
      <c r="D4857" s="28" t="s">
        <v>77</v>
      </c>
      <c r="E4857" s="28" t="s">
        <v>77</v>
      </c>
      <c r="F4857" s="28" t="s">
        <v>77</v>
      </c>
      <c r="G4857" s="28" t="s">
        <v>77</v>
      </c>
      <c r="I4857" s="26" t="s">
        <v>77</v>
      </c>
      <c r="J4857" s="26" t="s">
        <v>77</v>
      </c>
      <c r="K4857" s="18"/>
      <c r="L4857" s="26" t="s">
        <v>77</v>
      </c>
      <c r="M4857" s="6" t="s">
        <v>77</v>
      </c>
      <c r="N4857" s="28" t="s">
        <v>77</v>
      </c>
      <c r="O4857" s="26" t="s">
        <v>77</v>
      </c>
    </row>
    <row r="4858">
      <c r="A4858" s="52" t="s">
        <v>77</v>
      </c>
      <c r="B4858" s="28" t="s">
        <v>77</v>
      </c>
      <c r="C4858" s="28" t="s">
        <v>77</v>
      </c>
      <c r="D4858" s="28" t="s">
        <v>77</v>
      </c>
      <c r="E4858" s="28" t="s">
        <v>77</v>
      </c>
      <c r="F4858" s="28" t="s">
        <v>77</v>
      </c>
      <c r="G4858" s="28" t="s">
        <v>77</v>
      </c>
      <c r="I4858" s="26" t="s">
        <v>77</v>
      </c>
      <c r="J4858" s="26" t="s">
        <v>77</v>
      </c>
      <c r="K4858" s="18"/>
      <c r="L4858" s="26" t="s">
        <v>77</v>
      </c>
      <c r="M4858" s="6" t="s">
        <v>77</v>
      </c>
      <c r="N4858" s="28" t="s">
        <v>77</v>
      </c>
      <c r="O4858" s="26" t="s">
        <v>77</v>
      </c>
    </row>
    <row r="4859">
      <c r="A4859" s="52" t="s">
        <v>77</v>
      </c>
      <c r="B4859" s="28" t="s">
        <v>77</v>
      </c>
      <c r="C4859" s="28" t="s">
        <v>77</v>
      </c>
      <c r="D4859" s="28" t="s">
        <v>77</v>
      </c>
      <c r="E4859" s="28" t="s">
        <v>77</v>
      </c>
      <c r="F4859" s="28" t="s">
        <v>77</v>
      </c>
      <c r="G4859" s="28" t="s">
        <v>77</v>
      </c>
      <c r="I4859" s="26" t="s">
        <v>77</v>
      </c>
      <c r="J4859" s="26" t="s">
        <v>77</v>
      </c>
      <c r="K4859" s="18"/>
      <c r="L4859" s="26" t="s">
        <v>77</v>
      </c>
      <c r="M4859" s="6" t="s">
        <v>77</v>
      </c>
      <c r="N4859" s="28" t="s">
        <v>77</v>
      </c>
      <c r="O4859" s="26" t="s">
        <v>77</v>
      </c>
    </row>
    <row r="4860">
      <c r="A4860" s="52" t="s">
        <v>77</v>
      </c>
      <c r="B4860" s="28" t="s">
        <v>77</v>
      </c>
      <c r="C4860" s="28" t="s">
        <v>77</v>
      </c>
      <c r="D4860" s="28" t="s">
        <v>77</v>
      </c>
      <c r="E4860" s="28" t="s">
        <v>77</v>
      </c>
      <c r="F4860" s="28" t="s">
        <v>77</v>
      </c>
      <c r="G4860" s="28" t="s">
        <v>77</v>
      </c>
      <c r="I4860" s="26" t="s">
        <v>77</v>
      </c>
      <c r="J4860" s="26" t="s">
        <v>77</v>
      </c>
      <c r="K4860" s="18"/>
      <c r="L4860" s="26" t="s">
        <v>77</v>
      </c>
      <c r="M4860" s="6" t="s">
        <v>77</v>
      </c>
      <c r="N4860" s="28" t="s">
        <v>77</v>
      </c>
      <c r="O4860" s="26" t="s">
        <v>77</v>
      </c>
    </row>
    <row r="4861">
      <c r="A4861" s="52" t="s">
        <v>77</v>
      </c>
      <c r="B4861" s="28" t="s">
        <v>77</v>
      </c>
      <c r="C4861" s="28" t="s">
        <v>77</v>
      </c>
      <c r="D4861" s="28" t="s">
        <v>77</v>
      </c>
      <c r="E4861" s="28" t="s">
        <v>77</v>
      </c>
      <c r="F4861" s="28" t="s">
        <v>77</v>
      </c>
      <c r="G4861" s="28" t="s">
        <v>77</v>
      </c>
      <c r="I4861" s="26" t="s">
        <v>77</v>
      </c>
      <c r="J4861" s="26" t="s">
        <v>77</v>
      </c>
      <c r="K4861" s="18"/>
      <c r="L4861" s="26" t="s">
        <v>77</v>
      </c>
      <c r="M4861" s="6" t="s">
        <v>77</v>
      </c>
      <c r="N4861" s="28" t="s">
        <v>77</v>
      </c>
      <c r="O4861" s="26" t="s">
        <v>77</v>
      </c>
    </row>
    <row r="4862">
      <c r="A4862" s="52" t="s">
        <v>77</v>
      </c>
      <c r="B4862" s="28" t="s">
        <v>77</v>
      </c>
      <c r="C4862" s="28" t="s">
        <v>77</v>
      </c>
      <c r="D4862" s="28" t="s">
        <v>77</v>
      </c>
      <c r="E4862" s="28" t="s">
        <v>77</v>
      </c>
      <c r="F4862" s="28" t="s">
        <v>77</v>
      </c>
      <c r="G4862" s="28" t="s">
        <v>77</v>
      </c>
      <c r="I4862" s="26" t="s">
        <v>77</v>
      </c>
      <c r="J4862" s="26" t="s">
        <v>77</v>
      </c>
      <c r="K4862" s="18"/>
      <c r="L4862" s="26" t="s">
        <v>77</v>
      </c>
      <c r="M4862" s="6" t="s">
        <v>77</v>
      </c>
      <c r="N4862" s="28" t="s">
        <v>77</v>
      </c>
      <c r="O4862" s="26" t="s">
        <v>77</v>
      </c>
    </row>
    <row r="4863">
      <c r="A4863" s="52" t="s">
        <v>77</v>
      </c>
      <c r="B4863" s="28" t="s">
        <v>77</v>
      </c>
      <c r="C4863" s="28" t="s">
        <v>77</v>
      </c>
      <c r="D4863" s="28" t="s">
        <v>77</v>
      </c>
      <c r="E4863" s="28" t="s">
        <v>77</v>
      </c>
      <c r="F4863" s="28" t="s">
        <v>77</v>
      </c>
      <c r="G4863" s="28" t="s">
        <v>77</v>
      </c>
      <c r="I4863" s="26" t="s">
        <v>77</v>
      </c>
      <c r="J4863" s="26" t="s">
        <v>77</v>
      </c>
      <c r="K4863" s="18"/>
      <c r="L4863" s="26" t="s">
        <v>77</v>
      </c>
      <c r="M4863" s="6" t="s">
        <v>77</v>
      </c>
      <c r="N4863" s="28" t="s">
        <v>77</v>
      </c>
      <c r="O4863" s="26" t="s">
        <v>77</v>
      </c>
    </row>
    <row r="4864">
      <c r="A4864" s="52" t="s">
        <v>77</v>
      </c>
      <c r="B4864" s="28" t="s">
        <v>77</v>
      </c>
      <c r="C4864" s="28" t="s">
        <v>77</v>
      </c>
      <c r="D4864" s="28" t="s">
        <v>77</v>
      </c>
      <c r="E4864" s="28" t="s">
        <v>77</v>
      </c>
      <c r="F4864" s="28" t="s">
        <v>77</v>
      </c>
      <c r="G4864" s="28" t="s">
        <v>77</v>
      </c>
      <c r="I4864" s="26" t="s">
        <v>77</v>
      </c>
      <c r="J4864" s="26" t="s">
        <v>77</v>
      </c>
      <c r="K4864" s="18"/>
      <c r="L4864" s="26" t="s">
        <v>77</v>
      </c>
      <c r="M4864" s="6" t="s">
        <v>77</v>
      </c>
      <c r="N4864" s="28" t="s">
        <v>77</v>
      </c>
      <c r="O4864" s="26" t="s">
        <v>77</v>
      </c>
    </row>
    <row r="4865">
      <c r="A4865" s="52" t="s">
        <v>77</v>
      </c>
      <c r="B4865" s="28" t="s">
        <v>77</v>
      </c>
      <c r="C4865" s="28" t="s">
        <v>77</v>
      </c>
      <c r="D4865" s="28" t="s">
        <v>77</v>
      </c>
      <c r="E4865" s="28" t="s">
        <v>77</v>
      </c>
      <c r="F4865" s="28" t="s">
        <v>77</v>
      </c>
      <c r="G4865" s="28" t="s">
        <v>77</v>
      </c>
      <c r="I4865" s="26" t="s">
        <v>77</v>
      </c>
      <c r="J4865" s="26" t="s">
        <v>77</v>
      </c>
      <c r="K4865" s="18"/>
      <c r="L4865" s="26" t="s">
        <v>77</v>
      </c>
      <c r="M4865" s="6" t="s">
        <v>77</v>
      </c>
      <c r="N4865" s="28" t="s">
        <v>77</v>
      </c>
      <c r="O4865" s="26" t="s">
        <v>77</v>
      </c>
    </row>
    <row r="4866">
      <c r="A4866" s="52" t="s">
        <v>77</v>
      </c>
      <c r="B4866" s="28" t="s">
        <v>77</v>
      </c>
      <c r="C4866" s="28" t="s">
        <v>77</v>
      </c>
      <c r="D4866" s="28" t="s">
        <v>77</v>
      </c>
      <c r="E4866" s="28" t="s">
        <v>77</v>
      </c>
      <c r="F4866" s="28" t="s">
        <v>77</v>
      </c>
      <c r="G4866" s="28" t="s">
        <v>77</v>
      </c>
      <c r="I4866" s="26" t="s">
        <v>77</v>
      </c>
      <c r="J4866" s="26" t="s">
        <v>77</v>
      </c>
      <c r="K4866" s="18"/>
      <c r="L4866" s="26" t="s">
        <v>77</v>
      </c>
      <c r="M4866" s="6" t="s">
        <v>77</v>
      </c>
      <c r="N4866" s="28" t="s">
        <v>77</v>
      </c>
      <c r="O4866" s="26" t="s">
        <v>77</v>
      </c>
    </row>
    <row r="4867">
      <c r="A4867" s="52" t="s">
        <v>77</v>
      </c>
      <c r="B4867" s="28" t="s">
        <v>77</v>
      </c>
      <c r="C4867" s="28" t="s">
        <v>77</v>
      </c>
      <c r="D4867" s="28" t="s">
        <v>77</v>
      </c>
      <c r="E4867" s="28" t="s">
        <v>77</v>
      </c>
      <c r="F4867" s="28" t="s">
        <v>77</v>
      </c>
      <c r="G4867" s="28" t="s">
        <v>77</v>
      </c>
      <c r="I4867" s="26" t="s">
        <v>77</v>
      </c>
      <c r="J4867" s="26" t="s">
        <v>77</v>
      </c>
      <c r="K4867" s="18"/>
      <c r="L4867" s="26" t="s">
        <v>77</v>
      </c>
      <c r="M4867" s="6" t="s">
        <v>77</v>
      </c>
      <c r="N4867" s="28" t="s">
        <v>77</v>
      </c>
      <c r="O4867" s="26" t="s">
        <v>77</v>
      </c>
    </row>
    <row r="4868">
      <c r="A4868" s="52" t="s">
        <v>77</v>
      </c>
      <c r="B4868" s="28" t="s">
        <v>77</v>
      </c>
      <c r="C4868" s="28" t="s">
        <v>77</v>
      </c>
      <c r="D4868" s="28" t="s">
        <v>77</v>
      </c>
      <c r="E4868" s="28" t="s">
        <v>77</v>
      </c>
      <c r="F4868" s="28" t="s">
        <v>77</v>
      </c>
      <c r="G4868" s="28" t="s">
        <v>77</v>
      </c>
      <c r="I4868" s="26" t="s">
        <v>77</v>
      </c>
      <c r="J4868" s="26" t="s">
        <v>77</v>
      </c>
      <c r="K4868" s="18"/>
      <c r="L4868" s="26" t="s">
        <v>77</v>
      </c>
      <c r="M4868" s="6" t="s">
        <v>77</v>
      </c>
      <c r="N4868" s="28" t="s">
        <v>77</v>
      </c>
      <c r="O4868" s="26" t="s">
        <v>77</v>
      </c>
    </row>
    <row r="4869">
      <c r="A4869" s="52" t="s">
        <v>77</v>
      </c>
      <c r="B4869" s="28" t="s">
        <v>77</v>
      </c>
      <c r="C4869" s="28" t="s">
        <v>77</v>
      </c>
      <c r="D4869" s="28" t="s">
        <v>77</v>
      </c>
      <c r="E4869" s="28" t="s">
        <v>77</v>
      </c>
      <c r="F4869" s="28" t="s">
        <v>77</v>
      </c>
      <c r="G4869" s="28" t="s">
        <v>77</v>
      </c>
      <c r="I4869" s="26" t="s">
        <v>77</v>
      </c>
      <c r="J4869" s="26" t="s">
        <v>77</v>
      </c>
      <c r="K4869" s="18"/>
      <c r="L4869" s="26" t="s">
        <v>77</v>
      </c>
      <c r="M4869" s="6" t="s">
        <v>77</v>
      </c>
      <c r="N4869" s="28" t="s">
        <v>77</v>
      </c>
      <c r="O4869" s="26" t="s">
        <v>77</v>
      </c>
    </row>
    <row r="4870">
      <c r="A4870" s="52" t="s">
        <v>77</v>
      </c>
      <c r="B4870" s="28" t="s">
        <v>77</v>
      </c>
      <c r="C4870" s="28" t="s">
        <v>77</v>
      </c>
      <c r="D4870" s="28" t="s">
        <v>77</v>
      </c>
      <c r="E4870" s="28" t="s">
        <v>77</v>
      </c>
      <c r="F4870" s="28" t="s">
        <v>77</v>
      </c>
      <c r="G4870" s="28" t="s">
        <v>77</v>
      </c>
      <c r="I4870" s="26" t="s">
        <v>77</v>
      </c>
      <c r="J4870" s="26" t="s">
        <v>77</v>
      </c>
      <c r="K4870" s="18"/>
      <c r="L4870" s="26" t="s">
        <v>77</v>
      </c>
      <c r="M4870" s="6" t="s">
        <v>77</v>
      </c>
      <c r="N4870" s="28" t="s">
        <v>77</v>
      </c>
      <c r="O4870" s="26" t="s">
        <v>77</v>
      </c>
    </row>
    <row r="4871">
      <c r="A4871" s="52" t="s">
        <v>77</v>
      </c>
      <c r="B4871" s="28" t="s">
        <v>77</v>
      </c>
      <c r="C4871" s="28" t="s">
        <v>77</v>
      </c>
      <c r="D4871" s="28" t="s">
        <v>77</v>
      </c>
      <c r="E4871" s="28" t="s">
        <v>77</v>
      </c>
      <c r="F4871" s="28" t="s">
        <v>77</v>
      </c>
      <c r="G4871" s="28" t="s">
        <v>77</v>
      </c>
      <c r="I4871" s="26" t="s">
        <v>77</v>
      </c>
      <c r="J4871" s="26" t="s">
        <v>77</v>
      </c>
      <c r="K4871" s="18"/>
      <c r="L4871" s="26" t="s">
        <v>77</v>
      </c>
      <c r="M4871" s="6" t="s">
        <v>77</v>
      </c>
      <c r="N4871" s="28" t="s">
        <v>77</v>
      </c>
      <c r="O4871" s="26" t="s">
        <v>77</v>
      </c>
    </row>
    <row r="4872">
      <c r="A4872" s="52" t="s">
        <v>77</v>
      </c>
      <c r="B4872" s="28" t="s">
        <v>77</v>
      </c>
      <c r="C4872" s="28" t="s">
        <v>77</v>
      </c>
      <c r="D4872" s="28" t="s">
        <v>77</v>
      </c>
      <c r="E4872" s="28" t="s">
        <v>77</v>
      </c>
      <c r="F4872" s="28" t="s">
        <v>77</v>
      </c>
      <c r="G4872" s="28" t="s">
        <v>77</v>
      </c>
      <c r="I4872" s="26" t="s">
        <v>77</v>
      </c>
      <c r="J4872" s="26" t="s">
        <v>77</v>
      </c>
      <c r="K4872" s="18"/>
      <c r="L4872" s="26" t="s">
        <v>77</v>
      </c>
      <c r="M4872" s="6" t="s">
        <v>77</v>
      </c>
      <c r="N4872" s="28" t="s">
        <v>77</v>
      </c>
      <c r="O4872" s="26" t="s">
        <v>77</v>
      </c>
    </row>
    <row r="4873">
      <c r="A4873" s="52" t="s">
        <v>77</v>
      </c>
      <c r="B4873" s="28" t="s">
        <v>77</v>
      </c>
      <c r="C4873" s="28" t="s">
        <v>77</v>
      </c>
      <c r="D4873" s="28" t="s">
        <v>77</v>
      </c>
      <c r="E4873" s="28" t="s">
        <v>77</v>
      </c>
      <c r="F4873" s="28" t="s">
        <v>77</v>
      </c>
      <c r="G4873" s="28" t="s">
        <v>77</v>
      </c>
      <c r="I4873" s="26" t="s">
        <v>77</v>
      </c>
      <c r="J4873" s="26" t="s">
        <v>77</v>
      </c>
      <c r="K4873" s="18"/>
      <c r="L4873" s="26" t="s">
        <v>77</v>
      </c>
      <c r="M4873" s="6" t="s">
        <v>77</v>
      </c>
      <c r="N4873" s="28" t="s">
        <v>77</v>
      </c>
      <c r="O4873" s="26" t="s">
        <v>77</v>
      </c>
    </row>
    <row r="4874">
      <c r="A4874" s="52" t="s">
        <v>77</v>
      </c>
      <c r="B4874" s="28" t="s">
        <v>77</v>
      </c>
      <c r="C4874" s="28" t="s">
        <v>77</v>
      </c>
      <c r="D4874" s="28" t="s">
        <v>77</v>
      </c>
      <c r="E4874" s="28" t="s">
        <v>77</v>
      </c>
      <c r="F4874" s="28" t="s">
        <v>77</v>
      </c>
      <c r="G4874" s="28" t="s">
        <v>77</v>
      </c>
      <c r="I4874" s="26" t="s">
        <v>77</v>
      </c>
      <c r="J4874" s="26" t="s">
        <v>77</v>
      </c>
      <c r="K4874" s="18"/>
      <c r="L4874" s="26" t="s">
        <v>77</v>
      </c>
      <c r="M4874" s="6" t="s">
        <v>77</v>
      </c>
      <c r="N4874" s="28" t="s">
        <v>77</v>
      </c>
      <c r="O4874" s="26" t="s">
        <v>77</v>
      </c>
    </row>
    <row r="4875">
      <c r="A4875" s="52" t="s">
        <v>77</v>
      </c>
      <c r="B4875" s="28" t="s">
        <v>77</v>
      </c>
      <c r="C4875" s="28" t="s">
        <v>77</v>
      </c>
      <c r="D4875" s="28" t="s">
        <v>77</v>
      </c>
      <c r="E4875" s="28" t="s">
        <v>77</v>
      </c>
      <c r="F4875" s="28" t="s">
        <v>77</v>
      </c>
      <c r="G4875" s="28" t="s">
        <v>77</v>
      </c>
      <c r="I4875" s="26" t="s">
        <v>77</v>
      </c>
      <c r="J4875" s="26" t="s">
        <v>77</v>
      </c>
      <c r="K4875" s="18"/>
      <c r="L4875" s="26" t="s">
        <v>77</v>
      </c>
      <c r="M4875" s="6" t="s">
        <v>77</v>
      </c>
      <c r="N4875" s="28" t="s">
        <v>77</v>
      </c>
      <c r="O4875" s="26" t="s">
        <v>77</v>
      </c>
    </row>
    <row r="4876">
      <c r="A4876" s="52" t="s">
        <v>77</v>
      </c>
      <c r="B4876" s="28" t="s">
        <v>77</v>
      </c>
      <c r="C4876" s="28" t="s">
        <v>77</v>
      </c>
      <c r="D4876" s="28" t="s">
        <v>77</v>
      </c>
      <c r="E4876" s="28" t="s">
        <v>77</v>
      </c>
      <c r="F4876" s="28" t="s">
        <v>77</v>
      </c>
      <c r="G4876" s="28" t="s">
        <v>77</v>
      </c>
      <c r="I4876" s="26" t="s">
        <v>77</v>
      </c>
      <c r="J4876" s="26" t="s">
        <v>77</v>
      </c>
      <c r="K4876" s="18"/>
      <c r="L4876" s="26" t="s">
        <v>77</v>
      </c>
      <c r="M4876" s="6" t="s">
        <v>77</v>
      </c>
      <c r="N4876" s="28" t="s">
        <v>77</v>
      </c>
      <c r="O4876" s="26" t="s">
        <v>77</v>
      </c>
    </row>
    <row r="4877">
      <c r="A4877" s="52" t="s">
        <v>77</v>
      </c>
      <c r="B4877" s="28" t="s">
        <v>77</v>
      </c>
      <c r="C4877" s="28" t="s">
        <v>77</v>
      </c>
      <c r="D4877" s="28" t="s">
        <v>77</v>
      </c>
      <c r="E4877" s="28" t="s">
        <v>77</v>
      </c>
      <c r="F4877" s="28" t="s">
        <v>77</v>
      </c>
      <c r="G4877" s="28" t="s">
        <v>77</v>
      </c>
      <c r="I4877" s="26" t="s">
        <v>77</v>
      </c>
      <c r="J4877" s="26" t="s">
        <v>77</v>
      </c>
      <c r="K4877" s="18"/>
      <c r="L4877" s="26" t="s">
        <v>77</v>
      </c>
      <c r="M4877" s="6" t="s">
        <v>77</v>
      </c>
      <c r="N4877" s="28" t="s">
        <v>77</v>
      </c>
      <c r="O4877" s="26" t="s">
        <v>77</v>
      </c>
    </row>
    <row r="4878">
      <c r="A4878" s="52" t="s">
        <v>77</v>
      </c>
      <c r="B4878" s="28" t="s">
        <v>77</v>
      </c>
      <c r="C4878" s="28" t="s">
        <v>77</v>
      </c>
      <c r="D4878" s="28" t="s">
        <v>77</v>
      </c>
      <c r="E4878" s="28" t="s">
        <v>77</v>
      </c>
      <c r="F4878" s="28" t="s">
        <v>77</v>
      </c>
      <c r="G4878" s="28" t="s">
        <v>77</v>
      </c>
      <c r="I4878" s="26" t="s">
        <v>77</v>
      </c>
      <c r="J4878" s="26" t="s">
        <v>77</v>
      </c>
      <c r="K4878" s="18"/>
      <c r="L4878" s="26" t="s">
        <v>77</v>
      </c>
      <c r="M4878" s="6" t="s">
        <v>77</v>
      </c>
      <c r="N4878" s="28" t="s">
        <v>77</v>
      </c>
      <c r="O4878" s="26" t="s">
        <v>77</v>
      </c>
    </row>
    <row r="4879">
      <c r="A4879" s="52" t="s">
        <v>77</v>
      </c>
      <c r="B4879" s="28" t="s">
        <v>77</v>
      </c>
      <c r="C4879" s="28" t="s">
        <v>77</v>
      </c>
      <c r="D4879" s="28" t="s">
        <v>77</v>
      </c>
      <c r="E4879" s="28" t="s">
        <v>77</v>
      </c>
      <c r="F4879" s="28" t="s">
        <v>77</v>
      </c>
      <c r="G4879" s="28" t="s">
        <v>77</v>
      </c>
      <c r="I4879" s="26" t="s">
        <v>77</v>
      </c>
      <c r="J4879" s="26" t="s">
        <v>77</v>
      </c>
      <c r="K4879" s="18"/>
      <c r="L4879" s="26" t="s">
        <v>77</v>
      </c>
      <c r="M4879" s="6" t="s">
        <v>77</v>
      </c>
      <c r="N4879" s="28" t="s">
        <v>77</v>
      </c>
      <c r="O4879" s="26" t="s">
        <v>77</v>
      </c>
    </row>
    <row r="4880">
      <c r="A4880" s="52" t="s">
        <v>77</v>
      </c>
      <c r="B4880" s="28" t="s">
        <v>77</v>
      </c>
      <c r="C4880" s="28" t="s">
        <v>77</v>
      </c>
      <c r="D4880" s="28" t="s">
        <v>77</v>
      </c>
      <c r="E4880" s="28" t="s">
        <v>77</v>
      </c>
      <c r="F4880" s="28" t="s">
        <v>77</v>
      </c>
      <c r="G4880" s="28" t="s">
        <v>77</v>
      </c>
      <c r="I4880" s="26" t="s">
        <v>77</v>
      </c>
      <c r="J4880" s="26" t="s">
        <v>77</v>
      </c>
      <c r="K4880" s="18"/>
      <c r="L4880" s="26" t="s">
        <v>77</v>
      </c>
      <c r="M4880" s="6" t="s">
        <v>77</v>
      </c>
      <c r="N4880" s="28" t="s">
        <v>77</v>
      </c>
      <c r="O4880" s="26" t="s">
        <v>77</v>
      </c>
    </row>
    <row r="4881">
      <c r="A4881" s="52" t="s">
        <v>77</v>
      </c>
      <c r="B4881" s="28" t="s">
        <v>77</v>
      </c>
      <c r="C4881" s="28" t="s">
        <v>77</v>
      </c>
      <c r="D4881" s="28" t="s">
        <v>77</v>
      </c>
      <c r="E4881" s="28" t="s">
        <v>77</v>
      </c>
      <c r="F4881" s="28" t="s">
        <v>77</v>
      </c>
      <c r="G4881" s="28" t="s">
        <v>77</v>
      </c>
      <c r="I4881" s="26" t="s">
        <v>77</v>
      </c>
      <c r="J4881" s="26" t="s">
        <v>77</v>
      </c>
      <c r="K4881" s="18"/>
      <c r="L4881" s="26" t="s">
        <v>77</v>
      </c>
      <c r="M4881" s="6" t="s">
        <v>77</v>
      </c>
      <c r="N4881" s="28" t="s">
        <v>77</v>
      </c>
      <c r="O4881" s="26" t="s">
        <v>77</v>
      </c>
    </row>
    <row r="4882">
      <c r="A4882" s="52" t="s">
        <v>77</v>
      </c>
      <c r="B4882" s="28" t="s">
        <v>77</v>
      </c>
      <c r="C4882" s="28" t="s">
        <v>77</v>
      </c>
      <c r="D4882" s="28" t="s">
        <v>77</v>
      </c>
      <c r="E4882" s="28" t="s">
        <v>77</v>
      </c>
      <c r="F4882" s="28" t="s">
        <v>77</v>
      </c>
      <c r="G4882" s="28" t="s">
        <v>77</v>
      </c>
      <c r="I4882" s="26" t="s">
        <v>77</v>
      </c>
      <c r="J4882" s="26" t="s">
        <v>77</v>
      </c>
      <c r="K4882" s="18"/>
      <c r="L4882" s="26" t="s">
        <v>77</v>
      </c>
      <c r="M4882" s="6" t="s">
        <v>77</v>
      </c>
      <c r="N4882" s="28" t="s">
        <v>77</v>
      </c>
      <c r="O4882" s="26" t="s">
        <v>77</v>
      </c>
    </row>
    <row r="4883">
      <c r="A4883" s="52" t="s">
        <v>77</v>
      </c>
      <c r="B4883" s="28" t="s">
        <v>77</v>
      </c>
      <c r="C4883" s="28" t="s">
        <v>77</v>
      </c>
      <c r="D4883" s="28" t="s">
        <v>77</v>
      </c>
      <c r="E4883" s="28" t="s">
        <v>77</v>
      </c>
      <c r="F4883" s="28" t="s">
        <v>77</v>
      </c>
      <c r="G4883" s="28" t="s">
        <v>77</v>
      </c>
      <c r="I4883" s="26" t="s">
        <v>77</v>
      </c>
      <c r="J4883" s="26" t="s">
        <v>77</v>
      </c>
      <c r="K4883" s="18"/>
      <c r="L4883" s="26" t="s">
        <v>77</v>
      </c>
      <c r="M4883" s="6" t="s">
        <v>77</v>
      </c>
      <c r="N4883" s="28" t="s">
        <v>77</v>
      </c>
      <c r="O4883" s="26" t="s">
        <v>77</v>
      </c>
    </row>
    <row r="4884">
      <c r="A4884" s="52" t="s">
        <v>77</v>
      </c>
      <c r="B4884" s="28" t="s">
        <v>77</v>
      </c>
      <c r="C4884" s="28" t="s">
        <v>77</v>
      </c>
      <c r="D4884" s="28" t="s">
        <v>77</v>
      </c>
      <c r="E4884" s="28" t="s">
        <v>77</v>
      </c>
      <c r="F4884" s="28" t="s">
        <v>77</v>
      </c>
      <c r="G4884" s="28" t="s">
        <v>77</v>
      </c>
      <c r="I4884" s="26" t="s">
        <v>77</v>
      </c>
      <c r="J4884" s="26" t="s">
        <v>77</v>
      </c>
      <c r="K4884" s="18"/>
      <c r="L4884" s="26" t="s">
        <v>77</v>
      </c>
      <c r="M4884" s="6" t="s">
        <v>77</v>
      </c>
      <c r="N4884" s="28" t="s">
        <v>77</v>
      </c>
      <c r="O4884" s="26" t="s">
        <v>77</v>
      </c>
    </row>
    <row r="4885">
      <c r="A4885" s="52" t="s">
        <v>77</v>
      </c>
      <c r="B4885" s="28" t="s">
        <v>77</v>
      </c>
      <c r="C4885" s="28" t="s">
        <v>77</v>
      </c>
      <c r="D4885" s="28" t="s">
        <v>77</v>
      </c>
      <c r="E4885" s="28" t="s">
        <v>77</v>
      </c>
      <c r="F4885" s="28" t="s">
        <v>77</v>
      </c>
      <c r="G4885" s="28" t="s">
        <v>77</v>
      </c>
      <c r="I4885" s="26" t="s">
        <v>77</v>
      </c>
      <c r="J4885" s="26" t="s">
        <v>77</v>
      </c>
      <c r="K4885" s="18"/>
      <c r="L4885" s="26" t="s">
        <v>77</v>
      </c>
      <c r="M4885" s="6" t="s">
        <v>77</v>
      </c>
      <c r="N4885" s="28" t="s">
        <v>77</v>
      </c>
      <c r="O4885" s="26" t="s">
        <v>77</v>
      </c>
    </row>
    <row r="4886">
      <c r="A4886" s="52" t="s">
        <v>77</v>
      </c>
      <c r="B4886" s="28" t="s">
        <v>77</v>
      </c>
      <c r="C4886" s="28" t="s">
        <v>77</v>
      </c>
      <c r="D4886" s="28" t="s">
        <v>77</v>
      </c>
      <c r="E4886" s="28" t="s">
        <v>77</v>
      </c>
      <c r="F4886" s="28" t="s">
        <v>77</v>
      </c>
      <c r="G4886" s="28" t="s">
        <v>77</v>
      </c>
      <c r="I4886" s="26" t="s">
        <v>77</v>
      </c>
      <c r="J4886" s="26" t="s">
        <v>77</v>
      </c>
      <c r="K4886" s="18"/>
      <c r="L4886" s="26" t="s">
        <v>77</v>
      </c>
      <c r="M4886" s="6" t="s">
        <v>77</v>
      </c>
      <c r="N4886" s="28" t="s">
        <v>77</v>
      </c>
      <c r="O4886" s="26" t="s">
        <v>77</v>
      </c>
    </row>
    <row r="4887">
      <c r="A4887" s="52" t="s">
        <v>77</v>
      </c>
      <c r="B4887" s="28" t="s">
        <v>77</v>
      </c>
      <c r="C4887" s="28" t="s">
        <v>77</v>
      </c>
      <c r="D4887" s="28" t="s">
        <v>77</v>
      </c>
      <c r="E4887" s="28" t="s">
        <v>77</v>
      </c>
      <c r="F4887" s="28" t="s">
        <v>77</v>
      </c>
      <c r="G4887" s="28" t="s">
        <v>77</v>
      </c>
      <c r="I4887" s="26" t="s">
        <v>77</v>
      </c>
      <c r="J4887" s="26" t="s">
        <v>77</v>
      </c>
      <c r="K4887" s="18"/>
      <c r="L4887" s="26" t="s">
        <v>77</v>
      </c>
      <c r="M4887" s="6" t="s">
        <v>77</v>
      </c>
      <c r="N4887" s="28" t="s">
        <v>77</v>
      </c>
      <c r="O4887" s="26" t="s">
        <v>77</v>
      </c>
    </row>
    <row r="4888">
      <c r="A4888" s="52" t="s">
        <v>77</v>
      </c>
      <c r="B4888" s="28" t="s">
        <v>77</v>
      </c>
      <c r="C4888" s="28" t="s">
        <v>77</v>
      </c>
      <c r="D4888" s="28" t="s">
        <v>77</v>
      </c>
      <c r="E4888" s="28" t="s">
        <v>77</v>
      </c>
      <c r="F4888" s="28" t="s">
        <v>77</v>
      </c>
      <c r="G4888" s="28" t="s">
        <v>77</v>
      </c>
      <c r="I4888" s="26" t="s">
        <v>77</v>
      </c>
      <c r="J4888" s="26" t="s">
        <v>77</v>
      </c>
      <c r="K4888" s="18"/>
      <c r="L4888" s="26" t="s">
        <v>77</v>
      </c>
      <c r="M4888" s="6" t="s">
        <v>77</v>
      </c>
      <c r="N4888" s="28" t="s">
        <v>77</v>
      </c>
      <c r="O4888" s="26" t="s">
        <v>77</v>
      </c>
    </row>
    <row r="4889">
      <c r="A4889" s="52" t="s">
        <v>77</v>
      </c>
      <c r="B4889" s="28" t="s">
        <v>77</v>
      </c>
      <c r="C4889" s="28" t="s">
        <v>77</v>
      </c>
      <c r="D4889" s="28" t="s">
        <v>77</v>
      </c>
      <c r="E4889" s="28" t="s">
        <v>77</v>
      </c>
      <c r="F4889" s="28" t="s">
        <v>77</v>
      </c>
      <c r="G4889" s="28" t="s">
        <v>77</v>
      </c>
      <c r="I4889" s="26" t="s">
        <v>77</v>
      </c>
      <c r="J4889" s="26" t="s">
        <v>77</v>
      </c>
      <c r="K4889" s="18"/>
      <c r="L4889" s="26" t="s">
        <v>77</v>
      </c>
      <c r="M4889" s="6" t="s">
        <v>77</v>
      </c>
      <c r="N4889" s="28" t="s">
        <v>77</v>
      </c>
      <c r="O4889" s="26" t="s">
        <v>77</v>
      </c>
    </row>
    <row r="4890">
      <c r="A4890" s="52" t="s">
        <v>77</v>
      </c>
      <c r="B4890" s="28" t="s">
        <v>77</v>
      </c>
      <c r="C4890" s="28" t="s">
        <v>77</v>
      </c>
      <c r="D4890" s="28" t="s">
        <v>77</v>
      </c>
      <c r="E4890" s="28" t="s">
        <v>77</v>
      </c>
      <c r="F4890" s="28" t="s">
        <v>77</v>
      </c>
      <c r="G4890" s="28" t="s">
        <v>77</v>
      </c>
      <c r="I4890" s="26" t="s">
        <v>77</v>
      </c>
      <c r="J4890" s="26" t="s">
        <v>77</v>
      </c>
      <c r="K4890" s="18"/>
      <c r="L4890" s="26" t="s">
        <v>77</v>
      </c>
      <c r="M4890" s="6" t="s">
        <v>77</v>
      </c>
      <c r="N4890" s="28" t="s">
        <v>77</v>
      </c>
      <c r="O4890" s="26" t="s">
        <v>77</v>
      </c>
    </row>
    <row r="4891">
      <c r="A4891" s="52" t="s">
        <v>77</v>
      </c>
      <c r="B4891" s="28" t="s">
        <v>77</v>
      </c>
      <c r="C4891" s="28" t="s">
        <v>77</v>
      </c>
      <c r="D4891" s="28" t="s">
        <v>77</v>
      </c>
      <c r="E4891" s="28" t="s">
        <v>77</v>
      </c>
      <c r="F4891" s="28" t="s">
        <v>77</v>
      </c>
      <c r="G4891" s="28" t="s">
        <v>77</v>
      </c>
      <c r="I4891" s="26" t="s">
        <v>77</v>
      </c>
      <c r="J4891" s="26" t="s">
        <v>77</v>
      </c>
      <c r="K4891" s="18"/>
      <c r="L4891" s="26" t="s">
        <v>77</v>
      </c>
      <c r="M4891" s="6" t="s">
        <v>77</v>
      </c>
      <c r="N4891" s="28" t="s">
        <v>77</v>
      </c>
      <c r="O4891" s="26" t="s">
        <v>77</v>
      </c>
    </row>
    <row r="4892">
      <c r="A4892" s="52" t="s">
        <v>77</v>
      </c>
      <c r="B4892" s="28" t="s">
        <v>77</v>
      </c>
      <c r="C4892" s="28" t="s">
        <v>77</v>
      </c>
      <c r="D4892" s="28" t="s">
        <v>77</v>
      </c>
      <c r="E4892" s="28" t="s">
        <v>77</v>
      </c>
      <c r="F4892" s="28" t="s">
        <v>77</v>
      </c>
      <c r="G4892" s="28" t="s">
        <v>77</v>
      </c>
      <c r="I4892" s="26" t="s">
        <v>77</v>
      </c>
      <c r="J4892" s="26" t="s">
        <v>77</v>
      </c>
      <c r="K4892" s="18"/>
      <c r="L4892" s="26" t="s">
        <v>77</v>
      </c>
      <c r="M4892" s="6" t="s">
        <v>77</v>
      </c>
      <c r="N4892" s="28" t="s">
        <v>77</v>
      </c>
      <c r="O4892" s="26" t="s">
        <v>77</v>
      </c>
    </row>
    <row r="4893">
      <c r="A4893" s="52" t="s">
        <v>77</v>
      </c>
      <c r="B4893" s="28" t="s">
        <v>77</v>
      </c>
      <c r="C4893" s="28" t="s">
        <v>77</v>
      </c>
      <c r="D4893" s="28" t="s">
        <v>77</v>
      </c>
      <c r="E4893" s="28" t="s">
        <v>77</v>
      </c>
      <c r="F4893" s="28" t="s">
        <v>77</v>
      </c>
      <c r="G4893" s="28" t="s">
        <v>77</v>
      </c>
      <c r="I4893" s="26" t="s">
        <v>77</v>
      </c>
      <c r="J4893" s="26" t="s">
        <v>77</v>
      </c>
      <c r="K4893" s="18"/>
      <c r="L4893" s="26" t="s">
        <v>77</v>
      </c>
      <c r="M4893" s="6" t="s">
        <v>77</v>
      </c>
      <c r="N4893" s="28" t="s">
        <v>77</v>
      </c>
      <c r="O4893" s="26" t="s">
        <v>77</v>
      </c>
    </row>
    <row r="4894">
      <c r="A4894" s="52" t="s">
        <v>77</v>
      </c>
      <c r="B4894" s="28" t="s">
        <v>77</v>
      </c>
      <c r="C4894" s="28" t="s">
        <v>77</v>
      </c>
      <c r="D4894" s="28" t="s">
        <v>77</v>
      </c>
      <c r="E4894" s="28" t="s">
        <v>77</v>
      </c>
      <c r="F4894" s="28" t="s">
        <v>77</v>
      </c>
      <c r="G4894" s="28" t="s">
        <v>77</v>
      </c>
      <c r="I4894" s="26" t="s">
        <v>77</v>
      </c>
      <c r="J4894" s="26" t="s">
        <v>77</v>
      </c>
      <c r="K4894" s="18"/>
      <c r="L4894" s="26" t="s">
        <v>77</v>
      </c>
      <c r="M4894" s="6" t="s">
        <v>77</v>
      </c>
      <c r="N4894" s="28" t="s">
        <v>77</v>
      </c>
      <c r="O4894" s="26" t="s">
        <v>77</v>
      </c>
    </row>
    <row r="4895">
      <c r="A4895" s="52" t="s">
        <v>77</v>
      </c>
      <c r="B4895" s="28" t="s">
        <v>77</v>
      </c>
      <c r="C4895" s="28" t="s">
        <v>77</v>
      </c>
      <c r="D4895" s="28" t="s">
        <v>77</v>
      </c>
      <c r="E4895" s="28" t="s">
        <v>77</v>
      </c>
      <c r="F4895" s="28" t="s">
        <v>77</v>
      </c>
      <c r="G4895" s="28" t="s">
        <v>77</v>
      </c>
      <c r="I4895" s="26" t="s">
        <v>77</v>
      </c>
      <c r="J4895" s="26" t="s">
        <v>77</v>
      </c>
      <c r="K4895" s="18"/>
      <c r="L4895" s="26" t="s">
        <v>77</v>
      </c>
      <c r="M4895" s="6" t="s">
        <v>77</v>
      </c>
      <c r="N4895" s="28" t="s">
        <v>77</v>
      </c>
      <c r="O4895" s="26" t="s">
        <v>77</v>
      </c>
    </row>
    <row r="4896">
      <c r="A4896" s="52" t="s">
        <v>77</v>
      </c>
      <c r="B4896" s="28" t="s">
        <v>77</v>
      </c>
      <c r="C4896" s="28" t="s">
        <v>77</v>
      </c>
      <c r="D4896" s="28" t="s">
        <v>77</v>
      </c>
      <c r="E4896" s="28" t="s">
        <v>77</v>
      </c>
      <c r="F4896" s="28" t="s">
        <v>77</v>
      </c>
      <c r="G4896" s="28" t="s">
        <v>77</v>
      </c>
      <c r="I4896" s="26" t="s">
        <v>77</v>
      </c>
      <c r="J4896" s="26" t="s">
        <v>77</v>
      </c>
      <c r="K4896" s="18"/>
      <c r="L4896" s="26" t="s">
        <v>77</v>
      </c>
      <c r="M4896" s="6" t="s">
        <v>77</v>
      </c>
      <c r="N4896" s="28" t="s">
        <v>77</v>
      </c>
      <c r="O4896" s="26" t="s">
        <v>77</v>
      </c>
    </row>
    <row r="4897">
      <c r="A4897" s="52" t="s">
        <v>77</v>
      </c>
      <c r="B4897" s="28" t="s">
        <v>77</v>
      </c>
      <c r="C4897" s="28" t="s">
        <v>77</v>
      </c>
      <c r="D4897" s="28" t="s">
        <v>77</v>
      </c>
      <c r="E4897" s="28" t="s">
        <v>77</v>
      </c>
      <c r="F4897" s="28" t="s">
        <v>77</v>
      </c>
      <c r="G4897" s="28" t="s">
        <v>77</v>
      </c>
      <c r="I4897" s="26" t="s">
        <v>77</v>
      </c>
      <c r="J4897" s="26" t="s">
        <v>77</v>
      </c>
      <c r="K4897" s="18"/>
      <c r="L4897" s="26" t="s">
        <v>77</v>
      </c>
      <c r="M4897" s="6" t="s">
        <v>77</v>
      </c>
      <c r="N4897" s="28" t="s">
        <v>77</v>
      </c>
      <c r="O4897" s="26" t="s">
        <v>77</v>
      </c>
    </row>
    <row r="4898">
      <c r="A4898" s="52" t="s">
        <v>77</v>
      </c>
      <c r="B4898" s="28" t="s">
        <v>77</v>
      </c>
      <c r="C4898" s="28" t="s">
        <v>77</v>
      </c>
      <c r="D4898" s="28" t="s">
        <v>77</v>
      </c>
      <c r="E4898" s="28" t="s">
        <v>77</v>
      </c>
      <c r="F4898" s="28" t="s">
        <v>77</v>
      </c>
      <c r="G4898" s="28" t="s">
        <v>77</v>
      </c>
      <c r="I4898" s="26" t="s">
        <v>77</v>
      </c>
      <c r="J4898" s="26" t="s">
        <v>77</v>
      </c>
      <c r="K4898" s="18"/>
      <c r="L4898" s="26" t="s">
        <v>77</v>
      </c>
      <c r="M4898" s="6" t="s">
        <v>77</v>
      </c>
      <c r="N4898" s="28" t="s">
        <v>77</v>
      </c>
      <c r="O4898" s="26" t="s">
        <v>77</v>
      </c>
    </row>
    <row r="4899">
      <c r="A4899" s="52" t="s">
        <v>77</v>
      </c>
      <c r="B4899" s="28" t="s">
        <v>77</v>
      </c>
      <c r="C4899" s="28" t="s">
        <v>77</v>
      </c>
      <c r="D4899" s="28" t="s">
        <v>77</v>
      </c>
      <c r="E4899" s="28" t="s">
        <v>77</v>
      </c>
      <c r="F4899" s="28" t="s">
        <v>77</v>
      </c>
      <c r="G4899" s="28" t="s">
        <v>77</v>
      </c>
      <c r="I4899" s="26" t="s">
        <v>77</v>
      </c>
      <c r="J4899" s="26" t="s">
        <v>77</v>
      </c>
      <c r="K4899" s="18"/>
      <c r="L4899" s="26" t="s">
        <v>77</v>
      </c>
      <c r="M4899" s="6" t="s">
        <v>77</v>
      </c>
      <c r="N4899" s="28" t="s">
        <v>77</v>
      </c>
      <c r="O4899" s="26" t="s">
        <v>77</v>
      </c>
    </row>
    <row r="4900">
      <c r="A4900" s="52" t="s">
        <v>77</v>
      </c>
      <c r="B4900" s="28" t="s">
        <v>77</v>
      </c>
      <c r="C4900" s="28" t="s">
        <v>77</v>
      </c>
      <c r="D4900" s="28" t="s">
        <v>77</v>
      </c>
      <c r="E4900" s="28" t="s">
        <v>77</v>
      </c>
      <c r="F4900" s="28" t="s">
        <v>77</v>
      </c>
      <c r="G4900" s="28" t="s">
        <v>77</v>
      </c>
      <c r="I4900" s="26" t="s">
        <v>77</v>
      </c>
      <c r="J4900" s="26" t="s">
        <v>77</v>
      </c>
      <c r="K4900" s="18"/>
      <c r="L4900" s="26" t="s">
        <v>77</v>
      </c>
      <c r="M4900" s="6" t="s">
        <v>77</v>
      </c>
      <c r="N4900" s="28" t="s">
        <v>77</v>
      </c>
      <c r="O4900" s="26" t="s">
        <v>77</v>
      </c>
    </row>
    <row r="4901">
      <c r="A4901" s="52" t="s">
        <v>77</v>
      </c>
      <c r="B4901" s="28" t="s">
        <v>77</v>
      </c>
      <c r="C4901" s="28" t="s">
        <v>77</v>
      </c>
      <c r="D4901" s="28" t="s">
        <v>77</v>
      </c>
      <c r="E4901" s="28" t="s">
        <v>77</v>
      </c>
      <c r="F4901" s="28" t="s">
        <v>77</v>
      </c>
      <c r="G4901" s="28" t="s">
        <v>77</v>
      </c>
      <c r="I4901" s="26" t="s">
        <v>77</v>
      </c>
      <c r="J4901" s="26" t="s">
        <v>77</v>
      </c>
      <c r="K4901" s="18"/>
      <c r="L4901" s="26" t="s">
        <v>77</v>
      </c>
      <c r="M4901" s="6" t="s">
        <v>77</v>
      </c>
      <c r="N4901" s="28" t="s">
        <v>77</v>
      </c>
      <c r="O4901" s="26" t="s">
        <v>77</v>
      </c>
    </row>
    <row r="4902">
      <c r="A4902" s="52" t="s">
        <v>77</v>
      </c>
      <c r="B4902" s="28" t="s">
        <v>77</v>
      </c>
      <c r="C4902" s="28" t="s">
        <v>77</v>
      </c>
      <c r="D4902" s="28" t="s">
        <v>77</v>
      </c>
      <c r="E4902" s="28" t="s">
        <v>77</v>
      </c>
      <c r="F4902" s="28" t="s">
        <v>77</v>
      </c>
      <c r="G4902" s="28" t="s">
        <v>77</v>
      </c>
      <c r="I4902" s="26" t="s">
        <v>77</v>
      </c>
      <c r="J4902" s="26" t="s">
        <v>77</v>
      </c>
      <c r="K4902" s="18"/>
      <c r="L4902" s="26" t="s">
        <v>77</v>
      </c>
      <c r="M4902" s="6" t="s">
        <v>77</v>
      </c>
      <c r="N4902" s="28" t="s">
        <v>77</v>
      </c>
      <c r="O4902" s="26" t="s">
        <v>77</v>
      </c>
    </row>
    <row r="4903">
      <c r="A4903" s="52" t="s">
        <v>77</v>
      </c>
      <c r="B4903" s="28" t="s">
        <v>77</v>
      </c>
      <c r="C4903" s="28" t="s">
        <v>77</v>
      </c>
      <c r="D4903" s="28" t="s">
        <v>77</v>
      </c>
      <c r="E4903" s="28" t="s">
        <v>77</v>
      </c>
      <c r="F4903" s="28" t="s">
        <v>77</v>
      </c>
      <c r="G4903" s="28" t="s">
        <v>77</v>
      </c>
      <c r="I4903" s="26" t="s">
        <v>77</v>
      </c>
      <c r="J4903" s="26" t="s">
        <v>77</v>
      </c>
      <c r="K4903" s="18"/>
      <c r="L4903" s="26" t="s">
        <v>77</v>
      </c>
      <c r="M4903" s="6" t="s">
        <v>77</v>
      </c>
      <c r="N4903" s="28" t="s">
        <v>77</v>
      </c>
      <c r="O4903" s="26" t="s">
        <v>77</v>
      </c>
    </row>
    <row r="4904">
      <c r="A4904" s="52" t="s">
        <v>77</v>
      </c>
      <c r="B4904" s="28" t="s">
        <v>77</v>
      </c>
      <c r="C4904" s="28" t="s">
        <v>77</v>
      </c>
      <c r="D4904" s="28" t="s">
        <v>77</v>
      </c>
      <c r="E4904" s="28" t="s">
        <v>77</v>
      </c>
      <c r="F4904" s="28" t="s">
        <v>77</v>
      </c>
      <c r="G4904" s="28" t="s">
        <v>77</v>
      </c>
      <c r="I4904" s="26" t="s">
        <v>77</v>
      </c>
      <c r="J4904" s="26" t="s">
        <v>77</v>
      </c>
      <c r="K4904" s="18"/>
      <c r="L4904" s="26" t="s">
        <v>77</v>
      </c>
      <c r="M4904" s="6" t="s">
        <v>77</v>
      </c>
      <c r="N4904" s="28" t="s">
        <v>77</v>
      </c>
      <c r="O4904" s="26" t="s">
        <v>77</v>
      </c>
    </row>
    <row r="4905">
      <c r="A4905" s="52" t="s">
        <v>77</v>
      </c>
      <c r="B4905" s="28" t="s">
        <v>77</v>
      </c>
      <c r="C4905" s="28" t="s">
        <v>77</v>
      </c>
      <c r="D4905" s="28" t="s">
        <v>77</v>
      </c>
      <c r="E4905" s="28" t="s">
        <v>77</v>
      </c>
      <c r="F4905" s="28" t="s">
        <v>77</v>
      </c>
      <c r="G4905" s="28" t="s">
        <v>77</v>
      </c>
      <c r="I4905" s="26" t="s">
        <v>77</v>
      </c>
      <c r="J4905" s="26" t="s">
        <v>77</v>
      </c>
      <c r="K4905" s="18"/>
      <c r="L4905" s="26" t="s">
        <v>77</v>
      </c>
      <c r="M4905" s="6" t="s">
        <v>77</v>
      </c>
      <c r="N4905" s="28" t="s">
        <v>77</v>
      </c>
      <c r="O4905" s="26" t="s">
        <v>77</v>
      </c>
    </row>
    <row r="4906">
      <c r="A4906" s="52" t="s">
        <v>77</v>
      </c>
      <c r="B4906" s="28" t="s">
        <v>77</v>
      </c>
      <c r="C4906" s="28" t="s">
        <v>77</v>
      </c>
      <c r="D4906" s="28" t="s">
        <v>77</v>
      </c>
      <c r="E4906" s="28" t="s">
        <v>77</v>
      </c>
      <c r="F4906" s="28" t="s">
        <v>77</v>
      </c>
      <c r="G4906" s="28" t="s">
        <v>77</v>
      </c>
      <c r="I4906" s="26" t="s">
        <v>77</v>
      </c>
      <c r="J4906" s="26" t="s">
        <v>77</v>
      </c>
      <c r="K4906" s="18"/>
      <c r="L4906" s="26" t="s">
        <v>77</v>
      </c>
      <c r="M4906" s="6" t="s">
        <v>77</v>
      </c>
      <c r="N4906" s="28" t="s">
        <v>77</v>
      </c>
      <c r="O4906" s="26" t="s">
        <v>77</v>
      </c>
    </row>
    <row r="4907">
      <c r="A4907" s="52" t="s">
        <v>77</v>
      </c>
      <c r="B4907" s="28" t="s">
        <v>77</v>
      </c>
      <c r="C4907" s="28" t="s">
        <v>77</v>
      </c>
      <c r="D4907" s="28" t="s">
        <v>77</v>
      </c>
      <c r="E4907" s="28" t="s">
        <v>77</v>
      </c>
      <c r="F4907" s="28" t="s">
        <v>77</v>
      </c>
      <c r="G4907" s="28" t="s">
        <v>77</v>
      </c>
      <c r="I4907" s="26" t="s">
        <v>77</v>
      </c>
      <c r="J4907" s="26" t="s">
        <v>77</v>
      </c>
      <c r="K4907" s="18"/>
      <c r="L4907" s="26" t="s">
        <v>77</v>
      </c>
      <c r="M4907" s="6" t="s">
        <v>77</v>
      </c>
      <c r="N4907" s="28" t="s">
        <v>77</v>
      </c>
      <c r="O4907" s="26" t="s">
        <v>77</v>
      </c>
    </row>
    <row r="4908">
      <c r="A4908" s="52" t="s">
        <v>77</v>
      </c>
      <c r="B4908" s="28" t="s">
        <v>77</v>
      </c>
      <c r="C4908" s="28" t="s">
        <v>77</v>
      </c>
      <c r="D4908" s="28" t="s">
        <v>77</v>
      </c>
      <c r="E4908" s="28" t="s">
        <v>77</v>
      </c>
      <c r="F4908" s="28" t="s">
        <v>77</v>
      </c>
      <c r="G4908" s="28" t="s">
        <v>77</v>
      </c>
      <c r="I4908" s="26" t="s">
        <v>77</v>
      </c>
      <c r="J4908" s="26" t="s">
        <v>77</v>
      </c>
      <c r="K4908" s="18"/>
      <c r="L4908" s="26" t="s">
        <v>77</v>
      </c>
      <c r="M4908" s="6" t="s">
        <v>77</v>
      </c>
      <c r="N4908" s="28" t="s">
        <v>77</v>
      </c>
      <c r="O4908" s="26" t="s">
        <v>77</v>
      </c>
    </row>
    <row r="4909">
      <c r="A4909" s="52" t="s">
        <v>77</v>
      </c>
      <c r="B4909" s="28" t="s">
        <v>77</v>
      </c>
      <c r="C4909" s="28" t="s">
        <v>77</v>
      </c>
      <c r="D4909" s="28" t="s">
        <v>77</v>
      </c>
      <c r="E4909" s="28" t="s">
        <v>77</v>
      </c>
      <c r="F4909" s="28" t="s">
        <v>77</v>
      </c>
      <c r="G4909" s="28" t="s">
        <v>77</v>
      </c>
      <c r="I4909" s="26" t="s">
        <v>77</v>
      </c>
      <c r="J4909" s="26" t="s">
        <v>77</v>
      </c>
      <c r="K4909" s="18"/>
      <c r="L4909" s="26" t="s">
        <v>77</v>
      </c>
      <c r="M4909" s="6" t="s">
        <v>77</v>
      </c>
      <c r="N4909" s="28" t="s">
        <v>77</v>
      </c>
      <c r="O4909" s="26" t="s">
        <v>77</v>
      </c>
    </row>
    <row r="4910">
      <c r="A4910" s="52" t="s">
        <v>77</v>
      </c>
      <c r="B4910" s="28" t="s">
        <v>77</v>
      </c>
      <c r="C4910" s="28" t="s">
        <v>77</v>
      </c>
      <c r="D4910" s="28" t="s">
        <v>77</v>
      </c>
      <c r="E4910" s="28" t="s">
        <v>77</v>
      </c>
      <c r="F4910" s="28" t="s">
        <v>77</v>
      </c>
      <c r="G4910" s="28" t="s">
        <v>77</v>
      </c>
      <c r="I4910" s="26" t="s">
        <v>77</v>
      </c>
      <c r="J4910" s="26" t="s">
        <v>77</v>
      </c>
      <c r="K4910" s="18"/>
      <c r="L4910" s="26" t="s">
        <v>77</v>
      </c>
      <c r="M4910" s="6" t="s">
        <v>77</v>
      </c>
      <c r="N4910" s="28" t="s">
        <v>77</v>
      </c>
      <c r="O4910" s="26" t="s">
        <v>77</v>
      </c>
    </row>
    <row r="4911">
      <c r="A4911" s="52" t="s">
        <v>77</v>
      </c>
      <c r="B4911" s="28" t="s">
        <v>77</v>
      </c>
      <c r="C4911" s="28" t="s">
        <v>77</v>
      </c>
      <c r="D4911" s="28" t="s">
        <v>77</v>
      </c>
      <c r="E4911" s="28" t="s">
        <v>77</v>
      </c>
      <c r="F4911" s="28" t="s">
        <v>77</v>
      </c>
      <c r="G4911" s="28" t="s">
        <v>77</v>
      </c>
      <c r="I4911" s="26" t="s">
        <v>77</v>
      </c>
      <c r="J4911" s="26" t="s">
        <v>77</v>
      </c>
      <c r="K4911" s="18"/>
      <c r="L4911" s="26" t="s">
        <v>77</v>
      </c>
      <c r="M4911" s="6" t="s">
        <v>77</v>
      </c>
      <c r="N4911" s="28" t="s">
        <v>77</v>
      </c>
      <c r="O4911" s="26" t="s">
        <v>77</v>
      </c>
    </row>
    <row r="4912">
      <c r="A4912" s="52" t="s">
        <v>77</v>
      </c>
      <c r="B4912" s="28" t="s">
        <v>77</v>
      </c>
      <c r="C4912" s="28" t="s">
        <v>77</v>
      </c>
      <c r="D4912" s="28" t="s">
        <v>77</v>
      </c>
      <c r="E4912" s="28" t="s">
        <v>77</v>
      </c>
      <c r="F4912" s="28" t="s">
        <v>77</v>
      </c>
      <c r="G4912" s="28" t="s">
        <v>77</v>
      </c>
      <c r="I4912" s="26" t="s">
        <v>77</v>
      </c>
      <c r="J4912" s="26" t="s">
        <v>77</v>
      </c>
      <c r="K4912" s="18"/>
      <c r="L4912" s="26" t="s">
        <v>77</v>
      </c>
      <c r="M4912" s="6" t="s">
        <v>77</v>
      </c>
      <c r="N4912" s="28" t="s">
        <v>77</v>
      </c>
      <c r="O4912" s="26" t="s">
        <v>77</v>
      </c>
    </row>
    <row r="4913">
      <c r="A4913" s="52" t="s">
        <v>77</v>
      </c>
      <c r="B4913" s="28" t="s">
        <v>77</v>
      </c>
      <c r="C4913" s="28" t="s">
        <v>77</v>
      </c>
      <c r="D4913" s="28" t="s">
        <v>77</v>
      </c>
      <c r="E4913" s="28" t="s">
        <v>77</v>
      </c>
      <c r="F4913" s="28" t="s">
        <v>77</v>
      </c>
      <c r="G4913" s="28" t="s">
        <v>77</v>
      </c>
      <c r="I4913" s="26" t="s">
        <v>77</v>
      </c>
      <c r="J4913" s="26" t="s">
        <v>77</v>
      </c>
      <c r="K4913" s="18"/>
      <c r="L4913" s="26" t="s">
        <v>77</v>
      </c>
      <c r="M4913" s="6" t="s">
        <v>77</v>
      </c>
      <c r="N4913" s="28" t="s">
        <v>77</v>
      </c>
      <c r="O4913" s="26" t="s">
        <v>77</v>
      </c>
    </row>
    <row r="4914">
      <c r="A4914" s="52" t="s">
        <v>77</v>
      </c>
      <c r="B4914" s="28" t="s">
        <v>77</v>
      </c>
      <c r="C4914" s="28" t="s">
        <v>77</v>
      </c>
      <c r="D4914" s="28" t="s">
        <v>77</v>
      </c>
      <c r="E4914" s="28" t="s">
        <v>77</v>
      </c>
      <c r="F4914" s="28" t="s">
        <v>77</v>
      </c>
      <c r="G4914" s="28" t="s">
        <v>77</v>
      </c>
      <c r="I4914" s="26" t="s">
        <v>77</v>
      </c>
      <c r="J4914" s="26" t="s">
        <v>77</v>
      </c>
      <c r="K4914" s="18"/>
      <c r="L4914" s="26" t="s">
        <v>77</v>
      </c>
      <c r="M4914" s="6" t="s">
        <v>77</v>
      </c>
      <c r="N4914" s="28" t="s">
        <v>77</v>
      </c>
      <c r="O4914" s="26" t="s">
        <v>77</v>
      </c>
    </row>
    <row r="4915">
      <c r="A4915" s="52" t="s">
        <v>77</v>
      </c>
      <c r="B4915" s="28" t="s">
        <v>77</v>
      </c>
      <c r="C4915" s="28" t="s">
        <v>77</v>
      </c>
      <c r="D4915" s="28" t="s">
        <v>77</v>
      </c>
      <c r="E4915" s="28" t="s">
        <v>77</v>
      </c>
      <c r="F4915" s="28" t="s">
        <v>77</v>
      </c>
      <c r="G4915" s="28" t="s">
        <v>77</v>
      </c>
      <c r="I4915" s="26" t="s">
        <v>77</v>
      </c>
      <c r="J4915" s="26" t="s">
        <v>77</v>
      </c>
      <c r="K4915" s="18"/>
      <c r="L4915" s="26" t="s">
        <v>77</v>
      </c>
      <c r="M4915" s="6" t="s">
        <v>77</v>
      </c>
      <c r="N4915" s="28" t="s">
        <v>77</v>
      </c>
      <c r="O4915" s="26" t="s">
        <v>77</v>
      </c>
    </row>
    <row r="4916">
      <c r="A4916" s="52" t="s">
        <v>77</v>
      </c>
      <c r="B4916" s="28" t="s">
        <v>77</v>
      </c>
      <c r="C4916" s="28" t="s">
        <v>77</v>
      </c>
      <c r="D4916" s="28" t="s">
        <v>77</v>
      </c>
      <c r="E4916" s="28" t="s">
        <v>77</v>
      </c>
      <c r="F4916" s="28" t="s">
        <v>77</v>
      </c>
      <c r="G4916" s="28" t="s">
        <v>77</v>
      </c>
      <c r="I4916" s="26" t="s">
        <v>77</v>
      </c>
      <c r="J4916" s="26" t="s">
        <v>77</v>
      </c>
      <c r="K4916" s="18"/>
      <c r="L4916" s="26" t="s">
        <v>77</v>
      </c>
      <c r="M4916" s="6" t="s">
        <v>77</v>
      </c>
      <c r="N4916" s="28" t="s">
        <v>77</v>
      </c>
      <c r="O4916" s="26" t="s">
        <v>77</v>
      </c>
    </row>
    <row r="4917">
      <c r="A4917" s="52" t="s">
        <v>77</v>
      </c>
      <c r="B4917" s="28" t="s">
        <v>77</v>
      </c>
      <c r="C4917" s="28" t="s">
        <v>77</v>
      </c>
      <c r="D4917" s="28" t="s">
        <v>77</v>
      </c>
      <c r="E4917" s="28" t="s">
        <v>77</v>
      </c>
      <c r="F4917" s="28" t="s">
        <v>77</v>
      </c>
      <c r="G4917" s="28" t="s">
        <v>77</v>
      </c>
      <c r="I4917" s="26" t="s">
        <v>77</v>
      </c>
      <c r="J4917" s="26" t="s">
        <v>77</v>
      </c>
      <c r="K4917" s="18"/>
      <c r="L4917" s="26" t="s">
        <v>77</v>
      </c>
      <c r="M4917" s="6" t="s">
        <v>77</v>
      </c>
      <c r="N4917" s="28" t="s">
        <v>77</v>
      </c>
      <c r="O4917" s="26" t="s">
        <v>77</v>
      </c>
    </row>
    <row r="4918">
      <c r="A4918" s="52" t="s">
        <v>77</v>
      </c>
      <c r="B4918" s="28" t="s">
        <v>77</v>
      </c>
      <c r="C4918" s="28" t="s">
        <v>77</v>
      </c>
      <c r="D4918" s="28" t="s">
        <v>77</v>
      </c>
      <c r="E4918" s="28" t="s">
        <v>77</v>
      </c>
      <c r="F4918" s="28" t="s">
        <v>77</v>
      </c>
      <c r="G4918" s="28" t="s">
        <v>77</v>
      </c>
      <c r="I4918" s="26" t="s">
        <v>77</v>
      </c>
      <c r="J4918" s="26" t="s">
        <v>77</v>
      </c>
      <c r="K4918" s="18"/>
      <c r="L4918" s="26" t="s">
        <v>77</v>
      </c>
      <c r="M4918" s="6" t="s">
        <v>77</v>
      </c>
      <c r="N4918" s="28" t="s">
        <v>77</v>
      </c>
      <c r="O4918" s="26" t="s">
        <v>77</v>
      </c>
    </row>
    <row r="4919">
      <c r="A4919" s="52" t="s">
        <v>77</v>
      </c>
      <c r="B4919" s="28" t="s">
        <v>77</v>
      </c>
      <c r="C4919" s="28" t="s">
        <v>77</v>
      </c>
      <c r="D4919" s="28" t="s">
        <v>77</v>
      </c>
      <c r="E4919" s="28" t="s">
        <v>77</v>
      </c>
      <c r="F4919" s="28" t="s">
        <v>77</v>
      </c>
      <c r="G4919" s="28" t="s">
        <v>77</v>
      </c>
      <c r="I4919" s="26" t="s">
        <v>77</v>
      </c>
      <c r="J4919" s="26" t="s">
        <v>77</v>
      </c>
      <c r="K4919" s="18"/>
      <c r="L4919" s="26" t="s">
        <v>77</v>
      </c>
      <c r="M4919" s="6" t="s">
        <v>77</v>
      </c>
      <c r="N4919" s="28" t="s">
        <v>77</v>
      </c>
      <c r="O4919" s="26" t="s">
        <v>77</v>
      </c>
    </row>
    <row r="4920">
      <c r="A4920" s="52" t="s">
        <v>77</v>
      </c>
      <c r="B4920" s="28" t="s">
        <v>77</v>
      </c>
      <c r="C4920" s="28" t="s">
        <v>77</v>
      </c>
      <c r="D4920" s="28" t="s">
        <v>77</v>
      </c>
      <c r="E4920" s="28" t="s">
        <v>77</v>
      </c>
      <c r="F4920" s="28" t="s">
        <v>77</v>
      </c>
      <c r="G4920" s="28" t="s">
        <v>77</v>
      </c>
      <c r="I4920" s="26" t="s">
        <v>77</v>
      </c>
      <c r="J4920" s="26" t="s">
        <v>77</v>
      </c>
      <c r="K4920" s="18"/>
      <c r="L4920" s="26" t="s">
        <v>77</v>
      </c>
      <c r="M4920" s="6" t="s">
        <v>77</v>
      </c>
      <c r="N4920" s="28" t="s">
        <v>77</v>
      </c>
      <c r="O4920" s="26" t="s">
        <v>77</v>
      </c>
    </row>
    <row r="4921">
      <c r="A4921" s="52" t="s">
        <v>77</v>
      </c>
      <c r="B4921" s="28" t="s">
        <v>77</v>
      </c>
      <c r="C4921" s="28" t="s">
        <v>77</v>
      </c>
      <c r="D4921" s="28" t="s">
        <v>77</v>
      </c>
      <c r="E4921" s="28" t="s">
        <v>77</v>
      </c>
      <c r="F4921" s="28" t="s">
        <v>77</v>
      </c>
      <c r="G4921" s="28" t="s">
        <v>77</v>
      </c>
      <c r="I4921" s="26" t="s">
        <v>77</v>
      </c>
      <c r="J4921" s="26" t="s">
        <v>77</v>
      </c>
      <c r="K4921" s="18"/>
      <c r="L4921" s="26" t="s">
        <v>77</v>
      </c>
      <c r="M4921" s="6" t="s">
        <v>77</v>
      </c>
      <c r="N4921" s="28" t="s">
        <v>77</v>
      </c>
      <c r="O4921" s="26" t="s">
        <v>77</v>
      </c>
    </row>
    <row r="4922">
      <c r="A4922" s="52" t="s">
        <v>77</v>
      </c>
      <c r="B4922" s="28" t="s">
        <v>77</v>
      </c>
      <c r="C4922" s="28" t="s">
        <v>77</v>
      </c>
      <c r="D4922" s="28" t="s">
        <v>77</v>
      </c>
      <c r="E4922" s="28" t="s">
        <v>77</v>
      </c>
      <c r="F4922" s="28" t="s">
        <v>77</v>
      </c>
      <c r="G4922" s="28" t="s">
        <v>77</v>
      </c>
      <c r="I4922" s="26" t="s">
        <v>77</v>
      </c>
      <c r="J4922" s="26" t="s">
        <v>77</v>
      </c>
      <c r="K4922" s="18"/>
      <c r="L4922" s="26" t="s">
        <v>77</v>
      </c>
      <c r="M4922" s="6" t="s">
        <v>77</v>
      </c>
      <c r="N4922" s="28" t="s">
        <v>77</v>
      </c>
      <c r="O4922" s="26" t="s">
        <v>77</v>
      </c>
    </row>
    <row r="4923">
      <c r="A4923" s="52" t="s">
        <v>77</v>
      </c>
      <c r="B4923" s="28" t="s">
        <v>77</v>
      </c>
      <c r="C4923" s="28" t="s">
        <v>77</v>
      </c>
      <c r="D4923" s="28" t="s">
        <v>77</v>
      </c>
      <c r="E4923" s="28" t="s">
        <v>77</v>
      </c>
      <c r="F4923" s="28" t="s">
        <v>77</v>
      </c>
      <c r="G4923" s="28" t="s">
        <v>77</v>
      </c>
      <c r="I4923" s="26" t="s">
        <v>77</v>
      </c>
      <c r="J4923" s="26" t="s">
        <v>77</v>
      </c>
      <c r="K4923" s="18"/>
      <c r="L4923" s="26" t="s">
        <v>77</v>
      </c>
      <c r="M4923" s="6" t="s">
        <v>77</v>
      </c>
      <c r="N4923" s="28" t="s">
        <v>77</v>
      </c>
      <c r="O4923" s="26" t="s">
        <v>77</v>
      </c>
    </row>
    <row r="4924">
      <c r="A4924" s="52" t="s">
        <v>77</v>
      </c>
      <c r="B4924" s="28" t="s">
        <v>77</v>
      </c>
      <c r="C4924" s="28" t="s">
        <v>77</v>
      </c>
      <c r="D4924" s="28" t="s">
        <v>77</v>
      </c>
      <c r="E4924" s="28" t="s">
        <v>77</v>
      </c>
      <c r="F4924" s="28" t="s">
        <v>77</v>
      </c>
      <c r="G4924" s="28" t="s">
        <v>77</v>
      </c>
      <c r="I4924" s="26" t="s">
        <v>77</v>
      </c>
      <c r="J4924" s="26" t="s">
        <v>77</v>
      </c>
      <c r="K4924" s="18"/>
      <c r="L4924" s="26" t="s">
        <v>77</v>
      </c>
      <c r="M4924" s="6" t="s">
        <v>77</v>
      </c>
      <c r="N4924" s="28" t="s">
        <v>77</v>
      </c>
      <c r="O4924" s="26" t="s">
        <v>77</v>
      </c>
    </row>
    <row r="4925">
      <c r="A4925" s="52" t="s">
        <v>77</v>
      </c>
      <c r="B4925" s="28" t="s">
        <v>77</v>
      </c>
      <c r="C4925" s="28" t="s">
        <v>77</v>
      </c>
      <c r="D4925" s="28" t="s">
        <v>77</v>
      </c>
      <c r="E4925" s="28" t="s">
        <v>77</v>
      </c>
      <c r="F4925" s="28" t="s">
        <v>77</v>
      </c>
      <c r="G4925" s="28" t="s">
        <v>77</v>
      </c>
      <c r="I4925" s="26" t="s">
        <v>77</v>
      </c>
      <c r="J4925" s="26" t="s">
        <v>77</v>
      </c>
      <c r="K4925" s="18"/>
      <c r="L4925" s="26" t="s">
        <v>77</v>
      </c>
      <c r="M4925" s="6" t="s">
        <v>77</v>
      </c>
      <c r="N4925" s="28" t="s">
        <v>77</v>
      </c>
      <c r="O4925" s="26" t="s">
        <v>77</v>
      </c>
    </row>
    <row r="4926">
      <c r="A4926" s="52" t="s">
        <v>77</v>
      </c>
      <c r="B4926" s="28" t="s">
        <v>77</v>
      </c>
      <c r="C4926" s="28" t="s">
        <v>77</v>
      </c>
      <c r="D4926" s="28" t="s">
        <v>77</v>
      </c>
      <c r="E4926" s="28" t="s">
        <v>77</v>
      </c>
      <c r="F4926" s="28" t="s">
        <v>77</v>
      </c>
      <c r="G4926" s="28" t="s">
        <v>77</v>
      </c>
      <c r="I4926" s="26" t="s">
        <v>77</v>
      </c>
      <c r="J4926" s="26" t="s">
        <v>77</v>
      </c>
      <c r="K4926" s="18"/>
      <c r="L4926" s="26" t="s">
        <v>77</v>
      </c>
      <c r="M4926" s="6" t="s">
        <v>77</v>
      </c>
      <c r="N4926" s="28" t="s">
        <v>77</v>
      </c>
      <c r="O4926" s="26" t="s">
        <v>77</v>
      </c>
    </row>
    <row r="4927">
      <c r="A4927" s="52" t="s">
        <v>77</v>
      </c>
      <c r="B4927" s="28" t="s">
        <v>77</v>
      </c>
      <c r="C4927" s="28" t="s">
        <v>77</v>
      </c>
      <c r="D4927" s="28" t="s">
        <v>77</v>
      </c>
      <c r="E4927" s="28" t="s">
        <v>77</v>
      </c>
      <c r="F4927" s="28" t="s">
        <v>77</v>
      </c>
      <c r="G4927" s="28" t="s">
        <v>77</v>
      </c>
      <c r="I4927" s="26" t="s">
        <v>77</v>
      </c>
      <c r="J4927" s="26" t="s">
        <v>77</v>
      </c>
      <c r="K4927" s="18"/>
      <c r="L4927" s="26" t="s">
        <v>77</v>
      </c>
      <c r="M4927" s="6" t="s">
        <v>77</v>
      </c>
      <c r="N4927" s="28" t="s">
        <v>77</v>
      </c>
      <c r="O4927" s="26" t="s">
        <v>77</v>
      </c>
    </row>
    <row r="4928">
      <c r="A4928" s="52" t="s">
        <v>77</v>
      </c>
      <c r="B4928" s="28" t="s">
        <v>77</v>
      </c>
      <c r="C4928" s="28" t="s">
        <v>77</v>
      </c>
      <c r="D4928" s="28" t="s">
        <v>77</v>
      </c>
      <c r="E4928" s="28" t="s">
        <v>77</v>
      </c>
      <c r="F4928" s="28" t="s">
        <v>77</v>
      </c>
      <c r="G4928" s="28" t="s">
        <v>77</v>
      </c>
      <c r="I4928" s="26" t="s">
        <v>77</v>
      </c>
      <c r="J4928" s="26" t="s">
        <v>77</v>
      </c>
      <c r="K4928" s="18"/>
      <c r="L4928" s="26" t="s">
        <v>77</v>
      </c>
      <c r="M4928" s="6" t="s">
        <v>77</v>
      </c>
      <c r="N4928" s="28" t="s">
        <v>77</v>
      </c>
      <c r="O4928" s="26" t="s">
        <v>77</v>
      </c>
    </row>
    <row r="4929">
      <c r="A4929" s="52" t="s">
        <v>77</v>
      </c>
      <c r="B4929" s="28" t="s">
        <v>77</v>
      </c>
      <c r="C4929" s="28" t="s">
        <v>77</v>
      </c>
      <c r="D4929" s="28" t="s">
        <v>77</v>
      </c>
      <c r="E4929" s="28" t="s">
        <v>77</v>
      </c>
      <c r="F4929" s="28" t="s">
        <v>77</v>
      </c>
      <c r="G4929" s="28" t="s">
        <v>77</v>
      </c>
      <c r="I4929" s="26" t="s">
        <v>77</v>
      </c>
      <c r="J4929" s="26" t="s">
        <v>77</v>
      </c>
      <c r="K4929" s="18"/>
      <c r="L4929" s="26" t="s">
        <v>77</v>
      </c>
      <c r="M4929" s="6" t="s">
        <v>77</v>
      </c>
      <c r="N4929" s="28" t="s">
        <v>77</v>
      </c>
      <c r="O4929" s="26" t="s">
        <v>77</v>
      </c>
    </row>
    <row r="4930">
      <c r="A4930" s="52" t="s">
        <v>77</v>
      </c>
      <c r="B4930" s="28" t="s">
        <v>77</v>
      </c>
      <c r="C4930" s="28" t="s">
        <v>77</v>
      </c>
      <c r="D4930" s="28" t="s">
        <v>77</v>
      </c>
      <c r="E4930" s="28" t="s">
        <v>77</v>
      </c>
      <c r="F4930" s="28" t="s">
        <v>77</v>
      </c>
      <c r="G4930" s="28" t="s">
        <v>77</v>
      </c>
      <c r="I4930" s="26" t="s">
        <v>77</v>
      </c>
      <c r="J4930" s="26" t="s">
        <v>77</v>
      </c>
      <c r="K4930" s="18"/>
      <c r="L4930" s="26" t="s">
        <v>77</v>
      </c>
      <c r="M4930" s="6" t="s">
        <v>77</v>
      </c>
      <c r="N4930" s="28" t="s">
        <v>77</v>
      </c>
      <c r="O4930" s="26" t="s">
        <v>77</v>
      </c>
    </row>
    <row r="4931">
      <c r="A4931" s="52" t="s">
        <v>77</v>
      </c>
      <c r="B4931" s="28" t="s">
        <v>77</v>
      </c>
      <c r="C4931" s="28" t="s">
        <v>77</v>
      </c>
      <c r="D4931" s="28" t="s">
        <v>77</v>
      </c>
      <c r="E4931" s="28" t="s">
        <v>77</v>
      </c>
      <c r="F4931" s="28" t="s">
        <v>77</v>
      </c>
      <c r="G4931" s="28" t="s">
        <v>77</v>
      </c>
      <c r="I4931" s="26" t="s">
        <v>77</v>
      </c>
      <c r="J4931" s="26" t="s">
        <v>77</v>
      </c>
      <c r="K4931" s="18"/>
      <c r="L4931" s="26" t="s">
        <v>77</v>
      </c>
      <c r="M4931" s="6" t="s">
        <v>77</v>
      </c>
      <c r="N4931" s="28" t="s">
        <v>77</v>
      </c>
      <c r="O4931" s="26" t="s">
        <v>77</v>
      </c>
    </row>
    <row r="4932">
      <c r="A4932" s="52" t="s">
        <v>77</v>
      </c>
      <c r="B4932" s="28" t="s">
        <v>77</v>
      </c>
      <c r="C4932" s="28" t="s">
        <v>77</v>
      </c>
      <c r="D4932" s="28" t="s">
        <v>77</v>
      </c>
      <c r="E4932" s="28" t="s">
        <v>77</v>
      </c>
      <c r="F4932" s="28" t="s">
        <v>77</v>
      </c>
      <c r="G4932" s="28" t="s">
        <v>77</v>
      </c>
      <c r="I4932" s="26" t="s">
        <v>77</v>
      </c>
      <c r="J4932" s="26" t="s">
        <v>77</v>
      </c>
      <c r="K4932" s="18"/>
      <c r="L4932" s="26" t="s">
        <v>77</v>
      </c>
      <c r="M4932" s="6" t="s">
        <v>77</v>
      </c>
      <c r="N4932" s="28" t="s">
        <v>77</v>
      </c>
      <c r="O4932" s="26" t="s">
        <v>77</v>
      </c>
    </row>
    <row r="4933">
      <c r="A4933" s="52" t="s">
        <v>77</v>
      </c>
      <c r="B4933" s="28" t="s">
        <v>77</v>
      </c>
      <c r="C4933" s="28" t="s">
        <v>77</v>
      </c>
      <c r="D4933" s="28" t="s">
        <v>77</v>
      </c>
      <c r="E4933" s="28" t="s">
        <v>77</v>
      </c>
      <c r="F4933" s="28" t="s">
        <v>77</v>
      </c>
      <c r="G4933" s="28" t="s">
        <v>77</v>
      </c>
      <c r="I4933" s="26" t="s">
        <v>77</v>
      </c>
      <c r="J4933" s="26" t="s">
        <v>77</v>
      </c>
      <c r="K4933" s="18"/>
      <c r="L4933" s="26" t="s">
        <v>77</v>
      </c>
      <c r="M4933" s="6" t="s">
        <v>77</v>
      </c>
      <c r="N4933" s="28" t="s">
        <v>77</v>
      </c>
      <c r="O4933" s="26" t="s">
        <v>77</v>
      </c>
    </row>
    <row r="4934">
      <c r="A4934" s="52" t="s">
        <v>77</v>
      </c>
      <c r="B4934" s="28" t="s">
        <v>77</v>
      </c>
      <c r="C4934" s="28" t="s">
        <v>77</v>
      </c>
      <c r="D4934" s="28" t="s">
        <v>77</v>
      </c>
      <c r="E4934" s="28" t="s">
        <v>77</v>
      </c>
      <c r="F4934" s="28" t="s">
        <v>77</v>
      </c>
      <c r="G4934" s="28" t="s">
        <v>77</v>
      </c>
      <c r="I4934" s="26" t="s">
        <v>77</v>
      </c>
      <c r="J4934" s="26" t="s">
        <v>77</v>
      </c>
      <c r="K4934" s="18"/>
      <c r="L4934" s="26" t="s">
        <v>77</v>
      </c>
      <c r="M4934" s="6" t="s">
        <v>77</v>
      </c>
      <c r="N4934" s="28" t="s">
        <v>77</v>
      </c>
      <c r="O4934" s="26" t="s">
        <v>77</v>
      </c>
    </row>
    <row r="4935">
      <c r="A4935" s="52" t="s">
        <v>77</v>
      </c>
      <c r="B4935" s="28" t="s">
        <v>77</v>
      </c>
      <c r="C4935" s="28" t="s">
        <v>77</v>
      </c>
      <c r="D4935" s="28" t="s">
        <v>77</v>
      </c>
      <c r="E4935" s="28" t="s">
        <v>77</v>
      </c>
      <c r="F4935" s="28" t="s">
        <v>77</v>
      </c>
      <c r="G4935" s="28" t="s">
        <v>77</v>
      </c>
      <c r="I4935" s="26" t="s">
        <v>77</v>
      </c>
      <c r="J4935" s="26" t="s">
        <v>77</v>
      </c>
      <c r="K4935" s="18"/>
      <c r="L4935" s="26" t="s">
        <v>77</v>
      </c>
      <c r="M4935" s="6" t="s">
        <v>77</v>
      </c>
      <c r="N4935" s="28" t="s">
        <v>77</v>
      </c>
      <c r="O4935" s="26" t="s">
        <v>77</v>
      </c>
    </row>
    <row r="4936">
      <c r="A4936" s="52" t="s">
        <v>77</v>
      </c>
      <c r="B4936" s="28" t="s">
        <v>77</v>
      </c>
      <c r="C4936" s="28" t="s">
        <v>77</v>
      </c>
      <c r="D4936" s="28" t="s">
        <v>77</v>
      </c>
      <c r="E4936" s="28" t="s">
        <v>77</v>
      </c>
      <c r="F4936" s="28" t="s">
        <v>77</v>
      </c>
      <c r="G4936" s="28" t="s">
        <v>77</v>
      </c>
      <c r="I4936" s="26" t="s">
        <v>77</v>
      </c>
      <c r="J4936" s="26" t="s">
        <v>77</v>
      </c>
      <c r="K4936" s="18"/>
      <c r="L4936" s="26" t="s">
        <v>77</v>
      </c>
      <c r="M4936" s="6" t="s">
        <v>77</v>
      </c>
      <c r="N4936" s="28" t="s">
        <v>77</v>
      </c>
      <c r="O4936" s="26" t="s">
        <v>77</v>
      </c>
    </row>
    <row r="4937">
      <c r="A4937" s="52" t="s">
        <v>77</v>
      </c>
      <c r="B4937" s="28" t="s">
        <v>77</v>
      </c>
      <c r="C4937" s="28" t="s">
        <v>77</v>
      </c>
      <c r="D4937" s="28" t="s">
        <v>77</v>
      </c>
      <c r="E4937" s="28" t="s">
        <v>77</v>
      </c>
      <c r="F4937" s="28" t="s">
        <v>77</v>
      </c>
      <c r="G4937" s="28" t="s">
        <v>77</v>
      </c>
      <c r="I4937" s="26" t="s">
        <v>77</v>
      </c>
      <c r="J4937" s="26" t="s">
        <v>77</v>
      </c>
      <c r="K4937" s="18"/>
      <c r="L4937" s="26" t="s">
        <v>77</v>
      </c>
      <c r="M4937" s="6" t="s">
        <v>77</v>
      </c>
      <c r="N4937" s="28" t="s">
        <v>77</v>
      </c>
      <c r="O4937" s="26" t="s">
        <v>77</v>
      </c>
    </row>
    <row r="4938">
      <c r="A4938" s="52" t="s">
        <v>77</v>
      </c>
      <c r="B4938" s="28" t="s">
        <v>77</v>
      </c>
      <c r="C4938" s="28" t="s">
        <v>77</v>
      </c>
      <c r="D4938" s="28" t="s">
        <v>77</v>
      </c>
      <c r="E4938" s="28" t="s">
        <v>77</v>
      </c>
      <c r="F4938" s="28" t="s">
        <v>77</v>
      </c>
      <c r="G4938" s="28" t="s">
        <v>77</v>
      </c>
      <c r="I4938" s="26" t="s">
        <v>77</v>
      </c>
      <c r="J4938" s="26" t="s">
        <v>77</v>
      </c>
      <c r="K4938" s="18"/>
      <c r="L4938" s="26" t="s">
        <v>77</v>
      </c>
      <c r="M4938" s="6" t="s">
        <v>77</v>
      </c>
      <c r="N4938" s="28" t="s">
        <v>77</v>
      </c>
      <c r="O4938" s="26" t="s">
        <v>77</v>
      </c>
    </row>
    <row r="4939">
      <c r="A4939" s="52" t="s">
        <v>77</v>
      </c>
      <c r="B4939" s="28" t="s">
        <v>77</v>
      </c>
      <c r="C4939" s="28" t="s">
        <v>77</v>
      </c>
      <c r="D4939" s="28" t="s">
        <v>77</v>
      </c>
      <c r="E4939" s="28" t="s">
        <v>77</v>
      </c>
      <c r="F4939" s="28" t="s">
        <v>77</v>
      </c>
      <c r="G4939" s="28" t="s">
        <v>77</v>
      </c>
      <c r="I4939" s="26" t="s">
        <v>77</v>
      </c>
      <c r="J4939" s="26" t="s">
        <v>77</v>
      </c>
      <c r="K4939" s="18"/>
      <c r="L4939" s="26" t="s">
        <v>77</v>
      </c>
      <c r="M4939" s="6" t="s">
        <v>77</v>
      </c>
      <c r="N4939" s="28" t="s">
        <v>77</v>
      </c>
      <c r="O4939" s="26" t="s">
        <v>77</v>
      </c>
    </row>
    <row r="4940">
      <c r="A4940" s="52" t="s">
        <v>77</v>
      </c>
      <c r="B4940" s="28" t="s">
        <v>77</v>
      </c>
      <c r="C4940" s="28" t="s">
        <v>77</v>
      </c>
      <c r="D4940" s="28" t="s">
        <v>77</v>
      </c>
      <c r="E4940" s="28" t="s">
        <v>77</v>
      </c>
      <c r="F4940" s="28" t="s">
        <v>77</v>
      </c>
      <c r="G4940" s="28" t="s">
        <v>77</v>
      </c>
      <c r="I4940" s="26" t="s">
        <v>77</v>
      </c>
      <c r="J4940" s="26" t="s">
        <v>77</v>
      </c>
      <c r="K4940" s="18"/>
      <c r="L4940" s="26" t="s">
        <v>77</v>
      </c>
      <c r="M4940" s="6" t="s">
        <v>77</v>
      </c>
      <c r="N4940" s="28" t="s">
        <v>77</v>
      </c>
      <c r="O4940" s="26" t="s">
        <v>77</v>
      </c>
    </row>
    <row r="4941">
      <c r="A4941" s="52" t="s">
        <v>77</v>
      </c>
      <c r="B4941" s="28" t="s">
        <v>77</v>
      </c>
      <c r="C4941" s="28" t="s">
        <v>77</v>
      </c>
      <c r="D4941" s="28" t="s">
        <v>77</v>
      </c>
      <c r="E4941" s="28" t="s">
        <v>77</v>
      </c>
      <c r="F4941" s="28" t="s">
        <v>77</v>
      </c>
      <c r="G4941" s="28" t="s">
        <v>77</v>
      </c>
      <c r="I4941" s="26" t="s">
        <v>77</v>
      </c>
      <c r="J4941" s="26" t="s">
        <v>77</v>
      </c>
      <c r="K4941" s="18"/>
      <c r="L4941" s="26" t="s">
        <v>77</v>
      </c>
      <c r="M4941" s="6" t="s">
        <v>77</v>
      </c>
      <c r="N4941" s="28" t="s">
        <v>77</v>
      </c>
      <c r="O4941" s="26" t="s">
        <v>77</v>
      </c>
    </row>
    <row r="4942">
      <c r="A4942" s="52" t="s">
        <v>77</v>
      </c>
      <c r="B4942" s="28" t="s">
        <v>77</v>
      </c>
      <c r="C4942" s="28" t="s">
        <v>77</v>
      </c>
      <c r="D4942" s="28" t="s">
        <v>77</v>
      </c>
      <c r="E4942" s="28" t="s">
        <v>77</v>
      </c>
      <c r="F4942" s="28" t="s">
        <v>77</v>
      </c>
      <c r="G4942" s="28" t="s">
        <v>77</v>
      </c>
      <c r="I4942" s="26" t="s">
        <v>77</v>
      </c>
      <c r="J4942" s="26" t="s">
        <v>77</v>
      </c>
      <c r="K4942" s="18"/>
      <c r="L4942" s="26" t="s">
        <v>77</v>
      </c>
      <c r="M4942" s="6" t="s">
        <v>77</v>
      </c>
      <c r="N4942" s="28" t="s">
        <v>77</v>
      </c>
      <c r="O4942" s="26" t="s">
        <v>77</v>
      </c>
    </row>
    <row r="4943">
      <c r="A4943" s="52" t="s">
        <v>77</v>
      </c>
      <c r="B4943" s="28" t="s">
        <v>77</v>
      </c>
      <c r="C4943" s="28" t="s">
        <v>77</v>
      </c>
      <c r="D4943" s="28" t="s">
        <v>77</v>
      </c>
      <c r="E4943" s="28" t="s">
        <v>77</v>
      </c>
      <c r="F4943" s="28" t="s">
        <v>77</v>
      </c>
      <c r="G4943" s="28" t="s">
        <v>77</v>
      </c>
      <c r="I4943" s="26" t="s">
        <v>77</v>
      </c>
      <c r="J4943" s="26" t="s">
        <v>77</v>
      </c>
      <c r="K4943" s="18"/>
      <c r="L4943" s="26" t="s">
        <v>77</v>
      </c>
      <c r="M4943" s="6" t="s">
        <v>77</v>
      </c>
      <c r="N4943" s="28" t="s">
        <v>77</v>
      </c>
      <c r="O4943" s="26" t="s">
        <v>77</v>
      </c>
    </row>
    <row r="4944">
      <c r="A4944" s="52" t="s">
        <v>77</v>
      </c>
      <c r="B4944" s="28" t="s">
        <v>77</v>
      </c>
      <c r="C4944" s="28" t="s">
        <v>77</v>
      </c>
      <c r="D4944" s="28" t="s">
        <v>77</v>
      </c>
      <c r="E4944" s="28" t="s">
        <v>77</v>
      </c>
      <c r="F4944" s="28" t="s">
        <v>77</v>
      </c>
      <c r="G4944" s="28" t="s">
        <v>77</v>
      </c>
      <c r="I4944" s="26" t="s">
        <v>77</v>
      </c>
      <c r="J4944" s="26" t="s">
        <v>77</v>
      </c>
      <c r="K4944" s="18"/>
      <c r="L4944" s="26" t="s">
        <v>77</v>
      </c>
      <c r="M4944" s="6" t="s">
        <v>77</v>
      </c>
      <c r="N4944" s="28" t="s">
        <v>77</v>
      </c>
      <c r="O4944" s="26" t="s">
        <v>77</v>
      </c>
    </row>
    <row r="4945">
      <c r="A4945" s="52" t="s">
        <v>77</v>
      </c>
      <c r="B4945" s="28" t="s">
        <v>77</v>
      </c>
      <c r="C4945" s="28" t="s">
        <v>77</v>
      </c>
      <c r="D4945" s="28" t="s">
        <v>77</v>
      </c>
      <c r="E4945" s="28" t="s">
        <v>77</v>
      </c>
      <c r="F4945" s="28" t="s">
        <v>77</v>
      </c>
      <c r="G4945" s="28" t="s">
        <v>77</v>
      </c>
      <c r="I4945" s="26" t="s">
        <v>77</v>
      </c>
      <c r="J4945" s="26" t="s">
        <v>77</v>
      </c>
      <c r="K4945" s="18"/>
      <c r="L4945" s="26" t="s">
        <v>77</v>
      </c>
      <c r="M4945" s="6" t="s">
        <v>77</v>
      </c>
      <c r="N4945" s="28" t="s">
        <v>77</v>
      </c>
      <c r="O4945" s="26" t="s">
        <v>77</v>
      </c>
    </row>
    <row r="4946">
      <c r="A4946" s="52" t="s">
        <v>77</v>
      </c>
      <c r="B4946" s="28" t="s">
        <v>77</v>
      </c>
      <c r="C4946" s="28" t="s">
        <v>77</v>
      </c>
      <c r="D4946" s="28" t="s">
        <v>77</v>
      </c>
      <c r="E4946" s="28" t="s">
        <v>77</v>
      </c>
      <c r="F4946" s="28" t="s">
        <v>77</v>
      </c>
      <c r="G4946" s="28" t="s">
        <v>77</v>
      </c>
      <c r="I4946" s="26" t="s">
        <v>77</v>
      </c>
      <c r="J4946" s="26" t="s">
        <v>77</v>
      </c>
      <c r="K4946" s="18"/>
      <c r="L4946" s="26" t="s">
        <v>77</v>
      </c>
      <c r="M4946" s="6" t="s">
        <v>77</v>
      </c>
      <c r="N4946" s="28" t="s">
        <v>77</v>
      </c>
      <c r="O4946" s="26" t="s">
        <v>77</v>
      </c>
    </row>
    <row r="4947">
      <c r="A4947" s="52" t="s">
        <v>77</v>
      </c>
      <c r="B4947" s="28" t="s">
        <v>77</v>
      </c>
      <c r="C4947" s="28" t="s">
        <v>77</v>
      </c>
      <c r="D4947" s="28" t="s">
        <v>77</v>
      </c>
      <c r="E4947" s="28" t="s">
        <v>77</v>
      </c>
      <c r="F4947" s="28" t="s">
        <v>77</v>
      </c>
      <c r="G4947" s="28" t="s">
        <v>77</v>
      </c>
      <c r="I4947" s="26" t="s">
        <v>77</v>
      </c>
      <c r="J4947" s="26" t="s">
        <v>77</v>
      </c>
      <c r="K4947" s="18"/>
      <c r="L4947" s="26" t="s">
        <v>77</v>
      </c>
      <c r="M4947" s="6" t="s">
        <v>77</v>
      </c>
      <c r="N4947" s="28" t="s">
        <v>77</v>
      </c>
      <c r="O4947" s="26" t="s">
        <v>77</v>
      </c>
    </row>
    <row r="4948">
      <c r="A4948" s="52" t="s">
        <v>77</v>
      </c>
      <c r="B4948" s="28" t="s">
        <v>77</v>
      </c>
      <c r="C4948" s="28" t="s">
        <v>77</v>
      </c>
      <c r="D4948" s="28" t="s">
        <v>77</v>
      </c>
      <c r="E4948" s="28" t="s">
        <v>77</v>
      </c>
      <c r="F4948" s="28" t="s">
        <v>77</v>
      </c>
      <c r="G4948" s="28" t="s">
        <v>77</v>
      </c>
      <c r="I4948" s="26" t="s">
        <v>77</v>
      </c>
      <c r="J4948" s="26" t="s">
        <v>77</v>
      </c>
      <c r="K4948" s="18"/>
      <c r="L4948" s="26" t="s">
        <v>77</v>
      </c>
      <c r="M4948" s="6" t="s">
        <v>77</v>
      </c>
      <c r="N4948" s="28" t="s">
        <v>77</v>
      </c>
      <c r="O4948" s="26" t="s">
        <v>77</v>
      </c>
    </row>
    <row r="4949">
      <c r="A4949" s="52" t="s">
        <v>77</v>
      </c>
      <c r="B4949" s="28" t="s">
        <v>77</v>
      </c>
      <c r="C4949" s="28" t="s">
        <v>77</v>
      </c>
      <c r="D4949" s="28" t="s">
        <v>77</v>
      </c>
      <c r="E4949" s="28" t="s">
        <v>77</v>
      </c>
      <c r="F4949" s="28" t="s">
        <v>77</v>
      </c>
      <c r="G4949" s="28" t="s">
        <v>77</v>
      </c>
      <c r="I4949" s="26" t="s">
        <v>77</v>
      </c>
      <c r="J4949" s="26" t="s">
        <v>77</v>
      </c>
      <c r="K4949" s="18"/>
      <c r="L4949" s="26" t="s">
        <v>77</v>
      </c>
      <c r="M4949" s="6" t="s">
        <v>77</v>
      </c>
      <c r="N4949" s="28" t="s">
        <v>77</v>
      </c>
      <c r="O4949" s="26" t="s">
        <v>77</v>
      </c>
    </row>
    <row r="4950">
      <c r="A4950" s="52" t="s">
        <v>77</v>
      </c>
      <c r="B4950" s="28" t="s">
        <v>77</v>
      </c>
      <c r="C4950" s="28" t="s">
        <v>77</v>
      </c>
      <c r="D4950" s="28" t="s">
        <v>77</v>
      </c>
      <c r="E4950" s="28" t="s">
        <v>77</v>
      </c>
      <c r="F4950" s="28" t="s">
        <v>77</v>
      </c>
      <c r="G4950" s="28" t="s">
        <v>77</v>
      </c>
      <c r="I4950" s="26" t="s">
        <v>77</v>
      </c>
      <c r="J4950" s="26" t="s">
        <v>77</v>
      </c>
      <c r="K4950" s="18"/>
      <c r="L4950" s="26" t="s">
        <v>77</v>
      </c>
      <c r="M4950" s="6" t="s">
        <v>77</v>
      </c>
      <c r="N4950" s="28" t="s">
        <v>77</v>
      </c>
      <c r="O4950" s="26" t="s">
        <v>77</v>
      </c>
    </row>
    <row r="4951">
      <c r="A4951" s="52" t="s">
        <v>77</v>
      </c>
      <c r="B4951" s="28" t="s">
        <v>77</v>
      </c>
      <c r="C4951" s="28" t="s">
        <v>77</v>
      </c>
      <c r="D4951" s="28" t="s">
        <v>77</v>
      </c>
      <c r="E4951" s="28" t="s">
        <v>77</v>
      </c>
      <c r="F4951" s="28" t="s">
        <v>77</v>
      </c>
      <c r="G4951" s="28" t="s">
        <v>77</v>
      </c>
      <c r="I4951" s="26" t="s">
        <v>77</v>
      </c>
      <c r="J4951" s="26" t="s">
        <v>77</v>
      </c>
      <c r="K4951" s="18"/>
      <c r="L4951" s="26" t="s">
        <v>77</v>
      </c>
      <c r="M4951" s="6" t="s">
        <v>77</v>
      </c>
      <c r="N4951" s="28" t="s">
        <v>77</v>
      </c>
      <c r="O4951" s="26" t="s">
        <v>77</v>
      </c>
    </row>
    <row r="4952">
      <c r="A4952" s="52" t="s">
        <v>77</v>
      </c>
      <c r="B4952" s="28" t="s">
        <v>77</v>
      </c>
      <c r="C4952" s="28" t="s">
        <v>77</v>
      </c>
      <c r="D4952" s="28" t="s">
        <v>77</v>
      </c>
      <c r="E4952" s="28" t="s">
        <v>77</v>
      </c>
      <c r="F4952" s="28" t="s">
        <v>77</v>
      </c>
      <c r="G4952" s="28" t="s">
        <v>77</v>
      </c>
      <c r="I4952" s="26" t="s">
        <v>77</v>
      </c>
      <c r="J4952" s="26" t="s">
        <v>77</v>
      </c>
      <c r="K4952" s="18"/>
      <c r="L4952" s="26" t="s">
        <v>77</v>
      </c>
      <c r="M4952" s="6" t="s">
        <v>77</v>
      </c>
      <c r="N4952" s="28" t="s">
        <v>77</v>
      </c>
      <c r="O4952" s="26" t="s">
        <v>77</v>
      </c>
    </row>
    <row r="4953">
      <c r="A4953" s="52" t="s">
        <v>77</v>
      </c>
      <c r="B4953" s="28" t="s">
        <v>77</v>
      </c>
      <c r="C4953" s="28" t="s">
        <v>77</v>
      </c>
      <c r="D4953" s="28" t="s">
        <v>77</v>
      </c>
      <c r="E4953" s="28" t="s">
        <v>77</v>
      </c>
      <c r="F4953" s="28" t="s">
        <v>77</v>
      </c>
      <c r="G4953" s="28" t="s">
        <v>77</v>
      </c>
      <c r="I4953" s="26" t="s">
        <v>77</v>
      </c>
      <c r="J4953" s="26" t="s">
        <v>77</v>
      </c>
      <c r="K4953" s="18"/>
      <c r="L4953" s="26" t="s">
        <v>77</v>
      </c>
      <c r="M4953" s="6" t="s">
        <v>77</v>
      </c>
      <c r="N4953" s="28" t="s">
        <v>77</v>
      </c>
      <c r="O4953" s="26" t="s">
        <v>77</v>
      </c>
    </row>
    <row r="4954">
      <c r="A4954" s="52" t="s">
        <v>77</v>
      </c>
      <c r="B4954" s="28" t="s">
        <v>77</v>
      </c>
      <c r="C4954" s="28" t="s">
        <v>77</v>
      </c>
      <c r="D4954" s="28" t="s">
        <v>77</v>
      </c>
      <c r="E4954" s="28" t="s">
        <v>77</v>
      </c>
      <c r="F4954" s="28" t="s">
        <v>77</v>
      </c>
      <c r="G4954" s="28" t="s">
        <v>77</v>
      </c>
      <c r="I4954" s="26" t="s">
        <v>77</v>
      </c>
      <c r="J4954" s="26" t="s">
        <v>77</v>
      </c>
      <c r="K4954" s="18"/>
      <c r="L4954" s="26" t="s">
        <v>77</v>
      </c>
      <c r="M4954" s="6" t="s">
        <v>77</v>
      </c>
      <c r="N4954" s="28" t="s">
        <v>77</v>
      </c>
      <c r="O4954" s="26" t="s">
        <v>77</v>
      </c>
    </row>
    <row r="4955">
      <c r="A4955" s="52" t="s">
        <v>77</v>
      </c>
      <c r="B4955" s="28" t="s">
        <v>77</v>
      </c>
      <c r="C4955" s="28" t="s">
        <v>77</v>
      </c>
      <c r="D4955" s="28" t="s">
        <v>77</v>
      </c>
      <c r="E4955" s="28" t="s">
        <v>77</v>
      </c>
      <c r="F4955" s="28" t="s">
        <v>77</v>
      </c>
      <c r="G4955" s="28" t="s">
        <v>77</v>
      </c>
      <c r="I4955" s="26" t="s">
        <v>77</v>
      </c>
      <c r="J4955" s="26" t="s">
        <v>77</v>
      </c>
      <c r="K4955" s="18"/>
      <c r="L4955" s="26" t="s">
        <v>77</v>
      </c>
      <c r="M4955" s="6" t="s">
        <v>77</v>
      </c>
      <c r="N4955" s="28" t="s">
        <v>77</v>
      </c>
      <c r="O4955" s="26" t="s">
        <v>77</v>
      </c>
    </row>
    <row r="4956">
      <c r="A4956" s="52" t="s">
        <v>77</v>
      </c>
      <c r="B4956" s="28" t="s">
        <v>77</v>
      </c>
      <c r="C4956" s="28" t="s">
        <v>77</v>
      </c>
      <c r="D4956" s="28" t="s">
        <v>77</v>
      </c>
      <c r="E4956" s="28" t="s">
        <v>77</v>
      </c>
      <c r="F4956" s="28" t="s">
        <v>77</v>
      </c>
      <c r="G4956" s="28" t="s">
        <v>77</v>
      </c>
      <c r="I4956" s="26" t="s">
        <v>77</v>
      </c>
      <c r="J4956" s="26" t="s">
        <v>77</v>
      </c>
      <c r="K4956" s="18"/>
      <c r="L4956" s="26" t="s">
        <v>77</v>
      </c>
      <c r="M4956" s="6" t="s">
        <v>77</v>
      </c>
      <c r="N4956" s="28" t="s">
        <v>77</v>
      </c>
      <c r="O4956" s="26" t="s">
        <v>77</v>
      </c>
    </row>
    <row r="4957">
      <c r="A4957" s="52" t="s">
        <v>77</v>
      </c>
      <c r="B4957" s="28" t="s">
        <v>77</v>
      </c>
      <c r="C4957" s="28" t="s">
        <v>77</v>
      </c>
      <c r="D4957" s="28" t="s">
        <v>77</v>
      </c>
      <c r="E4957" s="28" t="s">
        <v>77</v>
      </c>
      <c r="F4957" s="28" t="s">
        <v>77</v>
      </c>
      <c r="G4957" s="28" t="s">
        <v>77</v>
      </c>
      <c r="I4957" s="26" t="s">
        <v>77</v>
      </c>
      <c r="J4957" s="26" t="s">
        <v>77</v>
      </c>
      <c r="K4957" s="18"/>
      <c r="L4957" s="26" t="s">
        <v>77</v>
      </c>
      <c r="M4957" s="6" t="s">
        <v>77</v>
      </c>
      <c r="N4957" s="28" t="s">
        <v>77</v>
      </c>
      <c r="O4957" s="26" t="s">
        <v>77</v>
      </c>
    </row>
    <row r="4958">
      <c r="A4958" s="52" t="s">
        <v>77</v>
      </c>
      <c r="B4958" s="28" t="s">
        <v>77</v>
      </c>
      <c r="C4958" s="28" t="s">
        <v>77</v>
      </c>
      <c r="D4958" s="28" t="s">
        <v>77</v>
      </c>
      <c r="E4958" s="28" t="s">
        <v>77</v>
      </c>
      <c r="F4958" s="28" t="s">
        <v>77</v>
      </c>
      <c r="G4958" s="28" t="s">
        <v>77</v>
      </c>
      <c r="I4958" s="26" t="s">
        <v>77</v>
      </c>
      <c r="J4958" s="26" t="s">
        <v>77</v>
      </c>
      <c r="K4958" s="18"/>
      <c r="L4958" s="26" t="s">
        <v>77</v>
      </c>
      <c r="M4958" s="6" t="s">
        <v>77</v>
      </c>
      <c r="N4958" s="28" t="s">
        <v>77</v>
      </c>
      <c r="O4958" s="26" t="s">
        <v>77</v>
      </c>
    </row>
    <row r="4959">
      <c r="A4959" s="52" t="s">
        <v>77</v>
      </c>
      <c r="B4959" s="28" t="s">
        <v>77</v>
      </c>
      <c r="C4959" s="28" t="s">
        <v>77</v>
      </c>
      <c r="D4959" s="28" t="s">
        <v>77</v>
      </c>
      <c r="E4959" s="28" t="s">
        <v>77</v>
      </c>
      <c r="F4959" s="28" t="s">
        <v>77</v>
      </c>
      <c r="G4959" s="28" t="s">
        <v>77</v>
      </c>
      <c r="I4959" s="26" t="s">
        <v>77</v>
      </c>
      <c r="J4959" s="26" t="s">
        <v>77</v>
      </c>
      <c r="K4959" s="18"/>
      <c r="L4959" s="26" t="s">
        <v>77</v>
      </c>
      <c r="M4959" s="6" t="s">
        <v>77</v>
      </c>
      <c r="N4959" s="28" t="s">
        <v>77</v>
      </c>
      <c r="O4959" s="26" t="s">
        <v>77</v>
      </c>
    </row>
    <row r="4960">
      <c r="A4960" s="52" t="s">
        <v>77</v>
      </c>
      <c r="B4960" s="28" t="s">
        <v>77</v>
      </c>
      <c r="C4960" s="28" t="s">
        <v>77</v>
      </c>
      <c r="D4960" s="28" t="s">
        <v>77</v>
      </c>
      <c r="E4960" s="28" t="s">
        <v>77</v>
      </c>
      <c r="F4960" s="28" t="s">
        <v>77</v>
      </c>
      <c r="G4960" s="28" t="s">
        <v>77</v>
      </c>
      <c r="I4960" s="26" t="s">
        <v>77</v>
      </c>
      <c r="J4960" s="26" t="s">
        <v>77</v>
      </c>
      <c r="K4960" s="18"/>
      <c r="L4960" s="26" t="s">
        <v>77</v>
      </c>
      <c r="M4960" s="6" t="s">
        <v>77</v>
      </c>
      <c r="N4960" s="28" t="s">
        <v>77</v>
      </c>
      <c r="O4960" s="26" t="s">
        <v>77</v>
      </c>
    </row>
    <row r="4961">
      <c r="A4961" s="52" t="s">
        <v>77</v>
      </c>
      <c r="B4961" s="28" t="s">
        <v>77</v>
      </c>
      <c r="C4961" s="28" t="s">
        <v>77</v>
      </c>
      <c r="D4961" s="28" t="s">
        <v>77</v>
      </c>
      <c r="E4961" s="28" t="s">
        <v>77</v>
      </c>
      <c r="F4961" s="28" t="s">
        <v>77</v>
      </c>
      <c r="G4961" s="28" t="s">
        <v>77</v>
      </c>
      <c r="I4961" s="26" t="s">
        <v>77</v>
      </c>
      <c r="J4961" s="26" t="s">
        <v>77</v>
      </c>
      <c r="K4961" s="18"/>
      <c r="L4961" s="26" t="s">
        <v>77</v>
      </c>
      <c r="M4961" s="6" t="s">
        <v>77</v>
      </c>
      <c r="N4961" s="28" t="s">
        <v>77</v>
      </c>
      <c r="O4961" s="26" t="s">
        <v>77</v>
      </c>
    </row>
    <row r="4962">
      <c r="A4962" s="52" t="s">
        <v>77</v>
      </c>
      <c r="B4962" s="28" t="s">
        <v>77</v>
      </c>
      <c r="C4962" s="28" t="s">
        <v>77</v>
      </c>
      <c r="D4962" s="28" t="s">
        <v>77</v>
      </c>
      <c r="E4962" s="28" t="s">
        <v>77</v>
      </c>
      <c r="F4962" s="28" t="s">
        <v>77</v>
      </c>
      <c r="G4962" s="28" t="s">
        <v>77</v>
      </c>
      <c r="I4962" s="26" t="s">
        <v>77</v>
      </c>
      <c r="J4962" s="26" t="s">
        <v>77</v>
      </c>
      <c r="K4962" s="18"/>
      <c r="L4962" s="26" t="s">
        <v>77</v>
      </c>
      <c r="M4962" s="6" t="s">
        <v>77</v>
      </c>
      <c r="N4962" s="28" t="s">
        <v>77</v>
      </c>
      <c r="O4962" s="26" t="s">
        <v>77</v>
      </c>
    </row>
    <row r="4963">
      <c r="A4963" s="52" t="s">
        <v>77</v>
      </c>
      <c r="B4963" s="28" t="s">
        <v>77</v>
      </c>
      <c r="C4963" s="28" t="s">
        <v>77</v>
      </c>
      <c r="D4963" s="28" t="s">
        <v>77</v>
      </c>
      <c r="E4963" s="28" t="s">
        <v>77</v>
      </c>
      <c r="F4963" s="28" t="s">
        <v>77</v>
      </c>
      <c r="G4963" s="28" t="s">
        <v>77</v>
      </c>
      <c r="I4963" s="26" t="s">
        <v>77</v>
      </c>
      <c r="J4963" s="26" t="s">
        <v>77</v>
      </c>
      <c r="K4963" s="18"/>
      <c r="L4963" s="26" t="s">
        <v>77</v>
      </c>
      <c r="M4963" s="6" t="s">
        <v>77</v>
      </c>
      <c r="N4963" s="28" t="s">
        <v>77</v>
      </c>
      <c r="O4963" s="26" t="s">
        <v>77</v>
      </c>
    </row>
    <row r="4964">
      <c r="A4964" s="52" t="s">
        <v>77</v>
      </c>
      <c r="B4964" s="28" t="s">
        <v>77</v>
      </c>
      <c r="C4964" s="28" t="s">
        <v>77</v>
      </c>
      <c r="D4964" s="28" t="s">
        <v>77</v>
      </c>
      <c r="E4964" s="28" t="s">
        <v>77</v>
      </c>
      <c r="F4964" s="28" t="s">
        <v>77</v>
      </c>
      <c r="G4964" s="28" t="s">
        <v>77</v>
      </c>
      <c r="I4964" s="26" t="s">
        <v>77</v>
      </c>
      <c r="J4964" s="26" t="s">
        <v>77</v>
      </c>
      <c r="K4964" s="18"/>
      <c r="L4964" s="26" t="s">
        <v>77</v>
      </c>
      <c r="M4964" s="6" t="s">
        <v>77</v>
      </c>
      <c r="N4964" s="28" t="s">
        <v>77</v>
      </c>
      <c r="O4964" s="26" t="s">
        <v>77</v>
      </c>
    </row>
    <row r="4965">
      <c r="A4965" s="52" t="s">
        <v>77</v>
      </c>
      <c r="B4965" s="28" t="s">
        <v>77</v>
      </c>
      <c r="C4965" s="28" t="s">
        <v>77</v>
      </c>
      <c r="D4965" s="28" t="s">
        <v>77</v>
      </c>
      <c r="E4965" s="28" t="s">
        <v>77</v>
      </c>
      <c r="F4965" s="28" t="s">
        <v>77</v>
      </c>
      <c r="G4965" s="28" t="s">
        <v>77</v>
      </c>
      <c r="I4965" s="26" t="s">
        <v>77</v>
      </c>
      <c r="J4965" s="26" t="s">
        <v>77</v>
      </c>
      <c r="K4965" s="18"/>
      <c r="L4965" s="26" t="s">
        <v>77</v>
      </c>
      <c r="M4965" s="6" t="s">
        <v>77</v>
      </c>
      <c r="N4965" s="28" t="s">
        <v>77</v>
      </c>
      <c r="O4965" s="26" t="s">
        <v>77</v>
      </c>
    </row>
    <row r="4966">
      <c r="A4966" s="52" t="s">
        <v>77</v>
      </c>
      <c r="B4966" s="28" t="s">
        <v>77</v>
      </c>
      <c r="C4966" s="28" t="s">
        <v>77</v>
      </c>
      <c r="D4966" s="28" t="s">
        <v>77</v>
      </c>
      <c r="E4966" s="28" t="s">
        <v>77</v>
      </c>
      <c r="F4966" s="28" t="s">
        <v>77</v>
      </c>
      <c r="G4966" s="28" t="s">
        <v>77</v>
      </c>
      <c r="I4966" s="26" t="s">
        <v>77</v>
      </c>
      <c r="J4966" s="26" t="s">
        <v>77</v>
      </c>
      <c r="K4966" s="18"/>
      <c r="L4966" s="26" t="s">
        <v>77</v>
      </c>
      <c r="M4966" s="6" t="s">
        <v>77</v>
      </c>
      <c r="N4966" s="28" t="s">
        <v>77</v>
      </c>
      <c r="O4966" s="26" t="s">
        <v>77</v>
      </c>
    </row>
    <row r="4967">
      <c r="A4967" s="52" t="s">
        <v>77</v>
      </c>
      <c r="B4967" s="28" t="s">
        <v>77</v>
      </c>
      <c r="C4967" s="28" t="s">
        <v>77</v>
      </c>
      <c r="D4967" s="28" t="s">
        <v>77</v>
      </c>
      <c r="E4967" s="28" t="s">
        <v>77</v>
      </c>
      <c r="F4967" s="28" t="s">
        <v>77</v>
      </c>
      <c r="G4967" s="28" t="s">
        <v>77</v>
      </c>
      <c r="I4967" s="26" t="s">
        <v>77</v>
      </c>
      <c r="J4967" s="26" t="s">
        <v>77</v>
      </c>
      <c r="K4967" s="18"/>
      <c r="L4967" s="26" t="s">
        <v>77</v>
      </c>
      <c r="M4967" s="6" t="s">
        <v>77</v>
      </c>
      <c r="N4967" s="28" t="s">
        <v>77</v>
      </c>
      <c r="O4967" s="26" t="s">
        <v>77</v>
      </c>
    </row>
    <row r="4968">
      <c r="A4968" s="52" t="s">
        <v>77</v>
      </c>
      <c r="B4968" s="28" t="s">
        <v>77</v>
      </c>
      <c r="C4968" s="28" t="s">
        <v>77</v>
      </c>
      <c r="D4968" s="28" t="s">
        <v>77</v>
      </c>
      <c r="E4968" s="28" t="s">
        <v>77</v>
      </c>
      <c r="F4968" s="28" t="s">
        <v>77</v>
      </c>
      <c r="G4968" s="28" t="s">
        <v>77</v>
      </c>
      <c r="I4968" s="26" t="s">
        <v>77</v>
      </c>
      <c r="J4968" s="26" t="s">
        <v>77</v>
      </c>
      <c r="K4968" s="18"/>
      <c r="L4968" s="26" t="s">
        <v>77</v>
      </c>
      <c r="M4968" s="6" t="s">
        <v>77</v>
      </c>
      <c r="N4968" s="28" t="s">
        <v>77</v>
      </c>
      <c r="O4968" s="26" t="s">
        <v>77</v>
      </c>
    </row>
    <row r="4969">
      <c r="A4969" s="52" t="s">
        <v>77</v>
      </c>
      <c r="B4969" s="28" t="s">
        <v>77</v>
      </c>
      <c r="C4969" s="28" t="s">
        <v>77</v>
      </c>
      <c r="D4969" s="28" t="s">
        <v>77</v>
      </c>
      <c r="E4969" s="28" t="s">
        <v>77</v>
      </c>
      <c r="F4969" s="28" t="s">
        <v>77</v>
      </c>
      <c r="G4969" s="28" t="s">
        <v>77</v>
      </c>
      <c r="I4969" s="26" t="s">
        <v>77</v>
      </c>
      <c r="J4969" s="26" t="s">
        <v>77</v>
      </c>
      <c r="K4969" s="18"/>
      <c r="L4969" s="26" t="s">
        <v>77</v>
      </c>
      <c r="M4969" s="6" t="s">
        <v>77</v>
      </c>
      <c r="N4969" s="28" t="s">
        <v>77</v>
      </c>
      <c r="O4969" s="26" t="s">
        <v>77</v>
      </c>
    </row>
    <row r="4970">
      <c r="A4970" s="52" t="s">
        <v>77</v>
      </c>
      <c r="B4970" s="28" t="s">
        <v>77</v>
      </c>
      <c r="C4970" s="28" t="s">
        <v>77</v>
      </c>
      <c r="D4970" s="28" t="s">
        <v>77</v>
      </c>
      <c r="E4970" s="28" t="s">
        <v>77</v>
      </c>
      <c r="F4970" s="28" t="s">
        <v>77</v>
      </c>
      <c r="G4970" s="28" t="s">
        <v>77</v>
      </c>
      <c r="I4970" s="26" t="s">
        <v>77</v>
      </c>
      <c r="J4970" s="26" t="s">
        <v>77</v>
      </c>
      <c r="K4970" s="18"/>
      <c r="L4970" s="26" t="s">
        <v>77</v>
      </c>
      <c r="M4970" s="6" t="s">
        <v>77</v>
      </c>
      <c r="N4970" s="28" t="s">
        <v>77</v>
      </c>
      <c r="O4970" s="26" t="s">
        <v>77</v>
      </c>
    </row>
    <row r="4971">
      <c r="A4971" s="52" t="s">
        <v>77</v>
      </c>
      <c r="B4971" s="28" t="s">
        <v>77</v>
      </c>
      <c r="C4971" s="28" t="s">
        <v>77</v>
      </c>
      <c r="D4971" s="28" t="s">
        <v>77</v>
      </c>
      <c r="E4971" s="28" t="s">
        <v>77</v>
      </c>
      <c r="F4971" s="28" t="s">
        <v>77</v>
      </c>
      <c r="G4971" s="28" t="s">
        <v>77</v>
      </c>
      <c r="I4971" s="26" t="s">
        <v>77</v>
      </c>
      <c r="J4971" s="26" t="s">
        <v>77</v>
      </c>
      <c r="K4971" s="18"/>
      <c r="L4971" s="26" t="s">
        <v>77</v>
      </c>
      <c r="M4971" s="6" t="s">
        <v>77</v>
      </c>
      <c r="N4971" s="28" t="s">
        <v>77</v>
      </c>
      <c r="O4971" s="26" t="s">
        <v>77</v>
      </c>
    </row>
    <row r="4972">
      <c r="A4972" s="52" t="s">
        <v>77</v>
      </c>
      <c r="B4972" s="28" t="s">
        <v>77</v>
      </c>
      <c r="C4972" s="28" t="s">
        <v>77</v>
      </c>
      <c r="D4972" s="28" t="s">
        <v>77</v>
      </c>
      <c r="E4972" s="28" t="s">
        <v>77</v>
      </c>
      <c r="F4972" s="28" t="s">
        <v>77</v>
      </c>
      <c r="G4972" s="28" t="s">
        <v>77</v>
      </c>
      <c r="I4972" s="26" t="s">
        <v>77</v>
      </c>
      <c r="J4972" s="26" t="s">
        <v>77</v>
      </c>
      <c r="K4972" s="18"/>
      <c r="L4972" s="26" t="s">
        <v>77</v>
      </c>
      <c r="M4972" s="6" t="s">
        <v>77</v>
      </c>
      <c r="N4972" s="28" t="s">
        <v>77</v>
      </c>
      <c r="O4972" s="26" t="s">
        <v>77</v>
      </c>
    </row>
    <row r="4973">
      <c r="A4973" s="52" t="s">
        <v>77</v>
      </c>
      <c r="B4973" s="28" t="s">
        <v>77</v>
      </c>
      <c r="C4973" s="28" t="s">
        <v>77</v>
      </c>
      <c r="D4973" s="28" t="s">
        <v>77</v>
      </c>
      <c r="E4973" s="28" t="s">
        <v>77</v>
      </c>
      <c r="F4973" s="28" t="s">
        <v>77</v>
      </c>
      <c r="G4973" s="28" t="s">
        <v>77</v>
      </c>
      <c r="I4973" s="26" t="s">
        <v>77</v>
      </c>
      <c r="J4973" s="26" t="s">
        <v>77</v>
      </c>
      <c r="K4973" s="18"/>
      <c r="L4973" s="26" t="s">
        <v>77</v>
      </c>
      <c r="M4973" s="6" t="s">
        <v>77</v>
      </c>
      <c r="N4973" s="28" t="s">
        <v>77</v>
      </c>
      <c r="O4973" s="26" t="s">
        <v>77</v>
      </c>
    </row>
    <row r="4974">
      <c r="A4974" s="52" t="s">
        <v>77</v>
      </c>
      <c r="B4974" s="28" t="s">
        <v>77</v>
      </c>
      <c r="C4974" s="28" t="s">
        <v>77</v>
      </c>
      <c r="D4974" s="28" t="s">
        <v>77</v>
      </c>
      <c r="E4974" s="28" t="s">
        <v>77</v>
      </c>
      <c r="F4974" s="28" t="s">
        <v>77</v>
      </c>
      <c r="G4974" s="28" t="s">
        <v>77</v>
      </c>
      <c r="I4974" s="26" t="s">
        <v>77</v>
      </c>
      <c r="J4974" s="26" t="s">
        <v>77</v>
      </c>
      <c r="K4974" s="18"/>
      <c r="L4974" s="26" t="s">
        <v>77</v>
      </c>
      <c r="M4974" s="6" t="s">
        <v>77</v>
      </c>
      <c r="N4974" s="28" t="s">
        <v>77</v>
      </c>
      <c r="O4974" s="26" t="s">
        <v>77</v>
      </c>
    </row>
    <row r="4975">
      <c r="A4975" s="52" t="s">
        <v>77</v>
      </c>
      <c r="B4975" s="28" t="s">
        <v>77</v>
      </c>
      <c r="C4975" s="28" t="s">
        <v>77</v>
      </c>
      <c r="D4975" s="28" t="s">
        <v>77</v>
      </c>
      <c r="E4975" s="28" t="s">
        <v>77</v>
      </c>
      <c r="F4975" s="28" t="s">
        <v>77</v>
      </c>
      <c r="G4975" s="28" t="s">
        <v>77</v>
      </c>
      <c r="I4975" s="26" t="s">
        <v>77</v>
      </c>
      <c r="J4975" s="26" t="s">
        <v>77</v>
      </c>
      <c r="K4975" s="18"/>
      <c r="L4975" s="26" t="s">
        <v>77</v>
      </c>
      <c r="M4975" s="6" t="s">
        <v>77</v>
      </c>
      <c r="N4975" s="28" t="s">
        <v>77</v>
      </c>
      <c r="O4975" s="26" t="s">
        <v>77</v>
      </c>
    </row>
    <row r="4976">
      <c r="A4976" s="52" t="s">
        <v>77</v>
      </c>
      <c r="B4976" s="28" t="s">
        <v>77</v>
      </c>
      <c r="C4976" s="28" t="s">
        <v>77</v>
      </c>
      <c r="D4976" s="28" t="s">
        <v>77</v>
      </c>
      <c r="E4976" s="28" t="s">
        <v>77</v>
      </c>
      <c r="F4976" s="28" t="s">
        <v>77</v>
      </c>
      <c r="G4976" s="28" t="s">
        <v>77</v>
      </c>
      <c r="I4976" s="26" t="s">
        <v>77</v>
      </c>
      <c r="J4976" s="26" t="s">
        <v>77</v>
      </c>
      <c r="K4976" s="18"/>
      <c r="L4976" s="26" t="s">
        <v>77</v>
      </c>
      <c r="M4976" s="6" t="s">
        <v>77</v>
      </c>
      <c r="N4976" s="28" t="s">
        <v>77</v>
      </c>
      <c r="O4976" s="26" t="s">
        <v>77</v>
      </c>
    </row>
    <row r="4977">
      <c r="A4977" s="52" t="s">
        <v>77</v>
      </c>
      <c r="B4977" s="28" t="s">
        <v>77</v>
      </c>
      <c r="C4977" s="28" t="s">
        <v>77</v>
      </c>
      <c r="D4977" s="28" t="s">
        <v>77</v>
      </c>
      <c r="E4977" s="28" t="s">
        <v>77</v>
      </c>
      <c r="F4977" s="28" t="s">
        <v>77</v>
      </c>
      <c r="G4977" s="28" t="s">
        <v>77</v>
      </c>
      <c r="I4977" s="26" t="s">
        <v>77</v>
      </c>
      <c r="J4977" s="26" t="s">
        <v>77</v>
      </c>
      <c r="K4977" s="18"/>
      <c r="L4977" s="26" t="s">
        <v>77</v>
      </c>
      <c r="M4977" s="6" t="s">
        <v>77</v>
      </c>
      <c r="N4977" s="28" t="s">
        <v>77</v>
      </c>
      <c r="O4977" s="26" t="s">
        <v>77</v>
      </c>
    </row>
    <row r="4978">
      <c r="A4978" s="52" t="s">
        <v>77</v>
      </c>
      <c r="B4978" s="28" t="s">
        <v>77</v>
      </c>
      <c r="C4978" s="28" t="s">
        <v>77</v>
      </c>
      <c r="D4978" s="28" t="s">
        <v>77</v>
      </c>
      <c r="E4978" s="28" t="s">
        <v>77</v>
      </c>
      <c r="F4978" s="28" t="s">
        <v>77</v>
      </c>
      <c r="G4978" s="28" t="s">
        <v>77</v>
      </c>
      <c r="I4978" s="26" t="s">
        <v>77</v>
      </c>
      <c r="J4978" s="26" t="s">
        <v>77</v>
      </c>
      <c r="K4978" s="18"/>
      <c r="L4978" s="26" t="s">
        <v>77</v>
      </c>
      <c r="M4978" s="6" t="s">
        <v>77</v>
      </c>
      <c r="N4978" s="28" t="s">
        <v>77</v>
      </c>
      <c r="O4978" s="26" t="s">
        <v>77</v>
      </c>
    </row>
    <row r="4979">
      <c r="A4979" s="52" t="s">
        <v>77</v>
      </c>
      <c r="B4979" s="28" t="s">
        <v>77</v>
      </c>
      <c r="C4979" s="28" t="s">
        <v>77</v>
      </c>
      <c r="D4979" s="28" t="s">
        <v>77</v>
      </c>
      <c r="E4979" s="28" t="s">
        <v>77</v>
      </c>
      <c r="F4979" s="28" t="s">
        <v>77</v>
      </c>
      <c r="G4979" s="28" t="s">
        <v>77</v>
      </c>
      <c r="I4979" s="26" t="s">
        <v>77</v>
      </c>
      <c r="J4979" s="26" t="s">
        <v>77</v>
      </c>
      <c r="K4979" s="18"/>
      <c r="L4979" s="26" t="s">
        <v>77</v>
      </c>
      <c r="M4979" s="6" t="s">
        <v>77</v>
      </c>
      <c r="N4979" s="28" t="s">
        <v>77</v>
      </c>
      <c r="O4979" s="26" t="s">
        <v>77</v>
      </c>
    </row>
    <row r="4980">
      <c r="A4980" s="52" t="s">
        <v>77</v>
      </c>
      <c r="B4980" s="28" t="s">
        <v>77</v>
      </c>
      <c r="C4980" s="28" t="s">
        <v>77</v>
      </c>
      <c r="D4980" s="28" t="s">
        <v>77</v>
      </c>
      <c r="E4980" s="28" t="s">
        <v>77</v>
      </c>
      <c r="F4980" s="28" t="s">
        <v>77</v>
      </c>
      <c r="G4980" s="28" t="s">
        <v>77</v>
      </c>
      <c r="I4980" s="26" t="s">
        <v>77</v>
      </c>
      <c r="J4980" s="26" t="s">
        <v>77</v>
      </c>
      <c r="K4980" s="18"/>
      <c r="L4980" s="26" t="s">
        <v>77</v>
      </c>
      <c r="M4980" s="6" t="s">
        <v>77</v>
      </c>
      <c r="N4980" s="28" t="s">
        <v>77</v>
      </c>
      <c r="O4980" s="26" t="s">
        <v>77</v>
      </c>
    </row>
    <row r="4981">
      <c r="A4981" s="52" t="s">
        <v>77</v>
      </c>
      <c r="B4981" s="28" t="s">
        <v>77</v>
      </c>
      <c r="C4981" s="28" t="s">
        <v>77</v>
      </c>
      <c r="D4981" s="28" t="s">
        <v>77</v>
      </c>
      <c r="E4981" s="28" t="s">
        <v>77</v>
      </c>
      <c r="F4981" s="28" t="s">
        <v>77</v>
      </c>
      <c r="G4981" s="28" t="s">
        <v>77</v>
      </c>
      <c r="I4981" s="26" t="s">
        <v>77</v>
      </c>
      <c r="J4981" s="26" t="s">
        <v>77</v>
      </c>
      <c r="K4981" s="18"/>
      <c r="L4981" s="26" t="s">
        <v>77</v>
      </c>
      <c r="M4981" s="6" t="s">
        <v>77</v>
      </c>
      <c r="N4981" s="28" t="s">
        <v>77</v>
      </c>
      <c r="O4981" s="26" t="s">
        <v>77</v>
      </c>
    </row>
    <row r="4982">
      <c r="A4982" s="52" t="s">
        <v>77</v>
      </c>
      <c r="B4982" s="28" t="s">
        <v>77</v>
      </c>
      <c r="C4982" s="28" t="s">
        <v>77</v>
      </c>
      <c r="D4982" s="28" t="s">
        <v>77</v>
      </c>
      <c r="E4982" s="28" t="s">
        <v>77</v>
      </c>
      <c r="F4982" s="28" t="s">
        <v>77</v>
      </c>
      <c r="G4982" s="28" t="s">
        <v>77</v>
      </c>
      <c r="I4982" s="26" t="s">
        <v>77</v>
      </c>
      <c r="J4982" s="26" t="s">
        <v>77</v>
      </c>
      <c r="K4982" s="18"/>
      <c r="L4982" s="26" t="s">
        <v>77</v>
      </c>
      <c r="M4982" s="6" t="s">
        <v>77</v>
      </c>
      <c r="N4982" s="28" t="s">
        <v>77</v>
      </c>
      <c r="O4982" s="26" t="s">
        <v>77</v>
      </c>
    </row>
    <row r="4983">
      <c r="A4983" s="52" t="s">
        <v>77</v>
      </c>
      <c r="B4983" s="28" t="s">
        <v>77</v>
      </c>
      <c r="C4983" s="28" t="s">
        <v>77</v>
      </c>
      <c r="D4983" s="28" t="s">
        <v>77</v>
      </c>
      <c r="E4983" s="28" t="s">
        <v>77</v>
      </c>
      <c r="F4983" s="28" t="s">
        <v>77</v>
      </c>
      <c r="G4983" s="28" t="s">
        <v>77</v>
      </c>
      <c r="I4983" s="26" t="s">
        <v>77</v>
      </c>
      <c r="J4983" s="26" t="s">
        <v>77</v>
      </c>
      <c r="K4983" s="18"/>
      <c r="L4983" s="26" t="s">
        <v>77</v>
      </c>
      <c r="M4983" s="6" t="s">
        <v>77</v>
      </c>
      <c r="N4983" s="28" t="s">
        <v>77</v>
      </c>
      <c r="O4983" s="26" t="s">
        <v>77</v>
      </c>
    </row>
    <row r="4984">
      <c r="A4984" s="52" t="s">
        <v>77</v>
      </c>
      <c r="B4984" s="28" t="s">
        <v>77</v>
      </c>
      <c r="C4984" s="28" t="s">
        <v>77</v>
      </c>
      <c r="D4984" s="28" t="s">
        <v>77</v>
      </c>
      <c r="E4984" s="28" t="s">
        <v>77</v>
      </c>
      <c r="F4984" s="28" t="s">
        <v>77</v>
      </c>
      <c r="G4984" s="28" t="s">
        <v>77</v>
      </c>
      <c r="I4984" s="26" t="s">
        <v>77</v>
      </c>
      <c r="J4984" s="26" t="s">
        <v>77</v>
      </c>
      <c r="K4984" s="18"/>
      <c r="L4984" s="26" t="s">
        <v>77</v>
      </c>
      <c r="M4984" s="6" t="s">
        <v>77</v>
      </c>
      <c r="N4984" s="28" t="s">
        <v>77</v>
      </c>
      <c r="O4984" s="26" t="s">
        <v>77</v>
      </c>
    </row>
    <row r="4985">
      <c r="A4985" s="52" t="s">
        <v>77</v>
      </c>
      <c r="B4985" s="28" t="s">
        <v>77</v>
      </c>
      <c r="C4985" s="28" t="s">
        <v>77</v>
      </c>
      <c r="D4985" s="28" t="s">
        <v>77</v>
      </c>
      <c r="E4985" s="28" t="s">
        <v>77</v>
      </c>
      <c r="F4985" s="28" t="s">
        <v>77</v>
      </c>
      <c r="G4985" s="28" t="s">
        <v>77</v>
      </c>
      <c r="I4985" s="26" t="s">
        <v>77</v>
      </c>
      <c r="J4985" s="26" t="s">
        <v>77</v>
      </c>
      <c r="K4985" s="18"/>
      <c r="L4985" s="26" t="s">
        <v>77</v>
      </c>
      <c r="M4985" s="6" t="s">
        <v>77</v>
      </c>
      <c r="N4985" s="28" t="s">
        <v>77</v>
      </c>
      <c r="O4985" s="26" t="s">
        <v>77</v>
      </c>
    </row>
    <row r="4986">
      <c r="A4986" s="52" t="s">
        <v>77</v>
      </c>
      <c r="B4986" s="28" t="s">
        <v>77</v>
      </c>
      <c r="C4986" s="28" t="s">
        <v>77</v>
      </c>
      <c r="D4986" s="28" t="s">
        <v>77</v>
      </c>
      <c r="E4986" s="28" t="s">
        <v>77</v>
      </c>
      <c r="F4986" s="28" t="s">
        <v>77</v>
      </c>
      <c r="G4986" s="28" t="s">
        <v>77</v>
      </c>
      <c r="I4986" s="26" t="s">
        <v>77</v>
      </c>
      <c r="J4986" s="26" t="s">
        <v>77</v>
      </c>
      <c r="K4986" s="18"/>
      <c r="L4986" s="26" t="s">
        <v>77</v>
      </c>
      <c r="M4986" s="6" t="s">
        <v>77</v>
      </c>
      <c r="N4986" s="28" t="s">
        <v>77</v>
      </c>
      <c r="O4986" s="26" t="s">
        <v>77</v>
      </c>
    </row>
    <row r="4987">
      <c r="A4987" s="52" t="s">
        <v>77</v>
      </c>
      <c r="B4987" s="28" t="s">
        <v>77</v>
      </c>
      <c r="C4987" s="28" t="s">
        <v>77</v>
      </c>
      <c r="D4987" s="28" t="s">
        <v>77</v>
      </c>
      <c r="E4987" s="28" t="s">
        <v>77</v>
      </c>
      <c r="F4987" s="28" t="s">
        <v>77</v>
      </c>
      <c r="G4987" s="28" t="s">
        <v>77</v>
      </c>
      <c r="I4987" s="26" t="s">
        <v>77</v>
      </c>
      <c r="J4987" s="26" t="s">
        <v>77</v>
      </c>
      <c r="K4987" s="18"/>
      <c r="L4987" s="26" t="s">
        <v>77</v>
      </c>
      <c r="M4987" s="6" t="s">
        <v>77</v>
      </c>
      <c r="N4987" s="28" t="s">
        <v>77</v>
      </c>
      <c r="O4987" s="26" t="s">
        <v>77</v>
      </c>
    </row>
    <row r="4988">
      <c r="A4988" s="52" t="s">
        <v>77</v>
      </c>
      <c r="B4988" s="28" t="s">
        <v>77</v>
      </c>
      <c r="C4988" s="28" t="s">
        <v>77</v>
      </c>
      <c r="D4988" s="28" t="s">
        <v>77</v>
      </c>
      <c r="E4988" s="28" t="s">
        <v>77</v>
      </c>
      <c r="F4988" s="28" t="s">
        <v>77</v>
      </c>
      <c r="G4988" s="28" t="s">
        <v>77</v>
      </c>
      <c r="I4988" s="26" t="s">
        <v>77</v>
      </c>
      <c r="J4988" s="26" t="s">
        <v>77</v>
      </c>
      <c r="K4988" s="18"/>
      <c r="L4988" s="26" t="s">
        <v>77</v>
      </c>
      <c r="M4988" s="6" t="s">
        <v>77</v>
      </c>
      <c r="N4988" s="28" t="s">
        <v>77</v>
      </c>
      <c r="O4988" s="26" t="s">
        <v>77</v>
      </c>
    </row>
    <row r="4989">
      <c r="A4989" s="52" t="s">
        <v>77</v>
      </c>
      <c r="B4989" s="28" t="s">
        <v>77</v>
      </c>
      <c r="C4989" s="28" t="s">
        <v>77</v>
      </c>
      <c r="D4989" s="28" t="s">
        <v>77</v>
      </c>
      <c r="E4989" s="28" t="s">
        <v>77</v>
      </c>
      <c r="F4989" s="28" t="s">
        <v>77</v>
      </c>
      <c r="G4989" s="28" t="s">
        <v>77</v>
      </c>
      <c r="I4989" s="26" t="s">
        <v>77</v>
      </c>
      <c r="J4989" s="26" t="s">
        <v>77</v>
      </c>
      <c r="K4989" s="18"/>
      <c r="L4989" s="26" t="s">
        <v>77</v>
      </c>
      <c r="M4989" s="6" t="s">
        <v>77</v>
      </c>
      <c r="N4989" s="28" t="s">
        <v>77</v>
      </c>
      <c r="O4989" s="26" t="s">
        <v>77</v>
      </c>
    </row>
    <row r="4990">
      <c r="A4990" s="52" t="s">
        <v>77</v>
      </c>
      <c r="B4990" s="28" t="s">
        <v>77</v>
      </c>
      <c r="C4990" s="28" t="s">
        <v>77</v>
      </c>
      <c r="D4990" s="28" t="s">
        <v>77</v>
      </c>
      <c r="E4990" s="28" t="s">
        <v>77</v>
      </c>
      <c r="F4990" s="28" t="s">
        <v>77</v>
      </c>
      <c r="G4990" s="28" t="s">
        <v>77</v>
      </c>
      <c r="I4990" s="26" t="s">
        <v>77</v>
      </c>
      <c r="J4990" s="26" t="s">
        <v>77</v>
      </c>
      <c r="K4990" s="18"/>
      <c r="L4990" s="26" t="s">
        <v>77</v>
      </c>
      <c r="M4990" s="6" t="s">
        <v>77</v>
      </c>
      <c r="N4990" s="28" t="s">
        <v>77</v>
      </c>
      <c r="O4990" s="26" t="s">
        <v>77</v>
      </c>
    </row>
    <row r="4991">
      <c r="A4991" s="52" t="s">
        <v>77</v>
      </c>
      <c r="B4991" s="28" t="s">
        <v>77</v>
      </c>
      <c r="C4991" s="28" t="s">
        <v>77</v>
      </c>
      <c r="D4991" s="28" t="s">
        <v>77</v>
      </c>
      <c r="E4991" s="28" t="s">
        <v>77</v>
      </c>
      <c r="F4991" s="28" t="s">
        <v>77</v>
      </c>
      <c r="G4991" s="28" t="s">
        <v>77</v>
      </c>
      <c r="I4991" s="26" t="s">
        <v>77</v>
      </c>
      <c r="J4991" s="26" t="s">
        <v>77</v>
      </c>
      <c r="K4991" s="18"/>
      <c r="L4991" s="26" t="s">
        <v>77</v>
      </c>
      <c r="M4991" s="6" t="s">
        <v>77</v>
      </c>
      <c r="N4991" s="28" t="s">
        <v>77</v>
      </c>
      <c r="O4991" s="26" t="s">
        <v>77</v>
      </c>
    </row>
    <row r="4992">
      <c r="A4992" s="52" t="s">
        <v>77</v>
      </c>
      <c r="B4992" s="28" t="s">
        <v>77</v>
      </c>
      <c r="C4992" s="28" t="s">
        <v>77</v>
      </c>
      <c r="D4992" s="28" t="s">
        <v>77</v>
      </c>
      <c r="E4992" s="28" t="s">
        <v>77</v>
      </c>
      <c r="F4992" s="28" t="s">
        <v>77</v>
      </c>
      <c r="G4992" s="28" t="s">
        <v>77</v>
      </c>
      <c r="I4992" s="26" t="s">
        <v>77</v>
      </c>
      <c r="J4992" s="26" t="s">
        <v>77</v>
      </c>
      <c r="K4992" s="18"/>
      <c r="L4992" s="26" t="s">
        <v>77</v>
      </c>
      <c r="M4992" s="6" t="s">
        <v>77</v>
      </c>
      <c r="N4992" s="28" t="s">
        <v>77</v>
      </c>
      <c r="O4992" s="26" t="s">
        <v>77</v>
      </c>
    </row>
    <row r="4993">
      <c r="A4993" s="52" t="s">
        <v>77</v>
      </c>
      <c r="B4993" s="28" t="s">
        <v>77</v>
      </c>
      <c r="C4993" s="28" t="s">
        <v>77</v>
      </c>
      <c r="D4993" s="28" t="s">
        <v>77</v>
      </c>
      <c r="E4993" s="28" t="s">
        <v>77</v>
      </c>
      <c r="F4993" s="28" t="s">
        <v>77</v>
      </c>
      <c r="G4993" s="28" t="s">
        <v>77</v>
      </c>
      <c r="I4993" s="26" t="s">
        <v>77</v>
      </c>
      <c r="J4993" s="26" t="s">
        <v>77</v>
      </c>
      <c r="K4993" s="18"/>
      <c r="L4993" s="26" t="s">
        <v>77</v>
      </c>
      <c r="M4993" s="6" t="s">
        <v>77</v>
      </c>
      <c r="N4993" s="28" t="s">
        <v>77</v>
      </c>
      <c r="O4993" s="26" t="s">
        <v>77</v>
      </c>
    </row>
    <row r="4994">
      <c r="A4994" s="52" t="s">
        <v>77</v>
      </c>
      <c r="B4994" s="28" t="s">
        <v>77</v>
      </c>
      <c r="C4994" s="28" t="s">
        <v>77</v>
      </c>
      <c r="D4994" s="28" t="s">
        <v>77</v>
      </c>
      <c r="E4994" s="28" t="s">
        <v>77</v>
      </c>
      <c r="F4994" s="28" t="s">
        <v>77</v>
      </c>
      <c r="G4994" s="28" t="s">
        <v>77</v>
      </c>
      <c r="I4994" s="26" t="s">
        <v>77</v>
      </c>
      <c r="J4994" s="26" t="s">
        <v>77</v>
      </c>
      <c r="K4994" s="18"/>
      <c r="L4994" s="26" t="s">
        <v>77</v>
      </c>
      <c r="M4994" s="6" t="s">
        <v>77</v>
      </c>
      <c r="N4994" s="28" t="s">
        <v>77</v>
      </c>
      <c r="O4994" s="26" t="s">
        <v>77</v>
      </c>
    </row>
    <row r="4995">
      <c r="A4995" s="52" t="s">
        <v>77</v>
      </c>
      <c r="B4995" s="28" t="s">
        <v>77</v>
      </c>
      <c r="C4995" s="28" t="s">
        <v>77</v>
      </c>
      <c r="D4995" s="28" t="s">
        <v>77</v>
      </c>
      <c r="E4995" s="28" t="s">
        <v>77</v>
      </c>
      <c r="F4995" s="28" t="s">
        <v>77</v>
      </c>
      <c r="G4995" s="28" t="s">
        <v>77</v>
      </c>
      <c r="I4995" s="26" t="s">
        <v>77</v>
      </c>
      <c r="J4995" s="26" t="s">
        <v>77</v>
      </c>
      <c r="K4995" s="18"/>
      <c r="L4995" s="26" t="s">
        <v>77</v>
      </c>
      <c r="M4995" s="6" t="s">
        <v>77</v>
      </c>
      <c r="N4995" s="28" t="s">
        <v>77</v>
      </c>
      <c r="O4995" s="26" t="s">
        <v>77</v>
      </c>
    </row>
    <row r="4996">
      <c r="A4996" s="52" t="s">
        <v>77</v>
      </c>
      <c r="B4996" s="28" t="s">
        <v>77</v>
      </c>
      <c r="C4996" s="28" t="s">
        <v>77</v>
      </c>
      <c r="D4996" s="28" t="s">
        <v>77</v>
      </c>
      <c r="E4996" s="28" t="s">
        <v>77</v>
      </c>
      <c r="F4996" s="28" t="s">
        <v>77</v>
      </c>
      <c r="G4996" s="28" t="s">
        <v>77</v>
      </c>
      <c r="I4996" s="26" t="s">
        <v>77</v>
      </c>
      <c r="J4996" s="26" t="s">
        <v>77</v>
      </c>
      <c r="K4996" s="18"/>
      <c r="L4996" s="26" t="s">
        <v>77</v>
      </c>
      <c r="M4996" s="6" t="s">
        <v>77</v>
      </c>
      <c r="N4996" s="28" t="s">
        <v>77</v>
      </c>
      <c r="O4996" s="26" t="s">
        <v>77</v>
      </c>
    </row>
    <row r="4997">
      <c r="A4997" s="52" t="s">
        <v>77</v>
      </c>
      <c r="B4997" s="28" t="s">
        <v>77</v>
      </c>
      <c r="C4997" s="28" t="s">
        <v>77</v>
      </c>
      <c r="D4997" s="28" t="s">
        <v>77</v>
      </c>
      <c r="E4997" s="28" t="s">
        <v>77</v>
      </c>
      <c r="F4997" s="28" t="s">
        <v>77</v>
      </c>
      <c r="G4997" s="28" t="s">
        <v>77</v>
      </c>
      <c r="I4997" s="26" t="s">
        <v>77</v>
      </c>
      <c r="J4997" s="26" t="s">
        <v>77</v>
      </c>
      <c r="K4997" s="18"/>
      <c r="L4997" s="26" t="s">
        <v>77</v>
      </c>
      <c r="M4997" s="6" t="s">
        <v>77</v>
      </c>
      <c r="N4997" s="28" t="s">
        <v>77</v>
      </c>
      <c r="O4997" s="26" t="s">
        <v>77</v>
      </c>
    </row>
    <row r="4998">
      <c r="A4998" s="52" t="s">
        <v>77</v>
      </c>
      <c r="B4998" s="28" t="s">
        <v>77</v>
      </c>
      <c r="C4998" s="28" t="s">
        <v>77</v>
      </c>
      <c r="D4998" s="28" t="s">
        <v>77</v>
      </c>
      <c r="E4998" s="28" t="s">
        <v>77</v>
      </c>
      <c r="F4998" s="28" t="s">
        <v>77</v>
      </c>
      <c r="G4998" s="28" t="s">
        <v>77</v>
      </c>
      <c r="I4998" s="26" t="s">
        <v>77</v>
      </c>
      <c r="J4998" s="26" t="s">
        <v>77</v>
      </c>
      <c r="K4998" s="18"/>
      <c r="L4998" s="26" t="s">
        <v>77</v>
      </c>
      <c r="M4998" s="6" t="s">
        <v>77</v>
      </c>
      <c r="N4998" s="28" t="s">
        <v>77</v>
      </c>
      <c r="O4998" s="26" t="s">
        <v>77</v>
      </c>
    </row>
    <row r="4999">
      <c r="A4999" s="52" t="s">
        <v>77</v>
      </c>
      <c r="B4999" s="28" t="s">
        <v>77</v>
      </c>
      <c r="C4999" s="28" t="s">
        <v>77</v>
      </c>
      <c r="D4999" s="28" t="s">
        <v>77</v>
      </c>
      <c r="E4999" s="28" t="s">
        <v>77</v>
      </c>
      <c r="F4999" s="28" t="s">
        <v>77</v>
      </c>
      <c r="G4999" s="28" t="s">
        <v>77</v>
      </c>
      <c r="I4999" s="26" t="s">
        <v>77</v>
      </c>
      <c r="J4999" s="26" t="s">
        <v>77</v>
      </c>
      <c r="K4999" s="18"/>
      <c r="L4999" s="26" t="s">
        <v>77</v>
      </c>
      <c r="M4999" s="6" t="s">
        <v>77</v>
      </c>
      <c r="N4999" s="28" t="s">
        <v>77</v>
      </c>
      <c r="O4999" s="26" t="s">
        <v>77</v>
      </c>
    </row>
    <row r="5000">
      <c r="A5000" s="52" t="s">
        <v>77</v>
      </c>
      <c r="B5000" s="28" t="s">
        <v>77</v>
      </c>
      <c r="C5000" s="28" t="s">
        <v>77</v>
      </c>
      <c r="D5000" s="28" t="s">
        <v>77</v>
      </c>
      <c r="E5000" s="28" t="s">
        <v>77</v>
      </c>
      <c r="F5000" s="28" t="s">
        <v>77</v>
      </c>
      <c r="G5000" s="28" t="s">
        <v>77</v>
      </c>
      <c r="I5000" s="26" t="s">
        <v>77</v>
      </c>
      <c r="J5000" s="26" t="s">
        <v>77</v>
      </c>
      <c r="K5000" s="18"/>
      <c r="L5000" s="26" t="s">
        <v>77</v>
      </c>
      <c r="M5000" s="6" t="s">
        <v>77</v>
      </c>
      <c r="N5000" s="28" t="s">
        <v>77</v>
      </c>
      <c r="O5000" s="26" t="s">
        <v>77</v>
      </c>
    </row>
    <row r="5001">
      <c r="A5001" s="52" t="s">
        <v>77</v>
      </c>
      <c r="B5001" s="28" t="s">
        <v>77</v>
      </c>
      <c r="C5001" s="28" t="s">
        <v>77</v>
      </c>
      <c r="D5001" s="28" t="s">
        <v>77</v>
      </c>
      <c r="E5001" s="28" t="s">
        <v>77</v>
      </c>
      <c r="F5001" s="28" t="s">
        <v>77</v>
      </c>
      <c r="G5001" s="28" t="s">
        <v>77</v>
      </c>
      <c r="I5001" s="26" t="s">
        <v>77</v>
      </c>
      <c r="J5001" s="26" t="s">
        <v>77</v>
      </c>
      <c r="K5001" s="18"/>
      <c r="L5001" s="26" t="s">
        <v>77</v>
      </c>
      <c r="M5001" s="6" t="s">
        <v>77</v>
      </c>
      <c r="N5001" s="28" t="s">
        <v>77</v>
      </c>
      <c r="O5001" s="26" t="s">
        <v>77</v>
      </c>
    </row>
    <row r="5002">
      <c r="A5002" s="52" t="s">
        <v>77</v>
      </c>
      <c r="B5002" s="28" t="s">
        <v>77</v>
      </c>
      <c r="C5002" s="28" t="s">
        <v>77</v>
      </c>
      <c r="D5002" s="28" t="s">
        <v>77</v>
      </c>
      <c r="E5002" s="28" t="s">
        <v>77</v>
      </c>
      <c r="F5002" s="28" t="s">
        <v>77</v>
      </c>
      <c r="G5002" s="28" t="s">
        <v>77</v>
      </c>
      <c r="I5002" s="26" t="s">
        <v>77</v>
      </c>
      <c r="J5002" s="26" t="s">
        <v>77</v>
      </c>
      <c r="K5002" s="18"/>
      <c r="L5002" s="26" t="s">
        <v>77</v>
      </c>
      <c r="M5002" s="6" t="s">
        <v>77</v>
      </c>
      <c r="N5002" s="28" t="s">
        <v>77</v>
      </c>
      <c r="O5002" s="26" t="s">
        <v>77</v>
      </c>
    </row>
    <row r="5003">
      <c r="A5003" s="52" t="s">
        <v>77</v>
      </c>
      <c r="B5003" s="28" t="s">
        <v>77</v>
      </c>
      <c r="C5003" s="28" t="s">
        <v>77</v>
      </c>
      <c r="D5003" s="28" t="s">
        <v>77</v>
      </c>
      <c r="E5003" s="28" t="s">
        <v>77</v>
      </c>
      <c r="F5003" s="28" t="s">
        <v>77</v>
      </c>
      <c r="G5003" s="28" t="s">
        <v>77</v>
      </c>
      <c r="I5003" s="26" t="s">
        <v>77</v>
      </c>
      <c r="J5003" s="26" t="s">
        <v>77</v>
      </c>
      <c r="K5003" s="18"/>
      <c r="L5003" s="26" t="s">
        <v>77</v>
      </c>
      <c r="M5003" s="6" t="s">
        <v>77</v>
      </c>
      <c r="N5003" s="28" t="s">
        <v>77</v>
      </c>
      <c r="O5003" s="26" t="s">
        <v>77</v>
      </c>
    </row>
    <row r="5004">
      <c r="A5004" s="52" t="s">
        <v>77</v>
      </c>
      <c r="B5004" s="28" t="s">
        <v>77</v>
      </c>
      <c r="C5004" s="28" t="s">
        <v>77</v>
      </c>
      <c r="D5004" s="28" t="s">
        <v>77</v>
      </c>
      <c r="E5004" s="28" t="s">
        <v>77</v>
      </c>
      <c r="F5004" s="28" t="s">
        <v>77</v>
      </c>
      <c r="G5004" s="28" t="s">
        <v>77</v>
      </c>
      <c r="I5004" s="26" t="s">
        <v>77</v>
      </c>
      <c r="J5004" s="26" t="s">
        <v>77</v>
      </c>
      <c r="K5004" s="18"/>
      <c r="L5004" s="26" t="s">
        <v>77</v>
      </c>
      <c r="M5004" s="6" t="s">
        <v>77</v>
      </c>
      <c r="N5004" s="28" t="s">
        <v>77</v>
      </c>
      <c r="O5004" s="26" t="s">
        <v>77</v>
      </c>
    </row>
    <row r="5005">
      <c r="A5005" s="52" t="s">
        <v>77</v>
      </c>
      <c r="B5005" s="28" t="s">
        <v>77</v>
      </c>
      <c r="C5005" s="28" t="s">
        <v>77</v>
      </c>
      <c r="D5005" s="28" t="s">
        <v>77</v>
      </c>
      <c r="E5005" s="28" t="s">
        <v>77</v>
      </c>
      <c r="F5005" s="28" t="s">
        <v>77</v>
      </c>
      <c r="G5005" s="28" t="s">
        <v>77</v>
      </c>
      <c r="I5005" s="26" t="s">
        <v>77</v>
      </c>
      <c r="J5005" s="26" t="s">
        <v>77</v>
      </c>
      <c r="K5005" s="18"/>
      <c r="L5005" s="26" t="s">
        <v>77</v>
      </c>
      <c r="M5005" s="6" t="s">
        <v>77</v>
      </c>
      <c r="N5005" s="28" t="s">
        <v>77</v>
      </c>
      <c r="O5005" s="26" t="s">
        <v>77</v>
      </c>
    </row>
    <row r="5006">
      <c r="A5006" s="52" t="s">
        <v>77</v>
      </c>
      <c r="B5006" s="28" t="s">
        <v>77</v>
      </c>
      <c r="C5006" s="28" t="s">
        <v>77</v>
      </c>
      <c r="D5006" s="28" t="s">
        <v>77</v>
      </c>
      <c r="E5006" s="28" t="s">
        <v>77</v>
      </c>
      <c r="F5006" s="28" t="s">
        <v>77</v>
      </c>
      <c r="G5006" s="28" t="s">
        <v>77</v>
      </c>
      <c r="I5006" s="26" t="s">
        <v>77</v>
      </c>
      <c r="J5006" s="26" t="s">
        <v>77</v>
      </c>
      <c r="K5006" s="18"/>
      <c r="L5006" s="26" t="s">
        <v>77</v>
      </c>
      <c r="M5006" s="6" t="s">
        <v>77</v>
      </c>
      <c r="N5006" s="28" t="s">
        <v>77</v>
      </c>
      <c r="O5006" s="26" t="s">
        <v>77</v>
      </c>
    </row>
    <row r="5007">
      <c r="A5007" s="52" t="s">
        <v>77</v>
      </c>
      <c r="B5007" s="28" t="s">
        <v>77</v>
      </c>
      <c r="C5007" s="28" t="s">
        <v>77</v>
      </c>
      <c r="D5007" s="28" t="s">
        <v>77</v>
      </c>
      <c r="E5007" s="28" t="s">
        <v>77</v>
      </c>
      <c r="F5007" s="28" t="s">
        <v>77</v>
      </c>
      <c r="G5007" s="28" t="s">
        <v>77</v>
      </c>
      <c r="I5007" s="26" t="s">
        <v>77</v>
      </c>
      <c r="J5007" s="26" t="s">
        <v>77</v>
      </c>
      <c r="K5007" s="18"/>
      <c r="L5007" s="26" t="s">
        <v>77</v>
      </c>
      <c r="M5007" s="6" t="s">
        <v>77</v>
      </c>
      <c r="N5007" s="28" t="s">
        <v>77</v>
      </c>
      <c r="O5007" s="26" t="s">
        <v>77</v>
      </c>
    </row>
    <row r="5008">
      <c r="A5008" s="52" t="s">
        <v>77</v>
      </c>
      <c r="B5008" s="28" t="s">
        <v>77</v>
      </c>
      <c r="C5008" s="28" t="s">
        <v>77</v>
      </c>
      <c r="D5008" s="28" t="s">
        <v>77</v>
      </c>
      <c r="E5008" s="28" t="s">
        <v>77</v>
      </c>
      <c r="F5008" s="28" t="s">
        <v>77</v>
      </c>
      <c r="G5008" s="28" t="s">
        <v>77</v>
      </c>
      <c r="I5008" s="26" t="s">
        <v>77</v>
      </c>
      <c r="J5008" s="26" t="s">
        <v>77</v>
      </c>
      <c r="K5008" s="18"/>
      <c r="L5008" s="26" t="s">
        <v>77</v>
      </c>
      <c r="M5008" s="6" t="s">
        <v>77</v>
      </c>
      <c r="N5008" s="28" t="s">
        <v>77</v>
      </c>
      <c r="O5008" s="26" t="s">
        <v>77</v>
      </c>
    </row>
    <row r="5009">
      <c r="A5009" s="52" t="s">
        <v>77</v>
      </c>
      <c r="B5009" s="28" t="s">
        <v>77</v>
      </c>
      <c r="C5009" s="28" t="s">
        <v>77</v>
      </c>
      <c r="D5009" s="28" t="s">
        <v>77</v>
      </c>
      <c r="E5009" s="28" t="s">
        <v>77</v>
      </c>
      <c r="F5009" s="28" t="s">
        <v>77</v>
      </c>
      <c r="G5009" s="28" t="s">
        <v>77</v>
      </c>
      <c r="I5009" s="26" t="s">
        <v>77</v>
      </c>
      <c r="J5009" s="26" t="s">
        <v>77</v>
      </c>
      <c r="K5009" s="18"/>
      <c r="L5009" s="26" t="s">
        <v>77</v>
      </c>
      <c r="M5009" s="6" t="s">
        <v>77</v>
      </c>
      <c r="N5009" s="28" t="s">
        <v>77</v>
      </c>
      <c r="O5009" s="26" t="s">
        <v>77</v>
      </c>
    </row>
    <row r="5010">
      <c r="A5010" s="52" t="s">
        <v>77</v>
      </c>
      <c r="B5010" s="28" t="s">
        <v>77</v>
      </c>
      <c r="C5010" s="28" t="s">
        <v>77</v>
      </c>
      <c r="D5010" s="28" t="s">
        <v>77</v>
      </c>
      <c r="E5010" s="28" t="s">
        <v>77</v>
      </c>
      <c r="F5010" s="28" t="s">
        <v>77</v>
      </c>
      <c r="G5010" s="28" t="s">
        <v>77</v>
      </c>
      <c r="I5010" s="26" t="s">
        <v>77</v>
      </c>
      <c r="J5010" s="26" t="s">
        <v>77</v>
      </c>
      <c r="K5010" s="18"/>
      <c r="L5010" s="26" t="s">
        <v>77</v>
      </c>
      <c r="M5010" s="6" t="s">
        <v>77</v>
      </c>
      <c r="N5010" s="28" t="s">
        <v>77</v>
      </c>
      <c r="O5010" s="26" t="s">
        <v>77</v>
      </c>
    </row>
    <row r="5011">
      <c r="A5011" s="52" t="s">
        <v>77</v>
      </c>
      <c r="B5011" s="28" t="s">
        <v>77</v>
      </c>
      <c r="C5011" s="28" t="s">
        <v>77</v>
      </c>
      <c r="D5011" s="28" t="s">
        <v>77</v>
      </c>
      <c r="E5011" s="28" t="s">
        <v>77</v>
      </c>
      <c r="F5011" s="28" t="s">
        <v>77</v>
      </c>
      <c r="G5011" s="28" t="s">
        <v>77</v>
      </c>
      <c r="I5011" s="26" t="s">
        <v>77</v>
      </c>
      <c r="J5011" s="26" t="s">
        <v>77</v>
      </c>
      <c r="K5011" s="18"/>
      <c r="L5011" s="26" t="s">
        <v>77</v>
      </c>
      <c r="M5011" s="6" t="s">
        <v>77</v>
      </c>
      <c r="N5011" s="28" t="s">
        <v>77</v>
      </c>
      <c r="O5011" s="26" t="s">
        <v>77</v>
      </c>
    </row>
    <row r="5012">
      <c r="A5012" s="52" t="s">
        <v>77</v>
      </c>
      <c r="B5012" s="28" t="s">
        <v>77</v>
      </c>
      <c r="C5012" s="28" t="s">
        <v>77</v>
      </c>
      <c r="D5012" s="28" t="s">
        <v>77</v>
      </c>
      <c r="E5012" s="28" t="s">
        <v>77</v>
      </c>
      <c r="F5012" s="28" t="s">
        <v>77</v>
      </c>
      <c r="G5012" s="28" t="s">
        <v>77</v>
      </c>
      <c r="I5012" s="26" t="s">
        <v>77</v>
      </c>
      <c r="J5012" s="26" t="s">
        <v>77</v>
      </c>
      <c r="K5012" s="18"/>
      <c r="L5012" s="26" t="s">
        <v>77</v>
      </c>
      <c r="M5012" s="6" t="s">
        <v>77</v>
      </c>
      <c r="N5012" s="28" t="s">
        <v>77</v>
      </c>
      <c r="O5012" s="26" t="s">
        <v>77</v>
      </c>
    </row>
    <row r="5013">
      <c r="A5013" s="52" t="s">
        <v>77</v>
      </c>
      <c r="B5013" s="28" t="s">
        <v>77</v>
      </c>
      <c r="C5013" s="28" t="s">
        <v>77</v>
      </c>
      <c r="D5013" s="28" t="s">
        <v>77</v>
      </c>
      <c r="E5013" s="28" t="s">
        <v>77</v>
      </c>
      <c r="F5013" s="28" t="s">
        <v>77</v>
      </c>
      <c r="G5013" s="28" t="s">
        <v>77</v>
      </c>
      <c r="I5013" s="26" t="s">
        <v>77</v>
      </c>
      <c r="J5013" s="26" t="s">
        <v>77</v>
      </c>
      <c r="K5013" s="18"/>
      <c r="L5013" s="26" t="s">
        <v>77</v>
      </c>
      <c r="M5013" s="6" t="s">
        <v>77</v>
      </c>
      <c r="N5013" s="28" t="s">
        <v>77</v>
      </c>
      <c r="O5013" s="26" t="s">
        <v>77</v>
      </c>
    </row>
    <row r="5014">
      <c r="A5014" s="52" t="s">
        <v>77</v>
      </c>
      <c r="B5014" s="28" t="s">
        <v>77</v>
      </c>
      <c r="C5014" s="28" t="s">
        <v>77</v>
      </c>
      <c r="D5014" s="28" t="s">
        <v>77</v>
      </c>
      <c r="E5014" s="28" t="s">
        <v>77</v>
      </c>
      <c r="F5014" s="28" t="s">
        <v>77</v>
      </c>
      <c r="G5014" s="28" t="s">
        <v>77</v>
      </c>
      <c r="I5014" s="26" t="s">
        <v>77</v>
      </c>
      <c r="J5014" s="26" t="s">
        <v>77</v>
      </c>
      <c r="K5014" s="18"/>
      <c r="L5014" s="26" t="s">
        <v>77</v>
      </c>
      <c r="M5014" s="6" t="s">
        <v>77</v>
      </c>
      <c r="N5014" s="28" t="s">
        <v>77</v>
      </c>
      <c r="O5014" s="26" t="s">
        <v>77</v>
      </c>
    </row>
    <row r="5015">
      <c r="A5015" s="52" t="s">
        <v>77</v>
      </c>
      <c r="B5015" s="28" t="s">
        <v>77</v>
      </c>
      <c r="C5015" s="28" t="s">
        <v>77</v>
      </c>
      <c r="D5015" s="28" t="s">
        <v>77</v>
      </c>
      <c r="E5015" s="28" t="s">
        <v>77</v>
      </c>
      <c r="F5015" s="28" t="s">
        <v>77</v>
      </c>
      <c r="G5015" s="28" t="s">
        <v>77</v>
      </c>
      <c r="I5015" s="26" t="s">
        <v>77</v>
      </c>
      <c r="J5015" s="26" t="s">
        <v>77</v>
      </c>
      <c r="K5015" s="18"/>
      <c r="L5015" s="26" t="s">
        <v>77</v>
      </c>
      <c r="M5015" s="6" t="s">
        <v>77</v>
      </c>
      <c r="N5015" s="28" t="s">
        <v>77</v>
      </c>
      <c r="O5015" s="26" t="s">
        <v>77</v>
      </c>
    </row>
    <row r="5016">
      <c r="A5016" s="52" t="s">
        <v>77</v>
      </c>
      <c r="B5016" s="28" t="s">
        <v>77</v>
      </c>
      <c r="C5016" s="28" t="s">
        <v>77</v>
      </c>
      <c r="D5016" s="28" t="s">
        <v>77</v>
      </c>
      <c r="E5016" s="28" t="s">
        <v>77</v>
      </c>
      <c r="F5016" s="28" t="s">
        <v>77</v>
      </c>
      <c r="G5016" s="28" t="s">
        <v>77</v>
      </c>
      <c r="I5016" s="26" t="s">
        <v>77</v>
      </c>
      <c r="J5016" s="26" t="s">
        <v>77</v>
      </c>
      <c r="K5016" s="18"/>
      <c r="L5016" s="26" t="s">
        <v>77</v>
      </c>
      <c r="M5016" s="6" t="s">
        <v>77</v>
      </c>
      <c r="N5016" s="28" t="s">
        <v>77</v>
      </c>
      <c r="O5016" s="26" t="s">
        <v>77</v>
      </c>
    </row>
    <row r="5017">
      <c r="A5017" s="52" t="s">
        <v>77</v>
      </c>
      <c r="B5017" s="28" t="s">
        <v>77</v>
      </c>
      <c r="C5017" s="28" t="s">
        <v>77</v>
      </c>
      <c r="D5017" s="28" t="s">
        <v>77</v>
      </c>
      <c r="E5017" s="28" t="s">
        <v>77</v>
      </c>
      <c r="F5017" s="28" t="s">
        <v>77</v>
      </c>
      <c r="G5017" s="28" t="s">
        <v>77</v>
      </c>
      <c r="I5017" s="26" t="s">
        <v>77</v>
      </c>
      <c r="J5017" s="26" t="s">
        <v>77</v>
      </c>
      <c r="K5017" s="18"/>
      <c r="L5017" s="26" t="s">
        <v>77</v>
      </c>
      <c r="M5017" s="6" t="s">
        <v>77</v>
      </c>
      <c r="N5017" s="28" t="s">
        <v>77</v>
      </c>
      <c r="O5017" s="26" t="s">
        <v>77</v>
      </c>
    </row>
    <row r="5018">
      <c r="A5018" s="52" t="s">
        <v>77</v>
      </c>
      <c r="B5018" s="28" t="s">
        <v>77</v>
      </c>
      <c r="C5018" s="28" t="s">
        <v>77</v>
      </c>
      <c r="D5018" s="28" t="s">
        <v>77</v>
      </c>
      <c r="E5018" s="28" t="s">
        <v>77</v>
      </c>
      <c r="F5018" s="28" t="s">
        <v>77</v>
      </c>
      <c r="G5018" s="28" t="s">
        <v>77</v>
      </c>
      <c r="I5018" s="26" t="s">
        <v>77</v>
      </c>
      <c r="J5018" s="26" t="s">
        <v>77</v>
      </c>
      <c r="K5018" s="18"/>
      <c r="L5018" s="26" t="s">
        <v>77</v>
      </c>
      <c r="M5018" s="6" t="s">
        <v>77</v>
      </c>
      <c r="N5018" s="28" t="s">
        <v>77</v>
      </c>
      <c r="O5018" s="26" t="s">
        <v>77</v>
      </c>
    </row>
    <row r="5019">
      <c r="A5019" s="52" t="s">
        <v>77</v>
      </c>
      <c r="B5019" s="28" t="s">
        <v>77</v>
      </c>
      <c r="C5019" s="28" t="s">
        <v>77</v>
      </c>
      <c r="D5019" s="28" t="s">
        <v>77</v>
      </c>
      <c r="E5019" s="28" t="s">
        <v>77</v>
      </c>
      <c r="F5019" s="28" t="s">
        <v>77</v>
      </c>
      <c r="G5019" s="28" t="s">
        <v>77</v>
      </c>
      <c r="I5019" s="26" t="s">
        <v>77</v>
      </c>
      <c r="J5019" s="26" t="s">
        <v>77</v>
      </c>
      <c r="K5019" s="18"/>
      <c r="L5019" s="26" t="s">
        <v>77</v>
      </c>
      <c r="M5019" s="6" t="s">
        <v>77</v>
      </c>
      <c r="N5019" s="28" t="s">
        <v>77</v>
      </c>
      <c r="O5019" s="26" t="s">
        <v>77</v>
      </c>
    </row>
    <row r="5020">
      <c r="A5020" s="52" t="s">
        <v>77</v>
      </c>
      <c r="B5020" s="28" t="s">
        <v>77</v>
      </c>
      <c r="C5020" s="28" t="s">
        <v>77</v>
      </c>
      <c r="D5020" s="28" t="s">
        <v>77</v>
      </c>
      <c r="E5020" s="28" t="s">
        <v>77</v>
      </c>
      <c r="F5020" s="28" t="s">
        <v>77</v>
      </c>
      <c r="G5020" s="28" t="s">
        <v>77</v>
      </c>
      <c r="I5020" s="26" t="s">
        <v>77</v>
      </c>
      <c r="J5020" s="26" t="s">
        <v>77</v>
      </c>
      <c r="K5020" s="18"/>
      <c r="L5020" s="26" t="s">
        <v>77</v>
      </c>
      <c r="M5020" s="6" t="s">
        <v>77</v>
      </c>
      <c r="N5020" s="28" t="s">
        <v>77</v>
      </c>
      <c r="O5020" s="26" t="s">
        <v>77</v>
      </c>
    </row>
    <row r="5021">
      <c r="A5021" s="52" t="s">
        <v>77</v>
      </c>
      <c r="B5021" s="28" t="s">
        <v>77</v>
      </c>
      <c r="C5021" s="28" t="s">
        <v>77</v>
      </c>
      <c r="D5021" s="28" t="s">
        <v>77</v>
      </c>
      <c r="E5021" s="28" t="s">
        <v>77</v>
      </c>
      <c r="F5021" s="28" t="s">
        <v>77</v>
      </c>
      <c r="G5021" s="28" t="s">
        <v>77</v>
      </c>
      <c r="I5021" s="26" t="s">
        <v>77</v>
      </c>
      <c r="J5021" s="26" t="s">
        <v>77</v>
      </c>
      <c r="K5021" s="18"/>
      <c r="L5021" s="26" t="s">
        <v>77</v>
      </c>
      <c r="M5021" s="6" t="s">
        <v>77</v>
      </c>
      <c r="N5021" s="28" t="s">
        <v>77</v>
      </c>
      <c r="O5021" s="26" t="s">
        <v>77</v>
      </c>
    </row>
    <row r="5022">
      <c r="A5022" s="52" t="s">
        <v>77</v>
      </c>
      <c r="B5022" s="28" t="s">
        <v>77</v>
      </c>
      <c r="C5022" s="28" t="s">
        <v>77</v>
      </c>
      <c r="D5022" s="28" t="s">
        <v>77</v>
      </c>
      <c r="E5022" s="28" t="s">
        <v>77</v>
      </c>
      <c r="F5022" s="28" t="s">
        <v>77</v>
      </c>
      <c r="G5022" s="28" t="s">
        <v>77</v>
      </c>
      <c r="I5022" s="26" t="s">
        <v>77</v>
      </c>
      <c r="J5022" s="26" t="s">
        <v>77</v>
      </c>
      <c r="K5022" s="18"/>
      <c r="L5022" s="26" t="s">
        <v>77</v>
      </c>
      <c r="M5022" s="6" t="s">
        <v>77</v>
      </c>
      <c r="N5022" s="28" t="s">
        <v>77</v>
      </c>
      <c r="O5022" s="26" t="s">
        <v>77</v>
      </c>
    </row>
    <row r="5023">
      <c r="A5023" s="52" t="s">
        <v>77</v>
      </c>
      <c r="B5023" s="28" t="s">
        <v>77</v>
      </c>
      <c r="C5023" s="28" t="s">
        <v>77</v>
      </c>
      <c r="D5023" s="28" t="s">
        <v>77</v>
      </c>
      <c r="E5023" s="28" t="s">
        <v>77</v>
      </c>
      <c r="F5023" s="28" t="s">
        <v>77</v>
      </c>
      <c r="G5023" s="28" t="s">
        <v>77</v>
      </c>
      <c r="I5023" s="26" t="s">
        <v>77</v>
      </c>
      <c r="J5023" s="26" t="s">
        <v>77</v>
      </c>
      <c r="K5023" s="18"/>
      <c r="L5023" s="26" t="s">
        <v>77</v>
      </c>
      <c r="M5023" s="6" t="s">
        <v>77</v>
      </c>
      <c r="N5023" s="28" t="s">
        <v>77</v>
      </c>
      <c r="O5023" s="26" t="s">
        <v>77</v>
      </c>
    </row>
    <row r="5024">
      <c r="A5024" s="52" t="s">
        <v>77</v>
      </c>
      <c r="B5024" s="28" t="s">
        <v>77</v>
      </c>
      <c r="C5024" s="28" t="s">
        <v>77</v>
      </c>
      <c r="D5024" s="28" t="s">
        <v>77</v>
      </c>
      <c r="E5024" s="28" t="s">
        <v>77</v>
      </c>
      <c r="F5024" s="28" t="s">
        <v>77</v>
      </c>
      <c r="G5024" s="28" t="s">
        <v>77</v>
      </c>
      <c r="I5024" s="26" t="s">
        <v>77</v>
      </c>
      <c r="J5024" s="26" t="s">
        <v>77</v>
      </c>
      <c r="K5024" s="18"/>
      <c r="L5024" s="26" t="s">
        <v>77</v>
      </c>
      <c r="M5024" s="6" t="s">
        <v>77</v>
      </c>
      <c r="N5024" s="28" t="s">
        <v>77</v>
      </c>
      <c r="O5024" s="26" t="s">
        <v>77</v>
      </c>
    </row>
    <row r="5025">
      <c r="A5025" s="52" t="s">
        <v>77</v>
      </c>
      <c r="B5025" s="28" t="s">
        <v>77</v>
      </c>
      <c r="C5025" s="28" t="s">
        <v>77</v>
      </c>
      <c r="D5025" s="28" t="s">
        <v>77</v>
      </c>
      <c r="E5025" s="28" t="s">
        <v>77</v>
      </c>
      <c r="F5025" s="28" t="s">
        <v>77</v>
      </c>
      <c r="G5025" s="28" t="s">
        <v>77</v>
      </c>
      <c r="I5025" s="26" t="s">
        <v>77</v>
      </c>
      <c r="J5025" s="26" t="s">
        <v>77</v>
      </c>
      <c r="K5025" s="18"/>
      <c r="L5025" s="26" t="s">
        <v>77</v>
      </c>
      <c r="M5025" s="6" t="s">
        <v>77</v>
      </c>
      <c r="N5025" s="28" t="s">
        <v>77</v>
      </c>
      <c r="O5025" s="26" t="s">
        <v>77</v>
      </c>
    </row>
    <row r="5026">
      <c r="A5026" s="52" t="s">
        <v>77</v>
      </c>
      <c r="B5026" s="28" t="s">
        <v>77</v>
      </c>
      <c r="C5026" s="28" t="s">
        <v>77</v>
      </c>
      <c r="D5026" s="28" t="s">
        <v>77</v>
      </c>
      <c r="E5026" s="28" t="s">
        <v>77</v>
      </c>
      <c r="F5026" s="28" t="s">
        <v>77</v>
      </c>
      <c r="G5026" s="28" t="s">
        <v>77</v>
      </c>
      <c r="I5026" s="26" t="s">
        <v>77</v>
      </c>
      <c r="J5026" s="26" t="s">
        <v>77</v>
      </c>
      <c r="K5026" s="18"/>
      <c r="L5026" s="26" t="s">
        <v>77</v>
      </c>
      <c r="M5026" s="6" t="s">
        <v>77</v>
      </c>
      <c r="N5026" s="28" t="s">
        <v>77</v>
      </c>
      <c r="O5026" s="26" t="s">
        <v>77</v>
      </c>
    </row>
    <row r="5027">
      <c r="A5027" s="52" t="s">
        <v>77</v>
      </c>
      <c r="B5027" s="28" t="s">
        <v>77</v>
      </c>
      <c r="C5027" s="28" t="s">
        <v>77</v>
      </c>
      <c r="D5027" s="28" t="s">
        <v>77</v>
      </c>
      <c r="E5027" s="28" t="s">
        <v>77</v>
      </c>
      <c r="F5027" s="28" t="s">
        <v>77</v>
      </c>
      <c r="G5027" s="28" t="s">
        <v>77</v>
      </c>
      <c r="I5027" s="26" t="s">
        <v>77</v>
      </c>
      <c r="J5027" s="26" t="s">
        <v>77</v>
      </c>
      <c r="K5027" s="18"/>
      <c r="L5027" s="26" t="s">
        <v>77</v>
      </c>
      <c r="M5027" s="6" t="s">
        <v>77</v>
      </c>
      <c r="N5027" s="28" t="s">
        <v>77</v>
      </c>
      <c r="O5027" s="26" t="s">
        <v>77</v>
      </c>
    </row>
    <row r="5028">
      <c r="A5028" s="52" t="s">
        <v>77</v>
      </c>
      <c r="B5028" s="28" t="s">
        <v>77</v>
      </c>
      <c r="C5028" s="28" t="s">
        <v>77</v>
      </c>
      <c r="D5028" s="28" t="s">
        <v>77</v>
      </c>
      <c r="E5028" s="28" t="s">
        <v>77</v>
      </c>
      <c r="F5028" s="28" t="s">
        <v>77</v>
      </c>
      <c r="G5028" s="28" t="s">
        <v>77</v>
      </c>
      <c r="I5028" s="26" t="s">
        <v>77</v>
      </c>
      <c r="J5028" s="26" t="s">
        <v>77</v>
      </c>
      <c r="K5028" s="18"/>
      <c r="L5028" s="26" t="s">
        <v>77</v>
      </c>
      <c r="M5028" s="6" t="s">
        <v>77</v>
      </c>
      <c r="N5028" s="28" t="s">
        <v>77</v>
      </c>
      <c r="O5028" s="26" t="s">
        <v>77</v>
      </c>
    </row>
    <row r="5029">
      <c r="A5029" s="52" t="s">
        <v>77</v>
      </c>
      <c r="B5029" s="28" t="s">
        <v>77</v>
      </c>
      <c r="C5029" s="28" t="s">
        <v>77</v>
      </c>
      <c r="D5029" s="28" t="s">
        <v>77</v>
      </c>
      <c r="E5029" s="28" t="s">
        <v>77</v>
      </c>
      <c r="F5029" s="28" t="s">
        <v>77</v>
      </c>
      <c r="G5029" s="28" t="s">
        <v>77</v>
      </c>
      <c r="I5029" s="26" t="s">
        <v>77</v>
      </c>
      <c r="J5029" s="26" t="s">
        <v>77</v>
      </c>
      <c r="K5029" s="18"/>
      <c r="L5029" s="26" t="s">
        <v>77</v>
      </c>
      <c r="M5029" s="6" t="s">
        <v>77</v>
      </c>
      <c r="N5029" s="28" t="s">
        <v>77</v>
      </c>
      <c r="O5029" s="26" t="s">
        <v>77</v>
      </c>
    </row>
    <row r="5030">
      <c r="A5030" s="52" t="s">
        <v>77</v>
      </c>
      <c r="B5030" s="28" t="s">
        <v>77</v>
      </c>
      <c r="C5030" s="28" t="s">
        <v>77</v>
      </c>
      <c r="D5030" s="28" t="s">
        <v>77</v>
      </c>
      <c r="E5030" s="28" t="s">
        <v>77</v>
      </c>
      <c r="F5030" s="28" t="s">
        <v>77</v>
      </c>
      <c r="G5030" s="28" t="s">
        <v>77</v>
      </c>
      <c r="I5030" s="26" t="s">
        <v>77</v>
      </c>
      <c r="J5030" s="26" t="s">
        <v>77</v>
      </c>
      <c r="K5030" s="18"/>
      <c r="L5030" s="26" t="s">
        <v>77</v>
      </c>
      <c r="M5030" s="6" t="s">
        <v>77</v>
      </c>
      <c r="N5030" s="28" t="s">
        <v>77</v>
      </c>
      <c r="O5030" s="26" t="s">
        <v>77</v>
      </c>
    </row>
    <row r="5031">
      <c r="A5031" s="52" t="s">
        <v>77</v>
      </c>
      <c r="B5031" s="28" t="s">
        <v>77</v>
      </c>
      <c r="C5031" s="28" t="s">
        <v>77</v>
      </c>
      <c r="D5031" s="28" t="s">
        <v>77</v>
      </c>
      <c r="E5031" s="28" t="s">
        <v>77</v>
      </c>
      <c r="F5031" s="28" t="s">
        <v>77</v>
      </c>
      <c r="G5031" s="28" t="s">
        <v>77</v>
      </c>
      <c r="I5031" s="26" t="s">
        <v>77</v>
      </c>
      <c r="J5031" s="26" t="s">
        <v>77</v>
      </c>
      <c r="K5031" s="18"/>
      <c r="L5031" s="26" t="s">
        <v>77</v>
      </c>
      <c r="M5031" s="6" t="s">
        <v>77</v>
      </c>
      <c r="N5031" s="28" t="s">
        <v>77</v>
      </c>
      <c r="O5031" s="26" t="s">
        <v>77</v>
      </c>
    </row>
    <row r="5032">
      <c r="A5032" s="52" t="s">
        <v>77</v>
      </c>
      <c r="B5032" s="28" t="s">
        <v>77</v>
      </c>
      <c r="C5032" s="28" t="s">
        <v>77</v>
      </c>
      <c r="D5032" s="28" t="s">
        <v>77</v>
      </c>
      <c r="E5032" s="28" t="s">
        <v>77</v>
      </c>
      <c r="F5032" s="28" t="s">
        <v>77</v>
      </c>
      <c r="G5032" s="28" t="s">
        <v>77</v>
      </c>
      <c r="I5032" s="26" t="s">
        <v>77</v>
      </c>
      <c r="J5032" s="26" t="s">
        <v>77</v>
      </c>
      <c r="K5032" s="18"/>
      <c r="L5032" s="26" t="s">
        <v>77</v>
      </c>
      <c r="M5032" s="6" t="s">
        <v>77</v>
      </c>
      <c r="N5032" s="28" t="s">
        <v>77</v>
      </c>
      <c r="O5032" s="26" t="s">
        <v>77</v>
      </c>
    </row>
    <row r="5033">
      <c r="A5033" s="52" t="s">
        <v>77</v>
      </c>
      <c r="B5033" s="28" t="s">
        <v>77</v>
      </c>
      <c r="C5033" s="28" t="s">
        <v>77</v>
      </c>
      <c r="D5033" s="28" t="s">
        <v>77</v>
      </c>
      <c r="E5033" s="28" t="s">
        <v>77</v>
      </c>
      <c r="F5033" s="28" t="s">
        <v>77</v>
      </c>
      <c r="G5033" s="28" t="s">
        <v>77</v>
      </c>
      <c r="I5033" s="26" t="s">
        <v>77</v>
      </c>
      <c r="J5033" s="26" t="s">
        <v>77</v>
      </c>
      <c r="K5033" s="18"/>
      <c r="L5033" s="26" t="s">
        <v>77</v>
      </c>
      <c r="M5033" s="6" t="s">
        <v>77</v>
      </c>
      <c r="N5033" s="28" t="s">
        <v>77</v>
      </c>
      <c r="O5033" s="26" t="s">
        <v>77</v>
      </c>
    </row>
    <row r="5034">
      <c r="A5034" s="52" t="s">
        <v>77</v>
      </c>
      <c r="B5034" s="28" t="s">
        <v>77</v>
      </c>
      <c r="C5034" s="28" t="s">
        <v>77</v>
      </c>
      <c r="D5034" s="28" t="s">
        <v>77</v>
      </c>
      <c r="E5034" s="28" t="s">
        <v>77</v>
      </c>
      <c r="F5034" s="28" t="s">
        <v>77</v>
      </c>
      <c r="G5034" s="28" t="s">
        <v>77</v>
      </c>
      <c r="I5034" s="26" t="s">
        <v>77</v>
      </c>
      <c r="J5034" s="26" t="s">
        <v>77</v>
      </c>
      <c r="K5034" s="18"/>
      <c r="L5034" s="26" t="s">
        <v>77</v>
      </c>
      <c r="M5034" s="6" t="s">
        <v>77</v>
      </c>
      <c r="N5034" s="28" t="s">
        <v>77</v>
      </c>
      <c r="O5034" s="26" t="s">
        <v>77</v>
      </c>
    </row>
    <row r="5035">
      <c r="A5035" s="52" t="s">
        <v>77</v>
      </c>
      <c r="B5035" s="28" t="s">
        <v>77</v>
      </c>
      <c r="C5035" s="28" t="s">
        <v>77</v>
      </c>
      <c r="D5035" s="28" t="s">
        <v>77</v>
      </c>
      <c r="E5035" s="28" t="s">
        <v>77</v>
      </c>
      <c r="F5035" s="28" t="s">
        <v>77</v>
      </c>
      <c r="G5035" s="28" t="s">
        <v>77</v>
      </c>
      <c r="I5035" s="26" t="s">
        <v>77</v>
      </c>
      <c r="J5035" s="26" t="s">
        <v>77</v>
      </c>
      <c r="K5035" s="18"/>
      <c r="L5035" s="26" t="s">
        <v>77</v>
      </c>
      <c r="M5035" s="6" t="s">
        <v>77</v>
      </c>
      <c r="N5035" s="28" t="s">
        <v>77</v>
      </c>
      <c r="O5035" s="26" t="s">
        <v>77</v>
      </c>
    </row>
    <row r="5036">
      <c r="A5036" s="52" t="s">
        <v>77</v>
      </c>
      <c r="B5036" s="28" t="s">
        <v>77</v>
      </c>
      <c r="C5036" s="28" t="s">
        <v>77</v>
      </c>
      <c r="D5036" s="28" t="s">
        <v>77</v>
      </c>
      <c r="E5036" s="28" t="s">
        <v>77</v>
      </c>
      <c r="F5036" s="28" t="s">
        <v>77</v>
      </c>
      <c r="G5036" s="28" t="s">
        <v>77</v>
      </c>
      <c r="I5036" s="26" t="s">
        <v>77</v>
      </c>
      <c r="J5036" s="26" t="s">
        <v>77</v>
      </c>
      <c r="K5036" s="18"/>
      <c r="L5036" s="26" t="s">
        <v>77</v>
      </c>
      <c r="M5036" s="6" t="s">
        <v>77</v>
      </c>
      <c r="N5036" s="28" t="s">
        <v>77</v>
      </c>
      <c r="O5036" s="26" t="s">
        <v>77</v>
      </c>
    </row>
    <row r="5037">
      <c r="A5037" s="52" t="s">
        <v>77</v>
      </c>
      <c r="B5037" s="28" t="s">
        <v>77</v>
      </c>
      <c r="C5037" s="28" t="s">
        <v>77</v>
      </c>
      <c r="D5037" s="28" t="s">
        <v>77</v>
      </c>
      <c r="E5037" s="28" t="s">
        <v>77</v>
      </c>
      <c r="F5037" s="28" t="s">
        <v>77</v>
      </c>
      <c r="G5037" s="28" t="s">
        <v>77</v>
      </c>
      <c r="I5037" s="26" t="s">
        <v>77</v>
      </c>
      <c r="J5037" s="26" t="s">
        <v>77</v>
      </c>
      <c r="K5037" s="18"/>
      <c r="L5037" s="26" t="s">
        <v>77</v>
      </c>
      <c r="M5037" s="6" t="s">
        <v>77</v>
      </c>
      <c r="N5037" s="28" t="s">
        <v>77</v>
      </c>
      <c r="O5037" s="26" t="s">
        <v>77</v>
      </c>
    </row>
    <row r="5038">
      <c r="A5038" s="52" t="s">
        <v>77</v>
      </c>
      <c r="B5038" s="28" t="s">
        <v>77</v>
      </c>
      <c r="C5038" s="28" t="s">
        <v>77</v>
      </c>
      <c r="D5038" s="28" t="s">
        <v>77</v>
      </c>
      <c r="E5038" s="28" t="s">
        <v>77</v>
      </c>
      <c r="F5038" s="28" t="s">
        <v>77</v>
      </c>
      <c r="G5038" s="28" t="s">
        <v>77</v>
      </c>
      <c r="I5038" s="26" t="s">
        <v>77</v>
      </c>
      <c r="J5038" s="26" t="s">
        <v>77</v>
      </c>
      <c r="K5038" s="18"/>
      <c r="L5038" s="26" t="s">
        <v>77</v>
      </c>
      <c r="M5038" s="6" t="s">
        <v>77</v>
      </c>
      <c r="N5038" s="28" t="s">
        <v>77</v>
      </c>
      <c r="O5038" s="26" t="s">
        <v>77</v>
      </c>
    </row>
    <row r="5039">
      <c r="A5039" s="52" t="s">
        <v>77</v>
      </c>
      <c r="B5039" s="28" t="s">
        <v>77</v>
      </c>
      <c r="C5039" s="28" t="s">
        <v>77</v>
      </c>
      <c r="D5039" s="28" t="s">
        <v>77</v>
      </c>
      <c r="E5039" s="28" t="s">
        <v>77</v>
      </c>
      <c r="F5039" s="28" t="s">
        <v>77</v>
      </c>
      <c r="G5039" s="28" t="s">
        <v>77</v>
      </c>
      <c r="I5039" s="26" t="s">
        <v>77</v>
      </c>
      <c r="J5039" s="26" t="s">
        <v>77</v>
      </c>
      <c r="K5039" s="18"/>
      <c r="L5039" s="26" t="s">
        <v>77</v>
      </c>
      <c r="M5039" s="6" t="s">
        <v>77</v>
      </c>
      <c r="N5039" s="28" t="s">
        <v>77</v>
      </c>
      <c r="O5039" s="26" t="s">
        <v>77</v>
      </c>
    </row>
    <row r="5040">
      <c r="A5040" s="52" t="s">
        <v>77</v>
      </c>
      <c r="B5040" s="28" t="s">
        <v>77</v>
      </c>
      <c r="C5040" s="28" t="s">
        <v>77</v>
      </c>
      <c r="D5040" s="28" t="s">
        <v>77</v>
      </c>
      <c r="E5040" s="28" t="s">
        <v>77</v>
      </c>
      <c r="F5040" s="28" t="s">
        <v>77</v>
      </c>
      <c r="G5040" s="28" t="s">
        <v>77</v>
      </c>
      <c r="I5040" s="26" t="s">
        <v>77</v>
      </c>
      <c r="J5040" s="26" t="s">
        <v>77</v>
      </c>
      <c r="K5040" s="18"/>
      <c r="L5040" s="26" t="s">
        <v>77</v>
      </c>
      <c r="M5040" s="6" t="s">
        <v>77</v>
      </c>
      <c r="N5040" s="28" t="s">
        <v>77</v>
      </c>
      <c r="O5040" s="26" t="s">
        <v>77</v>
      </c>
    </row>
    <row r="5041">
      <c r="A5041" s="52" t="s">
        <v>77</v>
      </c>
      <c r="B5041" s="28" t="s">
        <v>77</v>
      </c>
      <c r="C5041" s="28" t="s">
        <v>77</v>
      </c>
      <c r="D5041" s="28" t="s">
        <v>77</v>
      </c>
      <c r="E5041" s="28" t="s">
        <v>77</v>
      </c>
      <c r="F5041" s="28" t="s">
        <v>77</v>
      </c>
      <c r="G5041" s="28" t="s">
        <v>77</v>
      </c>
      <c r="I5041" s="26" t="s">
        <v>77</v>
      </c>
      <c r="J5041" s="26" t="s">
        <v>77</v>
      </c>
      <c r="K5041" s="18"/>
      <c r="L5041" s="26" t="s">
        <v>77</v>
      </c>
      <c r="M5041" s="6" t="s">
        <v>77</v>
      </c>
      <c r="N5041" s="28" t="s">
        <v>77</v>
      </c>
      <c r="O5041" s="26" t="s">
        <v>77</v>
      </c>
    </row>
    <row r="5042">
      <c r="A5042" s="52" t="s">
        <v>77</v>
      </c>
      <c r="B5042" s="28" t="s">
        <v>77</v>
      </c>
      <c r="C5042" s="28" t="s">
        <v>77</v>
      </c>
      <c r="D5042" s="28" t="s">
        <v>77</v>
      </c>
      <c r="E5042" s="28" t="s">
        <v>77</v>
      </c>
      <c r="F5042" s="28" t="s">
        <v>77</v>
      </c>
      <c r="G5042" s="28" t="s">
        <v>77</v>
      </c>
      <c r="I5042" s="26" t="s">
        <v>77</v>
      </c>
      <c r="J5042" s="26" t="s">
        <v>77</v>
      </c>
      <c r="K5042" s="18"/>
      <c r="L5042" s="26" t="s">
        <v>77</v>
      </c>
      <c r="M5042" s="6" t="s">
        <v>77</v>
      </c>
      <c r="N5042" s="28" t="s">
        <v>77</v>
      </c>
      <c r="O5042" s="26" t="s">
        <v>77</v>
      </c>
    </row>
    <row r="5043">
      <c r="A5043" s="52" t="s">
        <v>77</v>
      </c>
      <c r="B5043" s="28" t="s">
        <v>77</v>
      </c>
      <c r="C5043" s="28" t="s">
        <v>77</v>
      </c>
      <c r="D5043" s="28" t="s">
        <v>77</v>
      </c>
      <c r="E5043" s="28" t="s">
        <v>77</v>
      </c>
      <c r="F5043" s="28" t="s">
        <v>77</v>
      </c>
      <c r="G5043" s="28" t="s">
        <v>77</v>
      </c>
      <c r="I5043" s="26" t="s">
        <v>77</v>
      </c>
      <c r="J5043" s="26" t="s">
        <v>77</v>
      </c>
      <c r="K5043" s="18"/>
      <c r="L5043" s="26" t="s">
        <v>77</v>
      </c>
      <c r="M5043" s="6" t="s">
        <v>77</v>
      </c>
      <c r="N5043" s="28" t="s">
        <v>77</v>
      </c>
      <c r="O5043" s="26" t="s">
        <v>77</v>
      </c>
    </row>
    <row r="5044">
      <c r="A5044" s="52" t="s">
        <v>77</v>
      </c>
      <c r="B5044" s="28" t="s">
        <v>77</v>
      </c>
      <c r="C5044" s="28" t="s">
        <v>77</v>
      </c>
      <c r="D5044" s="28" t="s">
        <v>77</v>
      </c>
      <c r="E5044" s="28" t="s">
        <v>77</v>
      </c>
      <c r="F5044" s="28" t="s">
        <v>77</v>
      </c>
      <c r="G5044" s="28" t="s">
        <v>77</v>
      </c>
      <c r="I5044" s="26" t="s">
        <v>77</v>
      </c>
      <c r="J5044" s="26" t="s">
        <v>77</v>
      </c>
      <c r="K5044" s="18"/>
      <c r="L5044" s="26" t="s">
        <v>77</v>
      </c>
      <c r="M5044" s="6" t="s">
        <v>77</v>
      </c>
      <c r="N5044" s="28" t="s">
        <v>77</v>
      </c>
      <c r="O5044" s="26" t="s">
        <v>77</v>
      </c>
    </row>
    <row r="5045">
      <c r="A5045" s="52" t="s">
        <v>77</v>
      </c>
      <c r="B5045" s="28" t="s">
        <v>77</v>
      </c>
      <c r="C5045" s="28" t="s">
        <v>77</v>
      </c>
      <c r="D5045" s="28" t="s">
        <v>77</v>
      </c>
      <c r="E5045" s="28" t="s">
        <v>77</v>
      </c>
      <c r="F5045" s="28" t="s">
        <v>77</v>
      </c>
      <c r="G5045" s="28" t="s">
        <v>77</v>
      </c>
      <c r="I5045" s="26" t="s">
        <v>77</v>
      </c>
      <c r="J5045" s="26" t="s">
        <v>77</v>
      </c>
      <c r="K5045" s="18"/>
      <c r="L5045" s="26" t="s">
        <v>77</v>
      </c>
      <c r="M5045" s="6" t="s">
        <v>77</v>
      </c>
      <c r="N5045" s="28" t="s">
        <v>77</v>
      </c>
      <c r="O5045" s="26" t="s">
        <v>77</v>
      </c>
    </row>
    <row r="5046">
      <c r="A5046" s="52" t="s">
        <v>77</v>
      </c>
      <c r="B5046" s="28" t="s">
        <v>77</v>
      </c>
      <c r="C5046" s="28" t="s">
        <v>77</v>
      </c>
      <c r="D5046" s="28" t="s">
        <v>77</v>
      </c>
      <c r="E5046" s="28" t="s">
        <v>77</v>
      </c>
      <c r="F5046" s="28" t="s">
        <v>77</v>
      </c>
      <c r="G5046" s="28" t="s">
        <v>77</v>
      </c>
      <c r="I5046" s="26" t="s">
        <v>77</v>
      </c>
      <c r="J5046" s="26" t="s">
        <v>77</v>
      </c>
      <c r="K5046" s="18"/>
      <c r="L5046" s="26" t="s">
        <v>77</v>
      </c>
      <c r="M5046" s="6" t="s">
        <v>77</v>
      </c>
      <c r="N5046" s="28" t="s">
        <v>77</v>
      </c>
      <c r="O5046" s="26" t="s">
        <v>77</v>
      </c>
    </row>
    <row r="5047">
      <c r="A5047" s="52" t="s">
        <v>77</v>
      </c>
      <c r="B5047" s="28" t="s">
        <v>77</v>
      </c>
      <c r="C5047" s="28" t="s">
        <v>77</v>
      </c>
      <c r="D5047" s="28" t="s">
        <v>77</v>
      </c>
      <c r="E5047" s="28" t="s">
        <v>77</v>
      </c>
      <c r="F5047" s="28" t="s">
        <v>77</v>
      </c>
      <c r="G5047" s="28" t="s">
        <v>77</v>
      </c>
      <c r="I5047" s="26" t="s">
        <v>77</v>
      </c>
      <c r="J5047" s="26" t="s">
        <v>77</v>
      </c>
      <c r="K5047" s="18"/>
      <c r="L5047" s="26" t="s">
        <v>77</v>
      </c>
      <c r="M5047" s="6" t="s">
        <v>77</v>
      </c>
      <c r="N5047" s="28" t="s">
        <v>77</v>
      </c>
      <c r="O5047" s="26" t="s">
        <v>77</v>
      </c>
    </row>
    <row r="5048">
      <c r="A5048" s="52" t="s">
        <v>77</v>
      </c>
      <c r="B5048" s="28" t="s">
        <v>77</v>
      </c>
      <c r="C5048" s="28" t="s">
        <v>77</v>
      </c>
      <c r="D5048" s="28" t="s">
        <v>77</v>
      </c>
      <c r="E5048" s="28" t="s">
        <v>77</v>
      </c>
      <c r="F5048" s="28" t="s">
        <v>77</v>
      </c>
      <c r="G5048" s="28" t="s">
        <v>77</v>
      </c>
      <c r="I5048" s="26" t="s">
        <v>77</v>
      </c>
      <c r="J5048" s="26" t="s">
        <v>77</v>
      </c>
      <c r="K5048" s="18"/>
      <c r="L5048" s="26" t="s">
        <v>77</v>
      </c>
      <c r="M5048" s="6" t="s">
        <v>77</v>
      </c>
      <c r="N5048" s="28" t="s">
        <v>77</v>
      </c>
      <c r="O5048" s="26" t="s">
        <v>77</v>
      </c>
    </row>
    <row r="5049">
      <c r="A5049" s="52" t="s">
        <v>77</v>
      </c>
      <c r="B5049" s="28" t="s">
        <v>77</v>
      </c>
      <c r="C5049" s="28" t="s">
        <v>77</v>
      </c>
      <c r="D5049" s="28" t="s">
        <v>77</v>
      </c>
      <c r="E5049" s="28" t="s">
        <v>77</v>
      </c>
      <c r="F5049" s="28" t="s">
        <v>77</v>
      </c>
      <c r="G5049" s="28" t="s">
        <v>77</v>
      </c>
      <c r="I5049" s="26" t="s">
        <v>77</v>
      </c>
      <c r="J5049" s="26" t="s">
        <v>77</v>
      </c>
      <c r="K5049" s="18"/>
      <c r="L5049" s="26" t="s">
        <v>77</v>
      </c>
      <c r="M5049" s="6" t="s">
        <v>77</v>
      </c>
      <c r="N5049" s="28" t="s">
        <v>77</v>
      </c>
      <c r="O5049" s="26" t="s">
        <v>77</v>
      </c>
    </row>
    <row r="5050">
      <c r="A5050" s="52" t="s">
        <v>77</v>
      </c>
      <c r="B5050" s="28" t="s">
        <v>77</v>
      </c>
      <c r="C5050" s="28" t="s">
        <v>77</v>
      </c>
      <c r="D5050" s="28" t="s">
        <v>77</v>
      </c>
      <c r="E5050" s="28" t="s">
        <v>77</v>
      </c>
      <c r="F5050" s="28" t="s">
        <v>77</v>
      </c>
      <c r="G5050" s="28" t="s">
        <v>77</v>
      </c>
      <c r="I5050" s="26" t="s">
        <v>77</v>
      </c>
      <c r="J5050" s="26" t="s">
        <v>77</v>
      </c>
      <c r="K5050" s="18"/>
      <c r="L5050" s="26" t="s">
        <v>77</v>
      </c>
      <c r="M5050" s="6" t="s">
        <v>77</v>
      </c>
      <c r="N5050" s="28" t="s">
        <v>77</v>
      </c>
      <c r="O5050" s="26" t="s">
        <v>77</v>
      </c>
    </row>
    <row r="5051">
      <c r="A5051" s="52" t="s">
        <v>77</v>
      </c>
      <c r="B5051" s="28" t="s">
        <v>77</v>
      </c>
      <c r="C5051" s="28" t="s">
        <v>77</v>
      </c>
      <c r="D5051" s="28" t="s">
        <v>77</v>
      </c>
      <c r="E5051" s="28" t="s">
        <v>77</v>
      </c>
      <c r="F5051" s="28" t="s">
        <v>77</v>
      </c>
      <c r="G5051" s="28" t="s">
        <v>77</v>
      </c>
      <c r="I5051" s="26" t="s">
        <v>77</v>
      </c>
      <c r="J5051" s="26" t="s">
        <v>77</v>
      </c>
      <c r="K5051" s="18"/>
      <c r="L5051" s="26" t="s">
        <v>77</v>
      </c>
      <c r="M5051" s="6" t="s">
        <v>77</v>
      </c>
      <c r="N5051" s="28" t="s">
        <v>77</v>
      </c>
      <c r="O5051" s="26" t="s">
        <v>77</v>
      </c>
    </row>
    <row r="5052">
      <c r="A5052" s="52" t="s">
        <v>77</v>
      </c>
      <c r="B5052" s="28" t="s">
        <v>77</v>
      </c>
      <c r="C5052" s="28" t="s">
        <v>77</v>
      </c>
      <c r="D5052" s="28" t="s">
        <v>77</v>
      </c>
      <c r="E5052" s="28" t="s">
        <v>77</v>
      </c>
      <c r="F5052" s="28" t="s">
        <v>77</v>
      </c>
      <c r="G5052" s="28" t="s">
        <v>77</v>
      </c>
      <c r="I5052" s="26" t="s">
        <v>77</v>
      </c>
      <c r="J5052" s="26" t="s">
        <v>77</v>
      </c>
      <c r="K5052" s="18"/>
      <c r="L5052" s="26" t="s">
        <v>77</v>
      </c>
      <c r="M5052" s="6" t="s">
        <v>77</v>
      </c>
      <c r="N5052" s="28" t="s">
        <v>77</v>
      </c>
      <c r="O5052" s="26" t="s">
        <v>77</v>
      </c>
    </row>
    <row r="5053">
      <c r="A5053" s="52" t="s">
        <v>77</v>
      </c>
      <c r="B5053" s="28" t="s">
        <v>77</v>
      </c>
      <c r="C5053" s="28" t="s">
        <v>77</v>
      </c>
      <c r="D5053" s="28" t="s">
        <v>77</v>
      </c>
      <c r="E5053" s="28" t="s">
        <v>77</v>
      </c>
      <c r="F5053" s="28" t="s">
        <v>77</v>
      </c>
      <c r="G5053" s="28" t="s">
        <v>77</v>
      </c>
      <c r="I5053" s="26" t="s">
        <v>77</v>
      </c>
      <c r="J5053" s="26" t="s">
        <v>77</v>
      </c>
      <c r="K5053" s="18"/>
      <c r="L5053" s="26" t="s">
        <v>77</v>
      </c>
      <c r="M5053" s="6" t="s">
        <v>77</v>
      </c>
      <c r="N5053" s="28" t="s">
        <v>77</v>
      </c>
      <c r="O5053" s="26" t="s">
        <v>77</v>
      </c>
    </row>
    <row r="5054">
      <c r="A5054" s="52" t="s">
        <v>77</v>
      </c>
      <c r="B5054" s="28" t="s">
        <v>77</v>
      </c>
      <c r="C5054" s="28" t="s">
        <v>77</v>
      </c>
      <c r="D5054" s="28" t="s">
        <v>77</v>
      </c>
      <c r="E5054" s="28" t="s">
        <v>77</v>
      </c>
      <c r="F5054" s="28" t="s">
        <v>77</v>
      </c>
      <c r="G5054" s="28" t="s">
        <v>77</v>
      </c>
      <c r="I5054" s="26" t="s">
        <v>77</v>
      </c>
      <c r="J5054" s="26" t="s">
        <v>77</v>
      </c>
      <c r="K5054" s="18"/>
      <c r="L5054" s="26" t="s">
        <v>77</v>
      </c>
      <c r="M5054" s="6" t="s">
        <v>77</v>
      </c>
      <c r="N5054" s="28" t="s">
        <v>77</v>
      </c>
      <c r="O5054" s="26" t="s">
        <v>77</v>
      </c>
    </row>
    <row r="5055">
      <c r="A5055" s="52" t="s">
        <v>77</v>
      </c>
      <c r="B5055" s="28" t="s">
        <v>77</v>
      </c>
      <c r="C5055" s="28" t="s">
        <v>77</v>
      </c>
      <c r="D5055" s="28" t="s">
        <v>77</v>
      </c>
      <c r="E5055" s="28" t="s">
        <v>77</v>
      </c>
      <c r="F5055" s="28" t="s">
        <v>77</v>
      </c>
      <c r="G5055" s="28" t="s">
        <v>77</v>
      </c>
      <c r="I5055" s="26" t="s">
        <v>77</v>
      </c>
      <c r="J5055" s="26" t="s">
        <v>77</v>
      </c>
      <c r="K5055" s="18"/>
      <c r="L5055" s="26" t="s">
        <v>77</v>
      </c>
      <c r="M5055" s="6" t="s">
        <v>77</v>
      </c>
      <c r="N5055" s="28" t="s">
        <v>77</v>
      </c>
      <c r="O5055" s="26" t="s">
        <v>77</v>
      </c>
    </row>
    <row r="5056">
      <c r="A5056" s="52" t="s">
        <v>77</v>
      </c>
      <c r="B5056" s="28" t="s">
        <v>77</v>
      </c>
      <c r="C5056" s="28" t="s">
        <v>77</v>
      </c>
      <c r="D5056" s="28" t="s">
        <v>77</v>
      </c>
      <c r="E5056" s="28" t="s">
        <v>77</v>
      </c>
      <c r="F5056" s="28" t="s">
        <v>77</v>
      </c>
      <c r="G5056" s="28" t="s">
        <v>77</v>
      </c>
      <c r="I5056" s="26" t="s">
        <v>77</v>
      </c>
      <c r="J5056" s="26" t="s">
        <v>77</v>
      </c>
      <c r="K5056" s="18"/>
      <c r="L5056" s="26" t="s">
        <v>77</v>
      </c>
      <c r="M5056" s="6" t="s">
        <v>77</v>
      </c>
      <c r="N5056" s="28" t="s">
        <v>77</v>
      </c>
      <c r="O5056" s="26" t="s">
        <v>77</v>
      </c>
    </row>
    <row r="5057">
      <c r="A5057" s="52" t="s">
        <v>77</v>
      </c>
      <c r="B5057" s="28" t="s">
        <v>77</v>
      </c>
      <c r="C5057" s="28" t="s">
        <v>77</v>
      </c>
      <c r="D5057" s="28" t="s">
        <v>77</v>
      </c>
      <c r="E5057" s="28" t="s">
        <v>77</v>
      </c>
      <c r="F5057" s="28" t="s">
        <v>77</v>
      </c>
      <c r="G5057" s="28" t="s">
        <v>77</v>
      </c>
      <c r="I5057" s="26" t="s">
        <v>77</v>
      </c>
      <c r="J5057" s="26" t="s">
        <v>77</v>
      </c>
      <c r="K5057" s="18"/>
      <c r="L5057" s="26" t="s">
        <v>77</v>
      </c>
      <c r="M5057" s="6" t="s">
        <v>77</v>
      </c>
      <c r="N5057" s="28" t="s">
        <v>77</v>
      </c>
      <c r="O5057" s="26" t="s">
        <v>77</v>
      </c>
    </row>
    <row r="5058">
      <c r="A5058" s="52" t="s">
        <v>77</v>
      </c>
      <c r="B5058" s="28" t="s">
        <v>77</v>
      </c>
      <c r="C5058" s="28" t="s">
        <v>77</v>
      </c>
      <c r="D5058" s="28" t="s">
        <v>77</v>
      </c>
      <c r="E5058" s="28" t="s">
        <v>77</v>
      </c>
      <c r="F5058" s="28" t="s">
        <v>77</v>
      </c>
      <c r="G5058" s="28" t="s">
        <v>77</v>
      </c>
      <c r="I5058" s="26" t="s">
        <v>77</v>
      </c>
      <c r="J5058" s="26" t="s">
        <v>77</v>
      </c>
      <c r="K5058" s="18"/>
      <c r="L5058" s="26" t="s">
        <v>77</v>
      </c>
      <c r="M5058" s="6" t="s">
        <v>77</v>
      </c>
      <c r="N5058" s="28" t="s">
        <v>77</v>
      </c>
      <c r="O5058" s="26" t="s">
        <v>77</v>
      </c>
    </row>
    <row r="5059">
      <c r="A5059" s="52" t="s">
        <v>77</v>
      </c>
      <c r="B5059" s="28" t="s">
        <v>77</v>
      </c>
      <c r="C5059" s="28" t="s">
        <v>77</v>
      </c>
      <c r="D5059" s="28" t="s">
        <v>77</v>
      </c>
      <c r="E5059" s="28" t="s">
        <v>77</v>
      </c>
      <c r="F5059" s="28" t="s">
        <v>77</v>
      </c>
      <c r="G5059" s="28" t="s">
        <v>77</v>
      </c>
      <c r="I5059" s="26" t="s">
        <v>77</v>
      </c>
      <c r="J5059" s="26" t="s">
        <v>77</v>
      </c>
      <c r="K5059" s="18"/>
      <c r="L5059" s="26" t="s">
        <v>77</v>
      </c>
      <c r="M5059" s="6" t="s">
        <v>77</v>
      </c>
      <c r="N5059" s="28" t="s">
        <v>77</v>
      </c>
      <c r="O5059" s="26" t="s">
        <v>77</v>
      </c>
    </row>
    <row r="5060">
      <c r="A5060" s="52" t="s">
        <v>77</v>
      </c>
      <c r="B5060" s="28" t="s">
        <v>77</v>
      </c>
      <c r="C5060" s="28" t="s">
        <v>77</v>
      </c>
      <c r="D5060" s="28" t="s">
        <v>77</v>
      </c>
      <c r="E5060" s="28" t="s">
        <v>77</v>
      </c>
      <c r="F5060" s="28" t="s">
        <v>77</v>
      </c>
      <c r="G5060" s="28" t="s">
        <v>77</v>
      </c>
      <c r="I5060" s="26" t="s">
        <v>77</v>
      </c>
      <c r="J5060" s="26" t="s">
        <v>77</v>
      </c>
      <c r="K5060" s="18"/>
      <c r="L5060" s="26" t="s">
        <v>77</v>
      </c>
      <c r="M5060" s="6" t="s">
        <v>77</v>
      </c>
      <c r="N5060" s="28" t="s">
        <v>77</v>
      </c>
      <c r="O5060" s="26" t="s">
        <v>77</v>
      </c>
    </row>
    <row r="5061">
      <c r="A5061" s="52" t="s">
        <v>77</v>
      </c>
      <c r="B5061" s="28" t="s">
        <v>77</v>
      </c>
      <c r="C5061" s="28" t="s">
        <v>77</v>
      </c>
      <c r="D5061" s="28" t="s">
        <v>77</v>
      </c>
      <c r="E5061" s="28" t="s">
        <v>77</v>
      </c>
      <c r="F5061" s="28" t="s">
        <v>77</v>
      </c>
      <c r="G5061" s="28" t="s">
        <v>77</v>
      </c>
      <c r="I5061" s="26" t="s">
        <v>77</v>
      </c>
      <c r="J5061" s="26" t="s">
        <v>77</v>
      </c>
      <c r="K5061" s="18"/>
      <c r="L5061" s="26" t="s">
        <v>77</v>
      </c>
      <c r="M5061" s="6" t="s">
        <v>77</v>
      </c>
      <c r="N5061" s="28" t="s">
        <v>77</v>
      </c>
      <c r="O5061" s="26" t="s">
        <v>77</v>
      </c>
    </row>
    <row r="5062">
      <c r="A5062" s="52" t="s">
        <v>77</v>
      </c>
      <c r="B5062" s="28" t="s">
        <v>77</v>
      </c>
      <c r="C5062" s="28" t="s">
        <v>77</v>
      </c>
      <c r="D5062" s="28" t="s">
        <v>77</v>
      </c>
      <c r="E5062" s="28" t="s">
        <v>77</v>
      </c>
      <c r="F5062" s="28" t="s">
        <v>77</v>
      </c>
      <c r="G5062" s="28" t="s">
        <v>77</v>
      </c>
      <c r="I5062" s="26" t="s">
        <v>77</v>
      </c>
      <c r="J5062" s="26" t="s">
        <v>77</v>
      </c>
      <c r="K5062" s="18"/>
      <c r="L5062" s="26" t="s">
        <v>77</v>
      </c>
      <c r="M5062" s="6" t="s">
        <v>77</v>
      </c>
      <c r="N5062" s="28" t="s">
        <v>77</v>
      </c>
      <c r="O5062" s="26" t="s">
        <v>77</v>
      </c>
    </row>
    <row r="5063">
      <c r="A5063" s="52" t="s">
        <v>77</v>
      </c>
      <c r="B5063" s="28" t="s">
        <v>77</v>
      </c>
      <c r="C5063" s="28" t="s">
        <v>77</v>
      </c>
      <c r="D5063" s="28" t="s">
        <v>77</v>
      </c>
      <c r="E5063" s="28" t="s">
        <v>77</v>
      </c>
      <c r="F5063" s="28" t="s">
        <v>77</v>
      </c>
      <c r="G5063" s="28" t="s">
        <v>77</v>
      </c>
      <c r="I5063" s="26" t="s">
        <v>77</v>
      </c>
      <c r="J5063" s="26" t="s">
        <v>77</v>
      </c>
      <c r="K5063" s="18"/>
      <c r="L5063" s="26" t="s">
        <v>77</v>
      </c>
      <c r="M5063" s="6" t="s">
        <v>77</v>
      </c>
      <c r="N5063" s="28" t="s">
        <v>77</v>
      </c>
      <c r="O5063" s="26" t="s">
        <v>77</v>
      </c>
    </row>
    <row r="5064">
      <c r="A5064" s="52" t="s">
        <v>77</v>
      </c>
      <c r="B5064" s="28" t="s">
        <v>77</v>
      </c>
      <c r="C5064" s="28" t="s">
        <v>77</v>
      </c>
      <c r="D5064" s="28" t="s">
        <v>77</v>
      </c>
      <c r="E5064" s="28" t="s">
        <v>77</v>
      </c>
      <c r="F5064" s="28" t="s">
        <v>77</v>
      </c>
      <c r="G5064" s="28" t="s">
        <v>77</v>
      </c>
      <c r="I5064" s="26" t="s">
        <v>77</v>
      </c>
      <c r="J5064" s="26" t="s">
        <v>77</v>
      </c>
      <c r="K5064" s="18"/>
      <c r="L5064" s="26" t="s">
        <v>77</v>
      </c>
      <c r="M5064" s="6" t="s">
        <v>77</v>
      </c>
      <c r="N5064" s="28" t="s">
        <v>77</v>
      </c>
      <c r="O5064" s="26" t="s">
        <v>77</v>
      </c>
    </row>
    <row r="5065">
      <c r="A5065" s="52" t="s">
        <v>77</v>
      </c>
      <c r="B5065" s="28" t="s">
        <v>77</v>
      </c>
      <c r="C5065" s="28" t="s">
        <v>77</v>
      </c>
      <c r="D5065" s="28" t="s">
        <v>77</v>
      </c>
      <c r="E5065" s="28" t="s">
        <v>77</v>
      </c>
      <c r="F5065" s="28" t="s">
        <v>77</v>
      </c>
      <c r="G5065" s="28" t="s">
        <v>77</v>
      </c>
      <c r="I5065" s="26" t="s">
        <v>77</v>
      </c>
      <c r="J5065" s="26" t="s">
        <v>77</v>
      </c>
      <c r="K5065" s="18"/>
      <c r="L5065" s="26" t="s">
        <v>77</v>
      </c>
      <c r="M5065" s="6" t="s">
        <v>77</v>
      </c>
      <c r="N5065" s="28" t="s">
        <v>77</v>
      </c>
      <c r="O5065" s="26" t="s">
        <v>77</v>
      </c>
    </row>
    <row r="5066">
      <c r="A5066" s="52" t="s">
        <v>77</v>
      </c>
      <c r="B5066" s="28" t="s">
        <v>77</v>
      </c>
      <c r="C5066" s="28" t="s">
        <v>77</v>
      </c>
      <c r="D5066" s="28" t="s">
        <v>77</v>
      </c>
      <c r="E5066" s="28" t="s">
        <v>77</v>
      </c>
      <c r="F5066" s="28" t="s">
        <v>77</v>
      </c>
      <c r="G5066" s="28" t="s">
        <v>77</v>
      </c>
      <c r="I5066" s="26" t="s">
        <v>77</v>
      </c>
      <c r="J5066" s="26" t="s">
        <v>77</v>
      </c>
      <c r="K5066" s="18"/>
      <c r="L5066" s="26" t="s">
        <v>77</v>
      </c>
      <c r="M5066" s="6" t="s">
        <v>77</v>
      </c>
      <c r="N5066" s="28" t="s">
        <v>77</v>
      </c>
      <c r="O5066" s="26" t="s">
        <v>77</v>
      </c>
    </row>
    <row r="5067">
      <c r="A5067" s="52" t="s">
        <v>77</v>
      </c>
      <c r="B5067" s="28" t="s">
        <v>77</v>
      </c>
      <c r="C5067" s="28" t="s">
        <v>77</v>
      </c>
      <c r="D5067" s="28" t="s">
        <v>77</v>
      </c>
      <c r="E5067" s="28" t="s">
        <v>77</v>
      </c>
      <c r="F5067" s="28" t="s">
        <v>77</v>
      </c>
      <c r="G5067" s="28" t="s">
        <v>77</v>
      </c>
      <c r="I5067" s="26" t="s">
        <v>77</v>
      </c>
      <c r="J5067" s="26" t="s">
        <v>77</v>
      </c>
      <c r="K5067" s="18"/>
      <c r="L5067" s="26" t="s">
        <v>77</v>
      </c>
      <c r="M5067" s="6" t="s">
        <v>77</v>
      </c>
      <c r="N5067" s="28" t="s">
        <v>77</v>
      </c>
      <c r="O5067" s="26" t="s">
        <v>77</v>
      </c>
    </row>
    <row r="5068">
      <c r="A5068" s="52" t="s">
        <v>77</v>
      </c>
      <c r="B5068" s="28" t="s">
        <v>77</v>
      </c>
      <c r="C5068" s="28" t="s">
        <v>77</v>
      </c>
      <c r="D5068" s="28" t="s">
        <v>77</v>
      </c>
      <c r="E5068" s="28" t="s">
        <v>77</v>
      </c>
      <c r="F5068" s="28" t="s">
        <v>77</v>
      </c>
      <c r="G5068" s="28" t="s">
        <v>77</v>
      </c>
      <c r="I5068" s="26" t="s">
        <v>77</v>
      </c>
      <c r="J5068" s="26" t="s">
        <v>77</v>
      </c>
      <c r="K5068" s="18"/>
      <c r="L5068" s="26" t="s">
        <v>77</v>
      </c>
      <c r="M5068" s="6" t="s">
        <v>77</v>
      </c>
      <c r="N5068" s="28" t="s">
        <v>77</v>
      </c>
      <c r="O5068" s="26" t="s">
        <v>77</v>
      </c>
    </row>
    <row r="5069">
      <c r="A5069" s="52" t="s">
        <v>77</v>
      </c>
      <c r="B5069" s="28" t="s">
        <v>77</v>
      </c>
      <c r="C5069" s="28" t="s">
        <v>77</v>
      </c>
      <c r="D5069" s="28" t="s">
        <v>77</v>
      </c>
      <c r="E5069" s="28" t="s">
        <v>77</v>
      </c>
      <c r="F5069" s="28" t="s">
        <v>77</v>
      </c>
      <c r="G5069" s="28" t="s">
        <v>77</v>
      </c>
      <c r="I5069" s="26" t="s">
        <v>77</v>
      </c>
      <c r="J5069" s="26" t="s">
        <v>77</v>
      </c>
      <c r="K5069" s="18"/>
      <c r="L5069" s="26" t="s">
        <v>77</v>
      </c>
      <c r="M5069" s="6" t="s">
        <v>77</v>
      </c>
      <c r="N5069" s="28" t="s">
        <v>77</v>
      </c>
      <c r="O5069" s="26" t="s">
        <v>77</v>
      </c>
    </row>
    <row r="5070">
      <c r="A5070" s="52" t="s">
        <v>77</v>
      </c>
      <c r="B5070" s="28" t="s">
        <v>77</v>
      </c>
      <c r="C5070" s="28" t="s">
        <v>77</v>
      </c>
      <c r="D5070" s="28" t="s">
        <v>77</v>
      </c>
      <c r="E5070" s="28" t="s">
        <v>77</v>
      </c>
      <c r="F5070" s="28" t="s">
        <v>77</v>
      </c>
      <c r="G5070" s="28" t="s">
        <v>77</v>
      </c>
      <c r="I5070" s="26" t="s">
        <v>77</v>
      </c>
      <c r="J5070" s="26" t="s">
        <v>77</v>
      </c>
      <c r="K5070" s="18"/>
      <c r="L5070" s="26" t="s">
        <v>77</v>
      </c>
      <c r="M5070" s="6" t="s">
        <v>77</v>
      </c>
      <c r="N5070" s="28" t="s">
        <v>77</v>
      </c>
      <c r="O5070" s="26" t="s">
        <v>77</v>
      </c>
    </row>
    <row r="5071">
      <c r="A5071" s="52" t="s">
        <v>77</v>
      </c>
      <c r="B5071" s="28" t="s">
        <v>77</v>
      </c>
      <c r="C5071" s="28" t="s">
        <v>77</v>
      </c>
      <c r="D5071" s="28" t="s">
        <v>77</v>
      </c>
      <c r="E5071" s="28" t="s">
        <v>77</v>
      </c>
      <c r="F5071" s="28" t="s">
        <v>77</v>
      </c>
      <c r="G5071" s="28" t="s">
        <v>77</v>
      </c>
      <c r="I5071" s="26" t="s">
        <v>77</v>
      </c>
      <c r="J5071" s="26" t="s">
        <v>77</v>
      </c>
      <c r="K5071" s="18"/>
      <c r="L5071" s="26" t="s">
        <v>77</v>
      </c>
      <c r="M5071" s="6" t="s">
        <v>77</v>
      </c>
      <c r="N5071" s="28" t="s">
        <v>77</v>
      </c>
      <c r="O5071" s="26" t="s">
        <v>77</v>
      </c>
    </row>
    <row r="5072">
      <c r="A5072" s="52" t="s">
        <v>77</v>
      </c>
      <c r="B5072" s="28" t="s">
        <v>77</v>
      </c>
      <c r="C5072" s="28" t="s">
        <v>77</v>
      </c>
      <c r="D5072" s="28" t="s">
        <v>77</v>
      </c>
      <c r="E5072" s="28" t="s">
        <v>77</v>
      </c>
      <c r="F5072" s="28" t="s">
        <v>77</v>
      </c>
      <c r="G5072" s="28" t="s">
        <v>77</v>
      </c>
      <c r="I5072" s="26" t="s">
        <v>77</v>
      </c>
      <c r="J5072" s="26" t="s">
        <v>77</v>
      </c>
      <c r="K5072" s="18"/>
      <c r="L5072" s="26" t="s">
        <v>77</v>
      </c>
      <c r="M5072" s="6" t="s">
        <v>77</v>
      </c>
      <c r="N5072" s="28" t="s">
        <v>77</v>
      </c>
      <c r="O5072" s="26" t="s">
        <v>77</v>
      </c>
    </row>
    <row r="5073">
      <c r="A5073" s="52" t="s">
        <v>77</v>
      </c>
      <c r="B5073" s="28" t="s">
        <v>77</v>
      </c>
      <c r="C5073" s="28" t="s">
        <v>77</v>
      </c>
      <c r="D5073" s="28" t="s">
        <v>77</v>
      </c>
      <c r="E5073" s="28" t="s">
        <v>77</v>
      </c>
      <c r="F5073" s="28" t="s">
        <v>77</v>
      </c>
      <c r="G5073" s="28" t="s">
        <v>77</v>
      </c>
      <c r="I5073" s="26" t="s">
        <v>77</v>
      </c>
      <c r="J5073" s="26" t="s">
        <v>77</v>
      </c>
      <c r="K5073" s="18"/>
      <c r="L5073" s="26" t="s">
        <v>77</v>
      </c>
      <c r="M5073" s="6" t="s">
        <v>77</v>
      </c>
      <c r="N5073" s="28" t="s">
        <v>77</v>
      </c>
      <c r="O5073" s="26" t="s">
        <v>77</v>
      </c>
    </row>
    <row r="5074">
      <c r="A5074" s="52" t="s">
        <v>77</v>
      </c>
      <c r="B5074" s="28" t="s">
        <v>77</v>
      </c>
      <c r="C5074" s="28" t="s">
        <v>77</v>
      </c>
      <c r="D5074" s="28" t="s">
        <v>77</v>
      </c>
      <c r="E5074" s="28" t="s">
        <v>77</v>
      </c>
      <c r="F5074" s="28" t="s">
        <v>77</v>
      </c>
      <c r="G5074" s="28" t="s">
        <v>77</v>
      </c>
      <c r="I5074" s="26" t="s">
        <v>77</v>
      </c>
      <c r="J5074" s="26" t="s">
        <v>77</v>
      </c>
      <c r="K5074" s="18"/>
      <c r="L5074" s="26" t="s">
        <v>77</v>
      </c>
      <c r="M5074" s="6" t="s">
        <v>77</v>
      </c>
      <c r="N5074" s="28" t="s">
        <v>77</v>
      </c>
      <c r="O5074" s="26" t="s">
        <v>77</v>
      </c>
    </row>
    <row r="5075">
      <c r="A5075" s="52" t="s">
        <v>77</v>
      </c>
      <c r="B5075" s="28" t="s">
        <v>77</v>
      </c>
      <c r="C5075" s="28" t="s">
        <v>77</v>
      </c>
      <c r="D5075" s="28" t="s">
        <v>77</v>
      </c>
      <c r="E5075" s="28" t="s">
        <v>77</v>
      </c>
      <c r="F5075" s="28" t="s">
        <v>77</v>
      </c>
      <c r="G5075" s="28" t="s">
        <v>77</v>
      </c>
      <c r="I5075" s="26" t="s">
        <v>77</v>
      </c>
      <c r="J5075" s="26" t="s">
        <v>77</v>
      </c>
      <c r="K5075" s="18"/>
      <c r="L5075" s="26" t="s">
        <v>77</v>
      </c>
      <c r="M5075" s="6" t="s">
        <v>77</v>
      </c>
      <c r="N5075" s="28" t="s">
        <v>77</v>
      </c>
      <c r="O5075" s="26" t="s">
        <v>77</v>
      </c>
    </row>
    <row r="5076">
      <c r="A5076" s="52" t="s">
        <v>77</v>
      </c>
      <c r="B5076" s="28" t="s">
        <v>77</v>
      </c>
      <c r="C5076" s="28" t="s">
        <v>77</v>
      </c>
      <c r="D5076" s="28" t="s">
        <v>77</v>
      </c>
      <c r="E5076" s="28" t="s">
        <v>77</v>
      </c>
      <c r="F5076" s="28" t="s">
        <v>77</v>
      </c>
      <c r="G5076" s="28" t="s">
        <v>77</v>
      </c>
      <c r="I5076" s="26" t="s">
        <v>77</v>
      </c>
      <c r="J5076" s="26" t="s">
        <v>77</v>
      </c>
      <c r="K5076" s="18"/>
      <c r="L5076" s="26" t="s">
        <v>77</v>
      </c>
      <c r="M5076" s="6" t="s">
        <v>77</v>
      </c>
      <c r="N5076" s="28" t="s">
        <v>77</v>
      </c>
      <c r="O5076" s="26" t="s">
        <v>77</v>
      </c>
    </row>
    <row r="5077">
      <c r="A5077" s="52" t="s">
        <v>77</v>
      </c>
      <c r="B5077" s="28" t="s">
        <v>77</v>
      </c>
      <c r="C5077" s="28" t="s">
        <v>77</v>
      </c>
      <c r="D5077" s="28" t="s">
        <v>77</v>
      </c>
      <c r="E5077" s="28" t="s">
        <v>77</v>
      </c>
      <c r="F5077" s="28" t="s">
        <v>77</v>
      </c>
      <c r="G5077" s="28" t="s">
        <v>77</v>
      </c>
      <c r="I5077" s="26" t="s">
        <v>77</v>
      </c>
      <c r="J5077" s="26" t="s">
        <v>77</v>
      </c>
      <c r="K5077" s="18"/>
      <c r="L5077" s="26" t="s">
        <v>77</v>
      </c>
      <c r="M5077" s="6" t="s">
        <v>77</v>
      </c>
      <c r="N5077" s="28" t="s">
        <v>77</v>
      </c>
      <c r="O5077" s="26" t="s">
        <v>77</v>
      </c>
    </row>
    <row r="5078">
      <c r="A5078" s="52" t="s">
        <v>77</v>
      </c>
      <c r="B5078" s="28" t="s">
        <v>77</v>
      </c>
      <c r="C5078" s="28" t="s">
        <v>77</v>
      </c>
      <c r="D5078" s="28" t="s">
        <v>77</v>
      </c>
      <c r="E5078" s="28" t="s">
        <v>77</v>
      </c>
      <c r="F5078" s="28" t="s">
        <v>77</v>
      </c>
      <c r="G5078" s="28" t="s">
        <v>77</v>
      </c>
      <c r="I5078" s="26" t="s">
        <v>77</v>
      </c>
      <c r="J5078" s="26" t="s">
        <v>77</v>
      </c>
      <c r="K5078" s="18"/>
      <c r="L5078" s="26" t="s">
        <v>77</v>
      </c>
      <c r="M5078" s="6" t="s">
        <v>77</v>
      </c>
      <c r="N5078" s="28" t="s">
        <v>77</v>
      </c>
      <c r="O5078" s="26" t="s">
        <v>77</v>
      </c>
    </row>
    <row r="5079">
      <c r="A5079" s="52" t="s">
        <v>77</v>
      </c>
      <c r="B5079" s="28" t="s">
        <v>77</v>
      </c>
      <c r="C5079" s="28" t="s">
        <v>77</v>
      </c>
      <c r="D5079" s="28" t="s">
        <v>77</v>
      </c>
      <c r="E5079" s="28" t="s">
        <v>77</v>
      </c>
      <c r="F5079" s="28" t="s">
        <v>77</v>
      </c>
      <c r="G5079" s="28" t="s">
        <v>77</v>
      </c>
      <c r="I5079" s="26" t="s">
        <v>77</v>
      </c>
      <c r="J5079" s="26" t="s">
        <v>77</v>
      </c>
      <c r="K5079" s="18"/>
      <c r="L5079" s="26" t="s">
        <v>77</v>
      </c>
      <c r="M5079" s="6" t="s">
        <v>77</v>
      </c>
      <c r="N5079" s="28" t="s">
        <v>77</v>
      </c>
      <c r="O5079" s="26" t="s">
        <v>77</v>
      </c>
    </row>
    <row r="5080">
      <c r="A5080" s="52" t="s">
        <v>77</v>
      </c>
      <c r="B5080" s="28" t="s">
        <v>77</v>
      </c>
      <c r="C5080" s="28" t="s">
        <v>77</v>
      </c>
      <c r="D5080" s="28" t="s">
        <v>77</v>
      </c>
      <c r="E5080" s="28" t="s">
        <v>77</v>
      </c>
      <c r="F5080" s="28" t="s">
        <v>77</v>
      </c>
      <c r="G5080" s="28" t="s">
        <v>77</v>
      </c>
      <c r="I5080" s="26" t="s">
        <v>77</v>
      </c>
      <c r="J5080" s="26" t="s">
        <v>77</v>
      </c>
      <c r="K5080" s="18"/>
      <c r="L5080" s="26" t="s">
        <v>77</v>
      </c>
      <c r="M5080" s="6" t="s">
        <v>77</v>
      </c>
      <c r="N5080" s="28" t="s">
        <v>77</v>
      </c>
      <c r="O5080" s="26" t="s">
        <v>77</v>
      </c>
    </row>
    <row r="5081">
      <c r="A5081" s="52" t="s">
        <v>77</v>
      </c>
      <c r="B5081" s="28" t="s">
        <v>77</v>
      </c>
      <c r="C5081" s="28" t="s">
        <v>77</v>
      </c>
      <c r="D5081" s="28" t="s">
        <v>77</v>
      </c>
      <c r="E5081" s="28" t="s">
        <v>77</v>
      </c>
      <c r="F5081" s="28" t="s">
        <v>77</v>
      </c>
      <c r="G5081" s="28" t="s">
        <v>77</v>
      </c>
      <c r="I5081" s="26" t="s">
        <v>77</v>
      </c>
      <c r="J5081" s="26" t="s">
        <v>77</v>
      </c>
      <c r="K5081" s="18"/>
      <c r="L5081" s="26" t="s">
        <v>77</v>
      </c>
      <c r="M5081" s="6" t="s">
        <v>77</v>
      </c>
      <c r="N5081" s="28" t="s">
        <v>77</v>
      </c>
      <c r="O5081" s="26" t="s">
        <v>77</v>
      </c>
    </row>
    <row r="5082">
      <c r="A5082" s="52" t="s">
        <v>77</v>
      </c>
      <c r="B5082" s="28" t="s">
        <v>77</v>
      </c>
      <c r="C5082" s="28" t="s">
        <v>77</v>
      </c>
      <c r="D5082" s="28" t="s">
        <v>77</v>
      </c>
      <c r="E5082" s="28" t="s">
        <v>77</v>
      </c>
      <c r="F5082" s="28" t="s">
        <v>77</v>
      </c>
      <c r="G5082" s="28" t="s">
        <v>77</v>
      </c>
      <c r="I5082" s="26" t="s">
        <v>77</v>
      </c>
      <c r="J5082" s="26" t="s">
        <v>77</v>
      </c>
      <c r="K5082" s="18"/>
      <c r="L5082" s="26" t="s">
        <v>77</v>
      </c>
      <c r="M5082" s="6" t="s">
        <v>77</v>
      </c>
      <c r="N5082" s="28" t="s">
        <v>77</v>
      </c>
      <c r="O5082" s="26" t="s">
        <v>77</v>
      </c>
    </row>
    <row r="5083">
      <c r="A5083" s="52" t="s">
        <v>77</v>
      </c>
      <c r="B5083" s="28" t="s">
        <v>77</v>
      </c>
      <c r="C5083" s="28" t="s">
        <v>77</v>
      </c>
      <c r="D5083" s="28" t="s">
        <v>77</v>
      </c>
      <c r="E5083" s="28" t="s">
        <v>77</v>
      </c>
      <c r="F5083" s="28" t="s">
        <v>77</v>
      </c>
      <c r="G5083" s="28" t="s">
        <v>77</v>
      </c>
      <c r="I5083" s="26" t="s">
        <v>77</v>
      </c>
      <c r="J5083" s="26" t="s">
        <v>77</v>
      </c>
      <c r="K5083" s="18"/>
      <c r="L5083" s="26" t="s">
        <v>77</v>
      </c>
      <c r="M5083" s="6" t="s">
        <v>77</v>
      </c>
      <c r="N5083" s="28" t="s">
        <v>77</v>
      </c>
      <c r="O5083" s="26" t="s">
        <v>77</v>
      </c>
    </row>
    <row r="5084">
      <c r="A5084" s="52" t="s">
        <v>77</v>
      </c>
      <c r="B5084" s="28" t="s">
        <v>77</v>
      </c>
      <c r="C5084" s="28" t="s">
        <v>77</v>
      </c>
      <c r="D5084" s="28" t="s">
        <v>77</v>
      </c>
      <c r="E5084" s="28" t="s">
        <v>77</v>
      </c>
      <c r="F5084" s="28" t="s">
        <v>77</v>
      </c>
      <c r="G5084" s="28" t="s">
        <v>77</v>
      </c>
      <c r="I5084" s="26" t="s">
        <v>77</v>
      </c>
      <c r="J5084" s="26" t="s">
        <v>77</v>
      </c>
      <c r="K5084" s="18"/>
      <c r="L5084" s="26" t="s">
        <v>77</v>
      </c>
      <c r="M5084" s="6" t="s">
        <v>77</v>
      </c>
      <c r="N5084" s="28" t="s">
        <v>77</v>
      </c>
      <c r="O5084" s="26" t="s">
        <v>77</v>
      </c>
    </row>
    <row r="5085">
      <c r="A5085" s="52" t="s">
        <v>77</v>
      </c>
      <c r="B5085" s="28" t="s">
        <v>77</v>
      </c>
      <c r="C5085" s="28" t="s">
        <v>77</v>
      </c>
      <c r="D5085" s="28" t="s">
        <v>77</v>
      </c>
      <c r="E5085" s="28" t="s">
        <v>77</v>
      </c>
      <c r="F5085" s="28" t="s">
        <v>77</v>
      </c>
      <c r="G5085" s="28" t="s">
        <v>77</v>
      </c>
      <c r="I5085" s="26" t="s">
        <v>77</v>
      </c>
      <c r="J5085" s="26" t="s">
        <v>77</v>
      </c>
      <c r="K5085" s="18"/>
      <c r="L5085" s="26" t="s">
        <v>77</v>
      </c>
      <c r="M5085" s="6" t="s">
        <v>77</v>
      </c>
      <c r="N5085" s="28" t="s">
        <v>77</v>
      </c>
      <c r="O5085" s="26" t="s">
        <v>77</v>
      </c>
    </row>
    <row r="5086">
      <c r="A5086" s="52" t="s">
        <v>77</v>
      </c>
      <c r="B5086" s="28" t="s">
        <v>77</v>
      </c>
      <c r="C5086" s="28" t="s">
        <v>77</v>
      </c>
      <c r="D5086" s="28" t="s">
        <v>77</v>
      </c>
      <c r="E5086" s="28" t="s">
        <v>77</v>
      </c>
      <c r="F5086" s="28" t="s">
        <v>77</v>
      </c>
      <c r="G5086" s="28" t="s">
        <v>77</v>
      </c>
      <c r="I5086" s="26" t="s">
        <v>77</v>
      </c>
      <c r="J5086" s="26" t="s">
        <v>77</v>
      </c>
      <c r="K5086" s="18"/>
      <c r="L5086" s="26" t="s">
        <v>77</v>
      </c>
      <c r="M5086" s="6" t="s">
        <v>77</v>
      </c>
      <c r="N5086" s="28" t="s">
        <v>77</v>
      </c>
      <c r="O5086" s="26" t="s">
        <v>77</v>
      </c>
    </row>
    <row r="5087">
      <c r="A5087" s="52" t="s">
        <v>77</v>
      </c>
      <c r="B5087" s="28" t="s">
        <v>77</v>
      </c>
      <c r="C5087" s="28" t="s">
        <v>77</v>
      </c>
      <c r="D5087" s="28" t="s">
        <v>77</v>
      </c>
      <c r="E5087" s="28" t="s">
        <v>77</v>
      </c>
      <c r="F5087" s="28" t="s">
        <v>77</v>
      </c>
      <c r="G5087" s="28" t="s">
        <v>77</v>
      </c>
      <c r="I5087" s="26" t="s">
        <v>77</v>
      </c>
      <c r="J5087" s="26" t="s">
        <v>77</v>
      </c>
      <c r="K5087" s="18"/>
      <c r="L5087" s="26" t="s">
        <v>77</v>
      </c>
      <c r="M5087" s="6" t="s">
        <v>77</v>
      </c>
      <c r="N5087" s="28" t="s">
        <v>77</v>
      </c>
      <c r="O5087" s="26" t="s">
        <v>77</v>
      </c>
    </row>
    <row r="5088">
      <c r="A5088" s="52" t="s">
        <v>77</v>
      </c>
      <c r="B5088" s="28" t="s">
        <v>77</v>
      </c>
      <c r="C5088" s="28" t="s">
        <v>77</v>
      </c>
      <c r="D5088" s="28" t="s">
        <v>77</v>
      </c>
      <c r="E5088" s="28" t="s">
        <v>77</v>
      </c>
      <c r="F5088" s="28" t="s">
        <v>77</v>
      </c>
      <c r="G5088" s="28" t="s">
        <v>77</v>
      </c>
      <c r="I5088" s="26" t="s">
        <v>77</v>
      </c>
      <c r="J5088" s="26" t="s">
        <v>77</v>
      </c>
      <c r="K5088" s="18"/>
      <c r="L5088" s="26" t="s">
        <v>77</v>
      </c>
      <c r="M5088" s="6" t="s">
        <v>77</v>
      </c>
      <c r="N5088" s="28" t="s">
        <v>77</v>
      </c>
      <c r="O5088" s="26" t="s">
        <v>77</v>
      </c>
    </row>
    <row r="5089">
      <c r="A5089" s="52" t="s">
        <v>77</v>
      </c>
      <c r="B5089" s="28" t="s">
        <v>77</v>
      </c>
      <c r="C5089" s="28" t="s">
        <v>77</v>
      </c>
      <c r="D5089" s="28" t="s">
        <v>77</v>
      </c>
      <c r="E5089" s="28" t="s">
        <v>77</v>
      </c>
      <c r="F5089" s="28" t="s">
        <v>77</v>
      </c>
      <c r="G5089" s="28" t="s">
        <v>77</v>
      </c>
      <c r="I5089" s="26" t="s">
        <v>77</v>
      </c>
      <c r="J5089" s="26" t="s">
        <v>77</v>
      </c>
      <c r="K5089" s="18"/>
      <c r="L5089" s="26" t="s">
        <v>77</v>
      </c>
      <c r="M5089" s="6" t="s">
        <v>77</v>
      </c>
      <c r="N5089" s="28" t="s">
        <v>77</v>
      </c>
      <c r="O5089" s="26" t="s">
        <v>77</v>
      </c>
    </row>
    <row r="5090">
      <c r="A5090" s="52" t="s">
        <v>77</v>
      </c>
      <c r="B5090" s="28" t="s">
        <v>77</v>
      </c>
      <c r="C5090" s="28" t="s">
        <v>77</v>
      </c>
      <c r="D5090" s="28" t="s">
        <v>77</v>
      </c>
      <c r="E5090" s="28" t="s">
        <v>77</v>
      </c>
      <c r="F5090" s="28" t="s">
        <v>77</v>
      </c>
      <c r="G5090" s="28" t="s">
        <v>77</v>
      </c>
      <c r="I5090" s="26" t="s">
        <v>77</v>
      </c>
      <c r="J5090" s="26" t="s">
        <v>77</v>
      </c>
      <c r="K5090" s="18"/>
      <c r="L5090" s="26" t="s">
        <v>77</v>
      </c>
      <c r="M5090" s="6" t="s">
        <v>77</v>
      </c>
      <c r="N5090" s="28" t="s">
        <v>77</v>
      </c>
      <c r="O5090" s="26" t="s">
        <v>77</v>
      </c>
    </row>
    <row r="5091">
      <c r="A5091" s="52" t="s">
        <v>77</v>
      </c>
      <c r="B5091" s="28" t="s">
        <v>77</v>
      </c>
      <c r="C5091" s="28" t="s">
        <v>77</v>
      </c>
      <c r="D5091" s="28" t="s">
        <v>77</v>
      </c>
      <c r="E5091" s="28" t="s">
        <v>77</v>
      </c>
      <c r="F5091" s="28" t="s">
        <v>77</v>
      </c>
      <c r="G5091" s="28" t="s">
        <v>77</v>
      </c>
      <c r="I5091" s="26" t="s">
        <v>77</v>
      </c>
      <c r="J5091" s="26" t="s">
        <v>77</v>
      </c>
      <c r="K5091" s="18"/>
      <c r="L5091" s="26" t="s">
        <v>77</v>
      </c>
      <c r="M5091" s="6" t="s">
        <v>77</v>
      </c>
      <c r="N5091" s="28" t="s">
        <v>77</v>
      </c>
      <c r="O5091" s="26" t="s">
        <v>77</v>
      </c>
    </row>
    <row r="5092">
      <c r="A5092" s="52" t="s">
        <v>77</v>
      </c>
      <c r="B5092" s="28" t="s">
        <v>77</v>
      </c>
      <c r="C5092" s="28" t="s">
        <v>77</v>
      </c>
      <c r="D5092" s="28" t="s">
        <v>77</v>
      </c>
      <c r="E5092" s="28" t="s">
        <v>77</v>
      </c>
      <c r="F5092" s="28" t="s">
        <v>77</v>
      </c>
      <c r="G5092" s="28" t="s">
        <v>77</v>
      </c>
      <c r="I5092" s="26" t="s">
        <v>77</v>
      </c>
      <c r="J5092" s="26" t="s">
        <v>77</v>
      </c>
      <c r="K5092" s="18"/>
      <c r="L5092" s="26" t="s">
        <v>77</v>
      </c>
      <c r="M5092" s="6" t="s">
        <v>77</v>
      </c>
      <c r="N5092" s="28" t="s">
        <v>77</v>
      </c>
      <c r="O5092" s="26" t="s">
        <v>77</v>
      </c>
    </row>
    <row r="5093">
      <c r="A5093" s="52" t="s">
        <v>77</v>
      </c>
      <c r="B5093" s="28" t="s">
        <v>77</v>
      </c>
      <c r="C5093" s="28" t="s">
        <v>77</v>
      </c>
      <c r="D5093" s="28" t="s">
        <v>77</v>
      </c>
      <c r="E5093" s="28" t="s">
        <v>77</v>
      </c>
      <c r="F5093" s="28" t="s">
        <v>77</v>
      </c>
      <c r="G5093" s="28" t="s">
        <v>77</v>
      </c>
      <c r="I5093" s="26" t="s">
        <v>77</v>
      </c>
      <c r="J5093" s="26" t="s">
        <v>77</v>
      </c>
      <c r="K5093" s="18"/>
      <c r="L5093" s="26" t="s">
        <v>77</v>
      </c>
      <c r="M5093" s="6" t="s">
        <v>77</v>
      </c>
      <c r="N5093" s="28" t="s">
        <v>77</v>
      </c>
      <c r="O5093" s="26" t="s">
        <v>77</v>
      </c>
    </row>
    <row r="5094">
      <c r="A5094" s="52" t="s">
        <v>77</v>
      </c>
      <c r="B5094" s="28" t="s">
        <v>77</v>
      </c>
      <c r="C5094" s="28" t="s">
        <v>77</v>
      </c>
      <c r="D5094" s="28" t="s">
        <v>77</v>
      </c>
      <c r="E5094" s="28" t="s">
        <v>77</v>
      </c>
      <c r="F5094" s="28" t="s">
        <v>77</v>
      </c>
      <c r="G5094" s="28" t="s">
        <v>77</v>
      </c>
      <c r="I5094" s="26" t="s">
        <v>77</v>
      </c>
      <c r="J5094" s="26" t="s">
        <v>77</v>
      </c>
      <c r="K5094" s="18"/>
      <c r="L5094" s="26" t="s">
        <v>77</v>
      </c>
      <c r="M5094" s="6" t="s">
        <v>77</v>
      </c>
      <c r="N5094" s="28" t="s">
        <v>77</v>
      </c>
      <c r="O5094" s="26" t="s">
        <v>77</v>
      </c>
    </row>
    <row r="5095">
      <c r="A5095" s="52" t="s">
        <v>77</v>
      </c>
      <c r="B5095" s="28" t="s">
        <v>77</v>
      </c>
      <c r="C5095" s="28" t="s">
        <v>77</v>
      </c>
      <c r="D5095" s="28" t="s">
        <v>77</v>
      </c>
      <c r="E5095" s="28" t="s">
        <v>77</v>
      </c>
      <c r="F5095" s="28" t="s">
        <v>77</v>
      </c>
      <c r="G5095" s="28" t="s">
        <v>77</v>
      </c>
      <c r="I5095" s="26" t="s">
        <v>77</v>
      </c>
      <c r="J5095" s="26" t="s">
        <v>77</v>
      </c>
      <c r="K5095" s="18"/>
      <c r="L5095" s="26" t="s">
        <v>77</v>
      </c>
      <c r="M5095" s="6" t="s">
        <v>77</v>
      </c>
      <c r="N5095" s="28" t="s">
        <v>77</v>
      </c>
      <c r="O5095" s="26" t="s">
        <v>77</v>
      </c>
    </row>
    <row r="5096">
      <c r="A5096" s="52" t="s">
        <v>77</v>
      </c>
      <c r="B5096" s="28" t="s">
        <v>77</v>
      </c>
      <c r="C5096" s="28" t="s">
        <v>77</v>
      </c>
      <c r="D5096" s="28" t="s">
        <v>77</v>
      </c>
      <c r="E5096" s="28" t="s">
        <v>77</v>
      </c>
      <c r="F5096" s="28" t="s">
        <v>77</v>
      </c>
      <c r="G5096" s="28" t="s">
        <v>77</v>
      </c>
      <c r="I5096" s="26" t="s">
        <v>77</v>
      </c>
      <c r="J5096" s="26" t="s">
        <v>77</v>
      </c>
      <c r="K5096" s="18"/>
      <c r="L5096" s="26" t="s">
        <v>77</v>
      </c>
      <c r="M5096" s="6" t="s">
        <v>77</v>
      </c>
      <c r="N5096" s="28" t="s">
        <v>77</v>
      </c>
      <c r="O5096" s="26" t="s">
        <v>77</v>
      </c>
    </row>
    <row r="5097">
      <c r="A5097" s="52" t="s">
        <v>77</v>
      </c>
      <c r="B5097" s="28" t="s">
        <v>77</v>
      </c>
      <c r="C5097" s="28" t="s">
        <v>77</v>
      </c>
      <c r="D5097" s="28" t="s">
        <v>77</v>
      </c>
      <c r="E5097" s="28" t="s">
        <v>77</v>
      </c>
      <c r="F5097" s="28" t="s">
        <v>77</v>
      </c>
      <c r="G5097" s="28" t="s">
        <v>77</v>
      </c>
      <c r="I5097" s="26" t="s">
        <v>77</v>
      </c>
      <c r="J5097" s="26" t="s">
        <v>77</v>
      </c>
      <c r="K5097" s="18"/>
      <c r="L5097" s="26" t="s">
        <v>77</v>
      </c>
      <c r="M5097" s="6" t="s">
        <v>77</v>
      </c>
      <c r="N5097" s="28" t="s">
        <v>77</v>
      </c>
      <c r="O5097" s="26" t="s">
        <v>77</v>
      </c>
    </row>
    <row r="5098">
      <c r="A5098" s="52" t="s">
        <v>77</v>
      </c>
      <c r="B5098" s="28" t="s">
        <v>77</v>
      </c>
      <c r="C5098" s="28" t="s">
        <v>77</v>
      </c>
      <c r="D5098" s="28" t="s">
        <v>77</v>
      </c>
      <c r="E5098" s="28" t="s">
        <v>77</v>
      </c>
      <c r="F5098" s="28" t="s">
        <v>77</v>
      </c>
      <c r="G5098" s="28" t="s">
        <v>77</v>
      </c>
      <c r="I5098" s="26" t="s">
        <v>77</v>
      </c>
      <c r="J5098" s="26" t="s">
        <v>77</v>
      </c>
      <c r="K5098" s="18"/>
      <c r="L5098" s="26" t="s">
        <v>77</v>
      </c>
      <c r="M5098" s="6" t="s">
        <v>77</v>
      </c>
      <c r="N5098" s="28" t="s">
        <v>77</v>
      </c>
      <c r="O5098" s="26" t="s">
        <v>77</v>
      </c>
    </row>
    <row r="5099">
      <c r="A5099" s="52" t="s">
        <v>77</v>
      </c>
      <c r="B5099" s="28" t="s">
        <v>77</v>
      </c>
      <c r="C5099" s="28" t="s">
        <v>77</v>
      </c>
      <c r="D5099" s="28" t="s">
        <v>77</v>
      </c>
      <c r="E5099" s="28" t="s">
        <v>77</v>
      </c>
      <c r="F5099" s="28" t="s">
        <v>77</v>
      </c>
      <c r="G5099" s="28" t="s">
        <v>77</v>
      </c>
      <c r="I5099" s="26" t="s">
        <v>77</v>
      </c>
      <c r="J5099" s="26" t="s">
        <v>77</v>
      </c>
      <c r="K5099" s="18"/>
      <c r="L5099" s="26" t="s">
        <v>77</v>
      </c>
      <c r="M5099" s="6" t="s">
        <v>77</v>
      </c>
      <c r="N5099" s="28" t="s">
        <v>77</v>
      </c>
      <c r="O5099" s="26" t="s">
        <v>77</v>
      </c>
    </row>
    <row r="5100">
      <c r="A5100" s="52" t="s">
        <v>77</v>
      </c>
      <c r="B5100" s="28" t="s">
        <v>77</v>
      </c>
      <c r="C5100" s="28" t="s">
        <v>77</v>
      </c>
      <c r="D5100" s="28" t="s">
        <v>77</v>
      </c>
      <c r="E5100" s="28" t="s">
        <v>77</v>
      </c>
      <c r="F5100" s="28" t="s">
        <v>77</v>
      </c>
      <c r="G5100" s="28" t="s">
        <v>77</v>
      </c>
      <c r="I5100" s="26" t="s">
        <v>77</v>
      </c>
      <c r="J5100" s="26" t="s">
        <v>77</v>
      </c>
      <c r="K5100" s="18"/>
      <c r="L5100" s="26" t="s">
        <v>77</v>
      </c>
      <c r="M5100" s="6" t="s">
        <v>77</v>
      </c>
      <c r="N5100" s="28" t="s">
        <v>77</v>
      </c>
      <c r="O5100" s="26" t="s">
        <v>77</v>
      </c>
    </row>
    <row r="5101">
      <c r="A5101" s="52" t="s">
        <v>77</v>
      </c>
      <c r="B5101" s="28" t="s">
        <v>77</v>
      </c>
      <c r="C5101" s="28" t="s">
        <v>77</v>
      </c>
      <c r="D5101" s="28" t="s">
        <v>77</v>
      </c>
      <c r="E5101" s="28" t="s">
        <v>77</v>
      </c>
      <c r="F5101" s="28" t="s">
        <v>77</v>
      </c>
      <c r="G5101" s="28" t="s">
        <v>77</v>
      </c>
      <c r="I5101" s="26" t="s">
        <v>77</v>
      </c>
      <c r="J5101" s="26" t="s">
        <v>77</v>
      </c>
      <c r="K5101" s="18"/>
      <c r="L5101" s="26" t="s">
        <v>77</v>
      </c>
      <c r="M5101" s="6" t="s">
        <v>77</v>
      </c>
      <c r="N5101" s="28" t="s">
        <v>77</v>
      </c>
      <c r="O5101" s="26" t="s">
        <v>77</v>
      </c>
    </row>
    <row r="5102">
      <c r="A5102" s="52" t="s">
        <v>77</v>
      </c>
      <c r="B5102" s="28" t="s">
        <v>77</v>
      </c>
      <c r="C5102" s="28" t="s">
        <v>77</v>
      </c>
      <c r="D5102" s="28" t="s">
        <v>77</v>
      </c>
      <c r="E5102" s="28" t="s">
        <v>77</v>
      </c>
      <c r="F5102" s="28" t="s">
        <v>77</v>
      </c>
      <c r="G5102" s="28" t="s">
        <v>77</v>
      </c>
      <c r="I5102" s="26" t="s">
        <v>77</v>
      </c>
      <c r="J5102" s="26" t="s">
        <v>77</v>
      </c>
      <c r="K5102" s="18"/>
      <c r="L5102" s="26" t="s">
        <v>77</v>
      </c>
      <c r="M5102" s="6" t="s">
        <v>77</v>
      </c>
      <c r="N5102" s="28" t="s">
        <v>77</v>
      </c>
      <c r="O5102" s="26" t="s">
        <v>77</v>
      </c>
    </row>
    <row r="5103">
      <c r="A5103" s="52" t="s">
        <v>77</v>
      </c>
      <c r="B5103" s="28" t="s">
        <v>77</v>
      </c>
      <c r="C5103" s="28" t="s">
        <v>77</v>
      </c>
      <c r="D5103" s="28" t="s">
        <v>77</v>
      </c>
      <c r="E5103" s="28" t="s">
        <v>77</v>
      </c>
      <c r="F5103" s="28" t="s">
        <v>77</v>
      </c>
      <c r="G5103" s="28" t="s">
        <v>77</v>
      </c>
      <c r="I5103" s="26" t="s">
        <v>77</v>
      </c>
      <c r="J5103" s="26" t="s">
        <v>77</v>
      </c>
      <c r="K5103" s="18"/>
      <c r="L5103" s="26" t="s">
        <v>77</v>
      </c>
      <c r="M5103" s="6" t="s">
        <v>77</v>
      </c>
      <c r="N5103" s="28" t="s">
        <v>77</v>
      </c>
      <c r="O5103" s="26" t="s">
        <v>77</v>
      </c>
    </row>
    <row r="5104">
      <c r="A5104" s="52" t="s">
        <v>77</v>
      </c>
      <c r="B5104" s="28" t="s">
        <v>77</v>
      </c>
      <c r="C5104" s="28" t="s">
        <v>77</v>
      </c>
      <c r="D5104" s="28" t="s">
        <v>77</v>
      </c>
      <c r="E5104" s="28" t="s">
        <v>77</v>
      </c>
      <c r="F5104" s="28" t="s">
        <v>77</v>
      </c>
      <c r="G5104" s="28" t="s">
        <v>77</v>
      </c>
      <c r="I5104" s="26" t="s">
        <v>77</v>
      </c>
      <c r="J5104" s="26" t="s">
        <v>77</v>
      </c>
      <c r="K5104" s="18"/>
      <c r="L5104" s="26" t="s">
        <v>77</v>
      </c>
      <c r="M5104" s="6" t="s">
        <v>77</v>
      </c>
      <c r="N5104" s="28" t="s">
        <v>77</v>
      </c>
      <c r="O5104" s="26" t="s">
        <v>77</v>
      </c>
    </row>
    <row r="5105">
      <c r="A5105" s="52" t="s">
        <v>77</v>
      </c>
      <c r="B5105" s="28" t="s">
        <v>77</v>
      </c>
      <c r="C5105" s="28" t="s">
        <v>77</v>
      </c>
      <c r="D5105" s="28" t="s">
        <v>77</v>
      </c>
      <c r="E5105" s="28" t="s">
        <v>77</v>
      </c>
      <c r="F5105" s="28" t="s">
        <v>77</v>
      </c>
      <c r="G5105" s="28" t="s">
        <v>77</v>
      </c>
      <c r="I5105" s="26" t="s">
        <v>77</v>
      </c>
      <c r="J5105" s="26" t="s">
        <v>77</v>
      </c>
      <c r="K5105" s="18"/>
      <c r="L5105" s="26" t="s">
        <v>77</v>
      </c>
      <c r="M5105" s="6" t="s">
        <v>77</v>
      </c>
      <c r="N5105" s="28" t="s">
        <v>77</v>
      </c>
      <c r="O5105" s="26" t="s">
        <v>77</v>
      </c>
    </row>
    <row r="5106">
      <c r="A5106" s="52" t="s">
        <v>77</v>
      </c>
      <c r="B5106" s="28" t="s">
        <v>77</v>
      </c>
      <c r="C5106" s="28" t="s">
        <v>77</v>
      </c>
      <c r="D5106" s="28" t="s">
        <v>77</v>
      </c>
      <c r="E5106" s="28" t="s">
        <v>77</v>
      </c>
      <c r="F5106" s="28" t="s">
        <v>77</v>
      </c>
      <c r="G5106" s="28" t="s">
        <v>77</v>
      </c>
      <c r="I5106" s="26" t="s">
        <v>77</v>
      </c>
      <c r="J5106" s="26" t="s">
        <v>77</v>
      </c>
      <c r="K5106" s="18"/>
      <c r="L5106" s="26" t="s">
        <v>77</v>
      </c>
      <c r="M5106" s="6" t="s">
        <v>77</v>
      </c>
      <c r="N5106" s="28" t="s">
        <v>77</v>
      </c>
      <c r="O5106" s="26" t="s">
        <v>77</v>
      </c>
    </row>
    <row r="5107">
      <c r="A5107" s="52" t="s">
        <v>77</v>
      </c>
      <c r="B5107" s="28" t="s">
        <v>77</v>
      </c>
      <c r="C5107" s="28" t="s">
        <v>77</v>
      </c>
      <c r="D5107" s="28" t="s">
        <v>77</v>
      </c>
      <c r="E5107" s="28" t="s">
        <v>77</v>
      </c>
      <c r="F5107" s="28" t="s">
        <v>77</v>
      </c>
      <c r="G5107" s="28" t="s">
        <v>77</v>
      </c>
      <c r="I5107" s="26" t="s">
        <v>77</v>
      </c>
      <c r="J5107" s="26" t="s">
        <v>77</v>
      </c>
      <c r="K5107" s="18"/>
      <c r="L5107" s="26" t="s">
        <v>77</v>
      </c>
      <c r="M5107" s="6" t="s">
        <v>77</v>
      </c>
      <c r="N5107" s="28" t="s">
        <v>77</v>
      </c>
      <c r="O5107" s="26" t="s">
        <v>77</v>
      </c>
    </row>
    <row r="5108">
      <c r="A5108" s="52" t="s">
        <v>77</v>
      </c>
      <c r="B5108" s="28" t="s">
        <v>77</v>
      </c>
      <c r="C5108" s="28" t="s">
        <v>77</v>
      </c>
      <c r="D5108" s="28" t="s">
        <v>77</v>
      </c>
      <c r="E5108" s="28" t="s">
        <v>77</v>
      </c>
      <c r="F5108" s="28" t="s">
        <v>77</v>
      </c>
      <c r="G5108" s="28" t="s">
        <v>77</v>
      </c>
      <c r="I5108" s="26" t="s">
        <v>77</v>
      </c>
      <c r="J5108" s="26" t="s">
        <v>77</v>
      </c>
      <c r="K5108" s="18"/>
      <c r="L5108" s="26" t="s">
        <v>77</v>
      </c>
      <c r="M5108" s="6" t="s">
        <v>77</v>
      </c>
      <c r="N5108" s="28" t="s">
        <v>77</v>
      </c>
      <c r="O5108" s="26" t="s">
        <v>77</v>
      </c>
    </row>
    <row r="5109">
      <c r="A5109" s="52" t="s">
        <v>77</v>
      </c>
      <c r="B5109" s="28" t="s">
        <v>77</v>
      </c>
      <c r="C5109" s="28" t="s">
        <v>77</v>
      </c>
      <c r="D5109" s="28" t="s">
        <v>77</v>
      </c>
      <c r="E5109" s="28" t="s">
        <v>77</v>
      </c>
      <c r="F5109" s="28" t="s">
        <v>77</v>
      </c>
      <c r="G5109" s="28" t="s">
        <v>77</v>
      </c>
      <c r="I5109" s="26" t="s">
        <v>77</v>
      </c>
      <c r="J5109" s="26" t="s">
        <v>77</v>
      </c>
      <c r="K5109" s="18"/>
      <c r="L5109" s="26" t="s">
        <v>77</v>
      </c>
      <c r="M5109" s="6" t="s">
        <v>77</v>
      </c>
      <c r="N5109" s="28" t="s">
        <v>77</v>
      </c>
      <c r="O5109" s="26" t="s">
        <v>77</v>
      </c>
    </row>
    <row r="5110">
      <c r="A5110" s="52" t="s">
        <v>77</v>
      </c>
      <c r="B5110" s="28" t="s">
        <v>77</v>
      </c>
      <c r="C5110" s="28" t="s">
        <v>77</v>
      </c>
      <c r="D5110" s="28" t="s">
        <v>77</v>
      </c>
      <c r="E5110" s="28" t="s">
        <v>77</v>
      </c>
      <c r="F5110" s="28" t="s">
        <v>77</v>
      </c>
      <c r="G5110" s="28" t="s">
        <v>77</v>
      </c>
      <c r="I5110" s="26" t="s">
        <v>77</v>
      </c>
      <c r="J5110" s="26" t="s">
        <v>77</v>
      </c>
      <c r="K5110" s="18"/>
      <c r="L5110" s="26" t="s">
        <v>77</v>
      </c>
      <c r="M5110" s="6" t="s">
        <v>77</v>
      </c>
      <c r="N5110" s="28" t="s">
        <v>77</v>
      </c>
      <c r="O5110" s="26" t="s">
        <v>77</v>
      </c>
    </row>
    <row r="5111">
      <c r="A5111" s="52" t="s">
        <v>77</v>
      </c>
      <c r="B5111" s="28" t="s">
        <v>77</v>
      </c>
      <c r="C5111" s="28" t="s">
        <v>77</v>
      </c>
      <c r="D5111" s="28" t="s">
        <v>77</v>
      </c>
      <c r="E5111" s="28" t="s">
        <v>77</v>
      </c>
      <c r="F5111" s="28" t="s">
        <v>77</v>
      </c>
      <c r="G5111" s="28" t="s">
        <v>77</v>
      </c>
      <c r="I5111" s="26" t="s">
        <v>77</v>
      </c>
      <c r="J5111" s="26" t="s">
        <v>77</v>
      </c>
      <c r="K5111" s="18"/>
      <c r="L5111" s="26" t="s">
        <v>77</v>
      </c>
      <c r="M5111" s="6" t="s">
        <v>77</v>
      </c>
      <c r="N5111" s="28" t="s">
        <v>77</v>
      </c>
      <c r="O5111" s="26" t="s">
        <v>77</v>
      </c>
    </row>
    <row r="5112">
      <c r="A5112" s="52" t="s">
        <v>77</v>
      </c>
      <c r="B5112" s="28" t="s">
        <v>77</v>
      </c>
      <c r="C5112" s="28" t="s">
        <v>77</v>
      </c>
      <c r="D5112" s="28" t="s">
        <v>77</v>
      </c>
      <c r="E5112" s="28" t="s">
        <v>77</v>
      </c>
      <c r="F5112" s="28" t="s">
        <v>77</v>
      </c>
      <c r="G5112" s="28" t="s">
        <v>77</v>
      </c>
      <c r="I5112" s="26" t="s">
        <v>77</v>
      </c>
      <c r="J5112" s="26" t="s">
        <v>77</v>
      </c>
      <c r="K5112" s="18"/>
      <c r="L5112" s="26" t="s">
        <v>77</v>
      </c>
      <c r="M5112" s="6" t="s">
        <v>77</v>
      </c>
      <c r="N5112" s="28" t="s">
        <v>77</v>
      </c>
      <c r="O5112" s="26" t="s">
        <v>77</v>
      </c>
    </row>
    <row r="5113">
      <c r="A5113" s="52" t="s">
        <v>77</v>
      </c>
      <c r="B5113" s="28" t="s">
        <v>77</v>
      </c>
      <c r="C5113" s="28" t="s">
        <v>77</v>
      </c>
      <c r="D5113" s="28" t="s">
        <v>77</v>
      </c>
      <c r="E5113" s="28" t="s">
        <v>77</v>
      </c>
      <c r="F5113" s="28" t="s">
        <v>77</v>
      </c>
      <c r="G5113" s="28" t="s">
        <v>77</v>
      </c>
      <c r="I5113" s="26" t="s">
        <v>77</v>
      </c>
      <c r="J5113" s="26" t="s">
        <v>77</v>
      </c>
      <c r="K5113" s="18"/>
      <c r="L5113" s="26" t="s">
        <v>77</v>
      </c>
      <c r="M5113" s="6" t="s">
        <v>77</v>
      </c>
      <c r="N5113" s="28" t="s">
        <v>77</v>
      </c>
      <c r="O5113" s="26" t="s">
        <v>77</v>
      </c>
    </row>
    <row r="5114">
      <c r="A5114" s="52" t="s">
        <v>77</v>
      </c>
      <c r="B5114" s="28" t="s">
        <v>77</v>
      </c>
      <c r="C5114" s="28" t="s">
        <v>77</v>
      </c>
      <c r="D5114" s="28" t="s">
        <v>77</v>
      </c>
      <c r="E5114" s="28" t="s">
        <v>77</v>
      </c>
      <c r="F5114" s="28" t="s">
        <v>77</v>
      </c>
      <c r="G5114" s="28" t="s">
        <v>77</v>
      </c>
      <c r="I5114" s="26" t="s">
        <v>77</v>
      </c>
      <c r="J5114" s="26" t="s">
        <v>77</v>
      </c>
      <c r="K5114" s="18"/>
      <c r="L5114" s="26" t="s">
        <v>77</v>
      </c>
      <c r="M5114" s="6" t="s">
        <v>77</v>
      </c>
      <c r="N5114" s="28" t="s">
        <v>77</v>
      </c>
      <c r="O5114" s="26" t="s">
        <v>77</v>
      </c>
    </row>
    <row r="5115">
      <c r="A5115" s="52" t="s">
        <v>77</v>
      </c>
      <c r="B5115" s="28" t="s">
        <v>77</v>
      </c>
      <c r="C5115" s="28" t="s">
        <v>77</v>
      </c>
      <c r="D5115" s="28" t="s">
        <v>77</v>
      </c>
      <c r="E5115" s="28" t="s">
        <v>77</v>
      </c>
      <c r="F5115" s="28" t="s">
        <v>77</v>
      </c>
      <c r="G5115" s="28" t="s">
        <v>77</v>
      </c>
      <c r="I5115" s="26" t="s">
        <v>77</v>
      </c>
      <c r="J5115" s="26" t="s">
        <v>77</v>
      </c>
      <c r="K5115" s="18"/>
      <c r="L5115" s="26" t="s">
        <v>77</v>
      </c>
      <c r="M5115" s="6" t="s">
        <v>77</v>
      </c>
      <c r="N5115" s="28" t="s">
        <v>77</v>
      </c>
      <c r="O5115" s="26" t="s">
        <v>77</v>
      </c>
    </row>
    <row r="5116">
      <c r="A5116" s="52" t="s">
        <v>77</v>
      </c>
      <c r="B5116" s="28" t="s">
        <v>77</v>
      </c>
      <c r="C5116" s="28" t="s">
        <v>77</v>
      </c>
      <c r="D5116" s="28" t="s">
        <v>77</v>
      </c>
      <c r="E5116" s="28" t="s">
        <v>77</v>
      </c>
      <c r="F5116" s="28" t="s">
        <v>77</v>
      </c>
      <c r="G5116" s="28" t="s">
        <v>77</v>
      </c>
      <c r="I5116" s="26" t="s">
        <v>77</v>
      </c>
      <c r="J5116" s="26" t="s">
        <v>77</v>
      </c>
      <c r="K5116" s="18"/>
      <c r="L5116" s="26" t="s">
        <v>77</v>
      </c>
      <c r="M5116" s="6" t="s">
        <v>77</v>
      </c>
      <c r="N5116" s="28" t="s">
        <v>77</v>
      </c>
      <c r="O5116" s="26" t="s">
        <v>77</v>
      </c>
    </row>
    <row r="5117">
      <c r="A5117" s="52" t="s">
        <v>77</v>
      </c>
      <c r="B5117" s="28" t="s">
        <v>77</v>
      </c>
      <c r="C5117" s="28" t="s">
        <v>77</v>
      </c>
      <c r="D5117" s="28" t="s">
        <v>77</v>
      </c>
      <c r="E5117" s="28" t="s">
        <v>77</v>
      </c>
      <c r="F5117" s="28" t="s">
        <v>77</v>
      </c>
      <c r="G5117" s="28" t="s">
        <v>77</v>
      </c>
      <c r="I5117" s="26" t="s">
        <v>77</v>
      </c>
      <c r="J5117" s="26" t="s">
        <v>77</v>
      </c>
      <c r="K5117" s="18"/>
      <c r="L5117" s="26" t="s">
        <v>77</v>
      </c>
      <c r="M5117" s="6" t="s">
        <v>77</v>
      </c>
      <c r="N5117" s="28" t="s">
        <v>77</v>
      </c>
      <c r="O5117" s="26" t="s">
        <v>77</v>
      </c>
    </row>
    <row r="5118">
      <c r="A5118" s="52" t="s">
        <v>77</v>
      </c>
      <c r="B5118" s="28" t="s">
        <v>77</v>
      </c>
      <c r="C5118" s="28" t="s">
        <v>77</v>
      </c>
      <c r="D5118" s="28" t="s">
        <v>77</v>
      </c>
      <c r="E5118" s="28" t="s">
        <v>77</v>
      </c>
      <c r="F5118" s="28" t="s">
        <v>77</v>
      </c>
      <c r="G5118" s="28" t="s">
        <v>77</v>
      </c>
      <c r="I5118" s="26" t="s">
        <v>77</v>
      </c>
      <c r="J5118" s="26" t="s">
        <v>77</v>
      </c>
      <c r="K5118" s="18"/>
      <c r="L5118" s="26" t="s">
        <v>77</v>
      </c>
      <c r="M5118" s="6" t="s">
        <v>77</v>
      </c>
      <c r="N5118" s="28" t="s">
        <v>77</v>
      </c>
      <c r="O5118" s="26" t="s">
        <v>77</v>
      </c>
    </row>
    <row r="5119">
      <c r="A5119" s="52" t="s">
        <v>77</v>
      </c>
      <c r="B5119" s="28" t="s">
        <v>77</v>
      </c>
      <c r="C5119" s="28" t="s">
        <v>77</v>
      </c>
      <c r="D5119" s="28" t="s">
        <v>77</v>
      </c>
      <c r="E5119" s="28" t="s">
        <v>77</v>
      </c>
      <c r="F5119" s="28" t="s">
        <v>77</v>
      </c>
      <c r="G5119" s="28" t="s">
        <v>77</v>
      </c>
      <c r="I5119" s="26" t="s">
        <v>77</v>
      </c>
      <c r="J5119" s="26" t="s">
        <v>77</v>
      </c>
      <c r="K5119" s="18"/>
      <c r="L5119" s="26" t="s">
        <v>77</v>
      </c>
      <c r="M5119" s="6" t="s">
        <v>77</v>
      </c>
      <c r="N5119" s="28" t="s">
        <v>77</v>
      </c>
      <c r="O5119" s="26" t="s">
        <v>77</v>
      </c>
    </row>
    <row r="5120">
      <c r="A5120" s="52" t="s">
        <v>77</v>
      </c>
      <c r="B5120" s="28" t="s">
        <v>77</v>
      </c>
      <c r="C5120" s="28" t="s">
        <v>77</v>
      </c>
      <c r="D5120" s="28" t="s">
        <v>77</v>
      </c>
      <c r="E5120" s="28" t="s">
        <v>77</v>
      </c>
      <c r="F5120" s="28" t="s">
        <v>77</v>
      </c>
      <c r="G5120" s="28" t="s">
        <v>77</v>
      </c>
      <c r="I5120" s="26" t="s">
        <v>77</v>
      </c>
      <c r="J5120" s="26" t="s">
        <v>77</v>
      </c>
      <c r="K5120" s="18"/>
      <c r="L5120" s="26" t="s">
        <v>77</v>
      </c>
      <c r="M5120" s="6" t="s">
        <v>77</v>
      </c>
      <c r="N5120" s="28" t="s">
        <v>77</v>
      </c>
      <c r="O5120" s="26" t="s">
        <v>77</v>
      </c>
    </row>
    <row r="5121">
      <c r="A5121" s="52" t="s">
        <v>77</v>
      </c>
      <c r="B5121" s="28" t="s">
        <v>77</v>
      </c>
      <c r="C5121" s="28" t="s">
        <v>77</v>
      </c>
      <c r="D5121" s="28" t="s">
        <v>77</v>
      </c>
      <c r="E5121" s="28" t="s">
        <v>77</v>
      </c>
      <c r="F5121" s="28" t="s">
        <v>77</v>
      </c>
      <c r="G5121" s="28" t="s">
        <v>77</v>
      </c>
      <c r="I5121" s="26" t="s">
        <v>77</v>
      </c>
      <c r="J5121" s="26" t="s">
        <v>77</v>
      </c>
      <c r="K5121" s="18"/>
      <c r="L5121" s="26" t="s">
        <v>77</v>
      </c>
      <c r="M5121" s="6" t="s">
        <v>77</v>
      </c>
      <c r="N5121" s="28" t="s">
        <v>77</v>
      </c>
      <c r="O5121" s="26" t="s">
        <v>77</v>
      </c>
    </row>
    <row r="5122">
      <c r="A5122" s="52" t="s">
        <v>77</v>
      </c>
      <c r="B5122" s="28" t="s">
        <v>77</v>
      </c>
      <c r="C5122" s="28" t="s">
        <v>77</v>
      </c>
      <c r="D5122" s="28" t="s">
        <v>77</v>
      </c>
      <c r="E5122" s="28" t="s">
        <v>77</v>
      </c>
      <c r="F5122" s="28" t="s">
        <v>77</v>
      </c>
      <c r="G5122" s="28" t="s">
        <v>77</v>
      </c>
      <c r="I5122" s="26" t="s">
        <v>77</v>
      </c>
      <c r="J5122" s="26" t="s">
        <v>77</v>
      </c>
      <c r="K5122" s="18"/>
      <c r="L5122" s="26" t="s">
        <v>77</v>
      </c>
      <c r="M5122" s="6" t="s">
        <v>77</v>
      </c>
      <c r="N5122" s="28" t="s">
        <v>77</v>
      </c>
      <c r="O5122" s="26" t="s">
        <v>77</v>
      </c>
    </row>
    <row r="5123">
      <c r="A5123" s="52" t="s">
        <v>77</v>
      </c>
      <c r="B5123" s="28" t="s">
        <v>77</v>
      </c>
      <c r="C5123" s="28" t="s">
        <v>77</v>
      </c>
      <c r="D5123" s="28" t="s">
        <v>77</v>
      </c>
      <c r="E5123" s="28" t="s">
        <v>77</v>
      </c>
      <c r="F5123" s="28" t="s">
        <v>77</v>
      </c>
      <c r="G5123" s="28" t="s">
        <v>77</v>
      </c>
      <c r="I5123" s="26" t="s">
        <v>77</v>
      </c>
      <c r="J5123" s="26" t="s">
        <v>77</v>
      </c>
      <c r="K5123" s="18"/>
      <c r="L5123" s="26" t="s">
        <v>77</v>
      </c>
      <c r="M5123" s="6" t="s">
        <v>77</v>
      </c>
      <c r="N5123" s="28" t="s">
        <v>77</v>
      </c>
      <c r="O5123" s="26" t="s">
        <v>77</v>
      </c>
    </row>
    <row r="5124">
      <c r="A5124" s="52" t="s">
        <v>77</v>
      </c>
      <c r="B5124" s="28" t="s">
        <v>77</v>
      </c>
      <c r="C5124" s="28" t="s">
        <v>77</v>
      </c>
      <c r="D5124" s="28" t="s">
        <v>77</v>
      </c>
      <c r="E5124" s="28" t="s">
        <v>77</v>
      </c>
      <c r="F5124" s="28" t="s">
        <v>77</v>
      </c>
      <c r="G5124" s="28" t="s">
        <v>77</v>
      </c>
      <c r="I5124" s="26" t="s">
        <v>77</v>
      </c>
      <c r="J5124" s="26" t="s">
        <v>77</v>
      </c>
      <c r="K5124" s="18"/>
      <c r="L5124" s="26" t="s">
        <v>77</v>
      </c>
      <c r="M5124" s="6" t="s">
        <v>77</v>
      </c>
      <c r="N5124" s="28" t="s">
        <v>77</v>
      </c>
      <c r="O5124" s="26" t="s">
        <v>77</v>
      </c>
    </row>
    <row r="5125">
      <c r="A5125" s="52" t="s">
        <v>77</v>
      </c>
      <c r="B5125" s="28" t="s">
        <v>77</v>
      </c>
      <c r="C5125" s="28" t="s">
        <v>77</v>
      </c>
      <c r="D5125" s="28" t="s">
        <v>77</v>
      </c>
      <c r="E5125" s="28" t="s">
        <v>77</v>
      </c>
      <c r="F5125" s="28" t="s">
        <v>77</v>
      </c>
      <c r="G5125" s="28" t="s">
        <v>77</v>
      </c>
      <c r="I5125" s="26" t="s">
        <v>77</v>
      </c>
      <c r="J5125" s="26" t="s">
        <v>77</v>
      </c>
      <c r="K5125" s="18"/>
      <c r="L5125" s="26" t="s">
        <v>77</v>
      </c>
      <c r="M5125" s="6" t="s">
        <v>77</v>
      </c>
      <c r="N5125" s="28" t="s">
        <v>77</v>
      </c>
      <c r="O5125" s="26" t="s">
        <v>77</v>
      </c>
    </row>
    <row r="5126">
      <c r="A5126" s="52" t="s">
        <v>77</v>
      </c>
      <c r="B5126" s="28" t="s">
        <v>77</v>
      </c>
      <c r="C5126" s="28" t="s">
        <v>77</v>
      </c>
      <c r="D5126" s="28" t="s">
        <v>77</v>
      </c>
      <c r="E5126" s="28" t="s">
        <v>77</v>
      </c>
      <c r="F5126" s="28" t="s">
        <v>77</v>
      </c>
      <c r="G5126" s="28" t="s">
        <v>77</v>
      </c>
      <c r="I5126" s="26" t="s">
        <v>77</v>
      </c>
      <c r="J5126" s="26" t="s">
        <v>77</v>
      </c>
      <c r="K5126" s="18"/>
      <c r="L5126" s="26" t="s">
        <v>77</v>
      </c>
      <c r="M5126" s="6" t="s">
        <v>77</v>
      </c>
      <c r="N5126" s="28" t="s">
        <v>77</v>
      </c>
      <c r="O5126" s="26" t="s">
        <v>77</v>
      </c>
    </row>
    <row r="5127">
      <c r="A5127" s="52" t="s">
        <v>77</v>
      </c>
      <c r="B5127" s="28" t="s">
        <v>77</v>
      </c>
      <c r="C5127" s="28" t="s">
        <v>77</v>
      </c>
      <c r="D5127" s="28" t="s">
        <v>77</v>
      </c>
      <c r="E5127" s="28" t="s">
        <v>77</v>
      </c>
      <c r="F5127" s="28" t="s">
        <v>77</v>
      </c>
      <c r="G5127" s="28" t="s">
        <v>77</v>
      </c>
      <c r="I5127" s="26" t="s">
        <v>77</v>
      </c>
      <c r="J5127" s="26" t="s">
        <v>77</v>
      </c>
      <c r="K5127" s="18"/>
      <c r="L5127" s="26" t="s">
        <v>77</v>
      </c>
      <c r="M5127" s="6" t="s">
        <v>77</v>
      </c>
      <c r="N5127" s="28" t="s">
        <v>77</v>
      </c>
      <c r="O5127" s="26" t="s">
        <v>77</v>
      </c>
    </row>
    <row r="5128">
      <c r="A5128" s="52" t="s">
        <v>77</v>
      </c>
      <c r="B5128" s="28" t="s">
        <v>77</v>
      </c>
      <c r="C5128" s="28" t="s">
        <v>77</v>
      </c>
      <c r="D5128" s="28" t="s">
        <v>77</v>
      </c>
      <c r="E5128" s="28" t="s">
        <v>77</v>
      </c>
      <c r="F5128" s="28" t="s">
        <v>77</v>
      </c>
      <c r="G5128" s="28" t="s">
        <v>77</v>
      </c>
      <c r="I5128" s="26" t="s">
        <v>77</v>
      </c>
      <c r="J5128" s="26" t="s">
        <v>77</v>
      </c>
      <c r="K5128" s="18"/>
      <c r="L5128" s="26" t="s">
        <v>77</v>
      </c>
      <c r="M5128" s="6" t="s">
        <v>77</v>
      </c>
      <c r="N5128" s="28" t="s">
        <v>77</v>
      </c>
      <c r="O5128" s="26" t="s">
        <v>77</v>
      </c>
    </row>
    <row r="5129">
      <c r="A5129" s="52" t="s">
        <v>77</v>
      </c>
      <c r="B5129" s="28" t="s">
        <v>77</v>
      </c>
      <c r="C5129" s="28" t="s">
        <v>77</v>
      </c>
      <c r="D5129" s="28" t="s">
        <v>77</v>
      </c>
      <c r="E5129" s="28" t="s">
        <v>77</v>
      </c>
      <c r="F5129" s="28" t="s">
        <v>77</v>
      </c>
      <c r="G5129" s="28" t="s">
        <v>77</v>
      </c>
      <c r="I5129" s="26" t="s">
        <v>77</v>
      </c>
      <c r="J5129" s="26" t="s">
        <v>77</v>
      </c>
      <c r="K5129" s="18"/>
      <c r="L5129" s="26" t="s">
        <v>77</v>
      </c>
      <c r="M5129" s="6" t="s">
        <v>77</v>
      </c>
      <c r="N5129" s="28" t="s">
        <v>77</v>
      </c>
      <c r="O5129" s="26" t="s">
        <v>77</v>
      </c>
    </row>
    <row r="5130">
      <c r="A5130" s="52" t="s">
        <v>77</v>
      </c>
      <c r="B5130" s="28" t="s">
        <v>77</v>
      </c>
      <c r="C5130" s="28" t="s">
        <v>77</v>
      </c>
      <c r="D5130" s="28" t="s">
        <v>77</v>
      </c>
      <c r="E5130" s="28" t="s">
        <v>77</v>
      </c>
      <c r="F5130" s="28" t="s">
        <v>77</v>
      </c>
      <c r="G5130" s="28" t="s">
        <v>77</v>
      </c>
      <c r="I5130" s="26" t="s">
        <v>77</v>
      </c>
      <c r="J5130" s="26" t="s">
        <v>77</v>
      </c>
      <c r="K5130" s="18"/>
      <c r="L5130" s="26" t="s">
        <v>77</v>
      </c>
      <c r="M5130" s="6" t="s">
        <v>77</v>
      </c>
      <c r="N5130" s="28" t="s">
        <v>77</v>
      </c>
      <c r="O5130" s="26" t="s">
        <v>77</v>
      </c>
    </row>
    <row r="5131">
      <c r="A5131" s="52" t="s">
        <v>77</v>
      </c>
      <c r="B5131" s="28" t="s">
        <v>77</v>
      </c>
      <c r="C5131" s="28" t="s">
        <v>77</v>
      </c>
      <c r="D5131" s="28" t="s">
        <v>77</v>
      </c>
      <c r="E5131" s="28" t="s">
        <v>77</v>
      </c>
      <c r="F5131" s="28" t="s">
        <v>77</v>
      </c>
      <c r="G5131" s="28" t="s">
        <v>77</v>
      </c>
      <c r="I5131" s="26" t="s">
        <v>77</v>
      </c>
      <c r="J5131" s="26" t="s">
        <v>77</v>
      </c>
      <c r="K5131" s="18"/>
      <c r="L5131" s="26" t="s">
        <v>77</v>
      </c>
      <c r="M5131" s="6" t="s">
        <v>77</v>
      </c>
      <c r="N5131" s="28" t="s">
        <v>77</v>
      </c>
      <c r="O5131" s="26" t="s">
        <v>77</v>
      </c>
    </row>
    <row r="5132">
      <c r="A5132" s="52" t="s">
        <v>77</v>
      </c>
      <c r="B5132" s="28" t="s">
        <v>77</v>
      </c>
      <c r="C5132" s="28" t="s">
        <v>77</v>
      </c>
      <c r="D5132" s="28" t="s">
        <v>77</v>
      </c>
      <c r="E5132" s="28" t="s">
        <v>77</v>
      </c>
      <c r="F5132" s="28" t="s">
        <v>77</v>
      </c>
      <c r="G5132" s="28" t="s">
        <v>77</v>
      </c>
      <c r="I5132" s="26" t="s">
        <v>77</v>
      </c>
      <c r="J5132" s="26" t="s">
        <v>77</v>
      </c>
      <c r="K5132" s="18"/>
      <c r="L5132" s="26" t="s">
        <v>77</v>
      </c>
      <c r="M5132" s="6" t="s">
        <v>77</v>
      </c>
      <c r="N5132" s="28" t="s">
        <v>77</v>
      </c>
      <c r="O5132" s="26" t="s">
        <v>77</v>
      </c>
    </row>
    <row r="5133">
      <c r="A5133" s="52" t="s">
        <v>77</v>
      </c>
      <c r="B5133" s="28" t="s">
        <v>77</v>
      </c>
      <c r="C5133" s="28" t="s">
        <v>77</v>
      </c>
      <c r="D5133" s="28" t="s">
        <v>77</v>
      </c>
      <c r="E5133" s="28" t="s">
        <v>77</v>
      </c>
      <c r="F5133" s="28" t="s">
        <v>77</v>
      </c>
      <c r="G5133" s="28" t="s">
        <v>77</v>
      </c>
      <c r="I5133" s="26" t="s">
        <v>77</v>
      </c>
      <c r="J5133" s="26" t="s">
        <v>77</v>
      </c>
      <c r="K5133" s="18"/>
      <c r="L5133" s="26" t="s">
        <v>77</v>
      </c>
      <c r="M5133" s="6" t="s">
        <v>77</v>
      </c>
      <c r="N5133" s="28" t="s">
        <v>77</v>
      </c>
      <c r="O5133" s="26" t="s">
        <v>77</v>
      </c>
    </row>
    <row r="5134">
      <c r="A5134" s="52" t="s">
        <v>77</v>
      </c>
      <c r="B5134" s="28" t="s">
        <v>77</v>
      </c>
      <c r="C5134" s="28" t="s">
        <v>77</v>
      </c>
      <c r="D5134" s="28" t="s">
        <v>77</v>
      </c>
      <c r="E5134" s="28" t="s">
        <v>77</v>
      </c>
      <c r="F5134" s="28" t="s">
        <v>77</v>
      </c>
      <c r="G5134" s="28" t="s">
        <v>77</v>
      </c>
      <c r="I5134" s="26" t="s">
        <v>77</v>
      </c>
      <c r="J5134" s="26" t="s">
        <v>77</v>
      </c>
      <c r="K5134" s="18"/>
      <c r="L5134" s="26" t="s">
        <v>77</v>
      </c>
      <c r="M5134" s="6" t="s">
        <v>77</v>
      </c>
      <c r="N5134" s="28" t="s">
        <v>77</v>
      </c>
      <c r="O5134" s="26" t="s">
        <v>77</v>
      </c>
    </row>
    <row r="5135">
      <c r="A5135" s="52" t="s">
        <v>77</v>
      </c>
      <c r="B5135" s="28" t="s">
        <v>77</v>
      </c>
      <c r="C5135" s="28" t="s">
        <v>77</v>
      </c>
      <c r="D5135" s="28" t="s">
        <v>77</v>
      </c>
      <c r="E5135" s="28" t="s">
        <v>77</v>
      </c>
      <c r="F5135" s="28" t="s">
        <v>77</v>
      </c>
      <c r="G5135" s="28" t="s">
        <v>77</v>
      </c>
      <c r="I5135" s="26" t="s">
        <v>77</v>
      </c>
      <c r="J5135" s="26" t="s">
        <v>77</v>
      </c>
      <c r="K5135" s="18"/>
      <c r="L5135" s="26" t="s">
        <v>77</v>
      </c>
      <c r="M5135" s="6" t="s">
        <v>77</v>
      </c>
      <c r="N5135" s="28" t="s">
        <v>77</v>
      </c>
      <c r="O5135" s="26" t="s">
        <v>77</v>
      </c>
    </row>
    <row r="5136">
      <c r="A5136" s="52" t="s">
        <v>77</v>
      </c>
      <c r="B5136" s="28" t="s">
        <v>77</v>
      </c>
      <c r="C5136" s="28" t="s">
        <v>77</v>
      </c>
      <c r="D5136" s="28" t="s">
        <v>77</v>
      </c>
      <c r="E5136" s="28" t="s">
        <v>77</v>
      </c>
      <c r="F5136" s="28" t="s">
        <v>77</v>
      </c>
      <c r="G5136" s="28" t="s">
        <v>77</v>
      </c>
      <c r="I5136" s="26" t="s">
        <v>77</v>
      </c>
      <c r="J5136" s="26" t="s">
        <v>77</v>
      </c>
      <c r="K5136" s="18"/>
      <c r="L5136" s="26" t="s">
        <v>77</v>
      </c>
      <c r="M5136" s="6" t="s">
        <v>77</v>
      </c>
      <c r="N5136" s="28" t="s">
        <v>77</v>
      </c>
      <c r="O5136" s="26" t="s">
        <v>77</v>
      </c>
    </row>
    <row r="5137">
      <c r="A5137" s="52" t="s">
        <v>77</v>
      </c>
      <c r="B5137" s="28" t="s">
        <v>77</v>
      </c>
      <c r="C5137" s="28" t="s">
        <v>77</v>
      </c>
      <c r="D5137" s="28" t="s">
        <v>77</v>
      </c>
      <c r="E5137" s="28" t="s">
        <v>77</v>
      </c>
      <c r="F5137" s="28" t="s">
        <v>77</v>
      </c>
      <c r="G5137" s="28" t="s">
        <v>77</v>
      </c>
      <c r="I5137" s="26" t="s">
        <v>77</v>
      </c>
      <c r="J5137" s="26" t="s">
        <v>77</v>
      </c>
      <c r="K5137" s="18"/>
      <c r="L5137" s="26" t="s">
        <v>77</v>
      </c>
      <c r="M5137" s="6" t="s">
        <v>77</v>
      </c>
      <c r="N5137" s="28" t="s">
        <v>77</v>
      </c>
      <c r="O5137" s="26" t="s">
        <v>77</v>
      </c>
    </row>
    <row r="5138">
      <c r="A5138" s="52" t="s">
        <v>77</v>
      </c>
      <c r="B5138" s="28" t="s">
        <v>77</v>
      </c>
      <c r="C5138" s="28" t="s">
        <v>77</v>
      </c>
      <c r="D5138" s="28" t="s">
        <v>77</v>
      </c>
      <c r="E5138" s="28" t="s">
        <v>77</v>
      </c>
      <c r="F5138" s="28" t="s">
        <v>77</v>
      </c>
      <c r="G5138" s="28" t="s">
        <v>77</v>
      </c>
      <c r="I5138" s="26" t="s">
        <v>77</v>
      </c>
      <c r="J5138" s="26" t="s">
        <v>77</v>
      </c>
      <c r="K5138" s="18"/>
      <c r="L5138" s="26" t="s">
        <v>77</v>
      </c>
      <c r="M5138" s="6" t="s">
        <v>77</v>
      </c>
      <c r="N5138" s="28" t="s">
        <v>77</v>
      </c>
      <c r="O5138" s="26" t="s">
        <v>77</v>
      </c>
    </row>
    <row r="5139">
      <c r="A5139" s="52" t="s">
        <v>77</v>
      </c>
      <c r="B5139" s="28" t="s">
        <v>77</v>
      </c>
      <c r="C5139" s="28" t="s">
        <v>77</v>
      </c>
      <c r="D5139" s="28" t="s">
        <v>77</v>
      </c>
      <c r="E5139" s="28" t="s">
        <v>77</v>
      </c>
      <c r="F5139" s="28" t="s">
        <v>77</v>
      </c>
      <c r="G5139" s="28" t="s">
        <v>77</v>
      </c>
      <c r="I5139" s="26" t="s">
        <v>77</v>
      </c>
      <c r="J5139" s="26" t="s">
        <v>77</v>
      </c>
      <c r="K5139" s="18"/>
      <c r="L5139" s="26" t="s">
        <v>77</v>
      </c>
      <c r="M5139" s="6" t="s">
        <v>77</v>
      </c>
      <c r="N5139" s="28" t="s">
        <v>77</v>
      </c>
      <c r="O5139" s="26" t="s">
        <v>77</v>
      </c>
    </row>
    <row r="5140">
      <c r="A5140" s="52" t="s">
        <v>77</v>
      </c>
      <c r="B5140" s="28" t="s">
        <v>77</v>
      </c>
      <c r="C5140" s="28" t="s">
        <v>77</v>
      </c>
      <c r="D5140" s="28" t="s">
        <v>77</v>
      </c>
      <c r="E5140" s="28" t="s">
        <v>77</v>
      </c>
      <c r="F5140" s="28" t="s">
        <v>77</v>
      </c>
      <c r="G5140" s="28" t="s">
        <v>77</v>
      </c>
      <c r="I5140" s="26" t="s">
        <v>77</v>
      </c>
      <c r="J5140" s="26" t="s">
        <v>77</v>
      </c>
      <c r="K5140" s="18"/>
      <c r="L5140" s="26" t="s">
        <v>77</v>
      </c>
      <c r="M5140" s="6" t="s">
        <v>77</v>
      </c>
      <c r="N5140" s="28" t="s">
        <v>77</v>
      </c>
      <c r="O5140" s="26" t="s">
        <v>77</v>
      </c>
    </row>
    <row r="5141">
      <c r="A5141" s="52" t="s">
        <v>77</v>
      </c>
      <c r="B5141" s="28" t="s">
        <v>77</v>
      </c>
      <c r="C5141" s="28" t="s">
        <v>77</v>
      </c>
      <c r="D5141" s="28" t="s">
        <v>77</v>
      </c>
      <c r="E5141" s="28" t="s">
        <v>77</v>
      </c>
      <c r="F5141" s="28" t="s">
        <v>77</v>
      </c>
      <c r="G5141" s="28" t="s">
        <v>77</v>
      </c>
      <c r="I5141" s="26" t="s">
        <v>77</v>
      </c>
      <c r="J5141" s="26" t="s">
        <v>77</v>
      </c>
      <c r="K5141" s="18"/>
      <c r="L5141" s="26" t="s">
        <v>77</v>
      </c>
      <c r="M5141" s="6" t="s">
        <v>77</v>
      </c>
      <c r="N5141" s="28" t="s">
        <v>77</v>
      </c>
      <c r="O5141" s="26" t="s">
        <v>77</v>
      </c>
    </row>
    <row r="5142">
      <c r="A5142" s="52" t="s">
        <v>77</v>
      </c>
      <c r="B5142" s="28" t="s">
        <v>77</v>
      </c>
      <c r="C5142" s="28" t="s">
        <v>77</v>
      </c>
      <c r="D5142" s="28" t="s">
        <v>77</v>
      </c>
      <c r="E5142" s="28" t="s">
        <v>77</v>
      </c>
      <c r="F5142" s="28" t="s">
        <v>77</v>
      </c>
      <c r="G5142" s="28" t="s">
        <v>77</v>
      </c>
      <c r="I5142" s="26" t="s">
        <v>77</v>
      </c>
      <c r="J5142" s="26" t="s">
        <v>77</v>
      </c>
      <c r="K5142" s="18"/>
      <c r="L5142" s="26" t="s">
        <v>77</v>
      </c>
      <c r="M5142" s="6" t="s">
        <v>77</v>
      </c>
      <c r="N5142" s="28" t="s">
        <v>77</v>
      </c>
      <c r="O5142" s="26" t="s">
        <v>77</v>
      </c>
    </row>
    <row r="5143">
      <c r="A5143" s="52" t="s">
        <v>77</v>
      </c>
      <c r="B5143" s="28" t="s">
        <v>77</v>
      </c>
      <c r="C5143" s="28" t="s">
        <v>77</v>
      </c>
      <c r="D5143" s="28" t="s">
        <v>77</v>
      </c>
      <c r="E5143" s="28" t="s">
        <v>77</v>
      </c>
      <c r="F5143" s="28" t="s">
        <v>77</v>
      </c>
      <c r="G5143" s="28" t="s">
        <v>77</v>
      </c>
      <c r="I5143" s="26" t="s">
        <v>77</v>
      </c>
      <c r="J5143" s="26" t="s">
        <v>77</v>
      </c>
      <c r="K5143" s="18"/>
      <c r="L5143" s="26" t="s">
        <v>77</v>
      </c>
      <c r="M5143" s="6" t="s">
        <v>77</v>
      </c>
      <c r="N5143" s="28" t="s">
        <v>77</v>
      </c>
      <c r="O5143" s="26" t="s">
        <v>77</v>
      </c>
    </row>
    <row r="5144">
      <c r="A5144" s="52" t="s">
        <v>77</v>
      </c>
      <c r="B5144" s="28" t="s">
        <v>77</v>
      </c>
      <c r="C5144" s="28" t="s">
        <v>77</v>
      </c>
      <c r="D5144" s="28" t="s">
        <v>77</v>
      </c>
      <c r="E5144" s="28" t="s">
        <v>77</v>
      </c>
      <c r="F5144" s="28" t="s">
        <v>77</v>
      </c>
      <c r="G5144" s="28" t="s">
        <v>77</v>
      </c>
      <c r="I5144" s="26" t="s">
        <v>77</v>
      </c>
      <c r="J5144" s="26" t="s">
        <v>77</v>
      </c>
      <c r="K5144" s="18"/>
      <c r="L5144" s="26" t="s">
        <v>77</v>
      </c>
      <c r="M5144" s="6" t="s">
        <v>77</v>
      </c>
      <c r="N5144" s="28" t="s">
        <v>77</v>
      </c>
      <c r="O5144" s="26" t="s">
        <v>77</v>
      </c>
    </row>
    <row r="5145">
      <c r="A5145" s="52" t="s">
        <v>77</v>
      </c>
      <c r="B5145" s="28" t="s">
        <v>77</v>
      </c>
      <c r="C5145" s="28" t="s">
        <v>77</v>
      </c>
      <c r="D5145" s="28" t="s">
        <v>77</v>
      </c>
      <c r="E5145" s="28" t="s">
        <v>77</v>
      </c>
      <c r="F5145" s="28" t="s">
        <v>77</v>
      </c>
      <c r="G5145" s="28" t="s">
        <v>77</v>
      </c>
      <c r="I5145" s="26" t="s">
        <v>77</v>
      </c>
      <c r="J5145" s="26" t="s">
        <v>77</v>
      </c>
      <c r="K5145" s="18"/>
      <c r="L5145" s="26" t="s">
        <v>77</v>
      </c>
      <c r="M5145" s="6" t="s">
        <v>77</v>
      </c>
      <c r="N5145" s="28" t="s">
        <v>77</v>
      </c>
      <c r="O5145" s="26" t="s">
        <v>77</v>
      </c>
    </row>
    <row r="5146">
      <c r="A5146" s="52" t="s">
        <v>77</v>
      </c>
      <c r="B5146" s="28" t="s">
        <v>77</v>
      </c>
      <c r="C5146" s="28" t="s">
        <v>77</v>
      </c>
      <c r="D5146" s="28" t="s">
        <v>77</v>
      </c>
      <c r="E5146" s="28" t="s">
        <v>77</v>
      </c>
      <c r="F5146" s="28" t="s">
        <v>77</v>
      </c>
      <c r="G5146" s="28" t="s">
        <v>77</v>
      </c>
      <c r="I5146" s="26" t="s">
        <v>77</v>
      </c>
      <c r="J5146" s="26" t="s">
        <v>77</v>
      </c>
      <c r="K5146" s="18"/>
      <c r="L5146" s="26" t="s">
        <v>77</v>
      </c>
      <c r="M5146" s="6" t="s">
        <v>77</v>
      </c>
      <c r="N5146" s="28" t="s">
        <v>77</v>
      </c>
      <c r="O5146" s="26" t="s">
        <v>77</v>
      </c>
    </row>
    <row r="5147">
      <c r="A5147" s="52" t="s">
        <v>77</v>
      </c>
      <c r="B5147" s="28" t="s">
        <v>77</v>
      </c>
      <c r="C5147" s="28" t="s">
        <v>77</v>
      </c>
      <c r="D5147" s="28" t="s">
        <v>77</v>
      </c>
      <c r="E5147" s="28" t="s">
        <v>77</v>
      </c>
      <c r="F5147" s="28" t="s">
        <v>77</v>
      </c>
      <c r="G5147" s="28" t="s">
        <v>77</v>
      </c>
      <c r="I5147" s="26" t="s">
        <v>77</v>
      </c>
      <c r="J5147" s="26" t="s">
        <v>77</v>
      </c>
      <c r="K5147" s="18"/>
      <c r="L5147" s="26" t="s">
        <v>77</v>
      </c>
      <c r="M5147" s="6" t="s">
        <v>77</v>
      </c>
      <c r="N5147" s="28" t="s">
        <v>77</v>
      </c>
      <c r="O5147" s="26" t="s">
        <v>77</v>
      </c>
    </row>
    <row r="5148">
      <c r="A5148" s="52" t="s">
        <v>77</v>
      </c>
      <c r="B5148" s="28" t="s">
        <v>77</v>
      </c>
      <c r="C5148" s="28" t="s">
        <v>77</v>
      </c>
      <c r="D5148" s="28" t="s">
        <v>77</v>
      </c>
      <c r="E5148" s="28" t="s">
        <v>77</v>
      </c>
      <c r="F5148" s="28" t="s">
        <v>77</v>
      </c>
      <c r="G5148" s="28" t="s">
        <v>77</v>
      </c>
      <c r="I5148" s="26" t="s">
        <v>77</v>
      </c>
      <c r="J5148" s="26" t="s">
        <v>77</v>
      </c>
      <c r="K5148" s="18"/>
      <c r="L5148" s="26" t="s">
        <v>77</v>
      </c>
      <c r="M5148" s="6" t="s">
        <v>77</v>
      </c>
      <c r="N5148" s="28" t="s">
        <v>77</v>
      </c>
      <c r="O5148" s="26" t="s">
        <v>77</v>
      </c>
    </row>
    <row r="5149">
      <c r="A5149" s="52" t="s">
        <v>77</v>
      </c>
      <c r="B5149" s="28" t="s">
        <v>77</v>
      </c>
      <c r="C5149" s="28" t="s">
        <v>77</v>
      </c>
      <c r="D5149" s="28" t="s">
        <v>77</v>
      </c>
      <c r="E5149" s="28" t="s">
        <v>77</v>
      </c>
      <c r="F5149" s="28" t="s">
        <v>77</v>
      </c>
      <c r="G5149" s="28" t="s">
        <v>77</v>
      </c>
      <c r="I5149" s="26" t="s">
        <v>77</v>
      </c>
      <c r="J5149" s="26" t="s">
        <v>77</v>
      </c>
      <c r="K5149" s="18"/>
      <c r="L5149" s="26" t="s">
        <v>77</v>
      </c>
      <c r="M5149" s="6" t="s">
        <v>77</v>
      </c>
      <c r="N5149" s="28" t="s">
        <v>77</v>
      </c>
      <c r="O5149" s="26" t="s">
        <v>77</v>
      </c>
    </row>
    <row r="5150">
      <c r="A5150" s="52" t="s">
        <v>77</v>
      </c>
      <c r="B5150" s="28" t="s">
        <v>77</v>
      </c>
      <c r="C5150" s="28" t="s">
        <v>77</v>
      </c>
      <c r="D5150" s="28" t="s">
        <v>77</v>
      </c>
      <c r="E5150" s="28" t="s">
        <v>77</v>
      </c>
      <c r="F5150" s="28" t="s">
        <v>77</v>
      </c>
      <c r="G5150" s="28" t="s">
        <v>77</v>
      </c>
      <c r="I5150" s="26" t="s">
        <v>77</v>
      </c>
      <c r="J5150" s="26" t="s">
        <v>77</v>
      </c>
      <c r="K5150" s="18"/>
      <c r="L5150" s="26" t="s">
        <v>77</v>
      </c>
      <c r="M5150" s="6" t="s">
        <v>77</v>
      </c>
      <c r="N5150" s="28" t="s">
        <v>77</v>
      </c>
      <c r="O5150" s="26" t="s">
        <v>77</v>
      </c>
    </row>
    <row r="5151">
      <c r="A5151" s="52" t="s">
        <v>77</v>
      </c>
      <c r="B5151" s="28" t="s">
        <v>77</v>
      </c>
      <c r="C5151" s="28" t="s">
        <v>77</v>
      </c>
      <c r="D5151" s="28" t="s">
        <v>77</v>
      </c>
      <c r="E5151" s="28" t="s">
        <v>77</v>
      </c>
      <c r="F5151" s="28" t="s">
        <v>77</v>
      </c>
      <c r="G5151" s="28" t="s">
        <v>77</v>
      </c>
      <c r="I5151" s="26" t="s">
        <v>77</v>
      </c>
      <c r="J5151" s="26" t="s">
        <v>77</v>
      </c>
      <c r="K5151" s="18"/>
      <c r="L5151" s="26" t="s">
        <v>77</v>
      </c>
      <c r="M5151" s="6" t="s">
        <v>77</v>
      </c>
      <c r="N5151" s="28" t="s">
        <v>77</v>
      </c>
      <c r="O5151" s="26" t="s">
        <v>77</v>
      </c>
    </row>
    <row r="5152">
      <c r="A5152" s="52" t="s">
        <v>77</v>
      </c>
      <c r="B5152" s="28" t="s">
        <v>77</v>
      </c>
      <c r="C5152" s="28" t="s">
        <v>77</v>
      </c>
      <c r="D5152" s="28" t="s">
        <v>77</v>
      </c>
      <c r="E5152" s="28" t="s">
        <v>77</v>
      </c>
      <c r="F5152" s="28" t="s">
        <v>77</v>
      </c>
      <c r="G5152" s="28" t="s">
        <v>77</v>
      </c>
      <c r="I5152" s="26" t="s">
        <v>77</v>
      </c>
      <c r="J5152" s="26" t="s">
        <v>77</v>
      </c>
      <c r="K5152" s="18"/>
      <c r="L5152" s="26" t="s">
        <v>77</v>
      </c>
      <c r="M5152" s="6" t="s">
        <v>77</v>
      </c>
      <c r="N5152" s="28" t="s">
        <v>77</v>
      </c>
      <c r="O5152" s="26" t="s">
        <v>77</v>
      </c>
    </row>
    <row r="5153">
      <c r="A5153" s="52" t="s">
        <v>77</v>
      </c>
      <c r="B5153" s="28" t="s">
        <v>77</v>
      </c>
      <c r="C5153" s="28" t="s">
        <v>77</v>
      </c>
      <c r="D5153" s="28" t="s">
        <v>77</v>
      </c>
      <c r="E5153" s="28" t="s">
        <v>77</v>
      </c>
      <c r="F5153" s="28" t="s">
        <v>77</v>
      </c>
      <c r="G5153" s="28" t="s">
        <v>77</v>
      </c>
      <c r="I5153" s="26" t="s">
        <v>77</v>
      </c>
      <c r="J5153" s="26" t="s">
        <v>77</v>
      </c>
      <c r="K5153" s="18"/>
      <c r="L5153" s="26" t="s">
        <v>77</v>
      </c>
      <c r="M5153" s="6" t="s">
        <v>77</v>
      </c>
      <c r="N5153" s="28" t="s">
        <v>77</v>
      </c>
      <c r="O5153" s="26" t="s">
        <v>77</v>
      </c>
    </row>
    <row r="5154">
      <c r="A5154" s="52" t="s">
        <v>77</v>
      </c>
      <c r="B5154" s="28" t="s">
        <v>77</v>
      </c>
      <c r="C5154" s="28" t="s">
        <v>77</v>
      </c>
      <c r="D5154" s="28" t="s">
        <v>77</v>
      </c>
      <c r="E5154" s="28" t="s">
        <v>77</v>
      </c>
      <c r="F5154" s="28" t="s">
        <v>77</v>
      </c>
      <c r="G5154" s="28" t="s">
        <v>77</v>
      </c>
      <c r="I5154" s="26" t="s">
        <v>77</v>
      </c>
      <c r="J5154" s="26" t="s">
        <v>77</v>
      </c>
      <c r="K5154" s="18"/>
      <c r="L5154" s="26" t="s">
        <v>77</v>
      </c>
      <c r="M5154" s="6" t="s">
        <v>77</v>
      </c>
      <c r="N5154" s="28" t="s">
        <v>77</v>
      </c>
      <c r="O5154" s="26" t="s">
        <v>77</v>
      </c>
    </row>
    <row r="5155">
      <c r="A5155" s="52" t="s">
        <v>77</v>
      </c>
      <c r="B5155" s="28" t="s">
        <v>77</v>
      </c>
      <c r="C5155" s="28" t="s">
        <v>77</v>
      </c>
      <c r="D5155" s="28" t="s">
        <v>77</v>
      </c>
      <c r="E5155" s="28" t="s">
        <v>77</v>
      </c>
      <c r="F5155" s="28" t="s">
        <v>77</v>
      </c>
      <c r="G5155" s="28" t="s">
        <v>77</v>
      </c>
      <c r="I5155" s="26" t="s">
        <v>77</v>
      </c>
      <c r="J5155" s="26" t="s">
        <v>77</v>
      </c>
      <c r="K5155" s="18"/>
      <c r="L5155" s="26" t="s">
        <v>77</v>
      </c>
      <c r="M5155" s="6" t="s">
        <v>77</v>
      </c>
      <c r="N5155" s="28" t="s">
        <v>77</v>
      </c>
      <c r="O5155" s="26" t="s">
        <v>77</v>
      </c>
    </row>
    <row r="5156">
      <c r="A5156" s="52" t="s">
        <v>77</v>
      </c>
      <c r="B5156" s="28" t="s">
        <v>77</v>
      </c>
      <c r="C5156" s="28" t="s">
        <v>77</v>
      </c>
      <c r="D5156" s="28" t="s">
        <v>77</v>
      </c>
      <c r="E5156" s="28" t="s">
        <v>77</v>
      </c>
      <c r="F5156" s="28" t="s">
        <v>77</v>
      </c>
      <c r="G5156" s="28" t="s">
        <v>77</v>
      </c>
      <c r="I5156" s="26" t="s">
        <v>77</v>
      </c>
      <c r="J5156" s="26" t="s">
        <v>77</v>
      </c>
      <c r="K5156" s="18"/>
      <c r="L5156" s="26" t="s">
        <v>77</v>
      </c>
      <c r="M5156" s="6" t="s">
        <v>77</v>
      </c>
      <c r="N5156" s="28" t="s">
        <v>77</v>
      </c>
      <c r="O5156" s="26" t="s">
        <v>77</v>
      </c>
    </row>
    <row r="5157">
      <c r="A5157" s="52" t="s">
        <v>77</v>
      </c>
      <c r="B5157" s="28" t="s">
        <v>77</v>
      </c>
      <c r="C5157" s="28" t="s">
        <v>77</v>
      </c>
      <c r="D5157" s="28" t="s">
        <v>77</v>
      </c>
      <c r="E5157" s="28" t="s">
        <v>77</v>
      </c>
      <c r="F5157" s="28" t="s">
        <v>77</v>
      </c>
      <c r="G5157" s="28" t="s">
        <v>77</v>
      </c>
      <c r="I5157" s="26" t="s">
        <v>77</v>
      </c>
      <c r="J5157" s="26" t="s">
        <v>77</v>
      </c>
      <c r="K5157" s="18"/>
      <c r="L5157" s="26" t="s">
        <v>77</v>
      </c>
      <c r="M5157" s="6" t="s">
        <v>77</v>
      </c>
      <c r="N5157" s="28" t="s">
        <v>77</v>
      </c>
      <c r="O5157" s="26" t="s">
        <v>77</v>
      </c>
    </row>
    <row r="5158">
      <c r="A5158" s="52" t="s">
        <v>77</v>
      </c>
      <c r="B5158" s="28" t="s">
        <v>77</v>
      </c>
      <c r="C5158" s="28" t="s">
        <v>77</v>
      </c>
      <c r="D5158" s="28" t="s">
        <v>77</v>
      </c>
      <c r="E5158" s="28" t="s">
        <v>77</v>
      </c>
      <c r="F5158" s="28" t="s">
        <v>77</v>
      </c>
      <c r="G5158" s="28" t="s">
        <v>77</v>
      </c>
      <c r="I5158" s="26" t="s">
        <v>77</v>
      </c>
      <c r="J5158" s="26" t="s">
        <v>77</v>
      </c>
      <c r="K5158" s="18"/>
      <c r="L5158" s="26" t="s">
        <v>77</v>
      </c>
      <c r="M5158" s="6" t="s">
        <v>77</v>
      </c>
      <c r="N5158" s="28" t="s">
        <v>77</v>
      </c>
      <c r="O5158" s="26" t="s">
        <v>77</v>
      </c>
    </row>
    <row r="5159">
      <c r="A5159" s="52" t="s">
        <v>77</v>
      </c>
      <c r="B5159" s="28" t="s">
        <v>77</v>
      </c>
      <c r="C5159" s="28" t="s">
        <v>77</v>
      </c>
      <c r="D5159" s="28" t="s">
        <v>77</v>
      </c>
      <c r="E5159" s="28" t="s">
        <v>77</v>
      </c>
      <c r="F5159" s="28" t="s">
        <v>77</v>
      </c>
      <c r="G5159" s="28" t="s">
        <v>77</v>
      </c>
      <c r="I5159" s="26" t="s">
        <v>77</v>
      </c>
      <c r="J5159" s="26" t="s">
        <v>77</v>
      </c>
      <c r="K5159" s="18"/>
      <c r="L5159" s="26" t="s">
        <v>77</v>
      </c>
      <c r="M5159" s="6" t="s">
        <v>77</v>
      </c>
      <c r="N5159" s="28" t="s">
        <v>77</v>
      </c>
      <c r="O5159" s="26" t="s">
        <v>77</v>
      </c>
    </row>
    <row r="5160">
      <c r="A5160" s="52" t="s">
        <v>77</v>
      </c>
      <c r="B5160" s="28" t="s">
        <v>77</v>
      </c>
      <c r="C5160" s="28" t="s">
        <v>77</v>
      </c>
      <c r="D5160" s="28" t="s">
        <v>77</v>
      </c>
      <c r="E5160" s="28" t="s">
        <v>77</v>
      </c>
      <c r="F5160" s="28" t="s">
        <v>77</v>
      </c>
      <c r="G5160" s="28" t="s">
        <v>77</v>
      </c>
      <c r="I5160" s="26" t="s">
        <v>77</v>
      </c>
      <c r="J5160" s="26" t="s">
        <v>77</v>
      </c>
      <c r="K5160" s="18"/>
      <c r="L5160" s="26" t="s">
        <v>77</v>
      </c>
      <c r="M5160" s="6" t="s">
        <v>77</v>
      </c>
      <c r="N5160" s="28" t="s">
        <v>77</v>
      </c>
      <c r="O5160" s="26" t="s">
        <v>77</v>
      </c>
    </row>
    <row r="5161">
      <c r="A5161" s="52" t="s">
        <v>77</v>
      </c>
      <c r="B5161" s="28" t="s">
        <v>77</v>
      </c>
      <c r="C5161" s="28" t="s">
        <v>77</v>
      </c>
      <c r="D5161" s="28" t="s">
        <v>77</v>
      </c>
      <c r="E5161" s="28" t="s">
        <v>77</v>
      </c>
      <c r="F5161" s="28" t="s">
        <v>77</v>
      </c>
      <c r="G5161" s="28" t="s">
        <v>77</v>
      </c>
      <c r="I5161" s="26" t="s">
        <v>77</v>
      </c>
      <c r="J5161" s="26" t="s">
        <v>77</v>
      </c>
      <c r="K5161" s="18"/>
      <c r="L5161" s="26" t="s">
        <v>77</v>
      </c>
      <c r="M5161" s="6" t="s">
        <v>77</v>
      </c>
      <c r="N5161" s="28" t="s">
        <v>77</v>
      </c>
      <c r="O5161" s="26" t="s">
        <v>77</v>
      </c>
    </row>
    <row r="5162">
      <c r="A5162" s="52" t="s">
        <v>77</v>
      </c>
      <c r="B5162" s="28" t="s">
        <v>77</v>
      </c>
      <c r="C5162" s="28" t="s">
        <v>77</v>
      </c>
      <c r="D5162" s="28" t="s">
        <v>77</v>
      </c>
      <c r="E5162" s="28" t="s">
        <v>77</v>
      </c>
      <c r="F5162" s="28" t="s">
        <v>77</v>
      </c>
      <c r="G5162" s="28" t="s">
        <v>77</v>
      </c>
      <c r="I5162" s="26" t="s">
        <v>77</v>
      </c>
      <c r="J5162" s="26" t="s">
        <v>77</v>
      </c>
      <c r="K5162" s="18"/>
      <c r="L5162" s="26" t="s">
        <v>77</v>
      </c>
      <c r="M5162" s="6" t="s">
        <v>77</v>
      </c>
      <c r="N5162" s="28" t="s">
        <v>77</v>
      </c>
      <c r="O5162" s="26" t="s">
        <v>77</v>
      </c>
    </row>
    <row r="5163">
      <c r="A5163" s="52" t="s">
        <v>77</v>
      </c>
      <c r="B5163" s="28" t="s">
        <v>77</v>
      </c>
      <c r="C5163" s="28" t="s">
        <v>77</v>
      </c>
      <c r="D5163" s="28" t="s">
        <v>77</v>
      </c>
      <c r="E5163" s="28" t="s">
        <v>77</v>
      </c>
      <c r="F5163" s="28" t="s">
        <v>77</v>
      </c>
      <c r="G5163" s="28" t="s">
        <v>77</v>
      </c>
      <c r="I5163" s="26" t="s">
        <v>77</v>
      </c>
      <c r="J5163" s="26" t="s">
        <v>77</v>
      </c>
      <c r="K5163" s="18"/>
      <c r="L5163" s="26" t="s">
        <v>77</v>
      </c>
      <c r="M5163" s="6" t="s">
        <v>77</v>
      </c>
      <c r="N5163" s="28" t="s">
        <v>77</v>
      </c>
      <c r="O5163" s="26" t="s">
        <v>77</v>
      </c>
    </row>
    <row r="5164">
      <c r="A5164" s="52" t="s">
        <v>77</v>
      </c>
      <c r="B5164" s="28" t="s">
        <v>77</v>
      </c>
      <c r="C5164" s="28" t="s">
        <v>77</v>
      </c>
      <c r="D5164" s="28" t="s">
        <v>77</v>
      </c>
      <c r="E5164" s="28" t="s">
        <v>77</v>
      </c>
      <c r="F5164" s="28" t="s">
        <v>77</v>
      </c>
      <c r="G5164" s="28" t="s">
        <v>77</v>
      </c>
      <c r="I5164" s="26" t="s">
        <v>77</v>
      </c>
      <c r="J5164" s="26" t="s">
        <v>77</v>
      </c>
      <c r="K5164" s="18"/>
      <c r="L5164" s="26" t="s">
        <v>77</v>
      </c>
      <c r="M5164" s="6" t="s">
        <v>77</v>
      </c>
      <c r="N5164" s="28" t="s">
        <v>77</v>
      </c>
      <c r="O5164" s="26" t="s">
        <v>77</v>
      </c>
    </row>
    <row r="5165">
      <c r="A5165" s="52" t="s">
        <v>77</v>
      </c>
      <c r="B5165" s="28" t="s">
        <v>77</v>
      </c>
      <c r="C5165" s="28" t="s">
        <v>77</v>
      </c>
      <c r="D5165" s="28" t="s">
        <v>77</v>
      </c>
      <c r="E5165" s="28" t="s">
        <v>77</v>
      </c>
      <c r="F5165" s="28" t="s">
        <v>77</v>
      </c>
      <c r="G5165" s="28" t="s">
        <v>77</v>
      </c>
      <c r="I5165" s="26" t="s">
        <v>77</v>
      </c>
      <c r="J5165" s="26" t="s">
        <v>77</v>
      </c>
      <c r="K5165" s="18"/>
      <c r="L5165" s="26" t="s">
        <v>77</v>
      </c>
      <c r="M5165" s="6" t="s">
        <v>77</v>
      </c>
      <c r="N5165" s="28" t="s">
        <v>77</v>
      </c>
      <c r="O5165" s="26" t="s">
        <v>77</v>
      </c>
    </row>
    <row r="5166">
      <c r="A5166" s="52" t="s">
        <v>77</v>
      </c>
      <c r="B5166" s="28" t="s">
        <v>77</v>
      </c>
      <c r="C5166" s="28" t="s">
        <v>77</v>
      </c>
      <c r="D5166" s="28" t="s">
        <v>77</v>
      </c>
      <c r="E5166" s="28" t="s">
        <v>77</v>
      </c>
      <c r="F5166" s="28" t="s">
        <v>77</v>
      </c>
      <c r="G5166" s="28" t="s">
        <v>77</v>
      </c>
      <c r="I5166" s="26" t="s">
        <v>77</v>
      </c>
      <c r="J5166" s="26" t="s">
        <v>77</v>
      </c>
      <c r="K5166" s="18"/>
      <c r="L5166" s="26" t="s">
        <v>77</v>
      </c>
      <c r="M5166" s="6" t="s">
        <v>77</v>
      </c>
      <c r="N5166" s="28" t="s">
        <v>77</v>
      </c>
      <c r="O5166" s="26" t="s">
        <v>77</v>
      </c>
    </row>
    <row r="5167">
      <c r="A5167" s="52" t="s">
        <v>77</v>
      </c>
      <c r="B5167" s="28" t="s">
        <v>77</v>
      </c>
      <c r="C5167" s="28" t="s">
        <v>77</v>
      </c>
      <c r="D5167" s="28" t="s">
        <v>77</v>
      </c>
      <c r="E5167" s="28" t="s">
        <v>77</v>
      </c>
      <c r="F5167" s="28" t="s">
        <v>77</v>
      </c>
      <c r="G5167" s="28" t="s">
        <v>77</v>
      </c>
      <c r="I5167" s="26" t="s">
        <v>77</v>
      </c>
      <c r="J5167" s="26" t="s">
        <v>77</v>
      </c>
      <c r="K5167" s="18"/>
      <c r="L5167" s="26" t="s">
        <v>77</v>
      </c>
      <c r="M5167" s="6" t="s">
        <v>77</v>
      </c>
      <c r="N5167" s="28" t="s">
        <v>77</v>
      </c>
      <c r="O5167" s="26" t="s">
        <v>77</v>
      </c>
    </row>
    <row r="5168">
      <c r="A5168" s="52" t="s">
        <v>77</v>
      </c>
      <c r="B5168" s="28" t="s">
        <v>77</v>
      </c>
      <c r="C5168" s="28" t="s">
        <v>77</v>
      </c>
      <c r="D5168" s="28" t="s">
        <v>77</v>
      </c>
      <c r="E5168" s="28" t="s">
        <v>77</v>
      </c>
      <c r="F5168" s="28" t="s">
        <v>77</v>
      </c>
      <c r="G5168" s="28" t="s">
        <v>77</v>
      </c>
      <c r="I5168" s="26" t="s">
        <v>77</v>
      </c>
      <c r="J5168" s="26" t="s">
        <v>77</v>
      </c>
      <c r="K5168" s="18"/>
      <c r="L5168" s="26" t="s">
        <v>77</v>
      </c>
      <c r="M5168" s="6" t="s">
        <v>77</v>
      </c>
      <c r="N5168" s="28" t="s">
        <v>77</v>
      </c>
      <c r="O5168" s="26" t="s">
        <v>77</v>
      </c>
    </row>
    <row r="5169">
      <c r="A5169" s="52" t="s">
        <v>77</v>
      </c>
      <c r="B5169" s="28" t="s">
        <v>77</v>
      </c>
      <c r="C5169" s="28" t="s">
        <v>77</v>
      </c>
      <c r="D5169" s="28" t="s">
        <v>77</v>
      </c>
      <c r="E5169" s="28" t="s">
        <v>77</v>
      </c>
      <c r="F5169" s="28" t="s">
        <v>77</v>
      </c>
      <c r="G5169" s="28" t="s">
        <v>77</v>
      </c>
      <c r="I5169" s="26" t="s">
        <v>77</v>
      </c>
      <c r="J5169" s="26" t="s">
        <v>77</v>
      </c>
      <c r="K5169" s="18"/>
      <c r="L5169" s="26" t="s">
        <v>77</v>
      </c>
      <c r="M5169" s="6" t="s">
        <v>77</v>
      </c>
      <c r="N5169" s="28" t="s">
        <v>77</v>
      </c>
      <c r="O5169" s="26" t="s">
        <v>77</v>
      </c>
    </row>
    <row r="5170">
      <c r="A5170" s="52" t="s">
        <v>77</v>
      </c>
      <c r="B5170" s="28" t="s">
        <v>77</v>
      </c>
      <c r="C5170" s="28" t="s">
        <v>77</v>
      </c>
      <c r="D5170" s="28" t="s">
        <v>77</v>
      </c>
      <c r="E5170" s="28" t="s">
        <v>77</v>
      </c>
      <c r="F5170" s="28" t="s">
        <v>77</v>
      </c>
      <c r="G5170" s="28" t="s">
        <v>77</v>
      </c>
      <c r="I5170" s="26" t="s">
        <v>77</v>
      </c>
      <c r="J5170" s="26" t="s">
        <v>77</v>
      </c>
      <c r="K5170" s="18"/>
      <c r="L5170" s="26" t="s">
        <v>77</v>
      </c>
      <c r="M5170" s="6" t="s">
        <v>77</v>
      </c>
      <c r="N5170" s="28" t="s">
        <v>77</v>
      </c>
      <c r="O5170" s="26" t="s">
        <v>77</v>
      </c>
    </row>
    <row r="5171">
      <c r="A5171" s="52" t="s">
        <v>77</v>
      </c>
      <c r="B5171" s="28" t="s">
        <v>77</v>
      </c>
      <c r="C5171" s="28" t="s">
        <v>77</v>
      </c>
      <c r="D5171" s="28" t="s">
        <v>77</v>
      </c>
      <c r="E5171" s="28" t="s">
        <v>77</v>
      </c>
      <c r="F5171" s="28" t="s">
        <v>77</v>
      </c>
      <c r="G5171" s="28" t="s">
        <v>77</v>
      </c>
      <c r="I5171" s="26" t="s">
        <v>77</v>
      </c>
      <c r="J5171" s="26" t="s">
        <v>77</v>
      </c>
      <c r="K5171" s="18"/>
      <c r="L5171" s="26" t="s">
        <v>77</v>
      </c>
      <c r="M5171" s="6" t="s">
        <v>77</v>
      </c>
      <c r="N5171" s="28" t="s">
        <v>77</v>
      </c>
      <c r="O5171" s="26" t="s">
        <v>77</v>
      </c>
    </row>
    <row r="5172">
      <c r="A5172" s="52" t="s">
        <v>77</v>
      </c>
      <c r="B5172" s="28" t="s">
        <v>77</v>
      </c>
      <c r="C5172" s="28" t="s">
        <v>77</v>
      </c>
      <c r="D5172" s="28" t="s">
        <v>77</v>
      </c>
      <c r="E5172" s="28" t="s">
        <v>77</v>
      </c>
      <c r="F5172" s="28" t="s">
        <v>77</v>
      </c>
      <c r="G5172" s="28" t="s">
        <v>77</v>
      </c>
      <c r="I5172" s="26" t="s">
        <v>77</v>
      </c>
      <c r="J5172" s="26" t="s">
        <v>77</v>
      </c>
      <c r="K5172" s="18"/>
      <c r="L5172" s="26" t="s">
        <v>77</v>
      </c>
      <c r="M5172" s="6" t="s">
        <v>77</v>
      </c>
      <c r="N5172" s="28" t="s">
        <v>77</v>
      </c>
      <c r="O5172" s="26" t="s">
        <v>77</v>
      </c>
    </row>
    <row r="5173">
      <c r="A5173" s="52" t="s">
        <v>77</v>
      </c>
      <c r="B5173" s="28" t="s">
        <v>77</v>
      </c>
      <c r="C5173" s="28" t="s">
        <v>77</v>
      </c>
      <c r="D5173" s="28" t="s">
        <v>77</v>
      </c>
      <c r="E5173" s="28" t="s">
        <v>77</v>
      </c>
      <c r="F5173" s="28" t="s">
        <v>77</v>
      </c>
      <c r="G5173" s="28" t="s">
        <v>77</v>
      </c>
      <c r="I5173" s="26" t="s">
        <v>77</v>
      </c>
      <c r="J5173" s="26" t="s">
        <v>77</v>
      </c>
      <c r="K5173" s="18"/>
      <c r="L5173" s="26" t="s">
        <v>77</v>
      </c>
      <c r="M5173" s="6" t="s">
        <v>77</v>
      </c>
      <c r="N5173" s="28" t="s">
        <v>77</v>
      </c>
      <c r="O5173" s="26" t="s">
        <v>77</v>
      </c>
    </row>
    <row r="5174">
      <c r="A5174" s="52" t="s">
        <v>77</v>
      </c>
      <c r="B5174" s="28" t="s">
        <v>77</v>
      </c>
      <c r="C5174" s="28" t="s">
        <v>77</v>
      </c>
      <c r="D5174" s="28" t="s">
        <v>77</v>
      </c>
      <c r="E5174" s="28" t="s">
        <v>77</v>
      </c>
      <c r="F5174" s="28" t="s">
        <v>77</v>
      </c>
      <c r="G5174" s="28" t="s">
        <v>77</v>
      </c>
      <c r="I5174" s="26" t="s">
        <v>77</v>
      </c>
      <c r="J5174" s="26" t="s">
        <v>77</v>
      </c>
      <c r="K5174" s="18"/>
      <c r="L5174" s="26" t="s">
        <v>77</v>
      </c>
      <c r="M5174" s="6" t="s">
        <v>77</v>
      </c>
      <c r="N5174" s="28" t="s">
        <v>77</v>
      </c>
      <c r="O5174" s="26" t="s">
        <v>77</v>
      </c>
    </row>
    <row r="5175">
      <c r="A5175" s="52" t="s">
        <v>77</v>
      </c>
      <c r="B5175" s="28" t="s">
        <v>77</v>
      </c>
      <c r="C5175" s="28" t="s">
        <v>77</v>
      </c>
      <c r="D5175" s="28" t="s">
        <v>77</v>
      </c>
      <c r="E5175" s="28" t="s">
        <v>77</v>
      </c>
      <c r="F5175" s="28" t="s">
        <v>77</v>
      </c>
      <c r="G5175" s="28" t="s">
        <v>77</v>
      </c>
      <c r="I5175" s="26" t="s">
        <v>77</v>
      </c>
      <c r="J5175" s="26" t="s">
        <v>77</v>
      </c>
      <c r="K5175" s="18"/>
      <c r="L5175" s="26" t="s">
        <v>77</v>
      </c>
      <c r="M5175" s="6" t="s">
        <v>77</v>
      </c>
      <c r="N5175" s="28" t="s">
        <v>77</v>
      </c>
      <c r="O5175" s="26" t="s">
        <v>77</v>
      </c>
    </row>
    <row r="5176">
      <c r="A5176" s="52" t="s">
        <v>77</v>
      </c>
      <c r="B5176" s="28" t="s">
        <v>77</v>
      </c>
      <c r="C5176" s="28" t="s">
        <v>77</v>
      </c>
      <c r="D5176" s="28" t="s">
        <v>77</v>
      </c>
      <c r="E5176" s="28" t="s">
        <v>77</v>
      </c>
      <c r="F5176" s="28" t="s">
        <v>77</v>
      </c>
      <c r="G5176" s="28" t="s">
        <v>77</v>
      </c>
      <c r="I5176" s="26" t="s">
        <v>77</v>
      </c>
      <c r="J5176" s="26" t="s">
        <v>77</v>
      </c>
      <c r="K5176" s="18"/>
      <c r="L5176" s="26" t="s">
        <v>77</v>
      </c>
      <c r="M5176" s="6" t="s">
        <v>77</v>
      </c>
      <c r="N5176" s="28" t="s">
        <v>77</v>
      </c>
      <c r="O5176" s="26" t="s">
        <v>77</v>
      </c>
    </row>
    <row r="5177">
      <c r="A5177" s="52" t="s">
        <v>77</v>
      </c>
      <c r="B5177" s="28" t="s">
        <v>77</v>
      </c>
      <c r="C5177" s="28" t="s">
        <v>77</v>
      </c>
      <c r="D5177" s="28" t="s">
        <v>77</v>
      </c>
      <c r="E5177" s="28" t="s">
        <v>77</v>
      </c>
      <c r="F5177" s="28" t="s">
        <v>77</v>
      </c>
      <c r="G5177" s="28" t="s">
        <v>77</v>
      </c>
      <c r="I5177" s="26" t="s">
        <v>77</v>
      </c>
      <c r="J5177" s="26" t="s">
        <v>77</v>
      </c>
      <c r="K5177" s="18"/>
      <c r="L5177" s="26" t="s">
        <v>77</v>
      </c>
      <c r="M5177" s="6" t="s">
        <v>77</v>
      </c>
      <c r="N5177" s="28" t="s">
        <v>77</v>
      </c>
      <c r="O5177" s="26" t="s">
        <v>77</v>
      </c>
    </row>
    <row r="5178">
      <c r="A5178" s="52" t="s">
        <v>77</v>
      </c>
      <c r="B5178" s="28" t="s">
        <v>77</v>
      </c>
      <c r="C5178" s="28" t="s">
        <v>77</v>
      </c>
      <c r="D5178" s="28" t="s">
        <v>77</v>
      </c>
      <c r="E5178" s="28" t="s">
        <v>77</v>
      </c>
      <c r="F5178" s="28" t="s">
        <v>77</v>
      </c>
      <c r="G5178" s="28" t="s">
        <v>77</v>
      </c>
      <c r="I5178" s="26" t="s">
        <v>77</v>
      </c>
      <c r="J5178" s="26" t="s">
        <v>77</v>
      </c>
      <c r="K5178" s="18"/>
      <c r="L5178" s="26" t="s">
        <v>77</v>
      </c>
      <c r="M5178" s="6" t="s">
        <v>77</v>
      </c>
      <c r="N5178" s="28" t="s">
        <v>77</v>
      </c>
      <c r="O5178" s="26" t="s">
        <v>77</v>
      </c>
    </row>
    <row r="5179">
      <c r="A5179" s="52" t="s">
        <v>77</v>
      </c>
      <c r="B5179" s="28" t="s">
        <v>77</v>
      </c>
      <c r="C5179" s="28" t="s">
        <v>77</v>
      </c>
      <c r="D5179" s="28" t="s">
        <v>77</v>
      </c>
      <c r="E5179" s="28" t="s">
        <v>77</v>
      </c>
      <c r="F5179" s="28" t="s">
        <v>77</v>
      </c>
      <c r="G5179" s="28" t="s">
        <v>77</v>
      </c>
      <c r="I5179" s="26" t="s">
        <v>77</v>
      </c>
      <c r="J5179" s="26" t="s">
        <v>77</v>
      </c>
      <c r="K5179" s="18"/>
      <c r="L5179" s="26" t="s">
        <v>77</v>
      </c>
      <c r="M5179" s="6" t="s">
        <v>77</v>
      </c>
      <c r="N5179" s="28" t="s">
        <v>77</v>
      </c>
      <c r="O5179" s="26" t="s">
        <v>77</v>
      </c>
    </row>
    <row r="5180">
      <c r="A5180" s="52" t="s">
        <v>77</v>
      </c>
      <c r="B5180" s="28" t="s">
        <v>77</v>
      </c>
      <c r="C5180" s="28" t="s">
        <v>77</v>
      </c>
      <c r="D5180" s="28" t="s">
        <v>77</v>
      </c>
      <c r="E5180" s="28" t="s">
        <v>77</v>
      </c>
      <c r="F5180" s="28" t="s">
        <v>77</v>
      </c>
      <c r="G5180" s="28" t="s">
        <v>77</v>
      </c>
      <c r="I5180" s="26" t="s">
        <v>77</v>
      </c>
      <c r="J5180" s="26" t="s">
        <v>77</v>
      </c>
      <c r="K5180" s="18"/>
      <c r="L5180" s="26" t="s">
        <v>77</v>
      </c>
      <c r="M5180" s="6" t="s">
        <v>77</v>
      </c>
      <c r="N5180" s="28" t="s">
        <v>77</v>
      </c>
      <c r="O5180" s="26" t="s">
        <v>77</v>
      </c>
    </row>
    <row r="5181">
      <c r="A5181" s="52" t="s">
        <v>77</v>
      </c>
      <c r="B5181" s="28" t="s">
        <v>77</v>
      </c>
      <c r="C5181" s="28" t="s">
        <v>77</v>
      </c>
      <c r="D5181" s="28" t="s">
        <v>77</v>
      </c>
      <c r="E5181" s="28" t="s">
        <v>77</v>
      </c>
      <c r="F5181" s="28" t="s">
        <v>77</v>
      </c>
      <c r="G5181" s="28" t="s">
        <v>77</v>
      </c>
      <c r="I5181" s="26" t="s">
        <v>77</v>
      </c>
      <c r="J5181" s="26" t="s">
        <v>77</v>
      </c>
      <c r="K5181" s="18"/>
      <c r="L5181" s="26" t="s">
        <v>77</v>
      </c>
      <c r="M5181" s="6" t="s">
        <v>77</v>
      </c>
      <c r="N5181" s="28" t="s">
        <v>77</v>
      </c>
      <c r="O5181" s="26" t="s">
        <v>77</v>
      </c>
    </row>
    <row r="5182">
      <c r="A5182" s="52" t="s">
        <v>77</v>
      </c>
      <c r="B5182" s="28" t="s">
        <v>77</v>
      </c>
      <c r="C5182" s="28" t="s">
        <v>77</v>
      </c>
      <c r="D5182" s="28" t="s">
        <v>77</v>
      </c>
      <c r="E5182" s="28" t="s">
        <v>77</v>
      </c>
      <c r="F5182" s="28" t="s">
        <v>77</v>
      </c>
      <c r="G5182" s="28" t="s">
        <v>77</v>
      </c>
      <c r="I5182" s="26" t="s">
        <v>77</v>
      </c>
      <c r="J5182" s="26" t="s">
        <v>77</v>
      </c>
      <c r="K5182" s="18"/>
      <c r="L5182" s="26" t="s">
        <v>77</v>
      </c>
      <c r="M5182" s="6" t="s">
        <v>77</v>
      </c>
      <c r="N5182" s="28" t="s">
        <v>77</v>
      </c>
      <c r="O5182" s="26" t="s">
        <v>77</v>
      </c>
    </row>
    <row r="5183">
      <c r="A5183" s="52" t="s">
        <v>77</v>
      </c>
      <c r="B5183" s="28" t="s">
        <v>77</v>
      </c>
      <c r="C5183" s="28" t="s">
        <v>77</v>
      </c>
      <c r="D5183" s="28" t="s">
        <v>77</v>
      </c>
      <c r="E5183" s="28" t="s">
        <v>77</v>
      </c>
      <c r="F5183" s="28" t="s">
        <v>77</v>
      </c>
      <c r="G5183" s="28" t="s">
        <v>77</v>
      </c>
      <c r="I5183" s="26" t="s">
        <v>77</v>
      </c>
      <c r="J5183" s="26" t="s">
        <v>77</v>
      </c>
      <c r="K5183" s="18"/>
      <c r="L5183" s="26" t="s">
        <v>77</v>
      </c>
      <c r="M5183" s="6" t="s">
        <v>77</v>
      </c>
      <c r="N5183" s="28" t="s">
        <v>77</v>
      </c>
      <c r="O5183" s="26" t="s">
        <v>77</v>
      </c>
    </row>
    <row r="5184">
      <c r="A5184" s="52" t="s">
        <v>77</v>
      </c>
      <c r="B5184" s="28" t="s">
        <v>77</v>
      </c>
      <c r="C5184" s="28" t="s">
        <v>77</v>
      </c>
      <c r="D5184" s="28" t="s">
        <v>77</v>
      </c>
      <c r="E5184" s="28" t="s">
        <v>77</v>
      </c>
      <c r="F5184" s="28" t="s">
        <v>77</v>
      </c>
      <c r="G5184" s="28" t="s">
        <v>77</v>
      </c>
      <c r="I5184" s="26" t="s">
        <v>77</v>
      </c>
      <c r="J5184" s="26" t="s">
        <v>77</v>
      </c>
      <c r="K5184" s="18"/>
      <c r="L5184" s="26" t="s">
        <v>77</v>
      </c>
      <c r="M5184" s="6" t="s">
        <v>77</v>
      </c>
      <c r="N5184" s="28" t="s">
        <v>77</v>
      </c>
      <c r="O5184" s="26" t="s">
        <v>77</v>
      </c>
    </row>
    <row r="5185">
      <c r="A5185" s="52" t="s">
        <v>77</v>
      </c>
      <c r="B5185" s="28" t="s">
        <v>77</v>
      </c>
      <c r="C5185" s="28" t="s">
        <v>77</v>
      </c>
      <c r="D5185" s="28" t="s">
        <v>77</v>
      </c>
      <c r="E5185" s="28" t="s">
        <v>77</v>
      </c>
      <c r="F5185" s="28" t="s">
        <v>77</v>
      </c>
      <c r="G5185" s="28" t="s">
        <v>77</v>
      </c>
      <c r="I5185" s="26" t="s">
        <v>77</v>
      </c>
      <c r="J5185" s="26" t="s">
        <v>77</v>
      </c>
      <c r="K5185" s="18"/>
      <c r="L5185" s="26" t="s">
        <v>77</v>
      </c>
      <c r="M5185" s="6" t="s">
        <v>77</v>
      </c>
      <c r="N5185" s="28" t="s">
        <v>77</v>
      </c>
      <c r="O5185" s="26" t="s">
        <v>77</v>
      </c>
    </row>
    <row r="5186">
      <c r="A5186" s="52" t="s">
        <v>77</v>
      </c>
      <c r="B5186" s="28" t="s">
        <v>77</v>
      </c>
      <c r="C5186" s="28" t="s">
        <v>77</v>
      </c>
      <c r="D5186" s="28" t="s">
        <v>77</v>
      </c>
      <c r="E5186" s="28" t="s">
        <v>77</v>
      </c>
      <c r="F5186" s="28" t="s">
        <v>77</v>
      </c>
      <c r="G5186" s="28" t="s">
        <v>77</v>
      </c>
      <c r="I5186" s="26" t="s">
        <v>77</v>
      </c>
      <c r="J5186" s="26" t="s">
        <v>77</v>
      </c>
      <c r="K5186" s="18"/>
      <c r="L5186" s="26" t="s">
        <v>77</v>
      </c>
      <c r="M5186" s="6" t="s">
        <v>77</v>
      </c>
      <c r="N5186" s="28" t="s">
        <v>77</v>
      </c>
      <c r="O5186" s="26" t="s">
        <v>77</v>
      </c>
    </row>
    <row r="5187">
      <c r="A5187" s="52" t="s">
        <v>77</v>
      </c>
      <c r="B5187" s="28" t="s">
        <v>77</v>
      </c>
      <c r="C5187" s="28" t="s">
        <v>77</v>
      </c>
      <c r="D5187" s="28" t="s">
        <v>77</v>
      </c>
      <c r="E5187" s="28" t="s">
        <v>77</v>
      </c>
      <c r="F5187" s="28" t="s">
        <v>77</v>
      </c>
      <c r="G5187" s="28" t="s">
        <v>77</v>
      </c>
      <c r="I5187" s="26" t="s">
        <v>77</v>
      </c>
      <c r="J5187" s="26" t="s">
        <v>77</v>
      </c>
      <c r="K5187" s="18"/>
      <c r="L5187" s="26" t="s">
        <v>77</v>
      </c>
      <c r="M5187" s="6" t="s">
        <v>77</v>
      </c>
      <c r="N5187" s="28" t="s">
        <v>77</v>
      </c>
      <c r="O5187" s="26" t="s">
        <v>77</v>
      </c>
    </row>
    <row r="5188">
      <c r="A5188" s="52" t="s">
        <v>77</v>
      </c>
      <c r="B5188" s="28" t="s">
        <v>77</v>
      </c>
      <c r="C5188" s="28" t="s">
        <v>77</v>
      </c>
      <c r="D5188" s="28" t="s">
        <v>77</v>
      </c>
      <c r="E5188" s="28" t="s">
        <v>77</v>
      </c>
      <c r="F5188" s="28" t="s">
        <v>77</v>
      </c>
      <c r="G5188" s="28" t="s">
        <v>77</v>
      </c>
      <c r="I5188" s="26" t="s">
        <v>77</v>
      </c>
      <c r="J5188" s="26" t="s">
        <v>77</v>
      </c>
      <c r="K5188" s="18"/>
      <c r="L5188" s="26" t="s">
        <v>77</v>
      </c>
      <c r="M5188" s="6" t="s">
        <v>77</v>
      </c>
      <c r="N5188" s="28" t="s">
        <v>77</v>
      </c>
      <c r="O5188" s="26" t="s">
        <v>77</v>
      </c>
    </row>
    <row r="5189">
      <c r="A5189" s="52" t="s">
        <v>77</v>
      </c>
      <c r="B5189" s="28" t="s">
        <v>77</v>
      </c>
      <c r="C5189" s="28" t="s">
        <v>77</v>
      </c>
      <c r="D5189" s="28" t="s">
        <v>77</v>
      </c>
      <c r="E5189" s="28" t="s">
        <v>77</v>
      </c>
      <c r="F5189" s="28" t="s">
        <v>77</v>
      </c>
      <c r="G5189" s="28" t="s">
        <v>77</v>
      </c>
      <c r="I5189" s="26" t="s">
        <v>77</v>
      </c>
      <c r="J5189" s="26" t="s">
        <v>77</v>
      </c>
      <c r="K5189" s="18"/>
      <c r="L5189" s="26" t="s">
        <v>77</v>
      </c>
      <c r="M5189" s="6" t="s">
        <v>77</v>
      </c>
      <c r="N5189" s="28" t="s">
        <v>77</v>
      </c>
      <c r="O5189" s="26" t="s">
        <v>77</v>
      </c>
    </row>
    <row r="5190">
      <c r="A5190" s="52" t="s">
        <v>77</v>
      </c>
      <c r="B5190" s="28" t="s">
        <v>77</v>
      </c>
      <c r="C5190" s="28" t="s">
        <v>77</v>
      </c>
      <c r="D5190" s="28" t="s">
        <v>77</v>
      </c>
      <c r="E5190" s="28" t="s">
        <v>77</v>
      </c>
      <c r="F5190" s="28" t="s">
        <v>77</v>
      </c>
      <c r="G5190" s="28" t="s">
        <v>77</v>
      </c>
      <c r="I5190" s="26" t="s">
        <v>77</v>
      </c>
      <c r="J5190" s="26" t="s">
        <v>77</v>
      </c>
      <c r="K5190" s="18"/>
      <c r="L5190" s="26" t="s">
        <v>77</v>
      </c>
      <c r="M5190" s="6" t="s">
        <v>77</v>
      </c>
      <c r="N5190" s="28" t="s">
        <v>77</v>
      </c>
      <c r="O5190" s="26" t="s">
        <v>77</v>
      </c>
    </row>
    <row r="5191">
      <c r="A5191" s="52" t="s">
        <v>77</v>
      </c>
      <c r="B5191" s="28" t="s">
        <v>77</v>
      </c>
      <c r="C5191" s="28" t="s">
        <v>77</v>
      </c>
      <c r="D5191" s="28" t="s">
        <v>77</v>
      </c>
      <c r="E5191" s="28" t="s">
        <v>77</v>
      </c>
      <c r="F5191" s="28" t="s">
        <v>77</v>
      </c>
      <c r="G5191" s="28" t="s">
        <v>77</v>
      </c>
      <c r="I5191" s="26" t="s">
        <v>77</v>
      </c>
      <c r="J5191" s="26" t="s">
        <v>77</v>
      </c>
      <c r="K5191" s="18"/>
      <c r="L5191" s="26" t="s">
        <v>77</v>
      </c>
      <c r="M5191" s="6" t="s">
        <v>77</v>
      </c>
      <c r="N5191" s="28" t="s">
        <v>77</v>
      </c>
      <c r="O5191" s="26" t="s">
        <v>77</v>
      </c>
    </row>
    <row r="5192">
      <c r="A5192" s="52" t="s">
        <v>77</v>
      </c>
      <c r="B5192" s="28" t="s">
        <v>77</v>
      </c>
      <c r="C5192" s="28" t="s">
        <v>77</v>
      </c>
      <c r="D5192" s="28" t="s">
        <v>77</v>
      </c>
      <c r="E5192" s="28" t="s">
        <v>77</v>
      </c>
      <c r="F5192" s="28" t="s">
        <v>77</v>
      </c>
      <c r="G5192" s="28" t="s">
        <v>77</v>
      </c>
      <c r="I5192" s="26" t="s">
        <v>77</v>
      </c>
      <c r="J5192" s="26" t="s">
        <v>77</v>
      </c>
      <c r="K5192" s="18"/>
      <c r="L5192" s="26" t="s">
        <v>77</v>
      </c>
      <c r="M5192" s="6" t="s">
        <v>77</v>
      </c>
      <c r="N5192" s="28" t="s">
        <v>77</v>
      </c>
      <c r="O5192" s="26" t="s">
        <v>77</v>
      </c>
    </row>
    <row r="5193">
      <c r="A5193" s="52" t="s">
        <v>77</v>
      </c>
      <c r="B5193" s="28" t="s">
        <v>77</v>
      </c>
      <c r="C5193" s="28" t="s">
        <v>77</v>
      </c>
      <c r="D5193" s="28" t="s">
        <v>77</v>
      </c>
      <c r="E5193" s="28" t="s">
        <v>77</v>
      </c>
      <c r="F5193" s="28" t="s">
        <v>77</v>
      </c>
      <c r="G5193" s="28" t="s">
        <v>77</v>
      </c>
      <c r="I5193" s="26" t="s">
        <v>77</v>
      </c>
      <c r="J5193" s="26" t="s">
        <v>77</v>
      </c>
      <c r="K5193" s="18"/>
      <c r="L5193" s="26" t="s">
        <v>77</v>
      </c>
      <c r="M5193" s="6" t="s">
        <v>77</v>
      </c>
      <c r="N5193" s="28" t="s">
        <v>77</v>
      </c>
      <c r="O5193" s="26" t="s">
        <v>77</v>
      </c>
    </row>
    <row r="5194">
      <c r="A5194" s="52" t="s">
        <v>77</v>
      </c>
      <c r="B5194" s="28" t="s">
        <v>77</v>
      </c>
      <c r="C5194" s="28" t="s">
        <v>77</v>
      </c>
      <c r="D5194" s="28" t="s">
        <v>77</v>
      </c>
      <c r="E5194" s="28" t="s">
        <v>77</v>
      </c>
      <c r="F5194" s="28" t="s">
        <v>77</v>
      </c>
      <c r="G5194" s="28" t="s">
        <v>77</v>
      </c>
      <c r="I5194" s="26" t="s">
        <v>77</v>
      </c>
      <c r="J5194" s="26" t="s">
        <v>77</v>
      </c>
      <c r="K5194" s="18"/>
      <c r="L5194" s="26" t="s">
        <v>77</v>
      </c>
      <c r="M5194" s="6" t="s">
        <v>77</v>
      </c>
      <c r="N5194" s="28" t="s">
        <v>77</v>
      </c>
      <c r="O5194" s="26" t="s">
        <v>77</v>
      </c>
    </row>
    <row r="5195">
      <c r="A5195" s="52" t="s">
        <v>77</v>
      </c>
      <c r="B5195" s="28" t="s">
        <v>77</v>
      </c>
      <c r="C5195" s="28" t="s">
        <v>77</v>
      </c>
      <c r="D5195" s="28" t="s">
        <v>77</v>
      </c>
      <c r="E5195" s="28" t="s">
        <v>77</v>
      </c>
      <c r="F5195" s="28" t="s">
        <v>77</v>
      </c>
      <c r="G5195" s="28" t="s">
        <v>77</v>
      </c>
      <c r="I5195" s="26" t="s">
        <v>77</v>
      </c>
      <c r="J5195" s="26" t="s">
        <v>77</v>
      </c>
      <c r="K5195" s="18"/>
      <c r="L5195" s="26" t="s">
        <v>77</v>
      </c>
      <c r="M5195" s="6" t="s">
        <v>77</v>
      </c>
      <c r="N5195" s="28" t="s">
        <v>77</v>
      </c>
      <c r="O5195" s="26" t="s">
        <v>77</v>
      </c>
    </row>
    <row r="5196">
      <c r="A5196" s="52" t="s">
        <v>77</v>
      </c>
      <c r="B5196" s="28" t="s">
        <v>77</v>
      </c>
      <c r="C5196" s="28" t="s">
        <v>77</v>
      </c>
      <c r="D5196" s="28" t="s">
        <v>77</v>
      </c>
      <c r="E5196" s="28" t="s">
        <v>77</v>
      </c>
      <c r="F5196" s="28" t="s">
        <v>77</v>
      </c>
      <c r="G5196" s="28" t="s">
        <v>77</v>
      </c>
      <c r="I5196" s="26" t="s">
        <v>77</v>
      </c>
      <c r="J5196" s="26" t="s">
        <v>77</v>
      </c>
      <c r="K5196" s="18"/>
      <c r="L5196" s="26" t="s">
        <v>77</v>
      </c>
      <c r="M5196" s="6" t="s">
        <v>77</v>
      </c>
      <c r="N5196" s="28" t="s">
        <v>77</v>
      </c>
      <c r="O5196" s="26" t="s">
        <v>77</v>
      </c>
    </row>
    <row r="5197">
      <c r="A5197" s="52" t="s">
        <v>77</v>
      </c>
      <c r="B5197" s="28" t="s">
        <v>77</v>
      </c>
      <c r="C5197" s="28" t="s">
        <v>77</v>
      </c>
      <c r="D5197" s="28" t="s">
        <v>77</v>
      </c>
      <c r="E5197" s="28" t="s">
        <v>77</v>
      </c>
      <c r="F5197" s="28" t="s">
        <v>77</v>
      </c>
      <c r="G5197" s="28" t="s">
        <v>77</v>
      </c>
      <c r="I5197" s="26" t="s">
        <v>77</v>
      </c>
      <c r="J5197" s="26" t="s">
        <v>77</v>
      </c>
      <c r="K5197" s="18"/>
      <c r="L5197" s="26" t="s">
        <v>77</v>
      </c>
      <c r="M5197" s="6" t="s">
        <v>77</v>
      </c>
      <c r="N5197" s="28" t="s">
        <v>77</v>
      </c>
      <c r="O5197" s="26" t="s">
        <v>77</v>
      </c>
    </row>
    <row r="5198">
      <c r="A5198" s="52" t="s">
        <v>77</v>
      </c>
      <c r="B5198" s="28" t="s">
        <v>77</v>
      </c>
      <c r="C5198" s="28" t="s">
        <v>77</v>
      </c>
      <c r="D5198" s="28" t="s">
        <v>77</v>
      </c>
      <c r="E5198" s="28" t="s">
        <v>77</v>
      </c>
      <c r="F5198" s="28" t="s">
        <v>77</v>
      </c>
      <c r="G5198" s="28" t="s">
        <v>77</v>
      </c>
      <c r="I5198" s="26" t="s">
        <v>77</v>
      </c>
      <c r="J5198" s="26" t="s">
        <v>77</v>
      </c>
      <c r="K5198" s="18"/>
      <c r="L5198" s="26" t="s">
        <v>77</v>
      </c>
      <c r="M5198" s="6" t="s">
        <v>77</v>
      </c>
      <c r="N5198" s="28" t="s">
        <v>77</v>
      </c>
      <c r="O5198" s="26" t="s">
        <v>77</v>
      </c>
    </row>
    <row r="5199">
      <c r="A5199" s="52" t="s">
        <v>77</v>
      </c>
      <c r="B5199" s="28" t="s">
        <v>77</v>
      </c>
      <c r="C5199" s="28" t="s">
        <v>77</v>
      </c>
      <c r="D5199" s="28" t="s">
        <v>77</v>
      </c>
      <c r="E5199" s="28" t="s">
        <v>77</v>
      </c>
      <c r="F5199" s="28" t="s">
        <v>77</v>
      </c>
      <c r="G5199" s="28" t="s">
        <v>77</v>
      </c>
      <c r="I5199" s="26" t="s">
        <v>77</v>
      </c>
      <c r="J5199" s="26" t="s">
        <v>77</v>
      </c>
      <c r="K5199" s="18"/>
      <c r="L5199" s="26" t="s">
        <v>77</v>
      </c>
      <c r="M5199" s="6" t="s">
        <v>77</v>
      </c>
      <c r="N5199" s="28" t="s">
        <v>77</v>
      </c>
      <c r="O5199" s="26" t="s">
        <v>77</v>
      </c>
    </row>
    <row r="5200">
      <c r="A5200" s="52" t="s">
        <v>77</v>
      </c>
      <c r="B5200" s="28" t="s">
        <v>77</v>
      </c>
      <c r="C5200" s="28" t="s">
        <v>77</v>
      </c>
      <c r="D5200" s="28" t="s">
        <v>77</v>
      </c>
      <c r="E5200" s="28" t="s">
        <v>77</v>
      </c>
      <c r="F5200" s="28" t="s">
        <v>77</v>
      </c>
      <c r="G5200" s="28" t="s">
        <v>77</v>
      </c>
      <c r="I5200" s="26" t="s">
        <v>77</v>
      </c>
      <c r="J5200" s="26" t="s">
        <v>77</v>
      </c>
      <c r="K5200" s="18"/>
      <c r="L5200" s="26" t="s">
        <v>77</v>
      </c>
      <c r="M5200" s="6" t="s">
        <v>77</v>
      </c>
      <c r="N5200" s="28" t="s">
        <v>77</v>
      </c>
      <c r="O5200" s="26" t="s">
        <v>77</v>
      </c>
    </row>
    <row r="5201">
      <c r="A5201" s="52" t="s">
        <v>77</v>
      </c>
      <c r="B5201" s="28" t="s">
        <v>77</v>
      </c>
      <c r="C5201" s="28" t="s">
        <v>77</v>
      </c>
      <c r="D5201" s="28" t="s">
        <v>77</v>
      </c>
      <c r="E5201" s="28" t="s">
        <v>77</v>
      </c>
      <c r="F5201" s="28" t="s">
        <v>77</v>
      </c>
      <c r="G5201" s="28" t="s">
        <v>77</v>
      </c>
      <c r="I5201" s="26" t="s">
        <v>77</v>
      </c>
      <c r="J5201" s="26" t="s">
        <v>77</v>
      </c>
      <c r="K5201" s="18"/>
      <c r="L5201" s="26" t="s">
        <v>77</v>
      </c>
      <c r="M5201" s="6" t="s">
        <v>77</v>
      </c>
      <c r="N5201" s="28" t="s">
        <v>77</v>
      </c>
      <c r="O5201" s="26" t="s">
        <v>77</v>
      </c>
    </row>
    <row r="5202">
      <c r="A5202" s="52" t="s">
        <v>77</v>
      </c>
      <c r="B5202" s="28" t="s">
        <v>77</v>
      </c>
      <c r="C5202" s="28" t="s">
        <v>77</v>
      </c>
      <c r="D5202" s="28" t="s">
        <v>77</v>
      </c>
      <c r="E5202" s="28" t="s">
        <v>77</v>
      </c>
      <c r="F5202" s="28" t="s">
        <v>77</v>
      </c>
      <c r="G5202" s="28" t="s">
        <v>77</v>
      </c>
      <c r="I5202" s="26" t="s">
        <v>77</v>
      </c>
      <c r="J5202" s="26" t="s">
        <v>77</v>
      </c>
      <c r="K5202" s="18"/>
      <c r="L5202" s="26" t="s">
        <v>77</v>
      </c>
      <c r="M5202" s="6" t="s">
        <v>77</v>
      </c>
      <c r="N5202" s="28" t="s">
        <v>77</v>
      </c>
      <c r="O5202" s="26" t="s">
        <v>77</v>
      </c>
    </row>
    <row r="5203">
      <c r="A5203" s="52" t="s">
        <v>77</v>
      </c>
      <c r="B5203" s="28" t="s">
        <v>77</v>
      </c>
      <c r="C5203" s="28" t="s">
        <v>77</v>
      </c>
      <c r="D5203" s="28" t="s">
        <v>77</v>
      </c>
      <c r="E5203" s="28" t="s">
        <v>77</v>
      </c>
      <c r="F5203" s="28" t="s">
        <v>77</v>
      </c>
      <c r="G5203" s="28" t="s">
        <v>77</v>
      </c>
      <c r="I5203" s="26" t="s">
        <v>77</v>
      </c>
      <c r="J5203" s="26" t="s">
        <v>77</v>
      </c>
      <c r="K5203" s="18"/>
      <c r="L5203" s="26" t="s">
        <v>77</v>
      </c>
      <c r="M5203" s="6" t="s">
        <v>77</v>
      </c>
      <c r="N5203" s="28" t="s">
        <v>77</v>
      </c>
      <c r="O5203" s="26" t="s">
        <v>77</v>
      </c>
    </row>
    <row r="5204">
      <c r="A5204" s="52" t="s">
        <v>77</v>
      </c>
      <c r="B5204" s="28" t="s">
        <v>77</v>
      </c>
      <c r="C5204" s="28" t="s">
        <v>77</v>
      </c>
      <c r="D5204" s="28" t="s">
        <v>77</v>
      </c>
      <c r="E5204" s="28" t="s">
        <v>77</v>
      </c>
      <c r="F5204" s="28" t="s">
        <v>77</v>
      </c>
      <c r="G5204" s="28" t="s">
        <v>77</v>
      </c>
      <c r="I5204" s="26" t="s">
        <v>77</v>
      </c>
      <c r="J5204" s="26" t="s">
        <v>77</v>
      </c>
      <c r="K5204" s="18"/>
      <c r="L5204" s="26" t="s">
        <v>77</v>
      </c>
      <c r="M5204" s="6" t="s">
        <v>77</v>
      </c>
      <c r="N5204" s="28" t="s">
        <v>77</v>
      </c>
      <c r="O5204" s="26" t="s">
        <v>77</v>
      </c>
    </row>
    <row r="5205">
      <c r="A5205" s="52" t="s">
        <v>77</v>
      </c>
      <c r="B5205" s="28" t="s">
        <v>77</v>
      </c>
      <c r="C5205" s="28" t="s">
        <v>77</v>
      </c>
      <c r="D5205" s="28" t="s">
        <v>77</v>
      </c>
      <c r="E5205" s="28" t="s">
        <v>77</v>
      </c>
      <c r="F5205" s="28" t="s">
        <v>77</v>
      </c>
      <c r="G5205" s="28" t="s">
        <v>77</v>
      </c>
      <c r="I5205" s="26" t="s">
        <v>77</v>
      </c>
      <c r="J5205" s="26" t="s">
        <v>77</v>
      </c>
      <c r="K5205" s="18"/>
      <c r="L5205" s="26" t="s">
        <v>77</v>
      </c>
      <c r="M5205" s="6" t="s">
        <v>77</v>
      </c>
      <c r="N5205" s="28" t="s">
        <v>77</v>
      </c>
      <c r="O5205" s="26" t="s">
        <v>77</v>
      </c>
    </row>
    <row r="5206">
      <c r="A5206" s="52" t="s">
        <v>77</v>
      </c>
      <c r="B5206" s="28" t="s">
        <v>77</v>
      </c>
      <c r="C5206" s="28" t="s">
        <v>77</v>
      </c>
      <c r="D5206" s="28" t="s">
        <v>77</v>
      </c>
      <c r="E5206" s="28" t="s">
        <v>77</v>
      </c>
      <c r="F5206" s="28" t="s">
        <v>77</v>
      </c>
      <c r="G5206" s="28" t="s">
        <v>77</v>
      </c>
      <c r="I5206" s="26" t="s">
        <v>77</v>
      </c>
      <c r="J5206" s="26" t="s">
        <v>77</v>
      </c>
      <c r="K5206" s="18"/>
      <c r="L5206" s="26" t="s">
        <v>77</v>
      </c>
      <c r="M5206" s="6" t="s">
        <v>77</v>
      </c>
      <c r="N5206" s="28" t="s">
        <v>77</v>
      </c>
      <c r="O5206" s="26" t="s">
        <v>77</v>
      </c>
    </row>
    <row r="5207">
      <c r="A5207" s="52" t="s">
        <v>77</v>
      </c>
      <c r="B5207" s="28" t="s">
        <v>77</v>
      </c>
      <c r="C5207" s="28" t="s">
        <v>77</v>
      </c>
      <c r="D5207" s="28" t="s">
        <v>77</v>
      </c>
      <c r="E5207" s="28" t="s">
        <v>77</v>
      </c>
      <c r="F5207" s="28" t="s">
        <v>77</v>
      </c>
      <c r="G5207" s="28" t="s">
        <v>77</v>
      </c>
      <c r="I5207" s="26" t="s">
        <v>77</v>
      </c>
      <c r="J5207" s="26" t="s">
        <v>77</v>
      </c>
      <c r="K5207" s="18"/>
      <c r="L5207" s="26" t="s">
        <v>77</v>
      </c>
      <c r="M5207" s="6" t="s">
        <v>77</v>
      </c>
      <c r="N5207" s="28" t="s">
        <v>77</v>
      </c>
      <c r="O5207" s="26" t="s">
        <v>77</v>
      </c>
    </row>
    <row r="5208">
      <c r="A5208" s="52" t="s">
        <v>77</v>
      </c>
      <c r="B5208" s="28" t="s">
        <v>77</v>
      </c>
      <c r="C5208" s="28" t="s">
        <v>77</v>
      </c>
      <c r="D5208" s="28" t="s">
        <v>77</v>
      </c>
      <c r="E5208" s="28" t="s">
        <v>77</v>
      </c>
      <c r="F5208" s="28" t="s">
        <v>77</v>
      </c>
      <c r="G5208" s="28" t="s">
        <v>77</v>
      </c>
      <c r="I5208" s="26" t="s">
        <v>77</v>
      </c>
      <c r="J5208" s="26" t="s">
        <v>77</v>
      </c>
      <c r="K5208" s="18"/>
      <c r="L5208" s="26" t="s">
        <v>77</v>
      </c>
      <c r="M5208" s="6" t="s">
        <v>77</v>
      </c>
      <c r="N5208" s="28" t="s">
        <v>77</v>
      </c>
      <c r="O5208" s="26" t="s">
        <v>77</v>
      </c>
    </row>
    <row r="5209">
      <c r="A5209" s="52" t="s">
        <v>77</v>
      </c>
      <c r="B5209" s="28" t="s">
        <v>77</v>
      </c>
      <c r="C5209" s="28" t="s">
        <v>77</v>
      </c>
      <c r="D5209" s="28" t="s">
        <v>77</v>
      </c>
      <c r="E5209" s="28" t="s">
        <v>77</v>
      </c>
      <c r="F5209" s="28" t="s">
        <v>77</v>
      </c>
      <c r="G5209" s="28" t="s">
        <v>77</v>
      </c>
      <c r="I5209" s="26" t="s">
        <v>77</v>
      </c>
      <c r="J5209" s="26" t="s">
        <v>77</v>
      </c>
      <c r="K5209" s="18"/>
      <c r="L5209" s="26" t="s">
        <v>77</v>
      </c>
      <c r="M5209" s="6" t="s">
        <v>77</v>
      </c>
      <c r="N5209" s="28" t="s">
        <v>77</v>
      </c>
      <c r="O5209" s="26" t="s">
        <v>77</v>
      </c>
    </row>
    <row r="5210">
      <c r="A5210" s="52" t="s">
        <v>77</v>
      </c>
      <c r="B5210" s="28" t="s">
        <v>77</v>
      </c>
      <c r="C5210" s="28" t="s">
        <v>77</v>
      </c>
      <c r="D5210" s="28" t="s">
        <v>77</v>
      </c>
      <c r="E5210" s="28" t="s">
        <v>77</v>
      </c>
      <c r="F5210" s="28" t="s">
        <v>77</v>
      </c>
      <c r="G5210" s="28" t="s">
        <v>77</v>
      </c>
      <c r="I5210" s="26" t="s">
        <v>77</v>
      </c>
      <c r="J5210" s="26" t="s">
        <v>77</v>
      </c>
      <c r="K5210" s="18"/>
      <c r="L5210" s="26" t="s">
        <v>77</v>
      </c>
      <c r="M5210" s="6" t="s">
        <v>77</v>
      </c>
      <c r="N5210" s="28" t="s">
        <v>77</v>
      </c>
      <c r="O5210" s="26" t="s">
        <v>77</v>
      </c>
    </row>
    <row r="5211">
      <c r="A5211" s="52" t="s">
        <v>77</v>
      </c>
      <c r="B5211" s="28" t="s">
        <v>77</v>
      </c>
      <c r="C5211" s="28" t="s">
        <v>77</v>
      </c>
      <c r="D5211" s="28" t="s">
        <v>77</v>
      </c>
      <c r="E5211" s="28" t="s">
        <v>77</v>
      </c>
      <c r="F5211" s="28" t="s">
        <v>77</v>
      </c>
      <c r="G5211" s="28" t="s">
        <v>77</v>
      </c>
      <c r="I5211" s="26" t="s">
        <v>77</v>
      </c>
      <c r="J5211" s="26" t="s">
        <v>77</v>
      </c>
      <c r="K5211" s="18"/>
      <c r="L5211" s="26" t="s">
        <v>77</v>
      </c>
      <c r="M5211" s="6" t="s">
        <v>77</v>
      </c>
      <c r="N5211" s="28" t="s">
        <v>77</v>
      </c>
      <c r="O5211" s="26" t="s">
        <v>77</v>
      </c>
    </row>
    <row r="5212">
      <c r="A5212" s="52" t="s">
        <v>77</v>
      </c>
      <c r="B5212" s="28" t="s">
        <v>77</v>
      </c>
      <c r="C5212" s="28" t="s">
        <v>77</v>
      </c>
      <c r="D5212" s="28" t="s">
        <v>77</v>
      </c>
      <c r="E5212" s="28" t="s">
        <v>77</v>
      </c>
      <c r="F5212" s="28" t="s">
        <v>77</v>
      </c>
      <c r="G5212" s="28" t="s">
        <v>77</v>
      </c>
      <c r="I5212" s="26" t="s">
        <v>77</v>
      </c>
      <c r="J5212" s="26" t="s">
        <v>77</v>
      </c>
      <c r="K5212" s="18"/>
      <c r="L5212" s="26" t="s">
        <v>77</v>
      </c>
      <c r="M5212" s="6" t="s">
        <v>77</v>
      </c>
      <c r="N5212" s="28" t="s">
        <v>77</v>
      </c>
      <c r="O5212" s="26" t="s">
        <v>77</v>
      </c>
    </row>
    <row r="5213">
      <c r="A5213" s="52" t="s">
        <v>77</v>
      </c>
      <c r="B5213" s="28" t="s">
        <v>77</v>
      </c>
      <c r="C5213" s="28" t="s">
        <v>77</v>
      </c>
      <c r="D5213" s="28" t="s">
        <v>77</v>
      </c>
      <c r="E5213" s="28" t="s">
        <v>77</v>
      </c>
      <c r="F5213" s="28" t="s">
        <v>77</v>
      </c>
      <c r="G5213" s="28" t="s">
        <v>77</v>
      </c>
      <c r="I5213" s="26" t="s">
        <v>77</v>
      </c>
      <c r="J5213" s="26" t="s">
        <v>77</v>
      </c>
      <c r="K5213" s="18"/>
      <c r="L5213" s="26" t="s">
        <v>77</v>
      </c>
      <c r="M5213" s="6" t="s">
        <v>77</v>
      </c>
      <c r="N5213" s="28" t="s">
        <v>77</v>
      </c>
      <c r="O5213" s="26" t="s">
        <v>77</v>
      </c>
    </row>
    <row r="5214">
      <c r="A5214" s="52" t="s">
        <v>77</v>
      </c>
      <c r="B5214" s="28" t="s">
        <v>77</v>
      </c>
      <c r="C5214" s="28" t="s">
        <v>77</v>
      </c>
      <c r="D5214" s="28" t="s">
        <v>77</v>
      </c>
      <c r="E5214" s="28" t="s">
        <v>77</v>
      </c>
      <c r="F5214" s="28" t="s">
        <v>77</v>
      </c>
      <c r="G5214" s="28" t="s">
        <v>77</v>
      </c>
      <c r="I5214" s="26" t="s">
        <v>77</v>
      </c>
      <c r="J5214" s="26" t="s">
        <v>77</v>
      </c>
      <c r="K5214" s="18"/>
      <c r="L5214" s="26" t="s">
        <v>77</v>
      </c>
      <c r="M5214" s="6" t="s">
        <v>77</v>
      </c>
      <c r="N5214" s="28" t="s">
        <v>77</v>
      </c>
      <c r="O5214" s="26" t="s">
        <v>77</v>
      </c>
    </row>
    <row r="5215">
      <c r="A5215" s="52" t="s">
        <v>77</v>
      </c>
      <c r="B5215" s="28" t="s">
        <v>77</v>
      </c>
      <c r="C5215" s="28" t="s">
        <v>77</v>
      </c>
      <c r="D5215" s="28" t="s">
        <v>77</v>
      </c>
      <c r="E5215" s="28" t="s">
        <v>77</v>
      </c>
      <c r="F5215" s="28" t="s">
        <v>77</v>
      </c>
      <c r="G5215" s="28" t="s">
        <v>77</v>
      </c>
      <c r="I5215" s="26" t="s">
        <v>77</v>
      </c>
      <c r="J5215" s="26" t="s">
        <v>77</v>
      </c>
      <c r="K5215" s="18"/>
      <c r="L5215" s="26" t="s">
        <v>77</v>
      </c>
      <c r="M5215" s="6" t="s">
        <v>77</v>
      </c>
      <c r="N5215" s="28" t="s">
        <v>77</v>
      </c>
      <c r="O5215" s="26" t="s">
        <v>77</v>
      </c>
    </row>
    <row r="5216">
      <c r="A5216" s="52" t="s">
        <v>77</v>
      </c>
      <c r="B5216" s="28" t="s">
        <v>77</v>
      </c>
      <c r="C5216" s="28" t="s">
        <v>77</v>
      </c>
      <c r="D5216" s="28" t="s">
        <v>77</v>
      </c>
      <c r="E5216" s="28" t="s">
        <v>77</v>
      </c>
      <c r="F5216" s="28" t="s">
        <v>77</v>
      </c>
      <c r="G5216" s="28" t="s">
        <v>77</v>
      </c>
      <c r="I5216" s="26" t="s">
        <v>77</v>
      </c>
      <c r="J5216" s="26" t="s">
        <v>77</v>
      </c>
      <c r="K5216" s="18"/>
      <c r="L5216" s="26" t="s">
        <v>77</v>
      </c>
      <c r="M5216" s="6" t="s">
        <v>77</v>
      </c>
      <c r="N5216" s="28" t="s">
        <v>77</v>
      </c>
      <c r="O5216" s="26" t="s">
        <v>77</v>
      </c>
    </row>
    <row r="5217">
      <c r="A5217" s="52" t="s">
        <v>77</v>
      </c>
      <c r="B5217" s="28" t="s">
        <v>77</v>
      </c>
      <c r="C5217" s="28" t="s">
        <v>77</v>
      </c>
      <c r="D5217" s="28" t="s">
        <v>77</v>
      </c>
      <c r="E5217" s="28" t="s">
        <v>77</v>
      </c>
      <c r="F5217" s="28" t="s">
        <v>77</v>
      </c>
      <c r="G5217" s="28" t="s">
        <v>77</v>
      </c>
      <c r="I5217" s="26" t="s">
        <v>77</v>
      </c>
      <c r="J5217" s="26" t="s">
        <v>77</v>
      </c>
      <c r="K5217" s="18"/>
      <c r="L5217" s="26" t="s">
        <v>77</v>
      </c>
      <c r="M5217" s="6" t="s">
        <v>77</v>
      </c>
      <c r="N5217" s="28" t="s">
        <v>77</v>
      </c>
      <c r="O5217" s="26" t="s">
        <v>77</v>
      </c>
    </row>
    <row r="5218">
      <c r="A5218" s="52" t="s">
        <v>77</v>
      </c>
      <c r="B5218" s="28" t="s">
        <v>77</v>
      </c>
      <c r="C5218" s="28" t="s">
        <v>77</v>
      </c>
      <c r="D5218" s="28" t="s">
        <v>77</v>
      </c>
      <c r="E5218" s="28" t="s">
        <v>77</v>
      </c>
      <c r="F5218" s="28" t="s">
        <v>77</v>
      </c>
      <c r="G5218" s="28" t="s">
        <v>77</v>
      </c>
      <c r="I5218" s="26" t="s">
        <v>77</v>
      </c>
      <c r="J5218" s="26" t="s">
        <v>77</v>
      </c>
      <c r="K5218" s="18"/>
      <c r="L5218" s="26" t="s">
        <v>77</v>
      </c>
      <c r="M5218" s="6" t="s">
        <v>77</v>
      </c>
      <c r="N5218" s="28" t="s">
        <v>77</v>
      </c>
      <c r="O5218" s="26" t="s">
        <v>77</v>
      </c>
    </row>
    <row r="5219">
      <c r="A5219" s="52" t="s">
        <v>77</v>
      </c>
      <c r="B5219" s="28" t="s">
        <v>77</v>
      </c>
      <c r="C5219" s="28" t="s">
        <v>77</v>
      </c>
      <c r="D5219" s="28" t="s">
        <v>77</v>
      </c>
      <c r="E5219" s="28" t="s">
        <v>77</v>
      </c>
      <c r="F5219" s="28" t="s">
        <v>77</v>
      </c>
      <c r="G5219" s="28" t="s">
        <v>77</v>
      </c>
      <c r="I5219" s="26" t="s">
        <v>77</v>
      </c>
      <c r="J5219" s="26" t="s">
        <v>77</v>
      </c>
      <c r="K5219" s="18"/>
      <c r="L5219" s="26" t="s">
        <v>77</v>
      </c>
      <c r="M5219" s="6" t="s">
        <v>77</v>
      </c>
      <c r="N5219" s="28" t="s">
        <v>77</v>
      </c>
      <c r="O5219" s="26" t="s">
        <v>77</v>
      </c>
    </row>
    <row r="5220">
      <c r="A5220" s="52" t="s">
        <v>77</v>
      </c>
      <c r="B5220" s="28" t="s">
        <v>77</v>
      </c>
      <c r="C5220" s="28" t="s">
        <v>77</v>
      </c>
      <c r="D5220" s="28" t="s">
        <v>77</v>
      </c>
      <c r="E5220" s="28" t="s">
        <v>77</v>
      </c>
      <c r="F5220" s="28" t="s">
        <v>77</v>
      </c>
      <c r="G5220" s="28" t="s">
        <v>77</v>
      </c>
      <c r="I5220" s="26" t="s">
        <v>77</v>
      </c>
      <c r="J5220" s="26" t="s">
        <v>77</v>
      </c>
      <c r="K5220" s="18"/>
      <c r="L5220" s="26" t="s">
        <v>77</v>
      </c>
      <c r="M5220" s="6" t="s">
        <v>77</v>
      </c>
      <c r="N5220" s="28" t="s">
        <v>77</v>
      </c>
      <c r="O5220" s="26" t="s">
        <v>77</v>
      </c>
    </row>
    <row r="5221">
      <c r="A5221" s="52" t="s">
        <v>77</v>
      </c>
      <c r="B5221" s="28" t="s">
        <v>77</v>
      </c>
      <c r="C5221" s="28" t="s">
        <v>77</v>
      </c>
      <c r="D5221" s="28" t="s">
        <v>77</v>
      </c>
      <c r="E5221" s="28" t="s">
        <v>77</v>
      </c>
      <c r="F5221" s="28" t="s">
        <v>77</v>
      </c>
      <c r="G5221" s="28" t="s">
        <v>77</v>
      </c>
      <c r="I5221" s="26" t="s">
        <v>77</v>
      </c>
      <c r="J5221" s="26" t="s">
        <v>77</v>
      </c>
      <c r="K5221" s="18"/>
      <c r="L5221" s="26" t="s">
        <v>77</v>
      </c>
      <c r="M5221" s="6" t="s">
        <v>77</v>
      </c>
      <c r="N5221" s="28" t="s">
        <v>77</v>
      </c>
      <c r="O5221" s="26" t="s">
        <v>77</v>
      </c>
    </row>
    <row r="5222">
      <c r="A5222" s="52" t="s">
        <v>77</v>
      </c>
      <c r="B5222" s="28" t="s">
        <v>77</v>
      </c>
      <c r="C5222" s="28" t="s">
        <v>77</v>
      </c>
      <c r="D5222" s="28" t="s">
        <v>77</v>
      </c>
      <c r="E5222" s="28" t="s">
        <v>77</v>
      </c>
      <c r="F5222" s="28" t="s">
        <v>77</v>
      </c>
      <c r="G5222" s="28" t="s">
        <v>77</v>
      </c>
      <c r="I5222" s="26" t="s">
        <v>77</v>
      </c>
      <c r="J5222" s="26" t="s">
        <v>77</v>
      </c>
      <c r="K5222" s="18"/>
      <c r="L5222" s="26" t="s">
        <v>77</v>
      </c>
      <c r="M5222" s="6" t="s">
        <v>77</v>
      </c>
      <c r="N5222" s="28" t="s">
        <v>77</v>
      </c>
      <c r="O5222" s="26" t="s">
        <v>77</v>
      </c>
    </row>
    <row r="5223">
      <c r="A5223" s="52" t="s">
        <v>77</v>
      </c>
      <c r="B5223" s="28" t="s">
        <v>77</v>
      </c>
      <c r="C5223" s="28" t="s">
        <v>77</v>
      </c>
      <c r="D5223" s="28" t="s">
        <v>77</v>
      </c>
      <c r="E5223" s="28" t="s">
        <v>77</v>
      </c>
      <c r="F5223" s="28" t="s">
        <v>77</v>
      </c>
      <c r="G5223" s="28" t="s">
        <v>77</v>
      </c>
      <c r="I5223" s="26" t="s">
        <v>77</v>
      </c>
      <c r="J5223" s="26" t="s">
        <v>77</v>
      </c>
      <c r="K5223" s="18"/>
      <c r="L5223" s="26" t="s">
        <v>77</v>
      </c>
      <c r="M5223" s="6" t="s">
        <v>77</v>
      </c>
      <c r="N5223" s="28" t="s">
        <v>77</v>
      </c>
      <c r="O5223" s="26" t="s">
        <v>77</v>
      </c>
    </row>
    <row r="5224">
      <c r="A5224" s="52" t="s">
        <v>77</v>
      </c>
      <c r="B5224" s="28" t="s">
        <v>77</v>
      </c>
      <c r="C5224" s="28" t="s">
        <v>77</v>
      </c>
      <c r="D5224" s="28" t="s">
        <v>77</v>
      </c>
      <c r="E5224" s="28" t="s">
        <v>77</v>
      </c>
      <c r="F5224" s="28" t="s">
        <v>77</v>
      </c>
      <c r="G5224" s="28" t="s">
        <v>77</v>
      </c>
      <c r="I5224" s="26" t="s">
        <v>77</v>
      </c>
      <c r="J5224" s="26" t="s">
        <v>77</v>
      </c>
      <c r="K5224" s="18"/>
      <c r="L5224" s="26" t="s">
        <v>77</v>
      </c>
      <c r="M5224" s="6" t="s">
        <v>77</v>
      </c>
      <c r="N5224" s="28" t="s">
        <v>77</v>
      </c>
      <c r="O5224" s="26" t="s">
        <v>77</v>
      </c>
    </row>
    <row r="5225">
      <c r="A5225" s="52" t="s">
        <v>77</v>
      </c>
      <c r="B5225" s="28" t="s">
        <v>77</v>
      </c>
      <c r="C5225" s="28" t="s">
        <v>77</v>
      </c>
      <c r="D5225" s="28" t="s">
        <v>77</v>
      </c>
      <c r="E5225" s="28" t="s">
        <v>77</v>
      </c>
      <c r="F5225" s="28" t="s">
        <v>77</v>
      </c>
      <c r="G5225" s="28" t="s">
        <v>77</v>
      </c>
      <c r="I5225" s="26" t="s">
        <v>77</v>
      </c>
      <c r="J5225" s="26" t="s">
        <v>77</v>
      </c>
      <c r="K5225" s="18"/>
      <c r="L5225" s="26" t="s">
        <v>77</v>
      </c>
      <c r="M5225" s="6" t="s">
        <v>77</v>
      </c>
      <c r="N5225" s="28" t="s">
        <v>77</v>
      </c>
      <c r="O5225" s="26" t="s">
        <v>77</v>
      </c>
    </row>
    <row r="5226">
      <c r="A5226" s="52" t="s">
        <v>77</v>
      </c>
      <c r="B5226" s="28" t="s">
        <v>77</v>
      </c>
      <c r="C5226" s="28" t="s">
        <v>77</v>
      </c>
      <c r="D5226" s="28" t="s">
        <v>77</v>
      </c>
      <c r="E5226" s="28" t="s">
        <v>77</v>
      </c>
      <c r="F5226" s="28" t="s">
        <v>77</v>
      </c>
      <c r="G5226" s="28" t="s">
        <v>77</v>
      </c>
      <c r="I5226" s="26" t="s">
        <v>77</v>
      </c>
      <c r="J5226" s="26" t="s">
        <v>77</v>
      </c>
      <c r="K5226" s="18"/>
      <c r="L5226" s="26" t="s">
        <v>77</v>
      </c>
      <c r="M5226" s="6" t="s">
        <v>77</v>
      </c>
      <c r="N5226" s="28" t="s">
        <v>77</v>
      </c>
      <c r="O5226" s="26" t="s">
        <v>77</v>
      </c>
    </row>
    <row r="5227">
      <c r="A5227" s="52" t="s">
        <v>77</v>
      </c>
      <c r="B5227" s="28" t="s">
        <v>77</v>
      </c>
      <c r="C5227" s="28" t="s">
        <v>77</v>
      </c>
      <c r="D5227" s="28" t="s">
        <v>77</v>
      </c>
      <c r="E5227" s="28" t="s">
        <v>77</v>
      </c>
      <c r="F5227" s="28" t="s">
        <v>77</v>
      </c>
      <c r="G5227" s="28" t="s">
        <v>77</v>
      </c>
      <c r="I5227" s="26" t="s">
        <v>77</v>
      </c>
      <c r="J5227" s="26" t="s">
        <v>77</v>
      </c>
      <c r="K5227" s="18"/>
      <c r="L5227" s="26" t="s">
        <v>77</v>
      </c>
      <c r="M5227" s="6" t="s">
        <v>77</v>
      </c>
      <c r="N5227" s="28" t="s">
        <v>77</v>
      </c>
      <c r="O5227" s="26" t="s">
        <v>77</v>
      </c>
    </row>
    <row r="5228">
      <c r="A5228" s="52" t="s">
        <v>77</v>
      </c>
      <c r="B5228" s="28" t="s">
        <v>77</v>
      </c>
      <c r="C5228" s="28" t="s">
        <v>77</v>
      </c>
      <c r="D5228" s="28" t="s">
        <v>77</v>
      </c>
      <c r="E5228" s="28" t="s">
        <v>77</v>
      </c>
      <c r="F5228" s="28" t="s">
        <v>77</v>
      </c>
      <c r="G5228" s="28" t="s">
        <v>77</v>
      </c>
      <c r="I5228" s="26" t="s">
        <v>77</v>
      </c>
      <c r="J5228" s="26" t="s">
        <v>77</v>
      </c>
      <c r="K5228" s="18"/>
      <c r="L5228" s="26" t="s">
        <v>77</v>
      </c>
      <c r="M5228" s="6" t="s">
        <v>77</v>
      </c>
      <c r="N5228" s="28" t="s">
        <v>77</v>
      </c>
      <c r="O5228" s="26" t="s">
        <v>77</v>
      </c>
    </row>
    <row r="5229">
      <c r="A5229" s="52" t="s">
        <v>77</v>
      </c>
      <c r="B5229" s="28" t="s">
        <v>77</v>
      </c>
      <c r="C5229" s="28" t="s">
        <v>77</v>
      </c>
      <c r="D5229" s="28" t="s">
        <v>77</v>
      </c>
      <c r="E5229" s="28" t="s">
        <v>77</v>
      </c>
      <c r="F5229" s="28" t="s">
        <v>77</v>
      </c>
      <c r="G5229" s="28" t="s">
        <v>77</v>
      </c>
      <c r="I5229" s="26" t="s">
        <v>77</v>
      </c>
      <c r="J5229" s="26" t="s">
        <v>77</v>
      </c>
      <c r="K5229" s="18"/>
      <c r="L5229" s="26" t="s">
        <v>77</v>
      </c>
      <c r="M5229" s="6" t="s">
        <v>77</v>
      </c>
      <c r="N5229" s="28" t="s">
        <v>77</v>
      </c>
      <c r="O5229" s="26" t="s">
        <v>77</v>
      </c>
    </row>
    <row r="5230">
      <c r="A5230" s="52" t="s">
        <v>77</v>
      </c>
      <c r="B5230" s="28" t="s">
        <v>77</v>
      </c>
      <c r="C5230" s="28" t="s">
        <v>77</v>
      </c>
      <c r="D5230" s="28" t="s">
        <v>77</v>
      </c>
      <c r="E5230" s="28" t="s">
        <v>77</v>
      </c>
      <c r="F5230" s="28" t="s">
        <v>77</v>
      </c>
      <c r="G5230" s="28" t="s">
        <v>77</v>
      </c>
      <c r="I5230" s="26" t="s">
        <v>77</v>
      </c>
      <c r="J5230" s="26" t="s">
        <v>77</v>
      </c>
      <c r="K5230" s="18"/>
      <c r="L5230" s="26" t="s">
        <v>77</v>
      </c>
      <c r="M5230" s="6" t="s">
        <v>77</v>
      </c>
      <c r="N5230" s="28" t="s">
        <v>77</v>
      </c>
      <c r="O5230" s="26" t="s">
        <v>77</v>
      </c>
    </row>
    <row r="5231">
      <c r="A5231" s="52" t="s">
        <v>77</v>
      </c>
      <c r="B5231" s="28" t="s">
        <v>77</v>
      </c>
      <c r="C5231" s="28" t="s">
        <v>77</v>
      </c>
      <c r="D5231" s="28" t="s">
        <v>77</v>
      </c>
      <c r="E5231" s="28" t="s">
        <v>77</v>
      </c>
      <c r="F5231" s="28" t="s">
        <v>77</v>
      </c>
      <c r="G5231" s="28" t="s">
        <v>77</v>
      </c>
      <c r="I5231" s="26" t="s">
        <v>77</v>
      </c>
      <c r="J5231" s="26" t="s">
        <v>77</v>
      </c>
      <c r="K5231" s="18"/>
      <c r="L5231" s="26" t="s">
        <v>77</v>
      </c>
      <c r="M5231" s="6" t="s">
        <v>77</v>
      </c>
      <c r="N5231" s="28" t="s">
        <v>77</v>
      </c>
      <c r="O5231" s="26" t="s">
        <v>77</v>
      </c>
    </row>
    <row r="5232">
      <c r="A5232" s="52" t="s">
        <v>77</v>
      </c>
      <c r="B5232" s="28" t="s">
        <v>77</v>
      </c>
      <c r="C5232" s="28" t="s">
        <v>77</v>
      </c>
      <c r="D5232" s="28" t="s">
        <v>77</v>
      </c>
      <c r="E5232" s="28" t="s">
        <v>77</v>
      </c>
      <c r="F5232" s="28" t="s">
        <v>77</v>
      </c>
      <c r="G5232" s="28" t="s">
        <v>77</v>
      </c>
      <c r="I5232" s="26" t="s">
        <v>77</v>
      </c>
      <c r="J5232" s="26" t="s">
        <v>77</v>
      </c>
      <c r="K5232" s="18"/>
      <c r="L5232" s="26" t="s">
        <v>77</v>
      </c>
      <c r="M5232" s="6" t="s">
        <v>77</v>
      </c>
      <c r="N5232" s="28" t="s">
        <v>77</v>
      </c>
      <c r="O5232" s="26" t="s">
        <v>77</v>
      </c>
    </row>
    <row r="5233">
      <c r="A5233" s="52" t="s">
        <v>77</v>
      </c>
      <c r="B5233" s="28" t="s">
        <v>77</v>
      </c>
      <c r="C5233" s="28" t="s">
        <v>77</v>
      </c>
      <c r="D5233" s="28" t="s">
        <v>77</v>
      </c>
      <c r="E5233" s="28" t="s">
        <v>77</v>
      </c>
      <c r="F5233" s="28" t="s">
        <v>77</v>
      </c>
      <c r="G5233" s="28" t="s">
        <v>77</v>
      </c>
      <c r="I5233" s="26" t="s">
        <v>77</v>
      </c>
      <c r="J5233" s="26" t="s">
        <v>77</v>
      </c>
      <c r="K5233" s="18"/>
      <c r="L5233" s="26" t="s">
        <v>77</v>
      </c>
      <c r="M5233" s="6" t="s">
        <v>77</v>
      </c>
      <c r="N5233" s="28" t="s">
        <v>77</v>
      </c>
      <c r="O5233" s="26" t="s">
        <v>77</v>
      </c>
    </row>
    <row r="5234">
      <c r="A5234" s="52" t="s">
        <v>77</v>
      </c>
      <c r="B5234" s="28" t="s">
        <v>77</v>
      </c>
      <c r="C5234" s="28" t="s">
        <v>77</v>
      </c>
      <c r="D5234" s="28" t="s">
        <v>77</v>
      </c>
      <c r="E5234" s="28" t="s">
        <v>77</v>
      </c>
      <c r="F5234" s="28" t="s">
        <v>77</v>
      </c>
      <c r="G5234" s="28" t="s">
        <v>77</v>
      </c>
      <c r="I5234" s="26" t="s">
        <v>77</v>
      </c>
      <c r="J5234" s="26" t="s">
        <v>77</v>
      </c>
      <c r="K5234" s="18"/>
      <c r="L5234" s="26" t="s">
        <v>77</v>
      </c>
      <c r="M5234" s="6" t="s">
        <v>77</v>
      </c>
      <c r="N5234" s="28" t="s">
        <v>77</v>
      </c>
      <c r="O5234" s="26" t="s">
        <v>77</v>
      </c>
    </row>
    <row r="5235">
      <c r="A5235" s="52" t="s">
        <v>77</v>
      </c>
      <c r="B5235" s="28" t="s">
        <v>77</v>
      </c>
      <c r="C5235" s="28" t="s">
        <v>77</v>
      </c>
      <c r="D5235" s="28" t="s">
        <v>77</v>
      </c>
      <c r="E5235" s="28" t="s">
        <v>77</v>
      </c>
      <c r="F5235" s="28" t="s">
        <v>77</v>
      </c>
      <c r="G5235" s="28" t="s">
        <v>77</v>
      </c>
      <c r="I5235" s="26" t="s">
        <v>77</v>
      </c>
      <c r="J5235" s="26" t="s">
        <v>77</v>
      </c>
      <c r="K5235" s="18"/>
      <c r="L5235" s="26" t="s">
        <v>77</v>
      </c>
      <c r="M5235" s="6" t="s">
        <v>77</v>
      </c>
      <c r="N5235" s="28" t="s">
        <v>77</v>
      </c>
      <c r="O5235" s="26" t="s">
        <v>77</v>
      </c>
    </row>
    <row r="5236">
      <c r="A5236" s="52" t="s">
        <v>77</v>
      </c>
      <c r="B5236" s="28" t="s">
        <v>77</v>
      </c>
      <c r="C5236" s="28" t="s">
        <v>77</v>
      </c>
      <c r="D5236" s="28" t="s">
        <v>77</v>
      </c>
      <c r="E5236" s="28" t="s">
        <v>77</v>
      </c>
      <c r="F5236" s="28" t="s">
        <v>77</v>
      </c>
      <c r="G5236" s="28" t="s">
        <v>77</v>
      </c>
      <c r="I5236" s="26" t="s">
        <v>77</v>
      </c>
      <c r="J5236" s="26" t="s">
        <v>77</v>
      </c>
      <c r="K5236" s="18"/>
      <c r="L5236" s="26" t="s">
        <v>77</v>
      </c>
      <c r="M5236" s="6" t="s">
        <v>77</v>
      </c>
      <c r="N5236" s="28" t="s">
        <v>77</v>
      </c>
      <c r="O5236" s="26" t="s">
        <v>77</v>
      </c>
    </row>
    <row r="5237">
      <c r="A5237" s="52" t="s">
        <v>77</v>
      </c>
      <c r="B5237" s="28" t="s">
        <v>77</v>
      </c>
      <c r="C5237" s="28" t="s">
        <v>77</v>
      </c>
      <c r="D5237" s="28" t="s">
        <v>77</v>
      </c>
      <c r="E5237" s="28" t="s">
        <v>77</v>
      </c>
      <c r="F5237" s="28" t="s">
        <v>77</v>
      </c>
      <c r="G5237" s="28" t="s">
        <v>77</v>
      </c>
      <c r="I5237" s="26" t="s">
        <v>77</v>
      </c>
      <c r="J5237" s="26" t="s">
        <v>77</v>
      </c>
      <c r="K5237" s="18"/>
      <c r="L5237" s="26" t="s">
        <v>77</v>
      </c>
      <c r="M5237" s="6" t="s">
        <v>77</v>
      </c>
      <c r="N5237" s="28" t="s">
        <v>77</v>
      </c>
      <c r="O5237" s="26" t="s">
        <v>77</v>
      </c>
    </row>
    <row r="5238">
      <c r="A5238" s="52" t="s">
        <v>77</v>
      </c>
      <c r="B5238" s="28" t="s">
        <v>77</v>
      </c>
      <c r="C5238" s="28" t="s">
        <v>77</v>
      </c>
      <c r="D5238" s="28" t="s">
        <v>77</v>
      </c>
      <c r="E5238" s="28" t="s">
        <v>77</v>
      </c>
      <c r="F5238" s="28" t="s">
        <v>77</v>
      </c>
      <c r="G5238" s="28" t="s">
        <v>77</v>
      </c>
      <c r="I5238" s="26" t="s">
        <v>77</v>
      </c>
      <c r="J5238" s="26" t="s">
        <v>77</v>
      </c>
      <c r="K5238" s="18"/>
      <c r="L5238" s="26" t="s">
        <v>77</v>
      </c>
      <c r="M5238" s="6" t="s">
        <v>77</v>
      </c>
      <c r="N5238" s="28" t="s">
        <v>77</v>
      </c>
      <c r="O5238" s="26" t="s">
        <v>77</v>
      </c>
    </row>
    <row r="5239">
      <c r="A5239" s="52" t="s">
        <v>77</v>
      </c>
      <c r="B5239" s="28" t="s">
        <v>77</v>
      </c>
      <c r="C5239" s="28" t="s">
        <v>77</v>
      </c>
      <c r="D5239" s="28" t="s">
        <v>77</v>
      </c>
      <c r="E5239" s="28" t="s">
        <v>77</v>
      </c>
      <c r="F5239" s="28" t="s">
        <v>77</v>
      </c>
      <c r="G5239" s="28" t="s">
        <v>77</v>
      </c>
      <c r="I5239" s="26" t="s">
        <v>77</v>
      </c>
      <c r="J5239" s="26" t="s">
        <v>77</v>
      </c>
      <c r="K5239" s="18"/>
      <c r="L5239" s="26" t="s">
        <v>77</v>
      </c>
      <c r="M5239" s="6" t="s">
        <v>77</v>
      </c>
      <c r="N5239" s="28" t="s">
        <v>77</v>
      </c>
      <c r="O5239" s="26" t="s">
        <v>77</v>
      </c>
    </row>
    <row r="5240">
      <c r="A5240" s="52" t="s">
        <v>77</v>
      </c>
      <c r="B5240" s="28" t="s">
        <v>77</v>
      </c>
      <c r="C5240" s="28" t="s">
        <v>77</v>
      </c>
      <c r="D5240" s="28" t="s">
        <v>77</v>
      </c>
      <c r="E5240" s="28" t="s">
        <v>77</v>
      </c>
      <c r="F5240" s="28" t="s">
        <v>77</v>
      </c>
      <c r="G5240" s="28" t="s">
        <v>77</v>
      </c>
      <c r="I5240" s="26" t="s">
        <v>77</v>
      </c>
      <c r="J5240" s="26" t="s">
        <v>77</v>
      </c>
      <c r="K5240" s="18"/>
      <c r="L5240" s="26" t="s">
        <v>77</v>
      </c>
      <c r="M5240" s="6" t="s">
        <v>77</v>
      </c>
      <c r="N5240" s="28" t="s">
        <v>77</v>
      </c>
      <c r="O5240" s="26" t="s">
        <v>77</v>
      </c>
    </row>
    <row r="5241">
      <c r="A5241" s="52" t="s">
        <v>77</v>
      </c>
      <c r="B5241" s="28" t="s">
        <v>77</v>
      </c>
      <c r="C5241" s="28" t="s">
        <v>77</v>
      </c>
      <c r="D5241" s="28" t="s">
        <v>77</v>
      </c>
      <c r="E5241" s="28" t="s">
        <v>77</v>
      </c>
      <c r="F5241" s="28" t="s">
        <v>77</v>
      </c>
      <c r="G5241" s="28" t="s">
        <v>77</v>
      </c>
      <c r="I5241" s="26" t="s">
        <v>77</v>
      </c>
      <c r="J5241" s="26" t="s">
        <v>77</v>
      </c>
      <c r="K5241" s="18"/>
      <c r="L5241" s="26" t="s">
        <v>77</v>
      </c>
      <c r="M5241" s="6" t="s">
        <v>77</v>
      </c>
      <c r="N5241" s="28" t="s">
        <v>77</v>
      </c>
      <c r="O5241" s="26" t="s">
        <v>77</v>
      </c>
    </row>
    <row r="5242">
      <c r="A5242" s="52" t="s">
        <v>77</v>
      </c>
      <c r="B5242" s="28" t="s">
        <v>77</v>
      </c>
      <c r="C5242" s="28" t="s">
        <v>77</v>
      </c>
      <c r="D5242" s="28" t="s">
        <v>77</v>
      </c>
      <c r="E5242" s="28" t="s">
        <v>77</v>
      </c>
      <c r="F5242" s="28" t="s">
        <v>77</v>
      </c>
      <c r="G5242" s="28" t="s">
        <v>77</v>
      </c>
      <c r="I5242" s="26" t="s">
        <v>77</v>
      </c>
      <c r="J5242" s="26" t="s">
        <v>77</v>
      </c>
      <c r="K5242" s="18"/>
      <c r="L5242" s="26" t="s">
        <v>77</v>
      </c>
      <c r="M5242" s="6" t="s">
        <v>77</v>
      </c>
      <c r="N5242" s="28" t="s">
        <v>77</v>
      </c>
      <c r="O5242" s="26" t="s">
        <v>77</v>
      </c>
    </row>
    <row r="5243">
      <c r="A5243" s="52" t="s">
        <v>77</v>
      </c>
      <c r="B5243" s="28" t="s">
        <v>77</v>
      </c>
      <c r="C5243" s="28" t="s">
        <v>77</v>
      </c>
      <c r="D5243" s="28" t="s">
        <v>77</v>
      </c>
      <c r="E5243" s="28" t="s">
        <v>77</v>
      </c>
      <c r="F5243" s="28" t="s">
        <v>77</v>
      </c>
      <c r="G5243" s="28" t="s">
        <v>77</v>
      </c>
      <c r="I5243" s="26" t="s">
        <v>77</v>
      </c>
      <c r="J5243" s="26" t="s">
        <v>77</v>
      </c>
      <c r="K5243" s="18"/>
      <c r="L5243" s="26" t="s">
        <v>77</v>
      </c>
      <c r="M5243" s="6" t="s">
        <v>77</v>
      </c>
      <c r="N5243" s="28" t="s">
        <v>77</v>
      </c>
      <c r="O5243" s="26" t="s">
        <v>77</v>
      </c>
    </row>
    <row r="5244">
      <c r="A5244" s="52" t="s">
        <v>77</v>
      </c>
      <c r="B5244" s="28" t="s">
        <v>77</v>
      </c>
      <c r="C5244" s="28" t="s">
        <v>77</v>
      </c>
      <c r="D5244" s="28" t="s">
        <v>77</v>
      </c>
      <c r="E5244" s="28" t="s">
        <v>77</v>
      </c>
      <c r="F5244" s="28" t="s">
        <v>77</v>
      </c>
      <c r="G5244" s="28" t="s">
        <v>77</v>
      </c>
      <c r="I5244" s="26" t="s">
        <v>77</v>
      </c>
      <c r="J5244" s="26" t="s">
        <v>77</v>
      </c>
      <c r="K5244" s="18"/>
      <c r="L5244" s="26" t="s">
        <v>77</v>
      </c>
      <c r="M5244" s="6" t="s">
        <v>77</v>
      </c>
      <c r="N5244" s="28" t="s">
        <v>77</v>
      </c>
      <c r="O5244" s="26" t="s">
        <v>77</v>
      </c>
    </row>
    <row r="5245">
      <c r="A5245" s="52" t="s">
        <v>77</v>
      </c>
      <c r="B5245" s="28" t="s">
        <v>77</v>
      </c>
      <c r="C5245" s="28" t="s">
        <v>77</v>
      </c>
      <c r="D5245" s="28" t="s">
        <v>77</v>
      </c>
      <c r="E5245" s="28" t="s">
        <v>77</v>
      </c>
      <c r="F5245" s="28" t="s">
        <v>77</v>
      </c>
      <c r="G5245" s="28" t="s">
        <v>77</v>
      </c>
      <c r="I5245" s="26" t="s">
        <v>77</v>
      </c>
      <c r="J5245" s="26" t="s">
        <v>77</v>
      </c>
      <c r="K5245" s="18"/>
      <c r="L5245" s="26" t="s">
        <v>77</v>
      </c>
      <c r="M5245" s="6" t="s">
        <v>77</v>
      </c>
      <c r="N5245" s="28" t="s">
        <v>77</v>
      </c>
      <c r="O5245" s="26" t="s">
        <v>77</v>
      </c>
    </row>
    <row r="5246">
      <c r="A5246" s="52" t="s">
        <v>77</v>
      </c>
      <c r="B5246" s="28" t="s">
        <v>77</v>
      </c>
      <c r="C5246" s="28" t="s">
        <v>77</v>
      </c>
      <c r="D5246" s="28" t="s">
        <v>77</v>
      </c>
      <c r="E5246" s="28" t="s">
        <v>77</v>
      </c>
      <c r="F5246" s="28" t="s">
        <v>77</v>
      </c>
      <c r="G5246" s="28" t="s">
        <v>77</v>
      </c>
      <c r="I5246" s="26" t="s">
        <v>77</v>
      </c>
      <c r="J5246" s="26" t="s">
        <v>77</v>
      </c>
      <c r="K5246" s="18"/>
      <c r="L5246" s="26" t="s">
        <v>77</v>
      </c>
      <c r="M5246" s="6" t="s">
        <v>77</v>
      </c>
      <c r="N5246" s="28" t="s">
        <v>77</v>
      </c>
      <c r="O5246" s="26" t="s">
        <v>77</v>
      </c>
    </row>
    <row r="5247">
      <c r="A5247" s="52" t="s">
        <v>77</v>
      </c>
      <c r="B5247" s="28" t="s">
        <v>77</v>
      </c>
      <c r="C5247" s="28" t="s">
        <v>77</v>
      </c>
      <c r="D5247" s="28" t="s">
        <v>77</v>
      </c>
      <c r="E5247" s="28" t="s">
        <v>77</v>
      </c>
      <c r="F5247" s="28" t="s">
        <v>77</v>
      </c>
      <c r="G5247" s="28" t="s">
        <v>77</v>
      </c>
      <c r="I5247" s="26" t="s">
        <v>77</v>
      </c>
      <c r="J5247" s="26" t="s">
        <v>77</v>
      </c>
      <c r="K5247" s="18"/>
      <c r="L5247" s="26" t="s">
        <v>77</v>
      </c>
      <c r="M5247" s="6" t="s">
        <v>77</v>
      </c>
      <c r="N5247" s="28" t="s">
        <v>77</v>
      </c>
      <c r="O5247" s="26" t="s">
        <v>77</v>
      </c>
    </row>
    <row r="5248">
      <c r="A5248" s="52" t="s">
        <v>77</v>
      </c>
      <c r="B5248" s="28" t="s">
        <v>77</v>
      </c>
      <c r="C5248" s="28" t="s">
        <v>77</v>
      </c>
      <c r="D5248" s="28" t="s">
        <v>77</v>
      </c>
      <c r="E5248" s="28" t="s">
        <v>77</v>
      </c>
      <c r="F5248" s="28" t="s">
        <v>77</v>
      </c>
      <c r="G5248" s="28" t="s">
        <v>77</v>
      </c>
      <c r="I5248" s="26" t="s">
        <v>77</v>
      </c>
      <c r="J5248" s="26" t="s">
        <v>77</v>
      </c>
      <c r="K5248" s="18"/>
      <c r="L5248" s="26" t="s">
        <v>77</v>
      </c>
      <c r="M5248" s="6" t="s">
        <v>77</v>
      </c>
      <c r="N5248" s="28" t="s">
        <v>77</v>
      </c>
      <c r="O5248" s="26" t="s">
        <v>77</v>
      </c>
    </row>
    <row r="5249">
      <c r="A5249" s="52" t="s">
        <v>77</v>
      </c>
      <c r="B5249" s="28" t="s">
        <v>77</v>
      </c>
      <c r="C5249" s="28" t="s">
        <v>77</v>
      </c>
      <c r="D5249" s="28" t="s">
        <v>77</v>
      </c>
      <c r="E5249" s="28" t="s">
        <v>77</v>
      </c>
      <c r="F5249" s="28" t="s">
        <v>77</v>
      </c>
      <c r="G5249" s="28" t="s">
        <v>77</v>
      </c>
      <c r="I5249" s="26" t="s">
        <v>77</v>
      </c>
      <c r="J5249" s="26" t="s">
        <v>77</v>
      </c>
      <c r="K5249" s="18"/>
      <c r="L5249" s="26" t="s">
        <v>77</v>
      </c>
      <c r="M5249" s="6" t="s">
        <v>77</v>
      </c>
      <c r="N5249" s="28" t="s">
        <v>77</v>
      </c>
      <c r="O5249" s="26" t="s">
        <v>77</v>
      </c>
    </row>
    <row r="5250">
      <c r="A5250" s="52" t="s">
        <v>77</v>
      </c>
      <c r="B5250" s="28" t="s">
        <v>77</v>
      </c>
      <c r="C5250" s="28" t="s">
        <v>77</v>
      </c>
      <c r="D5250" s="28" t="s">
        <v>77</v>
      </c>
      <c r="E5250" s="28" t="s">
        <v>77</v>
      </c>
      <c r="F5250" s="28" t="s">
        <v>77</v>
      </c>
      <c r="G5250" s="28" t="s">
        <v>77</v>
      </c>
      <c r="I5250" s="26" t="s">
        <v>77</v>
      </c>
      <c r="J5250" s="26" t="s">
        <v>77</v>
      </c>
      <c r="K5250" s="18"/>
      <c r="L5250" s="26" t="s">
        <v>77</v>
      </c>
      <c r="M5250" s="6" t="s">
        <v>77</v>
      </c>
      <c r="N5250" s="28" t="s">
        <v>77</v>
      </c>
      <c r="O5250" s="26" t="s">
        <v>77</v>
      </c>
    </row>
    <row r="5251">
      <c r="A5251" s="52" t="s">
        <v>77</v>
      </c>
      <c r="B5251" s="28" t="s">
        <v>77</v>
      </c>
      <c r="C5251" s="28" t="s">
        <v>77</v>
      </c>
      <c r="D5251" s="28" t="s">
        <v>77</v>
      </c>
      <c r="E5251" s="28" t="s">
        <v>77</v>
      </c>
      <c r="F5251" s="28" t="s">
        <v>77</v>
      </c>
      <c r="G5251" s="28" t="s">
        <v>77</v>
      </c>
      <c r="I5251" s="26" t="s">
        <v>77</v>
      </c>
      <c r="J5251" s="26" t="s">
        <v>77</v>
      </c>
      <c r="K5251" s="18"/>
      <c r="L5251" s="26" t="s">
        <v>77</v>
      </c>
      <c r="M5251" s="6" t="s">
        <v>77</v>
      </c>
      <c r="N5251" s="28" t="s">
        <v>77</v>
      </c>
      <c r="O5251" s="26" t="s">
        <v>77</v>
      </c>
    </row>
    <row r="5252">
      <c r="A5252" s="52" t="s">
        <v>77</v>
      </c>
      <c r="B5252" s="28" t="s">
        <v>77</v>
      </c>
      <c r="C5252" s="28" t="s">
        <v>77</v>
      </c>
      <c r="D5252" s="28" t="s">
        <v>77</v>
      </c>
      <c r="E5252" s="28" t="s">
        <v>77</v>
      </c>
      <c r="F5252" s="28" t="s">
        <v>77</v>
      </c>
      <c r="G5252" s="28" t="s">
        <v>77</v>
      </c>
      <c r="I5252" s="26" t="s">
        <v>77</v>
      </c>
      <c r="J5252" s="26" t="s">
        <v>77</v>
      </c>
      <c r="K5252" s="18"/>
      <c r="L5252" s="26" t="s">
        <v>77</v>
      </c>
      <c r="M5252" s="6" t="s">
        <v>77</v>
      </c>
      <c r="N5252" s="28" t="s">
        <v>77</v>
      </c>
      <c r="O5252" s="26" t="s">
        <v>77</v>
      </c>
    </row>
    <row r="5253">
      <c r="A5253" s="52" t="s">
        <v>77</v>
      </c>
      <c r="B5253" s="28" t="s">
        <v>77</v>
      </c>
      <c r="C5253" s="28" t="s">
        <v>77</v>
      </c>
      <c r="D5253" s="28" t="s">
        <v>77</v>
      </c>
      <c r="E5253" s="28" t="s">
        <v>77</v>
      </c>
      <c r="F5253" s="28" t="s">
        <v>77</v>
      </c>
      <c r="G5253" s="28" t="s">
        <v>77</v>
      </c>
      <c r="I5253" s="26" t="s">
        <v>77</v>
      </c>
      <c r="J5253" s="26" t="s">
        <v>77</v>
      </c>
      <c r="K5253" s="18"/>
      <c r="L5253" s="26" t="s">
        <v>77</v>
      </c>
      <c r="M5253" s="6" t="s">
        <v>77</v>
      </c>
      <c r="N5253" s="28" t="s">
        <v>77</v>
      </c>
      <c r="O5253" s="26" t="s">
        <v>77</v>
      </c>
    </row>
    <row r="5254">
      <c r="A5254" s="52" t="s">
        <v>77</v>
      </c>
      <c r="B5254" s="28" t="s">
        <v>77</v>
      </c>
      <c r="C5254" s="28" t="s">
        <v>77</v>
      </c>
      <c r="D5254" s="28" t="s">
        <v>77</v>
      </c>
      <c r="E5254" s="28" t="s">
        <v>77</v>
      </c>
      <c r="F5254" s="28" t="s">
        <v>77</v>
      </c>
      <c r="G5254" s="28" t="s">
        <v>77</v>
      </c>
      <c r="I5254" s="26" t="s">
        <v>77</v>
      </c>
      <c r="J5254" s="26" t="s">
        <v>77</v>
      </c>
      <c r="K5254" s="18"/>
      <c r="L5254" s="26" t="s">
        <v>77</v>
      </c>
      <c r="M5254" s="6" t="s">
        <v>77</v>
      </c>
      <c r="N5254" s="28" t="s">
        <v>77</v>
      </c>
      <c r="O5254" s="26" t="s">
        <v>77</v>
      </c>
    </row>
    <row r="5255">
      <c r="A5255" s="52" t="s">
        <v>77</v>
      </c>
      <c r="B5255" s="28" t="s">
        <v>77</v>
      </c>
      <c r="C5255" s="28" t="s">
        <v>77</v>
      </c>
      <c r="D5255" s="28" t="s">
        <v>77</v>
      </c>
      <c r="E5255" s="28" t="s">
        <v>77</v>
      </c>
      <c r="F5255" s="28" t="s">
        <v>77</v>
      </c>
      <c r="G5255" s="28" t="s">
        <v>77</v>
      </c>
      <c r="I5255" s="26" t="s">
        <v>77</v>
      </c>
      <c r="J5255" s="26" t="s">
        <v>77</v>
      </c>
      <c r="K5255" s="18"/>
      <c r="L5255" s="26" t="s">
        <v>77</v>
      </c>
      <c r="M5255" s="6" t="s">
        <v>77</v>
      </c>
      <c r="N5255" s="28" t="s">
        <v>77</v>
      </c>
      <c r="O5255" s="26" t="s">
        <v>77</v>
      </c>
    </row>
    <row r="5256">
      <c r="A5256" s="52" t="s">
        <v>77</v>
      </c>
      <c r="B5256" s="28" t="s">
        <v>77</v>
      </c>
      <c r="C5256" s="28" t="s">
        <v>77</v>
      </c>
      <c r="D5256" s="28" t="s">
        <v>77</v>
      </c>
      <c r="E5256" s="28" t="s">
        <v>77</v>
      </c>
      <c r="F5256" s="28" t="s">
        <v>77</v>
      </c>
      <c r="G5256" s="28" t="s">
        <v>77</v>
      </c>
      <c r="I5256" s="26" t="s">
        <v>77</v>
      </c>
      <c r="J5256" s="26" t="s">
        <v>77</v>
      </c>
      <c r="K5256" s="18"/>
      <c r="L5256" s="26" t="s">
        <v>77</v>
      </c>
      <c r="M5256" s="6" t="s">
        <v>77</v>
      </c>
      <c r="N5256" s="28" t="s">
        <v>77</v>
      </c>
      <c r="O5256" s="26" t="s">
        <v>77</v>
      </c>
    </row>
    <row r="5257">
      <c r="A5257" s="52" t="s">
        <v>77</v>
      </c>
      <c r="B5257" s="28" t="s">
        <v>77</v>
      </c>
      <c r="C5257" s="28" t="s">
        <v>77</v>
      </c>
      <c r="D5257" s="28" t="s">
        <v>77</v>
      </c>
      <c r="E5257" s="28" t="s">
        <v>77</v>
      </c>
      <c r="F5257" s="28" t="s">
        <v>77</v>
      </c>
      <c r="G5257" s="28" t="s">
        <v>77</v>
      </c>
      <c r="I5257" s="26" t="s">
        <v>77</v>
      </c>
      <c r="J5257" s="26" t="s">
        <v>77</v>
      </c>
      <c r="K5257" s="18"/>
      <c r="L5257" s="26" t="s">
        <v>77</v>
      </c>
      <c r="M5257" s="6" t="s">
        <v>77</v>
      </c>
      <c r="N5257" s="28" t="s">
        <v>77</v>
      </c>
      <c r="O5257" s="26" t="s">
        <v>77</v>
      </c>
    </row>
    <row r="5258">
      <c r="A5258" s="52" t="s">
        <v>77</v>
      </c>
      <c r="B5258" s="28" t="s">
        <v>77</v>
      </c>
      <c r="C5258" s="28" t="s">
        <v>77</v>
      </c>
      <c r="D5258" s="28" t="s">
        <v>77</v>
      </c>
      <c r="E5258" s="28" t="s">
        <v>77</v>
      </c>
      <c r="F5258" s="28" t="s">
        <v>77</v>
      </c>
      <c r="G5258" s="28" t="s">
        <v>77</v>
      </c>
      <c r="I5258" s="26" t="s">
        <v>77</v>
      </c>
      <c r="J5258" s="26" t="s">
        <v>77</v>
      </c>
      <c r="K5258" s="18"/>
      <c r="L5258" s="26" t="s">
        <v>77</v>
      </c>
      <c r="M5258" s="6" t="s">
        <v>77</v>
      </c>
      <c r="N5258" s="28" t="s">
        <v>77</v>
      </c>
      <c r="O5258" s="26" t="s">
        <v>77</v>
      </c>
    </row>
    <row r="5259">
      <c r="A5259" s="52" t="s">
        <v>77</v>
      </c>
      <c r="B5259" s="28" t="s">
        <v>77</v>
      </c>
      <c r="C5259" s="28" t="s">
        <v>77</v>
      </c>
      <c r="D5259" s="28" t="s">
        <v>77</v>
      </c>
      <c r="E5259" s="28" t="s">
        <v>77</v>
      </c>
      <c r="F5259" s="28" t="s">
        <v>77</v>
      </c>
      <c r="G5259" s="28" t="s">
        <v>77</v>
      </c>
      <c r="I5259" s="26" t="s">
        <v>77</v>
      </c>
      <c r="J5259" s="26" t="s">
        <v>77</v>
      </c>
      <c r="K5259" s="18"/>
      <c r="L5259" s="26" t="s">
        <v>77</v>
      </c>
      <c r="M5259" s="6" t="s">
        <v>77</v>
      </c>
      <c r="N5259" s="28" t="s">
        <v>77</v>
      </c>
      <c r="O5259" s="26" t="s">
        <v>77</v>
      </c>
    </row>
    <row r="5260">
      <c r="A5260" s="52" t="s">
        <v>77</v>
      </c>
      <c r="B5260" s="28" t="s">
        <v>77</v>
      </c>
      <c r="C5260" s="28" t="s">
        <v>77</v>
      </c>
      <c r="D5260" s="28" t="s">
        <v>77</v>
      </c>
      <c r="E5260" s="28" t="s">
        <v>77</v>
      </c>
      <c r="F5260" s="28" t="s">
        <v>77</v>
      </c>
      <c r="G5260" s="28" t="s">
        <v>77</v>
      </c>
      <c r="I5260" s="26" t="s">
        <v>77</v>
      </c>
      <c r="J5260" s="26" t="s">
        <v>77</v>
      </c>
      <c r="K5260" s="18"/>
      <c r="L5260" s="26" t="s">
        <v>77</v>
      </c>
      <c r="M5260" s="6" t="s">
        <v>77</v>
      </c>
      <c r="N5260" s="28" t="s">
        <v>77</v>
      </c>
      <c r="O5260" s="26" t="s">
        <v>77</v>
      </c>
    </row>
    <row r="5261">
      <c r="A5261" s="52" t="s">
        <v>77</v>
      </c>
      <c r="B5261" s="28" t="s">
        <v>77</v>
      </c>
      <c r="C5261" s="28" t="s">
        <v>77</v>
      </c>
      <c r="D5261" s="28" t="s">
        <v>77</v>
      </c>
      <c r="E5261" s="28" t="s">
        <v>77</v>
      </c>
      <c r="F5261" s="28" t="s">
        <v>77</v>
      </c>
      <c r="G5261" s="28" t="s">
        <v>77</v>
      </c>
      <c r="I5261" s="26" t="s">
        <v>77</v>
      </c>
      <c r="J5261" s="26" t="s">
        <v>77</v>
      </c>
      <c r="K5261" s="18"/>
      <c r="L5261" s="26" t="s">
        <v>77</v>
      </c>
      <c r="M5261" s="6" t="s">
        <v>77</v>
      </c>
      <c r="N5261" s="28" t="s">
        <v>77</v>
      </c>
      <c r="O5261" s="26" t="s">
        <v>77</v>
      </c>
    </row>
    <row r="5262">
      <c r="A5262" s="52" t="s">
        <v>77</v>
      </c>
      <c r="B5262" s="28" t="s">
        <v>77</v>
      </c>
      <c r="C5262" s="28" t="s">
        <v>77</v>
      </c>
      <c r="D5262" s="28" t="s">
        <v>77</v>
      </c>
      <c r="E5262" s="28" t="s">
        <v>77</v>
      </c>
      <c r="F5262" s="28" t="s">
        <v>77</v>
      </c>
      <c r="G5262" s="28" t="s">
        <v>77</v>
      </c>
      <c r="I5262" s="26" t="s">
        <v>77</v>
      </c>
      <c r="J5262" s="26" t="s">
        <v>77</v>
      </c>
      <c r="K5262" s="18"/>
      <c r="L5262" s="26" t="s">
        <v>77</v>
      </c>
      <c r="M5262" s="6" t="s">
        <v>77</v>
      </c>
      <c r="N5262" s="28" t="s">
        <v>77</v>
      </c>
      <c r="O5262" s="26" t="s">
        <v>77</v>
      </c>
    </row>
    <row r="5263">
      <c r="A5263" s="52" t="s">
        <v>77</v>
      </c>
      <c r="B5263" s="28" t="s">
        <v>77</v>
      </c>
      <c r="C5263" s="28" t="s">
        <v>77</v>
      </c>
      <c r="D5263" s="28" t="s">
        <v>77</v>
      </c>
      <c r="E5263" s="28" t="s">
        <v>77</v>
      </c>
      <c r="F5263" s="28" t="s">
        <v>77</v>
      </c>
      <c r="G5263" s="28" t="s">
        <v>77</v>
      </c>
      <c r="I5263" s="26" t="s">
        <v>77</v>
      </c>
      <c r="J5263" s="26" t="s">
        <v>77</v>
      </c>
      <c r="K5263" s="18"/>
      <c r="L5263" s="26" t="s">
        <v>77</v>
      </c>
      <c r="M5263" s="6" t="s">
        <v>77</v>
      </c>
      <c r="N5263" s="28" t="s">
        <v>77</v>
      </c>
      <c r="O5263" s="26" t="s">
        <v>77</v>
      </c>
    </row>
    <row r="5264">
      <c r="A5264" s="52" t="s">
        <v>77</v>
      </c>
      <c r="B5264" s="28" t="s">
        <v>77</v>
      </c>
      <c r="C5264" s="28" t="s">
        <v>77</v>
      </c>
      <c r="D5264" s="28" t="s">
        <v>77</v>
      </c>
      <c r="E5264" s="28" t="s">
        <v>77</v>
      </c>
      <c r="F5264" s="28" t="s">
        <v>77</v>
      </c>
      <c r="G5264" s="28" t="s">
        <v>77</v>
      </c>
      <c r="I5264" s="26" t="s">
        <v>77</v>
      </c>
      <c r="J5264" s="26" t="s">
        <v>77</v>
      </c>
      <c r="K5264" s="18"/>
      <c r="L5264" s="26" t="s">
        <v>77</v>
      </c>
      <c r="M5264" s="6" t="s">
        <v>77</v>
      </c>
      <c r="N5264" s="28" t="s">
        <v>77</v>
      </c>
      <c r="O5264" s="26" t="s">
        <v>77</v>
      </c>
    </row>
    <row r="5265">
      <c r="A5265" s="52" t="s">
        <v>77</v>
      </c>
      <c r="B5265" s="28" t="s">
        <v>77</v>
      </c>
      <c r="C5265" s="28" t="s">
        <v>77</v>
      </c>
      <c r="D5265" s="28" t="s">
        <v>77</v>
      </c>
      <c r="E5265" s="28" t="s">
        <v>77</v>
      </c>
      <c r="F5265" s="28" t="s">
        <v>77</v>
      </c>
      <c r="G5265" s="28" t="s">
        <v>77</v>
      </c>
      <c r="I5265" s="26" t="s">
        <v>77</v>
      </c>
      <c r="J5265" s="26" t="s">
        <v>77</v>
      </c>
      <c r="K5265" s="18"/>
      <c r="L5265" s="26" t="s">
        <v>77</v>
      </c>
      <c r="M5265" s="6" t="s">
        <v>77</v>
      </c>
      <c r="N5265" s="28" t="s">
        <v>77</v>
      </c>
      <c r="O5265" s="26" t="s">
        <v>77</v>
      </c>
    </row>
    <row r="5266">
      <c r="A5266" s="52" t="s">
        <v>77</v>
      </c>
      <c r="B5266" s="28" t="s">
        <v>77</v>
      </c>
      <c r="C5266" s="28" t="s">
        <v>77</v>
      </c>
      <c r="D5266" s="28" t="s">
        <v>77</v>
      </c>
      <c r="E5266" s="28" t="s">
        <v>77</v>
      </c>
      <c r="F5266" s="28" t="s">
        <v>77</v>
      </c>
      <c r="G5266" s="28" t="s">
        <v>77</v>
      </c>
      <c r="I5266" s="26" t="s">
        <v>77</v>
      </c>
      <c r="J5266" s="26" t="s">
        <v>77</v>
      </c>
      <c r="K5266" s="18"/>
      <c r="L5266" s="26" t="s">
        <v>77</v>
      </c>
      <c r="M5266" s="6" t="s">
        <v>77</v>
      </c>
      <c r="N5266" s="28" t="s">
        <v>77</v>
      </c>
      <c r="O5266" s="26" t="s">
        <v>77</v>
      </c>
    </row>
    <row r="5267">
      <c r="A5267" s="52" t="s">
        <v>77</v>
      </c>
      <c r="B5267" s="28" t="s">
        <v>77</v>
      </c>
      <c r="C5267" s="28" t="s">
        <v>77</v>
      </c>
      <c r="D5267" s="28" t="s">
        <v>77</v>
      </c>
      <c r="E5267" s="28" t="s">
        <v>77</v>
      </c>
      <c r="F5267" s="28" t="s">
        <v>77</v>
      </c>
      <c r="G5267" s="28" t="s">
        <v>77</v>
      </c>
      <c r="I5267" s="26" t="s">
        <v>77</v>
      </c>
      <c r="J5267" s="26" t="s">
        <v>77</v>
      </c>
      <c r="K5267" s="18"/>
      <c r="L5267" s="26" t="s">
        <v>77</v>
      </c>
      <c r="M5267" s="6" t="s">
        <v>77</v>
      </c>
      <c r="N5267" s="28" t="s">
        <v>77</v>
      </c>
      <c r="O5267" s="26" t="s">
        <v>77</v>
      </c>
    </row>
    <row r="5268">
      <c r="A5268" s="52" t="s">
        <v>77</v>
      </c>
      <c r="B5268" s="28" t="s">
        <v>77</v>
      </c>
      <c r="C5268" s="28" t="s">
        <v>77</v>
      </c>
      <c r="D5268" s="28" t="s">
        <v>77</v>
      </c>
      <c r="E5268" s="28" t="s">
        <v>77</v>
      </c>
      <c r="F5268" s="28" t="s">
        <v>77</v>
      </c>
      <c r="G5268" s="28" t="s">
        <v>77</v>
      </c>
      <c r="I5268" s="26" t="s">
        <v>77</v>
      </c>
      <c r="J5268" s="26" t="s">
        <v>77</v>
      </c>
      <c r="K5268" s="18"/>
      <c r="L5268" s="26" t="s">
        <v>77</v>
      </c>
      <c r="M5268" s="6" t="s">
        <v>77</v>
      </c>
      <c r="N5268" s="28" t="s">
        <v>77</v>
      </c>
      <c r="O5268" s="26" t="s">
        <v>77</v>
      </c>
    </row>
    <row r="5269">
      <c r="A5269" s="52" t="s">
        <v>77</v>
      </c>
      <c r="B5269" s="28" t="s">
        <v>77</v>
      </c>
      <c r="C5269" s="28" t="s">
        <v>77</v>
      </c>
      <c r="D5269" s="28" t="s">
        <v>77</v>
      </c>
      <c r="E5269" s="28" t="s">
        <v>77</v>
      </c>
      <c r="F5269" s="28" t="s">
        <v>77</v>
      </c>
      <c r="G5269" s="28" t="s">
        <v>77</v>
      </c>
      <c r="I5269" s="26" t="s">
        <v>77</v>
      </c>
      <c r="J5269" s="26" t="s">
        <v>77</v>
      </c>
      <c r="K5269" s="18"/>
      <c r="L5269" s="26" t="s">
        <v>77</v>
      </c>
      <c r="M5269" s="6" t="s">
        <v>77</v>
      </c>
      <c r="N5269" s="28" t="s">
        <v>77</v>
      </c>
      <c r="O5269" s="26" t="s">
        <v>77</v>
      </c>
    </row>
    <row r="5270">
      <c r="A5270" s="52" t="s">
        <v>77</v>
      </c>
      <c r="B5270" s="28" t="s">
        <v>77</v>
      </c>
      <c r="C5270" s="28" t="s">
        <v>77</v>
      </c>
      <c r="D5270" s="28" t="s">
        <v>77</v>
      </c>
      <c r="E5270" s="28" t="s">
        <v>77</v>
      </c>
      <c r="F5270" s="28" t="s">
        <v>77</v>
      </c>
      <c r="G5270" s="28" t="s">
        <v>77</v>
      </c>
      <c r="I5270" s="26" t="s">
        <v>77</v>
      </c>
      <c r="J5270" s="26" t="s">
        <v>77</v>
      </c>
      <c r="K5270" s="18"/>
      <c r="L5270" s="26" t="s">
        <v>77</v>
      </c>
      <c r="M5270" s="6" t="s">
        <v>77</v>
      </c>
      <c r="N5270" s="28" t="s">
        <v>77</v>
      </c>
      <c r="O5270" s="26" t="s">
        <v>77</v>
      </c>
    </row>
    <row r="5271">
      <c r="A5271" s="52" t="s">
        <v>77</v>
      </c>
      <c r="B5271" s="28" t="s">
        <v>77</v>
      </c>
      <c r="C5271" s="28" t="s">
        <v>77</v>
      </c>
      <c r="D5271" s="28" t="s">
        <v>77</v>
      </c>
      <c r="E5271" s="28" t="s">
        <v>77</v>
      </c>
      <c r="F5271" s="28" t="s">
        <v>77</v>
      </c>
      <c r="G5271" s="28" t="s">
        <v>77</v>
      </c>
      <c r="I5271" s="26" t="s">
        <v>77</v>
      </c>
      <c r="J5271" s="26" t="s">
        <v>77</v>
      </c>
      <c r="K5271" s="18"/>
      <c r="L5271" s="26" t="s">
        <v>77</v>
      </c>
      <c r="M5271" s="6" t="s">
        <v>77</v>
      </c>
      <c r="N5271" s="28" t="s">
        <v>77</v>
      </c>
      <c r="O5271" s="26" t="s">
        <v>77</v>
      </c>
    </row>
    <row r="5272">
      <c r="A5272" s="52" t="s">
        <v>77</v>
      </c>
      <c r="B5272" s="28" t="s">
        <v>77</v>
      </c>
      <c r="C5272" s="28" t="s">
        <v>77</v>
      </c>
      <c r="D5272" s="28" t="s">
        <v>77</v>
      </c>
      <c r="E5272" s="28" t="s">
        <v>77</v>
      </c>
      <c r="F5272" s="28" t="s">
        <v>77</v>
      </c>
      <c r="G5272" s="28" t="s">
        <v>77</v>
      </c>
      <c r="I5272" s="26" t="s">
        <v>77</v>
      </c>
      <c r="J5272" s="26" t="s">
        <v>77</v>
      </c>
      <c r="K5272" s="18"/>
      <c r="L5272" s="26" t="s">
        <v>77</v>
      </c>
      <c r="M5272" s="6" t="s">
        <v>77</v>
      </c>
      <c r="N5272" s="28" t="s">
        <v>77</v>
      </c>
      <c r="O5272" s="26" t="s">
        <v>77</v>
      </c>
    </row>
    <row r="5273">
      <c r="A5273" s="52" t="s">
        <v>77</v>
      </c>
      <c r="B5273" s="28" t="s">
        <v>77</v>
      </c>
      <c r="C5273" s="28" t="s">
        <v>77</v>
      </c>
      <c r="D5273" s="28" t="s">
        <v>77</v>
      </c>
      <c r="E5273" s="28" t="s">
        <v>77</v>
      </c>
      <c r="F5273" s="28" t="s">
        <v>77</v>
      </c>
      <c r="G5273" s="28" t="s">
        <v>77</v>
      </c>
      <c r="I5273" s="26" t="s">
        <v>77</v>
      </c>
      <c r="J5273" s="26" t="s">
        <v>77</v>
      </c>
      <c r="K5273" s="18"/>
      <c r="L5273" s="26" t="s">
        <v>77</v>
      </c>
      <c r="M5273" s="6" t="s">
        <v>77</v>
      </c>
      <c r="N5273" s="28" t="s">
        <v>77</v>
      </c>
      <c r="O5273" s="26" t="s">
        <v>77</v>
      </c>
    </row>
    <row r="5274">
      <c r="A5274" s="52" t="s">
        <v>77</v>
      </c>
      <c r="B5274" s="28" t="s">
        <v>77</v>
      </c>
      <c r="C5274" s="28" t="s">
        <v>77</v>
      </c>
      <c r="D5274" s="28" t="s">
        <v>77</v>
      </c>
      <c r="E5274" s="28" t="s">
        <v>77</v>
      </c>
      <c r="F5274" s="28" t="s">
        <v>77</v>
      </c>
      <c r="G5274" s="28" t="s">
        <v>77</v>
      </c>
      <c r="I5274" s="26" t="s">
        <v>77</v>
      </c>
      <c r="J5274" s="26" t="s">
        <v>77</v>
      </c>
      <c r="K5274" s="18"/>
      <c r="L5274" s="26" t="s">
        <v>77</v>
      </c>
      <c r="M5274" s="6" t="s">
        <v>77</v>
      </c>
      <c r="N5274" s="28" t="s">
        <v>77</v>
      </c>
      <c r="O5274" s="26" t="s">
        <v>77</v>
      </c>
    </row>
    <row r="5275">
      <c r="A5275" s="52" t="s">
        <v>77</v>
      </c>
      <c r="B5275" s="28" t="s">
        <v>77</v>
      </c>
      <c r="C5275" s="28" t="s">
        <v>77</v>
      </c>
      <c r="D5275" s="28" t="s">
        <v>77</v>
      </c>
      <c r="E5275" s="28" t="s">
        <v>77</v>
      </c>
      <c r="F5275" s="28" t="s">
        <v>77</v>
      </c>
      <c r="G5275" s="28" t="s">
        <v>77</v>
      </c>
      <c r="I5275" s="26" t="s">
        <v>77</v>
      </c>
      <c r="J5275" s="26" t="s">
        <v>77</v>
      </c>
      <c r="K5275" s="18"/>
      <c r="L5275" s="26" t="s">
        <v>77</v>
      </c>
      <c r="M5275" s="6" t="s">
        <v>77</v>
      </c>
      <c r="N5275" s="28" t="s">
        <v>77</v>
      </c>
      <c r="O5275" s="26" t="s">
        <v>77</v>
      </c>
    </row>
    <row r="5276">
      <c r="A5276" s="52" t="s">
        <v>77</v>
      </c>
      <c r="B5276" s="28" t="s">
        <v>77</v>
      </c>
      <c r="C5276" s="28" t="s">
        <v>77</v>
      </c>
      <c r="D5276" s="28" t="s">
        <v>77</v>
      </c>
      <c r="E5276" s="28" t="s">
        <v>77</v>
      </c>
      <c r="F5276" s="28" t="s">
        <v>77</v>
      </c>
      <c r="G5276" s="28" t="s">
        <v>77</v>
      </c>
      <c r="I5276" s="26" t="s">
        <v>77</v>
      </c>
      <c r="J5276" s="26" t="s">
        <v>77</v>
      </c>
      <c r="K5276" s="18"/>
      <c r="L5276" s="26" t="s">
        <v>77</v>
      </c>
      <c r="M5276" s="6" t="s">
        <v>77</v>
      </c>
      <c r="N5276" s="28" t="s">
        <v>77</v>
      </c>
      <c r="O5276" s="26" t="s">
        <v>77</v>
      </c>
    </row>
    <row r="5277">
      <c r="A5277" s="52" t="s">
        <v>77</v>
      </c>
      <c r="B5277" s="28" t="s">
        <v>77</v>
      </c>
      <c r="C5277" s="28" t="s">
        <v>77</v>
      </c>
      <c r="D5277" s="28" t="s">
        <v>77</v>
      </c>
      <c r="E5277" s="28" t="s">
        <v>77</v>
      </c>
      <c r="F5277" s="28" t="s">
        <v>77</v>
      </c>
      <c r="G5277" s="28" t="s">
        <v>77</v>
      </c>
      <c r="I5277" s="26" t="s">
        <v>77</v>
      </c>
      <c r="J5277" s="26" t="s">
        <v>77</v>
      </c>
      <c r="K5277" s="18"/>
      <c r="L5277" s="26" t="s">
        <v>77</v>
      </c>
      <c r="M5277" s="6" t="s">
        <v>77</v>
      </c>
      <c r="N5277" s="28" t="s">
        <v>77</v>
      </c>
      <c r="O5277" s="26" t="s">
        <v>77</v>
      </c>
    </row>
    <row r="5278">
      <c r="A5278" s="52" t="s">
        <v>77</v>
      </c>
      <c r="B5278" s="28" t="s">
        <v>77</v>
      </c>
      <c r="C5278" s="28" t="s">
        <v>77</v>
      </c>
      <c r="D5278" s="28" t="s">
        <v>77</v>
      </c>
      <c r="E5278" s="28" t="s">
        <v>77</v>
      </c>
      <c r="F5278" s="28" t="s">
        <v>77</v>
      </c>
      <c r="G5278" s="28" t="s">
        <v>77</v>
      </c>
      <c r="I5278" s="26" t="s">
        <v>77</v>
      </c>
      <c r="J5278" s="26" t="s">
        <v>77</v>
      </c>
      <c r="K5278" s="18"/>
      <c r="L5278" s="26" t="s">
        <v>77</v>
      </c>
      <c r="M5278" s="6" t="s">
        <v>77</v>
      </c>
      <c r="N5278" s="28" t="s">
        <v>77</v>
      </c>
      <c r="O5278" s="26" t="s">
        <v>77</v>
      </c>
    </row>
    <row r="5279">
      <c r="A5279" s="52" t="s">
        <v>77</v>
      </c>
      <c r="B5279" s="28" t="s">
        <v>77</v>
      </c>
      <c r="C5279" s="28" t="s">
        <v>77</v>
      </c>
      <c r="D5279" s="28" t="s">
        <v>77</v>
      </c>
      <c r="E5279" s="28" t="s">
        <v>77</v>
      </c>
      <c r="F5279" s="28" t="s">
        <v>77</v>
      </c>
      <c r="G5279" s="28" t="s">
        <v>77</v>
      </c>
      <c r="I5279" s="26" t="s">
        <v>77</v>
      </c>
      <c r="J5279" s="26" t="s">
        <v>77</v>
      </c>
      <c r="K5279" s="18"/>
      <c r="L5279" s="26" t="s">
        <v>77</v>
      </c>
      <c r="M5279" s="6" t="s">
        <v>77</v>
      </c>
      <c r="N5279" s="28" t="s">
        <v>77</v>
      </c>
      <c r="O5279" s="26" t="s">
        <v>77</v>
      </c>
    </row>
    <row r="5280">
      <c r="A5280" s="52" t="s">
        <v>77</v>
      </c>
      <c r="B5280" s="28" t="s">
        <v>77</v>
      </c>
      <c r="C5280" s="28" t="s">
        <v>77</v>
      </c>
      <c r="D5280" s="28" t="s">
        <v>77</v>
      </c>
      <c r="E5280" s="28" t="s">
        <v>77</v>
      </c>
      <c r="F5280" s="28" t="s">
        <v>77</v>
      </c>
      <c r="G5280" s="28" t="s">
        <v>77</v>
      </c>
      <c r="I5280" s="26" t="s">
        <v>77</v>
      </c>
      <c r="J5280" s="26" t="s">
        <v>77</v>
      </c>
      <c r="K5280" s="18"/>
      <c r="L5280" s="26" t="s">
        <v>77</v>
      </c>
      <c r="M5280" s="6" t="s">
        <v>77</v>
      </c>
      <c r="N5280" s="28" t="s">
        <v>77</v>
      </c>
      <c r="O5280" s="26" t="s">
        <v>77</v>
      </c>
    </row>
    <row r="5281">
      <c r="A5281" s="52" t="s">
        <v>77</v>
      </c>
      <c r="B5281" s="28" t="s">
        <v>77</v>
      </c>
      <c r="C5281" s="28" t="s">
        <v>77</v>
      </c>
      <c r="D5281" s="28" t="s">
        <v>77</v>
      </c>
      <c r="E5281" s="28" t="s">
        <v>77</v>
      </c>
      <c r="F5281" s="28" t="s">
        <v>77</v>
      </c>
      <c r="G5281" s="28" t="s">
        <v>77</v>
      </c>
      <c r="I5281" s="26" t="s">
        <v>77</v>
      </c>
      <c r="J5281" s="26" t="s">
        <v>77</v>
      </c>
      <c r="K5281" s="18"/>
      <c r="L5281" s="26" t="s">
        <v>77</v>
      </c>
      <c r="M5281" s="6" t="s">
        <v>77</v>
      </c>
      <c r="N5281" s="28" t="s">
        <v>77</v>
      </c>
      <c r="O5281" s="26" t="s">
        <v>77</v>
      </c>
    </row>
    <row r="5282">
      <c r="A5282" s="52" t="s">
        <v>77</v>
      </c>
      <c r="B5282" s="28" t="s">
        <v>77</v>
      </c>
      <c r="C5282" s="28" t="s">
        <v>77</v>
      </c>
      <c r="D5282" s="28" t="s">
        <v>77</v>
      </c>
      <c r="E5282" s="28" t="s">
        <v>77</v>
      </c>
      <c r="F5282" s="28" t="s">
        <v>77</v>
      </c>
      <c r="G5282" s="28" t="s">
        <v>77</v>
      </c>
      <c r="I5282" s="26" t="s">
        <v>77</v>
      </c>
      <c r="J5282" s="26" t="s">
        <v>77</v>
      </c>
      <c r="K5282" s="18"/>
      <c r="L5282" s="26" t="s">
        <v>77</v>
      </c>
      <c r="M5282" s="6" t="s">
        <v>77</v>
      </c>
      <c r="N5282" s="28" t="s">
        <v>77</v>
      </c>
      <c r="O5282" s="26" t="s">
        <v>77</v>
      </c>
    </row>
    <row r="5283">
      <c r="A5283" s="52" t="s">
        <v>77</v>
      </c>
      <c r="B5283" s="28" t="s">
        <v>77</v>
      </c>
      <c r="C5283" s="28" t="s">
        <v>77</v>
      </c>
      <c r="D5283" s="28" t="s">
        <v>77</v>
      </c>
      <c r="E5283" s="28" t="s">
        <v>77</v>
      </c>
      <c r="F5283" s="28" t="s">
        <v>77</v>
      </c>
      <c r="G5283" s="28" t="s">
        <v>77</v>
      </c>
      <c r="I5283" s="26" t="s">
        <v>77</v>
      </c>
      <c r="J5283" s="26" t="s">
        <v>77</v>
      </c>
      <c r="K5283" s="18"/>
      <c r="L5283" s="26" t="s">
        <v>77</v>
      </c>
      <c r="M5283" s="6" t="s">
        <v>77</v>
      </c>
      <c r="N5283" s="28" t="s">
        <v>77</v>
      </c>
      <c r="O5283" s="26" t="s">
        <v>77</v>
      </c>
    </row>
    <row r="5284">
      <c r="A5284" s="52" t="s">
        <v>77</v>
      </c>
      <c r="B5284" s="28" t="s">
        <v>77</v>
      </c>
      <c r="C5284" s="28" t="s">
        <v>77</v>
      </c>
      <c r="D5284" s="28" t="s">
        <v>77</v>
      </c>
      <c r="E5284" s="28" t="s">
        <v>77</v>
      </c>
      <c r="F5284" s="28" t="s">
        <v>77</v>
      </c>
      <c r="G5284" s="28" t="s">
        <v>77</v>
      </c>
      <c r="I5284" s="26" t="s">
        <v>77</v>
      </c>
      <c r="J5284" s="26" t="s">
        <v>77</v>
      </c>
      <c r="K5284" s="18"/>
      <c r="L5284" s="26" t="s">
        <v>77</v>
      </c>
      <c r="M5284" s="6" t="s">
        <v>77</v>
      </c>
      <c r="N5284" s="28" t="s">
        <v>77</v>
      </c>
      <c r="O5284" s="26" t="s">
        <v>77</v>
      </c>
    </row>
    <row r="5285">
      <c r="A5285" s="52" t="s">
        <v>77</v>
      </c>
      <c r="B5285" s="28" t="s">
        <v>77</v>
      </c>
      <c r="C5285" s="28" t="s">
        <v>77</v>
      </c>
      <c r="D5285" s="28" t="s">
        <v>77</v>
      </c>
      <c r="E5285" s="28" t="s">
        <v>77</v>
      </c>
      <c r="F5285" s="28" t="s">
        <v>77</v>
      </c>
      <c r="G5285" s="28" t="s">
        <v>77</v>
      </c>
      <c r="I5285" s="26" t="s">
        <v>77</v>
      </c>
      <c r="J5285" s="26" t="s">
        <v>77</v>
      </c>
      <c r="K5285" s="18"/>
      <c r="L5285" s="26" t="s">
        <v>77</v>
      </c>
      <c r="M5285" s="6" t="s">
        <v>77</v>
      </c>
      <c r="N5285" s="28" t="s">
        <v>77</v>
      </c>
      <c r="O5285" s="26" t="s">
        <v>77</v>
      </c>
    </row>
    <row r="5286">
      <c r="A5286" s="52" t="s">
        <v>77</v>
      </c>
      <c r="B5286" s="28" t="s">
        <v>77</v>
      </c>
      <c r="C5286" s="28" t="s">
        <v>77</v>
      </c>
      <c r="D5286" s="28" t="s">
        <v>77</v>
      </c>
      <c r="E5286" s="28" t="s">
        <v>77</v>
      </c>
      <c r="F5286" s="28" t="s">
        <v>77</v>
      </c>
      <c r="G5286" s="28" t="s">
        <v>77</v>
      </c>
      <c r="I5286" s="26" t="s">
        <v>77</v>
      </c>
      <c r="J5286" s="26" t="s">
        <v>77</v>
      </c>
      <c r="K5286" s="18"/>
      <c r="L5286" s="26" t="s">
        <v>77</v>
      </c>
      <c r="M5286" s="6" t="s">
        <v>77</v>
      </c>
      <c r="N5286" s="28" t="s">
        <v>77</v>
      </c>
      <c r="O5286" s="26" t="s">
        <v>77</v>
      </c>
    </row>
    <row r="5287">
      <c r="A5287" s="52" t="s">
        <v>77</v>
      </c>
      <c r="B5287" s="28" t="s">
        <v>77</v>
      </c>
      <c r="C5287" s="28" t="s">
        <v>77</v>
      </c>
      <c r="D5287" s="28" t="s">
        <v>77</v>
      </c>
      <c r="E5287" s="28" t="s">
        <v>77</v>
      </c>
      <c r="F5287" s="28" t="s">
        <v>77</v>
      </c>
      <c r="G5287" s="28" t="s">
        <v>77</v>
      </c>
      <c r="I5287" s="26" t="s">
        <v>77</v>
      </c>
      <c r="J5287" s="26" t="s">
        <v>77</v>
      </c>
      <c r="K5287" s="18"/>
      <c r="L5287" s="26" t="s">
        <v>77</v>
      </c>
      <c r="M5287" s="6" t="s">
        <v>77</v>
      </c>
      <c r="N5287" s="28" t="s">
        <v>77</v>
      </c>
      <c r="O5287" s="26" t="s">
        <v>77</v>
      </c>
    </row>
    <row r="5288">
      <c r="A5288" s="52" t="s">
        <v>77</v>
      </c>
      <c r="B5288" s="28" t="s">
        <v>77</v>
      </c>
      <c r="C5288" s="28" t="s">
        <v>77</v>
      </c>
      <c r="D5288" s="28" t="s">
        <v>77</v>
      </c>
      <c r="E5288" s="28" t="s">
        <v>77</v>
      </c>
      <c r="F5288" s="28" t="s">
        <v>77</v>
      </c>
      <c r="G5288" s="28" t="s">
        <v>77</v>
      </c>
      <c r="I5288" s="26" t="s">
        <v>77</v>
      </c>
      <c r="J5288" s="26" t="s">
        <v>77</v>
      </c>
      <c r="K5288" s="18"/>
      <c r="L5288" s="26" t="s">
        <v>77</v>
      </c>
      <c r="M5288" s="6" t="s">
        <v>77</v>
      </c>
      <c r="N5288" s="28" t="s">
        <v>77</v>
      </c>
      <c r="O5288" s="26" t="s">
        <v>77</v>
      </c>
    </row>
    <row r="5289">
      <c r="A5289" s="52" t="s">
        <v>77</v>
      </c>
      <c r="B5289" s="28" t="s">
        <v>77</v>
      </c>
      <c r="C5289" s="28" t="s">
        <v>77</v>
      </c>
      <c r="D5289" s="28" t="s">
        <v>77</v>
      </c>
      <c r="E5289" s="28" t="s">
        <v>77</v>
      </c>
      <c r="F5289" s="28" t="s">
        <v>77</v>
      </c>
      <c r="G5289" s="28" t="s">
        <v>77</v>
      </c>
      <c r="I5289" s="26" t="s">
        <v>77</v>
      </c>
      <c r="J5289" s="26" t="s">
        <v>77</v>
      </c>
      <c r="K5289" s="18"/>
      <c r="L5289" s="26" t="s">
        <v>77</v>
      </c>
      <c r="M5289" s="6" t="s">
        <v>77</v>
      </c>
      <c r="N5289" s="28" t="s">
        <v>77</v>
      </c>
      <c r="O5289" s="26" t="s">
        <v>77</v>
      </c>
    </row>
    <row r="5290">
      <c r="A5290" s="52" t="s">
        <v>77</v>
      </c>
      <c r="B5290" s="28" t="s">
        <v>77</v>
      </c>
      <c r="C5290" s="28" t="s">
        <v>77</v>
      </c>
      <c r="D5290" s="28" t="s">
        <v>77</v>
      </c>
      <c r="E5290" s="28" t="s">
        <v>77</v>
      </c>
      <c r="F5290" s="28" t="s">
        <v>77</v>
      </c>
      <c r="G5290" s="28" t="s">
        <v>77</v>
      </c>
      <c r="I5290" s="26" t="s">
        <v>77</v>
      </c>
      <c r="J5290" s="26" t="s">
        <v>77</v>
      </c>
      <c r="K5290" s="18"/>
      <c r="L5290" s="26" t="s">
        <v>77</v>
      </c>
      <c r="M5290" s="6" t="s">
        <v>77</v>
      </c>
      <c r="N5290" s="28" t="s">
        <v>77</v>
      </c>
      <c r="O5290" s="26" t="s">
        <v>77</v>
      </c>
    </row>
    <row r="5291">
      <c r="A5291" s="52" t="s">
        <v>77</v>
      </c>
      <c r="B5291" s="28" t="s">
        <v>77</v>
      </c>
      <c r="C5291" s="28" t="s">
        <v>77</v>
      </c>
      <c r="D5291" s="28" t="s">
        <v>77</v>
      </c>
      <c r="E5291" s="28" t="s">
        <v>77</v>
      </c>
      <c r="F5291" s="28" t="s">
        <v>77</v>
      </c>
      <c r="G5291" s="28" t="s">
        <v>77</v>
      </c>
      <c r="I5291" s="26" t="s">
        <v>77</v>
      </c>
      <c r="J5291" s="26" t="s">
        <v>77</v>
      </c>
      <c r="K5291" s="18"/>
      <c r="L5291" s="26" t="s">
        <v>77</v>
      </c>
      <c r="M5291" s="6" t="s">
        <v>77</v>
      </c>
      <c r="N5291" s="28" t="s">
        <v>77</v>
      </c>
      <c r="O5291" s="26" t="s">
        <v>77</v>
      </c>
    </row>
    <row r="5292">
      <c r="A5292" s="52" t="s">
        <v>77</v>
      </c>
      <c r="B5292" s="28" t="s">
        <v>77</v>
      </c>
      <c r="C5292" s="28" t="s">
        <v>77</v>
      </c>
      <c r="D5292" s="28" t="s">
        <v>77</v>
      </c>
      <c r="E5292" s="28" t="s">
        <v>77</v>
      </c>
      <c r="F5292" s="28" t="s">
        <v>77</v>
      </c>
      <c r="G5292" s="28" t="s">
        <v>77</v>
      </c>
      <c r="I5292" s="26" t="s">
        <v>77</v>
      </c>
      <c r="J5292" s="26" t="s">
        <v>77</v>
      </c>
      <c r="K5292" s="18"/>
      <c r="L5292" s="26" t="s">
        <v>77</v>
      </c>
      <c r="M5292" s="6" t="s">
        <v>77</v>
      </c>
      <c r="N5292" s="28" t="s">
        <v>77</v>
      </c>
      <c r="O5292" s="26" t="s">
        <v>77</v>
      </c>
    </row>
    <row r="5293">
      <c r="A5293" s="52" t="s">
        <v>77</v>
      </c>
      <c r="B5293" s="28" t="s">
        <v>77</v>
      </c>
      <c r="C5293" s="28" t="s">
        <v>77</v>
      </c>
      <c r="D5293" s="28" t="s">
        <v>77</v>
      </c>
      <c r="E5293" s="28" t="s">
        <v>77</v>
      </c>
      <c r="F5293" s="28" t="s">
        <v>77</v>
      </c>
      <c r="G5293" s="28" t="s">
        <v>77</v>
      </c>
      <c r="I5293" s="26" t="s">
        <v>77</v>
      </c>
      <c r="J5293" s="26" t="s">
        <v>77</v>
      </c>
      <c r="K5293" s="18"/>
      <c r="L5293" s="26" t="s">
        <v>77</v>
      </c>
      <c r="M5293" s="6" t="s">
        <v>77</v>
      </c>
      <c r="N5293" s="28" t="s">
        <v>77</v>
      </c>
      <c r="O5293" s="26" t="s">
        <v>77</v>
      </c>
    </row>
    <row r="5294">
      <c r="A5294" s="52" t="s">
        <v>77</v>
      </c>
      <c r="B5294" s="28" t="s">
        <v>77</v>
      </c>
      <c r="C5294" s="28" t="s">
        <v>77</v>
      </c>
      <c r="D5294" s="28" t="s">
        <v>77</v>
      </c>
      <c r="E5294" s="28" t="s">
        <v>77</v>
      </c>
      <c r="F5294" s="28" t="s">
        <v>77</v>
      </c>
      <c r="G5294" s="28" t="s">
        <v>77</v>
      </c>
      <c r="I5294" s="26" t="s">
        <v>77</v>
      </c>
      <c r="J5294" s="26" t="s">
        <v>77</v>
      </c>
      <c r="K5294" s="18"/>
      <c r="L5294" s="26" t="s">
        <v>77</v>
      </c>
      <c r="M5294" s="6" t="s">
        <v>77</v>
      </c>
      <c r="N5294" s="28" t="s">
        <v>77</v>
      </c>
      <c r="O5294" s="26" t="s">
        <v>77</v>
      </c>
    </row>
    <row r="5295">
      <c r="A5295" s="52" t="s">
        <v>77</v>
      </c>
      <c r="B5295" s="28" t="s">
        <v>77</v>
      </c>
      <c r="C5295" s="28" t="s">
        <v>77</v>
      </c>
      <c r="D5295" s="28" t="s">
        <v>77</v>
      </c>
      <c r="E5295" s="28" t="s">
        <v>77</v>
      </c>
      <c r="F5295" s="28" t="s">
        <v>77</v>
      </c>
      <c r="G5295" s="28" t="s">
        <v>77</v>
      </c>
      <c r="I5295" s="26" t="s">
        <v>77</v>
      </c>
      <c r="J5295" s="26" t="s">
        <v>77</v>
      </c>
      <c r="K5295" s="18"/>
      <c r="L5295" s="26" t="s">
        <v>77</v>
      </c>
      <c r="M5295" s="6" t="s">
        <v>77</v>
      </c>
      <c r="N5295" s="28" t="s">
        <v>77</v>
      </c>
      <c r="O5295" s="26" t="s">
        <v>77</v>
      </c>
    </row>
    <row r="5296">
      <c r="A5296" s="52" t="s">
        <v>77</v>
      </c>
      <c r="B5296" s="28" t="s">
        <v>77</v>
      </c>
      <c r="C5296" s="28" t="s">
        <v>77</v>
      </c>
      <c r="D5296" s="28" t="s">
        <v>77</v>
      </c>
      <c r="E5296" s="28" t="s">
        <v>77</v>
      </c>
      <c r="F5296" s="28" t="s">
        <v>77</v>
      </c>
      <c r="G5296" s="28" t="s">
        <v>77</v>
      </c>
      <c r="I5296" s="26" t="s">
        <v>77</v>
      </c>
      <c r="J5296" s="26" t="s">
        <v>77</v>
      </c>
      <c r="K5296" s="18"/>
      <c r="L5296" s="26" t="s">
        <v>77</v>
      </c>
      <c r="M5296" s="6" t="s">
        <v>77</v>
      </c>
      <c r="N5296" s="28" t="s">
        <v>77</v>
      </c>
      <c r="O5296" s="26" t="s">
        <v>77</v>
      </c>
    </row>
    <row r="5297">
      <c r="A5297" s="52" t="s">
        <v>77</v>
      </c>
      <c r="B5297" s="28" t="s">
        <v>77</v>
      </c>
      <c r="C5297" s="28" t="s">
        <v>77</v>
      </c>
      <c r="D5297" s="28" t="s">
        <v>77</v>
      </c>
      <c r="E5297" s="28" t="s">
        <v>77</v>
      </c>
      <c r="F5297" s="28" t="s">
        <v>77</v>
      </c>
      <c r="G5297" s="28" t="s">
        <v>77</v>
      </c>
      <c r="I5297" s="26" t="s">
        <v>77</v>
      </c>
      <c r="J5297" s="26" t="s">
        <v>77</v>
      </c>
      <c r="K5297" s="18"/>
      <c r="L5297" s="26" t="s">
        <v>77</v>
      </c>
      <c r="M5297" s="6" t="s">
        <v>77</v>
      </c>
      <c r="N5297" s="28" t="s">
        <v>77</v>
      </c>
      <c r="O5297" s="26" t="s">
        <v>77</v>
      </c>
    </row>
    <row r="5298">
      <c r="A5298" s="52" t="s">
        <v>77</v>
      </c>
      <c r="B5298" s="28" t="s">
        <v>77</v>
      </c>
      <c r="C5298" s="28" t="s">
        <v>77</v>
      </c>
      <c r="D5298" s="28" t="s">
        <v>77</v>
      </c>
      <c r="E5298" s="28" t="s">
        <v>77</v>
      </c>
      <c r="F5298" s="28" t="s">
        <v>77</v>
      </c>
      <c r="G5298" s="28" t="s">
        <v>77</v>
      </c>
      <c r="I5298" s="26" t="s">
        <v>77</v>
      </c>
      <c r="J5298" s="26" t="s">
        <v>77</v>
      </c>
      <c r="K5298" s="18"/>
      <c r="L5298" s="26" t="s">
        <v>77</v>
      </c>
      <c r="M5298" s="6" t="s">
        <v>77</v>
      </c>
      <c r="N5298" s="28" t="s">
        <v>77</v>
      </c>
      <c r="O5298" s="26" t="s">
        <v>77</v>
      </c>
    </row>
    <row r="5299">
      <c r="A5299" s="52" t="s">
        <v>77</v>
      </c>
      <c r="B5299" s="28" t="s">
        <v>77</v>
      </c>
      <c r="C5299" s="28" t="s">
        <v>77</v>
      </c>
      <c r="D5299" s="28" t="s">
        <v>77</v>
      </c>
      <c r="E5299" s="28" t="s">
        <v>77</v>
      </c>
      <c r="F5299" s="28" t="s">
        <v>77</v>
      </c>
      <c r="G5299" s="28" t="s">
        <v>77</v>
      </c>
      <c r="I5299" s="26" t="s">
        <v>77</v>
      </c>
      <c r="J5299" s="26" t="s">
        <v>77</v>
      </c>
      <c r="K5299" s="18"/>
      <c r="L5299" s="26" t="s">
        <v>77</v>
      </c>
      <c r="M5299" s="6" t="s">
        <v>77</v>
      </c>
      <c r="N5299" s="28" t="s">
        <v>77</v>
      </c>
      <c r="O5299" s="26" t="s">
        <v>77</v>
      </c>
    </row>
    <row r="5300">
      <c r="A5300" s="52" t="s">
        <v>77</v>
      </c>
      <c r="B5300" s="28" t="s">
        <v>77</v>
      </c>
      <c r="C5300" s="28" t="s">
        <v>77</v>
      </c>
      <c r="D5300" s="28" t="s">
        <v>77</v>
      </c>
      <c r="E5300" s="28" t="s">
        <v>77</v>
      </c>
      <c r="F5300" s="28" t="s">
        <v>77</v>
      </c>
      <c r="G5300" s="28" t="s">
        <v>77</v>
      </c>
      <c r="I5300" s="26" t="s">
        <v>77</v>
      </c>
      <c r="J5300" s="26" t="s">
        <v>77</v>
      </c>
      <c r="K5300" s="18"/>
      <c r="L5300" s="26" t="s">
        <v>77</v>
      </c>
      <c r="M5300" s="6" t="s">
        <v>77</v>
      </c>
      <c r="N5300" s="28" t="s">
        <v>77</v>
      </c>
      <c r="O5300" s="26" t="s">
        <v>77</v>
      </c>
    </row>
    <row r="5301">
      <c r="A5301" s="52" t="s">
        <v>77</v>
      </c>
      <c r="B5301" s="28" t="s">
        <v>77</v>
      </c>
      <c r="C5301" s="28" t="s">
        <v>77</v>
      </c>
      <c r="D5301" s="28" t="s">
        <v>77</v>
      </c>
      <c r="E5301" s="28" t="s">
        <v>77</v>
      </c>
      <c r="F5301" s="28" t="s">
        <v>77</v>
      </c>
      <c r="G5301" s="28" t="s">
        <v>77</v>
      </c>
      <c r="I5301" s="26" t="s">
        <v>77</v>
      </c>
      <c r="J5301" s="26" t="s">
        <v>77</v>
      </c>
      <c r="K5301" s="18"/>
      <c r="L5301" s="26" t="s">
        <v>77</v>
      </c>
      <c r="M5301" s="6" t="s">
        <v>77</v>
      </c>
      <c r="N5301" s="28" t="s">
        <v>77</v>
      </c>
      <c r="O5301" s="26" t="s">
        <v>77</v>
      </c>
    </row>
    <row r="5302">
      <c r="A5302" s="52" t="s">
        <v>77</v>
      </c>
      <c r="B5302" s="28" t="s">
        <v>77</v>
      </c>
      <c r="C5302" s="28" t="s">
        <v>77</v>
      </c>
      <c r="D5302" s="28" t="s">
        <v>77</v>
      </c>
      <c r="E5302" s="28" t="s">
        <v>77</v>
      </c>
      <c r="F5302" s="28" t="s">
        <v>77</v>
      </c>
      <c r="G5302" s="28" t="s">
        <v>77</v>
      </c>
      <c r="I5302" s="26" t="s">
        <v>77</v>
      </c>
      <c r="J5302" s="26" t="s">
        <v>77</v>
      </c>
      <c r="K5302" s="18"/>
      <c r="L5302" s="26" t="s">
        <v>77</v>
      </c>
      <c r="M5302" s="6" t="s">
        <v>77</v>
      </c>
      <c r="N5302" s="28" t="s">
        <v>77</v>
      </c>
      <c r="O5302" s="26" t="s">
        <v>77</v>
      </c>
    </row>
    <row r="5303">
      <c r="A5303" s="52" t="s">
        <v>77</v>
      </c>
      <c r="B5303" s="28" t="s">
        <v>77</v>
      </c>
      <c r="C5303" s="28" t="s">
        <v>77</v>
      </c>
      <c r="D5303" s="28" t="s">
        <v>77</v>
      </c>
      <c r="E5303" s="28" t="s">
        <v>77</v>
      </c>
      <c r="F5303" s="28" t="s">
        <v>77</v>
      </c>
      <c r="G5303" s="28" t="s">
        <v>77</v>
      </c>
      <c r="I5303" s="26" t="s">
        <v>77</v>
      </c>
      <c r="J5303" s="26" t="s">
        <v>77</v>
      </c>
      <c r="K5303" s="18"/>
      <c r="L5303" s="26" t="s">
        <v>77</v>
      </c>
      <c r="M5303" s="6" t="s">
        <v>77</v>
      </c>
      <c r="N5303" s="28" t="s">
        <v>77</v>
      </c>
      <c r="O5303" s="26" t="s">
        <v>77</v>
      </c>
    </row>
    <row r="5304">
      <c r="A5304" s="52" t="s">
        <v>77</v>
      </c>
      <c r="B5304" s="28" t="s">
        <v>77</v>
      </c>
      <c r="C5304" s="28" t="s">
        <v>77</v>
      </c>
      <c r="D5304" s="28" t="s">
        <v>77</v>
      </c>
      <c r="E5304" s="28" t="s">
        <v>77</v>
      </c>
      <c r="F5304" s="28" t="s">
        <v>77</v>
      </c>
      <c r="G5304" s="28" t="s">
        <v>77</v>
      </c>
      <c r="I5304" s="26" t="s">
        <v>77</v>
      </c>
      <c r="J5304" s="26" t="s">
        <v>77</v>
      </c>
      <c r="K5304" s="18"/>
      <c r="L5304" s="26" t="s">
        <v>77</v>
      </c>
      <c r="M5304" s="6" t="s">
        <v>77</v>
      </c>
      <c r="N5304" s="28" t="s">
        <v>77</v>
      </c>
      <c r="O5304" s="26" t="s">
        <v>77</v>
      </c>
    </row>
    <row r="5305">
      <c r="A5305" s="52" t="s">
        <v>77</v>
      </c>
      <c r="B5305" s="28" t="s">
        <v>77</v>
      </c>
      <c r="C5305" s="28" t="s">
        <v>77</v>
      </c>
      <c r="D5305" s="28" t="s">
        <v>77</v>
      </c>
      <c r="E5305" s="28" t="s">
        <v>77</v>
      </c>
      <c r="F5305" s="28" t="s">
        <v>77</v>
      </c>
      <c r="G5305" s="28" t="s">
        <v>77</v>
      </c>
      <c r="I5305" s="26" t="s">
        <v>77</v>
      </c>
      <c r="J5305" s="26" t="s">
        <v>77</v>
      </c>
      <c r="K5305" s="18"/>
      <c r="L5305" s="26" t="s">
        <v>77</v>
      </c>
      <c r="M5305" s="6" t="s">
        <v>77</v>
      </c>
      <c r="N5305" s="28" t="s">
        <v>77</v>
      </c>
      <c r="O5305" s="26" t="s">
        <v>77</v>
      </c>
    </row>
    <row r="5306">
      <c r="A5306" s="52" t="s">
        <v>77</v>
      </c>
      <c r="B5306" s="28" t="s">
        <v>77</v>
      </c>
      <c r="C5306" s="28" t="s">
        <v>77</v>
      </c>
      <c r="D5306" s="28" t="s">
        <v>77</v>
      </c>
      <c r="E5306" s="28" t="s">
        <v>77</v>
      </c>
      <c r="F5306" s="28" t="s">
        <v>77</v>
      </c>
      <c r="G5306" s="28" t="s">
        <v>77</v>
      </c>
      <c r="I5306" s="26" t="s">
        <v>77</v>
      </c>
      <c r="J5306" s="26" t="s">
        <v>77</v>
      </c>
      <c r="K5306" s="18"/>
      <c r="L5306" s="26" t="s">
        <v>77</v>
      </c>
      <c r="M5306" s="6" t="s">
        <v>77</v>
      </c>
      <c r="N5306" s="28" t="s">
        <v>77</v>
      </c>
      <c r="O5306" s="26" t="s">
        <v>77</v>
      </c>
    </row>
    <row r="5307">
      <c r="A5307" s="52" t="s">
        <v>77</v>
      </c>
      <c r="B5307" s="28" t="s">
        <v>77</v>
      </c>
      <c r="C5307" s="28" t="s">
        <v>77</v>
      </c>
      <c r="D5307" s="28" t="s">
        <v>77</v>
      </c>
      <c r="E5307" s="28" t="s">
        <v>77</v>
      </c>
      <c r="F5307" s="28" t="s">
        <v>77</v>
      </c>
      <c r="G5307" s="28" t="s">
        <v>77</v>
      </c>
      <c r="I5307" s="26" t="s">
        <v>77</v>
      </c>
      <c r="J5307" s="26" t="s">
        <v>77</v>
      </c>
      <c r="K5307" s="18"/>
      <c r="L5307" s="26" t="s">
        <v>77</v>
      </c>
      <c r="M5307" s="6" t="s">
        <v>77</v>
      </c>
      <c r="N5307" s="28" t="s">
        <v>77</v>
      </c>
      <c r="O5307" s="26" t="s">
        <v>77</v>
      </c>
    </row>
    <row r="5308">
      <c r="A5308" s="52" t="s">
        <v>77</v>
      </c>
      <c r="B5308" s="28" t="s">
        <v>77</v>
      </c>
      <c r="C5308" s="28" t="s">
        <v>77</v>
      </c>
      <c r="D5308" s="28" t="s">
        <v>77</v>
      </c>
      <c r="E5308" s="28" t="s">
        <v>77</v>
      </c>
      <c r="F5308" s="28" t="s">
        <v>77</v>
      </c>
      <c r="G5308" s="28" t="s">
        <v>77</v>
      </c>
      <c r="I5308" s="26" t="s">
        <v>77</v>
      </c>
      <c r="J5308" s="26" t="s">
        <v>77</v>
      </c>
      <c r="K5308" s="18"/>
      <c r="L5308" s="26" t="s">
        <v>77</v>
      </c>
      <c r="M5308" s="6" t="s">
        <v>77</v>
      </c>
      <c r="N5308" s="28" t="s">
        <v>77</v>
      </c>
      <c r="O5308" s="26" t="s">
        <v>77</v>
      </c>
    </row>
    <row r="5309">
      <c r="A5309" s="52" t="s">
        <v>77</v>
      </c>
      <c r="B5309" s="28" t="s">
        <v>77</v>
      </c>
      <c r="C5309" s="28" t="s">
        <v>77</v>
      </c>
      <c r="D5309" s="28" t="s">
        <v>77</v>
      </c>
      <c r="E5309" s="28" t="s">
        <v>77</v>
      </c>
      <c r="F5309" s="28" t="s">
        <v>77</v>
      </c>
      <c r="G5309" s="28" t="s">
        <v>77</v>
      </c>
      <c r="I5309" s="26" t="s">
        <v>77</v>
      </c>
      <c r="J5309" s="26" t="s">
        <v>77</v>
      </c>
      <c r="K5309" s="18"/>
      <c r="L5309" s="26" t="s">
        <v>77</v>
      </c>
      <c r="M5309" s="6" t="s">
        <v>77</v>
      </c>
      <c r="N5309" s="28" t="s">
        <v>77</v>
      </c>
      <c r="O5309" s="26" t="s">
        <v>77</v>
      </c>
    </row>
    <row r="5310">
      <c r="A5310" s="52" t="s">
        <v>77</v>
      </c>
      <c r="B5310" s="28" t="s">
        <v>77</v>
      </c>
      <c r="C5310" s="28" t="s">
        <v>77</v>
      </c>
      <c r="D5310" s="28" t="s">
        <v>77</v>
      </c>
      <c r="E5310" s="28" t="s">
        <v>77</v>
      </c>
      <c r="F5310" s="28" t="s">
        <v>77</v>
      </c>
      <c r="G5310" s="28" t="s">
        <v>77</v>
      </c>
      <c r="I5310" s="26" t="s">
        <v>77</v>
      </c>
      <c r="J5310" s="26" t="s">
        <v>77</v>
      </c>
      <c r="K5310" s="18"/>
      <c r="L5310" s="26" t="s">
        <v>77</v>
      </c>
      <c r="M5310" s="6" t="s">
        <v>77</v>
      </c>
      <c r="N5310" s="28" t="s">
        <v>77</v>
      </c>
      <c r="O5310" s="26" t="s">
        <v>77</v>
      </c>
    </row>
    <row r="5311">
      <c r="A5311" s="52" t="s">
        <v>77</v>
      </c>
      <c r="B5311" s="28" t="s">
        <v>77</v>
      </c>
      <c r="C5311" s="28" t="s">
        <v>77</v>
      </c>
      <c r="D5311" s="28" t="s">
        <v>77</v>
      </c>
      <c r="E5311" s="28" t="s">
        <v>77</v>
      </c>
      <c r="F5311" s="28" t="s">
        <v>77</v>
      </c>
      <c r="G5311" s="28" t="s">
        <v>77</v>
      </c>
      <c r="I5311" s="26" t="s">
        <v>77</v>
      </c>
      <c r="J5311" s="26" t="s">
        <v>77</v>
      </c>
      <c r="K5311" s="18"/>
      <c r="L5311" s="26" t="s">
        <v>77</v>
      </c>
      <c r="M5311" s="6" t="s">
        <v>77</v>
      </c>
      <c r="N5311" s="28" t="s">
        <v>77</v>
      </c>
      <c r="O5311" s="26" t="s">
        <v>77</v>
      </c>
    </row>
    <row r="5312">
      <c r="A5312" s="52" t="s">
        <v>77</v>
      </c>
      <c r="B5312" s="28" t="s">
        <v>77</v>
      </c>
      <c r="C5312" s="28" t="s">
        <v>77</v>
      </c>
      <c r="D5312" s="28" t="s">
        <v>77</v>
      </c>
      <c r="E5312" s="28" t="s">
        <v>77</v>
      </c>
      <c r="F5312" s="28" t="s">
        <v>77</v>
      </c>
      <c r="G5312" s="28" t="s">
        <v>77</v>
      </c>
      <c r="I5312" s="26" t="s">
        <v>77</v>
      </c>
      <c r="J5312" s="26" t="s">
        <v>77</v>
      </c>
      <c r="K5312" s="18"/>
      <c r="L5312" s="26" t="s">
        <v>77</v>
      </c>
      <c r="M5312" s="6" t="s">
        <v>77</v>
      </c>
      <c r="N5312" s="28" t="s">
        <v>77</v>
      </c>
      <c r="O5312" s="26" t="s">
        <v>77</v>
      </c>
    </row>
    <row r="5313">
      <c r="A5313" s="52" t="s">
        <v>77</v>
      </c>
      <c r="B5313" s="28" t="s">
        <v>77</v>
      </c>
      <c r="C5313" s="28" t="s">
        <v>77</v>
      </c>
      <c r="D5313" s="28" t="s">
        <v>77</v>
      </c>
      <c r="E5313" s="28" t="s">
        <v>77</v>
      </c>
      <c r="F5313" s="28" t="s">
        <v>77</v>
      </c>
      <c r="G5313" s="28" t="s">
        <v>77</v>
      </c>
      <c r="I5313" s="26" t="s">
        <v>77</v>
      </c>
      <c r="J5313" s="26" t="s">
        <v>77</v>
      </c>
      <c r="K5313" s="18"/>
      <c r="L5313" s="26" t="s">
        <v>77</v>
      </c>
      <c r="M5313" s="6" t="s">
        <v>77</v>
      </c>
      <c r="N5313" s="28" t="s">
        <v>77</v>
      </c>
      <c r="O5313" s="26" t="s">
        <v>77</v>
      </c>
    </row>
    <row r="5314">
      <c r="A5314" s="52" t="s">
        <v>77</v>
      </c>
      <c r="B5314" s="28" t="s">
        <v>77</v>
      </c>
      <c r="C5314" s="28" t="s">
        <v>77</v>
      </c>
      <c r="D5314" s="28" t="s">
        <v>77</v>
      </c>
      <c r="E5314" s="28" t="s">
        <v>77</v>
      </c>
      <c r="F5314" s="28" t="s">
        <v>77</v>
      </c>
      <c r="G5314" s="28" t="s">
        <v>77</v>
      </c>
      <c r="I5314" s="26" t="s">
        <v>77</v>
      </c>
      <c r="J5314" s="26" t="s">
        <v>77</v>
      </c>
      <c r="K5314" s="18"/>
      <c r="L5314" s="26" t="s">
        <v>77</v>
      </c>
      <c r="M5314" s="6" t="s">
        <v>77</v>
      </c>
      <c r="N5314" s="28" t="s">
        <v>77</v>
      </c>
      <c r="O5314" s="26" t="s">
        <v>77</v>
      </c>
    </row>
    <row r="5315">
      <c r="A5315" s="52" t="s">
        <v>77</v>
      </c>
      <c r="B5315" s="28" t="s">
        <v>77</v>
      </c>
      <c r="C5315" s="28" t="s">
        <v>77</v>
      </c>
      <c r="D5315" s="28" t="s">
        <v>77</v>
      </c>
      <c r="E5315" s="28" t="s">
        <v>77</v>
      </c>
      <c r="F5315" s="28" t="s">
        <v>77</v>
      </c>
      <c r="G5315" s="28" t="s">
        <v>77</v>
      </c>
      <c r="I5315" s="26" t="s">
        <v>77</v>
      </c>
      <c r="J5315" s="26" t="s">
        <v>77</v>
      </c>
      <c r="K5315" s="18"/>
      <c r="L5315" s="26" t="s">
        <v>77</v>
      </c>
      <c r="M5315" s="6" t="s">
        <v>77</v>
      </c>
      <c r="N5315" s="28" t="s">
        <v>77</v>
      </c>
      <c r="O5315" s="26" t="s">
        <v>77</v>
      </c>
    </row>
    <row r="5316">
      <c r="A5316" s="52" t="s">
        <v>77</v>
      </c>
      <c r="B5316" s="28" t="s">
        <v>77</v>
      </c>
      <c r="C5316" s="28" t="s">
        <v>77</v>
      </c>
      <c r="D5316" s="28" t="s">
        <v>77</v>
      </c>
      <c r="E5316" s="28" t="s">
        <v>77</v>
      </c>
      <c r="F5316" s="28" t="s">
        <v>77</v>
      </c>
      <c r="G5316" s="28" t="s">
        <v>77</v>
      </c>
      <c r="I5316" s="26" t="s">
        <v>77</v>
      </c>
      <c r="J5316" s="26" t="s">
        <v>77</v>
      </c>
      <c r="K5316" s="18"/>
      <c r="L5316" s="26" t="s">
        <v>77</v>
      </c>
      <c r="M5316" s="6" t="s">
        <v>77</v>
      </c>
      <c r="N5316" s="28" t="s">
        <v>77</v>
      </c>
      <c r="O5316" s="26" t="s">
        <v>77</v>
      </c>
    </row>
    <row r="5317">
      <c r="A5317" s="52" t="s">
        <v>77</v>
      </c>
      <c r="B5317" s="28" t="s">
        <v>77</v>
      </c>
      <c r="C5317" s="28" t="s">
        <v>77</v>
      </c>
      <c r="D5317" s="28" t="s">
        <v>77</v>
      </c>
      <c r="E5317" s="28" t="s">
        <v>77</v>
      </c>
      <c r="F5317" s="28" t="s">
        <v>77</v>
      </c>
      <c r="G5317" s="28" t="s">
        <v>77</v>
      </c>
      <c r="I5317" s="26" t="s">
        <v>77</v>
      </c>
      <c r="J5317" s="26" t="s">
        <v>77</v>
      </c>
      <c r="K5317" s="18"/>
      <c r="L5317" s="26" t="s">
        <v>77</v>
      </c>
      <c r="M5317" s="6" t="s">
        <v>77</v>
      </c>
      <c r="N5317" s="28" t="s">
        <v>77</v>
      </c>
      <c r="O5317" s="26" t="s">
        <v>77</v>
      </c>
    </row>
    <row r="5318">
      <c r="A5318" s="52" t="s">
        <v>77</v>
      </c>
      <c r="B5318" s="28" t="s">
        <v>77</v>
      </c>
      <c r="C5318" s="28" t="s">
        <v>77</v>
      </c>
      <c r="D5318" s="28" t="s">
        <v>77</v>
      </c>
      <c r="E5318" s="28" t="s">
        <v>77</v>
      </c>
      <c r="F5318" s="28" t="s">
        <v>77</v>
      </c>
      <c r="G5318" s="28" t="s">
        <v>77</v>
      </c>
      <c r="I5318" s="26" t="s">
        <v>77</v>
      </c>
      <c r="J5318" s="26" t="s">
        <v>77</v>
      </c>
      <c r="K5318" s="18"/>
      <c r="L5318" s="26" t="s">
        <v>77</v>
      </c>
      <c r="M5318" s="6" t="s">
        <v>77</v>
      </c>
      <c r="N5318" s="28" t="s">
        <v>77</v>
      </c>
      <c r="O5318" s="26" t="s">
        <v>77</v>
      </c>
    </row>
    <row r="5319">
      <c r="A5319" s="52" t="s">
        <v>77</v>
      </c>
      <c r="B5319" s="28" t="s">
        <v>77</v>
      </c>
      <c r="C5319" s="28" t="s">
        <v>77</v>
      </c>
      <c r="D5319" s="28" t="s">
        <v>77</v>
      </c>
      <c r="E5319" s="28" t="s">
        <v>77</v>
      </c>
      <c r="F5319" s="28" t="s">
        <v>77</v>
      </c>
      <c r="G5319" s="28" t="s">
        <v>77</v>
      </c>
      <c r="I5319" s="26" t="s">
        <v>77</v>
      </c>
      <c r="J5319" s="26" t="s">
        <v>77</v>
      </c>
      <c r="K5319" s="18"/>
      <c r="L5319" s="26" t="s">
        <v>77</v>
      </c>
      <c r="M5319" s="6" t="s">
        <v>77</v>
      </c>
      <c r="N5319" s="28" t="s">
        <v>77</v>
      </c>
      <c r="O5319" s="26" t="s">
        <v>77</v>
      </c>
    </row>
    <row r="5320">
      <c r="A5320" s="52" t="s">
        <v>77</v>
      </c>
      <c r="B5320" s="28" t="s">
        <v>77</v>
      </c>
      <c r="C5320" s="28" t="s">
        <v>77</v>
      </c>
      <c r="D5320" s="28" t="s">
        <v>77</v>
      </c>
      <c r="E5320" s="28" t="s">
        <v>77</v>
      </c>
      <c r="F5320" s="28" t="s">
        <v>77</v>
      </c>
      <c r="G5320" s="28" t="s">
        <v>77</v>
      </c>
      <c r="I5320" s="26" t="s">
        <v>77</v>
      </c>
      <c r="J5320" s="26" t="s">
        <v>77</v>
      </c>
      <c r="K5320" s="18"/>
      <c r="L5320" s="26" t="s">
        <v>77</v>
      </c>
      <c r="M5320" s="6" t="s">
        <v>77</v>
      </c>
      <c r="N5320" s="28" t="s">
        <v>77</v>
      </c>
      <c r="O5320" s="26" t="s">
        <v>77</v>
      </c>
    </row>
    <row r="5321">
      <c r="A5321" s="52" t="s">
        <v>77</v>
      </c>
      <c r="B5321" s="28" t="s">
        <v>77</v>
      </c>
      <c r="C5321" s="28" t="s">
        <v>77</v>
      </c>
      <c r="D5321" s="28" t="s">
        <v>77</v>
      </c>
      <c r="E5321" s="28" t="s">
        <v>77</v>
      </c>
      <c r="F5321" s="28" t="s">
        <v>77</v>
      </c>
      <c r="G5321" s="28" t="s">
        <v>77</v>
      </c>
      <c r="I5321" s="26" t="s">
        <v>77</v>
      </c>
      <c r="J5321" s="26" t="s">
        <v>77</v>
      </c>
      <c r="K5321" s="18"/>
      <c r="L5321" s="26" t="s">
        <v>77</v>
      </c>
      <c r="M5321" s="6" t="s">
        <v>77</v>
      </c>
      <c r="N5321" s="28" t="s">
        <v>77</v>
      </c>
      <c r="O5321" s="26" t="s">
        <v>77</v>
      </c>
    </row>
    <row r="5322">
      <c r="A5322" s="52" t="s">
        <v>77</v>
      </c>
      <c r="B5322" s="28" t="s">
        <v>77</v>
      </c>
      <c r="C5322" s="28" t="s">
        <v>77</v>
      </c>
      <c r="D5322" s="28" t="s">
        <v>77</v>
      </c>
      <c r="E5322" s="28" t="s">
        <v>77</v>
      </c>
      <c r="F5322" s="28" t="s">
        <v>77</v>
      </c>
      <c r="G5322" s="28" t="s">
        <v>77</v>
      </c>
      <c r="I5322" s="26" t="s">
        <v>77</v>
      </c>
      <c r="J5322" s="26" t="s">
        <v>77</v>
      </c>
      <c r="K5322" s="18"/>
      <c r="L5322" s="26" t="s">
        <v>77</v>
      </c>
      <c r="M5322" s="6" t="s">
        <v>77</v>
      </c>
      <c r="N5322" s="28" t="s">
        <v>77</v>
      </c>
      <c r="O5322" s="26" t="s">
        <v>77</v>
      </c>
    </row>
    <row r="5323">
      <c r="A5323" s="52" t="s">
        <v>77</v>
      </c>
      <c r="B5323" s="28" t="s">
        <v>77</v>
      </c>
      <c r="C5323" s="28" t="s">
        <v>77</v>
      </c>
      <c r="D5323" s="28" t="s">
        <v>77</v>
      </c>
      <c r="E5323" s="28" t="s">
        <v>77</v>
      </c>
      <c r="F5323" s="28" t="s">
        <v>77</v>
      </c>
      <c r="G5323" s="28" t="s">
        <v>77</v>
      </c>
      <c r="I5323" s="26" t="s">
        <v>77</v>
      </c>
      <c r="J5323" s="26" t="s">
        <v>77</v>
      </c>
      <c r="K5323" s="18"/>
      <c r="L5323" s="26" t="s">
        <v>77</v>
      </c>
      <c r="M5323" s="6" t="s">
        <v>77</v>
      </c>
      <c r="N5323" s="28" t="s">
        <v>77</v>
      </c>
      <c r="O5323" s="26" t="s">
        <v>77</v>
      </c>
    </row>
    <row r="5324">
      <c r="A5324" s="52" t="s">
        <v>77</v>
      </c>
      <c r="B5324" s="28" t="s">
        <v>77</v>
      </c>
      <c r="C5324" s="28" t="s">
        <v>77</v>
      </c>
      <c r="D5324" s="28" t="s">
        <v>77</v>
      </c>
      <c r="E5324" s="28" t="s">
        <v>77</v>
      </c>
      <c r="F5324" s="28" t="s">
        <v>77</v>
      </c>
      <c r="G5324" s="28" t="s">
        <v>77</v>
      </c>
      <c r="I5324" s="26" t="s">
        <v>77</v>
      </c>
      <c r="J5324" s="26" t="s">
        <v>77</v>
      </c>
      <c r="K5324" s="18"/>
      <c r="L5324" s="26" t="s">
        <v>77</v>
      </c>
      <c r="M5324" s="6" t="s">
        <v>77</v>
      </c>
      <c r="N5324" s="28" t="s">
        <v>77</v>
      </c>
      <c r="O5324" s="26" t="s">
        <v>77</v>
      </c>
    </row>
    <row r="5325">
      <c r="A5325" s="52" t="s">
        <v>77</v>
      </c>
      <c r="B5325" s="28" t="s">
        <v>77</v>
      </c>
      <c r="C5325" s="28" t="s">
        <v>77</v>
      </c>
      <c r="D5325" s="28" t="s">
        <v>77</v>
      </c>
      <c r="E5325" s="28" t="s">
        <v>77</v>
      </c>
      <c r="F5325" s="28" t="s">
        <v>77</v>
      </c>
      <c r="G5325" s="28" t="s">
        <v>77</v>
      </c>
      <c r="I5325" s="26" t="s">
        <v>77</v>
      </c>
      <c r="J5325" s="26" t="s">
        <v>77</v>
      </c>
      <c r="K5325" s="18"/>
      <c r="L5325" s="26" t="s">
        <v>77</v>
      </c>
      <c r="M5325" s="6" t="s">
        <v>77</v>
      </c>
      <c r="N5325" s="28" t="s">
        <v>77</v>
      </c>
      <c r="O5325" s="26" t="s">
        <v>77</v>
      </c>
    </row>
    <row r="5326">
      <c r="A5326" s="52" t="s">
        <v>77</v>
      </c>
      <c r="B5326" s="28" t="s">
        <v>77</v>
      </c>
      <c r="C5326" s="28" t="s">
        <v>77</v>
      </c>
      <c r="D5326" s="28" t="s">
        <v>77</v>
      </c>
      <c r="E5326" s="28" t="s">
        <v>77</v>
      </c>
      <c r="F5326" s="28" t="s">
        <v>77</v>
      </c>
      <c r="G5326" s="28" t="s">
        <v>77</v>
      </c>
      <c r="I5326" s="26" t="s">
        <v>77</v>
      </c>
      <c r="J5326" s="26" t="s">
        <v>77</v>
      </c>
      <c r="K5326" s="18"/>
      <c r="L5326" s="26" t="s">
        <v>77</v>
      </c>
      <c r="M5326" s="6" t="s">
        <v>77</v>
      </c>
      <c r="N5326" s="28" t="s">
        <v>77</v>
      </c>
      <c r="O5326" s="26" t="s">
        <v>77</v>
      </c>
    </row>
    <row r="5327">
      <c r="A5327" s="52" t="s">
        <v>77</v>
      </c>
      <c r="B5327" s="28" t="s">
        <v>77</v>
      </c>
      <c r="C5327" s="28" t="s">
        <v>77</v>
      </c>
      <c r="D5327" s="28" t="s">
        <v>77</v>
      </c>
      <c r="E5327" s="28" t="s">
        <v>77</v>
      </c>
      <c r="F5327" s="28" t="s">
        <v>77</v>
      </c>
      <c r="G5327" s="28" t="s">
        <v>77</v>
      </c>
      <c r="I5327" s="26" t="s">
        <v>77</v>
      </c>
      <c r="J5327" s="26" t="s">
        <v>77</v>
      </c>
      <c r="K5327" s="18"/>
      <c r="L5327" s="26" t="s">
        <v>77</v>
      </c>
      <c r="M5327" s="6" t="s">
        <v>77</v>
      </c>
      <c r="N5327" s="28" t="s">
        <v>77</v>
      </c>
      <c r="O5327" s="26" t="s">
        <v>77</v>
      </c>
    </row>
    <row r="5328">
      <c r="A5328" s="52" t="s">
        <v>77</v>
      </c>
      <c r="B5328" s="28" t="s">
        <v>77</v>
      </c>
      <c r="C5328" s="28" t="s">
        <v>77</v>
      </c>
      <c r="D5328" s="28" t="s">
        <v>77</v>
      </c>
      <c r="E5328" s="28" t="s">
        <v>77</v>
      </c>
      <c r="F5328" s="28" t="s">
        <v>77</v>
      </c>
      <c r="G5328" s="28" t="s">
        <v>77</v>
      </c>
      <c r="I5328" s="26" t="s">
        <v>77</v>
      </c>
      <c r="J5328" s="26" t="s">
        <v>77</v>
      </c>
      <c r="K5328" s="18"/>
      <c r="L5328" s="26" t="s">
        <v>77</v>
      </c>
      <c r="M5328" s="6" t="s">
        <v>77</v>
      </c>
      <c r="N5328" s="28" t="s">
        <v>77</v>
      </c>
      <c r="O5328" s="26" t="s">
        <v>77</v>
      </c>
    </row>
    <row r="5329">
      <c r="A5329" s="52" t="s">
        <v>77</v>
      </c>
      <c r="B5329" s="28" t="s">
        <v>77</v>
      </c>
      <c r="C5329" s="28" t="s">
        <v>77</v>
      </c>
      <c r="D5329" s="28" t="s">
        <v>77</v>
      </c>
      <c r="E5329" s="28" t="s">
        <v>77</v>
      </c>
      <c r="F5329" s="28" t="s">
        <v>77</v>
      </c>
      <c r="G5329" s="28" t="s">
        <v>77</v>
      </c>
      <c r="I5329" s="26" t="s">
        <v>77</v>
      </c>
      <c r="J5329" s="26" t="s">
        <v>77</v>
      </c>
      <c r="K5329" s="18"/>
      <c r="L5329" s="26" t="s">
        <v>77</v>
      </c>
      <c r="M5329" s="6" t="s">
        <v>77</v>
      </c>
      <c r="N5329" s="28" t="s">
        <v>77</v>
      </c>
      <c r="O5329" s="26" t="s">
        <v>77</v>
      </c>
    </row>
    <row r="5330">
      <c r="A5330" s="52" t="s">
        <v>77</v>
      </c>
      <c r="B5330" s="28" t="s">
        <v>77</v>
      </c>
      <c r="C5330" s="28" t="s">
        <v>77</v>
      </c>
      <c r="D5330" s="28" t="s">
        <v>77</v>
      </c>
      <c r="E5330" s="28" t="s">
        <v>77</v>
      </c>
      <c r="F5330" s="28" t="s">
        <v>77</v>
      </c>
      <c r="G5330" s="28" t="s">
        <v>77</v>
      </c>
      <c r="I5330" s="26" t="s">
        <v>77</v>
      </c>
      <c r="J5330" s="26" t="s">
        <v>77</v>
      </c>
      <c r="K5330" s="18"/>
      <c r="L5330" s="26" t="s">
        <v>77</v>
      </c>
      <c r="M5330" s="6" t="s">
        <v>77</v>
      </c>
      <c r="N5330" s="28" t="s">
        <v>77</v>
      </c>
      <c r="O5330" s="26" t="s">
        <v>77</v>
      </c>
    </row>
    <row r="5331">
      <c r="A5331" s="52" t="s">
        <v>77</v>
      </c>
      <c r="B5331" s="28" t="s">
        <v>77</v>
      </c>
      <c r="C5331" s="28" t="s">
        <v>77</v>
      </c>
      <c r="D5331" s="28" t="s">
        <v>77</v>
      </c>
      <c r="E5331" s="28" t="s">
        <v>77</v>
      </c>
      <c r="F5331" s="28" t="s">
        <v>77</v>
      </c>
      <c r="G5331" s="28" t="s">
        <v>77</v>
      </c>
      <c r="I5331" s="26" t="s">
        <v>77</v>
      </c>
      <c r="J5331" s="26" t="s">
        <v>77</v>
      </c>
      <c r="K5331" s="18"/>
      <c r="L5331" s="26" t="s">
        <v>77</v>
      </c>
      <c r="M5331" s="6" t="s">
        <v>77</v>
      </c>
      <c r="N5331" s="28" t="s">
        <v>77</v>
      </c>
      <c r="O5331" s="26" t="s">
        <v>77</v>
      </c>
    </row>
    <row r="5332">
      <c r="A5332" s="52" t="s">
        <v>77</v>
      </c>
      <c r="B5332" s="28" t="s">
        <v>77</v>
      </c>
      <c r="C5332" s="28" t="s">
        <v>77</v>
      </c>
      <c r="D5332" s="28" t="s">
        <v>77</v>
      </c>
      <c r="E5332" s="28" t="s">
        <v>77</v>
      </c>
      <c r="F5332" s="28" t="s">
        <v>77</v>
      </c>
      <c r="G5332" s="28" t="s">
        <v>77</v>
      </c>
      <c r="I5332" s="26" t="s">
        <v>77</v>
      </c>
      <c r="J5332" s="26" t="s">
        <v>77</v>
      </c>
      <c r="K5332" s="18"/>
      <c r="L5332" s="26" t="s">
        <v>77</v>
      </c>
      <c r="M5332" s="6" t="s">
        <v>77</v>
      </c>
      <c r="N5332" s="28" t="s">
        <v>77</v>
      </c>
      <c r="O5332" s="26" t="s">
        <v>77</v>
      </c>
    </row>
    <row r="5333">
      <c r="A5333" s="52" t="s">
        <v>77</v>
      </c>
      <c r="B5333" s="28" t="s">
        <v>77</v>
      </c>
      <c r="C5333" s="28" t="s">
        <v>77</v>
      </c>
      <c r="D5333" s="28" t="s">
        <v>77</v>
      </c>
      <c r="E5333" s="28" t="s">
        <v>77</v>
      </c>
      <c r="F5333" s="28" t="s">
        <v>77</v>
      </c>
      <c r="G5333" s="28" t="s">
        <v>77</v>
      </c>
      <c r="I5333" s="26" t="s">
        <v>77</v>
      </c>
      <c r="J5333" s="26" t="s">
        <v>77</v>
      </c>
      <c r="K5333" s="18"/>
      <c r="L5333" s="26" t="s">
        <v>77</v>
      </c>
      <c r="M5333" s="6" t="s">
        <v>77</v>
      </c>
      <c r="N5333" s="28" t="s">
        <v>77</v>
      </c>
      <c r="O5333" s="26" t="s">
        <v>77</v>
      </c>
    </row>
    <row r="5334">
      <c r="A5334" s="52" t="s">
        <v>77</v>
      </c>
      <c r="B5334" s="28" t="s">
        <v>77</v>
      </c>
      <c r="C5334" s="28" t="s">
        <v>77</v>
      </c>
      <c r="D5334" s="28" t="s">
        <v>77</v>
      </c>
      <c r="E5334" s="28" t="s">
        <v>77</v>
      </c>
      <c r="F5334" s="28" t="s">
        <v>77</v>
      </c>
      <c r="G5334" s="28" t="s">
        <v>77</v>
      </c>
      <c r="I5334" s="26" t="s">
        <v>77</v>
      </c>
      <c r="J5334" s="26" t="s">
        <v>77</v>
      </c>
      <c r="K5334" s="18"/>
      <c r="L5334" s="26" t="s">
        <v>77</v>
      </c>
      <c r="M5334" s="6" t="s">
        <v>77</v>
      </c>
      <c r="N5334" s="28" t="s">
        <v>77</v>
      </c>
      <c r="O5334" s="26" t="s">
        <v>77</v>
      </c>
    </row>
    <row r="5335">
      <c r="A5335" s="52" t="s">
        <v>77</v>
      </c>
      <c r="B5335" s="28" t="s">
        <v>77</v>
      </c>
      <c r="C5335" s="28" t="s">
        <v>77</v>
      </c>
      <c r="D5335" s="28" t="s">
        <v>77</v>
      </c>
      <c r="E5335" s="28" t="s">
        <v>77</v>
      </c>
      <c r="F5335" s="28" t="s">
        <v>77</v>
      </c>
      <c r="G5335" s="28" t="s">
        <v>77</v>
      </c>
      <c r="I5335" s="26" t="s">
        <v>77</v>
      </c>
      <c r="J5335" s="26" t="s">
        <v>77</v>
      </c>
      <c r="K5335" s="18"/>
      <c r="L5335" s="26" t="s">
        <v>77</v>
      </c>
      <c r="M5335" s="6" t="s">
        <v>77</v>
      </c>
      <c r="N5335" s="28" t="s">
        <v>77</v>
      </c>
      <c r="O5335" s="26" t="s">
        <v>77</v>
      </c>
    </row>
    <row r="5336">
      <c r="A5336" s="52" t="s">
        <v>77</v>
      </c>
      <c r="B5336" s="28" t="s">
        <v>77</v>
      </c>
      <c r="C5336" s="28" t="s">
        <v>77</v>
      </c>
      <c r="D5336" s="28" t="s">
        <v>77</v>
      </c>
      <c r="E5336" s="28" t="s">
        <v>77</v>
      </c>
      <c r="F5336" s="28" t="s">
        <v>77</v>
      </c>
      <c r="G5336" s="28" t="s">
        <v>77</v>
      </c>
      <c r="I5336" s="26" t="s">
        <v>77</v>
      </c>
      <c r="J5336" s="26" t="s">
        <v>77</v>
      </c>
      <c r="K5336" s="18"/>
      <c r="L5336" s="26" t="s">
        <v>77</v>
      </c>
      <c r="M5336" s="6" t="s">
        <v>77</v>
      </c>
      <c r="N5336" s="28" t="s">
        <v>77</v>
      </c>
      <c r="O5336" s="26" t="s">
        <v>77</v>
      </c>
    </row>
    <row r="5337">
      <c r="A5337" s="52" t="s">
        <v>77</v>
      </c>
      <c r="B5337" s="28" t="s">
        <v>77</v>
      </c>
      <c r="C5337" s="28" t="s">
        <v>77</v>
      </c>
      <c r="D5337" s="28" t="s">
        <v>77</v>
      </c>
      <c r="E5337" s="28" t="s">
        <v>77</v>
      </c>
      <c r="F5337" s="28" t="s">
        <v>77</v>
      </c>
      <c r="G5337" s="28" t="s">
        <v>77</v>
      </c>
      <c r="I5337" s="26" t="s">
        <v>77</v>
      </c>
      <c r="J5337" s="26" t="s">
        <v>77</v>
      </c>
      <c r="K5337" s="18"/>
      <c r="L5337" s="26" t="s">
        <v>77</v>
      </c>
      <c r="M5337" s="6" t="s">
        <v>77</v>
      </c>
      <c r="N5337" s="28" t="s">
        <v>77</v>
      </c>
      <c r="O5337" s="26" t="s">
        <v>77</v>
      </c>
    </row>
    <row r="5338">
      <c r="A5338" s="52" t="s">
        <v>77</v>
      </c>
      <c r="B5338" s="28" t="s">
        <v>77</v>
      </c>
      <c r="C5338" s="28" t="s">
        <v>77</v>
      </c>
      <c r="D5338" s="28" t="s">
        <v>77</v>
      </c>
      <c r="E5338" s="28" t="s">
        <v>77</v>
      </c>
      <c r="F5338" s="28" t="s">
        <v>77</v>
      </c>
      <c r="G5338" s="28" t="s">
        <v>77</v>
      </c>
      <c r="I5338" s="26" t="s">
        <v>77</v>
      </c>
      <c r="J5338" s="26" t="s">
        <v>77</v>
      </c>
      <c r="K5338" s="18"/>
      <c r="L5338" s="26" t="s">
        <v>77</v>
      </c>
      <c r="M5338" s="6" t="s">
        <v>77</v>
      </c>
      <c r="N5338" s="28" t="s">
        <v>77</v>
      </c>
      <c r="O5338" s="26" t="s">
        <v>77</v>
      </c>
    </row>
    <row r="5339">
      <c r="A5339" s="52" t="s">
        <v>77</v>
      </c>
      <c r="B5339" s="28" t="s">
        <v>77</v>
      </c>
      <c r="C5339" s="28" t="s">
        <v>77</v>
      </c>
      <c r="D5339" s="28" t="s">
        <v>77</v>
      </c>
      <c r="E5339" s="28" t="s">
        <v>77</v>
      </c>
      <c r="F5339" s="28" t="s">
        <v>77</v>
      </c>
      <c r="G5339" s="28" t="s">
        <v>77</v>
      </c>
      <c r="I5339" s="26" t="s">
        <v>77</v>
      </c>
      <c r="J5339" s="26" t="s">
        <v>77</v>
      </c>
      <c r="K5339" s="18"/>
      <c r="L5339" s="26" t="s">
        <v>77</v>
      </c>
      <c r="M5339" s="6" t="s">
        <v>77</v>
      </c>
      <c r="N5339" s="28" t="s">
        <v>77</v>
      </c>
      <c r="O5339" s="26" t="s">
        <v>77</v>
      </c>
    </row>
    <row r="5340">
      <c r="A5340" s="52" t="s">
        <v>77</v>
      </c>
      <c r="B5340" s="28" t="s">
        <v>77</v>
      </c>
      <c r="C5340" s="28" t="s">
        <v>77</v>
      </c>
      <c r="D5340" s="28" t="s">
        <v>77</v>
      </c>
      <c r="E5340" s="28" t="s">
        <v>77</v>
      </c>
      <c r="F5340" s="28" t="s">
        <v>77</v>
      </c>
      <c r="G5340" s="28" t="s">
        <v>77</v>
      </c>
      <c r="I5340" s="26" t="s">
        <v>77</v>
      </c>
      <c r="J5340" s="26" t="s">
        <v>77</v>
      </c>
      <c r="K5340" s="18"/>
      <c r="L5340" s="26" t="s">
        <v>77</v>
      </c>
      <c r="M5340" s="6" t="s">
        <v>77</v>
      </c>
      <c r="N5340" s="28" t="s">
        <v>77</v>
      </c>
      <c r="O5340" s="26" t="s">
        <v>77</v>
      </c>
    </row>
    <row r="5341">
      <c r="A5341" s="52" t="s">
        <v>77</v>
      </c>
      <c r="B5341" s="28" t="s">
        <v>77</v>
      </c>
      <c r="C5341" s="28" t="s">
        <v>77</v>
      </c>
      <c r="D5341" s="28" t="s">
        <v>77</v>
      </c>
      <c r="E5341" s="28" t="s">
        <v>77</v>
      </c>
      <c r="F5341" s="28" t="s">
        <v>77</v>
      </c>
      <c r="G5341" s="28" t="s">
        <v>77</v>
      </c>
      <c r="I5341" s="26" t="s">
        <v>77</v>
      </c>
      <c r="J5341" s="26" t="s">
        <v>77</v>
      </c>
      <c r="K5341" s="18"/>
      <c r="L5341" s="26" t="s">
        <v>77</v>
      </c>
      <c r="M5341" s="6" t="s">
        <v>77</v>
      </c>
      <c r="N5341" s="28" t="s">
        <v>77</v>
      </c>
      <c r="O5341" s="26" t="s">
        <v>77</v>
      </c>
    </row>
    <row r="5342">
      <c r="A5342" s="52" t="s">
        <v>77</v>
      </c>
      <c r="B5342" s="28" t="s">
        <v>77</v>
      </c>
      <c r="C5342" s="28" t="s">
        <v>77</v>
      </c>
      <c r="D5342" s="28" t="s">
        <v>77</v>
      </c>
      <c r="E5342" s="28" t="s">
        <v>77</v>
      </c>
      <c r="F5342" s="28" t="s">
        <v>77</v>
      </c>
      <c r="G5342" s="28" t="s">
        <v>77</v>
      </c>
      <c r="I5342" s="26" t="s">
        <v>77</v>
      </c>
      <c r="J5342" s="26" t="s">
        <v>77</v>
      </c>
      <c r="K5342" s="18"/>
      <c r="L5342" s="26" t="s">
        <v>77</v>
      </c>
      <c r="M5342" s="6" t="s">
        <v>77</v>
      </c>
      <c r="N5342" s="28" t="s">
        <v>77</v>
      </c>
      <c r="O5342" s="26" t="s">
        <v>77</v>
      </c>
    </row>
    <row r="5343">
      <c r="A5343" s="52" t="s">
        <v>77</v>
      </c>
      <c r="B5343" s="28" t="s">
        <v>77</v>
      </c>
      <c r="C5343" s="28" t="s">
        <v>77</v>
      </c>
      <c r="D5343" s="28" t="s">
        <v>77</v>
      </c>
      <c r="E5343" s="28" t="s">
        <v>77</v>
      </c>
      <c r="F5343" s="28" t="s">
        <v>77</v>
      </c>
      <c r="G5343" s="28" t="s">
        <v>77</v>
      </c>
      <c r="I5343" s="26" t="s">
        <v>77</v>
      </c>
      <c r="J5343" s="26" t="s">
        <v>77</v>
      </c>
      <c r="K5343" s="18"/>
      <c r="L5343" s="26" t="s">
        <v>77</v>
      </c>
      <c r="M5343" s="6" t="s">
        <v>77</v>
      </c>
      <c r="N5343" s="28" t="s">
        <v>77</v>
      </c>
      <c r="O5343" s="26" t="s">
        <v>77</v>
      </c>
    </row>
    <row r="5344">
      <c r="A5344" s="52" t="s">
        <v>77</v>
      </c>
      <c r="B5344" s="28" t="s">
        <v>77</v>
      </c>
      <c r="C5344" s="28" t="s">
        <v>77</v>
      </c>
      <c r="D5344" s="28" t="s">
        <v>77</v>
      </c>
      <c r="E5344" s="28" t="s">
        <v>77</v>
      </c>
      <c r="F5344" s="28" t="s">
        <v>77</v>
      </c>
      <c r="G5344" s="28" t="s">
        <v>77</v>
      </c>
      <c r="I5344" s="26" t="s">
        <v>77</v>
      </c>
      <c r="J5344" s="26" t="s">
        <v>77</v>
      </c>
      <c r="K5344" s="18"/>
      <c r="L5344" s="26" t="s">
        <v>77</v>
      </c>
      <c r="M5344" s="6" t="s">
        <v>77</v>
      </c>
      <c r="N5344" s="28" t="s">
        <v>77</v>
      </c>
      <c r="O5344" s="26" t="s">
        <v>77</v>
      </c>
    </row>
    <row r="5345">
      <c r="A5345" s="52" t="s">
        <v>77</v>
      </c>
      <c r="B5345" s="28" t="s">
        <v>77</v>
      </c>
      <c r="C5345" s="28" t="s">
        <v>77</v>
      </c>
      <c r="D5345" s="28" t="s">
        <v>77</v>
      </c>
      <c r="E5345" s="28" t="s">
        <v>77</v>
      </c>
      <c r="F5345" s="28" t="s">
        <v>77</v>
      </c>
      <c r="G5345" s="28" t="s">
        <v>77</v>
      </c>
      <c r="I5345" s="26" t="s">
        <v>77</v>
      </c>
      <c r="J5345" s="26" t="s">
        <v>77</v>
      </c>
      <c r="K5345" s="18"/>
      <c r="L5345" s="26" t="s">
        <v>77</v>
      </c>
      <c r="M5345" s="6" t="s">
        <v>77</v>
      </c>
      <c r="N5345" s="28" t="s">
        <v>77</v>
      </c>
      <c r="O5345" s="26" t="s">
        <v>77</v>
      </c>
    </row>
    <row r="5346">
      <c r="A5346" s="52" t="s">
        <v>77</v>
      </c>
      <c r="B5346" s="28" t="s">
        <v>77</v>
      </c>
      <c r="C5346" s="28" t="s">
        <v>77</v>
      </c>
      <c r="D5346" s="28" t="s">
        <v>77</v>
      </c>
      <c r="E5346" s="28" t="s">
        <v>77</v>
      </c>
      <c r="F5346" s="28" t="s">
        <v>77</v>
      </c>
      <c r="G5346" s="28" t="s">
        <v>77</v>
      </c>
      <c r="I5346" s="26" t="s">
        <v>77</v>
      </c>
      <c r="J5346" s="26" t="s">
        <v>77</v>
      </c>
      <c r="K5346" s="18"/>
      <c r="L5346" s="26" t="s">
        <v>77</v>
      </c>
      <c r="M5346" s="6" t="s">
        <v>77</v>
      </c>
      <c r="N5346" s="28" t="s">
        <v>77</v>
      </c>
      <c r="O5346" s="26" t="s">
        <v>77</v>
      </c>
    </row>
    <row r="5347">
      <c r="A5347" s="52" t="s">
        <v>77</v>
      </c>
      <c r="B5347" s="28" t="s">
        <v>77</v>
      </c>
      <c r="C5347" s="28" t="s">
        <v>77</v>
      </c>
      <c r="D5347" s="28" t="s">
        <v>77</v>
      </c>
      <c r="E5347" s="28" t="s">
        <v>77</v>
      </c>
      <c r="F5347" s="28" t="s">
        <v>77</v>
      </c>
      <c r="G5347" s="28" t="s">
        <v>77</v>
      </c>
      <c r="I5347" s="26" t="s">
        <v>77</v>
      </c>
      <c r="J5347" s="26" t="s">
        <v>77</v>
      </c>
      <c r="K5347" s="18"/>
      <c r="L5347" s="26" t="s">
        <v>77</v>
      </c>
      <c r="M5347" s="6" t="s">
        <v>77</v>
      </c>
      <c r="N5347" s="28" t="s">
        <v>77</v>
      </c>
      <c r="O5347" s="26" t="s">
        <v>77</v>
      </c>
    </row>
    <row r="5348">
      <c r="A5348" s="52" t="s">
        <v>77</v>
      </c>
      <c r="B5348" s="28" t="s">
        <v>77</v>
      </c>
      <c r="C5348" s="28" t="s">
        <v>77</v>
      </c>
      <c r="D5348" s="28" t="s">
        <v>77</v>
      </c>
      <c r="E5348" s="28" t="s">
        <v>77</v>
      </c>
      <c r="F5348" s="28" t="s">
        <v>77</v>
      </c>
      <c r="G5348" s="28" t="s">
        <v>77</v>
      </c>
      <c r="I5348" s="26" t="s">
        <v>77</v>
      </c>
      <c r="J5348" s="26" t="s">
        <v>77</v>
      </c>
      <c r="K5348" s="18"/>
      <c r="L5348" s="26" t="s">
        <v>77</v>
      </c>
      <c r="M5348" s="6" t="s">
        <v>77</v>
      </c>
      <c r="N5348" s="28" t="s">
        <v>77</v>
      </c>
      <c r="O5348" s="26" t="s">
        <v>77</v>
      </c>
    </row>
    <row r="5349">
      <c r="A5349" s="52" t="s">
        <v>77</v>
      </c>
      <c r="B5349" s="28" t="s">
        <v>77</v>
      </c>
      <c r="C5349" s="28" t="s">
        <v>77</v>
      </c>
      <c r="D5349" s="28" t="s">
        <v>77</v>
      </c>
      <c r="E5349" s="28" t="s">
        <v>77</v>
      </c>
      <c r="F5349" s="28" t="s">
        <v>77</v>
      </c>
      <c r="G5349" s="28" t="s">
        <v>77</v>
      </c>
      <c r="I5349" s="26" t="s">
        <v>77</v>
      </c>
      <c r="J5349" s="26" t="s">
        <v>77</v>
      </c>
      <c r="K5349" s="18"/>
      <c r="L5349" s="26" t="s">
        <v>77</v>
      </c>
      <c r="M5349" s="6" t="s">
        <v>77</v>
      </c>
      <c r="N5349" s="28" t="s">
        <v>77</v>
      </c>
      <c r="O5349" s="26" t="s">
        <v>77</v>
      </c>
    </row>
    <row r="5350">
      <c r="A5350" s="52" t="s">
        <v>77</v>
      </c>
      <c r="B5350" s="28" t="s">
        <v>77</v>
      </c>
      <c r="C5350" s="28" t="s">
        <v>77</v>
      </c>
      <c r="D5350" s="28" t="s">
        <v>77</v>
      </c>
      <c r="E5350" s="28" t="s">
        <v>77</v>
      </c>
      <c r="F5350" s="28" t="s">
        <v>77</v>
      </c>
      <c r="G5350" s="28" t="s">
        <v>77</v>
      </c>
      <c r="I5350" s="26" t="s">
        <v>77</v>
      </c>
      <c r="J5350" s="26" t="s">
        <v>77</v>
      </c>
      <c r="K5350" s="18"/>
      <c r="L5350" s="26" t="s">
        <v>77</v>
      </c>
      <c r="M5350" s="6" t="s">
        <v>77</v>
      </c>
      <c r="N5350" s="28" t="s">
        <v>77</v>
      </c>
      <c r="O5350" s="26" t="s">
        <v>77</v>
      </c>
    </row>
    <row r="5351">
      <c r="A5351" s="52" t="s">
        <v>77</v>
      </c>
      <c r="B5351" s="28" t="s">
        <v>77</v>
      </c>
      <c r="C5351" s="28" t="s">
        <v>77</v>
      </c>
      <c r="D5351" s="28" t="s">
        <v>77</v>
      </c>
      <c r="E5351" s="28" t="s">
        <v>77</v>
      </c>
      <c r="F5351" s="28" t="s">
        <v>77</v>
      </c>
      <c r="G5351" s="28" t="s">
        <v>77</v>
      </c>
      <c r="I5351" s="26" t="s">
        <v>77</v>
      </c>
      <c r="J5351" s="26" t="s">
        <v>77</v>
      </c>
      <c r="K5351" s="18"/>
      <c r="L5351" s="26" t="s">
        <v>77</v>
      </c>
      <c r="M5351" s="6" t="s">
        <v>77</v>
      </c>
      <c r="N5351" s="28" t="s">
        <v>77</v>
      </c>
      <c r="O5351" s="26" t="s">
        <v>77</v>
      </c>
    </row>
    <row r="5352">
      <c r="A5352" s="52" t="s">
        <v>77</v>
      </c>
      <c r="B5352" s="28" t="s">
        <v>77</v>
      </c>
      <c r="C5352" s="28" t="s">
        <v>77</v>
      </c>
      <c r="D5352" s="28" t="s">
        <v>77</v>
      </c>
      <c r="E5352" s="28" t="s">
        <v>77</v>
      </c>
      <c r="F5352" s="28" t="s">
        <v>77</v>
      </c>
      <c r="G5352" s="28" t="s">
        <v>77</v>
      </c>
      <c r="I5352" s="26" t="s">
        <v>77</v>
      </c>
      <c r="J5352" s="26" t="s">
        <v>77</v>
      </c>
      <c r="K5352" s="18"/>
      <c r="L5352" s="26" t="s">
        <v>77</v>
      </c>
      <c r="M5352" s="6" t="s">
        <v>77</v>
      </c>
      <c r="N5352" s="28" t="s">
        <v>77</v>
      </c>
      <c r="O5352" s="26" t="s">
        <v>77</v>
      </c>
    </row>
    <row r="5353">
      <c r="A5353" s="52" t="s">
        <v>77</v>
      </c>
      <c r="B5353" s="28" t="s">
        <v>77</v>
      </c>
      <c r="C5353" s="28" t="s">
        <v>77</v>
      </c>
      <c r="D5353" s="28" t="s">
        <v>77</v>
      </c>
      <c r="E5353" s="28" t="s">
        <v>77</v>
      </c>
      <c r="F5353" s="28" t="s">
        <v>77</v>
      </c>
      <c r="G5353" s="28" t="s">
        <v>77</v>
      </c>
      <c r="I5353" s="26" t="s">
        <v>77</v>
      </c>
      <c r="J5353" s="26" t="s">
        <v>77</v>
      </c>
      <c r="K5353" s="18"/>
      <c r="L5353" s="26" t="s">
        <v>77</v>
      </c>
      <c r="M5353" s="6" t="s">
        <v>77</v>
      </c>
      <c r="N5353" s="28" t="s">
        <v>77</v>
      </c>
      <c r="O5353" s="26" t="s">
        <v>77</v>
      </c>
    </row>
    <row r="5354">
      <c r="A5354" s="52" t="s">
        <v>77</v>
      </c>
      <c r="B5354" s="28" t="s">
        <v>77</v>
      </c>
      <c r="C5354" s="28" t="s">
        <v>77</v>
      </c>
      <c r="D5354" s="28" t="s">
        <v>77</v>
      </c>
      <c r="E5354" s="28" t="s">
        <v>77</v>
      </c>
      <c r="F5354" s="28" t="s">
        <v>77</v>
      </c>
      <c r="G5354" s="28" t="s">
        <v>77</v>
      </c>
      <c r="I5354" s="26" t="s">
        <v>77</v>
      </c>
      <c r="J5354" s="26" t="s">
        <v>77</v>
      </c>
      <c r="K5354" s="18"/>
      <c r="L5354" s="26" t="s">
        <v>77</v>
      </c>
      <c r="M5354" s="6" t="s">
        <v>77</v>
      </c>
      <c r="N5354" s="28" t="s">
        <v>77</v>
      </c>
      <c r="O5354" s="26" t="s">
        <v>77</v>
      </c>
    </row>
    <row r="5355">
      <c r="A5355" s="52" t="s">
        <v>77</v>
      </c>
      <c r="B5355" s="28" t="s">
        <v>77</v>
      </c>
      <c r="C5355" s="28" t="s">
        <v>77</v>
      </c>
      <c r="D5355" s="28" t="s">
        <v>77</v>
      </c>
      <c r="E5355" s="28" t="s">
        <v>77</v>
      </c>
      <c r="F5355" s="28" t="s">
        <v>77</v>
      </c>
      <c r="G5355" s="28" t="s">
        <v>77</v>
      </c>
      <c r="I5355" s="26" t="s">
        <v>77</v>
      </c>
      <c r="J5355" s="26" t="s">
        <v>77</v>
      </c>
      <c r="K5355" s="18"/>
      <c r="L5355" s="26" t="s">
        <v>77</v>
      </c>
      <c r="M5355" s="6" t="s">
        <v>77</v>
      </c>
      <c r="N5355" s="28" t="s">
        <v>77</v>
      </c>
      <c r="O5355" s="26" t="s">
        <v>77</v>
      </c>
    </row>
    <row r="5356">
      <c r="A5356" s="52" t="s">
        <v>77</v>
      </c>
      <c r="B5356" s="28" t="s">
        <v>77</v>
      </c>
      <c r="C5356" s="28" t="s">
        <v>77</v>
      </c>
      <c r="D5356" s="28" t="s">
        <v>77</v>
      </c>
      <c r="E5356" s="28" t="s">
        <v>77</v>
      </c>
      <c r="F5356" s="28" t="s">
        <v>77</v>
      </c>
      <c r="G5356" s="28" t="s">
        <v>77</v>
      </c>
      <c r="I5356" s="26" t="s">
        <v>77</v>
      </c>
      <c r="J5356" s="26" t="s">
        <v>77</v>
      </c>
      <c r="K5356" s="18"/>
      <c r="L5356" s="26" t="s">
        <v>77</v>
      </c>
      <c r="M5356" s="6" t="s">
        <v>77</v>
      </c>
      <c r="N5356" s="28" t="s">
        <v>77</v>
      </c>
      <c r="O5356" s="26" t="s">
        <v>77</v>
      </c>
    </row>
    <row r="5357">
      <c r="A5357" s="52" t="s">
        <v>77</v>
      </c>
      <c r="B5357" s="28" t="s">
        <v>77</v>
      </c>
      <c r="C5357" s="28" t="s">
        <v>77</v>
      </c>
      <c r="D5357" s="28" t="s">
        <v>77</v>
      </c>
      <c r="E5357" s="28" t="s">
        <v>77</v>
      </c>
      <c r="F5357" s="28" t="s">
        <v>77</v>
      </c>
      <c r="G5357" s="28" t="s">
        <v>77</v>
      </c>
      <c r="I5357" s="26" t="s">
        <v>77</v>
      </c>
      <c r="J5357" s="26" t="s">
        <v>77</v>
      </c>
      <c r="K5357" s="18"/>
      <c r="L5357" s="26" t="s">
        <v>77</v>
      </c>
      <c r="M5357" s="6" t="s">
        <v>77</v>
      </c>
      <c r="N5357" s="28" t="s">
        <v>77</v>
      </c>
      <c r="O5357" s="26" t="s">
        <v>77</v>
      </c>
    </row>
    <row r="5358">
      <c r="A5358" s="52" t="s">
        <v>77</v>
      </c>
      <c r="B5358" s="28" t="s">
        <v>77</v>
      </c>
      <c r="C5358" s="28" t="s">
        <v>77</v>
      </c>
      <c r="D5358" s="28" t="s">
        <v>77</v>
      </c>
      <c r="E5358" s="28" t="s">
        <v>77</v>
      </c>
      <c r="F5358" s="28" t="s">
        <v>77</v>
      </c>
      <c r="G5358" s="28" t="s">
        <v>77</v>
      </c>
      <c r="I5358" s="26" t="s">
        <v>77</v>
      </c>
      <c r="J5358" s="26" t="s">
        <v>77</v>
      </c>
      <c r="K5358" s="18"/>
      <c r="L5358" s="26" t="s">
        <v>77</v>
      </c>
      <c r="M5358" s="6" t="s">
        <v>77</v>
      </c>
      <c r="N5358" s="28" t="s">
        <v>77</v>
      </c>
      <c r="O5358" s="26" t="s">
        <v>77</v>
      </c>
    </row>
    <row r="5359">
      <c r="A5359" s="52" t="s">
        <v>77</v>
      </c>
      <c r="B5359" s="28" t="s">
        <v>77</v>
      </c>
      <c r="C5359" s="28" t="s">
        <v>77</v>
      </c>
      <c r="D5359" s="28" t="s">
        <v>77</v>
      </c>
      <c r="E5359" s="28" t="s">
        <v>77</v>
      </c>
      <c r="F5359" s="28" t="s">
        <v>77</v>
      </c>
      <c r="G5359" s="28" t="s">
        <v>77</v>
      </c>
      <c r="I5359" s="26" t="s">
        <v>77</v>
      </c>
      <c r="J5359" s="26" t="s">
        <v>77</v>
      </c>
      <c r="K5359" s="18"/>
      <c r="L5359" s="26" t="s">
        <v>77</v>
      </c>
      <c r="M5359" s="6" t="s">
        <v>77</v>
      </c>
      <c r="N5359" s="28" t="s">
        <v>77</v>
      </c>
      <c r="O5359" s="26" t="s">
        <v>77</v>
      </c>
    </row>
    <row r="5360">
      <c r="A5360" s="52" t="s">
        <v>77</v>
      </c>
      <c r="B5360" s="28" t="s">
        <v>77</v>
      </c>
      <c r="C5360" s="28" t="s">
        <v>77</v>
      </c>
      <c r="D5360" s="28" t="s">
        <v>77</v>
      </c>
      <c r="E5360" s="28" t="s">
        <v>77</v>
      </c>
      <c r="F5360" s="28" t="s">
        <v>77</v>
      </c>
      <c r="G5360" s="28" t="s">
        <v>77</v>
      </c>
      <c r="I5360" s="26" t="s">
        <v>77</v>
      </c>
      <c r="J5360" s="26" t="s">
        <v>77</v>
      </c>
      <c r="K5360" s="18"/>
      <c r="L5360" s="26" t="s">
        <v>77</v>
      </c>
      <c r="M5360" s="6" t="s">
        <v>77</v>
      </c>
      <c r="N5360" s="28" t="s">
        <v>77</v>
      </c>
      <c r="O5360" s="26" t="s">
        <v>77</v>
      </c>
    </row>
    <row r="5361">
      <c r="A5361" s="52" t="s">
        <v>77</v>
      </c>
      <c r="B5361" s="28" t="s">
        <v>77</v>
      </c>
      <c r="C5361" s="28" t="s">
        <v>77</v>
      </c>
      <c r="D5361" s="28" t="s">
        <v>77</v>
      </c>
      <c r="E5361" s="28" t="s">
        <v>77</v>
      </c>
      <c r="F5361" s="28" t="s">
        <v>77</v>
      </c>
      <c r="G5361" s="28" t="s">
        <v>77</v>
      </c>
      <c r="I5361" s="26" t="s">
        <v>77</v>
      </c>
      <c r="J5361" s="26" t="s">
        <v>77</v>
      </c>
      <c r="K5361" s="18"/>
      <c r="L5361" s="26" t="s">
        <v>77</v>
      </c>
      <c r="M5361" s="6" t="s">
        <v>77</v>
      </c>
      <c r="N5361" s="28" t="s">
        <v>77</v>
      </c>
      <c r="O5361" s="26" t="s">
        <v>77</v>
      </c>
    </row>
    <row r="5362">
      <c r="A5362" s="52" t="s">
        <v>77</v>
      </c>
      <c r="B5362" s="28" t="s">
        <v>77</v>
      </c>
      <c r="C5362" s="28" t="s">
        <v>77</v>
      </c>
      <c r="D5362" s="28" t="s">
        <v>77</v>
      </c>
      <c r="E5362" s="28" t="s">
        <v>77</v>
      </c>
      <c r="F5362" s="28" t="s">
        <v>77</v>
      </c>
      <c r="G5362" s="28" t="s">
        <v>77</v>
      </c>
      <c r="I5362" s="26" t="s">
        <v>77</v>
      </c>
      <c r="J5362" s="26" t="s">
        <v>77</v>
      </c>
      <c r="K5362" s="18"/>
      <c r="L5362" s="26" t="s">
        <v>77</v>
      </c>
      <c r="M5362" s="6" t="s">
        <v>77</v>
      </c>
      <c r="N5362" s="28" t="s">
        <v>77</v>
      </c>
      <c r="O5362" s="26" t="s">
        <v>77</v>
      </c>
    </row>
    <row r="5363">
      <c r="A5363" s="52" t="s">
        <v>77</v>
      </c>
      <c r="B5363" s="28" t="s">
        <v>77</v>
      </c>
      <c r="C5363" s="28" t="s">
        <v>77</v>
      </c>
      <c r="D5363" s="28" t="s">
        <v>77</v>
      </c>
      <c r="E5363" s="28" t="s">
        <v>77</v>
      </c>
      <c r="F5363" s="28" t="s">
        <v>77</v>
      </c>
      <c r="G5363" s="28" t="s">
        <v>77</v>
      </c>
      <c r="I5363" s="26" t="s">
        <v>77</v>
      </c>
      <c r="J5363" s="26" t="s">
        <v>77</v>
      </c>
      <c r="K5363" s="18"/>
      <c r="L5363" s="26" t="s">
        <v>77</v>
      </c>
      <c r="M5363" s="6" t="s">
        <v>77</v>
      </c>
      <c r="N5363" s="28" t="s">
        <v>77</v>
      </c>
      <c r="O5363" s="26" t="s">
        <v>77</v>
      </c>
    </row>
    <row r="5364">
      <c r="A5364" s="52" t="s">
        <v>77</v>
      </c>
      <c r="B5364" s="28" t="s">
        <v>77</v>
      </c>
      <c r="C5364" s="28" t="s">
        <v>77</v>
      </c>
      <c r="D5364" s="28" t="s">
        <v>77</v>
      </c>
      <c r="E5364" s="28" t="s">
        <v>77</v>
      </c>
      <c r="F5364" s="28" t="s">
        <v>77</v>
      </c>
      <c r="G5364" s="28" t="s">
        <v>77</v>
      </c>
      <c r="I5364" s="26" t="s">
        <v>77</v>
      </c>
      <c r="J5364" s="26" t="s">
        <v>77</v>
      </c>
      <c r="K5364" s="18"/>
      <c r="L5364" s="26" t="s">
        <v>77</v>
      </c>
      <c r="M5364" s="6" t="s">
        <v>77</v>
      </c>
      <c r="N5364" s="28" t="s">
        <v>77</v>
      </c>
      <c r="O5364" s="26" t="s">
        <v>77</v>
      </c>
    </row>
    <row r="5365">
      <c r="A5365" s="52" t="s">
        <v>77</v>
      </c>
      <c r="B5365" s="28" t="s">
        <v>77</v>
      </c>
      <c r="C5365" s="28" t="s">
        <v>77</v>
      </c>
      <c r="D5365" s="28" t="s">
        <v>77</v>
      </c>
      <c r="E5365" s="28" t="s">
        <v>77</v>
      </c>
      <c r="F5365" s="28" t="s">
        <v>77</v>
      </c>
      <c r="G5365" s="28" t="s">
        <v>77</v>
      </c>
      <c r="I5365" s="26" t="s">
        <v>77</v>
      </c>
      <c r="J5365" s="26" t="s">
        <v>77</v>
      </c>
      <c r="K5365" s="18"/>
      <c r="L5365" s="26" t="s">
        <v>77</v>
      </c>
      <c r="M5365" s="6" t="s">
        <v>77</v>
      </c>
      <c r="N5365" s="28" t="s">
        <v>77</v>
      </c>
      <c r="O5365" s="26" t="s">
        <v>77</v>
      </c>
    </row>
    <row r="5366">
      <c r="A5366" s="52" t="s">
        <v>77</v>
      </c>
      <c r="B5366" s="28" t="s">
        <v>77</v>
      </c>
      <c r="C5366" s="28" t="s">
        <v>77</v>
      </c>
      <c r="D5366" s="28" t="s">
        <v>77</v>
      </c>
      <c r="E5366" s="28" t="s">
        <v>77</v>
      </c>
      <c r="F5366" s="28" t="s">
        <v>77</v>
      </c>
      <c r="G5366" s="28" t="s">
        <v>77</v>
      </c>
      <c r="I5366" s="26" t="s">
        <v>77</v>
      </c>
      <c r="J5366" s="26" t="s">
        <v>77</v>
      </c>
      <c r="K5366" s="18"/>
      <c r="L5366" s="26" t="s">
        <v>77</v>
      </c>
      <c r="M5366" s="6" t="s">
        <v>77</v>
      </c>
      <c r="N5366" s="28" t="s">
        <v>77</v>
      </c>
      <c r="O5366" s="26" t="s">
        <v>77</v>
      </c>
    </row>
    <row r="5367">
      <c r="A5367" s="52" t="s">
        <v>77</v>
      </c>
      <c r="B5367" s="28" t="s">
        <v>77</v>
      </c>
      <c r="C5367" s="28" t="s">
        <v>77</v>
      </c>
      <c r="D5367" s="28" t="s">
        <v>77</v>
      </c>
      <c r="E5367" s="28" t="s">
        <v>77</v>
      </c>
      <c r="F5367" s="28" t="s">
        <v>77</v>
      </c>
      <c r="G5367" s="28" t="s">
        <v>77</v>
      </c>
      <c r="I5367" s="26" t="s">
        <v>77</v>
      </c>
      <c r="J5367" s="26" t="s">
        <v>77</v>
      </c>
      <c r="K5367" s="18"/>
      <c r="L5367" s="26" t="s">
        <v>77</v>
      </c>
      <c r="M5367" s="6" t="s">
        <v>77</v>
      </c>
      <c r="N5367" s="28" t="s">
        <v>77</v>
      </c>
      <c r="O5367" s="26" t="s">
        <v>77</v>
      </c>
    </row>
    <row r="5368">
      <c r="A5368" s="52" t="s">
        <v>77</v>
      </c>
      <c r="B5368" s="28" t="s">
        <v>77</v>
      </c>
      <c r="C5368" s="28" t="s">
        <v>77</v>
      </c>
      <c r="D5368" s="28" t="s">
        <v>77</v>
      </c>
      <c r="E5368" s="28" t="s">
        <v>77</v>
      </c>
      <c r="F5368" s="28" t="s">
        <v>77</v>
      </c>
      <c r="G5368" s="28" t="s">
        <v>77</v>
      </c>
      <c r="I5368" s="26" t="s">
        <v>77</v>
      </c>
      <c r="J5368" s="26" t="s">
        <v>77</v>
      </c>
      <c r="K5368" s="18"/>
      <c r="L5368" s="26" t="s">
        <v>77</v>
      </c>
      <c r="M5368" s="6" t="s">
        <v>77</v>
      </c>
      <c r="N5368" s="28" t="s">
        <v>77</v>
      </c>
      <c r="O5368" s="26" t="s">
        <v>77</v>
      </c>
    </row>
    <row r="5369">
      <c r="A5369" s="52" t="s">
        <v>77</v>
      </c>
      <c r="B5369" s="28" t="s">
        <v>77</v>
      </c>
      <c r="C5369" s="28" t="s">
        <v>77</v>
      </c>
      <c r="D5369" s="28" t="s">
        <v>77</v>
      </c>
      <c r="E5369" s="28" t="s">
        <v>77</v>
      </c>
      <c r="F5369" s="28" t="s">
        <v>77</v>
      </c>
      <c r="G5369" s="28" t="s">
        <v>77</v>
      </c>
      <c r="I5369" s="26" t="s">
        <v>77</v>
      </c>
      <c r="J5369" s="26" t="s">
        <v>77</v>
      </c>
      <c r="K5369" s="18"/>
      <c r="L5369" s="26" t="s">
        <v>77</v>
      </c>
      <c r="M5369" s="6" t="s">
        <v>77</v>
      </c>
      <c r="N5369" s="28" t="s">
        <v>77</v>
      </c>
      <c r="O5369" s="26" t="s">
        <v>77</v>
      </c>
    </row>
    <row r="5370">
      <c r="A5370" s="52" t="s">
        <v>77</v>
      </c>
      <c r="B5370" s="28" t="s">
        <v>77</v>
      </c>
      <c r="C5370" s="28" t="s">
        <v>77</v>
      </c>
      <c r="D5370" s="28" t="s">
        <v>77</v>
      </c>
      <c r="E5370" s="28" t="s">
        <v>77</v>
      </c>
      <c r="F5370" s="28" t="s">
        <v>77</v>
      </c>
      <c r="G5370" s="28" t="s">
        <v>77</v>
      </c>
      <c r="I5370" s="26" t="s">
        <v>77</v>
      </c>
      <c r="J5370" s="26" t="s">
        <v>77</v>
      </c>
      <c r="K5370" s="18"/>
      <c r="L5370" s="26" t="s">
        <v>77</v>
      </c>
      <c r="M5370" s="6" t="s">
        <v>77</v>
      </c>
      <c r="N5370" s="28" t="s">
        <v>77</v>
      </c>
      <c r="O5370" s="26" t="s">
        <v>77</v>
      </c>
    </row>
    <row r="5371">
      <c r="A5371" s="52" t="s">
        <v>77</v>
      </c>
      <c r="B5371" s="28" t="s">
        <v>77</v>
      </c>
      <c r="C5371" s="28" t="s">
        <v>77</v>
      </c>
      <c r="D5371" s="28" t="s">
        <v>77</v>
      </c>
      <c r="E5371" s="28" t="s">
        <v>77</v>
      </c>
      <c r="F5371" s="28" t="s">
        <v>77</v>
      </c>
      <c r="G5371" s="28" t="s">
        <v>77</v>
      </c>
      <c r="I5371" s="26" t="s">
        <v>77</v>
      </c>
      <c r="J5371" s="26" t="s">
        <v>77</v>
      </c>
      <c r="K5371" s="18"/>
      <c r="L5371" s="26" t="s">
        <v>77</v>
      </c>
      <c r="M5371" s="6" t="s">
        <v>77</v>
      </c>
      <c r="N5371" s="28" t="s">
        <v>77</v>
      </c>
      <c r="O5371" s="26" t="s">
        <v>77</v>
      </c>
    </row>
    <row r="5372">
      <c r="A5372" s="52" t="s">
        <v>77</v>
      </c>
      <c r="B5372" s="28" t="s">
        <v>77</v>
      </c>
      <c r="C5372" s="28" t="s">
        <v>77</v>
      </c>
      <c r="D5372" s="28" t="s">
        <v>77</v>
      </c>
      <c r="E5372" s="28" t="s">
        <v>77</v>
      </c>
      <c r="F5372" s="28" t="s">
        <v>77</v>
      </c>
      <c r="G5372" s="28" t="s">
        <v>77</v>
      </c>
      <c r="I5372" s="26" t="s">
        <v>77</v>
      </c>
      <c r="J5372" s="26" t="s">
        <v>77</v>
      </c>
      <c r="K5372" s="18"/>
      <c r="L5372" s="26" t="s">
        <v>77</v>
      </c>
      <c r="M5372" s="6" t="s">
        <v>77</v>
      </c>
      <c r="N5372" s="28" t="s">
        <v>77</v>
      </c>
      <c r="O5372" s="26" t="s">
        <v>77</v>
      </c>
    </row>
    <row r="5373">
      <c r="A5373" s="52" t="s">
        <v>77</v>
      </c>
      <c r="B5373" s="28" t="s">
        <v>77</v>
      </c>
      <c r="C5373" s="28" t="s">
        <v>77</v>
      </c>
      <c r="D5373" s="28" t="s">
        <v>77</v>
      </c>
      <c r="E5373" s="28" t="s">
        <v>77</v>
      </c>
      <c r="F5373" s="28" t="s">
        <v>77</v>
      </c>
      <c r="G5373" s="28" t="s">
        <v>77</v>
      </c>
      <c r="I5373" s="26" t="s">
        <v>77</v>
      </c>
      <c r="J5373" s="26" t="s">
        <v>77</v>
      </c>
      <c r="K5373" s="18"/>
      <c r="L5373" s="26" t="s">
        <v>77</v>
      </c>
      <c r="M5373" s="6" t="s">
        <v>77</v>
      </c>
      <c r="N5373" s="28" t="s">
        <v>77</v>
      </c>
      <c r="O5373" s="26" t="s">
        <v>77</v>
      </c>
    </row>
    <row r="5374">
      <c r="A5374" s="52" t="s">
        <v>77</v>
      </c>
      <c r="B5374" s="28" t="s">
        <v>77</v>
      </c>
      <c r="C5374" s="28" t="s">
        <v>77</v>
      </c>
      <c r="D5374" s="28" t="s">
        <v>77</v>
      </c>
      <c r="E5374" s="28" t="s">
        <v>77</v>
      </c>
      <c r="F5374" s="28" t="s">
        <v>77</v>
      </c>
      <c r="G5374" s="28" t="s">
        <v>77</v>
      </c>
      <c r="I5374" s="26" t="s">
        <v>77</v>
      </c>
      <c r="J5374" s="26" t="s">
        <v>77</v>
      </c>
      <c r="K5374" s="18"/>
      <c r="L5374" s="26" t="s">
        <v>77</v>
      </c>
      <c r="M5374" s="6" t="s">
        <v>77</v>
      </c>
      <c r="N5374" s="28" t="s">
        <v>77</v>
      </c>
      <c r="O5374" s="26" t="s">
        <v>77</v>
      </c>
    </row>
    <row r="5375">
      <c r="A5375" s="52" t="s">
        <v>77</v>
      </c>
      <c r="B5375" s="28" t="s">
        <v>77</v>
      </c>
      <c r="C5375" s="28" t="s">
        <v>77</v>
      </c>
      <c r="D5375" s="28" t="s">
        <v>77</v>
      </c>
      <c r="E5375" s="28" t="s">
        <v>77</v>
      </c>
      <c r="F5375" s="28" t="s">
        <v>77</v>
      </c>
      <c r="G5375" s="28" t="s">
        <v>77</v>
      </c>
      <c r="I5375" s="26" t="s">
        <v>77</v>
      </c>
      <c r="J5375" s="26" t="s">
        <v>77</v>
      </c>
      <c r="K5375" s="18"/>
      <c r="L5375" s="26" t="s">
        <v>77</v>
      </c>
      <c r="M5375" s="6" t="s">
        <v>77</v>
      </c>
      <c r="N5375" s="28" t="s">
        <v>77</v>
      </c>
      <c r="O5375" s="26" t="s">
        <v>77</v>
      </c>
    </row>
    <row r="5376">
      <c r="A5376" s="52" t="s">
        <v>77</v>
      </c>
      <c r="B5376" s="28" t="s">
        <v>77</v>
      </c>
      <c r="C5376" s="28" t="s">
        <v>77</v>
      </c>
      <c r="D5376" s="28" t="s">
        <v>77</v>
      </c>
      <c r="E5376" s="28" t="s">
        <v>77</v>
      </c>
      <c r="F5376" s="28" t="s">
        <v>77</v>
      </c>
      <c r="G5376" s="28" t="s">
        <v>77</v>
      </c>
      <c r="I5376" s="26" t="s">
        <v>77</v>
      </c>
      <c r="J5376" s="26" t="s">
        <v>77</v>
      </c>
      <c r="K5376" s="18"/>
      <c r="L5376" s="26" t="s">
        <v>77</v>
      </c>
      <c r="M5376" s="6" t="s">
        <v>77</v>
      </c>
      <c r="N5376" s="28" t="s">
        <v>77</v>
      </c>
      <c r="O5376" s="26" t="s">
        <v>77</v>
      </c>
    </row>
    <row r="5377">
      <c r="A5377" s="52" t="s">
        <v>77</v>
      </c>
      <c r="B5377" s="28" t="s">
        <v>77</v>
      </c>
      <c r="C5377" s="28" t="s">
        <v>77</v>
      </c>
      <c r="D5377" s="28" t="s">
        <v>77</v>
      </c>
      <c r="E5377" s="28" t="s">
        <v>77</v>
      </c>
      <c r="F5377" s="28" t="s">
        <v>77</v>
      </c>
      <c r="G5377" s="28" t="s">
        <v>77</v>
      </c>
      <c r="I5377" s="26" t="s">
        <v>77</v>
      </c>
      <c r="J5377" s="26" t="s">
        <v>77</v>
      </c>
      <c r="K5377" s="18"/>
      <c r="L5377" s="26" t="s">
        <v>77</v>
      </c>
      <c r="M5377" s="6" t="s">
        <v>77</v>
      </c>
      <c r="N5377" s="28" t="s">
        <v>77</v>
      </c>
      <c r="O5377" s="26" t="s">
        <v>77</v>
      </c>
    </row>
    <row r="5378">
      <c r="A5378" s="52" t="s">
        <v>77</v>
      </c>
      <c r="B5378" s="28" t="s">
        <v>77</v>
      </c>
      <c r="C5378" s="28" t="s">
        <v>77</v>
      </c>
      <c r="D5378" s="28" t="s">
        <v>77</v>
      </c>
      <c r="E5378" s="28" t="s">
        <v>77</v>
      </c>
      <c r="F5378" s="28" t="s">
        <v>77</v>
      </c>
      <c r="G5378" s="28" t="s">
        <v>77</v>
      </c>
      <c r="I5378" s="26" t="s">
        <v>77</v>
      </c>
      <c r="J5378" s="26" t="s">
        <v>77</v>
      </c>
      <c r="K5378" s="18"/>
      <c r="L5378" s="26" t="s">
        <v>77</v>
      </c>
      <c r="M5378" s="6" t="s">
        <v>77</v>
      </c>
      <c r="N5378" s="28" t="s">
        <v>77</v>
      </c>
      <c r="O5378" s="26" t="s">
        <v>77</v>
      </c>
    </row>
    <row r="5379">
      <c r="A5379" s="52" t="s">
        <v>77</v>
      </c>
      <c r="B5379" s="28" t="s">
        <v>77</v>
      </c>
      <c r="C5379" s="28" t="s">
        <v>77</v>
      </c>
      <c r="D5379" s="28" t="s">
        <v>77</v>
      </c>
      <c r="E5379" s="28" t="s">
        <v>77</v>
      </c>
      <c r="F5379" s="28" t="s">
        <v>77</v>
      </c>
      <c r="G5379" s="28" t="s">
        <v>77</v>
      </c>
      <c r="I5379" s="26" t="s">
        <v>77</v>
      </c>
      <c r="J5379" s="26" t="s">
        <v>77</v>
      </c>
      <c r="K5379" s="18"/>
      <c r="L5379" s="26" t="s">
        <v>77</v>
      </c>
      <c r="M5379" s="6" t="s">
        <v>77</v>
      </c>
      <c r="N5379" s="28" t="s">
        <v>77</v>
      </c>
      <c r="O5379" s="26" t="s">
        <v>77</v>
      </c>
    </row>
    <row r="5380">
      <c r="A5380" s="52" t="s">
        <v>77</v>
      </c>
      <c r="B5380" s="28" t="s">
        <v>77</v>
      </c>
      <c r="C5380" s="28" t="s">
        <v>77</v>
      </c>
      <c r="D5380" s="28" t="s">
        <v>77</v>
      </c>
      <c r="E5380" s="28" t="s">
        <v>77</v>
      </c>
      <c r="F5380" s="28" t="s">
        <v>77</v>
      </c>
      <c r="G5380" s="28" t="s">
        <v>77</v>
      </c>
      <c r="I5380" s="26" t="s">
        <v>77</v>
      </c>
      <c r="J5380" s="26" t="s">
        <v>77</v>
      </c>
      <c r="K5380" s="18"/>
      <c r="L5380" s="26" t="s">
        <v>77</v>
      </c>
      <c r="M5380" s="6" t="s">
        <v>77</v>
      </c>
      <c r="N5380" s="28" t="s">
        <v>77</v>
      </c>
      <c r="O5380" s="26" t="s">
        <v>77</v>
      </c>
    </row>
    <row r="5381">
      <c r="A5381" s="52" t="s">
        <v>77</v>
      </c>
      <c r="B5381" s="28" t="s">
        <v>77</v>
      </c>
      <c r="C5381" s="28" t="s">
        <v>77</v>
      </c>
      <c r="D5381" s="28" t="s">
        <v>77</v>
      </c>
      <c r="E5381" s="28" t="s">
        <v>77</v>
      </c>
      <c r="F5381" s="28" t="s">
        <v>77</v>
      </c>
      <c r="G5381" s="28" t="s">
        <v>77</v>
      </c>
      <c r="I5381" s="26" t="s">
        <v>77</v>
      </c>
      <c r="J5381" s="26" t="s">
        <v>77</v>
      </c>
      <c r="K5381" s="18"/>
      <c r="L5381" s="26" t="s">
        <v>77</v>
      </c>
      <c r="M5381" s="6" t="s">
        <v>77</v>
      </c>
      <c r="N5381" s="28" t="s">
        <v>77</v>
      </c>
      <c r="O5381" s="26" t="s">
        <v>77</v>
      </c>
    </row>
    <row r="5382">
      <c r="A5382" s="52" t="s">
        <v>77</v>
      </c>
      <c r="B5382" s="28" t="s">
        <v>77</v>
      </c>
      <c r="C5382" s="28" t="s">
        <v>77</v>
      </c>
      <c r="D5382" s="28" t="s">
        <v>77</v>
      </c>
      <c r="E5382" s="28" t="s">
        <v>77</v>
      </c>
      <c r="F5382" s="28" t="s">
        <v>77</v>
      </c>
      <c r="G5382" s="28" t="s">
        <v>77</v>
      </c>
      <c r="I5382" s="26" t="s">
        <v>77</v>
      </c>
      <c r="J5382" s="26" t="s">
        <v>77</v>
      </c>
      <c r="K5382" s="18"/>
      <c r="L5382" s="26" t="s">
        <v>77</v>
      </c>
      <c r="M5382" s="6" t="s">
        <v>77</v>
      </c>
      <c r="N5382" s="28" t="s">
        <v>77</v>
      </c>
      <c r="O5382" s="26" t="s">
        <v>77</v>
      </c>
    </row>
    <row r="5383">
      <c r="A5383" s="52" t="s">
        <v>77</v>
      </c>
      <c r="B5383" s="28" t="s">
        <v>77</v>
      </c>
      <c r="C5383" s="28" t="s">
        <v>77</v>
      </c>
      <c r="D5383" s="28" t="s">
        <v>77</v>
      </c>
      <c r="E5383" s="28" t="s">
        <v>77</v>
      </c>
      <c r="F5383" s="28" t="s">
        <v>77</v>
      </c>
      <c r="G5383" s="28" t="s">
        <v>77</v>
      </c>
      <c r="I5383" s="26" t="s">
        <v>77</v>
      </c>
      <c r="J5383" s="26" t="s">
        <v>77</v>
      </c>
      <c r="K5383" s="18"/>
      <c r="L5383" s="26" t="s">
        <v>77</v>
      </c>
      <c r="M5383" s="6" t="s">
        <v>77</v>
      </c>
      <c r="N5383" s="28" t="s">
        <v>77</v>
      </c>
      <c r="O5383" s="26" t="s">
        <v>77</v>
      </c>
    </row>
    <row r="5384">
      <c r="A5384" s="52" t="s">
        <v>77</v>
      </c>
      <c r="B5384" s="28" t="s">
        <v>77</v>
      </c>
      <c r="C5384" s="28" t="s">
        <v>77</v>
      </c>
      <c r="D5384" s="28" t="s">
        <v>77</v>
      </c>
      <c r="E5384" s="28" t="s">
        <v>77</v>
      </c>
      <c r="F5384" s="28" t="s">
        <v>77</v>
      </c>
      <c r="G5384" s="28" t="s">
        <v>77</v>
      </c>
      <c r="I5384" s="26" t="s">
        <v>77</v>
      </c>
      <c r="J5384" s="26" t="s">
        <v>77</v>
      </c>
      <c r="K5384" s="18"/>
      <c r="L5384" s="26" t="s">
        <v>77</v>
      </c>
      <c r="M5384" s="6" t="s">
        <v>77</v>
      </c>
      <c r="N5384" s="28" t="s">
        <v>77</v>
      </c>
      <c r="O5384" s="26" t="s">
        <v>77</v>
      </c>
    </row>
    <row r="5385">
      <c r="A5385" s="52" t="s">
        <v>77</v>
      </c>
      <c r="B5385" s="28" t="s">
        <v>77</v>
      </c>
      <c r="C5385" s="28" t="s">
        <v>77</v>
      </c>
      <c r="D5385" s="28" t="s">
        <v>77</v>
      </c>
      <c r="E5385" s="28" t="s">
        <v>77</v>
      </c>
      <c r="F5385" s="28" t="s">
        <v>77</v>
      </c>
      <c r="G5385" s="28" t="s">
        <v>77</v>
      </c>
      <c r="I5385" s="26" t="s">
        <v>77</v>
      </c>
      <c r="J5385" s="26" t="s">
        <v>77</v>
      </c>
      <c r="K5385" s="18"/>
      <c r="L5385" s="26" t="s">
        <v>77</v>
      </c>
      <c r="M5385" s="6" t="s">
        <v>77</v>
      </c>
      <c r="N5385" s="28" t="s">
        <v>77</v>
      </c>
      <c r="O5385" s="26" t="s">
        <v>77</v>
      </c>
    </row>
    <row r="5386">
      <c r="A5386" s="52" t="s">
        <v>77</v>
      </c>
      <c r="B5386" s="28" t="s">
        <v>77</v>
      </c>
      <c r="C5386" s="28" t="s">
        <v>77</v>
      </c>
      <c r="D5386" s="28" t="s">
        <v>77</v>
      </c>
      <c r="E5386" s="28" t="s">
        <v>77</v>
      </c>
      <c r="F5386" s="28" t="s">
        <v>77</v>
      </c>
      <c r="G5386" s="28" t="s">
        <v>77</v>
      </c>
      <c r="I5386" s="26" t="s">
        <v>77</v>
      </c>
      <c r="J5386" s="26" t="s">
        <v>77</v>
      </c>
      <c r="K5386" s="18"/>
      <c r="L5386" s="26" t="s">
        <v>77</v>
      </c>
      <c r="M5386" s="6" t="s">
        <v>77</v>
      </c>
      <c r="N5386" s="28" t="s">
        <v>77</v>
      </c>
      <c r="O5386" s="26" t="s">
        <v>77</v>
      </c>
    </row>
    <row r="5387">
      <c r="A5387" s="52" t="s">
        <v>77</v>
      </c>
      <c r="B5387" s="28" t="s">
        <v>77</v>
      </c>
      <c r="C5387" s="28" t="s">
        <v>77</v>
      </c>
      <c r="D5387" s="28" t="s">
        <v>77</v>
      </c>
      <c r="E5387" s="28" t="s">
        <v>77</v>
      </c>
      <c r="F5387" s="28" t="s">
        <v>77</v>
      </c>
      <c r="G5387" s="28" t="s">
        <v>77</v>
      </c>
      <c r="I5387" s="26" t="s">
        <v>77</v>
      </c>
      <c r="J5387" s="26" t="s">
        <v>77</v>
      </c>
      <c r="K5387" s="18"/>
      <c r="L5387" s="26" t="s">
        <v>77</v>
      </c>
      <c r="M5387" s="6" t="s">
        <v>77</v>
      </c>
      <c r="N5387" s="28" t="s">
        <v>77</v>
      </c>
      <c r="O5387" s="26" t="s">
        <v>77</v>
      </c>
    </row>
    <row r="5388">
      <c r="A5388" s="52" t="s">
        <v>77</v>
      </c>
      <c r="B5388" s="28" t="s">
        <v>77</v>
      </c>
      <c r="C5388" s="28" t="s">
        <v>77</v>
      </c>
      <c r="D5388" s="28" t="s">
        <v>77</v>
      </c>
      <c r="E5388" s="28" t="s">
        <v>77</v>
      </c>
      <c r="F5388" s="28" t="s">
        <v>77</v>
      </c>
      <c r="G5388" s="28" t="s">
        <v>77</v>
      </c>
      <c r="I5388" s="26" t="s">
        <v>77</v>
      </c>
      <c r="J5388" s="26" t="s">
        <v>77</v>
      </c>
      <c r="K5388" s="18"/>
      <c r="L5388" s="26" t="s">
        <v>77</v>
      </c>
      <c r="M5388" s="6" t="s">
        <v>77</v>
      </c>
      <c r="N5388" s="28" t="s">
        <v>77</v>
      </c>
      <c r="O5388" s="26" t="s">
        <v>77</v>
      </c>
    </row>
    <row r="5389">
      <c r="A5389" s="52" t="s">
        <v>77</v>
      </c>
      <c r="B5389" s="28" t="s">
        <v>77</v>
      </c>
      <c r="C5389" s="28" t="s">
        <v>77</v>
      </c>
      <c r="D5389" s="28" t="s">
        <v>77</v>
      </c>
      <c r="E5389" s="28" t="s">
        <v>77</v>
      </c>
      <c r="F5389" s="28" t="s">
        <v>77</v>
      </c>
      <c r="G5389" s="28" t="s">
        <v>77</v>
      </c>
      <c r="I5389" s="26" t="s">
        <v>77</v>
      </c>
      <c r="J5389" s="26" t="s">
        <v>77</v>
      </c>
      <c r="K5389" s="18"/>
      <c r="L5389" s="26" t="s">
        <v>77</v>
      </c>
      <c r="M5389" s="6" t="s">
        <v>77</v>
      </c>
      <c r="N5389" s="28" t="s">
        <v>77</v>
      </c>
      <c r="O5389" s="26" t="s">
        <v>77</v>
      </c>
    </row>
    <row r="5390">
      <c r="A5390" s="52" t="s">
        <v>77</v>
      </c>
      <c r="B5390" s="28" t="s">
        <v>77</v>
      </c>
      <c r="C5390" s="28" t="s">
        <v>77</v>
      </c>
      <c r="D5390" s="28" t="s">
        <v>77</v>
      </c>
      <c r="E5390" s="28" t="s">
        <v>77</v>
      </c>
      <c r="F5390" s="28" t="s">
        <v>77</v>
      </c>
      <c r="G5390" s="28" t="s">
        <v>77</v>
      </c>
      <c r="I5390" s="26" t="s">
        <v>77</v>
      </c>
      <c r="J5390" s="26" t="s">
        <v>77</v>
      </c>
      <c r="K5390" s="18"/>
      <c r="L5390" s="26" t="s">
        <v>77</v>
      </c>
      <c r="M5390" s="6" t="s">
        <v>77</v>
      </c>
      <c r="N5390" s="28" t="s">
        <v>77</v>
      </c>
      <c r="O5390" s="26" t="s">
        <v>77</v>
      </c>
    </row>
    <row r="5391">
      <c r="A5391" s="52" t="s">
        <v>77</v>
      </c>
      <c r="B5391" s="28" t="s">
        <v>77</v>
      </c>
      <c r="C5391" s="28" t="s">
        <v>77</v>
      </c>
      <c r="D5391" s="28" t="s">
        <v>77</v>
      </c>
      <c r="E5391" s="28" t="s">
        <v>77</v>
      </c>
      <c r="F5391" s="28" t="s">
        <v>77</v>
      </c>
      <c r="G5391" s="28" t="s">
        <v>77</v>
      </c>
      <c r="I5391" s="26" t="s">
        <v>77</v>
      </c>
      <c r="J5391" s="26" t="s">
        <v>77</v>
      </c>
      <c r="K5391" s="18"/>
      <c r="L5391" s="26" t="s">
        <v>77</v>
      </c>
      <c r="M5391" s="6" t="s">
        <v>77</v>
      </c>
      <c r="N5391" s="28" t="s">
        <v>77</v>
      </c>
      <c r="O5391" s="26" t="s">
        <v>77</v>
      </c>
    </row>
    <row r="5392">
      <c r="A5392" s="52" t="s">
        <v>77</v>
      </c>
      <c r="B5392" s="28" t="s">
        <v>77</v>
      </c>
      <c r="C5392" s="28" t="s">
        <v>77</v>
      </c>
      <c r="D5392" s="28" t="s">
        <v>77</v>
      </c>
      <c r="E5392" s="28" t="s">
        <v>77</v>
      </c>
      <c r="F5392" s="28" t="s">
        <v>77</v>
      </c>
      <c r="G5392" s="28" t="s">
        <v>77</v>
      </c>
      <c r="I5392" s="26" t="s">
        <v>77</v>
      </c>
      <c r="J5392" s="26" t="s">
        <v>77</v>
      </c>
      <c r="K5392" s="18"/>
      <c r="L5392" s="26" t="s">
        <v>77</v>
      </c>
      <c r="M5392" s="6" t="s">
        <v>77</v>
      </c>
      <c r="N5392" s="28" t="s">
        <v>77</v>
      </c>
      <c r="O5392" s="26" t="s">
        <v>77</v>
      </c>
    </row>
    <row r="5393">
      <c r="A5393" s="52" t="s">
        <v>77</v>
      </c>
      <c r="B5393" s="28" t="s">
        <v>77</v>
      </c>
      <c r="C5393" s="28" t="s">
        <v>77</v>
      </c>
      <c r="D5393" s="28" t="s">
        <v>77</v>
      </c>
      <c r="E5393" s="28" t="s">
        <v>77</v>
      </c>
      <c r="F5393" s="28" t="s">
        <v>77</v>
      </c>
      <c r="G5393" s="28" t="s">
        <v>77</v>
      </c>
      <c r="I5393" s="26" t="s">
        <v>77</v>
      </c>
      <c r="J5393" s="26" t="s">
        <v>77</v>
      </c>
      <c r="K5393" s="18"/>
      <c r="L5393" s="26" t="s">
        <v>77</v>
      </c>
      <c r="M5393" s="6" t="s">
        <v>77</v>
      </c>
      <c r="N5393" s="28" t="s">
        <v>77</v>
      </c>
      <c r="O5393" s="26" t="s">
        <v>77</v>
      </c>
    </row>
    <row r="5394">
      <c r="A5394" s="52" t="s">
        <v>77</v>
      </c>
      <c r="B5394" s="28" t="s">
        <v>77</v>
      </c>
      <c r="C5394" s="28" t="s">
        <v>77</v>
      </c>
      <c r="D5394" s="28" t="s">
        <v>77</v>
      </c>
      <c r="E5394" s="28" t="s">
        <v>77</v>
      </c>
      <c r="F5394" s="28" t="s">
        <v>77</v>
      </c>
      <c r="G5394" s="28" t="s">
        <v>77</v>
      </c>
      <c r="I5394" s="26" t="s">
        <v>77</v>
      </c>
      <c r="J5394" s="26" t="s">
        <v>77</v>
      </c>
      <c r="K5394" s="18"/>
      <c r="L5394" s="26" t="s">
        <v>77</v>
      </c>
      <c r="M5394" s="6" t="s">
        <v>77</v>
      </c>
      <c r="N5394" s="28" t="s">
        <v>77</v>
      </c>
      <c r="O5394" s="26" t="s">
        <v>77</v>
      </c>
    </row>
    <row r="5395">
      <c r="A5395" s="52" t="s">
        <v>77</v>
      </c>
      <c r="B5395" s="28" t="s">
        <v>77</v>
      </c>
      <c r="C5395" s="28" t="s">
        <v>77</v>
      </c>
      <c r="D5395" s="28" t="s">
        <v>77</v>
      </c>
      <c r="E5395" s="28" t="s">
        <v>77</v>
      </c>
      <c r="F5395" s="28" t="s">
        <v>77</v>
      </c>
      <c r="G5395" s="28" t="s">
        <v>77</v>
      </c>
      <c r="I5395" s="26" t="s">
        <v>77</v>
      </c>
      <c r="J5395" s="26" t="s">
        <v>77</v>
      </c>
      <c r="K5395" s="18"/>
      <c r="L5395" s="26" t="s">
        <v>77</v>
      </c>
      <c r="M5395" s="6" t="s">
        <v>77</v>
      </c>
      <c r="N5395" s="28" t="s">
        <v>77</v>
      </c>
      <c r="O5395" s="26" t="s">
        <v>77</v>
      </c>
    </row>
    <row r="5396">
      <c r="A5396" s="52" t="s">
        <v>77</v>
      </c>
      <c r="B5396" s="28" t="s">
        <v>77</v>
      </c>
      <c r="C5396" s="28" t="s">
        <v>77</v>
      </c>
      <c r="D5396" s="28" t="s">
        <v>77</v>
      </c>
      <c r="E5396" s="28" t="s">
        <v>77</v>
      </c>
      <c r="F5396" s="28" t="s">
        <v>77</v>
      </c>
      <c r="G5396" s="28" t="s">
        <v>77</v>
      </c>
      <c r="I5396" s="26" t="s">
        <v>77</v>
      </c>
      <c r="J5396" s="26" t="s">
        <v>77</v>
      </c>
      <c r="K5396" s="18"/>
      <c r="L5396" s="26" t="s">
        <v>77</v>
      </c>
      <c r="M5396" s="6" t="s">
        <v>77</v>
      </c>
      <c r="N5396" s="28" t="s">
        <v>77</v>
      </c>
      <c r="O5396" s="26" t="s">
        <v>77</v>
      </c>
    </row>
    <row r="5397">
      <c r="A5397" s="52" t="s">
        <v>77</v>
      </c>
      <c r="B5397" s="28" t="s">
        <v>77</v>
      </c>
      <c r="C5397" s="28" t="s">
        <v>77</v>
      </c>
      <c r="D5397" s="28" t="s">
        <v>77</v>
      </c>
      <c r="E5397" s="28" t="s">
        <v>77</v>
      </c>
      <c r="F5397" s="28" t="s">
        <v>77</v>
      </c>
      <c r="G5397" s="28" t="s">
        <v>77</v>
      </c>
      <c r="I5397" s="26" t="s">
        <v>77</v>
      </c>
      <c r="J5397" s="26" t="s">
        <v>77</v>
      </c>
      <c r="K5397" s="18"/>
      <c r="L5397" s="26" t="s">
        <v>77</v>
      </c>
      <c r="M5397" s="6" t="s">
        <v>77</v>
      </c>
      <c r="N5397" s="28" t="s">
        <v>77</v>
      </c>
      <c r="O5397" s="26" t="s">
        <v>77</v>
      </c>
    </row>
    <row r="5398">
      <c r="A5398" s="52" t="s">
        <v>77</v>
      </c>
      <c r="B5398" s="28" t="s">
        <v>77</v>
      </c>
      <c r="C5398" s="28" t="s">
        <v>77</v>
      </c>
      <c r="D5398" s="28" t="s">
        <v>77</v>
      </c>
      <c r="E5398" s="28" t="s">
        <v>77</v>
      </c>
      <c r="F5398" s="28" t="s">
        <v>77</v>
      </c>
      <c r="G5398" s="28" t="s">
        <v>77</v>
      </c>
      <c r="I5398" s="26" t="s">
        <v>77</v>
      </c>
      <c r="J5398" s="26" t="s">
        <v>77</v>
      </c>
      <c r="K5398" s="18"/>
      <c r="L5398" s="26" t="s">
        <v>77</v>
      </c>
      <c r="M5398" s="6" t="s">
        <v>77</v>
      </c>
      <c r="N5398" s="28" t="s">
        <v>77</v>
      </c>
      <c r="O5398" s="26" t="s">
        <v>77</v>
      </c>
    </row>
    <row r="5399">
      <c r="A5399" s="52" t="s">
        <v>77</v>
      </c>
      <c r="B5399" s="28" t="s">
        <v>77</v>
      </c>
      <c r="C5399" s="28" t="s">
        <v>77</v>
      </c>
      <c r="D5399" s="28" t="s">
        <v>77</v>
      </c>
      <c r="E5399" s="28" t="s">
        <v>77</v>
      </c>
      <c r="F5399" s="28" t="s">
        <v>77</v>
      </c>
      <c r="G5399" s="28" t="s">
        <v>77</v>
      </c>
      <c r="I5399" s="26" t="s">
        <v>77</v>
      </c>
      <c r="J5399" s="26" t="s">
        <v>77</v>
      </c>
      <c r="K5399" s="18"/>
      <c r="L5399" s="26" t="s">
        <v>77</v>
      </c>
      <c r="M5399" s="6" t="s">
        <v>77</v>
      </c>
      <c r="N5399" s="28" t="s">
        <v>77</v>
      </c>
      <c r="O5399" s="26" t="s">
        <v>77</v>
      </c>
    </row>
    <row r="5400">
      <c r="A5400" s="52" t="s">
        <v>77</v>
      </c>
      <c r="B5400" s="28" t="s">
        <v>77</v>
      </c>
      <c r="C5400" s="28" t="s">
        <v>77</v>
      </c>
      <c r="D5400" s="28" t="s">
        <v>77</v>
      </c>
      <c r="E5400" s="28" t="s">
        <v>77</v>
      </c>
      <c r="F5400" s="28" t="s">
        <v>77</v>
      </c>
      <c r="G5400" s="28" t="s">
        <v>77</v>
      </c>
      <c r="I5400" s="26" t="s">
        <v>77</v>
      </c>
      <c r="J5400" s="26" t="s">
        <v>77</v>
      </c>
      <c r="K5400" s="18"/>
      <c r="L5400" s="26" t="s">
        <v>77</v>
      </c>
      <c r="M5400" s="6" t="s">
        <v>77</v>
      </c>
      <c r="N5400" s="28" t="s">
        <v>77</v>
      </c>
      <c r="O5400" s="26" t="s">
        <v>77</v>
      </c>
    </row>
    <row r="5401">
      <c r="A5401" s="52" t="s">
        <v>77</v>
      </c>
      <c r="B5401" s="28" t="s">
        <v>77</v>
      </c>
      <c r="C5401" s="28" t="s">
        <v>77</v>
      </c>
      <c r="D5401" s="28" t="s">
        <v>77</v>
      </c>
      <c r="E5401" s="28" t="s">
        <v>77</v>
      </c>
      <c r="F5401" s="28" t="s">
        <v>77</v>
      </c>
      <c r="G5401" s="28" t="s">
        <v>77</v>
      </c>
      <c r="I5401" s="26" t="s">
        <v>77</v>
      </c>
      <c r="J5401" s="26" t="s">
        <v>77</v>
      </c>
      <c r="K5401" s="18"/>
      <c r="L5401" s="26" t="s">
        <v>77</v>
      </c>
      <c r="M5401" s="6" t="s">
        <v>77</v>
      </c>
      <c r="N5401" s="28" t="s">
        <v>77</v>
      </c>
      <c r="O5401" s="26" t="s">
        <v>77</v>
      </c>
    </row>
    <row r="5402">
      <c r="A5402" s="52" t="s">
        <v>77</v>
      </c>
      <c r="B5402" s="28" t="s">
        <v>77</v>
      </c>
      <c r="C5402" s="28" t="s">
        <v>77</v>
      </c>
      <c r="D5402" s="28" t="s">
        <v>77</v>
      </c>
      <c r="E5402" s="28" t="s">
        <v>77</v>
      </c>
      <c r="F5402" s="28" t="s">
        <v>77</v>
      </c>
      <c r="G5402" s="28" t="s">
        <v>77</v>
      </c>
      <c r="I5402" s="26" t="s">
        <v>77</v>
      </c>
      <c r="J5402" s="26" t="s">
        <v>77</v>
      </c>
      <c r="K5402" s="18"/>
      <c r="L5402" s="26" t="s">
        <v>77</v>
      </c>
      <c r="M5402" s="6" t="s">
        <v>77</v>
      </c>
      <c r="N5402" s="28" t="s">
        <v>77</v>
      </c>
      <c r="O5402" s="26" t="s">
        <v>77</v>
      </c>
    </row>
    <row r="5403">
      <c r="A5403" s="52" t="s">
        <v>77</v>
      </c>
      <c r="B5403" s="28" t="s">
        <v>77</v>
      </c>
      <c r="C5403" s="28" t="s">
        <v>77</v>
      </c>
      <c r="D5403" s="28" t="s">
        <v>77</v>
      </c>
      <c r="E5403" s="28" t="s">
        <v>77</v>
      </c>
      <c r="F5403" s="28" t="s">
        <v>77</v>
      </c>
      <c r="G5403" s="28" t="s">
        <v>77</v>
      </c>
      <c r="I5403" s="26" t="s">
        <v>77</v>
      </c>
      <c r="J5403" s="26" t="s">
        <v>77</v>
      </c>
      <c r="K5403" s="18"/>
      <c r="L5403" s="26" t="s">
        <v>77</v>
      </c>
      <c r="M5403" s="6" t="s">
        <v>77</v>
      </c>
      <c r="N5403" s="28" t="s">
        <v>77</v>
      </c>
      <c r="O5403" s="26" t="s">
        <v>77</v>
      </c>
    </row>
    <row r="5404">
      <c r="A5404" s="52" t="s">
        <v>77</v>
      </c>
      <c r="B5404" s="28" t="s">
        <v>77</v>
      </c>
      <c r="C5404" s="28" t="s">
        <v>77</v>
      </c>
      <c r="D5404" s="28" t="s">
        <v>77</v>
      </c>
      <c r="E5404" s="28" t="s">
        <v>77</v>
      </c>
      <c r="F5404" s="28" t="s">
        <v>77</v>
      </c>
      <c r="G5404" s="28" t="s">
        <v>77</v>
      </c>
      <c r="I5404" s="26" t="s">
        <v>77</v>
      </c>
      <c r="J5404" s="26" t="s">
        <v>77</v>
      </c>
      <c r="K5404" s="18"/>
      <c r="L5404" s="26" t="s">
        <v>77</v>
      </c>
      <c r="M5404" s="6" t="s">
        <v>77</v>
      </c>
      <c r="N5404" s="28" t="s">
        <v>77</v>
      </c>
      <c r="O5404" s="26" t="s">
        <v>77</v>
      </c>
    </row>
    <row r="5405">
      <c r="A5405" s="52" t="s">
        <v>77</v>
      </c>
      <c r="B5405" s="28" t="s">
        <v>77</v>
      </c>
      <c r="C5405" s="28" t="s">
        <v>77</v>
      </c>
      <c r="D5405" s="28" t="s">
        <v>77</v>
      </c>
      <c r="E5405" s="28" t="s">
        <v>77</v>
      </c>
      <c r="F5405" s="28" t="s">
        <v>77</v>
      </c>
      <c r="G5405" s="28" t="s">
        <v>77</v>
      </c>
      <c r="I5405" s="26" t="s">
        <v>77</v>
      </c>
      <c r="J5405" s="26" t="s">
        <v>77</v>
      </c>
      <c r="K5405" s="18"/>
      <c r="L5405" s="26" t="s">
        <v>77</v>
      </c>
      <c r="M5405" s="6" t="s">
        <v>77</v>
      </c>
      <c r="N5405" s="28" t="s">
        <v>77</v>
      </c>
      <c r="O5405" s="26" t="s">
        <v>77</v>
      </c>
    </row>
    <row r="5406">
      <c r="A5406" s="52" t="s">
        <v>77</v>
      </c>
      <c r="B5406" s="28" t="s">
        <v>77</v>
      </c>
      <c r="C5406" s="28" t="s">
        <v>77</v>
      </c>
      <c r="D5406" s="28" t="s">
        <v>77</v>
      </c>
      <c r="E5406" s="28" t="s">
        <v>77</v>
      </c>
      <c r="F5406" s="28" t="s">
        <v>77</v>
      </c>
      <c r="G5406" s="28" t="s">
        <v>77</v>
      </c>
      <c r="I5406" s="26" t="s">
        <v>77</v>
      </c>
      <c r="J5406" s="26" t="s">
        <v>77</v>
      </c>
      <c r="K5406" s="18"/>
      <c r="L5406" s="26" t="s">
        <v>77</v>
      </c>
      <c r="M5406" s="6" t="s">
        <v>77</v>
      </c>
      <c r="N5406" s="28" t="s">
        <v>77</v>
      </c>
      <c r="O5406" s="26" t="s">
        <v>77</v>
      </c>
    </row>
    <row r="5407">
      <c r="A5407" s="52" t="s">
        <v>77</v>
      </c>
      <c r="B5407" s="28" t="s">
        <v>77</v>
      </c>
      <c r="C5407" s="28" t="s">
        <v>77</v>
      </c>
      <c r="D5407" s="28" t="s">
        <v>77</v>
      </c>
      <c r="E5407" s="28" t="s">
        <v>77</v>
      </c>
      <c r="F5407" s="28" t="s">
        <v>77</v>
      </c>
      <c r="G5407" s="28" t="s">
        <v>77</v>
      </c>
      <c r="I5407" s="26" t="s">
        <v>77</v>
      </c>
      <c r="J5407" s="26" t="s">
        <v>77</v>
      </c>
      <c r="K5407" s="18"/>
      <c r="L5407" s="26" t="s">
        <v>77</v>
      </c>
      <c r="M5407" s="6" t="s">
        <v>77</v>
      </c>
      <c r="N5407" s="28" t="s">
        <v>77</v>
      </c>
      <c r="O5407" s="26" t="s">
        <v>77</v>
      </c>
    </row>
    <row r="5408">
      <c r="A5408" s="52" t="s">
        <v>77</v>
      </c>
      <c r="B5408" s="28" t="s">
        <v>77</v>
      </c>
      <c r="C5408" s="28" t="s">
        <v>77</v>
      </c>
      <c r="D5408" s="28" t="s">
        <v>77</v>
      </c>
      <c r="E5408" s="28" t="s">
        <v>77</v>
      </c>
      <c r="F5408" s="28" t="s">
        <v>77</v>
      </c>
      <c r="G5408" s="28" t="s">
        <v>77</v>
      </c>
      <c r="I5408" s="26" t="s">
        <v>77</v>
      </c>
      <c r="J5408" s="26" t="s">
        <v>77</v>
      </c>
      <c r="K5408" s="18"/>
      <c r="L5408" s="26" t="s">
        <v>77</v>
      </c>
      <c r="M5408" s="6" t="s">
        <v>77</v>
      </c>
      <c r="N5408" s="28" t="s">
        <v>77</v>
      </c>
      <c r="O5408" s="26" t="s">
        <v>77</v>
      </c>
    </row>
    <row r="5409">
      <c r="A5409" s="52" t="s">
        <v>77</v>
      </c>
      <c r="B5409" s="28" t="s">
        <v>77</v>
      </c>
      <c r="C5409" s="28" t="s">
        <v>77</v>
      </c>
      <c r="D5409" s="28" t="s">
        <v>77</v>
      </c>
      <c r="E5409" s="28" t="s">
        <v>77</v>
      </c>
      <c r="F5409" s="28" t="s">
        <v>77</v>
      </c>
      <c r="G5409" s="28" t="s">
        <v>77</v>
      </c>
      <c r="I5409" s="26" t="s">
        <v>77</v>
      </c>
      <c r="J5409" s="26" t="s">
        <v>77</v>
      </c>
      <c r="K5409" s="18"/>
      <c r="L5409" s="26" t="s">
        <v>77</v>
      </c>
      <c r="M5409" s="6" t="s">
        <v>77</v>
      </c>
      <c r="N5409" s="28" t="s">
        <v>77</v>
      </c>
      <c r="O5409" s="26" t="s">
        <v>77</v>
      </c>
    </row>
    <row r="5410">
      <c r="A5410" s="52" t="s">
        <v>77</v>
      </c>
      <c r="B5410" s="28" t="s">
        <v>77</v>
      </c>
      <c r="C5410" s="28" t="s">
        <v>77</v>
      </c>
      <c r="D5410" s="28" t="s">
        <v>77</v>
      </c>
      <c r="E5410" s="28" t="s">
        <v>77</v>
      </c>
      <c r="F5410" s="28" t="s">
        <v>77</v>
      </c>
      <c r="G5410" s="28" t="s">
        <v>77</v>
      </c>
      <c r="I5410" s="26" t="s">
        <v>77</v>
      </c>
      <c r="J5410" s="26" t="s">
        <v>77</v>
      </c>
      <c r="K5410" s="18"/>
      <c r="L5410" s="26" t="s">
        <v>77</v>
      </c>
      <c r="M5410" s="6" t="s">
        <v>77</v>
      </c>
      <c r="N5410" s="28" t="s">
        <v>77</v>
      </c>
      <c r="O5410" s="26" t="s">
        <v>77</v>
      </c>
    </row>
    <row r="5411">
      <c r="A5411" s="52" t="s">
        <v>77</v>
      </c>
      <c r="B5411" s="28" t="s">
        <v>77</v>
      </c>
      <c r="C5411" s="28" t="s">
        <v>77</v>
      </c>
      <c r="D5411" s="28" t="s">
        <v>77</v>
      </c>
      <c r="E5411" s="28" t="s">
        <v>77</v>
      </c>
      <c r="F5411" s="28" t="s">
        <v>77</v>
      </c>
      <c r="G5411" s="28" t="s">
        <v>77</v>
      </c>
      <c r="I5411" s="26" t="s">
        <v>77</v>
      </c>
      <c r="J5411" s="26" t="s">
        <v>77</v>
      </c>
      <c r="K5411" s="18"/>
      <c r="L5411" s="26" t="s">
        <v>77</v>
      </c>
      <c r="M5411" s="6" t="s">
        <v>77</v>
      </c>
      <c r="N5411" s="28" t="s">
        <v>77</v>
      </c>
      <c r="O5411" s="26" t="s">
        <v>77</v>
      </c>
    </row>
    <row r="5412">
      <c r="A5412" s="52" t="s">
        <v>77</v>
      </c>
      <c r="B5412" s="28" t="s">
        <v>77</v>
      </c>
      <c r="C5412" s="28" t="s">
        <v>77</v>
      </c>
      <c r="D5412" s="28" t="s">
        <v>77</v>
      </c>
      <c r="E5412" s="28" t="s">
        <v>77</v>
      </c>
      <c r="F5412" s="28" t="s">
        <v>77</v>
      </c>
      <c r="G5412" s="28" t="s">
        <v>77</v>
      </c>
      <c r="I5412" s="26" t="s">
        <v>77</v>
      </c>
      <c r="J5412" s="26" t="s">
        <v>77</v>
      </c>
      <c r="K5412" s="18"/>
      <c r="L5412" s="26" t="s">
        <v>77</v>
      </c>
      <c r="M5412" s="6" t="s">
        <v>77</v>
      </c>
      <c r="N5412" s="28" t="s">
        <v>77</v>
      </c>
      <c r="O5412" s="26" t="s">
        <v>77</v>
      </c>
    </row>
    <row r="5413">
      <c r="A5413" s="52" t="s">
        <v>77</v>
      </c>
      <c r="B5413" s="28" t="s">
        <v>77</v>
      </c>
      <c r="C5413" s="28" t="s">
        <v>77</v>
      </c>
      <c r="D5413" s="28" t="s">
        <v>77</v>
      </c>
      <c r="E5413" s="28" t="s">
        <v>77</v>
      </c>
      <c r="F5413" s="28" t="s">
        <v>77</v>
      </c>
      <c r="G5413" s="28" t="s">
        <v>77</v>
      </c>
      <c r="I5413" s="26" t="s">
        <v>77</v>
      </c>
      <c r="J5413" s="26" t="s">
        <v>77</v>
      </c>
      <c r="K5413" s="18"/>
      <c r="L5413" s="26" t="s">
        <v>77</v>
      </c>
      <c r="M5413" s="6" t="s">
        <v>77</v>
      </c>
      <c r="N5413" s="28" t="s">
        <v>77</v>
      </c>
      <c r="O5413" s="26" t="s">
        <v>77</v>
      </c>
    </row>
    <row r="5414">
      <c r="A5414" s="52" t="s">
        <v>77</v>
      </c>
      <c r="B5414" s="28" t="s">
        <v>77</v>
      </c>
      <c r="C5414" s="28" t="s">
        <v>77</v>
      </c>
      <c r="D5414" s="28" t="s">
        <v>77</v>
      </c>
      <c r="E5414" s="28" t="s">
        <v>77</v>
      </c>
      <c r="F5414" s="28" t="s">
        <v>77</v>
      </c>
      <c r="G5414" s="28" t="s">
        <v>77</v>
      </c>
      <c r="I5414" s="26" t="s">
        <v>77</v>
      </c>
      <c r="J5414" s="26" t="s">
        <v>77</v>
      </c>
      <c r="K5414" s="18"/>
      <c r="L5414" s="26" t="s">
        <v>77</v>
      </c>
      <c r="M5414" s="6" t="s">
        <v>77</v>
      </c>
      <c r="N5414" s="28" t="s">
        <v>77</v>
      </c>
      <c r="O5414" s="26" t="s">
        <v>77</v>
      </c>
    </row>
    <row r="5415">
      <c r="A5415" s="52" t="s">
        <v>77</v>
      </c>
      <c r="B5415" s="28" t="s">
        <v>77</v>
      </c>
      <c r="C5415" s="28" t="s">
        <v>77</v>
      </c>
      <c r="D5415" s="28" t="s">
        <v>77</v>
      </c>
      <c r="E5415" s="28" t="s">
        <v>77</v>
      </c>
      <c r="F5415" s="28" t="s">
        <v>77</v>
      </c>
      <c r="G5415" s="28" t="s">
        <v>77</v>
      </c>
      <c r="I5415" s="26" t="s">
        <v>77</v>
      </c>
      <c r="J5415" s="26" t="s">
        <v>77</v>
      </c>
      <c r="K5415" s="18"/>
      <c r="L5415" s="26" t="s">
        <v>77</v>
      </c>
      <c r="M5415" s="6" t="s">
        <v>77</v>
      </c>
      <c r="N5415" s="28" t="s">
        <v>77</v>
      </c>
      <c r="O5415" s="26" t="s">
        <v>77</v>
      </c>
    </row>
    <row r="5416">
      <c r="A5416" s="52" t="s">
        <v>77</v>
      </c>
      <c r="B5416" s="28" t="s">
        <v>77</v>
      </c>
      <c r="C5416" s="28" t="s">
        <v>77</v>
      </c>
      <c r="D5416" s="28" t="s">
        <v>77</v>
      </c>
      <c r="E5416" s="28" t="s">
        <v>77</v>
      </c>
      <c r="F5416" s="28" t="s">
        <v>77</v>
      </c>
      <c r="G5416" s="28" t="s">
        <v>77</v>
      </c>
      <c r="I5416" s="26" t="s">
        <v>77</v>
      </c>
      <c r="J5416" s="26" t="s">
        <v>77</v>
      </c>
      <c r="K5416" s="18"/>
      <c r="L5416" s="26" t="s">
        <v>77</v>
      </c>
      <c r="M5416" s="6" t="s">
        <v>77</v>
      </c>
      <c r="N5416" s="28" t="s">
        <v>77</v>
      </c>
      <c r="O5416" s="26" t="s">
        <v>77</v>
      </c>
    </row>
    <row r="5417">
      <c r="A5417" s="52" t="s">
        <v>77</v>
      </c>
      <c r="B5417" s="28" t="s">
        <v>77</v>
      </c>
      <c r="C5417" s="28" t="s">
        <v>77</v>
      </c>
      <c r="D5417" s="28" t="s">
        <v>77</v>
      </c>
      <c r="E5417" s="28" t="s">
        <v>77</v>
      </c>
      <c r="F5417" s="28" t="s">
        <v>77</v>
      </c>
      <c r="G5417" s="28" t="s">
        <v>77</v>
      </c>
      <c r="I5417" s="26" t="s">
        <v>77</v>
      </c>
      <c r="J5417" s="26" t="s">
        <v>77</v>
      </c>
      <c r="K5417" s="18"/>
      <c r="L5417" s="26" t="s">
        <v>77</v>
      </c>
      <c r="M5417" s="6" t="s">
        <v>77</v>
      </c>
      <c r="N5417" s="28" t="s">
        <v>77</v>
      </c>
      <c r="O5417" s="26" t="s">
        <v>77</v>
      </c>
    </row>
    <row r="5418">
      <c r="A5418" s="52" t="s">
        <v>77</v>
      </c>
      <c r="B5418" s="28" t="s">
        <v>77</v>
      </c>
      <c r="C5418" s="28" t="s">
        <v>77</v>
      </c>
      <c r="D5418" s="28" t="s">
        <v>77</v>
      </c>
      <c r="E5418" s="28" t="s">
        <v>77</v>
      </c>
      <c r="F5418" s="28" t="s">
        <v>77</v>
      </c>
      <c r="G5418" s="28" t="s">
        <v>77</v>
      </c>
      <c r="I5418" s="26" t="s">
        <v>77</v>
      </c>
      <c r="J5418" s="26" t="s">
        <v>77</v>
      </c>
      <c r="K5418" s="18"/>
      <c r="L5418" s="26" t="s">
        <v>77</v>
      </c>
      <c r="M5418" s="6" t="s">
        <v>77</v>
      </c>
      <c r="N5418" s="28" t="s">
        <v>77</v>
      </c>
      <c r="O5418" s="26" t="s">
        <v>77</v>
      </c>
    </row>
    <row r="5419">
      <c r="A5419" s="52" t="s">
        <v>77</v>
      </c>
      <c r="B5419" s="28" t="s">
        <v>77</v>
      </c>
      <c r="C5419" s="28" t="s">
        <v>77</v>
      </c>
      <c r="D5419" s="28" t="s">
        <v>77</v>
      </c>
      <c r="E5419" s="28" t="s">
        <v>77</v>
      </c>
      <c r="F5419" s="28" t="s">
        <v>77</v>
      </c>
      <c r="G5419" s="28" t="s">
        <v>77</v>
      </c>
      <c r="I5419" s="26" t="s">
        <v>77</v>
      </c>
      <c r="J5419" s="26" t="s">
        <v>77</v>
      </c>
      <c r="K5419" s="18"/>
      <c r="L5419" s="26" t="s">
        <v>77</v>
      </c>
      <c r="M5419" s="6" t="s">
        <v>77</v>
      </c>
      <c r="N5419" s="28" t="s">
        <v>77</v>
      </c>
      <c r="O5419" s="26" t="s">
        <v>77</v>
      </c>
    </row>
    <row r="5420">
      <c r="A5420" s="52" t="s">
        <v>77</v>
      </c>
      <c r="B5420" s="28" t="s">
        <v>77</v>
      </c>
      <c r="C5420" s="28" t="s">
        <v>77</v>
      </c>
      <c r="D5420" s="28" t="s">
        <v>77</v>
      </c>
      <c r="E5420" s="28" t="s">
        <v>77</v>
      </c>
      <c r="F5420" s="28" t="s">
        <v>77</v>
      </c>
      <c r="G5420" s="28" t="s">
        <v>77</v>
      </c>
      <c r="I5420" s="26" t="s">
        <v>77</v>
      </c>
      <c r="J5420" s="26" t="s">
        <v>77</v>
      </c>
      <c r="K5420" s="18"/>
      <c r="L5420" s="26" t="s">
        <v>77</v>
      </c>
      <c r="M5420" s="6" t="s">
        <v>77</v>
      </c>
      <c r="N5420" s="28" t="s">
        <v>77</v>
      </c>
      <c r="O5420" s="26" t="s">
        <v>77</v>
      </c>
    </row>
    <row r="5421">
      <c r="A5421" s="52" t="s">
        <v>77</v>
      </c>
      <c r="B5421" s="28" t="s">
        <v>77</v>
      </c>
      <c r="C5421" s="28" t="s">
        <v>77</v>
      </c>
      <c r="D5421" s="28" t="s">
        <v>77</v>
      </c>
      <c r="E5421" s="28" t="s">
        <v>77</v>
      </c>
      <c r="F5421" s="28" t="s">
        <v>77</v>
      </c>
      <c r="G5421" s="28" t="s">
        <v>77</v>
      </c>
      <c r="I5421" s="26" t="s">
        <v>77</v>
      </c>
      <c r="J5421" s="26" t="s">
        <v>77</v>
      </c>
      <c r="K5421" s="18"/>
      <c r="L5421" s="26" t="s">
        <v>77</v>
      </c>
      <c r="M5421" s="6" t="s">
        <v>77</v>
      </c>
      <c r="N5421" s="28" t="s">
        <v>77</v>
      </c>
      <c r="O5421" s="26" t="s">
        <v>77</v>
      </c>
    </row>
    <row r="5422">
      <c r="A5422" s="52" t="s">
        <v>77</v>
      </c>
      <c r="B5422" s="28" t="s">
        <v>77</v>
      </c>
      <c r="C5422" s="28" t="s">
        <v>77</v>
      </c>
      <c r="D5422" s="28" t="s">
        <v>77</v>
      </c>
      <c r="E5422" s="28" t="s">
        <v>77</v>
      </c>
      <c r="F5422" s="28" t="s">
        <v>77</v>
      </c>
      <c r="G5422" s="28" t="s">
        <v>77</v>
      </c>
      <c r="I5422" s="26" t="s">
        <v>77</v>
      </c>
      <c r="J5422" s="26" t="s">
        <v>77</v>
      </c>
      <c r="K5422" s="18"/>
      <c r="L5422" s="26" t="s">
        <v>77</v>
      </c>
      <c r="M5422" s="6" t="s">
        <v>77</v>
      </c>
      <c r="N5422" s="28" t="s">
        <v>77</v>
      </c>
      <c r="O5422" s="26" t="s">
        <v>77</v>
      </c>
    </row>
    <row r="5423">
      <c r="A5423" s="52" t="s">
        <v>77</v>
      </c>
      <c r="B5423" s="28" t="s">
        <v>77</v>
      </c>
      <c r="C5423" s="28" t="s">
        <v>77</v>
      </c>
      <c r="D5423" s="28" t="s">
        <v>77</v>
      </c>
      <c r="E5423" s="28" t="s">
        <v>77</v>
      </c>
      <c r="F5423" s="28" t="s">
        <v>77</v>
      </c>
      <c r="G5423" s="28" t="s">
        <v>77</v>
      </c>
      <c r="I5423" s="26" t="s">
        <v>77</v>
      </c>
      <c r="J5423" s="26" t="s">
        <v>77</v>
      </c>
      <c r="K5423" s="18"/>
      <c r="L5423" s="26" t="s">
        <v>77</v>
      </c>
      <c r="M5423" s="6" t="s">
        <v>77</v>
      </c>
      <c r="N5423" s="28" t="s">
        <v>77</v>
      </c>
      <c r="O5423" s="26" t="s">
        <v>77</v>
      </c>
    </row>
    <row r="5424">
      <c r="A5424" s="52" t="s">
        <v>77</v>
      </c>
      <c r="B5424" s="28" t="s">
        <v>77</v>
      </c>
      <c r="C5424" s="28" t="s">
        <v>77</v>
      </c>
      <c r="D5424" s="28" t="s">
        <v>77</v>
      </c>
      <c r="E5424" s="28" t="s">
        <v>77</v>
      </c>
      <c r="F5424" s="28" t="s">
        <v>77</v>
      </c>
      <c r="G5424" s="28" t="s">
        <v>77</v>
      </c>
      <c r="I5424" s="26" t="s">
        <v>77</v>
      </c>
      <c r="J5424" s="26" t="s">
        <v>77</v>
      </c>
      <c r="K5424" s="18"/>
      <c r="L5424" s="26" t="s">
        <v>77</v>
      </c>
      <c r="M5424" s="6" t="s">
        <v>77</v>
      </c>
      <c r="N5424" s="28" t="s">
        <v>77</v>
      </c>
      <c r="O5424" s="26" t="s">
        <v>77</v>
      </c>
    </row>
    <row r="5425">
      <c r="A5425" s="52" t="s">
        <v>77</v>
      </c>
      <c r="B5425" s="28" t="s">
        <v>77</v>
      </c>
      <c r="C5425" s="28" t="s">
        <v>77</v>
      </c>
      <c r="D5425" s="28" t="s">
        <v>77</v>
      </c>
      <c r="E5425" s="28" t="s">
        <v>77</v>
      </c>
      <c r="F5425" s="28" t="s">
        <v>77</v>
      </c>
      <c r="G5425" s="28" t="s">
        <v>77</v>
      </c>
      <c r="I5425" s="26" t="s">
        <v>77</v>
      </c>
      <c r="J5425" s="26" t="s">
        <v>77</v>
      </c>
      <c r="K5425" s="18"/>
      <c r="L5425" s="26" t="s">
        <v>77</v>
      </c>
      <c r="M5425" s="6" t="s">
        <v>77</v>
      </c>
      <c r="N5425" s="28" t="s">
        <v>77</v>
      </c>
      <c r="O5425" s="26" t="s">
        <v>77</v>
      </c>
    </row>
    <row r="5426">
      <c r="A5426" s="52" t="s">
        <v>77</v>
      </c>
      <c r="B5426" s="28" t="s">
        <v>77</v>
      </c>
      <c r="C5426" s="28" t="s">
        <v>77</v>
      </c>
      <c r="D5426" s="28" t="s">
        <v>77</v>
      </c>
      <c r="E5426" s="28" t="s">
        <v>77</v>
      </c>
      <c r="F5426" s="28" t="s">
        <v>77</v>
      </c>
      <c r="G5426" s="28" t="s">
        <v>77</v>
      </c>
      <c r="I5426" s="26" t="s">
        <v>77</v>
      </c>
      <c r="J5426" s="26" t="s">
        <v>77</v>
      </c>
      <c r="K5426" s="18"/>
      <c r="L5426" s="26" t="s">
        <v>77</v>
      </c>
      <c r="M5426" s="6" t="s">
        <v>77</v>
      </c>
      <c r="N5426" s="28" t="s">
        <v>77</v>
      </c>
      <c r="O5426" s="26" t="s">
        <v>77</v>
      </c>
    </row>
    <row r="5427">
      <c r="A5427" s="52" t="s">
        <v>77</v>
      </c>
      <c r="B5427" s="28" t="s">
        <v>77</v>
      </c>
      <c r="C5427" s="28" t="s">
        <v>77</v>
      </c>
      <c r="D5427" s="28" t="s">
        <v>77</v>
      </c>
      <c r="E5427" s="28" t="s">
        <v>77</v>
      </c>
      <c r="F5427" s="28" t="s">
        <v>77</v>
      </c>
      <c r="G5427" s="28" t="s">
        <v>77</v>
      </c>
      <c r="I5427" s="26" t="s">
        <v>77</v>
      </c>
      <c r="J5427" s="26" t="s">
        <v>77</v>
      </c>
      <c r="K5427" s="18"/>
      <c r="L5427" s="26" t="s">
        <v>77</v>
      </c>
      <c r="M5427" s="6" t="s">
        <v>77</v>
      </c>
      <c r="N5427" s="28" t="s">
        <v>77</v>
      </c>
      <c r="O5427" s="26" t="s">
        <v>77</v>
      </c>
    </row>
    <row r="5428">
      <c r="A5428" s="52" t="s">
        <v>77</v>
      </c>
      <c r="B5428" s="28" t="s">
        <v>77</v>
      </c>
      <c r="C5428" s="28" t="s">
        <v>77</v>
      </c>
      <c r="D5428" s="28" t="s">
        <v>77</v>
      </c>
      <c r="E5428" s="28" t="s">
        <v>77</v>
      </c>
      <c r="F5428" s="28" t="s">
        <v>77</v>
      </c>
      <c r="G5428" s="28" t="s">
        <v>77</v>
      </c>
      <c r="I5428" s="26" t="s">
        <v>77</v>
      </c>
      <c r="J5428" s="26" t="s">
        <v>77</v>
      </c>
      <c r="K5428" s="18"/>
      <c r="L5428" s="26" t="s">
        <v>77</v>
      </c>
      <c r="M5428" s="6" t="s">
        <v>77</v>
      </c>
      <c r="N5428" s="28" t="s">
        <v>77</v>
      </c>
      <c r="O5428" s="26" t="s">
        <v>77</v>
      </c>
    </row>
    <row r="5429">
      <c r="A5429" s="52" t="s">
        <v>77</v>
      </c>
      <c r="B5429" s="28" t="s">
        <v>77</v>
      </c>
      <c r="C5429" s="28" t="s">
        <v>77</v>
      </c>
      <c r="D5429" s="28" t="s">
        <v>77</v>
      </c>
      <c r="E5429" s="28" t="s">
        <v>77</v>
      </c>
      <c r="F5429" s="28" t="s">
        <v>77</v>
      </c>
      <c r="G5429" s="28" t="s">
        <v>77</v>
      </c>
      <c r="I5429" s="26" t="s">
        <v>77</v>
      </c>
      <c r="J5429" s="26" t="s">
        <v>77</v>
      </c>
      <c r="K5429" s="18"/>
      <c r="L5429" s="26" t="s">
        <v>77</v>
      </c>
      <c r="M5429" s="6" t="s">
        <v>77</v>
      </c>
      <c r="N5429" s="28" t="s">
        <v>77</v>
      </c>
      <c r="O5429" s="26" t="s">
        <v>77</v>
      </c>
    </row>
    <row r="5430">
      <c r="A5430" s="52" t="s">
        <v>77</v>
      </c>
      <c r="B5430" s="28" t="s">
        <v>77</v>
      </c>
      <c r="C5430" s="28" t="s">
        <v>77</v>
      </c>
      <c r="D5430" s="28" t="s">
        <v>77</v>
      </c>
      <c r="E5430" s="28" t="s">
        <v>77</v>
      </c>
      <c r="F5430" s="28" t="s">
        <v>77</v>
      </c>
      <c r="G5430" s="28" t="s">
        <v>77</v>
      </c>
      <c r="I5430" s="26" t="s">
        <v>77</v>
      </c>
      <c r="J5430" s="26" t="s">
        <v>77</v>
      </c>
      <c r="K5430" s="18"/>
      <c r="L5430" s="26" t="s">
        <v>77</v>
      </c>
      <c r="M5430" s="6" t="s">
        <v>77</v>
      </c>
      <c r="N5430" s="28" t="s">
        <v>77</v>
      </c>
      <c r="O5430" s="26" t="s">
        <v>77</v>
      </c>
    </row>
    <row r="5431">
      <c r="A5431" s="52" t="s">
        <v>77</v>
      </c>
      <c r="B5431" s="28" t="s">
        <v>77</v>
      </c>
      <c r="C5431" s="28" t="s">
        <v>77</v>
      </c>
      <c r="D5431" s="28" t="s">
        <v>77</v>
      </c>
      <c r="E5431" s="28" t="s">
        <v>77</v>
      </c>
      <c r="F5431" s="28" t="s">
        <v>77</v>
      </c>
      <c r="G5431" s="28" t="s">
        <v>77</v>
      </c>
      <c r="I5431" s="26" t="s">
        <v>77</v>
      </c>
      <c r="J5431" s="26" t="s">
        <v>77</v>
      </c>
      <c r="K5431" s="18"/>
      <c r="L5431" s="26" t="s">
        <v>77</v>
      </c>
      <c r="M5431" s="6" t="s">
        <v>77</v>
      </c>
      <c r="N5431" s="28" t="s">
        <v>77</v>
      </c>
      <c r="O5431" s="26" t="s">
        <v>77</v>
      </c>
    </row>
    <row r="5432">
      <c r="A5432" s="52" t="s">
        <v>77</v>
      </c>
      <c r="B5432" s="28" t="s">
        <v>77</v>
      </c>
      <c r="C5432" s="28" t="s">
        <v>77</v>
      </c>
      <c r="D5432" s="28" t="s">
        <v>77</v>
      </c>
      <c r="E5432" s="28" t="s">
        <v>77</v>
      </c>
      <c r="F5432" s="28" t="s">
        <v>77</v>
      </c>
      <c r="G5432" s="28" t="s">
        <v>77</v>
      </c>
      <c r="I5432" s="26" t="s">
        <v>77</v>
      </c>
      <c r="J5432" s="26" t="s">
        <v>77</v>
      </c>
      <c r="K5432" s="18"/>
      <c r="L5432" s="26" t="s">
        <v>77</v>
      </c>
      <c r="M5432" s="6" t="s">
        <v>77</v>
      </c>
      <c r="N5432" s="28" t="s">
        <v>77</v>
      </c>
      <c r="O5432" s="26" t="s">
        <v>77</v>
      </c>
    </row>
    <row r="5433">
      <c r="A5433" s="52" t="s">
        <v>77</v>
      </c>
      <c r="B5433" s="28" t="s">
        <v>77</v>
      </c>
      <c r="C5433" s="28" t="s">
        <v>77</v>
      </c>
      <c r="D5433" s="28" t="s">
        <v>77</v>
      </c>
      <c r="E5433" s="28" t="s">
        <v>77</v>
      </c>
      <c r="F5433" s="28" t="s">
        <v>77</v>
      </c>
      <c r="G5433" s="28" t="s">
        <v>77</v>
      </c>
      <c r="I5433" s="26" t="s">
        <v>77</v>
      </c>
      <c r="J5433" s="26" t="s">
        <v>77</v>
      </c>
      <c r="K5433" s="18"/>
      <c r="L5433" s="26" t="s">
        <v>77</v>
      </c>
      <c r="M5433" s="6" t="s">
        <v>77</v>
      </c>
      <c r="N5433" s="28" t="s">
        <v>77</v>
      </c>
      <c r="O5433" s="26" t="s">
        <v>77</v>
      </c>
    </row>
    <row r="5434">
      <c r="A5434" s="52" t="s">
        <v>77</v>
      </c>
      <c r="B5434" s="28" t="s">
        <v>77</v>
      </c>
      <c r="C5434" s="28" t="s">
        <v>77</v>
      </c>
      <c r="D5434" s="28" t="s">
        <v>77</v>
      </c>
      <c r="E5434" s="28" t="s">
        <v>77</v>
      </c>
      <c r="F5434" s="28" t="s">
        <v>77</v>
      </c>
      <c r="G5434" s="28" t="s">
        <v>77</v>
      </c>
      <c r="I5434" s="26" t="s">
        <v>77</v>
      </c>
      <c r="J5434" s="26" t="s">
        <v>77</v>
      </c>
      <c r="K5434" s="18"/>
      <c r="L5434" s="26" t="s">
        <v>77</v>
      </c>
      <c r="M5434" s="6" t="s">
        <v>77</v>
      </c>
      <c r="N5434" s="28" t="s">
        <v>77</v>
      </c>
      <c r="O5434" s="26" t="s">
        <v>77</v>
      </c>
    </row>
    <row r="5435">
      <c r="A5435" s="52" t="s">
        <v>77</v>
      </c>
      <c r="B5435" s="28" t="s">
        <v>77</v>
      </c>
      <c r="C5435" s="28" t="s">
        <v>77</v>
      </c>
      <c r="D5435" s="28" t="s">
        <v>77</v>
      </c>
      <c r="E5435" s="28" t="s">
        <v>77</v>
      </c>
      <c r="F5435" s="28" t="s">
        <v>77</v>
      </c>
      <c r="G5435" s="28" t="s">
        <v>77</v>
      </c>
      <c r="I5435" s="26" t="s">
        <v>77</v>
      </c>
      <c r="J5435" s="26" t="s">
        <v>77</v>
      </c>
      <c r="K5435" s="18"/>
      <c r="L5435" s="26" t="s">
        <v>77</v>
      </c>
      <c r="M5435" s="6" t="s">
        <v>77</v>
      </c>
      <c r="N5435" s="28" t="s">
        <v>77</v>
      </c>
      <c r="O5435" s="26" t="s">
        <v>77</v>
      </c>
    </row>
    <row r="5436">
      <c r="A5436" s="52" t="s">
        <v>77</v>
      </c>
      <c r="B5436" s="28" t="s">
        <v>77</v>
      </c>
      <c r="C5436" s="28" t="s">
        <v>77</v>
      </c>
      <c r="D5436" s="28" t="s">
        <v>77</v>
      </c>
      <c r="E5436" s="28" t="s">
        <v>77</v>
      </c>
      <c r="F5436" s="28" t="s">
        <v>77</v>
      </c>
      <c r="G5436" s="28" t="s">
        <v>77</v>
      </c>
      <c r="I5436" s="26" t="s">
        <v>77</v>
      </c>
      <c r="J5436" s="26" t="s">
        <v>77</v>
      </c>
      <c r="K5436" s="18"/>
      <c r="L5436" s="26" t="s">
        <v>77</v>
      </c>
      <c r="M5436" s="6" t="s">
        <v>77</v>
      </c>
      <c r="N5436" s="28" t="s">
        <v>77</v>
      </c>
      <c r="O5436" s="26" t="s">
        <v>77</v>
      </c>
    </row>
    <row r="5437">
      <c r="A5437" s="52" t="s">
        <v>77</v>
      </c>
      <c r="B5437" s="28" t="s">
        <v>77</v>
      </c>
      <c r="C5437" s="28" t="s">
        <v>77</v>
      </c>
      <c r="D5437" s="28" t="s">
        <v>77</v>
      </c>
      <c r="E5437" s="28" t="s">
        <v>77</v>
      </c>
      <c r="F5437" s="28" t="s">
        <v>77</v>
      </c>
      <c r="G5437" s="28" t="s">
        <v>77</v>
      </c>
      <c r="I5437" s="26" t="s">
        <v>77</v>
      </c>
      <c r="J5437" s="26" t="s">
        <v>77</v>
      </c>
      <c r="K5437" s="18"/>
      <c r="L5437" s="26" t="s">
        <v>77</v>
      </c>
      <c r="M5437" s="6" t="s">
        <v>77</v>
      </c>
      <c r="N5437" s="28" t="s">
        <v>77</v>
      </c>
      <c r="O5437" s="26" t="s">
        <v>77</v>
      </c>
    </row>
    <row r="5438">
      <c r="A5438" s="52" t="s">
        <v>77</v>
      </c>
      <c r="B5438" s="28" t="s">
        <v>77</v>
      </c>
      <c r="C5438" s="28" t="s">
        <v>77</v>
      </c>
      <c r="D5438" s="28" t="s">
        <v>77</v>
      </c>
      <c r="E5438" s="28" t="s">
        <v>77</v>
      </c>
      <c r="F5438" s="28" t="s">
        <v>77</v>
      </c>
      <c r="G5438" s="28" t="s">
        <v>77</v>
      </c>
      <c r="I5438" s="26" t="s">
        <v>77</v>
      </c>
      <c r="J5438" s="26" t="s">
        <v>77</v>
      </c>
      <c r="K5438" s="18"/>
      <c r="L5438" s="26" t="s">
        <v>77</v>
      </c>
      <c r="M5438" s="6" t="s">
        <v>77</v>
      </c>
      <c r="N5438" s="28" t="s">
        <v>77</v>
      </c>
      <c r="O5438" s="26" t="s">
        <v>77</v>
      </c>
    </row>
    <row r="5439">
      <c r="A5439" s="52" t="s">
        <v>77</v>
      </c>
      <c r="B5439" s="28" t="s">
        <v>77</v>
      </c>
      <c r="C5439" s="28" t="s">
        <v>77</v>
      </c>
      <c r="D5439" s="28" t="s">
        <v>77</v>
      </c>
      <c r="E5439" s="28" t="s">
        <v>77</v>
      </c>
      <c r="F5439" s="28" t="s">
        <v>77</v>
      </c>
      <c r="G5439" s="28" t="s">
        <v>77</v>
      </c>
      <c r="I5439" s="26" t="s">
        <v>77</v>
      </c>
      <c r="J5439" s="26" t="s">
        <v>77</v>
      </c>
      <c r="K5439" s="18"/>
      <c r="L5439" s="26" t="s">
        <v>77</v>
      </c>
      <c r="M5439" s="6" t="s">
        <v>77</v>
      </c>
      <c r="N5439" s="28" t="s">
        <v>77</v>
      </c>
      <c r="O5439" s="26" t="s">
        <v>77</v>
      </c>
    </row>
    <row r="5440">
      <c r="A5440" s="52" t="s">
        <v>77</v>
      </c>
      <c r="B5440" s="28" t="s">
        <v>77</v>
      </c>
      <c r="C5440" s="28" t="s">
        <v>77</v>
      </c>
      <c r="D5440" s="28" t="s">
        <v>77</v>
      </c>
      <c r="E5440" s="28" t="s">
        <v>77</v>
      </c>
      <c r="F5440" s="28" t="s">
        <v>77</v>
      </c>
      <c r="G5440" s="28" t="s">
        <v>77</v>
      </c>
      <c r="I5440" s="26" t="s">
        <v>77</v>
      </c>
      <c r="J5440" s="26" t="s">
        <v>77</v>
      </c>
      <c r="K5440" s="18"/>
      <c r="L5440" s="26" t="s">
        <v>77</v>
      </c>
      <c r="M5440" s="6" t="s">
        <v>77</v>
      </c>
      <c r="N5440" s="28" t="s">
        <v>77</v>
      </c>
      <c r="O5440" s="26" t="s">
        <v>77</v>
      </c>
    </row>
    <row r="5441">
      <c r="A5441" s="52" t="s">
        <v>77</v>
      </c>
      <c r="B5441" s="28" t="s">
        <v>77</v>
      </c>
      <c r="C5441" s="28" t="s">
        <v>77</v>
      </c>
      <c r="D5441" s="28" t="s">
        <v>77</v>
      </c>
      <c r="E5441" s="28" t="s">
        <v>77</v>
      </c>
      <c r="F5441" s="28" t="s">
        <v>77</v>
      </c>
      <c r="G5441" s="28" t="s">
        <v>77</v>
      </c>
      <c r="I5441" s="26" t="s">
        <v>77</v>
      </c>
      <c r="J5441" s="26" t="s">
        <v>77</v>
      </c>
      <c r="K5441" s="18"/>
      <c r="L5441" s="26" t="s">
        <v>77</v>
      </c>
      <c r="M5441" s="6" t="s">
        <v>77</v>
      </c>
      <c r="N5441" s="28" t="s">
        <v>77</v>
      </c>
      <c r="O5441" s="26" t="s">
        <v>77</v>
      </c>
    </row>
    <row r="5442">
      <c r="A5442" s="52" t="s">
        <v>77</v>
      </c>
      <c r="B5442" s="28" t="s">
        <v>77</v>
      </c>
      <c r="C5442" s="28" t="s">
        <v>77</v>
      </c>
      <c r="D5442" s="28" t="s">
        <v>77</v>
      </c>
      <c r="E5442" s="28" t="s">
        <v>77</v>
      </c>
      <c r="F5442" s="28" t="s">
        <v>77</v>
      </c>
      <c r="G5442" s="28" t="s">
        <v>77</v>
      </c>
      <c r="I5442" s="26" t="s">
        <v>77</v>
      </c>
      <c r="J5442" s="26" t="s">
        <v>77</v>
      </c>
      <c r="K5442" s="18"/>
      <c r="L5442" s="26" t="s">
        <v>77</v>
      </c>
      <c r="M5442" s="6" t="s">
        <v>77</v>
      </c>
      <c r="N5442" s="28" t="s">
        <v>77</v>
      </c>
      <c r="O5442" s="26" t="s">
        <v>77</v>
      </c>
    </row>
    <row r="5443">
      <c r="A5443" s="52" t="s">
        <v>77</v>
      </c>
      <c r="B5443" s="28" t="s">
        <v>77</v>
      </c>
      <c r="C5443" s="28" t="s">
        <v>77</v>
      </c>
      <c r="D5443" s="28" t="s">
        <v>77</v>
      </c>
      <c r="E5443" s="28" t="s">
        <v>77</v>
      </c>
      <c r="F5443" s="28" t="s">
        <v>77</v>
      </c>
      <c r="G5443" s="28" t="s">
        <v>77</v>
      </c>
      <c r="I5443" s="26" t="s">
        <v>77</v>
      </c>
      <c r="J5443" s="26" t="s">
        <v>77</v>
      </c>
      <c r="K5443" s="18"/>
      <c r="L5443" s="26" t="s">
        <v>77</v>
      </c>
      <c r="M5443" s="6" t="s">
        <v>77</v>
      </c>
      <c r="N5443" s="28" t="s">
        <v>77</v>
      </c>
      <c r="O5443" s="26" t="s">
        <v>77</v>
      </c>
    </row>
    <row r="5444">
      <c r="A5444" s="52" t="s">
        <v>77</v>
      </c>
      <c r="B5444" s="28" t="s">
        <v>77</v>
      </c>
      <c r="C5444" s="28" t="s">
        <v>77</v>
      </c>
      <c r="D5444" s="28" t="s">
        <v>77</v>
      </c>
      <c r="E5444" s="28" t="s">
        <v>77</v>
      </c>
      <c r="F5444" s="28" t="s">
        <v>77</v>
      </c>
      <c r="G5444" s="28" t="s">
        <v>77</v>
      </c>
      <c r="I5444" s="26" t="s">
        <v>77</v>
      </c>
      <c r="J5444" s="26" t="s">
        <v>77</v>
      </c>
      <c r="K5444" s="18"/>
      <c r="L5444" s="26" t="s">
        <v>77</v>
      </c>
      <c r="M5444" s="6" t="s">
        <v>77</v>
      </c>
      <c r="N5444" s="28" t="s">
        <v>77</v>
      </c>
      <c r="O5444" s="26" t="s">
        <v>77</v>
      </c>
    </row>
    <row r="5445">
      <c r="A5445" s="52" t="s">
        <v>77</v>
      </c>
      <c r="B5445" s="28" t="s">
        <v>77</v>
      </c>
      <c r="C5445" s="28" t="s">
        <v>77</v>
      </c>
      <c r="D5445" s="28" t="s">
        <v>77</v>
      </c>
      <c r="E5445" s="28" t="s">
        <v>77</v>
      </c>
      <c r="F5445" s="28" t="s">
        <v>77</v>
      </c>
      <c r="G5445" s="28" t="s">
        <v>77</v>
      </c>
      <c r="I5445" s="26" t="s">
        <v>77</v>
      </c>
      <c r="J5445" s="26" t="s">
        <v>77</v>
      </c>
      <c r="K5445" s="18"/>
      <c r="L5445" s="26" t="s">
        <v>77</v>
      </c>
      <c r="M5445" s="6" t="s">
        <v>77</v>
      </c>
      <c r="N5445" s="28" t="s">
        <v>77</v>
      </c>
      <c r="O5445" s="26" t="s">
        <v>77</v>
      </c>
    </row>
    <row r="5446">
      <c r="A5446" s="52" t="s">
        <v>77</v>
      </c>
      <c r="B5446" s="28" t="s">
        <v>77</v>
      </c>
      <c r="C5446" s="28" t="s">
        <v>77</v>
      </c>
      <c r="D5446" s="28" t="s">
        <v>77</v>
      </c>
      <c r="E5446" s="28" t="s">
        <v>77</v>
      </c>
      <c r="F5446" s="28" t="s">
        <v>77</v>
      </c>
      <c r="G5446" s="28" t="s">
        <v>77</v>
      </c>
      <c r="I5446" s="26" t="s">
        <v>77</v>
      </c>
      <c r="J5446" s="26" t="s">
        <v>77</v>
      </c>
      <c r="K5446" s="18"/>
      <c r="L5446" s="26" t="s">
        <v>77</v>
      </c>
      <c r="M5446" s="6" t="s">
        <v>77</v>
      </c>
      <c r="N5446" s="28" t="s">
        <v>77</v>
      </c>
      <c r="O5446" s="26" t="s">
        <v>77</v>
      </c>
    </row>
    <row r="5447">
      <c r="A5447" s="52" t="s">
        <v>77</v>
      </c>
      <c r="B5447" s="28" t="s">
        <v>77</v>
      </c>
      <c r="C5447" s="28" t="s">
        <v>77</v>
      </c>
      <c r="D5447" s="28" t="s">
        <v>77</v>
      </c>
      <c r="E5447" s="28" t="s">
        <v>77</v>
      </c>
      <c r="F5447" s="28" t="s">
        <v>77</v>
      </c>
      <c r="G5447" s="28" t="s">
        <v>77</v>
      </c>
      <c r="I5447" s="26" t="s">
        <v>77</v>
      </c>
      <c r="J5447" s="26" t="s">
        <v>77</v>
      </c>
      <c r="K5447" s="18"/>
      <c r="L5447" s="26" t="s">
        <v>77</v>
      </c>
      <c r="M5447" s="6" t="s">
        <v>77</v>
      </c>
      <c r="N5447" s="28" t="s">
        <v>77</v>
      </c>
      <c r="O5447" s="26" t="s">
        <v>77</v>
      </c>
    </row>
    <row r="5448">
      <c r="A5448" s="52" t="s">
        <v>77</v>
      </c>
      <c r="B5448" s="28" t="s">
        <v>77</v>
      </c>
      <c r="C5448" s="28" t="s">
        <v>77</v>
      </c>
      <c r="D5448" s="28" t="s">
        <v>77</v>
      </c>
      <c r="E5448" s="28" t="s">
        <v>77</v>
      </c>
      <c r="F5448" s="28" t="s">
        <v>77</v>
      </c>
      <c r="G5448" s="28" t="s">
        <v>77</v>
      </c>
      <c r="I5448" s="26" t="s">
        <v>77</v>
      </c>
      <c r="J5448" s="26" t="s">
        <v>77</v>
      </c>
      <c r="K5448" s="18"/>
      <c r="L5448" s="26" t="s">
        <v>77</v>
      </c>
      <c r="M5448" s="6" t="s">
        <v>77</v>
      </c>
      <c r="N5448" s="28" t="s">
        <v>77</v>
      </c>
      <c r="O5448" s="26" t="s">
        <v>77</v>
      </c>
    </row>
    <row r="5449">
      <c r="A5449" s="52" t="s">
        <v>77</v>
      </c>
      <c r="B5449" s="28" t="s">
        <v>77</v>
      </c>
      <c r="C5449" s="28" t="s">
        <v>77</v>
      </c>
      <c r="D5449" s="28" t="s">
        <v>77</v>
      </c>
      <c r="E5449" s="28" t="s">
        <v>77</v>
      </c>
      <c r="F5449" s="28" t="s">
        <v>77</v>
      </c>
      <c r="G5449" s="28" t="s">
        <v>77</v>
      </c>
      <c r="I5449" s="26" t="s">
        <v>77</v>
      </c>
      <c r="J5449" s="26" t="s">
        <v>77</v>
      </c>
      <c r="K5449" s="18"/>
      <c r="L5449" s="26" t="s">
        <v>77</v>
      </c>
      <c r="M5449" s="6" t="s">
        <v>77</v>
      </c>
      <c r="N5449" s="28" t="s">
        <v>77</v>
      </c>
      <c r="O5449" s="26" t="s">
        <v>77</v>
      </c>
    </row>
    <row r="5450">
      <c r="A5450" s="52" t="s">
        <v>77</v>
      </c>
      <c r="B5450" s="28" t="s">
        <v>77</v>
      </c>
      <c r="C5450" s="28" t="s">
        <v>77</v>
      </c>
      <c r="D5450" s="28" t="s">
        <v>77</v>
      </c>
      <c r="E5450" s="28" t="s">
        <v>77</v>
      </c>
      <c r="F5450" s="28" t="s">
        <v>77</v>
      </c>
      <c r="G5450" s="28" t="s">
        <v>77</v>
      </c>
      <c r="I5450" s="26" t="s">
        <v>77</v>
      </c>
      <c r="J5450" s="26" t="s">
        <v>77</v>
      </c>
      <c r="K5450" s="18"/>
      <c r="L5450" s="26" t="s">
        <v>77</v>
      </c>
      <c r="M5450" s="6" t="s">
        <v>77</v>
      </c>
      <c r="N5450" s="28" t="s">
        <v>77</v>
      </c>
      <c r="O5450" s="26" t="s">
        <v>77</v>
      </c>
    </row>
    <row r="5451">
      <c r="A5451" s="52" t="s">
        <v>77</v>
      </c>
      <c r="B5451" s="28" t="s">
        <v>77</v>
      </c>
      <c r="C5451" s="28" t="s">
        <v>77</v>
      </c>
      <c r="D5451" s="28" t="s">
        <v>77</v>
      </c>
      <c r="E5451" s="28" t="s">
        <v>77</v>
      </c>
      <c r="F5451" s="28" t="s">
        <v>77</v>
      </c>
      <c r="G5451" s="28" t="s">
        <v>77</v>
      </c>
      <c r="I5451" s="26" t="s">
        <v>77</v>
      </c>
      <c r="J5451" s="26" t="s">
        <v>77</v>
      </c>
      <c r="K5451" s="18"/>
      <c r="L5451" s="26" t="s">
        <v>77</v>
      </c>
      <c r="M5451" s="6" t="s">
        <v>77</v>
      </c>
      <c r="N5451" s="28" t="s">
        <v>77</v>
      </c>
      <c r="O5451" s="26" t="s">
        <v>77</v>
      </c>
    </row>
    <row r="5452">
      <c r="A5452" s="52" t="s">
        <v>77</v>
      </c>
      <c r="B5452" s="28" t="s">
        <v>77</v>
      </c>
      <c r="C5452" s="28" t="s">
        <v>77</v>
      </c>
      <c r="D5452" s="28" t="s">
        <v>77</v>
      </c>
      <c r="E5452" s="28" t="s">
        <v>77</v>
      </c>
      <c r="F5452" s="28" t="s">
        <v>77</v>
      </c>
      <c r="G5452" s="28" t="s">
        <v>77</v>
      </c>
      <c r="I5452" s="26" t="s">
        <v>77</v>
      </c>
      <c r="J5452" s="26" t="s">
        <v>77</v>
      </c>
      <c r="K5452" s="18"/>
      <c r="L5452" s="26" t="s">
        <v>77</v>
      </c>
      <c r="M5452" s="6" t="s">
        <v>77</v>
      </c>
      <c r="N5452" s="28" t="s">
        <v>77</v>
      </c>
      <c r="O5452" s="26" t="s">
        <v>77</v>
      </c>
    </row>
    <row r="5453">
      <c r="A5453" s="52" t="s">
        <v>77</v>
      </c>
      <c r="B5453" s="28" t="s">
        <v>77</v>
      </c>
      <c r="C5453" s="28" t="s">
        <v>77</v>
      </c>
      <c r="D5453" s="28" t="s">
        <v>77</v>
      </c>
      <c r="E5453" s="28" t="s">
        <v>77</v>
      </c>
      <c r="F5453" s="28" t="s">
        <v>77</v>
      </c>
      <c r="G5453" s="28" t="s">
        <v>77</v>
      </c>
      <c r="I5453" s="26" t="s">
        <v>77</v>
      </c>
      <c r="J5453" s="26" t="s">
        <v>77</v>
      </c>
      <c r="K5453" s="18"/>
      <c r="L5453" s="26" t="s">
        <v>77</v>
      </c>
      <c r="M5453" s="6" t="s">
        <v>77</v>
      </c>
      <c r="N5453" s="28" t="s">
        <v>77</v>
      </c>
      <c r="O5453" s="26" t="s">
        <v>77</v>
      </c>
    </row>
    <row r="5454">
      <c r="A5454" s="52" t="s">
        <v>77</v>
      </c>
      <c r="B5454" s="28" t="s">
        <v>77</v>
      </c>
      <c r="C5454" s="28" t="s">
        <v>77</v>
      </c>
      <c r="D5454" s="28" t="s">
        <v>77</v>
      </c>
      <c r="E5454" s="28" t="s">
        <v>77</v>
      </c>
      <c r="F5454" s="28" t="s">
        <v>77</v>
      </c>
      <c r="G5454" s="28" t="s">
        <v>77</v>
      </c>
      <c r="I5454" s="26" t="s">
        <v>77</v>
      </c>
      <c r="J5454" s="26" t="s">
        <v>77</v>
      </c>
      <c r="K5454" s="18"/>
      <c r="L5454" s="26" t="s">
        <v>77</v>
      </c>
      <c r="M5454" s="6" t="s">
        <v>77</v>
      </c>
      <c r="N5454" s="28" t="s">
        <v>77</v>
      </c>
      <c r="O5454" s="26" t="s">
        <v>77</v>
      </c>
    </row>
    <row r="5455">
      <c r="A5455" s="52" t="s">
        <v>77</v>
      </c>
      <c r="B5455" s="28" t="s">
        <v>77</v>
      </c>
      <c r="C5455" s="28" t="s">
        <v>77</v>
      </c>
      <c r="D5455" s="28" t="s">
        <v>77</v>
      </c>
      <c r="E5455" s="28" t="s">
        <v>77</v>
      </c>
      <c r="F5455" s="28" t="s">
        <v>77</v>
      </c>
      <c r="G5455" s="28" t="s">
        <v>77</v>
      </c>
      <c r="I5455" s="26" t="s">
        <v>77</v>
      </c>
      <c r="J5455" s="26" t="s">
        <v>77</v>
      </c>
      <c r="K5455" s="18"/>
      <c r="L5455" s="26" t="s">
        <v>77</v>
      </c>
      <c r="M5455" s="6" t="s">
        <v>77</v>
      </c>
      <c r="N5455" s="28" t="s">
        <v>77</v>
      </c>
      <c r="O5455" s="26" t="s">
        <v>77</v>
      </c>
    </row>
    <row r="5456">
      <c r="A5456" s="52" t="s">
        <v>77</v>
      </c>
      <c r="B5456" s="28" t="s">
        <v>77</v>
      </c>
      <c r="C5456" s="28" t="s">
        <v>77</v>
      </c>
      <c r="D5456" s="28" t="s">
        <v>77</v>
      </c>
      <c r="E5456" s="28" t="s">
        <v>77</v>
      </c>
      <c r="F5456" s="28" t="s">
        <v>77</v>
      </c>
      <c r="G5456" s="28" t="s">
        <v>77</v>
      </c>
      <c r="I5456" s="26" t="s">
        <v>77</v>
      </c>
      <c r="J5456" s="26" t="s">
        <v>77</v>
      </c>
      <c r="K5456" s="18"/>
      <c r="L5456" s="26" t="s">
        <v>77</v>
      </c>
      <c r="M5456" s="6" t="s">
        <v>77</v>
      </c>
      <c r="N5456" s="28" t="s">
        <v>77</v>
      </c>
      <c r="O5456" s="26" t="s">
        <v>77</v>
      </c>
    </row>
    <row r="5457">
      <c r="A5457" s="52" t="s">
        <v>77</v>
      </c>
      <c r="B5457" s="28" t="s">
        <v>77</v>
      </c>
      <c r="C5457" s="28" t="s">
        <v>77</v>
      </c>
      <c r="D5457" s="28" t="s">
        <v>77</v>
      </c>
      <c r="E5457" s="28" t="s">
        <v>77</v>
      </c>
      <c r="F5457" s="28" t="s">
        <v>77</v>
      </c>
      <c r="G5457" s="28" t="s">
        <v>77</v>
      </c>
      <c r="I5457" s="26" t="s">
        <v>77</v>
      </c>
      <c r="J5457" s="26" t="s">
        <v>77</v>
      </c>
      <c r="K5457" s="18"/>
      <c r="L5457" s="26" t="s">
        <v>77</v>
      </c>
      <c r="M5457" s="6" t="s">
        <v>77</v>
      </c>
      <c r="N5457" s="28" t="s">
        <v>77</v>
      </c>
      <c r="O5457" s="26" t="s">
        <v>77</v>
      </c>
    </row>
    <row r="5458">
      <c r="A5458" s="52" t="s">
        <v>77</v>
      </c>
      <c r="B5458" s="28" t="s">
        <v>77</v>
      </c>
      <c r="C5458" s="28" t="s">
        <v>77</v>
      </c>
      <c r="D5458" s="28" t="s">
        <v>77</v>
      </c>
      <c r="E5458" s="28" t="s">
        <v>77</v>
      </c>
      <c r="F5458" s="28" t="s">
        <v>77</v>
      </c>
      <c r="G5458" s="28" t="s">
        <v>77</v>
      </c>
      <c r="I5458" s="26" t="s">
        <v>77</v>
      </c>
      <c r="J5458" s="26" t="s">
        <v>77</v>
      </c>
      <c r="K5458" s="18"/>
      <c r="L5458" s="26" t="s">
        <v>77</v>
      </c>
      <c r="M5458" s="6" t="s">
        <v>77</v>
      </c>
      <c r="N5458" s="28" t="s">
        <v>77</v>
      </c>
      <c r="O5458" s="26" t="s">
        <v>77</v>
      </c>
    </row>
    <row r="5459">
      <c r="A5459" s="52" t="s">
        <v>77</v>
      </c>
      <c r="B5459" s="28" t="s">
        <v>77</v>
      </c>
      <c r="C5459" s="28" t="s">
        <v>77</v>
      </c>
      <c r="D5459" s="28" t="s">
        <v>77</v>
      </c>
      <c r="E5459" s="28" t="s">
        <v>77</v>
      </c>
      <c r="F5459" s="28" t="s">
        <v>77</v>
      </c>
      <c r="G5459" s="28" t="s">
        <v>77</v>
      </c>
      <c r="I5459" s="26" t="s">
        <v>77</v>
      </c>
      <c r="J5459" s="26" t="s">
        <v>77</v>
      </c>
      <c r="K5459" s="18"/>
      <c r="L5459" s="26" t="s">
        <v>77</v>
      </c>
      <c r="M5459" s="6" t="s">
        <v>77</v>
      </c>
      <c r="N5459" s="28" t="s">
        <v>77</v>
      </c>
      <c r="O5459" s="26" t="s">
        <v>77</v>
      </c>
    </row>
    <row r="5460">
      <c r="A5460" s="52" t="s">
        <v>77</v>
      </c>
      <c r="B5460" s="28" t="s">
        <v>77</v>
      </c>
      <c r="C5460" s="28" t="s">
        <v>77</v>
      </c>
      <c r="D5460" s="28" t="s">
        <v>77</v>
      </c>
      <c r="E5460" s="28" t="s">
        <v>77</v>
      </c>
      <c r="F5460" s="28" t="s">
        <v>77</v>
      </c>
      <c r="G5460" s="28" t="s">
        <v>77</v>
      </c>
      <c r="I5460" s="26" t="s">
        <v>77</v>
      </c>
      <c r="J5460" s="26" t="s">
        <v>77</v>
      </c>
      <c r="K5460" s="18"/>
      <c r="L5460" s="26" t="s">
        <v>77</v>
      </c>
      <c r="M5460" s="6" t="s">
        <v>77</v>
      </c>
      <c r="N5460" s="28" t="s">
        <v>77</v>
      </c>
      <c r="O5460" s="26" t="s">
        <v>77</v>
      </c>
    </row>
    <row r="5461">
      <c r="A5461" s="52" t="s">
        <v>77</v>
      </c>
      <c r="B5461" s="28" t="s">
        <v>77</v>
      </c>
      <c r="C5461" s="28" t="s">
        <v>77</v>
      </c>
      <c r="D5461" s="28" t="s">
        <v>77</v>
      </c>
      <c r="E5461" s="28" t="s">
        <v>77</v>
      </c>
      <c r="F5461" s="28" t="s">
        <v>77</v>
      </c>
      <c r="G5461" s="28" t="s">
        <v>77</v>
      </c>
      <c r="I5461" s="26" t="s">
        <v>77</v>
      </c>
      <c r="J5461" s="26" t="s">
        <v>77</v>
      </c>
      <c r="K5461" s="18"/>
      <c r="L5461" s="26" t="s">
        <v>77</v>
      </c>
      <c r="M5461" s="6" t="s">
        <v>77</v>
      </c>
      <c r="N5461" s="28" t="s">
        <v>77</v>
      </c>
      <c r="O5461" s="26" t="s">
        <v>77</v>
      </c>
    </row>
    <row r="5462">
      <c r="A5462" s="52" t="s">
        <v>77</v>
      </c>
      <c r="B5462" s="28" t="s">
        <v>77</v>
      </c>
      <c r="C5462" s="28" t="s">
        <v>77</v>
      </c>
      <c r="D5462" s="28" t="s">
        <v>77</v>
      </c>
      <c r="E5462" s="28" t="s">
        <v>77</v>
      </c>
      <c r="F5462" s="28" t="s">
        <v>77</v>
      </c>
      <c r="G5462" s="28" t="s">
        <v>77</v>
      </c>
      <c r="I5462" s="26" t="s">
        <v>77</v>
      </c>
      <c r="J5462" s="26" t="s">
        <v>77</v>
      </c>
      <c r="K5462" s="18"/>
      <c r="L5462" s="26" t="s">
        <v>77</v>
      </c>
      <c r="M5462" s="6" t="s">
        <v>77</v>
      </c>
      <c r="N5462" s="28" t="s">
        <v>77</v>
      </c>
      <c r="O5462" s="26" t="s">
        <v>77</v>
      </c>
    </row>
    <row r="5463">
      <c r="A5463" s="52" t="s">
        <v>77</v>
      </c>
      <c r="B5463" s="28" t="s">
        <v>77</v>
      </c>
      <c r="C5463" s="28" t="s">
        <v>77</v>
      </c>
      <c r="D5463" s="28" t="s">
        <v>77</v>
      </c>
      <c r="E5463" s="28" t="s">
        <v>77</v>
      </c>
      <c r="F5463" s="28" t="s">
        <v>77</v>
      </c>
      <c r="G5463" s="28" t="s">
        <v>77</v>
      </c>
      <c r="I5463" s="26" t="s">
        <v>77</v>
      </c>
      <c r="J5463" s="26" t="s">
        <v>77</v>
      </c>
      <c r="K5463" s="18"/>
      <c r="L5463" s="26" t="s">
        <v>77</v>
      </c>
      <c r="M5463" s="6" t="s">
        <v>77</v>
      </c>
      <c r="N5463" s="28" t="s">
        <v>77</v>
      </c>
      <c r="O5463" s="26" t="s">
        <v>77</v>
      </c>
    </row>
    <row r="5464">
      <c r="A5464" s="52" t="s">
        <v>77</v>
      </c>
      <c r="B5464" s="28" t="s">
        <v>77</v>
      </c>
      <c r="C5464" s="28" t="s">
        <v>77</v>
      </c>
      <c r="D5464" s="28" t="s">
        <v>77</v>
      </c>
      <c r="E5464" s="28" t="s">
        <v>77</v>
      </c>
      <c r="F5464" s="28" t="s">
        <v>77</v>
      </c>
      <c r="G5464" s="28" t="s">
        <v>77</v>
      </c>
      <c r="I5464" s="26" t="s">
        <v>77</v>
      </c>
      <c r="J5464" s="26" t="s">
        <v>77</v>
      </c>
      <c r="K5464" s="18"/>
      <c r="L5464" s="26" t="s">
        <v>77</v>
      </c>
      <c r="M5464" s="6" t="s">
        <v>77</v>
      </c>
      <c r="N5464" s="28" t="s">
        <v>77</v>
      </c>
      <c r="O5464" s="26" t="s">
        <v>77</v>
      </c>
    </row>
    <row r="5465">
      <c r="A5465" s="52" t="s">
        <v>77</v>
      </c>
      <c r="B5465" s="28" t="s">
        <v>77</v>
      </c>
      <c r="C5465" s="28" t="s">
        <v>77</v>
      </c>
      <c r="D5465" s="28" t="s">
        <v>77</v>
      </c>
      <c r="E5465" s="28" t="s">
        <v>77</v>
      </c>
      <c r="F5465" s="28" t="s">
        <v>77</v>
      </c>
      <c r="G5465" s="28" t="s">
        <v>77</v>
      </c>
      <c r="I5465" s="26" t="s">
        <v>77</v>
      </c>
      <c r="J5465" s="26" t="s">
        <v>77</v>
      </c>
      <c r="K5465" s="18"/>
      <c r="L5465" s="26" t="s">
        <v>77</v>
      </c>
      <c r="M5465" s="6" t="s">
        <v>77</v>
      </c>
      <c r="N5465" s="28" t="s">
        <v>77</v>
      </c>
      <c r="O5465" s="26" t="s">
        <v>77</v>
      </c>
    </row>
    <row r="5466">
      <c r="A5466" s="52" t="s">
        <v>77</v>
      </c>
      <c r="B5466" s="28" t="s">
        <v>77</v>
      </c>
      <c r="C5466" s="28" t="s">
        <v>77</v>
      </c>
      <c r="D5466" s="28" t="s">
        <v>77</v>
      </c>
      <c r="E5466" s="28" t="s">
        <v>77</v>
      </c>
      <c r="F5466" s="28" t="s">
        <v>77</v>
      </c>
      <c r="G5466" s="28" t="s">
        <v>77</v>
      </c>
      <c r="I5466" s="26" t="s">
        <v>77</v>
      </c>
      <c r="J5466" s="26" t="s">
        <v>77</v>
      </c>
      <c r="K5466" s="18"/>
      <c r="L5466" s="26" t="s">
        <v>77</v>
      </c>
      <c r="M5466" s="6" t="s">
        <v>77</v>
      </c>
      <c r="N5466" s="28" t="s">
        <v>77</v>
      </c>
      <c r="O5466" s="26" t="s">
        <v>77</v>
      </c>
    </row>
    <row r="5467">
      <c r="A5467" s="52" t="s">
        <v>77</v>
      </c>
      <c r="B5467" s="28" t="s">
        <v>77</v>
      </c>
      <c r="C5467" s="28" t="s">
        <v>77</v>
      </c>
      <c r="D5467" s="28" t="s">
        <v>77</v>
      </c>
      <c r="E5467" s="28" t="s">
        <v>77</v>
      </c>
      <c r="F5467" s="28" t="s">
        <v>77</v>
      </c>
      <c r="G5467" s="28" t="s">
        <v>77</v>
      </c>
      <c r="I5467" s="26" t="s">
        <v>77</v>
      </c>
      <c r="J5467" s="26" t="s">
        <v>77</v>
      </c>
      <c r="K5467" s="18"/>
      <c r="L5467" s="26" t="s">
        <v>77</v>
      </c>
      <c r="M5467" s="6" t="s">
        <v>77</v>
      </c>
      <c r="N5467" s="28" t="s">
        <v>77</v>
      </c>
      <c r="O5467" s="26" t="s">
        <v>77</v>
      </c>
    </row>
    <row r="5468">
      <c r="A5468" s="52" t="s">
        <v>77</v>
      </c>
      <c r="B5468" s="28" t="s">
        <v>77</v>
      </c>
      <c r="C5468" s="28" t="s">
        <v>77</v>
      </c>
      <c r="D5468" s="28" t="s">
        <v>77</v>
      </c>
      <c r="E5468" s="28" t="s">
        <v>77</v>
      </c>
      <c r="F5468" s="28" t="s">
        <v>77</v>
      </c>
      <c r="G5468" s="28" t="s">
        <v>77</v>
      </c>
      <c r="I5468" s="26" t="s">
        <v>77</v>
      </c>
      <c r="J5468" s="26" t="s">
        <v>77</v>
      </c>
      <c r="K5468" s="18"/>
      <c r="L5468" s="26" t="s">
        <v>77</v>
      </c>
      <c r="M5468" s="6" t="s">
        <v>77</v>
      </c>
      <c r="N5468" s="28" t="s">
        <v>77</v>
      </c>
      <c r="O5468" s="26" t="s">
        <v>77</v>
      </c>
    </row>
    <row r="5469">
      <c r="A5469" s="52" t="s">
        <v>77</v>
      </c>
      <c r="B5469" s="28" t="s">
        <v>77</v>
      </c>
      <c r="C5469" s="28" t="s">
        <v>77</v>
      </c>
      <c r="D5469" s="28" t="s">
        <v>77</v>
      </c>
      <c r="E5469" s="28" t="s">
        <v>77</v>
      </c>
      <c r="F5469" s="28" t="s">
        <v>77</v>
      </c>
      <c r="G5469" s="28" t="s">
        <v>77</v>
      </c>
      <c r="I5469" s="26" t="s">
        <v>77</v>
      </c>
      <c r="J5469" s="26" t="s">
        <v>77</v>
      </c>
      <c r="K5469" s="18"/>
      <c r="L5469" s="26" t="s">
        <v>77</v>
      </c>
      <c r="M5469" s="6" t="s">
        <v>77</v>
      </c>
      <c r="N5469" s="28" t="s">
        <v>77</v>
      </c>
      <c r="O5469" s="26" t="s">
        <v>77</v>
      </c>
    </row>
    <row r="5470">
      <c r="A5470" s="52" t="s">
        <v>77</v>
      </c>
      <c r="B5470" s="28" t="s">
        <v>77</v>
      </c>
      <c r="C5470" s="28" t="s">
        <v>77</v>
      </c>
      <c r="D5470" s="28" t="s">
        <v>77</v>
      </c>
      <c r="E5470" s="28" t="s">
        <v>77</v>
      </c>
      <c r="F5470" s="28" t="s">
        <v>77</v>
      </c>
      <c r="G5470" s="28" t="s">
        <v>77</v>
      </c>
      <c r="I5470" s="26" t="s">
        <v>77</v>
      </c>
      <c r="J5470" s="26" t="s">
        <v>77</v>
      </c>
      <c r="K5470" s="18"/>
      <c r="L5470" s="26" t="s">
        <v>77</v>
      </c>
      <c r="M5470" s="6" t="s">
        <v>77</v>
      </c>
      <c r="N5470" s="28" t="s">
        <v>77</v>
      </c>
      <c r="O5470" s="26" t="s">
        <v>77</v>
      </c>
    </row>
    <row r="5471">
      <c r="A5471" s="52" t="s">
        <v>77</v>
      </c>
      <c r="B5471" s="28" t="s">
        <v>77</v>
      </c>
      <c r="C5471" s="28" t="s">
        <v>77</v>
      </c>
      <c r="D5471" s="28" t="s">
        <v>77</v>
      </c>
      <c r="E5471" s="28" t="s">
        <v>77</v>
      </c>
      <c r="F5471" s="28" t="s">
        <v>77</v>
      </c>
      <c r="G5471" s="28" t="s">
        <v>77</v>
      </c>
      <c r="I5471" s="26" t="s">
        <v>77</v>
      </c>
      <c r="J5471" s="26" t="s">
        <v>77</v>
      </c>
      <c r="K5471" s="18"/>
      <c r="L5471" s="26" t="s">
        <v>77</v>
      </c>
      <c r="M5471" s="6" t="s">
        <v>77</v>
      </c>
      <c r="N5471" s="28" t="s">
        <v>77</v>
      </c>
      <c r="O5471" s="26" t="s">
        <v>77</v>
      </c>
    </row>
    <row r="5472">
      <c r="A5472" s="52" t="s">
        <v>77</v>
      </c>
      <c r="B5472" s="28" t="s">
        <v>77</v>
      </c>
      <c r="C5472" s="28" t="s">
        <v>77</v>
      </c>
      <c r="D5472" s="28" t="s">
        <v>77</v>
      </c>
      <c r="E5472" s="28" t="s">
        <v>77</v>
      </c>
      <c r="F5472" s="28" t="s">
        <v>77</v>
      </c>
      <c r="G5472" s="28" t="s">
        <v>77</v>
      </c>
      <c r="I5472" s="26" t="s">
        <v>77</v>
      </c>
      <c r="J5472" s="26" t="s">
        <v>77</v>
      </c>
      <c r="K5472" s="18"/>
      <c r="L5472" s="26" t="s">
        <v>77</v>
      </c>
      <c r="M5472" s="6" t="s">
        <v>77</v>
      </c>
      <c r="N5472" s="28" t="s">
        <v>77</v>
      </c>
      <c r="O5472" s="26" t="s">
        <v>77</v>
      </c>
    </row>
    <row r="5473">
      <c r="A5473" s="52" t="s">
        <v>77</v>
      </c>
      <c r="B5473" s="28" t="s">
        <v>77</v>
      </c>
      <c r="C5473" s="28" t="s">
        <v>77</v>
      </c>
      <c r="D5473" s="28" t="s">
        <v>77</v>
      </c>
      <c r="E5473" s="28" t="s">
        <v>77</v>
      </c>
      <c r="F5473" s="28" t="s">
        <v>77</v>
      </c>
      <c r="G5473" s="28" t="s">
        <v>77</v>
      </c>
      <c r="I5473" s="26" t="s">
        <v>77</v>
      </c>
      <c r="J5473" s="26" t="s">
        <v>77</v>
      </c>
      <c r="K5473" s="18"/>
      <c r="L5473" s="26" t="s">
        <v>77</v>
      </c>
      <c r="M5473" s="6" t="s">
        <v>77</v>
      </c>
      <c r="N5473" s="28" t="s">
        <v>77</v>
      </c>
      <c r="O5473" s="26" t="s">
        <v>77</v>
      </c>
    </row>
    <row r="5474">
      <c r="A5474" s="52" t="s">
        <v>77</v>
      </c>
      <c r="B5474" s="28" t="s">
        <v>77</v>
      </c>
      <c r="C5474" s="28" t="s">
        <v>77</v>
      </c>
      <c r="D5474" s="28" t="s">
        <v>77</v>
      </c>
      <c r="E5474" s="28" t="s">
        <v>77</v>
      </c>
      <c r="F5474" s="28" t="s">
        <v>77</v>
      </c>
      <c r="G5474" s="28" t="s">
        <v>77</v>
      </c>
      <c r="I5474" s="26" t="s">
        <v>77</v>
      </c>
      <c r="J5474" s="26" t="s">
        <v>77</v>
      </c>
      <c r="K5474" s="18"/>
      <c r="L5474" s="26" t="s">
        <v>77</v>
      </c>
      <c r="M5474" s="6" t="s">
        <v>77</v>
      </c>
      <c r="N5474" s="28" t="s">
        <v>77</v>
      </c>
      <c r="O5474" s="26" t="s">
        <v>77</v>
      </c>
    </row>
    <row r="5475">
      <c r="A5475" s="52" t="s">
        <v>77</v>
      </c>
      <c r="B5475" s="28" t="s">
        <v>77</v>
      </c>
      <c r="C5475" s="28" t="s">
        <v>77</v>
      </c>
      <c r="D5475" s="28" t="s">
        <v>77</v>
      </c>
      <c r="E5475" s="28" t="s">
        <v>77</v>
      </c>
      <c r="F5475" s="28" t="s">
        <v>77</v>
      </c>
      <c r="G5475" s="28" t="s">
        <v>77</v>
      </c>
      <c r="I5475" s="26" t="s">
        <v>77</v>
      </c>
      <c r="J5475" s="26" t="s">
        <v>77</v>
      </c>
      <c r="K5475" s="18"/>
      <c r="L5475" s="26" t="s">
        <v>77</v>
      </c>
      <c r="M5475" s="6" t="s">
        <v>77</v>
      </c>
      <c r="N5475" s="28" t="s">
        <v>77</v>
      </c>
      <c r="O5475" s="26" t="s">
        <v>77</v>
      </c>
    </row>
    <row r="5476">
      <c r="A5476" s="52" t="s">
        <v>77</v>
      </c>
      <c r="B5476" s="28" t="s">
        <v>77</v>
      </c>
      <c r="C5476" s="28" t="s">
        <v>77</v>
      </c>
      <c r="D5476" s="28" t="s">
        <v>77</v>
      </c>
      <c r="E5476" s="28" t="s">
        <v>77</v>
      </c>
      <c r="F5476" s="28" t="s">
        <v>77</v>
      </c>
      <c r="G5476" s="28" t="s">
        <v>77</v>
      </c>
      <c r="I5476" s="26" t="s">
        <v>77</v>
      </c>
      <c r="J5476" s="26" t="s">
        <v>77</v>
      </c>
      <c r="K5476" s="18"/>
      <c r="L5476" s="26" t="s">
        <v>77</v>
      </c>
      <c r="M5476" s="6" t="s">
        <v>77</v>
      </c>
      <c r="N5476" s="28" t="s">
        <v>77</v>
      </c>
      <c r="O5476" s="26" t="s">
        <v>77</v>
      </c>
    </row>
    <row r="5477">
      <c r="A5477" s="52" t="s">
        <v>77</v>
      </c>
      <c r="B5477" s="28" t="s">
        <v>77</v>
      </c>
      <c r="C5477" s="28" t="s">
        <v>77</v>
      </c>
      <c r="D5477" s="28" t="s">
        <v>77</v>
      </c>
      <c r="E5477" s="28" t="s">
        <v>77</v>
      </c>
      <c r="F5477" s="28" t="s">
        <v>77</v>
      </c>
      <c r="G5477" s="28" t="s">
        <v>77</v>
      </c>
      <c r="I5477" s="26" t="s">
        <v>77</v>
      </c>
      <c r="J5477" s="26" t="s">
        <v>77</v>
      </c>
      <c r="K5477" s="18"/>
      <c r="L5477" s="26" t="s">
        <v>77</v>
      </c>
      <c r="M5477" s="6" t="s">
        <v>77</v>
      </c>
      <c r="N5477" s="28" t="s">
        <v>77</v>
      </c>
      <c r="O5477" s="26" t="s">
        <v>77</v>
      </c>
    </row>
    <row r="5478">
      <c r="A5478" s="52" t="s">
        <v>77</v>
      </c>
      <c r="B5478" s="28" t="s">
        <v>77</v>
      </c>
      <c r="C5478" s="28" t="s">
        <v>77</v>
      </c>
      <c r="D5478" s="28" t="s">
        <v>77</v>
      </c>
      <c r="E5478" s="28" t="s">
        <v>77</v>
      </c>
      <c r="F5478" s="28" t="s">
        <v>77</v>
      </c>
      <c r="G5478" s="28" t="s">
        <v>77</v>
      </c>
      <c r="I5478" s="26" t="s">
        <v>77</v>
      </c>
      <c r="J5478" s="26" t="s">
        <v>77</v>
      </c>
      <c r="K5478" s="18"/>
      <c r="L5478" s="26" t="s">
        <v>77</v>
      </c>
      <c r="M5478" s="6" t="s">
        <v>77</v>
      </c>
      <c r="N5478" s="28" t="s">
        <v>77</v>
      </c>
      <c r="O5478" s="26" t="s">
        <v>77</v>
      </c>
    </row>
    <row r="5479">
      <c r="A5479" s="52" t="s">
        <v>77</v>
      </c>
      <c r="B5479" s="28" t="s">
        <v>77</v>
      </c>
      <c r="C5479" s="28" t="s">
        <v>77</v>
      </c>
      <c r="D5479" s="28" t="s">
        <v>77</v>
      </c>
      <c r="E5479" s="28" t="s">
        <v>77</v>
      </c>
      <c r="F5479" s="28" t="s">
        <v>77</v>
      </c>
      <c r="G5479" s="28" t="s">
        <v>77</v>
      </c>
      <c r="I5479" s="26" t="s">
        <v>77</v>
      </c>
      <c r="J5479" s="26" t="s">
        <v>77</v>
      </c>
      <c r="K5479" s="18"/>
      <c r="L5479" s="26" t="s">
        <v>77</v>
      </c>
      <c r="M5479" s="6" t="s">
        <v>77</v>
      </c>
      <c r="N5479" s="28" t="s">
        <v>77</v>
      </c>
      <c r="O5479" s="26" t="s">
        <v>77</v>
      </c>
    </row>
    <row r="5480">
      <c r="A5480" s="52" t="s">
        <v>77</v>
      </c>
      <c r="B5480" s="28" t="s">
        <v>77</v>
      </c>
      <c r="C5480" s="28" t="s">
        <v>77</v>
      </c>
      <c r="D5480" s="28" t="s">
        <v>77</v>
      </c>
      <c r="E5480" s="28" t="s">
        <v>77</v>
      </c>
      <c r="F5480" s="28" t="s">
        <v>77</v>
      </c>
      <c r="G5480" s="28" t="s">
        <v>77</v>
      </c>
      <c r="I5480" s="26" t="s">
        <v>77</v>
      </c>
      <c r="J5480" s="26" t="s">
        <v>77</v>
      </c>
      <c r="K5480" s="18"/>
      <c r="L5480" s="26" t="s">
        <v>77</v>
      </c>
      <c r="M5480" s="6" t="s">
        <v>77</v>
      </c>
      <c r="N5480" s="28" t="s">
        <v>77</v>
      </c>
      <c r="O5480" s="26" t="s">
        <v>77</v>
      </c>
    </row>
    <row r="5481">
      <c r="A5481" s="52" t="s">
        <v>77</v>
      </c>
      <c r="B5481" s="28" t="s">
        <v>77</v>
      </c>
      <c r="C5481" s="28" t="s">
        <v>77</v>
      </c>
      <c r="D5481" s="28" t="s">
        <v>77</v>
      </c>
      <c r="E5481" s="28" t="s">
        <v>77</v>
      </c>
      <c r="F5481" s="28" t="s">
        <v>77</v>
      </c>
      <c r="G5481" s="28" t="s">
        <v>77</v>
      </c>
      <c r="I5481" s="26" t="s">
        <v>77</v>
      </c>
      <c r="J5481" s="26" t="s">
        <v>77</v>
      </c>
      <c r="K5481" s="18"/>
      <c r="L5481" s="26" t="s">
        <v>77</v>
      </c>
      <c r="M5481" s="6" t="s">
        <v>77</v>
      </c>
      <c r="N5481" s="28" t="s">
        <v>77</v>
      </c>
      <c r="O5481" s="26" t="s">
        <v>77</v>
      </c>
    </row>
    <row r="5482">
      <c r="A5482" s="52" t="s">
        <v>77</v>
      </c>
      <c r="B5482" s="28" t="s">
        <v>77</v>
      </c>
      <c r="C5482" s="28" t="s">
        <v>77</v>
      </c>
      <c r="D5482" s="28" t="s">
        <v>77</v>
      </c>
      <c r="E5482" s="28" t="s">
        <v>77</v>
      </c>
      <c r="F5482" s="28" t="s">
        <v>77</v>
      </c>
      <c r="G5482" s="28" t="s">
        <v>77</v>
      </c>
      <c r="I5482" s="26" t="s">
        <v>77</v>
      </c>
      <c r="J5482" s="26" t="s">
        <v>77</v>
      </c>
      <c r="K5482" s="18"/>
      <c r="L5482" s="26" t="s">
        <v>77</v>
      </c>
      <c r="M5482" s="6" t="s">
        <v>77</v>
      </c>
      <c r="N5482" s="28" t="s">
        <v>77</v>
      </c>
      <c r="O5482" s="26" t="s">
        <v>77</v>
      </c>
    </row>
    <row r="5483">
      <c r="A5483" s="52" t="s">
        <v>77</v>
      </c>
      <c r="B5483" s="28" t="s">
        <v>77</v>
      </c>
      <c r="C5483" s="28" t="s">
        <v>77</v>
      </c>
      <c r="D5483" s="28" t="s">
        <v>77</v>
      </c>
      <c r="E5483" s="28" t="s">
        <v>77</v>
      </c>
      <c r="F5483" s="28" t="s">
        <v>77</v>
      </c>
      <c r="G5483" s="28" t="s">
        <v>77</v>
      </c>
      <c r="I5483" s="26" t="s">
        <v>77</v>
      </c>
      <c r="J5483" s="26" t="s">
        <v>77</v>
      </c>
      <c r="K5483" s="18"/>
      <c r="L5483" s="26" t="s">
        <v>77</v>
      </c>
      <c r="M5483" s="6" t="s">
        <v>77</v>
      </c>
      <c r="N5483" s="28" t="s">
        <v>77</v>
      </c>
      <c r="O5483" s="26" t="s">
        <v>77</v>
      </c>
    </row>
    <row r="5484">
      <c r="A5484" s="52" t="s">
        <v>77</v>
      </c>
      <c r="B5484" s="28" t="s">
        <v>77</v>
      </c>
      <c r="C5484" s="28" t="s">
        <v>77</v>
      </c>
      <c r="D5484" s="28" t="s">
        <v>77</v>
      </c>
      <c r="E5484" s="28" t="s">
        <v>77</v>
      </c>
      <c r="F5484" s="28" t="s">
        <v>77</v>
      </c>
      <c r="G5484" s="28" t="s">
        <v>77</v>
      </c>
      <c r="I5484" s="26" t="s">
        <v>77</v>
      </c>
      <c r="J5484" s="26" t="s">
        <v>77</v>
      </c>
      <c r="K5484" s="18"/>
      <c r="L5484" s="26" t="s">
        <v>77</v>
      </c>
      <c r="M5484" s="6" t="s">
        <v>77</v>
      </c>
      <c r="N5484" s="28" t="s">
        <v>77</v>
      </c>
      <c r="O5484" s="26" t="s">
        <v>77</v>
      </c>
    </row>
    <row r="5485">
      <c r="A5485" s="52" t="s">
        <v>77</v>
      </c>
      <c r="B5485" s="28" t="s">
        <v>77</v>
      </c>
      <c r="C5485" s="28" t="s">
        <v>77</v>
      </c>
      <c r="D5485" s="28" t="s">
        <v>77</v>
      </c>
      <c r="E5485" s="28" t="s">
        <v>77</v>
      </c>
      <c r="F5485" s="28" t="s">
        <v>77</v>
      </c>
      <c r="G5485" s="28" t="s">
        <v>77</v>
      </c>
      <c r="I5485" s="26" t="s">
        <v>77</v>
      </c>
      <c r="J5485" s="26" t="s">
        <v>77</v>
      </c>
      <c r="K5485" s="18"/>
      <c r="L5485" s="26" t="s">
        <v>77</v>
      </c>
      <c r="M5485" s="6" t="s">
        <v>77</v>
      </c>
      <c r="N5485" s="28" t="s">
        <v>77</v>
      </c>
      <c r="O5485" s="26" t="s">
        <v>77</v>
      </c>
    </row>
    <row r="5486">
      <c r="A5486" s="52" t="s">
        <v>77</v>
      </c>
      <c r="B5486" s="28" t="s">
        <v>77</v>
      </c>
      <c r="C5486" s="28" t="s">
        <v>77</v>
      </c>
      <c r="D5486" s="28" t="s">
        <v>77</v>
      </c>
      <c r="E5486" s="28" t="s">
        <v>77</v>
      </c>
      <c r="F5486" s="28" t="s">
        <v>77</v>
      </c>
      <c r="G5486" s="28" t="s">
        <v>77</v>
      </c>
      <c r="I5486" s="26" t="s">
        <v>77</v>
      </c>
      <c r="J5486" s="26" t="s">
        <v>77</v>
      </c>
      <c r="K5486" s="18"/>
      <c r="L5486" s="26" t="s">
        <v>77</v>
      </c>
      <c r="M5486" s="6" t="s">
        <v>77</v>
      </c>
      <c r="N5486" s="28" t="s">
        <v>77</v>
      </c>
      <c r="O5486" s="26" t="s">
        <v>77</v>
      </c>
    </row>
    <row r="5487">
      <c r="A5487" s="52" t="s">
        <v>77</v>
      </c>
      <c r="B5487" s="28" t="s">
        <v>77</v>
      </c>
      <c r="C5487" s="28" t="s">
        <v>77</v>
      </c>
      <c r="D5487" s="28" t="s">
        <v>77</v>
      </c>
      <c r="E5487" s="28" t="s">
        <v>77</v>
      </c>
      <c r="F5487" s="28" t="s">
        <v>77</v>
      </c>
      <c r="G5487" s="28" t="s">
        <v>77</v>
      </c>
      <c r="I5487" s="26" t="s">
        <v>77</v>
      </c>
      <c r="J5487" s="26" t="s">
        <v>77</v>
      </c>
      <c r="K5487" s="18"/>
      <c r="L5487" s="26" t="s">
        <v>77</v>
      </c>
      <c r="M5487" s="6" t="s">
        <v>77</v>
      </c>
      <c r="N5487" s="28" t="s">
        <v>77</v>
      </c>
      <c r="O5487" s="26" t="s">
        <v>77</v>
      </c>
    </row>
    <row r="5488">
      <c r="A5488" s="52" t="s">
        <v>77</v>
      </c>
      <c r="B5488" s="28" t="s">
        <v>77</v>
      </c>
      <c r="C5488" s="28" t="s">
        <v>77</v>
      </c>
      <c r="D5488" s="28" t="s">
        <v>77</v>
      </c>
      <c r="E5488" s="28" t="s">
        <v>77</v>
      </c>
      <c r="F5488" s="28" t="s">
        <v>77</v>
      </c>
      <c r="G5488" s="28" t="s">
        <v>77</v>
      </c>
      <c r="I5488" s="26" t="s">
        <v>77</v>
      </c>
      <c r="J5488" s="26" t="s">
        <v>77</v>
      </c>
      <c r="K5488" s="18"/>
      <c r="L5488" s="26" t="s">
        <v>77</v>
      </c>
      <c r="M5488" s="6" t="s">
        <v>77</v>
      </c>
      <c r="N5488" s="28" t="s">
        <v>77</v>
      </c>
      <c r="O5488" s="26" t="s">
        <v>77</v>
      </c>
    </row>
    <row r="5489">
      <c r="A5489" s="52" t="s">
        <v>77</v>
      </c>
      <c r="B5489" s="28" t="s">
        <v>77</v>
      </c>
      <c r="C5489" s="28" t="s">
        <v>77</v>
      </c>
      <c r="D5489" s="28" t="s">
        <v>77</v>
      </c>
      <c r="E5489" s="28" t="s">
        <v>77</v>
      </c>
      <c r="F5489" s="28" t="s">
        <v>77</v>
      </c>
      <c r="G5489" s="28" t="s">
        <v>77</v>
      </c>
      <c r="I5489" s="26" t="s">
        <v>77</v>
      </c>
      <c r="J5489" s="26" t="s">
        <v>77</v>
      </c>
      <c r="K5489" s="18"/>
      <c r="L5489" s="26" t="s">
        <v>77</v>
      </c>
      <c r="M5489" s="6" t="s">
        <v>77</v>
      </c>
      <c r="N5489" s="28" t="s">
        <v>77</v>
      </c>
      <c r="O5489" s="26" t="s">
        <v>77</v>
      </c>
    </row>
    <row r="5490">
      <c r="A5490" s="52" t="s">
        <v>77</v>
      </c>
      <c r="B5490" s="28" t="s">
        <v>77</v>
      </c>
      <c r="C5490" s="28" t="s">
        <v>77</v>
      </c>
      <c r="D5490" s="28" t="s">
        <v>77</v>
      </c>
      <c r="E5490" s="28" t="s">
        <v>77</v>
      </c>
      <c r="F5490" s="28" t="s">
        <v>77</v>
      </c>
      <c r="G5490" s="28" t="s">
        <v>77</v>
      </c>
      <c r="I5490" s="26" t="s">
        <v>77</v>
      </c>
      <c r="J5490" s="26" t="s">
        <v>77</v>
      </c>
      <c r="K5490" s="18"/>
      <c r="L5490" s="26" t="s">
        <v>77</v>
      </c>
      <c r="M5490" s="6" t="s">
        <v>77</v>
      </c>
      <c r="N5490" s="28" t="s">
        <v>77</v>
      </c>
      <c r="O5490" s="26" t="s">
        <v>77</v>
      </c>
    </row>
    <row r="5491">
      <c r="A5491" s="52" t="s">
        <v>77</v>
      </c>
      <c r="B5491" s="28" t="s">
        <v>77</v>
      </c>
      <c r="C5491" s="28" t="s">
        <v>77</v>
      </c>
      <c r="D5491" s="28" t="s">
        <v>77</v>
      </c>
      <c r="E5491" s="28" t="s">
        <v>77</v>
      </c>
      <c r="F5491" s="28" t="s">
        <v>77</v>
      </c>
      <c r="G5491" s="28" t="s">
        <v>77</v>
      </c>
      <c r="I5491" s="26" t="s">
        <v>77</v>
      </c>
      <c r="J5491" s="26" t="s">
        <v>77</v>
      </c>
      <c r="K5491" s="18"/>
      <c r="L5491" s="26" t="s">
        <v>77</v>
      </c>
      <c r="M5491" s="6" t="s">
        <v>77</v>
      </c>
      <c r="N5491" s="28" t="s">
        <v>77</v>
      </c>
      <c r="O5491" s="26" t="s">
        <v>77</v>
      </c>
    </row>
    <row r="5492">
      <c r="A5492" s="52" t="s">
        <v>77</v>
      </c>
      <c r="B5492" s="28" t="s">
        <v>77</v>
      </c>
      <c r="C5492" s="28" t="s">
        <v>77</v>
      </c>
      <c r="D5492" s="28" t="s">
        <v>77</v>
      </c>
      <c r="E5492" s="28" t="s">
        <v>77</v>
      </c>
      <c r="F5492" s="28" t="s">
        <v>77</v>
      </c>
      <c r="G5492" s="28" t="s">
        <v>77</v>
      </c>
      <c r="I5492" s="26" t="s">
        <v>77</v>
      </c>
      <c r="J5492" s="26" t="s">
        <v>77</v>
      </c>
      <c r="K5492" s="18"/>
      <c r="L5492" s="26" t="s">
        <v>77</v>
      </c>
      <c r="M5492" s="6" t="s">
        <v>77</v>
      </c>
      <c r="N5492" s="28" t="s">
        <v>77</v>
      </c>
      <c r="O5492" s="26" t="s">
        <v>77</v>
      </c>
    </row>
    <row r="5493">
      <c r="A5493" s="52" t="s">
        <v>77</v>
      </c>
      <c r="B5493" s="28" t="s">
        <v>77</v>
      </c>
      <c r="C5493" s="28" t="s">
        <v>77</v>
      </c>
      <c r="D5493" s="28" t="s">
        <v>77</v>
      </c>
      <c r="E5493" s="28" t="s">
        <v>77</v>
      </c>
      <c r="F5493" s="28" t="s">
        <v>77</v>
      </c>
      <c r="G5493" s="28" t="s">
        <v>77</v>
      </c>
      <c r="I5493" s="26" t="s">
        <v>77</v>
      </c>
      <c r="J5493" s="26" t="s">
        <v>77</v>
      </c>
      <c r="K5493" s="18"/>
      <c r="L5493" s="26" t="s">
        <v>77</v>
      </c>
      <c r="M5493" s="6" t="s">
        <v>77</v>
      </c>
      <c r="N5493" s="28" t="s">
        <v>77</v>
      </c>
      <c r="O5493" s="26" t="s">
        <v>77</v>
      </c>
    </row>
    <row r="5494">
      <c r="A5494" s="52" t="s">
        <v>77</v>
      </c>
      <c r="B5494" s="28" t="s">
        <v>77</v>
      </c>
      <c r="C5494" s="28" t="s">
        <v>77</v>
      </c>
      <c r="D5494" s="28" t="s">
        <v>77</v>
      </c>
      <c r="E5494" s="28" t="s">
        <v>77</v>
      </c>
      <c r="F5494" s="28" t="s">
        <v>77</v>
      </c>
      <c r="G5494" s="28" t="s">
        <v>77</v>
      </c>
      <c r="I5494" s="26" t="s">
        <v>77</v>
      </c>
      <c r="J5494" s="26" t="s">
        <v>77</v>
      </c>
      <c r="K5494" s="18"/>
      <c r="L5494" s="26" t="s">
        <v>77</v>
      </c>
      <c r="M5494" s="6" t="s">
        <v>77</v>
      </c>
      <c r="N5494" s="28" t="s">
        <v>77</v>
      </c>
      <c r="O5494" s="26" t="s">
        <v>77</v>
      </c>
    </row>
    <row r="5495">
      <c r="A5495" s="52" t="s">
        <v>77</v>
      </c>
      <c r="B5495" s="28" t="s">
        <v>77</v>
      </c>
      <c r="C5495" s="28" t="s">
        <v>77</v>
      </c>
      <c r="D5495" s="28" t="s">
        <v>77</v>
      </c>
      <c r="E5495" s="28" t="s">
        <v>77</v>
      </c>
      <c r="F5495" s="28" t="s">
        <v>77</v>
      </c>
      <c r="G5495" s="28" t="s">
        <v>77</v>
      </c>
      <c r="I5495" s="26" t="s">
        <v>77</v>
      </c>
      <c r="J5495" s="26" t="s">
        <v>77</v>
      </c>
      <c r="K5495" s="18"/>
      <c r="L5495" s="26" t="s">
        <v>77</v>
      </c>
      <c r="M5495" s="6" t="s">
        <v>77</v>
      </c>
      <c r="N5495" s="28" t="s">
        <v>77</v>
      </c>
      <c r="O5495" s="26" t="s">
        <v>77</v>
      </c>
    </row>
    <row r="5496">
      <c r="A5496" s="52" t="s">
        <v>77</v>
      </c>
      <c r="B5496" s="28" t="s">
        <v>77</v>
      </c>
      <c r="C5496" s="28" t="s">
        <v>77</v>
      </c>
      <c r="D5496" s="28" t="s">
        <v>77</v>
      </c>
      <c r="E5496" s="28" t="s">
        <v>77</v>
      </c>
      <c r="F5496" s="28" t="s">
        <v>77</v>
      </c>
      <c r="G5496" s="28" t="s">
        <v>77</v>
      </c>
      <c r="I5496" s="26" t="s">
        <v>77</v>
      </c>
      <c r="J5496" s="26" t="s">
        <v>77</v>
      </c>
      <c r="K5496" s="18"/>
      <c r="L5496" s="26" t="s">
        <v>77</v>
      </c>
      <c r="M5496" s="6" t="s">
        <v>77</v>
      </c>
      <c r="N5496" s="28" t="s">
        <v>77</v>
      </c>
      <c r="O5496" s="26" t="s">
        <v>77</v>
      </c>
    </row>
    <row r="5497">
      <c r="A5497" s="52" t="s">
        <v>77</v>
      </c>
      <c r="B5497" s="28" t="s">
        <v>77</v>
      </c>
      <c r="C5497" s="28" t="s">
        <v>77</v>
      </c>
      <c r="D5497" s="28" t="s">
        <v>77</v>
      </c>
      <c r="E5497" s="28" t="s">
        <v>77</v>
      </c>
      <c r="F5497" s="28" t="s">
        <v>77</v>
      </c>
      <c r="G5497" s="28" t="s">
        <v>77</v>
      </c>
      <c r="I5497" s="26" t="s">
        <v>77</v>
      </c>
      <c r="J5497" s="26" t="s">
        <v>77</v>
      </c>
      <c r="K5497" s="18"/>
      <c r="L5497" s="26" t="s">
        <v>77</v>
      </c>
      <c r="M5497" s="6" t="s">
        <v>77</v>
      </c>
      <c r="N5497" s="28" t="s">
        <v>77</v>
      </c>
      <c r="O5497" s="26" t="s">
        <v>77</v>
      </c>
    </row>
    <row r="5498">
      <c r="A5498" s="52" t="s">
        <v>77</v>
      </c>
      <c r="B5498" s="28" t="s">
        <v>77</v>
      </c>
      <c r="C5498" s="28" t="s">
        <v>77</v>
      </c>
      <c r="D5498" s="28" t="s">
        <v>77</v>
      </c>
      <c r="E5498" s="28" t="s">
        <v>77</v>
      </c>
      <c r="F5498" s="28" t="s">
        <v>77</v>
      </c>
      <c r="G5498" s="28" t="s">
        <v>77</v>
      </c>
      <c r="I5498" s="26" t="s">
        <v>77</v>
      </c>
      <c r="J5498" s="26" t="s">
        <v>77</v>
      </c>
      <c r="K5498" s="18"/>
      <c r="L5498" s="26" t="s">
        <v>77</v>
      </c>
      <c r="M5498" s="6" t="s">
        <v>77</v>
      </c>
      <c r="N5498" s="28" t="s">
        <v>77</v>
      </c>
      <c r="O5498" s="26" t="s">
        <v>77</v>
      </c>
    </row>
    <row r="5499">
      <c r="A5499" s="52" t="s">
        <v>77</v>
      </c>
      <c r="B5499" s="28" t="s">
        <v>77</v>
      </c>
      <c r="C5499" s="28" t="s">
        <v>77</v>
      </c>
      <c r="D5499" s="28" t="s">
        <v>77</v>
      </c>
      <c r="E5499" s="28" t="s">
        <v>77</v>
      </c>
      <c r="F5499" s="28" t="s">
        <v>77</v>
      </c>
      <c r="G5499" s="28" t="s">
        <v>77</v>
      </c>
      <c r="I5499" s="26" t="s">
        <v>77</v>
      </c>
      <c r="J5499" s="26" t="s">
        <v>77</v>
      </c>
      <c r="K5499" s="18"/>
      <c r="L5499" s="26" t="s">
        <v>77</v>
      </c>
      <c r="M5499" s="6" t="s">
        <v>77</v>
      </c>
      <c r="N5499" s="28" t="s">
        <v>77</v>
      </c>
      <c r="O5499" s="26" t="s">
        <v>77</v>
      </c>
    </row>
    <row r="5500">
      <c r="A5500" s="52" t="s">
        <v>77</v>
      </c>
      <c r="B5500" s="28" t="s">
        <v>77</v>
      </c>
      <c r="C5500" s="28" t="s">
        <v>77</v>
      </c>
      <c r="D5500" s="28" t="s">
        <v>77</v>
      </c>
      <c r="E5500" s="28" t="s">
        <v>77</v>
      </c>
      <c r="F5500" s="28" t="s">
        <v>77</v>
      </c>
      <c r="G5500" s="28" t="s">
        <v>77</v>
      </c>
      <c r="I5500" s="26" t="s">
        <v>77</v>
      </c>
      <c r="J5500" s="26" t="s">
        <v>77</v>
      </c>
      <c r="K5500" s="18"/>
      <c r="L5500" s="26" t="s">
        <v>77</v>
      </c>
      <c r="M5500" s="6" t="s">
        <v>77</v>
      </c>
      <c r="N5500" s="28" t="s">
        <v>77</v>
      </c>
      <c r="O5500" s="26" t="s">
        <v>77</v>
      </c>
    </row>
    <row r="5501">
      <c r="A5501" s="52" t="s">
        <v>77</v>
      </c>
      <c r="B5501" s="28" t="s">
        <v>77</v>
      </c>
      <c r="C5501" s="28" t="s">
        <v>77</v>
      </c>
      <c r="D5501" s="28" t="s">
        <v>77</v>
      </c>
      <c r="E5501" s="28" t="s">
        <v>77</v>
      </c>
      <c r="F5501" s="28" t="s">
        <v>77</v>
      </c>
      <c r="G5501" s="28" t="s">
        <v>77</v>
      </c>
      <c r="I5501" s="26" t="s">
        <v>77</v>
      </c>
      <c r="J5501" s="26" t="s">
        <v>77</v>
      </c>
      <c r="K5501" s="18"/>
      <c r="L5501" s="26" t="s">
        <v>77</v>
      </c>
      <c r="M5501" s="6" t="s">
        <v>77</v>
      </c>
      <c r="N5501" s="28" t="s">
        <v>77</v>
      </c>
      <c r="O5501" s="26" t="s">
        <v>77</v>
      </c>
    </row>
    <row r="5502">
      <c r="A5502" s="52" t="s">
        <v>77</v>
      </c>
      <c r="B5502" s="28" t="s">
        <v>77</v>
      </c>
      <c r="C5502" s="28" t="s">
        <v>77</v>
      </c>
      <c r="D5502" s="28" t="s">
        <v>77</v>
      </c>
      <c r="E5502" s="28" t="s">
        <v>77</v>
      </c>
      <c r="F5502" s="28" t="s">
        <v>77</v>
      </c>
      <c r="G5502" s="28" t="s">
        <v>77</v>
      </c>
      <c r="I5502" s="26" t="s">
        <v>77</v>
      </c>
      <c r="J5502" s="26" t="s">
        <v>77</v>
      </c>
      <c r="K5502" s="18"/>
      <c r="L5502" s="26" t="s">
        <v>77</v>
      </c>
      <c r="M5502" s="6" t="s">
        <v>77</v>
      </c>
      <c r="N5502" s="28" t="s">
        <v>77</v>
      </c>
      <c r="O5502" s="26" t="s">
        <v>77</v>
      </c>
    </row>
    <row r="5503">
      <c r="A5503" s="52" t="s">
        <v>77</v>
      </c>
      <c r="B5503" s="28" t="s">
        <v>77</v>
      </c>
      <c r="C5503" s="28" t="s">
        <v>77</v>
      </c>
      <c r="D5503" s="28" t="s">
        <v>77</v>
      </c>
      <c r="E5503" s="28" t="s">
        <v>77</v>
      </c>
      <c r="F5503" s="28" t="s">
        <v>77</v>
      </c>
      <c r="G5503" s="28" t="s">
        <v>77</v>
      </c>
      <c r="I5503" s="26" t="s">
        <v>77</v>
      </c>
      <c r="J5503" s="26" t="s">
        <v>77</v>
      </c>
      <c r="K5503" s="18"/>
      <c r="L5503" s="26" t="s">
        <v>77</v>
      </c>
      <c r="M5503" s="6" t="s">
        <v>77</v>
      </c>
      <c r="N5503" s="28" t="s">
        <v>77</v>
      </c>
      <c r="O5503" s="26" t="s">
        <v>77</v>
      </c>
    </row>
    <row r="5504">
      <c r="A5504" s="52" t="s">
        <v>77</v>
      </c>
      <c r="B5504" s="28" t="s">
        <v>77</v>
      </c>
      <c r="C5504" s="28" t="s">
        <v>77</v>
      </c>
      <c r="D5504" s="28" t="s">
        <v>77</v>
      </c>
      <c r="E5504" s="28" t="s">
        <v>77</v>
      </c>
      <c r="F5504" s="28" t="s">
        <v>77</v>
      </c>
      <c r="G5504" s="28" t="s">
        <v>77</v>
      </c>
      <c r="I5504" s="26" t="s">
        <v>77</v>
      </c>
      <c r="J5504" s="26" t="s">
        <v>77</v>
      </c>
      <c r="K5504" s="18"/>
      <c r="L5504" s="26" t="s">
        <v>77</v>
      </c>
      <c r="M5504" s="6" t="s">
        <v>77</v>
      </c>
      <c r="N5504" s="28" t="s">
        <v>77</v>
      </c>
      <c r="O5504" s="26" t="s">
        <v>77</v>
      </c>
    </row>
    <row r="5505">
      <c r="A5505" s="52" t="s">
        <v>77</v>
      </c>
      <c r="B5505" s="28" t="s">
        <v>77</v>
      </c>
      <c r="C5505" s="28" t="s">
        <v>77</v>
      </c>
      <c r="D5505" s="28" t="s">
        <v>77</v>
      </c>
      <c r="E5505" s="28" t="s">
        <v>77</v>
      </c>
      <c r="F5505" s="28" t="s">
        <v>77</v>
      </c>
      <c r="G5505" s="28" t="s">
        <v>77</v>
      </c>
      <c r="I5505" s="26" t="s">
        <v>77</v>
      </c>
      <c r="J5505" s="26" t="s">
        <v>77</v>
      </c>
      <c r="K5505" s="18"/>
      <c r="L5505" s="26" t="s">
        <v>77</v>
      </c>
      <c r="M5505" s="6" t="s">
        <v>77</v>
      </c>
      <c r="N5505" s="28" t="s">
        <v>77</v>
      </c>
      <c r="O5505" s="26" t="s">
        <v>77</v>
      </c>
    </row>
    <row r="5506">
      <c r="A5506" s="52" t="s">
        <v>77</v>
      </c>
      <c r="B5506" s="28" t="s">
        <v>77</v>
      </c>
      <c r="C5506" s="28" t="s">
        <v>77</v>
      </c>
      <c r="D5506" s="28" t="s">
        <v>77</v>
      </c>
      <c r="E5506" s="28" t="s">
        <v>77</v>
      </c>
      <c r="F5506" s="28" t="s">
        <v>77</v>
      </c>
      <c r="G5506" s="28" t="s">
        <v>77</v>
      </c>
      <c r="I5506" s="26" t="s">
        <v>77</v>
      </c>
      <c r="J5506" s="26" t="s">
        <v>77</v>
      </c>
      <c r="K5506" s="18"/>
      <c r="L5506" s="26" t="s">
        <v>77</v>
      </c>
      <c r="M5506" s="6" t="s">
        <v>77</v>
      </c>
      <c r="N5506" s="28" t="s">
        <v>77</v>
      </c>
      <c r="O5506" s="26" t="s">
        <v>77</v>
      </c>
    </row>
    <row r="5507">
      <c r="A5507" s="52" t="s">
        <v>77</v>
      </c>
      <c r="B5507" s="28" t="s">
        <v>77</v>
      </c>
      <c r="C5507" s="28" t="s">
        <v>77</v>
      </c>
      <c r="D5507" s="28" t="s">
        <v>77</v>
      </c>
      <c r="E5507" s="28" t="s">
        <v>77</v>
      </c>
      <c r="F5507" s="28" t="s">
        <v>77</v>
      </c>
      <c r="G5507" s="28" t="s">
        <v>77</v>
      </c>
      <c r="I5507" s="26" t="s">
        <v>77</v>
      </c>
      <c r="J5507" s="26" t="s">
        <v>77</v>
      </c>
      <c r="K5507" s="18"/>
      <c r="L5507" s="26" t="s">
        <v>77</v>
      </c>
      <c r="M5507" s="6" t="s">
        <v>77</v>
      </c>
      <c r="N5507" s="28" t="s">
        <v>77</v>
      </c>
      <c r="O5507" s="26" t="s">
        <v>77</v>
      </c>
    </row>
    <row r="5508">
      <c r="A5508" s="52" t="s">
        <v>77</v>
      </c>
      <c r="B5508" s="28" t="s">
        <v>77</v>
      </c>
      <c r="C5508" s="28" t="s">
        <v>77</v>
      </c>
      <c r="D5508" s="28" t="s">
        <v>77</v>
      </c>
      <c r="E5508" s="28" t="s">
        <v>77</v>
      </c>
      <c r="F5508" s="28" t="s">
        <v>77</v>
      </c>
      <c r="G5508" s="28" t="s">
        <v>77</v>
      </c>
      <c r="I5508" s="26" t="s">
        <v>77</v>
      </c>
      <c r="J5508" s="26" t="s">
        <v>77</v>
      </c>
      <c r="K5508" s="18"/>
      <c r="L5508" s="26" t="s">
        <v>77</v>
      </c>
      <c r="M5508" s="6" t="s">
        <v>77</v>
      </c>
      <c r="N5508" s="28" t="s">
        <v>77</v>
      </c>
      <c r="O5508" s="26" t="s">
        <v>77</v>
      </c>
    </row>
    <row r="5509">
      <c r="A5509" s="52" t="s">
        <v>77</v>
      </c>
      <c r="B5509" s="28" t="s">
        <v>77</v>
      </c>
      <c r="C5509" s="28" t="s">
        <v>77</v>
      </c>
      <c r="D5509" s="28" t="s">
        <v>77</v>
      </c>
      <c r="E5509" s="28" t="s">
        <v>77</v>
      </c>
      <c r="F5509" s="28" t="s">
        <v>77</v>
      </c>
      <c r="G5509" s="28" t="s">
        <v>77</v>
      </c>
      <c r="I5509" s="26" t="s">
        <v>77</v>
      </c>
      <c r="J5509" s="26" t="s">
        <v>77</v>
      </c>
      <c r="K5509" s="18"/>
      <c r="L5509" s="26" t="s">
        <v>77</v>
      </c>
      <c r="M5509" s="6" t="s">
        <v>77</v>
      </c>
      <c r="N5509" s="28" t="s">
        <v>77</v>
      </c>
      <c r="O5509" s="26" t="s">
        <v>77</v>
      </c>
    </row>
    <row r="5510">
      <c r="A5510" s="52" t="s">
        <v>77</v>
      </c>
      <c r="B5510" s="28" t="s">
        <v>77</v>
      </c>
      <c r="C5510" s="28" t="s">
        <v>77</v>
      </c>
      <c r="D5510" s="28" t="s">
        <v>77</v>
      </c>
      <c r="E5510" s="28" t="s">
        <v>77</v>
      </c>
      <c r="F5510" s="28" t="s">
        <v>77</v>
      </c>
      <c r="G5510" s="28" t="s">
        <v>77</v>
      </c>
      <c r="I5510" s="26" t="s">
        <v>77</v>
      </c>
      <c r="J5510" s="26" t="s">
        <v>77</v>
      </c>
      <c r="K5510" s="18"/>
      <c r="L5510" s="26" t="s">
        <v>77</v>
      </c>
      <c r="M5510" s="6" t="s">
        <v>77</v>
      </c>
      <c r="N5510" s="28" t="s">
        <v>77</v>
      </c>
      <c r="O5510" s="26" t="s">
        <v>77</v>
      </c>
    </row>
    <row r="5511">
      <c r="A5511" s="52" t="s">
        <v>77</v>
      </c>
      <c r="B5511" s="28" t="s">
        <v>77</v>
      </c>
      <c r="C5511" s="28" t="s">
        <v>77</v>
      </c>
      <c r="D5511" s="28" t="s">
        <v>77</v>
      </c>
      <c r="E5511" s="28" t="s">
        <v>77</v>
      </c>
      <c r="F5511" s="28" t="s">
        <v>77</v>
      </c>
      <c r="G5511" s="28" t="s">
        <v>77</v>
      </c>
      <c r="I5511" s="26" t="s">
        <v>77</v>
      </c>
      <c r="J5511" s="26" t="s">
        <v>77</v>
      </c>
      <c r="K5511" s="18"/>
      <c r="L5511" s="26" t="s">
        <v>77</v>
      </c>
      <c r="M5511" s="6" t="s">
        <v>77</v>
      </c>
      <c r="N5511" s="28" t="s">
        <v>77</v>
      </c>
      <c r="O5511" s="26" t="s">
        <v>77</v>
      </c>
    </row>
    <row r="5512">
      <c r="A5512" s="52" t="s">
        <v>77</v>
      </c>
      <c r="B5512" s="28" t="s">
        <v>77</v>
      </c>
      <c r="C5512" s="28" t="s">
        <v>77</v>
      </c>
      <c r="D5512" s="28" t="s">
        <v>77</v>
      </c>
      <c r="E5512" s="28" t="s">
        <v>77</v>
      </c>
      <c r="F5512" s="28" t="s">
        <v>77</v>
      </c>
      <c r="G5512" s="28" t="s">
        <v>77</v>
      </c>
      <c r="I5512" s="26" t="s">
        <v>77</v>
      </c>
      <c r="J5512" s="26" t="s">
        <v>77</v>
      </c>
      <c r="K5512" s="18"/>
      <c r="L5512" s="26" t="s">
        <v>77</v>
      </c>
      <c r="M5512" s="6" t="s">
        <v>77</v>
      </c>
      <c r="N5512" s="28" t="s">
        <v>77</v>
      </c>
      <c r="O5512" s="26" t="s">
        <v>77</v>
      </c>
    </row>
    <row r="5513">
      <c r="A5513" s="52" t="s">
        <v>77</v>
      </c>
      <c r="B5513" s="28" t="s">
        <v>77</v>
      </c>
      <c r="C5513" s="28" t="s">
        <v>77</v>
      </c>
      <c r="D5513" s="28" t="s">
        <v>77</v>
      </c>
      <c r="E5513" s="28" t="s">
        <v>77</v>
      </c>
      <c r="F5513" s="28" t="s">
        <v>77</v>
      </c>
      <c r="G5513" s="28" t="s">
        <v>77</v>
      </c>
      <c r="I5513" s="26" t="s">
        <v>77</v>
      </c>
      <c r="J5513" s="26" t="s">
        <v>77</v>
      </c>
      <c r="K5513" s="18"/>
      <c r="L5513" s="26" t="s">
        <v>77</v>
      </c>
      <c r="M5513" s="6" t="s">
        <v>77</v>
      </c>
      <c r="N5513" s="28" t="s">
        <v>77</v>
      </c>
      <c r="O5513" s="26" t="s">
        <v>77</v>
      </c>
    </row>
    <row r="5514">
      <c r="A5514" s="52" t="s">
        <v>77</v>
      </c>
      <c r="B5514" s="28" t="s">
        <v>77</v>
      </c>
      <c r="C5514" s="28" t="s">
        <v>77</v>
      </c>
      <c r="D5514" s="28" t="s">
        <v>77</v>
      </c>
      <c r="E5514" s="28" t="s">
        <v>77</v>
      </c>
      <c r="F5514" s="28" t="s">
        <v>77</v>
      </c>
      <c r="G5514" s="28" t="s">
        <v>77</v>
      </c>
      <c r="I5514" s="26" t="s">
        <v>77</v>
      </c>
      <c r="J5514" s="26" t="s">
        <v>77</v>
      </c>
      <c r="K5514" s="18"/>
      <c r="L5514" s="26" t="s">
        <v>77</v>
      </c>
      <c r="M5514" s="6" t="s">
        <v>77</v>
      </c>
      <c r="N5514" s="28" t="s">
        <v>77</v>
      </c>
      <c r="O5514" s="26" t="s">
        <v>77</v>
      </c>
    </row>
    <row r="5515">
      <c r="A5515" s="52" t="s">
        <v>77</v>
      </c>
      <c r="B5515" s="28" t="s">
        <v>77</v>
      </c>
      <c r="C5515" s="28" t="s">
        <v>77</v>
      </c>
      <c r="D5515" s="28" t="s">
        <v>77</v>
      </c>
      <c r="E5515" s="28" t="s">
        <v>77</v>
      </c>
      <c r="F5515" s="28" t="s">
        <v>77</v>
      </c>
      <c r="G5515" s="28" t="s">
        <v>77</v>
      </c>
      <c r="I5515" s="26" t="s">
        <v>77</v>
      </c>
      <c r="J5515" s="26" t="s">
        <v>77</v>
      </c>
      <c r="K5515" s="18"/>
      <c r="L5515" s="26" t="s">
        <v>77</v>
      </c>
      <c r="M5515" s="6" t="s">
        <v>77</v>
      </c>
      <c r="N5515" s="28" t="s">
        <v>77</v>
      </c>
      <c r="O5515" s="26" t="s">
        <v>77</v>
      </c>
    </row>
    <row r="5516">
      <c r="A5516" s="52" t="s">
        <v>77</v>
      </c>
      <c r="B5516" s="28" t="s">
        <v>77</v>
      </c>
      <c r="C5516" s="28" t="s">
        <v>77</v>
      </c>
      <c r="D5516" s="28" t="s">
        <v>77</v>
      </c>
      <c r="E5516" s="28" t="s">
        <v>77</v>
      </c>
      <c r="F5516" s="28" t="s">
        <v>77</v>
      </c>
      <c r="G5516" s="28" t="s">
        <v>77</v>
      </c>
      <c r="I5516" s="26" t="s">
        <v>77</v>
      </c>
      <c r="J5516" s="26" t="s">
        <v>77</v>
      </c>
      <c r="K5516" s="18"/>
      <c r="L5516" s="26" t="s">
        <v>77</v>
      </c>
      <c r="M5516" s="6" t="s">
        <v>77</v>
      </c>
      <c r="N5516" s="28" t="s">
        <v>77</v>
      </c>
      <c r="O5516" s="26" t="s">
        <v>77</v>
      </c>
    </row>
    <row r="5517">
      <c r="A5517" s="52" t="s">
        <v>77</v>
      </c>
      <c r="B5517" s="28" t="s">
        <v>77</v>
      </c>
      <c r="C5517" s="28" t="s">
        <v>77</v>
      </c>
      <c r="D5517" s="28" t="s">
        <v>77</v>
      </c>
      <c r="E5517" s="28" t="s">
        <v>77</v>
      </c>
      <c r="F5517" s="28" t="s">
        <v>77</v>
      </c>
      <c r="G5517" s="28" t="s">
        <v>77</v>
      </c>
      <c r="I5517" s="26" t="s">
        <v>77</v>
      </c>
      <c r="J5517" s="26" t="s">
        <v>77</v>
      </c>
      <c r="K5517" s="18"/>
      <c r="L5517" s="26" t="s">
        <v>77</v>
      </c>
      <c r="M5517" s="6" t="s">
        <v>77</v>
      </c>
      <c r="N5517" s="28" t="s">
        <v>77</v>
      </c>
      <c r="O5517" s="26" t="s">
        <v>77</v>
      </c>
    </row>
    <row r="5518">
      <c r="A5518" s="52" t="s">
        <v>77</v>
      </c>
      <c r="B5518" s="28" t="s">
        <v>77</v>
      </c>
      <c r="C5518" s="28" t="s">
        <v>77</v>
      </c>
      <c r="D5518" s="28" t="s">
        <v>77</v>
      </c>
      <c r="E5518" s="28" t="s">
        <v>77</v>
      </c>
      <c r="F5518" s="28" t="s">
        <v>77</v>
      </c>
      <c r="G5518" s="28" t="s">
        <v>77</v>
      </c>
      <c r="I5518" s="26" t="s">
        <v>77</v>
      </c>
      <c r="J5518" s="26" t="s">
        <v>77</v>
      </c>
      <c r="K5518" s="18"/>
      <c r="L5518" s="26" t="s">
        <v>77</v>
      </c>
      <c r="M5518" s="6" t="s">
        <v>77</v>
      </c>
      <c r="N5518" s="28" t="s">
        <v>77</v>
      </c>
      <c r="O5518" s="26" t="s">
        <v>77</v>
      </c>
    </row>
    <row r="5519">
      <c r="A5519" s="52" t="s">
        <v>77</v>
      </c>
      <c r="B5519" s="28" t="s">
        <v>77</v>
      </c>
      <c r="C5519" s="28" t="s">
        <v>77</v>
      </c>
      <c r="D5519" s="28" t="s">
        <v>77</v>
      </c>
      <c r="E5519" s="28" t="s">
        <v>77</v>
      </c>
      <c r="F5519" s="28" t="s">
        <v>77</v>
      </c>
      <c r="G5519" s="28" t="s">
        <v>77</v>
      </c>
      <c r="I5519" s="26" t="s">
        <v>77</v>
      </c>
      <c r="J5519" s="26" t="s">
        <v>77</v>
      </c>
      <c r="K5519" s="18"/>
      <c r="L5519" s="26" t="s">
        <v>77</v>
      </c>
      <c r="M5519" s="6" t="s">
        <v>77</v>
      </c>
      <c r="N5519" s="28" t="s">
        <v>77</v>
      </c>
      <c r="O5519" s="26" t="s">
        <v>77</v>
      </c>
    </row>
    <row r="5520">
      <c r="A5520" s="52" t="s">
        <v>77</v>
      </c>
      <c r="B5520" s="28" t="s">
        <v>77</v>
      </c>
      <c r="C5520" s="28" t="s">
        <v>77</v>
      </c>
      <c r="D5520" s="28" t="s">
        <v>77</v>
      </c>
      <c r="E5520" s="28" t="s">
        <v>77</v>
      </c>
      <c r="F5520" s="28" t="s">
        <v>77</v>
      </c>
      <c r="G5520" s="28" t="s">
        <v>77</v>
      </c>
      <c r="I5520" s="26" t="s">
        <v>77</v>
      </c>
      <c r="J5520" s="26" t="s">
        <v>77</v>
      </c>
      <c r="K5520" s="18"/>
      <c r="L5520" s="26" t="s">
        <v>77</v>
      </c>
      <c r="M5520" s="6" t="s">
        <v>77</v>
      </c>
      <c r="N5520" s="28" t="s">
        <v>77</v>
      </c>
      <c r="O5520" s="26" t="s">
        <v>77</v>
      </c>
    </row>
    <row r="5521">
      <c r="A5521" s="52" t="s">
        <v>77</v>
      </c>
      <c r="B5521" s="28" t="s">
        <v>77</v>
      </c>
      <c r="C5521" s="28" t="s">
        <v>77</v>
      </c>
      <c r="D5521" s="28" t="s">
        <v>77</v>
      </c>
      <c r="E5521" s="28" t="s">
        <v>77</v>
      </c>
      <c r="F5521" s="28" t="s">
        <v>77</v>
      </c>
      <c r="G5521" s="28" t="s">
        <v>77</v>
      </c>
      <c r="I5521" s="26" t="s">
        <v>77</v>
      </c>
      <c r="J5521" s="26" t="s">
        <v>77</v>
      </c>
      <c r="K5521" s="18"/>
      <c r="L5521" s="26" t="s">
        <v>77</v>
      </c>
      <c r="M5521" s="6" t="s">
        <v>77</v>
      </c>
      <c r="N5521" s="28" t="s">
        <v>77</v>
      </c>
      <c r="O5521" s="26" t="s">
        <v>77</v>
      </c>
    </row>
    <row r="5522">
      <c r="A5522" s="52" t="s">
        <v>77</v>
      </c>
      <c r="B5522" s="28" t="s">
        <v>77</v>
      </c>
      <c r="C5522" s="28" t="s">
        <v>77</v>
      </c>
      <c r="D5522" s="28" t="s">
        <v>77</v>
      </c>
      <c r="E5522" s="28" t="s">
        <v>77</v>
      </c>
      <c r="F5522" s="28" t="s">
        <v>77</v>
      </c>
      <c r="G5522" s="28" t="s">
        <v>77</v>
      </c>
      <c r="I5522" s="26" t="s">
        <v>77</v>
      </c>
      <c r="J5522" s="26" t="s">
        <v>77</v>
      </c>
      <c r="K5522" s="18"/>
      <c r="L5522" s="26" t="s">
        <v>77</v>
      </c>
      <c r="M5522" s="6" t="s">
        <v>77</v>
      </c>
      <c r="N5522" s="28" t="s">
        <v>77</v>
      </c>
      <c r="O5522" s="26" t="s">
        <v>77</v>
      </c>
    </row>
    <row r="5523">
      <c r="A5523" s="52" t="s">
        <v>77</v>
      </c>
      <c r="B5523" s="28" t="s">
        <v>77</v>
      </c>
      <c r="C5523" s="28" t="s">
        <v>77</v>
      </c>
      <c r="D5523" s="28" t="s">
        <v>77</v>
      </c>
      <c r="E5523" s="28" t="s">
        <v>77</v>
      </c>
      <c r="F5523" s="28" t="s">
        <v>77</v>
      </c>
      <c r="G5523" s="28" t="s">
        <v>77</v>
      </c>
      <c r="I5523" s="26" t="s">
        <v>77</v>
      </c>
      <c r="J5523" s="26" t="s">
        <v>77</v>
      </c>
      <c r="K5523" s="18"/>
      <c r="L5523" s="26" t="s">
        <v>77</v>
      </c>
      <c r="M5523" s="6" t="s">
        <v>77</v>
      </c>
      <c r="N5523" s="28" t="s">
        <v>77</v>
      </c>
      <c r="O5523" s="26" t="s">
        <v>77</v>
      </c>
    </row>
    <row r="5524">
      <c r="A5524" s="52" t="s">
        <v>77</v>
      </c>
      <c r="B5524" s="28" t="s">
        <v>77</v>
      </c>
      <c r="C5524" s="28" t="s">
        <v>77</v>
      </c>
      <c r="D5524" s="28" t="s">
        <v>77</v>
      </c>
      <c r="E5524" s="28" t="s">
        <v>77</v>
      </c>
      <c r="F5524" s="28" t="s">
        <v>77</v>
      </c>
      <c r="G5524" s="28" t="s">
        <v>77</v>
      </c>
      <c r="I5524" s="26" t="s">
        <v>77</v>
      </c>
      <c r="J5524" s="26" t="s">
        <v>77</v>
      </c>
      <c r="K5524" s="18"/>
      <c r="L5524" s="26" t="s">
        <v>77</v>
      </c>
      <c r="M5524" s="6" t="s">
        <v>77</v>
      </c>
      <c r="N5524" s="28" t="s">
        <v>77</v>
      </c>
      <c r="O5524" s="26" t="s">
        <v>77</v>
      </c>
    </row>
    <row r="5525">
      <c r="A5525" s="52" t="s">
        <v>77</v>
      </c>
      <c r="B5525" s="28" t="s">
        <v>77</v>
      </c>
      <c r="C5525" s="28" t="s">
        <v>77</v>
      </c>
      <c r="D5525" s="28" t="s">
        <v>77</v>
      </c>
      <c r="E5525" s="28" t="s">
        <v>77</v>
      </c>
      <c r="F5525" s="28" t="s">
        <v>77</v>
      </c>
      <c r="G5525" s="28" t="s">
        <v>77</v>
      </c>
      <c r="I5525" s="26" t="s">
        <v>77</v>
      </c>
      <c r="J5525" s="26" t="s">
        <v>77</v>
      </c>
      <c r="K5525" s="18"/>
      <c r="L5525" s="26" t="s">
        <v>77</v>
      </c>
      <c r="M5525" s="6" t="s">
        <v>77</v>
      </c>
      <c r="N5525" s="28" t="s">
        <v>77</v>
      </c>
      <c r="O5525" s="26" t="s">
        <v>77</v>
      </c>
    </row>
    <row r="5526">
      <c r="A5526" s="52" t="s">
        <v>77</v>
      </c>
      <c r="B5526" s="28" t="s">
        <v>77</v>
      </c>
      <c r="C5526" s="28" t="s">
        <v>77</v>
      </c>
      <c r="D5526" s="28" t="s">
        <v>77</v>
      </c>
      <c r="E5526" s="28" t="s">
        <v>77</v>
      </c>
      <c r="F5526" s="28" t="s">
        <v>77</v>
      </c>
      <c r="G5526" s="28" t="s">
        <v>77</v>
      </c>
      <c r="I5526" s="26" t="s">
        <v>77</v>
      </c>
      <c r="J5526" s="26" t="s">
        <v>77</v>
      </c>
      <c r="K5526" s="18"/>
      <c r="L5526" s="26" t="s">
        <v>77</v>
      </c>
      <c r="M5526" s="6" t="s">
        <v>77</v>
      </c>
      <c r="N5526" s="28" t="s">
        <v>77</v>
      </c>
      <c r="O5526" s="26" t="s">
        <v>77</v>
      </c>
    </row>
    <row r="5527">
      <c r="A5527" s="52" t="s">
        <v>77</v>
      </c>
      <c r="B5527" s="28" t="s">
        <v>77</v>
      </c>
      <c r="C5527" s="28" t="s">
        <v>77</v>
      </c>
      <c r="D5527" s="28" t="s">
        <v>77</v>
      </c>
      <c r="E5527" s="28" t="s">
        <v>77</v>
      </c>
      <c r="F5527" s="28" t="s">
        <v>77</v>
      </c>
      <c r="G5527" s="28" t="s">
        <v>77</v>
      </c>
      <c r="I5527" s="26" t="s">
        <v>77</v>
      </c>
      <c r="J5527" s="26" t="s">
        <v>77</v>
      </c>
      <c r="K5527" s="18"/>
      <c r="L5527" s="26" t="s">
        <v>77</v>
      </c>
      <c r="M5527" s="6" t="s">
        <v>77</v>
      </c>
      <c r="N5527" s="28" t="s">
        <v>77</v>
      </c>
      <c r="O5527" s="26" t="s">
        <v>77</v>
      </c>
    </row>
    <row r="5528">
      <c r="A5528" s="52" t="s">
        <v>77</v>
      </c>
      <c r="B5528" s="28" t="s">
        <v>77</v>
      </c>
      <c r="C5528" s="28" t="s">
        <v>77</v>
      </c>
      <c r="D5528" s="28" t="s">
        <v>77</v>
      </c>
      <c r="E5528" s="28" t="s">
        <v>77</v>
      </c>
      <c r="F5528" s="28" t="s">
        <v>77</v>
      </c>
      <c r="G5528" s="28" t="s">
        <v>77</v>
      </c>
      <c r="I5528" s="26" t="s">
        <v>77</v>
      </c>
      <c r="J5528" s="26" t="s">
        <v>77</v>
      </c>
      <c r="K5528" s="18"/>
      <c r="L5528" s="26" t="s">
        <v>77</v>
      </c>
      <c r="M5528" s="6" t="s">
        <v>77</v>
      </c>
      <c r="N5528" s="28" t="s">
        <v>77</v>
      </c>
      <c r="O5528" s="26" t="s">
        <v>77</v>
      </c>
    </row>
    <row r="5529">
      <c r="A5529" s="52" t="s">
        <v>77</v>
      </c>
      <c r="B5529" s="28" t="s">
        <v>77</v>
      </c>
      <c r="C5529" s="28" t="s">
        <v>77</v>
      </c>
      <c r="D5529" s="28" t="s">
        <v>77</v>
      </c>
      <c r="E5529" s="28" t="s">
        <v>77</v>
      </c>
      <c r="F5529" s="28" t="s">
        <v>77</v>
      </c>
      <c r="G5529" s="28" t="s">
        <v>77</v>
      </c>
      <c r="I5529" s="26" t="s">
        <v>77</v>
      </c>
      <c r="J5529" s="26" t="s">
        <v>77</v>
      </c>
      <c r="K5529" s="18"/>
      <c r="L5529" s="26" t="s">
        <v>77</v>
      </c>
      <c r="M5529" s="6" t="s">
        <v>77</v>
      </c>
      <c r="N5529" s="28" t="s">
        <v>77</v>
      </c>
      <c r="O5529" s="26" t="s">
        <v>77</v>
      </c>
    </row>
    <row r="5530">
      <c r="A5530" s="52" t="s">
        <v>77</v>
      </c>
      <c r="B5530" s="28" t="s">
        <v>77</v>
      </c>
      <c r="C5530" s="28" t="s">
        <v>77</v>
      </c>
      <c r="D5530" s="28" t="s">
        <v>77</v>
      </c>
      <c r="E5530" s="28" t="s">
        <v>77</v>
      </c>
      <c r="F5530" s="28" t="s">
        <v>77</v>
      </c>
      <c r="G5530" s="28" t="s">
        <v>77</v>
      </c>
      <c r="I5530" s="26" t="s">
        <v>77</v>
      </c>
      <c r="J5530" s="26" t="s">
        <v>77</v>
      </c>
      <c r="K5530" s="18"/>
      <c r="L5530" s="26" t="s">
        <v>77</v>
      </c>
      <c r="M5530" s="6" t="s">
        <v>77</v>
      </c>
      <c r="N5530" s="28" t="s">
        <v>77</v>
      </c>
      <c r="O5530" s="26" t="s">
        <v>77</v>
      </c>
    </row>
    <row r="5531">
      <c r="A5531" s="52" t="s">
        <v>77</v>
      </c>
      <c r="B5531" s="28" t="s">
        <v>77</v>
      </c>
      <c r="C5531" s="28" t="s">
        <v>77</v>
      </c>
      <c r="D5531" s="28" t="s">
        <v>77</v>
      </c>
      <c r="E5531" s="28" t="s">
        <v>77</v>
      </c>
      <c r="F5531" s="28" t="s">
        <v>77</v>
      </c>
      <c r="G5531" s="28" t="s">
        <v>77</v>
      </c>
      <c r="I5531" s="26" t="s">
        <v>77</v>
      </c>
      <c r="J5531" s="26" t="s">
        <v>77</v>
      </c>
      <c r="K5531" s="18"/>
      <c r="L5531" s="26" t="s">
        <v>77</v>
      </c>
      <c r="M5531" s="6" t="s">
        <v>77</v>
      </c>
      <c r="N5531" s="28" t="s">
        <v>77</v>
      </c>
      <c r="O5531" s="26" t="s">
        <v>77</v>
      </c>
    </row>
    <row r="5532">
      <c r="A5532" s="52" t="s">
        <v>77</v>
      </c>
      <c r="B5532" s="28" t="s">
        <v>77</v>
      </c>
      <c r="C5532" s="28" t="s">
        <v>77</v>
      </c>
      <c r="D5532" s="28" t="s">
        <v>77</v>
      </c>
      <c r="E5532" s="28" t="s">
        <v>77</v>
      </c>
      <c r="F5532" s="28" t="s">
        <v>77</v>
      </c>
      <c r="G5532" s="28" t="s">
        <v>77</v>
      </c>
      <c r="I5532" s="26" t="s">
        <v>77</v>
      </c>
      <c r="J5532" s="26" t="s">
        <v>77</v>
      </c>
      <c r="K5532" s="18"/>
      <c r="L5532" s="26" t="s">
        <v>77</v>
      </c>
      <c r="M5532" s="6" t="s">
        <v>77</v>
      </c>
      <c r="N5532" s="28" t="s">
        <v>77</v>
      </c>
      <c r="O5532" s="26" t="s">
        <v>77</v>
      </c>
    </row>
    <row r="5533">
      <c r="A5533" s="52" t="s">
        <v>77</v>
      </c>
      <c r="B5533" s="28" t="s">
        <v>77</v>
      </c>
      <c r="C5533" s="28" t="s">
        <v>77</v>
      </c>
      <c r="D5533" s="28" t="s">
        <v>77</v>
      </c>
      <c r="E5533" s="28" t="s">
        <v>77</v>
      </c>
      <c r="F5533" s="28" t="s">
        <v>77</v>
      </c>
      <c r="G5533" s="28" t="s">
        <v>77</v>
      </c>
      <c r="I5533" s="26" t="s">
        <v>77</v>
      </c>
      <c r="J5533" s="26" t="s">
        <v>77</v>
      </c>
      <c r="K5533" s="18"/>
      <c r="L5533" s="26" t="s">
        <v>77</v>
      </c>
      <c r="M5533" s="6" t="s">
        <v>77</v>
      </c>
      <c r="N5533" s="28" t="s">
        <v>77</v>
      </c>
      <c r="O5533" s="26" t="s">
        <v>77</v>
      </c>
    </row>
    <row r="5534">
      <c r="A5534" s="52" t="s">
        <v>77</v>
      </c>
      <c r="B5534" s="28" t="s">
        <v>77</v>
      </c>
      <c r="C5534" s="28" t="s">
        <v>77</v>
      </c>
      <c r="D5534" s="28" t="s">
        <v>77</v>
      </c>
      <c r="E5534" s="28" t="s">
        <v>77</v>
      </c>
      <c r="F5534" s="28" t="s">
        <v>77</v>
      </c>
      <c r="G5534" s="28" t="s">
        <v>77</v>
      </c>
      <c r="I5534" s="26" t="s">
        <v>77</v>
      </c>
      <c r="J5534" s="26" t="s">
        <v>77</v>
      </c>
      <c r="K5534" s="18"/>
      <c r="L5534" s="26" t="s">
        <v>77</v>
      </c>
      <c r="M5534" s="6" t="s">
        <v>77</v>
      </c>
      <c r="N5534" s="28" t="s">
        <v>77</v>
      </c>
      <c r="O5534" s="26" t="s">
        <v>77</v>
      </c>
    </row>
    <row r="5535">
      <c r="A5535" s="52" t="s">
        <v>77</v>
      </c>
      <c r="B5535" s="28" t="s">
        <v>77</v>
      </c>
      <c r="C5535" s="28" t="s">
        <v>77</v>
      </c>
      <c r="D5535" s="28" t="s">
        <v>77</v>
      </c>
      <c r="E5535" s="28" t="s">
        <v>77</v>
      </c>
      <c r="F5535" s="28" t="s">
        <v>77</v>
      </c>
      <c r="G5535" s="28" t="s">
        <v>77</v>
      </c>
      <c r="I5535" s="26" t="s">
        <v>77</v>
      </c>
      <c r="J5535" s="26" t="s">
        <v>77</v>
      </c>
      <c r="K5535" s="18"/>
      <c r="L5535" s="26" t="s">
        <v>77</v>
      </c>
      <c r="M5535" s="6" t="s">
        <v>77</v>
      </c>
      <c r="N5535" s="28" t="s">
        <v>77</v>
      </c>
      <c r="O5535" s="26" t="s">
        <v>77</v>
      </c>
    </row>
    <row r="5536">
      <c r="A5536" s="52" t="s">
        <v>77</v>
      </c>
      <c r="B5536" s="28" t="s">
        <v>77</v>
      </c>
      <c r="C5536" s="28" t="s">
        <v>77</v>
      </c>
      <c r="D5536" s="28" t="s">
        <v>77</v>
      </c>
      <c r="E5536" s="28" t="s">
        <v>77</v>
      </c>
      <c r="F5536" s="28" t="s">
        <v>77</v>
      </c>
      <c r="G5536" s="28" t="s">
        <v>77</v>
      </c>
      <c r="I5536" s="26" t="s">
        <v>77</v>
      </c>
      <c r="J5536" s="26" t="s">
        <v>77</v>
      </c>
      <c r="K5536" s="18"/>
      <c r="L5536" s="26" t="s">
        <v>77</v>
      </c>
      <c r="M5536" s="6" t="s">
        <v>77</v>
      </c>
      <c r="N5536" s="28" t="s">
        <v>77</v>
      </c>
      <c r="O5536" s="26" t="s">
        <v>77</v>
      </c>
    </row>
    <row r="5537">
      <c r="A5537" s="52" t="s">
        <v>77</v>
      </c>
      <c r="B5537" s="28" t="s">
        <v>77</v>
      </c>
      <c r="C5537" s="28" t="s">
        <v>77</v>
      </c>
      <c r="D5537" s="28" t="s">
        <v>77</v>
      </c>
      <c r="E5537" s="28" t="s">
        <v>77</v>
      </c>
      <c r="F5537" s="28" t="s">
        <v>77</v>
      </c>
      <c r="G5537" s="28" t="s">
        <v>77</v>
      </c>
      <c r="I5537" s="26" t="s">
        <v>77</v>
      </c>
      <c r="J5537" s="26" t="s">
        <v>77</v>
      </c>
      <c r="K5537" s="18"/>
      <c r="L5537" s="26" t="s">
        <v>77</v>
      </c>
      <c r="M5537" s="6" t="s">
        <v>77</v>
      </c>
      <c r="N5537" s="28" t="s">
        <v>77</v>
      </c>
      <c r="O5537" s="26" t="s">
        <v>77</v>
      </c>
    </row>
    <row r="5538">
      <c r="A5538" s="52" t="s">
        <v>77</v>
      </c>
      <c r="B5538" s="28" t="s">
        <v>77</v>
      </c>
      <c r="C5538" s="28" t="s">
        <v>77</v>
      </c>
      <c r="D5538" s="28" t="s">
        <v>77</v>
      </c>
      <c r="E5538" s="28" t="s">
        <v>77</v>
      </c>
      <c r="F5538" s="28" t="s">
        <v>77</v>
      </c>
      <c r="G5538" s="28" t="s">
        <v>77</v>
      </c>
      <c r="I5538" s="26" t="s">
        <v>77</v>
      </c>
      <c r="J5538" s="26" t="s">
        <v>77</v>
      </c>
      <c r="K5538" s="18"/>
      <c r="L5538" s="26" t="s">
        <v>77</v>
      </c>
      <c r="M5538" s="6" t="s">
        <v>77</v>
      </c>
      <c r="N5538" s="28" t="s">
        <v>77</v>
      </c>
      <c r="O5538" s="26" t="s">
        <v>77</v>
      </c>
    </row>
    <row r="5539">
      <c r="A5539" s="52" t="s">
        <v>77</v>
      </c>
      <c r="B5539" s="28" t="s">
        <v>77</v>
      </c>
      <c r="C5539" s="28" t="s">
        <v>77</v>
      </c>
      <c r="D5539" s="28" t="s">
        <v>77</v>
      </c>
      <c r="E5539" s="28" t="s">
        <v>77</v>
      </c>
      <c r="F5539" s="28" t="s">
        <v>77</v>
      </c>
      <c r="G5539" s="28" t="s">
        <v>77</v>
      </c>
      <c r="I5539" s="26" t="s">
        <v>77</v>
      </c>
      <c r="J5539" s="26" t="s">
        <v>77</v>
      </c>
      <c r="K5539" s="18"/>
      <c r="L5539" s="26" t="s">
        <v>77</v>
      </c>
      <c r="M5539" s="6" t="s">
        <v>77</v>
      </c>
      <c r="N5539" s="28" t="s">
        <v>77</v>
      </c>
      <c r="O5539" s="26" t="s">
        <v>77</v>
      </c>
    </row>
    <row r="5540">
      <c r="A5540" s="52" t="s">
        <v>77</v>
      </c>
      <c r="B5540" s="28" t="s">
        <v>77</v>
      </c>
      <c r="C5540" s="28" t="s">
        <v>77</v>
      </c>
      <c r="D5540" s="28" t="s">
        <v>77</v>
      </c>
      <c r="E5540" s="28" t="s">
        <v>77</v>
      </c>
      <c r="F5540" s="28" t="s">
        <v>77</v>
      </c>
      <c r="G5540" s="28" t="s">
        <v>77</v>
      </c>
      <c r="I5540" s="26" t="s">
        <v>77</v>
      </c>
      <c r="J5540" s="26" t="s">
        <v>77</v>
      </c>
      <c r="K5540" s="18"/>
      <c r="L5540" s="26" t="s">
        <v>77</v>
      </c>
      <c r="M5540" s="6" t="s">
        <v>77</v>
      </c>
      <c r="N5540" s="28" t="s">
        <v>77</v>
      </c>
      <c r="O5540" s="26" t="s">
        <v>77</v>
      </c>
    </row>
    <row r="5541">
      <c r="A5541" s="52" t="s">
        <v>77</v>
      </c>
      <c r="B5541" s="28" t="s">
        <v>77</v>
      </c>
      <c r="C5541" s="28" t="s">
        <v>77</v>
      </c>
      <c r="D5541" s="28" t="s">
        <v>77</v>
      </c>
      <c r="E5541" s="28" t="s">
        <v>77</v>
      </c>
      <c r="F5541" s="28" t="s">
        <v>77</v>
      </c>
      <c r="G5541" s="28" t="s">
        <v>77</v>
      </c>
      <c r="I5541" s="26" t="s">
        <v>77</v>
      </c>
      <c r="J5541" s="26" t="s">
        <v>77</v>
      </c>
      <c r="K5541" s="18"/>
      <c r="L5541" s="26" t="s">
        <v>77</v>
      </c>
      <c r="M5541" s="6" t="s">
        <v>77</v>
      </c>
      <c r="N5541" s="28" t="s">
        <v>77</v>
      </c>
      <c r="O5541" s="26" t="s">
        <v>77</v>
      </c>
    </row>
    <row r="5542">
      <c r="A5542" s="52" t="s">
        <v>77</v>
      </c>
      <c r="B5542" s="28" t="s">
        <v>77</v>
      </c>
      <c r="C5542" s="28" t="s">
        <v>77</v>
      </c>
      <c r="D5542" s="28" t="s">
        <v>77</v>
      </c>
      <c r="E5542" s="28" t="s">
        <v>77</v>
      </c>
      <c r="F5542" s="28" t="s">
        <v>77</v>
      </c>
      <c r="G5542" s="28" t="s">
        <v>77</v>
      </c>
      <c r="I5542" s="26" t="s">
        <v>77</v>
      </c>
      <c r="J5542" s="26" t="s">
        <v>77</v>
      </c>
      <c r="K5542" s="18"/>
      <c r="L5542" s="26" t="s">
        <v>77</v>
      </c>
      <c r="M5542" s="6" t="s">
        <v>77</v>
      </c>
      <c r="N5542" s="28" t="s">
        <v>77</v>
      </c>
      <c r="O5542" s="26" t="s">
        <v>77</v>
      </c>
    </row>
    <row r="5543">
      <c r="A5543" s="52" t="s">
        <v>77</v>
      </c>
      <c r="B5543" s="28" t="s">
        <v>77</v>
      </c>
      <c r="C5543" s="28" t="s">
        <v>77</v>
      </c>
      <c r="D5543" s="28" t="s">
        <v>77</v>
      </c>
      <c r="E5543" s="28" t="s">
        <v>77</v>
      </c>
      <c r="F5543" s="28" t="s">
        <v>77</v>
      </c>
      <c r="G5543" s="28" t="s">
        <v>77</v>
      </c>
      <c r="I5543" s="26" t="s">
        <v>77</v>
      </c>
      <c r="J5543" s="26" t="s">
        <v>77</v>
      </c>
      <c r="K5543" s="18"/>
      <c r="L5543" s="26" t="s">
        <v>77</v>
      </c>
      <c r="M5543" s="6" t="s">
        <v>77</v>
      </c>
      <c r="N5543" s="28" t="s">
        <v>77</v>
      </c>
      <c r="O5543" s="26" t="s">
        <v>77</v>
      </c>
    </row>
    <row r="5544">
      <c r="A5544" s="52" t="s">
        <v>77</v>
      </c>
      <c r="B5544" s="28" t="s">
        <v>77</v>
      </c>
      <c r="C5544" s="28" t="s">
        <v>77</v>
      </c>
      <c r="D5544" s="28" t="s">
        <v>77</v>
      </c>
      <c r="E5544" s="28" t="s">
        <v>77</v>
      </c>
      <c r="F5544" s="28" t="s">
        <v>77</v>
      </c>
      <c r="G5544" s="28" t="s">
        <v>77</v>
      </c>
      <c r="I5544" s="26" t="s">
        <v>77</v>
      </c>
      <c r="J5544" s="26" t="s">
        <v>77</v>
      </c>
      <c r="K5544" s="18"/>
      <c r="L5544" s="26" t="s">
        <v>77</v>
      </c>
      <c r="M5544" s="6" t="s">
        <v>77</v>
      </c>
      <c r="N5544" s="28" t="s">
        <v>77</v>
      </c>
      <c r="O5544" s="26" t="s">
        <v>77</v>
      </c>
    </row>
    <row r="5545">
      <c r="A5545" s="52" t="s">
        <v>77</v>
      </c>
      <c r="B5545" s="28" t="s">
        <v>77</v>
      </c>
      <c r="C5545" s="28" t="s">
        <v>77</v>
      </c>
      <c r="D5545" s="28" t="s">
        <v>77</v>
      </c>
      <c r="E5545" s="28" t="s">
        <v>77</v>
      </c>
      <c r="F5545" s="28" t="s">
        <v>77</v>
      </c>
      <c r="G5545" s="28" t="s">
        <v>77</v>
      </c>
      <c r="I5545" s="26" t="s">
        <v>77</v>
      </c>
      <c r="J5545" s="26" t="s">
        <v>77</v>
      </c>
      <c r="K5545" s="18"/>
      <c r="L5545" s="26" t="s">
        <v>77</v>
      </c>
      <c r="M5545" s="6" t="s">
        <v>77</v>
      </c>
      <c r="N5545" s="28" t="s">
        <v>77</v>
      </c>
      <c r="O5545" s="26" t="s">
        <v>77</v>
      </c>
    </row>
    <row r="5546">
      <c r="A5546" s="52" t="s">
        <v>77</v>
      </c>
      <c r="B5546" s="28" t="s">
        <v>77</v>
      </c>
      <c r="C5546" s="28" t="s">
        <v>77</v>
      </c>
      <c r="D5546" s="28" t="s">
        <v>77</v>
      </c>
      <c r="E5546" s="28" t="s">
        <v>77</v>
      </c>
      <c r="F5546" s="28" t="s">
        <v>77</v>
      </c>
      <c r="G5546" s="28" t="s">
        <v>77</v>
      </c>
      <c r="I5546" s="26" t="s">
        <v>77</v>
      </c>
      <c r="J5546" s="26" t="s">
        <v>77</v>
      </c>
      <c r="K5546" s="18"/>
      <c r="L5546" s="26" t="s">
        <v>77</v>
      </c>
      <c r="M5546" s="6" t="s">
        <v>77</v>
      </c>
      <c r="N5546" s="28" t="s">
        <v>77</v>
      </c>
      <c r="O5546" s="26" t="s">
        <v>77</v>
      </c>
    </row>
    <row r="5547">
      <c r="A5547" s="52" t="s">
        <v>77</v>
      </c>
      <c r="B5547" s="28" t="s">
        <v>77</v>
      </c>
      <c r="C5547" s="28" t="s">
        <v>77</v>
      </c>
      <c r="D5547" s="28" t="s">
        <v>77</v>
      </c>
      <c r="E5547" s="28" t="s">
        <v>77</v>
      </c>
      <c r="F5547" s="28" t="s">
        <v>77</v>
      </c>
      <c r="G5547" s="28" t="s">
        <v>77</v>
      </c>
      <c r="I5547" s="26" t="s">
        <v>77</v>
      </c>
      <c r="J5547" s="26" t="s">
        <v>77</v>
      </c>
      <c r="K5547" s="18"/>
      <c r="L5547" s="26" t="s">
        <v>77</v>
      </c>
      <c r="M5547" s="6" t="s">
        <v>77</v>
      </c>
      <c r="N5547" s="28" t="s">
        <v>77</v>
      </c>
      <c r="O5547" s="26" t="s">
        <v>77</v>
      </c>
    </row>
    <row r="5548">
      <c r="A5548" s="52" t="s">
        <v>77</v>
      </c>
      <c r="B5548" s="28" t="s">
        <v>77</v>
      </c>
      <c r="C5548" s="28" t="s">
        <v>77</v>
      </c>
      <c r="D5548" s="28" t="s">
        <v>77</v>
      </c>
      <c r="E5548" s="28" t="s">
        <v>77</v>
      </c>
      <c r="F5548" s="28" t="s">
        <v>77</v>
      </c>
      <c r="G5548" s="28" t="s">
        <v>77</v>
      </c>
      <c r="I5548" s="26" t="s">
        <v>77</v>
      </c>
      <c r="J5548" s="26" t="s">
        <v>77</v>
      </c>
      <c r="K5548" s="18"/>
      <c r="L5548" s="26" t="s">
        <v>77</v>
      </c>
      <c r="M5548" s="6" t="s">
        <v>77</v>
      </c>
      <c r="N5548" s="28" t="s">
        <v>77</v>
      </c>
      <c r="O5548" s="26" t="s">
        <v>77</v>
      </c>
    </row>
    <row r="5549">
      <c r="A5549" s="52" t="s">
        <v>77</v>
      </c>
      <c r="B5549" s="28" t="s">
        <v>77</v>
      </c>
      <c r="C5549" s="28" t="s">
        <v>77</v>
      </c>
      <c r="D5549" s="28" t="s">
        <v>77</v>
      </c>
      <c r="E5549" s="28" t="s">
        <v>77</v>
      </c>
      <c r="F5549" s="28" t="s">
        <v>77</v>
      </c>
      <c r="G5549" s="28" t="s">
        <v>77</v>
      </c>
      <c r="I5549" s="26" t="s">
        <v>77</v>
      </c>
      <c r="J5549" s="26" t="s">
        <v>77</v>
      </c>
      <c r="K5549" s="18"/>
      <c r="L5549" s="26" t="s">
        <v>77</v>
      </c>
      <c r="M5549" s="6" t="s">
        <v>77</v>
      </c>
      <c r="N5549" s="28" t="s">
        <v>77</v>
      </c>
      <c r="O5549" s="26" t="s">
        <v>77</v>
      </c>
    </row>
    <row r="5550">
      <c r="A5550" s="52" t="s">
        <v>77</v>
      </c>
      <c r="B5550" s="28" t="s">
        <v>77</v>
      </c>
      <c r="C5550" s="28" t="s">
        <v>77</v>
      </c>
      <c r="D5550" s="28" t="s">
        <v>77</v>
      </c>
      <c r="E5550" s="28" t="s">
        <v>77</v>
      </c>
      <c r="F5550" s="28" t="s">
        <v>77</v>
      </c>
      <c r="G5550" s="28" t="s">
        <v>77</v>
      </c>
      <c r="I5550" s="26" t="s">
        <v>77</v>
      </c>
      <c r="J5550" s="26" t="s">
        <v>77</v>
      </c>
      <c r="K5550" s="18"/>
      <c r="L5550" s="26" t="s">
        <v>77</v>
      </c>
      <c r="M5550" s="6" t="s">
        <v>77</v>
      </c>
      <c r="N5550" s="28" t="s">
        <v>77</v>
      </c>
      <c r="O5550" s="26" t="s">
        <v>77</v>
      </c>
    </row>
    <row r="5551">
      <c r="A5551" s="52" t="s">
        <v>77</v>
      </c>
      <c r="B5551" s="28" t="s">
        <v>77</v>
      </c>
      <c r="C5551" s="28" t="s">
        <v>77</v>
      </c>
      <c r="D5551" s="28" t="s">
        <v>77</v>
      </c>
      <c r="E5551" s="28" t="s">
        <v>77</v>
      </c>
      <c r="F5551" s="28" t="s">
        <v>77</v>
      </c>
      <c r="G5551" s="28" t="s">
        <v>77</v>
      </c>
      <c r="I5551" s="26" t="s">
        <v>77</v>
      </c>
      <c r="J5551" s="26" t="s">
        <v>77</v>
      </c>
      <c r="K5551" s="18"/>
      <c r="L5551" s="26" t="s">
        <v>77</v>
      </c>
      <c r="M5551" s="6" t="s">
        <v>77</v>
      </c>
      <c r="N5551" s="28" t="s">
        <v>77</v>
      </c>
      <c r="O5551" s="26" t="s">
        <v>77</v>
      </c>
    </row>
    <row r="5552">
      <c r="A5552" s="52" t="s">
        <v>77</v>
      </c>
      <c r="B5552" s="28" t="s">
        <v>77</v>
      </c>
      <c r="C5552" s="28" t="s">
        <v>77</v>
      </c>
      <c r="D5552" s="28" t="s">
        <v>77</v>
      </c>
      <c r="E5552" s="28" t="s">
        <v>77</v>
      </c>
      <c r="F5552" s="28" t="s">
        <v>77</v>
      </c>
      <c r="G5552" s="28" t="s">
        <v>77</v>
      </c>
      <c r="I5552" s="26" t="s">
        <v>77</v>
      </c>
      <c r="J5552" s="26" t="s">
        <v>77</v>
      </c>
      <c r="K5552" s="18"/>
      <c r="L5552" s="26" t="s">
        <v>77</v>
      </c>
      <c r="M5552" s="6" t="s">
        <v>77</v>
      </c>
      <c r="N5552" s="28" t="s">
        <v>77</v>
      </c>
      <c r="O5552" s="26" t="s">
        <v>77</v>
      </c>
    </row>
    <row r="5553">
      <c r="A5553" s="52" t="s">
        <v>77</v>
      </c>
      <c r="B5553" s="28" t="s">
        <v>77</v>
      </c>
      <c r="C5553" s="28" t="s">
        <v>77</v>
      </c>
      <c r="D5553" s="28" t="s">
        <v>77</v>
      </c>
      <c r="E5553" s="28" t="s">
        <v>77</v>
      </c>
      <c r="F5553" s="28" t="s">
        <v>77</v>
      </c>
      <c r="G5553" s="28" t="s">
        <v>77</v>
      </c>
      <c r="I5553" s="26" t="s">
        <v>77</v>
      </c>
      <c r="J5553" s="26" t="s">
        <v>77</v>
      </c>
      <c r="K5553" s="18"/>
      <c r="L5553" s="26" t="s">
        <v>77</v>
      </c>
      <c r="M5553" s="6" t="s">
        <v>77</v>
      </c>
      <c r="N5553" s="28" t="s">
        <v>77</v>
      </c>
      <c r="O5553" s="26" t="s">
        <v>77</v>
      </c>
    </row>
    <row r="5554">
      <c r="A5554" s="52" t="s">
        <v>77</v>
      </c>
      <c r="B5554" s="28" t="s">
        <v>77</v>
      </c>
      <c r="C5554" s="28" t="s">
        <v>77</v>
      </c>
      <c r="D5554" s="28" t="s">
        <v>77</v>
      </c>
      <c r="E5554" s="28" t="s">
        <v>77</v>
      </c>
      <c r="F5554" s="28" t="s">
        <v>77</v>
      </c>
      <c r="G5554" s="28" t="s">
        <v>77</v>
      </c>
      <c r="I5554" s="26" t="s">
        <v>77</v>
      </c>
      <c r="J5554" s="26" t="s">
        <v>77</v>
      </c>
      <c r="K5554" s="18"/>
      <c r="L5554" s="26" t="s">
        <v>77</v>
      </c>
      <c r="M5554" s="6" t="s">
        <v>77</v>
      </c>
      <c r="N5554" s="28" t="s">
        <v>77</v>
      </c>
      <c r="O5554" s="26" t="s">
        <v>77</v>
      </c>
    </row>
    <row r="5555">
      <c r="A5555" s="52" t="s">
        <v>77</v>
      </c>
      <c r="B5555" s="28" t="s">
        <v>77</v>
      </c>
      <c r="C5555" s="28" t="s">
        <v>77</v>
      </c>
      <c r="D5555" s="28" t="s">
        <v>77</v>
      </c>
      <c r="E5555" s="28" t="s">
        <v>77</v>
      </c>
      <c r="F5555" s="28" t="s">
        <v>77</v>
      </c>
      <c r="G5555" s="28" t="s">
        <v>77</v>
      </c>
      <c r="I5555" s="26" t="s">
        <v>77</v>
      </c>
      <c r="J5555" s="26" t="s">
        <v>77</v>
      </c>
      <c r="K5555" s="18"/>
      <c r="L5555" s="26" t="s">
        <v>77</v>
      </c>
      <c r="M5555" s="6" t="s">
        <v>77</v>
      </c>
      <c r="N5555" s="28" t="s">
        <v>77</v>
      </c>
      <c r="O5555" s="26" t="s">
        <v>77</v>
      </c>
    </row>
    <row r="5556">
      <c r="A5556" s="52" t="s">
        <v>77</v>
      </c>
      <c r="B5556" s="28" t="s">
        <v>77</v>
      </c>
      <c r="C5556" s="28" t="s">
        <v>77</v>
      </c>
      <c r="D5556" s="28" t="s">
        <v>77</v>
      </c>
      <c r="E5556" s="28" t="s">
        <v>77</v>
      </c>
      <c r="F5556" s="28" t="s">
        <v>77</v>
      </c>
      <c r="G5556" s="28" t="s">
        <v>77</v>
      </c>
      <c r="I5556" s="26" t="s">
        <v>77</v>
      </c>
      <c r="J5556" s="26" t="s">
        <v>77</v>
      </c>
      <c r="K5556" s="18"/>
      <c r="L5556" s="26" t="s">
        <v>77</v>
      </c>
      <c r="M5556" s="6" t="s">
        <v>77</v>
      </c>
      <c r="N5556" s="28" t="s">
        <v>77</v>
      </c>
      <c r="O5556" s="26" t="s">
        <v>77</v>
      </c>
    </row>
    <row r="5557">
      <c r="A5557" s="52" t="s">
        <v>77</v>
      </c>
      <c r="B5557" s="28" t="s">
        <v>77</v>
      </c>
      <c r="C5557" s="28" t="s">
        <v>77</v>
      </c>
      <c r="D5557" s="28" t="s">
        <v>77</v>
      </c>
      <c r="E5557" s="28" t="s">
        <v>77</v>
      </c>
      <c r="F5557" s="28" t="s">
        <v>77</v>
      </c>
      <c r="G5557" s="28" t="s">
        <v>77</v>
      </c>
      <c r="I5557" s="26" t="s">
        <v>77</v>
      </c>
      <c r="J5557" s="26" t="s">
        <v>77</v>
      </c>
      <c r="K5557" s="18"/>
      <c r="L5557" s="26" t="s">
        <v>77</v>
      </c>
      <c r="M5557" s="6" t="s">
        <v>77</v>
      </c>
      <c r="N5557" s="28" t="s">
        <v>77</v>
      </c>
      <c r="O5557" s="26" t="s">
        <v>77</v>
      </c>
    </row>
    <row r="5558">
      <c r="A5558" s="52" t="s">
        <v>77</v>
      </c>
      <c r="B5558" s="28" t="s">
        <v>77</v>
      </c>
      <c r="C5558" s="28" t="s">
        <v>77</v>
      </c>
      <c r="D5558" s="28" t="s">
        <v>77</v>
      </c>
      <c r="E5558" s="28" t="s">
        <v>77</v>
      </c>
      <c r="F5558" s="28" t="s">
        <v>77</v>
      </c>
      <c r="G5558" s="28" t="s">
        <v>77</v>
      </c>
      <c r="I5558" s="26" t="s">
        <v>77</v>
      </c>
      <c r="J5558" s="26" t="s">
        <v>77</v>
      </c>
      <c r="K5558" s="18"/>
      <c r="L5558" s="26" t="s">
        <v>77</v>
      </c>
      <c r="M5558" s="6" t="s">
        <v>77</v>
      </c>
      <c r="N5558" s="28" t="s">
        <v>77</v>
      </c>
      <c r="O5558" s="26" t="s">
        <v>77</v>
      </c>
    </row>
    <row r="5559">
      <c r="A5559" s="52" t="s">
        <v>77</v>
      </c>
      <c r="B5559" s="28" t="s">
        <v>77</v>
      </c>
      <c r="C5559" s="28" t="s">
        <v>77</v>
      </c>
      <c r="D5559" s="28" t="s">
        <v>77</v>
      </c>
      <c r="E5559" s="28" t="s">
        <v>77</v>
      </c>
      <c r="F5559" s="28" t="s">
        <v>77</v>
      </c>
      <c r="G5559" s="28" t="s">
        <v>77</v>
      </c>
      <c r="I5559" s="26" t="s">
        <v>77</v>
      </c>
      <c r="J5559" s="26" t="s">
        <v>77</v>
      </c>
      <c r="K5559" s="18"/>
      <c r="L5559" s="26" t="s">
        <v>77</v>
      </c>
      <c r="M5559" s="6" t="s">
        <v>77</v>
      </c>
      <c r="N5559" s="28" t="s">
        <v>77</v>
      </c>
      <c r="O5559" s="26" t="s">
        <v>77</v>
      </c>
    </row>
    <row r="5560">
      <c r="A5560" s="52" t="s">
        <v>77</v>
      </c>
      <c r="B5560" s="28" t="s">
        <v>77</v>
      </c>
      <c r="C5560" s="28" t="s">
        <v>77</v>
      </c>
      <c r="D5560" s="28" t="s">
        <v>77</v>
      </c>
      <c r="E5560" s="28" t="s">
        <v>77</v>
      </c>
      <c r="F5560" s="28" t="s">
        <v>77</v>
      </c>
      <c r="G5560" s="28" t="s">
        <v>77</v>
      </c>
      <c r="I5560" s="26" t="s">
        <v>77</v>
      </c>
      <c r="J5560" s="26" t="s">
        <v>77</v>
      </c>
      <c r="K5560" s="18"/>
      <c r="L5560" s="26" t="s">
        <v>77</v>
      </c>
      <c r="M5560" s="6" t="s">
        <v>77</v>
      </c>
      <c r="N5560" s="28" t="s">
        <v>77</v>
      </c>
      <c r="O5560" s="26" t="s">
        <v>77</v>
      </c>
    </row>
    <row r="5561">
      <c r="A5561" s="52" t="s">
        <v>77</v>
      </c>
      <c r="B5561" s="28" t="s">
        <v>77</v>
      </c>
      <c r="C5561" s="28" t="s">
        <v>77</v>
      </c>
      <c r="D5561" s="28" t="s">
        <v>77</v>
      </c>
      <c r="E5561" s="28" t="s">
        <v>77</v>
      </c>
      <c r="F5561" s="28" t="s">
        <v>77</v>
      </c>
      <c r="G5561" s="28" t="s">
        <v>77</v>
      </c>
      <c r="I5561" s="26" t="s">
        <v>77</v>
      </c>
      <c r="J5561" s="26" t="s">
        <v>77</v>
      </c>
      <c r="K5561" s="18"/>
      <c r="L5561" s="26" t="s">
        <v>77</v>
      </c>
      <c r="M5561" s="6" t="s">
        <v>77</v>
      </c>
      <c r="N5561" s="28" t="s">
        <v>77</v>
      </c>
      <c r="O5561" s="26" t="s">
        <v>77</v>
      </c>
    </row>
    <row r="5562">
      <c r="A5562" s="52" t="s">
        <v>77</v>
      </c>
      <c r="B5562" s="28" t="s">
        <v>77</v>
      </c>
      <c r="C5562" s="28" t="s">
        <v>77</v>
      </c>
      <c r="D5562" s="28" t="s">
        <v>77</v>
      </c>
      <c r="E5562" s="28" t="s">
        <v>77</v>
      </c>
      <c r="F5562" s="28" t="s">
        <v>77</v>
      </c>
      <c r="G5562" s="28" t="s">
        <v>77</v>
      </c>
      <c r="I5562" s="26" t="s">
        <v>77</v>
      </c>
      <c r="J5562" s="26" t="s">
        <v>77</v>
      </c>
      <c r="K5562" s="18"/>
      <c r="L5562" s="26" t="s">
        <v>77</v>
      </c>
      <c r="M5562" s="6" t="s">
        <v>77</v>
      </c>
      <c r="N5562" s="28" t="s">
        <v>77</v>
      </c>
      <c r="O5562" s="26" t="s">
        <v>77</v>
      </c>
    </row>
    <row r="5563">
      <c r="A5563" s="52" t="s">
        <v>77</v>
      </c>
      <c r="B5563" s="28" t="s">
        <v>77</v>
      </c>
      <c r="C5563" s="28" t="s">
        <v>77</v>
      </c>
      <c r="D5563" s="28" t="s">
        <v>77</v>
      </c>
      <c r="E5563" s="28" t="s">
        <v>77</v>
      </c>
      <c r="F5563" s="28" t="s">
        <v>77</v>
      </c>
      <c r="G5563" s="28" t="s">
        <v>77</v>
      </c>
      <c r="I5563" s="26" t="s">
        <v>77</v>
      </c>
      <c r="J5563" s="26" t="s">
        <v>77</v>
      </c>
      <c r="K5563" s="18"/>
      <c r="L5563" s="26" t="s">
        <v>77</v>
      </c>
      <c r="M5563" s="6" t="s">
        <v>77</v>
      </c>
      <c r="N5563" s="28" t="s">
        <v>77</v>
      </c>
      <c r="O5563" s="26" t="s">
        <v>77</v>
      </c>
    </row>
    <row r="5564">
      <c r="A5564" s="52" t="s">
        <v>77</v>
      </c>
      <c r="B5564" s="28" t="s">
        <v>77</v>
      </c>
      <c r="C5564" s="28" t="s">
        <v>77</v>
      </c>
      <c r="D5564" s="28" t="s">
        <v>77</v>
      </c>
      <c r="E5564" s="28" t="s">
        <v>77</v>
      </c>
      <c r="F5564" s="28" t="s">
        <v>77</v>
      </c>
      <c r="G5564" s="28" t="s">
        <v>77</v>
      </c>
      <c r="I5564" s="26" t="s">
        <v>77</v>
      </c>
      <c r="J5564" s="26" t="s">
        <v>77</v>
      </c>
      <c r="K5564" s="18"/>
      <c r="L5564" s="26" t="s">
        <v>77</v>
      </c>
      <c r="M5564" s="6" t="s">
        <v>77</v>
      </c>
      <c r="N5564" s="28" t="s">
        <v>77</v>
      </c>
      <c r="O5564" s="26" t="s">
        <v>77</v>
      </c>
    </row>
    <row r="5565">
      <c r="A5565" s="52" t="s">
        <v>77</v>
      </c>
      <c r="B5565" s="28" t="s">
        <v>77</v>
      </c>
      <c r="C5565" s="28" t="s">
        <v>77</v>
      </c>
      <c r="D5565" s="28" t="s">
        <v>77</v>
      </c>
      <c r="E5565" s="28" t="s">
        <v>77</v>
      </c>
      <c r="F5565" s="28" t="s">
        <v>77</v>
      </c>
      <c r="G5565" s="28" t="s">
        <v>77</v>
      </c>
      <c r="I5565" s="26" t="s">
        <v>77</v>
      </c>
      <c r="J5565" s="26" t="s">
        <v>77</v>
      </c>
      <c r="K5565" s="18"/>
      <c r="L5565" s="26" t="s">
        <v>77</v>
      </c>
      <c r="M5565" s="6" t="s">
        <v>77</v>
      </c>
      <c r="N5565" s="28" t="s">
        <v>77</v>
      </c>
      <c r="O5565" s="26" t="s">
        <v>77</v>
      </c>
    </row>
    <row r="5566">
      <c r="A5566" s="52" t="s">
        <v>77</v>
      </c>
      <c r="B5566" s="28" t="s">
        <v>77</v>
      </c>
      <c r="C5566" s="28" t="s">
        <v>77</v>
      </c>
      <c r="D5566" s="28" t="s">
        <v>77</v>
      </c>
      <c r="E5566" s="28" t="s">
        <v>77</v>
      </c>
      <c r="F5566" s="28" t="s">
        <v>77</v>
      </c>
      <c r="G5566" s="28" t="s">
        <v>77</v>
      </c>
      <c r="I5566" s="26" t="s">
        <v>77</v>
      </c>
      <c r="J5566" s="26" t="s">
        <v>77</v>
      </c>
      <c r="K5566" s="18"/>
      <c r="L5566" s="26" t="s">
        <v>77</v>
      </c>
      <c r="M5566" s="6" t="s">
        <v>77</v>
      </c>
      <c r="N5566" s="28" t="s">
        <v>77</v>
      </c>
      <c r="O5566" s="26" t="s">
        <v>77</v>
      </c>
    </row>
    <row r="5567">
      <c r="A5567" s="52" t="s">
        <v>77</v>
      </c>
      <c r="B5567" s="28" t="s">
        <v>77</v>
      </c>
      <c r="C5567" s="28" t="s">
        <v>77</v>
      </c>
      <c r="D5567" s="28" t="s">
        <v>77</v>
      </c>
      <c r="E5567" s="28" t="s">
        <v>77</v>
      </c>
      <c r="F5567" s="28" t="s">
        <v>77</v>
      </c>
      <c r="G5567" s="28" t="s">
        <v>77</v>
      </c>
      <c r="I5567" s="26" t="s">
        <v>77</v>
      </c>
      <c r="J5567" s="26" t="s">
        <v>77</v>
      </c>
      <c r="K5567" s="18"/>
      <c r="L5567" s="26" t="s">
        <v>77</v>
      </c>
      <c r="M5567" s="6" t="s">
        <v>77</v>
      </c>
      <c r="N5567" s="28" t="s">
        <v>77</v>
      </c>
      <c r="O5567" s="26" t="s">
        <v>77</v>
      </c>
    </row>
    <row r="5568">
      <c r="A5568" s="52" t="s">
        <v>77</v>
      </c>
      <c r="B5568" s="28" t="s">
        <v>77</v>
      </c>
      <c r="C5568" s="28" t="s">
        <v>77</v>
      </c>
      <c r="D5568" s="28" t="s">
        <v>77</v>
      </c>
      <c r="E5568" s="28" t="s">
        <v>77</v>
      </c>
      <c r="F5568" s="28" t="s">
        <v>77</v>
      </c>
      <c r="G5568" s="28" t="s">
        <v>77</v>
      </c>
      <c r="I5568" s="26" t="s">
        <v>77</v>
      </c>
      <c r="J5568" s="26" t="s">
        <v>77</v>
      </c>
      <c r="K5568" s="18"/>
      <c r="L5568" s="26" t="s">
        <v>77</v>
      </c>
      <c r="M5568" s="6" t="s">
        <v>77</v>
      </c>
      <c r="N5568" s="28" t="s">
        <v>77</v>
      </c>
      <c r="O5568" s="26" t="s">
        <v>77</v>
      </c>
    </row>
    <row r="5569">
      <c r="A5569" s="52" t="s">
        <v>77</v>
      </c>
      <c r="B5569" s="28" t="s">
        <v>77</v>
      </c>
      <c r="C5569" s="28" t="s">
        <v>77</v>
      </c>
      <c r="D5569" s="28" t="s">
        <v>77</v>
      </c>
      <c r="E5569" s="28" t="s">
        <v>77</v>
      </c>
      <c r="F5569" s="28" t="s">
        <v>77</v>
      </c>
      <c r="G5569" s="28" t="s">
        <v>77</v>
      </c>
      <c r="I5569" s="26" t="s">
        <v>77</v>
      </c>
      <c r="J5569" s="26" t="s">
        <v>77</v>
      </c>
      <c r="K5569" s="18"/>
      <c r="L5569" s="26" t="s">
        <v>77</v>
      </c>
      <c r="M5569" s="6" t="s">
        <v>77</v>
      </c>
      <c r="N5569" s="28" t="s">
        <v>77</v>
      </c>
      <c r="O5569" s="26" t="s">
        <v>77</v>
      </c>
    </row>
    <row r="5570">
      <c r="A5570" s="52" t="s">
        <v>77</v>
      </c>
      <c r="B5570" s="28" t="s">
        <v>77</v>
      </c>
      <c r="C5570" s="28" t="s">
        <v>77</v>
      </c>
      <c r="D5570" s="28" t="s">
        <v>77</v>
      </c>
      <c r="E5570" s="28" t="s">
        <v>77</v>
      </c>
      <c r="F5570" s="28" t="s">
        <v>77</v>
      </c>
      <c r="G5570" s="28" t="s">
        <v>77</v>
      </c>
      <c r="I5570" s="26" t="s">
        <v>77</v>
      </c>
      <c r="J5570" s="26" t="s">
        <v>77</v>
      </c>
      <c r="K5570" s="18"/>
      <c r="L5570" s="26" t="s">
        <v>77</v>
      </c>
      <c r="M5570" s="6" t="s">
        <v>77</v>
      </c>
      <c r="N5570" s="28" t="s">
        <v>77</v>
      </c>
      <c r="O5570" s="26" t="s">
        <v>77</v>
      </c>
    </row>
    <row r="5571">
      <c r="A5571" s="52" t="s">
        <v>77</v>
      </c>
      <c r="B5571" s="28" t="s">
        <v>77</v>
      </c>
      <c r="C5571" s="28" t="s">
        <v>77</v>
      </c>
      <c r="D5571" s="28" t="s">
        <v>77</v>
      </c>
      <c r="E5571" s="28" t="s">
        <v>77</v>
      </c>
      <c r="F5571" s="28" t="s">
        <v>77</v>
      </c>
      <c r="G5571" s="28" t="s">
        <v>77</v>
      </c>
      <c r="I5571" s="26" t="s">
        <v>77</v>
      </c>
      <c r="J5571" s="26" t="s">
        <v>77</v>
      </c>
      <c r="K5571" s="18"/>
      <c r="L5571" s="26" t="s">
        <v>77</v>
      </c>
      <c r="M5571" s="6" t="s">
        <v>77</v>
      </c>
      <c r="N5571" s="28" t="s">
        <v>77</v>
      </c>
      <c r="O5571" s="26" t="s">
        <v>77</v>
      </c>
    </row>
    <row r="5572">
      <c r="A5572" s="52" t="s">
        <v>77</v>
      </c>
      <c r="B5572" s="28" t="s">
        <v>77</v>
      </c>
      <c r="C5572" s="28" t="s">
        <v>77</v>
      </c>
      <c r="D5572" s="28" t="s">
        <v>77</v>
      </c>
      <c r="E5572" s="28" t="s">
        <v>77</v>
      </c>
      <c r="F5572" s="28" t="s">
        <v>77</v>
      </c>
      <c r="G5572" s="28" t="s">
        <v>77</v>
      </c>
      <c r="I5572" s="26" t="s">
        <v>77</v>
      </c>
      <c r="J5572" s="26" t="s">
        <v>77</v>
      </c>
      <c r="K5572" s="18"/>
      <c r="L5572" s="26" t="s">
        <v>77</v>
      </c>
      <c r="M5572" s="6" t="s">
        <v>77</v>
      </c>
      <c r="N5572" s="28" t="s">
        <v>77</v>
      </c>
      <c r="O5572" s="26" t="s">
        <v>77</v>
      </c>
    </row>
    <row r="5573">
      <c r="A5573" s="52" t="s">
        <v>77</v>
      </c>
      <c r="B5573" s="28" t="s">
        <v>77</v>
      </c>
      <c r="C5573" s="28" t="s">
        <v>77</v>
      </c>
      <c r="D5573" s="28" t="s">
        <v>77</v>
      </c>
      <c r="E5573" s="28" t="s">
        <v>77</v>
      </c>
      <c r="F5573" s="28" t="s">
        <v>77</v>
      </c>
      <c r="G5573" s="28" t="s">
        <v>77</v>
      </c>
      <c r="I5573" s="26" t="s">
        <v>77</v>
      </c>
      <c r="J5573" s="26" t="s">
        <v>77</v>
      </c>
      <c r="K5573" s="18"/>
      <c r="L5573" s="26" t="s">
        <v>77</v>
      </c>
      <c r="M5573" s="6" t="s">
        <v>77</v>
      </c>
      <c r="N5573" s="28" t="s">
        <v>77</v>
      </c>
      <c r="O5573" s="26" t="s">
        <v>77</v>
      </c>
    </row>
    <row r="5574">
      <c r="A5574" s="52" t="s">
        <v>77</v>
      </c>
      <c r="B5574" s="28" t="s">
        <v>77</v>
      </c>
      <c r="C5574" s="28" t="s">
        <v>77</v>
      </c>
      <c r="D5574" s="28" t="s">
        <v>77</v>
      </c>
      <c r="E5574" s="28" t="s">
        <v>77</v>
      </c>
      <c r="F5574" s="28" t="s">
        <v>77</v>
      </c>
      <c r="G5574" s="28" t="s">
        <v>77</v>
      </c>
      <c r="I5574" s="26" t="s">
        <v>77</v>
      </c>
      <c r="J5574" s="26" t="s">
        <v>77</v>
      </c>
      <c r="K5574" s="18"/>
      <c r="L5574" s="26" t="s">
        <v>77</v>
      </c>
      <c r="M5574" s="6" t="s">
        <v>77</v>
      </c>
      <c r="N5574" s="28" t="s">
        <v>77</v>
      </c>
      <c r="O5574" s="26" t="s">
        <v>77</v>
      </c>
    </row>
    <row r="5575">
      <c r="A5575" s="52" t="s">
        <v>77</v>
      </c>
      <c r="B5575" s="28" t="s">
        <v>77</v>
      </c>
      <c r="C5575" s="28" t="s">
        <v>77</v>
      </c>
      <c r="D5575" s="28" t="s">
        <v>77</v>
      </c>
      <c r="E5575" s="28" t="s">
        <v>77</v>
      </c>
      <c r="F5575" s="28" t="s">
        <v>77</v>
      </c>
      <c r="G5575" s="28" t="s">
        <v>77</v>
      </c>
      <c r="I5575" s="26" t="s">
        <v>77</v>
      </c>
      <c r="J5575" s="26" t="s">
        <v>77</v>
      </c>
      <c r="K5575" s="18"/>
      <c r="L5575" s="26" t="s">
        <v>77</v>
      </c>
      <c r="M5575" s="6" t="s">
        <v>77</v>
      </c>
      <c r="N5575" s="28" t="s">
        <v>77</v>
      </c>
      <c r="O5575" s="26" t="s">
        <v>77</v>
      </c>
    </row>
    <row r="5576">
      <c r="A5576" s="52" t="s">
        <v>77</v>
      </c>
      <c r="B5576" s="28" t="s">
        <v>77</v>
      </c>
      <c r="C5576" s="28" t="s">
        <v>77</v>
      </c>
      <c r="D5576" s="28" t="s">
        <v>77</v>
      </c>
      <c r="E5576" s="28" t="s">
        <v>77</v>
      </c>
      <c r="F5576" s="28" t="s">
        <v>77</v>
      </c>
      <c r="G5576" s="28" t="s">
        <v>77</v>
      </c>
      <c r="I5576" s="26" t="s">
        <v>77</v>
      </c>
      <c r="J5576" s="26" t="s">
        <v>77</v>
      </c>
      <c r="K5576" s="18"/>
      <c r="L5576" s="26" t="s">
        <v>77</v>
      </c>
      <c r="M5576" s="6" t="s">
        <v>77</v>
      </c>
      <c r="N5576" s="28" t="s">
        <v>77</v>
      </c>
      <c r="O5576" s="26" t="s">
        <v>77</v>
      </c>
    </row>
    <row r="5577">
      <c r="A5577" s="52" t="s">
        <v>77</v>
      </c>
      <c r="B5577" s="28" t="s">
        <v>77</v>
      </c>
      <c r="C5577" s="28" t="s">
        <v>77</v>
      </c>
      <c r="D5577" s="28" t="s">
        <v>77</v>
      </c>
      <c r="E5577" s="28" t="s">
        <v>77</v>
      </c>
      <c r="F5577" s="28" t="s">
        <v>77</v>
      </c>
      <c r="G5577" s="28" t="s">
        <v>77</v>
      </c>
      <c r="I5577" s="26" t="s">
        <v>77</v>
      </c>
      <c r="J5577" s="26" t="s">
        <v>77</v>
      </c>
      <c r="K5577" s="18"/>
      <c r="L5577" s="26" t="s">
        <v>77</v>
      </c>
      <c r="M5577" s="6" t="s">
        <v>77</v>
      </c>
      <c r="N5577" s="28" t="s">
        <v>77</v>
      </c>
      <c r="O5577" s="26" t="s">
        <v>77</v>
      </c>
    </row>
    <row r="5578">
      <c r="A5578" s="52" t="s">
        <v>77</v>
      </c>
      <c r="B5578" s="28" t="s">
        <v>77</v>
      </c>
      <c r="C5578" s="28" t="s">
        <v>77</v>
      </c>
      <c r="D5578" s="28" t="s">
        <v>77</v>
      </c>
      <c r="E5578" s="28" t="s">
        <v>77</v>
      </c>
      <c r="F5578" s="28" t="s">
        <v>77</v>
      </c>
      <c r="G5578" s="28" t="s">
        <v>77</v>
      </c>
      <c r="I5578" s="26" t="s">
        <v>77</v>
      </c>
      <c r="J5578" s="26" t="s">
        <v>77</v>
      </c>
      <c r="K5578" s="18"/>
      <c r="L5578" s="26" t="s">
        <v>77</v>
      </c>
      <c r="M5578" s="6" t="s">
        <v>77</v>
      </c>
      <c r="N5578" s="28" t="s">
        <v>77</v>
      </c>
      <c r="O5578" s="26" t="s">
        <v>77</v>
      </c>
    </row>
    <row r="5579">
      <c r="A5579" s="52" t="s">
        <v>77</v>
      </c>
      <c r="B5579" s="28" t="s">
        <v>77</v>
      </c>
      <c r="C5579" s="28" t="s">
        <v>77</v>
      </c>
      <c r="D5579" s="28" t="s">
        <v>77</v>
      </c>
      <c r="E5579" s="28" t="s">
        <v>77</v>
      </c>
      <c r="F5579" s="28" t="s">
        <v>77</v>
      </c>
      <c r="G5579" s="28" t="s">
        <v>77</v>
      </c>
      <c r="I5579" s="26" t="s">
        <v>77</v>
      </c>
      <c r="J5579" s="26" t="s">
        <v>77</v>
      </c>
      <c r="K5579" s="18"/>
      <c r="L5579" s="26" t="s">
        <v>77</v>
      </c>
      <c r="M5579" s="6" t="s">
        <v>77</v>
      </c>
      <c r="N5579" s="28" t="s">
        <v>77</v>
      </c>
      <c r="O5579" s="26" t="s">
        <v>77</v>
      </c>
    </row>
    <row r="5580">
      <c r="A5580" s="52" t="s">
        <v>77</v>
      </c>
      <c r="B5580" s="28" t="s">
        <v>77</v>
      </c>
      <c r="C5580" s="28" t="s">
        <v>77</v>
      </c>
      <c r="D5580" s="28" t="s">
        <v>77</v>
      </c>
      <c r="E5580" s="28" t="s">
        <v>77</v>
      </c>
      <c r="F5580" s="28" t="s">
        <v>77</v>
      </c>
      <c r="G5580" s="28" t="s">
        <v>77</v>
      </c>
      <c r="I5580" s="26" t="s">
        <v>77</v>
      </c>
      <c r="J5580" s="26" t="s">
        <v>77</v>
      </c>
      <c r="K5580" s="18"/>
      <c r="L5580" s="26" t="s">
        <v>77</v>
      </c>
      <c r="M5580" s="6" t="s">
        <v>77</v>
      </c>
      <c r="N5580" s="28" t="s">
        <v>77</v>
      </c>
      <c r="O5580" s="26" t="s">
        <v>77</v>
      </c>
    </row>
    <row r="5581">
      <c r="A5581" s="52" t="s">
        <v>77</v>
      </c>
      <c r="B5581" s="28" t="s">
        <v>77</v>
      </c>
      <c r="C5581" s="28" t="s">
        <v>77</v>
      </c>
      <c r="D5581" s="28" t="s">
        <v>77</v>
      </c>
      <c r="E5581" s="28" t="s">
        <v>77</v>
      </c>
      <c r="F5581" s="28" t="s">
        <v>77</v>
      </c>
      <c r="G5581" s="28" t="s">
        <v>77</v>
      </c>
      <c r="I5581" s="26" t="s">
        <v>77</v>
      </c>
      <c r="J5581" s="26" t="s">
        <v>77</v>
      </c>
      <c r="K5581" s="18"/>
      <c r="L5581" s="26" t="s">
        <v>77</v>
      </c>
      <c r="M5581" s="6" t="s">
        <v>77</v>
      </c>
      <c r="N5581" s="28" t="s">
        <v>77</v>
      </c>
      <c r="O5581" s="26" t="s">
        <v>77</v>
      </c>
    </row>
    <row r="5582">
      <c r="A5582" s="52" t="s">
        <v>77</v>
      </c>
      <c r="B5582" s="28" t="s">
        <v>77</v>
      </c>
      <c r="C5582" s="28" t="s">
        <v>77</v>
      </c>
      <c r="D5582" s="28" t="s">
        <v>77</v>
      </c>
      <c r="E5582" s="28" t="s">
        <v>77</v>
      </c>
      <c r="F5582" s="28" t="s">
        <v>77</v>
      </c>
      <c r="G5582" s="28" t="s">
        <v>77</v>
      </c>
      <c r="I5582" s="26" t="s">
        <v>77</v>
      </c>
      <c r="J5582" s="26" t="s">
        <v>77</v>
      </c>
      <c r="K5582" s="18"/>
      <c r="L5582" s="26" t="s">
        <v>77</v>
      </c>
      <c r="M5582" s="6" t="s">
        <v>77</v>
      </c>
      <c r="N5582" s="28" t="s">
        <v>77</v>
      </c>
      <c r="O5582" s="26" t="s">
        <v>77</v>
      </c>
    </row>
    <row r="5583">
      <c r="A5583" s="52" t="s">
        <v>77</v>
      </c>
      <c r="B5583" s="28" t="s">
        <v>77</v>
      </c>
      <c r="C5583" s="28" t="s">
        <v>77</v>
      </c>
      <c r="D5583" s="28" t="s">
        <v>77</v>
      </c>
      <c r="E5583" s="28" t="s">
        <v>77</v>
      </c>
      <c r="F5583" s="28" t="s">
        <v>77</v>
      </c>
      <c r="G5583" s="28" t="s">
        <v>77</v>
      </c>
      <c r="I5583" s="26" t="s">
        <v>77</v>
      </c>
      <c r="J5583" s="26" t="s">
        <v>77</v>
      </c>
      <c r="K5583" s="18"/>
      <c r="L5583" s="26" t="s">
        <v>77</v>
      </c>
      <c r="M5583" s="6" t="s">
        <v>77</v>
      </c>
      <c r="N5583" s="28" t="s">
        <v>77</v>
      </c>
      <c r="O5583" s="26" t="s">
        <v>77</v>
      </c>
    </row>
    <row r="5584">
      <c r="A5584" s="52" t="s">
        <v>77</v>
      </c>
      <c r="B5584" s="28" t="s">
        <v>77</v>
      </c>
      <c r="C5584" s="28" t="s">
        <v>77</v>
      </c>
      <c r="D5584" s="28" t="s">
        <v>77</v>
      </c>
      <c r="E5584" s="28" t="s">
        <v>77</v>
      </c>
      <c r="F5584" s="28" t="s">
        <v>77</v>
      </c>
      <c r="G5584" s="28" t="s">
        <v>77</v>
      </c>
      <c r="I5584" s="26" t="s">
        <v>77</v>
      </c>
      <c r="J5584" s="26" t="s">
        <v>77</v>
      </c>
      <c r="K5584" s="18"/>
      <c r="L5584" s="26" t="s">
        <v>77</v>
      </c>
      <c r="M5584" s="6" t="s">
        <v>77</v>
      </c>
      <c r="N5584" s="28" t="s">
        <v>77</v>
      </c>
      <c r="O5584" s="26" t="s">
        <v>77</v>
      </c>
    </row>
    <row r="5585">
      <c r="A5585" s="52" t="s">
        <v>77</v>
      </c>
      <c r="B5585" s="28" t="s">
        <v>77</v>
      </c>
      <c r="C5585" s="28" t="s">
        <v>77</v>
      </c>
      <c r="D5585" s="28" t="s">
        <v>77</v>
      </c>
      <c r="E5585" s="28" t="s">
        <v>77</v>
      </c>
      <c r="F5585" s="28" t="s">
        <v>77</v>
      </c>
      <c r="G5585" s="28" t="s">
        <v>77</v>
      </c>
      <c r="I5585" s="26" t="s">
        <v>77</v>
      </c>
      <c r="J5585" s="26" t="s">
        <v>77</v>
      </c>
      <c r="K5585" s="18"/>
      <c r="L5585" s="26" t="s">
        <v>77</v>
      </c>
      <c r="M5585" s="6" t="s">
        <v>77</v>
      </c>
      <c r="N5585" s="28" t="s">
        <v>77</v>
      </c>
      <c r="O5585" s="26" t="s">
        <v>77</v>
      </c>
    </row>
    <row r="5586">
      <c r="A5586" s="52" t="s">
        <v>77</v>
      </c>
      <c r="B5586" s="28" t="s">
        <v>77</v>
      </c>
      <c r="C5586" s="28" t="s">
        <v>77</v>
      </c>
      <c r="D5586" s="28" t="s">
        <v>77</v>
      </c>
      <c r="E5586" s="28" t="s">
        <v>77</v>
      </c>
      <c r="F5586" s="28" t="s">
        <v>77</v>
      </c>
      <c r="G5586" s="28" t="s">
        <v>77</v>
      </c>
      <c r="I5586" s="26" t="s">
        <v>77</v>
      </c>
      <c r="J5586" s="26" t="s">
        <v>77</v>
      </c>
      <c r="K5586" s="18"/>
      <c r="L5586" s="26" t="s">
        <v>77</v>
      </c>
      <c r="M5586" s="6" t="s">
        <v>77</v>
      </c>
      <c r="N5586" s="28" t="s">
        <v>77</v>
      </c>
      <c r="O5586" s="26" t="s">
        <v>77</v>
      </c>
    </row>
    <row r="5587">
      <c r="A5587" s="52" t="s">
        <v>77</v>
      </c>
      <c r="B5587" s="28" t="s">
        <v>77</v>
      </c>
      <c r="C5587" s="28" t="s">
        <v>77</v>
      </c>
      <c r="D5587" s="28" t="s">
        <v>77</v>
      </c>
      <c r="E5587" s="28" t="s">
        <v>77</v>
      </c>
      <c r="F5587" s="28" t="s">
        <v>77</v>
      </c>
      <c r="G5587" s="28" t="s">
        <v>77</v>
      </c>
      <c r="I5587" s="26" t="s">
        <v>77</v>
      </c>
      <c r="J5587" s="26" t="s">
        <v>77</v>
      </c>
      <c r="K5587" s="18"/>
      <c r="L5587" s="26" t="s">
        <v>77</v>
      </c>
      <c r="M5587" s="6" t="s">
        <v>77</v>
      </c>
      <c r="N5587" s="28" t="s">
        <v>77</v>
      </c>
      <c r="O5587" s="26" t="s">
        <v>77</v>
      </c>
    </row>
    <row r="5588">
      <c r="A5588" s="52" t="s">
        <v>77</v>
      </c>
      <c r="B5588" s="28" t="s">
        <v>77</v>
      </c>
      <c r="C5588" s="28" t="s">
        <v>77</v>
      </c>
      <c r="D5588" s="28" t="s">
        <v>77</v>
      </c>
      <c r="E5588" s="28" t="s">
        <v>77</v>
      </c>
      <c r="F5588" s="28" t="s">
        <v>77</v>
      </c>
      <c r="G5588" s="28" t="s">
        <v>77</v>
      </c>
      <c r="I5588" s="26" t="s">
        <v>77</v>
      </c>
      <c r="J5588" s="26" t="s">
        <v>77</v>
      </c>
      <c r="K5588" s="18"/>
      <c r="L5588" s="26" t="s">
        <v>77</v>
      </c>
      <c r="M5588" s="6" t="s">
        <v>77</v>
      </c>
      <c r="N5588" s="28" t="s">
        <v>77</v>
      </c>
      <c r="O5588" s="26" t="s">
        <v>77</v>
      </c>
    </row>
    <row r="5589">
      <c r="A5589" s="52" t="s">
        <v>77</v>
      </c>
      <c r="B5589" s="28" t="s">
        <v>77</v>
      </c>
      <c r="C5589" s="28" t="s">
        <v>77</v>
      </c>
      <c r="D5589" s="28" t="s">
        <v>77</v>
      </c>
      <c r="E5589" s="28" t="s">
        <v>77</v>
      </c>
      <c r="F5589" s="28" t="s">
        <v>77</v>
      </c>
      <c r="G5589" s="28" t="s">
        <v>77</v>
      </c>
      <c r="I5589" s="26" t="s">
        <v>77</v>
      </c>
      <c r="J5589" s="26" t="s">
        <v>77</v>
      </c>
      <c r="K5589" s="18"/>
      <c r="L5589" s="26" t="s">
        <v>77</v>
      </c>
      <c r="M5589" s="6" t="s">
        <v>77</v>
      </c>
      <c r="N5589" s="28" t="s">
        <v>77</v>
      </c>
      <c r="O5589" s="26" t="s">
        <v>77</v>
      </c>
    </row>
    <row r="5590">
      <c r="A5590" s="52" t="s">
        <v>77</v>
      </c>
      <c r="B5590" s="28" t="s">
        <v>77</v>
      </c>
      <c r="C5590" s="28" t="s">
        <v>77</v>
      </c>
      <c r="D5590" s="28" t="s">
        <v>77</v>
      </c>
      <c r="E5590" s="28" t="s">
        <v>77</v>
      </c>
      <c r="F5590" s="28" t="s">
        <v>77</v>
      </c>
      <c r="G5590" s="28" t="s">
        <v>77</v>
      </c>
      <c r="I5590" s="26" t="s">
        <v>77</v>
      </c>
      <c r="J5590" s="26" t="s">
        <v>77</v>
      </c>
      <c r="K5590" s="18"/>
      <c r="L5590" s="26" t="s">
        <v>77</v>
      </c>
      <c r="M5590" s="6" t="s">
        <v>77</v>
      </c>
      <c r="N5590" s="28" t="s">
        <v>77</v>
      </c>
      <c r="O5590" s="26" t="s">
        <v>77</v>
      </c>
    </row>
    <row r="5591">
      <c r="A5591" s="52" t="s">
        <v>77</v>
      </c>
      <c r="B5591" s="28" t="s">
        <v>77</v>
      </c>
      <c r="C5591" s="28" t="s">
        <v>77</v>
      </c>
      <c r="D5591" s="28" t="s">
        <v>77</v>
      </c>
      <c r="E5591" s="28" t="s">
        <v>77</v>
      </c>
      <c r="F5591" s="28" t="s">
        <v>77</v>
      </c>
      <c r="G5591" s="28" t="s">
        <v>77</v>
      </c>
      <c r="I5591" s="26" t="s">
        <v>77</v>
      </c>
      <c r="J5591" s="26" t="s">
        <v>77</v>
      </c>
      <c r="K5591" s="18"/>
      <c r="L5591" s="26" t="s">
        <v>77</v>
      </c>
      <c r="M5591" s="6" t="s">
        <v>77</v>
      </c>
      <c r="N5591" s="28" t="s">
        <v>77</v>
      </c>
      <c r="O5591" s="26" t="s">
        <v>77</v>
      </c>
    </row>
    <row r="5592">
      <c r="A5592" s="52" t="s">
        <v>77</v>
      </c>
      <c r="B5592" s="28" t="s">
        <v>77</v>
      </c>
      <c r="C5592" s="28" t="s">
        <v>77</v>
      </c>
      <c r="D5592" s="28" t="s">
        <v>77</v>
      </c>
      <c r="E5592" s="28" t="s">
        <v>77</v>
      </c>
      <c r="F5592" s="28" t="s">
        <v>77</v>
      </c>
      <c r="G5592" s="28" t="s">
        <v>77</v>
      </c>
      <c r="I5592" s="26" t="s">
        <v>77</v>
      </c>
      <c r="J5592" s="26" t="s">
        <v>77</v>
      </c>
      <c r="K5592" s="18"/>
      <c r="L5592" s="26" t="s">
        <v>77</v>
      </c>
      <c r="M5592" s="6" t="s">
        <v>77</v>
      </c>
      <c r="N5592" s="28" t="s">
        <v>77</v>
      </c>
      <c r="O5592" s="26" t="s">
        <v>77</v>
      </c>
    </row>
    <row r="5593">
      <c r="A5593" s="52" t="s">
        <v>77</v>
      </c>
      <c r="B5593" s="28" t="s">
        <v>77</v>
      </c>
      <c r="C5593" s="28" t="s">
        <v>77</v>
      </c>
      <c r="D5593" s="28" t="s">
        <v>77</v>
      </c>
      <c r="E5593" s="28" t="s">
        <v>77</v>
      </c>
      <c r="F5593" s="28" t="s">
        <v>77</v>
      </c>
      <c r="G5593" s="28" t="s">
        <v>77</v>
      </c>
      <c r="I5593" s="26" t="s">
        <v>77</v>
      </c>
      <c r="J5593" s="26" t="s">
        <v>77</v>
      </c>
      <c r="K5593" s="18"/>
      <c r="L5593" s="26" t="s">
        <v>77</v>
      </c>
      <c r="M5593" s="6" t="s">
        <v>77</v>
      </c>
      <c r="N5593" s="28" t="s">
        <v>77</v>
      </c>
      <c r="O5593" s="26" t="s">
        <v>77</v>
      </c>
    </row>
    <row r="5594">
      <c r="A5594" s="52" t="s">
        <v>77</v>
      </c>
      <c r="B5594" s="28" t="s">
        <v>77</v>
      </c>
      <c r="C5594" s="28" t="s">
        <v>77</v>
      </c>
      <c r="D5594" s="28" t="s">
        <v>77</v>
      </c>
      <c r="E5594" s="28" t="s">
        <v>77</v>
      </c>
      <c r="F5594" s="28" t="s">
        <v>77</v>
      </c>
      <c r="G5594" s="28" t="s">
        <v>77</v>
      </c>
      <c r="I5594" s="26" t="s">
        <v>77</v>
      </c>
      <c r="J5594" s="26" t="s">
        <v>77</v>
      </c>
      <c r="K5594" s="18"/>
      <c r="L5594" s="26" t="s">
        <v>77</v>
      </c>
      <c r="M5594" s="6" t="s">
        <v>77</v>
      </c>
      <c r="N5594" s="28" t="s">
        <v>77</v>
      </c>
      <c r="O5594" s="26" t="s">
        <v>77</v>
      </c>
    </row>
    <row r="5595">
      <c r="A5595" s="52" t="s">
        <v>77</v>
      </c>
      <c r="B5595" s="28" t="s">
        <v>77</v>
      </c>
      <c r="C5595" s="28" t="s">
        <v>77</v>
      </c>
      <c r="D5595" s="28" t="s">
        <v>77</v>
      </c>
      <c r="E5595" s="28" t="s">
        <v>77</v>
      </c>
      <c r="F5595" s="28" t="s">
        <v>77</v>
      </c>
      <c r="G5595" s="28" t="s">
        <v>77</v>
      </c>
      <c r="I5595" s="26" t="s">
        <v>77</v>
      </c>
      <c r="J5595" s="26" t="s">
        <v>77</v>
      </c>
      <c r="K5595" s="18"/>
      <c r="L5595" s="26" t="s">
        <v>77</v>
      </c>
      <c r="M5595" s="6" t="s">
        <v>77</v>
      </c>
      <c r="N5595" s="28" t="s">
        <v>77</v>
      </c>
      <c r="O5595" s="26" t="s">
        <v>77</v>
      </c>
    </row>
    <row r="5596">
      <c r="A5596" s="52" t="s">
        <v>77</v>
      </c>
      <c r="B5596" s="28" t="s">
        <v>77</v>
      </c>
      <c r="C5596" s="28" t="s">
        <v>77</v>
      </c>
      <c r="D5596" s="28" t="s">
        <v>77</v>
      </c>
      <c r="E5596" s="28" t="s">
        <v>77</v>
      </c>
      <c r="F5596" s="28" t="s">
        <v>77</v>
      </c>
      <c r="G5596" s="28" t="s">
        <v>77</v>
      </c>
      <c r="I5596" s="26" t="s">
        <v>77</v>
      </c>
      <c r="J5596" s="26" t="s">
        <v>77</v>
      </c>
      <c r="K5596" s="18"/>
      <c r="L5596" s="26" t="s">
        <v>77</v>
      </c>
      <c r="M5596" s="6" t="s">
        <v>77</v>
      </c>
      <c r="N5596" s="28" t="s">
        <v>77</v>
      </c>
      <c r="O5596" s="26" t="s">
        <v>77</v>
      </c>
    </row>
    <row r="5597">
      <c r="A5597" s="52" t="s">
        <v>77</v>
      </c>
      <c r="B5597" s="28" t="s">
        <v>77</v>
      </c>
      <c r="C5597" s="28" t="s">
        <v>77</v>
      </c>
      <c r="D5597" s="28" t="s">
        <v>77</v>
      </c>
      <c r="E5597" s="28" t="s">
        <v>77</v>
      </c>
      <c r="F5597" s="28" t="s">
        <v>77</v>
      </c>
      <c r="G5597" s="28" t="s">
        <v>77</v>
      </c>
      <c r="I5597" s="26" t="s">
        <v>77</v>
      </c>
      <c r="J5597" s="26" t="s">
        <v>77</v>
      </c>
      <c r="K5597" s="18"/>
      <c r="L5597" s="26" t="s">
        <v>77</v>
      </c>
      <c r="M5597" s="6" t="s">
        <v>77</v>
      </c>
      <c r="N5597" s="28" t="s">
        <v>77</v>
      </c>
      <c r="O5597" s="26" t="s">
        <v>77</v>
      </c>
    </row>
    <row r="5598">
      <c r="A5598" s="52" t="s">
        <v>77</v>
      </c>
      <c r="B5598" s="28" t="s">
        <v>77</v>
      </c>
      <c r="C5598" s="28" t="s">
        <v>77</v>
      </c>
      <c r="D5598" s="28" t="s">
        <v>77</v>
      </c>
      <c r="E5598" s="28" t="s">
        <v>77</v>
      </c>
      <c r="F5598" s="28" t="s">
        <v>77</v>
      </c>
      <c r="G5598" s="28" t="s">
        <v>77</v>
      </c>
      <c r="I5598" s="26" t="s">
        <v>77</v>
      </c>
      <c r="J5598" s="26" t="s">
        <v>77</v>
      </c>
      <c r="K5598" s="18"/>
      <c r="L5598" s="26" t="s">
        <v>77</v>
      </c>
      <c r="M5598" s="6" t="s">
        <v>77</v>
      </c>
      <c r="N5598" s="28" t="s">
        <v>77</v>
      </c>
      <c r="O5598" s="26" t="s">
        <v>77</v>
      </c>
    </row>
    <row r="5599">
      <c r="A5599" s="52" t="s">
        <v>77</v>
      </c>
      <c r="B5599" s="28" t="s">
        <v>77</v>
      </c>
      <c r="C5599" s="28" t="s">
        <v>77</v>
      </c>
      <c r="D5599" s="28" t="s">
        <v>77</v>
      </c>
      <c r="E5599" s="28" t="s">
        <v>77</v>
      </c>
      <c r="F5599" s="28" t="s">
        <v>77</v>
      </c>
      <c r="G5599" s="28" t="s">
        <v>77</v>
      </c>
      <c r="I5599" s="26" t="s">
        <v>77</v>
      </c>
      <c r="J5599" s="26" t="s">
        <v>77</v>
      </c>
      <c r="K5599" s="18"/>
      <c r="L5599" s="26" t="s">
        <v>77</v>
      </c>
      <c r="M5599" s="6" t="s">
        <v>77</v>
      </c>
      <c r="N5599" s="28" t="s">
        <v>77</v>
      </c>
      <c r="O5599" s="26" t="s">
        <v>77</v>
      </c>
    </row>
    <row r="5600">
      <c r="A5600" s="52" t="s">
        <v>77</v>
      </c>
      <c r="B5600" s="28" t="s">
        <v>77</v>
      </c>
      <c r="C5600" s="28" t="s">
        <v>77</v>
      </c>
      <c r="D5600" s="28" t="s">
        <v>77</v>
      </c>
      <c r="E5600" s="28" t="s">
        <v>77</v>
      </c>
      <c r="F5600" s="28" t="s">
        <v>77</v>
      </c>
      <c r="G5600" s="28" t="s">
        <v>77</v>
      </c>
      <c r="I5600" s="26" t="s">
        <v>77</v>
      </c>
      <c r="J5600" s="26" t="s">
        <v>77</v>
      </c>
      <c r="K5600" s="18"/>
      <c r="L5600" s="26" t="s">
        <v>77</v>
      </c>
      <c r="M5600" s="6" t="s">
        <v>77</v>
      </c>
      <c r="N5600" s="28" t="s">
        <v>77</v>
      </c>
      <c r="O5600" s="26" t="s">
        <v>77</v>
      </c>
    </row>
    <row r="5601">
      <c r="A5601" s="52" t="s">
        <v>77</v>
      </c>
      <c r="B5601" s="28" t="s">
        <v>77</v>
      </c>
      <c r="C5601" s="28" t="s">
        <v>77</v>
      </c>
      <c r="D5601" s="28" t="s">
        <v>77</v>
      </c>
      <c r="E5601" s="28" t="s">
        <v>77</v>
      </c>
      <c r="F5601" s="28" t="s">
        <v>77</v>
      </c>
      <c r="G5601" s="28" t="s">
        <v>77</v>
      </c>
      <c r="I5601" s="26" t="s">
        <v>77</v>
      </c>
      <c r="J5601" s="26" t="s">
        <v>77</v>
      </c>
      <c r="K5601" s="18"/>
      <c r="L5601" s="26" t="s">
        <v>77</v>
      </c>
      <c r="M5601" s="6" t="s">
        <v>77</v>
      </c>
      <c r="N5601" s="28" t="s">
        <v>77</v>
      </c>
      <c r="O5601" s="26" t="s">
        <v>77</v>
      </c>
    </row>
    <row r="5602">
      <c r="A5602" s="52" t="s">
        <v>77</v>
      </c>
      <c r="B5602" s="28" t="s">
        <v>77</v>
      </c>
      <c r="C5602" s="28" t="s">
        <v>77</v>
      </c>
      <c r="D5602" s="28" t="s">
        <v>77</v>
      </c>
      <c r="E5602" s="28" t="s">
        <v>77</v>
      </c>
      <c r="F5602" s="28" t="s">
        <v>77</v>
      </c>
      <c r="G5602" s="28" t="s">
        <v>77</v>
      </c>
      <c r="I5602" s="26" t="s">
        <v>77</v>
      </c>
      <c r="J5602" s="26" t="s">
        <v>77</v>
      </c>
      <c r="K5602" s="18"/>
      <c r="L5602" s="26" t="s">
        <v>77</v>
      </c>
      <c r="M5602" s="6" t="s">
        <v>77</v>
      </c>
      <c r="N5602" s="28" t="s">
        <v>77</v>
      </c>
      <c r="O5602" s="26" t="s">
        <v>77</v>
      </c>
    </row>
    <row r="5603">
      <c r="A5603" s="52" t="s">
        <v>77</v>
      </c>
      <c r="B5603" s="28" t="s">
        <v>77</v>
      </c>
      <c r="C5603" s="28" t="s">
        <v>77</v>
      </c>
      <c r="D5603" s="28" t="s">
        <v>77</v>
      </c>
      <c r="E5603" s="28" t="s">
        <v>77</v>
      </c>
      <c r="F5603" s="28" t="s">
        <v>77</v>
      </c>
      <c r="G5603" s="28" t="s">
        <v>77</v>
      </c>
      <c r="I5603" s="26" t="s">
        <v>77</v>
      </c>
      <c r="J5603" s="26" t="s">
        <v>77</v>
      </c>
      <c r="K5603" s="18"/>
      <c r="L5603" s="26" t="s">
        <v>77</v>
      </c>
      <c r="M5603" s="6" t="s">
        <v>77</v>
      </c>
      <c r="N5603" s="28" t="s">
        <v>77</v>
      </c>
      <c r="O5603" s="26" t="s">
        <v>77</v>
      </c>
    </row>
    <row r="5604">
      <c r="A5604" s="52" t="s">
        <v>77</v>
      </c>
      <c r="B5604" s="28" t="s">
        <v>77</v>
      </c>
      <c r="C5604" s="28" t="s">
        <v>77</v>
      </c>
      <c r="D5604" s="28" t="s">
        <v>77</v>
      </c>
      <c r="E5604" s="28" t="s">
        <v>77</v>
      </c>
      <c r="F5604" s="28" t="s">
        <v>77</v>
      </c>
      <c r="G5604" s="28" t="s">
        <v>77</v>
      </c>
      <c r="I5604" s="26" t="s">
        <v>77</v>
      </c>
      <c r="J5604" s="26" t="s">
        <v>77</v>
      </c>
      <c r="K5604" s="18"/>
      <c r="L5604" s="26" t="s">
        <v>77</v>
      </c>
      <c r="M5604" s="6" t="s">
        <v>77</v>
      </c>
      <c r="N5604" s="28" t="s">
        <v>77</v>
      </c>
      <c r="O5604" s="26" t="s">
        <v>77</v>
      </c>
    </row>
    <row r="5605">
      <c r="A5605" s="52" t="s">
        <v>77</v>
      </c>
      <c r="B5605" s="28" t="s">
        <v>77</v>
      </c>
      <c r="C5605" s="28" t="s">
        <v>77</v>
      </c>
      <c r="D5605" s="28" t="s">
        <v>77</v>
      </c>
      <c r="E5605" s="28" t="s">
        <v>77</v>
      </c>
      <c r="F5605" s="28" t="s">
        <v>77</v>
      </c>
      <c r="G5605" s="28" t="s">
        <v>77</v>
      </c>
      <c r="I5605" s="26" t="s">
        <v>77</v>
      </c>
      <c r="J5605" s="26" t="s">
        <v>77</v>
      </c>
      <c r="K5605" s="18"/>
      <c r="L5605" s="26" t="s">
        <v>77</v>
      </c>
      <c r="M5605" s="6" t="s">
        <v>77</v>
      </c>
      <c r="N5605" s="28" t="s">
        <v>77</v>
      </c>
      <c r="O5605" s="26" t="s">
        <v>77</v>
      </c>
    </row>
    <row r="5606">
      <c r="A5606" s="52" t="s">
        <v>77</v>
      </c>
      <c r="B5606" s="28" t="s">
        <v>77</v>
      </c>
      <c r="C5606" s="28" t="s">
        <v>77</v>
      </c>
      <c r="D5606" s="28" t="s">
        <v>77</v>
      </c>
      <c r="E5606" s="28" t="s">
        <v>77</v>
      </c>
      <c r="F5606" s="28" t="s">
        <v>77</v>
      </c>
      <c r="G5606" s="28" t="s">
        <v>77</v>
      </c>
      <c r="I5606" s="26" t="s">
        <v>77</v>
      </c>
      <c r="J5606" s="26" t="s">
        <v>77</v>
      </c>
      <c r="K5606" s="18"/>
      <c r="L5606" s="26" t="s">
        <v>77</v>
      </c>
      <c r="M5606" s="6" t="s">
        <v>77</v>
      </c>
      <c r="N5606" s="28" t="s">
        <v>77</v>
      </c>
      <c r="O5606" s="26" t="s">
        <v>77</v>
      </c>
    </row>
    <row r="5607">
      <c r="A5607" s="52" t="s">
        <v>77</v>
      </c>
      <c r="B5607" s="28" t="s">
        <v>77</v>
      </c>
      <c r="C5607" s="28" t="s">
        <v>77</v>
      </c>
      <c r="D5607" s="28" t="s">
        <v>77</v>
      </c>
      <c r="E5607" s="28" t="s">
        <v>77</v>
      </c>
      <c r="F5607" s="28" t="s">
        <v>77</v>
      </c>
      <c r="G5607" s="28" t="s">
        <v>77</v>
      </c>
      <c r="I5607" s="26" t="s">
        <v>77</v>
      </c>
      <c r="J5607" s="26" t="s">
        <v>77</v>
      </c>
      <c r="K5607" s="18"/>
      <c r="L5607" s="26" t="s">
        <v>77</v>
      </c>
      <c r="M5607" s="6" t="s">
        <v>77</v>
      </c>
      <c r="N5607" s="28" t="s">
        <v>77</v>
      </c>
      <c r="O5607" s="26" t="s">
        <v>77</v>
      </c>
    </row>
    <row r="5608">
      <c r="A5608" s="52" t="s">
        <v>77</v>
      </c>
      <c r="B5608" s="28" t="s">
        <v>77</v>
      </c>
      <c r="C5608" s="28" t="s">
        <v>77</v>
      </c>
      <c r="D5608" s="28" t="s">
        <v>77</v>
      </c>
      <c r="E5608" s="28" t="s">
        <v>77</v>
      </c>
      <c r="F5608" s="28" t="s">
        <v>77</v>
      </c>
      <c r="G5608" s="28" t="s">
        <v>77</v>
      </c>
      <c r="I5608" s="26" t="s">
        <v>77</v>
      </c>
      <c r="J5608" s="26" t="s">
        <v>77</v>
      </c>
      <c r="K5608" s="18"/>
      <c r="L5608" s="26" t="s">
        <v>77</v>
      </c>
      <c r="M5608" s="6" t="s">
        <v>77</v>
      </c>
      <c r="N5608" s="28" t="s">
        <v>77</v>
      </c>
      <c r="O5608" s="26" t="s">
        <v>77</v>
      </c>
    </row>
    <row r="5609">
      <c r="A5609" s="52" t="s">
        <v>77</v>
      </c>
      <c r="B5609" s="28" t="s">
        <v>77</v>
      </c>
      <c r="C5609" s="28" t="s">
        <v>77</v>
      </c>
      <c r="D5609" s="28" t="s">
        <v>77</v>
      </c>
      <c r="E5609" s="28" t="s">
        <v>77</v>
      </c>
      <c r="F5609" s="28" t="s">
        <v>77</v>
      </c>
      <c r="G5609" s="28" t="s">
        <v>77</v>
      </c>
      <c r="I5609" s="26" t="s">
        <v>77</v>
      </c>
      <c r="J5609" s="26" t="s">
        <v>77</v>
      </c>
      <c r="K5609" s="18"/>
      <c r="L5609" s="26" t="s">
        <v>77</v>
      </c>
      <c r="M5609" s="6" t="s">
        <v>77</v>
      </c>
      <c r="N5609" s="28" t="s">
        <v>77</v>
      </c>
      <c r="O5609" s="26" t="s">
        <v>77</v>
      </c>
    </row>
    <row r="5610">
      <c r="A5610" s="52" t="s">
        <v>77</v>
      </c>
      <c r="B5610" s="28" t="s">
        <v>77</v>
      </c>
      <c r="C5610" s="28" t="s">
        <v>77</v>
      </c>
      <c r="D5610" s="28" t="s">
        <v>77</v>
      </c>
      <c r="E5610" s="28" t="s">
        <v>77</v>
      </c>
      <c r="F5610" s="28" t="s">
        <v>77</v>
      </c>
      <c r="G5610" s="28" t="s">
        <v>77</v>
      </c>
      <c r="I5610" s="26" t="s">
        <v>77</v>
      </c>
      <c r="J5610" s="26" t="s">
        <v>77</v>
      </c>
      <c r="K5610" s="18"/>
      <c r="L5610" s="26" t="s">
        <v>77</v>
      </c>
      <c r="M5610" s="6" t="s">
        <v>77</v>
      </c>
      <c r="N5610" s="28" t="s">
        <v>77</v>
      </c>
      <c r="O5610" s="26" t="s">
        <v>77</v>
      </c>
    </row>
    <row r="5611">
      <c r="A5611" s="52" t="s">
        <v>77</v>
      </c>
      <c r="B5611" s="28" t="s">
        <v>77</v>
      </c>
      <c r="C5611" s="28" t="s">
        <v>77</v>
      </c>
      <c r="D5611" s="28" t="s">
        <v>77</v>
      </c>
      <c r="E5611" s="28" t="s">
        <v>77</v>
      </c>
      <c r="F5611" s="28" t="s">
        <v>77</v>
      </c>
      <c r="G5611" s="28" t="s">
        <v>77</v>
      </c>
      <c r="I5611" s="26" t="s">
        <v>77</v>
      </c>
      <c r="J5611" s="26" t="s">
        <v>77</v>
      </c>
      <c r="K5611" s="18"/>
      <c r="L5611" s="26" t="s">
        <v>77</v>
      </c>
      <c r="M5611" s="6" t="s">
        <v>77</v>
      </c>
      <c r="N5611" s="28" t="s">
        <v>77</v>
      </c>
      <c r="O5611" s="26" t="s">
        <v>77</v>
      </c>
    </row>
    <row r="5612">
      <c r="A5612" s="52" t="s">
        <v>77</v>
      </c>
      <c r="B5612" s="28" t="s">
        <v>77</v>
      </c>
      <c r="C5612" s="28" t="s">
        <v>77</v>
      </c>
      <c r="D5612" s="28" t="s">
        <v>77</v>
      </c>
      <c r="E5612" s="28" t="s">
        <v>77</v>
      </c>
      <c r="F5612" s="28" t="s">
        <v>77</v>
      </c>
      <c r="G5612" s="28" t="s">
        <v>77</v>
      </c>
      <c r="I5612" s="26" t="s">
        <v>77</v>
      </c>
      <c r="J5612" s="26" t="s">
        <v>77</v>
      </c>
      <c r="K5612" s="18"/>
      <c r="L5612" s="26" t="s">
        <v>77</v>
      </c>
      <c r="M5612" s="6" t="s">
        <v>77</v>
      </c>
      <c r="N5612" s="28" t="s">
        <v>77</v>
      </c>
      <c r="O5612" s="26" t="s">
        <v>77</v>
      </c>
    </row>
    <row r="5613">
      <c r="A5613" s="52" t="s">
        <v>77</v>
      </c>
      <c r="B5613" s="28" t="s">
        <v>77</v>
      </c>
      <c r="C5613" s="28" t="s">
        <v>77</v>
      </c>
      <c r="D5613" s="28" t="s">
        <v>77</v>
      </c>
      <c r="E5613" s="28" t="s">
        <v>77</v>
      </c>
      <c r="F5613" s="28" t="s">
        <v>77</v>
      </c>
      <c r="G5613" s="28" t="s">
        <v>77</v>
      </c>
      <c r="I5613" s="26" t="s">
        <v>77</v>
      </c>
      <c r="J5613" s="26" t="s">
        <v>77</v>
      </c>
      <c r="K5613" s="18"/>
      <c r="L5613" s="26" t="s">
        <v>77</v>
      </c>
      <c r="M5613" s="6" t="s">
        <v>77</v>
      </c>
      <c r="N5613" s="28" t="s">
        <v>77</v>
      </c>
      <c r="O5613" s="26" t="s">
        <v>77</v>
      </c>
    </row>
    <row r="5614">
      <c r="A5614" s="52" t="s">
        <v>77</v>
      </c>
      <c r="B5614" s="28" t="s">
        <v>77</v>
      </c>
      <c r="C5614" s="28" t="s">
        <v>77</v>
      </c>
      <c r="D5614" s="28" t="s">
        <v>77</v>
      </c>
      <c r="E5614" s="28" t="s">
        <v>77</v>
      </c>
      <c r="F5614" s="28" t="s">
        <v>77</v>
      </c>
      <c r="G5614" s="28" t="s">
        <v>77</v>
      </c>
      <c r="I5614" s="26" t="s">
        <v>77</v>
      </c>
      <c r="J5614" s="26" t="s">
        <v>77</v>
      </c>
      <c r="K5614" s="18"/>
      <c r="L5614" s="26" t="s">
        <v>77</v>
      </c>
      <c r="M5614" s="6" t="s">
        <v>77</v>
      </c>
      <c r="N5614" s="28" t="s">
        <v>77</v>
      </c>
      <c r="O5614" s="26" t="s">
        <v>77</v>
      </c>
    </row>
    <row r="5615">
      <c r="A5615" s="52" t="s">
        <v>77</v>
      </c>
      <c r="B5615" s="28" t="s">
        <v>77</v>
      </c>
      <c r="C5615" s="28" t="s">
        <v>77</v>
      </c>
      <c r="D5615" s="28" t="s">
        <v>77</v>
      </c>
      <c r="E5615" s="28" t="s">
        <v>77</v>
      </c>
      <c r="F5615" s="28" t="s">
        <v>77</v>
      </c>
      <c r="G5615" s="28" t="s">
        <v>77</v>
      </c>
      <c r="I5615" s="26" t="s">
        <v>77</v>
      </c>
      <c r="J5615" s="26" t="s">
        <v>77</v>
      </c>
      <c r="K5615" s="18"/>
      <c r="L5615" s="26" t="s">
        <v>77</v>
      </c>
      <c r="M5615" s="6" t="s">
        <v>77</v>
      </c>
      <c r="N5615" s="28" t="s">
        <v>77</v>
      </c>
      <c r="O5615" s="26" t="s">
        <v>77</v>
      </c>
    </row>
    <row r="5616">
      <c r="A5616" s="52" t="s">
        <v>77</v>
      </c>
      <c r="B5616" s="28" t="s">
        <v>77</v>
      </c>
      <c r="C5616" s="28" t="s">
        <v>77</v>
      </c>
      <c r="D5616" s="28" t="s">
        <v>77</v>
      </c>
      <c r="E5616" s="28" t="s">
        <v>77</v>
      </c>
      <c r="F5616" s="28" t="s">
        <v>77</v>
      </c>
      <c r="G5616" s="28" t="s">
        <v>77</v>
      </c>
      <c r="I5616" s="26" t="s">
        <v>77</v>
      </c>
      <c r="J5616" s="26" t="s">
        <v>77</v>
      </c>
      <c r="K5616" s="18"/>
      <c r="L5616" s="26" t="s">
        <v>77</v>
      </c>
      <c r="M5616" s="6" t="s">
        <v>77</v>
      </c>
      <c r="N5616" s="28" t="s">
        <v>77</v>
      </c>
      <c r="O5616" s="26" t="s">
        <v>77</v>
      </c>
    </row>
    <row r="5617">
      <c r="A5617" s="52" t="s">
        <v>77</v>
      </c>
      <c r="B5617" s="28" t="s">
        <v>77</v>
      </c>
      <c r="C5617" s="28" t="s">
        <v>77</v>
      </c>
      <c r="D5617" s="28" t="s">
        <v>77</v>
      </c>
      <c r="E5617" s="28" t="s">
        <v>77</v>
      </c>
      <c r="F5617" s="28" t="s">
        <v>77</v>
      </c>
      <c r="G5617" s="28" t="s">
        <v>77</v>
      </c>
      <c r="I5617" s="26" t="s">
        <v>77</v>
      </c>
      <c r="J5617" s="26" t="s">
        <v>77</v>
      </c>
      <c r="K5617" s="18"/>
      <c r="L5617" s="26" t="s">
        <v>77</v>
      </c>
      <c r="M5617" s="6" t="s">
        <v>77</v>
      </c>
      <c r="N5617" s="28" t="s">
        <v>77</v>
      </c>
      <c r="O5617" s="26" t="s">
        <v>77</v>
      </c>
    </row>
    <row r="5618">
      <c r="A5618" s="52" t="s">
        <v>77</v>
      </c>
      <c r="B5618" s="28" t="s">
        <v>77</v>
      </c>
      <c r="C5618" s="28" t="s">
        <v>77</v>
      </c>
      <c r="D5618" s="28" t="s">
        <v>77</v>
      </c>
      <c r="E5618" s="28" t="s">
        <v>77</v>
      </c>
      <c r="F5618" s="28" t="s">
        <v>77</v>
      </c>
      <c r="G5618" s="28" t="s">
        <v>77</v>
      </c>
      <c r="I5618" s="26" t="s">
        <v>77</v>
      </c>
      <c r="J5618" s="26" t="s">
        <v>77</v>
      </c>
      <c r="K5618" s="18"/>
      <c r="L5618" s="26" t="s">
        <v>77</v>
      </c>
      <c r="M5618" s="6" t="s">
        <v>77</v>
      </c>
      <c r="N5618" s="28" t="s">
        <v>77</v>
      </c>
      <c r="O5618" s="26" t="s">
        <v>77</v>
      </c>
    </row>
    <row r="5619">
      <c r="A5619" s="52" t="s">
        <v>77</v>
      </c>
      <c r="B5619" s="28" t="s">
        <v>77</v>
      </c>
      <c r="C5619" s="28" t="s">
        <v>77</v>
      </c>
      <c r="D5619" s="28" t="s">
        <v>77</v>
      </c>
      <c r="E5619" s="28" t="s">
        <v>77</v>
      </c>
      <c r="F5619" s="28" t="s">
        <v>77</v>
      </c>
      <c r="G5619" s="28" t="s">
        <v>77</v>
      </c>
      <c r="I5619" s="26" t="s">
        <v>77</v>
      </c>
      <c r="J5619" s="26" t="s">
        <v>77</v>
      </c>
      <c r="K5619" s="18"/>
      <c r="L5619" s="26" t="s">
        <v>77</v>
      </c>
      <c r="M5619" s="6" t="s">
        <v>77</v>
      </c>
      <c r="N5619" s="28" t="s">
        <v>77</v>
      </c>
      <c r="O5619" s="26" t="s">
        <v>77</v>
      </c>
    </row>
    <row r="5620">
      <c r="A5620" s="52" t="s">
        <v>77</v>
      </c>
      <c r="B5620" s="28" t="s">
        <v>77</v>
      </c>
      <c r="C5620" s="28" t="s">
        <v>77</v>
      </c>
      <c r="D5620" s="28" t="s">
        <v>77</v>
      </c>
      <c r="E5620" s="28" t="s">
        <v>77</v>
      </c>
      <c r="F5620" s="28" t="s">
        <v>77</v>
      </c>
      <c r="G5620" s="28" t="s">
        <v>77</v>
      </c>
      <c r="I5620" s="26" t="s">
        <v>77</v>
      </c>
      <c r="J5620" s="26" t="s">
        <v>77</v>
      </c>
      <c r="K5620" s="18"/>
      <c r="L5620" s="26" t="s">
        <v>77</v>
      </c>
      <c r="M5620" s="6" t="s">
        <v>77</v>
      </c>
      <c r="N5620" s="28" t="s">
        <v>77</v>
      </c>
      <c r="O5620" s="26" t="s">
        <v>77</v>
      </c>
    </row>
    <row r="5621">
      <c r="A5621" s="52" t="s">
        <v>77</v>
      </c>
      <c r="B5621" s="28" t="s">
        <v>77</v>
      </c>
      <c r="C5621" s="28" t="s">
        <v>77</v>
      </c>
      <c r="D5621" s="28" t="s">
        <v>77</v>
      </c>
      <c r="E5621" s="28" t="s">
        <v>77</v>
      </c>
      <c r="F5621" s="28" t="s">
        <v>77</v>
      </c>
      <c r="G5621" s="28" t="s">
        <v>77</v>
      </c>
      <c r="I5621" s="26" t="s">
        <v>77</v>
      </c>
      <c r="J5621" s="26" t="s">
        <v>77</v>
      </c>
      <c r="K5621" s="18"/>
      <c r="L5621" s="26" t="s">
        <v>77</v>
      </c>
      <c r="M5621" s="6" t="s">
        <v>77</v>
      </c>
      <c r="N5621" s="28" t="s">
        <v>77</v>
      </c>
      <c r="O5621" s="26" t="s">
        <v>77</v>
      </c>
    </row>
    <row r="5622">
      <c r="A5622" s="52" t="s">
        <v>77</v>
      </c>
      <c r="B5622" s="28" t="s">
        <v>77</v>
      </c>
      <c r="C5622" s="28" t="s">
        <v>77</v>
      </c>
      <c r="D5622" s="28" t="s">
        <v>77</v>
      </c>
      <c r="E5622" s="28" t="s">
        <v>77</v>
      </c>
      <c r="F5622" s="28" t="s">
        <v>77</v>
      </c>
      <c r="G5622" s="28" t="s">
        <v>77</v>
      </c>
      <c r="I5622" s="26" t="s">
        <v>77</v>
      </c>
      <c r="J5622" s="26" t="s">
        <v>77</v>
      </c>
      <c r="K5622" s="18"/>
      <c r="L5622" s="26" t="s">
        <v>77</v>
      </c>
      <c r="M5622" s="6" t="s">
        <v>77</v>
      </c>
      <c r="N5622" s="28" t="s">
        <v>77</v>
      </c>
      <c r="O5622" s="26" t="s">
        <v>77</v>
      </c>
    </row>
    <row r="5623">
      <c r="A5623" s="52" t="s">
        <v>77</v>
      </c>
      <c r="B5623" s="28" t="s">
        <v>77</v>
      </c>
      <c r="C5623" s="28" t="s">
        <v>77</v>
      </c>
      <c r="D5623" s="28" t="s">
        <v>77</v>
      </c>
      <c r="E5623" s="28" t="s">
        <v>77</v>
      </c>
      <c r="F5623" s="28" t="s">
        <v>77</v>
      </c>
      <c r="G5623" s="28" t="s">
        <v>77</v>
      </c>
      <c r="I5623" s="26" t="s">
        <v>77</v>
      </c>
      <c r="J5623" s="26" t="s">
        <v>77</v>
      </c>
      <c r="K5623" s="18"/>
      <c r="L5623" s="26" t="s">
        <v>77</v>
      </c>
      <c r="M5623" s="6" t="s">
        <v>77</v>
      </c>
      <c r="N5623" s="28" t="s">
        <v>77</v>
      </c>
      <c r="O5623" s="26" t="s">
        <v>77</v>
      </c>
    </row>
    <row r="5624">
      <c r="A5624" s="52" t="s">
        <v>77</v>
      </c>
      <c r="B5624" s="28" t="s">
        <v>77</v>
      </c>
      <c r="C5624" s="28" t="s">
        <v>77</v>
      </c>
      <c r="D5624" s="28" t="s">
        <v>77</v>
      </c>
      <c r="E5624" s="28" t="s">
        <v>77</v>
      </c>
      <c r="F5624" s="28" t="s">
        <v>77</v>
      </c>
      <c r="G5624" s="28" t="s">
        <v>77</v>
      </c>
      <c r="I5624" s="26" t="s">
        <v>77</v>
      </c>
      <c r="J5624" s="26" t="s">
        <v>77</v>
      </c>
      <c r="K5624" s="18"/>
      <c r="L5624" s="26" t="s">
        <v>77</v>
      </c>
      <c r="M5624" s="6" t="s">
        <v>77</v>
      </c>
      <c r="N5624" s="28" t="s">
        <v>77</v>
      </c>
      <c r="O5624" s="26" t="s">
        <v>77</v>
      </c>
    </row>
    <row r="5625">
      <c r="A5625" s="52" t="s">
        <v>77</v>
      </c>
      <c r="B5625" s="28" t="s">
        <v>77</v>
      </c>
      <c r="C5625" s="28" t="s">
        <v>77</v>
      </c>
      <c r="D5625" s="28" t="s">
        <v>77</v>
      </c>
      <c r="E5625" s="28" t="s">
        <v>77</v>
      </c>
      <c r="F5625" s="28" t="s">
        <v>77</v>
      </c>
      <c r="G5625" s="28" t="s">
        <v>77</v>
      </c>
      <c r="I5625" s="26" t="s">
        <v>77</v>
      </c>
      <c r="J5625" s="26" t="s">
        <v>77</v>
      </c>
      <c r="K5625" s="18"/>
      <c r="L5625" s="26" t="s">
        <v>77</v>
      </c>
      <c r="M5625" s="6" t="s">
        <v>77</v>
      </c>
      <c r="N5625" s="28" t="s">
        <v>77</v>
      </c>
      <c r="O5625" s="26" t="s">
        <v>77</v>
      </c>
    </row>
    <row r="5626">
      <c r="A5626" s="52" t="s">
        <v>77</v>
      </c>
      <c r="B5626" s="28" t="s">
        <v>77</v>
      </c>
      <c r="C5626" s="28" t="s">
        <v>77</v>
      </c>
      <c r="D5626" s="28" t="s">
        <v>77</v>
      </c>
      <c r="E5626" s="28" t="s">
        <v>77</v>
      </c>
      <c r="F5626" s="28" t="s">
        <v>77</v>
      </c>
      <c r="G5626" s="28" t="s">
        <v>77</v>
      </c>
      <c r="I5626" s="26" t="s">
        <v>77</v>
      </c>
      <c r="J5626" s="26" t="s">
        <v>77</v>
      </c>
      <c r="K5626" s="18"/>
      <c r="L5626" s="26" t="s">
        <v>77</v>
      </c>
      <c r="M5626" s="6" t="s">
        <v>77</v>
      </c>
      <c r="N5626" s="28" t="s">
        <v>77</v>
      </c>
      <c r="O5626" s="26" t="s">
        <v>77</v>
      </c>
    </row>
    <row r="5627">
      <c r="A5627" s="52" t="s">
        <v>77</v>
      </c>
      <c r="B5627" s="28" t="s">
        <v>77</v>
      </c>
      <c r="C5627" s="28" t="s">
        <v>77</v>
      </c>
      <c r="D5627" s="28" t="s">
        <v>77</v>
      </c>
      <c r="E5627" s="28" t="s">
        <v>77</v>
      </c>
      <c r="F5627" s="28" t="s">
        <v>77</v>
      </c>
      <c r="G5627" s="28" t="s">
        <v>77</v>
      </c>
      <c r="I5627" s="26" t="s">
        <v>77</v>
      </c>
      <c r="J5627" s="26" t="s">
        <v>77</v>
      </c>
      <c r="K5627" s="18"/>
      <c r="L5627" s="26" t="s">
        <v>77</v>
      </c>
      <c r="M5627" s="6" t="s">
        <v>77</v>
      </c>
      <c r="N5627" s="28" t="s">
        <v>77</v>
      </c>
      <c r="O5627" s="26" t="s">
        <v>77</v>
      </c>
    </row>
    <row r="5628">
      <c r="A5628" s="52" t="s">
        <v>77</v>
      </c>
      <c r="B5628" s="28" t="s">
        <v>77</v>
      </c>
      <c r="C5628" s="28" t="s">
        <v>77</v>
      </c>
      <c r="D5628" s="28" t="s">
        <v>77</v>
      </c>
      <c r="E5628" s="28" t="s">
        <v>77</v>
      </c>
      <c r="F5628" s="28" t="s">
        <v>77</v>
      </c>
      <c r="G5628" s="28" t="s">
        <v>77</v>
      </c>
      <c r="I5628" s="26" t="s">
        <v>77</v>
      </c>
      <c r="J5628" s="26" t="s">
        <v>77</v>
      </c>
      <c r="K5628" s="18"/>
      <c r="L5628" s="26" t="s">
        <v>77</v>
      </c>
      <c r="M5628" s="6" t="s">
        <v>77</v>
      </c>
      <c r="N5628" s="28" t="s">
        <v>77</v>
      </c>
      <c r="O5628" s="26" t="s">
        <v>77</v>
      </c>
    </row>
    <row r="5629">
      <c r="A5629" s="52" t="s">
        <v>77</v>
      </c>
      <c r="B5629" s="28" t="s">
        <v>77</v>
      </c>
      <c r="C5629" s="28" t="s">
        <v>77</v>
      </c>
      <c r="D5629" s="28" t="s">
        <v>77</v>
      </c>
      <c r="E5629" s="28" t="s">
        <v>77</v>
      </c>
      <c r="F5629" s="28" t="s">
        <v>77</v>
      </c>
      <c r="G5629" s="28" t="s">
        <v>77</v>
      </c>
      <c r="I5629" s="26" t="s">
        <v>77</v>
      </c>
      <c r="J5629" s="26" t="s">
        <v>77</v>
      </c>
      <c r="K5629" s="18"/>
      <c r="L5629" s="26" t="s">
        <v>77</v>
      </c>
      <c r="M5629" s="6" t="s">
        <v>77</v>
      </c>
      <c r="N5629" s="28" t="s">
        <v>77</v>
      </c>
      <c r="O5629" s="26" t="s">
        <v>77</v>
      </c>
    </row>
    <row r="5630">
      <c r="A5630" s="52" t="s">
        <v>77</v>
      </c>
      <c r="B5630" s="28" t="s">
        <v>77</v>
      </c>
      <c r="C5630" s="28" t="s">
        <v>77</v>
      </c>
      <c r="D5630" s="28" t="s">
        <v>77</v>
      </c>
      <c r="E5630" s="28" t="s">
        <v>77</v>
      </c>
      <c r="F5630" s="28" t="s">
        <v>77</v>
      </c>
      <c r="G5630" s="28" t="s">
        <v>77</v>
      </c>
      <c r="I5630" s="26" t="s">
        <v>77</v>
      </c>
      <c r="J5630" s="26" t="s">
        <v>77</v>
      </c>
      <c r="K5630" s="18"/>
      <c r="L5630" s="26" t="s">
        <v>77</v>
      </c>
      <c r="M5630" s="6" t="s">
        <v>77</v>
      </c>
      <c r="N5630" s="28" t="s">
        <v>77</v>
      </c>
      <c r="O5630" s="26" t="s">
        <v>77</v>
      </c>
    </row>
    <row r="5631">
      <c r="A5631" s="52" t="s">
        <v>77</v>
      </c>
      <c r="B5631" s="28" t="s">
        <v>77</v>
      </c>
      <c r="C5631" s="28" t="s">
        <v>77</v>
      </c>
      <c r="D5631" s="28" t="s">
        <v>77</v>
      </c>
      <c r="E5631" s="28" t="s">
        <v>77</v>
      </c>
      <c r="F5631" s="28" t="s">
        <v>77</v>
      </c>
      <c r="G5631" s="28" t="s">
        <v>77</v>
      </c>
      <c r="I5631" s="26" t="s">
        <v>77</v>
      </c>
      <c r="J5631" s="26" t="s">
        <v>77</v>
      </c>
      <c r="K5631" s="18"/>
      <c r="L5631" s="26" t="s">
        <v>77</v>
      </c>
      <c r="M5631" s="6" t="s">
        <v>77</v>
      </c>
      <c r="N5631" s="28" t="s">
        <v>77</v>
      </c>
      <c r="O5631" s="26" t="s">
        <v>77</v>
      </c>
    </row>
    <row r="5632">
      <c r="A5632" s="52" t="s">
        <v>77</v>
      </c>
      <c r="B5632" s="28" t="s">
        <v>77</v>
      </c>
      <c r="C5632" s="28" t="s">
        <v>77</v>
      </c>
      <c r="D5632" s="28" t="s">
        <v>77</v>
      </c>
      <c r="E5632" s="28" t="s">
        <v>77</v>
      </c>
      <c r="F5632" s="28" t="s">
        <v>77</v>
      </c>
      <c r="G5632" s="28" t="s">
        <v>77</v>
      </c>
      <c r="I5632" s="26" t="s">
        <v>77</v>
      </c>
      <c r="J5632" s="26" t="s">
        <v>77</v>
      </c>
      <c r="K5632" s="18"/>
      <c r="L5632" s="26" t="s">
        <v>77</v>
      </c>
      <c r="M5632" s="6" t="s">
        <v>77</v>
      </c>
      <c r="N5632" s="28" t="s">
        <v>77</v>
      </c>
      <c r="O5632" s="26" t="s">
        <v>77</v>
      </c>
    </row>
    <row r="5633">
      <c r="A5633" s="52" t="s">
        <v>77</v>
      </c>
      <c r="B5633" s="28" t="s">
        <v>77</v>
      </c>
      <c r="C5633" s="28" t="s">
        <v>77</v>
      </c>
      <c r="D5633" s="28" t="s">
        <v>77</v>
      </c>
      <c r="E5633" s="28" t="s">
        <v>77</v>
      </c>
      <c r="F5633" s="28" t="s">
        <v>77</v>
      </c>
      <c r="G5633" s="28" t="s">
        <v>77</v>
      </c>
      <c r="I5633" s="26" t="s">
        <v>77</v>
      </c>
      <c r="J5633" s="26" t="s">
        <v>77</v>
      </c>
      <c r="K5633" s="18"/>
      <c r="L5633" s="26" t="s">
        <v>77</v>
      </c>
      <c r="M5633" s="6" t="s">
        <v>77</v>
      </c>
      <c r="N5633" s="28" t="s">
        <v>77</v>
      </c>
      <c r="O5633" s="26" t="s">
        <v>77</v>
      </c>
    </row>
    <row r="5634">
      <c r="A5634" s="52" t="s">
        <v>77</v>
      </c>
      <c r="B5634" s="28" t="s">
        <v>77</v>
      </c>
      <c r="C5634" s="28" t="s">
        <v>77</v>
      </c>
      <c r="D5634" s="28" t="s">
        <v>77</v>
      </c>
      <c r="E5634" s="28" t="s">
        <v>77</v>
      </c>
      <c r="F5634" s="28" t="s">
        <v>77</v>
      </c>
      <c r="G5634" s="28" t="s">
        <v>77</v>
      </c>
      <c r="I5634" s="26" t="s">
        <v>77</v>
      </c>
      <c r="J5634" s="26" t="s">
        <v>77</v>
      </c>
      <c r="K5634" s="18"/>
      <c r="L5634" s="26" t="s">
        <v>77</v>
      </c>
      <c r="M5634" s="6" t="s">
        <v>77</v>
      </c>
      <c r="N5634" s="28" t="s">
        <v>77</v>
      </c>
      <c r="O5634" s="26" t="s">
        <v>77</v>
      </c>
    </row>
    <row r="5635">
      <c r="A5635" s="52" t="s">
        <v>77</v>
      </c>
      <c r="B5635" s="28" t="s">
        <v>77</v>
      </c>
      <c r="C5635" s="28" t="s">
        <v>77</v>
      </c>
      <c r="D5635" s="28" t="s">
        <v>77</v>
      </c>
      <c r="E5635" s="28" t="s">
        <v>77</v>
      </c>
      <c r="F5635" s="28" t="s">
        <v>77</v>
      </c>
      <c r="G5635" s="28" t="s">
        <v>77</v>
      </c>
      <c r="I5635" s="26" t="s">
        <v>77</v>
      </c>
      <c r="J5635" s="26" t="s">
        <v>77</v>
      </c>
      <c r="K5635" s="18"/>
      <c r="L5635" s="26" t="s">
        <v>77</v>
      </c>
      <c r="M5635" s="6" t="s">
        <v>77</v>
      </c>
      <c r="N5635" s="28" t="s">
        <v>77</v>
      </c>
      <c r="O5635" s="26" t="s">
        <v>77</v>
      </c>
    </row>
    <row r="5636">
      <c r="A5636" s="52" t="s">
        <v>77</v>
      </c>
      <c r="B5636" s="28" t="s">
        <v>77</v>
      </c>
      <c r="C5636" s="28" t="s">
        <v>77</v>
      </c>
      <c r="D5636" s="28" t="s">
        <v>77</v>
      </c>
      <c r="E5636" s="28" t="s">
        <v>77</v>
      </c>
      <c r="F5636" s="28" t="s">
        <v>77</v>
      </c>
      <c r="G5636" s="28" t="s">
        <v>77</v>
      </c>
      <c r="I5636" s="26" t="s">
        <v>77</v>
      </c>
      <c r="J5636" s="26" t="s">
        <v>77</v>
      </c>
      <c r="K5636" s="18"/>
      <c r="L5636" s="26" t="s">
        <v>77</v>
      </c>
      <c r="M5636" s="6" t="s">
        <v>77</v>
      </c>
      <c r="N5636" s="28" t="s">
        <v>77</v>
      </c>
      <c r="O5636" s="26" t="s">
        <v>77</v>
      </c>
    </row>
    <row r="5637">
      <c r="A5637" s="52" t="s">
        <v>77</v>
      </c>
      <c r="B5637" s="28" t="s">
        <v>77</v>
      </c>
      <c r="C5637" s="28" t="s">
        <v>77</v>
      </c>
      <c r="D5637" s="28" t="s">
        <v>77</v>
      </c>
      <c r="E5637" s="28" t="s">
        <v>77</v>
      </c>
      <c r="F5637" s="28" t="s">
        <v>77</v>
      </c>
      <c r="G5637" s="28" t="s">
        <v>77</v>
      </c>
      <c r="I5637" s="26" t="s">
        <v>77</v>
      </c>
      <c r="J5637" s="26" t="s">
        <v>77</v>
      </c>
      <c r="K5637" s="18"/>
      <c r="L5637" s="26" t="s">
        <v>77</v>
      </c>
      <c r="M5637" s="6" t="s">
        <v>77</v>
      </c>
      <c r="N5637" s="28" t="s">
        <v>77</v>
      </c>
      <c r="O5637" s="26" t="s">
        <v>77</v>
      </c>
    </row>
    <row r="5638">
      <c r="A5638" s="52" t="s">
        <v>77</v>
      </c>
      <c r="B5638" s="28" t="s">
        <v>77</v>
      </c>
      <c r="C5638" s="28" t="s">
        <v>77</v>
      </c>
      <c r="D5638" s="28" t="s">
        <v>77</v>
      </c>
      <c r="E5638" s="28" t="s">
        <v>77</v>
      </c>
      <c r="F5638" s="28" t="s">
        <v>77</v>
      </c>
      <c r="G5638" s="28" t="s">
        <v>77</v>
      </c>
      <c r="I5638" s="26" t="s">
        <v>77</v>
      </c>
      <c r="J5638" s="26" t="s">
        <v>77</v>
      </c>
      <c r="K5638" s="18"/>
      <c r="L5638" s="26" t="s">
        <v>77</v>
      </c>
      <c r="M5638" s="6" t="s">
        <v>77</v>
      </c>
      <c r="N5638" s="28" t="s">
        <v>77</v>
      </c>
      <c r="O5638" s="26" t="s">
        <v>77</v>
      </c>
    </row>
    <row r="5639">
      <c r="A5639" s="52" t="s">
        <v>77</v>
      </c>
      <c r="B5639" s="28" t="s">
        <v>77</v>
      </c>
      <c r="C5639" s="28" t="s">
        <v>77</v>
      </c>
      <c r="D5639" s="28" t="s">
        <v>77</v>
      </c>
      <c r="E5639" s="28" t="s">
        <v>77</v>
      </c>
      <c r="F5639" s="28" t="s">
        <v>77</v>
      </c>
      <c r="G5639" s="28" t="s">
        <v>77</v>
      </c>
      <c r="I5639" s="26" t="s">
        <v>77</v>
      </c>
      <c r="J5639" s="26" t="s">
        <v>77</v>
      </c>
      <c r="K5639" s="18"/>
      <c r="L5639" s="26" t="s">
        <v>77</v>
      </c>
      <c r="M5639" s="6" t="s">
        <v>77</v>
      </c>
      <c r="N5639" s="28" t="s">
        <v>77</v>
      </c>
      <c r="O5639" s="26" t="s">
        <v>77</v>
      </c>
    </row>
    <row r="5640">
      <c r="A5640" s="52" t="s">
        <v>77</v>
      </c>
      <c r="B5640" s="28" t="s">
        <v>77</v>
      </c>
      <c r="C5640" s="28" t="s">
        <v>77</v>
      </c>
      <c r="D5640" s="28" t="s">
        <v>77</v>
      </c>
      <c r="E5640" s="28" t="s">
        <v>77</v>
      </c>
      <c r="F5640" s="28" t="s">
        <v>77</v>
      </c>
      <c r="G5640" s="28" t="s">
        <v>77</v>
      </c>
      <c r="I5640" s="26" t="s">
        <v>77</v>
      </c>
      <c r="J5640" s="26" t="s">
        <v>77</v>
      </c>
      <c r="K5640" s="18"/>
      <c r="L5640" s="26" t="s">
        <v>77</v>
      </c>
      <c r="M5640" s="6" t="s">
        <v>77</v>
      </c>
      <c r="N5640" s="28" t="s">
        <v>77</v>
      </c>
      <c r="O5640" s="26" t="s">
        <v>77</v>
      </c>
    </row>
    <row r="5641">
      <c r="A5641" s="52" t="s">
        <v>77</v>
      </c>
      <c r="B5641" s="28" t="s">
        <v>77</v>
      </c>
      <c r="C5641" s="28" t="s">
        <v>77</v>
      </c>
      <c r="D5641" s="28" t="s">
        <v>77</v>
      </c>
      <c r="E5641" s="28" t="s">
        <v>77</v>
      </c>
      <c r="F5641" s="28" t="s">
        <v>77</v>
      </c>
      <c r="G5641" s="28" t="s">
        <v>77</v>
      </c>
      <c r="I5641" s="26" t="s">
        <v>77</v>
      </c>
      <c r="J5641" s="26" t="s">
        <v>77</v>
      </c>
      <c r="K5641" s="18"/>
      <c r="L5641" s="26" t="s">
        <v>77</v>
      </c>
      <c r="M5641" s="6" t="s">
        <v>77</v>
      </c>
      <c r="N5641" s="28" t="s">
        <v>77</v>
      </c>
      <c r="O5641" s="26" t="s">
        <v>77</v>
      </c>
    </row>
    <row r="5642">
      <c r="A5642" s="52" t="s">
        <v>77</v>
      </c>
      <c r="B5642" s="28" t="s">
        <v>77</v>
      </c>
      <c r="C5642" s="28" t="s">
        <v>77</v>
      </c>
      <c r="D5642" s="28" t="s">
        <v>77</v>
      </c>
      <c r="E5642" s="28" t="s">
        <v>77</v>
      </c>
      <c r="F5642" s="28" t="s">
        <v>77</v>
      </c>
      <c r="G5642" s="28" t="s">
        <v>77</v>
      </c>
      <c r="I5642" s="26" t="s">
        <v>77</v>
      </c>
      <c r="J5642" s="26" t="s">
        <v>77</v>
      </c>
      <c r="K5642" s="18"/>
      <c r="L5642" s="26" t="s">
        <v>77</v>
      </c>
      <c r="M5642" s="6" t="s">
        <v>77</v>
      </c>
      <c r="N5642" s="28" t="s">
        <v>77</v>
      </c>
      <c r="O5642" s="26" t="s">
        <v>77</v>
      </c>
    </row>
    <row r="5643">
      <c r="A5643" s="52" t="s">
        <v>77</v>
      </c>
      <c r="B5643" s="28" t="s">
        <v>77</v>
      </c>
      <c r="C5643" s="28" t="s">
        <v>77</v>
      </c>
      <c r="D5643" s="28" t="s">
        <v>77</v>
      </c>
      <c r="E5643" s="28" t="s">
        <v>77</v>
      </c>
      <c r="F5643" s="28" t="s">
        <v>77</v>
      </c>
      <c r="G5643" s="28" t="s">
        <v>77</v>
      </c>
      <c r="I5643" s="26" t="s">
        <v>77</v>
      </c>
      <c r="J5643" s="26" t="s">
        <v>77</v>
      </c>
      <c r="K5643" s="18"/>
      <c r="L5643" s="26" t="s">
        <v>77</v>
      </c>
      <c r="M5643" s="6" t="s">
        <v>77</v>
      </c>
      <c r="N5643" s="28" t="s">
        <v>77</v>
      </c>
      <c r="O5643" s="26" t="s">
        <v>77</v>
      </c>
    </row>
    <row r="5644">
      <c r="A5644" s="52" t="s">
        <v>77</v>
      </c>
      <c r="B5644" s="28" t="s">
        <v>77</v>
      </c>
      <c r="C5644" s="28" t="s">
        <v>77</v>
      </c>
      <c r="D5644" s="28" t="s">
        <v>77</v>
      </c>
      <c r="E5644" s="28" t="s">
        <v>77</v>
      </c>
      <c r="F5644" s="28" t="s">
        <v>77</v>
      </c>
      <c r="G5644" s="28" t="s">
        <v>77</v>
      </c>
      <c r="I5644" s="26" t="s">
        <v>77</v>
      </c>
      <c r="J5644" s="26" t="s">
        <v>77</v>
      </c>
      <c r="K5644" s="18"/>
      <c r="L5644" s="26" t="s">
        <v>77</v>
      </c>
      <c r="M5644" s="6" t="s">
        <v>77</v>
      </c>
      <c r="N5644" s="28" t="s">
        <v>77</v>
      </c>
      <c r="O5644" s="26" t="s">
        <v>77</v>
      </c>
    </row>
    <row r="5645">
      <c r="A5645" s="52" t="s">
        <v>77</v>
      </c>
      <c r="B5645" s="28" t="s">
        <v>77</v>
      </c>
      <c r="C5645" s="28" t="s">
        <v>77</v>
      </c>
      <c r="D5645" s="28" t="s">
        <v>77</v>
      </c>
      <c r="E5645" s="28" t="s">
        <v>77</v>
      </c>
      <c r="F5645" s="28" t="s">
        <v>77</v>
      </c>
      <c r="G5645" s="28" t="s">
        <v>77</v>
      </c>
      <c r="I5645" s="26" t="s">
        <v>77</v>
      </c>
      <c r="J5645" s="26" t="s">
        <v>77</v>
      </c>
      <c r="K5645" s="18"/>
      <c r="L5645" s="26" t="s">
        <v>77</v>
      </c>
      <c r="M5645" s="6" t="s">
        <v>77</v>
      </c>
      <c r="N5645" s="28" t="s">
        <v>77</v>
      </c>
      <c r="O5645" s="26" t="s">
        <v>77</v>
      </c>
    </row>
    <row r="5646">
      <c r="A5646" s="52" t="s">
        <v>77</v>
      </c>
      <c r="B5646" s="28" t="s">
        <v>77</v>
      </c>
      <c r="C5646" s="28" t="s">
        <v>77</v>
      </c>
      <c r="D5646" s="28" t="s">
        <v>77</v>
      </c>
      <c r="E5646" s="28" t="s">
        <v>77</v>
      </c>
      <c r="F5646" s="28" t="s">
        <v>77</v>
      </c>
      <c r="G5646" s="28" t="s">
        <v>77</v>
      </c>
      <c r="I5646" s="26" t="s">
        <v>77</v>
      </c>
      <c r="J5646" s="26" t="s">
        <v>77</v>
      </c>
      <c r="K5646" s="18"/>
      <c r="L5646" s="26" t="s">
        <v>77</v>
      </c>
      <c r="M5646" s="6" t="s">
        <v>77</v>
      </c>
      <c r="N5646" s="28" t="s">
        <v>77</v>
      </c>
      <c r="O5646" s="26" t="s">
        <v>77</v>
      </c>
    </row>
    <row r="5647">
      <c r="A5647" s="52" t="s">
        <v>77</v>
      </c>
      <c r="B5647" s="28" t="s">
        <v>77</v>
      </c>
      <c r="C5647" s="28" t="s">
        <v>77</v>
      </c>
      <c r="D5647" s="28" t="s">
        <v>77</v>
      </c>
      <c r="E5647" s="28" t="s">
        <v>77</v>
      </c>
      <c r="F5647" s="28" t="s">
        <v>77</v>
      </c>
      <c r="G5647" s="28" t="s">
        <v>77</v>
      </c>
      <c r="I5647" s="26" t="s">
        <v>77</v>
      </c>
      <c r="J5647" s="26" t="s">
        <v>77</v>
      </c>
      <c r="K5647" s="18"/>
      <c r="L5647" s="26" t="s">
        <v>77</v>
      </c>
      <c r="M5647" s="6" t="s">
        <v>77</v>
      </c>
      <c r="N5647" s="28" t="s">
        <v>77</v>
      </c>
      <c r="O5647" s="26" t="s">
        <v>77</v>
      </c>
    </row>
    <row r="5648">
      <c r="A5648" s="52" t="s">
        <v>77</v>
      </c>
      <c r="B5648" s="28" t="s">
        <v>77</v>
      </c>
      <c r="C5648" s="28" t="s">
        <v>77</v>
      </c>
      <c r="D5648" s="28" t="s">
        <v>77</v>
      </c>
      <c r="E5648" s="28" t="s">
        <v>77</v>
      </c>
      <c r="F5648" s="28" t="s">
        <v>77</v>
      </c>
      <c r="G5648" s="28" t="s">
        <v>77</v>
      </c>
      <c r="I5648" s="26" t="s">
        <v>77</v>
      </c>
      <c r="J5648" s="26" t="s">
        <v>77</v>
      </c>
      <c r="K5648" s="18"/>
      <c r="L5648" s="26" t="s">
        <v>77</v>
      </c>
      <c r="M5648" s="6" t="s">
        <v>77</v>
      </c>
      <c r="N5648" s="28" t="s">
        <v>77</v>
      </c>
      <c r="O5648" s="26" t="s">
        <v>77</v>
      </c>
    </row>
    <row r="5649">
      <c r="A5649" s="52" t="s">
        <v>77</v>
      </c>
      <c r="B5649" s="28" t="s">
        <v>77</v>
      </c>
      <c r="C5649" s="28" t="s">
        <v>77</v>
      </c>
      <c r="D5649" s="28" t="s">
        <v>77</v>
      </c>
      <c r="E5649" s="28" t="s">
        <v>77</v>
      </c>
      <c r="F5649" s="28" t="s">
        <v>77</v>
      </c>
      <c r="G5649" s="28" t="s">
        <v>77</v>
      </c>
      <c r="I5649" s="26" t="s">
        <v>77</v>
      </c>
      <c r="J5649" s="26" t="s">
        <v>77</v>
      </c>
      <c r="K5649" s="18"/>
      <c r="L5649" s="26" t="s">
        <v>77</v>
      </c>
      <c r="M5649" s="6" t="s">
        <v>77</v>
      </c>
      <c r="N5649" s="28" t="s">
        <v>77</v>
      </c>
      <c r="O5649" s="26" t="s">
        <v>77</v>
      </c>
    </row>
    <row r="5650">
      <c r="A5650" s="52" t="s">
        <v>77</v>
      </c>
      <c r="B5650" s="28" t="s">
        <v>77</v>
      </c>
      <c r="C5650" s="28" t="s">
        <v>77</v>
      </c>
      <c r="D5650" s="28" t="s">
        <v>77</v>
      </c>
      <c r="E5650" s="28" t="s">
        <v>77</v>
      </c>
      <c r="F5650" s="28" t="s">
        <v>77</v>
      </c>
      <c r="G5650" s="28" t="s">
        <v>77</v>
      </c>
      <c r="I5650" s="26" t="s">
        <v>77</v>
      </c>
      <c r="J5650" s="26" t="s">
        <v>77</v>
      </c>
      <c r="K5650" s="18"/>
      <c r="L5650" s="26" t="s">
        <v>77</v>
      </c>
      <c r="M5650" s="6" t="s">
        <v>77</v>
      </c>
      <c r="N5650" s="28" t="s">
        <v>77</v>
      </c>
      <c r="O5650" s="26" t="s">
        <v>77</v>
      </c>
    </row>
    <row r="5651">
      <c r="A5651" s="52" t="s">
        <v>77</v>
      </c>
      <c r="B5651" s="28" t="s">
        <v>77</v>
      </c>
      <c r="C5651" s="28" t="s">
        <v>77</v>
      </c>
      <c r="D5651" s="28" t="s">
        <v>77</v>
      </c>
      <c r="E5651" s="28" t="s">
        <v>77</v>
      </c>
      <c r="F5651" s="28" t="s">
        <v>77</v>
      </c>
      <c r="G5651" s="28" t="s">
        <v>77</v>
      </c>
      <c r="I5651" s="26" t="s">
        <v>77</v>
      </c>
      <c r="J5651" s="26" t="s">
        <v>77</v>
      </c>
      <c r="K5651" s="18"/>
      <c r="L5651" s="26" t="s">
        <v>77</v>
      </c>
      <c r="M5651" s="6" t="s">
        <v>77</v>
      </c>
      <c r="N5651" s="28" t="s">
        <v>77</v>
      </c>
      <c r="O5651" s="26" t="s">
        <v>77</v>
      </c>
    </row>
    <row r="5652">
      <c r="A5652" s="52" t="s">
        <v>77</v>
      </c>
      <c r="B5652" s="28" t="s">
        <v>77</v>
      </c>
      <c r="C5652" s="28" t="s">
        <v>77</v>
      </c>
      <c r="D5652" s="28" t="s">
        <v>77</v>
      </c>
      <c r="E5652" s="28" t="s">
        <v>77</v>
      </c>
      <c r="F5652" s="28" t="s">
        <v>77</v>
      </c>
      <c r="G5652" s="28" t="s">
        <v>77</v>
      </c>
      <c r="I5652" s="26" t="s">
        <v>77</v>
      </c>
      <c r="J5652" s="26" t="s">
        <v>77</v>
      </c>
      <c r="K5652" s="18"/>
      <c r="L5652" s="26" t="s">
        <v>77</v>
      </c>
      <c r="M5652" s="6" t="s">
        <v>77</v>
      </c>
      <c r="N5652" s="28" t="s">
        <v>77</v>
      </c>
      <c r="O5652" s="26" t="s">
        <v>77</v>
      </c>
    </row>
    <row r="5653">
      <c r="A5653" s="52" t="s">
        <v>77</v>
      </c>
      <c r="B5653" s="28" t="s">
        <v>77</v>
      </c>
      <c r="C5653" s="28" t="s">
        <v>77</v>
      </c>
      <c r="D5653" s="28" t="s">
        <v>77</v>
      </c>
      <c r="E5653" s="28" t="s">
        <v>77</v>
      </c>
      <c r="F5653" s="28" t="s">
        <v>77</v>
      </c>
      <c r="G5653" s="28" t="s">
        <v>77</v>
      </c>
      <c r="I5653" s="26" t="s">
        <v>77</v>
      </c>
      <c r="J5653" s="26" t="s">
        <v>77</v>
      </c>
      <c r="K5653" s="18"/>
      <c r="L5653" s="26" t="s">
        <v>77</v>
      </c>
      <c r="M5653" s="6" t="s">
        <v>77</v>
      </c>
      <c r="N5653" s="28" t="s">
        <v>77</v>
      </c>
      <c r="O5653" s="26" t="s">
        <v>77</v>
      </c>
    </row>
    <row r="5654">
      <c r="A5654" s="52" t="s">
        <v>77</v>
      </c>
      <c r="B5654" s="28" t="s">
        <v>77</v>
      </c>
      <c r="C5654" s="28" t="s">
        <v>77</v>
      </c>
      <c r="D5654" s="28" t="s">
        <v>77</v>
      </c>
      <c r="E5654" s="28" t="s">
        <v>77</v>
      </c>
      <c r="F5654" s="28" t="s">
        <v>77</v>
      </c>
      <c r="G5654" s="28" t="s">
        <v>77</v>
      </c>
      <c r="I5654" s="26" t="s">
        <v>77</v>
      </c>
      <c r="J5654" s="26" t="s">
        <v>77</v>
      </c>
      <c r="K5654" s="18"/>
      <c r="L5654" s="26" t="s">
        <v>77</v>
      </c>
      <c r="M5654" s="6" t="s">
        <v>77</v>
      </c>
      <c r="N5654" s="28" t="s">
        <v>77</v>
      </c>
      <c r="O5654" s="26" t="s">
        <v>77</v>
      </c>
    </row>
    <row r="5655">
      <c r="A5655" s="52" t="s">
        <v>77</v>
      </c>
      <c r="B5655" s="28" t="s">
        <v>77</v>
      </c>
      <c r="C5655" s="28" t="s">
        <v>77</v>
      </c>
      <c r="D5655" s="28" t="s">
        <v>77</v>
      </c>
      <c r="E5655" s="28" t="s">
        <v>77</v>
      </c>
      <c r="F5655" s="28" t="s">
        <v>77</v>
      </c>
      <c r="G5655" s="28" t="s">
        <v>77</v>
      </c>
      <c r="I5655" s="26" t="s">
        <v>77</v>
      </c>
      <c r="J5655" s="26" t="s">
        <v>77</v>
      </c>
      <c r="K5655" s="18"/>
      <c r="L5655" s="26" t="s">
        <v>77</v>
      </c>
      <c r="M5655" s="6" t="s">
        <v>77</v>
      </c>
      <c r="N5655" s="28" t="s">
        <v>77</v>
      </c>
      <c r="O5655" s="26" t="s">
        <v>77</v>
      </c>
    </row>
    <row r="5656">
      <c r="A5656" s="52" t="s">
        <v>77</v>
      </c>
      <c r="B5656" s="28" t="s">
        <v>77</v>
      </c>
      <c r="C5656" s="28" t="s">
        <v>77</v>
      </c>
      <c r="D5656" s="28" t="s">
        <v>77</v>
      </c>
      <c r="E5656" s="28" t="s">
        <v>77</v>
      </c>
      <c r="F5656" s="28" t="s">
        <v>77</v>
      </c>
      <c r="G5656" s="28" t="s">
        <v>77</v>
      </c>
      <c r="I5656" s="26" t="s">
        <v>77</v>
      </c>
      <c r="J5656" s="26" t="s">
        <v>77</v>
      </c>
      <c r="K5656" s="18"/>
      <c r="L5656" s="26" t="s">
        <v>77</v>
      </c>
      <c r="M5656" s="6" t="s">
        <v>77</v>
      </c>
      <c r="N5656" s="28" t="s">
        <v>77</v>
      </c>
      <c r="O5656" s="26" t="s">
        <v>77</v>
      </c>
    </row>
    <row r="5657">
      <c r="A5657" s="52" t="s">
        <v>77</v>
      </c>
      <c r="B5657" s="28" t="s">
        <v>77</v>
      </c>
      <c r="C5657" s="28" t="s">
        <v>77</v>
      </c>
      <c r="D5657" s="28" t="s">
        <v>77</v>
      </c>
      <c r="E5657" s="28" t="s">
        <v>77</v>
      </c>
      <c r="F5657" s="28" t="s">
        <v>77</v>
      </c>
      <c r="G5657" s="28" t="s">
        <v>77</v>
      </c>
      <c r="I5657" s="26" t="s">
        <v>77</v>
      </c>
      <c r="J5657" s="26" t="s">
        <v>77</v>
      </c>
      <c r="K5657" s="18"/>
      <c r="L5657" s="26" t="s">
        <v>77</v>
      </c>
      <c r="M5657" s="6" t="s">
        <v>77</v>
      </c>
      <c r="N5657" s="28" t="s">
        <v>77</v>
      </c>
      <c r="O5657" s="26" t="s">
        <v>77</v>
      </c>
    </row>
    <row r="5658">
      <c r="A5658" s="52" t="s">
        <v>77</v>
      </c>
      <c r="B5658" s="28" t="s">
        <v>77</v>
      </c>
      <c r="C5658" s="28" t="s">
        <v>77</v>
      </c>
      <c r="D5658" s="28" t="s">
        <v>77</v>
      </c>
      <c r="E5658" s="28" t="s">
        <v>77</v>
      </c>
      <c r="F5658" s="28" t="s">
        <v>77</v>
      </c>
      <c r="G5658" s="28" t="s">
        <v>77</v>
      </c>
      <c r="I5658" s="26" t="s">
        <v>77</v>
      </c>
      <c r="J5658" s="26" t="s">
        <v>77</v>
      </c>
      <c r="K5658" s="18"/>
      <c r="L5658" s="26" t="s">
        <v>77</v>
      </c>
      <c r="M5658" s="6" t="s">
        <v>77</v>
      </c>
      <c r="N5658" s="28" t="s">
        <v>77</v>
      </c>
      <c r="O5658" s="26" t="s">
        <v>77</v>
      </c>
    </row>
    <row r="5659">
      <c r="A5659" s="52" t="s">
        <v>77</v>
      </c>
      <c r="B5659" s="28" t="s">
        <v>77</v>
      </c>
      <c r="C5659" s="28" t="s">
        <v>77</v>
      </c>
      <c r="D5659" s="28" t="s">
        <v>77</v>
      </c>
      <c r="E5659" s="28" t="s">
        <v>77</v>
      </c>
      <c r="F5659" s="28" t="s">
        <v>77</v>
      </c>
      <c r="G5659" s="28" t="s">
        <v>77</v>
      </c>
      <c r="I5659" s="26" t="s">
        <v>77</v>
      </c>
      <c r="J5659" s="26" t="s">
        <v>77</v>
      </c>
      <c r="K5659" s="18"/>
      <c r="L5659" s="26" t="s">
        <v>77</v>
      </c>
      <c r="M5659" s="6" t="s">
        <v>77</v>
      </c>
      <c r="N5659" s="28" t="s">
        <v>77</v>
      </c>
      <c r="O5659" s="26" t="s">
        <v>77</v>
      </c>
    </row>
    <row r="5660">
      <c r="A5660" s="52" t="s">
        <v>77</v>
      </c>
      <c r="B5660" s="28" t="s">
        <v>77</v>
      </c>
      <c r="C5660" s="28" t="s">
        <v>77</v>
      </c>
      <c r="D5660" s="28" t="s">
        <v>77</v>
      </c>
      <c r="E5660" s="28" t="s">
        <v>77</v>
      </c>
      <c r="F5660" s="28" t="s">
        <v>77</v>
      </c>
      <c r="G5660" s="28" t="s">
        <v>77</v>
      </c>
      <c r="I5660" s="26" t="s">
        <v>77</v>
      </c>
      <c r="J5660" s="26" t="s">
        <v>77</v>
      </c>
      <c r="K5660" s="18"/>
      <c r="L5660" s="26" t="s">
        <v>77</v>
      </c>
      <c r="M5660" s="6" t="s">
        <v>77</v>
      </c>
      <c r="N5660" s="28" t="s">
        <v>77</v>
      </c>
      <c r="O5660" s="26" t="s">
        <v>77</v>
      </c>
    </row>
    <row r="5661">
      <c r="A5661" s="52" t="s">
        <v>77</v>
      </c>
      <c r="B5661" s="28" t="s">
        <v>77</v>
      </c>
      <c r="C5661" s="28" t="s">
        <v>77</v>
      </c>
      <c r="D5661" s="28" t="s">
        <v>77</v>
      </c>
      <c r="E5661" s="28" t="s">
        <v>77</v>
      </c>
      <c r="F5661" s="28" t="s">
        <v>77</v>
      </c>
      <c r="G5661" s="28" t="s">
        <v>77</v>
      </c>
      <c r="I5661" s="26" t="s">
        <v>77</v>
      </c>
      <c r="J5661" s="26" t="s">
        <v>77</v>
      </c>
      <c r="K5661" s="18"/>
      <c r="L5661" s="26" t="s">
        <v>77</v>
      </c>
      <c r="M5661" s="6" t="s">
        <v>77</v>
      </c>
      <c r="N5661" s="28" t="s">
        <v>77</v>
      </c>
      <c r="O5661" s="26" t="s">
        <v>77</v>
      </c>
    </row>
    <row r="5662">
      <c r="A5662" s="52" t="s">
        <v>77</v>
      </c>
      <c r="B5662" s="28" t="s">
        <v>77</v>
      </c>
      <c r="C5662" s="28" t="s">
        <v>77</v>
      </c>
      <c r="D5662" s="28" t="s">
        <v>77</v>
      </c>
      <c r="E5662" s="28" t="s">
        <v>77</v>
      </c>
      <c r="F5662" s="28" t="s">
        <v>77</v>
      </c>
      <c r="G5662" s="28" t="s">
        <v>77</v>
      </c>
      <c r="I5662" s="26" t="s">
        <v>77</v>
      </c>
      <c r="J5662" s="26" t="s">
        <v>77</v>
      </c>
      <c r="K5662" s="18"/>
      <c r="L5662" s="26" t="s">
        <v>77</v>
      </c>
      <c r="M5662" s="6" t="s">
        <v>77</v>
      </c>
      <c r="N5662" s="28" t="s">
        <v>77</v>
      </c>
      <c r="O5662" s="26" t="s">
        <v>77</v>
      </c>
    </row>
    <row r="5663">
      <c r="A5663" s="52" t="s">
        <v>77</v>
      </c>
      <c r="B5663" s="28" t="s">
        <v>77</v>
      </c>
      <c r="C5663" s="28" t="s">
        <v>77</v>
      </c>
      <c r="D5663" s="28" t="s">
        <v>77</v>
      </c>
      <c r="E5663" s="28" t="s">
        <v>77</v>
      </c>
      <c r="F5663" s="28" t="s">
        <v>77</v>
      </c>
      <c r="G5663" s="28" t="s">
        <v>77</v>
      </c>
      <c r="I5663" s="26" t="s">
        <v>77</v>
      </c>
      <c r="J5663" s="26" t="s">
        <v>77</v>
      </c>
      <c r="K5663" s="18"/>
      <c r="L5663" s="26" t="s">
        <v>77</v>
      </c>
      <c r="M5663" s="6" t="s">
        <v>77</v>
      </c>
      <c r="N5663" s="28" t="s">
        <v>77</v>
      </c>
      <c r="O5663" s="26" t="s">
        <v>77</v>
      </c>
    </row>
    <row r="5664">
      <c r="A5664" s="52" t="s">
        <v>77</v>
      </c>
      <c r="B5664" s="28" t="s">
        <v>77</v>
      </c>
      <c r="C5664" s="28" t="s">
        <v>77</v>
      </c>
      <c r="D5664" s="28" t="s">
        <v>77</v>
      </c>
      <c r="E5664" s="28" t="s">
        <v>77</v>
      </c>
      <c r="F5664" s="28" t="s">
        <v>77</v>
      </c>
      <c r="G5664" s="28" t="s">
        <v>77</v>
      </c>
      <c r="I5664" s="26" t="s">
        <v>77</v>
      </c>
      <c r="J5664" s="26" t="s">
        <v>77</v>
      </c>
      <c r="K5664" s="18"/>
      <c r="L5664" s="26" t="s">
        <v>77</v>
      </c>
      <c r="M5664" s="6" t="s">
        <v>77</v>
      </c>
      <c r="N5664" s="28" t="s">
        <v>77</v>
      </c>
      <c r="O5664" s="26" t="s">
        <v>77</v>
      </c>
    </row>
    <row r="5665">
      <c r="A5665" s="52" t="s">
        <v>77</v>
      </c>
      <c r="B5665" s="28" t="s">
        <v>77</v>
      </c>
      <c r="C5665" s="28" t="s">
        <v>77</v>
      </c>
      <c r="D5665" s="28" t="s">
        <v>77</v>
      </c>
      <c r="E5665" s="28" t="s">
        <v>77</v>
      </c>
      <c r="F5665" s="28" t="s">
        <v>77</v>
      </c>
      <c r="G5665" s="28" t="s">
        <v>77</v>
      </c>
      <c r="I5665" s="26" t="s">
        <v>77</v>
      </c>
      <c r="J5665" s="26" t="s">
        <v>77</v>
      </c>
      <c r="K5665" s="18"/>
      <c r="L5665" s="26" t="s">
        <v>77</v>
      </c>
      <c r="M5665" s="6" t="s">
        <v>77</v>
      </c>
      <c r="N5665" s="28" t="s">
        <v>77</v>
      </c>
      <c r="O5665" s="26" t="s">
        <v>77</v>
      </c>
    </row>
    <row r="5666">
      <c r="A5666" s="52" t="s">
        <v>77</v>
      </c>
      <c r="B5666" s="28" t="s">
        <v>77</v>
      </c>
      <c r="C5666" s="28" t="s">
        <v>77</v>
      </c>
      <c r="D5666" s="28" t="s">
        <v>77</v>
      </c>
      <c r="E5666" s="28" t="s">
        <v>77</v>
      </c>
      <c r="F5666" s="28" t="s">
        <v>77</v>
      </c>
      <c r="G5666" s="28" t="s">
        <v>77</v>
      </c>
      <c r="I5666" s="26" t="s">
        <v>77</v>
      </c>
      <c r="J5666" s="26" t="s">
        <v>77</v>
      </c>
      <c r="K5666" s="18"/>
      <c r="L5666" s="26" t="s">
        <v>77</v>
      </c>
      <c r="M5666" s="6" t="s">
        <v>77</v>
      </c>
      <c r="N5666" s="28" t="s">
        <v>77</v>
      </c>
      <c r="O5666" s="26" t="s">
        <v>77</v>
      </c>
    </row>
    <row r="5667">
      <c r="A5667" s="52" t="s">
        <v>77</v>
      </c>
      <c r="B5667" s="28" t="s">
        <v>77</v>
      </c>
      <c r="C5667" s="28" t="s">
        <v>77</v>
      </c>
      <c r="D5667" s="28" t="s">
        <v>77</v>
      </c>
      <c r="E5667" s="28" t="s">
        <v>77</v>
      </c>
      <c r="F5667" s="28" t="s">
        <v>77</v>
      </c>
      <c r="G5667" s="28" t="s">
        <v>77</v>
      </c>
      <c r="I5667" s="26" t="s">
        <v>77</v>
      </c>
      <c r="J5667" s="26" t="s">
        <v>77</v>
      </c>
      <c r="K5667" s="18"/>
      <c r="L5667" s="26" t="s">
        <v>77</v>
      </c>
      <c r="M5667" s="6" t="s">
        <v>77</v>
      </c>
      <c r="N5667" s="28" t="s">
        <v>77</v>
      </c>
      <c r="O5667" s="26" t="s">
        <v>77</v>
      </c>
    </row>
    <row r="5668">
      <c r="A5668" s="52" t="s">
        <v>77</v>
      </c>
      <c r="B5668" s="28" t="s">
        <v>77</v>
      </c>
      <c r="C5668" s="28" t="s">
        <v>77</v>
      </c>
      <c r="D5668" s="28" t="s">
        <v>77</v>
      </c>
      <c r="E5668" s="28" t="s">
        <v>77</v>
      </c>
      <c r="F5668" s="28" t="s">
        <v>77</v>
      </c>
      <c r="G5668" s="28" t="s">
        <v>77</v>
      </c>
      <c r="I5668" s="26" t="s">
        <v>77</v>
      </c>
      <c r="J5668" s="26" t="s">
        <v>77</v>
      </c>
      <c r="K5668" s="18"/>
      <c r="L5668" s="26" t="s">
        <v>77</v>
      </c>
      <c r="M5668" s="6" t="s">
        <v>77</v>
      </c>
      <c r="N5668" s="28" t="s">
        <v>77</v>
      </c>
      <c r="O5668" s="26" t="s">
        <v>77</v>
      </c>
    </row>
    <row r="5669">
      <c r="A5669" s="52" t="s">
        <v>77</v>
      </c>
      <c r="B5669" s="28" t="s">
        <v>77</v>
      </c>
      <c r="C5669" s="28" t="s">
        <v>77</v>
      </c>
      <c r="D5669" s="28" t="s">
        <v>77</v>
      </c>
      <c r="E5669" s="28" t="s">
        <v>77</v>
      </c>
      <c r="F5669" s="28" t="s">
        <v>77</v>
      </c>
      <c r="G5669" s="28" t="s">
        <v>77</v>
      </c>
      <c r="I5669" s="26" t="s">
        <v>77</v>
      </c>
      <c r="J5669" s="26" t="s">
        <v>77</v>
      </c>
      <c r="K5669" s="18"/>
      <c r="L5669" s="26" t="s">
        <v>77</v>
      </c>
      <c r="M5669" s="6" t="s">
        <v>77</v>
      </c>
      <c r="N5669" s="28" t="s">
        <v>77</v>
      </c>
      <c r="O5669" s="26" t="s">
        <v>77</v>
      </c>
    </row>
    <row r="5670">
      <c r="A5670" s="52" t="s">
        <v>77</v>
      </c>
      <c r="B5670" s="28" t="s">
        <v>77</v>
      </c>
      <c r="C5670" s="28" t="s">
        <v>77</v>
      </c>
      <c r="D5670" s="28" t="s">
        <v>77</v>
      </c>
      <c r="E5670" s="28" t="s">
        <v>77</v>
      </c>
      <c r="F5670" s="28" t="s">
        <v>77</v>
      </c>
      <c r="G5670" s="28" t="s">
        <v>77</v>
      </c>
      <c r="I5670" s="26" t="s">
        <v>77</v>
      </c>
      <c r="J5670" s="26" t="s">
        <v>77</v>
      </c>
      <c r="K5670" s="18"/>
      <c r="L5670" s="26" t="s">
        <v>77</v>
      </c>
      <c r="M5670" s="6" t="s">
        <v>77</v>
      </c>
      <c r="N5670" s="28" t="s">
        <v>77</v>
      </c>
      <c r="O5670" s="26" t="s">
        <v>77</v>
      </c>
    </row>
    <row r="5671">
      <c r="A5671" s="52" t="s">
        <v>77</v>
      </c>
      <c r="B5671" s="28" t="s">
        <v>77</v>
      </c>
      <c r="C5671" s="28" t="s">
        <v>77</v>
      </c>
      <c r="D5671" s="28" t="s">
        <v>77</v>
      </c>
      <c r="E5671" s="28" t="s">
        <v>77</v>
      </c>
      <c r="F5671" s="28" t="s">
        <v>77</v>
      </c>
      <c r="G5671" s="28" t="s">
        <v>77</v>
      </c>
      <c r="I5671" s="26" t="s">
        <v>77</v>
      </c>
      <c r="J5671" s="26" t="s">
        <v>77</v>
      </c>
      <c r="K5671" s="18"/>
      <c r="L5671" s="26" t="s">
        <v>77</v>
      </c>
      <c r="M5671" s="6" t="s">
        <v>77</v>
      </c>
      <c r="N5671" s="28" t="s">
        <v>77</v>
      </c>
      <c r="O5671" s="26" t="s">
        <v>77</v>
      </c>
    </row>
    <row r="5672">
      <c r="A5672" s="52" t="s">
        <v>77</v>
      </c>
      <c r="B5672" s="28" t="s">
        <v>77</v>
      </c>
      <c r="C5672" s="28" t="s">
        <v>77</v>
      </c>
      <c r="D5672" s="28" t="s">
        <v>77</v>
      </c>
      <c r="E5672" s="28" t="s">
        <v>77</v>
      </c>
      <c r="F5672" s="28" t="s">
        <v>77</v>
      </c>
      <c r="G5672" s="28" t="s">
        <v>77</v>
      </c>
      <c r="I5672" s="26" t="s">
        <v>77</v>
      </c>
      <c r="J5672" s="26" t="s">
        <v>77</v>
      </c>
      <c r="K5672" s="18"/>
      <c r="L5672" s="26" t="s">
        <v>77</v>
      </c>
      <c r="M5672" s="6" t="s">
        <v>77</v>
      </c>
      <c r="N5672" s="28" t="s">
        <v>77</v>
      </c>
      <c r="O5672" s="26" t="s">
        <v>77</v>
      </c>
    </row>
    <row r="5673">
      <c r="A5673" s="52" t="s">
        <v>77</v>
      </c>
      <c r="B5673" s="28" t="s">
        <v>77</v>
      </c>
      <c r="C5673" s="28" t="s">
        <v>77</v>
      </c>
      <c r="D5673" s="28" t="s">
        <v>77</v>
      </c>
      <c r="E5673" s="28" t="s">
        <v>77</v>
      </c>
      <c r="F5673" s="28" t="s">
        <v>77</v>
      </c>
      <c r="G5673" s="28" t="s">
        <v>77</v>
      </c>
      <c r="I5673" s="26" t="s">
        <v>77</v>
      </c>
      <c r="J5673" s="26" t="s">
        <v>77</v>
      </c>
      <c r="K5673" s="18"/>
      <c r="L5673" s="26" t="s">
        <v>77</v>
      </c>
      <c r="M5673" s="6" t="s">
        <v>77</v>
      </c>
      <c r="N5673" s="28" t="s">
        <v>77</v>
      </c>
      <c r="O5673" s="26" t="s">
        <v>77</v>
      </c>
    </row>
    <row r="5674">
      <c r="A5674" s="52" t="s">
        <v>77</v>
      </c>
      <c r="B5674" s="28" t="s">
        <v>77</v>
      </c>
      <c r="C5674" s="28" t="s">
        <v>77</v>
      </c>
      <c r="D5674" s="28" t="s">
        <v>77</v>
      </c>
      <c r="E5674" s="28" t="s">
        <v>77</v>
      </c>
      <c r="F5674" s="28" t="s">
        <v>77</v>
      </c>
      <c r="G5674" s="28" t="s">
        <v>77</v>
      </c>
      <c r="I5674" s="26" t="s">
        <v>77</v>
      </c>
      <c r="J5674" s="26" t="s">
        <v>77</v>
      </c>
      <c r="K5674" s="18"/>
      <c r="L5674" s="26" t="s">
        <v>77</v>
      </c>
      <c r="M5674" s="6" t="s">
        <v>77</v>
      </c>
      <c r="N5674" s="28" t="s">
        <v>77</v>
      </c>
      <c r="O5674" s="26" t="s">
        <v>77</v>
      </c>
    </row>
    <row r="5675">
      <c r="A5675" s="52" t="s">
        <v>77</v>
      </c>
      <c r="B5675" s="28" t="s">
        <v>77</v>
      </c>
      <c r="C5675" s="28" t="s">
        <v>77</v>
      </c>
      <c r="D5675" s="28" t="s">
        <v>77</v>
      </c>
      <c r="E5675" s="28" t="s">
        <v>77</v>
      </c>
      <c r="F5675" s="28" t="s">
        <v>77</v>
      </c>
      <c r="G5675" s="28" t="s">
        <v>77</v>
      </c>
      <c r="I5675" s="26" t="s">
        <v>77</v>
      </c>
      <c r="J5675" s="26" t="s">
        <v>77</v>
      </c>
      <c r="K5675" s="18"/>
      <c r="L5675" s="26" t="s">
        <v>77</v>
      </c>
      <c r="M5675" s="6" t="s">
        <v>77</v>
      </c>
      <c r="N5675" s="28" t="s">
        <v>77</v>
      </c>
      <c r="O5675" s="26" t="s">
        <v>77</v>
      </c>
    </row>
    <row r="5676">
      <c r="A5676" s="52" t="s">
        <v>77</v>
      </c>
      <c r="B5676" s="28" t="s">
        <v>77</v>
      </c>
      <c r="C5676" s="28" t="s">
        <v>77</v>
      </c>
      <c r="D5676" s="28" t="s">
        <v>77</v>
      </c>
      <c r="E5676" s="28" t="s">
        <v>77</v>
      </c>
      <c r="F5676" s="28" t="s">
        <v>77</v>
      </c>
      <c r="G5676" s="28" t="s">
        <v>77</v>
      </c>
      <c r="I5676" s="26" t="s">
        <v>77</v>
      </c>
      <c r="J5676" s="26" t="s">
        <v>77</v>
      </c>
      <c r="K5676" s="18"/>
      <c r="L5676" s="26" t="s">
        <v>77</v>
      </c>
      <c r="M5676" s="6" t="s">
        <v>77</v>
      </c>
      <c r="N5676" s="28" t="s">
        <v>77</v>
      </c>
      <c r="O5676" s="26" t="s">
        <v>77</v>
      </c>
    </row>
    <row r="5677">
      <c r="A5677" s="52" t="s">
        <v>77</v>
      </c>
      <c r="B5677" s="28" t="s">
        <v>77</v>
      </c>
      <c r="C5677" s="28" t="s">
        <v>77</v>
      </c>
      <c r="D5677" s="28" t="s">
        <v>77</v>
      </c>
      <c r="E5677" s="28" t="s">
        <v>77</v>
      </c>
      <c r="F5677" s="28" t="s">
        <v>77</v>
      </c>
      <c r="G5677" s="28" t="s">
        <v>77</v>
      </c>
      <c r="I5677" s="26" t="s">
        <v>77</v>
      </c>
      <c r="J5677" s="26" t="s">
        <v>77</v>
      </c>
      <c r="K5677" s="18"/>
      <c r="L5677" s="26" t="s">
        <v>77</v>
      </c>
      <c r="M5677" s="6" t="s">
        <v>77</v>
      </c>
      <c r="N5677" s="28" t="s">
        <v>77</v>
      </c>
      <c r="O5677" s="26" t="s">
        <v>77</v>
      </c>
    </row>
    <row r="5678">
      <c r="A5678" s="52" t="s">
        <v>77</v>
      </c>
      <c r="B5678" s="28" t="s">
        <v>77</v>
      </c>
      <c r="C5678" s="28" t="s">
        <v>77</v>
      </c>
      <c r="D5678" s="28" t="s">
        <v>77</v>
      </c>
      <c r="E5678" s="28" t="s">
        <v>77</v>
      </c>
      <c r="F5678" s="28" t="s">
        <v>77</v>
      </c>
      <c r="G5678" s="28" t="s">
        <v>77</v>
      </c>
      <c r="I5678" s="26" t="s">
        <v>77</v>
      </c>
      <c r="J5678" s="26" t="s">
        <v>77</v>
      </c>
      <c r="K5678" s="18"/>
      <c r="L5678" s="26" t="s">
        <v>77</v>
      </c>
      <c r="M5678" s="6" t="s">
        <v>77</v>
      </c>
      <c r="N5678" s="28" t="s">
        <v>77</v>
      </c>
      <c r="O5678" s="26" t="s">
        <v>77</v>
      </c>
    </row>
    <row r="5679">
      <c r="A5679" s="52" t="s">
        <v>77</v>
      </c>
      <c r="B5679" s="28" t="s">
        <v>77</v>
      </c>
      <c r="C5679" s="28" t="s">
        <v>77</v>
      </c>
      <c r="D5679" s="28" t="s">
        <v>77</v>
      </c>
      <c r="E5679" s="28" t="s">
        <v>77</v>
      </c>
      <c r="F5679" s="28" t="s">
        <v>77</v>
      </c>
      <c r="G5679" s="28" t="s">
        <v>77</v>
      </c>
      <c r="I5679" s="26" t="s">
        <v>77</v>
      </c>
      <c r="J5679" s="26" t="s">
        <v>77</v>
      </c>
      <c r="K5679" s="18"/>
      <c r="L5679" s="26" t="s">
        <v>77</v>
      </c>
      <c r="M5679" s="6" t="s">
        <v>77</v>
      </c>
      <c r="N5679" s="28" t="s">
        <v>77</v>
      </c>
      <c r="O5679" s="26" t="s">
        <v>77</v>
      </c>
    </row>
    <row r="5680">
      <c r="A5680" s="52" t="s">
        <v>77</v>
      </c>
      <c r="B5680" s="28" t="s">
        <v>77</v>
      </c>
      <c r="C5680" s="28" t="s">
        <v>77</v>
      </c>
      <c r="D5680" s="28" t="s">
        <v>77</v>
      </c>
      <c r="E5680" s="28" t="s">
        <v>77</v>
      </c>
      <c r="F5680" s="28" t="s">
        <v>77</v>
      </c>
      <c r="G5680" s="28" t="s">
        <v>77</v>
      </c>
      <c r="I5680" s="26" t="s">
        <v>77</v>
      </c>
      <c r="J5680" s="26" t="s">
        <v>77</v>
      </c>
      <c r="K5680" s="18"/>
      <c r="L5680" s="26" t="s">
        <v>77</v>
      </c>
      <c r="M5680" s="6" t="s">
        <v>77</v>
      </c>
      <c r="N5680" s="28" t="s">
        <v>77</v>
      </c>
      <c r="O5680" s="26" t="s">
        <v>77</v>
      </c>
    </row>
    <row r="5681">
      <c r="A5681" s="52" t="s">
        <v>77</v>
      </c>
      <c r="B5681" s="28" t="s">
        <v>77</v>
      </c>
      <c r="C5681" s="28" t="s">
        <v>77</v>
      </c>
      <c r="D5681" s="28" t="s">
        <v>77</v>
      </c>
      <c r="E5681" s="28" t="s">
        <v>77</v>
      </c>
      <c r="F5681" s="28" t="s">
        <v>77</v>
      </c>
      <c r="G5681" s="28" t="s">
        <v>77</v>
      </c>
      <c r="I5681" s="26" t="s">
        <v>77</v>
      </c>
      <c r="J5681" s="26" t="s">
        <v>77</v>
      </c>
      <c r="K5681" s="18"/>
      <c r="L5681" s="26" t="s">
        <v>77</v>
      </c>
      <c r="M5681" s="6" t="s">
        <v>77</v>
      </c>
      <c r="N5681" s="28" t="s">
        <v>77</v>
      </c>
      <c r="O5681" s="26" t="s">
        <v>77</v>
      </c>
    </row>
    <row r="5682">
      <c r="A5682" s="52" t="s">
        <v>77</v>
      </c>
      <c r="B5682" s="28" t="s">
        <v>77</v>
      </c>
      <c r="C5682" s="28" t="s">
        <v>77</v>
      </c>
      <c r="D5682" s="28" t="s">
        <v>77</v>
      </c>
      <c r="E5682" s="28" t="s">
        <v>77</v>
      </c>
      <c r="F5682" s="28" t="s">
        <v>77</v>
      </c>
      <c r="G5682" s="28" t="s">
        <v>77</v>
      </c>
      <c r="I5682" s="26" t="s">
        <v>77</v>
      </c>
      <c r="J5682" s="26" t="s">
        <v>77</v>
      </c>
      <c r="K5682" s="18"/>
      <c r="L5682" s="26" t="s">
        <v>77</v>
      </c>
      <c r="M5682" s="6" t="s">
        <v>77</v>
      </c>
      <c r="N5682" s="28" t="s">
        <v>77</v>
      </c>
      <c r="O5682" s="26" t="s">
        <v>77</v>
      </c>
    </row>
    <row r="5683">
      <c r="A5683" s="52" t="s">
        <v>77</v>
      </c>
      <c r="B5683" s="28" t="s">
        <v>77</v>
      </c>
      <c r="C5683" s="28" t="s">
        <v>77</v>
      </c>
      <c r="D5683" s="28" t="s">
        <v>77</v>
      </c>
      <c r="E5683" s="28" t="s">
        <v>77</v>
      </c>
      <c r="F5683" s="28" t="s">
        <v>77</v>
      </c>
      <c r="G5683" s="28" t="s">
        <v>77</v>
      </c>
      <c r="I5683" s="26" t="s">
        <v>77</v>
      </c>
      <c r="J5683" s="26" t="s">
        <v>77</v>
      </c>
      <c r="K5683" s="18"/>
      <c r="L5683" s="26" t="s">
        <v>77</v>
      </c>
      <c r="M5683" s="6" t="s">
        <v>77</v>
      </c>
      <c r="N5683" s="28" t="s">
        <v>77</v>
      </c>
      <c r="O5683" s="26" t="s">
        <v>77</v>
      </c>
    </row>
    <row r="5684">
      <c r="A5684" s="52" t="s">
        <v>77</v>
      </c>
      <c r="B5684" s="28" t="s">
        <v>77</v>
      </c>
      <c r="C5684" s="28" t="s">
        <v>77</v>
      </c>
      <c r="D5684" s="28" t="s">
        <v>77</v>
      </c>
      <c r="E5684" s="28" t="s">
        <v>77</v>
      </c>
      <c r="F5684" s="28" t="s">
        <v>77</v>
      </c>
      <c r="G5684" s="28" t="s">
        <v>77</v>
      </c>
      <c r="I5684" s="26" t="s">
        <v>77</v>
      </c>
      <c r="J5684" s="26" t="s">
        <v>77</v>
      </c>
      <c r="K5684" s="18"/>
      <c r="L5684" s="26" t="s">
        <v>77</v>
      </c>
      <c r="M5684" s="6" t="s">
        <v>77</v>
      </c>
      <c r="N5684" s="28" t="s">
        <v>77</v>
      </c>
      <c r="O5684" s="26" t="s">
        <v>77</v>
      </c>
    </row>
    <row r="5685">
      <c r="A5685" s="52" t="s">
        <v>77</v>
      </c>
      <c r="B5685" s="28" t="s">
        <v>77</v>
      </c>
      <c r="C5685" s="28" t="s">
        <v>77</v>
      </c>
      <c r="D5685" s="28" t="s">
        <v>77</v>
      </c>
      <c r="E5685" s="28" t="s">
        <v>77</v>
      </c>
      <c r="F5685" s="28" t="s">
        <v>77</v>
      </c>
      <c r="G5685" s="28" t="s">
        <v>77</v>
      </c>
      <c r="I5685" s="26" t="s">
        <v>77</v>
      </c>
      <c r="J5685" s="26" t="s">
        <v>77</v>
      </c>
      <c r="K5685" s="18"/>
      <c r="L5685" s="26" t="s">
        <v>77</v>
      </c>
      <c r="M5685" s="6" t="s">
        <v>77</v>
      </c>
      <c r="N5685" s="28" t="s">
        <v>77</v>
      </c>
      <c r="O5685" s="26" t="s">
        <v>77</v>
      </c>
    </row>
    <row r="5686">
      <c r="A5686" s="52" t="s">
        <v>77</v>
      </c>
      <c r="B5686" s="28" t="s">
        <v>77</v>
      </c>
      <c r="C5686" s="28" t="s">
        <v>77</v>
      </c>
      <c r="D5686" s="28" t="s">
        <v>77</v>
      </c>
      <c r="E5686" s="28" t="s">
        <v>77</v>
      </c>
      <c r="F5686" s="28" t="s">
        <v>77</v>
      </c>
      <c r="G5686" s="28" t="s">
        <v>77</v>
      </c>
      <c r="I5686" s="26" t="s">
        <v>77</v>
      </c>
      <c r="J5686" s="26" t="s">
        <v>77</v>
      </c>
      <c r="K5686" s="18"/>
      <c r="L5686" s="26" t="s">
        <v>77</v>
      </c>
      <c r="M5686" s="6" t="s">
        <v>77</v>
      </c>
      <c r="N5686" s="28" t="s">
        <v>77</v>
      </c>
      <c r="O5686" s="26" t="s">
        <v>77</v>
      </c>
    </row>
    <row r="5687">
      <c r="A5687" s="52" t="s">
        <v>77</v>
      </c>
      <c r="B5687" s="28" t="s">
        <v>77</v>
      </c>
      <c r="C5687" s="28" t="s">
        <v>77</v>
      </c>
      <c r="D5687" s="28" t="s">
        <v>77</v>
      </c>
      <c r="E5687" s="28" t="s">
        <v>77</v>
      </c>
      <c r="F5687" s="28" t="s">
        <v>77</v>
      </c>
      <c r="G5687" s="28" t="s">
        <v>77</v>
      </c>
      <c r="I5687" s="26" t="s">
        <v>77</v>
      </c>
      <c r="J5687" s="26" t="s">
        <v>77</v>
      </c>
      <c r="K5687" s="18"/>
      <c r="L5687" s="26" t="s">
        <v>77</v>
      </c>
      <c r="M5687" s="6" t="s">
        <v>77</v>
      </c>
      <c r="N5687" s="28" t="s">
        <v>77</v>
      </c>
      <c r="O5687" s="26" t="s">
        <v>77</v>
      </c>
    </row>
    <row r="5688">
      <c r="A5688" s="52" t="s">
        <v>77</v>
      </c>
      <c r="B5688" s="28" t="s">
        <v>77</v>
      </c>
      <c r="C5688" s="28" t="s">
        <v>77</v>
      </c>
      <c r="D5688" s="28" t="s">
        <v>77</v>
      </c>
      <c r="E5688" s="28" t="s">
        <v>77</v>
      </c>
      <c r="F5688" s="28" t="s">
        <v>77</v>
      </c>
      <c r="G5688" s="28" t="s">
        <v>77</v>
      </c>
      <c r="I5688" s="26" t="s">
        <v>77</v>
      </c>
      <c r="J5688" s="26" t="s">
        <v>77</v>
      </c>
      <c r="K5688" s="18"/>
      <c r="L5688" s="26" t="s">
        <v>77</v>
      </c>
      <c r="M5688" s="6" t="s">
        <v>77</v>
      </c>
      <c r="N5688" s="28" t="s">
        <v>77</v>
      </c>
      <c r="O5688" s="26" t="s">
        <v>77</v>
      </c>
    </row>
    <row r="5689">
      <c r="A5689" s="52" t="s">
        <v>77</v>
      </c>
      <c r="B5689" s="28" t="s">
        <v>77</v>
      </c>
      <c r="C5689" s="28" t="s">
        <v>77</v>
      </c>
      <c r="D5689" s="28" t="s">
        <v>77</v>
      </c>
      <c r="E5689" s="28" t="s">
        <v>77</v>
      </c>
      <c r="F5689" s="28" t="s">
        <v>77</v>
      </c>
      <c r="G5689" s="28" t="s">
        <v>77</v>
      </c>
      <c r="I5689" s="26" t="s">
        <v>77</v>
      </c>
      <c r="J5689" s="26" t="s">
        <v>77</v>
      </c>
      <c r="K5689" s="18"/>
      <c r="L5689" s="26" t="s">
        <v>77</v>
      </c>
      <c r="M5689" s="6" t="s">
        <v>77</v>
      </c>
      <c r="N5689" s="28" t="s">
        <v>77</v>
      </c>
      <c r="O5689" s="26" t="s">
        <v>77</v>
      </c>
    </row>
    <row r="5690">
      <c r="A5690" s="52" t="s">
        <v>77</v>
      </c>
      <c r="B5690" s="28" t="s">
        <v>77</v>
      </c>
      <c r="C5690" s="28" t="s">
        <v>77</v>
      </c>
      <c r="D5690" s="28" t="s">
        <v>77</v>
      </c>
      <c r="E5690" s="28" t="s">
        <v>77</v>
      </c>
      <c r="F5690" s="28" t="s">
        <v>77</v>
      </c>
      <c r="G5690" s="28" t="s">
        <v>77</v>
      </c>
      <c r="I5690" s="26" t="s">
        <v>77</v>
      </c>
      <c r="J5690" s="26" t="s">
        <v>77</v>
      </c>
      <c r="K5690" s="18"/>
      <c r="L5690" s="26" t="s">
        <v>77</v>
      </c>
      <c r="M5690" s="6" t="s">
        <v>77</v>
      </c>
      <c r="N5690" s="28" t="s">
        <v>77</v>
      </c>
      <c r="O5690" s="26" t="s">
        <v>77</v>
      </c>
    </row>
    <row r="5691">
      <c r="A5691" s="52" t="s">
        <v>77</v>
      </c>
      <c r="B5691" s="28" t="s">
        <v>77</v>
      </c>
      <c r="C5691" s="28" t="s">
        <v>77</v>
      </c>
      <c r="D5691" s="28" t="s">
        <v>77</v>
      </c>
      <c r="E5691" s="28" t="s">
        <v>77</v>
      </c>
      <c r="F5691" s="28" t="s">
        <v>77</v>
      </c>
      <c r="G5691" s="28" t="s">
        <v>77</v>
      </c>
      <c r="I5691" s="26" t="s">
        <v>77</v>
      </c>
      <c r="J5691" s="26" t="s">
        <v>77</v>
      </c>
      <c r="K5691" s="18"/>
      <c r="L5691" s="26" t="s">
        <v>77</v>
      </c>
      <c r="M5691" s="6" t="s">
        <v>77</v>
      </c>
      <c r="N5691" s="28" t="s">
        <v>77</v>
      </c>
      <c r="O5691" s="26" t="s">
        <v>77</v>
      </c>
    </row>
    <row r="5692">
      <c r="A5692" s="52" t="s">
        <v>77</v>
      </c>
      <c r="B5692" s="28" t="s">
        <v>77</v>
      </c>
      <c r="C5692" s="28" t="s">
        <v>77</v>
      </c>
      <c r="D5692" s="28" t="s">
        <v>77</v>
      </c>
      <c r="E5692" s="28" t="s">
        <v>77</v>
      </c>
      <c r="F5692" s="28" t="s">
        <v>77</v>
      </c>
      <c r="G5692" s="28" t="s">
        <v>77</v>
      </c>
      <c r="I5692" s="26" t="s">
        <v>77</v>
      </c>
      <c r="J5692" s="26" t="s">
        <v>77</v>
      </c>
      <c r="K5692" s="18"/>
      <c r="L5692" s="26" t="s">
        <v>77</v>
      </c>
      <c r="M5692" s="6" t="s">
        <v>77</v>
      </c>
      <c r="N5692" s="28" t="s">
        <v>77</v>
      </c>
      <c r="O5692" s="26" t="s">
        <v>77</v>
      </c>
    </row>
    <row r="5693">
      <c r="A5693" s="52" t="s">
        <v>77</v>
      </c>
      <c r="B5693" s="28" t="s">
        <v>77</v>
      </c>
      <c r="C5693" s="28" t="s">
        <v>77</v>
      </c>
      <c r="D5693" s="28" t="s">
        <v>77</v>
      </c>
      <c r="E5693" s="28" t="s">
        <v>77</v>
      </c>
      <c r="F5693" s="28" t="s">
        <v>77</v>
      </c>
      <c r="G5693" s="28" t="s">
        <v>77</v>
      </c>
      <c r="I5693" s="26" t="s">
        <v>77</v>
      </c>
      <c r="J5693" s="26" t="s">
        <v>77</v>
      </c>
      <c r="K5693" s="18"/>
      <c r="L5693" s="26" t="s">
        <v>77</v>
      </c>
      <c r="M5693" s="6" t="s">
        <v>77</v>
      </c>
      <c r="N5693" s="28" t="s">
        <v>77</v>
      </c>
      <c r="O5693" s="26" t="s">
        <v>77</v>
      </c>
    </row>
    <row r="5694">
      <c r="A5694" s="52" t="s">
        <v>77</v>
      </c>
      <c r="B5694" s="28" t="s">
        <v>77</v>
      </c>
      <c r="C5694" s="28" t="s">
        <v>77</v>
      </c>
      <c r="D5694" s="28" t="s">
        <v>77</v>
      </c>
      <c r="E5694" s="28" t="s">
        <v>77</v>
      </c>
      <c r="F5694" s="28" t="s">
        <v>77</v>
      </c>
      <c r="G5694" s="28" t="s">
        <v>77</v>
      </c>
      <c r="I5694" s="26" t="s">
        <v>77</v>
      </c>
      <c r="J5694" s="26" t="s">
        <v>77</v>
      </c>
      <c r="K5694" s="18"/>
      <c r="L5694" s="26" t="s">
        <v>77</v>
      </c>
      <c r="M5694" s="6" t="s">
        <v>77</v>
      </c>
      <c r="N5694" s="28" t="s">
        <v>77</v>
      </c>
      <c r="O5694" s="26" t="s">
        <v>77</v>
      </c>
    </row>
    <row r="5695">
      <c r="A5695" s="52" t="s">
        <v>77</v>
      </c>
      <c r="B5695" s="28" t="s">
        <v>77</v>
      </c>
      <c r="C5695" s="28" t="s">
        <v>77</v>
      </c>
      <c r="D5695" s="28" t="s">
        <v>77</v>
      </c>
      <c r="E5695" s="28" t="s">
        <v>77</v>
      </c>
      <c r="F5695" s="28" t="s">
        <v>77</v>
      </c>
      <c r="G5695" s="28" t="s">
        <v>77</v>
      </c>
      <c r="I5695" s="26" t="s">
        <v>77</v>
      </c>
      <c r="J5695" s="26" t="s">
        <v>77</v>
      </c>
      <c r="K5695" s="18"/>
      <c r="L5695" s="26" t="s">
        <v>77</v>
      </c>
      <c r="M5695" s="6" t="s">
        <v>77</v>
      </c>
      <c r="N5695" s="28" t="s">
        <v>77</v>
      </c>
      <c r="O5695" s="26" t="s">
        <v>77</v>
      </c>
    </row>
    <row r="5696">
      <c r="A5696" s="52" t="s">
        <v>77</v>
      </c>
      <c r="B5696" s="28" t="s">
        <v>77</v>
      </c>
      <c r="C5696" s="28" t="s">
        <v>77</v>
      </c>
      <c r="D5696" s="28" t="s">
        <v>77</v>
      </c>
      <c r="E5696" s="28" t="s">
        <v>77</v>
      </c>
      <c r="F5696" s="28" t="s">
        <v>77</v>
      </c>
      <c r="G5696" s="28" t="s">
        <v>77</v>
      </c>
      <c r="I5696" s="26" t="s">
        <v>77</v>
      </c>
      <c r="J5696" s="26" t="s">
        <v>77</v>
      </c>
      <c r="K5696" s="18"/>
      <c r="L5696" s="26" t="s">
        <v>77</v>
      </c>
      <c r="M5696" s="6" t="s">
        <v>77</v>
      </c>
      <c r="N5696" s="28" t="s">
        <v>77</v>
      </c>
      <c r="O5696" s="26" t="s">
        <v>77</v>
      </c>
    </row>
    <row r="5697">
      <c r="A5697" s="52" t="s">
        <v>77</v>
      </c>
      <c r="B5697" s="28" t="s">
        <v>77</v>
      </c>
      <c r="C5697" s="28" t="s">
        <v>77</v>
      </c>
      <c r="D5697" s="28" t="s">
        <v>77</v>
      </c>
      <c r="E5697" s="28" t="s">
        <v>77</v>
      </c>
      <c r="F5697" s="28" t="s">
        <v>77</v>
      </c>
      <c r="G5697" s="28" t="s">
        <v>77</v>
      </c>
      <c r="I5697" s="26" t="s">
        <v>77</v>
      </c>
      <c r="J5697" s="26" t="s">
        <v>77</v>
      </c>
      <c r="K5697" s="18"/>
      <c r="L5697" s="26" t="s">
        <v>77</v>
      </c>
      <c r="M5697" s="6" t="s">
        <v>77</v>
      </c>
      <c r="N5697" s="28" t="s">
        <v>77</v>
      </c>
      <c r="O5697" s="26" t="s">
        <v>77</v>
      </c>
    </row>
    <row r="5698">
      <c r="A5698" s="52" t="s">
        <v>77</v>
      </c>
      <c r="B5698" s="28" t="s">
        <v>77</v>
      </c>
      <c r="C5698" s="28" t="s">
        <v>77</v>
      </c>
      <c r="D5698" s="28" t="s">
        <v>77</v>
      </c>
      <c r="E5698" s="28" t="s">
        <v>77</v>
      </c>
      <c r="F5698" s="28" t="s">
        <v>77</v>
      </c>
      <c r="G5698" s="28" t="s">
        <v>77</v>
      </c>
      <c r="I5698" s="26" t="s">
        <v>77</v>
      </c>
      <c r="J5698" s="26" t="s">
        <v>77</v>
      </c>
      <c r="K5698" s="18"/>
      <c r="L5698" s="26" t="s">
        <v>77</v>
      </c>
      <c r="M5698" s="6" t="s">
        <v>77</v>
      </c>
      <c r="N5698" s="28" t="s">
        <v>77</v>
      </c>
      <c r="O5698" s="26" t="s">
        <v>77</v>
      </c>
    </row>
    <row r="5699">
      <c r="A5699" s="52" t="s">
        <v>77</v>
      </c>
      <c r="B5699" s="28" t="s">
        <v>77</v>
      </c>
      <c r="C5699" s="28" t="s">
        <v>77</v>
      </c>
      <c r="D5699" s="28" t="s">
        <v>77</v>
      </c>
      <c r="E5699" s="28" t="s">
        <v>77</v>
      </c>
      <c r="F5699" s="28" t="s">
        <v>77</v>
      </c>
      <c r="G5699" s="28" t="s">
        <v>77</v>
      </c>
      <c r="I5699" s="26" t="s">
        <v>77</v>
      </c>
      <c r="J5699" s="26" t="s">
        <v>77</v>
      </c>
      <c r="K5699" s="18"/>
      <c r="L5699" s="26" t="s">
        <v>77</v>
      </c>
      <c r="M5699" s="6" t="s">
        <v>77</v>
      </c>
      <c r="N5699" s="28" t="s">
        <v>77</v>
      </c>
      <c r="O5699" s="26" t="s">
        <v>77</v>
      </c>
    </row>
    <row r="5700">
      <c r="A5700" s="52" t="s">
        <v>77</v>
      </c>
      <c r="B5700" s="28" t="s">
        <v>77</v>
      </c>
      <c r="C5700" s="28" t="s">
        <v>77</v>
      </c>
      <c r="D5700" s="28" t="s">
        <v>77</v>
      </c>
      <c r="E5700" s="28" t="s">
        <v>77</v>
      </c>
      <c r="F5700" s="28" t="s">
        <v>77</v>
      </c>
      <c r="G5700" s="28" t="s">
        <v>77</v>
      </c>
      <c r="I5700" s="26" t="s">
        <v>77</v>
      </c>
      <c r="J5700" s="26" t="s">
        <v>77</v>
      </c>
      <c r="K5700" s="18"/>
      <c r="L5700" s="26" t="s">
        <v>77</v>
      </c>
      <c r="M5700" s="6" t="s">
        <v>77</v>
      </c>
      <c r="N5700" s="28" t="s">
        <v>77</v>
      </c>
      <c r="O5700" s="26" t="s">
        <v>77</v>
      </c>
    </row>
    <row r="5701">
      <c r="A5701" s="52" t="s">
        <v>77</v>
      </c>
      <c r="B5701" s="28" t="s">
        <v>77</v>
      </c>
      <c r="C5701" s="28" t="s">
        <v>77</v>
      </c>
      <c r="D5701" s="28" t="s">
        <v>77</v>
      </c>
      <c r="E5701" s="28" t="s">
        <v>77</v>
      </c>
      <c r="F5701" s="28" t="s">
        <v>77</v>
      </c>
      <c r="G5701" s="28" t="s">
        <v>77</v>
      </c>
      <c r="I5701" s="26" t="s">
        <v>77</v>
      </c>
      <c r="J5701" s="26" t="s">
        <v>77</v>
      </c>
      <c r="K5701" s="18"/>
      <c r="L5701" s="26" t="s">
        <v>77</v>
      </c>
      <c r="M5701" s="6" t="s">
        <v>77</v>
      </c>
      <c r="N5701" s="28" t="s">
        <v>77</v>
      </c>
      <c r="O5701" s="26" t="s">
        <v>77</v>
      </c>
    </row>
    <row r="5702">
      <c r="A5702" s="52" t="s">
        <v>77</v>
      </c>
      <c r="B5702" s="28" t="s">
        <v>77</v>
      </c>
      <c r="C5702" s="28" t="s">
        <v>77</v>
      </c>
      <c r="D5702" s="28" t="s">
        <v>77</v>
      </c>
      <c r="E5702" s="28" t="s">
        <v>77</v>
      </c>
      <c r="F5702" s="28" t="s">
        <v>77</v>
      </c>
      <c r="G5702" s="28" t="s">
        <v>77</v>
      </c>
      <c r="I5702" s="26" t="s">
        <v>77</v>
      </c>
      <c r="J5702" s="26" t="s">
        <v>77</v>
      </c>
      <c r="K5702" s="18"/>
      <c r="L5702" s="26" t="s">
        <v>77</v>
      </c>
      <c r="M5702" s="6" t="s">
        <v>77</v>
      </c>
      <c r="N5702" s="28" t="s">
        <v>77</v>
      </c>
      <c r="O5702" s="26" t="s">
        <v>77</v>
      </c>
    </row>
    <row r="5703">
      <c r="A5703" s="52" t="s">
        <v>77</v>
      </c>
      <c r="B5703" s="28" t="s">
        <v>77</v>
      </c>
      <c r="C5703" s="28" t="s">
        <v>77</v>
      </c>
      <c r="D5703" s="28" t="s">
        <v>77</v>
      </c>
      <c r="E5703" s="28" t="s">
        <v>77</v>
      </c>
      <c r="F5703" s="28" t="s">
        <v>77</v>
      </c>
      <c r="G5703" s="28" t="s">
        <v>77</v>
      </c>
      <c r="I5703" s="26" t="s">
        <v>77</v>
      </c>
      <c r="J5703" s="26" t="s">
        <v>77</v>
      </c>
      <c r="K5703" s="18"/>
      <c r="L5703" s="26" t="s">
        <v>77</v>
      </c>
      <c r="M5703" s="6" t="s">
        <v>77</v>
      </c>
      <c r="N5703" s="28" t="s">
        <v>77</v>
      </c>
      <c r="O5703" s="26" t="s">
        <v>77</v>
      </c>
    </row>
    <row r="5704">
      <c r="A5704" s="52" t="s">
        <v>77</v>
      </c>
      <c r="B5704" s="28" t="s">
        <v>77</v>
      </c>
      <c r="C5704" s="28" t="s">
        <v>77</v>
      </c>
      <c r="D5704" s="28" t="s">
        <v>77</v>
      </c>
      <c r="E5704" s="28" t="s">
        <v>77</v>
      </c>
      <c r="F5704" s="28" t="s">
        <v>77</v>
      </c>
      <c r="G5704" s="28" t="s">
        <v>77</v>
      </c>
      <c r="I5704" s="26" t="s">
        <v>77</v>
      </c>
      <c r="J5704" s="26" t="s">
        <v>77</v>
      </c>
      <c r="K5704" s="18"/>
      <c r="L5704" s="26" t="s">
        <v>77</v>
      </c>
      <c r="M5704" s="6" t="s">
        <v>77</v>
      </c>
      <c r="N5704" s="28" t="s">
        <v>77</v>
      </c>
      <c r="O5704" s="26" t="s">
        <v>77</v>
      </c>
    </row>
    <row r="5705">
      <c r="A5705" s="52" t="s">
        <v>77</v>
      </c>
      <c r="B5705" s="28" t="s">
        <v>77</v>
      </c>
      <c r="C5705" s="28" t="s">
        <v>77</v>
      </c>
      <c r="D5705" s="28" t="s">
        <v>77</v>
      </c>
      <c r="E5705" s="28" t="s">
        <v>77</v>
      </c>
      <c r="F5705" s="28" t="s">
        <v>77</v>
      </c>
      <c r="G5705" s="28" t="s">
        <v>77</v>
      </c>
      <c r="I5705" s="26" t="s">
        <v>77</v>
      </c>
      <c r="J5705" s="26" t="s">
        <v>77</v>
      </c>
      <c r="K5705" s="18"/>
      <c r="L5705" s="26" t="s">
        <v>77</v>
      </c>
      <c r="M5705" s="6" t="s">
        <v>77</v>
      </c>
      <c r="N5705" s="28" t="s">
        <v>77</v>
      </c>
      <c r="O5705" s="26" t="s">
        <v>77</v>
      </c>
    </row>
    <row r="5706">
      <c r="A5706" s="52" t="s">
        <v>77</v>
      </c>
      <c r="B5706" s="28" t="s">
        <v>77</v>
      </c>
      <c r="C5706" s="28" t="s">
        <v>77</v>
      </c>
      <c r="D5706" s="28" t="s">
        <v>77</v>
      </c>
      <c r="E5706" s="28" t="s">
        <v>77</v>
      </c>
      <c r="F5706" s="28" t="s">
        <v>77</v>
      </c>
      <c r="G5706" s="28" t="s">
        <v>77</v>
      </c>
      <c r="I5706" s="26" t="s">
        <v>77</v>
      </c>
      <c r="J5706" s="26" t="s">
        <v>77</v>
      </c>
      <c r="K5706" s="18"/>
      <c r="L5706" s="26" t="s">
        <v>77</v>
      </c>
      <c r="M5706" s="6" t="s">
        <v>77</v>
      </c>
      <c r="N5706" s="28" t="s">
        <v>77</v>
      </c>
      <c r="O5706" s="26" t="s">
        <v>77</v>
      </c>
    </row>
    <row r="5707">
      <c r="A5707" s="52" t="s">
        <v>77</v>
      </c>
      <c r="B5707" s="28" t="s">
        <v>77</v>
      </c>
      <c r="C5707" s="28" t="s">
        <v>77</v>
      </c>
      <c r="D5707" s="28" t="s">
        <v>77</v>
      </c>
      <c r="E5707" s="28" t="s">
        <v>77</v>
      </c>
      <c r="F5707" s="28" t="s">
        <v>77</v>
      </c>
      <c r="G5707" s="28" t="s">
        <v>77</v>
      </c>
      <c r="I5707" s="26" t="s">
        <v>77</v>
      </c>
      <c r="J5707" s="26" t="s">
        <v>77</v>
      </c>
      <c r="K5707" s="18"/>
      <c r="L5707" s="26" t="s">
        <v>77</v>
      </c>
      <c r="M5707" s="6" t="s">
        <v>77</v>
      </c>
      <c r="N5707" s="28" t="s">
        <v>77</v>
      </c>
      <c r="O5707" s="26" t="s">
        <v>77</v>
      </c>
    </row>
    <row r="5708">
      <c r="A5708" s="52" t="s">
        <v>77</v>
      </c>
      <c r="B5708" s="28" t="s">
        <v>77</v>
      </c>
      <c r="C5708" s="28" t="s">
        <v>77</v>
      </c>
      <c r="D5708" s="28" t="s">
        <v>77</v>
      </c>
      <c r="E5708" s="28" t="s">
        <v>77</v>
      </c>
      <c r="F5708" s="28" t="s">
        <v>77</v>
      </c>
      <c r="G5708" s="28" t="s">
        <v>77</v>
      </c>
      <c r="I5708" s="26" t="s">
        <v>77</v>
      </c>
      <c r="J5708" s="26" t="s">
        <v>77</v>
      </c>
      <c r="K5708" s="18"/>
      <c r="L5708" s="26" t="s">
        <v>77</v>
      </c>
      <c r="M5708" s="6" t="s">
        <v>77</v>
      </c>
      <c r="N5708" s="28" t="s">
        <v>77</v>
      </c>
      <c r="O5708" s="26" t="s">
        <v>77</v>
      </c>
    </row>
    <row r="5709">
      <c r="A5709" s="52" t="s">
        <v>77</v>
      </c>
      <c r="B5709" s="28" t="s">
        <v>77</v>
      </c>
      <c r="C5709" s="28" t="s">
        <v>77</v>
      </c>
      <c r="D5709" s="28" t="s">
        <v>77</v>
      </c>
      <c r="E5709" s="28" t="s">
        <v>77</v>
      </c>
      <c r="F5709" s="28" t="s">
        <v>77</v>
      </c>
      <c r="G5709" s="28" t="s">
        <v>77</v>
      </c>
      <c r="I5709" s="26" t="s">
        <v>77</v>
      </c>
      <c r="J5709" s="26" t="s">
        <v>77</v>
      </c>
      <c r="K5709" s="18"/>
      <c r="L5709" s="26" t="s">
        <v>77</v>
      </c>
      <c r="M5709" s="6" t="s">
        <v>77</v>
      </c>
      <c r="N5709" s="28" t="s">
        <v>77</v>
      </c>
      <c r="O5709" s="26" t="s">
        <v>77</v>
      </c>
    </row>
    <row r="5710">
      <c r="A5710" s="52" t="s">
        <v>77</v>
      </c>
      <c r="B5710" s="28" t="s">
        <v>77</v>
      </c>
      <c r="C5710" s="28" t="s">
        <v>77</v>
      </c>
      <c r="D5710" s="28" t="s">
        <v>77</v>
      </c>
      <c r="E5710" s="28" t="s">
        <v>77</v>
      </c>
      <c r="F5710" s="28" t="s">
        <v>77</v>
      </c>
      <c r="G5710" s="28" t="s">
        <v>77</v>
      </c>
      <c r="I5710" s="26" t="s">
        <v>77</v>
      </c>
      <c r="J5710" s="26" t="s">
        <v>77</v>
      </c>
      <c r="K5710" s="18"/>
      <c r="L5710" s="26" t="s">
        <v>77</v>
      </c>
      <c r="M5710" s="6" t="s">
        <v>77</v>
      </c>
      <c r="N5710" s="28" t="s">
        <v>77</v>
      </c>
      <c r="O5710" s="26" t="s">
        <v>77</v>
      </c>
    </row>
    <row r="5711">
      <c r="A5711" s="52" t="s">
        <v>77</v>
      </c>
      <c r="B5711" s="28" t="s">
        <v>77</v>
      </c>
      <c r="C5711" s="28" t="s">
        <v>77</v>
      </c>
      <c r="D5711" s="28" t="s">
        <v>77</v>
      </c>
      <c r="E5711" s="28" t="s">
        <v>77</v>
      </c>
      <c r="F5711" s="28" t="s">
        <v>77</v>
      </c>
      <c r="G5711" s="28" t="s">
        <v>77</v>
      </c>
      <c r="I5711" s="26" t="s">
        <v>77</v>
      </c>
      <c r="J5711" s="26" t="s">
        <v>77</v>
      </c>
      <c r="K5711" s="18"/>
      <c r="L5711" s="26" t="s">
        <v>77</v>
      </c>
      <c r="M5711" s="6" t="s">
        <v>77</v>
      </c>
      <c r="N5711" s="28" t="s">
        <v>77</v>
      </c>
      <c r="O5711" s="26" t="s">
        <v>77</v>
      </c>
    </row>
    <row r="5712">
      <c r="A5712" s="52" t="s">
        <v>77</v>
      </c>
      <c r="B5712" s="28" t="s">
        <v>77</v>
      </c>
      <c r="C5712" s="28" t="s">
        <v>77</v>
      </c>
      <c r="D5712" s="28" t="s">
        <v>77</v>
      </c>
      <c r="E5712" s="28" t="s">
        <v>77</v>
      </c>
      <c r="F5712" s="28" t="s">
        <v>77</v>
      </c>
      <c r="G5712" s="28" t="s">
        <v>77</v>
      </c>
      <c r="I5712" s="26" t="s">
        <v>77</v>
      </c>
      <c r="J5712" s="26" t="s">
        <v>77</v>
      </c>
      <c r="K5712" s="18"/>
      <c r="L5712" s="26" t="s">
        <v>77</v>
      </c>
      <c r="M5712" s="6" t="s">
        <v>77</v>
      </c>
      <c r="N5712" s="28" t="s">
        <v>77</v>
      </c>
      <c r="O5712" s="26" t="s">
        <v>77</v>
      </c>
    </row>
    <row r="5713">
      <c r="A5713" s="52" t="s">
        <v>77</v>
      </c>
      <c r="B5713" s="28" t="s">
        <v>77</v>
      </c>
      <c r="C5713" s="28" t="s">
        <v>77</v>
      </c>
      <c r="D5713" s="28" t="s">
        <v>77</v>
      </c>
      <c r="E5713" s="28" t="s">
        <v>77</v>
      </c>
      <c r="F5713" s="28" t="s">
        <v>77</v>
      </c>
      <c r="G5713" s="28" t="s">
        <v>77</v>
      </c>
      <c r="I5713" s="26" t="s">
        <v>77</v>
      </c>
      <c r="J5713" s="26" t="s">
        <v>77</v>
      </c>
      <c r="K5713" s="18"/>
      <c r="L5713" s="26" t="s">
        <v>77</v>
      </c>
      <c r="M5713" s="6" t="s">
        <v>77</v>
      </c>
      <c r="N5713" s="28" t="s">
        <v>77</v>
      </c>
      <c r="O5713" s="26" t="s">
        <v>77</v>
      </c>
    </row>
    <row r="5714">
      <c r="A5714" s="52" t="s">
        <v>77</v>
      </c>
      <c r="B5714" s="28" t="s">
        <v>77</v>
      </c>
      <c r="C5714" s="28" t="s">
        <v>77</v>
      </c>
      <c r="D5714" s="28" t="s">
        <v>77</v>
      </c>
      <c r="E5714" s="28" t="s">
        <v>77</v>
      </c>
      <c r="F5714" s="28" t="s">
        <v>77</v>
      </c>
      <c r="G5714" s="28" t="s">
        <v>77</v>
      </c>
      <c r="I5714" s="26" t="s">
        <v>77</v>
      </c>
      <c r="J5714" s="26" t="s">
        <v>77</v>
      </c>
      <c r="K5714" s="18"/>
      <c r="L5714" s="26" t="s">
        <v>77</v>
      </c>
      <c r="M5714" s="6" t="s">
        <v>77</v>
      </c>
      <c r="N5714" s="28" t="s">
        <v>77</v>
      </c>
      <c r="O5714" s="26" t="s">
        <v>77</v>
      </c>
    </row>
    <row r="5715">
      <c r="A5715" s="52" t="s">
        <v>77</v>
      </c>
      <c r="B5715" s="28" t="s">
        <v>77</v>
      </c>
      <c r="C5715" s="28" t="s">
        <v>77</v>
      </c>
      <c r="D5715" s="28" t="s">
        <v>77</v>
      </c>
      <c r="E5715" s="28" t="s">
        <v>77</v>
      </c>
      <c r="F5715" s="28" t="s">
        <v>77</v>
      </c>
      <c r="G5715" s="28" t="s">
        <v>77</v>
      </c>
      <c r="I5715" s="26" t="s">
        <v>77</v>
      </c>
      <c r="J5715" s="26" t="s">
        <v>77</v>
      </c>
      <c r="K5715" s="18"/>
      <c r="L5715" s="26" t="s">
        <v>77</v>
      </c>
      <c r="M5715" s="6" t="s">
        <v>77</v>
      </c>
      <c r="N5715" s="28" t="s">
        <v>77</v>
      </c>
      <c r="O5715" s="26" t="s">
        <v>77</v>
      </c>
    </row>
    <row r="5716">
      <c r="A5716" s="52" t="s">
        <v>77</v>
      </c>
      <c r="B5716" s="28" t="s">
        <v>77</v>
      </c>
      <c r="C5716" s="28" t="s">
        <v>77</v>
      </c>
      <c r="D5716" s="28" t="s">
        <v>77</v>
      </c>
      <c r="E5716" s="28" t="s">
        <v>77</v>
      </c>
      <c r="F5716" s="28" t="s">
        <v>77</v>
      </c>
      <c r="G5716" s="28" t="s">
        <v>77</v>
      </c>
      <c r="I5716" s="26" t="s">
        <v>77</v>
      </c>
      <c r="J5716" s="26" t="s">
        <v>77</v>
      </c>
      <c r="K5716" s="18"/>
      <c r="L5716" s="26" t="s">
        <v>77</v>
      </c>
      <c r="M5716" s="6" t="s">
        <v>77</v>
      </c>
      <c r="N5716" s="28" t="s">
        <v>77</v>
      </c>
      <c r="O5716" s="26" t="s">
        <v>77</v>
      </c>
    </row>
    <row r="5717">
      <c r="A5717" s="52" t="s">
        <v>77</v>
      </c>
      <c r="B5717" s="28" t="s">
        <v>77</v>
      </c>
      <c r="C5717" s="28" t="s">
        <v>77</v>
      </c>
      <c r="D5717" s="28" t="s">
        <v>77</v>
      </c>
      <c r="E5717" s="28" t="s">
        <v>77</v>
      </c>
      <c r="F5717" s="28" t="s">
        <v>77</v>
      </c>
      <c r="G5717" s="28" t="s">
        <v>77</v>
      </c>
      <c r="I5717" s="26" t="s">
        <v>77</v>
      </c>
      <c r="J5717" s="26" t="s">
        <v>77</v>
      </c>
      <c r="K5717" s="18"/>
      <c r="L5717" s="26" t="s">
        <v>77</v>
      </c>
      <c r="M5717" s="6" t="s">
        <v>77</v>
      </c>
      <c r="N5717" s="28" t="s">
        <v>77</v>
      </c>
      <c r="O5717" s="26" t="s">
        <v>77</v>
      </c>
    </row>
    <row r="5718">
      <c r="A5718" s="52" t="s">
        <v>77</v>
      </c>
      <c r="B5718" s="28" t="s">
        <v>77</v>
      </c>
      <c r="C5718" s="28" t="s">
        <v>77</v>
      </c>
      <c r="D5718" s="28" t="s">
        <v>77</v>
      </c>
      <c r="E5718" s="28" t="s">
        <v>77</v>
      </c>
      <c r="F5718" s="28" t="s">
        <v>77</v>
      </c>
      <c r="G5718" s="28" t="s">
        <v>77</v>
      </c>
      <c r="I5718" s="26" t="s">
        <v>77</v>
      </c>
      <c r="J5718" s="26" t="s">
        <v>77</v>
      </c>
      <c r="K5718" s="18"/>
      <c r="L5718" s="26" t="s">
        <v>77</v>
      </c>
      <c r="M5718" s="6" t="s">
        <v>77</v>
      </c>
      <c r="N5718" s="28" t="s">
        <v>77</v>
      </c>
      <c r="O5718" s="26" t="s">
        <v>77</v>
      </c>
    </row>
    <row r="5719">
      <c r="A5719" s="52" t="s">
        <v>77</v>
      </c>
      <c r="B5719" s="28" t="s">
        <v>77</v>
      </c>
      <c r="C5719" s="28" t="s">
        <v>77</v>
      </c>
      <c r="D5719" s="28" t="s">
        <v>77</v>
      </c>
      <c r="E5719" s="28" t="s">
        <v>77</v>
      </c>
      <c r="F5719" s="28" t="s">
        <v>77</v>
      </c>
      <c r="G5719" s="28" t="s">
        <v>77</v>
      </c>
      <c r="I5719" s="26" t="s">
        <v>77</v>
      </c>
      <c r="J5719" s="26" t="s">
        <v>77</v>
      </c>
      <c r="K5719" s="18"/>
      <c r="L5719" s="26" t="s">
        <v>77</v>
      </c>
      <c r="M5719" s="6" t="s">
        <v>77</v>
      </c>
      <c r="N5719" s="28" t="s">
        <v>77</v>
      </c>
      <c r="O5719" s="26" t="s">
        <v>77</v>
      </c>
    </row>
    <row r="5720">
      <c r="A5720" s="52" t="s">
        <v>77</v>
      </c>
      <c r="B5720" s="28" t="s">
        <v>77</v>
      </c>
      <c r="C5720" s="28" t="s">
        <v>77</v>
      </c>
      <c r="D5720" s="28" t="s">
        <v>77</v>
      </c>
      <c r="E5720" s="28" t="s">
        <v>77</v>
      </c>
      <c r="F5720" s="28" t="s">
        <v>77</v>
      </c>
      <c r="G5720" s="28" t="s">
        <v>77</v>
      </c>
      <c r="I5720" s="26" t="s">
        <v>77</v>
      </c>
      <c r="J5720" s="26" t="s">
        <v>77</v>
      </c>
      <c r="K5720" s="18"/>
      <c r="L5720" s="26" t="s">
        <v>77</v>
      </c>
      <c r="M5720" s="6" t="s">
        <v>77</v>
      </c>
      <c r="N5720" s="28" t="s">
        <v>77</v>
      </c>
      <c r="O5720" s="26" t="s">
        <v>77</v>
      </c>
    </row>
    <row r="5721">
      <c r="A5721" s="52" t="s">
        <v>77</v>
      </c>
      <c r="B5721" s="28" t="s">
        <v>77</v>
      </c>
      <c r="C5721" s="28" t="s">
        <v>77</v>
      </c>
      <c r="D5721" s="28" t="s">
        <v>77</v>
      </c>
      <c r="E5721" s="28" t="s">
        <v>77</v>
      </c>
      <c r="F5721" s="28" t="s">
        <v>77</v>
      </c>
      <c r="G5721" s="28" t="s">
        <v>77</v>
      </c>
      <c r="I5721" s="26" t="s">
        <v>77</v>
      </c>
      <c r="J5721" s="26" t="s">
        <v>77</v>
      </c>
      <c r="K5721" s="18"/>
      <c r="L5721" s="26" t="s">
        <v>77</v>
      </c>
      <c r="M5721" s="6" t="s">
        <v>77</v>
      </c>
      <c r="N5721" s="28" t="s">
        <v>77</v>
      </c>
      <c r="O5721" s="26" t="s">
        <v>77</v>
      </c>
    </row>
    <row r="5722">
      <c r="A5722" s="52" t="s">
        <v>77</v>
      </c>
      <c r="B5722" s="28" t="s">
        <v>77</v>
      </c>
      <c r="C5722" s="28" t="s">
        <v>77</v>
      </c>
      <c r="D5722" s="28" t="s">
        <v>77</v>
      </c>
      <c r="E5722" s="28" t="s">
        <v>77</v>
      </c>
      <c r="F5722" s="28" t="s">
        <v>77</v>
      </c>
      <c r="G5722" s="28" t="s">
        <v>77</v>
      </c>
      <c r="I5722" s="26" t="s">
        <v>77</v>
      </c>
      <c r="J5722" s="26" t="s">
        <v>77</v>
      </c>
      <c r="K5722" s="18"/>
      <c r="L5722" s="26" t="s">
        <v>77</v>
      </c>
      <c r="M5722" s="6" t="s">
        <v>77</v>
      </c>
      <c r="N5722" s="28" t="s">
        <v>77</v>
      </c>
      <c r="O5722" s="26" t="s">
        <v>77</v>
      </c>
    </row>
    <row r="5723">
      <c r="A5723" s="52" t="s">
        <v>77</v>
      </c>
      <c r="B5723" s="28" t="s">
        <v>77</v>
      </c>
      <c r="C5723" s="28" t="s">
        <v>77</v>
      </c>
      <c r="D5723" s="28" t="s">
        <v>77</v>
      </c>
      <c r="E5723" s="28" t="s">
        <v>77</v>
      </c>
      <c r="F5723" s="28" t="s">
        <v>77</v>
      </c>
      <c r="G5723" s="28" t="s">
        <v>77</v>
      </c>
      <c r="I5723" s="26" t="s">
        <v>77</v>
      </c>
      <c r="J5723" s="26" t="s">
        <v>77</v>
      </c>
      <c r="K5723" s="18"/>
      <c r="L5723" s="26" t="s">
        <v>77</v>
      </c>
      <c r="M5723" s="6" t="s">
        <v>77</v>
      </c>
      <c r="N5723" s="28" t="s">
        <v>77</v>
      </c>
      <c r="O5723" s="26" t="s">
        <v>77</v>
      </c>
    </row>
    <row r="5724">
      <c r="A5724" s="52" t="s">
        <v>77</v>
      </c>
      <c r="B5724" s="28" t="s">
        <v>77</v>
      </c>
      <c r="C5724" s="28" t="s">
        <v>77</v>
      </c>
      <c r="D5724" s="28" t="s">
        <v>77</v>
      </c>
      <c r="E5724" s="28" t="s">
        <v>77</v>
      </c>
      <c r="F5724" s="28" t="s">
        <v>77</v>
      </c>
      <c r="G5724" s="28" t="s">
        <v>77</v>
      </c>
      <c r="I5724" s="26" t="s">
        <v>77</v>
      </c>
      <c r="J5724" s="26" t="s">
        <v>77</v>
      </c>
      <c r="K5724" s="18"/>
      <c r="L5724" s="26" t="s">
        <v>77</v>
      </c>
      <c r="M5724" s="6" t="s">
        <v>77</v>
      </c>
      <c r="N5724" s="28" t="s">
        <v>77</v>
      </c>
      <c r="O5724" s="26" t="s">
        <v>77</v>
      </c>
    </row>
    <row r="5725">
      <c r="A5725" s="52" t="s">
        <v>77</v>
      </c>
      <c r="B5725" s="28" t="s">
        <v>77</v>
      </c>
      <c r="C5725" s="28" t="s">
        <v>77</v>
      </c>
      <c r="D5725" s="28" t="s">
        <v>77</v>
      </c>
      <c r="E5725" s="28" t="s">
        <v>77</v>
      </c>
      <c r="F5725" s="28" t="s">
        <v>77</v>
      </c>
      <c r="G5725" s="28" t="s">
        <v>77</v>
      </c>
      <c r="I5725" s="26" t="s">
        <v>77</v>
      </c>
      <c r="J5725" s="26" t="s">
        <v>77</v>
      </c>
      <c r="K5725" s="18"/>
      <c r="L5725" s="26" t="s">
        <v>77</v>
      </c>
      <c r="M5725" s="6" t="s">
        <v>77</v>
      </c>
      <c r="N5725" s="28" t="s">
        <v>77</v>
      </c>
      <c r="O5725" s="26" t="s">
        <v>77</v>
      </c>
    </row>
    <row r="5726">
      <c r="A5726" s="52" t="s">
        <v>77</v>
      </c>
      <c r="B5726" s="28" t="s">
        <v>77</v>
      </c>
      <c r="C5726" s="28" t="s">
        <v>77</v>
      </c>
      <c r="D5726" s="28" t="s">
        <v>77</v>
      </c>
      <c r="E5726" s="28" t="s">
        <v>77</v>
      </c>
      <c r="F5726" s="28" t="s">
        <v>77</v>
      </c>
      <c r="G5726" s="28" t="s">
        <v>77</v>
      </c>
      <c r="I5726" s="26" t="s">
        <v>77</v>
      </c>
      <c r="J5726" s="26" t="s">
        <v>77</v>
      </c>
      <c r="K5726" s="18"/>
      <c r="L5726" s="26" t="s">
        <v>77</v>
      </c>
      <c r="M5726" s="6" t="s">
        <v>77</v>
      </c>
      <c r="N5726" s="28" t="s">
        <v>77</v>
      </c>
      <c r="O5726" s="26" t="s">
        <v>77</v>
      </c>
    </row>
    <row r="5727">
      <c r="A5727" s="52" t="s">
        <v>77</v>
      </c>
      <c r="B5727" s="28" t="s">
        <v>77</v>
      </c>
      <c r="C5727" s="28" t="s">
        <v>77</v>
      </c>
      <c r="D5727" s="28" t="s">
        <v>77</v>
      </c>
      <c r="E5727" s="28" t="s">
        <v>77</v>
      </c>
      <c r="F5727" s="28" t="s">
        <v>77</v>
      </c>
      <c r="G5727" s="28" t="s">
        <v>77</v>
      </c>
      <c r="I5727" s="26" t="s">
        <v>77</v>
      </c>
      <c r="J5727" s="26" t="s">
        <v>77</v>
      </c>
      <c r="K5727" s="18"/>
      <c r="L5727" s="26" t="s">
        <v>77</v>
      </c>
      <c r="M5727" s="6" t="s">
        <v>77</v>
      </c>
      <c r="N5727" s="28" t="s">
        <v>77</v>
      </c>
      <c r="O5727" s="26" t="s">
        <v>77</v>
      </c>
    </row>
    <row r="5728">
      <c r="A5728" s="52" t="s">
        <v>77</v>
      </c>
      <c r="B5728" s="28" t="s">
        <v>77</v>
      </c>
      <c r="C5728" s="28" t="s">
        <v>77</v>
      </c>
      <c r="D5728" s="28" t="s">
        <v>77</v>
      </c>
      <c r="E5728" s="28" t="s">
        <v>77</v>
      </c>
      <c r="F5728" s="28" t="s">
        <v>77</v>
      </c>
      <c r="G5728" s="28" t="s">
        <v>77</v>
      </c>
      <c r="I5728" s="26" t="s">
        <v>77</v>
      </c>
      <c r="J5728" s="26" t="s">
        <v>77</v>
      </c>
      <c r="K5728" s="18"/>
      <c r="L5728" s="26" t="s">
        <v>77</v>
      </c>
      <c r="M5728" s="6" t="s">
        <v>77</v>
      </c>
      <c r="N5728" s="28" t="s">
        <v>77</v>
      </c>
      <c r="O5728" s="26" t="s">
        <v>77</v>
      </c>
    </row>
    <row r="5729">
      <c r="A5729" s="52" t="s">
        <v>77</v>
      </c>
      <c r="B5729" s="28" t="s">
        <v>77</v>
      </c>
      <c r="C5729" s="28" t="s">
        <v>77</v>
      </c>
      <c r="D5729" s="28" t="s">
        <v>77</v>
      </c>
      <c r="E5729" s="28" t="s">
        <v>77</v>
      </c>
      <c r="F5729" s="28" t="s">
        <v>77</v>
      </c>
      <c r="G5729" s="28" t="s">
        <v>77</v>
      </c>
      <c r="I5729" s="26" t="s">
        <v>77</v>
      </c>
      <c r="J5729" s="26" t="s">
        <v>77</v>
      </c>
      <c r="K5729" s="18"/>
      <c r="L5729" s="26" t="s">
        <v>77</v>
      </c>
      <c r="M5729" s="6" t="s">
        <v>77</v>
      </c>
      <c r="N5729" s="28" t="s">
        <v>77</v>
      </c>
      <c r="O5729" s="26" t="s">
        <v>77</v>
      </c>
    </row>
    <row r="5730">
      <c r="A5730" s="52" t="s">
        <v>77</v>
      </c>
      <c r="B5730" s="28" t="s">
        <v>77</v>
      </c>
      <c r="C5730" s="28" t="s">
        <v>77</v>
      </c>
      <c r="D5730" s="28" t="s">
        <v>77</v>
      </c>
      <c r="E5730" s="28" t="s">
        <v>77</v>
      </c>
      <c r="F5730" s="28" t="s">
        <v>77</v>
      </c>
      <c r="G5730" s="28" t="s">
        <v>77</v>
      </c>
      <c r="I5730" s="26" t="s">
        <v>77</v>
      </c>
      <c r="J5730" s="26" t="s">
        <v>77</v>
      </c>
      <c r="K5730" s="18"/>
      <c r="L5730" s="26" t="s">
        <v>77</v>
      </c>
      <c r="M5730" s="6" t="s">
        <v>77</v>
      </c>
      <c r="N5730" s="28" t="s">
        <v>77</v>
      </c>
      <c r="O5730" s="26" t="s">
        <v>77</v>
      </c>
    </row>
    <row r="5731">
      <c r="A5731" s="52" t="s">
        <v>77</v>
      </c>
      <c r="B5731" s="28" t="s">
        <v>77</v>
      </c>
      <c r="C5731" s="28" t="s">
        <v>77</v>
      </c>
      <c r="D5731" s="28" t="s">
        <v>77</v>
      </c>
      <c r="E5731" s="28" t="s">
        <v>77</v>
      </c>
      <c r="F5731" s="28" t="s">
        <v>77</v>
      </c>
      <c r="G5731" s="28" t="s">
        <v>77</v>
      </c>
      <c r="I5731" s="26" t="s">
        <v>77</v>
      </c>
      <c r="J5731" s="26" t="s">
        <v>77</v>
      </c>
      <c r="K5731" s="18"/>
      <c r="L5731" s="26" t="s">
        <v>77</v>
      </c>
      <c r="M5731" s="6" t="s">
        <v>77</v>
      </c>
      <c r="N5731" s="28" t="s">
        <v>77</v>
      </c>
      <c r="O5731" s="26" t="s">
        <v>77</v>
      </c>
    </row>
    <row r="5732">
      <c r="A5732" s="52" t="s">
        <v>77</v>
      </c>
      <c r="B5732" s="28" t="s">
        <v>77</v>
      </c>
      <c r="C5732" s="28" t="s">
        <v>77</v>
      </c>
      <c r="D5732" s="28" t="s">
        <v>77</v>
      </c>
      <c r="E5732" s="28" t="s">
        <v>77</v>
      </c>
      <c r="F5732" s="28" t="s">
        <v>77</v>
      </c>
      <c r="G5732" s="28" t="s">
        <v>77</v>
      </c>
      <c r="I5732" s="26" t="s">
        <v>77</v>
      </c>
      <c r="J5732" s="26" t="s">
        <v>77</v>
      </c>
      <c r="K5732" s="18"/>
      <c r="L5732" s="26" t="s">
        <v>77</v>
      </c>
      <c r="M5732" s="6" t="s">
        <v>77</v>
      </c>
      <c r="N5732" s="28" t="s">
        <v>77</v>
      </c>
      <c r="O5732" s="26" t="s">
        <v>77</v>
      </c>
    </row>
    <row r="5733">
      <c r="A5733" s="52" t="s">
        <v>77</v>
      </c>
      <c r="B5733" s="28" t="s">
        <v>77</v>
      </c>
      <c r="C5733" s="28" t="s">
        <v>77</v>
      </c>
      <c r="D5733" s="28" t="s">
        <v>77</v>
      </c>
      <c r="E5733" s="28" t="s">
        <v>77</v>
      </c>
      <c r="F5733" s="28" t="s">
        <v>77</v>
      </c>
      <c r="G5733" s="28" t="s">
        <v>77</v>
      </c>
      <c r="I5733" s="26" t="s">
        <v>77</v>
      </c>
      <c r="J5733" s="26" t="s">
        <v>77</v>
      </c>
      <c r="K5733" s="18"/>
      <c r="L5733" s="26" t="s">
        <v>77</v>
      </c>
      <c r="M5733" s="6" t="s">
        <v>77</v>
      </c>
      <c r="N5733" s="28" t="s">
        <v>77</v>
      </c>
      <c r="O5733" s="26" t="s">
        <v>77</v>
      </c>
    </row>
    <row r="5734">
      <c r="A5734" s="52" t="s">
        <v>77</v>
      </c>
      <c r="B5734" s="28" t="s">
        <v>77</v>
      </c>
      <c r="C5734" s="28" t="s">
        <v>77</v>
      </c>
      <c r="D5734" s="28" t="s">
        <v>77</v>
      </c>
      <c r="E5734" s="28" t="s">
        <v>77</v>
      </c>
      <c r="F5734" s="28" t="s">
        <v>77</v>
      </c>
      <c r="G5734" s="28" t="s">
        <v>77</v>
      </c>
      <c r="I5734" s="26" t="s">
        <v>77</v>
      </c>
      <c r="J5734" s="26" t="s">
        <v>77</v>
      </c>
      <c r="K5734" s="18"/>
      <c r="L5734" s="26" t="s">
        <v>77</v>
      </c>
      <c r="M5734" s="6" t="s">
        <v>77</v>
      </c>
      <c r="N5734" s="28" t="s">
        <v>77</v>
      </c>
      <c r="O5734" s="26" t="s">
        <v>77</v>
      </c>
    </row>
    <row r="5735">
      <c r="A5735" s="52" t="s">
        <v>77</v>
      </c>
      <c r="B5735" s="28" t="s">
        <v>77</v>
      </c>
      <c r="C5735" s="28" t="s">
        <v>77</v>
      </c>
      <c r="D5735" s="28" t="s">
        <v>77</v>
      </c>
      <c r="E5735" s="28" t="s">
        <v>77</v>
      </c>
      <c r="F5735" s="28" t="s">
        <v>77</v>
      </c>
      <c r="G5735" s="28" t="s">
        <v>77</v>
      </c>
      <c r="I5735" s="26" t="s">
        <v>77</v>
      </c>
      <c r="J5735" s="26" t="s">
        <v>77</v>
      </c>
      <c r="K5735" s="18"/>
      <c r="L5735" s="26" t="s">
        <v>77</v>
      </c>
      <c r="M5735" s="6" t="s">
        <v>77</v>
      </c>
      <c r="N5735" s="28" t="s">
        <v>77</v>
      </c>
      <c r="O5735" s="26" t="s">
        <v>77</v>
      </c>
    </row>
    <row r="5736">
      <c r="A5736" s="52" t="s">
        <v>77</v>
      </c>
      <c r="B5736" s="28" t="s">
        <v>77</v>
      </c>
      <c r="C5736" s="28" t="s">
        <v>77</v>
      </c>
      <c r="D5736" s="28" t="s">
        <v>77</v>
      </c>
      <c r="E5736" s="28" t="s">
        <v>77</v>
      </c>
      <c r="F5736" s="28" t="s">
        <v>77</v>
      </c>
      <c r="G5736" s="28" t="s">
        <v>77</v>
      </c>
      <c r="I5736" s="26" t="s">
        <v>77</v>
      </c>
      <c r="J5736" s="26" t="s">
        <v>77</v>
      </c>
      <c r="K5736" s="18"/>
      <c r="L5736" s="26" t="s">
        <v>77</v>
      </c>
      <c r="M5736" s="6" t="s">
        <v>77</v>
      </c>
      <c r="N5736" s="28" t="s">
        <v>77</v>
      </c>
      <c r="O5736" s="26" t="s">
        <v>77</v>
      </c>
    </row>
    <row r="5737">
      <c r="A5737" s="52" t="s">
        <v>77</v>
      </c>
      <c r="B5737" s="28" t="s">
        <v>77</v>
      </c>
      <c r="C5737" s="28" t="s">
        <v>77</v>
      </c>
      <c r="D5737" s="28" t="s">
        <v>77</v>
      </c>
      <c r="E5737" s="28" t="s">
        <v>77</v>
      </c>
      <c r="F5737" s="28" t="s">
        <v>77</v>
      </c>
      <c r="G5737" s="28" t="s">
        <v>77</v>
      </c>
      <c r="I5737" s="26" t="s">
        <v>77</v>
      </c>
      <c r="J5737" s="26" t="s">
        <v>77</v>
      </c>
      <c r="K5737" s="18"/>
      <c r="L5737" s="26" t="s">
        <v>77</v>
      </c>
      <c r="M5737" s="6" t="s">
        <v>77</v>
      </c>
      <c r="N5737" s="28" t="s">
        <v>77</v>
      </c>
      <c r="O5737" s="26" t="s">
        <v>77</v>
      </c>
    </row>
    <row r="5738">
      <c r="A5738" s="52" t="s">
        <v>77</v>
      </c>
      <c r="B5738" s="28" t="s">
        <v>77</v>
      </c>
      <c r="C5738" s="28" t="s">
        <v>77</v>
      </c>
      <c r="D5738" s="28" t="s">
        <v>77</v>
      </c>
      <c r="E5738" s="28" t="s">
        <v>77</v>
      </c>
      <c r="F5738" s="28" t="s">
        <v>77</v>
      </c>
      <c r="G5738" s="28" t="s">
        <v>77</v>
      </c>
      <c r="I5738" s="26" t="s">
        <v>77</v>
      </c>
      <c r="J5738" s="26" t="s">
        <v>77</v>
      </c>
      <c r="K5738" s="18"/>
      <c r="L5738" s="26" t="s">
        <v>77</v>
      </c>
      <c r="M5738" s="6" t="s">
        <v>77</v>
      </c>
      <c r="N5738" s="28" t="s">
        <v>77</v>
      </c>
      <c r="O5738" s="26" t="s">
        <v>77</v>
      </c>
    </row>
    <row r="5739">
      <c r="A5739" s="52" t="s">
        <v>77</v>
      </c>
      <c r="B5739" s="28" t="s">
        <v>77</v>
      </c>
      <c r="C5739" s="28" t="s">
        <v>77</v>
      </c>
      <c r="D5739" s="28" t="s">
        <v>77</v>
      </c>
      <c r="E5739" s="28" t="s">
        <v>77</v>
      </c>
      <c r="F5739" s="28" t="s">
        <v>77</v>
      </c>
      <c r="G5739" s="28" t="s">
        <v>77</v>
      </c>
      <c r="I5739" s="26" t="s">
        <v>77</v>
      </c>
      <c r="J5739" s="26" t="s">
        <v>77</v>
      </c>
      <c r="K5739" s="18"/>
      <c r="L5739" s="26" t="s">
        <v>77</v>
      </c>
      <c r="M5739" s="6" t="s">
        <v>77</v>
      </c>
      <c r="N5739" s="28" t="s">
        <v>77</v>
      </c>
      <c r="O5739" s="26" t="s">
        <v>77</v>
      </c>
    </row>
    <row r="5740">
      <c r="A5740" s="52" t="s">
        <v>77</v>
      </c>
      <c r="B5740" s="28" t="s">
        <v>77</v>
      </c>
      <c r="C5740" s="28" t="s">
        <v>77</v>
      </c>
      <c r="D5740" s="28" t="s">
        <v>77</v>
      </c>
      <c r="E5740" s="28" t="s">
        <v>77</v>
      </c>
      <c r="F5740" s="28" t="s">
        <v>77</v>
      </c>
      <c r="G5740" s="28" t="s">
        <v>77</v>
      </c>
      <c r="I5740" s="26" t="s">
        <v>77</v>
      </c>
      <c r="J5740" s="26" t="s">
        <v>77</v>
      </c>
      <c r="K5740" s="18"/>
      <c r="L5740" s="26" t="s">
        <v>77</v>
      </c>
      <c r="M5740" s="6" t="s">
        <v>77</v>
      </c>
      <c r="N5740" s="28" t="s">
        <v>77</v>
      </c>
      <c r="O5740" s="26" t="s">
        <v>77</v>
      </c>
    </row>
    <row r="5741">
      <c r="A5741" s="52" t="s">
        <v>77</v>
      </c>
      <c r="B5741" s="28" t="s">
        <v>77</v>
      </c>
      <c r="C5741" s="28" t="s">
        <v>77</v>
      </c>
      <c r="D5741" s="28" t="s">
        <v>77</v>
      </c>
      <c r="E5741" s="28" t="s">
        <v>77</v>
      </c>
      <c r="F5741" s="28" t="s">
        <v>77</v>
      </c>
      <c r="G5741" s="28" t="s">
        <v>77</v>
      </c>
      <c r="I5741" s="26" t="s">
        <v>77</v>
      </c>
      <c r="J5741" s="26" t="s">
        <v>77</v>
      </c>
      <c r="K5741" s="18"/>
      <c r="L5741" s="26" t="s">
        <v>77</v>
      </c>
      <c r="M5741" s="6" t="s">
        <v>77</v>
      </c>
      <c r="N5741" s="28" t="s">
        <v>77</v>
      </c>
      <c r="O5741" s="26" t="s">
        <v>77</v>
      </c>
    </row>
    <row r="5742">
      <c r="A5742" s="52" t="s">
        <v>77</v>
      </c>
      <c r="B5742" s="28" t="s">
        <v>77</v>
      </c>
      <c r="C5742" s="28" t="s">
        <v>77</v>
      </c>
      <c r="D5742" s="28" t="s">
        <v>77</v>
      </c>
      <c r="E5742" s="28" t="s">
        <v>77</v>
      </c>
      <c r="F5742" s="28" t="s">
        <v>77</v>
      </c>
      <c r="G5742" s="28" t="s">
        <v>77</v>
      </c>
      <c r="I5742" s="26" t="s">
        <v>77</v>
      </c>
      <c r="J5742" s="26" t="s">
        <v>77</v>
      </c>
      <c r="K5742" s="18"/>
      <c r="L5742" s="26" t="s">
        <v>77</v>
      </c>
      <c r="M5742" s="6" t="s">
        <v>77</v>
      </c>
      <c r="N5742" s="28" t="s">
        <v>77</v>
      </c>
      <c r="O5742" s="26" t="s">
        <v>77</v>
      </c>
    </row>
    <row r="5743">
      <c r="A5743" s="52" t="s">
        <v>77</v>
      </c>
      <c r="B5743" s="28" t="s">
        <v>77</v>
      </c>
      <c r="C5743" s="28" t="s">
        <v>77</v>
      </c>
      <c r="D5743" s="28" t="s">
        <v>77</v>
      </c>
      <c r="E5743" s="28" t="s">
        <v>77</v>
      </c>
      <c r="F5743" s="28" t="s">
        <v>77</v>
      </c>
      <c r="G5743" s="28" t="s">
        <v>77</v>
      </c>
      <c r="I5743" s="26" t="s">
        <v>77</v>
      </c>
      <c r="J5743" s="26" t="s">
        <v>77</v>
      </c>
      <c r="K5743" s="18"/>
      <c r="L5743" s="26" t="s">
        <v>77</v>
      </c>
      <c r="M5743" s="6" t="s">
        <v>77</v>
      </c>
      <c r="N5743" s="28" t="s">
        <v>77</v>
      </c>
      <c r="O5743" s="26" t="s">
        <v>77</v>
      </c>
    </row>
    <row r="5744">
      <c r="A5744" s="52" t="s">
        <v>77</v>
      </c>
      <c r="B5744" s="28" t="s">
        <v>77</v>
      </c>
      <c r="C5744" s="28" t="s">
        <v>77</v>
      </c>
      <c r="D5744" s="28" t="s">
        <v>77</v>
      </c>
      <c r="E5744" s="28" t="s">
        <v>77</v>
      </c>
      <c r="F5744" s="28" t="s">
        <v>77</v>
      </c>
      <c r="G5744" s="28" t="s">
        <v>77</v>
      </c>
      <c r="I5744" s="26" t="s">
        <v>77</v>
      </c>
      <c r="J5744" s="26" t="s">
        <v>77</v>
      </c>
      <c r="K5744" s="18"/>
      <c r="L5744" s="26" t="s">
        <v>77</v>
      </c>
      <c r="M5744" s="6" t="s">
        <v>77</v>
      </c>
      <c r="N5744" s="28" t="s">
        <v>77</v>
      </c>
      <c r="O5744" s="26" t="s">
        <v>77</v>
      </c>
    </row>
    <row r="5745">
      <c r="A5745" s="52" t="s">
        <v>77</v>
      </c>
      <c r="B5745" s="28" t="s">
        <v>77</v>
      </c>
      <c r="C5745" s="28" t="s">
        <v>77</v>
      </c>
      <c r="D5745" s="28" t="s">
        <v>77</v>
      </c>
      <c r="E5745" s="28" t="s">
        <v>77</v>
      </c>
      <c r="F5745" s="28" t="s">
        <v>77</v>
      </c>
      <c r="G5745" s="28" t="s">
        <v>77</v>
      </c>
      <c r="I5745" s="26" t="s">
        <v>77</v>
      </c>
      <c r="J5745" s="26" t="s">
        <v>77</v>
      </c>
      <c r="K5745" s="18"/>
      <c r="L5745" s="26" t="s">
        <v>77</v>
      </c>
      <c r="M5745" s="6" t="s">
        <v>77</v>
      </c>
      <c r="N5745" s="28" t="s">
        <v>77</v>
      </c>
      <c r="O5745" s="26" t="s">
        <v>77</v>
      </c>
    </row>
    <row r="5746">
      <c r="A5746" s="52" t="s">
        <v>77</v>
      </c>
      <c r="B5746" s="28" t="s">
        <v>77</v>
      </c>
      <c r="C5746" s="28" t="s">
        <v>77</v>
      </c>
      <c r="D5746" s="28" t="s">
        <v>77</v>
      </c>
      <c r="E5746" s="28" t="s">
        <v>77</v>
      </c>
      <c r="F5746" s="28" t="s">
        <v>77</v>
      </c>
      <c r="G5746" s="28" t="s">
        <v>77</v>
      </c>
      <c r="I5746" s="26" t="s">
        <v>77</v>
      </c>
      <c r="J5746" s="26" t="s">
        <v>77</v>
      </c>
      <c r="K5746" s="18"/>
      <c r="L5746" s="26" t="s">
        <v>77</v>
      </c>
      <c r="M5746" s="6" t="s">
        <v>77</v>
      </c>
      <c r="N5746" s="28" t="s">
        <v>77</v>
      </c>
      <c r="O5746" s="26" t="s">
        <v>77</v>
      </c>
    </row>
    <row r="5747">
      <c r="A5747" s="52" t="s">
        <v>77</v>
      </c>
      <c r="B5747" s="28" t="s">
        <v>77</v>
      </c>
      <c r="C5747" s="28" t="s">
        <v>77</v>
      </c>
      <c r="D5747" s="28" t="s">
        <v>77</v>
      </c>
      <c r="E5747" s="28" t="s">
        <v>77</v>
      </c>
      <c r="F5747" s="28" t="s">
        <v>77</v>
      </c>
      <c r="G5747" s="28" t="s">
        <v>77</v>
      </c>
      <c r="I5747" s="26" t="s">
        <v>77</v>
      </c>
      <c r="J5747" s="26" t="s">
        <v>77</v>
      </c>
      <c r="K5747" s="18"/>
      <c r="L5747" s="26" t="s">
        <v>77</v>
      </c>
      <c r="M5747" s="6" t="s">
        <v>77</v>
      </c>
      <c r="N5747" s="28" t="s">
        <v>77</v>
      </c>
      <c r="O5747" s="26" t="s">
        <v>77</v>
      </c>
    </row>
    <row r="5748">
      <c r="A5748" s="52" t="s">
        <v>77</v>
      </c>
      <c r="B5748" s="28" t="s">
        <v>77</v>
      </c>
      <c r="C5748" s="28" t="s">
        <v>77</v>
      </c>
      <c r="D5748" s="28" t="s">
        <v>77</v>
      </c>
      <c r="E5748" s="28" t="s">
        <v>77</v>
      </c>
      <c r="F5748" s="28" t="s">
        <v>77</v>
      </c>
      <c r="G5748" s="28" t="s">
        <v>77</v>
      </c>
      <c r="I5748" s="26" t="s">
        <v>77</v>
      </c>
      <c r="J5748" s="26" t="s">
        <v>77</v>
      </c>
      <c r="K5748" s="18"/>
      <c r="L5748" s="26" t="s">
        <v>77</v>
      </c>
      <c r="M5748" s="6" t="s">
        <v>77</v>
      </c>
      <c r="N5748" s="28" t="s">
        <v>77</v>
      </c>
      <c r="O5748" s="26" t="s">
        <v>77</v>
      </c>
    </row>
    <row r="5749">
      <c r="A5749" s="52" t="s">
        <v>77</v>
      </c>
      <c r="B5749" s="28" t="s">
        <v>77</v>
      </c>
      <c r="C5749" s="28" t="s">
        <v>77</v>
      </c>
      <c r="D5749" s="28" t="s">
        <v>77</v>
      </c>
      <c r="E5749" s="28" t="s">
        <v>77</v>
      </c>
      <c r="F5749" s="28" t="s">
        <v>77</v>
      </c>
      <c r="G5749" s="28" t="s">
        <v>77</v>
      </c>
      <c r="I5749" s="26" t="s">
        <v>77</v>
      </c>
      <c r="J5749" s="26" t="s">
        <v>77</v>
      </c>
      <c r="K5749" s="18"/>
      <c r="L5749" s="26" t="s">
        <v>77</v>
      </c>
      <c r="M5749" s="6" t="s">
        <v>77</v>
      </c>
      <c r="N5749" s="28" t="s">
        <v>77</v>
      </c>
      <c r="O5749" s="26" t="s">
        <v>77</v>
      </c>
    </row>
    <row r="5750">
      <c r="A5750" s="52" t="s">
        <v>77</v>
      </c>
      <c r="B5750" s="28" t="s">
        <v>77</v>
      </c>
      <c r="C5750" s="28" t="s">
        <v>77</v>
      </c>
      <c r="D5750" s="28" t="s">
        <v>77</v>
      </c>
      <c r="E5750" s="28" t="s">
        <v>77</v>
      </c>
      <c r="F5750" s="28" t="s">
        <v>77</v>
      </c>
      <c r="G5750" s="28" t="s">
        <v>77</v>
      </c>
      <c r="I5750" s="26" t="s">
        <v>77</v>
      </c>
      <c r="J5750" s="26" t="s">
        <v>77</v>
      </c>
      <c r="K5750" s="18"/>
      <c r="L5750" s="26" t="s">
        <v>77</v>
      </c>
      <c r="M5750" s="6" t="s">
        <v>77</v>
      </c>
      <c r="N5750" s="28" t="s">
        <v>77</v>
      </c>
      <c r="O5750" s="26" t="s">
        <v>77</v>
      </c>
    </row>
    <row r="5751">
      <c r="A5751" s="52" t="s">
        <v>77</v>
      </c>
      <c r="B5751" s="28" t="s">
        <v>77</v>
      </c>
      <c r="C5751" s="28" t="s">
        <v>77</v>
      </c>
      <c r="D5751" s="28" t="s">
        <v>77</v>
      </c>
      <c r="E5751" s="28" t="s">
        <v>77</v>
      </c>
      <c r="F5751" s="28" t="s">
        <v>77</v>
      </c>
      <c r="G5751" s="28" t="s">
        <v>77</v>
      </c>
      <c r="I5751" s="26" t="s">
        <v>77</v>
      </c>
      <c r="J5751" s="26" t="s">
        <v>77</v>
      </c>
      <c r="K5751" s="18"/>
      <c r="L5751" s="26" t="s">
        <v>77</v>
      </c>
      <c r="M5751" s="6" t="s">
        <v>77</v>
      </c>
      <c r="N5751" s="28" t="s">
        <v>77</v>
      </c>
      <c r="O5751" s="26" t="s">
        <v>77</v>
      </c>
    </row>
    <row r="5752">
      <c r="A5752" s="52" t="s">
        <v>77</v>
      </c>
      <c r="B5752" s="28" t="s">
        <v>77</v>
      </c>
      <c r="C5752" s="28" t="s">
        <v>77</v>
      </c>
      <c r="D5752" s="28" t="s">
        <v>77</v>
      </c>
      <c r="E5752" s="28" t="s">
        <v>77</v>
      </c>
      <c r="F5752" s="28" t="s">
        <v>77</v>
      </c>
      <c r="G5752" s="28" t="s">
        <v>77</v>
      </c>
      <c r="I5752" s="26" t="s">
        <v>77</v>
      </c>
      <c r="J5752" s="26" t="s">
        <v>77</v>
      </c>
      <c r="K5752" s="18"/>
      <c r="L5752" s="26" t="s">
        <v>77</v>
      </c>
      <c r="M5752" s="6" t="s">
        <v>77</v>
      </c>
      <c r="N5752" s="28" t="s">
        <v>77</v>
      </c>
      <c r="O5752" s="26" t="s">
        <v>77</v>
      </c>
    </row>
    <row r="5753">
      <c r="A5753" s="52" t="s">
        <v>77</v>
      </c>
      <c r="B5753" s="28" t="s">
        <v>77</v>
      </c>
      <c r="C5753" s="28" t="s">
        <v>77</v>
      </c>
      <c r="D5753" s="28" t="s">
        <v>77</v>
      </c>
      <c r="E5753" s="28" t="s">
        <v>77</v>
      </c>
      <c r="F5753" s="28" t="s">
        <v>77</v>
      </c>
      <c r="G5753" s="28" t="s">
        <v>77</v>
      </c>
      <c r="I5753" s="26" t="s">
        <v>77</v>
      </c>
      <c r="J5753" s="26" t="s">
        <v>77</v>
      </c>
      <c r="K5753" s="18"/>
      <c r="L5753" s="26" t="s">
        <v>77</v>
      </c>
      <c r="M5753" s="6" t="s">
        <v>77</v>
      </c>
      <c r="N5753" s="28" t="s">
        <v>77</v>
      </c>
      <c r="O5753" s="26" t="s">
        <v>77</v>
      </c>
    </row>
    <row r="5754">
      <c r="A5754" s="52" t="s">
        <v>77</v>
      </c>
      <c r="B5754" s="28" t="s">
        <v>77</v>
      </c>
      <c r="C5754" s="28" t="s">
        <v>77</v>
      </c>
      <c r="D5754" s="28" t="s">
        <v>77</v>
      </c>
      <c r="E5754" s="28" t="s">
        <v>77</v>
      </c>
      <c r="F5754" s="28" t="s">
        <v>77</v>
      </c>
      <c r="G5754" s="28" t="s">
        <v>77</v>
      </c>
      <c r="I5754" s="26" t="s">
        <v>77</v>
      </c>
      <c r="J5754" s="26" t="s">
        <v>77</v>
      </c>
      <c r="K5754" s="18"/>
      <c r="L5754" s="26" t="s">
        <v>77</v>
      </c>
      <c r="M5754" s="6" t="s">
        <v>77</v>
      </c>
      <c r="N5754" s="28" t="s">
        <v>77</v>
      </c>
      <c r="O5754" s="26" t="s">
        <v>77</v>
      </c>
    </row>
    <row r="5755">
      <c r="A5755" s="52" t="s">
        <v>77</v>
      </c>
      <c r="B5755" s="28" t="s">
        <v>77</v>
      </c>
      <c r="C5755" s="28" t="s">
        <v>77</v>
      </c>
      <c r="D5755" s="28" t="s">
        <v>77</v>
      </c>
      <c r="E5755" s="28" t="s">
        <v>77</v>
      </c>
      <c r="F5755" s="28" t="s">
        <v>77</v>
      </c>
      <c r="G5755" s="28" t="s">
        <v>77</v>
      </c>
      <c r="I5755" s="26" t="s">
        <v>77</v>
      </c>
      <c r="J5755" s="26" t="s">
        <v>77</v>
      </c>
      <c r="K5755" s="18"/>
      <c r="L5755" s="26" t="s">
        <v>77</v>
      </c>
      <c r="M5755" s="6" t="s">
        <v>77</v>
      </c>
      <c r="N5755" s="28" t="s">
        <v>77</v>
      </c>
      <c r="O5755" s="26" t="s">
        <v>77</v>
      </c>
    </row>
    <row r="5756">
      <c r="A5756" s="52" t="s">
        <v>77</v>
      </c>
      <c r="B5756" s="28" t="s">
        <v>77</v>
      </c>
      <c r="C5756" s="28" t="s">
        <v>77</v>
      </c>
      <c r="D5756" s="28" t="s">
        <v>77</v>
      </c>
      <c r="E5756" s="28" t="s">
        <v>77</v>
      </c>
      <c r="F5756" s="28" t="s">
        <v>77</v>
      </c>
      <c r="G5756" s="28" t="s">
        <v>77</v>
      </c>
      <c r="I5756" s="26" t="s">
        <v>77</v>
      </c>
      <c r="J5756" s="26" t="s">
        <v>77</v>
      </c>
      <c r="K5756" s="18"/>
      <c r="L5756" s="26" t="s">
        <v>77</v>
      </c>
      <c r="M5756" s="6" t="s">
        <v>77</v>
      </c>
      <c r="N5756" s="28" t="s">
        <v>77</v>
      </c>
      <c r="O5756" s="26" t="s">
        <v>77</v>
      </c>
    </row>
    <row r="5757">
      <c r="A5757" s="52" t="s">
        <v>77</v>
      </c>
      <c r="B5757" s="28" t="s">
        <v>77</v>
      </c>
      <c r="C5757" s="28" t="s">
        <v>77</v>
      </c>
      <c r="D5757" s="28" t="s">
        <v>77</v>
      </c>
      <c r="E5757" s="28" t="s">
        <v>77</v>
      </c>
      <c r="F5757" s="28" t="s">
        <v>77</v>
      </c>
      <c r="G5757" s="28" t="s">
        <v>77</v>
      </c>
      <c r="I5757" s="26" t="s">
        <v>77</v>
      </c>
      <c r="J5757" s="26" t="s">
        <v>77</v>
      </c>
      <c r="K5757" s="18"/>
      <c r="L5757" s="26" t="s">
        <v>77</v>
      </c>
      <c r="M5757" s="6" t="s">
        <v>77</v>
      </c>
      <c r="N5757" s="28" t="s">
        <v>77</v>
      </c>
      <c r="O5757" s="26" t="s">
        <v>77</v>
      </c>
    </row>
    <row r="5758">
      <c r="A5758" s="52" t="s">
        <v>77</v>
      </c>
      <c r="B5758" s="28" t="s">
        <v>77</v>
      </c>
      <c r="C5758" s="28" t="s">
        <v>77</v>
      </c>
      <c r="D5758" s="28" t="s">
        <v>77</v>
      </c>
      <c r="E5758" s="28" t="s">
        <v>77</v>
      </c>
      <c r="F5758" s="28" t="s">
        <v>77</v>
      </c>
      <c r="G5758" s="28" t="s">
        <v>77</v>
      </c>
      <c r="I5758" s="26" t="s">
        <v>77</v>
      </c>
      <c r="J5758" s="26" t="s">
        <v>77</v>
      </c>
      <c r="K5758" s="18"/>
      <c r="L5758" s="26" t="s">
        <v>77</v>
      </c>
      <c r="M5758" s="6" t="s">
        <v>77</v>
      </c>
      <c r="N5758" s="28" t="s">
        <v>77</v>
      </c>
      <c r="O5758" s="26" t="s">
        <v>77</v>
      </c>
    </row>
    <row r="5759">
      <c r="A5759" s="52" t="s">
        <v>77</v>
      </c>
      <c r="B5759" s="28" t="s">
        <v>77</v>
      </c>
      <c r="C5759" s="28" t="s">
        <v>77</v>
      </c>
      <c r="D5759" s="28" t="s">
        <v>77</v>
      </c>
      <c r="E5759" s="28" t="s">
        <v>77</v>
      </c>
      <c r="F5759" s="28" t="s">
        <v>77</v>
      </c>
      <c r="G5759" s="28" t="s">
        <v>77</v>
      </c>
      <c r="I5759" s="26" t="s">
        <v>77</v>
      </c>
      <c r="J5759" s="26" t="s">
        <v>77</v>
      </c>
      <c r="K5759" s="18"/>
      <c r="L5759" s="26" t="s">
        <v>77</v>
      </c>
      <c r="M5759" s="6" t="s">
        <v>77</v>
      </c>
      <c r="N5759" s="28" t="s">
        <v>77</v>
      </c>
      <c r="O5759" s="26" t="s">
        <v>77</v>
      </c>
    </row>
    <row r="5760">
      <c r="A5760" s="52" t="s">
        <v>77</v>
      </c>
      <c r="B5760" s="28" t="s">
        <v>77</v>
      </c>
      <c r="C5760" s="28" t="s">
        <v>77</v>
      </c>
      <c r="D5760" s="28" t="s">
        <v>77</v>
      </c>
      <c r="E5760" s="28" t="s">
        <v>77</v>
      </c>
      <c r="F5760" s="28" t="s">
        <v>77</v>
      </c>
      <c r="G5760" s="28" t="s">
        <v>77</v>
      </c>
      <c r="I5760" s="26" t="s">
        <v>77</v>
      </c>
      <c r="J5760" s="26" t="s">
        <v>77</v>
      </c>
      <c r="K5760" s="18"/>
      <c r="L5760" s="26" t="s">
        <v>77</v>
      </c>
      <c r="M5760" s="6" t="s">
        <v>77</v>
      </c>
      <c r="N5760" s="28" t="s">
        <v>77</v>
      </c>
      <c r="O5760" s="26" t="s">
        <v>77</v>
      </c>
    </row>
    <row r="5761">
      <c r="A5761" s="52" t="s">
        <v>77</v>
      </c>
      <c r="B5761" s="28" t="s">
        <v>77</v>
      </c>
      <c r="C5761" s="28" t="s">
        <v>77</v>
      </c>
      <c r="D5761" s="28" t="s">
        <v>77</v>
      </c>
      <c r="E5761" s="28" t="s">
        <v>77</v>
      </c>
      <c r="F5761" s="28" t="s">
        <v>77</v>
      </c>
      <c r="G5761" s="28" t="s">
        <v>77</v>
      </c>
      <c r="I5761" s="26" t="s">
        <v>77</v>
      </c>
      <c r="J5761" s="26" t="s">
        <v>77</v>
      </c>
      <c r="K5761" s="18"/>
      <c r="L5761" s="26" t="s">
        <v>77</v>
      </c>
      <c r="M5761" s="6" t="s">
        <v>77</v>
      </c>
      <c r="N5761" s="28" t="s">
        <v>77</v>
      </c>
      <c r="O5761" s="26" t="s">
        <v>77</v>
      </c>
    </row>
    <row r="5762">
      <c r="A5762" s="52" t="s">
        <v>77</v>
      </c>
      <c r="B5762" s="28" t="s">
        <v>77</v>
      </c>
      <c r="C5762" s="28" t="s">
        <v>77</v>
      </c>
      <c r="D5762" s="28" t="s">
        <v>77</v>
      </c>
      <c r="E5762" s="28" t="s">
        <v>77</v>
      </c>
      <c r="F5762" s="28" t="s">
        <v>77</v>
      </c>
      <c r="G5762" s="28" t="s">
        <v>77</v>
      </c>
      <c r="I5762" s="26" t="s">
        <v>77</v>
      </c>
      <c r="J5762" s="26" t="s">
        <v>77</v>
      </c>
      <c r="K5762" s="18"/>
      <c r="L5762" s="26" t="s">
        <v>77</v>
      </c>
      <c r="M5762" s="6" t="s">
        <v>77</v>
      </c>
      <c r="N5762" s="28" t="s">
        <v>77</v>
      </c>
      <c r="O5762" s="26" t="s">
        <v>77</v>
      </c>
    </row>
    <row r="5763">
      <c r="A5763" s="52" t="s">
        <v>77</v>
      </c>
      <c r="B5763" s="28" t="s">
        <v>77</v>
      </c>
      <c r="C5763" s="28" t="s">
        <v>77</v>
      </c>
      <c r="D5763" s="28" t="s">
        <v>77</v>
      </c>
      <c r="E5763" s="28" t="s">
        <v>77</v>
      </c>
      <c r="F5763" s="28" t="s">
        <v>77</v>
      </c>
      <c r="G5763" s="28" t="s">
        <v>77</v>
      </c>
      <c r="I5763" s="26" t="s">
        <v>77</v>
      </c>
      <c r="J5763" s="26" t="s">
        <v>77</v>
      </c>
      <c r="K5763" s="18"/>
      <c r="L5763" s="26" t="s">
        <v>77</v>
      </c>
      <c r="M5763" s="6" t="s">
        <v>77</v>
      </c>
      <c r="N5763" s="28" t="s">
        <v>77</v>
      </c>
      <c r="O5763" s="26" t="s">
        <v>77</v>
      </c>
    </row>
    <row r="5764">
      <c r="A5764" s="52" t="s">
        <v>77</v>
      </c>
      <c r="B5764" s="28" t="s">
        <v>77</v>
      </c>
      <c r="C5764" s="28" t="s">
        <v>77</v>
      </c>
      <c r="D5764" s="28" t="s">
        <v>77</v>
      </c>
      <c r="E5764" s="28" t="s">
        <v>77</v>
      </c>
      <c r="F5764" s="28" t="s">
        <v>77</v>
      </c>
      <c r="G5764" s="28" t="s">
        <v>77</v>
      </c>
      <c r="I5764" s="26" t="s">
        <v>77</v>
      </c>
      <c r="J5764" s="26" t="s">
        <v>77</v>
      </c>
      <c r="K5764" s="18"/>
      <c r="L5764" s="26" t="s">
        <v>77</v>
      </c>
      <c r="M5764" s="6" t="s">
        <v>77</v>
      </c>
      <c r="N5764" s="28" t="s">
        <v>77</v>
      </c>
      <c r="O5764" s="26" t="s">
        <v>77</v>
      </c>
    </row>
    <row r="5765">
      <c r="A5765" s="52" t="s">
        <v>77</v>
      </c>
      <c r="B5765" s="28" t="s">
        <v>77</v>
      </c>
      <c r="C5765" s="28" t="s">
        <v>77</v>
      </c>
      <c r="D5765" s="28" t="s">
        <v>77</v>
      </c>
      <c r="E5765" s="28" t="s">
        <v>77</v>
      </c>
      <c r="F5765" s="28" t="s">
        <v>77</v>
      </c>
      <c r="G5765" s="28" t="s">
        <v>77</v>
      </c>
      <c r="I5765" s="26" t="s">
        <v>77</v>
      </c>
      <c r="J5765" s="26" t="s">
        <v>77</v>
      </c>
      <c r="K5765" s="18"/>
      <c r="L5765" s="26" t="s">
        <v>77</v>
      </c>
      <c r="M5765" s="6" t="s">
        <v>77</v>
      </c>
      <c r="N5765" s="28" t="s">
        <v>77</v>
      </c>
      <c r="O5765" s="26" t="s">
        <v>77</v>
      </c>
    </row>
    <row r="5766">
      <c r="A5766" s="52" t="s">
        <v>77</v>
      </c>
      <c r="B5766" s="28" t="s">
        <v>77</v>
      </c>
      <c r="C5766" s="28" t="s">
        <v>77</v>
      </c>
      <c r="D5766" s="28" t="s">
        <v>77</v>
      </c>
      <c r="E5766" s="28" t="s">
        <v>77</v>
      </c>
      <c r="F5766" s="28" t="s">
        <v>77</v>
      </c>
      <c r="G5766" s="28" t="s">
        <v>77</v>
      </c>
      <c r="I5766" s="26" t="s">
        <v>77</v>
      </c>
      <c r="J5766" s="26" t="s">
        <v>77</v>
      </c>
      <c r="K5766" s="18"/>
      <c r="L5766" s="26" t="s">
        <v>77</v>
      </c>
      <c r="M5766" s="6" t="s">
        <v>77</v>
      </c>
      <c r="N5766" s="28" t="s">
        <v>77</v>
      </c>
      <c r="O5766" s="26" t="s">
        <v>77</v>
      </c>
    </row>
    <row r="5767">
      <c r="A5767" s="52" t="s">
        <v>77</v>
      </c>
      <c r="B5767" s="28" t="s">
        <v>77</v>
      </c>
      <c r="C5767" s="28" t="s">
        <v>77</v>
      </c>
      <c r="D5767" s="28" t="s">
        <v>77</v>
      </c>
      <c r="E5767" s="28" t="s">
        <v>77</v>
      </c>
      <c r="F5767" s="28" t="s">
        <v>77</v>
      </c>
      <c r="G5767" s="28" t="s">
        <v>77</v>
      </c>
      <c r="I5767" s="26" t="s">
        <v>77</v>
      </c>
      <c r="J5767" s="26" t="s">
        <v>77</v>
      </c>
      <c r="K5767" s="18"/>
      <c r="L5767" s="26" t="s">
        <v>77</v>
      </c>
      <c r="M5767" s="6" t="s">
        <v>77</v>
      </c>
      <c r="N5767" s="28" t="s">
        <v>77</v>
      </c>
      <c r="O5767" s="26" t="s">
        <v>77</v>
      </c>
    </row>
    <row r="5768">
      <c r="A5768" s="52" t="s">
        <v>77</v>
      </c>
      <c r="B5768" s="28" t="s">
        <v>77</v>
      </c>
      <c r="C5768" s="28" t="s">
        <v>77</v>
      </c>
      <c r="D5768" s="28" t="s">
        <v>77</v>
      </c>
      <c r="E5768" s="28" t="s">
        <v>77</v>
      </c>
      <c r="F5768" s="28" t="s">
        <v>77</v>
      </c>
      <c r="G5768" s="28" t="s">
        <v>77</v>
      </c>
      <c r="I5768" s="26" t="s">
        <v>77</v>
      </c>
      <c r="J5768" s="26" t="s">
        <v>77</v>
      </c>
      <c r="K5768" s="18"/>
      <c r="L5768" s="26" t="s">
        <v>77</v>
      </c>
      <c r="M5768" s="6" t="s">
        <v>77</v>
      </c>
      <c r="N5768" s="28" t="s">
        <v>77</v>
      </c>
      <c r="O5768" s="26" t="s">
        <v>77</v>
      </c>
    </row>
    <row r="5769">
      <c r="A5769" s="52" t="s">
        <v>77</v>
      </c>
      <c r="B5769" s="28" t="s">
        <v>77</v>
      </c>
      <c r="C5769" s="28" t="s">
        <v>77</v>
      </c>
      <c r="D5769" s="28" t="s">
        <v>77</v>
      </c>
      <c r="E5769" s="28" t="s">
        <v>77</v>
      </c>
      <c r="F5769" s="28" t="s">
        <v>77</v>
      </c>
      <c r="G5769" s="28" t="s">
        <v>77</v>
      </c>
      <c r="I5769" s="26" t="s">
        <v>77</v>
      </c>
      <c r="J5769" s="26" t="s">
        <v>77</v>
      </c>
      <c r="K5769" s="18"/>
      <c r="L5769" s="26" t="s">
        <v>77</v>
      </c>
      <c r="M5769" s="6" t="s">
        <v>77</v>
      </c>
      <c r="N5769" s="28" t="s">
        <v>77</v>
      </c>
      <c r="O5769" s="26" t="s">
        <v>77</v>
      </c>
    </row>
    <row r="5770">
      <c r="A5770" s="52" t="s">
        <v>77</v>
      </c>
      <c r="B5770" s="28" t="s">
        <v>77</v>
      </c>
      <c r="C5770" s="28" t="s">
        <v>77</v>
      </c>
      <c r="D5770" s="28" t="s">
        <v>77</v>
      </c>
      <c r="E5770" s="28" t="s">
        <v>77</v>
      </c>
      <c r="F5770" s="28" t="s">
        <v>77</v>
      </c>
      <c r="G5770" s="28" t="s">
        <v>77</v>
      </c>
      <c r="I5770" s="26" t="s">
        <v>77</v>
      </c>
      <c r="J5770" s="26" t="s">
        <v>77</v>
      </c>
      <c r="K5770" s="18"/>
      <c r="L5770" s="26" t="s">
        <v>77</v>
      </c>
      <c r="M5770" s="6" t="s">
        <v>77</v>
      </c>
      <c r="N5770" s="28" t="s">
        <v>77</v>
      </c>
      <c r="O5770" s="26" t="s">
        <v>77</v>
      </c>
    </row>
    <row r="5771">
      <c r="A5771" s="52" t="s">
        <v>77</v>
      </c>
      <c r="B5771" s="28" t="s">
        <v>77</v>
      </c>
      <c r="C5771" s="28" t="s">
        <v>77</v>
      </c>
      <c r="D5771" s="28" t="s">
        <v>77</v>
      </c>
      <c r="E5771" s="28" t="s">
        <v>77</v>
      </c>
      <c r="F5771" s="28" t="s">
        <v>77</v>
      </c>
      <c r="G5771" s="28" t="s">
        <v>77</v>
      </c>
      <c r="I5771" s="26" t="s">
        <v>77</v>
      </c>
      <c r="J5771" s="26" t="s">
        <v>77</v>
      </c>
      <c r="K5771" s="18"/>
      <c r="L5771" s="26" t="s">
        <v>77</v>
      </c>
      <c r="M5771" s="6" t="s">
        <v>77</v>
      </c>
      <c r="N5771" s="28" t="s">
        <v>77</v>
      </c>
      <c r="O5771" s="26" t="s">
        <v>77</v>
      </c>
    </row>
    <row r="5772">
      <c r="A5772" s="52" t="s">
        <v>77</v>
      </c>
      <c r="B5772" s="28" t="s">
        <v>77</v>
      </c>
      <c r="C5772" s="28" t="s">
        <v>77</v>
      </c>
      <c r="D5772" s="28" t="s">
        <v>77</v>
      </c>
      <c r="E5772" s="28" t="s">
        <v>77</v>
      </c>
      <c r="F5772" s="28" t="s">
        <v>77</v>
      </c>
      <c r="G5772" s="28" t="s">
        <v>77</v>
      </c>
      <c r="I5772" s="26" t="s">
        <v>77</v>
      </c>
      <c r="J5772" s="26" t="s">
        <v>77</v>
      </c>
      <c r="K5772" s="18"/>
      <c r="L5772" s="26" t="s">
        <v>77</v>
      </c>
      <c r="M5772" s="6" t="s">
        <v>77</v>
      </c>
      <c r="N5772" s="28" t="s">
        <v>77</v>
      </c>
      <c r="O5772" s="26" t="s">
        <v>77</v>
      </c>
    </row>
    <row r="5773">
      <c r="A5773" s="52" t="s">
        <v>77</v>
      </c>
      <c r="B5773" s="28" t="s">
        <v>77</v>
      </c>
      <c r="C5773" s="28" t="s">
        <v>77</v>
      </c>
      <c r="D5773" s="28" t="s">
        <v>77</v>
      </c>
      <c r="E5773" s="28" t="s">
        <v>77</v>
      </c>
      <c r="F5773" s="28" t="s">
        <v>77</v>
      </c>
      <c r="G5773" s="28" t="s">
        <v>77</v>
      </c>
      <c r="I5773" s="26" t="s">
        <v>77</v>
      </c>
      <c r="J5773" s="26" t="s">
        <v>77</v>
      </c>
      <c r="K5773" s="18"/>
      <c r="L5773" s="26" t="s">
        <v>77</v>
      </c>
      <c r="M5773" s="6" t="s">
        <v>77</v>
      </c>
      <c r="N5773" s="28" t="s">
        <v>77</v>
      </c>
      <c r="O5773" s="26" t="s">
        <v>77</v>
      </c>
    </row>
    <row r="5774">
      <c r="A5774" s="52" t="s">
        <v>77</v>
      </c>
      <c r="B5774" s="28" t="s">
        <v>77</v>
      </c>
      <c r="C5774" s="28" t="s">
        <v>77</v>
      </c>
      <c r="D5774" s="28" t="s">
        <v>77</v>
      </c>
      <c r="E5774" s="28" t="s">
        <v>77</v>
      </c>
      <c r="F5774" s="28" t="s">
        <v>77</v>
      </c>
      <c r="G5774" s="28" t="s">
        <v>77</v>
      </c>
      <c r="I5774" s="26" t="s">
        <v>77</v>
      </c>
      <c r="J5774" s="26" t="s">
        <v>77</v>
      </c>
      <c r="K5774" s="18"/>
      <c r="L5774" s="26" t="s">
        <v>77</v>
      </c>
      <c r="M5774" s="6" t="s">
        <v>77</v>
      </c>
      <c r="N5774" s="28" t="s">
        <v>77</v>
      </c>
      <c r="O5774" s="26" t="s">
        <v>77</v>
      </c>
    </row>
    <row r="5775">
      <c r="A5775" s="52" t="s">
        <v>77</v>
      </c>
      <c r="B5775" s="28" t="s">
        <v>77</v>
      </c>
      <c r="C5775" s="28" t="s">
        <v>77</v>
      </c>
      <c r="D5775" s="28" t="s">
        <v>77</v>
      </c>
      <c r="E5775" s="28" t="s">
        <v>77</v>
      </c>
      <c r="F5775" s="28" t="s">
        <v>77</v>
      </c>
      <c r="G5775" s="28" t="s">
        <v>77</v>
      </c>
      <c r="I5775" s="26" t="s">
        <v>77</v>
      </c>
      <c r="J5775" s="26" t="s">
        <v>77</v>
      </c>
      <c r="K5775" s="18"/>
      <c r="L5775" s="26" t="s">
        <v>77</v>
      </c>
      <c r="M5775" s="6" t="s">
        <v>77</v>
      </c>
      <c r="N5775" s="28" t="s">
        <v>77</v>
      </c>
      <c r="O5775" s="26" t="s">
        <v>77</v>
      </c>
    </row>
    <row r="5776">
      <c r="A5776" s="52" t="s">
        <v>77</v>
      </c>
      <c r="B5776" s="28" t="s">
        <v>77</v>
      </c>
      <c r="C5776" s="28" t="s">
        <v>77</v>
      </c>
      <c r="D5776" s="28" t="s">
        <v>77</v>
      </c>
      <c r="E5776" s="28" t="s">
        <v>77</v>
      </c>
      <c r="F5776" s="28" t="s">
        <v>77</v>
      </c>
      <c r="G5776" s="28" t="s">
        <v>77</v>
      </c>
      <c r="I5776" s="26" t="s">
        <v>77</v>
      </c>
      <c r="J5776" s="26" t="s">
        <v>77</v>
      </c>
      <c r="K5776" s="18"/>
      <c r="L5776" s="26" t="s">
        <v>77</v>
      </c>
      <c r="M5776" s="6" t="s">
        <v>77</v>
      </c>
      <c r="N5776" s="28" t="s">
        <v>77</v>
      </c>
      <c r="O5776" s="26" t="s">
        <v>77</v>
      </c>
    </row>
    <row r="5777">
      <c r="A5777" s="52" t="s">
        <v>77</v>
      </c>
      <c r="B5777" s="28" t="s">
        <v>77</v>
      </c>
      <c r="C5777" s="28" t="s">
        <v>77</v>
      </c>
      <c r="D5777" s="28" t="s">
        <v>77</v>
      </c>
      <c r="E5777" s="28" t="s">
        <v>77</v>
      </c>
      <c r="F5777" s="28" t="s">
        <v>77</v>
      </c>
      <c r="G5777" s="28" t="s">
        <v>77</v>
      </c>
      <c r="I5777" s="26" t="s">
        <v>77</v>
      </c>
      <c r="J5777" s="26" t="s">
        <v>77</v>
      </c>
      <c r="K5777" s="18"/>
      <c r="L5777" s="26" t="s">
        <v>77</v>
      </c>
      <c r="M5777" s="6" t="s">
        <v>77</v>
      </c>
      <c r="N5777" s="28" t="s">
        <v>77</v>
      </c>
      <c r="O5777" s="26" t="s">
        <v>77</v>
      </c>
    </row>
    <row r="5778">
      <c r="A5778" s="52" t="s">
        <v>77</v>
      </c>
      <c r="B5778" s="28" t="s">
        <v>77</v>
      </c>
      <c r="C5778" s="28" t="s">
        <v>77</v>
      </c>
      <c r="D5778" s="28" t="s">
        <v>77</v>
      </c>
      <c r="E5778" s="28" t="s">
        <v>77</v>
      </c>
      <c r="F5778" s="28" t="s">
        <v>77</v>
      </c>
      <c r="G5778" s="28" t="s">
        <v>77</v>
      </c>
      <c r="I5778" s="26" t="s">
        <v>77</v>
      </c>
      <c r="J5778" s="26" t="s">
        <v>77</v>
      </c>
      <c r="K5778" s="18"/>
      <c r="L5778" s="26" t="s">
        <v>77</v>
      </c>
      <c r="M5778" s="6" t="s">
        <v>77</v>
      </c>
      <c r="N5778" s="28" t="s">
        <v>77</v>
      </c>
      <c r="O5778" s="26" t="s">
        <v>77</v>
      </c>
    </row>
    <row r="5779">
      <c r="A5779" s="52" t="s">
        <v>77</v>
      </c>
      <c r="B5779" s="28" t="s">
        <v>77</v>
      </c>
      <c r="C5779" s="28" t="s">
        <v>77</v>
      </c>
      <c r="D5779" s="28" t="s">
        <v>77</v>
      </c>
      <c r="E5779" s="28" t="s">
        <v>77</v>
      </c>
      <c r="F5779" s="28" t="s">
        <v>77</v>
      </c>
      <c r="G5779" s="28" t="s">
        <v>77</v>
      </c>
      <c r="I5779" s="26" t="s">
        <v>77</v>
      </c>
      <c r="J5779" s="26" t="s">
        <v>77</v>
      </c>
      <c r="K5779" s="18"/>
      <c r="L5779" s="26" t="s">
        <v>77</v>
      </c>
      <c r="M5779" s="6" t="s">
        <v>77</v>
      </c>
      <c r="N5779" s="28" t="s">
        <v>77</v>
      </c>
      <c r="O5779" s="26" t="s">
        <v>77</v>
      </c>
    </row>
    <row r="5780">
      <c r="A5780" s="52" t="s">
        <v>77</v>
      </c>
      <c r="B5780" s="28" t="s">
        <v>77</v>
      </c>
      <c r="C5780" s="28" t="s">
        <v>77</v>
      </c>
      <c r="D5780" s="28" t="s">
        <v>77</v>
      </c>
      <c r="E5780" s="28" t="s">
        <v>77</v>
      </c>
      <c r="F5780" s="28" t="s">
        <v>77</v>
      </c>
      <c r="G5780" s="28" t="s">
        <v>77</v>
      </c>
      <c r="I5780" s="26" t="s">
        <v>77</v>
      </c>
      <c r="J5780" s="26" t="s">
        <v>77</v>
      </c>
      <c r="K5780" s="18"/>
      <c r="L5780" s="26" t="s">
        <v>77</v>
      </c>
      <c r="M5780" s="6" t="s">
        <v>77</v>
      </c>
      <c r="N5780" s="28" t="s">
        <v>77</v>
      </c>
      <c r="O5780" s="26" t="s">
        <v>77</v>
      </c>
    </row>
    <row r="5781">
      <c r="A5781" s="52" t="s">
        <v>77</v>
      </c>
      <c r="B5781" s="28" t="s">
        <v>77</v>
      </c>
      <c r="C5781" s="28" t="s">
        <v>77</v>
      </c>
      <c r="D5781" s="28" t="s">
        <v>77</v>
      </c>
      <c r="E5781" s="28" t="s">
        <v>77</v>
      </c>
      <c r="F5781" s="28" t="s">
        <v>77</v>
      </c>
      <c r="G5781" s="28" t="s">
        <v>77</v>
      </c>
      <c r="I5781" s="26" t="s">
        <v>77</v>
      </c>
      <c r="J5781" s="26" t="s">
        <v>77</v>
      </c>
      <c r="K5781" s="18"/>
      <c r="L5781" s="26" t="s">
        <v>77</v>
      </c>
      <c r="M5781" s="6" t="s">
        <v>77</v>
      </c>
      <c r="N5781" s="28" t="s">
        <v>77</v>
      </c>
      <c r="O5781" s="26" t="s">
        <v>77</v>
      </c>
    </row>
    <row r="5782">
      <c r="A5782" s="52" t="s">
        <v>77</v>
      </c>
      <c r="B5782" s="28" t="s">
        <v>77</v>
      </c>
      <c r="C5782" s="28" t="s">
        <v>77</v>
      </c>
      <c r="D5782" s="28" t="s">
        <v>77</v>
      </c>
      <c r="E5782" s="28" t="s">
        <v>77</v>
      </c>
      <c r="F5782" s="28" t="s">
        <v>77</v>
      </c>
      <c r="G5782" s="28" t="s">
        <v>77</v>
      </c>
      <c r="I5782" s="26" t="s">
        <v>77</v>
      </c>
      <c r="J5782" s="26" t="s">
        <v>77</v>
      </c>
      <c r="K5782" s="18"/>
      <c r="L5782" s="26" t="s">
        <v>77</v>
      </c>
      <c r="M5782" s="6" t="s">
        <v>77</v>
      </c>
      <c r="N5782" s="28" t="s">
        <v>77</v>
      </c>
      <c r="O5782" s="26" t="s">
        <v>77</v>
      </c>
    </row>
    <row r="5783">
      <c r="A5783" s="52" t="s">
        <v>77</v>
      </c>
      <c r="B5783" s="28" t="s">
        <v>77</v>
      </c>
      <c r="C5783" s="28" t="s">
        <v>77</v>
      </c>
      <c r="D5783" s="28" t="s">
        <v>77</v>
      </c>
      <c r="E5783" s="28" t="s">
        <v>77</v>
      </c>
      <c r="F5783" s="28" t="s">
        <v>77</v>
      </c>
      <c r="G5783" s="28" t="s">
        <v>77</v>
      </c>
      <c r="I5783" s="26" t="s">
        <v>77</v>
      </c>
      <c r="J5783" s="26" t="s">
        <v>77</v>
      </c>
      <c r="K5783" s="18"/>
      <c r="L5783" s="26" t="s">
        <v>77</v>
      </c>
      <c r="M5783" s="6" t="s">
        <v>77</v>
      </c>
      <c r="N5783" s="28" t="s">
        <v>77</v>
      </c>
      <c r="O5783" s="26" t="s">
        <v>77</v>
      </c>
    </row>
    <row r="5784">
      <c r="A5784" s="52" t="s">
        <v>77</v>
      </c>
      <c r="B5784" s="28" t="s">
        <v>77</v>
      </c>
      <c r="C5784" s="28" t="s">
        <v>77</v>
      </c>
      <c r="D5784" s="28" t="s">
        <v>77</v>
      </c>
      <c r="E5784" s="28" t="s">
        <v>77</v>
      </c>
      <c r="F5784" s="28" t="s">
        <v>77</v>
      </c>
      <c r="G5784" s="28" t="s">
        <v>77</v>
      </c>
      <c r="I5784" s="26" t="s">
        <v>77</v>
      </c>
      <c r="J5784" s="26" t="s">
        <v>77</v>
      </c>
      <c r="K5784" s="18"/>
      <c r="L5784" s="26" t="s">
        <v>77</v>
      </c>
      <c r="M5784" s="6" t="s">
        <v>77</v>
      </c>
      <c r="N5784" s="28" t="s">
        <v>77</v>
      </c>
      <c r="O5784" s="26" t="s">
        <v>77</v>
      </c>
    </row>
    <row r="5785">
      <c r="A5785" s="52" t="s">
        <v>77</v>
      </c>
      <c r="B5785" s="28" t="s">
        <v>77</v>
      </c>
      <c r="C5785" s="28" t="s">
        <v>77</v>
      </c>
      <c r="D5785" s="28" t="s">
        <v>77</v>
      </c>
      <c r="E5785" s="28" t="s">
        <v>77</v>
      </c>
      <c r="F5785" s="28" t="s">
        <v>77</v>
      </c>
      <c r="G5785" s="28" t="s">
        <v>77</v>
      </c>
      <c r="I5785" s="26" t="s">
        <v>77</v>
      </c>
      <c r="J5785" s="26" t="s">
        <v>77</v>
      </c>
      <c r="K5785" s="18"/>
      <c r="L5785" s="26" t="s">
        <v>77</v>
      </c>
      <c r="M5785" s="6" t="s">
        <v>77</v>
      </c>
      <c r="N5785" s="28" t="s">
        <v>77</v>
      </c>
      <c r="O5785" s="26" t="s">
        <v>77</v>
      </c>
    </row>
    <row r="5786">
      <c r="A5786" s="52" t="s">
        <v>77</v>
      </c>
      <c r="B5786" s="28" t="s">
        <v>77</v>
      </c>
      <c r="C5786" s="28" t="s">
        <v>77</v>
      </c>
      <c r="D5786" s="28" t="s">
        <v>77</v>
      </c>
      <c r="E5786" s="28" t="s">
        <v>77</v>
      </c>
      <c r="F5786" s="28" t="s">
        <v>77</v>
      </c>
      <c r="G5786" s="28" t="s">
        <v>77</v>
      </c>
      <c r="I5786" s="26" t="s">
        <v>77</v>
      </c>
      <c r="J5786" s="26" t="s">
        <v>77</v>
      </c>
      <c r="K5786" s="18"/>
      <c r="L5786" s="26" t="s">
        <v>77</v>
      </c>
      <c r="M5786" s="6" t="s">
        <v>77</v>
      </c>
      <c r="N5786" s="28" t="s">
        <v>77</v>
      </c>
      <c r="O5786" s="26" t="s">
        <v>77</v>
      </c>
    </row>
    <row r="5787">
      <c r="A5787" s="52" t="s">
        <v>77</v>
      </c>
      <c r="B5787" s="28" t="s">
        <v>77</v>
      </c>
      <c r="C5787" s="28" t="s">
        <v>77</v>
      </c>
      <c r="D5787" s="28" t="s">
        <v>77</v>
      </c>
      <c r="E5787" s="28" t="s">
        <v>77</v>
      </c>
      <c r="F5787" s="28" t="s">
        <v>77</v>
      </c>
      <c r="G5787" s="28" t="s">
        <v>77</v>
      </c>
      <c r="I5787" s="26" t="s">
        <v>77</v>
      </c>
      <c r="J5787" s="26" t="s">
        <v>77</v>
      </c>
      <c r="K5787" s="18"/>
      <c r="L5787" s="26" t="s">
        <v>77</v>
      </c>
      <c r="M5787" s="6" t="s">
        <v>77</v>
      </c>
      <c r="N5787" s="28" t="s">
        <v>77</v>
      </c>
      <c r="O5787" s="26" t="s">
        <v>77</v>
      </c>
    </row>
    <row r="5788">
      <c r="A5788" s="52" t="s">
        <v>77</v>
      </c>
      <c r="B5788" s="28" t="s">
        <v>77</v>
      </c>
      <c r="C5788" s="28" t="s">
        <v>77</v>
      </c>
      <c r="D5788" s="28" t="s">
        <v>77</v>
      </c>
      <c r="E5788" s="28" t="s">
        <v>77</v>
      </c>
      <c r="F5788" s="28" t="s">
        <v>77</v>
      </c>
      <c r="G5788" s="28" t="s">
        <v>77</v>
      </c>
      <c r="I5788" s="26" t="s">
        <v>77</v>
      </c>
      <c r="J5788" s="26" t="s">
        <v>77</v>
      </c>
      <c r="K5788" s="18"/>
      <c r="L5788" s="26" t="s">
        <v>77</v>
      </c>
      <c r="M5788" s="6" t="s">
        <v>77</v>
      </c>
      <c r="N5788" s="28" t="s">
        <v>77</v>
      </c>
      <c r="O5788" s="26" t="s">
        <v>77</v>
      </c>
    </row>
    <row r="5789">
      <c r="A5789" s="52" t="s">
        <v>77</v>
      </c>
      <c r="B5789" s="28" t="s">
        <v>77</v>
      </c>
      <c r="C5789" s="28" t="s">
        <v>77</v>
      </c>
      <c r="D5789" s="28" t="s">
        <v>77</v>
      </c>
      <c r="E5789" s="28" t="s">
        <v>77</v>
      </c>
      <c r="F5789" s="28" t="s">
        <v>77</v>
      </c>
      <c r="G5789" s="28" t="s">
        <v>77</v>
      </c>
      <c r="I5789" s="26" t="s">
        <v>77</v>
      </c>
      <c r="J5789" s="26" t="s">
        <v>77</v>
      </c>
      <c r="K5789" s="18"/>
      <c r="L5789" s="26" t="s">
        <v>77</v>
      </c>
      <c r="M5789" s="6" t="s">
        <v>77</v>
      </c>
      <c r="N5789" s="28" t="s">
        <v>77</v>
      </c>
      <c r="O5789" s="26" t="s">
        <v>77</v>
      </c>
    </row>
    <row r="5790">
      <c r="A5790" s="52" t="s">
        <v>77</v>
      </c>
      <c r="B5790" s="28" t="s">
        <v>77</v>
      </c>
      <c r="C5790" s="28" t="s">
        <v>77</v>
      </c>
      <c r="D5790" s="28" t="s">
        <v>77</v>
      </c>
      <c r="E5790" s="28" t="s">
        <v>77</v>
      </c>
      <c r="F5790" s="28" t="s">
        <v>77</v>
      </c>
      <c r="G5790" s="28" t="s">
        <v>77</v>
      </c>
      <c r="I5790" s="26" t="s">
        <v>77</v>
      </c>
      <c r="J5790" s="26" t="s">
        <v>77</v>
      </c>
      <c r="K5790" s="18"/>
      <c r="L5790" s="26" t="s">
        <v>77</v>
      </c>
      <c r="M5790" s="6" t="s">
        <v>77</v>
      </c>
      <c r="N5790" s="28" t="s">
        <v>77</v>
      </c>
      <c r="O5790" s="26" t="s">
        <v>77</v>
      </c>
    </row>
    <row r="5791">
      <c r="A5791" s="52" t="s">
        <v>77</v>
      </c>
      <c r="B5791" s="28" t="s">
        <v>77</v>
      </c>
      <c r="C5791" s="28" t="s">
        <v>77</v>
      </c>
      <c r="D5791" s="28" t="s">
        <v>77</v>
      </c>
      <c r="E5791" s="28" t="s">
        <v>77</v>
      </c>
      <c r="F5791" s="28" t="s">
        <v>77</v>
      </c>
      <c r="G5791" s="28" t="s">
        <v>77</v>
      </c>
      <c r="I5791" s="26" t="s">
        <v>77</v>
      </c>
      <c r="J5791" s="26" t="s">
        <v>77</v>
      </c>
      <c r="K5791" s="18"/>
      <c r="L5791" s="26" t="s">
        <v>77</v>
      </c>
      <c r="M5791" s="6" t="s">
        <v>77</v>
      </c>
      <c r="N5791" s="28" t="s">
        <v>77</v>
      </c>
      <c r="O5791" s="26" t="s">
        <v>77</v>
      </c>
    </row>
    <row r="5792">
      <c r="A5792" s="52" t="s">
        <v>77</v>
      </c>
      <c r="B5792" s="28" t="s">
        <v>77</v>
      </c>
      <c r="C5792" s="28" t="s">
        <v>77</v>
      </c>
      <c r="D5792" s="28" t="s">
        <v>77</v>
      </c>
      <c r="E5792" s="28" t="s">
        <v>77</v>
      </c>
      <c r="F5792" s="28" t="s">
        <v>77</v>
      </c>
      <c r="G5792" s="28" t="s">
        <v>77</v>
      </c>
      <c r="I5792" s="26" t="s">
        <v>77</v>
      </c>
      <c r="J5792" s="26" t="s">
        <v>77</v>
      </c>
      <c r="K5792" s="18"/>
      <c r="L5792" s="26" t="s">
        <v>77</v>
      </c>
      <c r="M5792" s="6" t="s">
        <v>77</v>
      </c>
      <c r="N5792" s="28" t="s">
        <v>77</v>
      </c>
      <c r="O5792" s="26" t="s">
        <v>77</v>
      </c>
    </row>
    <row r="5793">
      <c r="A5793" s="52" t="s">
        <v>77</v>
      </c>
      <c r="B5793" s="28" t="s">
        <v>77</v>
      </c>
      <c r="C5793" s="28" t="s">
        <v>77</v>
      </c>
      <c r="D5793" s="28" t="s">
        <v>77</v>
      </c>
      <c r="E5793" s="28" t="s">
        <v>77</v>
      </c>
      <c r="F5793" s="28" t="s">
        <v>77</v>
      </c>
      <c r="G5793" s="28" t="s">
        <v>77</v>
      </c>
      <c r="I5793" s="26" t="s">
        <v>77</v>
      </c>
      <c r="J5793" s="26" t="s">
        <v>77</v>
      </c>
      <c r="K5793" s="18"/>
      <c r="L5793" s="26" t="s">
        <v>77</v>
      </c>
      <c r="M5793" s="6" t="s">
        <v>77</v>
      </c>
      <c r="N5793" s="28" t="s">
        <v>77</v>
      </c>
      <c r="O5793" s="26" t="s">
        <v>77</v>
      </c>
    </row>
    <row r="5794">
      <c r="A5794" s="52" t="s">
        <v>77</v>
      </c>
      <c r="B5794" s="28" t="s">
        <v>77</v>
      </c>
      <c r="C5794" s="28" t="s">
        <v>77</v>
      </c>
      <c r="D5794" s="28" t="s">
        <v>77</v>
      </c>
      <c r="E5794" s="28" t="s">
        <v>77</v>
      </c>
      <c r="F5794" s="28" t="s">
        <v>77</v>
      </c>
      <c r="G5794" s="28" t="s">
        <v>77</v>
      </c>
      <c r="I5794" s="26" t="s">
        <v>77</v>
      </c>
      <c r="J5794" s="26" t="s">
        <v>77</v>
      </c>
      <c r="K5794" s="18"/>
      <c r="L5794" s="26" t="s">
        <v>77</v>
      </c>
      <c r="M5794" s="6" t="s">
        <v>77</v>
      </c>
      <c r="N5794" s="28" t="s">
        <v>77</v>
      </c>
      <c r="O5794" s="26" t="s">
        <v>77</v>
      </c>
    </row>
    <row r="5795">
      <c r="A5795" s="52" t="s">
        <v>77</v>
      </c>
      <c r="B5795" s="28" t="s">
        <v>77</v>
      </c>
      <c r="C5795" s="28" t="s">
        <v>77</v>
      </c>
      <c r="D5795" s="28" t="s">
        <v>77</v>
      </c>
      <c r="E5795" s="28" t="s">
        <v>77</v>
      </c>
      <c r="F5795" s="28" t="s">
        <v>77</v>
      </c>
      <c r="G5795" s="28" t="s">
        <v>77</v>
      </c>
      <c r="I5795" s="26" t="s">
        <v>77</v>
      </c>
      <c r="J5795" s="26" t="s">
        <v>77</v>
      </c>
      <c r="K5795" s="18"/>
      <c r="L5795" s="26" t="s">
        <v>77</v>
      </c>
      <c r="M5795" s="6" t="s">
        <v>77</v>
      </c>
      <c r="N5795" s="28" t="s">
        <v>77</v>
      </c>
      <c r="O5795" s="26" t="s">
        <v>77</v>
      </c>
    </row>
    <row r="5796">
      <c r="A5796" s="52" t="s">
        <v>77</v>
      </c>
      <c r="B5796" s="28" t="s">
        <v>77</v>
      </c>
      <c r="C5796" s="28" t="s">
        <v>77</v>
      </c>
      <c r="D5796" s="28" t="s">
        <v>77</v>
      </c>
      <c r="E5796" s="28" t="s">
        <v>77</v>
      </c>
      <c r="F5796" s="28" t="s">
        <v>77</v>
      </c>
      <c r="G5796" s="28" t="s">
        <v>77</v>
      </c>
      <c r="I5796" s="26" t="s">
        <v>77</v>
      </c>
      <c r="J5796" s="26" t="s">
        <v>77</v>
      </c>
      <c r="K5796" s="18"/>
      <c r="L5796" s="26" t="s">
        <v>77</v>
      </c>
      <c r="M5796" s="6" t="s">
        <v>77</v>
      </c>
      <c r="N5796" s="28" t="s">
        <v>77</v>
      </c>
      <c r="O5796" s="26" t="s">
        <v>77</v>
      </c>
    </row>
    <row r="5797">
      <c r="A5797" s="52" t="s">
        <v>77</v>
      </c>
      <c r="B5797" s="28" t="s">
        <v>77</v>
      </c>
      <c r="C5797" s="28" t="s">
        <v>77</v>
      </c>
      <c r="D5797" s="28" t="s">
        <v>77</v>
      </c>
      <c r="E5797" s="28" t="s">
        <v>77</v>
      </c>
      <c r="F5797" s="28" t="s">
        <v>77</v>
      </c>
      <c r="G5797" s="28" t="s">
        <v>77</v>
      </c>
      <c r="I5797" s="26" t="s">
        <v>77</v>
      </c>
      <c r="J5797" s="26" t="s">
        <v>77</v>
      </c>
      <c r="K5797" s="18"/>
      <c r="L5797" s="26" t="s">
        <v>77</v>
      </c>
      <c r="M5797" s="6" t="s">
        <v>77</v>
      </c>
      <c r="N5797" s="28" t="s">
        <v>77</v>
      </c>
      <c r="O5797" s="26" t="s">
        <v>77</v>
      </c>
    </row>
    <row r="5798">
      <c r="A5798" s="52" t="s">
        <v>77</v>
      </c>
      <c r="B5798" s="28" t="s">
        <v>77</v>
      </c>
      <c r="C5798" s="28" t="s">
        <v>77</v>
      </c>
      <c r="D5798" s="28" t="s">
        <v>77</v>
      </c>
      <c r="E5798" s="28" t="s">
        <v>77</v>
      </c>
      <c r="F5798" s="28" t="s">
        <v>77</v>
      </c>
      <c r="G5798" s="28" t="s">
        <v>77</v>
      </c>
      <c r="I5798" s="26" t="s">
        <v>77</v>
      </c>
      <c r="J5798" s="26" t="s">
        <v>77</v>
      </c>
      <c r="K5798" s="18"/>
      <c r="L5798" s="26" t="s">
        <v>77</v>
      </c>
      <c r="M5798" s="6" t="s">
        <v>77</v>
      </c>
      <c r="N5798" s="28" t="s">
        <v>77</v>
      </c>
      <c r="O5798" s="26" t="s">
        <v>77</v>
      </c>
    </row>
    <row r="5799">
      <c r="A5799" s="52" t="s">
        <v>77</v>
      </c>
      <c r="B5799" s="28" t="s">
        <v>77</v>
      </c>
      <c r="C5799" s="28" t="s">
        <v>77</v>
      </c>
      <c r="D5799" s="28" t="s">
        <v>77</v>
      </c>
      <c r="E5799" s="28" t="s">
        <v>77</v>
      </c>
      <c r="F5799" s="28" t="s">
        <v>77</v>
      </c>
      <c r="G5799" s="28" t="s">
        <v>77</v>
      </c>
      <c r="I5799" s="26" t="s">
        <v>77</v>
      </c>
      <c r="J5799" s="26" t="s">
        <v>77</v>
      </c>
      <c r="K5799" s="18"/>
      <c r="L5799" s="26" t="s">
        <v>77</v>
      </c>
      <c r="M5799" s="6" t="s">
        <v>77</v>
      </c>
      <c r="N5799" s="28" t="s">
        <v>77</v>
      </c>
      <c r="O5799" s="26" t="s">
        <v>77</v>
      </c>
    </row>
    <row r="5800">
      <c r="A5800" s="52" t="s">
        <v>77</v>
      </c>
      <c r="B5800" s="28" t="s">
        <v>77</v>
      </c>
      <c r="C5800" s="28" t="s">
        <v>77</v>
      </c>
      <c r="D5800" s="28" t="s">
        <v>77</v>
      </c>
      <c r="E5800" s="28" t="s">
        <v>77</v>
      </c>
      <c r="F5800" s="28" t="s">
        <v>77</v>
      </c>
      <c r="G5800" s="28" t="s">
        <v>77</v>
      </c>
      <c r="I5800" s="26" t="s">
        <v>77</v>
      </c>
      <c r="J5800" s="26" t="s">
        <v>77</v>
      </c>
      <c r="K5800" s="18"/>
      <c r="L5800" s="26" t="s">
        <v>77</v>
      </c>
      <c r="M5800" s="6" t="s">
        <v>77</v>
      </c>
      <c r="N5800" s="28" t="s">
        <v>77</v>
      </c>
      <c r="O5800" s="26" t="s">
        <v>77</v>
      </c>
    </row>
    <row r="5801">
      <c r="A5801" s="52" t="s">
        <v>77</v>
      </c>
      <c r="B5801" s="28" t="s">
        <v>77</v>
      </c>
      <c r="C5801" s="28" t="s">
        <v>77</v>
      </c>
      <c r="D5801" s="28" t="s">
        <v>77</v>
      </c>
      <c r="E5801" s="28" t="s">
        <v>77</v>
      </c>
      <c r="F5801" s="28" t="s">
        <v>77</v>
      </c>
      <c r="G5801" s="28" t="s">
        <v>77</v>
      </c>
      <c r="I5801" s="26" t="s">
        <v>77</v>
      </c>
      <c r="J5801" s="26" t="s">
        <v>77</v>
      </c>
      <c r="K5801" s="18"/>
      <c r="L5801" s="26" t="s">
        <v>77</v>
      </c>
      <c r="M5801" s="6" t="s">
        <v>77</v>
      </c>
      <c r="N5801" s="28" t="s">
        <v>77</v>
      </c>
      <c r="O5801" s="26" t="s">
        <v>77</v>
      </c>
    </row>
    <row r="5802">
      <c r="A5802" s="52" t="s">
        <v>77</v>
      </c>
      <c r="B5802" s="28" t="s">
        <v>77</v>
      </c>
      <c r="C5802" s="28" t="s">
        <v>77</v>
      </c>
      <c r="D5802" s="28" t="s">
        <v>77</v>
      </c>
      <c r="E5802" s="28" t="s">
        <v>77</v>
      </c>
      <c r="F5802" s="28" t="s">
        <v>77</v>
      </c>
      <c r="G5802" s="28" t="s">
        <v>77</v>
      </c>
      <c r="I5802" s="26" t="s">
        <v>77</v>
      </c>
      <c r="J5802" s="26" t="s">
        <v>77</v>
      </c>
      <c r="K5802" s="18"/>
      <c r="L5802" s="26" t="s">
        <v>77</v>
      </c>
      <c r="M5802" s="6" t="s">
        <v>77</v>
      </c>
      <c r="N5802" s="28" t="s">
        <v>77</v>
      </c>
      <c r="O5802" s="26" t="s">
        <v>77</v>
      </c>
    </row>
    <row r="5803">
      <c r="A5803" s="52" t="s">
        <v>77</v>
      </c>
      <c r="B5803" s="28" t="s">
        <v>77</v>
      </c>
      <c r="C5803" s="28" t="s">
        <v>77</v>
      </c>
      <c r="D5803" s="28" t="s">
        <v>77</v>
      </c>
      <c r="E5803" s="28" t="s">
        <v>77</v>
      </c>
      <c r="F5803" s="28" t="s">
        <v>77</v>
      </c>
      <c r="G5803" s="28" t="s">
        <v>77</v>
      </c>
      <c r="I5803" s="26" t="s">
        <v>77</v>
      </c>
      <c r="J5803" s="26" t="s">
        <v>77</v>
      </c>
      <c r="K5803" s="18"/>
      <c r="L5803" s="26" t="s">
        <v>77</v>
      </c>
      <c r="M5803" s="6" t="s">
        <v>77</v>
      </c>
      <c r="N5803" s="28" t="s">
        <v>77</v>
      </c>
      <c r="O5803" s="26" t="s">
        <v>77</v>
      </c>
    </row>
    <row r="5804">
      <c r="A5804" s="52" t="s">
        <v>77</v>
      </c>
      <c r="B5804" s="28" t="s">
        <v>77</v>
      </c>
      <c r="C5804" s="28" t="s">
        <v>77</v>
      </c>
      <c r="D5804" s="28" t="s">
        <v>77</v>
      </c>
      <c r="E5804" s="28" t="s">
        <v>77</v>
      </c>
      <c r="F5804" s="28" t="s">
        <v>77</v>
      </c>
      <c r="G5804" s="28" t="s">
        <v>77</v>
      </c>
      <c r="I5804" s="26" t="s">
        <v>77</v>
      </c>
      <c r="J5804" s="26" t="s">
        <v>77</v>
      </c>
      <c r="K5804" s="18"/>
      <c r="L5804" s="26" t="s">
        <v>77</v>
      </c>
      <c r="M5804" s="6" t="s">
        <v>77</v>
      </c>
      <c r="N5804" s="28" t="s">
        <v>77</v>
      </c>
      <c r="O5804" s="26" t="s">
        <v>77</v>
      </c>
    </row>
    <row r="5805">
      <c r="A5805" s="52" t="s">
        <v>77</v>
      </c>
      <c r="B5805" s="28" t="s">
        <v>77</v>
      </c>
      <c r="C5805" s="28" t="s">
        <v>77</v>
      </c>
      <c r="D5805" s="28" t="s">
        <v>77</v>
      </c>
      <c r="E5805" s="28" t="s">
        <v>77</v>
      </c>
      <c r="F5805" s="28" t="s">
        <v>77</v>
      </c>
      <c r="G5805" s="28" t="s">
        <v>77</v>
      </c>
      <c r="I5805" s="26" t="s">
        <v>77</v>
      </c>
      <c r="J5805" s="26" t="s">
        <v>77</v>
      </c>
      <c r="K5805" s="18"/>
      <c r="L5805" s="26" t="s">
        <v>77</v>
      </c>
      <c r="M5805" s="6" t="s">
        <v>77</v>
      </c>
      <c r="N5805" s="28" t="s">
        <v>77</v>
      </c>
      <c r="O5805" s="26" t="s">
        <v>77</v>
      </c>
    </row>
    <row r="5806">
      <c r="A5806" s="52" t="s">
        <v>77</v>
      </c>
      <c r="B5806" s="28" t="s">
        <v>77</v>
      </c>
      <c r="C5806" s="28" t="s">
        <v>77</v>
      </c>
      <c r="D5806" s="28" t="s">
        <v>77</v>
      </c>
      <c r="E5806" s="28" t="s">
        <v>77</v>
      </c>
      <c r="F5806" s="28" t="s">
        <v>77</v>
      </c>
      <c r="G5806" s="28" t="s">
        <v>77</v>
      </c>
      <c r="I5806" s="26" t="s">
        <v>77</v>
      </c>
      <c r="J5806" s="26" t="s">
        <v>77</v>
      </c>
      <c r="K5806" s="18"/>
      <c r="L5806" s="26" t="s">
        <v>77</v>
      </c>
      <c r="M5806" s="6" t="s">
        <v>77</v>
      </c>
      <c r="N5806" s="28" t="s">
        <v>77</v>
      </c>
      <c r="O5806" s="26" t="s">
        <v>77</v>
      </c>
    </row>
    <row r="5807">
      <c r="A5807" s="52" t="s">
        <v>77</v>
      </c>
      <c r="B5807" s="28" t="s">
        <v>77</v>
      </c>
      <c r="C5807" s="28" t="s">
        <v>77</v>
      </c>
      <c r="D5807" s="28" t="s">
        <v>77</v>
      </c>
      <c r="E5807" s="28" t="s">
        <v>77</v>
      </c>
      <c r="F5807" s="28" t="s">
        <v>77</v>
      </c>
      <c r="G5807" s="28" t="s">
        <v>77</v>
      </c>
      <c r="I5807" s="26" t="s">
        <v>77</v>
      </c>
      <c r="J5807" s="26" t="s">
        <v>77</v>
      </c>
      <c r="K5807" s="18"/>
      <c r="L5807" s="26" t="s">
        <v>77</v>
      </c>
      <c r="M5807" s="6" t="s">
        <v>77</v>
      </c>
      <c r="N5807" s="28" t="s">
        <v>77</v>
      </c>
      <c r="O5807" s="26" t="s">
        <v>77</v>
      </c>
    </row>
    <row r="5808">
      <c r="A5808" s="52" t="s">
        <v>77</v>
      </c>
      <c r="B5808" s="28" t="s">
        <v>77</v>
      </c>
      <c r="C5808" s="28" t="s">
        <v>77</v>
      </c>
      <c r="D5808" s="28" t="s">
        <v>77</v>
      </c>
      <c r="E5808" s="28" t="s">
        <v>77</v>
      </c>
      <c r="F5808" s="28" t="s">
        <v>77</v>
      </c>
      <c r="G5808" s="28" t="s">
        <v>77</v>
      </c>
      <c r="I5808" s="26" t="s">
        <v>77</v>
      </c>
      <c r="J5808" s="26" t="s">
        <v>77</v>
      </c>
      <c r="K5808" s="18"/>
      <c r="L5808" s="26" t="s">
        <v>77</v>
      </c>
      <c r="M5808" s="6" t="s">
        <v>77</v>
      </c>
      <c r="N5808" s="28" t="s">
        <v>77</v>
      </c>
      <c r="O5808" s="26" t="s">
        <v>77</v>
      </c>
    </row>
    <row r="5809">
      <c r="A5809" s="52" t="s">
        <v>77</v>
      </c>
      <c r="B5809" s="28" t="s">
        <v>77</v>
      </c>
      <c r="C5809" s="28" t="s">
        <v>77</v>
      </c>
      <c r="D5809" s="28" t="s">
        <v>77</v>
      </c>
      <c r="E5809" s="28" t="s">
        <v>77</v>
      </c>
      <c r="F5809" s="28" t="s">
        <v>77</v>
      </c>
      <c r="G5809" s="28" t="s">
        <v>77</v>
      </c>
      <c r="I5809" s="26" t="s">
        <v>77</v>
      </c>
      <c r="J5809" s="26" t="s">
        <v>77</v>
      </c>
      <c r="K5809" s="18"/>
      <c r="L5809" s="26" t="s">
        <v>77</v>
      </c>
      <c r="M5809" s="6" t="s">
        <v>77</v>
      </c>
      <c r="N5809" s="28" t="s">
        <v>77</v>
      </c>
      <c r="O5809" s="26" t="s">
        <v>77</v>
      </c>
    </row>
    <row r="5810">
      <c r="A5810" s="52" t="s">
        <v>77</v>
      </c>
      <c r="B5810" s="28" t="s">
        <v>77</v>
      </c>
      <c r="C5810" s="28" t="s">
        <v>77</v>
      </c>
      <c r="D5810" s="28" t="s">
        <v>77</v>
      </c>
      <c r="E5810" s="28" t="s">
        <v>77</v>
      </c>
      <c r="F5810" s="28" t="s">
        <v>77</v>
      </c>
      <c r="G5810" s="28" t="s">
        <v>77</v>
      </c>
      <c r="I5810" s="26" t="s">
        <v>77</v>
      </c>
      <c r="J5810" s="26" t="s">
        <v>77</v>
      </c>
      <c r="K5810" s="18"/>
      <c r="L5810" s="26" t="s">
        <v>77</v>
      </c>
      <c r="M5810" s="6" t="s">
        <v>77</v>
      </c>
      <c r="N5810" s="28" t="s">
        <v>77</v>
      </c>
      <c r="O5810" s="26" t="s">
        <v>77</v>
      </c>
    </row>
    <row r="5811">
      <c r="A5811" s="52" t="s">
        <v>77</v>
      </c>
      <c r="B5811" s="28" t="s">
        <v>77</v>
      </c>
      <c r="C5811" s="28" t="s">
        <v>77</v>
      </c>
      <c r="D5811" s="28" t="s">
        <v>77</v>
      </c>
      <c r="E5811" s="28" t="s">
        <v>77</v>
      </c>
      <c r="F5811" s="28" t="s">
        <v>77</v>
      </c>
      <c r="G5811" s="28" t="s">
        <v>77</v>
      </c>
      <c r="I5811" s="26" t="s">
        <v>77</v>
      </c>
      <c r="J5811" s="26" t="s">
        <v>77</v>
      </c>
      <c r="K5811" s="18"/>
      <c r="L5811" s="26" t="s">
        <v>77</v>
      </c>
      <c r="M5811" s="6" t="s">
        <v>77</v>
      </c>
      <c r="N5811" s="28" t="s">
        <v>77</v>
      </c>
      <c r="O5811" s="26" t="s">
        <v>77</v>
      </c>
    </row>
    <row r="5812">
      <c r="A5812" s="52" t="s">
        <v>77</v>
      </c>
      <c r="B5812" s="28" t="s">
        <v>77</v>
      </c>
      <c r="C5812" s="28" t="s">
        <v>77</v>
      </c>
      <c r="D5812" s="28" t="s">
        <v>77</v>
      </c>
      <c r="E5812" s="28" t="s">
        <v>77</v>
      </c>
      <c r="F5812" s="28" t="s">
        <v>77</v>
      </c>
      <c r="G5812" s="28" t="s">
        <v>77</v>
      </c>
      <c r="I5812" s="26" t="s">
        <v>77</v>
      </c>
      <c r="J5812" s="26" t="s">
        <v>77</v>
      </c>
      <c r="K5812" s="18"/>
      <c r="L5812" s="26" t="s">
        <v>77</v>
      </c>
      <c r="M5812" s="6" t="s">
        <v>77</v>
      </c>
      <c r="N5812" s="28" t="s">
        <v>77</v>
      </c>
      <c r="O5812" s="26" t="s">
        <v>77</v>
      </c>
    </row>
    <row r="5813">
      <c r="A5813" s="52" t="s">
        <v>77</v>
      </c>
      <c r="B5813" s="28" t="s">
        <v>77</v>
      </c>
      <c r="C5813" s="28" t="s">
        <v>77</v>
      </c>
      <c r="D5813" s="28" t="s">
        <v>77</v>
      </c>
      <c r="E5813" s="28" t="s">
        <v>77</v>
      </c>
      <c r="F5813" s="28" t="s">
        <v>77</v>
      </c>
      <c r="G5813" s="28" t="s">
        <v>77</v>
      </c>
      <c r="I5813" s="26" t="s">
        <v>77</v>
      </c>
      <c r="J5813" s="26" t="s">
        <v>77</v>
      </c>
      <c r="K5813" s="18"/>
      <c r="L5813" s="26" t="s">
        <v>77</v>
      </c>
      <c r="M5813" s="6" t="s">
        <v>77</v>
      </c>
      <c r="N5813" s="28" t="s">
        <v>77</v>
      </c>
      <c r="O5813" s="26" t="s">
        <v>77</v>
      </c>
    </row>
    <row r="5814">
      <c r="A5814" s="52" t="s">
        <v>77</v>
      </c>
      <c r="B5814" s="28" t="s">
        <v>77</v>
      </c>
      <c r="C5814" s="28" t="s">
        <v>77</v>
      </c>
      <c r="D5814" s="28" t="s">
        <v>77</v>
      </c>
      <c r="E5814" s="28" t="s">
        <v>77</v>
      </c>
      <c r="F5814" s="28" t="s">
        <v>77</v>
      </c>
      <c r="G5814" s="28" t="s">
        <v>77</v>
      </c>
      <c r="I5814" s="26" t="s">
        <v>77</v>
      </c>
      <c r="J5814" s="26" t="s">
        <v>77</v>
      </c>
      <c r="K5814" s="18"/>
      <c r="L5814" s="26" t="s">
        <v>77</v>
      </c>
      <c r="M5814" s="6" t="s">
        <v>77</v>
      </c>
      <c r="N5814" s="28" t="s">
        <v>77</v>
      </c>
      <c r="O5814" s="26" t="s">
        <v>77</v>
      </c>
    </row>
    <row r="5815">
      <c r="A5815" s="52" t="s">
        <v>77</v>
      </c>
      <c r="B5815" s="28" t="s">
        <v>77</v>
      </c>
      <c r="C5815" s="28" t="s">
        <v>77</v>
      </c>
      <c r="D5815" s="28" t="s">
        <v>77</v>
      </c>
      <c r="E5815" s="28" t="s">
        <v>77</v>
      </c>
      <c r="F5815" s="28" t="s">
        <v>77</v>
      </c>
      <c r="G5815" s="28" t="s">
        <v>77</v>
      </c>
      <c r="I5815" s="26" t="s">
        <v>77</v>
      </c>
      <c r="J5815" s="26" t="s">
        <v>77</v>
      </c>
      <c r="K5815" s="18"/>
      <c r="L5815" s="26" t="s">
        <v>77</v>
      </c>
      <c r="M5815" s="6" t="s">
        <v>77</v>
      </c>
      <c r="N5815" s="28" t="s">
        <v>77</v>
      </c>
      <c r="O5815" s="26" t="s">
        <v>77</v>
      </c>
    </row>
    <row r="5816">
      <c r="A5816" s="52" t="s">
        <v>77</v>
      </c>
      <c r="B5816" s="28" t="s">
        <v>77</v>
      </c>
      <c r="C5816" s="28" t="s">
        <v>77</v>
      </c>
      <c r="D5816" s="28" t="s">
        <v>77</v>
      </c>
      <c r="E5816" s="28" t="s">
        <v>77</v>
      </c>
      <c r="F5816" s="28" t="s">
        <v>77</v>
      </c>
      <c r="G5816" s="28" t="s">
        <v>77</v>
      </c>
      <c r="I5816" s="26" t="s">
        <v>77</v>
      </c>
      <c r="J5816" s="26" t="s">
        <v>77</v>
      </c>
      <c r="K5816" s="18"/>
      <c r="L5816" s="26" t="s">
        <v>77</v>
      </c>
      <c r="M5816" s="6" t="s">
        <v>77</v>
      </c>
      <c r="N5816" s="28" t="s">
        <v>77</v>
      </c>
      <c r="O5816" s="26" t="s">
        <v>77</v>
      </c>
    </row>
    <row r="5817">
      <c r="A5817" s="52" t="s">
        <v>77</v>
      </c>
      <c r="B5817" s="28" t="s">
        <v>77</v>
      </c>
      <c r="C5817" s="28" t="s">
        <v>77</v>
      </c>
      <c r="D5817" s="28" t="s">
        <v>77</v>
      </c>
      <c r="E5817" s="28" t="s">
        <v>77</v>
      </c>
      <c r="F5817" s="28" t="s">
        <v>77</v>
      </c>
      <c r="G5817" s="28" t="s">
        <v>77</v>
      </c>
      <c r="I5817" s="26" t="s">
        <v>77</v>
      </c>
      <c r="J5817" s="26" t="s">
        <v>77</v>
      </c>
      <c r="K5817" s="18"/>
      <c r="L5817" s="26" t="s">
        <v>77</v>
      </c>
      <c r="M5817" s="6" t="s">
        <v>77</v>
      </c>
      <c r="N5817" s="28" t="s">
        <v>77</v>
      </c>
      <c r="O5817" s="26" t="s">
        <v>77</v>
      </c>
    </row>
    <row r="5818">
      <c r="A5818" s="52" t="s">
        <v>77</v>
      </c>
      <c r="B5818" s="28" t="s">
        <v>77</v>
      </c>
      <c r="C5818" s="28" t="s">
        <v>77</v>
      </c>
      <c r="D5818" s="28" t="s">
        <v>77</v>
      </c>
      <c r="E5818" s="28" t="s">
        <v>77</v>
      </c>
      <c r="F5818" s="28" t="s">
        <v>77</v>
      </c>
      <c r="G5818" s="28" t="s">
        <v>77</v>
      </c>
      <c r="I5818" s="26" t="s">
        <v>77</v>
      </c>
      <c r="J5818" s="26" t="s">
        <v>77</v>
      </c>
      <c r="K5818" s="18"/>
      <c r="L5818" s="26" t="s">
        <v>77</v>
      </c>
      <c r="M5818" s="6" t="s">
        <v>77</v>
      </c>
      <c r="N5818" s="28" t="s">
        <v>77</v>
      </c>
      <c r="O5818" s="26" t="s">
        <v>77</v>
      </c>
    </row>
    <row r="5819">
      <c r="A5819" s="52" t="s">
        <v>77</v>
      </c>
      <c r="B5819" s="28" t="s">
        <v>77</v>
      </c>
      <c r="C5819" s="28" t="s">
        <v>77</v>
      </c>
      <c r="D5819" s="28" t="s">
        <v>77</v>
      </c>
      <c r="E5819" s="28" t="s">
        <v>77</v>
      </c>
      <c r="F5819" s="28" t="s">
        <v>77</v>
      </c>
      <c r="G5819" s="28" t="s">
        <v>77</v>
      </c>
      <c r="I5819" s="26" t="s">
        <v>77</v>
      </c>
      <c r="J5819" s="26" t="s">
        <v>77</v>
      </c>
      <c r="K5819" s="18"/>
      <c r="L5819" s="26" t="s">
        <v>77</v>
      </c>
      <c r="M5819" s="6" t="s">
        <v>77</v>
      </c>
      <c r="N5819" s="28" t="s">
        <v>77</v>
      </c>
      <c r="O5819" s="26" t="s">
        <v>77</v>
      </c>
    </row>
    <row r="5820">
      <c r="A5820" s="52" t="s">
        <v>77</v>
      </c>
      <c r="B5820" s="28" t="s">
        <v>77</v>
      </c>
      <c r="C5820" s="28" t="s">
        <v>77</v>
      </c>
      <c r="D5820" s="28" t="s">
        <v>77</v>
      </c>
      <c r="E5820" s="28" t="s">
        <v>77</v>
      </c>
      <c r="F5820" s="28" t="s">
        <v>77</v>
      </c>
      <c r="G5820" s="28" t="s">
        <v>77</v>
      </c>
      <c r="I5820" s="26" t="s">
        <v>77</v>
      </c>
      <c r="J5820" s="26" t="s">
        <v>77</v>
      </c>
      <c r="K5820" s="18"/>
      <c r="L5820" s="26" t="s">
        <v>77</v>
      </c>
      <c r="M5820" s="6" t="s">
        <v>77</v>
      </c>
      <c r="N5820" s="28" t="s">
        <v>77</v>
      </c>
      <c r="O5820" s="26" t="s">
        <v>77</v>
      </c>
    </row>
    <row r="5821">
      <c r="A5821" s="52" t="s">
        <v>77</v>
      </c>
      <c r="B5821" s="28" t="s">
        <v>77</v>
      </c>
      <c r="C5821" s="28" t="s">
        <v>77</v>
      </c>
      <c r="D5821" s="28" t="s">
        <v>77</v>
      </c>
      <c r="E5821" s="28" t="s">
        <v>77</v>
      </c>
      <c r="F5821" s="28" t="s">
        <v>77</v>
      </c>
      <c r="G5821" s="28" t="s">
        <v>77</v>
      </c>
      <c r="I5821" s="26" t="s">
        <v>77</v>
      </c>
      <c r="J5821" s="26" t="s">
        <v>77</v>
      </c>
      <c r="K5821" s="18"/>
      <c r="L5821" s="26" t="s">
        <v>77</v>
      </c>
      <c r="M5821" s="6" t="s">
        <v>77</v>
      </c>
      <c r="N5821" s="28" t="s">
        <v>77</v>
      </c>
      <c r="O5821" s="26" t="s">
        <v>77</v>
      </c>
    </row>
    <row r="5822">
      <c r="A5822" s="52" t="s">
        <v>77</v>
      </c>
      <c r="B5822" s="28" t="s">
        <v>77</v>
      </c>
      <c r="C5822" s="28" t="s">
        <v>77</v>
      </c>
      <c r="D5822" s="28" t="s">
        <v>77</v>
      </c>
      <c r="E5822" s="28" t="s">
        <v>77</v>
      </c>
      <c r="F5822" s="28" t="s">
        <v>77</v>
      </c>
      <c r="G5822" s="28" t="s">
        <v>77</v>
      </c>
      <c r="I5822" s="26" t="s">
        <v>77</v>
      </c>
      <c r="J5822" s="26" t="s">
        <v>77</v>
      </c>
      <c r="K5822" s="18"/>
      <c r="L5822" s="26" t="s">
        <v>77</v>
      </c>
      <c r="M5822" s="6" t="s">
        <v>77</v>
      </c>
      <c r="N5822" s="28" t="s">
        <v>77</v>
      </c>
      <c r="O5822" s="26" t="s">
        <v>77</v>
      </c>
    </row>
    <row r="5823">
      <c r="A5823" s="52" t="s">
        <v>77</v>
      </c>
      <c r="B5823" s="28" t="s">
        <v>77</v>
      </c>
      <c r="C5823" s="28" t="s">
        <v>77</v>
      </c>
      <c r="D5823" s="28" t="s">
        <v>77</v>
      </c>
      <c r="E5823" s="28" t="s">
        <v>77</v>
      </c>
      <c r="F5823" s="28" t="s">
        <v>77</v>
      </c>
      <c r="G5823" s="28" t="s">
        <v>77</v>
      </c>
      <c r="I5823" s="26" t="s">
        <v>77</v>
      </c>
      <c r="J5823" s="26" t="s">
        <v>77</v>
      </c>
      <c r="K5823" s="18"/>
      <c r="L5823" s="26" t="s">
        <v>77</v>
      </c>
      <c r="M5823" s="6" t="s">
        <v>77</v>
      </c>
      <c r="N5823" s="28" t="s">
        <v>77</v>
      </c>
      <c r="O5823" s="26" t="s">
        <v>77</v>
      </c>
    </row>
    <row r="5824">
      <c r="A5824" s="52" t="s">
        <v>77</v>
      </c>
      <c r="B5824" s="28" t="s">
        <v>77</v>
      </c>
      <c r="C5824" s="28" t="s">
        <v>77</v>
      </c>
      <c r="D5824" s="28" t="s">
        <v>77</v>
      </c>
      <c r="E5824" s="28" t="s">
        <v>77</v>
      </c>
      <c r="F5824" s="28" t="s">
        <v>77</v>
      </c>
      <c r="G5824" s="28" t="s">
        <v>77</v>
      </c>
      <c r="I5824" s="26" t="s">
        <v>77</v>
      </c>
      <c r="J5824" s="26" t="s">
        <v>77</v>
      </c>
      <c r="K5824" s="18"/>
      <c r="L5824" s="26" t="s">
        <v>77</v>
      </c>
      <c r="M5824" s="6" t="s">
        <v>77</v>
      </c>
      <c r="N5824" s="28" t="s">
        <v>77</v>
      </c>
      <c r="O5824" s="26" t="s">
        <v>77</v>
      </c>
    </row>
    <row r="5825">
      <c r="A5825" s="52" t="s">
        <v>77</v>
      </c>
      <c r="B5825" s="28" t="s">
        <v>77</v>
      </c>
      <c r="C5825" s="28" t="s">
        <v>77</v>
      </c>
      <c r="D5825" s="28" t="s">
        <v>77</v>
      </c>
      <c r="E5825" s="28" t="s">
        <v>77</v>
      </c>
      <c r="F5825" s="28" t="s">
        <v>77</v>
      </c>
      <c r="G5825" s="28" t="s">
        <v>77</v>
      </c>
      <c r="I5825" s="26" t="s">
        <v>77</v>
      </c>
      <c r="J5825" s="26" t="s">
        <v>77</v>
      </c>
      <c r="K5825" s="18"/>
      <c r="L5825" s="26" t="s">
        <v>77</v>
      </c>
      <c r="M5825" s="6" t="s">
        <v>77</v>
      </c>
      <c r="N5825" s="28" t="s">
        <v>77</v>
      </c>
      <c r="O5825" s="26" t="s">
        <v>77</v>
      </c>
    </row>
    <row r="5826">
      <c r="A5826" s="52" t="s">
        <v>77</v>
      </c>
      <c r="B5826" s="28" t="s">
        <v>77</v>
      </c>
      <c r="C5826" s="28" t="s">
        <v>77</v>
      </c>
      <c r="D5826" s="28" t="s">
        <v>77</v>
      </c>
      <c r="E5826" s="28" t="s">
        <v>77</v>
      </c>
      <c r="F5826" s="28" t="s">
        <v>77</v>
      </c>
      <c r="G5826" s="28" t="s">
        <v>77</v>
      </c>
      <c r="I5826" s="26" t="s">
        <v>77</v>
      </c>
      <c r="J5826" s="26" t="s">
        <v>77</v>
      </c>
      <c r="K5826" s="18"/>
      <c r="L5826" s="26" t="s">
        <v>77</v>
      </c>
      <c r="M5826" s="6" t="s">
        <v>77</v>
      </c>
      <c r="N5826" s="28" t="s">
        <v>77</v>
      </c>
      <c r="O5826" s="26" t="s">
        <v>77</v>
      </c>
    </row>
    <row r="5827">
      <c r="A5827" s="52" t="s">
        <v>77</v>
      </c>
      <c r="B5827" s="28" t="s">
        <v>77</v>
      </c>
      <c r="C5827" s="28" t="s">
        <v>77</v>
      </c>
      <c r="D5827" s="28" t="s">
        <v>77</v>
      </c>
      <c r="E5827" s="28" t="s">
        <v>77</v>
      </c>
      <c r="F5827" s="28" t="s">
        <v>77</v>
      </c>
      <c r="G5827" s="28" t="s">
        <v>77</v>
      </c>
      <c r="I5827" s="26" t="s">
        <v>77</v>
      </c>
      <c r="J5827" s="26" t="s">
        <v>77</v>
      </c>
      <c r="K5827" s="18"/>
      <c r="L5827" s="26" t="s">
        <v>77</v>
      </c>
      <c r="M5827" s="6" t="s">
        <v>77</v>
      </c>
      <c r="N5827" s="28" t="s">
        <v>77</v>
      </c>
      <c r="O5827" s="26" t="s">
        <v>77</v>
      </c>
    </row>
    <row r="5828">
      <c r="A5828" s="52" t="s">
        <v>77</v>
      </c>
      <c r="B5828" s="28" t="s">
        <v>77</v>
      </c>
      <c r="C5828" s="28" t="s">
        <v>77</v>
      </c>
      <c r="D5828" s="28" t="s">
        <v>77</v>
      </c>
      <c r="E5828" s="28" t="s">
        <v>77</v>
      </c>
      <c r="F5828" s="28" t="s">
        <v>77</v>
      </c>
      <c r="G5828" s="28" t="s">
        <v>77</v>
      </c>
      <c r="I5828" s="26" t="s">
        <v>77</v>
      </c>
      <c r="J5828" s="26" t="s">
        <v>77</v>
      </c>
      <c r="K5828" s="18"/>
      <c r="L5828" s="26" t="s">
        <v>77</v>
      </c>
      <c r="M5828" s="6" t="s">
        <v>77</v>
      </c>
      <c r="N5828" s="28" t="s">
        <v>77</v>
      </c>
      <c r="O5828" s="26" t="s">
        <v>77</v>
      </c>
    </row>
    <row r="5829">
      <c r="A5829" s="52" t="s">
        <v>77</v>
      </c>
      <c r="B5829" s="28" t="s">
        <v>77</v>
      </c>
      <c r="C5829" s="28" t="s">
        <v>77</v>
      </c>
      <c r="D5829" s="28" t="s">
        <v>77</v>
      </c>
      <c r="E5829" s="28" t="s">
        <v>77</v>
      </c>
      <c r="F5829" s="28" t="s">
        <v>77</v>
      </c>
      <c r="G5829" s="28" t="s">
        <v>77</v>
      </c>
      <c r="I5829" s="26" t="s">
        <v>77</v>
      </c>
      <c r="J5829" s="26" t="s">
        <v>77</v>
      </c>
      <c r="K5829" s="18"/>
      <c r="L5829" s="26" t="s">
        <v>77</v>
      </c>
      <c r="M5829" s="6" t="s">
        <v>77</v>
      </c>
      <c r="N5829" s="28" t="s">
        <v>77</v>
      </c>
      <c r="O5829" s="26" t="s">
        <v>77</v>
      </c>
    </row>
    <row r="5830">
      <c r="A5830" s="52" t="s">
        <v>77</v>
      </c>
      <c r="B5830" s="28" t="s">
        <v>77</v>
      </c>
      <c r="C5830" s="28" t="s">
        <v>77</v>
      </c>
      <c r="D5830" s="28" t="s">
        <v>77</v>
      </c>
      <c r="E5830" s="28" t="s">
        <v>77</v>
      </c>
      <c r="F5830" s="28" t="s">
        <v>77</v>
      </c>
      <c r="G5830" s="28" t="s">
        <v>77</v>
      </c>
      <c r="I5830" s="26" t="s">
        <v>77</v>
      </c>
      <c r="J5830" s="26" t="s">
        <v>77</v>
      </c>
      <c r="K5830" s="18"/>
      <c r="L5830" s="26" t="s">
        <v>77</v>
      </c>
      <c r="M5830" s="6" t="s">
        <v>77</v>
      </c>
      <c r="N5830" s="28" t="s">
        <v>77</v>
      </c>
      <c r="O5830" s="26" t="s">
        <v>77</v>
      </c>
    </row>
    <row r="5831">
      <c r="A5831" s="52" t="s">
        <v>77</v>
      </c>
      <c r="B5831" s="28" t="s">
        <v>77</v>
      </c>
      <c r="C5831" s="28" t="s">
        <v>77</v>
      </c>
      <c r="D5831" s="28" t="s">
        <v>77</v>
      </c>
      <c r="E5831" s="28" t="s">
        <v>77</v>
      </c>
      <c r="F5831" s="28" t="s">
        <v>77</v>
      </c>
      <c r="G5831" s="28" t="s">
        <v>77</v>
      </c>
      <c r="I5831" s="26" t="s">
        <v>77</v>
      </c>
      <c r="J5831" s="26" t="s">
        <v>77</v>
      </c>
      <c r="K5831" s="18"/>
      <c r="L5831" s="26" t="s">
        <v>77</v>
      </c>
      <c r="M5831" s="6" t="s">
        <v>77</v>
      </c>
      <c r="N5831" s="28" t="s">
        <v>77</v>
      </c>
      <c r="O5831" s="26" t="s">
        <v>77</v>
      </c>
    </row>
    <row r="5832">
      <c r="A5832" s="52" t="s">
        <v>77</v>
      </c>
      <c r="B5832" s="28" t="s">
        <v>77</v>
      </c>
      <c r="C5832" s="28" t="s">
        <v>77</v>
      </c>
      <c r="D5832" s="28" t="s">
        <v>77</v>
      </c>
      <c r="E5832" s="28" t="s">
        <v>77</v>
      </c>
      <c r="F5832" s="28" t="s">
        <v>77</v>
      </c>
      <c r="G5832" s="28" t="s">
        <v>77</v>
      </c>
      <c r="I5832" s="26" t="s">
        <v>77</v>
      </c>
      <c r="J5832" s="26" t="s">
        <v>77</v>
      </c>
      <c r="K5832" s="18"/>
      <c r="L5832" s="26" t="s">
        <v>77</v>
      </c>
      <c r="M5832" s="6" t="s">
        <v>77</v>
      </c>
      <c r="N5832" s="28" t="s">
        <v>77</v>
      </c>
      <c r="O5832" s="26" t="s">
        <v>77</v>
      </c>
    </row>
    <row r="5833">
      <c r="A5833" s="52" t="s">
        <v>77</v>
      </c>
      <c r="B5833" s="28" t="s">
        <v>77</v>
      </c>
      <c r="C5833" s="28" t="s">
        <v>77</v>
      </c>
      <c r="D5833" s="28" t="s">
        <v>77</v>
      </c>
      <c r="E5833" s="28" t="s">
        <v>77</v>
      </c>
      <c r="F5833" s="28" t="s">
        <v>77</v>
      </c>
      <c r="G5833" s="28" t="s">
        <v>77</v>
      </c>
      <c r="I5833" s="26" t="s">
        <v>77</v>
      </c>
      <c r="J5833" s="26" t="s">
        <v>77</v>
      </c>
      <c r="K5833" s="18"/>
      <c r="L5833" s="26" t="s">
        <v>77</v>
      </c>
      <c r="M5833" s="6" t="s">
        <v>77</v>
      </c>
      <c r="N5833" s="28" t="s">
        <v>77</v>
      </c>
      <c r="O5833" s="26" t="s">
        <v>77</v>
      </c>
    </row>
    <row r="5834">
      <c r="A5834" s="52" t="s">
        <v>77</v>
      </c>
      <c r="B5834" s="28" t="s">
        <v>77</v>
      </c>
      <c r="C5834" s="28" t="s">
        <v>77</v>
      </c>
      <c r="D5834" s="28" t="s">
        <v>77</v>
      </c>
      <c r="E5834" s="28" t="s">
        <v>77</v>
      </c>
      <c r="F5834" s="28" t="s">
        <v>77</v>
      </c>
      <c r="G5834" s="28" t="s">
        <v>77</v>
      </c>
      <c r="I5834" s="26" t="s">
        <v>77</v>
      </c>
      <c r="J5834" s="26" t="s">
        <v>77</v>
      </c>
      <c r="K5834" s="18"/>
      <c r="L5834" s="26" t="s">
        <v>77</v>
      </c>
      <c r="M5834" s="6" t="s">
        <v>77</v>
      </c>
      <c r="N5834" s="28" t="s">
        <v>77</v>
      </c>
      <c r="O5834" s="26" t="s">
        <v>77</v>
      </c>
    </row>
    <row r="5835">
      <c r="A5835" s="52" t="s">
        <v>77</v>
      </c>
      <c r="B5835" s="28" t="s">
        <v>77</v>
      </c>
      <c r="C5835" s="28" t="s">
        <v>77</v>
      </c>
      <c r="D5835" s="28" t="s">
        <v>77</v>
      </c>
      <c r="E5835" s="28" t="s">
        <v>77</v>
      </c>
      <c r="F5835" s="28" t="s">
        <v>77</v>
      </c>
      <c r="G5835" s="28" t="s">
        <v>77</v>
      </c>
      <c r="I5835" s="26" t="s">
        <v>77</v>
      </c>
      <c r="J5835" s="26" t="s">
        <v>77</v>
      </c>
      <c r="K5835" s="18"/>
      <c r="L5835" s="26" t="s">
        <v>77</v>
      </c>
      <c r="M5835" s="6" t="s">
        <v>77</v>
      </c>
      <c r="N5835" s="28" t="s">
        <v>77</v>
      </c>
      <c r="O5835" s="26" t="s">
        <v>77</v>
      </c>
    </row>
    <row r="5836">
      <c r="A5836" s="52" t="s">
        <v>77</v>
      </c>
      <c r="B5836" s="28" t="s">
        <v>77</v>
      </c>
      <c r="C5836" s="28" t="s">
        <v>77</v>
      </c>
      <c r="D5836" s="28" t="s">
        <v>77</v>
      </c>
      <c r="E5836" s="28" t="s">
        <v>77</v>
      </c>
      <c r="F5836" s="28" t="s">
        <v>77</v>
      </c>
      <c r="G5836" s="28" t="s">
        <v>77</v>
      </c>
      <c r="I5836" s="26" t="s">
        <v>77</v>
      </c>
      <c r="J5836" s="26" t="s">
        <v>77</v>
      </c>
      <c r="K5836" s="18"/>
      <c r="L5836" s="26" t="s">
        <v>77</v>
      </c>
      <c r="M5836" s="6" t="s">
        <v>77</v>
      </c>
      <c r="N5836" s="28" t="s">
        <v>77</v>
      </c>
      <c r="O5836" s="26" t="s">
        <v>77</v>
      </c>
    </row>
    <row r="5837">
      <c r="A5837" s="52" t="s">
        <v>77</v>
      </c>
      <c r="B5837" s="28" t="s">
        <v>77</v>
      </c>
      <c r="C5837" s="28" t="s">
        <v>77</v>
      </c>
      <c r="D5837" s="28" t="s">
        <v>77</v>
      </c>
      <c r="E5837" s="28" t="s">
        <v>77</v>
      </c>
      <c r="F5837" s="28" t="s">
        <v>77</v>
      </c>
      <c r="G5837" s="28" t="s">
        <v>77</v>
      </c>
      <c r="I5837" s="26" t="s">
        <v>77</v>
      </c>
      <c r="J5837" s="26" t="s">
        <v>77</v>
      </c>
      <c r="K5837" s="18"/>
      <c r="L5837" s="26" t="s">
        <v>77</v>
      </c>
      <c r="M5837" s="6" t="s">
        <v>77</v>
      </c>
      <c r="N5837" s="28" t="s">
        <v>77</v>
      </c>
      <c r="O5837" s="26" t="s">
        <v>77</v>
      </c>
    </row>
    <row r="5838">
      <c r="A5838" s="52" t="s">
        <v>77</v>
      </c>
      <c r="B5838" s="28" t="s">
        <v>77</v>
      </c>
      <c r="C5838" s="28" t="s">
        <v>77</v>
      </c>
      <c r="D5838" s="28" t="s">
        <v>77</v>
      </c>
      <c r="E5838" s="28" t="s">
        <v>77</v>
      </c>
      <c r="F5838" s="28" t="s">
        <v>77</v>
      </c>
      <c r="G5838" s="28" t="s">
        <v>77</v>
      </c>
      <c r="I5838" s="26" t="s">
        <v>77</v>
      </c>
      <c r="J5838" s="26" t="s">
        <v>77</v>
      </c>
      <c r="K5838" s="18"/>
      <c r="L5838" s="26" t="s">
        <v>77</v>
      </c>
      <c r="M5838" s="6" t="s">
        <v>77</v>
      </c>
      <c r="N5838" s="28" t="s">
        <v>77</v>
      </c>
      <c r="O5838" s="26" t="s">
        <v>77</v>
      </c>
    </row>
    <row r="5839">
      <c r="A5839" s="52" t="s">
        <v>77</v>
      </c>
      <c r="B5839" s="28" t="s">
        <v>77</v>
      </c>
      <c r="C5839" s="28" t="s">
        <v>77</v>
      </c>
      <c r="D5839" s="28" t="s">
        <v>77</v>
      </c>
      <c r="E5839" s="28" t="s">
        <v>77</v>
      </c>
      <c r="F5839" s="28" t="s">
        <v>77</v>
      </c>
      <c r="G5839" s="28" t="s">
        <v>77</v>
      </c>
      <c r="I5839" s="26" t="s">
        <v>77</v>
      </c>
      <c r="J5839" s="26" t="s">
        <v>77</v>
      </c>
      <c r="K5839" s="18"/>
      <c r="L5839" s="26" t="s">
        <v>77</v>
      </c>
      <c r="M5839" s="6" t="s">
        <v>77</v>
      </c>
      <c r="N5839" s="28" t="s">
        <v>77</v>
      </c>
      <c r="O5839" s="26" t="s">
        <v>77</v>
      </c>
    </row>
    <row r="5840">
      <c r="A5840" s="52" t="s">
        <v>77</v>
      </c>
      <c r="B5840" s="28" t="s">
        <v>77</v>
      </c>
      <c r="C5840" s="28" t="s">
        <v>77</v>
      </c>
      <c r="D5840" s="28" t="s">
        <v>77</v>
      </c>
      <c r="E5840" s="28" t="s">
        <v>77</v>
      </c>
      <c r="F5840" s="28" t="s">
        <v>77</v>
      </c>
      <c r="G5840" s="28" t="s">
        <v>77</v>
      </c>
      <c r="I5840" s="26" t="s">
        <v>77</v>
      </c>
      <c r="J5840" s="26" t="s">
        <v>77</v>
      </c>
      <c r="K5840" s="18"/>
      <c r="L5840" s="26" t="s">
        <v>77</v>
      </c>
      <c r="M5840" s="6" t="s">
        <v>77</v>
      </c>
      <c r="N5840" s="28" t="s">
        <v>77</v>
      </c>
      <c r="O5840" s="26" t="s">
        <v>77</v>
      </c>
    </row>
    <row r="5841">
      <c r="A5841" s="52" t="s">
        <v>77</v>
      </c>
      <c r="B5841" s="28" t="s">
        <v>77</v>
      </c>
      <c r="C5841" s="28" t="s">
        <v>77</v>
      </c>
      <c r="D5841" s="28" t="s">
        <v>77</v>
      </c>
      <c r="E5841" s="28" t="s">
        <v>77</v>
      </c>
      <c r="F5841" s="28" t="s">
        <v>77</v>
      </c>
      <c r="G5841" s="28" t="s">
        <v>77</v>
      </c>
      <c r="I5841" s="26" t="s">
        <v>77</v>
      </c>
      <c r="J5841" s="26" t="s">
        <v>77</v>
      </c>
      <c r="K5841" s="18"/>
      <c r="L5841" s="26" t="s">
        <v>77</v>
      </c>
      <c r="M5841" s="6" t="s">
        <v>77</v>
      </c>
      <c r="N5841" s="28" t="s">
        <v>77</v>
      </c>
      <c r="O5841" s="26" t="s">
        <v>77</v>
      </c>
    </row>
    <row r="5842">
      <c r="A5842" s="52" t="s">
        <v>77</v>
      </c>
      <c r="B5842" s="28" t="s">
        <v>77</v>
      </c>
      <c r="C5842" s="28" t="s">
        <v>77</v>
      </c>
      <c r="D5842" s="28" t="s">
        <v>77</v>
      </c>
      <c r="E5842" s="28" t="s">
        <v>77</v>
      </c>
      <c r="F5842" s="28" t="s">
        <v>77</v>
      </c>
      <c r="G5842" s="28" t="s">
        <v>77</v>
      </c>
      <c r="I5842" s="26" t="s">
        <v>77</v>
      </c>
      <c r="J5842" s="26" t="s">
        <v>77</v>
      </c>
      <c r="K5842" s="18"/>
      <c r="L5842" s="26" t="s">
        <v>77</v>
      </c>
      <c r="M5842" s="6" t="s">
        <v>77</v>
      </c>
      <c r="N5842" s="28" t="s">
        <v>77</v>
      </c>
      <c r="O5842" s="26" t="s">
        <v>77</v>
      </c>
    </row>
    <row r="5843">
      <c r="A5843" s="52" t="s">
        <v>77</v>
      </c>
      <c r="B5843" s="28" t="s">
        <v>77</v>
      </c>
      <c r="C5843" s="28" t="s">
        <v>77</v>
      </c>
      <c r="D5843" s="28" t="s">
        <v>77</v>
      </c>
      <c r="E5843" s="28" t="s">
        <v>77</v>
      </c>
      <c r="F5843" s="28" t="s">
        <v>77</v>
      </c>
      <c r="G5843" s="28" t="s">
        <v>77</v>
      </c>
      <c r="I5843" s="26" t="s">
        <v>77</v>
      </c>
      <c r="J5843" s="26" t="s">
        <v>77</v>
      </c>
      <c r="K5843" s="18"/>
      <c r="L5843" s="26" t="s">
        <v>77</v>
      </c>
      <c r="M5843" s="6" t="s">
        <v>77</v>
      </c>
      <c r="N5843" s="28" t="s">
        <v>77</v>
      </c>
      <c r="O5843" s="26" t="s">
        <v>77</v>
      </c>
    </row>
    <row r="5844">
      <c r="A5844" s="52" t="s">
        <v>77</v>
      </c>
      <c r="B5844" s="28" t="s">
        <v>77</v>
      </c>
      <c r="C5844" s="28" t="s">
        <v>77</v>
      </c>
      <c r="D5844" s="28" t="s">
        <v>77</v>
      </c>
      <c r="E5844" s="28" t="s">
        <v>77</v>
      </c>
      <c r="F5844" s="28" t="s">
        <v>77</v>
      </c>
      <c r="G5844" s="28" t="s">
        <v>77</v>
      </c>
      <c r="I5844" s="26" t="s">
        <v>77</v>
      </c>
      <c r="J5844" s="26" t="s">
        <v>77</v>
      </c>
      <c r="K5844" s="18"/>
      <c r="L5844" s="26" t="s">
        <v>77</v>
      </c>
      <c r="M5844" s="6" t="s">
        <v>77</v>
      </c>
      <c r="N5844" s="28" t="s">
        <v>77</v>
      </c>
      <c r="O5844" s="26" t="s">
        <v>77</v>
      </c>
    </row>
    <row r="5845">
      <c r="A5845" s="52" t="s">
        <v>77</v>
      </c>
      <c r="B5845" s="28" t="s">
        <v>77</v>
      </c>
      <c r="C5845" s="28" t="s">
        <v>77</v>
      </c>
      <c r="D5845" s="28" t="s">
        <v>77</v>
      </c>
      <c r="E5845" s="28" t="s">
        <v>77</v>
      </c>
      <c r="F5845" s="28" t="s">
        <v>77</v>
      </c>
      <c r="G5845" s="28" t="s">
        <v>77</v>
      </c>
      <c r="I5845" s="26" t="s">
        <v>77</v>
      </c>
      <c r="J5845" s="26" t="s">
        <v>77</v>
      </c>
      <c r="K5845" s="18"/>
      <c r="L5845" s="26" t="s">
        <v>77</v>
      </c>
      <c r="M5845" s="6" t="s">
        <v>77</v>
      </c>
      <c r="N5845" s="28" t="s">
        <v>77</v>
      </c>
      <c r="O5845" s="26" t="s">
        <v>77</v>
      </c>
    </row>
    <row r="5846">
      <c r="A5846" s="52" t="s">
        <v>77</v>
      </c>
      <c r="B5846" s="28" t="s">
        <v>77</v>
      </c>
      <c r="C5846" s="28" t="s">
        <v>77</v>
      </c>
      <c r="D5846" s="28" t="s">
        <v>77</v>
      </c>
      <c r="E5846" s="28" t="s">
        <v>77</v>
      </c>
      <c r="F5846" s="28" t="s">
        <v>77</v>
      </c>
      <c r="G5846" s="28" t="s">
        <v>77</v>
      </c>
      <c r="I5846" s="26" t="s">
        <v>77</v>
      </c>
      <c r="J5846" s="26" t="s">
        <v>77</v>
      </c>
      <c r="K5846" s="18"/>
      <c r="L5846" s="26" t="s">
        <v>77</v>
      </c>
      <c r="M5846" s="6" t="s">
        <v>77</v>
      </c>
      <c r="N5846" s="28" t="s">
        <v>77</v>
      </c>
      <c r="O5846" s="26" t="s">
        <v>77</v>
      </c>
    </row>
    <row r="5847">
      <c r="A5847" s="52" t="s">
        <v>77</v>
      </c>
      <c r="B5847" s="28" t="s">
        <v>77</v>
      </c>
      <c r="C5847" s="28" t="s">
        <v>77</v>
      </c>
      <c r="D5847" s="28" t="s">
        <v>77</v>
      </c>
      <c r="E5847" s="28" t="s">
        <v>77</v>
      </c>
      <c r="F5847" s="28" t="s">
        <v>77</v>
      </c>
      <c r="G5847" s="28" t="s">
        <v>77</v>
      </c>
      <c r="I5847" s="26" t="s">
        <v>77</v>
      </c>
      <c r="J5847" s="26" t="s">
        <v>77</v>
      </c>
      <c r="K5847" s="18"/>
      <c r="L5847" s="26" t="s">
        <v>77</v>
      </c>
      <c r="M5847" s="6" t="s">
        <v>77</v>
      </c>
      <c r="N5847" s="28" t="s">
        <v>77</v>
      </c>
      <c r="O5847" s="26" t="s">
        <v>77</v>
      </c>
    </row>
    <row r="5848">
      <c r="A5848" s="52" t="s">
        <v>77</v>
      </c>
      <c r="B5848" s="28" t="s">
        <v>77</v>
      </c>
      <c r="C5848" s="28" t="s">
        <v>77</v>
      </c>
      <c r="D5848" s="28" t="s">
        <v>77</v>
      </c>
      <c r="E5848" s="28" t="s">
        <v>77</v>
      </c>
      <c r="F5848" s="28" t="s">
        <v>77</v>
      </c>
      <c r="G5848" s="28" t="s">
        <v>77</v>
      </c>
      <c r="I5848" s="26" t="s">
        <v>77</v>
      </c>
      <c r="J5848" s="26" t="s">
        <v>77</v>
      </c>
      <c r="K5848" s="18"/>
      <c r="L5848" s="26" t="s">
        <v>77</v>
      </c>
      <c r="M5848" s="6" t="s">
        <v>77</v>
      </c>
      <c r="N5848" s="28" t="s">
        <v>77</v>
      </c>
      <c r="O5848" s="26" t="s">
        <v>77</v>
      </c>
    </row>
    <row r="5849">
      <c r="A5849" s="52" t="s">
        <v>77</v>
      </c>
      <c r="B5849" s="28" t="s">
        <v>77</v>
      </c>
      <c r="C5849" s="28" t="s">
        <v>77</v>
      </c>
      <c r="D5849" s="28" t="s">
        <v>77</v>
      </c>
      <c r="E5849" s="28" t="s">
        <v>77</v>
      </c>
      <c r="F5849" s="28" t="s">
        <v>77</v>
      </c>
      <c r="G5849" s="28" t="s">
        <v>77</v>
      </c>
      <c r="I5849" s="26" t="s">
        <v>77</v>
      </c>
      <c r="J5849" s="26" t="s">
        <v>77</v>
      </c>
      <c r="K5849" s="18"/>
      <c r="L5849" s="26" t="s">
        <v>77</v>
      </c>
      <c r="M5849" s="6" t="s">
        <v>77</v>
      </c>
      <c r="N5849" s="28" t="s">
        <v>77</v>
      </c>
      <c r="O5849" s="26" t="s">
        <v>77</v>
      </c>
    </row>
    <row r="5850">
      <c r="A5850" s="52" t="s">
        <v>77</v>
      </c>
      <c r="B5850" s="28" t="s">
        <v>77</v>
      </c>
      <c r="C5850" s="28" t="s">
        <v>77</v>
      </c>
      <c r="D5850" s="28" t="s">
        <v>77</v>
      </c>
      <c r="E5850" s="28" t="s">
        <v>77</v>
      </c>
      <c r="F5850" s="28" t="s">
        <v>77</v>
      </c>
      <c r="G5850" s="28" t="s">
        <v>77</v>
      </c>
      <c r="I5850" s="26" t="s">
        <v>77</v>
      </c>
      <c r="J5850" s="26" t="s">
        <v>77</v>
      </c>
      <c r="K5850" s="18"/>
      <c r="L5850" s="26" t="s">
        <v>77</v>
      </c>
      <c r="M5850" s="6" t="s">
        <v>77</v>
      </c>
      <c r="N5850" s="28" t="s">
        <v>77</v>
      </c>
      <c r="O5850" s="26" t="s">
        <v>77</v>
      </c>
    </row>
    <row r="5851">
      <c r="A5851" s="52" t="s">
        <v>77</v>
      </c>
      <c r="B5851" s="28" t="s">
        <v>77</v>
      </c>
      <c r="C5851" s="28" t="s">
        <v>77</v>
      </c>
      <c r="D5851" s="28" t="s">
        <v>77</v>
      </c>
      <c r="E5851" s="28" t="s">
        <v>77</v>
      </c>
      <c r="F5851" s="28" t="s">
        <v>77</v>
      </c>
      <c r="G5851" s="28" t="s">
        <v>77</v>
      </c>
      <c r="I5851" s="26" t="s">
        <v>77</v>
      </c>
      <c r="J5851" s="26" t="s">
        <v>77</v>
      </c>
      <c r="K5851" s="18"/>
      <c r="L5851" s="26" t="s">
        <v>77</v>
      </c>
      <c r="M5851" s="6" t="s">
        <v>77</v>
      </c>
      <c r="N5851" s="28" t="s">
        <v>77</v>
      </c>
      <c r="O5851" s="26" t="s">
        <v>77</v>
      </c>
    </row>
    <row r="5852">
      <c r="A5852" s="52" t="s">
        <v>77</v>
      </c>
      <c r="B5852" s="28" t="s">
        <v>77</v>
      </c>
      <c r="C5852" s="28" t="s">
        <v>77</v>
      </c>
      <c r="D5852" s="28" t="s">
        <v>77</v>
      </c>
      <c r="E5852" s="28" t="s">
        <v>77</v>
      </c>
      <c r="F5852" s="28" t="s">
        <v>77</v>
      </c>
      <c r="G5852" s="28" t="s">
        <v>77</v>
      </c>
      <c r="I5852" s="26" t="s">
        <v>77</v>
      </c>
      <c r="J5852" s="26" t="s">
        <v>77</v>
      </c>
      <c r="K5852" s="18"/>
      <c r="L5852" s="26" t="s">
        <v>77</v>
      </c>
      <c r="M5852" s="6" t="s">
        <v>77</v>
      </c>
      <c r="N5852" s="28" t="s">
        <v>77</v>
      </c>
      <c r="O5852" s="26" t="s">
        <v>77</v>
      </c>
    </row>
    <row r="5853">
      <c r="A5853" s="52" t="s">
        <v>77</v>
      </c>
      <c r="B5853" s="28" t="s">
        <v>77</v>
      </c>
      <c r="C5853" s="28" t="s">
        <v>77</v>
      </c>
      <c r="D5853" s="28" t="s">
        <v>77</v>
      </c>
      <c r="E5853" s="28" t="s">
        <v>77</v>
      </c>
      <c r="F5853" s="28" t="s">
        <v>77</v>
      </c>
      <c r="G5853" s="28" t="s">
        <v>77</v>
      </c>
      <c r="I5853" s="26" t="s">
        <v>77</v>
      </c>
      <c r="J5853" s="26" t="s">
        <v>77</v>
      </c>
      <c r="K5853" s="18"/>
      <c r="L5853" s="26" t="s">
        <v>77</v>
      </c>
      <c r="M5853" s="6" t="s">
        <v>77</v>
      </c>
      <c r="N5853" s="28" t="s">
        <v>77</v>
      </c>
      <c r="O5853" s="26" t="s">
        <v>77</v>
      </c>
    </row>
    <row r="5854">
      <c r="A5854" s="52" t="s">
        <v>77</v>
      </c>
      <c r="B5854" s="28" t="s">
        <v>77</v>
      </c>
      <c r="C5854" s="28" t="s">
        <v>77</v>
      </c>
      <c r="D5854" s="28" t="s">
        <v>77</v>
      </c>
      <c r="E5854" s="28" t="s">
        <v>77</v>
      </c>
      <c r="F5854" s="28" t="s">
        <v>77</v>
      </c>
      <c r="G5854" s="28" t="s">
        <v>77</v>
      </c>
      <c r="I5854" s="26" t="s">
        <v>77</v>
      </c>
      <c r="J5854" s="26" t="s">
        <v>77</v>
      </c>
      <c r="K5854" s="18"/>
      <c r="L5854" s="26" t="s">
        <v>77</v>
      </c>
      <c r="M5854" s="6" t="s">
        <v>77</v>
      </c>
      <c r="N5854" s="28" t="s">
        <v>77</v>
      </c>
      <c r="O5854" s="26" t="s">
        <v>77</v>
      </c>
    </row>
    <row r="5855">
      <c r="A5855" s="52" t="s">
        <v>77</v>
      </c>
      <c r="B5855" s="28" t="s">
        <v>77</v>
      </c>
      <c r="C5855" s="28" t="s">
        <v>77</v>
      </c>
      <c r="D5855" s="28" t="s">
        <v>77</v>
      </c>
      <c r="E5855" s="28" t="s">
        <v>77</v>
      </c>
      <c r="F5855" s="28" t="s">
        <v>77</v>
      </c>
      <c r="G5855" s="28" t="s">
        <v>77</v>
      </c>
      <c r="I5855" s="26" t="s">
        <v>77</v>
      </c>
      <c r="J5855" s="26" t="s">
        <v>77</v>
      </c>
      <c r="K5855" s="18"/>
      <c r="L5855" s="26" t="s">
        <v>77</v>
      </c>
      <c r="M5855" s="6" t="s">
        <v>77</v>
      </c>
      <c r="N5855" s="28" t="s">
        <v>77</v>
      </c>
      <c r="O5855" s="26" t="s">
        <v>77</v>
      </c>
    </row>
    <row r="5856">
      <c r="A5856" s="52" t="s">
        <v>77</v>
      </c>
      <c r="B5856" s="28" t="s">
        <v>77</v>
      </c>
      <c r="C5856" s="28" t="s">
        <v>77</v>
      </c>
      <c r="D5856" s="28" t="s">
        <v>77</v>
      </c>
      <c r="E5856" s="28" t="s">
        <v>77</v>
      </c>
      <c r="F5856" s="28" t="s">
        <v>77</v>
      </c>
      <c r="G5856" s="28" t="s">
        <v>77</v>
      </c>
      <c r="I5856" s="26" t="s">
        <v>77</v>
      </c>
      <c r="J5856" s="26" t="s">
        <v>77</v>
      </c>
      <c r="K5856" s="18"/>
      <c r="L5856" s="26" t="s">
        <v>77</v>
      </c>
      <c r="M5856" s="6" t="s">
        <v>77</v>
      </c>
      <c r="N5856" s="28" t="s">
        <v>77</v>
      </c>
      <c r="O5856" s="26" t="s">
        <v>77</v>
      </c>
    </row>
    <row r="5857">
      <c r="A5857" s="52" t="s">
        <v>77</v>
      </c>
      <c r="B5857" s="28" t="s">
        <v>77</v>
      </c>
      <c r="C5857" s="28" t="s">
        <v>77</v>
      </c>
      <c r="D5857" s="28" t="s">
        <v>77</v>
      </c>
      <c r="E5857" s="28" t="s">
        <v>77</v>
      </c>
      <c r="F5857" s="28" t="s">
        <v>77</v>
      </c>
      <c r="G5857" s="28" t="s">
        <v>77</v>
      </c>
      <c r="I5857" s="26" t="s">
        <v>77</v>
      </c>
      <c r="J5857" s="26" t="s">
        <v>77</v>
      </c>
      <c r="K5857" s="18"/>
      <c r="L5857" s="26" t="s">
        <v>77</v>
      </c>
      <c r="M5857" s="6" t="s">
        <v>77</v>
      </c>
      <c r="N5857" s="28" t="s">
        <v>77</v>
      </c>
      <c r="O5857" s="26" t="s">
        <v>77</v>
      </c>
    </row>
    <row r="5858">
      <c r="A5858" s="52" t="s">
        <v>77</v>
      </c>
      <c r="B5858" s="28" t="s">
        <v>77</v>
      </c>
      <c r="C5858" s="28" t="s">
        <v>77</v>
      </c>
      <c r="D5858" s="28" t="s">
        <v>77</v>
      </c>
      <c r="E5858" s="28" t="s">
        <v>77</v>
      </c>
      <c r="F5858" s="28" t="s">
        <v>77</v>
      </c>
      <c r="G5858" s="28" t="s">
        <v>77</v>
      </c>
      <c r="I5858" s="26" t="s">
        <v>77</v>
      </c>
      <c r="J5858" s="26" t="s">
        <v>77</v>
      </c>
      <c r="K5858" s="18"/>
      <c r="L5858" s="26" t="s">
        <v>77</v>
      </c>
      <c r="M5858" s="6" t="s">
        <v>77</v>
      </c>
      <c r="N5858" s="28" t="s">
        <v>77</v>
      </c>
      <c r="O5858" s="26" t="s">
        <v>77</v>
      </c>
    </row>
    <row r="5859">
      <c r="A5859" s="52" t="s">
        <v>77</v>
      </c>
      <c r="B5859" s="28" t="s">
        <v>77</v>
      </c>
      <c r="C5859" s="28" t="s">
        <v>77</v>
      </c>
      <c r="D5859" s="28" t="s">
        <v>77</v>
      </c>
      <c r="E5859" s="28" t="s">
        <v>77</v>
      </c>
      <c r="F5859" s="28" t="s">
        <v>77</v>
      </c>
      <c r="G5859" s="28" t="s">
        <v>77</v>
      </c>
      <c r="I5859" s="26" t="s">
        <v>77</v>
      </c>
      <c r="J5859" s="26" t="s">
        <v>77</v>
      </c>
      <c r="K5859" s="18"/>
      <c r="L5859" s="26" t="s">
        <v>77</v>
      </c>
      <c r="M5859" s="6" t="s">
        <v>77</v>
      </c>
      <c r="N5859" s="28" t="s">
        <v>77</v>
      </c>
      <c r="O5859" s="26" t="s">
        <v>77</v>
      </c>
    </row>
    <row r="5860">
      <c r="A5860" s="52" t="s">
        <v>77</v>
      </c>
      <c r="B5860" s="28" t="s">
        <v>77</v>
      </c>
      <c r="C5860" s="28" t="s">
        <v>77</v>
      </c>
      <c r="D5860" s="28" t="s">
        <v>77</v>
      </c>
      <c r="E5860" s="28" t="s">
        <v>77</v>
      </c>
      <c r="F5860" s="28" t="s">
        <v>77</v>
      </c>
      <c r="G5860" s="28" t="s">
        <v>77</v>
      </c>
      <c r="I5860" s="26" t="s">
        <v>77</v>
      </c>
      <c r="J5860" s="26" t="s">
        <v>77</v>
      </c>
      <c r="K5860" s="18"/>
      <c r="L5860" s="26" t="s">
        <v>77</v>
      </c>
      <c r="M5860" s="6" t="s">
        <v>77</v>
      </c>
      <c r="N5860" s="28" t="s">
        <v>77</v>
      </c>
      <c r="O5860" s="26" t="s">
        <v>77</v>
      </c>
    </row>
    <row r="5861">
      <c r="A5861" s="52" t="s">
        <v>77</v>
      </c>
      <c r="B5861" s="28" t="s">
        <v>77</v>
      </c>
      <c r="C5861" s="28" t="s">
        <v>77</v>
      </c>
      <c r="D5861" s="28" t="s">
        <v>77</v>
      </c>
      <c r="E5861" s="28" t="s">
        <v>77</v>
      </c>
      <c r="F5861" s="28" t="s">
        <v>77</v>
      </c>
      <c r="G5861" s="28" t="s">
        <v>77</v>
      </c>
      <c r="I5861" s="26" t="s">
        <v>77</v>
      </c>
      <c r="J5861" s="26" t="s">
        <v>77</v>
      </c>
      <c r="K5861" s="18"/>
      <c r="L5861" s="26" t="s">
        <v>77</v>
      </c>
      <c r="M5861" s="6" t="s">
        <v>77</v>
      </c>
      <c r="N5861" s="28" t="s">
        <v>77</v>
      </c>
      <c r="O5861" s="26" t="s">
        <v>77</v>
      </c>
    </row>
    <row r="5862">
      <c r="A5862" s="52" t="s">
        <v>77</v>
      </c>
      <c r="B5862" s="28" t="s">
        <v>77</v>
      </c>
      <c r="C5862" s="28" t="s">
        <v>77</v>
      </c>
      <c r="D5862" s="28" t="s">
        <v>77</v>
      </c>
      <c r="E5862" s="28" t="s">
        <v>77</v>
      </c>
      <c r="F5862" s="28" t="s">
        <v>77</v>
      </c>
      <c r="G5862" s="28" t="s">
        <v>77</v>
      </c>
      <c r="I5862" s="26" t="s">
        <v>77</v>
      </c>
      <c r="J5862" s="26" t="s">
        <v>77</v>
      </c>
      <c r="K5862" s="18"/>
      <c r="L5862" s="26" t="s">
        <v>77</v>
      </c>
      <c r="M5862" s="6" t="s">
        <v>77</v>
      </c>
      <c r="N5862" s="28" t="s">
        <v>77</v>
      </c>
      <c r="O5862" s="26" t="s">
        <v>77</v>
      </c>
    </row>
    <row r="5863">
      <c r="A5863" s="52" t="s">
        <v>77</v>
      </c>
      <c r="B5863" s="28" t="s">
        <v>77</v>
      </c>
      <c r="C5863" s="28" t="s">
        <v>77</v>
      </c>
      <c r="D5863" s="28" t="s">
        <v>77</v>
      </c>
      <c r="E5863" s="28" t="s">
        <v>77</v>
      </c>
      <c r="F5863" s="28" t="s">
        <v>77</v>
      </c>
      <c r="G5863" s="28" t="s">
        <v>77</v>
      </c>
      <c r="I5863" s="26" t="s">
        <v>77</v>
      </c>
      <c r="J5863" s="26" t="s">
        <v>77</v>
      </c>
      <c r="K5863" s="18"/>
      <c r="L5863" s="26" t="s">
        <v>77</v>
      </c>
      <c r="M5863" s="6" t="s">
        <v>77</v>
      </c>
      <c r="N5863" s="28" t="s">
        <v>77</v>
      </c>
      <c r="O5863" s="26" t="s">
        <v>77</v>
      </c>
    </row>
    <row r="5864">
      <c r="A5864" s="52" t="s">
        <v>77</v>
      </c>
      <c r="B5864" s="28" t="s">
        <v>77</v>
      </c>
      <c r="C5864" s="28" t="s">
        <v>77</v>
      </c>
      <c r="D5864" s="28" t="s">
        <v>77</v>
      </c>
      <c r="E5864" s="28" t="s">
        <v>77</v>
      </c>
      <c r="F5864" s="28" t="s">
        <v>77</v>
      </c>
      <c r="G5864" s="28" t="s">
        <v>77</v>
      </c>
      <c r="I5864" s="26" t="s">
        <v>77</v>
      </c>
      <c r="J5864" s="26" t="s">
        <v>77</v>
      </c>
      <c r="K5864" s="18"/>
      <c r="L5864" s="26" t="s">
        <v>77</v>
      </c>
      <c r="M5864" s="6" t="s">
        <v>77</v>
      </c>
      <c r="N5864" s="28" t="s">
        <v>77</v>
      </c>
      <c r="O5864" s="26" t="s">
        <v>77</v>
      </c>
    </row>
    <row r="5865">
      <c r="A5865" s="52" t="s">
        <v>77</v>
      </c>
      <c r="B5865" s="28" t="s">
        <v>77</v>
      </c>
      <c r="C5865" s="28" t="s">
        <v>77</v>
      </c>
      <c r="D5865" s="28" t="s">
        <v>77</v>
      </c>
      <c r="E5865" s="28" t="s">
        <v>77</v>
      </c>
      <c r="F5865" s="28" t="s">
        <v>77</v>
      </c>
      <c r="G5865" s="28" t="s">
        <v>77</v>
      </c>
      <c r="I5865" s="26" t="s">
        <v>77</v>
      </c>
      <c r="J5865" s="26" t="s">
        <v>77</v>
      </c>
      <c r="K5865" s="18"/>
      <c r="L5865" s="26" t="s">
        <v>77</v>
      </c>
      <c r="M5865" s="6" t="s">
        <v>77</v>
      </c>
      <c r="N5865" s="28" t="s">
        <v>77</v>
      </c>
      <c r="O5865" s="26" t="s">
        <v>77</v>
      </c>
    </row>
    <row r="5866">
      <c r="A5866" s="52" t="s">
        <v>77</v>
      </c>
      <c r="B5866" s="28" t="s">
        <v>77</v>
      </c>
      <c r="C5866" s="28" t="s">
        <v>77</v>
      </c>
      <c r="D5866" s="28" t="s">
        <v>77</v>
      </c>
      <c r="E5866" s="28" t="s">
        <v>77</v>
      </c>
      <c r="F5866" s="28" t="s">
        <v>77</v>
      </c>
      <c r="G5866" s="28" t="s">
        <v>77</v>
      </c>
      <c r="I5866" s="26" t="s">
        <v>77</v>
      </c>
      <c r="J5866" s="26" t="s">
        <v>77</v>
      </c>
      <c r="K5866" s="18"/>
      <c r="L5866" s="26" t="s">
        <v>77</v>
      </c>
      <c r="M5866" s="6" t="s">
        <v>77</v>
      </c>
      <c r="N5866" s="28" t="s">
        <v>77</v>
      </c>
      <c r="O5866" s="26" t="s">
        <v>77</v>
      </c>
    </row>
    <row r="5867">
      <c r="A5867" s="52" t="s">
        <v>77</v>
      </c>
      <c r="B5867" s="28" t="s">
        <v>77</v>
      </c>
      <c r="C5867" s="28" t="s">
        <v>77</v>
      </c>
      <c r="D5867" s="28" t="s">
        <v>77</v>
      </c>
      <c r="E5867" s="28" t="s">
        <v>77</v>
      </c>
      <c r="F5867" s="28" t="s">
        <v>77</v>
      </c>
      <c r="G5867" s="28" t="s">
        <v>77</v>
      </c>
      <c r="I5867" s="26" t="s">
        <v>77</v>
      </c>
      <c r="J5867" s="26" t="s">
        <v>77</v>
      </c>
      <c r="K5867" s="18"/>
      <c r="L5867" s="26" t="s">
        <v>77</v>
      </c>
      <c r="M5867" s="6" t="s">
        <v>77</v>
      </c>
      <c r="N5867" s="28" t="s">
        <v>77</v>
      </c>
      <c r="O5867" s="26" t="s">
        <v>77</v>
      </c>
    </row>
    <row r="5868">
      <c r="A5868" s="52" t="s">
        <v>77</v>
      </c>
      <c r="B5868" s="28" t="s">
        <v>77</v>
      </c>
      <c r="C5868" s="28" t="s">
        <v>77</v>
      </c>
      <c r="D5868" s="28" t="s">
        <v>77</v>
      </c>
      <c r="E5868" s="28" t="s">
        <v>77</v>
      </c>
      <c r="F5868" s="28" t="s">
        <v>77</v>
      </c>
      <c r="G5868" s="28" t="s">
        <v>77</v>
      </c>
      <c r="I5868" s="26" t="s">
        <v>77</v>
      </c>
      <c r="J5868" s="26" t="s">
        <v>77</v>
      </c>
      <c r="K5868" s="18"/>
      <c r="L5868" s="26" t="s">
        <v>77</v>
      </c>
      <c r="M5868" s="6" t="s">
        <v>77</v>
      </c>
      <c r="N5868" s="28" t="s">
        <v>77</v>
      </c>
      <c r="O5868" s="26" t="s">
        <v>77</v>
      </c>
    </row>
    <row r="5869">
      <c r="A5869" s="52" t="s">
        <v>77</v>
      </c>
      <c r="B5869" s="28" t="s">
        <v>77</v>
      </c>
      <c r="C5869" s="28" t="s">
        <v>77</v>
      </c>
      <c r="D5869" s="28" t="s">
        <v>77</v>
      </c>
      <c r="E5869" s="28" t="s">
        <v>77</v>
      </c>
      <c r="F5869" s="28" t="s">
        <v>77</v>
      </c>
      <c r="G5869" s="28" t="s">
        <v>77</v>
      </c>
      <c r="I5869" s="26" t="s">
        <v>77</v>
      </c>
      <c r="J5869" s="26" t="s">
        <v>77</v>
      </c>
      <c r="K5869" s="18"/>
      <c r="L5869" s="26" t="s">
        <v>77</v>
      </c>
      <c r="M5869" s="6" t="s">
        <v>77</v>
      </c>
      <c r="N5869" s="28" t="s">
        <v>77</v>
      </c>
      <c r="O5869" s="26" t="s">
        <v>77</v>
      </c>
    </row>
    <row r="5870">
      <c r="A5870" s="52" t="s">
        <v>77</v>
      </c>
      <c r="B5870" s="28" t="s">
        <v>77</v>
      </c>
      <c r="C5870" s="28" t="s">
        <v>77</v>
      </c>
      <c r="D5870" s="28" t="s">
        <v>77</v>
      </c>
      <c r="E5870" s="28" t="s">
        <v>77</v>
      </c>
      <c r="F5870" s="28" t="s">
        <v>77</v>
      </c>
      <c r="G5870" s="28" t="s">
        <v>77</v>
      </c>
      <c r="I5870" s="26" t="s">
        <v>77</v>
      </c>
      <c r="J5870" s="26" t="s">
        <v>77</v>
      </c>
      <c r="K5870" s="18"/>
      <c r="L5870" s="26" t="s">
        <v>77</v>
      </c>
      <c r="M5870" s="6" t="s">
        <v>77</v>
      </c>
      <c r="N5870" s="28" t="s">
        <v>77</v>
      </c>
      <c r="O5870" s="26" t="s">
        <v>77</v>
      </c>
    </row>
    <row r="5871">
      <c r="A5871" s="52" t="s">
        <v>77</v>
      </c>
      <c r="B5871" s="28" t="s">
        <v>77</v>
      </c>
      <c r="C5871" s="28" t="s">
        <v>77</v>
      </c>
      <c r="D5871" s="28" t="s">
        <v>77</v>
      </c>
      <c r="E5871" s="28" t="s">
        <v>77</v>
      </c>
      <c r="F5871" s="28" t="s">
        <v>77</v>
      </c>
      <c r="G5871" s="28" t="s">
        <v>77</v>
      </c>
      <c r="I5871" s="26" t="s">
        <v>77</v>
      </c>
      <c r="J5871" s="26" t="s">
        <v>77</v>
      </c>
      <c r="K5871" s="18"/>
      <c r="L5871" s="26" t="s">
        <v>77</v>
      </c>
      <c r="M5871" s="6" t="s">
        <v>77</v>
      </c>
      <c r="N5871" s="28" t="s">
        <v>77</v>
      </c>
      <c r="O5871" s="26" t="s">
        <v>77</v>
      </c>
    </row>
    <row r="5872">
      <c r="A5872" s="52" t="s">
        <v>77</v>
      </c>
      <c r="B5872" s="28" t="s">
        <v>77</v>
      </c>
      <c r="C5872" s="28" t="s">
        <v>77</v>
      </c>
      <c r="D5872" s="28" t="s">
        <v>77</v>
      </c>
      <c r="E5872" s="28" t="s">
        <v>77</v>
      </c>
      <c r="F5872" s="28" t="s">
        <v>77</v>
      </c>
      <c r="G5872" s="28" t="s">
        <v>77</v>
      </c>
      <c r="I5872" s="26" t="s">
        <v>77</v>
      </c>
      <c r="J5872" s="26" t="s">
        <v>77</v>
      </c>
      <c r="K5872" s="18"/>
      <c r="L5872" s="26" t="s">
        <v>77</v>
      </c>
      <c r="M5872" s="6" t="s">
        <v>77</v>
      </c>
      <c r="N5872" s="28" t="s">
        <v>77</v>
      </c>
      <c r="O5872" s="26" t="s">
        <v>77</v>
      </c>
    </row>
    <row r="5873">
      <c r="A5873" s="52" t="s">
        <v>77</v>
      </c>
      <c r="B5873" s="28" t="s">
        <v>77</v>
      </c>
      <c r="C5873" s="28" t="s">
        <v>77</v>
      </c>
      <c r="D5873" s="28" t="s">
        <v>77</v>
      </c>
      <c r="E5873" s="28" t="s">
        <v>77</v>
      </c>
      <c r="F5873" s="28" t="s">
        <v>77</v>
      </c>
      <c r="G5873" s="28" t="s">
        <v>77</v>
      </c>
      <c r="I5873" s="26" t="s">
        <v>77</v>
      </c>
      <c r="J5873" s="26" t="s">
        <v>77</v>
      </c>
      <c r="K5873" s="18"/>
      <c r="L5873" s="26" t="s">
        <v>77</v>
      </c>
      <c r="M5873" s="6" t="s">
        <v>77</v>
      </c>
      <c r="N5873" s="28" t="s">
        <v>77</v>
      </c>
      <c r="O5873" s="26" t="s">
        <v>77</v>
      </c>
    </row>
    <row r="5874">
      <c r="A5874" s="52" t="s">
        <v>77</v>
      </c>
      <c r="B5874" s="28" t="s">
        <v>77</v>
      </c>
      <c r="C5874" s="28" t="s">
        <v>77</v>
      </c>
      <c r="D5874" s="28" t="s">
        <v>77</v>
      </c>
      <c r="E5874" s="28" t="s">
        <v>77</v>
      </c>
      <c r="F5874" s="28" t="s">
        <v>77</v>
      </c>
      <c r="G5874" s="28" t="s">
        <v>77</v>
      </c>
      <c r="I5874" s="26" t="s">
        <v>77</v>
      </c>
      <c r="J5874" s="26" t="s">
        <v>77</v>
      </c>
      <c r="K5874" s="18"/>
      <c r="L5874" s="26" t="s">
        <v>77</v>
      </c>
      <c r="M5874" s="6" t="s">
        <v>77</v>
      </c>
      <c r="N5874" s="28" t="s">
        <v>77</v>
      </c>
      <c r="O5874" s="26" t="s">
        <v>77</v>
      </c>
    </row>
    <row r="5875">
      <c r="A5875" s="52" t="s">
        <v>77</v>
      </c>
      <c r="B5875" s="28" t="s">
        <v>77</v>
      </c>
      <c r="C5875" s="28" t="s">
        <v>77</v>
      </c>
      <c r="D5875" s="28" t="s">
        <v>77</v>
      </c>
      <c r="E5875" s="28" t="s">
        <v>77</v>
      </c>
      <c r="F5875" s="28" t="s">
        <v>77</v>
      </c>
      <c r="G5875" s="28" t="s">
        <v>77</v>
      </c>
      <c r="I5875" s="26" t="s">
        <v>77</v>
      </c>
      <c r="J5875" s="26" t="s">
        <v>77</v>
      </c>
      <c r="K5875" s="18"/>
      <c r="L5875" s="26" t="s">
        <v>77</v>
      </c>
      <c r="M5875" s="6" t="s">
        <v>77</v>
      </c>
      <c r="N5875" s="28" t="s">
        <v>77</v>
      </c>
      <c r="O5875" s="26" t="s">
        <v>77</v>
      </c>
    </row>
    <row r="5876">
      <c r="A5876" s="52" t="s">
        <v>77</v>
      </c>
      <c r="B5876" s="28" t="s">
        <v>77</v>
      </c>
      <c r="C5876" s="28" t="s">
        <v>77</v>
      </c>
      <c r="D5876" s="28" t="s">
        <v>77</v>
      </c>
      <c r="E5876" s="28" t="s">
        <v>77</v>
      </c>
      <c r="F5876" s="28" t="s">
        <v>77</v>
      </c>
      <c r="G5876" s="28" t="s">
        <v>77</v>
      </c>
      <c r="I5876" s="26" t="s">
        <v>77</v>
      </c>
      <c r="J5876" s="26" t="s">
        <v>77</v>
      </c>
      <c r="K5876" s="18"/>
      <c r="L5876" s="26" t="s">
        <v>77</v>
      </c>
      <c r="M5876" s="6" t="s">
        <v>77</v>
      </c>
      <c r="N5876" s="28" t="s">
        <v>77</v>
      </c>
      <c r="O5876" s="26" t="s">
        <v>77</v>
      </c>
    </row>
    <row r="5877">
      <c r="A5877" s="52" t="s">
        <v>77</v>
      </c>
      <c r="B5877" s="28" t="s">
        <v>77</v>
      </c>
      <c r="C5877" s="28" t="s">
        <v>77</v>
      </c>
      <c r="D5877" s="28" t="s">
        <v>77</v>
      </c>
      <c r="E5877" s="28" t="s">
        <v>77</v>
      </c>
      <c r="F5877" s="28" t="s">
        <v>77</v>
      </c>
      <c r="G5877" s="28" t="s">
        <v>77</v>
      </c>
      <c r="I5877" s="26" t="s">
        <v>77</v>
      </c>
      <c r="J5877" s="26" t="s">
        <v>77</v>
      </c>
      <c r="K5877" s="18"/>
      <c r="L5877" s="26" t="s">
        <v>77</v>
      </c>
      <c r="M5877" s="6" t="s">
        <v>77</v>
      </c>
      <c r="N5877" s="28" t="s">
        <v>77</v>
      </c>
      <c r="O5877" s="26" t="s">
        <v>77</v>
      </c>
    </row>
    <row r="5878">
      <c r="A5878" s="52" t="s">
        <v>77</v>
      </c>
      <c r="B5878" s="28" t="s">
        <v>77</v>
      </c>
      <c r="C5878" s="28" t="s">
        <v>77</v>
      </c>
      <c r="D5878" s="28" t="s">
        <v>77</v>
      </c>
      <c r="E5878" s="28" t="s">
        <v>77</v>
      </c>
      <c r="F5878" s="28" t="s">
        <v>77</v>
      </c>
      <c r="G5878" s="28" t="s">
        <v>77</v>
      </c>
      <c r="I5878" s="26" t="s">
        <v>77</v>
      </c>
      <c r="J5878" s="26" t="s">
        <v>77</v>
      </c>
      <c r="K5878" s="18"/>
      <c r="L5878" s="26" t="s">
        <v>77</v>
      </c>
      <c r="M5878" s="6" t="s">
        <v>77</v>
      </c>
      <c r="N5878" s="28" t="s">
        <v>77</v>
      </c>
      <c r="O5878" s="26" t="s">
        <v>77</v>
      </c>
    </row>
    <row r="5879">
      <c r="A5879" s="52" t="s">
        <v>77</v>
      </c>
      <c r="B5879" s="28" t="s">
        <v>77</v>
      </c>
      <c r="C5879" s="28" t="s">
        <v>77</v>
      </c>
      <c r="D5879" s="28" t="s">
        <v>77</v>
      </c>
      <c r="E5879" s="28" t="s">
        <v>77</v>
      </c>
      <c r="F5879" s="28" t="s">
        <v>77</v>
      </c>
      <c r="G5879" s="28" t="s">
        <v>77</v>
      </c>
      <c r="I5879" s="26" t="s">
        <v>77</v>
      </c>
      <c r="J5879" s="26" t="s">
        <v>77</v>
      </c>
      <c r="K5879" s="18"/>
      <c r="L5879" s="26" t="s">
        <v>77</v>
      </c>
      <c r="M5879" s="6" t="s">
        <v>77</v>
      </c>
      <c r="N5879" s="28" t="s">
        <v>77</v>
      </c>
      <c r="O5879" s="26" t="s">
        <v>77</v>
      </c>
    </row>
    <row r="5880">
      <c r="A5880" s="52" t="s">
        <v>77</v>
      </c>
      <c r="B5880" s="28" t="s">
        <v>77</v>
      </c>
      <c r="C5880" s="28" t="s">
        <v>77</v>
      </c>
      <c r="D5880" s="28" t="s">
        <v>77</v>
      </c>
      <c r="E5880" s="28" t="s">
        <v>77</v>
      </c>
      <c r="F5880" s="28" t="s">
        <v>77</v>
      </c>
      <c r="G5880" s="28" t="s">
        <v>77</v>
      </c>
      <c r="I5880" s="26" t="s">
        <v>77</v>
      </c>
      <c r="J5880" s="26" t="s">
        <v>77</v>
      </c>
      <c r="K5880" s="18"/>
      <c r="L5880" s="26" t="s">
        <v>77</v>
      </c>
      <c r="M5880" s="6" t="s">
        <v>77</v>
      </c>
      <c r="N5880" s="28" t="s">
        <v>77</v>
      </c>
      <c r="O5880" s="26" t="s">
        <v>77</v>
      </c>
    </row>
    <row r="5881">
      <c r="A5881" s="52" t="s">
        <v>77</v>
      </c>
      <c r="B5881" s="28" t="s">
        <v>77</v>
      </c>
      <c r="C5881" s="28" t="s">
        <v>77</v>
      </c>
      <c r="D5881" s="28" t="s">
        <v>77</v>
      </c>
      <c r="E5881" s="28" t="s">
        <v>77</v>
      </c>
      <c r="F5881" s="28" t="s">
        <v>77</v>
      </c>
      <c r="G5881" s="28" t="s">
        <v>77</v>
      </c>
      <c r="I5881" s="26" t="s">
        <v>77</v>
      </c>
      <c r="J5881" s="26" t="s">
        <v>77</v>
      </c>
      <c r="K5881" s="18"/>
      <c r="L5881" s="26" t="s">
        <v>77</v>
      </c>
      <c r="M5881" s="6" t="s">
        <v>77</v>
      </c>
      <c r="N5881" s="28" t="s">
        <v>77</v>
      </c>
      <c r="O5881" s="26" t="s">
        <v>77</v>
      </c>
    </row>
    <row r="5882">
      <c r="A5882" s="52" t="s">
        <v>77</v>
      </c>
      <c r="B5882" s="28" t="s">
        <v>77</v>
      </c>
      <c r="C5882" s="28" t="s">
        <v>77</v>
      </c>
      <c r="D5882" s="28" t="s">
        <v>77</v>
      </c>
      <c r="E5882" s="28" t="s">
        <v>77</v>
      </c>
      <c r="F5882" s="28" t="s">
        <v>77</v>
      </c>
      <c r="G5882" s="28" t="s">
        <v>77</v>
      </c>
      <c r="I5882" s="26" t="s">
        <v>77</v>
      </c>
      <c r="J5882" s="26" t="s">
        <v>77</v>
      </c>
      <c r="K5882" s="18"/>
      <c r="L5882" s="26" t="s">
        <v>77</v>
      </c>
      <c r="M5882" s="6" t="s">
        <v>77</v>
      </c>
      <c r="N5882" s="28" t="s">
        <v>77</v>
      </c>
      <c r="O5882" s="26" t="s">
        <v>77</v>
      </c>
    </row>
    <row r="5883">
      <c r="A5883" s="52" t="s">
        <v>77</v>
      </c>
      <c r="B5883" s="28" t="s">
        <v>77</v>
      </c>
      <c r="C5883" s="28" t="s">
        <v>77</v>
      </c>
      <c r="D5883" s="28" t="s">
        <v>77</v>
      </c>
      <c r="E5883" s="28" t="s">
        <v>77</v>
      </c>
      <c r="F5883" s="28" t="s">
        <v>77</v>
      </c>
      <c r="G5883" s="28" t="s">
        <v>77</v>
      </c>
      <c r="I5883" s="26" t="s">
        <v>77</v>
      </c>
      <c r="J5883" s="26" t="s">
        <v>77</v>
      </c>
      <c r="K5883" s="18"/>
      <c r="L5883" s="26" t="s">
        <v>77</v>
      </c>
      <c r="M5883" s="6" t="s">
        <v>77</v>
      </c>
      <c r="N5883" s="28" t="s">
        <v>77</v>
      </c>
      <c r="O5883" s="26" t="s">
        <v>77</v>
      </c>
    </row>
    <row r="5884">
      <c r="A5884" s="52" t="s">
        <v>77</v>
      </c>
      <c r="B5884" s="28" t="s">
        <v>77</v>
      </c>
      <c r="C5884" s="28" t="s">
        <v>77</v>
      </c>
      <c r="D5884" s="28" t="s">
        <v>77</v>
      </c>
      <c r="E5884" s="28" t="s">
        <v>77</v>
      </c>
      <c r="F5884" s="28" t="s">
        <v>77</v>
      </c>
      <c r="G5884" s="28" t="s">
        <v>77</v>
      </c>
      <c r="I5884" s="26" t="s">
        <v>77</v>
      </c>
      <c r="J5884" s="26" t="s">
        <v>77</v>
      </c>
      <c r="K5884" s="18"/>
      <c r="L5884" s="26" t="s">
        <v>77</v>
      </c>
      <c r="M5884" s="6" t="s">
        <v>77</v>
      </c>
      <c r="N5884" s="28" t="s">
        <v>77</v>
      </c>
      <c r="O5884" s="26" t="s">
        <v>77</v>
      </c>
    </row>
    <row r="5885">
      <c r="A5885" s="52" t="s">
        <v>77</v>
      </c>
      <c r="B5885" s="28" t="s">
        <v>77</v>
      </c>
      <c r="C5885" s="28" t="s">
        <v>77</v>
      </c>
      <c r="D5885" s="28" t="s">
        <v>77</v>
      </c>
      <c r="E5885" s="28" t="s">
        <v>77</v>
      </c>
      <c r="F5885" s="28" t="s">
        <v>77</v>
      </c>
      <c r="G5885" s="28" t="s">
        <v>77</v>
      </c>
      <c r="I5885" s="26" t="s">
        <v>77</v>
      </c>
      <c r="J5885" s="26" t="s">
        <v>77</v>
      </c>
      <c r="K5885" s="18"/>
      <c r="L5885" s="26" t="s">
        <v>77</v>
      </c>
      <c r="M5885" s="6" t="s">
        <v>77</v>
      </c>
      <c r="N5885" s="28" t="s">
        <v>77</v>
      </c>
      <c r="O5885" s="26" t="s">
        <v>77</v>
      </c>
    </row>
    <row r="5886">
      <c r="A5886" s="52" t="s">
        <v>77</v>
      </c>
      <c r="B5886" s="28" t="s">
        <v>77</v>
      </c>
      <c r="C5886" s="28" t="s">
        <v>77</v>
      </c>
      <c r="D5886" s="28" t="s">
        <v>77</v>
      </c>
      <c r="E5886" s="28" t="s">
        <v>77</v>
      </c>
      <c r="F5886" s="28" t="s">
        <v>77</v>
      </c>
      <c r="G5886" s="28" t="s">
        <v>77</v>
      </c>
      <c r="I5886" s="26" t="s">
        <v>77</v>
      </c>
      <c r="J5886" s="26" t="s">
        <v>77</v>
      </c>
      <c r="K5886" s="18"/>
      <c r="L5886" s="26" t="s">
        <v>77</v>
      </c>
      <c r="M5886" s="6" t="s">
        <v>77</v>
      </c>
      <c r="N5886" s="28" t="s">
        <v>77</v>
      </c>
      <c r="O5886" s="26" t="s">
        <v>77</v>
      </c>
    </row>
    <row r="5887">
      <c r="A5887" s="52" t="s">
        <v>77</v>
      </c>
      <c r="B5887" s="28" t="s">
        <v>77</v>
      </c>
      <c r="C5887" s="28" t="s">
        <v>77</v>
      </c>
      <c r="D5887" s="28" t="s">
        <v>77</v>
      </c>
      <c r="E5887" s="28" t="s">
        <v>77</v>
      </c>
      <c r="F5887" s="28" t="s">
        <v>77</v>
      </c>
      <c r="G5887" s="28" t="s">
        <v>77</v>
      </c>
      <c r="I5887" s="26" t="s">
        <v>77</v>
      </c>
      <c r="J5887" s="26" t="s">
        <v>77</v>
      </c>
      <c r="K5887" s="18"/>
      <c r="L5887" s="26" t="s">
        <v>77</v>
      </c>
      <c r="M5887" s="6" t="s">
        <v>77</v>
      </c>
      <c r="N5887" s="28" t="s">
        <v>77</v>
      </c>
      <c r="O5887" s="26" t="s">
        <v>77</v>
      </c>
    </row>
    <row r="5888">
      <c r="A5888" s="52" t="s">
        <v>77</v>
      </c>
      <c r="B5888" s="28" t="s">
        <v>77</v>
      </c>
      <c r="C5888" s="28" t="s">
        <v>77</v>
      </c>
      <c r="D5888" s="28" t="s">
        <v>77</v>
      </c>
      <c r="E5888" s="28" t="s">
        <v>77</v>
      </c>
      <c r="F5888" s="28" t="s">
        <v>77</v>
      </c>
      <c r="G5888" s="28" t="s">
        <v>77</v>
      </c>
      <c r="I5888" s="26" t="s">
        <v>77</v>
      </c>
      <c r="J5888" s="26" t="s">
        <v>77</v>
      </c>
      <c r="K5888" s="18"/>
      <c r="L5888" s="26" t="s">
        <v>77</v>
      </c>
      <c r="M5888" s="6" t="s">
        <v>77</v>
      </c>
      <c r="N5888" s="28" t="s">
        <v>77</v>
      </c>
      <c r="O5888" s="26" t="s">
        <v>77</v>
      </c>
    </row>
    <row r="5889">
      <c r="A5889" s="52" t="s">
        <v>77</v>
      </c>
      <c r="B5889" s="28" t="s">
        <v>77</v>
      </c>
      <c r="C5889" s="28" t="s">
        <v>77</v>
      </c>
      <c r="D5889" s="28" t="s">
        <v>77</v>
      </c>
      <c r="E5889" s="28" t="s">
        <v>77</v>
      </c>
      <c r="F5889" s="28" t="s">
        <v>77</v>
      </c>
      <c r="G5889" s="28" t="s">
        <v>77</v>
      </c>
      <c r="I5889" s="26" t="s">
        <v>77</v>
      </c>
      <c r="J5889" s="26" t="s">
        <v>77</v>
      </c>
      <c r="K5889" s="18"/>
      <c r="L5889" s="26" t="s">
        <v>77</v>
      </c>
      <c r="M5889" s="6" t="s">
        <v>77</v>
      </c>
      <c r="N5889" s="28" t="s">
        <v>77</v>
      </c>
      <c r="O5889" s="26" t="s">
        <v>77</v>
      </c>
    </row>
    <row r="5890">
      <c r="A5890" s="52" t="s">
        <v>77</v>
      </c>
      <c r="B5890" s="28" t="s">
        <v>77</v>
      </c>
      <c r="C5890" s="28" t="s">
        <v>77</v>
      </c>
      <c r="D5890" s="28" t="s">
        <v>77</v>
      </c>
      <c r="E5890" s="28" t="s">
        <v>77</v>
      </c>
      <c r="F5890" s="28" t="s">
        <v>77</v>
      </c>
      <c r="G5890" s="28" t="s">
        <v>77</v>
      </c>
      <c r="I5890" s="26" t="s">
        <v>77</v>
      </c>
      <c r="J5890" s="26" t="s">
        <v>77</v>
      </c>
      <c r="K5890" s="18"/>
      <c r="L5890" s="26" t="s">
        <v>77</v>
      </c>
      <c r="M5890" s="6" t="s">
        <v>77</v>
      </c>
      <c r="N5890" s="28" t="s">
        <v>77</v>
      </c>
      <c r="O5890" s="26" t="s">
        <v>77</v>
      </c>
    </row>
    <row r="5891">
      <c r="A5891" s="52" t="s">
        <v>77</v>
      </c>
      <c r="B5891" s="28" t="s">
        <v>77</v>
      </c>
      <c r="C5891" s="28" t="s">
        <v>77</v>
      </c>
      <c r="D5891" s="28" t="s">
        <v>77</v>
      </c>
      <c r="E5891" s="28" t="s">
        <v>77</v>
      </c>
      <c r="F5891" s="28" t="s">
        <v>77</v>
      </c>
      <c r="G5891" s="28" t="s">
        <v>77</v>
      </c>
      <c r="I5891" s="26" t="s">
        <v>77</v>
      </c>
      <c r="J5891" s="26" t="s">
        <v>77</v>
      </c>
      <c r="K5891" s="18"/>
      <c r="L5891" s="26" t="s">
        <v>77</v>
      </c>
      <c r="M5891" s="6" t="s">
        <v>77</v>
      </c>
      <c r="N5891" s="28" t="s">
        <v>77</v>
      </c>
      <c r="O5891" s="26" t="s">
        <v>77</v>
      </c>
    </row>
    <row r="5892">
      <c r="A5892" s="52" t="s">
        <v>77</v>
      </c>
      <c r="B5892" s="28" t="s">
        <v>77</v>
      </c>
      <c r="C5892" s="28" t="s">
        <v>77</v>
      </c>
      <c r="D5892" s="28" t="s">
        <v>77</v>
      </c>
      <c r="E5892" s="28" t="s">
        <v>77</v>
      </c>
      <c r="F5892" s="28" t="s">
        <v>77</v>
      </c>
      <c r="G5892" s="28" t="s">
        <v>77</v>
      </c>
      <c r="I5892" s="26" t="s">
        <v>77</v>
      </c>
      <c r="J5892" s="26" t="s">
        <v>77</v>
      </c>
      <c r="K5892" s="18"/>
      <c r="L5892" s="26" t="s">
        <v>77</v>
      </c>
      <c r="M5892" s="6" t="s">
        <v>77</v>
      </c>
      <c r="N5892" s="28" t="s">
        <v>77</v>
      </c>
      <c r="O5892" s="26" t="s">
        <v>77</v>
      </c>
    </row>
    <row r="5893">
      <c r="A5893" s="52" t="s">
        <v>77</v>
      </c>
      <c r="B5893" s="28" t="s">
        <v>77</v>
      </c>
      <c r="C5893" s="28" t="s">
        <v>77</v>
      </c>
      <c r="D5893" s="28" t="s">
        <v>77</v>
      </c>
      <c r="E5893" s="28" t="s">
        <v>77</v>
      </c>
      <c r="F5893" s="28" t="s">
        <v>77</v>
      </c>
      <c r="G5893" s="28" t="s">
        <v>77</v>
      </c>
      <c r="I5893" s="26" t="s">
        <v>77</v>
      </c>
      <c r="J5893" s="26" t="s">
        <v>77</v>
      </c>
      <c r="K5893" s="18"/>
      <c r="L5893" s="26" t="s">
        <v>77</v>
      </c>
      <c r="M5893" s="6" t="s">
        <v>77</v>
      </c>
      <c r="N5893" s="28" t="s">
        <v>77</v>
      </c>
      <c r="O5893" s="26" t="s">
        <v>77</v>
      </c>
    </row>
    <row r="5894">
      <c r="A5894" s="52" t="s">
        <v>77</v>
      </c>
      <c r="B5894" s="28" t="s">
        <v>77</v>
      </c>
      <c r="C5894" s="28" t="s">
        <v>77</v>
      </c>
      <c r="D5894" s="28" t="s">
        <v>77</v>
      </c>
      <c r="E5894" s="28" t="s">
        <v>77</v>
      </c>
      <c r="F5894" s="28" t="s">
        <v>77</v>
      </c>
      <c r="G5894" s="28" t="s">
        <v>77</v>
      </c>
      <c r="I5894" s="26" t="s">
        <v>77</v>
      </c>
      <c r="J5894" s="26" t="s">
        <v>77</v>
      </c>
      <c r="K5894" s="18"/>
      <c r="L5894" s="26" t="s">
        <v>77</v>
      </c>
      <c r="M5894" s="6" t="s">
        <v>77</v>
      </c>
      <c r="N5894" s="28" t="s">
        <v>77</v>
      </c>
      <c r="O5894" s="26" t="s">
        <v>77</v>
      </c>
    </row>
    <row r="5895">
      <c r="A5895" s="52" t="s">
        <v>77</v>
      </c>
      <c r="B5895" s="28" t="s">
        <v>77</v>
      </c>
      <c r="C5895" s="28" t="s">
        <v>77</v>
      </c>
      <c r="D5895" s="28" t="s">
        <v>77</v>
      </c>
      <c r="E5895" s="28" t="s">
        <v>77</v>
      </c>
      <c r="F5895" s="28" t="s">
        <v>77</v>
      </c>
      <c r="G5895" s="28" t="s">
        <v>77</v>
      </c>
      <c r="I5895" s="26" t="s">
        <v>77</v>
      </c>
      <c r="J5895" s="26" t="s">
        <v>77</v>
      </c>
      <c r="K5895" s="18"/>
      <c r="L5895" s="26" t="s">
        <v>77</v>
      </c>
      <c r="M5895" s="6" t="s">
        <v>77</v>
      </c>
      <c r="N5895" s="28" t="s">
        <v>77</v>
      </c>
      <c r="O5895" s="26" t="s">
        <v>77</v>
      </c>
    </row>
    <row r="5896">
      <c r="A5896" s="52" t="s">
        <v>77</v>
      </c>
      <c r="B5896" s="28" t="s">
        <v>77</v>
      </c>
      <c r="C5896" s="28" t="s">
        <v>77</v>
      </c>
      <c r="D5896" s="28" t="s">
        <v>77</v>
      </c>
      <c r="E5896" s="28" t="s">
        <v>77</v>
      </c>
      <c r="F5896" s="28" t="s">
        <v>77</v>
      </c>
      <c r="G5896" s="28" t="s">
        <v>77</v>
      </c>
      <c r="I5896" s="26" t="s">
        <v>77</v>
      </c>
      <c r="J5896" s="26" t="s">
        <v>77</v>
      </c>
      <c r="K5896" s="18"/>
      <c r="L5896" s="26" t="s">
        <v>77</v>
      </c>
      <c r="M5896" s="6" t="s">
        <v>77</v>
      </c>
      <c r="N5896" s="28" t="s">
        <v>77</v>
      </c>
      <c r="O5896" s="26" t="s">
        <v>77</v>
      </c>
    </row>
    <row r="5897">
      <c r="A5897" s="52" t="s">
        <v>77</v>
      </c>
      <c r="B5897" s="28" t="s">
        <v>77</v>
      </c>
      <c r="C5897" s="28" t="s">
        <v>77</v>
      </c>
      <c r="D5897" s="28" t="s">
        <v>77</v>
      </c>
      <c r="E5897" s="28" t="s">
        <v>77</v>
      </c>
      <c r="F5897" s="28" t="s">
        <v>77</v>
      </c>
      <c r="G5897" s="28" t="s">
        <v>77</v>
      </c>
      <c r="I5897" s="26" t="s">
        <v>77</v>
      </c>
      <c r="J5897" s="26" t="s">
        <v>77</v>
      </c>
      <c r="K5897" s="18"/>
      <c r="L5897" s="26" t="s">
        <v>77</v>
      </c>
      <c r="M5897" s="6" t="s">
        <v>77</v>
      </c>
      <c r="N5897" s="28" t="s">
        <v>77</v>
      </c>
      <c r="O5897" s="26" t="s">
        <v>77</v>
      </c>
    </row>
    <row r="5898">
      <c r="A5898" s="52" t="s">
        <v>77</v>
      </c>
      <c r="B5898" s="28" t="s">
        <v>77</v>
      </c>
      <c r="C5898" s="28" t="s">
        <v>77</v>
      </c>
      <c r="D5898" s="28" t="s">
        <v>77</v>
      </c>
      <c r="E5898" s="28" t="s">
        <v>77</v>
      </c>
      <c r="F5898" s="28" t="s">
        <v>77</v>
      </c>
      <c r="G5898" s="28" t="s">
        <v>77</v>
      </c>
      <c r="I5898" s="26" t="s">
        <v>77</v>
      </c>
      <c r="J5898" s="26" t="s">
        <v>77</v>
      </c>
      <c r="K5898" s="18"/>
      <c r="L5898" s="26" t="s">
        <v>77</v>
      </c>
      <c r="M5898" s="6" t="s">
        <v>77</v>
      </c>
      <c r="N5898" s="28" t="s">
        <v>77</v>
      </c>
      <c r="O5898" s="26" t="s">
        <v>77</v>
      </c>
    </row>
    <row r="5899">
      <c r="A5899" s="52" t="s">
        <v>77</v>
      </c>
      <c r="B5899" s="28" t="s">
        <v>77</v>
      </c>
      <c r="C5899" s="28" t="s">
        <v>77</v>
      </c>
      <c r="D5899" s="28" t="s">
        <v>77</v>
      </c>
      <c r="E5899" s="28" t="s">
        <v>77</v>
      </c>
      <c r="F5899" s="28" t="s">
        <v>77</v>
      </c>
      <c r="G5899" s="28" t="s">
        <v>77</v>
      </c>
      <c r="I5899" s="26" t="s">
        <v>77</v>
      </c>
      <c r="J5899" s="26" t="s">
        <v>77</v>
      </c>
      <c r="K5899" s="18"/>
      <c r="L5899" s="26" t="s">
        <v>77</v>
      </c>
      <c r="M5899" s="6" t="s">
        <v>77</v>
      </c>
      <c r="N5899" s="28" t="s">
        <v>77</v>
      </c>
      <c r="O5899" s="26" t="s">
        <v>77</v>
      </c>
    </row>
    <row r="5900">
      <c r="A5900" s="52" t="s">
        <v>77</v>
      </c>
      <c r="B5900" s="28" t="s">
        <v>77</v>
      </c>
      <c r="C5900" s="28" t="s">
        <v>77</v>
      </c>
      <c r="D5900" s="28" t="s">
        <v>77</v>
      </c>
      <c r="E5900" s="28" t="s">
        <v>77</v>
      </c>
      <c r="F5900" s="28" t="s">
        <v>77</v>
      </c>
      <c r="G5900" s="28" t="s">
        <v>77</v>
      </c>
      <c r="I5900" s="26" t="s">
        <v>77</v>
      </c>
      <c r="J5900" s="26" t="s">
        <v>77</v>
      </c>
      <c r="K5900" s="18"/>
      <c r="L5900" s="26" t="s">
        <v>77</v>
      </c>
      <c r="M5900" s="6" t="s">
        <v>77</v>
      </c>
      <c r="N5900" s="28" t="s">
        <v>77</v>
      </c>
      <c r="O5900" s="26" t="s">
        <v>77</v>
      </c>
    </row>
    <row r="5901">
      <c r="A5901" s="52" t="s">
        <v>77</v>
      </c>
      <c r="B5901" s="28" t="s">
        <v>77</v>
      </c>
      <c r="C5901" s="28" t="s">
        <v>77</v>
      </c>
      <c r="D5901" s="28" t="s">
        <v>77</v>
      </c>
      <c r="E5901" s="28" t="s">
        <v>77</v>
      </c>
      <c r="F5901" s="28" t="s">
        <v>77</v>
      </c>
      <c r="G5901" s="28" t="s">
        <v>77</v>
      </c>
      <c r="I5901" s="26" t="s">
        <v>77</v>
      </c>
      <c r="J5901" s="26" t="s">
        <v>77</v>
      </c>
      <c r="K5901" s="18"/>
      <c r="L5901" s="26" t="s">
        <v>77</v>
      </c>
      <c r="M5901" s="6" t="s">
        <v>77</v>
      </c>
      <c r="N5901" s="28" t="s">
        <v>77</v>
      </c>
      <c r="O5901" s="26" t="s">
        <v>77</v>
      </c>
    </row>
    <row r="5902">
      <c r="A5902" s="52" t="s">
        <v>77</v>
      </c>
      <c r="B5902" s="28" t="s">
        <v>77</v>
      </c>
      <c r="C5902" s="28" t="s">
        <v>77</v>
      </c>
      <c r="D5902" s="28" t="s">
        <v>77</v>
      </c>
      <c r="E5902" s="28" t="s">
        <v>77</v>
      </c>
      <c r="F5902" s="28" t="s">
        <v>77</v>
      </c>
      <c r="G5902" s="28" t="s">
        <v>77</v>
      </c>
      <c r="I5902" s="26" t="s">
        <v>77</v>
      </c>
      <c r="J5902" s="26" t="s">
        <v>77</v>
      </c>
      <c r="K5902" s="18"/>
      <c r="L5902" s="26" t="s">
        <v>77</v>
      </c>
      <c r="M5902" s="6" t="s">
        <v>77</v>
      </c>
      <c r="N5902" s="28" t="s">
        <v>77</v>
      </c>
      <c r="O5902" s="26" t="s">
        <v>77</v>
      </c>
    </row>
    <row r="5903">
      <c r="A5903" s="52" t="s">
        <v>77</v>
      </c>
      <c r="B5903" s="28" t="s">
        <v>77</v>
      </c>
      <c r="C5903" s="28" t="s">
        <v>77</v>
      </c>
      <c r="D5903" s="28" t="s">
        <v>77</v>
      </c>
      <c r="E5903" s="28" t="s">
        <v>77</v>
      </c>
      <c r="F5903" s="28" t="s">
        <v>77</v>
      </c>
      <c r="G5903" s="28" t="s">
        <v>77</v>
      </c>
      <c r="I5903" s="26" t="s">
        <v>77</v>
      </c>
      <c r="J5903" s="26" t="s">
        <v>77</v>
      </c>
      <c r="K5903" s="18"/>
      <c r="L5903" s="26" t="s">
        <v>77</v>
      </c>
      <c r="M5903" s="6" t="s">
        <v>77</v>
      </c>
      <c r="N5903" s="28" t="s">
        <v>77</v>
      </c>
      <c r="O5903" s="26" t="s">
        <v>77</v>
      </c>
    </row>
    <row r="5904">
      <c r="A5904" s="52" t="s">
        <v>77</v>
      </c>
      <c r="B5904" s="28" t="s">
        <v>77</v>
      </c>
      <c r="C5904" s="28" t="s">
        <v>77</v>
      </c>
      <c r="D5904" s="28" t="s">
        <v>77</v>
      </c>
      <c r="E5904" s="28" t="s">
        <v>77</v>
      </c>
      <c r="F5904" s="28" t="s">
        <v>77</v>
      </c>
      <c r="G5904" s="28" t="s">
        <v>77</v>
      </c>
      <c r="I5904" s="26" t="s">
        <v>77</v>
      </c>
      <c r="J5904" s="26" t="s">
        <v>77</v>
      </c>
      <c r="K5904" s="18"/>
      <c r="L5904" s="26" t="s">
        <v>77</v>
      </c>
      <c r="M5904" s="6" t="s">
        <v>77</v>
      </c>
      <c r="N5904" s="28" t="s">
        <v>77</v>
      </c>
      <c r="O5904" s="26" t="s">
        <v>77</v>
      </c>
    </row>
    <row r="5905">
      <c r="A5905" s="52" t="s">
        <v>77</v>
      </c>
      <c r="B5905" s="28" t="s">
        <v>77</v>
      </c>
      <c r="C5905" s="28" t="s">
        <v>77</v>
      </c>
      <c r="D5905" s="28" t="s">
        <v>77</v>
      </c>
      <c r="E5905" s="28" t="s">
        <v>77</v>
      </c>
      <c r="F5905" s="28" t="s">
        <v>77</v>
      </c>
      <c r="G5905" s="28" t="s">
        <v>77</v>
      </c>
      <c r="I5905" s="26" t="s">
        <v>77</v>
      </c>
      <c r="J5905" s="26" t="s">
        <v>77</v>
      </c>
      <c r="K5905" s="18"/>
      <c r="L5905" s="26" t="s">
        <v>77</v>
      </c>
      <c r="M5905" s="6" t="s">
        <v>77</v>
      </c>
      <c r="N5905" s="28" t="s">
        <v>77</v>
      </c>
      <c r="O5905" s="26" t="s">
        <v>77</v>
      </c>
    </row>
    <row r="5906">
      <c r="A5906" s="52" t="s">
        <v>77</v>
      </c>
      <c r="B5906" s="28" t="s">
        <v>77</v>
      </c>
      <c r="C5906" s="28" t="s">
        <v>77</v>
      </c>
      <c r="D5906" s="28" t="s">
        <v>77</v>
      </c>
      <c r="E5906" s="28" t="s">
        <v>77</v>
      </c>
      <c r="F5906" s="28" t="s">
        <v>77</v>
      </c>
      <c r="G5906" s="28" t="s">
        <v>77</v>
      </c>
      <c r="I5906" s="26" t="s">
        <v>77</v>
      </c>
      <c r="J5906" s="26" t="s">
        <v>77</v>
      </c>
      <c r="K5906" s="18"/>
      <c r="L5906" s="26" t="s">
        <v>77</v>
      </c>
      <c r="M5906" s="6" t="s">
        <v>77</v>
      </c>
      <c r="N5906" s="28" t="s">
        <v>77</v>
      </c>
      <c r="O5906" s="26" t="s">
        <v>77</v>
      </c>
    </row>
    <row r="5907">
      <c r="A5907" s="52" t="s">
        <v>77</v>
      </c>
      <c r="B5907" s="28" t="s">
        <v>77</v>
      </c>
      <c r="C5907" s="28" t="s">
        <v>77</v>
      </c>
      <c r="D5907" s="28" t="s">
        <v>77</v>
      </c>
      <c r="E5907" s="28" t="s">
        <v>77</v>
      </c>
      <c r="F5907" s="28" t="s">
        <v>77</v>
      </c>
      <c r="G5907" s="28" t="s">
        <v>77</v>
      </c>
      <c r="I5907" s="26" t="s">
        <v>77</v>
      </c>
      <c r="J5907" s="26" t="s">
        <v>77</v>
      </c>
      <c r="K5907" s="18"/>
      <c r="L5907" s="26" t="s">
        <v>77</v>
      </c>
      <c r="M5907" s="6" t="s">
        <v>77</v>
      </c>
      <c r="N5907" s="28" t="s">
        <v>77</v>
      </c>
      <c r="O5907" s="26" t="s">
        <v>77</v>
      </c>
    </row>
    <row r="5908">
      <c r="A5908" s="52" t="s">
        <v>77</v>
      </c>
      <c r="B5908" s="28" t="s">
        <v>77</v>
      </c>
      <c r="C5908" s="28" t="s">
        <v>77</v>
      </c>
      <c r="D5908" s="28" t="s">
        <v>77</v>
      </c>
      <c r="E5908" s="28" t="s">
        <v>77</v>
      </c>
      <c r="F5908" s="28" t="s">
        <v>77</v>
      </c>
      <c r="G5908" s="28" t="s">
        <v>77</v>
      </c>
      <c r="I5908" s="26" t="s">
        <v>77</v>
      </c>
      <c r="J5908" s="26" t="s">
        <v>77</v>
      </c>
      <c r="K5908" s="18"/>
      <c r="L5908" s="26" t="s">
        <v>77</v>
      </c>
      <c r="M5908" s="6" t="s">
        <v>77</v>
      </c>
      <c r="N5908" s="28" t="s">
        <v>77</v>
      </c>
      <c r="O5908" s="26" t="s">
        <v>77</v>
      </c>
    </row>
    <row r="5909">
      <c r="A5909" s="52" t="s">
        <v>77</v>
      </c>
      <c r="B5909" s="28" t="s">
        <v>77</v>
      </c>
      <c r="C5909" s="28" t="s">
        <v>77</v>
      </c>
      <c r="D5909" s="28" t="s">
        <v>77</v>
      </c>
      <c r="E5909" s="28" t="s">
        <v>77</v>
      </c>
      <c r="F5909" s="28" t="s">
        <v>77</v>
      </c>
      <c r="G5909" s="28" t="s">
        <v>77</v>
      </c>
      <c r="I5909" s="26" t="s">
        <v>77</v>
      </c>
      <c r="J5909" s="26" t="s">
        <v>77</v>
      </c>
      <c r="K5909" s="18"/>
      <c r="L5909" s="26" t="s">
        <v>77</v>
      </c>
      <c r="M5909" s="6" t="s">
        <v>77</v>
      </c>
      <c r="N5909" s="28" t="s">
        <v>77</v>
      </c>
      <c r="O5909" s="26" t="s">
        <v>77</v>
      </c>
    </row>
    <row r="5910">
      <c r="A5910" s="52" t="s">
        <v>77</v>
      </c>
      <c r="B5910" s="28" t="s">
        <v>77</v>
      </c>
      <c r="C5910" s="28" t="s">
        <v>77</v>
      </c>
      <c r="D5910" s="28" t="s">
        <v>77</v>
      </c>
      <c r="E5910" s="28" t="s">
        <v>77</v>
      </c>
      <c r="F5910" s="28" t="s">
        <v>77</v>
      </c>
      <c r="G5910" s="28" t="s">
        <v>77</v>
      </c>
      <c r="I5910" s="26" t="s">
        <v>77</v>
      </c>
      <c r="J5910" s="26" t="s">
        <v>77</v>
      </c>
      <c r="K5910" s="18"/>
      <c r="L5910" s="26" t="s">
        <v>77</v>
      </c>
      <c r="M5910" s="6" t="s">
        <v>77</v>
      </c>
      <c r="N5910" s="28" t="s">
        <v>77</v>
      </c>
      <c r="O5910" s="26" t="s">
        <v>77</v>
      </c>
    </row>
    <row r="5911">
      <c r="A5911" s="52" t="s">
        <v>77</v>
      </c>
      <c r="B5911" s="28" t="s">
        <v>77</v>
      </c>
      <c r="C5911" s="28" t="s">
        <v>77</v>
      </c>
      <c r="D5911" s="28" t="s">
        <v>77</v>
      </c>
      <c r="E5911" s="28" t="s">
        <v>77</v>
      </c>
      <c r="F5911" s="28" t="s">
        <v>77</v>
      </c>
      <c r="G5911" s="28" t="s">
        <v>77</v>
      </c>
      <c r="I5911" s="26" t="s">
        <v>77</v>
      </c>
      <c r="J5911" s="26" t="s">
        <v>77</v>
      </c>
      <c r="K5911" s="18"/>
      <c r="L5911" s="26" t="s">
        <v>77</v>
      </c>
      <c r="M5911" s="6" t="s">
        <v>77</v>
      </c>
      <c r="N5911" s="28" t="s">
        <v>77</v>
      </c>
      <c r="O5911" s="26" t="s">
        <v>77</v>
      </c>
    </row>
    <row r="5912">
      <c r="A5912" s="52" t="s">
        <v>77</v>
      </c>
      <c r="B5912" s="28" t="s">
        <v>77</v>
      </c>
      <c r="C5912" s="28" t="s">
        <v>77</v>
      </c>
      <c r="D5912" s="28" t="s">
        <v>77</v>
      </c>
      <c r="E5912" s="28" t="s">
        <v>77</v>
      </c>
      <c r="F5912" s="28" t="s">
        <v>77</v>
      </c>
      <c r="G5912" s="28" t="s">
        <v>77</v>
      </c>
      <c r="I5912" s="26" t="s">
        <v>77</v>
      </c>
      <c r="J5912" s="26" t="s">
        <v>77</v>
      </c>
      <c r="K5912" s="18"/>
      <c r="L5912" s="26" t="s">
        <v>77</v>
      </c>
      <c r="M5912" s="6" t="s">
        <v>77</v>
      </c>
      <c r="N5912" s="28" t="s">
        <v>77</v>
      </c>
      <c r="O5912" s="26" t="s">
        <v>77</v>
      </c>
    </row>
    <row r="5913">
      <c r="A5913" s="52" t="s">
        <v>77</v>
      </c>
      <c r="B5913" s="28" t="s">
        <v>77</v>
      </c>
      <c r="C5913" s="28" t="s">
        <v>77</v>
      </c>
      <c r="D5913" s="28" t="s">
        <v>77</v>
      </c>
      <c r="E5913" s="28" t="s">
        <v>77</v>
      </c>
      <c r="F5913" s="28" t="s">
        <v>77</v>
      </c>
      <c r="G5913" s="28" t="s">
        <v>77</v>
      </c>
      <c r="I5913" s="26" t="s">
        <v>77</v>
      </c>
      <c r="J5913" s="26" t="s">
        <v>77</v>
      </c>
      <c r="K5913" s="18"/>
      <c r="L5913" s="26" t="s">
        <v>77</v>
      </c>
      <c r="M5913" s="6" t="s">
        <v>77</v>
      </c>
      <c r="N5913" s="28" t="s">
        <v>77</v>
      </c>
      <c r="O5913" s="26" t="s">
        <v>77</v>
      </c>
    </row>
    <row r="5914">
      <c r="A5914" s="52" t="s">
        <v>77</v>
      </c>
      <c r="B5914" s="28" t="s">
        <v>77</v>
      </c>
      <c r="C5914" s="28" t="s">
        <v>77</v>
      </c>
      <c r="D5914" s="28" t="s">
        <v>77</v>
      </c>
      <c r="E5914" s="28" t="s">
        <v>77</v>
      </c>
      <c r="F5914" s="28" t="s">
        <v>77</v>
      </c>
      <c r="G5914" s="28" t="s">
        <v>77</v>
      </c>
      <c r="I5914" s="26" t="s">
        <v>77</v>
      </c>
      <c r="J5914" s="26" t="s">
        <v>77</v>
      </c>
      <c r="K5914" s="18"/>
      <c r="L5914" s="26" t="s">
        <v>77</v>
      </c>
      <c r="M5914" s="6" t="s">
        <v>77</v>
      </c>
      <c r="N5914" s="28" t="s">
        <v>77</v>
      </c>
      <c r="O5914" s="26" t="s">
        <v>77</v>
      </c>
    </row>
    <row r="5915">
      <c r="A5915" s="52" t="s">
        <v>77</v>
      </c>
      <c r="B5915" s="28" t="s">
        <v>77</v>
      </c>
      <c r="C5915" s="28" t="s">
        <v>77</v>
      </c>
      <c r="D5915" s="28" t="s">
        <v>77</v>
      </c>
      <c r="E5915" s="28" t="s">
        <v>77</v>
      </c>
      <c r="F5915" s="28" t="s">
        <v>77</v>
      </c>
      <c r="G5915" s="28" t="s">
        <v>77</v>
      </c>
      <c r="I5915" s="26" t="s">
        <v>77</v>
      </c>
      <c r="J5915" s="26" t="s">
        <v>77</v>
      </c>
      <c r="K5915" s="18"/>
      <c r="L5915" s="26" t="s">
        <v>77</v>
      </c>
      <c r="M5915" s="6" t="s">
        <v>77</v>
      </c>
      <c r="N5915" s="28" t="s">
        <v>77</v>
      </c>
      <c r="O5915" s="26" t="s">
        <v>77</v>
      </c>
    </row>
    <row r="5916">
      <c r="A5916" s="52" t="s">
        <v>77</v>
      </c>
      <c r="B5916" s="28" t="s">
        <v>77</v>
      </c>
      <c r="C5916" s="28" t="s">
        <v>77</v>
      </c>
      <c r="D5916" s="28" t="s">
        <v>77</v>
      </c>
      <c r="E5916" s="28" t="s">
        <v>77</v>
      </c>
      <c r="F5916" s="28" t="s">
        <v>77</v>
      </c>
      <c r="G5916" s="28" t="s">
        <v>77</v>
      </c>
      <c r="I5916" s="26" t="s">
        <v>77</v>
      </c>
      <c r="J5916" s="26" t="s">
        <v>77</v>
      </c>
      <c r="K5916" s="18"/>
      <c r="L5916" s="26" t="s">
        <v>77</v>
      </c>
      <c r="M5916" s="6" t="s">
        <v>77</v>
      </c>
      <c r="N5916" s="28" t="s">
        <v>77</v>
      </c>
      <c r="O5916" s="26" t="s">
        <v>77</v>
      </c>
    </row>
    <row r="5917">
      <c r="A5917" s="52" t="s">
        <v>77</v>
      </c>
      <c r="B5917" s="28" t="s">
        <v>77</v>
      </c>
      <c r="C5917" s="28" t="s">
        <v>77</v>
      </c>
      <c r="D5917" s="28" t="s">
        <v>77</v>
      </c>
      <c r="E5917" s="28" t="s">
        <v>77</v>
      </c>
      <c r="F5917" s="28" t="s">
        <v>77</v>
      </c>
      <c r="G5917" s="28" t="s">
        <v>77</v>
      </c>
      <c r="I5917" s="26" t="s">
        <v>77</v>
      </c>
      <c r="J5917" s="26" t="s">
        <v>77</v>
      </c>
      <c r="K5917" s="18"/>
      <c r="L5917" s="26" t="s">
        <v>77</v>
      </c>
      <c r="M5917" s="6" t="s">
        <v>77</v>
      </c>
      <c r="N5917" s="28" t="s">
        <v>77</v>
      </c>
      <c r="O5917" s="26" t="s">
        <v>77</v>
      </c>
    </row>
    <row r="5918">
      <c r="A5918" s="52" t="s">
        <v>77</v>
      </c>
      <c r="B5918" s="28" t="s">
        <v>77</v>
      </c>
      <c r="C5918" s="28" t="s">
        <v>77</v>
      </c>
      <c r="D5918" s="28" t="s">
        <v>77</v>
      </c>
      <c r="E5918" s="28" t="s">
        <v>77</v>
      </c>
      <c r="F5918" s="28" t="s">
        <v>77</v>
      </c>
      <c r="G5918" s="28" t="s">
        <v>77</v>
      </c>
      <c r="I5918" s="26" t="s">
        <v>77</v>
      </c>
      <c r="J5918" s="26" t="s">
        <v>77</v>
      </c>
      <c r="K5918" s="18"/>
      <c r="L5918" s="26" t="s">
        <v>77</v>
      </c>
      <c r="M5918" s="6" t="s">
        <v>77</v>
      </c>
      <c r="N5918" s="28" t="s">
        <v>77</v>
      </c>
      <c r="O5918" s="26" t="s">
        <v>77</v>
      </c>
    </row>
    <row r="5919">
      <c r="A5919" s="52" t="s">
        <v>77</v>
      </c>
      <c r="B5919" s="28" t="s">
        <v>77</v>
      </c>
      <c r="C5919" s="28" t="s">
        <v>77</v>
      </c>
      <c r="D5919" s="28" t="s">
        <v>77</v>
      </c>
      <c r="E5919" s="28" t="s">
        <v>77</v>
      </c>
      <c r="F5919" s="28" t="s">
        <v>77</v>
      </c>
      <c r="G5919" s="28" t="s">
        <v>77</v>
      </c>
      <c r="I5919" s="26" t="s">
        <v>77</v>
      </c>
      <c r="J5919" s="26" t="s">
        <v>77</v>
      </c>
      <c r="K5919" s="18"/>
      <c r="L5919" s="26" t="s">
        <v>77</v>
      </c>
      <c r="M5919" s="6" t="s">
        <v>77</v>
      </c>
      <c r="N5919" s="28" t="s">
        <v>77</v>
      </c>
      <c r="O5919" s="26" t="s">
        <v>77</v>
      </c>
    </row>
    <row r="5920">
      <c r="A5920" s="52" t="s">
        <v>77</v>
      </c>
      <c r="B5920" s="28" t="s">
        <v>77</v>
      </c>
      <c r="C5920" s="28" t="s">
        <v>77</v>
      </c>
      <c r="D5920" s="28" t="s">
        <v>77</v>
      </c>
      <c r="E5920" s="28" t="s">
        <v>77</v>
      </c>
      <c r="F5920" s="28" t="s">
        <v>77</v>
      </c>
      <c r="G5920" s="28" t="s">
        <v>77</v>
      </c>
      <c r="I5920" s="26" t="s">
        <v>77</v>
      </c>
      <c r="J5920" s="26" t="s">
        <v>77</v>
      </c>
      <c r="K5920" s="18"/>
      <c r="L5920" s="26" t="s">
        <v>77</v>
      </c>
      <c r="M5920" s="6" t="s">
        <v>77</v>
      </c>
      <c r="N5920" s="28" t="s">
        <v>77</v>
      </c>
      <c r="O5920" s="26" t="s">
        <v>77</v>
      </c>
    </row>
    <row r="5921">
      <c r="A5921" s="52" t="s">
        <v>77</v>
      </c>
      <c r="B5921" s="28" t="s">
        <v>77</v>
      </c>
      <c r="C5921" s="28" t="s">
        <v>77</v>
      </c>
      <c r="D5921" s="28" t="s">
        <v>77</v>
      </c>
      <c r="E5921" s="28" t="s">
        <v>77</v>
      </c>
      <c r="F5921" s="28" t="s">
        <v>77</v>
      </c>
      <c r="G5921" s="28" t="s">
        <v>77</v>
      </c>
      <c r="I5921" s="26" t="s">
        <v>77</v>
      </c>
      <c r="J5921" s="26" t="s">
        <v>77</v>
      </c>
      <c r="K5921" s="18"/>
      <c r="L5921" s="26" t="s">
        <v>77</v>
      </c>
      <c r="M5921" s="6" t="s">
        <v>77</v>
      </c>
      <c r="N5921" s="28" t="s">
        <v>77</v>
      </c>
      <c r="O5921" s="26" t="s">
        <v>77</v>
      </c>
    </row>
    <row r="5922">
      <c r="A5922" s="52" t="s">
        <v>77</v>
      </c>
      <c r="B5922" s="28" t="s">
        <v>77</v>
      </c>
      <c r="C5922" s="28" t="s">
        <v>77</v>
      </c>
      <c r="D5922" s="28" t="s">
        <v>77</v>
      </c>
      <c r="E5922" s="28" t="s">
        <v>77</v>
      </c>
      <c r="F5922" s="28" t="s">
        <v>77</v>
      </c>
      <c r="G5922" s="28" t="s">
        <v>77</v>
      </c>
      <c r="I5922" s="26" t="s">
        <v>77</v>
      </c>
      <c r="J5922" s="26" t="s">
        <v>77</v>
      </c>
      <c r="K5922" s="18"/>
      <c r="L5922" s="26" t="s">
        <v>77</v>
      </c>
      <c r="M5922" s="6" t="s">
        <v>77</v>
      </c>
      <c r="N5922" s="28" t="s">
        <v>77</v>
      </c>
      <c r="O5922" s="26" t="s">
        <v>77</v>
      </c>
    </row>
    <row r="5923">
      <c r="A5923" s="52" t="s">
        <v>77</v>
      </c>
      <c r="B5923" s="28" t="s">
        <v>77</v>
      </c>
      <c r="C5923" s="28" t="s">
        <v>77</v>
      </c>
      <c r="D5923" s="28" t="s">
        <v>77</v>
      </c>
      <c r="E5923" s="28" t="s">
        <v>77</v>
      </c>
      <c r="F5923" s="28" t="s">
        <v>77</v>
      </c>
      <c r="G5923" s="28" t="s">
        <v>77</v>
      </c>
      <c r="I5923" s="26" t="s">
        <v>77</v>
      </c>
      <c r="J5923" s="26" t="s">
        <v>77</v>
      </c>
      <c r="K5923" s="18"/>
      <c r="L5923" s="26" t="s">
        <v>77</v>
      </c>
      <c r="M5923" s="6" t="s">
        <v>77</v>
      </c>
      <c r="N5923" s="28" t="s">
        <v>77</v>
      </c>
      <c r="O5923" s="26" t="s">
        <v>77</v>
      </c>
    </row>
    <row r="5924">
      <c r="A5924" s="52" t="s">
        <v>77</v>
      </c>
      <c r="B5924" s="28" t="s">
        <v>77</v>
      </c>
      <c r="C5924" s="28" t="s">
        <v>77</v>
      </c>
      <c r="D5924" s="28" t="s">
        <v>77</v>
      </c>
      <c r="E5924" s="28" t="s">
        <v>77</v>
      </c>
      <c r="F5924" s="28" t="s">
        <v>77</v>
      </c>
      <c r="G5924" s="28" t="s">
        <v>77</v>
      </c>
      <c r="I5924" s="26" t="s">
        <v>77</v>
      </c>
      <c r="J5924" s="26" t="s">
        <v>77</v>
      </c>
      <c r="K5924" s="18"/>
      <c r="L5924" s="26" t="s">
        <v>77</v>
      </c>
      <c r="M5924" s="6" t="s">
        <v>77</v>
      </c>
      <c r="N5924" s="28" t="s">
        <v>77</v>
      </c>
      <c r="O5924" s="26" t="s">
        <v>77</v>
      </c>
    </row>
    <row r="5925">
      <c r="A5925" s="52" t="s">
        <v>77</v>
      </c>
      <c r="B5925" s="28" t="s">
        <v>77</v>
      </c>
      <c r="C5925" s="28" t="s">
        <v>77</v>
      </c>
      <c r="D5925" s="28" t="s">
        <v>77</v>
      </c>
      <c r="E5925" s="28" t="s">
        <v>77</v>
      </c>
      <c r="F5925" s="28" t="s">
        <v>77</v>
      </c>
      <c r="G5925" s="28" t="s">
        <v>77</v>
      </c>
      <c r="I5925" s="26" t="s">
        <v>77</v>
      </c>
      <c r="J5925" s="26" t="s">
        <v>77</v>
      </c>
      <c r="K5925" s="18"/>
      <c r="L5925" s="26" t="s">
        <v>77</v>
      </c>
      <c r="M5925" s="6" t="s">
        <v>77</v>
      </c>
      <c r="N5925" s="28" t="s">
        <v>77</v>
      </c>
      <c r="O5925" s="26" t="s">
        <v>77</v>
      </c>
    </row>
    <row r="5926">
      <c r="A5926" s="52" t="s">
        <v>77</v>
      </c>
      <c r="B5926" s="28" t="s">
        <v>77</v>
      </c>
      <c r="C5926" s="28" t="s">
        <v>77</v>
      </c>
      <c r="D5926" s="28" t="s">
        <v>77</v>
      </c>
      <c r="E5926" s="28" t="s">
        <v>77</v>
      </c>
      <c r="F5926" s="28" t="s">
        <v>77</v>
      </c>
      <c r="G5926" s="28" t="s">
        <v>77</v>
      </c>
      <c r="I5926" s="26" t="s">
        <v>77</v>
      </c>
      <c r="J5926" s="26" t="s">
        <v>77</v>
      </c>
      <c r="K5926" s="18"/>
      <c r="L5926" s="26" t="s">
        <v>77</v>
      </c>
      <c r="M5926" s="6" t="s">
        <v>77</v>
      </c>
      <c r="N5926" s="28" t="s">
        <v>77</v>
      </c>
      <c r="O5926" s="26" t="s">
        <v>77</v>
      </c>
    </row>
    <row r="5927">
      <c r="A5927" s="52" t="s">
        <v>77</v>
      </c>
      <c r="B5927" s="28" t="s">
        <v>77</v>
      </c>
      <c r="C5927" s="28" t="s">
        <v>77</v>
      </c>
      <c r="D5927" s="28" t="s">
        <v>77</v>
      </c>
      <c r="E5927" s="28" t="s">
        <v>77</v>
      </c>
      <c r="F5927" s="28" t="s">
        <v>77</v>
      </c>
      <c r="G5927" s="28" t="s">
        <v>77</v>
      </c>
      <c r="I5927" s="26" t="s">
        <v>77</v>
      </c>
      <c r="J5927" s="26" t="s">
        <v>77</v>
      </c>
      <c r="K5927" s="18"/>
      <c r="L5927" s="26" t="s">
        <v>77</v>
      </c>
      <c r="M5927" s="6" t="s">
        <v>77</v>
      </c>
      <c r="N5927" s="28" t="s">
        <v>77</v>
      </c>
      <c r="O5927" s="26" t="s">
        <v>77</v>
      </c>
    </row>
    <row r="5928">
      <c r="A5928" s="52" t="s">
        <v>77</v>
      </c>
      <c r="B5928" s="28" t="s">
        <v>77</v>
      </c>
      <c r="C5928" s="28" t="s">
        <v>77</v>
      </c>
      <c r="D5928" s="28" t="s">
        <v>77</v>
      </c>
      <c r="E5928" s="28" t="s">
        <v>77</v>
      </c>
      <c r="F5928" s="28" t="s">
        <v>77</v>
      </c>
      <c r="G5928" s="28" t="s">
        <v>77</v>
      </c>
      <c r="I5928" s="26" t="s">
        <v>77</v>
      </c>
      <c r="J5928" s="26" t="s">
        <v>77</v>
      </c>
      <c r="K5928" s="18"/>
      <c r="L5928" s="26" t="s">
        <v>77</v>
      </c>
      <c r="M5928" s="6" t="s">
        <v>77</v>
      </c>
      <c r="N5928" s="28" t="s">
        <v>77</v>
      </c>
      <c r="O5928" s="26" t="s">
        <v>77</v>
      </c>
    </row>
    <row r="5929">
      <c r="A5929" s="52" t="s">
        <v>77</v>
      </c>
      <c r="B5929" s="28" t="s">
        <v>77</v>
      </c>
      <c r="C5929" s="28" t="s">
        <v>77</v>
      </c>
      <c r="D5929" s="28" t="s">
        <v>77</v>
      </c>
      <c r="E5929" s="28" t="s">
        <v>77</v>
      </c>
      <c r="F5929" s="28" t="s">
        <v>77</v>
      </c>
      <c r="G5929" s="28" t="s">
        <v>77</v>
      </c>
      <c r="I5929" s="26" t="s">
        <v>77</v>
      </c>
      <c r="J5929" s="26" t="s">
        <v>77</v>
      </c>
      <c r="K5929" s="18"/>
      <c r="L5929" s="26" t="s">
        <v>77</v>
      </c>
      <c r="M5929" s="6" t="s">
        <v>77</v>
      </c>
      <c r="N5929" s="28" t="s">
        <v>77</v>
      </c>
      <c r="O5929" s="26" t="s">
        <v>77</v>
      </c>
    </row>
    <row r="5930">
      <c r="A5930" s="52" t="s">
        <v>77</v>
      </c>
      <c r="B5930" s="28" t="s">
        <v>77</v>
      </c>
      <c r="C5930" s="28" t="s">
        <v>77</v>
      </c>
      <c r="D5930" s="28" t="s">
        <v>77</v>
      </c>
      <c r="E5930" s="28" t="s">
        <v>77</v>
      </c>
      <c r="F5930" s="28" t="s">
        <v>77</v>
      </c>
      <c r="G5930" s="28" t="s">
        <v>77</v>
      </c>
      <c r="I5930" s="26" t="s">
        <v>77</v>
      </c>
      <c r="J5930" s="26" t="s">
        <v>77</v>
      </c>
      <c r="K5930" s="18"/>
      <c r="L5930" s="26" t="s">
        <v>77</v>
      </c>
      <c r="M5930" s="6" t="s">
        <v>77</v>
      </c>
      <c r="N5930" s="28" t="s">
        <v>77</v>
      </c>
      <c r="O5930" s="26" t="s">
        <v>77</v>
      </c>
    </row>
    <row r="5931">
      <c r="A5931" s="52" t="s">
        <v>77</v>
      </c>
      <c r="B5931" s="28" t="s">
        <v>77</v>
      </c>
      <c r="C5931" s="28" t="s">
        <v>77</v>
      </c>
      <c r="D5931" s="28" t="s">
        <v>77</v>
      </c>
      <c r="E5931" s="28" t="s">
        <v>77</v>
      </c>
      <c r="F5931" s="28" t="s">
        <v>77</v>
      </c>
      <c r="G5931" s="28" t="s">
        <v>77</v>
      </c>
      <c r="I5931" s="26" t="s">
        <v>77</v>
      </c>
      <c r="J5931" s="26" t="s">
        <v>77</v>
      </c>
      <c r="K5931" s="18"/>
      <c r="L5931" s="26" t="s">
        <v>77</v>
      </c>
      <c r="M5931" s="6" t="s">
        <v>77</v>
      </c>
      <c r="N5931" s="28" t="s">
        <v>77</v>
      </c>
      <c r="O5931" s="26" t="s">
        <v>77</v>
      </c>
    </row>
    <row r="5932">
      <c r="A5932" s="52" t="s">
        <v>77</v>
      </c>
      <c r="B5932" s="28" t="s">
        <v>77</v>
      </c>
      <c r="C5932" s="28" t="s">
        <v>77</v>
      </c>
      <c r="D5932" s="28" t="s">
        <v>77</v>
      </c>
      <c r="E5932" s="28" t="s">
        <v>77</v>
      </c>
      <c r="F5932" s="28" t="s">
        <v>77</v>
      </c>
      <c r="G5932" s="28" t="s">
        <v>77</v>
      </c>
      <c r="I5932" s="26" t="s">
        <v>77</v>
      </c>
      <c r="J5932" s="26" t="s">
        <v>77</v>
      </c>
      <c r="K5932" s="18"/>
      <c r="L5932" s="26" t="s">
        <v>77</v>
      </c>
      <c r="M5932" s="6" t="s">
        <v>77</v>
      </c>
      <c r="N5932" s="28" t="s">
        <v>77</v>
      </c>
      <c r="O5932" s="26" t="s">
        <v>77</v>
      </c>
    </row>
    <row r="5933">
      <c r="A5933" s="52" t="s">
        <v>77</v>
      </c>
      <c r="B5933" s="28" t="s">
        <v>77</v>
      </c>
      <c r="C5933" s="28" t="s">
        <v>77</v>
      </c>
      <c r="D5933" s="28" t="s">
        <v>77</v>
      </c>
      <c r="E5933" s="28" t="s">
        <v>77</v>
      </c>
      <c r="F5933" s="28" t="s">
        <v>77</v>
      </c>
      <c r="G5933" s="28" t="s">
        <v>77</v>
      </c>
      <c r="I5933" s="26" t="s">
        <v>77</v>
      </c>
      <c r="J5933" s="26" t="s">
        <v>77</v>
      </c>
      <c r="K5933" s="18"/>
      <c r="L5933" s="26" t="s">
        <v>77</v>
      </c>
      <c r="M5933" s="6" t="s">
        <v>77</v>
      </c>
      <c r="N5933" s="28" t="s">
        <v>77</v>
      </c>
      <c r="O5933" s="26" t="s">
        <v>77</v>
      </c>
    </row>
    <row r="5934">
      <c r="A5934" s="52" t="s">
        <v>77</v>
      </c>
      <c r="B5934" s="28" t="s">
        <v>77</v>
      </c>
      <c r="C5934" s="28" t="s">
        <v>77</v>
      </c>
      <c r="D5934" s="28" t="s">
        <v>77</v>
      </c>
      <c r="E5934" s="28" t="s">
        <v>77</v>
      </c>
      <c r="F5934" s="28" t="s">
        <v>77</v>
      </c>
      <c r="G5934" s="28" t="s">
        <v>77</v>
      </c>
      <c r="I5934" s="26" t="s">
        <v>77</v>
      </c>
      <c r="J5934" s="26" t="s">
        <v>77</v>
      </c>
      <c r="K5934" s="18"/>
      <c r="L5934" s="26" t="s">
        <v>77</v>
      </c>
      <c r="M5934" s="6" t="s">
        <v>77</v>
      </c>
      <c r="N5934" s="28" t="s">
        <v>77</v>
      </c>
      <c r="O5934" s="26" t="s">
        <v>77</v>
      </c>
    </row>
    <row r="5935">
      <c r="A5935" s="52" t="s">
        <v>77</v>
      </c>
      <c r="B5935" s="28" t="s">
        <v>77</v>
      </c>
      <c r="C5935" s="28" t="s">
        <v>77</v>
      </c>
      <c r="D5935" s="28" t="s">
        <v>77</v>
      </c>
      <c r="E5935" s="28" t="s">
        <v>77</v>
      </c>
      <c r="F5935" s="28" t="s">
        <v>77</v>
      </c>
      <c r="G5935" s="28" t="s">
        <v>77</v>
      </c>
      <c r="I5935" s="26" t="s">
        <v>77</v>
      </c>
      <c r="J5935" s="26" t="s">
        <v>77</v>
      </c>
      <c r="K5935" s="18"/>
      <c r="L5935" s="26" t="s">
        <v>77</v>
      </c>
      <c r="M5935" s="6" t="s">
        <v>77</v>
      </c>
      <c r="N5935" s="28" t="s">
        <v>77</v>
      </c>
      <c r="O5935" s="26" t="s">
        <v>77</v>
      </c>
    </row>
    <row r="5936">
      <c r="A5936" s="52" t="s">
        <v>77</v>
      </c>
      <c r="B5936" s="28" t="s">
        <v>77</v>
      </c>
      <c r="C5936" s="28" t="s">
        <v>77</v>
      </c>
      <c r="D5936" s="28" t="s">
        <v>77</v>
      </c>
      <c r="E5936" s="28" t="s">
        <v>77</v>
      </c>
      <c r="F5936" s="28" t="s">
        <v>77</v>
      </c>
      <c r="G5936" s="28" t="s">
        <v>77</v>
      </c>
      <c r="I5936" s="26" t="s">
        <v>77</v>
      </c>
      <c r="J5936" s="26" t="s">
        <v>77</v>
      </c>
      <c r="K5936" s="18"/>
      <c r="L5936" s="26" t="s">
        <v>77</v>
      </c>
      <c r="M5936" s="6" t="s">
        <v>77</v>
      </c>
      <c r="N5936" s="28" t="s">
        <v>77</v>
      </c>
      <c r="O5936" s="26" t="s">
        <v>77</v>
      </c>
    </row>
    <row r="5937">
      <c r="A5937" s="52" t="s">
        <v>77</v>
      </c>
      <c r="B5937" s="28" t="s">
        <v>77</v>
      </c>
      <c r="C5937" s="28" t="s">
        <v>77</v>
      </c>
      <c r="D5937" s="28" t="s">
        <v>77</v>
      </c>
      <c r="E5937" s="28" t="s">
        <v>77</v>
      </c>
      <c r="F5937" s="28" t="s">
        <v>77</v>
      </c>
      <c r="G5937" s="28" t="s">
        <v>77</v>
      </c>
      <c r="I5937" s="26" t="s">
        <v>77</v>
      </c>
      <c r="J5937" s="26" t="s">
        <v>77</v>
      </c>
      <c r="K5937" s="18"/>
      <c r="L5937" s="26" t="s">
        <v>77</v>
      </c>
      <c r="M5937" s="6" t="s">
        <v>77</v>
      </c>
      <c r="N5937" s="28" t="s">
        <v>77</v>
      </c>
      <c r="O5937" s="26" t="s">
        <v>77</v>
      </c>
    </row>
    <row r="5938">
      <c r="A5938" s="52" t="s">
        <v>77</v>
      </c>
      <c r="B5938" s="28" t="s">
        <v>77</v>
      </c>
      <c r="C5938" s="28" t="s">
        <v>77</v>
      </c>
      <c r="D5938" s="28" t="s">
        <v>77</v>
      </c>
      <c r="E5938" s="28" t="s">
        <v>77</v>
      </c>
      <c r="F5938" s="28" t="s">
        <v>77</v>
      </c>
      <c r="G5938" s="28" t="s">
        <v>77</v>
      </c>
      <c r="I5938" s="26" t="s">
        <v>77</v>
      </c>
      <c r="J5938" s="26" t="s">
        <v>77</v>
      </c>
      <c r="K5938" s="18"/>
      <c r="L5938" s="26" t="s">
        <v>77</v>
      </c>
      <c r="M5938" s="6" t="s">
        <v>77</v>
      </c>
      <c r="N5938" s="28" t="s">
        <v>77</v>
      </c>
      <c r="O5938" s="26" t="s">
        <v>77</v>
      </c>
    </row>
    <row r="5939">
      <c r="A5939" s="52" t="s">
        <v>77</v>
      </c>
      <c r="B5939" s="28" t="s">
        <v>77</v>
      </c>
      <c r="C5939" s="28" t="s">
        <v>77</v>
      </c>
      <c r="D5939" s="28" t="s">
        <v>77</v>
      </c>
      <c r="E5939" s="28" t="s">
        <v>77</v>
      </c>
      <c r="F5939" s="28" t="s">
        <v>77</v>
      </c>
      <c r="G5939" s="28" t="s">
        <v>77</v>
      </c>
      <c r="I5939" s="26" t="s">
        <v>77</v>
      </c>
      <c r="J5939" s="26" t="s">
        <v>77</v>
      </c>
      <c r="K5939" s="18"/>
      <c r="L5939" s="26" t="s">
        <v>77</v>
      </c>
      <c r="M5939" s="6" t="s">
        <v>77</v>
      </c>
      <c r="N5939" s="28" t="s">
        <v>77</v>
      </c>
      <c r="O5939" s="26" t="s">
        <v>77</v>
      </c>
    </row>
    <row r="5940">
      <c r="A5940" s="52" t="s">
        <v>77</v>
      </c>
      <c r="B5940" s="28" t="s">
        <v>77</v>
      </c>
      <c r="C5940" s="28" t="s">
        <v>77</v>
      </c>
      <c r="D5940" s="28" t="s">
        <v>77</v>
      </c>
      <c r="E5940" s="28" t="s">
        <v>77</v>
      </c>
      <c r="F5940" s="28" t="s">
        <v>77</v>
      </c>
      <c r="G5940" s="28" t="s">
        <v>77</v>
      </c>
      <c r="I5940" s="26" t="s">
        <v>77</v>
      </c>
      <c r="J5940" s="26" t="s">
        <v>77</v>
      </c>
      <c r="K5940" s="18"/>
      <c r="L5940" s="26" t="s">
        <v>77</v>
      </c>
      <c r="M5940" s="6" t="s">
        <v>77</v>
      </c>
      <c r="N5940" s="28" t="s">
        <v>77</v>
      </c>
      <c r="O5940" s="26" t="s">
        <v>77</v>
      </c>
    </row>
    <row r="5941">
      <c r="A5941" s="52" t="s">
        <v>77</v>
      </c>
      <c r="B5941" s="28" t="s">
        <v>77</v>
      </c>
      <c r="C5941" s="28" t="s">
        <v>77</v>
      </c>
      <c r="D5941" s="28" t="s">
        <v>77</v>
      </c>
      <c r="E5941" s="28" t="s">
        <v>77</v>
      </c>
      <c r="F5941" s="28" t="s">
        <v>77</v>
      </c>
      <c r="G5941" s="28" t="s">
        <v>77</v>
      </c>
      <c r="I5941" s="26" t="s">
        <v>77</v>
      </c>
      <c r="J5941" s="26" t="s">
        <v>77</v>
      </c>
      <c r="K5941" s="18"/>
      <c r="L5941" s="26" t="s">
        <v>77</v>
      </c>
      <c r="M5941" s="6" t="s">
        <v>77</v>
      </c>
      <c r="N5941" s="28" t="s">
        <v>77</v>
      </c>
      <c r="O5941" s="26" t="s">
        <v>77</v>
      </c>
    </row>
    <row r="5942">
      <c r="A5942" s="52" t="s">
        <v>77</v>
      </c>
      <c r="B5942" s="28" t="s">
        <v>77</v>
      </c>
      <c r="C5942" s="28" t="s">
        <v>77</v>
      </c>
      <c r="D5942" s="28" t="s">
        <v>77</v>
      </c>
      <c r="E5942" s="28" t="s">
        <v>77</v>
      </c>
      <c r="F5942" s="28" t="s">
        <v>77</v>
      </c>
      <c r="G5942" s="28" t="s">
        <v>77</v>
      </c>
      <c r="I5942" s="26" t="s">
        <v>77</v>
      </c>
      <c r="J5942" s="26" t="s">
        <v>77</v>
      </c>
      <c r="K5942" s="18"/>
      <c r="L5942" s="26" t="s">
        <v>77</v>
      </c>
      <c r="M5942" s="6" t="s">
        <v>77</v>
      </c>
      <c r="N5942" s="28" t="s">
        <v>77</v>
      </c>
      <c r="O5942" s="26" t="s">
        <v>77</v>
      </c>
    </row>
    <row r="5943">
      <c r="A5943" s="52" t="s">
        <v>77</v>
      </c>
      <c r="B5943" s="28" t="s">
        <v>77</v>
      </c>
      <c r="C5943" s="28" t="s">
        <v>77</v>
      </c>
      <c r="D5943" s="28" t="s">
        <v>77</v>
      </c>
      <c r="E5943" s="28" t="s">
        <v>77</v>
      </c>
      <c r="F5943" s="28" t="s">
        <v>77</v>
      </c>
      <c r="G5943" s="28" t="s">
        <v>77</v>
      </c>
      <c r="I5943" s="26" t="s">
        <v>77</v>
      </c>
      <c r="J5943" s="26" t="s">
        <v>77</v>
      </c>
      <c r="K5943" s="18"/>
      <c r="L5943" s="26" t="s">
        <v>77</v>
      </c>
      <c r="M5943" s="6" t="s">
        <v>77</v>
      </c>
      <c r="N5943" s="28" t="s">
        <v>77</v>
      </c>
      <c r="O5943" s="26" t="s">
        <v>77</v>
      </c>
    </row>
    <row r="5944">
      <c r="A5944" s="52" t="s">
        <v>77</v>
      </c>
      <c r="B5944" s="28" t="s">
        <v>77</v>
      </c>
      <c r="C5944" s="28" t="s">
        <v>77</v>
      </c>
      <c r="D5944" s="28" t="s">
        <v>77</v>
      </c>
      <c r="E5944" s="28" t="s">
        <v>77</v>
      </c>
      <c r="F5944" s="28" t="s">
        <v>77</v>
      </c>
      <c r="G5944" s="28" t="s">
        <v>77</v>
      </c>
      <c r="I5944" s="26" t="s">
        <v>77</v>
      </c>
      <c r="J5944" s="26" t="s">
        <v>77</v>
      </c>
      <c r="K5944" s="18"/>
      <c r="L5944" s="26" t="s">
        <v>77</v>
      </c>
      <c r="M5944" s="6" t="s">
        <v>77</v>
      </c>
      <c r="N5944" s="28" t="s">
        <v>77</v>
      </c>
      <c r="O5944" s="26" t="s">
        <v>77</v>
      </c>
    </row>
    <row r="5945">
      <c r="A5945" s="52" t="s">
        <v>77</v>
      </c>
      <c r="B5945" s="28" t="s">
        <v>77</v>
      </c>
      <c r="C5945" s="28" t="s">
        <v>77</v>
      </c>
      <c r="D5945" s="28" t="s">
        <v>77</v>
      </c>
      <c r="E5945" s="28" t="s">
        <v>77</v>
      </c>
      <c r="F5945" s="28" t="s">
        <v>77</v>
      </c>
      <c r="G5945" s="28" t="s">
        <v>77</v>
      </c>
      <c r="I5945" s="26" t="s">
        <v>77</v>
      </c>
      <c r="J5945" s="26" t="s">
        <v>77</v>
      </c>
      <c r="K5945" s="18"/>
      <c r="L5945" s="26" t="s">
        <v>77</v>
      </c>
      <c r="M5945" s="6" t="s">
        <v>77</v>
      </c>
      <c r="N5945" s="28" t="s">
        <v>77</v>
      </c>
      <c r="O5945" s="26" t="s">
        <v>77</v>
      </c>
    </row>
    <row r="5946">
      <c r="A5946" s="52" t="s">
        <v>77</v>
      </c>
      <c r="B5946" s="28" t="s">
        <v>77</v>
      </c>
      <c r="C5946" s="28" t="s">
        <v>77</v>
      </c>
      <c r="D5946" s="28" t="s">
        <v>77</v>
      </c>
      <c r="E5946" s="28" t="s">
        <v>77</v>
      </c>
      <c r="F5946" s="28" t="s">
        <v>77</v>
      </c>
      <c r="G5946" s="28" t="s">
        <v>77</v>
      </c>
      <c r="I5946" s="26" t="s">
        <v>77</v>
      </c>
      <c r="J5946" s="26" t="s">
        <v>77</v>
      </c>
      <c r="K5946" s="18"/>
      <c r="L5946" s="26" t="s">
        <v>77</v>
      </c>
      <c r="M5946" s="6" t="s">
        <v>77</v>
      </c>
      <c r="N5946" s="28" t="s">
        <v>77</v>
      </c>
      <c r="O5946" s="26" t="s">
        <v>77</v>
      </c>
    </row>
    <row r="5947">
      <c r="A5947" s="52" t="s">
        <v>77</v>
      </c>
      <c r="B5947" s="28" t="s">
        <v>77</v>
      </c>
      <c r="C5947" s="28" t="s">
        <v>77</v>
      </c>
      <c r="D5947" s="28" t="s">
        <v>77</v>
      </c>
      <c r="E5947" s="28" t="s">
        <v>77</v>
      </c>
      <c r="F5947" s="28" t="s">
        <v>77</v>
      </c>
      <c r="G5947" s="28" t="s">
        <v>77</v>
      </c>
      <c r="I5947" s="26" t="s">
        <v>77</v>
      </c>
      <c r="J5947" s="26" t="s">
        <v>77</v>
      </c>
      <c r="K5947" s="18"/>
      <c r="L5947" s="26" t="s">
        <v>77</v>
      </c>
      <c r="M5947" s="6" t="s">
        <v>77</v>
      </c>
      <c r="N5947" s="28" t="s">
        <v>77</v>
      </c>
      <c r="O5947" s="26" t="s">
        <v>77</v>
      </c>
    </row>
    <row r="5948">
      <c r="A5948" s="52" t="s">
        <v>77</v>
      </c>
      <c r="B5948" s="28" t="s">
        <v>77</v>
      </c>
      <c r="C5948" s="28" t="s">
        <v>77</v>
      </c>
      <c r="D5948" s="28" t="s">
        <v>77</v>
      </c>
      <c r="E5948" s="28" t="s">
        <v>77</v>
      </c>
      <c r="F5948" s="28" t="s">
        <v>77</v>
      </c>
      <c r="G5948" s="28" t="s">
        <v>77</v>
      </c>
      <c r="I5948" s="26" t="s">
        <v>77</v>
      </c>
      <c r="J5948" s="26" t="s">
        <v>77</v>
      </c>
      <c r="K5948" s="18"/>
      <c r="L5948" s="26" t="s">
        <v>77</v>
      </c>
      <c r="M5948" s="6" t="s">
        <v>77</v>
      </c>
      <c r="N5948" s="28" t="s">
        <v>77</v>
      </c>
      <c r="O5948" s="26" t="s">
        <v>77</v>
      </c>
    </row>
    <row r="5949">
      <c r="A5949" s="52" t="s">
        <v>77</v>
      </c>
      <c r="B5949" s="28" t="s">
        <v>77</v>
      </c>
      <c r="C5949" s="28" t="s">
        <v>77</v>
      </c>
      <c r="D5949" s="28" t="s">
        <v>77</v>
      </c>
      <c r="E5949" s="28" t="s">
        <v>77</v>
      </c>
      <c r="F5949" s="28" t="s">
        <v>77</v>
      </c>
      <c r="G5949" s="28" t="s">
        <v>77</v>
      </c>
      <c r="I5949" s="26" t="s">
        <v>77</v>
      </c>
      <c r="J5949" s="26" t="s">
        <v>77</v>
      </c>
      <c r="K5949" s="18"/>
      <c r="L5949" s="26" t="s">
        <v>77</v>
      </c>
      <c r="M5949" s="6" t="s">
        <v>77</v>
      </c>
      <c r="N5949" s="28" t="s">
        <v>77</v>
      </c>
      <c r="O5949" s="26" t="s">
        <v>77</v>
      </c>
    </row>
    <row r="5950">
      <c r="A5950" s="52" t="s">
        <v>77</v>
      </c>
      <c r="B5950" s="28" t="s">
        <v>77</v>
      </c>
      <c r="C5950" s="28" t="s">
        <v>77</v>
      </c>
      <c r="D5950" s="28" t="s">
        <v>77</v>
      </c>
      <c r="E5950" s="28" t="s">
        <v>77</v>
      </c>
      <c r="F5950" s="28" t="s">
        <v>77</v>
      </c>
      <c r="G5950" s="28" t="s">
        <v>77</v>
      </c>
      <c r="I5950" s="26" t="s">
        <v>77</v>
      </c>
      <c r="J5950" s="26" t="s">
        <v>77</v>
      </c>
      <c r="K5950" s="18"/>
      <c r="L5950" s="26" t="s">
        <v>77</v>
      </c>
      <c r="M5950" s="6" t="s">
        <v>77</v>
      </c>
      <c r="N5950" s="28" t="s">
        <v>77</v>
      </c>
      <c r="O5950" s="26" t="s">
        <v>77</v>
      </c>
    </row>
    <row r="5951">
      <c r="A5951" s="52" t="s">
        <v>77</v>
      </c>
      <c r="B5951" s="28" t="s">
        <v>77</v>
      </c>
      <c r="C5951" s="28" t="s">
        <v>77</v>
      </c>
      <c r="D5951" s="28" t="s">
        <v>77</v>
      </c>
      <c r="E5951" s="28" t="s">
        <v>77</v>
      </c>
      <c r="F5951" s="28" t="s">
        <v>77</v>
      </c>
      <c r="G5951" s="28" t="s">
        <v>77</v>
      </c>
      <c r="I5951" s="26" t="s">
        <v>77</v>
      </c>
      <c r="J5951" s="26" t="s">
        <v>77</v>
      </c>
      <c r="K5951" s="18"/>
      <c r="L5951" s="26" t="s">
        <v>77</v>
      </c>
      <c r="M5951" s="6" t="s">
        <v>77</v>
      </c>
      <c r="N5951" s="28" t="s">
        <v>77</v>
      </c>
      <c r="O5951" s="26" t="s">
        <v>77</v>
      </c>
    </row>
    <row r="5952">
      <c r="A5952" s="52" t="s">
        <v>77</v>
      </c>
      <c r="B5952" s="28" t="s">
        <v>77</v>
      </c>
      <c r="C5952" s="28" t="s">
        <v>77</v>
      </c>
      <c r="D5952" s="28" t="s">
        <v>77</v>
      </c>
      <c r="E5952" s="28" t="s">
        <v>77</v>
      </c>
      <c r="F5952" s="28" t="s">
        <v>77</v>
      </c>
      <c r="G5952" s="28" t="s">
        <v>77</v>
      </c>
      <c r="I5952" s="26" t="s">
        <v>77</v>
      </c>
      <c r="J5952" s="26" t="s">
        <v>77</v>
      </c>
      <c r="K5952" s="18"/>
      <c r="L5952" s="26" t="s">
        <v>77</v>
      </c>
      <c r="M5952" s="6" t="s">
        <v>77</v>
      </c>
      <c r="N5952" s="28" t="s">
        <v>77</v>
      </c>
      <c r="O5952" s="26" t="s">
        <v>77</v>
      </c>
    </row>
    <row r="5953">
      <c r="A5953" s="52" t="s">
        <v>77</v>
      </c>
      <c r="B5953" s="28" t="s">
        <v>77</v>
      </c>
      <c r="C5953" s="28" t="s">
        <v>77</v>
      </c>
      <c r="D5953" s="28" t="s">
        <v>77</v>
      </c>
      <c r="E5953" s="28" t="s">
        <v>77</v>
      </c>
      <c r="F5953" s="28" t="s">
        <v>77</v>
      </c>
      <c r="G5953" s="28" t="s">
        <v>77</v>
      </c>
      <c r="I5953" s="26" t="s">
        <v>77</v>
      </c>
      <c r="J5953" s="26" t="s">
        <v>77</v>
      </c>
      <c r="K5953" s="18"/>
      <c r="L5953" s="26" t="s">
        <v>77</v>
      </c>
      <c r="M5953" s="6" t="s">
        <v>77</v>
      </c>
      <c r="N5953" s="28" t="s">
        <v>77</v>
      </c>
      <c r="O5953" s="26" t="s">
        <v>77</v>
      </c>
    </row>
    <row r="5954">
      <c r="A5954" s="52" t="s">
        <v>77</v>
      </c>
      <c r="B5954" s="28" t="s">
        <v>77</v>
      </c>
      <c r="C5954" s="28" t="s">
        <v>77</v>
      </c>
      <c r="D5954" s="28" t="s">
        <v>77</v>
      </c>
      <c r="E5954" s="28" t="s">
        <v>77</v>
      </c>
      <c r="F5954" s="28" t="s">
        <v>77</v>
      </c>
      <c r="G5954" s="28" t="s">
        <v>77</v>
      </c>
      <c r="I5954" s="26" t="s">
        <v>77</v>
      </c>
      <c r="J5954" s="26" t="s">
        <v>77</v>
      </c>
      <c r="K5954" s="18"/>
      <c r="L5954" s="26" t="s">
        <v>77</v>
      </c>
      <c r="M5954" s="6" t="s">
        <v>77</v>
      </c>
      <c r="N5954" s="28" t="s">
        <v>77</v>
      </c>
      <c r="O5954" s="26" t="s">
        <v>77</v>
      </c>
    </row>
    <row r="5955">
      <c r="A5955" s="52" t="s">
        <v>77</v>
      </c>
      <c r="B5955" s="28" t="s">
        <v>77</v>
      </c>
      <c r="C5955" s="28" t="s">
        <v>77</v>
      </c>
      <c r="D5955" s="28" t="s">
        <v>77</v>
      </c>
      <c r="E5955" s="28" t="s">
        <v>77</v>
      </c>
      <c r="F5955" s="28" t="s">
        <v>77</v>
      </c>
      <c r="G5955" s="28" t="s">
        <v>77</v>
      </c>
      <c r="I5955" s="26" t="s">
        <v>77</v>
      </c>
      <c r="J5955" s="26" t="s">
        <v>77</v>
      </c>
      <c r="K5955" s="18"/>
      <c r="L5955" s="26" t="s">
        <v>77</v>
      </c>
      <c r="M5955" s="6" t="s">
        <v>77</v>
      </c>
      <c r="N5955" s="28" t="s">
        <v>77</v>
      </c>
      <c r="O5955" s="26" t="s">
        <v>77</v>
      </c>
    </row>
    <row r="5956">
      <c r="A5956" s="52" t="s">
        <v>77</v>
      </c>
      <c r="B5956" s="28" t="s">
        <v>77</v>
      </c>
      <c r="C5956" s="28" t="s">
        <v>77</v>
      </c>
      <c r="D5956" s="28" t="s">
        <v>77</v>
      </c>
      <c r="E5956" s="28" t="s">
        <v>77</v>
      </c>
      <c r="F5956" s="28" t="s">
        <v>77</v>
      </c>
      <c r="G5956" s="28" t="s">
        <v>77</v>
      </c>
      <c r="I5956" s="26" t="s">
        <v>77</v>
      </c>
      <c r="J5956" s="26" t="s">
        <v>77</v>
      </c>
      <c r="K5956" s="18"/>
      <c r="L5956" s="26" t="s">
        <v>77</v>
      </c>
      <c r="M5956" s="6" t="s">
        <v>77</v>
      </c>
      <c r="N5956" s="28" t="s">
        <v>77</v>
      </c>
      <c r="O5956" s="26" t="s">
        <v>77</v>
      </c>
    </row>
    <row r="5957">
      <c r="A5957" s="52" t="s">
        <v>77</v>
      </c>
      <c r="B5957" s="28" t="s">
        <v>77</v>
      </c>
      <c r="C5957" s="28" t="s">
        <v>77</v>
      </c>
      <c r="D5957" s="28" t="s">
        <v>77</v>
      </c>
      <c r="E5957" s="28" t="s">
        <v>77</v>
      </c>
      <c r="F5957" s="28" t="s">
        <v>77</v>
      </c>
      <c r="G5957" s="28" t="s">
        <v>77</v>
      </c>
      <c r="I5957" s="26" t="s">
        <v>77</v>
      </c>
      <c r="J5957" s="26" t="s">
        <v>77</v>
      </c>
      <c r="K5957" s="18"/>
      <c r="L5957" s="26" t="s">
        <v>77</v>
      </c>
      <c r="M5957" s="6" t="s">
        <v>77</v>
      </c>
      <c r="N5957" s="28" t="s">
        <v>77</v>
      </c>
      <c r="O5957" s="26" t="s">
        <v>77</v>
      </c>
    </row>
    <row r="5958">
      <c r="A5958" s="52" t="s">
        <v>77</v>
      </c>
      <c r="B5958" s="28" t="s">
        <v>77</v>
      </c>
      <c r="C5958" s="28" t="s">
        <v>77</v>
      </c>
      <c r="D5958" s="28" t="s">
        <v>77</v>
      </c>
      <c r="E5958" s="28" t="s">
        <v>77</v>
      </c>
      <c r="F5958" s="28" t="s">
        <v>77</v>
      </c>
      <c r="G5958" s="28" t="s">
        <v>77</v>
      </c>
      <c r="I5958" s="26" t="s">
        <v>77</v>
      </c>
      <c r="J5958" s="26" t="s">
        <v>77</v>
      </c>
      <c r="K5958" s="18"/>
      <c r="L5958" s="26" t="s">
        <v>77</v>
      </c>
      <c r="M5958" s="6" t="s">
        <v>77</v>
      </c>
      <c r="N5958" s="28" t="s">
        <v>77</v>
      </c>
      <c r="O5958" s="26" t="s">
        <v>77</v>
      </c>
    </row>
    <row r="5959">
      <c r="A5959" s="52" t="s">
        <v>77</v>
      </c>
      <c r="B5959" s="28" t="s">
        <v>77</v>
      </c>
      <c r="C5959" s="28" t="s">
        <v>77</v>
      </c>
      <c r="D5959" s="28" t="s">
        <v>77</v>
      </c>
      <c r="E5959" s="28" t="s">
        <v>77</v>
      </c>
      <c r="F5959" s="28" t="s">
        <v>77</v>
      </c>
      <c r="G5959" s="28" t="s">
        <v>77</v>
      </c>
      <c r="I5959" s="26" t="s">
        <v>77</v>
      </c>
      <c r="J5959" s="26" t="s">
        <v>77</v>
      </c>
      <c r="K5959" s="18"/>
      <c r="L5959" s="26" t="s">
        <v>77</v>
      </c>
      <c r="M5959" s="6" t="s">
        <v>77</v>
      </c>
      <c r="N5959" s="28" t="s">
        <v>77</v>
      </c>
      <c r="O5959" s="26" t="s">
        <v>77</v>
      </c>
    </row>
    <row r="5960">
      <c r="A5960" s="52" t="s">
        <v>77</v>
      </c>
      <c r="B5960" s="28" t="s">
        <v>77</v>
      </c>
      <c r="C5960" s="28" t="s">
        <v>77</v>
      </c>
      <c r="D5960" s="28" t="s">
        <v>77</v>
      </c>
      <c r="E5960" s="28" t="s">
        <v>77</v>
      </c>
      <c r="F5960" s="28" t="s">
        <v>77</v>
      </c>
      <c r="G5960" s="28" t="s">
        <v>77</v>
      </c>
      <c r="I5960" s="26" t="s">
        <v>77</v>
      </c>
      <c r="J5960" s="26" t="s">
        <v>77</v>
      </c>
      <c r="K5960" s="18"/>
      <c r="L5960" s="26" t="s">
        <v>77</v>
      </c>
      <c r="M5960" s="6" t="s">
        <v>77</v>
      </c>
      <c r="N5960" s="28" t="s">
        <v>77</v>
      </c>
      <c r="O5960" s="26" t="s">
        <v>77</v>
      </c>
    </row>
    <row r="5961">
      <c r="A5961" s="52" t="s">
        <v>77</v>
      </c>
      <c r="B5961" s="28" t="s">
        <v>77</v>
      </c>
      <c r="C5961" s="28" t="s">
        <v>77</v>
      </c>
      <c r="D5961" s="28" t="s">
        <v>77</v>
      </c>
      <c r="E5961" s="28" t="s">
        <v>77</v>
      </c>
      <c r="F5961" s="28" t="s">
        <v>77</v>
      </c>
      <c r="G5961" s="28" t="s">
        <v>77</v>
      </c>
      <c r="I5961" s="26" t="s">
        <v>77</v>
      </c>
      <c r="J5961" s="26" t="s">
        <v>77</v>
      </c>
      <c r="K5961" s="18"/>
      <c r="L5961" s="26" t="s">
        <v>77</v>
      </c>
      <c r="M5961" s="6" t="s">
        <v>77</v>
      </c>
      <c r="N5961" s="28" t="s">
        <v>77</v>
      </c>
      <c r="O5961" s="26" t="s">
        <v>77</v>
      </c>
    </row>
    <row r="5962">
      <c r="A5962" s="52" t="s">
        <v>77</v>
      </c>
      <c r="B5962" s="28" t="s">
        <v>77</v>
      </c>
      <c r="C5962" s="28" t="s">
        <v>77</v>
      </c>
      <c r="D5962" s="28" t="s">
        <v>77</v>
      </c>
      <c r="E5962" s="28" t="s">
        <v>77</v>
      </c>
      <c r="F5962" s="28" t="s">
        <v>77</v>
      </c>
      <c r="G5962" s="28" t="s">
        <v>77</v>
      </c>
      <c r="I5962" s="26" t="s">
        <v>77</v>
      </c>
      <c r="J5962" s="26" t="s">
        <v>77</v>
      </c>
      <c r="K5962" s="18"/>
      <c r="L5962" s="26" t="s">
        <v>77</v>
      </c>
      <c r="M5962" s="6" t="s">
        <v>77</v>
      </c>
      <c r="N5962" s="28" t="s">
        <v>77</v>
      </c>
      <c r="O5962" s="26" t="s">
        <v>77</v>
      </c>
    </row>
    <row r="5963">
      <c r="A5963" s="52" t="s">
        <v>77</v>
      </c>
      <c r="B5963" s="28" t="s">
        <v>77</v>
      </c>
      <c r="C5963" s="28" t="s">
        <v>77</v>
      </c>
      <c r="D5963" s="28" t="s">
        <v>77</v>
      </c>
      <c r="E5963" s="28" t="s">
        <v>77</v>
      </c>
      <c r="F5963" s="28" t="s">
        <v>77</v>
      </c>
      <c r="G5963" s="28" t="s">
        <v>77</v>
      </c>
      <c r="I5963" s="26" t="s">
        <v>77</v>
      </c>
      <c r="J5963" s="26" t="s">
        <v>77</v>
      </c>
      <c r="K5963" s="18"/>
      <c r="L5963" s="26" t="s">
        <v>77</v>
      </c>
      <c r="M5963" s="6" t="s">
        <v>77</v>
      </c>
      <c r="N5963" s="28" t="s">
        <v>77</v>
      </c>
      <c r="O5963" s="26" t="s">
        <v>77</v>
      </c>
    </row>
    <row r="5964">
      <c r="A5964" s="52" t="s">
        <v>77</v>
      </c>
      <c r="B5964" s="28" t="s">
        <v>77</v>
      </c>
      <c r="C5964" s="28" t="s">
        <v>77</v>
      </c>
      <c r="D5964" s="28" t="s">
        <v>77</v>
      </c>
      <c r="E5964" s="28" t="s">
        <v>77</v>
      </c>
      <c r="F5964" s="28" t="s">
        <v>77</v>
      </c>
      <c r="G5964" s="28" t="s">
        <v>77</v>
      </c>
      <c r="I5964" s="26" t="s">
        <v>77</v>
      </c>
      <c r="J5964" s="26" t="s">
        <v>77</v>
      </c>
      <c r="K5964" s="18"/>
      <c r="L5964" s="26" t="s">
        <v>77</v>
      </c>
      <c r="M5964" s="6" t="s">
        <v>77</v>
      </c>
      <c r="N5964" s="28" t="s">
        <v>77</v>
      </c>
      <c r="O5964" s="26" t="s">
        <v>77</v>
      </c>
    </row>
    <row r="5965">
      <c r="A5965" s="52" t="s">
        <v>77</v>
      </c>
      <c r="B5965" s="28" t="s">
        <v>77</v>
      </c>
      <c r="C5965" s="28" t="s">
        <v>77</v>
      </c>
      <c r="D5965" s="28" t="s">
        <v>77</v>
      </c>
      <c r="E5965" s="28" t="s">
        <v>77</v>
      </c>
      <c r="F5965" s="28" t="s">
        <v>77</v>
      </c>
      <c r="G5965" s="28" t="s">
        <v>77</v>
      </c>
      <c r="I5965" s="26" t="s">
        <v>77</v>
      </c>
      <c r="J5965" s="26" t="s">
        <v>77</v>
      </c>
      <c r="K5965" s="18"/>
      <c r="L5965" s="26" t="s">
        <v>77</v>
      </c>
      <c r="M5965" s="6" t="s">
        <v>77</v>
      </c>
      <c r="N5965" s="28" t="s">
        <v>77</v>
      </c>
      <c r="O5965" s="26" t="s">
        <v>77</v>
      </c>
    </row>
    <row r="5966">
      <c r="A5966" s="52" t="s">
        <v>77</v>
      </c>
      <c r="B5966" s="28" t="s">
        <v>77</v>
      </c>
      <c r="C5966" s="28" t="s">
        <v>77</v>
      </c>
      <c r="D5966" s="28" t="s">
        <v>77</v>
      </c>
      <c r="E5966" s="28" t="s">
        <v>77</v>
      </c>
      <c r="F5966" s="28" t="s">
        <v>77</v>
      </c>
      <c r="G5966" s="28" t="s">
        <v>77</v>
      </c>
      <c r="I5966" s="26" t="s">
        <v>77</v>
      </c>
      <c r="J5966" s="26" t="s">
        <v>77</v>
      </c>
      <c r="K5966" s="18"/>
      <c r="L5966" s="26" t="s">
        <v>77</v>
      </c>
      <c r="M5966" s="6" t="s">
        <v>77</v>
      </c>
      <c r="N5966" s="28" t="s">
        <v>77</v>
      </c>
      <c r="O5966" s="26" t="s">
        <v>77</v>
      </c>
    </row>
    <row r="5967">
      <c r="A5967" s="52" t="s">
        <v>77</v>
      </c>
      <c r="B5967" s="28" t="s">
        <v>77</v>
      </c>
      <c r="C5967" s="28" t="s">
        <v>77</v>
      </c>
      <c r="D5967" s="28" t="s">
        <v>77</v>
      </c>
      <c r="E5967" s="28" t="s">
        <v>77</v>
      </c>
      <c r="F5967" s="28" t="s">
        <v>77</v>
      </c>
      <c r="G5967" s="28" t="s">
        <v>77</v>
      </c>
      <c r="I5967" s="26" t="s">
        <v>77</v>
      </c>
      <c r="J5967" s="26" t="s">
        <v>77</v>
      </c>
      <c r="K5967" s="18"/>
      <c r="L5967" s="26" t="s">
        <v>77</v>
      </c>
      <c r="M5967" s="6" t="s">
        <v>77</v>
      </c>
      <c r="N5967" s="28" t="s">
        <v>77</v>
      </c>
      <c r="O5967" s="26" t="s">
        <v>77</v>
      </c>
    </row>
    <row r="5968">
      <c r="A5968" s="52" t="s">
        <v>77</v>
      </c>
      <c r="B5968" s="28" t="s">
        <v>77</v>
      </c>
      <c r="C5968" s="28" t="s">
        <v>77</v>
      </c>
      <c r="D5968" s="28" t="s">
        <v>77</v>
      </c>
      <c r="E5968" s="28" t="s">
        <v>77</v>
      </c>
      <c r="F5968" s="28" t="s">
        <v>77</v>
      </c>
      <c r="G5968" s="28" t="s">
        <v>77</v>
      </c>
      <c r="I5968" s="26" t="s">
        <v>77</v>
      </c>
      <c r="J5968" s="26" t="s">
        <v>77</v>
      </c>
      <c r="K5968" s="18"/>
      <c r="L5968" s="26" t="s">
        <v>77</v>
      </c>
      <c r="M5968" s="6" t="s">
        <v>77</v>
      </c>
      <c r="N5968" s="28" t="s">
        <v>77</v>
      </c>
      <c r="O5968" s="26" t="s">
        <v>77</v>
      </c>
    </row>
    <row r="5969">
      <c r="A5969" s="52" t="s">
        <v>77</v>
      </c>
      <c r="B5969" s="28" t="s">
        <v>77</v>
      </c>
      <c r="C5969" s="28" t="s">
        <v>77</v>
      </c>
      <c r="D5969" s="28" t="s">
        <v>77</v>
      </c>
      <c r="E5969" s="28" t="s">
        <v>77</v>
      </c>
      <c r="F5969" s="28" t="s">
        <v>77</v>
      </c>
      <c r="G5969" s="28" t="s">
        <v>77</v>
      </c>
      <c r="I5969" s="26" t="s">
        <v>77</v>
      </c>
      <c r="J5969" s="26" t="s">
        <v>77</v>
      </c>
      <c r="K5969" s="18"/>
      <c r="L5969" s="26" t="s">
        <v>77</v>
      </c>
      <c r="M5969" s="6" t="s">
        <v>77</v>
      </c>
      <c r="N5969" s="28" t="s">
        <v>77</v>
      </c>
      <c r="O5969" s="26" t="s">
        <v>77</v>
      </c>
    </row>
    <row r="5970">
      <c r="A5970" s="52" t="s">
        <v>77</v>
      </c>
      <c r="B5970" s="28" t="s">
        <v>77</v>
      </c>
      <c r="C5970" s="28" t="s">
        <v>77</v>
      </c>
      <c r="D5970" s="28" t="s">
        <v>77</v>
      </c>
      <c r="E5970" s="28" t="s">
        <v>77</v>
      </c>
      <c r="F5970" s="28" t="s">
        <v>77</v>
      </c>
      <c r="G5970" s="28" t="s">
        <v>77</v>
      </c>
      <c r="I5970" s="26" t="s">
        <v>77</v>
      </c>
      <c r="J5970" s="26" t="s">
        <v>77</v>
      </c>
      <c r="K5970" s="18"/>
      <c r="L5970" s="26" t="s">
        <v>77</v>
      </c>
      <c r="M5970" s="6" t="s">
        <v>77</v>
      </c>
      <c r="N5970" s="28" t="s">
        <v>77</v>
      </c>
      <c r="O5970" s="26" t="s">
        <v>77</v>
      </c>
    </row>
    <row r="5971">
      <c r="A5971" s="52" t="s">
        <v>77</v>
      </c>
      <c r="B5971" s="28" t="s">
        <v>77</v>
      </c>
      <c r="C5971" s="28" t="s">
        <v>77</v>
      </c>
      <c r="D5971" s="28" t="s">
        <v>77</v>
      </c>
      <c r="E5971" s="28" t="s">
        <v>77</v>
      </c>
      <c r="F5971" s="28" t="s">
        <v>77</v>
      </c>
      <c r="G5971" s="28" t="s">
        <v>77</v>
      </c>
      <c r="I5971" s="26" t="s">
        <v>77</v>
      </c>
      <c r="J5971" s="26" t="s">
        <v>77</v>
      </c>
      <c r="K5971" s="18"/>
      <c r="L5971" s="26" t="s">
        <v>77</v>
      </c>
      <c r="M5971" s="6" t="s">
        <v>77</v>
      </c>
      <c r="N5971" s="28" t="s">
        <v>77</v>
      </c>
      <c r="O5971" s="26" t="s">
        <v>77</v>
      </c>
    </row>
    <row r="5972">
      <c r="A5972" s="52" t="s">
        <v>77</v>
      </c>
      <c r="B5972" s="28" t="s">
        <v>77</v>
      </c>
      <c r="C5972" s="28" t="s">
        <v>77</v>
      </c>
      <c r="D5972" s="28" t="s">
        <v>77</v>
      </c>
      <c r="E5972" s="28" t="s">
        <v>77</v>
      </c>
      <c r="F5972" s="28" t="s">
        <v>77</v>
      </c>
      <c r="G5972" s="28" t="s">
        <v>77</v>
      </c>
      <c r="I5972" s="26" t="s">
        <v>77</v>
      </c>
      <c r="J5972" s="26" t="s">
        <v>77</v>
      </c>
      <c r="K5972" s="18"/>
      <c r="L5972" s="26" t="s">
        <v>77</v>
      </c>
      <c r="M5972" s="6" t="s">
        <v>77</v>
      </c>
      <c r="N5972" s="28" t="s">
        <v>77</v>
      </c>
      <c r="O5972" s="26" t="s">
        <v>77</v>
      </c>
    </row>
    <row r="5973">
      <c r="A5973" s="52" t="s">
        <v>77</v>
      </c>
      <c r="B5973" s="28" t="s">
        <v>77</v>
      </c>
      <c r="C5973" s="28" t="s">
        <v>77</v>
      </c>
      <c r="D5973" s="28" t="s">
        <v>77</v>
      </c>
      <c r="E5973" s="28" t="s">
        <v>77</v>
      </c>
      <c r="F5973" s="28" t="s">
        <v>77</v>
      </c>
      <c r="G5973" s="28" t="s">
        <v>77</v>
      </c>
      <c r="I5973" s="26" t="s">
        <v>77</v>
      </c>
      <c r="J5973" s="26" t="s">
        <v>77</v>
      </c>
      <c r="K5973" s="18"/>
      <c r="L5973" s="26" t="s">
        <v>77</v>
      </c>
      <c r="M5973" s="6" t="s">
        <v>77</v>
      </c>
      <c r="N5973" s="28" t="s">
        <v>77</v>
      </c>
      <c r="O5973" s="26" t="s">
        <v>77</v>
      </c>
    </row>
    <row r="5974">
      <c r="A5974" s="52" t="s">
        <v>77</v>
      </c>
      <c r="B5974" s="28" t="s">
        <v>77</v>
      </c>
      <c r="C5974" s="28" t="s">
        <v>77</v>
      </c>
      <c r="D5974" s="28" t="s">
        <v>77</v>
      </c>
      <c r="E5974" s="28" t="s">
        <v>77</v>
      </c>
      <c r="F5974" s="28" t="s">
        <v>77</v>
      </c>
      <c r="G5974" s="28" t="s">
        <v>77</v>
      </c>
      <c r="I5974" s="26" t="s">
        <v>77</v>
      </c>
      <c r="J5974" s="26" t="s">
        <v>77</v>
      </c>
      <c r="K5974" s="18"/>
      <c r="L5974" s="26" t="s">
        <v>77</v>
      </c>
      <c r="M5974" s="6" t="s">
        <v>77</v>
      </c>
      <c r="N5974" s="28" t="s">
        <v>77</v>
      </c>
      <c r="O5974" s="26" t="s">
        <v>77</v>
      </c>
    </row>
    <row r="5975">
      <c r="A5975" s="52" t="s">
        <v>77</v>
      </c>
      <c r="B5975" s="28" t="s">
        <v>77</v>
      </c>
      <c r="C5975" s="28" t="s">
        <v>77</v>
      </c>
      <c r="D5975" s="28" t="s">
        <v>77</v>
      </c>
      <c r="E5975" s="28" t="s">
        <v>77</v>
      </c>
      <c r="F5975" s="28" t="s">
        <v>77</v>
      </c>
      <c r="G5975" s="28" t="s">
        <v>77</v>
      </c>
      <c r="I5975" s="26" t="s">
        <v>77</v>
      </c>
      <c r="J5975" s="26" t="s">
        <v>77</v>
      </c>
      <c r="K5975" s="18"/>
      <c r="L5975" s="26" t="s">
        <v>77</v>
      </c>
      <c r="M5975" s="6" t="s">
        <v>77</v>
      </c>
      <c r="N5975" s="28" t="s">
        <v>77</v>
      </c>
      <c r="O5975" s="26" t="s">
        <v>77</v>
      </c>
    </row>
    <row r="5976">
      <c r="A5976" s="52" t="s">
        <v>77</v>
      </c>
      <c r="B5976" s="28" t="s">
        <v>77</v>
      </c>
      <c r="C5976" s="28" t="s">
        <v>77</v>
      </c>
      <c r="D5976" s="28" t="s">
        <v>77</v>
      </c>
      <c r="E5976" s="28" t="s">
        <v>77</v>
      </c>
      <c r="F5976" s="28" t="s">
        <v>77</v>
      </c>
      <c r="G5976" s="28" t="s">
        <v>77</v>
      </c>
      <c r="I5976" s="26" t="s">
        <v>77</v>
      </c>
      <c r="J5976" s="26" t="s">
        <v>77</v>
      </c>
      <c r="K5976" s="18"/>
      <c r="L5976" s="26" t="s">
        <v>77</v>
      </c>
      <c r="M5976" s="6" t="s">
        <v>77</v>
      </c>
      <c r="N5976" s="28" t="s">
        <v>77</v>
      </c>
      <c r="O5976" s="26" t="s">
        <v>77</v>
      </c>
    </row>
    <row r="5977">
      <c r="A5977" s="52" t="s">
        <v>77</v>
      </c>
      <c r="B5977" s="28" t="s">
        <v>77</v>
      </c>
      <c r="C5977" s="28" t="s">
        <v>77</v>
      </c>
      <c r="D5977" s="28" t="s">
        <v>77</v>
      </c>
      <c r="E5977" s="28" t="s">
        <v>77</v>
      </c>
      <c r="F5977" s="28" t="s">
        <v>77</v>
      </c>
      <c r="G5977" s="28" t="s">
        <v>77</v>
      </c>
      <c r="I5977" s="26" t="s">
        <v>77</v>
      </c>
      <c r="J5977" s="26" t="s">
        <v>77</v>
      </c>
      <c r="K5977" s="18"/>
      <c r="L5977" s="26" t="s">
        <v>77</v>
      </c>
      <c r="M5977" s="6" t="s">
        <v>77</v>
      </c>
      <c r="N5977" s="28" t="s">
        <v>77</v>
      </c>
      <c r="O5977" s="26" t="s">
        <v>77</v>
      </c>
    </row>
    <row r="5978">
      <c r="A5978" s="52" t="s">
        <v>77</v>
      </c>
      <c r="B5978" s="28" t="s">
        <v>77</v>
      </c>
      <c r="C5978" s="28" t="s">
        <v>77</v>
      </c>
      <c r="D5978" s="28" t="s">
        <v>77</v>
      </c>
      <c r="E5978" s="28" t="s">
        <v>77</v>
      </c>
      <c r="F5978" s="28" t="s">
        <v>77</v>
      </c>
      <c r="G5978" s="28" t="s">
        <v>77</v>
      </c>
      <c r="I5978" s="26" t="s">
        <v>77</v>
      </c>
      <c r="J5978" s="26" t="s">
        <v>77</v>
      </c>
      <c r="K5978" s="18"/>
      <c r="L5978" s="26" t="s">
        <v>77</v>
      </c>
      <c r="M5978" s="6" t="s">
        <v>77</v>
      </c>
      <c r="N5978" s="28" t="s">
        <v>77</v>
      </c>
      <c r="O5978" s="26" t="s">
        <v>77</v>
      </c>
    </row>
    <row r="5979">
      <c r="A5979" s="52" t="s">
        <v>77</v>
      </c>
      <c r="B5979" s="28" t="s">
        <v>77</v>
      </c>
      <c r="C5979" s="28" t="s">
        <v>77</v>
      </c>
      <c r="D5979" s="28" t="s">
        <v>77</v>
      </c>
      <c r="E5979" s="28" t="s">
        <v>77</v>
      </c>
      <c r="F5979" s="28" t="s">
        <v>77</v>
      </c>
      <c r="G5979" s="28" t="s">
        <v>77</v>
      </c>
      <c r="I5979" s="26" t="s">
        <v>77</v>
      </c>
      <c r="J5979" s="26" t="s">
        <v>77</v>
      </c>
      <c r="K5979" s="18"/>
      <c r="L5979" s="26" t="s">
        <v>77</v>
      </c>
      <c r="M5979" s="6" t="s">
        <v>77</v>
      </c>
      <c r="N5979" s="28" t="s">
        <v>77</v>
      </c>
      <c r="O5979" s="26" t="s">
        <v>77</v>
      </c>
    </row>
    <row r="5980">
      <c r="A5980" s="52" t="s">
        <v>77</v>
      </c>
      <c r="B5980" s="28" t="s">
        <v>77</v>
      </c>
      <c r="C5980" s="28" t="s">
        <v>77</v>
      </c>
      <c r="D5980" s="28" t="s">
        <v>77</v>
      </c>
      <c r="E5980" s="28" t="s">
        <v>77</v>
      </c>
      <c r="F5980" s="28" t="s">
        <v>77</v>
      </c>
      <c r="G5980" s="28" t="s">
        <v>77</v>
      </c>
      <c r="I5980" s="26" t="s">
        <v>77</v>
      </c>
      <c r="J5980" s="26" t="s">
        <v>77</v>
      </c>
      <c r="K5980" s="18"/>
      <c r="L5980" s="26" t="s">
        <v>77</v>
      </c>
      <c r="M5980" s="6" t="s">
        <v>77</v>
      </c>
      <c r="N5980" s="28" t="s">
        <v>77</v>
      </c>
      <c r="O5980" s="26" t="s">
        <v>77</v>
      </c>
    </row>
    <row r="5981">
      <c r="A5981" s="52" t="s">
        <v>77</v>
      </c>
      <c r="B5981" s="28" t="s">
        <v>77</v>
      </c>
      <c r="C5981" s="28" t="s">
        <v>77</v>
      </c>
      <c r="D5981" s="28" t="s">
        <v>77</v>
      </c>
      <c r="E5981" s="28" t="s">
        <v>77</v>
      </c>
      <c r="F5981" s="28" t="s">
        <v>77</v>
      </c>
      <c r="G5981" s="28" t="s">
        <v>77</v>
      </c>
      <c r="I5981" s="26" t="s">
        <v>77</v>
      </c>
      <c r="J5981" s="26" t="s">
        <v>77</v>
      </c>
      <c r="K5981" s="18"/>
      <c r="L5981" s="26" t="s">
        <v>77</v>
      </c>
      <c r="M5981" s="6" t="s">
        <v>77</v>
      </c>
      <c r="N5981" s="28" t="s">
        <v>77</v>
      </c>
      <c r="O5981" s="26" t="s">
        <v>77</v>
      </c>
    </row>
    <row r="5982">
      <c r="A5982" s="52" t="s">
        <v>77</v>
      </c>
      <c r="B5982" s="28" t="s">
        <v>77</v>
      </c>
      <c r="C5982" s="28" t="s">
        <v>77</v>
      </c>
      <c r="D5982" s="28" t="s">
        <v>77</v>
      </c>
      <c r="E5982" s="28" t="s">
        <v>77</v>
      </c>
      <c r="F5982" s="28" t="s">
        <v>77</v>
      </c>
      <c r="G5982" s="28" t="s">
        <v>77</v>
      </c>
      <c r="I5982" s="26" t="s">
        <v>77</v>
      </c>
      <c r="J5982" s="26" t="s">
        <v>77</v>
      </c>
      <c r="K5982" s="18"/>
      <c r="L5982" s="26" t="s">
        <v>77</v>
      </c>
      <c r="M5982" s="6" t="s">
        <v>77</v>
      </c>
      <c r="N5982" s="28" t="s">
        <v>77</v>
      </c>
      <c r="O5982" s="26" t="s">
        <v>77</v>
      </c>
    </row>
    <row r="5983">
      <c r="A5983" s="52" t="s">
        <v>77</v>
      </c>
      <c r="B5983" s="28" t="s">
        <v>77</v>
      </c>
      <c r="C5983" s="28" t="s">
        <v>77</v>
      </c>
      <c r="D5983" s="28" t="s">
        <v>77</v>
      </c>
      <c r="E5983" s="28" t="s">
        <v>77</v>
      </c>
      <c r="F5983" s="28" t="s">
        <v>77</v>
      </c>
      <c r="G5983" s="28" t="s">
        <v>77</v>
      </c>
      <c r="I5983" s="26" t="s">
        <v>77</v>
      </c>
      <c r="J5983" s="26" t="s">
        <v>77</v>
      </c>
      <c r="K5983" s="18"/>
      <c r="L5983" s="26" t="s">
        <v>77</v>
      </c>
      <c r="M5983" s="6" t="s">
        <v>77</v>
      </c>
      <c r="N5983" s="28" t="s">
        <v>77</v>
      </c>
      <c r="O5983" s="26" t="s">
        <v>77</v>
      </c>
    </row>
    <row r="5984">
      <c r="A5984" s="52" t="s">
        <v>77</v>
      </c>
      <c r="B5984" s="28" t="s">
        <v>77</v>
      </c>
      <c r="C5984" s="28" t="s">
        <v>77</v>
      </c>
      <c r="D5984" s="28" t="s">
        <v>77</v>
      </c>
      <c r="E5984" s="28" t="s">
        <v>77</v>
      </c>
      <c r="F5984" s="28" t="s">
        <v>77</v>
      </c>
      <c r="G5984" s="28" t="s">
        <v>77</v>
      </c>
      <c r="I5984" s="26" t="s">
        <v>77</v>
      </c>
      <c r="J5984" s="26" t="s">
        <v>77</v>
      </c>
      <c r="K5984" s="18"/>
      <c r="L5984" s="26" t="s">
        <v>77</v>
      </c>
      <c r="M5984" s="6" t="s">
        <v>77</v>
      </c>
      <c r="N5984" s="28" t="s">
        <v>77</v>
      </c>
      <c r="O5984" s="26" t="s">
        <v>77</v>
      </c>
    </row>
    <row r="5985">
      <c r="A5985" s="52" t="s">
        <v>77</v>
      </c>
      <c r="B5985" s="28" t="s">
        <v>77</v>
      </c>
      <c r="C5985" s="28" t="s">
        <v>77</v>
      </c>
      <c r="D5985" s="28" t="s">
        <v>77</v>
      </c>
      <c r="E5985" s="28" t="s">
        <v>77</v>
      </c>
      <c r="F5985" s="28" t="s">
        <v>77</v>
      </c>
      <c r="G5985" s="28" t="s">
        <v>77</v>
      </c>
      <c r="I5985" s="26" t="s">
        <v>77</v>
      </c>
      <c r="J5985" s="26" t="s">
        <v>77</v>
      </c>
      <c r="K5985" s="18"/>
      <c r="L5985" s="26" t="s">
        <v>77</v>
      </c>
      <c r="M5985" s="6" t="s">
        <v>77</v>
      </c>
      <c r="N5985" s="28" t="s">
        <v>77</v>
      </c>
      <c r="O5985" s="26" t="s">
        <v>77</v>
      </c>
    </row>
    <row r="5986">
      <c r="A5986" s="52" t="s">
        <v>77</v>
      </c>
      <c r="B5986" s="28" t="s">
        <v>77</v>
      </c>
      <c r="C5986" s="28" t="s">
        <v>77</v>
      </c>
      <c r="D5986" s="28" t="s">
        <v>77</v>
      </c>
      <c r="E5986" s="28" t="s">
        <v>77</v>
      </c>
      <c r="F5986" s="28" t="s">
        <v>77</v>
      </c>
      <c r="G5986" s="28" t="s">
        <v>77</v>
      </c>
      <c r="I5986" s="26" t="s">
        <v>77</v>
      </c>
      <c r="J5986" s="26" t="s">
        <v>77</v>
      </c>
      <c r="K5986" s="18"/>
      <c r="L5986" s="26" t="s">
        <v>77</v>
      </c>
      <c r="M5986" s="6" t="s">
        <v>77</v>
      </c>
      <c r="N5986" s="28" t="s">
        <v>77</v>
      </c>
      <c r="O5986" s="26" t="s">
        <v>77</v>
      </c>
    </row>
    <row r="5987">
      <c r="A5987" s="52" t="s">
        <v>77</v>
      </c>
      <c r="B5987" s="28" t="s">
        <v>77</v>
      </c>
      <c r="C5987" s="28" t="s">
        <v>77</v>
      </c>
      <c r="D5987" s="28" t="s">
        <v>77</v>
      </c>
      <c r="E5987" s="28" t="s">
        <v>77</v>
      </c>
      <c r="F5987" s="28" t="s">
        <v>77</v>
      </c>
      <c r="G5987" s="28" t="s">
        <v>77</v>
      </c>
      <c r="I5987" s="26" t="s">
        <v>77</v>
      </c>
      <c r="J5987" s="26" t="s">
        <v>77</v>
      </c>
      <c r="K5987" s="18"/>
      <c r="L5987" s="26" t="s">
        <v>77</v>
      </c>
      <c r="M5987" s="6" t="s">
        <v>77</v>
      </c>
      <c r="N5987" s="28" t="s">
        <v>77</v>
      </c>
      <c r="O5987" s="26" t="s">
        <v>77</v>
      </c>
    </row>
    <row r="5988">
      <c r="A5988" s="52" t="s">
        <v>77</v>
      </c>
      <c r="B5988" s="28" t="s">
        <v>77</v>
      </c>
      <c r="C5988" s="28" t="s">
        <v>77</v>
      </c>
      <c r="D5988" s="28" t="s">
        <v>77</v>
      </c>
      <c r="E5988" s="28" t="s">
        <v>77</v>
      </c>
      <c r="F5988" s="28" t="s">
        <v>77</v>
      </c>
      <c r="G5988" s="28" t="s">
        <v>77</v>
      </c>
      <c r="I5988" s="26" t="s">
        <v>77</v>
      </c>
      <c r="J5988" s="26" t="s">
        <v>77</v>
      </c>
      <c r="K5988" s="18"/>
      <c r="L5988" s="26" t="s">
        <v>77</v>
      </c>
      <c r="M5988" s="6" t="s">
        <v>77</v>
      </c>
      <c r="N5988" s="28" t="s">
        <v>77</v>
      </c>
      <c r="O5988" s="26" t="s">
        <v>77</v>
      </c>
    </row>
    <row r="5989">
      <c r="A5989" s="52" t="s">
        <v>77</v>
      </c>
      <c r="B5989" s="28" t="s">
        <v>77</v>
      </c>
      <c r="C5989" s="28" t="s">
        <v>77</v>
      </c>
      <c r="D5989" s="28" t="s">
        <v>77</v>
      </c>
      <c r="E5989" s="28" t="s">
        <v>77</v>
      </c>
      <c r="F5989" s="28" t="s">
        <v>77</v>
      </c>
      <c r="G5989" s="28" t="s">
        <v>77</v>
      </c>
      <c r="I5989" s="26" t="s">
        <v>77</v>
      </c>
      <c r="J5989" s="26" t="s">
        <v>77</v>
      </c>
      <c r="K5989" s="18"/>
      <c r="L5989" s="26" t="s">
        <v>77</v>
      </c>
      <c r="M5989" s="6" t="s">
        <v>77</v>
      </c>
      <c r="N5989" s="28" t="s">
        <v>77</v>
      </c>
      <c r="O5989" s="26" t="s">
        <v>77</v>
      </c>
    </row>
    <row r="5990">
      <c r="A5990" s="52" t="s">
        <v>77</v>
      </c>
      <c r="B5990" s="28" t="s">
        <v>77</v>
      </c>
      <c r="C5990" s="28" t="s">
        <v>77</v>
      </c>
      <c r="D5990" s="28" t="s">
        <v>77</v>
      </c>
      <c r="E5990" s="28" t="s">
        <v>77</v>
      </c>
      <c r="F5990" s="28" t="s">
        <v>77</v>
      </c>
      <c r="G5990" s="28" t="s">
        <v>77</v>
      </c>
      <c r="I5990" s="26" t="s">
        <v>77</v>
      </c>
      <c r="J5990" s="26" t="s">
        <v>77</v>
      </c>
      <c r="K5990" s="18"/>
      <c r="L5990" s="26" t="s">
        <v>77</v>
      </c>
      <c r="M5990" s="6" t="s">
        <v>77</v>
      </c>
      <c r="N5990" s="28" t="s">
        <v>77</v>
      </c>
      <c r="O5990" s="26" t="s">
        <v>77</v>
      </c>
    </row>
    <row r="5991">
      <c r="A5991" s="52" t="s">
        <v>77</v>
      </c>
      <c r="B5991" s="28" t="s">
        <v>77</v>
      </c>
      <c r="C5991" s="28" t="s">
        <v>77</v>
      </c>
      <c r="D5991" s="28" t="s">
        <v>77</v>
      </c>
      <c r="E5991" s="28" t="s">
        <v>77</v>
      </c>
      <c r="F5991" s="28" t="s">
        <v>77</v>
      </c>
      <c r="G5991" s="28" t="s">
        <v>77</v>
      </c>
      <c r="I5991" s="26" t="s">
        <v>77</v>
      </c>
      <c r="J5991" s="26" t="s">
        <v>77</v>
      </c>
      <c r="K5991" s="18"/>
      <c r="L5991" s="26" t="s">
        <v>77</v>
      </c>
      <c r="M5991" s="6" t="s">
        <v>77</v>
      </c>
      <c r="N5991" s="28" t="s">
        <v>77</v>
      </c>
      <c r="O5991" s="26" t="s">
        <v>77</v>
      </c>
    </row>
    <row r="5992">
      <c r="A5992" s="52" t="s">
        <v>77</v>
      </c>
      <c r="B5992" s="28" t="s">
        <v>77</v>
      </c>
      <c r="C5992" s="28" t="s">
        <v>77</v>
      </c>
      <c r="D5992" s="28" t="s">
        <v>77</v>
      </c>
      <c r="E5992" s="28" t="s">
        <v>77</v>
      </c>
      <c r="F5992" s="28" t="s">
        <v>77</v>
      </c>
      <c r="G5992" s="28" t="s">
        <v>77</v>
      </c>
      <c r="I5992" s="26" t="s">
        <v>77</v>
      </c>
      <c r="J5992" s="26" t="s">
        <v>77</v>
      </c>
      <c r="K5992" s="18"/>
      <c r="L5992" s="26" t="s">
        <v>77</v>
      </c>
      <c r="M5992" s="6" t="s">
        <v>77</v>
      </c>
      <c r="N5992" s="28" t="s">
        <v>77</v>
      </c>
      <c r="O5992" s="26" t="s">
        <v>77</v>
      </c>
    </row>
    <row r="5993">
      <c r="A5993" s="52" t="s">
        <v>77</v>
      </c>
      <c r="B5993" s="28" t="s">
        <v>77</v>
      </c>
      <c r="C5993" s="28" t="s">
        <v>77</v>
      </c>
      <c r="D5993" s="28" t="s">
        <v>77</v>
      </c>
      <c r="E5993" s="28" t="s">
        <v>77</v>
      </c>
      <c r="F5993" s="28" t="s">
        <v>77</v>
      </c>
      <c r="G5993" s="28" t="s">
        <v>77</v>
      </c>
      <c r="I5993" s="26" t="s">
        <v>77</v>
      </c>
      <c r="J5993" s="26" t="s">
        <v>77</v>
      </c>
      <c r="K5993" s="18"/>
      <c r="L5993" s="26" t="s">
        <v>77</v>
      </c>
      <c r="M5993" s="6" t="s">
        <v>77</v>
      </c>
      <c r="N5993" s="28" t="s">
        <v>77</v>
      </c>
      <c r="O5993" s="26" t="s">
        <v>77</v>
      </c>
    </row>
    <row r="5994">
      <c r="A5994" s="52" t="s">
        <v>77</v>
      </c>
      <c r="B5994" s="28" t="s">
        <v>77</v>
      </c>
      <c r="C5994" s="28" t="s">
        <v>77</v>
      </c>
      <c r="D5994" s="28" t="s">
        <v>77</v>
      </c>
      <c r="E5994" s="28" t="s">
        <v>77</v>
      </c>
      <c r="F5994" s="28" t="s">
        <v>77</v>
      </c>
      <c r="G5994" s="28" t="s">
        <v>77</v>
      </c>
      <c r="I5994" s="26" t="s">
        <v>77</v>
      </c>
      <c r="J5994" s="26" t="s">
        <v>77</v>
      </c>
      <c r="K5994" s="18"/>
      <c r="L5994" s="26" t="s">
        <v>77</v>
      </c>
      <c r="M5994" s="6" t="s">
        <v>77</v>
      </c>
      <c r="N5994" s="28" t="s">
        <v>77</v>
      </c>
      <c r="O5994" s="26" t="s">
        <v>77</v>
      </c>
    </row>
    <row r="5995">
      <c r="A5995" s="52" t="s">
        <v>77</v>
      </c>
      <c r="B5995" s="28" t="s">
        <v>77</v>
      </c>
      <c r="C5995" s="28" t="s">
        <v>77</v>
      </c>
      <c r="D5995" s="28" t="s">
        <v>77</v>
      </c>
      <c r="E5995" s="28" t="s">
        <v>77</v>
      </c>
      <c r="F5995" s="28" t="s">
        <v>77</v>
      </c>
      <c r="G5995" s="28" t="s">
        <v>77</v>
      </c>
      <c r="I5995" s="26" t="s">
        <v>77</v>
      </c>
      <c r="J5995" s="26" t="s">
        <v>77</v>
      </c>
      <c r="K5995" s="18"/>
      <c r="L5995" s="26" t="s">
        <v>77</v>
      </c>
      <c r="M5995" s="6" t="s">
        <v>77</v>
      </c>
      <c r="N5995" s="28" t="s">
        <v>77</v>
      </c>
      <c r="O5995" s="26" t="s">
        <v>77</v>
      </c>
    </row>
    <row r="5996">
      <c r="A5996" s="52" t="s">
        <v>77</v>
      </c>
      <c r="B5996" s="28" t="s">
        <v>77</v>
      </c>
      <c r="C5996" s="28" t="s">
        <v>77</v>
      </c>
      <c r="D5996" s="28" t="s">
        <v>77</v>
      </c>
      <c r="E5996" s="28" t="s">
        <v>77</v>
      </c>
      <c r="F5996" s="28" t="s">
        <v>77</v>
      </c>
      <c r="G5996" s="28" t="s">
        <v>77</v>
      </c>
      <c r="I5996" s="26" t="s">
        <v>77</v>
      </c>
      <c r="J5996" s="26" t="s">
        <v>77</v>
      </c>
      <c r="K5996" s="18"/>
      <c r="L5996" s="26" t="s">
        <v>77</v>
      </c>
      <c r="M5996" s="6" t="s">
        <v>77</v>
      </c>
      <c r="N5996" s="28" t="s">
        <v>77</v>
      </c>
      <c r="O5996" s="26" t="s">
        <v>77</v>
      </c>
    </row>
    <row r="5997">
      <c r="A5997" s="52" t="s">
        <v>77</v>
      </c>
      <c r="B5997" s="28" t="s">
        <v>77</v>
      </c>
      <c r="C5997" s="28" t="s">
        <v>77</v>
      </c>
      <c r="D5997" s="28" t="s">
        <v>77</v>
      </c>
      <c r="E5997" s="28" t="s">
        <v>77</v>
      </c>
      <c r="F5997" s="28" t="s">
        <v>77</v>
      </c>
      <c r="G5997" s="28" t="s">
        <v>77</v>
      </c>
      <c r="I5997" s="26" t="s">
        <v>77</v>
      </c>
      <c r="J5997" s="26" t="s">
        <v>77</v>
      </c>
      <c r="K5997" s="18"/>
      <c r="L5997" s="26" t="s">
        <v>77</v>
      </c>
      <c r="M5997" s="6" t="s">
        <v>77</v>
      </c>
      <c r="N5997" s="28" t="s">
        <v>77</v>
      </c>
      <c r="O5997" s="26" t="s">
        <v>77</v>
      </c>
    </row>
    <row r="5998">
      <c r="A5998" s="52" t="s">
        <v>77</v>
      </c>
      <c r="B5998" s="28" t="s">
        <v>77</v>
      </c>
      <c r="C5998" s="28" t="s">
        <v>77</v>
      </c>
      <c r="D5998" s="28" t="s">
        <v>77</v>
      </c>
      <c r="E5998" s="28" t="s">
        <v>77</v>
      </c>
      <c r="F5998" s="28" t="s">
        <v>77</v>
      </c>
      <c r="G5998" s="28" t="s">
        <v>77</v>
      </c>
      <c r="I5998" s="26" t="s">
        <v>77</v>
      </c>
      <c r="J5998" s="26" t="s">
        <v>77</v>
      </c>
      <c r="K5998" s="18"/>
      <c r="L5998" s="26" t="s">
        <v>77</v>
      </c>
      <c r="M5998" s="6" t="s">
        <v>77</v>
      </c>
      <c r="N5998" s="28" t="s">
        <v>77</v>
      </c>
      <c r="O5998" s="26" t="s">
        <v>77</v>
      </c>
    </row>
    <row r="5999">
      <c r="A5999" s="52"/>
      <c r="B5999" s="28"/>
      <c r="C5999" s="28"/>
      <c r="D5999" s="28"/>
      <c r="E5999" s="28"/>
      <c r="F5999" s="28"/>
      <c r="G5999" s="28"/>
      <c r="I5999" s="28"/>
      <c r="J5999" s="28"/>
      <c r="K5999" s="18"/>
      <c r="L5999" s="28"/>
      <c r="N5999" s="28"/>
      <c r="O5999" s="28"/>
    </row>
    <row r="6000">
      <c r="A6000" s="52"/>
      <c r="B6000" s="28"/>
      <c r="C6000" s="28"/>
      <c r="D6000" s="28"/>
      <c r="E6000" s="28"/>
      <c r="F6000" s="28"/>
      <c r="G6000" s="28"/>
      <c r="I6000" s="28"/>
      <c r="J6000" s="28"/>
      <c r="K6000" s="18"/>
      <c r="L6000" s="28"/>
      <c r="N6000" s="28"/>
      <c r="O6000" s="28"/>
    </row>
  </sheetData>
  <conditionalFormatting sqref="J2:J10">
    <cfRule type="expression" dxfId="4" priority="1">
      <formula>J2:J10&lt;=0</formula>
    </cfRule>
  </conditionalFormatting>
  <conditionalFormatting sqref="L2:L5998">
    <cfRule type="expression" dxfId="5" priority="2">
      <formula>L2:AD5998&lt;0</formula>
    </cfRule>
  </conditionalFormatting>
  <conditionalFormatting sqref="L2:L5998">
    <cfRule type="expression" dxfId="3" priority="3">
      <formula>L2:L5998&gt;0</formula>
    </cfRule>
  </conditionalFormatting>
  <conditionalFormatting sqref="U2">
    <cfRule type="expression" dxfId="2" priority="4">
      <formula>U2&lt;0</formula>
    </cfRule>
  </conditionalFormatting>
  <conditionalFormatting sqref="U2">
    <cfRule type="expression" dxfId="1" priority="5">
      <formula>U2&gt;0</formula>
    </cfRule>
  </conditionalFormatting>
  <dataValidations>
    <dataValidation type="list" allowBlank="1" showErrorMessage="1" sqref="R9">
      <formula1>Inventory!$A$2:$A$5988</formula1>
    </dataValidation>
    <dataValidation type="list" allowBlank="1" showErrorMessage="1" sqref="R2">
      <formula1>Inventory!$E$2:$E$5998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0.75"/>
    <col customWidth="1" min="5" max="5" width="18.5"/>
    <col customWidth="1" min="6" max="6" width="26.5"/>
    <col customWidth="1" min="7" max="7" width="2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conditionalFormatting sqref="G2:G1000">
    <cfRule type="expression" dxfId="0" priority="1">
      <formula>G2:G1000&lt;0</formula>
    </cfRule>
  </conditionalFormatting>
  <drawing r:id="rId2"/>
</worksheet>
</file>